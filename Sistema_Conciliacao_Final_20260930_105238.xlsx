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3" activeTab="4" autoFilterDateGrouping="1"/>
  </bookViews>
  <sheets>
    <sheet name="Registrar Ponto" sheetId="1" state="visible" r:id="rId1"/>
    <sheet name="Cartão de Ponto" sheetId="2" state="visible" r:id="rId2"/>
    <sheet name="Resumo Pagamentos" sheetId="3" state="visible" r:id="rId3"/>
    <sheet name="Custo por Projeto" sheetId="4" state="visible" r:id="rId4"/>
    <sheet name="Registros" sheetId="5" state="visible" r:id="rId5"/>
    <sheet name="Batidas" sheetId="6" state="visible" r:id="rId6"/>
    <sheet name="Conferência" sheetId="7" state="visible" r:id="rId7"/>
    <sheet name="Cadastro Pessoas" sheetId="8" state="visible" r:id="rId8"/>
    <sheet name="Cadastro Projetos" sheetId="9" state="visible" r:id="rId9"/>
    <sheet name="Cadastro Atividades" sheetId="10" state="visible" r:id="rId10"/>
    <sheet name="Configuração" sheetId="11" state="visible" r:id="rId11"/>
    <sheet name="Office Script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R$&quot;\ #,##0.00"/>
    <numFmt numFmtId="165" formatCode="dd/mm/yyyy\ hh:mm:ss"/>
  </numFmts>
  <fonts count="11">
    <font>
      <name val="Carlito"/>
      <sz val="11"/>
    </font>
    <font>
      <name val="Aptos"/>
      <b val="1"/>
      <color rgb="FF17324D"/>
      <sz val="14"/>
    </font>
    <font>
      <name val="Aptos"/>
      <b val="1"/>
      <color rgb="FFFFFFFF"/>
      <sz val="10"/>
    </font>
    <font>
      <name val="Aptos"/>
      <b val="1"/>
      <color rgb="FFFFFFFF"/>
      <sz val="14"/>
    </font>
    <font>
      <name val="Aptos"/>
      <i val="1"/>
      <color rgb="FF667788"/>
      <sz val="10"/>
    </font>
    <font>
      <name val="Aptos"/>
      <b val="1"/>
      <color rgb="FF243746"/>
      <sz val="10"/>
    </font>
    <font>
      <name val="Aptos"/>
      <b val="1"/>
      <color rgb="FF254D70"/>
      <sz val="10"/>
    </font>
    <font>
      <name val="Aptos"/>
      <b val="1"/>
      <color rgb="FF17324D"/>
      <sz val="11"/>
    </font>
    <font>
      <name val="Aptos"/>
      <color rgb="FFFFFFFF"/>
      <sz val="9"/>
    </font>
    <font>
      <name val="Aptos"/>
      <b val="1"/>
      <color rgb="FF17324D"/>
      <sz val="10"/>
    </font>
    <font>
      <name val="Consolas"/>
      <color rgb="FF243746"/>
      <sz val="9"/>
    </font>
  </fonts>
  <fills count="9">
    <fill>
      <patternFill/>
    </fill>
    <fill>
      <patternFill patternType="gray125"/>
    </fill>
    <fill>
      <patternFill patternType="solid">
        <fgColor rgb="FFFFF9E9"/>
      </patternFill>
    </fill>
    <fill>
      <patternFill patternType="solid">
        <fgColor rgb="FF183A5A"/>
      </patternFill>
    </fill>
    <fill>
      <patternFill patternType="solid">
        <fgColor rgb="FF17324D"/>
      </patternFill>
    </fill>
    <fill>
      <patternFill patternType="solid">
        <fgColor rgb="FFFFF1C9"/>
      </patternFill>
    </fill>
    <fill>
      <patternFill patternType="solid">
        <fgColor rgb="FFEAF1F7"/>
      </patternFill>
    </fill>
    <fill>
      <patternFill patternType="solid">
        <fgColor rgb="FFFFF9E9"/>
      </patternFill>
    </fill>
    <fill>
      <patternFill patternType="solid">
        <fgColor rgb="FFFFF1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6" fillId="6" borderId="0" pivotButton="0" quotePrefix="0" xfId="0"/>
    <xf numFmtId="14" fontId="0" fillId="5" borderId="0" pivotButton="0" quotePrefix="0" xfId="0"/>
    <xf numFmtId="0" fontId="7" fillId="6" borderId="0" pivotButton="0" quotePrefix="0" xfId="0"/>
    <xf numFmtId="164" fontId="7" fillId="6" borderId="0" pivotButton="0" quotePrefix="0" xfId="0"/>
    <xf numFmtId="2" fontId="0" fillId="0" borderId="0" pivotButton="0" quotePrefix="0" xfId="0"/>
    <xf numFmtId="2" fontId="7" fillId="6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9" fillId="6" borderId="0" pivotButton="0" quotePrefix="0" xfId="0"/>
    <xf numFmtId="164" fontId="9" fillId="6" borderId="0" pivotButton="0" quotePrefix="0" xfId="0"/>
    <xf numFmtId="2" fontId="9" fillId="6" borderId="0" pivotButton="0" quotePrefix="0" xfId="0"/>
    <xf numFmtId="165" fontId="0" fillId="2" borderId="0" pivotButton="0" quotePrefix="0" xfId="0"/>
    <xf numFmtId="0" fontId="10" fillId="0" borderId="0" pivotButton="0" quotePrefix="0" xfId="0"/>
    <xf numFmtId="165" fontId="0" fillId="7" borderId="0" pivotButton="0" quotePrefix="0" xfId="0"/>
    <xf numFmtId="0" fontId="0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blRegistros" displayName="tblRegistros" ref="A4:T398" headerRowCount="1" totalsRowShown="0">
  <tableColumns count="20">
    <tableColumn id="1" name="Registro ID"/>
    <tableColumn id="2" name="Data"/>
    <tableColumn id="3" name="Dia da semana"/>
    <tableColumn id="4" name="Tipo de dia"/>
    <tableColumn id="5" name="ID"/>
    <tableColumn id="6" name="Pessoa"/>
    <tableColumn id="7" name="Projeto"/>
    <tableColumn id="8" name="Atividade"/>
    <tableColumn id="9" name="Início"/>
    <tableColumn id="10" name="Fim"/>
    <tableColumn id="11" name="Horas"/>
    <tableColumn id="12" name="Observação"/>
    <tableColumn id="13" name="Base"/>
    <tableColumn id="14" name="Taxa aplicada"/>
    <tableColumn id="15" name="Diária"/>
    <tableColumn id="16" name="Valor"/>
    <tableColumn id="17" name="Status"/>
    <tableColumn id="18" name="1º do dia"/>
    <tableColumn id="19" name="Mês"/>
    <tableColumn id="20" name="Chave do cart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Batidas" displayName="tblBatidas" ref="A4:M812" headerRowCount="1" totalsRowShown="0">
  <autoFilter ref="A4:M812">
    <filterColumn colId="5" hiddenButton="0" showButton="1">
      <filters>
        <filter val="Alex de Almeida Mariano"/>
      </filters>
    </filterColumn>
  </autoFilter>
  <tableColumns count="13">
    <tableColumn id="1" name="Batida ID"/>
    <tableColumn id="2" name="Data e hora"/>
    <tableColumn id="3" name="Data"/>
    <tableColumn id="4" name="Dia da semana"/>
    <tableColumn id="5" name="ID"/>
    <tableColumn id="6" name="Pessoa"/>
    <tableColumn id="7" name="Tipo"/>
    <tableColumn id="8" name="Projeto"/>
    <tableColumn id="9" name="Atividade"/>
    <tableColumn id="10" name="Observação"/>
    <tableColumn id="11" name="Origem"/>
    <tableColumn id="12" name="Início vinculado"/>
    <tableColumn id="13" name="Conferê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essoas" displayName="tblPessoas" ref="A4:H104" headerRowCount="1" totalsRowShown="0">
  <tableColumns count="8">
    <tableColumn id="1" name="ID"/>
    <tableColumn id="2" name="Pessoa"/>
    <tableColumn id="3" name="Base"/>
    <tableColumn id="4" name="R$/h útil"/>
    <tableColumn id="5" name="R$/h FDS"/>
    <tableColumn id="6" name="R$/diária"/>
    <tableColumn id="7" name="Função/Regra"/>
    <tableColumn id="8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rojetos" displayName="tblProjetos" ref="A4:D154" headerRowCount="1" totalsRowShown="0">
  <tableColumns count="4">
    <tableColumn id="1" name="Código"/>
    <tableColumn id="2" name="Projeto padronizado"/>
    <tableColumn id="3" name="Descrição"/>
    <tableColumn id="4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tividades" displayName="tblAtividades" ref="A4:D204" headerRowCount="1" totalsRowShown="0">
  <tableColumns count="4">
    <tableColumn id="1" name="Código"/>
    <tableColumn id="2" name="Atividade padronizada"/>
    <tableColumn id="3" name="Descrição"/>
    <tableColumn id="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7324D"/>
    <outlinePr summaryBelow="1" summaryRight="1"/>
    <pageSetUpPr/>
  </sheetPr>
  <dimension ref="A1:C22"/>
  <sheetViews>
    <sheetView showGridLines="0" workbookViewId="0">
      <selection activeCell="C6" sqref="C6"/>
    </sheetView>
  </sheetViews>
  <sheetFormatPr baseColWidth="8" defaultRowHeight="14.25"/>
  <cols>
    <col width="24.375" customWidth="1" min="1" max="1"/>
    <col width="2" customWidth="1" min="2" max="2"/>
    <col width="50" customWidth="1" min="3" max="3"/>
    <col width="4" customWidth="1" min="4" max="4"/>
  </cols>
  <sheetData>
    <row r="1" ht="24" customHeight="1">
      <c r="A1" s="6" t="inlineStr">
        <is>
          <t>REGISTRO DE PONTO — DATATEMPO/CP2</t>
        </is>
      </c>
      <c r="B1" s="6" t="n"/>
      <c r="C1" s="6" t="n"/>
    </row>
    <row r="4" ht="24" customHeight="1">
      <c r="A4" s="5" t="inlineStr">
        <is>
          <t>IDENTIFICAÇÃO E LANÇAMENTO</t>
        </is>
      </c>
      <c r="B4" s="5" t="n"/>
      <c r="C4" s="5" t="n"/>
    </row>
    <row r="6" ht="21.75" customHeight="1">
      <c r="A6" s="8" t="inlineStr">
        <is>
          <t>Número/ID</t>
        </is>
      </c>
      <c r="C6" s="9" t="n">
        <v>1001</v>
      </c>
    </row>
    <row r="7" ht="21.75" customHeight="1">
      <c r="A7" s="8" t="n"/>
      <c r="C7" s="1" t="n"/>
    </row>
    <row r="8" ht="21.75" customHeight="1">
      <c r="A8" s="8" t="inlineStr">
        <is>
          <t>Pessoa</t>
        </is>
      </c>
      <c r="C8" s="1">
        <f>IFERROR(INDEX('Cadastro Pessoas'!$B$5:$B$104,MATCH(C6,'Cadastro Pessoas'!$A$5:$A$104,0)),"")</f>
        <v/>
      </c>
    </row>
    <row r="9" ht="21.75" customHeight="1">
      <c r="A9" s="8" t="inlineStr">
        <is>
          <t>Situação atual</t>
        </is>
      </c>
      <c r="C9" s="1">
        <f>IF(C6="","",IF(COUNTIFS(tblRegistros[ID],C6,tblRegistros[Data],TODAY(),tblRegistros[Status],"EM ABERTO")&gt;0,"INÍCIO EM ABERTO HOJE","SEM INÍCIO EM ABERTO HOJE"))</f>
        <v/>
      </c>
    </row>
    <row r="10" ht="21.75" customHeight="1">
      <c r="A10" s="8" t="inlineStr">
        <is>
          <t>Tipo de registro</t>
        </is>
      </c>
      <c r="C10" s="9" t="n"/>
    </row>
    <row r="11" ht="21.75" customHeight="1">
      <c r="A11" s="8" t="n"/>
      <c r="C11" s="1" t="n"/>
    </row>
    <row r="12" ht="21.75" customHeight="1">
      <c r="A12" s="8" t="inlineStr">
        <is>
          <t>Projeto</t>
        </is>
      </c>
      <c r="C12" s="9" t="n"/>
    </row>
    <row r="13" ht="21.75" customHeight="1">
      <c r="A13" s="8" t="n"/>
      <c r="C13" s="1" t="n"/>
    </row>
    <row r="14" ht="21.75" customHeight="1">
      <c r="A14" s="8" t="inlineStr">
        <is>
          <t>Atividade</t>
        </is>
      </c>
      <c r="C14" s="9" t="n"/>
    </row>
    <row r="15" ht="21.75" customHeight="1">
      <c r="A15" s="8" t="n"/>
      <c r="C15" s="1" t="n"/>
    </row>
    <row r="16" ht="21.75" customHeight="1">
      <c r="A16" s="8" t="inlineStr">
        <is>
          <t>Observação</t>
        </is>
      </c>
      <c r="C16" s="9" t="n"/>
    </row>
    <row r="17" ht="21.75" customHeight="1">
      <c r="A17" s="8" t="n"/>
    </row>
    <row r="18" ht="21.75" customHeight="1">
      <c r="A18" s="8" t="n"/>
    </row>
    <row r="19" ht="21.75" customHeight="1">
      <c r="A19" s="8" t="inlineStr">
        <is>
          <t>Mensagem</t>
        </is>
      </c>
      <c r="C19" s="10" t="n"/>
    </row>
    <row r="22" ht="19.5" customHeight="1">
      <c r="A22" s="7" t="inlineStr">
        <is>
          <t>PREENCHA OS CAMPOS AMARELOS E EXECUTE O OFFICE SCRIPT "REGISTRAR PONTO".</t>
        </is>
      </c>
    </row>
  </sheetData>
  <dataValidations count="4">
    <dataValidation sqref="C6" showDropDown="0" showInputMessage="0" showErrorMessage="0" allowBlank="0" type="list">
      <formula1>INDIRECT("tblPessoas[ID]")</formula1>
    </dataValidation>
    <dataValidation sqref="C10" showDropDown="0" showInputMessage="0" showErrorMessage="0" allowBlank="0" type="list">
      <formula1>"INÍCIO,FIM"</formula1>
    </dataValidation>
    <dataValidation sqref="C12" showDropDown="0" showInputMessage="0" showErrorMessage="0" allowBlank="0" type="list">
      <formula1>INDIRECT("tblProjetos[Projeto padronizado]")</formula1>
    </dataValidation>
    <dataValidation sqref="C14" showDropDown="0" showInputMessage="0" showErrorMessage="0" allowBlank="0" type="list">
      <formula1>INDIRECT("tblAtividades[Atividade padronizada]")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L509"/>
  <sheetViews>
    <sheetView showGridLines="0" workbookViewId="0">
      <pane ySplit="9" topLeftCell="A10" activePane="bottomLeft" state="frozen"/>
      <selection pane="bottomLeft" activeCell="E23" sqref="E23"/>
    </sheetView>
  </sheetViews>
  <sheetFormatPr baseColWidth="8" defaultRowHeight="14.25"/>
  <cols>
    <col width="17.75" customWidth="1" min="1" max="1"/>
    <col width="24.375" customWidth="1" min="2" max="2"/>
    <col width="18.375" customWidth="1" min="3" max="3"/>
    <col width="11.625" customWidth="1" min="4" max="5"/>
    <col width="10.25" customWidth="1" min="6" max="6"/>
    <col width="10" customWidth="1" min="7" max="7"/>
    <col width="12.75" customWidth="1" min="8" max="9"/>
    <col width="14" customWidth="1" min="10" max="10"/>
    <col width="42.25" customWidth="1" min="11" max="11"/>
    <col width="0.875" customWidth="1" min="12" max="12"/>
  </cols>
  <sheetData>
    <row r="1" ht="24" customHeight="1">
      <c r="A1" s="6" t="inlineStr">
        <is>
          <t>CARTÃO DE PONTO E MEDIÇÃO — DATATEMPO/CP2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 ht="19.5" customHeight="1">
      <c r="A2" s="7" t="inlineStr">
        <is>
          <t>Preencha as células amarelas. Cada linha corresponde a um início, inclusive quando houver mais de uma atividade no dia. Pendências exigem conferência das batidas.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</row>
    <row r="3" ht="22.5" customHeight="1">
      <c r="A3" s="8" t="inlineStr">
        <is>
          <t>ID do pesquisador</t>
        </is>
      </c>
      <c r="B3" s="9" t="n">
        <v>1002</v>
      </c>
      <c r="C3" s="8" t="inlineStr">
        <is>
          <t>Pessoa</t>
        </is>
      </c>
      <c r="D3">
        <f>IFERROR(INDEX('Cadastro Pessoas'!$B$5:$B$104,MATCH(B3,'Cadastro Pessoas'!$A$5:$A$104,0)),"ID não encontrado")</f>
        <v/>
      </c>
    </row>
    <row r="4" ht="22.5" customHeight="1">
      <c r="A4" s="8" t="inlineStr">
        <is>
          <t>Data inicial</t>
        </is>
      </c>
      <c r="B4" s="11" t="n">
        <v>46257</v>
      </c>
      <c r="C4" s="8" t="inlineStr">
        <is>
          <t>Data final</t>
        </is>
      </c>
      <c r="D4" s="11" t="n">
        <v>46288</v>
      </c>
    </row>
    <row r="6" ht="24" customHeight="1">
      <c r="A6" s="5" t="inlineStr">
        <is>
          <t>Horas úteis</t>
        </is>
      </c>
      <c r="B6" s="5" t="inlineStr">
        <is>
          <t>Horas FDS</t>
        </is>
      </c>
      <c r="C6" s="5" t="inlineStr">
        <is>
          <t>Horas totais</t>
        </is>
      </c>
      <c r="D6" s="5" t="inlineStr">
        <is>
          <t>Valor medido</t>
        </is>
      </c>
      <c r="E6" s="5" t="inlineStr">
        <is>
          <t>Registros</t>
        </is>
      </c>
      <c r="F6" s="5" t="inlineStr">
        <is>
          <t>Pendências</t>
        </is>
      </c>
    </row>
    <row r="7" ht="22.5" customHeight="1">
      <c r="A7" s="15">
        <f>SUMIFS(tblRegistros[Horas],tblRegistros[ID],$B$3,tblRegistros[Data],"&gt;="&amp;$B$4,tblRegistros[Data],"&lt;"&amp;($D$4+1),tblRegistros[Status],"CONCLUÍDO",tblRegistros[Tipo de dia],"DIA ÚTIL")</f>
        <v/>
      </c>
      <c r="B7" s="15">
        <f>SUMIFS(tblRegistros[Horas],tblRegistros[ID],$B$3,tblRegistros[Data],"&gt;="&amp;$B$4,tblRegistros[Data],"&lt;"&amp;($D$4+1),tblRegistros[Status],"CONCLUÍDO",tblRegistros[Tipo de dia],"FDS/FERIADO")</f>
        <v/>
      </c>
      <c r="C7" s="15">
        <f>A7+B7</f>
        <v/>
      </c>
      <c r="D7" s="13">
        <f>SUMIFS(tblRegistros[Valor],tblRegistros[ID],$B$3,tblRegistros[Data],"&gt;="&amp;$B$4,tblRegistros[Data],"&lt;"&amp;($D$4+1),tblRegistros[Status],"CONCLUÍDO")</f>
        <v/>
      </c>
      <c r="E7" s="12">
        <f>COUNTIFS(tblRegistros[ID],$B$3,tblRegistros[Data],"&gt;="&amp;$B$4,tblRegistros[Data],"&lt;"&amp;($D$4+1),tblRegistros[Status],"CONCLUÍDO")</f>
        <v/>
      </c>
      <c r="F7" s="12">
        <f>COUNTIFS(tblRegistros[ID],$B$3,tblRegistros[Data],"&gt;="&amp;$B$4,tblRegistros[Data],"&lt;"&amp;($D$4+1),tblRegistros[Status],"EM ABERTO")+COUNTIFS(tblRegistros[ID],$B$3,tblRegistros[Data],"&gt;="&amp;$B$4,tblRegistros[Data],"&lt;"&amp;($D$4+1),tblRegistros[Status],"REVISAR")</f>
        <v/>
      </c>
      <c r="I7" s="3" t="n"/>
    </row>
    <row r="8" ht="19.5" customHeight="1">
      <c r="A8" s="7" t="inlineStr">
        <is>
          <t>O cartão exibe até 500 registros por seleção. Para períodos maiores, consulte intervalos menores.</t>
        </is>
      </c>
    </row>
    <row r="9" ht="24" customHeight="1">
      <c r="A9" s="5" t="inlineStr">
        <is>
          <t>Data</t>
        </is>
      </c>
      <c r="B9" s="5" t="inlineStr">
        <is>
          <t>Projeto</t>
        </is>
      </c>
      <c r="C9" s="5" t="inlineStr">
        <is>
          <t>Atividade</t>
        </is>
      </c>
      <c r="D9" s="5" t="inlineStr">
        <is>
          <t>Início</t>
        </is>
      </c>
      <c r="E9" s="5" t="inlineStr">
        <is>
          <t>Fim</t>
        </is>
      </c>
      <c r="F9" s="5" t="inlineStr">
        <is>
          <t>Horas</t>
        </is>
      </c>
      <c r="G9" s="5" t="inlineStr">
        <is>
          <t>Base</t>
        </is>
      </c>
      <c r="H9" s="5" t="inlineStr">
        <is>
          <t>Taxa aplicada</t>
        </is>
      </c>
      <c r="I9" s="5" t="inlineStr">
        <is>
          <t>Valor</t>
        </is>
      </c>
      <c r="J9" s="5" t="inlineStr">
        <is>
          <t>Status</t>
        </is>
      </c>
      <c r="K9" s="5" t="inlineStr">
        <is>
          <t>Observação</t>
        </is>
      </c>
      <c r="L9" s="16" t="inlineStr">
        <is>
          <t>Índice</t>
        </is>
      </c>
    </row>
    <row r="10">
      <c r="A10" s="2">
        <f>IF($L10="","",IF(INDEX(tblRegistros[Data],$L10)&gt;$D$4,"",IFERROR(INDEX(tblRegistros[Data],$L10),"")))</f>
        <v/>
      </c>
      <c r="B10">
        <f>IF($L10="","",IF(INDEX(tblRegistros[Data],$L10)&gt;$D$4,"",IFERROR(INDEX(tblRegistros[Projeto],$L10),"")))</f>
        <v/>
      </c>
      <c r="C10">
        <f>IF($L10="","",IF(INDEX(tblRegistros[Data],$L10)&gt;$D$4,"",IFERROR(INDEX(tblRegistros[Atividade],$L10),"")))</f>
        <v/>
      </c>
      <c r="D10" s="4">
        <f>IF($L10="","",IF(INDEX(tblRegistros[Data],$L10)&gt;$D$4,"",IFERROR(INDEX(tblRegistros[Início],$L10),"")))</f>
        <v/>
      </c>
      <c r="E10" s="4">
        <f>IF($L10="","",IF(INDEX(tblRegistros[Data],$L10)&gt;$D$4,"",IFERROR(IF(INDEX(tblRegistros[Status],$L10)="EM ABERTO","",INDEX(tblRegistros[Fim],$L10)),"")))</f>
        <v/>
      </c>
      <c r="F10" s="14">
        <f>IF($L10="","",IF(INDEX(tblRegistros[Data],$L10)&gt;$D$4,"",IFERROR(IF(INDEX(tblRegistros[Status],$L10)="EM ABERTO","",INDEX(tblRegistros[Horas],$L10)),"")))</f>
        <v/>
      </c>
      <c r="G10">
        <f>IF($L10="","",IF(INDEX(tblRegistros[Data],$L10)&gt;$D$4,"",IFERROR(INDEX(tblRegistros[Base],$L10),"")))</f>
        <v/>
      </c>
      <c r="H10" s="3">
        <f>IF($L10="","",IF(INDEX(tblRegistros[Data],$L10)&gt;$D$4,"",IFERROR(INDEX(tblRegistros[Taxa aplicada],$L10),"")))</f>
        <v/>
      </c>
      <c r="I10" s="3">
        <f>IF($L10="","",IF(INDEX(tblRegistros[Data],$L10)&gt;$D$4,"",IFERROR(IF(INDEX(tblRegistros[Status],$L10)="EM ABERTO","",INDEX(tblRegistros[Valor],$L10)),"")))</f>
        <v/>
      </c>
      <c r="J10">
        <f>IF($L10="","",IF(INDEX(tblRegistros[Data],$L10)&gt;$D$4,"",IFERROR(INDEX(tblRegistros[Status],$L10),"")))</f>
        <v/>
      </c>
      <c r="K10">
        <f>IF($L10="","",IF(INDEX(tblRegistros[Data],$L10)&gt;$D$4,"",IFERROR(INDEX(tblRegistros[Observação],$L10),"")))</f>
        <v/>
      </c>
      <c r="L10" s="16">
        <f>IFERROR(MATCH($B$3*100000+COUNTIFS(tblRegistros[ID],$B$3,tblRegistros[Data],"&lt;"&amp;$B$4)+ROWS($L$10:L10),tblRegistros[Chave do cartão],0),"")</f>
        <v/>
      </c>
    </row>
    <row r="11">
      <c r="A11" s="2">
        <f>IF($L11="","",IF(INDEX(tblRegistros[Data],$L11)&gt;$D$4,"",IFERROR(INDEX(tblRegistros[Data],$L11),"")))</f>
        <v/>
      </c>
      <c r="B11">
        <f>IF($L11="","",IF(INDEX(tblRegistros[Data],$L11)&gt;$D$4,"",IFERROR(INDEX(tblRegistros[Projeto],$L11),"")))</f>
        <v/>
      </c>
      <c r="C11">
        <f>IF($L11="","",IF(INDEX(tblRegistros[Data],$L11)&gt;$D$4,"",IFERROR(INDEX(tblRegistros[Atividade],$L11),"")))</f>
        <v/>
      </c>
      <c r="D11" s="4">
        <f>IF($L11="","",IF(INDEX(tblRegistros[Data],$L11)&gt;$D$4,"",IFERROR(INDEX(tblRegistros[Início],$L11),"")))</f>
        <v/>
      </c>
      <c r="E11" s="4">
        <f>IF($L11="","",IF(INDEX(tblRegistros[Data],$L11)&gt;$D$4,"",IFERROR(IF(INDEX(tblRegistros[Status],$L11)="EM ABERTO","",INDEX(tblRegistros[Fim],$L11)),"")))</f>
        <v/>
      </c>
      <c r="F11" s="14">
        <f>IF($L11="","",IF(INDEX(tblRegistros[Data],$L11)&gt;$D$4,"",IFERROR(IF(INDEX(tblRegistros[Status],$L11)="EM ABERTO","",INDEX(tblRegistros[Horas],$L11)),"")))</f>
        <v/>
      </c>
      <c r="G11">
        <f>IF($L11="","",IF(INDEX(tblRegistros[Data],$L11)&gt;$D$4,"",IFERROR(INDEX(tblRegistros[Base],$L11),"")))</f>
        <v/>
      </c>
      <c r="H11" s="3">
        <f>IF($L11="","",IF(INDEX(tblRegistros[Data],$L11)&gt;$D$4,"",IFERROR(INDEX(tblRegistros[Taxa aplicada],$L11),"")))</f>
        <v/>
      </c>
      <c r="I11" s="3">
        <f>IF($L11="","",IF(INDEX(tblRegistros[Data],$L11)&gt;$D$4,"",IFERROR(IF(INDEX(tblRegistros[Status],$L11)="EM ABERTO","",INDEX(tblRegistros[Valor],$L11)),"")))</f>
        <v/>
      </c>
      <c r="J11">
        <f>IF($L11="","",IF(INDEX(tblRegistros[Data],$L11)&gt;$D$4,"",IFERROR(INDEX(tblRegistros[Status],$L11),"")))</f>
        <v/>
      </c>
      <c r="K11">
        <f>IF($L11="","",IF(INDEX(tblRegistros[Data],$L11)&gt;$D$4,"",IFERROR(INDEX(tblRegistros[Observação],$L11),"")))</f>
        <v/>
      </c>
      <c r="L11" s="16">
        <f>IFERROR(MATCH($B$3*100000+COUNTIFS(tblRegistros[ID],$B$3,tblRegistros[Data],"&lt;"&amp;$B$4)+ROWS($L$10:L11),tblRegistros[Chave do cartão],0),"")</f>
        <v/>
      </c>
    </row>
    <row r="12">
      <c r="A12" s="2">
        <f>IF($L12="","",IF(INDEX(tblRegistros[Data],$L12)&gt;$D$4,"",IFERROR(INDEX(tblRegistros[Data],$L12),"")))</f>
        <v/>
      </c>
      <c r="B12">
        <f>IF($L12="","",IF(INDEX(tblRegistros[Data],$L12)&gt;$D$4,"",IFERROR(INDEX(tblRegistros[Projeto],$L12),"")))</f>
        <v/>
      </c>
      <c r="C12">
        <f>IF($L12="","",IF(INDEX(tblRegistros[Data],$L12)&gt;$D$4,"",IFERROR(INDEX(tblRegistros[Atividade],$L12),"")))</f>
        <v/>
      </c>
      <c r="D12" s="4">
        <f>IF($L12="","",IF(INDEX(tblRegistros[Data],$L12)&gt;$D$4,"",IFERROR(INDEX(tblRegistros[Início],$L12),"")))</f>
        <v/>
      </c>
      <c r="E12" s="4">
        <f>IF($L12="","",IF(INDEX(tblRegistros[Data],$L12)&gt;$D$4,"",IFERROR(IF(INDEX(tblRegistros[Status],$L12)="EM ABERTO","",INDEX(tblRegistros[Fim],$L12)),"")))</f>
        <v/>
      </c>
      <c r="F12" s="14">
        <f>IF($L12="","",IF(INDEX(tblRegistros[Data],$L12)&gt;$D$4,"",IFERROR(IF(INDEX(tblRegistros[Status],$L12)="EM ABERTO","",INDEX(tblRegistros[Horas],$L12)),"")))</f>
        <v/>
      </c>
      <c r="G12">
        <f>IF($L12="","",IF(INDEX(tblRegistros[Data],$L12)&gt;$D$4,"",IFERROR(INDEX(tblRegistros[Base],$L12),"")))</f>
        <v/>
      </c>
      <c r="H12" s="3">
        <f>IF($L12="","",IF(INDEX(tblRegistros[Data],$L12)&gt;$D$4,"",IFERROR(INDEX(tblRegistros[Taxa aplicada],$L12),"")))</f>
        <v/>
      </c>
      <c r="I12" s="3">
        <f>IF($L12="","",IF(INDEX(tblRegistros[Data],$L12)&gt;$D$4,"",IFERROR(IF(INDEX(tblRegistros[Status],$L12)="EM ABERTO","",INDEX(tblRegistros[Valor],$L12)),"")))</f>
        <v/>
      </c>
      <c r="J12">
        <f>IF($L12="","",IF(INDEX(tblRegistros[Data],$L12)&gt;$D$4,"",IFERROR(INDEX(tblRegistros[Status],$L12),"")))</f>
        <v/>
      </c>
      <c r="K12">
        <f>IF($L12="","",IF(INDEX(tblRegistros[Data],$L12)&gt;$D$4,"",IFERROR(INDEX(tblRegistros[Observação],$L12),"")))</f>
        <v/>
      </c>
      <c r="L12" s="16">
        <f>IFERROR(MATCH($B$3*100000+COUNTIFS(tblRegistros[ID],$B$3,tblRegistros[Data],"&lt;"&amp;$B$4)+ROWS($L$10:L12),tblRegistros[Chave do cartão],0),"")</f>
        <v/>
      </c>
    </row>
    <row r="13">
      <c r="A13" s="2">
        <f>IF($L13="","",IF(INDEX(tblRegistros[Data],$L13)&gt;$D$4,"",IFERROR(INDEX(tblRegistros[Data],$L13),"")))</f>
        <v/>
      </c>
      <c r="B13">
        <f>IF($L13="","",IF(INDEX(tblRegistros[Data],$L13)&gt;$D$4,"",IFERROR(INDEX(tblRegistros[Projeto],$L13),"")))</f>
        <v/>
      </c>
      <c r="C13">
        <f>IF($L13="","",IF(INDEX(tblRegistros[Data],$L13)&gt;$D$4,"",IFERROR(INDEX(tblRegistros[Atividade],$L13),"")))</f>
        <v/>
      </c>
      <c r="D13" s="4">
        <f>IF($L13="","",IF(INDEX(tblRegistros[Data],$L13)&gt;$D$4,"",IFERROR(INDEX(tblRegistros[Início],$L13),"")))</f>
        <v/>
      </c>
      <c r="E13" s="4">
        <f>IF($L13="","",IF(INDEX(tblRegistros[Data],$L13)&gt;$D$4,"",IFERROR(IF(INDEX(tblRegistros[Status],$L13)="EM ABERTO","",INDEX(tblRegistros[Fim],$L13)),"")))</f>
        <v/>
      </c>
      <c r="F13" s="14">
        <f>IF($L13="","",IF(INDEX(tblRegistros[Data],$L13)&gt;$D$4,"",IFERROR(IF(INDEX(tblRegistros[Status],$L13)="EM ABERTO","",INDEX(tblRegistros[Horas],$L13)),"")))</f>
        <v/>
      </c>
      <c r="G13">
        <f>IF($L13="","",IF(INDEX(tblRegistros[Data],$L13)&gt;$D$4,"",IFERROR(INDEX(tblRegistros[Base],$L13),"")))</f>
        <v/>
      </c>
      <c r="H13" s="3">
        <f>IF($L13="","",IF(INDEX(tblRegistros[Data],$L13)&gt;$D$4,"",IFERROR(INDEX(tblRegistros[Taxa aplicada],$L13),"")))</f>
        <v/>
      </c>
      <c r="I13" s="3">
        <f>IF($L13="","",IF(INDEX(tblRegistros[Data],$L13)&gt;$D$4,"",IFERROR(IF(INDEX(tblRegistros[Status],$L13)="EM ABERTO","",INDEX(tblRegistros[Valor],$L13)),"")))</f>
        <v/>
      </c>
      <c r="J13">
        <f>IF($L13="","",IF(INDEX(tblRegistros[Data],$L13)&gt;$D$4,"",IFERROR(INDEX(tblRegistros[Status],$L13),"")))</f>
        <v/>
      </c>
      <c r="K13">
        <f>IF($L13="","",IF(INDEX(tblRegistros[Data],$L13)&gt;$D$4,"",IFERROR(INDEX(tblRegistros[Observação],$L13),"")))</f>
        <v/>
      </c>
      <c r="L13" s="16">
        <f>IFERROR(MATCH($B$3*100000+COUNTIFS(tblRegistros[ID],$B$3,tblRegistros[Data],"&lt;"&amp;$B$4)+ROWS($L$10:L13),tblRegistros[Chave do cartão],0),"")</f>
        <v/>
      </c>
    </row>
    <row r="14">
      <c r="A14" s="2">
        <f>IF($L14="","",IF(INDEX(tblRegistros[Data],$L14)&gt;$D$4,"",IFERROR(INDEX(tblRegistros[Data],$L14),"")))</f>
        <v/>
      </c>
      <c r="B14">
        <f>IF($L14="","",IF(INDEX(tblRegistros[Data],$L14)&gt;$D$4,"",IFERROR(INDEX(tblRegistros[Projeto],$L14),"")))</f>
        <v/>
      </c>
      <c r="C14">
        <f>IF($L14="","",IF(INDEX(tblRegistros[Data],$L14)&gt;$D$4,"",IFERROR(INDEX(tblRegistros[Atividade],$L14),"")))</f>
        <v/>
      </c>
      <c r="D14" s="4">
        <f>IF($L14="","",IF(INDEX(tblRegistros[Data],$L14)&gt;$D$4,"",IFERROR(INDEX(tblRegistros[Início],$L14),"")))</f>
        <v/>
      </c>
      <c r="E14" s="4">
        <f>IF($L14="","",IF(INDEX(tblRegistros[Data],$L14)&gt;$D$4,"",IFERROR(IF(INDEX(tblRegistros[Status],$L14)="EM ABERTO","",INDEX(tblRegistros[Fim],$L14)),"")))</f>
        <v/>
      </c>
      <c r="F14" s="14">
        <f>IF($L14="","",IF(INDEX(tblRegistros[Data],$L14)&gt;$D$4,"",IFERROR(IF(INDEX(tblRegistros[Status],$L14)="EM ABERTO","",INDEX(tblRegistros[Horas],$L14)),"")))</f>
        <v/>
      </c>
      <c r="G14">
        <f>IF($L14="","",IF(INDEX(tblRegistros[Data],$L14)&gt;$D$4,"",IFERROR(INDEX(tblRegistros[Base],$L14),"")))</f>
        <v/>
      </c>
      <c r="H14" s="3">
        <f>IF($L14="","",IF(INDEX(tblRegistros[Data],$L14)&gt;$D$4,"",IFERROR(INDEX(tblRegistros[Taxa aplicada],$L14),"")))</f>
        <v/>
      </c>
      <c r="I14" s="3">
        <f>IF($L14="","",IF(INDEX(tblRegistros[Data],$L14)&gt;$D$4,"",IFERROR(IF(INDEX(tblRegistros[Status],$L14)="EM ABERTO","",INDEX(tblRegistros[Valor],$L14)),"")))</f>
        <v/>
      </c>
      <c r="J14">
        <f>IF($L14="","",IF(INDEX(tblRegistros[Data],$L14)&gt;$D$4,"",IFERROR(INDEX(tblRegistros[Status],$L14),"")))</f>
        <v/>
      </c>
      <c r="K14">
        <f>IF($L14="","",IF(INDEX(tblRegistros[Data],$L14)&gt;$D$4,"",IFERROR(INDEX(tblRegistros[Observação],$L14),"")))</f>
        <v/>
      </c>
      <c r="L14" s="16">
        <f>IFERROR(MATCH($B$3*100000+COUNTIFS(tblRegistros[ID],$B$3,tblRegistros[Data],"&lt;"&amp;$B$4)+ROWS($L$10:L14),tblRegistros[Chave do cartão],0),"")</f>
        <v/>
      </c>
    </row>
    <row r="15">
      <c r="A15" s="2">
        <f>IF($L15="","",IF(INDEX(tblRegistros[Data],$L15)&gt;$D$4,"",IFERROR(INDEX(tblRegistros[Data],$L15),"")))</f>
        <v/>
      </c>
      <c r="B15">
        <f>IF($L15="","",IF(INDEX(tblRegistros[Data],$L15)&gt;$D$4,"",IFERROR(INDEX(tblRegistros[Projeto],$L15),"")))</f>
        <v/>
      </c>
      <c r="C15">
        <f>IF($L15="","",IF(INDEX(tblRegistros[Data],$L15)&gt;$D$4,"",IFERROR(INDEX(tblRegistros[Atividade],$L15),"")))</f>
        <v/>
      </c>
      <c r="D15" s="4">
        <f>IF($L15="","",IF(INDEX(tblRegistros[Data],$L15)&gt;$D$4,"",IFERROR(INDEX(tblRegistros[Início],$L15),"")))</f>
        <v/>
      </c>
      <c r="E15" s="4">
        <f>IF($L15="","",IF(INDEX(tblRegistros[Data],$L15)&gt;$D$4,"",IFERROR(IF(INDEX(tblRegistros[Status],$L15)="EM ABERTO","",INDEX(tblRegistros[Fim],$L15)),"")))</f>
        <v/>
      </c>
      <c r="F15" s="14">
        <f>IF($L15="","",IF(INDEX(tblRegistros[Data],$L15)&gt;$D$4,"",IFERROR(IF(INDEX(tblRegistros[Status],$L15)="EM ABERTO","",INDEX(tblRegistros[Horas],$L15)),"")))</f>
        <v/>
      </c>
      <c r="G15">
        <f>IF($L15="","",IF(INDEX(tblRegistros[Data],$L15)&gt;$D$4,"",IFERROR(INDEX(tblRegistros[Base],$L15),"")))</f>
        <v/>
      </c>
      <c r="H15" s="3">
        <f>IF($L15="","",IF(INDEX(tblRegistros[Data],$L15)&gt;$D$4,"",IFERROR(INDEX(tblRegistros[Taxa aplicada],$L15),"")))</f>
        <v/>
      </c>
      <c r="I15" s="3">
        <f>IF($L15="","",IF(INDEX(tblRegistros[Data],$L15)&gt;$D$4,"",IFERROR(IF(INDEX(tblRegistros[Status],$L15)="EM ABERTO","",INDEX(tblRegistros[Valor],$L15)),"")))</f>
        <v/>
      </c>
      <c r="J15">
        <f>IF($L15="","",IF(INDEX(tblRegistros[Data],$L15)&gt;$D$4,"",IFERROR(INDEX(tblRegistros[Status],$L15),"")))</f>
        <v/>
      </c>
      <c r="K15">
        <f>IF($L15="","",IF(INDEX(tblRegistros[Data],$L15)&gt;$D$4,"",IFERROR(INDEX(tblRegistros[Observação],$L15),"")))</f>
        <v/>
      </c>
      <c r="L15" s="16">
        <f>IFERROR(MATCH($B$3*100000+COUNTIFS(tblRegistros[ID],$B$3,tblRegistros[Data],"&lt;"&amp;$B$4)+ROWS($L$10:L15),tblRegistros[Chave do cartão],0),"")</f>
        <v/>
      </c>
    </row>
    <row r="16">
      <c r="A16" s="2">
        <f>IF($L16="","",IF(INDEX(tblRegistros[Data],$L16)&gt;$D$4,"",IFERROR(INDEX(tblRegistros[Data],$L16),"")))</f>
        <v/>
      </c>
      <c r="B16">
        <f>IF($L16="","",IF(INDEX(tblRegistros[Data],$L16)&gt;$D$4,"",IFERROR(INDEX(tblRegistros[Projeto],$L16),"")))</f>
        <v/>
      </c>
      <c r="C16">
        <f>IF($L16="","",IF(INDEX(tblRegistros[Data],$L16)&gt;$D$4,"",IFERROR(INDEX(tblRegistros[Atividade],$L16),"")))</f>
        <v/>
      </c>
      <c r="D16" s="4">
        <f>IF($L16="","",IF(INDEX(tblRegistros[Data],$L16)&gt;$D$4,"",IFERROR(INDEX(tblRegistros[Início],$L16),"")))</f>
        <v/>
      </c>
      <c r="E16" s="4">
        <f>IF($L16="","",IF(INDEX(tblRegistros[Data],$L16)&gt;$D$4,"",IFERROR(IF(INDEX(tblRegistros[Status],$L16)="EM ABERTO","",INDEX(tblRegistros[Fim],$L16)),"")))</f>
        <v/>
      </c>
      <c r="F16" s="14">
        <f>IF($L16="","",IF(INDEX(tblRegistros[Data],$L16)&gt;$D$4,"",IFERROR(IF(INDEX(tblRegistros[Status],$L16)="EM ABERTO","",INDEX(tblRegistros[Horas],$L16)),"")))</f>
        <v/>
      </c>
      <c r="G16">
        <f>IF($L16="","",IF(INDEX(tblRegistros[Data],$L16)&gt;$D$4,"",IFERROR(INDEX(tblRegistros[Base],$L16),"")))</f>
        <v/>
      </c>
      <c r="H16" s="3">
        <f>IF($L16="","",IF(INDEX(tblRegistros[Data],$L16)&gt;$D$4,"",IFERROR(INDEX(tblRegistros[Taxa aplicada],$L16),"")))</f>
        <v/>
      </c>
      <c r="I16" s="3">
        <f>IF($L16="","",IF(INDEX(tblRegistros[Data],$L16)&gt;$D$4,"",IFERROR(IF(INDEX(tblRegistros[Status],$L16)="EM ABERTO","",INDEX(tblRegistros[Valor],$L16)),"")))</f>
        <v/>
      </c>
      <c r="J16">
        <f>IF($L16="","",IF(INDEX(tblRegistros[Data],$L16)&gt;$D$4,"",IFERROR(INDEX(tblRegistros[Status],$L16),"")))</f>
        <v/>
      </c>
      <c r="K16">
        <f>IF($L16="","",IF(INDEX(tblRegistros[Data],$L16)&gt;$D$4,"",IFERROR(INDEX(tblRegistros[Observação],$L16),"")))</f>
        <v/>
      </c>
      <c r="L16" s="16">
        <f>IFERROR(MATCH($B$3*100000+COUNTIFS(tblRegistros[ID],$B$3,tblRegistros[Data],"&lt;"&amp;$B$4)+ROWS($L$10:L16),tblRegistros[Chave do cartão],0),"")</f>
        <v/>
      </c>
    </row>
    <row r="17">
      <c r="A17" s="2">
        <f>IF($L17="","",IF(INDEX(tblRegistros[Data],$L17)&gt;$D$4,"",IFERROR(INDEX(tblRegistros[Data],$L17),"")))</f>
        <v/>
      </c>
      <c r="B17">
        <f>IF($L17="","",IF(INDEX(tblRegistros[Data],$L17)&gt;$D$4,"",IFERROR(INDEX(tblRegistros[Projeto],$L17),"")))</f>
        <v/>
      </c>
      <c r="C17">
        <f>IF($L17="","",IF(INDEX(tblRegistros[Data],$L17)&gt;$D$4,"",IFERROR(INDEX(tblRegistros[Atividade],$L17),"")))</f>
        <v/>
      </c>
      <c r="D17" s="4">
        <f>IF($L17="","",IF(INDEX(tblRegistros[Data],$L17)&gt;$D$4,"",IFERROR(INDEX(tblRegistros[Início],$L17),"")))</f>
        <v/>
      </c>
      <c r="E17" s="4">
        <f>IF($L17="","",IF(INDEX(tblRegistros[Data],$L17)&gt;$D$4,"",IFERROR(IF(INDEX(tblRegistros[Status],$L17)="EM ABERTO","",INDEX(tblRegistros[Fim],$L17)),"")))</f>
        <v/>
      </c>
      <c r="F17" s="14">
        <f>IF($L17="","",IF(INDEX(tblRegistros[Data],$L17)&gt;$D$4,"",IFERROR(IF(INDEX(tblRegistros[Status],$L17)="EM ABERTO","",INDEX(tblRegistros[Horas],$L17)),"")))</f>
        <v/>
      </c>
      <c r="G17">
        <f>IF($L17="","",IF(INDEX(tblRegistros[Data],$L17)&gt;$D$4,"",IFERROR(INDEX(tblRegistros[Base],$L17),"")))</f>
        <v/>
      </c>
      <c r="H17" s="3">
        <f>IF($L17="","",IF(INDEX(tblRegistros[Data],$L17)&gt;$D$4,"",IFERROR(INDEX(tblRegistros[Taxa aplicada],$L17),"")))</f>
        <v/>
      </c>
      <c r="I17" s="3">
        <f>IF($L17="","",IF(INDEX(tblRegistros[Data],$L17)&gt;$D$4,"",IFERROR(IF(INDEX(tblRegistros[Status],$L17)="EM ABERTO","",INDEX(tblRegistros[Valor],$L17)),"")))</f>
        <v/>
      </c>
      <c r="J17">
        <f>IF($L17="","",IF(INDEX(tblRegistros[Data],$L17)&gt;$D$4,"",IFERROR(INDEX(tblRegistros[Status],$L17),"")))</f>
        <v/>
      </c>
      <c r="K17">
        <f>IF($L17="","",IF(INDEX(tblRegistros[Data],$L17)&gt;$D$4,"",IFERROR(INDEX(tblRegistros[Observação],$L17),"")))</f>
        <v/>
      </c>
      <c r="L17" s="16">
        <f>IFERROR(MATCH($B$3*100000+COUNTIFS(tblRegistros[ID],$B$3,tblRegistros[Data],"&lt;"&amp;$B$4)+ROWS($L$10:L17),tblRegistros[Chave do cartão],0),"")</f>
        <v/>
      </c>
    </row>
    <row r="18">
      <c r="A18" s="2">
        <f>IF($L18="","",IF(INDEX(tblRegistros[Data],$L18)&gt;$D$4,"",IFERROR(INDEX(tblRegistros[Data],$L18),"")))</f>
        <v/>
      </c>
      <c r="B18">
        <f>IF($L18="","",IF(INDEX(tblRegistros[Data],$L18)&gt;$D$4,"",IFERROR(INDEX(tblRegistros[Projeto],$L18),"")))</f>
        <v/>
      </c>
      <c r="C18">
        <f>IF($L18="","",IF(INDEX(tblRegistros[Data],$L18)&gt;$D$4,"",IFERROR(INDEX(tblRegistros[Atividade],$L18),"")))</f>
        <v/>
      </c>
      <c r="D18" s="4">
        <f>IF($L18="","",IF(INDEX(tblRegistros[Data],$L18)&gt;$D$4,"",IFERROR(INDEX(tblRegistros[Início],$L18),"")))</f>
        <v/>
      </c>
      <c r="E18" s="4">
        <f>IF($L18="","",IF(INDEX(tblRegistros[Data],$L18)&gt;$D$4,"",IFERROR(IF(INDEX(tblRegistros[Status],$L18)="EM ABERTO","",INDEX(tblRegistros[Fim],$L18)),"")))</f>
        <v/>
      </c>
      <c r="F18" s="14">
        <f>IF($L18="","",IF(INDEX(tblRegistros[Data],$L18)&gt;$D$4,"",IFERROR(IF(INDEX(tblRegistros[Status],$L18)="EM ABERTO","",INDEX(tblRegistros[Horas],$L18)),"")))</f>
        <v/>
      </c>
      <c r="G18">
        <f>IF($L18="","",IF(INDEX(tblRegistros[Data],$L18)&gt;$D$4,"",IFERROR(INDEX(tblRegistros[Base],$L18),"")))</f>
        <v/>
      </c>
      <c r="H18" s="3">
        <f>IF($L18="","",IF(INDEX(tblRegistros[Data],$L18)&gt;$D$4,"",IFERROR(INDEX(tblRegistros[Taxa aplicada],$L18),"")))</f>
        <v/>
      </c>
      <c r="I18" s="3">
        <f>IF($L18="","",IF(INDEX(tblRegistros[Data],$L18)&gt;$D$4,"",IFERROR(IF(INDEX(tblRegistros[Status],$L18)="EM ABERTO","",INDEX(tblRegistros[Valor],$L18)),"")))</f>
        <v/>
      </c>
      <c r="J18">
        <f>IF($L18="","",IF(INDEX(tblRegistros[Data],$L18)&gt;$D$4,"",IFERROR(INDEX(tblRegistros[Status],$L18),"")))</f>
        <v/>
      </c>
      <c r="K18">
        <f>IF($L18="","",IF(INDEX(tblRegistros[Data],$L18)&gt;$D$4,"",IFERROR(INDEX(tblRegistros[Observação],$L18),"")))</f>
        <v/>
      </c>
      <c r="L18" s="16">
        <f>IFERROR(MATCH($B$3*100000+COUNTIFS(tblRegistros[ID],$B$3,tblRegistros[Data],"&lt;"&amp;$B$4)+ROWS($L$10:L18),tblRegistros[Chave do cartão],0),"")</f>
        <v/>
      </c>
    </row>
    <row r="19">
      <c r="A19" s="2">
        <f>IF($L19="","",IF(INDEX(tblRegistros[Data],$L19)&gt;$D$4,"",IFERROR(INDEX(tblRegistros[Data],$L19),"")))</f>
        <v/>
      </c>
      <c r="B19">
        <f>IF($L19="","",IF(INDEX(tblRegistros[Data],$L19)&gt;$D$4,"",IFERROR(INDEX(tblRegistros[Projeto],$L19),"")))</f>
        <v/>
      </c>
      <c r="C19">
        <f>IF($L19="","",IF(INDEX(tblRegistros[Data],$L19)&gt;$D$4,"",IFERROR(INDEX(tblRegistros[Atividade],$L19),"")))</f>
        <v/>
      </c>
      <c r="D19" s="4">
        <f>IF($L19="","",IF(INDEX(tblRegistros[Data],$L19)&gt;$D$4,"",IFERROR(INDEX(tblRegistros[Início],$L19),"")))</f>
        <v/>
      </c>
      <c r="E19" s="4">
        <f>IF($L19="","",IF(INDEX(tblRegistros[Data],$L19)&gt;$D$4,"",IFERROR(IF(INDEX(tblRegistros[Status],$L19)="EM ABERTO","",INDEX(tblRegistros[Fim],$L19)),"")))</f>
        <v/>
      </c>
      <c r="F19" s="14">
        <f>IF($L19="","",IF(INDEX(tblRegistros[Data],$L19)&gt;$D$4,"",IFERROR(IF(INDEX(tblRegistros[Status],$L19)="EM ABERTO","",INDEX(tblRegistros[Horas],$L19)),"")))</f>
        <v/>
      </c>
      <c r="G19">
        <f>IF($L19="","",IF(INDEX(tblRegistros[Data],$L19)&gt;$D$4,"",IFERROR(INDEX(tblRegistros[Base],$L19),"")))</f>
        <v/>
      </c>
      <c r="H19" s="3">
        <f>IF($L19="","",IF(INDEX(tblRegistros[Data],$L19)&gt;$D$4,"",IFERROR(INDEX(tblRegistros[Taxa aplicada],$L19),"")))</f>
        <v/>
      </c>
      <c r="I19" s="3">
        <f>IF($L19="","",IF(INDEX(tblRegistros[Data],$L19)&gt;$D$4,"",IFERROR(IF(INDEX(tblRegistros[Status],$L19)="EM ABERTO","",INDEX(tblRegistros[Valor],$L19)),"")))</f>
        <v/>
      </c>
      <c r="J19">
        <f>IF($L19="","",IF(INDEX(tblRegistros[Data],$L19)&gt;$D$4,"",IFERROR(INDEX(tblRegistros[Status],$L19),"")))</f>
        <v/>
      </c>
      <c r="K19">
        <f>IF($L19="","",IF(INDEX(tblRegistros[Data],$L19)&gt;$D$4,"",IFERROR(INDEX(tblRegistros[Observação],$L19),"")))</f>
        <v/>
      </c>
      <c r="L19" s="16">
        <f>IFERROR(MATCH($B$3*100000+COUNTIFS(tblRegistros[ID],$B$3,tblRegistros[Data],"&lt;"&amp;$B$4)+ROWS($L$10:L19),tblRegistros[Chave do cartão],0),"")</f>
        <v/>
      </c>
    </row>
    <row r="20">
      <c r="A20" s="2">
        <f>IF($L20="","",IF(INDEX(tblRegistros[Data],$L20)&gt;$D$4,"",IFERROR(INDEX(tblRegistros[Data],$L20),"")))</f>
        <v/>
      </c>
      <c r="B20">
        <f>IF($L20="","",IF(INDEX(tblRegistros[Data],$L20)&gt;$D$4,"",IFERROR(INDEX(tblRegistros[Projeto],$L20),"")))</f>
        <v/>
      </c>
      <c r="C20">
        <f>IF($L20="","",IF(INDEX(tblRegistros[Data],$L20)&gt;$D$4,"",IFERROR(INDEX(tblRegistros[Atividade],$L20),"")))</f>
        <v/>
      </c>
      <c r="D20" s="4">
        <f>IF($L20="","",IF(INDEX(tblRegistros[Data],$L20)&gt;$D$4,"",IFERROR(INDEX(tblRegistros[Início],$L20),"")))</f>
        <v/>
      </c>
      <c r="E20" s="4">
        <f>IF($L20="","",IF(INDEX(tblRegistros[Data],$L20)&gt;$D$4,"",IFERROR(IF(INDEX(tblRegistros[Status],$L20)="EM ABERTO","",INDEX(tblRegistros[Fim],$L20)),"")))</f>
        <v/>
      </c>
      <c r="F20" s="14">
        <f>IF($L20="","",IF(INDEX(tblRegistros[Data],$L20)&gt;$D$4,"",IFERROR(IF(INDEX(tblRegistros[Status],$L20)="EM ABERTO","",INDEX(tblRegistros[Horas],$L20)),"")))</f>
        <v/>
      </c>
      <c r="G20">
        <f>IF($L20="","",IF(INDEX(tblRegistros[Data],$L20)&gt;$D$4,"",IFERROR(INDEX(tblRegistros[Base],$L20),"")))</f>
        <v/>
      </c>
      <c r="H20" s="3">
        <f>IF($L20="","",IF(INDEX(tblRegistros[Data],$L20)&gt;$D$4,"",IFERROR(INDEX(tblRegistros[Taxa aplicada],$L20),"")))</f>
        <v/>
      </c>
      <c r="I20" s="3">
        <f>IF($L20="","",IF(INDEX(tblRegistros[Data],$L20)&gt;$D$4,"",IFERROR(IF(INDEX(tblRegistros[Status],$L20)="EM ABERTO","",INDEX(tblRegistros[Valor],$L20)),"")))</f>
        <v/>
      </c>
      <c r="J20">
        <f>IF($L20="","",IF(INDEX(tblRegistros[Data],$L20)&gt;$D$4,"",IFERROR(INDEX(tblRegistros[Status],$L20),"")))</f>
        <v/>
      </c>
      <c r="K20">
        <f>IF($L20="","",IF(INDEX(tblRegistros[Data],$L20)&gt;$D$4,"",IFERROR(INDEX(tblRegistros[Observação],$L20),"")))</f>
        <v/>
      </c>
      <c r="L20" s="16">
        <f>IFERROR(MATCH($B$3*100000+COUNTIFS(tblRegistros[ID],$B$3,tblRegistros[Data],"&lt;"&amp;$B$4)+ROWS($L$10:L20),tblRegistros[Chave do cartão],0),"")</f>
        <v/>
      </c>
    </row>
    <row r="21">
      <c r="A21" s="2">
        <f>IF($L21="","",IF(INDEX(tblRegistros[Data],$L21)&gt;$D$4,"",IFERROR(INDEX(tblRegistros[Data],$L21),"")))</f>
        <v/>
      </c>
      <c r="B21">
        <f>IF($L21="","",IF(INDEX(tblRegistros[Data],$L21)&gt;$D$4,"",IFERROR(INDEX(tblRegistros[Projeto],$L21),"")))</f>
        <v/>
      </c>
      <c r="C21">
        <f>IF($L21="","",IF(INDEX(tblRegistros[Data],$L21)&gt;$D$4,"",IFERROR(INDEX(tblRegistros[Atividade],$L21),"")))</f>
        <v/>
      </c>
      <c r="D21" s="4">
        <f>IF($L21="","",IF(INDEX(tblRegistros[Data],$L21)&gt;$D$4,"",IFERROR(INDEX(tblRegistros[Início],$L21),"")))</f>
        <v/>
      </c>
      <c r="E21" s="4">
        <f>IF($L21="","",IF(INDEX(tblRegistros[Data],$L21)&gt;$D$4,"",IFERROR(IF(INDEX(tblRegistros[Status],$L21)="EM ABERTO","",INDEX(tblRegistros[Fim],$L21)),"")))</f>
        <v/>
      </c>
      <c r="F21" s="14">
        <f>IF($L21="","",IF(INDEX(tblRegistros[Data],$L21)&gt;$D$4,"",IFERROR(IF(INDEX(tblRegistros[Status],$L21)="EM ABERTO","",INDEX(tblRegistros[Horas],$L21)),"")))</f>
        <v/>
      </c>
      <c r="G21">
        <f>IF($L21="","",IF(INDEX(tblRegistros[Data],$L21)&gt;$D$4,"",IFERROR(INDEX(tblRegistros[Base],$L21),"")))</f>
        <v/>
      </c>
      <c r="H21" s="3">
        <f>IF($L21="","",IF(INDEX(tblRegistros[Data],$L21)&gt;$D$4,"",IFERROR(INDEX(tblRegistros[Taxa aplicada],$L21),"")))</f>
        <v/>
      </c>
      <c r="I21" s="3">
        <f>IF($L21="","",IF(INDEX(tblRegistros[Data],$L21)&gt;$D$4,"",IFERROR(IF(INDEX(tblRegistros[Status],$L21)="EM ABERTO","",INDEX(tblRegistros[Valor],$L21)),"")))</f>
        <v/>
      </c>
      <c r="J21">
        <f>IF($L21="","",IF(INDEX(tblRegistros[Data],$L21)&gt;$D$4,"",IFERROR(INDEX(tblRegistros[Status],$L21),"")))</f>
        <v/>
      </c>
      <c r="K21">
        <f>IF($L21="","",IF(INDEX(tblRegistros[Data],$L21)&gt;$D$4,"",IFERROR(INDEX(tblRegistros[Observação],$L21),"")))</f>
        <v/>
      </c>
      <c r="L21" s="16">
        <f>IFERROR(MATCH($B$3*100000+COUNTIFS(tblRegistros[ID],$B$3,tblRegistros[Data],"&lt;"&amp;$B$4)+ROWS($L$10:L21),tblRegistros[Chave do cartão],0),"")</f>
        <v/>
      </c>
    </row>
    <row r="22">
      <c r="A22" s="2">
        <f>IF($L22="","",IF(INDEX(tblRegistros[Data],$L22)&gt;$D$4,"",IFERROR(INDEX(tblRegistros[Data],$L22),"")))</f>
        <v/>
      </c>
      <c r="B22">
        <f>IF($L22="","",IF(INDEX(tblRegistros[Data],$L22)&gt;$D$4,"",IFERROR(INDEX(tblRegistros[Projeto],$L22),"")))</f>
        <v/>
      </c>
      <c r="C22">
        <f>IF($L22="","",IF(INDEX(tblRegistros[Data],$L22)&gt;$D$4,"",IFERROR(INDEX(tblRegistros[Atividade],$L22),"")))</f>
        <v/>
      </c>
      <c r="D22" s="4">
        <f>IF($L22="","",IF(INDEX(tblRegistros[Data],$L22)&gt;$D$4,"",IFERROR(INDEX(tblRegistros[Início],$L22),"")))</f>
        <v/>
      </c>
      <c r="E22" s="4">
        <f>IF($L22="","",IF(INDEX(tblRegistros[Data],$L22)&gt;$D$4,"",IFERROR(IF(INDEX(tblRegistros[Status],$L22)="EM ABERTO","",INDEX(tblRegistros[Fim],$L22)),"")))</f>
        <v/>
      </c>
      <c r="F22" s="14">
        <f>IF($L22="","",IF(INDEX(tblRegistros[Data],$L22)&gt;$D$4,"",IFERROR(IF(INDEX(tblRegistros[Status],$L22)="EM ABERTO","",INDEX(tblRegistros[Horas],$L22)),"")))</f>
        <v/>
      </c>
      <c r="G22">
        <f>IF($L22="","",IF(INDEX(tblRegistros[Data],$L22)&gt;$D$4,"",IFERROR(INDEX(tblRegistros[Base],$L22),"")))</f>
        <v/>
      </c>
      <c r="H22" s="3">
        <f>IF($L22="","",IF(INDEX(tblRegistros[Data],$L22)&gt;$D$4,"",IFERROR(INDEX(tblRegistros[Taxa aplicada],$L22),"")))</f>
        <v/>
      </c>
      <c r="I22" s="3">
        <f>IF($L22="","",IF(INDEX(tblRegistros[Data],$L22)&gt;$D$4,"",IFERROR(IF(INDEX(tblRegistros[Status],$L22)="EM ABERTO","",INDEX(tblRegistros[Valor],$L22)),"")))</f>
        <v/>
      </c>
      <c r="J22">
        <f>IF($L22="","",IF(INDEX(tblRegistros[Data],$L22)&gt;$D$4,"",IFERROR(INDEX(tblRegistros[Status],$L22),"")))</f>
        <v/>
      </c>
      <c r="K22">
        <f>IF($L22="","",IF(INDEX(tblRegistros[Data],$L22)&gt;$D$4,"",IFERROR(INDEX(tblRegistros[Observação],$L22),"")))</f>
        <v/>
      </c>
      <c r="L22" s="16">
        <f>IFERROR(MATCH($B$3*100000+COUNTIFS(tblRegistros[ID],$B$3,tblRegistros[Data],"&lt;"&amp;$B$4)+ROWS($L$10:L22),tblRegistros[Chave do cartão],0),"")</f>
        <v/>
      </c>
    </row>
    <row r="23">
      <c r="A23" s="2">
        <f>IF($L23="","",IF(INDEX(tblRegistros[Data],$L23)&gt;$D$4,"",IFERROR(INDEX(tblRegistros[Data],$L23),"")))</f>
        <v/>
      </c>
      <c r="B23">
        <f>IF($L23="","",IF(INDEX(tblRegistros[Data],$L23)&gt;$D$4,"",IFERROR(INDEX(tblRegistros[Projeto],$L23),"")))</f>
        <v/>
      </c>
      <c r="C23">
        <f>IF($L23="","",IF(INDEX(tblRegistros[Data],$L23)&gt;$D$4,"",IFERROR(INDEX(tblRegistros[Atividade],$L23),"")))</f>
        <v/>
      </c>
      <c r="D23" s="4">
        <f>IF($L23="","",IF(INDEX(tblRegistros[Data],$L23)&gt;$D$4,"",IFERROR(INDEX(tblRegistros[Início],$L23),"")))</f>
        <v/>
      </c>
      <c r="E23" s="4">
        <f>IF($L23="","",IF(INDEX(tblRegistros[Data],$L23)&gt;$D$4,"",IFERROR(IF(INDEX(tblRegistros[Status],$L23)="EM ABERTO","",INDEX(tblRegistros[Fim],$L23)),"")))</f>
        <v/>
      </c>
      <c r="F23" s="14">
        <f>IF($L23="","",IF(INDEX(tblRegistros[Data],$L23)&gt;$D$4,"",IFERROR(IF(INDEX(tblRegistros[Status],$L23)="EM ABERTO","",INDEX(tblRegistros[Horas],$L23)),"")))</f>
        <v/>
      </c>
      <c r="G23">
        <f>IF($L23="","",IF(INDEX(tblRegistros[Data],$L23)&gt;$D$4,"",IFERROR(INDEX(tblRegistros[Base],$L23),"")))</f>
        <v/>
      </c>
      <c r="H23" s="3">
        <f>IF($L23="","",IF(INDEX(tblRegistros[Data],$L23)&gt;$D$4,"",IFERROR(INDEX(tblRegistros[Taxa aplicada],$L23),"")))</f>
        <v/>
      </c>
      <c r="I23" s="3">
        <f>IF($L23="","",IF(INDEX(tblRegistros[Data],$L23)&gt;$D$4,"",IFERROR(IF(INDEX(tblRegistros[Status],$L23)="EM ABERTO","",INDEX(tblRegistros[Valor],$L23)),"")))</f>
        <v/>
      </c>
      <c r="J23">
        <f>IF($L23="","",IF(INDEX(tblRegistros[Data],$L23)&gt;$D$4,"",IFERROR(INDEX(tblRegistros[Status],$L23),"")))</f>
        <v/>
      </c>
      <c r="K23">
        <f>IF($L23="","",IF(INDEX(tblRegistros[Data],$L23)&gt;$D$4,"",IFERROR(INDEX(tblRegistros[Observação],$L23),"")))</f>
        <v/>
      </c>
      <c r="L23" s="16">
        <f>IFERROR(MATCH($B$3*100000+COUNTIFS(tblRegistros[ID],$B$3,tblRegistros[Data],"&lt;"&amp;$B$4)+ROWS($L$10:L23),tblRegistros[Chave do cartão],0),"")</f>
        <v/>
      </c>
    </row>
    <row r="24">
      <c r="A24" s="2">
        <f>IF($L24="","",IF(INDEX(tblRegistros[Data],$L24)&gt;$D$4,"",IFERROR(INDEX(tblRegistros[Data],$L24),"")))</f>
        <v/>
      </c>
      <c r="B24">
        <f>IF($L24="","",IF(INDEX(tblRegistros[Data],$L24)&gt;$D$4,"",IFERROR(INDEX(tblRegistros[Projeto],$L24),"")))</f>
        <v/>
      </c>
      <c r="C24">
        <f>IF($L24="","",IF(INDEX(tblRegistros[Data],$L24)&gt;$D$4,"",IFERROR(INDEX(tblRegistros[Atividade],$L24),"")))</f>
        <v/>
      </c>
      <c r="D24" s="4">
        <f>IF($L24="","",IF(INDEX(tblRegistros[Data],$L24)&gt;$D$4,"",IFERROR(INDEX(tblRegistros[Início],$L24),"")))</f>
        <v/>
      </c>
      <c r="E24" s="4">
        <f>IF($L24="","",IF(INDEX(tblRegistros[Data],$L24)&gt;$D$4,"",IFERROR(IF(INDEX(tblRegistros[Status],$L24)="EM ABERTO","",INDEX(tblRegistros[Fim],$L24)),"")))</f>
        <v/>
      </c>
      <c r="F24" s="14">
        <f>IF($L24="","",IF(INDEX(tblRegistros[Data],$L24)&gt;$D$4,"",IFERROR(IF(INDEX(tblRegistros[Status],$L24)="EM ABERTO","",INDEX(tblRegistros[Horas],$L24)),"")))</f>
        <v/>
      </c>
      <c r="G24">
        <f>IF($L24="","",IF(INDEX(tblRegistros[Data],$L24)&gt;$D$4,"",IFERROR(INDEX(tblRegistros[Base],$L24),"")))</f>
        <v/>
      </c>
      <c r="H24" s="3">
        <f>IF($L24="","",IF(INDEX(tblRegistros[Data],$L24)&gt;$D$4,"",IFERROR(INDEX(tblRegistros[Taxa aplicada],$L24),"")))</f>
        <v/>
      </c>
      <c r="I24" s="3">
        <f>IF($L24="","",IF(INDEX(tblRegistros[Data],$L24)&gt;$D$4,"",IFERROR(IF(INDEX(tblRegistros[Status],$L24)="EM ABERTO","",INDEX(tblRegistros[Valor],$L24)),"")))</f>
        <v/>
      </c>
      <c r="J24">
        <f>IF($L24="","",IF(INDEX(tblRegistros[Data],$L24)&gt;$D$4,"",IFERROR(INDEX(tblRegistros[Status],$L24),"")))</f>
        <v/>
      </c>
      <c r="K24">
        <f>IF($L24="","",IF(INDEX(tblRegistros[Data],$L24)&gt;$D$4,"",IFERROR(INDEX(tblRegistros[Observação],$L24),"")))</f>
        <v/>
      </c>
      <c r="L24" s="16">
        <f>IFERROR(MATCH($B$3*100000+COUNTIFS(tblRegistros[ID],$B$3,tblRegistros[Data],"&lt;"&amp;$B$4)+ROWS($L$10:L24),tblRegistros[Chave do cartão],0),"")</f>
        <v/>
      </c>
    </row>
    <row r="25">
      <c r="A25" s="2">
        <f>IF($L25="","",IF(INDEX(tblRegistros[Data],$L25)&gt;$D$4,"",IFERROR(INDEX(tblRegistros[Data],$L25),"")))</f>
        <v/>
      </c>
      <c r="B25">
        <f>IF($L25="","",IF(INDEX(tblRegistros[Data],$L25)&gt;$D$4,"",IFERROR(INDEX(tblRegistros[Projeto],$L25),"")))</f>
        <v/>
      </c>
      <c r="C25">
        <f>IF($L25="","",IF(INDEX(tblRegistros[Data],$L25)&gt;$D$4,"",IFERROR(INDEX(tblRegistros[Atividade],$L25),"")))</f>
        <v/>
      </c>
      <c r="D25" s="4">
        <f>IF($L25="","",IF(INDEX(tblRegistros[Data],$L25)&gt;$D$4,"",IFERROR(INDEX(tblRegistros[Início],$L25),"")))</f>
        <v/>
      </c>
      <c r="E25" s="4">
        <f>IF($L25="","",IF(INDEX(tblRegistros[Data],$L25)&gt;$D$4,"",IFERROR(IF(INDEX(tblRegistros[Status],$L25)="EM ABERTO","",INDEX(tblRegistros[Fim],$L25)),"")))</f>
        <v/>
      </c>
      <c r="F25" s="14">
        <f>IF($L25="","",IF(INDEX(tblRegistros[Data],$L25)&gt;$D$4,"",IFERROR(IF(INDEX(tblRegistros[Status],$L25)="EM ABERTO","",INDEX(tblRegistros[Horas],$L25)),"")))</f>
        <v/>
      </c>
      <c r="G25">
        <f>IF($L25="","",IF(INDEX(tblRegistros[Data],$L25)&gt;$D$4,"",IFERROR(INDEX(tblRegistros[Base],$L25),"")))</f>
        <v/>
      </c>
      <c r="H25" s="3">
        <f>IF($L25="","",IF(INDEX(tblRegistros[Data],$L25)&gt;$D$4,"",IFERROR(INDEX(tblRegistros[Taxa aplicada],$L25),"")))</f>
        <v/>
      </c>
      <c r="I25" s="3">
        <f>IF($L25="","",IF(INDEX(tblRegistros[Data],$L25)&gt;$D$4,"",IFERROR(IF(INDEX(tblRegistros[Status],$L25)="EM ABERTO","",INDEX(tblRegistros[Valor],$L25)),"")))</f>
        <v/>
      </c>
      <c r="J25">
        <f>IF($L25="","",IF(INDEX(tblRegistros[Data],$L25)&gt;$D$4,"",IFERROR(INDEX(tblRegistros[Status],$L25),"")))</f>
        <v/>
      </c>
      <c r="K25">
        <f>IF($L25="","",IF(INDEX(tblRegistros[Data],$L25)&gt;$D$4,"",IFERROR(INDEX(tblRegistros[Observação],$L25),"")))</f>
        <v/>
      </c>
      <c r="L25" s="16">
        <f>IFERROR(MATCH($B$3*100000+COUNTIFS(tblRegistros[ID],$B$3,tblRegistros[Data],"&lt;"&amp;$B$4)+ROWS($L$10:L25),tblRegistros[Chave do cartão],0),"")</f>
        <v/>
      </c>
    </row>
    <row r="26">
      <c r="A26" s="2">
        <f>IF($L26="","",IF(INDEX(tblRegistros[Data],$L26)&gt;$D$4,"",IFERROR(INDEX(tblRegistros[Data],$L26),"")))</f>
        <v/>
      </c>
      <c r="B26">
        <f>IF($L26="","",IF(INDEX(tblRegistros[Data],$L26)&gt;$D$4,"",IFERROR(INDEX(tblRegistros[Projeto],$L26),"")))</f>
        <v/>
      </c>
      <c r="C26">
        <f>IF($L26="","",IF(INDEX(tblRegistros[Data],$L26)&gt;$D$4,"",IFERROR(INDEX(tblRegistros[Atividade],$L26),"")))</f>
        <v/>
      </c>
      <c r="D26" s="4">
        <f>IF($L26="","",IF(INDEX(tblRegistros[Data],$L26)&gt;$D$4,"",IFERROR(INDEX(tblRegistros[Início],$L26),"")))</f>
        <v/>
      </c>
      <c r="E26" s="4">
        <f>IF($L26="","",IF(INDEX(tblRegistros[Data],$L26)&gt;$D$4,"",IFERROR(IF(INDEX(tblRegistros[Status],$L26)="EM ABERTO","",INDEX(tblRegistros[Fim],$L26)),"")))</f>
        <v/>
      </c>
      <c r="F26" s="14">
        <f>IF($L26="","",IF(INDEX(tblRegistros[Data],$L26)&gt;$D$4,"",IFERROR(IF(INDEX(tblRegistros[Status],$L26)="EM ABERTO","",INDEX(tblRegistros[Horas],$L26)),"")))</f>
        <v/>
      </c>
      <c r="G26">
        <f>IF($L26="","",IF(INDEX(tblRegistros[Data],$L26)&gt;$D$4,"",IFERROR(INDEX(tblRegistros[Base],$L26),"")))</f>
        <v/>
      </c>
      <c r="H26" s="3">
        <f>IF($L26="","",IF(INDEX(tblRegistros[Data],$L26)&gt;$D$4,"",IFERROR(INDEX(tblRegistros[Taxa aplicada],$L26),"")))</f>
        <v/>
      </c>
      <c r="I26" s="3">
        <f>IF($L26="","",IF(INDEX(tblRegistros[Data],$L26)&gt;$D$4,"",IFERROR(IF(INDEX(tblRegistros[Status],$L26)="EM ABERTO","",INDEX(tblRegistros[Valor],$L26)),"")))</f>
        <v/>
      </c>
      <c r="J26">
        <f>IF($L26="","",IF(INDEX(tblRegistros[Data],$L26)&gt;$D$4,"",IFERROR(INDEX(tblRegistros[Status],$L26),"")))</f>
        <v/>
      </c>
      <c r="K26">
        <f>IF($L26="","",IF(INDEX(tblRegistros[Data],$L26)&gt;$D$4,"",IFERROR(INDEX(tblRegistros[Observação],$L26),"")))</f>
        <v/>
      </c>
      <c r="L26" s="16">
        <f>IFERROR(MATCH($B$3*100000+COUNTIFS(tblRegistros[ID],$B$3,tblRegistros[Data],"&lt;"&amp;$B$4)+ROWS($L$10:L26),tblRegistros[Chave do cartão],0),"")</f>
        <v/>
      </c>
    </row>
    <row r="27">
      <c r="A27" s="2">
        <f>IF($L27="","",IF(INDEX(tblRegistros[Data],$L27)&gt;$D$4,"",IFERROR(INDEX(tblRegistros[Data],$L27),"")))</f>
        <v/>
      </c>
      <c r="B27">
        <f>IF($L27="","",IF(INDEX(tblRegistros[Data],$L27)&gt;$D$4,"",IFERROR(INDEX(tblRegistros[Projeto],$L27),"")))</f>
        <v/>
      </c>
      <c r="C27">
        <f>IF($L27="","",IF(INDEX(tblRegistros[Data],$L27)&gt;$D$4,"",IFERROR(INDEX(tblRegistros[Atividade],$L27),"")))</f>
        <v/>
      </c>
      <c r="D27" s="4">
        <f>IF($L27="","",IF(INDEX(tblRegistros[Data],$L27)&gt;$D$4,"",IFERROR(INDEX(tblRegistros[Início],$L27),"")))</f>
        <v/>
      </c>
      <c r="E27" s="4">
        <f>IF($L27="","",IF(INDEX(tblRegistros[Data],$L27)&gt;$D$4,"",IFERROR(IF(INDEX(tblRegistros[Status],$L27)="EM ABERTO","",INDEX(tblRegistros[Fim],$L27)),"")))</f>
        <v/>
      </c>
      <c r="F27" s="14">
        <f>IF($L27="","",IF(INDEX(tblRegistros[Data],$L27)&gt;$D$4,"",IFERROR(IF(INDEX(tblRegistros[Status],$L27)="EM ABERTO","",INDEX(tblRegistros[Horas],$L27)),"")))</f>
        <v/>
      </c>
      <c r="G27">
        <f>IF($L27="","",IF(INDEX(tblRegistros[Data],$L27)&gt;$D$4,"",IFERROR(INDEX(tblRegistros[Base],$L27),"")))</f>
        <v/>
      </c>
      <c r="H27" s="3">
        <f>IF($L27="","",IF(INDEX(tblRegistros[Data],$L27)&gt;$D$4,"",IFERROR(INDEX(tblRegistros[Taxa aplicada],$L27),"")))</f>
        <v/>
      </c>
      <c r="I27" s="3">
        <f>IF($L27="","",IF(INDEX(tblRegistros[Data],$L27)&gt;$D$4,"",IFERROR(IF(INDEX(tblRegistros[Status],$L27)="EM ABERTO","",INDEX(tblRegistros[Valor],$L27)),"")))</f>
        <v/>
      </c>
      <c r="J27">
        <f>IF($L27="","",IF(INDEX(tblRegistros[Data],$L27)&gt;$D$4,"",IFERROR(INDEX(tblRegistros[Status],$L27),"")))</f>
        <v/>
      </c>
      <c r="K27">
        <f>IF($L27="","",IF(INDEX(tblRegistros[Data],$L27)&gt;$D$4,"",IFERROR(INDEX(tblRegistros[Observação],$L27),"")))</f>
        <v/>
      </c>
      <c r="L27" s="16">
        <f>IFERROR(MATCH($B$3*100000+COUNTIFS(tblRegistros[ID],$B$3,tblRegistros[Data],"&lt;"&amp;$B$4)+ROWS($L$10:L27),tblRegistros[Chave do cartão],0),"")</f>
        <v/>
      </c>
    </row>
    <row r="28">
      <c r="A28" s="2">
        <f>IF($L28="","",IF(INDEX(tblRegistros[Data],$L28)&gt;$D$4,"",IFERROR(INDEX(tblRegistros[Data],$L28),"")))</f>
        <v/>
      </c>
      <c r="B28">
        <f>IF($L28="","",IF(INDEX(tblRegistros[Data],$L28)&gt;$D$4,"",IFERROR(INDEX(tblRegistros[Projeto],$L28),"")))</f>
        <v/>
      </c>
      <c r="C28">
        <f>IF($L28="","",IF(INDEX(tblRegistros[Data],$L28)&gt;$D$4,"",IFERROR(INDEX(tblRegistros[Atividade],$L28),"")))</f>
        <v/>
      </c>
      <c r="D28" s="4">
        <f>IF($L28="","",IF(INDEX(tblRegistros[Data],$L28)&gt;$D$4,"",IFERROR(INDEX(tblRegistros[Início],$L28),"")))</f>
        <v/>
      </c>
      <c r="E28" s="4">
        <f>IF($L28="","",IF(INDEX(tblRegistros[Data],$L28)&gt;$D$4,"",IFERROR(IF(INDEX(tblRegistros[Status],$L28)="EM ABERTO","",INDEX(tblRegistros[Fim],$L28)),"")))</f>
        <v/>
      </c>
      <c r="F28" s="14">
        <f>IF($L28="","",IF(INDEX(tblRegistros[Data],$L28)&gt;$D$4,"",IFERROR(IF(INDEX(tblRegistros[Status],$L28)="EM ABERTO","",INDEX(tblRegistros[Horas],$L28)),"")))</f>
        <v/>
      </c>
      <c r="G28">
        <f>IF($L28="","",IF(INDEX(tblRegistros[Data],$L28)&gt;$D$4,"",IFERROR(INDEX(tblRegistros[Base],$L28),"")))</f>
        <v/>
      </c>
      <c r="H28" s="3">
        <f>IF($L28="","",IF(INDEX(tblRegistros[Data],$L28)&gt;$D$4,"",IFERROR(INDEX(tblRegistros[Taxa aplicada],$L28),"")))</f>
        <v/>
      </c>
      <c r="I28" s="3">
        <f>IF($L28="","",IF(INDEX(tblRegistros[Data],$L28)&gt;$D$4,"",IFERROR(IF(INDEX(tblRegistros[Status],$L28)="EM ABERTO","",INDEX(tblRegistros[Valor],$L28)),"")))</f>
        <v/>
      </c>
      <c r="J28">
        <f>IF($L28="","",IF(INDEX(tblRegistros[Data],$L28)&gt;$D$4,"",IFERROR(INDEX(tblRegistros[Status],$L28),"")))</f>
        <v/>
      </c>
      <c r="K28">
        <f>IF($L28="","",IF(INDEX(tblRegistros[Data],$L28)&gt;$D$4,"",IFERROR(INDEX(tblRegistros[Observação],$L28),"")))</f>
        <v/>
      </c>
      <c r="L28" s="16">
        <f>IFERROR(MATCH($B$3*100000+COUNTIFS(tblRegistros[ID],$B$3,tblRegistros[Data],"&lt;"&amp;$B$4)+ROWS($L$10:L28),tblRegistros[Chave do cartão],0),"")</f>
        <v/>
      </c>
    </row>
    <row r="29">
      <c r="A29" s="2">
        <f>IF($L29="","",IF(INDEX(tblRegistros[Data],$L29)&gt;$D$4,"",IFERROR(INDEX(tblRegistros[Data],$L29),"")))</f>
        <v/>
      </c>
      <c r="B29">
        <f>IF($L29="","",IF(INDEX(tblRegistros[Data],$L29)&gt;$D$4,"",IFERROR(INDEX(tblRegistros[Projeto],$L29),"")))</f>
        <v/>
      </c>
      <c r="C29">
        <f>IF($L29="","",IF(INDEX(tblRegistros[Data],$L29)&gt;$D$4,"",IFERROR(INDEX(tblRegistros[Atividade],$L29),"")))</f>
        <v/>
      </c>
      <c r="D29" s="4">
        <f>IF($L29="","",IF(INDEX(tblRegistros[Data],$L29)&gt;$D$4,"",IFERROR(INDEX(tblRegistros[Início],$L29),"")))</f>
        <v/>
      </c>
      <c r="E29" s="4">
        <f>IF($L29="","",IF(INDEX(tblRegistros[Data],$L29)&gt;$D$4,"",IFERROR(IF(INDEX(tblRegistros[Status],$L29)="EM ABERTO","",INDEX(tblRegistros[Fim],$L29)),"")))</f>
        <v/>
      </c>
      <c r="F29" s="14">
        <f>IF($L29="","",IF(INDEX(tblRegistros[Data],$L29)&gt;$D$4,"",IFERROR(IF(INDEX(tblRegistros[Status],$L29)="EM ABERTO","",INDEX(tblRegistros[Horas],$L29)),"")))</f>
        <v/>
      </c>
      <c r="G29">
        <f>IF($L29="","",IF(INDEX(tblRegistros[Data],$L29)&gt;$D$4,"",IFERROR(INDEX(tblRegistros[Base],$L29),"")))</f>
        <v/>
      </c>
      <c r="H29" s="3">
        <f>IF($L29="","",IF(INDEX(tblRegistros[Data],$L29)&gt;$D$4,"",IFERROR(INDEX(tblRegistros[Taxa aplicada],$L29),"")))</f>
        <v/>
      </c>
      <c r="I29" s="3">
        <f>IF($L29="","",IF(INDEX(tblRegistros[Data],$L29)&gt;$D$4,"",IFERROR(IF(INDEX(tblRegistros[Status],$L29)="EM ABERTO","",INDEX(tblRegistros[Valor],$L29)),"")))</f>
        <v/>
      </c>
      <c r="J29">
        <f>IF($L29="","",IF(INDEX(tblRegistros[Data],$L29)&gt;$D$4,"",IFERROR(INDEX(tblRegistros[Status],$L29),"")))</f>
        <v/>
      </c>
      <c r="K29">
        <f>IF($L29="","",IF(INDEX(tblRegistros[Data],$L29)&gt;$D$4,"",IFERROR(INDEX(tblRegistros[Observação],$L29),"")))</f>
        <v/>
      </c>
      <c r="L29" s="16">
        <f>IFERROR(MATCH($B$3*100000+COUNTIFS(tblRegistros[ID],$B$3,tblRegistros[Data],"&lt;"&amp;$B$4)+ROWS($L$10:L29),tblRegistros[Chave do cartão],0),"")</f>
        <v/>
      </c>
    </row>
    <row r="30">
      <c r="A30" s="2">
        <f>IF($L30="","",IF(INDEX(tblRegistros[Data],$L30)&gt;$D$4,"",IFERROR(INDEX(tblRegistros[Data],$L30),"")))</f>
        <v/>
      </c>
      <c r="B30">
        <f>IF($L30="","",IF(INDEX(tblRegistros[Data],$L30)&gt;$D$4,"",IFERROR(INDEX(tblRegistros[Projeto],$L30),"")))</f>
        <v/>
      </c>
      <c r="C30">
        <f>IF($L30="","",IF(INDEX(tblRegistros[Data],$L30)&gt;$D$4,"",IFERROR(INDEX(tblRegistros[Atividade],$L30),"")))</f>
        <v/>
      </c>
      <c r="D30" s="4">
        <f>IF($L30="","",IF(INDEX(tblRegistros[Data],$L30)&gt;$D$4,"",IFERROR(INDEX(tblRegistros[Início],$L30),"")))</f>
        <v/>
      </c>
      <c r="E30" s="4">
        <f>IF($L30="","",IF(INDEX(tblRegistros[Data],$L30)&gt;$D$4,"",IFERROR(IF(INDEX(tblRegistros[Status],$L30)="EM ABERTO","",INDEX(tblRegistros[Fim],$L30)),"")))</f>
        <v/>
      </c>
      <c r="F30" s="14">
        <f>IF($L30="","",IF(INDEX(tblRegistros[Data],$L30)&gt;$D$4,"",IFERROR(IF(INDEX(tblRegistros[Status],$L30)="EM ABERTO","",INDEX(tblRegistros[Horas],$L30)),"")))</f>
        <v/>
      </c>
      <c r="G30">
        <f>IF($L30="","",IF(INDEX(tblRegistros[Data],$L30)&gt;$D$4,"",IFERROR(INDEX(tblRegistros[Base],$L30),"")))</f>
        <v/>
      </c>
      <c r="H30" s="3">
        <f>IF($L30="","",IF(INDEX(tblRegistros[Data],$L30)&gt;$D$4,"",IFERROR(INDEX(tblRegistros[Taxa aplicada],$L30),"")))</f>
        <v/>
      </c>
      <c r="I30" s="3">
        <f>IF($L30="","",IF(INDEX(tblRegistros[Data],$L30)&gt;$D$4,"",IFERROR(IF(INDEX(tblRegistros[Status],$L30)="EM ABERTO","",INDEX(tblRegistros[Valor],$L30)),"")))</f>
        <v/>
      </c>
      <c r="J30">
        <f>IF($L30="","",IF(INDEX(tblRegistros[Data],$L30)&gt;$D$4,"",IFERROR(INDEX(tblRegistros[Status],$L30),"")))</f>
        <v/>
      </c>
      <c r="K30">
        <f>IF($L30="","",IF(INDEX(tblRegistros[Data],$L30)&gt;$D$4,"",IFERROR(INDEX(tblRegistros[Observação],$L30),"")))</f>
        <v/>
      </c>
      <c r="L30" s="16">
        <f>IFERROR(MATCH($B$3*100000+COUNTIFS(tblRegistros[ID],$B$3,tblRegistros[Data],"&lt;"&amp;$B$4)+ROWS($L$10:L30),tblRegistros[Chave do cartão],0),"")</f>
        <v/>
      </c>
    </row>
    <row r="31">
      <c r="A31" s="2">
        <f>IF($L31="","",IF(INDEX(tblRegistros[Data],$L31)&gt;$D$4,"",IFERROR(INDEX(tblRegistros[Data],$L31),"")))</f>
        <v/>
      </c>
      <c r="B31">
        <f>IF($L31="","",IF(INDEX(tblRegistros[Data],$L31)&gt;$D$4,"",IFERROR(INDEX(tblRegistros[Projeto],$L31),"")))</f>
        <v/>
      </c>
      <c r="C31">
        <f>IF($L31="","",IF(INDEX(tblRegistros[Data],$L31)&gt;$D$4,"",IFERROR(INDEX(tblRegistros[Atividade],$L31),"")))</f>
        <v/>
      </c>
      <c r="D31" s="4">
        <f>IF($L31="","",IF(INDEX(tblRegistros[Data],$L31)&gt;$D$4,"",IFERROR(INDEX(tblRegistros[Início],$L31),"")))</f>
        <v/>
      </c>
      <c r="E31" s="4">
        <f>IF($L31="","",IF(INDEX(tblRegistros[Data],$L31)&gt;$D$4,"",IFERROR(IF(INDEX(tblRegistros[Status],$L31)="EM ABERTO","",INDEX(tblRegistros[Fim],$L31)),"")))</f>
        <v/>
      </c>
      <c r="F31" s="14">
        <f>IF($L31="","",IF(INDEX(tblRegistros[Data],$L31)&gt;$D$4,"",IFERROR(IF(INDEX(tblRegistros[Status],$L31)="EM ABERTO","",INDEX(tblRegistros[Horas],$L31)),"")))</f>
        <v/>
      </c>
      <c r="G31">
        <f>IF($L31="","",IF(INDEX(tblRegistros[Data],$L31)&gt;$D$4,"",IFERROR(INDEX(tblRegistros[Base],$L31),"")))</f>
        <v/>
      </c>
      <c r="H31" s="3">
        <f>IF($L31="","",IF(INDEX(tblRegistros[Data],$L31)&gt;$D$4,"",IFERROR(INDEX(tblRegistros[Taxa aplicada],$L31),"")))</f>
        <v/>
      </c>
      <c r="I31" s="3">
        <f>IF($L31="","",IF(INDEX(tblRegistros[Data],$L31)&gt;$D$4,"",IFERROR(IF(INDEX(tblRegistros[Status],$L31)="EM ABERTO","",INDEX(tblRegistros[Valor],$L31)),"")))</f>
        <v/>
      </c>
      <c r="J31">
        <f>IF($L31="","",IF(INDEX(tblRegistros[Data],$L31)&gt;$D$4,"",IFERROR(INDEX(tblRegistros[Status],$L31),"")))</f>
        <v/>
      </c>
      <c r="K31">
        <f>IF($L31="","",IF(INDEX(tblRegistros[Data],$L31)&gt;$D$4,"",IFERROR(INDEX(tblRegistros[Observação],$L31),"")))</f>
        <v/>
      </c>
      <c r="L31" s="16">
        <f>IFERROR(MATCH($B$3*100000+COUNTIFS(tblRegistros[ID],$B$3,tblRegistros[Data],"&lt;"&amp;$B$4)+ROWS($L$10:L31),tblRegistros[Chave do cartão],0),"")</f>
        <v/>
      </c>
    </row>
    <row r="32">
      <c r="A32" s="2">
        <f>IF($L32="","",IF(INDEX(tblRegistros[Data],$L32)&gt;$D$4,"",IFERROR(INDEX(tblRegistros[Data],$L32),"")))</f>
        <v/>
      </c>
      <c r="B32">
        <f>IF($L32="","",IF(INDEX(tblRegistros[Data],$L32)&gt;$D$4,"",IFERROR(INDEX(tblRegistros[Projeto],$L32),"")))</f>
        <v/>
      </c>
      <c r="C32">
        <f>IF($L32="","",IF(INDEX(tblRegistros[Data],$L32)&gt;$D$4,"",IFERROR(INDEX(tblRegistros[Atividade],$L32),"")))</f>
        <v/>
      </c>
      <c r="D32" s="4">
        <f>IF($L32="","",IF(INDEX(tblRegistros[Data],$L32)&gt;$D$4,"",IFERROR(INDEX(tblRegistros[Início],$L32),"")))</f>
        <v/>
      </c>
      <c r="E32" s="4">
        <f>IF($L32="","",IF(INDEX(tblRegistros[Data],$L32)&gt;$D$4,"",IFERROR(IF(INDEX(tblRegistros[Status],$L32)="EM ABERTO","",INDEX(tblRegistros[Fim],$L32)),"")))</f>
        <v/>
      </c>
      <c r="F32" s="14">
        <f>IF($L32="","",IF(INDEX(tblRegistros[Data],$L32)&gt;$D$4,"",IFERROR(IF(INDEX(tblRegistros[Status],$L32)="EM ABERTO","",INDEX(tblRegistros[Horas],$L32)),"")))</f>
        <v/>
      </c>
      <c r="G32">
        <f>IF($L32="","",IF(INDEX(tblRegistros[Data],$L32)&gt;$D$4,"",IFERROR(INDEX(tblRegistros[Base],$L32),"")))</f>
        <v/>
      </c>
      <c r="H32" s="3">
        <f>IF($L32="","",IF(INDEX(tblRegistros[Data],$L32)&gt;$D$4,"",IFERROR(INDEX(tblRegistros[Taxa aplicada],$L32),"")))</f>
        <v/>
      </c>
      <c r="I32" s="3">
        <f>IF($L32="","",IF(INDEX(tblRegistros[Data],$L32)&gt;$D$4,"",IFERROR(IF(INDEX(tblRegistros[Status],$L32)="EM ABERTO","",INDEX(tblRegistros[Valor],$L32)),"")))</f>
        <v/>
      </c>
      <c r="J32">
        <f>IF($L32="","",IF(INDEX(tblRegistros[Data],$L32)&gt;$D$4,"",IFERROR(INDEX(tblRegistros[Status],$L32),"")))</f>
        <v/>
      </c>
      <c r="K32">
        <f>IF($L32="","",IF(INDEX(tblRegistros[Data],$L32)&gt;$D$4,"",IFERROR(INDEX(tblRegistros[Observação],$L32),"")))</f>
        <v/>
      </c>
      <c r="L32" s="16">
        <f>IFERROR(MATCH($B$3*100000+COUNTIFS(tblRegistros[ID],$B$3,tblRegistros[Data],"&lt;"&amp;$B$4)+ROWS($L$10:L32),tblRegistros[Chave do cartão],0),"")</f>
        <v/>
      </c>
    </row>
    <row r="33">
      <c r="A33" s="2">
        <f>IF($L33="","",IF(INDEX(tblRegistros[Data],$L33)&gt;$D$4,"",IFERROR(INDEX(tblRegistros[Data],$L33),"")))</f>
        <v/>
      </c>
      <c r="B33">
        <f>IF($L33="","",IF(INDEX(tblRegistros[Data],$L33)&gt;$D$4,"",IFERROR(INDEX(tblRegistros[Projeto],$L33),"")))</f>
        <v/>
      </c>
      <c r="C33">
        <f>IF($L33="","",IF(INDEX(tblRegistros[Data],$L33)&gt;$D$4,"",IFERROR(INDEX(tblRegistros[Atividade],$L33),"")))</f>
        <v/>
      </c>
      <c r="D33" s="4">
        <f>IF($L33="","",IF(INDEX(tblRegistros[Data],$L33)&gt;$D$4,"",IFERROR(INDEX(tblRegistros[Início],$L33),"")))</f>
        <v/>
      </c>
      <c r="E33" s="4">
        <f>IF($L33="","",IF(INDEX(tblRegistros[Data],$L33)&gt;$D$4,"",IFERROR(IF(INDEX(tblRegistros[Status],$L33)="EM ABERTO","",INDEX(tblRegistros[Fim],$L33)),"")))</f>
        <v/>
      </c>
      <c r="F33" s="14">
        <f>IF($L33="","",IF(INDEX(tblRegistros[Data],$L33)&gt;$D$4,"",IFERROR(IF(INDEX(tblRegistros[Status],$L33)="EM ABERTO","",INDEX(tblRegistros[Horas],$L33)),"")))</f>
        <v/>
      </c>
      <c r="G33">
        <f>IF($L33="","",IF(INDEX(tblRegistros[Data],$L33)&gt;$D$4,"",IFERROR(INDEX(tblRegistros[Base],$L33),"")))</f>
        <v/>
      </c>
      <c r="H33" s="3">
        <f>IF($L33="","",IF(INDEX(tblRegistros[Data],$L33)&gt;$D$4,"",IFERROR(INDEX(tblRegistros[Taxa aplicada],$L33),"")))</f>
        <v/>
      </c>
      <c r="I33" s="3">
        <f>IF($L33="","",IF(INDEX(tblRegistros[Data],$L33)&gt;$D$4,"",IFERROR(IF(INDEX(tblRegistros[Status],$L33)="EM ABERTO","",INDEX(tblRegistros[Valor],$L33)),"")))</f>
        <v/>
      </c>
      <c r="J33">
        <f>IF($L33="","",IF(INDEX(tblRegistros[Data],$L33)&gt;$D$4,"",IFERROR(INDEX(tblRegistros[Status],$L33),"")))</f>
        <v/>
      </c>
      <c r="K33">
        <f>IF($L33="","",IF(INDEX(tblRegistros[Data],$L33)&gt;$D$4,"",IFERROR(INDEX(tblRegistros[Observação],$L33),"")))</f>
        <v/>
      </c>
      <c r="L33" s="16">
        <f>IFERROR(MATCH($B$3*100000+COUNTIFS(tblRegistros[ID],$B$3,tblRegistros[Data],"&lt;"&amp;$B$4)+ROWS($L$10:L33),tblRegistros[Chave do cartão],0),"")</f>
        <v/>
      </c>
    </row>
    <row r="34">
      <c r="A34" s="2">
        <f>IF($L34="","",IF(INDEX(tblRegistros[Data],$L34)&gt;$D$4,"",IFERROR(INDEX(tblRegistros[Data],$L34),"")))</f>
        <v/>
      </c>
      <c r="B34">
        <f>IF($L34="","",IF(INDEX(tblRegistros[Data],$L34)&gt;$D$4,"",IFERROR(INDEX(tblRegistros[Projeto],$L34),"")))</f>
        <v/>
      </c>
      <c r="C34">
        <f>IF($L34="","",IF(INDEX(tblRegistros[Data],$L34)&gt;$D$4,"",IFERROR(INDEX(tblRegistros[Atividade],$L34),"")))</f>
        <v/>
      </c>
      <c r="D34" s="4">
        <f>IF($L34="","",IF(INDEX(tblRegistros[Data],$L34)&gt;$D$4,"",IFERROR(INDEX(tblRegistros[Início],$L34),"")))</f>
        <v/>
      </c>
      <c r="E34" s="4">
        <f>IF($L34="","",IF(INDEX(tblRegistros[Data],$L34)&gt;$D$4,"",IFERROR(IF(INDEX(tblRegistros[Status],$L34)="EM ABERTO","",INDEX(tblRegistros[Fim],$L34)),"")))</f>
        <v/>
      </c>
      <c r="F34" s="14">
        <f>IF($L34="","",IF(INDEX(tblRegistros[Data],$L34)&gt;$D$4,"",IFERROR(IF(INDEX(tblRegistros[Status],$L34)="EM ABERTO","",INDEX(tblRegistros[Horas],$L34)),"")))</f>
        <v/>
      </c>
      <c r="G34">
        <f>IF($L34="","",IF(INDEX(tblRegistros[Data],$L34)&gt;$D$4,"",IFERROR(INDEX(tblRegistros[Base],$L34),"")))</f>
        <v/>
      </c>
      <c r="H34" s="3">
        <f>IF($L34="","",IF(INDEX(tblRegistros[Data],$L34)&gt;$D$4,"",IFERROR(INDEX(tblRegistros[Taxa aplicada],$L34),"")))</f>
        <v/>
      </c>
      <c r="I34" s="3">
        <f>IF($L34="","",IF(INDEX(tblRegistros[Data],$L34)&gt;$D$4,"",IFERROR(IF(INDEX(tblRegistros[Status],$L34)="EM ABERTO","",INDEX(tblRegistros[Valor],$L34)),"")))</f>
        <v/>
      </c>
      <c r="J34">
        <f>IF($L34="","",IF(INDEX(tblRegistros[Data],$L34)&gt;$D$4,"",IFERROR(INDEX(tblRegistros[Status],$L34),"")))</f>
        <v/>
      </c>
      <c r="K34">
        <f>IF($L34="","",IF(INDEX(tblRegistros[Data],$L34)&gt;$D$4,"",IFERROR(INDEX(tblRegistros[Observação],$L34),"")))</f>
        <v/>
      </c>
      <c r="L34" s="16">
        <f>IFERROR(MATCH($B$3*100000+COUNTIFS(tblRegistros[ID],$B$3,tblRegistros[Data],"&lt;"&amp;$B$4)+ROWS($L$10:L34),tblRegistros[Chave do cartão],0),"")</f>
        <v/>
      </c>
    </row>
    <row r="35">
      <c r="A35" s="2">
        <f>IF($L35="","",IF(INDEX(tblRegistros[Data],$L35)&gt;$D$4,"",IFERROR(INDEX(tblRegistros[Data],$L35),"")))</f>
        <v/>
      </c>
      <c r="B35">
        <f>IF($L35="","",IF(INDEX(tblRegistros[Data],$L35)&gt;$D$4,"",IFERROR(INDEX(tblRegistros[Projeto],$L35),"")))</f>
        <v/>
      </c>
      <c r="C35">
        <f>IF($L35="","",IF(INDEX(tblRegistros[Data],$L35)&gt;$D$4,"",IFERROR(INDEX(tblRegistros[Atividade],$L35),"")))</f>
        <v/>
      </c>
      <c r="D35" s="4">
        <f>IF($L35="","",IF(INDEX(tblRegistros[Data],$L35)&gt;$D$4,"",IFERROR(INDEX(tblRegistros[Início],$L35),"")))</f>
        <v/>
      </c>
      <c r="E35" s="4">
        <f>IF($L35="","",IF(INDEX(tblRegistros[Data],$L35)&gt;$D$4,"",IFERROR(IF(INDEX(tblRegistros[Status],$L35)="EM ABERTO","",INDEX(tblRegistros[Fim],$L35)),"")))</f>
        <v/>
      </c>
      <c r="F35" s="14">
        <f>IF($L35="","",IF(INDEX(tblRegistros[Data],$L35)&gt;$D$4,"",IFERROR(IF(INDEX(tblRegistros[Status],$L35)="EM ABERTO","",INDEX(tblRegistros[Horas],$L35)),"")))</f>
        <v/>
      </c>
      <c r="G35">
        <f>IF($L35="","",IF(INDEX(tblRegistros[Data],$L35)&gt;$D$4,"",IFERROR(INDEX(tblRegistros[Base],$L35),"")))</f>
        <v/>
      </c>
      <c r="H35" s="3">
        <f>IF($L35="","",IF(INDEX(tblRegistros[Data],$L35)&gt;$D$4,"",IFERROR(INDEX(tblRegistros[Taxa aplicada],$L35),"")))</f>
        <v/>
      </c>
      <c r="I35" s="3">
        <f>IF($L35="","",IF(INDEX(tblRegistros[Data],$L35)&gt;$D$4,"",IFERROR(IF(INDEX(tblRegistros[Status],$L35)="EM ABERTO","",INDEX(tblRegistros[Valor],$L35)),"")))</f>
        <v/>
      </c>
      <c r="J35">
        <f>IF($L35="","",IF(INDEX(tblRegistros[Data],$L35)&gt;$D$4,"",IFERROR(INDEX(tblRegistros[Status],$L35),"")))</f>
        <v/>
      </c>
      <c r="K35">
        <f>IF($L35="","",IF(INDEX(tblRegistros[Data],$L35)&gt;$D$4,"",IFERROR(INDEX(tblRegistros[Observação],$L35),"")))</f>
        <v/>
      </c>
      <c r="L35" s="16">
        <f>IFERROR(MATCH($B$3*100000+COUNTIFS(tblRegistros[ID],$B$3,tblRegistros[Data],"&lt;"&amp;$B$4)+ROWS($L$10:L35),tblRegistros[Chave do cartão],0),"")</f>
        <v/>
      </c>
    </row>
    <row r="36">
      <c r="A36" s="2">
        <f>IF($L36="","",IF(INDEX(tblRegistros[Data],$L36)&gt;$D$4,"",IFERROR(INDEX(tblRegistros[Data],$L36),"")))</f>
        <v/>
      </c>
      <c r="B36">
        <f>IF($L36="","",IF(INDEX(tblRegistros[Data],$L36)&gt;$D$4,"",IFERROR(INDEX(tblRegistros[Projeto],$L36),"")))</f>
        <v/>
      </c>
      <c r="C36">
        <f>IF($L36="","",IF(INDEX(tblRegistros[Data],$L36)&gt;$D$4,"",IFERROR(INDEX(tblRegistros[Atividade],$L36),"")))</f>
        <v/>
      </c>
      <c r="D36" s="4">
        <f>IF($L36="","",IF(INDEX(tblRegistros[Data],$L36)&gt;$D$4,"",IFERROR(INDEX(tblRegistros[Início],$L36),"")))</f>
        <v/>
      </c>
      <c r="E36" s="4">
        <f>IF($L36="","",IF(INDEX(tblRegistros[Data],$L36)&gt;$D$4,"",IFERROR(IF(INDEX(tblRegistros[Status],$L36)="EM ABERTO","",INDEX(tblRegistros[Fim],$L36)),"")))</f>
        <v/>
      </c>
      <c r="F36" s="14">
        <f>IF($L36="","",IF(INDEX(tblRegistros[Data],$L36)&gt;$D$4,"",IFERROR(IF(INDEX(tblRegistros[Status],$L36)="EM ABERTO","",INDEX(tblRegistros[Horas],$L36)),"")))</f>
        <v/>
      </c>
      <c r="G36">
        <f>IF($L36="","",IF(INDEX(tblRegistros[Data],$L36)&gt;$D$4,"",IFERROR(INDEX(tblRegistros[Base],$L36),"")))</f>
        <v/>
      </c>
      <c r="H36" s="3">
        <f>IF($L36="","",IF(INDEX(tblRegistros[Data],$L36)&gt;$D$4,"",IFERROR(INDEX(tblRegistros[Taxa aplicada],$L36),"")))</f>
        <v/>
      </c>
      <c r="I36" s="3">
        <f>IF($L36="","",IF(INDEX(tblRegistros[Data],$L36)&gt;$D$4,"",IFERROR(IF(INDEX(tblRegistros[Status],$L36)="EM ABERTO","",INDEX(tblRegistros[Valor],$L36)),"")))</f>
        <v/>
      </c>
      <c r="J36">
        <f>IF($L36="","",IF(INDEX(tblRegistros[Data],$L36)&gt;$D$4,"",IFERROR(INDEX(tblRegistros[Status],$L36),"")))</f>
        <v/>
      </c>
      <c r="K36">
        <f>IF($L36="","",IF(INDEX(tblRegistros[Data],$L36)&gt;$D$4,"",IFERROR(INDEX(tblRegistros[Observação],$L36),"")))</f>
        <v/>
      </c>
      <c r="L36" s="16">
        <f>IFERROR(MATCH($B$3*100000+COUNTIFS(tblRegistros[ID],$B$3,tblRegistros[Data],"&lt;"&amp;$B$4)+ROWS($L$10:L36),tblRegistros[Chave do cartão],0),"")</f>
        <v/>
      </c>
    </row>
    <row r="37">
      <c r="A37" s="2">
        <f>IF($L37="","",IF(INDEX(tblRegistros[Data],$L37)&gt;$D$4,"",IFERROR(INDEX(tblRegistros[Data],$L37),"")))</f>
        <v/>
      </c>
      <c r="B37">
        <f>IF($L37="","",IF(INDEX(tblRegistros[Data],$L37)&gt;$D$4,"",IFERROR(INDEX(tblRegistros[Projeto],$L37),"")))</f>
        <v/>
      </c>
      <c r="C37">
        <f>IF($L37="","",IF(INDEX(tblRegistros[Data],$L37)&gt;$D$4,"",IFERROR(INDEX(tblRegistros[Atividade],$L37),"")))</f>
        <v/>
      </c>
      <c r="D37" s="4">
        <f>IF($L37="","",IF(INDEX(tblRegistros[Data],$L37)&gt;$D$4,"",IFERROR(INDEX(tblRegistros[Início],$L37),"")))</f>
        <v/>
      </c>
      <c r="E37" s="4">
        <f>IF($L37="","",IF(INDEX(tblRegistros[Data],$L37)&gt;$D$4,"",IFERROR(IF(INDEX(tblRegistros[Status],$L37)="EM ABERTO","",INDEX(tblRegistros[Fim],$L37)),"")))</f>
        <v/>
      </c>
      <c r="F37" s="14">
        <f>IF($L37="","",IF(INDEX(tblRegistros[Data],$L37)&gt;$D$4,"",IFERROR(IF(INDEX(tblRegistros[Status],$L37)="EM ABERTO","",INDEX(tblRegistros[Horas],$L37)),"")))</f>
        <v/>
      </c>
      <c r="G37">
        <f>IF($L37="","",IF(INDEX(tblRegistros[Data],$L37)&gt;$D$4,"",IFERROR(INDEX(tblRegistros[Base],$L37),"")))</f>
        <v/>
      </c>
      <c r="H37" s="3">
        <f>IF($L37="","",IF(INDEX(tblRegistros[Data],$L37)&gt;$D$4,"",IFERROR(INDEX(tblRegistros[Taxa aplicada],$L37),"")))</f>
        <v/>
      </c>
      <c r="I37" s="3">
        <f>IF($L37="","",IF(INDEX(tblRegistros[Data],$L37)&gt;$D$4,"",IFERROR(IF(INDEX(tblRegistros[Status],$L37)="EM ABERTO","",INDEX(tblRegistros[Valor],$L37)),"")))</f>
        <v/>
      </c>
      <c r="J37">
        <f>IF($L37="","",IF(INDEX(tblRegistros[Data],$L37)&gt;$D$4,"",IFERROR(INDEX(tblRegistros[Status],$L37),"")))</f>
        <v/>
      </c>
      <c r="K37">
        <f>IF($L37="","",IF(INDEX(tblRegistros[Data],$L37)&gt;$D$4,"",IFERROR(INDEX(tblRegistros[Observação],$L37),"")))</f>
        <v/>
      </c>
      <c r="L37" s="16">
        <f>IFERROR(MATCH($B$3*100000+COUNTIFS(tblRegistros[ID],$B$3,tblRegistros[Data],"&lt;"&amp;$B$4)+ROWS($L$10:L37),tblRegistros[Chave do cartão],0),"")</f>
        <v/>
      </c>
    </row>
    <row r="38">
      <c r="A38" s="2">
        <f>IF($L38="","",IF(INDEX(tblRegistros[Data],$L38)&gt;$D$4,"",IFERROR(INDEX(tblRegistros[Data],$L38),"")))</f>
        <v/>
      </c>
      <c r="B38">
        <f>IF($L38="","",IF(INDEX(tblRegistros[Data],$L38)&gt;$D$4,"",IFERROR(INDEX(tblRegistros[Projeto],$L38),"")))</f>
        <v/>
      </c>
      <c r="C38">
        <f>IF($L38="","",IF(INDEX(tblRegistros[Data],$L38)&gt;$D$4,"",IFERROR(INDEX(tblRegistros[Atividade],$L38),"")))</f>
        <v/>
      </c>
      <c r="D38" s="4">
        <f>IF($L38="","",IF(INDEX(tblRegistros[Data],$L38)&gt;$D$4,"",IFERROR(INDEX(tblRegistros[Início],$L38),"")))</f>
        <v/>
      </c>
      <c r="E38" s="4">
        <f>IF($L38="","",IF(INDEX(tblRegistros[Data],$L38)&gt;$D$4,"",IFERROR(IF(INDEX(tblRegistros[Status],$L38)="EM ABERTO","",INDEX(tblRegistros[Fim],$L38)),"")))</f>
        <v/>
      </c>
      <c r="F38" s="14">
        <f>IF($L38="","",IF(INDEX(tblRegistros[Data],$L38)&gt;$D$4,"",IFERROR(IF(INDEX(tblRegistros[Status],$L38)="EM ABERTO","",INDEX(tblRegistros[Horas],$L38)),"")))</f>
        <v/>
      </c>
      <c r="G38">
        <f>IF($L38="","",IF(INDEX(tblRegistros[Data],$L38)&gt;$D$4,"",IFERROR(INDEX(tblRegistros[Base],$L38),"")))</f>
        <v/>
      </c>
      <c r="H38" s="3">
        <f>IF($L38="","",IF(INDEX(tblRegistros[Data],$L38)&gt;$D$4,"",IFERROR(INDEX(tblRegistros[Taxa aplicada],$L38),"")))</f>
        <v/>
      </c>
      <c r="I38" s="3">
        <f>IF($L38="","",IF(INDEX(tblRegistros[Data],$L38)&gt;$D$4,"",IFERROR(IF(INDEX(tblRegistros[Status],$L38)="EM ABERTO","",INDEX(tblRegistros[Valor],$L38)),"")))</f>
        <v/>
      </c>
      <c r="J38">
        <f>IF($L38="","",IF(INDEX(tblRegistros[Data],$L38)&gt;$D$4,"",IFERROR(INDEX(tblRegistros[Status],$L38),"")))</f>
        <v/>
      </c>
      <c r="K38">
        <f>IF($L38="","",IF(INDEX(tblRegistros[Data],$L38)&gt;$D$4,"",IFERROR(INDEX(tblRegistros[Observação],$L38),"")))</f>
        <v/>
      </c>
      <c r="L38" s="16">
        <f>IFERROR(MATCH($B$3*100000+COUNTIFS(tblRegistros[ID],$B$3,tblRegistros[Data],"&lt;"&amp;$B$4)+ROWS($L$10:L38),tblRegistros[Chave do cartão],0),"")</f>
        <v/>
      </c>
    </row>
    <row r="39">
      <c r="A39" s="2">
        <f>IF($L39="","",IF(INDEX(tblRegistros[Data],$L39)&gt;$D$4,"",IFERROR(INDEX(tblRegistros[Data],$L39),"")))</f>
        <v/>
      </c>
      <c r="B39">
        <f>IF($L39="","",IF(INDEX(tblRegistros[Data],$L39)&gt;$D$4,"",IFERROR(INDEX(tblRegistros[Projeto],$L39),"")))</f>
        <v/>
      </c>
      <c r="C39">
        <f>IF($L39="","",IF(INDEX(tblRegistros[Data],$L39)&gt;$D$4,"",IFERROR(INDEX(tblRegistros[Atividade],$L39),"")))</f>
        <v/>
      </c>
      <c r="D39" s="4">
        <f>IF($L39="","",IF(INDEX(tblRegistros[Data],$L39)&gt;$D$4,"",IFERROR(INDEX(tblRegistros[Início],$L39),"")))</f>
        <v/>
      </c>
      <c r="E39" s="4">
        <f>IF($L39="","",IF(INDEX(tblRegistros[Data],$L39)&gt;$D$4,"",IFERROR(IF(INDEX(tblRegistros[Status],$L39)="EM ABERTO","",INDEX(tblRegistros[Fim],$L39)),"")))</f>
        <v/>
      </c>
      <c r="F39" s="14">
        <f>IF($L39="","",IF(INDEX(tblRegistros[Data],$L39)&gt;$D$4,"",IFERROR(IF(INDEX(tblRegistros[Status],$L39)="EM ABERTO","",INDEX(tblRegistros[Horas],$L39)),"")))</f>
        <v/>
      </c>
      <c r="G39">
        <f>IF($L39="","",IF(INDEX(tblRegistros[Data],$L39)&gt;$D$4,"",IFERROR(INDEX(tblRegistros[Base],$L39),"")))</f>
        <v/>
      </c>
      <c r="H39" s="3">
        <f>IF($L39="","",IF(INDEX(tblRegistros[Data],$L39)&gt;$D$4,"",IFERROR(INDEX(tblRegistros[Taxa aplicada],$L39),"")))</f>
        <v/>
      </c>
      <c r="I39" s="3">
        <f>IF($L39="","",IF(INDEX(tblRegistros[Data],$L39)&gt;$D$4,"",IFERROR(IF(INDEX(tblRegistros[Status],$L39)="EM ABERTO","",INDEX(tblRegistros[Valor],$L39)),"")))</f>
        <v/>
      </c>
      <c r="J39">
        <f>IF($L39="","",IF(INDEX(tblRegistros[Data],$L39)&gt;$D$4,"",IFERROR(INDEX(tblRegistros[Status],$L39),"")))</f>
        <v/>
      </c>
      <c r="K39">
        <f>IF($L39="","",IF(INDEX(tblRegistros[Data],$L39)&gt;$D$4,"",IFERROR(INDEX(tblRegistros[Observação],$L39),"")))</f>
        <v/>
      </c>
      <c r="L39" s="16">
        <f>IFERROR(MATCH($B$3*100000+COUNTIFS(tblRegistros[ID],$B$3,tblRegistros[Data],"&lt;"&amp;$B$4)+ROWS($L$10:L39),tblRegistros[Chave do cartão],0),"")</f>
        <v/>
      </c>
    </row>
    <row r="40">
      <c r="A40" s="2">
        <f>IF($L40="","",IF(INDEX(tblRegistros[Data],$L40)&gt;$D$4,"",IFERROR(INDEX(tblRegistros[Data],$L40),"")))</f>
        <v/>
      </c>
      <c r="B40">
        <f>IF($L40="","",IF(INDEX(tblRegistros[Data],$L40)&gt;$D$4,"",IFERROR(INDEX(tblRegistros[Projeto],$L40),"")))</f>
        <v/>
      </c>
      <c r="C40">
        <f>IF($L40="","",IF(INDEX(tblRegistros[Data],$L40)&gt;$D$4,"",IFERROR(INDEX(tblRegistros[Atividade],$L40),"")))</f>
        <v/>
      </c>
      <c r="D40" s="4">
        <f>IF($L40="","",IF(INDEX(tblRegistros[Data],$L40)&gt;$D$4,"",IFERROR(INDEX(tblRegistros[Início],$L40),"")))</f>
        <v/>
      </c>
      <c r="E40" s="4">
        <f>IF($L40="","",IF(INDEX(tblRegistros[Data],$L40)&gt;$D$4,"",IFERROR(IF(INDEX(tblRegistros[Status],$L40)="EM ABERTO","",INDEX(tblRegistros[Fim],$L40)),"")))</f>
        <v/>
      </c>
      <c r="F40" s="14">
        <f>IF($L40="","",IF(INDEX(tblRegistros[Data],$L40)&gt;$D$4,"",IFERROR(IF(INDEX(tblRegistros[Status],$L40)="EM ABERTO","",INDEX(tblRegistros[Horas],$L40)),"")))</f>
        <v/>
      </c>
      <c r="G40">
        <f>IF($L40="","",IF(INDEX(tblRegistros[Data],$L40)&gt;$D$4,"",IFERROR(INDEX(tblRegistros[Base],$L40),"")))</f>
        <v/>
      </c>
      <c r="H40" s="3">
        <f>IF($L40="","",IF(INDEX(tblRegistros[Data],$L40)&gt;$D$4,"",IFERROR(INDEX(tblRegistros[Taxa aplicada],$L40),"")))</f>
        <v/>
      </c>
      <c r="I40" s="3">
        <f>IF($L40="","",IF(INDEX(tblRegistros[Data],$L40)&gt;$D$4,"",IFERROR(IF(INDEX(tblRegistros[Status],$L40)="EM ABERTO","",INDEX(tblRegistros[Valor],$L40)),"")))</f>
        <v/>
      </c>
      <c r="J40">
        <f>IF($L40="","",IF(INDEX(tblRegistros[Data],$L40)&gt;$D$4,"",IFERROR(INDEX(tblRegistros[Status],$L40),"")))</f>
        <v/>
      </c>
      <c r="K40">
        <f>IF($L40="","",IF(INDEX(tblRegistros[Data],$L40)&gt;$D$4,"",IFERROR(INDEX(tblRegistros[Observação],$L40),"")))</f>
        <v/>
      </c>
      <c r="L40" s="16">
        <f>IFERROR(MATCH($B$3*100000+COUNTIFS(tblRegistros[ID],$B$3,tblRegistros[Data],"&lt;"&amp;$B$4)+ROWS($L$10:L40),tblRegistros[Chave do cartão],0),"")</f>
        <v/>
      </c>
    </row>
    <row r="41">
      <c r="A41" s="2">
        <f>IF($L41="","",IF(INDEX(tblRegistros[Data],$L41)&gt;$D$4,"",IFERROR(INDEX(tblRegistros[Data],$L41),"")))</f>
        <v/>
      </c>
      <c r="B41">
        <f>IF($L41="","",IF(INDEX(tblRegistros[Data],$L41)&gt;$D$4,"",IFERROR(INDEX(tblRegistros[Projeto],$L41),"")))</f>
        <v/>
      </c>
      <c r="C41">
        <f>IF($L41="","",IF(INDEX(tblRegistros[Data],$L41)&gt;$D$4,"",IFERROR(INDEX(tblRegistros[Atividade],$L41),"")))</f>
        <v/>
      </c>
      <c r="D41" s="4">
        <f>IF($L41="","",IF(INDEX(tblRegistros[Data],$L41)&gt;$D$4,"",IFERROR(INDEX(tblRegistros[Início],$L41),"")))</f>
        <v/>
      </c>
      <c r="E41" s="4">
        <f>IF($L41="","",IF(INDEX(tblRegistros[Data],$L41)&gt;$D$4,"",IFERROR(IF(INDEX(tblRegistros[Status],$L41)="EM ABERTO","",INDEX(tblRegistros[Fim],$L41)),"")))</f>
        <v/>
      </c>
      <c r="F41" s="14">
        <f>IF($L41="","",IF(INDEX(tblRegistros[Data],$L41)&gt;$D$4,"",IFERROR(IF(INDEX(tblRegistros[Status],$L41)="EM ABERTO","",INDEX(tblRegistros[Horas],$L41)),"")))</f>
        <v/>
      </c>
      <c r="G41">
        <f>IF($L41="","",IF(INDEX(tblRegistros[Data],$L41)&gt;$D$4,"",IFERROR(INDEX(tblRegistros[Base],$L41),"")))</f>
        <v/>
      </c>
      <c r="H41" s="3">
        <f>IF($L41="","",IF(INDEX(tblRegistros[Data],$L41)&gt;$D$4,"",IFERROR(INDEX(tblRegistros[Taxa aplicada],$L41),"")))</f>
        <v/>
      </c>
      <c r="I41" s="3">
        <f>IF($L41="","",IF(INDEX(tblRegistros[Data],$L41)&gt;$D$4,"",IFERROR(IF(INDEX(tblRegistros[Status],$L41)="EM ABERTO","",INDEX(tblRegistros[Valor],$L41)),"")))</f>
        <v/>
      </c>
      <c r="J41">
        <f>IF($L41="","",IF(INDEX(tblRegistros[Data],$L41)&gt;$D$4,"",IFERROR(INDEX(tblRegistros[Status],$L41),"")))</f>
        <v/>
      </c>
      <c r="K41">
        <f>IF($L41="","",IF(INDEX(tblRegistros[Data],$L41)&gt;$D$4,"",IFERROR(INDEX(tblRegistros[Observação],$L41),"")))</f>
        <v/>
      </c>
      <c r="L41" s="16">
        <f>IFERROR(MATCH($B$3*100000+COUNTIFS(tblRegistros[ID],$B$3,tblRegistros[Data],"&lt;"&amp;$B$4)+ROWS($L$10:L41),tblRegistros[Chave do cartão],0),"")</f>
        <v/>
      </c>
    </row>
    <row r="42">
      <c r="A42" s="2">
        <f>IF($L42="","",IF(INDEX(tblRegistros[Data],$L42)&gt;$D$4,"",IFERROR(INDEX(tblRegistros[Data],$L42),"")))</f>
        <v/>
      </c>
      <c r="B42">
        <f>IF($L42="","",IF(INDEX(tblRegistros[Data],$L42)&gt;$D$4,"",IFERROR(INDEX(tblRegistros[Projeto],$L42),"")))</f>
        <v/>
      </c>
      <c r="C42">
        <f>IF($L42="","",IF(INDEX(tblRegistros[Data],$L42)&gt;$D$4,"",IFERROR(INDEX(tblRegistros[Atividade],$L42),"")))</f>
        <v/>
      </c>
      <c r="D42" s="4">
        <f>IF($L42="","",IF(INDEX(tblRegistros[Data],$L42)&gt;$D$4,"",IFERROR(INDEX(tblRegistros[Início],$L42),"")))</f>
        <v/>
      </c>
      <c r="E42" s="4">
        <f>IF($L42="","",IF(INDEX(tblRegistros[Data],$L42)&gt;$D$4,"",IFERROR(IF(INDEX(tblRegistros[Status],$L42)="EM ABERTO","",INDEX(tblRegistros[Fim],$L42)),"")))</f>
        <v/>
      </c>
      <c r="F42" s="14">
        <f>IF($L42="","",IF(INDEX(tblRegistros[Data],$L42)&gt;$D$4,"",IFERROR(IF(INDEX(tblRegistros[Status],$L42)="EM ABERTO","",INDEX(tblRegistros[Horas],$L42)),"")))</f>
        <v/>
      </c>
      <c r="G42">
        <f>IF($L42="","",IF(INDEX(tblRegistros[Data],$L42)&gt;$D$4,"",IFERROR(INDEX(tblRegistros[Base],$L42),"")))</f>
        <v/>
      </c>
      <c r="H42" s="3">
        <f>IF($L42="","",IF(INDEX(tblRegistros[Data],$L42)&gt;$D$4,"",IFERROR(INDEX(tblRegistros[Taxa aplicada],$L42),"")))</f>
        <v/>
      </c>
      <c r="I42" s="3">
        <f>IF($L42="","",IF(INDEX(tblRegistros[Data],$L42)&gt;$D$4,"",IFERROR(IF(INDEX(tblRegistros[Status],$L42)="EM ABERTO","",INDEX(tblRegistros[Valor],$L42)),"")))</f>
        <v/>
      </c>
      <c r="J42">
        <f>IF($L42="","",IF(INDEX(tblRegistros[Data],$L42)&gt;$D$4,"",IFERROR(INDEX(tblRegistros[Status],$L42),"")))</f>
        <v/>
      </c>
      <c r="K42">
        <f>IF($L42="","",IF(INDEX(tblRegistros[Data],$L42)&gt;$D$4,"",IFERROR(INDEX(tblRegistros[Observação],$L42),"")))</f>
        <v/>
      </c>
      <c r="L42" s="16">
        <f>IFERROR(MATCH($B$3*100000+COUNTIFS(tblRegistros[ID],$B$3,tblRegistros[Data],"&lt;"&amp;$B$4)+ROWS($L$10:L42),tblRegistros[Chave do cartão],0),"")</f>
        <v/>
      </c>
    </row>
    <row r="43">
      <c r="A43" s="2">
        <f>IF($L43="","",IF(INDEX(tblRegistros[Data],$L43)&gt;$D$4,"",IFERROR(INDEX(tblRegistros[Data],$L43),"")))</f>
        <v/>
      </c>
      <c r="B43">
        <f>IF($L43="","",IF(INDEX(tblRegistros[Data],$L43)&gt;$D$4,"",IFERROR(INDEX(tblRegistros[Projeto],$L43),"")))</f>
        <v/>
      </c>
      <c r="C43">
        <f>IF($L43="","",IF(INDEX(tblRegistros[Data],$L43)&gt;$D$4,"",IFERROR(INDEX(tblRegistros[Atividade],$L43),"")))</f>
        <v/>
      </c>
      <c r="D43" s="4">
        <f>IF($L43="","",IF(INDEX(tblRegistros[Data],$L43)&gt;$D$4,"",IFERROR(INDEX(tblRegistros[Início],$L43),"")))</f>
        <v/>
      </c>
      <c r="E43" s="4">
        <f>IF($L43="","",IF(INDEX(tblRegistros[Data],$L43)&gt;$D$4,"",IFERROR(IF(INDEX(tblRegistros[Status],$L43)="EM ABERTO","",INDEX(tblRegistros[Fim],$L43)),"")))</f>
        <v/>
      </c>
      <c r="F43" s="14">
        <f>IF($L43="","",IF(INDEX(tblRegistros[Data],$L43)&gt;$D$4,"",IFERROR(IF(INDEX(tblRegistros[Status],$L43)="EM ABERTO","",INDEX(tblRegistros[Horas],$L43)),"")))</f>
        <v/>
      </c>
      <c r="G43">
        <f>IF($L43="","",IF(INDEX(tblRegistros[Data],$L43)&gt;$D$4,"",IFERROR(INDEX(tblRegistros[Base],$L43),"")))</f>
        <v/>
      </c>
      <c r="H43" s="3">
        <f>IF($L43="","",IF(INDEX(tblRegistros[Data],$L43)&gt;$D$4,"",IFERROR(INDEX(tblRegistros[Taxa aplicada],$L43),"")))</f>
        <v/>
      </c>
      <c r="I43" s="3">
        <f>IF($L43="","",IF(INDEX(tblRegistros[Data],$L43)&gt;$D$4,"",IFERROR(IF(INDEX(tblRegistros[Status],$L43)="EM ABERTO","",INDEX(tblRegistros[Valor],$L43)),"")))</f>
        <v/>
      </c>
      <c r="J43">
        <f>IF($L43="","",IF(INDEX(tblRegistros[Data],$L43)&gt;$D$4,"",IFERROR(INDEX(tblRegistros[Status],$L43),"")))</f>
        <v/>
      </c>
      <c r="K43">
        <f>IF($L43="","",IF(INDEX(tblRegistros[Data],$L43)&gt;$D$4,"",IFERROR(INDEX(tblRegistros[Observação],$L43),"")))</f>
        <v/>
      </c>
      <c r="L43" s="16">
        <f>IFERROR(MATCH($B$3*100000+COUNTIFS(tblRegistros[ID],$B$3,tblRegistros[Data],"&lt;"&amp;$B$4)+ROWS($L$10:L43),tblRegistros[Chave do cartão],0),"")</f>
        <v/>
      </c>
    </row>
    <row r="44">
      <c r="A44" s="2">
        <f>IF($L44="","",IF(INDEX(tblRegistros[Data],$L44)&gt;$D$4,"",IFERROR(INDEX(tblRegistros[Data],$L44),"")))</f>
        <v/>
      </c>
      <c r="B44">
        <f>IF($L44="","",IF(INDEX(tblRegistros[Data],$L44)&gt;$D$4,"",IFERROR(INDEX(tblRegistros[Projeto],$L44),"")))</f>
        <v/>
      </c>
      <c r="C44">
        <f>IF($L44="","",IF(INDEX(tblRegistros[Data],$L44)&gt;$D$4,"",IFERROR(INDEX(tblRegistros[Atividade],$L44),"")))</f>
        <v/>
      </c>
      <c r="D44" s="4">
        <f>IF($L44="","",IF(INDEX(tblRegistros[Data],$L44)&gt;$D$4,"",IFERROR(INDEX(tblRegistros[Início],$L44),"")))</f>
        <v/>
      </c>
      <c r="E44" s="4">
        <f>IF($L44="","",IF(INDEX(tblRegistros[Data],$L44)&gt;$D$4,"",IFERROR(IF(INDEX(tblRegistros[Status],$L44)="EM ABERTO","",INDEX(tblRegistros[Fim],$L44)),"")))</f>
        <v/>
      </c>
      <c r="F44" s="14">
        <f>IF($L44="","",IF(INDEX(tblRegistros[Data],$L44)&gt;$D$4,"",IFERROR(IF(INDEX(tblRegistros[Status],$L44)="EM ABERTO","",INDEX(tblRegistros[Horas],$L44)),"")))</f>
        <v/>
      </c>
      <c r="G44">
        <f>IF($L44="","",IF(INDEX(tblRegistros[Data],$L44)&gt;$D$4,"",IFERROR(INDEX(tblRegistros[Base],$L44),"")))</f>
        <v/>
      </c>
      <c r="H44" s="3">
        <f>IF($L44="","",IF(INDEX(tblRegistros[Data],$L44)&gt;$D$4,"",IFERROR(INDEX(tblRegistros[Taxa aplicada],$L44),"")))</f>
        <v/>
      </c>
      <c r="I44" s="3">
        <f>IF($L44="","",IF(INDEX(tblRegistros[Data],$L44)&gt;$D$4,"",IFERROR(IF(INDEX(tblRegistros[Status],$L44)="EM ABERTO","",INDEX(tblRegistros[Valor],$L44)),"")))</f>
        <v/>
      </c>
      <c r="J44">
        <f>IF($L44="","",IF(INDEX(tblRegistros[Data],$L44)&gt;$D$4,"",IFERROR(INDEX(tblRegistros[Status],$L44),"")))</f>
        <v/>
      </c>
      <c r="K44">
        <f>IF($L44="","",IF(INDEX(tblRegistros[Data],$L44)&gt;$D$4,"",IFERROR(INDEX(tblRegistros[Observação],$L44),"")))</f>
        <v/>
      </c>
      <c r="L44" s="16">
        <f>IFERROR(MATCH($B$3*100000+COUNTIFS(tblRegistros[ID],$B$3,tblRegistros[Data],"&lt;"&amp;$B$4)+ROWS($L$10:L44),tblRegistros[Chave do cartão],0),"")</f>
        <v/>
      </c>
    </row>
    <row r="45">
      <c r="A45" s="2">
        <f>IF($L45="","",IF(INDEX(tblRegistros[Data],$L45)&gt;$D$4,"",IFERROR(INDEX(tblRegistros[Data],$L45),"")))</f>
        <v/>
      </c>
      <c r="B45">
        <f>IF($L45="","",IF(INDEX(tblRegistros[Data],$L45)&gt;$D$4,"",IFERROR(INDEX(tblRegistros[Projeto],$L45),"")))</f>
        <v/>
      </c>
      <c r="C45">
        <f>IF($L45="","",IF(INDEX(tblRegistros[Data],$L45)&gt;$D$4,"",IFERROR(INDEX(tblRegistros[Atividade],$L45),"")))</f>
        <v/>
      </c>
      <c r="D45" s="4">
        <f>IF($L45="","",IF(INDEX(tblRegistros[Data],$L45)&gt;$D$4,"",IFERROR(INDEX(tblRegistros[Início],$L45),"")))</f>
        <v/>
      </c>
      <c r="E45" s="4">
        <f>IF($L45="","",IF(INDEX(tblRegistros[Data],$L45)&gt;$D$4,"",IFERROR(IF(INDEX(tblRegistros[Status],$L45)="EM ABERTO","",INDEX(tblRegistros[Fim],$L45)),"")))</f>
        <v/>
      </c>
      <c r="F45" s="14">
        <f>IF($L45="","",IF(INDEX(tblRegistros[Data],$L45)&gt;$D$4,"",IFERROR(IF(INDEX(tblRegistros[Status],$L45)="EM ABERTO","",INDEX(tblRegistros[Horas],$L45)),"")))</f>
        <v/>
      </c>
      <c r="G45">
        <f>IF($L45="","",IF(INDEX(tblRegistros[Data],$L45)&gt;$D$4,"",IFERROR(INDEX(tblRegistros[Base],$L45),"")))</f>
        <v/>
      </c>
      <c r="H45" s="3">
        <f>IF($L45="","",IF(INDEX(tblRegistros[Data],$L45)&gt;$D$4,"",IFERROR(INDEX(tblRegistros[Taxa aplicada],$L45),"")))</f>
        <v/>
      </c>
      <c r="I45" s="3">
        <f>IF($L45="","",IF(INDEX(tblRegistros[Data],$L45)&gt;$D$4,"",IFERROR(IF(INDEX(tblRegistros[Status],$L45)="EM ABERTO","",INDEX(tblRegistros[Valor],$L45)),"")))</f>
        <v/>
      </c>
      <c r="J45">
        <f>IF($L45="","",IF(INDEX(tblRegistros[Data],$L45)&gt;$D$4,"",IFERROR(INDEX(tblRegistros[Status],$L45),"")))</f>
        <v/>
      </c>
      <c r="K45">
        <f>IF($L45="","",IF(INDEX(tblRegistros[Data],$L45)&gt;$D$4,"",IFERROR(INDEX(tblRegistros[Observação],$L45),"")))</f>
        <v/>
      </c>
      <c r="L45" s="16">
        <f>IFERROR(MATCH($B$3*100000+COUNTIFS(tblRegistros[ID],$B$3,tblRegistros[Data],"&lt;"&amp;$B$4)+ROWS($L$10:L45),tblRegistros[Chave do cartão],0),"")</f>
        <v/>
      </c>
    </row>
    <row r="46">
      <c r="A46" s="2">
        <f>IF($L46="","",IF(INDEX(tblRegistros[Data],$L46)&gt;$D$4,"",IFERROR(INDEX(tblRegistros[Data],$L46),"")))</f>
        <v/>
      </c>
      <c r="B46">
        <f>IF($L46="","",IF(INDEX(tblRegistros[Data],$L46)&gt;$D$4,"",IFERROR(INDEX(tblRegistros[Projeto],$L46),"")))</f>
        <v/>
      </c>
      <c r="C46">
        <f>IF($L46="","",IF(INDEX(tblRegistros[Data],$L46)&gt;$D$4,"",IFERROR(INDEX(tblRegistros[Atividade],$L46),"")))</f>
        <v/>
      </c>
      <c r="D46" s="4">
        <f>IF($L46="","",IF(INDEX(tblRegistros[Data],$L46)&gt;$D$4,"",IFERROR(INDEX(tblRegistros[Início],$L46),"")))</f>
        <v/>
      </c>
      <c r="E46" s="4">
        <f>IF($L46="","",IF(INDEX(tblRegistros[Data],$L46)&gt;$D$4,"",IFERROR(IF(INDEX(tblRegistros[Status],$L46)="EM ABERTO","",INDEX(tblRegistros[Fim],$L46)),"")))</f>
        <v/>
      </c>
      <c r="F46" s="14">
        <f>IF($L46="","",IF(INDEX(tblRegistros[Data],$L46)&gt;$D$4,"",IFERROR(IF(INDEX(tblRegistros[Status],$L46)="EM ABERTO","",INDEX(tblRegistros[Horas],$L46)),"")))</f>
        <v/>
      </c>
      <c r="G46">
        <f>IF($L46="","",IF(INDEX(tblRegistros[Data],$L46)&gt;$D$4,"",IFERROR(INDEX(tblRegistros[Base],$L46),"")))</f>
        <v/>
      </c>
      <c r="H46" s="3">
        <f>IF($L46="","",IF(INDEX(tblRegistros[Data],$L46)&gt;$D$4,"",IFERROR(INDEX(tblRegistros[Taxa aplicada],$L46),"")))</f>
        <v/>
      </c>
      <c r="I46" s="3">
        <f>IF($L46="","",IF(INDEX(tblRegistros[Data],$L46)&gt;$D$4,"",IFERROR(IF(INDEX(tblRegistros[Status],$L46)="EM ABERTO","",INDEX(tblRegistros[Valor],$L46)),"")))</f>
        <v/>
      </c>
      <c r="J46">
        <f>IF($L46="","",IF(INDEX(tblRegistros[Data],$L46)&gt;$D$4,"",IFERROR(INDEX(tblRegistros[Status],$L46),"")))</f>
        <v/>
      </c>
      <c r="K46">
        <f>IF($L46="","",IF(INDEX(tblRegistros[Data],$L46)&gt;$D$4,"",IFERROR(INDEX(tblRegistros[Observação],$L46),"")))</f>
        <v/>
      </c>
      <c r="L46" s="16">
        <f>IFERROR(MATCH($B$3*100000+COUNTIFS(tblRegistros[ID],$B$3,tblRegistros[Data],"&lt;"&amp;$B$4)+ROWS($L$10:L46),tblRegistros[Chave do cartão],0),"")</f>
        <v/>
      </c>
    </row>
    <row r="47">
      <c r="A47" s="2">
        <f>IF($L47="","",IF(INDEX(tblRegistros[Data],$L47)&gt;$D$4,"",IFERROR(INDEX(tblRegistros[Data],$L47),"")))</f>
        <v/>
      </c>
      <c r="B47">
        <f>IF($L47="","",IF(INDEX(tblRegistros[Data],$L47)&gt;$D$4,"",IFERROR(INDEX(tblRegistros[Projeto],$L47),"")))</f>
        <v/>
      </c>
      <c r="C47">
        <f>IF($L47="","",IF(INDEX(tblRegistros[Data],$L47)&gt;$D$4,"",IFERROR(INDEX(tblRegistros[Atividade],$L47),"")))</f>
        <v/>
      </c>
      <c r="D47" s="4">
        <f>IF($L47="","",IF(INDEX(tblRegistros[Data],$L47)&gt;$D$4,"",IFERROR(INDEX(tblRegistros[Início],$L47),"")))</f>
        <v/>
      </c>
      <c r="E47" s="4">
        <f>IF($L47="","",IF(INDEX(tblRegistros[Data],$L47)&gt;$D$4,"",IFERROR(IF(INDEX(tblRegistros[Status],$L47)="EM ABERTO","",INDEX(tblRegistros[Fim],$L47)),"")))</f>
        <v/>
      </c>
      <c r="F47" s="14">
        <f>IF($L47="","",IF(INDEX(tblRegistros[Data],$L47)&gt;$D$4,"",IFERROR(IF(INDEX(tblRegistros[Status],$L47)="EM ABERTO","",INDEX(tblRegistros[Horas],$L47)),"")))</f>
        <v/>
      </c>
      <c r="G47">
        <f>IF($L47="","",IF(INDEX(tblRegistros[Data],$L47)&gt;$D$4,"",IFERROR(INDEX(tblRegistros[Base],$L47),"")))</f>
        <v/>
      </c>
      <c r="H47" s="3">
        <f>IF($L47="","",IF(INDEX(tblRegistros[Data],$L47)&gt;$D$4,"",IFERROR(INDEX(tblRegistros[Taxa aplicada],$L47),"")))</f>
        <v/>
      </c>
      <c r="I47" s="3">
        <f>IF($L47="","",IF(INDEX(tblRegistros[Data],$L47)&gt;$D$4,"",IFERROR(IF(INDEX(tblRegistros[Status],$L47)="EM ABERTO","",INDEX(tblRegistros[Valor],$L47)),"")))</f>
        <v/>
      </c>
      <c r="J47">
        <f>IF($L47="","",IF(INDEX(tblRegistros[Data],$L47)&gt;$D$4,"",IFERROR(INDEX(tblRegistros[Status],$L47),"")))</f>
        <v/>
      </c>
      <c r="K47">
        <f>IF($L47="","",IF(INDEX(tblRegistros[Data],$L47)&gt;$D$4,"",IFERROR(INDEX(tblRegistros[Observação],$L47),"")))</f>
        <v/>
      </c>
      <c r="L47" s="16">
        <f>IFERROR(MATCH($B$3*100000+COUNTIFS(tblRegistros[ID],$B$3,tblRegistros[Data],"&lt;"&amp;$B$4)+ROWS($L$10:L47),tblRegistros[Chave do cartão],0),"")</f>
        <v/>
      </c>
    </row>
    <row r="48">
      <c r="A48" s="2">
        <f>IF($L48="","",IF(INDEX(tblRegistros[Data],$L48)&gt;$D$4,"",IFERROR(INDEX(tblRegistros[Data],$L48),"")))</f>
        <v/>
      </c>
      <c r="B48">
        <f>IF($L48="","",IF(INDEX(tblRegistros[Data],$L48)&gt;$D$4,"",IFERROR(INDEX(tblRegistros[Projeto],$L48),"")))</f>
        <v/>
      </c>
      <c r="C48">
        <f>IF($L48="","",IF(INDEX(tblRegistros[Data],$L48)&gt;$D$4,"",IFERROR(INDEX(tblRegistros[Atividade],$L48),"")))</f>
        <v/>
      </c>
      <c r="D48" s="4">
        <f>IF($L48="","",IF(INDEX(tblRegistros[Data],$L48)&gt;$D$4,"",IFERROR(INDEX(tblRegistros[Início],$L48),"")))</f>
        <v/>
      </c>
      <c r="E48" s="4">
        <f>IF($L48="","",IF(INDEX(tblRegistros[Data],$L48)&gt;$D$4,"",IFERROR(IF(INDEX(tblRegistros[Status],$L48)="EM ABERTO","",INDEX(tblRegistros[Fim],$L48)),"")))</f>
        <v/>
      </c>
      <c r="F48" s="14">
        <f>IF($L48="","",IF(INDEX(tblRegistros[Data],$L48)&gt;$D$4,"",IFERROR(IF(INDEX(tblRegistros[Status],$L48)="EM ABERTO","",INDEX(tblRegistros[Horas],$L48)),"")))</f>
        <v/>
      </c>
      <c r="G48">
        <f>IF($L48="","",IF(INDEX(tblRegistros[Data],$L48)&gt;$D$4,"",IFERROR(INDEX(tblRegistros[Base],$L48),"")))</f>
        <v/>
      </c>
      <c r="H48" s="3">
        <f>IF($L48="","",IF(INDEX(tblRegistros[Data],$L48)&gt;$D$4,"",IFERROR(INDEX(tblRegistros[Taxa aplicada],$L48),"")))</f>
        <v/>
      </c>
      <c r="I48" s="3">
        <f>IF($L48="","",IF(INDEX(tblRegistros[Data],$L48)&gt;$D$4,"",IFERROR(IF(INDEX(tblRegistros[Status],$L48)="EM ABERTO","",INDEX(tblRegistros[Valor],$L48)),"")))</f>
        <v/>
      </c>
      <c r="J48">
        <f>IF($L48="","",IF(INDEX(tblRegistros[Data],$L48)&gt;$D$4,"",IFERROR(INDEX(tblRegistros[Status],$L48),"")))</f>
        <v/>
      </c>
      <c r="K48">
        <f>IF($L48="","",IF(INDEX(tblRegistros[Data],$L48)&gt;$D$4,"",IFERROR(INDEX(tblRegistros[Observação],$L48),"")))</f>
        <v/>
      </c>
      <c r="L48" s="16">
        <f>IFERROR(MATCH($B$3*100000+COUNTIFS(tblRegistros[ID],$B$3,tblRegistros[Data],"&lt;"&amp;$B$4)+ROWS($L$10:L48),tblRegistros[Chave do cartão],0),"")</f>
        <v/>
      </c>
    </row>
    <row r="49">
      <c r="A49" s="2">
        <f>IF($L49="","",IF(INDEX(tblRegistros[Data],$L49)&gt;$D$4,"",IFERROR(INDEX(tblRegistros[Data],$L49),"")))</f>
        <v/>
      </c>
      <c r="B49">
        <f>IF($L49="","",IF(INDEX(tblRegistros[Data],$L49)&gt;$D$4,"",IFERROR(INDEX(tblRegistros[Projeto],$L49),"")))</f>
        <v/>
      </c>
      <c r="C49">
        <f>IF($L49="","",IF(INDEX(tblRegistros[Data],$L49)&gt;$D$4,"",IFERROR(INDEX(tblRegistros[Atividade],$L49),"")))</f>
        <v/>
      </c>
      <c r="D49" s="4">
        <f>IF($L49="","",IF(INDEX(tblRegistros[Data],$L49)&gt;$D$4,"",IFERROR(INDEX(tblRegistros[Início],$L49),"")))</f>
        <v/>
      </c>
      <c r="E49" s="4">
        <f>IF($L49="","",IF(INDEX(tblRegistros[Data],$L49)&gt;$D$4,"",IFERROR(IF(INDEX(tblRegistros[Status],$L49)="EM ABERTO","",INDEX(tblRegistros[Fim],$L49)),"")))</f>
        <v/>
      </c>
      <c r="F49" s="14">
        <f>IF($L49="","",IF(INDEX(tblRegistros[Data],$L49)&gt;$D$4,"",IFERROR(IF(INDEX(tblRegistros[Status],$L49)="EM ABERTO","",INDEX(tblRegistros[Horas],$L49)),"")))</f>
        <v/>
      </c>
      <c r="G49">
        <f>IF($L49="","",IF(INDEX(tblRegistros[Data],$L49)&gt;$D$4,"",IFERROR(INDEX(tblRegistros[Base],$L49),"")))</f>
        <v/>
      </c>
      <c r="H49" s="3">
        <f>IF($L49="","",IF(INDEX(tblRegistros[Data],$L49)&gt;$D$4,"",IFERROR(INDEX(tblRegistros[Taxa aplicada],$L49),"")))</f>
        <v/>
      </c>
      <c r="I49" s="3">
        <f>IF($L49="","",IF(INDEX(tblRegistros[Data],$L49)&gt;$D$4,"",IFERROR(IF(INDEX(tblRegistros[Status],$L49)="EM ABERTO","",INDEX(tblRegistros[Valor],$L49)),"")))</f>
        <v/>
      </c>
      <c r="J49">
        <f>IF($L49="","",IF(INDEX(tblRegistros[Data],$L49)&gt;$D$4,"",IFERROR(INDEX(tblRegistros[Status],$L49),"")))</f>
        <v/>
      </c>
      <c r="K49">
        <f>IF($L49="","",IF(INDEX(tblRegistros[Data],$L49)&gt;$D$4,"",IFERROR(INDEX(tblRegistros[Observação],$L49),"")))</f>
        <v/>
      </c>
      <c r="L49" s="16">
        <f>IFERROR(MATCH($B$3*100000+COUNTIFS(tblRegistros[ID],$B$3,tblRegistros[Data],"&lt;"&amp;$B$4)+ROWS($L$10:L49),tblRegistros[Chave do cartão],0),"")</f>
        <v/>
      </c>
    </row>
    <row r="50">
      <c r="A50" s="2">
        <f>IF($L50="","",IF(INDEX(tblRegistros[Data],$L50)&gt;$D$4,"",IFERROR(INDEX(tblRegistros[Data],$L50),"")))</f>
        <v/>
      </c>
      <c r="B50">
        <f>IF($L50="","",IF(INDEX(tblRegistros[Data],$L50)&gt;$D$4,"",IFERROR(INDEX(tblRegistros[Projeto],$L50),"")))</f>
        <v/>
      </c>
      <c r="C50">
        <f>IF($L50="","",IF(INDEX(tblRegistros[Data],$L50)&gt;$D$4,"",IFERROR(INDEX(tblRegistros[Atividade],$L50),"")))</f>
        <v/>
      </c>
      <c r="D50" s="4">
        <f>IF($L50="","",IF(INDEX(tblRegistros[Data],$L50)&gt;$D$4,"",IFERROR(INDEX(tblRegistros[Início],$L50),"")))</f>
        <v/>
      </c>
      <c r="E50" s="4">
        <f>IF($L50="","",IF(INDEX(tblRegistros[Data],$L50)&gt;$D$4,"",IFERROR(IF(INDEX(tblRegistros[Status],$L50)="EM ABERTO","",INDEX(tblRegistros[Fim],$L50)),"")))</f>
        <v/>
      </c>
      <c r="F50" s="14">
        <f>IF($L50="","",IF(INDEX(tblRegistros[Data],$L50)&gt;$D$4,"",IFERROR(IF(INDEX(tblRegistros[Status],$L50)="EM ABERTO","",INDEX(tblRegistros[Horas],$L50)),"")))</f>
        <v/>
      </c>
      <c r="G50">
        <f>IF($L50="","",IF(INDEX(tblRegistros[Data],$L50)&gt;$D$4,"",IFERROR(INDEX(tblRegistros[Base],$L50),"")))</f>
        <v/>
      </c>
      <c r="H50" s="3">
        <f>IF($L50="","",IF(INDEX(tblRegistros[Data],$L50)&gt;$D$4,"",IFERROR(INDEX(tblRegistros[Taxa aplicada],$L50),"")))</f>
        <v/>
      </c>
      <c r="I50" s="3">
        <f>IF($L50="","",IF(INDEX(tblRegistros[Data],$L50)&gt;$D$4,"",IFERROR(IF(INDEX(tblRegistros[Status],$L50)="EM ABERTO","",INDEX(tblRegistros[Valor],$L50)),"")))</f>
        <v/>
      </c>
      <c r="J50">
        <f>IF($L50="","",IF(INDEX(tblRegistros[Data],$L50)&gt;$D$4,"",IFERROR(INDEX(tblRegistros[Status],$L50),"")))</f>
        <v/>
      </c>
      <c r="K50">
        <f>IF($L50="","",IF(INDEX(tblRegistros[Data],$L50)&gt;$D$4,"",IFERROR(INDEX(tblRegistros[Observação],$L50),"")))</f>
        <v/>
      </c>
      <c r="L50" s="16">
        <f>IFERROR(MATCH($B$3*100000+COUNTIFS(tblRegistros[ID],$B$3,tblRegistros[Data],"&lt;"&amp;$B$4)+ROWS($L$10:L50),tblRegistros[Chave do cartão],0),"")</f>
        <v/>
      </c>
    </row>
    <row r="51">
      <c r="A51" s="2">
        <f>IF($L51="","",IF(INDEX(tblRegistros[Data],$L51)&gt;$D$4,"",IFERROR(INDEX(tblRegistros[Data],$L51),"")))</f>
        <v/>
      </c>
      <c r="B51">
        <f>IF($L51="","",IF(INDEX(tblRegistros[Data],$L51)&gt;$D$4,"",IFERROR(INDEX(tblRegistros[Projeto],$L51),"")))</f>
        <v/>
      </c>
      <c r="C51">
        <f>IF($L51="","",IF(INDEX(tblRegistros[Data],$L51)&gt;$D$4,"",IFERROR(INDEX(tblRegistros[Atividade],$L51),"")))</f>
        <v/>
      </c>
      <c r="D51" s="4">
        <f>IF($L51="","",IF(INDEX(tblRegistros[Data],$L51)&gt;$D$4,"",IFERROR(INDEX(tblRegistros[Início],$L51),"")))</f>
        <v/>
      </c>
      <c r="E51" s="4">
        <f>IF($L51="","",IF(INDEX(tblRegistros[Data],$L51)&gt;$D$4,"",IFERROR(IF(INDEX(tblRegistros[Status],$L51)="EM ABERTO","",INDEX(tblRegistros[Fim],$L51)),"")))</f>
        <v/>
      </c>
      <c r="F51" s="14">
        <f>IF($L51="","",IF(INDEX(tblRegistros[Data],$L51)&gt;$D$4,"",IFERROR(IF(INDEX(tblRegistros[Status],$L51)="EM ABERTO","",INDEX(tblRegistros[Horas],$L51)),"")))</f>
        <v/>
      </c>
      <c r="G51">
        <f>IF($L51="","",IF(INDEX(tblRegistros[Data],$L51)&gt;$D$4,"",IFERROR(INDEX(tblRegistros[Base],$L51),"")))</f>
        <v/>
      </c>
      <c r="H51" s="3">
        <f>IF($L51="","",IF(INDEX(tblRegistros[Data],$L51)&gt;$D$4,"",IFERROR(INDEX(tblRegistros[Taxa aplicada],$L51),"")))</f>
        <v/>
      </c>
      <c r="I51" s="3">
        <f>IF($L51="","",IF(INDEX(tblRegistros[Data],$L51)&gt;$D$4,"",IFERROR(IF(INDEX(tblRegistros[Status],$L51)="EM ABERTO","",INDEX(tblRegistros[Valor],$L51)),"")))</f>
        <v/>
      </c>
      <c r="J51">
        <f>IF($L51="","",IF(INDEX(tblRegistros[Data],$L51)&gt;$D$4,"",IFERROR(INDEX(tblRegistros[Status],$L51),"")))</f>
        <v/>
      </c>
      <c r="K51">
        <f>IF($L51="","",IF(INDEX(tblRegistros[Data],$L51)&gt;$D$4,"",IFERROR(INDEX(tblRegistros[Observação],$L51),"")))</f>
        <v/>
      </c>
      <c r="L51" s="16">
        <f>IFERROR(MATCH($B$3*100000+COUNTIFS(tblRegistros[ID],$B$3,tblRegistros[Data],"&lt;"&amp;$B$4)+ROWS($L$10:L51),tblRegistros[Chave do cartão],0),"")</f>
        <v/>
      </c>
    </row>
    <row r="52">
      <c r="A52" s="2">
        <f>IF($L52="","",IF(INDEX(tblRegistros[Data],$L52)&gt;$D$4,"",IFERROR(INDEX(tblRegistros[Data],$L52),"")))</f>
        <v/>
      </c>
      <c r="B52">
        <f>IF($L52="","",IF(INDEX(tblRegistros[Data],$L52)&gt;$D$4,"",IFERROR(INDEX(tblRegistros[Projeto],$L52),"")))</f>
        <v/>
      </c>
      <c r="C52">
        <f>IF($L52="","",IF(INDEX(tblRegistros[Data],$L52)&gt;$D$4,"",IFERROR(INDEX(tblRegistros[Atividade],$L52),"")))</f>
        <v/>
      </c>
      <c r="D52" s="4">
        <f>IF($L52="","",IF(INDEX(tblRegistros[Data],$L52)&gt;$D$4,"",IFERROR(INDEX(tblRegistros[Início],$L52),"")))</f>
        <v/>
      </c>
      <c r="E52" s="4">
        <f>IF($L52="","",IF(INDEX(tblRegistros[Data],$L52)&gt;$D$4,"",IFERROR(IF(INDEX(tblRegistros[Status],$L52)="EM ABERTO","",INDEX(tblRegistros[Fim],$L52)),"")))</f>
        <v/>
      </c>
      <c r="F52" s="14">
        <f>IF($L52="","",IF(INDEX(tblRegistros[Data],$L52)&gt;$D$4,"",IFERROR(IF(INDEX(tblRegistros[Status],$L52)="EM ABERTO","",INDEX(tblRegistros[Horas],$L52)),"")))</f>
        <v/>
      </c>
      <c r="G52">
        <f>IF($L52="","",IF(INDEX(tblRegistros[Data],$L52)&gt;$D$4,"",IFERROR(INDEX(tblRegistros[Base],$L52),"")))</f>
        <v/>
      </c>
      <c r="H52" s="3">
        <f>IF($L52="","",IF(INDEX(tblRegistros[Data],$L52)&gt;$D$4,"",IFERROR(INDEX(tblRegistros[Taxa aplicada],$L52),"")))</f>
        <v/>
      </c>
      <c r="I52" s="3">
        <f>IF($L52="","",IF(INDEX(tblRegistros[Data],$L52)&gt;$D$4,"",IFERROR(IF(INDEX(tblRegistros[Status],$L52)="EM ABERTO","",INDEX(tblRegistros[Valor],$L52)),"")))</f>
        <v/>
      </c>
      <c r="J52">
        <f>IF($L52="","",IF(INDEX(tblRegistros[Data],$L52)&gt;$D$4,"",IFERROR(INDEX(tblRegistros[Status],$L52),"")))</f>
        <v/>
      </c>
      <c r="K52">
        <f>IF($L52="","",IF(INDEX(tblRegistros[Data],$L52)&gt;$D$4,"",IFERROR(INDEX(tblRegistros[Observação],$L52),"")))</f>
        <v/>
      </c>
      <c r="L52" s="16">
        <f>IFERROR(MATCH($B$3*100000+COUNTIFS(tblRegistros[ID],$B$3,tblRegistros[Data],"&lt;"&amp;$B$4)+ROWS($L$10:L52),tblRegistros[Chave do cartão],0),"")</f>
        <v/>
      </c>
    </row>
    <row r="53">
      <c r="A53" s="2">
        <f>IF($L53="","",IF(INDEX(tblRegistros[Data],$L53)&gt;$D$4,"",IFERROR(INDEX(tblRegistros[Data],$L53),"")))</f>
        <v/>
      </c>
      <c r="B53">
        <f>IF($L53="","",IF(INDEX(tblRegistros[Data],$L53)&gt;$D$4,"",IFERROR(INDEX(tblRegistros[Projeto],$L53),"")))</f>
        <v/>
      </c>
      <c r="C53">
        <f>IF($L53="","",IF(INDEX(tblRegistros[Data],$L53)&gt;$D$4,"",IFERROR(INDEX(tblRegistros[Atividade],$L53),"")))</f>
        <v/>
      </c>
      <c r="D53" s="4">
        <f>IF($L53="","",IF(INDEX(tblRegistros[Data],$L53)&gt;$D$4,"",IFERROR(INDEX(tblRegistros[Início],$L53),"")))</f>
        <v/>
      </c>
      <c r="E53" s="4">
        <f>IF($L53="","",IF(INDEX(tblRegistros[Data],$L53)&gt;$D$4,"",IFERROR(IF(INDEX(tblRegistros[Status],$L53)="EM ABERTO","",INDEX(tblRegistros[Fim],$L53)),"")))</f>
        <v/>
      </c>
      <c r="F53" s="14">
        <f>IF($L53="","",IF(INDEX(tblRegistros[Data],$L53)&gt;$D$4,"",IFERROR(IF(INDEX(tblRegistros[Status],$L53)="EM ABERTO","",INDEX(tblRegistros[Horas],$L53)),"")))</f>
        <v/>
      </c>
      <c r="G53">
        <f>IF($L53="","",IF(INDEX(tblRegistros[Data],$L53)&gt;$D$4,"",IFERROR(INDEX(tblRegistros[Base],$L53),"")))</f>
        <v/>
      </c>
      <c r="H53" s="3">
        <f>IF($L53="","",IF(INDEX(tblRegistros[Data],$L53)&gt;$D$4,"",IFERROR(INDEX(tblRegistros[Taxa aplicada],$L53),"")))</f>
        <v/>
      </c>
      <c r="I53" s="3">
        <f>IF($L53="","",IF(INDEX(tblRegistros[Data],$L53)&gt;$D$4,"",IFERROR(IF(INDEX(tblRegistros[Status],$L53)="EM ABERTO","",INDEX(tblRegistros[Valor],$L53)),"")))</f>
        <v/>
      </c>
      <c r="J53">
        <f>IF($L53="","",IF(INDEX(tblRegistros[Data],$L53)&gt;$D$4,"",IFERROR(INDEX(tblRegistros[Status],$L53),"")))</f>
        <v/>
      </c>
      <c r="K53">
        <f>IF($L53="","",IF(INDEX(tblRegistros[Data],$L53)&gt;$D$4,"",IFERROR(INDEX(tblRegistros[Observação],$L53),"")))</f>
        <v/>
      </c>
      <c r="L53" s="16">
        <f>IFERROR(MATCH($B$3*100000+COUNTIFS(tblRegistros[ID],$B$3,tblRegistros[Data],"&lt;"&amp;$B$4)+ROWS($L$10:L53),tblRegistros[Chave do cartão],0),"")</f>
        <v/>
      </c>
    </row>
    <row r="54">
      <c r="A54" s="2">
        <f>IF($L54="","",IF(INDEX(tblRegistros[Data],$L54)&gt;$D$4,"",IFERROR(INDEX(tblRegistros[Data],$L54),"")))</f>
        <v/>
      </c>
      <c r="B54">
        <f>IF($L54="","",IF(INDEX(tblRegistros[Data],$L54)&gt;$D$4,"",IFERROR(INDEX(tblRegistros[Projeto],$L54),"")))</f>
        <v/>
      </c>
      <c r="C54">
        <f>IF($L54="","",IF(INDEX(tblRegistros[Data],$L54)&gt;$D$4,"",IFERROR(INDEX(tblRegistros[Atividade],$L54),"")))</f>
        <v/>
      </c>
      <c r="D54" s="4">
        <f>IF($L54="","",IF(INDEX(tblRegistros[Data],$L54)&gt;$D$4,"",IFERROR(INDEX(tblRegistros[Início],$L54),"")))</f>
        <v/>
      </c>
      <c r="E54" s="4">
        <f>IF($L54="","",IF(INDEX(tblRegistros[Data],$L54)&gt;$D$4,"",IFERROR(IF(INDEX(tblRegistros[Status],$L54)="EM ABERTO","",INDEX(tblRegistros[Fim],$L54)),"")))</f>
        <v/>
      </c>
      <c r="F54" s="14">
        <f>IF($L54="","",IF(INDEX(tblRegistros[Data],$L54)&gt;$D$4,"",IFERROR(IF(INDEX(tblRegistros[Status],$L54)="EM ABERTO","",INDEX(tblRegistros[Horas],$L54)),"")))</f>
        <v/>
      </c>
      <c r="G54">
        <f>IF($L54="","",IF(INDEX(tblRegistros[Data],$L54)&gt;$D$4,"",IFERROR(INDEX(tblRegistros[Base],$L54),"")))</f>
        <v/>
      </c>
      <c r="H54" s="3">
        <f>IF($L54="","",IF(INDEX(tblRegistros[Data],$L54)&gt;$D$4,"",IFERROR(INDEX(tblRegistros[Taxa aplicada],$L54),"")))</f>
        <v/>
      </c>
      <c r="I54" s="3">
        <f>IF($L54="","",IF(INDEX(tblRegistros[Data],$L54)&gt;$D$4,"",IFERROR(IF(INDEX(tblRegistros[Status],$L54)="EM ABERTO","",INDEX(tblRegistros[Valor],$L54)),"")))</f>
        <v/>
      </c>
      <c r="J54">
        <f>IF($L54="","",IF(INDEX(tblRegistros[Data],$L54)&gt;$D$4,"",IFERROR(INDEX(tblRegistros[Status],$L54),"")))</f>
        <v/>
      </c>
      <c r="K54">
        <f>IF($L54="","",IF(INDEX(tblRegistros[Data],$L54)&gt;$D$4,"",IFERROR(INDEX(tblRegistros[Observação],$L54),"")))</f>
        <v/>
      </c>
      <c r="L54" s="16">
        <f>IFERROR(MATCH($B$3*100000+COUNTIFS(tblRegistros[ID],$B$3,tblRegistros[Data],"&lt;"&amp;$B$4)+ROWS($L$10:L54),tblRegistros[Chave do cartão],0),"")</f>
        <v/>
      </c>
    </row>
    <row r="55">
      <c r="A55" s="2">
        <f>IF($L55="","",IF(INDEX(tblRegistros[Data],$L55)&gt;$D$4,"",IFERROR(INDEX(tblRegistros[Data],$L55),"")))</f>
        <v/>
      </c>
      <c r="B55">
        <f>IF($L55="","",IF(INDEX(tblRegistros[Data],$L55)&gt;$D$4,"",IFERROR(INDEX(tblRegistros[Projeto],$L55),"")))</f>
        <v/>
      </c>
      <c r="C55">
        <f>IF($L55="","",IF(INDEX(tblRegistros[Data],$L55)&gt;$D$4,"",IFERROR(INDEX(tblRegistros[Atividade],$L55),"")))</f>
        <v/>
      </c>
      <c r="D55" s="4">
        <f>IF($L55="","",IF(INDEX(tblRegistros[Data],$L55)&gt;$D$4,"",IFERROR(INDEX(tblRegistros[Início],$L55),"")))</f>
        <v/>
      </c>
      <c r="E55" s="4">
        <f>IF($L55="","",IF(INDEX(tblRegistros[Data],$L55)&gt;$D$4,"",IFERROR(IF(INDEX(tblRegistros[Status],$L55)="EM ABERTO","",INDEX(tblRegistros[Fim],$L55)),"")))</f>
        <v/>
      </c>
      <c r="F55" s="14">
        <f>IF($L55="","",IF(INDEX(tblRegistros[Data],$L55)&gt;$D$4,"",IFERROR(IF(INDEX(tblRegistros[Status],$L55)="EM ABERTO","",INDEX(tblRegistros[Horas],$L55)),"")))</f>
        <v/>
      </c>
      <c r="G55">
        <f>IF($L55="","",IF(INDEX(tblRegistros[Data],$L55)&gt;$D$4,"",IFERROR(INDEX(tblRegistros[Base],$L55),"")))</f>
        <v/>
      </c>
      <c r="H55" s="3">
        <f>IF($L55="","",IF(INDEX(tblRegistros[Data],$L55)&gt;$D$4,"",IFERROR(INDEX(tblRegistros[Taxa aplicada],$L55),"")))</f>
        <v/>
      </c>
      <c r="I55" s="3">
        <f>IF($L55="","",IF(INDEX(tblRegistros[Data],$L55)&gt;$D$4,"",IFERROR(IF(INDEX(tblRegistros[Status],$L55)="EM ABERTO","",INDEX(tblRegistros[Valor],$L55)),"")))</f>
        <v/>
      </c>
      <c r="J55">
        <f>IF($L55="","",IF(INDEX(tblRegistros[Data],$L55)&gt;$D$4,"",IFERROR(INDEX(tblRegistros[Status],$L55),"")))</f>
        <v/>
      </c>
      <c r="K55">
        <f>IF($L55="","",IF(INDEX(tblRegistros[Data],$L55)&gt;$D$4,"",IFERROR(INDEX(tblRegistros[Observação],$L55),"")))</f>
        <v/>
      </c>
      <c r="L55" s="16">
        <f>IFERROR(MATCH($B$3*100000+COUNTIFS(tblRegistros[ID],$B$3,tblRegistros[Data],"&lt;"&amp;$B$4)+ROWS($L$10:L55),tblRegistros[Chave do cartão],0),"")</f>
        <v/>
      </c>
    </row>
    <row r="56">
      <c r="A56" s="2">
        <f>IF($L56="","",IF(INDEX(tblRegistros[Data],$L56)&gt;$D$4,"",IFERROR(INDEX(tblRegistros[Data],$L56),"")))</f>
        <v/>
      </c>
      <c r="B56">
        <f>IF($L56="","",IF(INDEX(tblRegistros[Data],$L56)&gt;$D$4,"",IFERROR(INDEX(tblRegistros[Projeto],$L56),"")))</f>
        <v/>
      </c>
      <c r="C56">
        <f>IF($L56="","",IF(INDEX(tblRegistros[Data],$L56)&gt;$D$4,"",IFERROR(INDEX(tblRegistros[Atividade],$L56),"")))</f>
        <v/>
      </c>
      <c r="D56" s="4">
        <f>IF($L56="","",IF(INDEX(tblRegistros[Data],$L56)&gt;$D$4,"",IFERROR(INDEX(tblRegistros[Início],$L56),"")))</f>
        <v/>
      </c>
      <c r="E56" s="4">
        <f>IF($L56="","",IF(INDEX(tblRegistros[Data],$L56)&gt;$D$4,"",IFERROR(IF(INDEX(tblRegistros[Status],$L56)="EM ABERTO","",INDEX(tblRegistros[Fim],$L56)),"")))</f>
        <v/>
      </c>
      <c r="F56" s="14">
        <f>IF($L56="","",IF(INDEX(tblRegistros[Data],$L56)&gt;$D$4,"",IFERROR(IF(INDEX(tblRegistros[Status],$L56)="EM ABERTO","",INDEX(tblRegistros[Horas],$L56)),"")))</f>
        <v/>
      </c>
      <c r="G56">
        <f>IF($L56="","",IF(INDEX(tblRegistros[Data],$L56)&gt;$D$4,"",IFERROR(INDEX(tblRegistros[Base],$L56),"")))</f>
        <v/>
      </c>
      <c r="H56" s="3">
        <f>IF($L56="","",IF(INDEX(tblRegistros[Data],$L56)&gt;$D$4,"",IFERROR(INDEX(tblRegistros[Taxa aplicada],$L56),"")))</f>
        <v/>
      </c>
      <c r="I56" s="3">
        <f>IF($L56="","",IF(INDEX(tblRegistros[Data],$L56)&gt;$D$4,"",IFERROR(IF(INDEX(tblRegistros[Status],$L56)="EM ABERTO","",INDEX(tblRegistros[Valor],$L56)),"")))</f>
        <v/>
      </c>
      <c r="J56">
        <f>IF($L56="","",IF(INDEX(tblRegistros[Data],$L56)&gt;$D$4,"",IFERROR(INDEX(tblRegistros[Status],$L56),"")))</f>
        <v/>
      </c>
      <c r="K56">
        <f>IF($L56="","",IF(INDEX(tblRegistros[Data],$L56)&gt;$D$4,"",IFERROR(INDEX(tblRegistros[Observação],$L56),"")))</f>
        <v/>
      </c>
      <c r="L56" s="16">
        <f>IFERROR(MATCH($B$3*100000+COUNTIFS(tblRegistros[ID],$B$3,tblRegistros[Data],"&lt;"&amp;$B$4)+ROWS($L$10:L56),tblRegistros[Chave do cartão],0),"")</f>
        <v/>
      </c>
    </row>
    <row r="57">
      <c r="A57" s="2">
        <f>IF($L57="","",IF(INDEX(tblRegistros[Data],$L57)&gt;$D$4,"",IFERROR(INDEX(tblRegistros[Data],$L57),"")))</f>
        <v/>
      </c>
      <c r="B57">
        <f>IF($L57="","",IF(INDEX(tblRegistros[Data],$L57)&gt;$D$4,"",IFERROR(INDEX(tblRegistros[Projeto],$L57),"")))</f>
        <v/>
      </c>
      <c r="C57">
        <f>IF($L57="","",IF(INDEX(tblRegistros[Data],$L57)&gt;$D$4,"",IFERROR(INDEX(tblRegistros[Atividade],$L57),"")))</f>
        <v/>
      </c>
      <c r="D57" s="4">
        <f>IF($L57="","",IF(INDEX(tblRegistros[Data],$L57)&gt;$D$4,"",IFERROR(INDEX(tblRegistros[Início],$L57),"")))</f>
        <v/>
      </c>
      <c r="E57" s="4">
        <f>IF($L57="","",IF(INDEX(tblRegistros[Data],$L57)&gt;$D$4,"",IFERROR(IF(INDEX(tblRegistros[Status],$L57)="EM ABERTO","",INDEX(tblRegistros[Fim],$L57)),"")))</f>
        <v/>
      </c>
      <c r="F57" s="14">
        <f>IF($L57="","",IF(INDEX(tblRegistros[Data],$L57)&gt;$D$4,"",IFERROR(IF(INDEX(tblRegistros[Status],$L57)="EM ABERTO","",INDEX(tblRegistros[Horas],$L57)),"")))</f>
        <v/>
      </c>
      <c r="G57">
        <f>IF($L57="","",IF(INDEX(tblRegistros[Data],$L57)&gt;$D$4,"",IFERROR(INDEX(tblRegistros[Base],$L57),"")))</f>
        <v/>
      </c>
      <c r="H57" s="3">
        <f>IF($L57="","",IF(INDEX(tblRegistros[Data],$L57)&gt;$D$4,"",IFERROR(INDEX(tblRegistros[Taxa aplicada],$L57),"")))</f>
        <v/>
      </c>
      <c r="I57" s="3">
        <f>IF($L57="","",IF(INDEX(tblRegistros[Data],$L57)&gt;$D$4,"",IFERROR(IF(INDEX(tblRegistros[Status],$L57)="EM ABERTO","",INDEX(tblRegistros[Valor],$L57)),"")))</f>
        <v/>
      </c>
      <c r="J57">
        <f>IF($L57="","",IF(INDEX(tblRegistros[Data],$L57)&gt;$D$4,"",IFERROR(INDEX(tblRegistros[Status],$L57),"")))</f>
        <v/>
      </c>
      <c r="K57">
        <f>IF($L57="","",IF(INDEX(tblRegistros[Data],$L57)&gt;$D$4,"",IFERROR(INDEX(tblRegistros[Observação],$L57),"")))</f>
        <v/>
      </c>
      <c r="L57" s="16">
        <f>IFERROR(MATCH($B$3*100000+COUNTIFS(tblRegistros[ID],$B$3,tblRegistros[Data],"&lt;"&amp;$B$4)+ROWS($L$10:L57),tblRegistros[Chave do cartão],0),"")</f>
        <v/>
      </c>
    </row>
    <row r="58">
      <c r="A58" s="2">
        <f>IF($L58="","",IF(INDEX(tblRegistros[Data],$L58)&gt;$D$4,"",IFERROR(INDEX(tblRegistros[Data],$L58),"")))</f>
        <v/>
      </c>
      <c r="B58">
        <f>IF($L58="","",IF(INDEX(tblRegistros[Data],$L58)&gt;$D$4,"",IFERROR(INDEX(tblRegistros[Projeto],$L58),"")))</f>
        <v/>
      </c>
      <c r="C58">
        <f>IF($L58="","",IF(INDEX(tblRegistros[Data],$L58)&gt;$D$4,"",IFERROR(INDEX(tblRegistros[Atividade],$L58),"")))</f>
        <v/>
      </c>
      <c r="D58" s="4">
        <f>IF($L58="","",IF(INDEX(tblRegistros[Data],$L58)&gt;$D$4,"",IFERROR(INDEX(tblRegistros[Início],$L58),"")))</f>
        <v/>
      </c>
      <c r="E58" s="4">
        <f>IF($L58="","",IF(INDEX(tblRegistros[Data],$L58)&gt;$D$4,"",IFERROR(IF(INDEX(tblRegistros[Status],$L58)="EM ABERTO","",INDEX(tblRegistros[Fim],$L58)),"")))</f>
        <v/>
      </c>
      <c r="F58" s="14">
        <f>IF($L58="","",IF(INDEX(tblRegistros[Data],$L58)&gt;$D$4,"",IFERROR(IF(INDEX(tblRegistros[Status],$L58)="EM ABERTO","",INDEX(tblRegistros[Horas],$L58)),"")))</f>
        <v/>
      </c>
      <c r="G58">
        <f>IF($L58="","",IF(INDEX(tblRegistros[Data],$L58)&gt;$D$4,"",IFERROR(INDEX(tblRegistros[Base],$L58),"")))</f>
        <v/>
      </c>
      <c r="H58" s="3">
        <f>IF($L58="","",IF(INDEX(tblRegistros[Data],$L58)&gt;$D$4,"",IFERROR(INDEX(tblRegistros[Taxa aplicada],$L58),"")))</f>
        <v/>
      </c>
      <c r="I58" s="3">
        <f>IF($L58="","",IF(INDEX(tblRegistros[Data],$L58)&gt;$D$4,"",IFERROR(IF(INDEX(tblRegistros[Status],$L58)="EM ABERTO","",INDEX(tblRegistros[Valor],$L58)),"")))</f>
        <v/>
      </c>
      <c r="J58">
        <f>IF($L58="","",IF(INDEX(tblRegistros[Data],$L58)&gt;$D$4,"",IFERROR(INDEX(tblRegistros[Status],$L58),"")))</f>
        <v/>
      </c>
      <c r="K58">
        <f>IF($L58="","",IF(INDEX(tblRegistros[Data],$L58)&gt;$D$4,"",IFERROR(INDEX(tblRegistros[Observação],$L58),"")))</f>
        <v/>
      </c>
      <c r="L58" s="16">
        <f>IFERROR(MATCH($B$3*100000+COUNTIFS(tblRegistros[ID],$B$3,tblRegistros[Data],"&lt;"&amp;$B$4)+ROWS($L$10:L58),tblRegistros[Chave do cartão],0),"")</f>
        <v/>
      </c>
    </row>
    <row r="59">
      <c r="A59" s="2">
        <f>IF($L59="","",IF(INDEX(tblRegistros[Data],$L59)&gt;$D$4,"",IFERROR(INDEX(tblRegistros[Data],$L59),"")))</f>
        <v/>
      </c>
      <c r="B59">
        <f>IF($L59="","",IF(INDEX(tblRegistros[Data],$L59)&gt;$D$4,"",IFERROR(INDEX(tblRegistros[Projeto],$L59),"")))</f>
        <v/>
      </c>
      <c r="C59">
        <f>IF($L59="","",IF(INDEX(tblRegistros[Data],$L59)&gt;$D$4,"",IFERROR(INDEX(tblRegistros[Atividade],$L59),"")))</f>
        <v/>
      </c>
      <c r="D59" s="4">
        <f>IF($L59="","",IF(INDEX(tblRegistros[Data],$L59)&gt;$D$4,"",IFERROR(INDEX(tblRegistros[Início],$L59),"")))</f>
        <v/>
      </c>
      <c r="E59" s="4">
        <f>IF($L59="","",IF(INDEX(tblRegistros[Data],$L59)&gt;$D$4,"",IFERROR(IF(INDEX(tblRegistros[Status],$L59)="EM ABERTO","",INDEX(tblRegistros[Fim],$L59)),"")))</f>
        <v/>
      </c>
      <c r="F59" s="14">
        <f>IF($L59="","",IF(INDEX(tblRegistros[Data],$L59)&gt;$D$4,"",IFERROR(IF(INDEX(tblRegistros[Status],$L59)="EM ABERTO","",INDEX(tblRegistros[Horas],$L59)),"")))</f>
        <v/>
      </c>
      <c r="G59">
        <f>IF($L59="","",IF(INDEX(tblRegistros[Data],$L59)&gt;$D$4,"",IFERROR(INDEX(tblRegistros[Base],$L59),"")))</f>
        <v/>
      </c>
      <c r="H59" s="3">
        <f>IF($L59="","",IF(INDEX(tblRegistros[Data],$L59)&gt;$D$4,"",IFERROR(INDEX(tblRegistros[Taxa aplicada],$L59),"")))</f>
        <v/>
      </c>
      <c r="I59" s="3">
        <f>IF($L59="","",IF(INDEX(tblRegistros[Data],$L59)&gt;$D$4,"",IFERROR(IF(INDEX(tblRegistros[Status],$L59)="EM ABERTO","",INDEX(tblRegistros[Valor],$L59)),"")))</f>
        <v/>
      </c>
      <c r="J59">
        <f>IF($L59="","",IF(INDEX(tblRegistros[Data],$L59)&gt;$D$4,"",IFERROR(INDEX(tblRegistros[Status],$L59),"")))</f>
        <v/>
      </c>
      <c r="K59">
        <f>IF($L59="","",IF(INDEX(tblRegistros[Data],$L59)&gt;$D$4,"",IFERROR(INDEX(tblRegistros[Observação],$L59),"")))</f>
        <v/>
      </c>
      <c r="L59" s="16">
        <f>IFERROR(MATCH($B$3*100000+COUNTIFS(tblRegistros[ID],$B$3,tblRegistros[Data],"&lt;"&amp;$B$4)+ROWS($L$10:L59),tblRegistros[Chave do cartão],0),"")</f>
        <v/>
      </c>
    </row>
    <row r="60">
      <c r="A60" s="2">
        <f>IF($L60="","",IF(INDEX(tblRegistros[Data],$L60)&gt;$D$4,"",IFERROR(INDEX(tblRegistros[Data],$L60),"")))</f>
        <v/>
      </c>
      <c r="B60">
        <f>IF($L60="","",IF(INDEX(tblRegistros[Data],$L60)&gt;$D$4,"",IFERROR(INDEX(tblRegistros[Projeto],$L60),"")))</f>
        <v/>
      </c>
      <c r="C60">
        <f>IF($L60="","",IF(INDEX(tblRegistros[Data],$L60)&gt;$D$4,"",IFERROR(INDEX(tblRegistros[Atividade],$L60),"")))</f>
        <v/>
      </c>
      <c r="D60" s="4">
        <f>IF($L60="","",IF(INDEX(tblRegistros[Data],$L60)&gt;$D$4,"",IFERROR(INDEX(tblRegistros[Início],$L60),"")))</f>
        <v/>
      </c>
      <c r="E60" s="4">
        <f>IF($L60="","",IF(INDEX(tblRegistros[Data],$L60)&gt;$D$4,"",IFERROR(IF(INDEX(tblRegistros[Status],$L60)="EM ABERTO","",INDEX(tblRegistros[Fim],$L60)),"")))</f>
        <v/>
      </c>
      <c r="F60" s="14">
        <f>IF($L60="","",IF(INDEX(tblRegistros[Data],$L60)&gt;$D$4,"",IFERROR(IF(INDEX(tblRegistros[Status],$L60)="EM ABERTO","",INDEX(tblRegistros[Horas],$L60)),"")))</f>
        <v/>
      </c>
      <c r="G60">
        <f>IF($L60="","",IF(INDEX(tblRegistros[Data],$L60)&gt;$D$4,"",IFERROR(INDEX(tblRegistros[Base],$L60),"")))</f>
        <v/>
      </c>
      <c r="H60" s="3">
        <f>IF($L60="","",IF(INDEX(tblRegistros[Data],$L60)&gt;$D$4,"",IFERROR(INDEX(tblRegistros[Taxa aplicada],$L60),"")))</f>
        <v/>
      </c>
      <c r="I60" s="3">
        <f>IF($L60="","",IF(INDEX(tblRegistros[Data],$L60)&gt;$D$4,"",IFERROR(IF(INDEX(tblRegistros[Status],$L60)="EM ABERTO","",INDEX(tblRegistros[Valor],$L60)),"")))</f>
        <v/>
      </c>
      <c r="J60">
        <f>IF($L60="","",IF(INDEX(tblRegistros[Data],$L60)&gt;$D$4,"",IFERROR(INDEX(tblRegistros[Status],$L60),"")))</f>
        <v/>
      </c>
      <c r="K60">
        <f>IF($L60="","",IF(INDEX(tblRegistros[Data],$L60)&gt;$D$4,"",IFERROR(INDEX(tblRegistros[Observação],$L60),"")))</f>
        <v/>
      </c>
      <c r="L60" s="16">
        <f>IFERROR(MATCH($B$3*100000+COUNTIFS(tblRegistros[ID],$B$3,tblRegistros[Data],"&lt;"&amp;$B$4)+ROWS($L$10:L60),tblRegistros[Chave do cartão],0),"")</f>
        <v/>
      </c>
    </row>
    <row r="61">
      <c r="A61" s="2">
        <f>IF($L61="","",IF(INDEX(tblRegistros[Data],$L61)&gt;$D$4,"",IFERROR(INDEX(tblRegistros[Data],$L61),"")))</f>
        <v/>
      </c>
      <c r="B61">
        <f>IF($L61="","",IF(INDEX(tblRegistros[Data],$L61)&gt;$D$4,"",IFERROR(INDEX(tblRegistros[Projeto],$L61),"")))</f>
        <v/>
      </c>
      <c r="C61">
        <f>IF($L61="","",IF(INDEX(tblRegistros[Data],$L61)&gt;$D$4,"",IFERROR(INDEX(tblRegistros[Atividade],$L61),"")))</f>
        <v/>
      </c>
      <c r="D61" s="4">
        <f>IF($L61="","",IF(INDEX(tblRegistros[Data],$L61)&gt;$D$4,"",IFERROR(INDEX(tblRegistros[Início],$L61),"")))</f>
        <v/>
      </c>
      <c r="E61" s="4">
        <f>IF($L61="","",IF(INDEX(tblRegistros[Data],$L61)&gt;$D$4,"",IFERROR(IF(INDEX(tblRegistros[Status],$L61)="EM ABERTO","",INDEX(tblRegistros[Fim],$L61)),"")))</f>
        <v/>
      </c>
      <c r="F61" s="14">
        <f>IF($L61="","",IF(INDEX(tblRegistros[Data],$L61)&gt;$D$4,"",IFERROR(IF(INDEX(tblRegistros[Status],$L61)="EM ABERTO","",INDEX(tblRegistros[Horas],$L61)),"")))</f>
        <v/>
      </c>
      <c r="G61">
        <f>IF($L61="","",IF(INDEX(tblRegistros[Data],$L61)&gt;$D$4,"",IFERROR(INDEX(tblRegistros[Base],$L61),"")))</f>
        <v/>
      </c>
      <c r="H61" s="3">
        <f>IF($L61="","",IF(INDEX(tblRegistros[Data],$L61)&gt;$D$4,"",IFERROR(INDEX(tblRegistros[Taxa aplicada],$L61),"")))</f>
        <v/>
      </c>
      <c r="I61" s="3">
        <f>IF($L61="","",IF(INDEX(tblRegistros[Data],$L61)&gt;$D$4,"",IFERROR(IF(INDEX(tblRegistros[Status],$L61)="EM ABERTO","",INDEX(tblRegistros[Valor],$L61)),"")))</f>
        <v/>
      </c>
      <c r="J61">
        <f>IF($L61="","",IF(INDEX(tblRegistros[Data],$L61)&gt;$D$4,"",IFERROR(INDEX(tblRegistros[Status],$L61),"")))</f>
        <v/>
      </c>
      <c r="K61">
        <f>IF($L61="","",IF(INDEX(tblRegistros[Data],$L61)&gt;$D$4,"",IFERROR(INDEX(tblRegistros[Observação],$L61),"")))</f>
        <v/>
      </c>
      <c r="L61" s="16">
        <f>IFERROR(MATCH($B$3*100000+COUNTIFS(tblRegistros[ID],$B$3,tblRegistros[Data],"&lt;"&amp;$B$4)+ROWS($L$10:L61),tblRegistros[Chave do cartão],0),"")</f>
        <v/>
      </c>
    </row>
    <row r="62">
      <c r="A62" s="2">
        <f>IF($L62="","",IF(INDEX(tblRegistros[Data],$L62)&gt;$D$4,"",IFERROR(INDEX(tblRegistros[Data],$L62),"")))</f>
        <v/>
      </c>
      <c r="B62">
        <f>IF($L62="","",IF(INDEX(tblRegistros[Data],$L62)&gt;$D$4,"",IFERROR(INDEX(tblRegistros[Projeto],$L62),"")))</f>
        <v/>
      </c>
      <c r="C62">
        <f>IF($L62="","",IF(INDEX(tblRegistros[Data],$L62)&gt;$D$4,"",IFERROR(INDEX(tblRegistros[Atividade],$L62),"")))</f>
        <v/>
      </c>
      <c r="D62" s="4">
        <f>IF($L62="","",IF(INDEX(tblRegistros[Data],$L62)&gt;$D$4,"",IFERROR(INDEX(tblRegistros[Início],$L62),"")))</f>
        <v/>
      </c>
      <c r="E62" s="4">
        <f>IF($L62="","",IF(INDEX(tblRegistros[Data],$L62)&gt;$D$4,"",IFERROR(IF(INDEX(tblRegistros[Status],$L62)="EM ABERTO","",INDEX(tblRegistros[Fim],$L62)),"")))</f>
        <v/>
      </c>
      <c r="F62" s="14">
        <f>IF($L62="","",IF(INDEX(tblRegistros[Data],$L62)&gt;$D$4,"",IFERROR(IF(INDEX(tblRegistros[Status],$L62)="EM ABERTO","",INDEX(tblRegistros[Horas],$L62)),"")))</f>
        <v/>
      </c>
      <c r="G62">
        <f>IF($L62="","",IF(INDEX(tblRegistros[Data],$L62)&gt;$D$4,"",IFERROR(INDEX(tblRegistros[Base],$L62),"")))</f>
        <v/>
      </c>
      <c r="H62" s="3">
        <f>IF($L62="","",IF(INDEX(tblRegistros[Data],$L62)&gt;$D$4,"",IFERROR(INDEX(tblRegistros[Taxa aplicada],$L62),"")))</f>
        <v/>
      </c>
      <c r="I62" s="3">
        <f>IF($L62="","",IF(INDEX(tblRegistros[Data],$L62)&gt;$D$4,"",IFERROR(IF(INDEX(tblRegistros[Status],$L62)="EM ABERTO","",INDEX(tblRegistros[Valor],$L62)),"")))</f>
        <v/>
      </c>
      <c r="J62">
        <f>IF($L62="","",IF(INDEX(tblRegistros[Data],$L62)&gt;$D$4,"",IFERROR(INDEX(tblRegistros[Status],$L62),"")))</f>
        <v/>
      </c>
      <c r="K62">
        <f>IF($L62="","",IF(INDEX(tblRegistros[Data],$L62)&gt;$D$4,"",IFERROR(INDEX(tblRegistros[Observação],$L62),"")))</f>
        <v/>
      </c>
      <c r="L62" s="16">
        <f>IFERROR(MATCH($B$3*100000+COUNTIFS(tblRegistros[ID],$B$3,tblRegistros[Data],"&lt;"&amp;$B$4)+ROWS($L$10:L62),tblRegistros[Chave do cartão],0),"")</f>
        <v/>
      </c>
    </row>
    <row r="63">
      <c r="A63" s="2">
        <f>IF($L63="","",IF(INDEX(tblRegistros[Data],$L63)&gt;$D$4,"",IFERROR(INDEX(tblRegistros[Data],$L63),"")))</f>
        <v/>
      </c>
      <c r="B63">
        <f>IF($L63="","",IF(INDEX(tblRegistros[Data],$L63)&gt;$D$4,"",IFERROR(INDEX(tblRegistros[Projeto],$L63),"")))</f>
        <v/>
      </c>
      <c r="C63">
        <f>IF($L63="","",IF(INDEX(tblRegistros[Data],$L63)&gt;$D$4,"",IFERROR(INDEX(tblRegistros[Atividade],$L63),"")))</f>
        <v/>
      </c>
      <c r="D63" s="4">
        <f>IF($L63="","",IF(INDEX(tblRegistros[Data],$L63)&gt;$D$4,"",IFERROR(INDEX(tblRegistros[Início],$L63),"")))</f>
        <v/>
      </c>
      <c r="E63" s="4">
        <f>IF($L63="","",IF(INDEX(tblRegistros[Data],$L63)&gt;$D$4,"",IFERROR(IF(INDEX(tblRegistros[Status],$L63)="EM ABERTO","",INDEX(tblRegistros[Fim],$L63)),"")))</f>
        <v/>
      </c>
      <c r="F63" s="14">
        <f>IF($L63="","",IF(INDEX(tblRegistros[Data],$L63)&gt;$D$4,"",IFERROR(IF(INDEX(tblRegistros[Status],$L63)="EM ABERTO","",INDEX(tblRegistros[Horas],$L63)),"")))</f>
        <v/>
      </c>
      <c r="G63">
        <f>IF($L63="","",IF(INDEX(tblRegistros[Data],$L63)&gt;$D$4,"",IFERROR(INDEX(tblRegistros[Base],$L63),"")))</f>
        <v/>
      </c>
      <c r="H63" s="3">
        <f>IF($L63="","",IF(INDEX(tblRegistros[Data],$L63)&gt;$D$4,"",IFERROR(INDEX(tblRegistros[Taxa aplicada],$L63),"")))</f>
        <v/>
      </c>
      <c r="I63" s="3">
        <f>IF($L63="","",IF(INDEX(tblRegistros[Data],$L63)&gt;$D$4,"",IFERROR(IF(INDEX(tblRegistros[Status],$L63)="EM ABERTO","",INDEX(tblRegistros[Valor],$L63)),"")))</f>
        <v/>
      </c>
      <c r="J63">
        <f>IF($L63="","",IF(INDEX(tblRegistros[Data],$L63)&gt;$D$4,"",IFERROR(INDEX(tblRegistros[Status],$L63),"")))</f>
        <v/>
      </c>
      <c r="K63">
        <f>IF($L63="","",IF(INDEX(tblRegistros[Data],$L63)&gt;$D$4,"",IFERROR(INDEX(tblRegistros[Observação],$L63),"")))</f>
        <v/>
      </c>
      <c r="L63" s="16">
        <f>IFERROR(MATCH($B$3*100000+COUNTIFS(tblRegistros[ID],$B$3,tblRegistros[Data],"&lt;"&amp;$B$4)+ROWS($L$10:L63),tblRegistros[Chave do cartão],0),"")</f>
        <v/>
      </c>
    </row>
    <row r="64">
      <c r="A64" s="2">
        <f>IF($L64="","",IF(INDEX(tblRegistros[Data],$L64)&gt;$D$4,"",IFERROR(INDEX(tblRegistros[Data],$L64),"")))</f>
        <v/>
      </c>
      <c r="B64">
        <f>IF($L64="","",IF(INDEX(tblRegistros[Data],$L64)&gt;$D$4,"",IFERROR(INDEX(tblRegistros[Projeto],$L64),"")))</f>
        <v/>
      </c>
      <c r="C64">
        <f>IF($L64="","",IF(INDEX(tblRegistros[Data],$L64)&gt;$D$4,"",IFERROR(INDEX(tblRegistros[Atividade],$L64),"")))</f>
        <v/>
      </c>
      <c r="D64" s="4">
        <f>IF($L64="","",IF(INDEX(tblRegistros[Data],$L64)&gt;$D$4,"",IFERROR(INDEX(tblRegistros[Início],$L64),"")))</f>
        <v/>
      </c>
      <c r="E64" s="4">
        <f>IF($L64="","",IF(INDEX(tblRegistros[Data],$L64)&gt;$D$4,"",IFERROR(IF(INDEX(tblRegistros[Status],$L64)="EM ABERTO","",INDEX(tblRegistros[Fim],$L64)),"")))</f>
        <v/>
      </c>
      <c r="F64" s="14">
        <f>IF($L64="","",IF(INDEX(tblRegistros[Data],$L64)&gt;$D$4,"",IFERROR(IF(INDEX(tblRegistros[Status],$L64)="EM ABERTO","",INDEX(tblRegistros[Horas],$L64)),"")))</f>
        <v/>
      </c>
      <c r="G64">
        <f>IF($L64="","",IF(INDEX(tblRegistros[Data],$L64)&gt;$D$4,"",IFERROR(INDEX(tblRegistros[Base],$L64),"")))</f>
        <v/>
      </c>
      <c r="H64" s="3">
        <f>IF($L64="","",IF(INDEX(tblRegistros[Data],$L64)&gt;$D$4,"",IFERROR(INDEX(tblRegistros[Taxa aplicada],$L64),"")))</f>
        <v/>
      </c>
      <c r="I64" s="3">
        <f>IF($L64="","",IF(INDEX(tblRegistros[Data],$L64)&gt;$D$4,"",IFERROR(IF(INDEX(tblRegistros[Status],$L64)="EM ABERTO","",INDEX(tblRegistros[Valor],$L64)),"")))</f>
        <v/>
      </c>
      <c r="J64">
        <f>IF($L64="","",IF(INDEX(tblRegistros[Data],$L64)&gt;$D$4,"",IFERROR(INDEX(tblRegistros[Status],$L64),"")))</f>
        <v/>
      </c>
      <c r="K64">
        <f>IF($L64="","",IF(INDEX(tblRegistros[Data],$L64)&gt;$D$4,"",IFERROR(INDEX(tblRegistros[Observação],$L64),"")))</f>
        <v/>
      </c>
      <c r="L64" s="16">
        <f>IFERROR(MATCH($B$3*100000+COUNTIFS(tblRegistros[ID],$B$3,tblRegistros[Data],"&lt;"&amp;$B$4)+ROWS($L$10:L64),tblRegistros[Chave do cartão],0),"")</f>
        <v/>
      </c>
    </row>
    <row r="65">
      <c r="A65" s="2">
        <f>IF($L65="","",IF(INDEX(tblRegistros[Data],$L65)&gt;$D$4,"",IFERROR(INDEX(tblRegistros[Data],$L65),"")))</f>
        <v/>
      </c>
      <c r="B65">
        <f>IF($L65="","",IF(INDEX(tblRegistros[Data],$L65)&gt;$D$4,"",IFERROR(INDEX(tblRegistros[Projeto],$L65),"")))</f>
        <v/>
      </c>
      <c r="C65">
        <f>IF($L65="","",IF(INDEX(tblRegistros[Data],$L65)&gt;$D$4,"",IFERROR(INDEX(tblRegistros[Atividade],$L65),"")))</f>
        <v/>
      </c>
      <c r="D65" s="4">
        <f>IF($L65="","",IF(INDEX(tblRegistros[Data],$L65)&gt;$D$4,"",IFERROR(INDEX(tblRegistros[Início],$L65),"")))</f>
        <v/>
      </c>
      <c r="E65" s="4">
        <f>IF($L65="","",IF(INDEX(tblRegistros[Data],$L65)&gt;$D$4,"",IFERROR(IF(INDEX(tblRegistros[Status],$L65)="EM ABERTO","",INDEX(tblRegistros[Fim],$L65)),"")))</f>
        <v/>
      </c>
      <c r="F65" s="14">
        <f>IF($L65="","",IF(INDEX(tblRegistros[Data],$L65)&gt;$D$4,"",IFERROR(IF(INDEX(tblRegistros[Status],$L65)="EM ABERTO","",INDEX(tblRegistros[Horas],$L65)),"")))</f>
        <v/>
      </c>
      <c r="G65">
        <f>IF($L65="","",IF(INDEX(tblRegistros[Data],$L65)&gt;$D$4,"",IFERROR(INDEX(tblRegistros[Base],$L65),"")))</f>
        <v/>
      </c>
      <c r="H65" s="3">
        <f>IF($L65="","",IF(INDEX(tblRegistros[Data],$L65)&gt;$D$4,"",IFERROR(INDEX(tblRegistros[Taxa aplicada],$L65),"")))</f>
        <v/>
      </c>
      <c r="I65" s="3">
        <f>IF($L65="","",IF(INDEX(tblRegistros[Data],$L65)&gt;$D$4,"",IFERROR(IF(INDEX(tblRegistros[Status],$L65)="EM ABERTO","",INDEX(tblRegistros[Valor],$L65)),"")))</f>
        <v/>
      </c>
      <c r="J65">
        <f>IF($L65="","",IF(INDEX(tblRegistros[Data],$L65)&gt;$D$4,"",IFERROR(INDEX(tblRegistros[Status],$L65),"")))</f>
        <v/>
      </c>
      <c r="K65">
        <f>IF($L65="","",IF(INDEX(tblRegistros[Data],$L65)&gt;$D$4,"",IFERROR(INDEX(tblRegistros[Observação],$L65),"")))</f>
        <v/>
      </c>
      <c r="L65" s="16">
        <f>IFERROR(MATCH($B$3*100000+COUNTIFS(tblRegistros[ID],$B$3,tblRegistros[Data],"&lt;"&amp;$B$4)+ROWS($L$10:L65),tblRegistros[Chave do cartão],0),"")</f>
        <v/>
      </c>
    </row>
    <row r="66">
      <c r="A66" s="2">
        <f>IF($L66="","",IF(INDEX(tblRegistros[Data],$L66)&gt;$D$4,"",IFERROR(INDEX(tblRegistros[Data],$L66),"")))</f>
        <v/>
      </c>
      <c r="B66">
        <f>IF($L66="","",IF(INDEX(tblRegistros[Data],$L66)&gt;$D$4,"",IFERROR(INDEX(tblRegistros[Projeto],$L66),"")))</f>
        <v/>
      </c>
      <c r="C66">
        <f>IF($L66="","",IF(INDEX(tblRegistros[Data],$L66)&gt;$D$4,"",IFERROR(INDEX(tblRegistros[Atividade],$L66),"")))</f>
        <v/>
      </c>
      <c r="D66" s="4">
        <f>IF($L66="","",IF(INDEX(tblRegistros[Data],$L66)&gt;$D$4,"",IFERROR(INDEX(tblRegistros[Início],$L66),"")))</f>
        <v/>
      </c>
      <c r="E66" s="4">
        <f>IF($L66="","",IF(INDEX(tblRegistros[Data],$L66)&gt;$D$4,"",IFERROR(IF(INDEX(tblRegistros[Status],$L66)="EM ABERTO","",INDEX(tblRegistros[Fim],$L66)),"")))</f>
        <v/>
      </c>
      <c r="F66" s="14">
        <f>IF($L66="","",IF(INDEX(tblRegistros[Data],$L66)&gt;$D$4,"",IFERROR(IF(INDEX(tblRegistros[Status],$L66)="EM ABERTO","",INDEX(tblRegistros[Horas],$L66)),"")))</f>
        <v/>
      </c>
      <c r="G66">
        <f>IF($L66="","",IF(INDEX(tblRegistros[Data],$L66)&gt;$D$4,"",IFERROR(INDEX(tblRegistros[Base],$L66),"")))</f>
        <v/>
      </c>
      <c r="H66" s="3">
        <f>IF($L66="","",IF(INDEX(tblRegistros[Data],$L66)&gt;$D$4,"",IFERROR(INDEX(tblRegistros[Taxa aplicada],$L66),"")))</f>
        <v/>
      </c>
      <c r="I66" s="3">
        <f>IF($L66="","",IF(INDEX(tblRegistros[Data],$L66)&gt;$D$4,"",IFERROR(IF(INDEX(tblRegistros[Status],$L66)="EM ABERTO","",INDEX(tblRegistros[Valor],$L66)),"")))</f>
        <v/>
      </c>
      <c r="J66">
        <f>IF($L66="","",IF(INDEX(tblRegistros[Data],$L66)&gt;$D$4,"",IFERROR(INDEX(tblRegistros[Status],$L66),"")))</f>
        <v/>
      </c>
      <c r="K66">
        <f>IF($L66="","",IF(INDEX(tblRegistros[Data],$L66)&gt;$D$4,"",IFERROR(INDEX(tblRegistros[Observação],$L66),"")))</f>
        <v/>
      </c>
      <c r="L66" s="16">
        <f>IFERROR(MATCH($B$3*100000+COUNTIFS(tblRegistros[ID],$B$3,tblRegistros[Data],"&lt;"&amp;$B$4)+ROWS($L$10:L66),tblRegistros[Chave do cartão],0),"")</f>
        <v/>
      </c>
    </row>
    <row r="67">
      <c r="A67" s="2">
        <f>IF($L67="","",IF(INDEX(tblRegistros[Data],$L67)&gt;$D$4,"",IFERROR(INDEX(tblRegistros[Data],$L67),"")))</f>
        <v/>
      </c>
      <c r="B67">
        <f>IF($L67="","",IF(INDEX(tblRegistros[Data],$L67)&gt;$D$4,"",IFERROR(INDEX(tblRegistros[Projeto],$L67),"")))</f>
        <v/>
      </c>
      <c r="C67">
        <f>IF($L67="","",IF(INDEX(tblRegistros[Data],$L67)&gt;$D$4,"",IFERROR(INDEX(tblRegistros[Atividade],$L67),"")))</f>
        <v/>
      </c>
      <c r="D67" s="4">
        <f>IF($L67="","",IF(INDEX(tblRegistros[Data],$L67)&gt;$D$4,"",IFERROR(INDEX(tblRegistros[Início],$L67),"")))</f>
        <v/>
      </c>
      <c r="E67" s="4">
        <f>IF($L67="","",IF(INDEX(tblRegistros[Data],$L67)&gt;$D$4,"",IFERROR(IF(INDEX(tblRegistros[Status],$L67)="EM ABERTO","",INDEX(tblRegistros[Fim],$L67)),"")))</f>
        <v/>
      </c>
      <c r="F67" s="14">
        <f>IF($L67="","",IF(INDEX(tblRegistros[Data],$L67)&gt;$D$4,"",IFERROR(IF(INDEX(tblRegistros[Status],$L67)="EM ABERTO","",INDEX(tblRegistros[Horas],$L67)),"")))</f>
        <v/>
      </c>
      <c r="G67">
        <f>IF($L67="","",IF(INDEX(tblRegistros[Data],$L67)&gt;$D$4,"",IFERROR(INDEX(tblRegistros[Base],$L67),"")))</f>
        <v/>
      </c>
      <c r="H67" s="3">
        <f>IF($L67="","",IF(INDEX(tblRegistros[Data],$L67)&gt;$D$4,"",IFERROR(INDEX(tblRegistros[Taxa aplicada],$L67),"")))</f>
        <v/>
      </c>
      <c r="I67" s="3">
        <f>IF($L67="","",IF(INDEX(tblRegistros[Data],$L67)&gt;$D$4,"",IFERROR(IF(INDEX(tblRegistros[Status],$L67)="EM ABERTO","",INDEX(tblRegistros[Valor],$L67)),"")))</f>
        <v/>
      </c>
      <c r="J67">
        <f>IF($L67="","",IF(INDEX(tblRegistros[Data],$L67)&gt;$D$4,"",IFERROR(INDEX(tblRegistros[Status],$L67),"")))</f>
        <v/>
      </c>
      <c r="K67">
        <f>IF($L67="","",IF(INDEX(tblRegistros[Data],$L67)&gt;$D$4,"",IFERROR(INDEX(tblRegistros[Observação],$L67),"")))</f>
        <v/>
      </c>
      <c r="L67" s="16">
        <f>IFERROR(MATCH($B$3*100000+COUNTIFS(tblRegistros[ID],$B$3,tblRegistros[Data],"&lt;"&amp;$B$4)+ROWS($L$10:L67),tblRegistros[Chave do cartão],0),"")</f>
        <v/>
      </c>
    </row>
    <row r="68">
      <c r="A68" s="2">
        <f>IF($L68="","",IF(INDEX(tblRegistros[Data],$L68)&gt;$D$4,"",IFERROR(INDEX(tblRegistros[Data],$L68),"")))</f>
        <v/>
      </c>
      <c r="B68">
        <f>IF($L68="","",IF(INDEX(tblRegistros[Data],$L68)&gt;$D$4,"",IFERROR(INDEX(tblRegistros[Projeto],$L68),"")))</f>
        <v/>
      </c>
      <c r="C68">
        <f>IF($L68="","",IF(INDEX(tblRegistros[Data],$L68)&gt;$D$4,"",IFERROR(INDEX(tblRegistros[Atividade],$L68),"")))</f>
        <v/>
      </c>
      <c r="D68" s="4">
        <f>IF($L68="","",IF(INDEX(tblRegistros[Data],$L68)&gt;$D$4,"",IFERROR(INDEX(tblRegistros[Início],$L68),"")))</f>
        <v/>
      </c>
      <c r="E68" s="4">
        <f>IF($L68="","",IF(INDEX(tblRegistros[Data],$L68)&gt;$D$4,"",IFERROR(IF(INDEX(tblRegistros[Status],$L68)="EM ABERTO","",INDEX(tblRegistros[Fim],$L68)),"")))</f>
        <v/>
      </c>
      <c r="F68" s="14">
        <f>IF($L68="","",IF(INDEX(tblRegistros[Data],$L68)&gt;$D$4,"",IFERROR(IF(INDEX(tblRegistros[Status],$L68)="EM ABERTO","",INDEX(tblRegistros[Horas],$L68)),"")))</f>
        <v/>
      </c>
      <c r="G68">
        <f>IF($L68="","",IF(INDEX(tblRegistros[Data],$L68)&gt;$D$4,"",IFERROR(INDEX(tblRegistros[Base],$L68),"")))</f>
        <v/>
      </c>
      <c r="H68" s="3">
        <f>IF($L68="","",IF(INDEX(tblRegistros[Data],$L68)&gt;$D$4,"",IFERROR(INDEX(tblRegistros[Taxa aplicada],$L68),"")))</f>
        <v/>
      </c>
      <c r="I68" s="3">
        <f>IF($L68="","",IF(INDEX(tblRegistros[Data],$L68)&gt;$D$4,"",IFERROR(IF(INDEX(tblRegistros[Status],$L68)="EM ABERTO","",INDEX(tblRegistros[Valor],$L68)),"")))</f>
        <v/>
      </c>
      <c r="J68">
        <f>IF($L68="","",IF(INDEX(tblRegistros[Data],$L68)&gt;$D$4,"",IFERROR(INDEX(tblRegistros[Status],$L68),"")))</f>
        <v/>
      </c>
      <c r="K68">
        <f>IF($L68="","",IF(INDEX(tblRegistros[Data],$L68)&gt;$D$4,"",IFERROR(INDEX(tblRegistros[Observação],$L68),"")))</f>
        <v/>
      </c>
      <c r="L68" s="16">
        <f>IFERROR(MATCH($B$3*100000+COUNTIFS(tblRegistros[ID],$B$3,tblRegistros[Data],"&lt;"&amp;$B$4)+ROWS($L$10:L68),tblRegistros[Chave do cartão],0),"")</f>
        <v/>
      </c>
    </row>
    <row r="69">
      <c r="A69" s="2">
        <f>IF($L69="","",IF(INDEX(tblRegistros[Data],$L69)&gt;$D$4,"",IFERROR(INDEX(tblRegistros[Data],$L69),"")))</f>
        <v/>
      </c>
      <c r="B69">
        <f>IF($L69="","",IF(INDEX(tblRegistros[Data],$L69)&gt;$D$4,"",IFERROR(INDEX(tblRegistros[Projeto],$L69),"")))</f>
        <v/>
      </c>
      <c r="C69">
        <f>IF($L69="","",IF(INDEX(tblRegistros[Data],$L69)&gt;$D$4,"",IFERROR(INDEX(tblRegistros[Atividade],$L69),"")))</f>
        <v/>
      </c>
      <c r="D69" s="4">
        <f>IF($L69="","",IF(INDEX(tblRegistros[Data],$L69)&gt;$D$4,"",IFERROR(INDEX(tblRegistros[Início],$L69),"")))</f>
        <v/>
      </c>
      <c r="E69" s="4">
        <f>IF($L69="","",IF(INDEX(tblRegistros[Data],$L69)&gt;$D$4,"",IFERROR(IF(INDEX(tblRegistros[Status],$L69)="EM ABERTO","",INDEX(tblRegistros[Fim],$L69)),"")))</f>
        <v/>
      </c>
      <c r="F69" s="14">
        <f>IF($L69="","",IF(INDEX(tblRegistros[Data],$L69)&gt;$D$4,"",IFERROR(IF(INDEX(tblRegistros[Status],$L69)="EM ABERTO","",INDEX(tblRegistros[Horas],$L69)),"")))</f>
        <v/>
      </c>
      <c r="G69">
        <f>IF($L69="","",IF(INDEX(tblRegistros[Data],$L69)&gt;$D$4,"",IFERROR(INDEX(tblRegistros[Base],$L69),"")))</f>
        <v/>
      </c>
      <c r="H69" s="3">
        <f>IF($L69="","",IF(INDEX(tblRegistros[Data],$L69)&gt;$D$4,"",IFERROR(INDEX(tblRegistros[Taxa aplicada],$L69),"")))</f>
        <v/>
      </c>
      <c r="I69" s="3">
        <f>IF($L69="","",IF(INDEX(tblRegistros[Data],$L69)&gt;$D$4,"",IFERROR(IF(INDEX(tblRegistros[Status],$L69)="EM ABERTO","",INDEX(tblRegistros[Valor],$L69)),"")))</f>
        <v/>
      </c>
      <c r="J69">
        <f>IF($L69="","",IF(INDEX(tblRegistros[Data],$L69)&gt;$D$4,"",IFERROR(INDEX(tblRegistros[Status],$L69),"")))</f>
        <v/>
      </c>
      <c r="K69">
        <f>IF($L69="","",IF(INDEX(tblRegistros[Data],$L69)&gt;$D$4,"",IFERROR(INDEX(tblRegistros[Observação],$L69),"")))</f>
        <v/>
      </c>
      <c r="L69" s="16">
        <f>IFERROR(MATCH($B$3*100000+COUNTIFS(tblRegistros[ID],$B$3,tblRegistros[Data],"&lt;"&amp;$B$4)+ROWS($L$10:L69),tblRegistros[Chave do cartão],0),"")</f>
        <v/>
      </c>
    </row>
    <row r="70">
      <c r="A70" s="2">
        <f>IF($L70="","",IF(INDEX(tblRegistros[Data],$L70)&gt;$D$4,"",IFERROR(INDEX(tblRegistros[Data],$L70),"")))</f>
        <v/>
      </c>
      <c r="B70">
        <f>IF($L70="","",IF(INDEX(tblRegistros[Data],$L70)&gt;$D$4,"",IFERROR(INDEX(tblRegistros[Projeto],$L70),"")))</f>
        <v/>
      </c>
      <c r="C70">
        <f>IF($L70="","",IF(INDEX(tblRegistros[Data],$L70)&gt;$D$4,"",IFERROR(INDEX(tblRegistros[Atividade],$L70),"")))</f>
        <v/>
      </c>
      <c r="D70" s="4">
        <f>IF($L70="","",IF(INDEX(tblRegistros[Data],$L70)&gt;$D$4,"",IFERROR(INDEX(tblRegistros[Início],$L70),"")))</f>
        <v/>
      </c>
      <c r="E70" s="4">
        <f>IF($L70="","",IF(INDEX(tblRegistros[Data],$L70)&gt;$D$4,"",IFERROR(IF(INDEX(tblRegistros[Status],$L70)="EM ABERTO","",INDEX(tblRegistros[Fim],$L70)),"")))</f>
        <v/>
      </c>
      <c r="F70" s="14">
        <f>IF($L70="","",IF(INDEX(tblRegistros[Data],$L70)&gt;$D$4,"",IFERROR(IF(INDEX(tblRegistros[Status],$L70)="EM ABERTO","",INDEX(tblRegistros[Horas],$L70)),"")))</f>
        <v/>
      </c>
      <c r="G70">
        <f>IF($L70="","",IF(INDEX(tblRegistros[Data],$L70)&gt;$D$4,"",IFERROR(INDEX(tblRegistros[Base],$L70),"")))</f>
        <v/>
      </c>
      <c r="H70" s="3">
        <f>IF($L70="","",IF(INDEX(tblRegistros[Data],$L70)&gt;$D$4,"",IFERROR(INDEX(tblRegistros[Taxa aplicada],$L70),"")))</f>
        <v/>
      </c>
      <c r="I70" s="3">
        <f>IF($L70="","",IF(INDEX(tblRegistros[Data],$L70)&gt;$D$4,"",IFERROR(IF(INDEX(tblRegistros[Status],$L70)="EM ABERTO","",INDEX(tblRegistros[Valor],$L70)),"")))</f>
        <v/>
      </c>
      <c r="J70">
        <f>IF($L70="","",IF(INDEX(tblRegistros[Data],$L70)&gt;$D$4,"",IFERROR(INDEX(tblRegistros[Status],$L70),"")))</f>
        <v/>
      </c>
      <c r="K70">
        <f>IF($L70="","",IF(INDEX(tblRegistros[Data],$L70)&gt;$D$4,"",IFERROR(INDEX(tblRegistros[Observação],$L70),"")))</f>
        <v/>
      </c>
      <c r="L70" s="16">
        <f>IFERROR(MATCH($B$3*100000+COUNTIFS(tblRegistros[ID],$B$3,tblRegistros[Data],"&lt;"&amp;$B$4)+ROWS($L$10:L70),tblRegistros[Chave do cartão],0),"")</f>
        <v/>
      </c>
    </row>
    <row r="71">
      <c r="A71" s="2">
        <f>IF($L71="","",IF(INDEX(tblRegistros[Data],$L71)&gt;$D$4,"",IFERROR(INDEX(tblRegistros[Data],$L71),"")))</f>
        <v/>
      </c>
      <c r="B71">
        <f>IF($L71="","",IF(INDEX(tblRegistros[Data],$L71)&gt;$D$4,"",IFERROR(INDEX(tblRegistros[Projeto],$L71),"")))</f>
        <v/>
      </c>
      <c r="C71">
        <f>IF($L71="","",IF(INDEX(tblRegistros[Data],$L71)&gt;$D$4,"",IFERROR(INDEX(tblRegistros[Atividade],$L71),"")))</f>
        <v/>
      </c>
      <c r="D71" s="4">
        <f>IF($L71="","",IF(INDEX(tblRegistros[Data],$L71)&gt;$D$4,"",IFERROR(INDEX(tblRegistros[Início],$L71),"")))</f>
        <v/>
      </c>
      <c r="E71" s="4">
        <f>IF($L71="","",IF(INDEX(tblRegistros[Data],$L71)&gt;$D$4,"",IFERROR(IF(INDEX(tblRegistros[Status],$L71)="EM ABERTO","",INDEX(tblRegistros[Fim],$L71)),"")))</f>
        <v/>
      </c>
      <c r="F71" s="14">
        <f>IF($L71="","",IF(INDEX(tblRegistros[Data],$L71)&gt;$D$4,"",IFERROR(IF(INDEX(tblRegistros[Status],$L71)="EM ABERTO","",INDEX(tblRegistros[Horas],$L71)),"")))</f>
        <v/>
      </c>
      <c r="G71">
        <f>IF($L71="","",IF(INDEX(tblRegistros[Data],$L71)&gt;$D$4,"",IFERROR(INDEX(tblRegistros[Base],$L71),"")))</f>
        <v/>
      </c>
      <c r="H71" s="3">
        <f>IF($L71="","",IF(INDEX(tblRegistros[Data],$L71)&gt;$D$4,"",IFERROR(INDEX(tblRegistros[Taxa aplicada],$L71),"")))</f>
        <v/>
      </c>
      <c r="I71" s="3">
        <f>IF($L71="","",IF(INDEX(tblRegistros[Data],$L71)&gt;$D$4,"",IFERROR(IF(INDEX(tblRegistros[Status],$L71)="EM ABERTO","",INDEX(tblRegistros[Valor],$L71)),"")))</f>
        <v/>
      </c>
      <c r="J71">
        <f>IF($L71="","",IF(INDEX(tblRegistros[Data],$L71)&gt;$D$4,"",IFERROR(INDEX(tblRegistros[Status],$L71),"")))</f>
        <v/>
      </c>
      <c r="K71">
        <f>IF($L71="","",IF(INDEX(tblRegistros[Data],$L71)&gt;$D$4,"",IFERROR(INDEX(tblRegistros[Observação],$L71),"")))</f>
        <v/>
      </c>
      <c r="L71" s="16">
        <f>IFERROR(MATCH($B$3*100000+COUNTIFS(tblRegistros[ID],$B$3,tblRegistros[Data],"&lt;"&amp;$B$4)+ROWS($L$10:L71),tblRegistros[Chave do cartão],0),"")</f>
        <v/>
      </c>
    </row>
    <row r="72">
      <c r="A72" s="2">
        <f>IF($L72="","",IF(INDEX(tblRegistros[Data],$L72)&gt;$D$4,"",IFERROR(INDEX(tblRegistros[Data],$L72),"")))</f>
        <v/>
      </c>
      <c r="B72">
        <f>IF($L72="","",IF(INDEX(tblRegistros[Data],$L72)&gt;$D$4,"",IFERROR(INDEX(tblRegistros[Projeto],$L72),"")))</f>
        <v/>
      </c>
      <c r="C72">
        <f>IF($L72="","",IF(INDEX(tblRegistros[Data],$L72)&gt;$D$4,"",IFERROR(INDEX(tblRegistros[Atividade],$L72),"")))</f>
        <v/>
      </c>
      <c r="D72" s="4">
        <f>IF($L72="","",IF(INDEX(tblRegistros[Data],$L72)&gt;$D$4,"",IFERROR(INDEX(tblRegistros[Início],$L72),"")))</f>
        <v/>
      </c>
      <c r="E72" s="4">
        <f>IF($L72="","",IF(INDEX(tblRegistros[Data],$L72)&gt;$D$4,"",IFERROR(IF(INDEX(tblRegistros[Status],$L72)="EM ABERTO","",INDEX(tblRegistros[Fim],$L72)),"")))</f>
        <v/>
      </c>
      <c r="F72" s="14">
        <f>IF($L72="","",IF(INDEX(tblRegistros[Data],$L72)&gt;$D$4,"",IFERROR(IF(INDEX(tblRegistros[Status],$L72)="EM ABERTO","",INDEX(tblRegistros[Horas],$L72)),"")))</f>
        <v/>
      </c>
      <c r="G72">
        <f>IF($L72="","",IF(INDEX(tblRegistros[Data],$L72)&gt;$D$4,"",IFERROR(INDEX(tblRegistros[Base],$L72),"")))</f>
        <v/>
      </c>
      <c r="H72" s="3">
        <f>IF($L72="","",IF(INDEX(tblRegistros[Data],$L72)&gt;$D$4,"",IFERROR(INDEX(tblRegistros[Taxa aplicada],$L72),"")))</f>
        <v/>
      </c>
      <c r="I72" s="3">
        <f>IF($L72="","",IF(INDEX(tblRegistros[Data],$L72)&gt;$D$4,"",IFERROR(IF(INDEX(tblRegistros[Status],$L72)="EM ABERTO","",INDEX(tblRegistros[Valor],$L72)),"")))</f>
        <v/>
      </c>
      <c r="J72">
        <f>IF($L72="","",IF(INDEX(tblRegistros[Data],$L72)&gt;$D$4,"",IFERROR(INDEX(tblRegistros[Status],$L72),"")))</f>
        <v/>
      </c>
      <c r="K72">
        <f>IF($L72="","",IF(INDEX(tblRegistros[Data],$L72)&gt;$D$4,"",IFERROR(INDEX(tblRegistros[Observação],$L72),"")))</f>
        <v/>
      </c>
      <c r="L72" s="16">
        <f>IFERROR(MATCH($B$3*100000+COUNTIFS(tblRegistros[ID],$B$3,tblRegistros[Data],"&lt;"&amp;$B$4)+ROWS($L$10:L72),tblRegistros[Chave do cartão],0),"")</f>
        <v/>
      </c>
    </row>
    <row r="73">
      <c r="A73" s="2">
        <f>IF($L73="","",IF(INDEX(tblRegistros[Data],$L73)&gt;$D$4,"",IFERROR(INDEX(tblRegistros[Data],$L73),"")))</f>
        <v/>
      </c>
      <c r="B73">
        <f>IF($L73="","",IF(INDEX(tblRegistros[Data],$L73)&gt;$D$4,"",IFERROR(INDEX(tblRegistros[Projeto],$L73),"")))</f>
        <v/>
      </c>
      <c r="C73">
        <f>IF($L73="","",IF(INDEX(tblRegistros[Data],$L73)&gt;$D$4,"",IFERROR(INDEX(tblRegistros[Atividade],$L73),"")))</f>
        <v/>
      </c>
      <c r="D73" s="4">
        <f>IF($L73="","",IF(INDEX(tblRegistros[Data],$L73)&gt;$D$4,"",IFERROR(INDEX(tblRegistros[Início],$L73),"")))</f>
        <v/>
      </c>
      <c r="E73" s="4">
        <f>IF($L73="","",IF(INDEX(tblRegistros[Data],$L73)&gt;$D$4,"",IFERROR(IF(INDEX(tblRegistros[Status],$L73)="EM ABERTO","",INDEX(tblRegistros[Fim],$L73)),"")))</f>
        <v/>
      </c>
      <c r="F73" s="14">
        <f>IF($L73="","",IF(INDEX(tblRegistros[Data],$L73)&gt;$D$4,"",IFERROR(IF(INDEX(tblRegistros[Status],$L73)="EM ABERTO","",INDEX(tblRegistros[Horas],$L73)),"")))</f>
        <v/>
      </c>
      <c r="G73">
        <f>IF($L73="","",IF(INDEX(tblRegistros[Data],$L73)&gt;$D$4,"",IFERROR(INDEX(tblRegistros[Base],$L73),"")))</f>
        <v/>
      </c>
      <c r="H73" s="3">
        <f>IF($L73="","",IF(INDEX(tblRegistros[Data],$L73)&gt;$D$4,"",IFERROR(INDEX(tblRegistros[Taxa aplicada],$L73),"")))</f>
        <v/>
      </c>
      <c r="I73" s="3">
        <f>IF($L73="","",IF(INDEX(tblRegistros[Data],$L73)&gt;$D$4,"",IFERROR(IF(INDEX(tblRegistros[Status],$L73)="EM ABERTO","",INDEX(tblRegistros[Valor],$L73)),"")))</f>
        <v/>
      </c>
      <c r="J73">
        <f>IF($L73="","",IF(INDEX(tblRegistros[Data],$L73)&gt;$D$4,"",IFERROR(INDEX(tblRegistros[Status],$L73),"")))</f>
        <v/>
      </c>
      <c r="K73">
        <f>IF($L73="","",IF(INDEX(tblRegistros[Data],$L73)&gt;$D$4,"",IFERROR(INDEX(tblRegistros[Observação],$L73),"")))</f>
        <v/>
      </c>
      <c r="L73" s="16">
        <f>IFERROR(MATCH($B$3*100000+COUNTIFS(tblRegistros[ID],$B$3,tblRegistros[Data],"&lt;"&amp;$B$4)+ROWS($L$10:L73),tblRegistros[Chave do cartão],0),"")</f>
        <v/>
      </c>
    </row>
    <row r="74">
      <c r="A74" s="2">
        <f>IF($L74="","",IF(INDEX(tblRegistros[Data],$L74)&gt;$D$4,"",IFERROR(INDEX(tblRegistros[Data],$L74),"")))</f>
        <v/>
      </c>
      <c r="B74">
        <f>IF($L74="","",IF(INDEX(tblRegistros[Data],$L74)&gt;$D$4,"",IFERROR(INDEX(tblRegistros[Projeto],$L74),"")))</f>
        <v/>
      </c>
      <c r="C74">
        <f>IF($L74="","",IF(INDEX(tblRegistros[Data],$L74)&gt;$D$4,"",IFERROR(INDEX(tblRegistros[Atividade],$L74),"")))</f>
        <v/>
      </c>
      <c r="D74" s="4">
        <f>IF($L74="","",IF(INDEX(tblRegistros[Data],$L74)&gt;$D$4,"",IFERROR(INDEX(tblRegistros[Início],$L74),"")))</f>
        <v/>
      </c>
      <c r="E74" s="4">
        <f>IF($L74="","",IF(INDEX(tblRegistros[Data],$L74)&gt;$D$4,"",IFERROR(IF(INDEX(tblRegistros[Status],$L74)="EM ABERTO","",INDEX(tblRegistros[Fim],$L74)),"")))</f>
        <v/>
      </c>
      <c r="F74" s="14">
        <f>IF($L74="","",IF(INDEX(tblRegistros[Data],$L74)&gt;$D$4,"",IFERROR(IF(INDEX(tblRegistros[Status],$L74)="EM ABERTO","",INDEX(tblRegistros[Horas],$L74)),"")))</f>
        <v/>
      </c>
      <c r="G74">
        <f>IF($L74="","",IF(INDEX(tblRegistros[Data],$L74)&gt;$D$4,"",IFERROR(INDEX(tblRegistros[Base],$L74),"")))</f>
        <v/>
      </c>
      <c r="H74" s="3">
        <f>IF($L74="","",IF(INDEX(tblRegistros[Data],$L74)&gt;$D$4,"",IFERROR(INDEX(tblRegistros[Taxa aplicada],$L74),"")))</f>
        <v/>
      </c>
      <c r="I74" s="3">
        <f>IF($L74="","",IF(INDEX(tblRegistros[Data],$L74)&gt;$D$4,"",IFERROR(IF(INDEX(tblRegistros[Status],$L74)="EM ABERTO","",INDEX(tblRegistros[Valor],$L74)),"")))</f>
        <v/>
      </c>
      <c r="J74">
        <f>IF($L74="","",IF(INDEX(tblRegistros[Data],$L74)&gt;$D$4,"",IFERROR(INDEX(tblRegistros[Status],$L74),"")))</f>
        <v/>
      </c>
      <c r="K74">
        <f>IF($L74="","",IF(INDEX(tblRegistros[Data],$L74)&gt;$D$4,"",IFERROR(INDEX(tblRegistros[Observação],$L74),"")))</f>
        <v/>
      </c>
      <c r="L74" s="16">
        <f>IFERROR(MATCH($B$3*100000+COUNTIFS(tblRegistros[ID],$B$3,tblRegistros[Data],"&lt;"&amp;$B$4)+ROWS($L$10:L74),tblRegistros[Chave do cartão],0),"")</f>
        <v/>
      </c>
    </row>
    <row r="75">
      <c r="A75" s="2">
        <f>IF($L75="","",IF(INDEX(tblRegistros[Data],$L75)&gt;$D$4,"",IFERROR(INDEX(tblRegistros[Data],$L75),"")))</f>
        <v/>
      </c>
      <c r="B75">
        <f>IF($L75="","",IF(INDEX(tblRegistros[Data],$L75)&gt;$D$4,"",IFERROR(INDEX(tblRegistros[Projeto],$L75),"")))</f>
        <v/>
      </c>
      <c r="C75">
        <f>IF($L75="","",IF(INDEX(tblRegistros[Data],$L75)&gt;$D$4,"",IFERROR(INDEX(tblRegistros[Atividade],$L75),"")))</f>
        <v/>
      </c>
      <c r="D75" s="4">
        <f>IF($L75="","",IF(INDEX(tblRegistros[Data],$L75)&gt;$D$4,"",IFERROR(INDEX(tblRegistros[Início],$L75),"")))</f>
        <v/>
      </c>
      <c r="E75" s="4">
        <f>IF($L75="","",IF(INDEX(tblRegistros[Data],$L75)&gt;$D$4,"",IFERROR(IF(INDEX(tblRegistros[Status],$L75)="EM ABERTO","",INDEX(tblRegistros[Fim],$L75)),"")))</f>
        <v/>
      </c>
      <c r="F75" s="14">
        <f>IF($L75="","",IF(INDEX(tblRegistros[Data],$L75)&gt;$D$4,"",IFERROR(IF(INDEX(tblRegistros[Status],$L75)="EM ABERTO","",INDEX(tblRegistros[Horas],$L75)),"")))</f>
        <v/>
      </c>
      <c r="G75">
        <f>IF($L75="","",IF(INDEX(tblRegistros[Data],$L75)&gt;$D$4,"",IFERROR(INDEX(tblRegistros[Base],$L75),"")))</f>
        <v/>
      </c>
      <c r="H75" s="3">
        <f>IF($L75="","",IF(INDEX(tblRegistros[Data],$L75)&gt;$D$4,"",IFERROR(INDEX(tblRegistros[Taxa aplicada],$L75),"")))</f>
        <v/>
      </c>
      <c r="I75" s="3">
        <f>IF($L75="","",IF(INDEX(tblRegistros[Data],$L75)&gt;$D$4,"",IFERROR(IF(INDEX(tblRegistros[Status],$L75)="EM ABERTO","",INDEX(tblRegistros[Valor],$L75)),"")))</f>
        <v/>
      </c>
      <c r="J75">
        <f>IF($L75="","",IF(INDEX(tblRegistros[Data],$L75)&gt;$D$4,"",IFERROR(INDEX(tblRegistros[Status],$L75),"")))</f>
        <v/>
      </c>
      <c r="K75">
        <f>IF($L75="","",IF(INDEX(tblRegistros[Data],$L75)&gt;$D$4,"",IFERROR(INDEX(tblRegistros[Observação],$L75),"")))</f>
        <v/>
      </c>
      <c r="L75" s="16">
        <f>IFERROR(MATCH($B$3*100000+COUNTIFS(tblRegistros[ID],$B$3,tblRegistros[Data],"&lt;"&amp;$B$4)+ROWS($L$10:L75),tblRegistros[Chave do cartão],0),"")</f>
        <v/>
      </c>
    </row>
    <row r="76">
      <c r="A76" s="2">
        <f>IF($L76="","",IF(INDEX(tblRegistros[Data],$L76)&gt;$D$4,"",IFERROR(INDEX(tblRegistros[Data],$L76),"")))</f>
        <v/>
      </c>
      <c r="B76">
        <f>IF($L76="","",IF(INDEX(tblRegistros[Data],$L76)&gt;$D$4,"",IFERROR(INDEX(tblRegistros[Projeto],$L76),"")))</f>
        <v/>
      </c>
      <c r="C76">
        <f>IF($L76="","",IF(INDEX(tblRegistros[Data],$L76)&gt;$D$4,"",IFERROR(INDEX(tblRegistros[Atividade],$L76),"")))</f>
        <v/>
      </c>
      <c r="D76" s="4">
        <f>IF($L76="","",IF(INDEX(tblRegistros[Data],$L76)&gt;$D$4,"",IFERROR(INDEX(tblRegistros[Início],$L76),"")))</f>
        <v/>
      </c>
      <c r="E76" s="4">
        <f>IF($L76="","",IF(INDEX(tblRegistros[Data],$L76)&gt;$D$4,"",IFERROR(IF(INDEX(tblRegistros[Status],$L76)="EM ABERTO","",INDEX(tblRegistros[Fim],$L76)),"")))</f>
        <v/>
      </c>
      <c r="F76" s="14">
        <f>IF($L76="","",IF(INDEX(tblRegistros[Data],$L76)&gt;$D$4,"",IFERROR(IF(INDEX(tblRegistros[Status],$L76)="EM ABERTO","",INDEX(tblRegistros[Horas],$L76)),"")))</f>
        <v/>
      </c>
      <c r="G76">
        <f>IF($L76="","",IF(INDEX(tblRegistros[Data],$L76)&gt;$D$4,"",IFERROR(INDEX(tblRegistros[Base],$L76),"")))</f>
        <v/>
      </c>
      <c r="H76" s="3">
        <f>IF($L76="","",IF(INDEX(tblRegistros[Data],$L76)&gt;$D$4,"",IFERROR(INDEX(tblRegistros[Taxa aplicada],$L76),"")))</f>
        <v/>
      </c>
      <c r="I76" s="3">
        <f>IF($L76="","",IF(INDEX(tblRegistros[Data],$L76)&gt;$D$4,"",IFERROR(IF(INDEX(tblRegistros[Status],$L76)="EM ABERTO","",INDEX(tblRegistros[Valor],$L76)),"")))</f>
        <v/>
      </c>
      <c r="J76">
        <f>IF($L76="","",IF(INDEX(tblRegistros[Data],$L76)&gt;$D$4,"",IFERROR(INDEX(tblRegistros[Status],$L76),"")))</f>
        <v/>
      </c>
      <c r="K76">
        <f>IF($L76="","",IF(INDEX(tblRegistros[Data],$L76)&gt;$D$4,"",IFERROR(INDEX(tblRegistros[Observação],$L76),"")))</f>
        <v/>
      </c>
      <c r="L76" s="16">
        <f>IFERROR(MATCH($B$3*100000+COUNTIFS(tblRegistros[ID],$B$3,tblRegistros[Data],"&lt;"&amp;$B$4)+ROWS($L$10:L76),tblRegistros[Chave do cartão],0),"")</f>
        <v/>
      </c>
    </row>
    <row r="77">
      <c r="A77" s="2">
        <f>IF($L77="","",IF(INDEX(tblRegistros[Data],$L77)&gt;$D$4,"",IFERROR(INDEX(tblRegistros[Data],$L77),"")))</f>
        <v/>
      </c>
      <c r="B77">
        <f>IF($L77="","",IF(INDEX(tblRegistros[Data],$L77)&gt;$D$4,"",IFERROR(INDEX(tblRegistros[Projeto],$L77),"")))</f>
        <v/>
      </c>
      <c r="C77">
        <f>IF($L77="","",IF(INDEX(tblRegistros[Data],$L77)&gt;$D$4,"",IFERROR(INDEX(tblRegistros[Atividade],$L77),"")))</f>
        <v/>
      </c>
      <c r="D77" s="4">
        <f>IF($L77="","",IF(INDEX(tblRegistros[Data],$L77)&gt;$D$4,"",IFERROR(INDEX(tblRegistros[Início],$L77),"")))</f>
        <v/>
      </c>
      <c r="E77" s="4">
        <f>IF($L77="","",IF(INDEX(tblRegistros[Data],$L77)&gt;$D$4,"",IFERROR(IF(INDEX(tblRegistros[Status],$L77)="EM ABERTO","",INDEX(tblRegistros[Fim],$L77)),"")))</f>
        <v/>
      </c>
      <c r="F77" s="14">
        <f>IF($L77="","",IF(INDEX(tblRegistros[Data],$L77)&gt;$D$4,"",IFERROR(IF(INDEX(tblRegistros[Status],$L77)="EM ABERTO","",INDEX(tblRegistros[Horas],$L77)),"")))</f>
        <v/>
      </c>
      <c r="G77">
        <f>IF($L77="","",IF(INDEX(tblRegistros[Data],$L77)&gt;$D$4,"",IFERROR(INDEX(tblRegistros[Base],$L77),"")))</f>
        <v/>
      </c>
      <c r="H77" s="3">
        <f>IF($L77="","",IF(INDEX(tblRegistros[Data],$L77)&gt;$D$4,"",IFERROR(INDEX(tblRegistros[Taxa aplicada],$L77),"")))</f>
        <v/>
      </c>
      <c r="I77" s="3">
        <f>IF($L77="","",IF(INDEX(tblRegistros[Data],$L77)&gt;$D$4,"",IFERROR(IF(INDEX(tblRegistros[Status],$L77)="EM ABERTO","",INDEX(tblRegistros[Valor],$L77)),"")))</f>
        <v/>
      </c>
      <c r="J77">
        <f>IF($L77="","",IF(INDEX(tblRegistros[Data],$L77)&gt;$D$4,"",IFERROR(INDEX(tblRegistros[Status],$L77),"")))</f>
        <v/>
      </c>
      <c r="K77">
        <f>IF($L77="","",IF(INDEX(tblRegistros[Data],$L77)&gt;$D$4,"",IFERROR(INDEX(tblRegistros[Observação],$L77),"")))</f>
        <v/>
      </c>
      <c r="L77" s="16">
        <f>IFERROR(MATCH($B$3*100000+COUNTIFS(tblRegistros[ID],$B$3,tblRegistros[Data],"&lt;"&amp;$B$4)+ROWS($L$10:L77),tblRegistros[Chave do cartão],0),"")</f>
        <v/>
      </c>
    </row>
    <row r="78">
      <c r="A78" s="2">
        <f>IF($L78="","",IF(INDEX(tblRegistros[Data],$L78)&gt;$D$4,"",IFERROR(INDEX(tblRegistros[Data],$L78),"")))</f>
        <v/>
      </c>
      <c r="B78">
        <f>IF($L78="","",IF(INDEX(tblRegistros[Data],$L78)&gt;$D$4,"",IFERROR(INDEX(tblRegistros[Projeto],$L78),"")))</f>
        <v/>
      </c>
      <c r="C78">
        <f>IF($L78="","",IF(INDEX(tblRegistros[Data],$L78)&gt;$D$4,"",IFERROR(INDEX(tblRegistros[Atividade],$L78),"")))</f>
        <v/>
      </c>
      <c r="D78" s="4">
        <f>IF($L78="","",IF(INDEX(tblRegistros[Data],$L78)&gt;$D$4,"",IFERROR(INDEX(tblRegistros[Início],$L78),"")))</f>
        <v/>
      </c>
      <c r="E78" s="4">
        <f>IF($L78="","",IF(INDEX(tblRegistros[Data],$L78)&gt;$D$4,"",IFERROR(IF(INDEX(tblRegistros[Status],$L78)="EM ABERTO","",INDEX(tblRegistros[Fim],$L78)),"")))</f>
        <v/>
      </c>
      <c r="F78" s="14">
        <f>IF($L78="","",IF(INDEX(tblRegistros[Data],$L78)&gt;$D$4,"",IFERROR(IF(INDEX(tblRegistros[Status],$L78)="EM ABERTO","",INDEX(tblRegistros[Horas],$L78)),"")))</f>
        <v/>
      </c>
      <c r="G78">
        <f>IF($L78="","",IF(INDEX(tblRegistros[Data],$L78)&gt;$D$4,"",IFERROR(INDEX(tblRegistros[Base],$L78),"")))</f>
        <v/>
      </c>
      <c r="H78" s="3">
        <f>IF($L78="","",IF(INDEX(tblRegistros[Data],$L78)&gt;$D$4,"",IFERROR(INDEX(tblRegistros[Taxa aplicada],$L78),"")))</f>
        <v/>
      </c>
      <c r="I78" s="3">
        <f>IF($L78="","",IF(INDEX(tblRegistros[Data],$L78)&gt;$D$4,"",IFERROR(IF(INDEX(tblRegistros[Status],$L78)="EM ABERTO","",INDEX(tblRegistros[Valor],$L78)),"")))</f>
        <v/>
      </c>
      <c r="J78">
        <f>IF($L78="","",IF(INDEX(tblRegistros[Data],$L78)&gt;$D$4,"",IFERROR(INDEX(tblRegistros[Status],$L78),"")))</f>
        <v/>
      </c>
      <c r="K78">
        <f>IF($L78="","",IF(INDEX(tblRegistros[Data],$L78)&gt;$D$4,"",IFERROR(INDEX(tblRegistros[Observação],$L78),"")))</f>
        <v/>
      </c>
      <c r="L78" s="16">
        <f>IFERROR(MATCH($B$3*100000+COUNTIFS(tblRegistros[ID],$B$3,tblRegistros[Data],"&lt;"&amp;$B$4)+ROWS($L$10:L78),tblRegistros[Chave do cartão],0),"")</f>
        <v/>
      </c>
    </row>
    <row r="79">
      <c r="A79" s="2">
        <f>IF($L79="","",IF(INDEX(tblRegistros[Data],$L79)&gt;$D$4,"",IFERROR(INDEX(tblRegistros[Data],$L79),"")))</f>
        <v/>
      </c>
      <c r="B79">
        <f>IF($L79="","",IF(INDEX(tblRegistros[Data],$L79)&gt;$D$4,"",IFERROR(INDEX(tblRegistros[Projeto],$L79),"")))</f>
        <v/>
      </c>
      <c r="C79">
        <f>IF($L79="","",IF(INDEX(tblRegistros[Data],$L79)&gt;$D$4,"",IFERROR(INDEX(tblRegistros[Atividade],$L79),"")))</f>
        <v/>
      </c>
      <c r="D79" s="4">
        <f>IF($L79="","",IF(INDEX(tblRegistros[Data],$L79)&gt;$D$4,"",IFERROR(INDEX(tblRegistros[Início],$L79),"")))</f>
        <v/>
      </c>
      <c r="E79" s="4">
        <f>IF($L79="","",IF(INDEX(tblRegistros[Data],$L79)&gt;$D$4,"",IFERROR(IF(INDEX(tblRegistros[Status],$L79)="EM ABERTO","",INDEX(tblRegistros[Fim],$L79)),"")))</f>
        <v/>
      </c>
      <c r="F79" s="14">
        <f>IF($L79="","",IF(INDEX(tblRegistros[Data],$L79)&gt;$D$4,"",IFERROR(IF(INDEX(tblRegistros[Status],$L79)="EM ABERTO","",INDEX(tblRegistros[Horas],$L79)),"")))</f>
        <v/>
      </c>
      <c r="G79">
        <f>IF($L79="","",IF(INDEX(tblRegistros[Data],$L79)&gt;$D$4,"",IFERROR(INDEX(tblRegistros[Base],$L79),"")))</f>
        <v/>
      </c>
      <c r="H79" s="3">
        <f>IF($L79="","",IF(INDEX(tblRegistros[Data],$L79)&gt;$D$4,"",IFERROR(INDEX(tblRegistros[Taxa aplicada],$L79),"")))</f>
        <v/>
      </c>
      <c r="I79" s="3">
        <f>IF($L79="","",IF(INDEX(tblRegistros[Data],$L79)&gt;$D$4,"",IFERROR(IF(INDEX(tblRegistros[Status],$L79)="EM ABERTO","",INDEX(tblRegistros[Valor],$L79)),"")))</f>
        <v/>
      </c>
      <c r="J79">
        <f>IF($L79="","",IF(INDEX(tblRegistros[Data],$L79)&gt;$D$4,"",IFERROR(INDEX(tblRegistros[Status],$L79),"")))</f>
        <v/>
      </c>
      <c r="K79">
        <f>IF($L79="","",IF(INDEX(tblRegistros[Data],$L79)&gt;$D$4,"",IFERROR(INDEX(tblRegistros[Observação],$L79),"")))</f>
        <v/>
      </c>
      <c r="L79" s="16">
        <f>IFERROR(MATCH($B$3*100000+COUNTIFS(tblRegistros[ID],$B$3,tblRegistros[Data],"&lt;"&amp;$B$4)+ROWS($L$10:L79),tblRegistros[Chave do cartão],0),"")</f>
        <v/>
      </c>
    </row>
    <row r="80">
      <c r="A80" s="2">
        <f>IF($L80="","",IF(INDEX(tblRegistros[Data],$L80)&gt;$D$4,"",IFERROR(INDEX(tblRegistros[Data],$L80),"")))</f>
        <v/>
      </c>
      <c r="B80">
        <f>IF($L80="","",IF(INDEX(tblRegistros[Data],$L80)&gt;$D$4,"",IFERROR(INDEX(tblRegistros[Projeto],$L80),"")))</f>
        <v/>
      </c>
      <c r="C80">
        <f>IF($L80="","",IF(INDEX(tblRegistros[Data],$L80)&gt;$D$4,"",IFERROR(INDEX(tblRegistros[Atividade],$L80),"")))</f>
        <v/>
      </c>
      <c r="D80" s="4">
        <f>IF($L80="","",IF(INDEX(tblRegistros[Data],$L80)&gt;$D$4,"",IFERROR(INDEX(tblRegistros[Início],$L80),"")))</f>
        <v/>
      </c>
      <c r="E80" s="4">
        <f>IF($L80="","",IF(INDEX(tblRegistros[Data],$L80)&gt;$D$4,"",IFERROR(IF(INDEX(tblRegistros[Status],$L80)="EM ABERTO","",INDEX(tblRegistros[Fim],$L80)),"")))</f>
        <v/>
      </c>
      <c r="F80" s="14">
        <f>IF($L80="","",IF(INDEX(tblRegistros[Data],$L80)&gt;$D$4,"",IFERROR(IF(INDEX(tblRegistros[Status],$L80)="EM ABERTO","",INDEX(tblRegistros[Horas],$L80)),"")))</f>
        <v/>
      </c>
      <c r="G80">
        <f>IF($L80="","",IF(INDEX(tblRegistros[Data],$L80)&gt;$D$4,"",IFERROR(INDEX(tblRegistros[Base],$L80),"")))</f>
        <v/>
      </c>
      <c r="H80" s="3">
        <f>IF($L80="","",IF(INDEX(tblRegistros[Data],$L80)&gt;$D$4,"",IFERROR(INDEX(tblRegistros[Taxa aplicada],$L80),"")))</f>
        <v/>
      </c>
      <c r="I80" s="3">
        <f>IF($L80="","",IF(INDEX(tblRegistros[Data],$L80)&gt;$D$4,"",IFERROR(IF(INDEX(tblRegistros[Status],$L80)="EM ABERTO","",INDEX(tblRegistros[Valor],$L80)),"")))</f>
        <v/>
      </c>
      <c r="J80">
        <f>IF($L80="","",IF(INDEX(tblRegistros[Data],$L80)&gt;$D$4,"",IFERROR(INDEX(tblRegistros[Status],$L80),"")))</f>
        <v/>
      </c>
      <c r="K80">
        <f>IF($L80="","",IF(INDEX(tblRegistros[Data],$L80)&gt;$D$4,"",IFERROR(INDEX(tblRegistros[Observação],$L80),"")))</f>
        <v/>
      </c>
      <c r="L80" s="16">
        <f>IFERROR(MATCH($B$3*100000+COUNTIFS(tblRegistros[ID],$B$3,tblRegistros[Data],"&lt;"&amp;$B$4)+ROWS($L$10:L80),tblRegistros[Chave do cartão],0),"")</f>
        <v/>
      </c>
    </row>
    <row r="81">
      <c r="A81" s="2">
        <f>IF($L81="","",IF(INDEX(tblRegistros[Data],$L81)&gt;$D$4,"",IFERROR(INDEX(tblRegistros[Data],$L81),"")))</f>
        <v/>
      </c>
      <c r="B81">
        <f>IF($L81="","",IF(INDEX(tblRegistros[Data],$L81)&gt;$D$4,"",IFERROR(INDEX(tblRegistros[Projeto],$L81),"")))</f>
        <v/>
      </c>
      <c r="C81">
        <f>IF($L81="","",IF(INDEX(tblRegistros[Data],$L81)&gt;$D$4,"",IFERROR(INDEX(tblRegistros[Atividade],$L81),"")))</f>
        <v/>
      </c>
      <c r="D81" s="4">
        <f>IF($L81="","",IF(INDEX(tblRegistros[Data],$L81)&gt;$D$4,"",IFERROR(INDEX(tblRegistros[Início],$L81),"")))</f>
        <v/>
      </c>
      <c r="E81" s="4">
        <f>IF($L81="","",IF(INDEX(tblRegistros[Data],$L81)&gt;$D$4,"",IFERROR(IF(INDEX(tblRegistros[Status],$L81)="EM ABERTO","",INDEX(tblRegistros[Fim],$L81)),"")))</f>
        <v/>
      </c>
      <c r="F81" s="14">
        <f>IF($L81="","",IF(INDEX(tblRegistros[Data],$L81)&gt;$D$4,"",IFERROR(IF(INDEX(tblRegistros[Status],$L81)="EM ABERTO","",INDEX(tblRegistros[Horas],$L81)),"")))</f>
        <v/>
      </c>
      <c r="G81">
        <f>IF($L81="","",IF(INDEX(tblRegistros[Data],$L81)&gt;$D$4,"",IFERROR(INDEX(tblRegistros[Base],$L81),"")))</f>
        <v/>
      </c>
      <c r="H81" s="3">
        <f>IF($L81="","",IF(INDEX(tblRegistros[Data],$L81)&gt;$D$4,"",IFERROR(INDEX(tblRegistros[Taxa aplicada],$L81),"")))</f>
        <v/>
      </c>
      <c r="I81" s="3">
        <f>IF($L81="","",IF(INDEX(tblRegistros[Data],$L81)&gt;$D$4,"",IFERROR(IF(INDEX(tblRegistros[Status],$L81)="EM ABERTO","",INDEX(tblRegistros[Valor],$L81)),"")))</f>
        <v/>
      </c>
      <c r="J81">
        <f>IF($L81="","",IF(INDEX(tblRegistros[Data],$L81)&gt;$D$4,"",IFERROR(INDEX(tblRegistros[Status],$L81),"")))</f>
        <v/>
      </c>
      <c r="K81">
        <f>IF($L81="","",IF(INDEX(tblRegistros[Data],$L81)&gt;$D$4,"",IFERROR(INDEX(tblRegistros[Observação],$L81),"")))</f>
        <v/>
      </c>
      <c r="L81" s="16">
        <f>IFERROR(MATCH($B$3*100000+COUNTIFS(tblRegistros[ID],$B$3,tblRegistros[Data],"&lt;"&amp;$B$4)+ROWS($L$10:L81),tblRegistros[Chave do cartão],0),"")</f>
        <v/>
      </c>
    </row>
    <row r="82">
      <c r="A82" s="2">
        <f>IF($L82="","",IF(INDEX(tblRegistros[Data],$L82)&gt;$D$4,"",IFERROR(INDEX(tblRegistros[Data],$L82),"")))</f>
        <v/>
      </c>
      <c r="B82">
        <f>IF($L82="","",IF(INDEX(tblRegistros[Data],$L82)&gt;$D$4,"",IFERROR(INDEX(tblRegistros[Projeto],$L82),"")))</f>
        <v/>
      </c>
      <c r="C82">
        <f>IF($L82="","",IF(INDEX(tblRegistros[Data],$L82)&gt;$D$4,"",IFERROR(INDEX(tblRegistros[Atividade],$L82),"")))</f>
        <v/>
      </c>
      <c r="D82" s="4">
        <f>IF($L82="","",IF(INDEX(tblRegistros[Data],$L82)&gt;$D$4,"",IFERROR(INDEX(tblRegistros[Início],$L82),"")))</f>
        <v/>
      </c>
      <c r="E82" s="4">
        <f>IF($L82="","",IF(INDEX(tblRegistros[Data],$L82)&gt;$D$4,"",IFERROR(IF(INDEX(tblRegistros[Status],$L82)="EM ABERTO","",INDEX(tblRegistros[Fim],$L82)),"")))</f>
        <v/>
      </c>
      <c r="F82" s="14">
        <f>IF($L82="","",IF(INDEX(tblRegistros[Data],$L82)&gt;$D$4,"",IFERROR(IF(INDEX(tblRegistros[Status],$L82)="EM ABERTO","",INDEX(tblRegistros[Horas],$L82)),"")))</f>
        <v/>
      </c>
      <c r="G82">
        <f>IF($L82="","",IF(INDEX(tblRegistros[Data],$L82)&gt;$D$4,"",IFERROR(INDEX(tblRegistros[Base],$L82),"")))</f>
        <v/>
      </c>
      <c r="H82" s="3">
        <f>IF($L82="","",IF(INDEX(tblRegistros[Data],$L82)&gt;$D$4,"",IFERROR(INDEX(tblRegistros[Taxa aplicada],$L82),"")))</f>
        <v/>
      </c>
      <c r="I82" s="3">
        <f>IF($L82="","",IF(INDEX(tblRegistros[Data],$L82)&gt;$D$4,"",IFERROR(IF(INDEX(tblRegistros[Status],$L82)="EM ABERTO","",INDEX(tblRegistros[Valor],$L82)),"")))</f>
        <v/>
      </c>
      <c r="J82">
        <f>IF($L82="","",IF(INDEX(tblRegistros[Data],$L82)&gt;$D$4,"",IFERROR(INDEX(tblRegistros[Status],$L82),"")))</f>
        <v/>
      </c>
      <c r="K82">
        <f>IF($L82="","",IF(INDEX(tblRegistros[Data],$L82)&gt;$D$4,"",IFERROR(INDEX(tblRegistros[Observação],$L82),"")))</f>
        <v/>
      </c>
      <c r="L82" s="16">
        <f>IFERROR(MATCH($B$3*100000+COUNTIFS(tblRegistros[ID],$B$3,tblRegistros[Data],"&lt;"&amp;$B$4)+ROWS($L$10:L82),tblRegistros[Chave do cartão],0),"")</f>
        <v/>
      </c>
    </row>
    <row r="83">
      <c r="A83" s="2">
        <f>IF($L83="","",IF(INDEX(tblRegistros[Data],$L83)&gt;$D$4,"",IFERROR(INDEX(tblRegistros[Data],$L83),"")))</f>
        <v/>
      </c>
      <c r="B83">
        <f>IF($L83="","",IF(INDEX(tblRegistros[Data],$L83)&gt;$D$4,"",IFERROR(INDEX(tblRegistros[Projeto],$L83),"")))</f>
        <v/>
      </c>
      <c r="C83">
        <f>IF($L83="","",IF(INDEX(tblRegistros[Data],$L83)&gt;$D$4,"",IFERROR(INDEX(tblRegistros[Atividade],$L83),"")))</f>
        <v/>
      </c>
      <c r="D83" s="4">
        <f>IF($L83="","",IF(INDEX(tblRegistros[Data],$L83)&gt;$D$4,"",IFERROR(INDEX(tblRegistros[Início],$L83),"")))</f>
        <v/>
      </c>
      <c r="E83" s="4">
        <f>IF($L83="","",IF(INDEX(tblRegistros[Data],$L83)&gt;$D$4,"",IFERROR(IF(INDEX(tblRegistros[Status],$L83)="EM ABERTO","",INDEX(tblRegistros[Fim],$L83)),"")))</f>
        <v/>
      </c>
      <c r="F83" s="14">
        <f>IF($L83="","",IF(INDEX(tblRegistros[Data],$L83)&gt;$D$4,"",IFERROR(IF(INDEX(tblRegistros[Status],$L83)="EM ABERTO","",INDEX(tblRegistros[Horas],$L83)),"")))</f>
        <v/>
      </c>
      <c r="G83">
        <f>IF($L83="","",IF(INDEX(tblRegistros[Data],$L83)&gt;$D$4,"",IFERROR(INDEX(tblRegistros[Base],$L83),"")))</f>
        <v/>
      </c>
      <c r="H83" s="3">
        <f>IF($L83="","",IF(INDEX(tblRegistros[Data],$L83)&gt;$D$4,"",IFERROR(INDEX(tblRegistros[Taxa aplicada],$L83),"")))</f>
        <v/>
      </c>
      <c r="I83" s="3">
        <f>IF($L83="","",IF(INDEX(tblRegistros[Data],$L83)&gt;$D$4,"",IFERROR(IF(INDEX(tblRegistros[Status],$L83)="EM ABERTO","",INDEX(tblRegistros[Valor],$L83)),"")))</f>
        <v/>
      </c>
      <c r="J83">
        <f>IF($L83="","",IF(INDEX(tblRegistros[Data],$L83)&gt;$D$4,"",IFERROR(INDEX(tblRegistros[Status],$L83),"")))</f>
        <v/>
      </c>
      <c r="K83">
        <f>IF($L83="","",IF(INDEX(tblRegistros[Data],$L83)&gt;$D$4,"",IFERROR(INDEX(tblRegistros[Observação],$L83),"")))</f>
        <v/>
      </c>
      <c r="L83" s="16">
        <f>IFERROR(MATCH($B$3*100000+COUNTIFS(tblRegistros[ID],$B$3,tblRegistros[Data],"&lt;"&amp;$B$4)+ROWS($L$10:L83),tblRegistros[Chave do cartão],0),"")</f>
        <v/>
      </c>
    </row>
    <row r="84">
      <c r="A84" s="2">
        <f>IF($L84="","",IF(INDEX(tblRegistros[Data],$L84)&gt;$D$4,"",IFERROR(INDEX(tblRegistros[Data],$L84),"")))</f>
        <v/>
      </c>
      <c r="B84">
        <f>IF($L84="","",IF(INDEX(tblRegistros[Data],$L84)&gt;$D$4,"",IFERROR(INDEX(tblRegistros[Projeto],$L84),"")))</f>
        <v/>
      </c>
      <c r="C84">
        <f>IF($L84="","",IF(INDEX(tblRegistros[Data],$L84)&gt;$D$4,"",IFERROR(INDEX(tblRegistros[Atividade],$L84),"")))</f>
        <v/>
      </c>
      <c r="D84" s="4">
        <f>IF($L84="","",IF(INDEX(tblRegistros[Data],$L84)&gt;$D$4,"",IFERROR(INDEX(tblRegistros[Início],$L84),"")))</f>
        <v/>
      </c>
      <c r="E84" s="4">
        <f>IF($L84="","",IF(INDEX(tblRegistros[Data],$L84)&gt;$D$4,"",IFERROR(IF(INDEX(tblRegistros[Status],$L84)="EM ABERTO","",INDEX(tblRegistros[Fim],$L84)),"")))</f>
        <v/>
      </c>
      <c r="F84" s="14">
        <f>IF($L84="","",IF(INDEX(tblRegistros[Data],$L84)&gt;$D$4,"",IFERROR(IF(INDEX(tblRegistros[Status],$L84)="EM ABERTO","",INDEX(tblRegistros[Horas],$L84)),"")))</f>
        <v/>
      </c>
      <c r="G84">
        <f>IF($L84="","",IF(INDEX(tblRegistros[Data],$L84)&gt;$D$4,"",IFERROR(INDEX(tblRegistros[Base],$L84),"")))</f>
        <v/>
      </c>
      <c r="H84" s="3">
        <f>IF($L84="","",IF(INDEX(tblRegistros[Data],$L84)&gt;$D$4,"",IFERROR(INDEX(tblRegistros[Taxa aplicada],$L84),"")))</f>
        <v/>
      </c>
      <c r="I84" s="3">
        <f>IF($L84="","",IF(INDEX(tblRegistros[Data],$L84)&gt;$D$4,"",IFERROR(IF(INDEX(tblRegistros[Status],$L84)="EM ABERTO","",INDEX(tblRegistros[Valor],$L84)),"")))</f>
        <v/>
      </c>
      <c r="J84">
        <f>IF($L84="","",IF(INDEX(tblRegistros[Data],$L84)&gt;$D$4,"",IFERROR(INDEX(tblRegistros[Status],$L84),"")))</f>
        <v/>
      </c>
      <c r="K84">
        <f>IF($L84="","",IF(INDEX(tblRegistros[Data],$L84)&gt;$D$4,"",IFERROR(INDEX(tblRegistros[Observação],$L84),"")))</f>
        <v/>
      </c>
      <c r="L84" s="16">
        <f>IFERROR(MATCH($B$3*100000+COUNTIFS(tblRegistros[ID],$B$3,tblRegistros[Data],"&lt;"&amp;$B$4)+ROWS($L$10:L84),tblRegistros[Chave do cartão],0),"")</f>
        <v/>
      </c>
    </row>
    <row r="85">
      <c r="A85" s="2">
        <f>IF($L85="","",IF(INDEX(tblRegistros[Data],$L85)&gt;$D$4,"",IFERROR(INDEX(tblRegistros[Data],$L85),"")))</f>
        <v/>
      </c>
      <c r="B85">
        <f>IF($L85="","",IF(INDEX(tblRegistros[Data],$L85)&gt;$D$4,"",IFERROR(INDEX(tblRegistros[Projeto],$L85),"")))</f>
        <v/>
      </c>
      <c r="C85">
        <f>IF($L85="","",IF(INDEX(tblRegistros[Data],$L85)&gt;$D$4,"",IFERROR(INDEX(tblRegistros[Atividade],$L85),"")))</f>
        <v/>
      </c>
      <c r="D85" s="4">
        <f>IF($L85="","",IF(INDEX(tblRegistros[Data],$L85)&gt;$D$4,"",IFERROR(INDEX(tblRegistros[Início],$L85),"")))</f>
        <v/>
      </c>
      <c r="E85" s="4">
        <f>IF($L85="","",IF(INDEX(tblRegistros[Data],$L85)&gt;$D$4,"",IFERROR(IF(INDEX(tblRegistros[Status],$L85)="EM ABERTO","",INDEX(tblRegistros[Fim],$L85)),"")))</f>
        <v/>
      </c>
      <c r="F85" s="14">
        <f>IF($L85="","",IF(INDEX(tblRegistros[Data],$L85)&gt;$D$4,"",IFERROR(IF(INDEX(tblRegistros[Status],$L85)="EM ABERTO","",INDEX(tblRegistros[Horas],$L85)),"")))</f>
        <v/>
      </c>
      <c r="G85">
        <f>IF($L85="","",IF(INDEX(tblRegistros[Data],$L85)&gt;$D$4,"",IFERROR(INDEX(tblRegistros[Base],$L85),"")))</f>
        <v/>
      </c>
      <c r="H85" s="3">
        <f>IF($L85="","",IF(INDEX(tblRegistros[Data],$L85)&gt;$D$4,"",IFERROR(INDEX(tblRegistros[Taxa aplicada],$L85),"")))</f>
        <v/>
      </c>
      <c r="I85" s="3">
        <f>IF($L85="","",IF(INDEX(tblRegistros[Data],$L85)&gt;$D$4,"",IFERROR(IF(INDEX(tblRegistros[Status],$L85)="EM ABERTO","",INDEX(tblRegistros[Valor],$L85)),"")))</f>
        <v/>
      </c>
      <c r="J85">
        <f>IF($L85="","",IF(INDEX(tblRegistros[Data],$L85)&gt;$D$4,"",IFERROR(INDEX(tblRegistros[Status],$L85),"")))</f>
        <v/>
      </c>
      <c r="K85">
        <f>IF($L85="","",IF(INDEX(tblRegistros[Data],$L85)&gt;$D$4,"",IFERROR(INDEX(tblRegistros[Observação],$L85),"")))</f>
        <v/>
      </c>
      <c r="L85" s="16">
        <f>IFERROR(MATCH($B$3*100000+COUNTIFS(tblRegistros[ID],$B$3,tblRegistros[Data],"&lt;"&amp;$B$4)+ROWS($L$10:L85),tblRegistros[Chave do cartão],0),"")</f>
        <v/>
      </c>
    </row>
    <row r="86">
      <c r="A86" s="2">
        <f>IF($L86="","",IF(INDEX(tblRegistros[Data],$L86)&gt;$D$4,"",IFERROR(INDEX(tblRegistros[Data],$L86),"")))</f>
        <v/>
      </c>
      <c r="B86">
        <f>IF($L86="","",IF(INDEX(tblRegistros[Data],$L86)&gt;$D$4,"",IFERROR(INDEX(tblRegistros[Projeto],$L86),"")))</f>
        <v/>
      </c>
      <c r="C86">
        <f>IF($L86="","",IF(INDEX(tblRegistros[Data],$L86)&gt;$D$4,"",IFERROR(INDEX(tblRegistros[Atividade],$L86),"")))</f>
        <v/>
      </c>
      <c r="D86" s="4">
        <f>IF($L86="","",IF(INDEX(tblRegistros[Data],$L86)&gt;$D$4,"",IFERROR(INDEX(tblRegistros[Início],$L86),"")))</f>
        <v/>
      </c>
      <c r="E86" s="4">
        <f>IF($L86="","",IF(INDEX(tblRegistros[Data],$L86)&gt;$D$4,"",IFERROR(IF(INDEX(tblRegistros[Status],$L86)="EM ABERTO","",INDEX(tblRegistros[Fim],$L86)),"")))</f>
        <v/>
      </c>
      <c r="F86" s="14">
        <f>IF($L86="","",IF(INDEX(tblRegistros[Data],$L86)&gt;$D$4,"",IFERROR(IF(INDEX(tblRegistros[Status],$L86)="EM ABERTO","",INDEX(tblRegistros[Horas],$L86)),"")))</f>
        <v/>
      </c>
      <c r="G86">
        <f>IF($L86="","",IF(INDEX(tblRegistros[Data],$L86)&gt;$D$4,"",IFERROR(INDEX(tblRegistros[Base],$L86),"")))</f>
        <v/>
      </c>
      <c r="H86" s="3">
        <f>IF($L86="","",IF(INDEX(tblRegistros[Data],$L86)&gt;$D$4,"",IFERROR(INDEX(tblRegistros[Taxa aplicada],$L86),"")))</f>
        <v/>
      </c>
      <c r="I86" s="3">
        <f>IF($L86="","",IF(INDEX(tblRegistros[Data],$L86)&gt;$D$4,"",IFERROR(IF(INDEX(tblRegistros[Status],$L86)="EM ABERTO","",INDEX(tblRegistros[Valor],$L86)),"")))</f>
        <v/>
      </c>
      <c r="J86">
        <f>IF($L86="","",IF(INDEX(tblRegistros[Data],$L86)&gt;$D$4,"",IFERROR(INDEX(tblRegistros[Status],$L86),"")))</f>
        <v/>
      </c>
      <c r="K86">
        <f>IF($L86="","",IF(INDEX(tblRegistros[Data],$L86)&gt;$D$4,"",IFERROR(INDEX(tblRegistros[Observação],$L86),"")))</f>
        <v/>
      </c>
      <c r="L86" s="16">
        <f>IFERROR(MATCH($B$3*100000+COUNTIFS(tblRegistros[ID],$B$3,tblRegistros[Data],"&lt;"&amp;$B$4)+ROWS($L$10:L86),tblRegistros[Chave do cartão],0),"")</f>
        <v/>
      </c>
    </row>
    <row r="87">
      <c r="A87" s="2">
        <f>IF($L87="","",IF(INDEX(tblRegistros[Data],$L87)&gt;$D$4,"",IFERROR(INDEX(tblRegistros[Data],$L87),"")))</f>
        <v/>
      </c>
      <c r="B87">
        <f>IF($L87="","",IF(INDEX(tblRegistros[Data],$L87)&gt;$D$4,"",IFERROR(INDEX(tblRegistros[Projeto],$L87),"")))</f>
        <v/>
      </c>
      <c r="C87">
        <f>IF($L87="","",IF(INDEX(tblRegistros[Data],$L87)&gt;$D$4,"",IFERROR(INDEX(tblRegistros[Atividade],$L87),"")))</f>
        <v/>
      </c>
      <c r="D87" s="4">
        <f>IF($L87="","",IF(INDEX(tblRegistros[Data],$L87)&gt;$D$4,"",IFERROR(INDEX(tblRegistros[Início],$L87),"")))</f>
        <v/>
      </c>
      <c r="E87" s="4">
        <f>IF($L87="","",IF(INDEX(tblRegistros[Data],$L87)&gt;$D$4,"",IFERROR(IF(INDEX(tblRegistros[Status],$L87)="EM ABERTO","",INDEX(tblRegistros[Fim],$L87)),"")))</f>
        <v/>
      </c>
      <c r="F87" s="14">
        <f>IF($L87="","",IF(INDEX(tblRegistros[Data],$L87)&gt;$D$4,"",IFERROR(IF(INDEX(tblRegistros[Status],$L87)="EM ABERTO","",INDEX(tblRegistros[Horas],$L87)),"")))</f>
        <v/>
      </c>
      <c r="G87">
        <f>IF($L87="","",IF(INDEX(tblRegistros[Data],$L87)&gt;$D$4,"",IFERROR(INDEX(tblRegistros[Base],$L87),"")))</f>
        <v/>
      </c>
      <c r="H87" s="3">
        <f>IF($L87="","",IF(INDEX(tblRegistros[Data],$L87)&gt;$D$4,"",IFERROR(INDEX(tblRegistros[Taxa aplicada],$L87),"")))</f>
        <v/>
      </c>
      <c r="I87" s="3">
        <f>IF($L87="","",IF(INDEX(tblRegistros[Data],$L87)&gt;$D$4,"",IFERROR(IF(INDEX(tblRegistros[Status],$L87)="EM ABERTO","",INDEX(tblRegistros[Valor],$L87)),"")))</f>
        <v/>
      </c>
      <c r="J87">
        <f>IF($L87="","",IF(INDEX(tblRegistros[Data],$L87)&gt;$D$4,"",IFERROR(INDEX(tblRegistros[Status],$L87),"")))</f>
        <v/>
      </c>
      <c r="K87">
        <f>IF($L87="","",IF(INDEX(tblRegistros[Data],$L87)&gt;$D$4,"",IFERROR(INDEX(tblRegistros[Observação],$L87),"")))</f>
        <v/>
      </c>
      <c r="L87" s="16">
        <f>IFERROR(MATCH($B$3*100000+COUNTIFS(tblRegistros[ID],$B$3,tblRegistros[Data],"&lt;"&amp;$B$4)+ROWS($L$10:L87),tblRegistros[Chave do cartão],0),"")</f>
        <v/>
      </c>
    </row>
    <row r="88">
      <c r="A88" s="2">
        <f>IF($L88="","",IF(INDEX(tblRegistros[Data],$L88)&gt;$D$4,"",IFERROR(INDEX(tblRegistros[Data],$L88),"")))</f>
        <v/>
      </c>
      <c r="B88">
        <f>IF($L88="","",IF(INDEX(tblRegistros[Data],$L88)&gt;$D$4,"",IFERROR(INDEX(tblRegistros[Projeto],$L88),"")))</f>
        <v/>
      </c>
      <c r="C88">
        <f>IF($L88="","",IF(INDEX(tblRegistros[Data],$L88)&gt;$D$4,"",IFERROR(INDEX(tblRegistros[Atividade],$L88),"")))</f>
        <v/>
      </c>
      <c r="D88" s="4">
        <f>IF($L88="","",IF(INDEX(tblRegistros[Data],$L88)&gt;$D$4,"",IFERROR(INDEX(tblRegistros[Início],$L88),"")))</f>
        <v/>
      </c>
      <c r="E88" s="4">
        <f>IF($L88="","",IF(INDEX(tblRegistros[Data],$L88)&gt;$D$4,"",IFERROR(IF(INDEX(tblRegistros[Status],$L88)="EM ABERTO","",INDEX(tblRegistros[Fim],$L88)),"")))</f>
        <v/>
      </c>
      <c r="F88" s="14">
        <f>IF($L88="","",IF(INDEX(tblRegistros[Data],$L88)&gt;$D$4,"",IFERROR(IF(INDEX(tblRegistros[Status],$L88)="EM ABERTO","",INDEX(tblRegistros[Horas],$L88)),"")))</f>
        <v/>
      </c>
      <c r="G88">
        <f>IF($L88="","",IF(INDEX(tblRegistros[Data],$L88)&gt;$D$4,"",IFERROR(INDEX(tblRegistros[Base],$L88),"")))</f>
        <v/>
      </c>
      <c r="H88" s="3">
        <f>IF($L88="","",IF(INDEX(tblRegistros[Data],$L88)&gt;$D$4,"",IFERROR(INDEX(tblRegistros[Taxa aplicada],$L88),"")))</f>
        <v/>
      </c>
      <c r="I88" s="3">
        <f>IF($L88="","",IF(INDEX(tblRegistros[Data],$L88)&gt;$D$4,"",IFERROR(IF(INDEX(tblRegistros[Status],$L88)="EM ABERTO","",INDEX(tblRegistros[Valor],$L88)),"")))</f>
        <v/>
      </c>
      <c r="J88">
        <f>IF($L88="","",IF(INDEX(tblRegistros[Data],$L88)&gt;$D$4,"",IFERROR(INDEX(tblRegistros[Status],$L88),"")))</f>
        <v/>
      </c>
      <c r="K88">
        <f>IF($L88="","",IF(INDEX(tblRegistros[Data],$L88)&gt;$D$4,"",IFERROR(INDEX(tblRegistros[Observação],$L88),"")))</f>
        <v/>
      </c>
      <c r="L88" s="16">
        <f>IFERROR(MATCH($B$3*100000+COUNTIFS(tblRegistros[ID],$B$3,tblRegistros[Data],"&lt;"&amp;$B$4)+ROWS($L$10:L88),tblRegistros[Chave do cartão],0),"")</f>
        <v/>
      </c>
    </row>
    <row r="89">
      <c r="A89" s="2">
        <f>IF($L89="","",IF(INDEX(tblRegistros[Data],$L89)&gt;$D$4,"",IFERROR(INDEX(tblRegistros[Data],$L89),"")))</f>
        <v/>
      </c>
      <c r="B89">
        <f>IF($L89="","",IF(INDEX(tblRegistros[Data],$L89)&gt;$D$4,"",IFERROR(INDEX(tblRegistros[Projeto],$L89),"")))</f>
        <v/>
      </c>
      <c r="C89">
        <f>IF($L89="","",IF(INDEX(tblRegistros[Data],$L89)&gt;$D$4,"",IFERROR(INDEX(tblRegistros[Atividade],$L89),"")))</f>
        <v/>
      </c>
      <c r="D89" s="4">
        <f>IF($L89="","",IF(INDEX(tblRegistros[Data],$L89)&gt;$D$4,"",IFERROR(INDEX(tblRegistros[Início],$L89),"")))</f>
        <v/>
      </c>
      <c r="E89" s="4">
        <f>IF($L89="","",IF(INDEX(tblRegistros[Data],$L89)&gt;$D$4,"",IFERROR(IF(INDEX(tblRegistros[Status],$L89)="EM ABERTO","",INDEX(tblRegistros[Fim],$L89)),"")))</f>
        <v/>
      </c>
      <c r="F89" s="14">
        <f>IF($L89="","",IF(INDEX(tblRegistros[Data],$L89)&gt;$D$4,"",IFERROR(IF(INDEX(tblRegistros[Status],$L89)="EM ABERTO","",INDEX(tblRegistros[Horas],$L89)),"")))</f>
        <v/>
      </c>
      <c r="G89">
        <f>IF($L89="","",IF(INDEX(tblRegistros[Data],$L89)&gt;$D$4,"",IFERROR(INDEX(tblRegistros[Base],$L89),"")))</f>
        <v/>
      </c>
      <c r="H89" s="3">
        <f>IF($L89="","",IF(INDEX(tblRegistros[Data],$L89)&gt;$D$4,"",IFERROR(INDEX(tblRegistros[Taxa aplicada],$L89),"")))</f>
        <v/>
      </c>
      <c r="I89" s="3">
        <f>IF($L89="","",IF(INDEX(tblRegistros[Data],$L89)&gt;$D$4,"",IFERROR(IF(INDEX(tblRegistros[Status],$L89)="EM ABERTO","",INDEX(tblRegistros[Valor],$L89)),"")))</f>
        <v/>
      </c>
      <c r="J89">
        <f>IF($L89="","",IF(INDEX(tblRegistros[Data],$L89)&gt;$D$4,"",IFERROR(INDEX(tblRegistros[Status],$L89),"")))</f>
        <v/>
      </c>
      <c r="K89">
        <f>IF($L89="","",IF(INDEX(tblRegistros[Data],$L89)&gt;$D$4,"",IFERROR(INDEX(tblRegistros[Observação],$L89),"")))</f>
        <v/>
      </c>
      <c r="L89" s="16">
        <f>IFERROR(MATCH($B$3*100000+COUNTIFS(tblRegistros[ID],$B$3,tblRegistros[Data],"&lt;"&amp;$B$4)+ROWS($L$10:L89),tblRegistros[Chave do cartão],0),"")</f>
        <v/>
      </c>
    </row>
    <row r="90">
      <c r="A90" s="2">
        <f>IF($L90="","",IF(INDEX(tblRegistros[Data],$L90)&gt;$D$4,"",IFERROR(INDEX(tblRegistros[Data],$L90),"")))</f>
        <v/>
      </c>
      <c r="B90">
        <f>IF($L90="","",IF(INDEX(tblRegistros[Data],$L90)&gt;$D$4,"",IFERROR(INDEX(tblRegistros[Projeto],$L90),"")))</f>
        <v/>
      </c>
      <c r="C90">
        <f>IF($L90="","",IF(INDEX(tblRegistros[Data],$L90)&gt;$D$4,"",IFERROR(INDEX(tblRegistros[Atividade],$L90),"")))</f>
        <v/>
      </c>
      <c r="D90" s="4">
        <f>IF($L90="","",IF(INDEX(tblRegistros[Data],$L90)&gt;$D$4,"",IFERROR(INDEX(tblRegistros[Início],$L90),"")))</f>
        <v/>
      </c>
      <c r="E90" s="4">
        <f>IF($L90="","",IF(INDEX(tblRegistros[Data],$L90)&gt;$D$4,"",IFERROR(IF(INDEX(tblRegistros[Status],$L90)="EM ABERTO","",INDEX(tblRegistros[Fim],$L90)),"")))</f>
        <v/>
      </c>
      <c r="F90" s="14">
        <f>IF($L90="","",IF(INDEX(tblRegistros[Data],$L90)&gt;$D$4,"",IFERROR(IF(INDEX(tblRegistros[Status],$L90)="EM ABERTO","",INDEX(tblRegistros[Horas],$L90)),"")))</f>
        <v/>
      </c>
      <c r="G90">
        <f>IF($L90="","",IF(INDEX(tblRegistros[Data],$L90)&gt;$D$4,"",IFERROR(INDEX(tblRegistros[Base],$L90),"")))</f>
        <v/>
      </c>
      <c r="H90" s="3">
        <f>IF($L90="","",IF(INDEX(tblRegistros[Data],$L90)&gt;$D$4,"",IFERROR(INDEX(tblRegistros[Taxa aplicada],$L90),"")))</f>
        <v/>
      </c>
      <c r="I90" s="3">
        <f>IF($L90="","",IF(INDEX(tblRegistros[Data],$L90)&gt;$D$4,"",IFERROR(IF(INDEX(tblRegistros[Status],$L90)="EM ABERTO","",INDEX(tblRegistros[Valor],$L90)),"")))</f>
        <v/>
      </c>
      <c r="J90">
        <f>IF($L90="","",IF(INDEX(tblRegistros[Data],$L90)&gt;$D$4,"",IFERROR(INDEX(tblRegistros[Status],$L90),"")))</f>
        <v/>
      </c>
      <c r="K90">
        <f>IF($L90="","",IF(INDEX(tblRegistros[Data],$L90)&gt;$D$4,"",IFERROR(INDEX(tblRegistros[Observação],$L90),"")))</f>
        <v/>
      </c>
      <c r="L90" s="16">
        <f>IFERROR(MATCH($B$3*100000+COUNTIFS(tblRegistros[ID],$B$3,tblRegistros[Data],"&lt;"&amp;$B$4)+ROWS($L$10:L90),tblRegistros[Chave do cartão],0),"")</f>
        <v/>
      </c>
    </row>
    <row r="91">
      <c r="A91" s="2">
        <f>IF($L91="","",IF(INDEX(tblRegistros[Data],$L91)&gt;$D$4,"",IFERROR(INDEX(tblRegistros[Data],$L91),"")))</f>
        <v/>
      </c>
      <c r="B91">
        <f>IF($L91="","",IF(INDEX(tblRegistros[Data],$L91)&gt;$D$4,"",IFERROR(INDEX(tblRegistros[Projeto],$L91),"")))</f>
        <v/>
      </c>
      <c r="C91">
        <f>IF($L91="","",IF(INDEX(tblRegistros[Data],$L91)&gt;$D$4,"",IFERROR(INDEX(tblRegistros[Atividade],$L91),"")))</f>
        <v/>
      </c>
      <c r="D91" s="4">
        <f>IF($L91="","",IF(INDEX(tblRegistros[Data],$L91)&gt;$D$4,"",IFERROR(INDEX(tblRegistros[Início],$L91),"")))</f>
        <v/>
      </c>
      <c r="E91" s="4">
        <f>IF($L91="","",IF(INDEX(tblRegistros[Data],$L91)&gt;$D$4,"",IFERROR(IF(INDEX(tblRegistros[Status],$L91)="EM ABERTO","",INDEX(tblRegistros[Fim],$L91)),"")))</f>
        <v/>
      </c>
      <c r="F91" s="14">
        <f>IF($L91="","",IF(INDEX(tblRegistros[Data],$L91)&gt;$D$4,"",IFERROR(IF(INDEX(tblRegistros[Status],$L91)="EM ABERTO","",INDEX(tblRegistros[Horas],$L91)),"")))</f>
        <v/>
      </c>
      <c r="G91">
        <f>IF($L91="","",IF(INDEX(tblRegistros[Data],$L91)&gt;$D$4,"",IFERROR(INDEX(tblRegistros[Base],$L91),"")))</f>
        <v/>
      </c>
      <c r="H91" s="3">
        <f>IF($L91="","",IF(INDEX(tblRegistros[Data],$L91)&gt;$D$4,"",IFERROR(INDEX(tblRegistros[Taxa aplicada],$L91),"")))</f>
        <v/>
      </c>
      <c r="I91" s="3">
        <f>IF($L91="","",IF(INDEX(tblRegistros[Data],$L91)&gt;$D$4,"",IFERROR(IF(INDEX(tblRegistros[Status],$L91)="EM ABERTO","",INDEX(tblRegistros[Valor],$L91)),"")))</f>
        <v/>
      </c>
      <c r="J91">
        <f>IF($L91="","",IF(INDEX(tblRegistros[Data],$L91)&gt;$D$4,"",IFERROR(INDEX(tblRegistros[Status],$L91),"")))</f>
        <v/>
      </c>
      <c r="K91">
        <f>IF($L91="","",IF(INDEX(tblRegistros[Data],$L91)&gt;$D$4,"",IFERROR(INDEX(tblRegistros[Observação],$L91),"")))</f>
        <v/>
      </c>
      <c r="L91" s="16">
        <f>IFERROR(MATCH($B$3*100000+COUNTIFS(tblRegistros[ID],$B$3,tblRegistros[Data],"&lt;"&amp;$B$4)+ROWS($L$10:L91),tblRegistros[Chave do cartão],0),"")</f>
        <v/>
      </c>
    </row>
    <row r="92">
      <c r="A92" s="2">
        <f>IF($L92="","",IF(INDEX(tblRegistros[Data],$L92)&gt;$D$4,"",IFERROR(INDEX(tblRegistros[Data],$L92),"")))</f>
        <v/>
      </c>
      <c r="B92">
        <f>IF($L92="","",IF(INDEX(tblRegistros[Data],$L92)&gt;$D$4,"",IFERROR(INDEX(tblRegistros[Projeto],$L92),"")))</f>
        <v/>
      </c>
      <c r="C92">
        <f>IF($L92="","",IF(INDEX(tblRegistros[Data],$L92)&gt;$D$4,"",IFERROR(INDEX(tblRegistros[Atividade],$L92),"")))</f>
        <v/>
      </c>
      <c r="D92" s="4">
        <f>IF($L92="","",IF(INDEX(tblRegistros[Data],$L92)&gt;$D$4,"",IFERROR(INDEX(tblRegistros[Início],$L92),"")))</f>
        <v/>
      </c>
      <c r="E92" s="4">
        <f>IF($L92="","",IF(INDEX(tblRegistros[Data],$L92)&gt;$D$4,"",IFERROR(IF(INDEX(tblRegistros[Status],$L92)="EM ABERTO","",INDEX(tblRegistros[Fim],$L92)),"")))</f>
        <v/>
      </c>
      <c r="F92" s="14">
        <f>IF($L92="","",IF(INDEX(tblRegistros[Data],$L92)&gt;$D$4,"",IFERROR(IF(INDEX(tblRegistros[Status],$L92)="EM ABERTO","",INDEX(tblRegistros[Horas],$L92)),"")))</f>
        <v/>
      </c>
      <c r="G92">
        <f>IF($L92="","",IF(INDEX(tblRegistros[Data],$L92)&gt;$D$4,"",IFERROR(INDEX(tblRegistros[Base],$L92),"")))</f>
        <v/>
      </c>
      <c r="H92" s="3">
        <f>IF($L92="","",IF(INDEX(tblRegistros[Data],$L92)&gt;$D$4,"",IFERROR(INDEX(tblRegistros[Taxa aplicada],$L92),"")))</f>
        <v/>
      </c>
      <c r="I92" s="3">
        <f>IF($L92="","",IF(INDEX(tblRegistros[Data],$L92)&gt;$D$4,"",IFERROR(IF(INDEX(tblRegistros[Status],$L92)="EM ABERTO","",INDEX(tblRegistros[Valor],$L92)),"")))</f>
        <v/>
      </c>
      <c r="J92">
        <f>IF($L92="","",IF(INDEX(tblRegistros[Data],$L92)&gt;$D$4,"",IFERROR(INDEX(tblRegistros[Status],$L92),"")))</f>
        <v/>
      </c>
      <c r="K92">
        <f>IF($L92="","",IF(INDEX(tblRegistros[Data],$L92)&gt;$D$4,"",IFERROR(INDEX(tblRegistros[Observação],$L92),"")))</f>
        <v/>
      </c>
      <c r="L92" s="16">
        <f>IFERROR(MATCH($B$3*100000+COUNTIFS(tblRegistros[ID],$B$3,tblRegistros[Data],"&lt;"&amp;$B$4)+ROWS($L$10:L92),tblRegistros[Chave do cartão],0),"")</f>
        <v/>
      </c>
    </row>
    <row r="93">
      <c r="A93" s="2">
        <f>IF($L93="","",IF(INDEX(tblRegistros[Data],$L93)&gt;$D$4,"",IFERROR(INDEX(tblRegistros[Data],$L93),"")))</f>
        <v/>
      </c>
      <c r="B93">
        <f>IF($L93="","",IF(INDEX(tblRegistros[Data],$L93)&gt;$D$4,"",IFERROR(INDEX(tblRegistros[Projeto],$L93),"")))</f>
        <v/>
      </c>
      <c r="C93">
        <f>IF($L93="","",IF(INDEX(tblRegistros[Data],$L93)&gt;$D$4,"",IFERROR(INDEX(tblRegistros[Atividade],$L93),"")))</f>
        <v/>
      </c>
      <c r="D93" s="4">
        <f>IF($L93="","",IF(INDEX(tblRegistros[Data],$L93)&gt;$D$4,"",IFERROR(INDEX(tblRegistros[Início],$L93),"")))</f>
        <v/>
      </c>
      <c r="E93" s="4">
        <f>IF($L93="","",IF(INDEX(tblRegistros[Data],$L93)&gt;$D$4,"",IFERROR(IF(INDEX(tblRegistros[Status],$L93)="EM ABERTO","",INDEX(tblRegistros[Fim],$L93)),"")))</f>
        <v/>
      </c>
      <c r="F93" s="14">
        <f>IF($L93="","",IF(INDEX(tblRegistros[Data],$L93)&gt;$D$4,"",IFERROR(IF(INDEX(tblRegistros[Status],$L93)="EM ABERTO","",INDEX(tblRegistros[Horas],$L93)),"")))</f>
        <v/>
      </c>
      <c r="G93">
        <f>IF($L93="","",IF(INDEX(tblRegistros[Data],$L93)&gt;$D$4,"",IFERROR(INDEX(tblRegistros[Base],$L93),"")))</f>
        <v/>
      </c>
      <c r="H93" s="3">
        <f>IF($L93="","",IF(INDEX(tblRegistros[Data],$L93)&gt;$D$4,"",IFERROR(INDEX(tblRegistros[Taxa aplicada],$L93),"")))</f>
        <v/>
      </c>
      <c r="I93" s="3">
        <f>IF($L93="","",IF(INDEX(tblRegistros[Data],$L93)&gt;$D$4,"",IFERROR(IF(INDEX(tblRegistros[Status],$L93)="EM ABERTO","",INDEX(tblRegistros[Valor],$L93)),"")))</f>
        <v/>
      </c>
      <c r="J93">
        <f>IF($L93="","",IF(INDEX(tblRegistros[Data],$L93)&gt;$D$4,"",IFERROR(INDEX(tblRegistros[Status],$L93),"")))</f>
        <v/>
      </c>
      <c r="K93">
        <f>IF($L93="","",IF(INDEX(tblRegistros[Data],$L93)&gt;$D$4,"",IFERROR(INDEX(tblRegistros[Observação],$L93),"")))</f>
        <v/>
      </c>
      <c r="L93" s="16">
        <f>IFERROR(MATCH($B$3*100000+COUNTIFS(tblRegistros[ID],$B$3,tblRegistros[Data],"&lt;"&amp;$B$4)+ROWS($L$10:L93),tblRegistros[Chave do cartão],0),"")</f>
        <v/>
      </c>
    </row>
    <row r="94">
      <c r="A94" s="2">
        <f>IF($L94="","",IF(INDEX(tblRegistros[Data],$L94)&gt;$D$4,"",IFERROR(INDEX(tblRegistros[Data],$L94),"")))</f>
        <v/>
      </c>
      <c r="B94">
        <f>IF($L94="","",IF(INDEX(tblRegistros[Data],$L94)&gt;$D$4,"",IFERROR(INDEX(tblRegistros[Projeto],$L94),"")))</f>
        <v/>
      </c>
      <c r="C94">
        <f>IF($L94="","",IF(INDEX(tblRegistros[Data],$L94)&gt;$D$4,"",IFERROR(INDEX(tblRegistros[Atividade],$L94),"")))</f>
        <v/>
      </c>
      <c r="D94" s="4">
        <f>IF($L94="","",IF(INDEX(tblRegistros[Data],$L94)&gt;$D$4,"",IFERROR(INDEX(tblRegistros[Início],$L94),"")))</f>
        <v/>
      </c>
      <c r="E94" s="4">
        <f>IF($L94="","",IF(INDEX(tblRegistros[Data],$L94)&gt;$D$4,"",IFERROR(IF(INDEX(tblRegistros[Status],$L94)="EM ABERTO","",INDEX(tblRegistros[Fim],$L94)),"")))</f>
        <v/>
      </c>
      <c r="F94" s="14">
        <f>IF($L94="","",IF(INDEX(tblRegistros[Data],$L94)&gt;$D$4,"",IFERROR(IF(INDEX(tblRegistros[Status],$L94)="EM ABERTO","",INDEX(tblRegistros[Horas],$L94)),"")))</f>
        <v/>
      </c>
      <c r="G94">
        <f>IF($L94="","",IF(INDEX(tblRegistros[Data],$L94)&gt;$D$4,"",IFERROR(INDEX(tblRegistros[Base],$L94),"")))</f>
        <v/>
      </c>
      <c r="H94" s="3">
        <f>IF($L94="","",IF(INDEX(tblRegistros[Data],$L94)&gt;$D$4,"",IFERROR(INDEX(tblRegistros[Taxa aplicada],$L94),"")))</f>
        <v/>
      </c>
      <c r="I94" s="3">
        <f>IF($L94="","",IF(INDEX(tblRegistros[Data],$L94)&gt;$D$4,"",IFERROR(IF(INDEX(tblRegistros[Status],$L94)="EM ABERTO","",INDEX(tblRegistros[Valor],$L94)),"")))</f>
        <v/>
      </c>
      <c r="J94">
        <f>IF($L94="","",IF(INDEX(tblRegistros[Data],$L94)&gt;$D$4,"",IFERROR(INDEX(tblRegistros[Status],$L94),"")))</f>
        <v/>
      </c>
      <c r="K94">
        <f>IF($L94="","",IF(INDEX(tblRegistros[Data],$L94)&gt;$D$4,"",IFERROR(INDEX(tblRegistros[Observação],$L94),"")))</f>
        <v/>
      </c>
      <c r="L94" s="16">
        <f>IFERROR(MATCH($B$3*100000+COUNTIFS(tblRegistros[ID],$B$3,tblRegistros[Data],"&lt;"&amp;$B$4)+ROWS($L$10:L94),tblRegistros[Chave do cartão],0),"")</f>
        <v/>
      </c>
    </row>
    <row r="95">
      <c r="A95" s="2">
        <f>IF($L95="","",IF(INDEX(tblRegistros[Data],$L95)&gt;$D$4,"",IFERROR(INDEX(tblRegistros[Data],$L95),"")))</f>
        <v/>
      </c>
      <c r="B95">
        <f>IF($L95="","",IF(INDEX(tblRegistros[Data],$L95)&gt;$D$4,"",IFERROR(INDEX(tblRegistros[Projeto],$L95),"")))</f>
        <v/>
      </c>
      <c r="C95">
        <f>IF($L95="","",IF(INDEX(tblRegistros[Data],$L95)&gt;$D$4,"",IFERROR(INDEX(tblRegistros[Atividade],$L95),"")))</f>
        <v/>
      </c>
      <c r="D95" s="4">
        <f>IF($L95="","",IF(INDEX(tblRegistros[Data],$L95)&gt;$D$4,"",IFERROR(INDEX(tblRegistros[Início],$L95),"")))</f>
        <v/>
      </c>
      <c r="E95" s="4">
        <f>IF($L95="","",IF(INDEX(tblRegistros[Data],$L95)&gt;$D$4,"",IFERROR(IF(INDEX(tblRegistros[Status],$L95)="EM ABERTO","",INDEX(tblRegistros[Fim],$L95)),"")))</f>
        <v/>
      </c>
      <c r="F95" s="14">
        <f>IF($L95="","",IF(INDEX(tblRegistros[Data],$L95)&gt;$D$4,"",IFERROR(IF(INDEX(tblRegistros[Status],$L95)="EM ABERTO","",INDEX(tblRegistros[Horas],$L95)),"")))</f>
        <v/>
      </c>
      <c r="G95">
        <f>IF($L95="","",IF(INDEX(tblRegistros[Data],$L95)&gt;$D$4,"",IFERROR(INDEX(tblRegistros[Base],$L95),"")))</f>
        <v/>
      </c>
      <c r="H95" s="3">
        <f>IF($L95="","",IF(INDEX(tblRegistros[Data],$L95)&gt;$D$4,"",IFERROR(INDEX(tblRegistros[Taxa aplicada],$L95),"")))</f>
        <v/>
      </c>
      <c r="I95" s="3">
        <f>IF($L95="","",IF(INDEX(tblRegistros[Data],$L95)&gt;$D$4,"",IFERROR(IF(INDEX(tblRegistros[Status],$L95)="EM ABERTO","",INDEX(tblRegistros[Valor],$L95)),"")))</f>
        <v/>
      </c>
      <c r="J95">
        <f>IF($L95="","",IF(INDEX(tblRegistros[Data],$L95)&gt;$D$4,"",IFERROR(INDEX(tblRegistros[Status],$L95),"")))</f>
        <v/>
      </c>
      <c r="K95">
        <f>IF($L95="","",IF(INDEX(tblRegistros[Data],$L95)&gt;$D$4,"",IFERROR(INDEX(tblRegistros[Observação],$L95),"")))</f>
        <v/>
      </c>
      <c r="L95" s="16">
        <f>IFERROR(MATCH($B$3*100000+COUNTIFS(tblRegistros[ID],$B$3,tblRegistros[Data],"&lt;"&amp;$B$4)+ROWS($L$10:L95),tblRegistros[Chave do cartão],0),"")</f>
        <v/>
      </c>
    </row>
    <row r="96">
      <c r="A96" s="2">
        <f>IF($L96="","",IF(INDEX(tblRegistros[Data],$L96)&gt;$D$4,"",IFERROR(INDEX(tblRegistros[Data],$L96),"")))</f>
        <v/>
      </c>
      <c r="B96">
        <f>IF($L96="","",IF(INDEX(tblRegistros[Data],$L96)&gt;$D$4,"",IFERROR(INDEX(tblRegistros[Projeto],$L96),"")))</f>
        <v/>
      </c>
      <c r="C96">
        <f>IF($L96="","",IF(INDEX(tblRegistros[Data],$L96)&gt;$D$4,"",IFERROR(INDEX(tblRegistros[Atividade],$L96),"")))</f>
        <v/>
      </c>
      <c r="D96" s="4">
        <f>IF($L96="","",IF(INDEX(tblRegistros[Data],$L96)&gt;$D$4,"",IFERROR(INDEX(tblRegistros[Início],$L96),"")))</f>
        <v/>
      </c>
      <c r="E96" s="4">
        <f>IF($L96="","",IF(INDEX(tblRegistros[Data],$L96)&gt;$D$4,"",IFERROR(IF(INDEX(tblRegistros[Status],$L96)="EM ABERTO","",INDEX(tblRegistros[Fim],$L96)),"")))</f>
        <v/>
      </c>
      <c r="F96" s="14">
        <f>IF($L96="","",IF(INDEX(tblRegistros[Data],$L96)&gt;$D$4,"",IFERROR(IF(INDEX(tblRegistros[Status],$L96)="EM ABERTO","",INDEX(tblRegistros[Horas],$L96)),"")))</f>
        <v/>
      </c>
      <c r="G96">
        <f>IF($L96="","",IF(INDEX(tblRegistros[Data],$L96)&gt;$D$4,"",IFERROR(INDEX(tblRegistros[Base],$L96),"")))</f>
        <v/>
      </c>
      <c r="H96" s="3">
        <f>IF($L96="","",IF(INDEX(tblRegistros[Data],$L96)&gt;$D$4,"",IFERROR(INDEX(tblRegistros[Taxa aplicada],$L96),"")))</f>
        <v/>
      </c>
      <c r="I96" s="3">
        <f>IF($L96="","",IF(INDEX(tblRegistros[Data],$L96)&gt;$D$4,"",IFERROR(IF(INDEX(tblRegistros[Status],$L96)="EM ABERTO","",INDEX(tblRegistros[Valor],$L96)),"")))</f>
        <v/>
      </c>
      <c r="J96">
        <f>IF($L96="","",IF(INDEX(tblRegistros[Data],$L96)&gt;$D$4,"",IFERROR(INDEX(tblRegistros[Status],$L96),"")))</f>
        <v/>
      </c>
      <c r="K96">
        <f>IF($L96="","",IF(INDEX(tblRegistros[Data],$L96)&gt;$D$4,"",IFERROR(INDEX(tblRegistros[Observação],$L96),"")))</f>
        <v/>
      </c>
      <c r="L96" s="16">
        <f>IFERROR(MATCH($B$3*100000+COUNTIFS(tblRegistros[ID],$B$3,tblRegistros[Data],"&lt;"&amp;$B$4)+ROWS($L$10:L96),tblRegistros[Chave do cartão],0),"")</f>
        <v/>
      </c>
    </row>
    <row r="97">
      <c r="A97" s="2">
        <f>IF($L97="","",IF(INDEX(tblRegistros[Data],$L97)&gt;$D$4,"",IFERROR(INDEX(tblRegistros[Data],$L97),"")))</f>
        <v/>
      </c>
      <c r="B97">
        <f>IF($L97="","",IF(INDEX(tblRegistros[Data],$L97)&gt;$D$4,"",IFERROR(INDEX(tblRegistros[Projeto],$L97),"")))</f>
        <v/>
      </c>
      <c r="C97">
        <f>IF($L97="","",IF(INDEX(tblRegistros[Data],$L97)&gt;$D$4,"",IFERROR(INDEX(tblRegistros[Atividade],$L97),"")))</f>
        <v/>
      </c>
      <c r="D97" s="4">
        <f>IF($L97="","",IF(INDEX(tblRegistros[Data],$L97)&gt;$D$4,"",IFERROR(INDEX(tblRegistros[Início],$L97),"")))</f>
        <v/>
      </c>
      <c r="E97" s="4">
        <f>IF($L97="","",IF(INDEX(tblRegistros[Data],$L97)&gt;$D$4,"",IFERROR(IF(INDEX(tblRegistros[Status],$L97)="EM ABERTO","",INDEX(tblRegistros[Fim],$L97)),"")))</f>
        <v/>
      </c>
      <c r="F97" s="14">
        <f>IF($L97="","",IF(INDEX(tblRegistros[Data],$L97)&gt;$D$4,"",IFERROR(IF(INDEX(tblRegistros[Status],$L97)="EM ABERTO","",INDEX(tblRegistros[Horas],$L97)),"")))</f>
        <v/>
      </c>
      <c r="G97">
        <f>IF($L97="","",IF(INDEX(tblRegistros[Data],$L97)&gt;$D$4,"",IFERROR(INDEX(tblRegistros[Base],$L97),"")))</f>
        <v/>
      </c>
      <c r="H97" s="3">
        <f>IF($L97="","",IF(INDEX(tblRegistros[Data],$L97)&gt;$D$4,"",IFERROR(INDEX(tblRegistros[Taxa aplicada],$L97),"")))</f>
        <v/>
      </c>
      <c r="I97" s="3">
        <f>IF($L97="","",IF(INDEX(tblRegistros[Data],$L97)&gt;$D$4,"",IFERROR(IF(INDEX(tblRegistros[Status],$L97)="EM ABERTO","",INDEX(tblRegistros[Valor],$L97)),"")))</f>
        <v/>
      </c>
      <c r="J97">
        <f>IF($L97="","",IF(INDEX(tblRegistros[Data],$L97)&gt;$D$4,"",IFERROR(INDEX(tblRegistros[Status],$L97),"")))</f>
        <v/>
      </c>
      <c r="K97">
        <f>IF($L97="","",IF(INDEX(tblRegistros[Data],$L97)&gt;$D$4,"",IFERROR(INDEX(tblRegistros[Observação],$L97),"")))</f>
        <v/>
      </c>
      <c r="L97" s="16">
        <f>IFERROR(MATCH($B$3*100000+COUNTIFS(tblRegistros[ID],$B$3,tblRegistros[Data],"&lt;"&amp;$B$4)+ROWS($L$10:L97),tblRegistros[Chave do cartão],0),"")</f>
        <v/>
      </c>
    </row>
    <row r="98">
      <c r="A98" s="2">
        <f>IF($L98="","",IF(INDEX(tblRegistros[Data],$L98)&gt;$D$4,"",IFERROR(INDEX(tblRegistros[Data],$L98),"")))</f>
        <v/>
      </c>
      <c r="B98">
        <f>IF($L98="","",IF(INDEX(tblRegistros[Data],$L98)&gt;$D$4,"",IFERROR(INDEX(tblRegistros[Projeto],$L98),"")))</f>
        <v/>
      </c>
      <c r="C98">
        <f>IF($L98="","",IF(INDEX(tblRegistros[Data],$L98)&gt;$D$4,"",IFERROR(INDEX(tblRegistros[Atividade],$L98),"")))</f>
        <v/>
      </c>
      <c r="D98" s="4">
        <f>IF($L98="","",IF(INDEX(tblRegistros[Data],$L98)&gt;$D$4,"",IFERROR(INDEX(tblRegistros[Início],$L98),"")))</f>
        <v/>
      </c>
      <c r="E98" s="4">
        <f>IF($L98="","",IF(INDEX(tblRegistros[Data],$L98)&gt;$D$4,"",IFERROR(IF(INDEX(tblRegistros[Status],$L98)="EM ABERTO","",INDEX(tblRegistros[Fim],$L98)),"")))</f>
        <v/>
      </c>
      <c r="F98" s="14">
        <f>IF($L98="","",IF(INDEX(tblRegistros[Data],$L98)&gt;$D$4,"",IFERROR(IF(INDEX(tblRegistros[Status],$L98)="EM ABERTO","",INDEX(tblRegistros[Horas],$L98)),"")))</f>
        <v/>
      </c>
      <c r="G98">
        <f>IF($L98="","",IF(INDEX(tblRegistros[Data],$L98)&gt;$D$4,"",IFERROR(INDEX(tblRegistros[Base],$L98),"")))</f>
        <v/>
      </c>
      <c r="H98" s="3">
        <f>IF($L98="","",IF(INDEX(tblRegistros[Data],$L98)&gt;$D$4,"",IFERROR(INDEX(tblRegistros[Taxa aplicada],$L98),"")))</f>
        <v/>
      </c>
      <c r="I98" s="3">
        <f>IF($L98="","",IF(INDEX(tblRegistros[Data],$L98)&gt;$D$4,"",IFERROR(IF(INDEX(tblRegistros[Status],$L98)="EM ABERTO","",INDEX(tblRegistros[Valor],$L98)),"")))</f>
        <v/>
      </c>
      <c r="J98">
        <f>IF($L98="","",IF(INDEX(tblRegistros[Data],$L98)&gt;$D$4,"",IFERROR(INDEX(tblRegistros[Status],$L98),"")))</f>
        <v/>
      </c>
      <c r="K98">
        <f>IF($L98="","",IF(INDEX(tblRegistros[Data],$L98)&gt;$D$4,"",IFERROR(INDEX(tblRegistros[Observação],$L98),"")))</f>
        <v/>
      </c>
      <c r="L98" s="16">
        <f>IFERROR(MATCH($B$3*100000+COUNTIFS(tblRegistros[ID],$B$3,tblRegistros[Data],"&lt;"&amp;$B$4)+ROWS($L$10:L98),tblRegistros[Chave do cartão],0),"")</f>
        <v/>
      </c>
    </row>
    <row r="99">
      <c r="A99" s="2">
        <f>IF($L99="","",IF(INDEX(tblRegistros[Data],$L99)&gt;$D$4,"",IFERROR(INDEX(tblRegistros[Data],$L99),"")))</f>
        <v/>
      </c>
      <c r="B99">
        <f>IF($L99="","",IF(INDEX(tblRegistros[Data],$L99)&gt;$D$4,"",IFERROR(INDEX(tblRegistros[Projeto],$L99),"")))</f>
        <v/>
      </c>
      <c r="C99">
        <f>IF($L99="","",IF(INDEX(tblRegistros[Data],$L99)&gt;$D$4,"",IFERROR(INDEX(tblRegistros[Atividade],$L99),"")))</f>
        <v/>
      </c>
      <c r="D99" s="4">
        <f>IF($L99="","",IF(INDEX(tblRegistros[Data],$L99)&gt;$D$4,"",IFERROR(INDEX(tblRegistros[Início],$L99),"")))</f>
        <v/>
      </c>
      <c r="E99" s="4">
        <f>IF($L99="","",IF(INDEX(tblRegistros[Data],$L99)&gt;$D$4,"",IFERROR(IF(INDEX(tblRegistros[Status],$L99)="EM ABERTO","",INDEX(tblRegistros[Fim],$L99)),"")))</f>
        <v/>
      </c>
      <c r="F99" s="14">
        <f>IF($L99="","",IF(INDEX(tblRegistros[Data],$L99)&gt;$D$4,"",IFERROR(IF(INDEX(tblRegistros[Status],$L99)="EM ABERTO","",INDEX(tblRegistros[Horas],$L99)),"")))</f>
        <v/>
      </c>
      <c r="G99">
        <f>IF($L99="","",IF(INDEX(tblRegistros[Data],$L99)&gt;$D$4,"",IFERROR(INDEX(tblRegistros[Base],$L99),"")))</f>
        <v/>
      </c>
      <c r="H99" s="3">
        <f>IF($L99="","",IF(INDEX(tblRegistros[Data],$L99)&gt;$D$4,"",IFERROR(INDEX(tblRegistros[Taxa aplicada],$L99),"")))</f>
        <v/>
      </c>
      <c r="I99" s="3">
        <f>IF($L99="","",IF(INDEX(tblRegistros[Data],$L99)&gt;$D$4,"",IFERROR(IF(INDEX(tblRegistros[Status],$L99)="EM ABERTO","",INDEX(tblRegistros[Valor],$L99)),"")))</f>
        <v/>
      </c>
      <c r="J99">
        <f>IF($L99="","",IF(INDEX(tblRegistros[Data],$L99)&gt;$D$4,"",IFERROR(INDEX(tblRegistros[Status],$L99),"")))</f>
        <v/>
      </c>
      <c r="K99">
        <f>IF($L99="","",IF(INDEX(tblRegistros[Data],$L99)&gt;$D$4,"",IFERROR(INDEX(tblRegistros[Observação],$L99),"")))</f>
        <v/>
      </c>
      <c r="L99" s="16">
        <f>IFERROR(MATCH($B$3*100000+COUNTIFS(tblRegistros[ID],$B$3,tblRegistros[Data],"&lt;"&amp;$B$4)+ROWS($L$10:L99),tblRegistros[Chave do cartão],0),"")</f>
        <v/>
      </c>
    </row>
    <row r="100">
      <c r="A100" s="2">
        <f>IF($L100="","",IF(INDEX(tblRegistros[Data],$L100)&gt;$D$4,"",IFERROR(INDEX(tblRegistros[Data],$L100),"")))</f>
        <v/>
      </c>
      <c r="B100">
        <f>IF($L100="","",IF(INDEX(tblRegistros[Data],$L100)&gt;$D$4,"",IFERROR(INDEX(tblRegistros[Projeto],$L100),"")))</f>
        <v/>
      </c>
      <c r="C100">
        <f>IF($L100="","",IF(INDEX(tblRegistros[Data],$L100)&gt;$D$4,"",IFERROR(INDEX(tblRegistros[Atividade],$L100),"")))</f>
        <v/>
      </c>
      <c r="D100" s="4">
        <f>IF($L100="","",IF(INDEX(tblRegistros[Data],$L100)&gt;$D$4,"",IFERROR(INDEX(tblRegistros[Início],$L100),"")))</f>
        <v/>
      </c>
      <c r="E100" s="4">
        <f>IF($L100="","",IF(INDEX(tblRegistros[Data],$L100)&gt;$D$4,"",IFERROR(IF(INDEX(tblRegistros[Status],$L100)="EM ABERTO","",INDEX(tblRegistros[Fim],$L100)),"")))</f>
        <v/>
      </c>
      <c r="F100" s="14">
        <f>IF($L100="","",IF(INDEX(tblRegistros[Data],$L100)&gt;$D$4,"",IFERROR(IF(INDEX(tblRegistros[Status],$L100)="EM ABERTO","",INDEX(tblRegistros[Horas],$L100)),"")))</f>
        <v/>
      </c>
      <c r="G100">
        <f>IF($L100="","",IF(INDEX(tblRegistros[Data],$L100)&gt;$D$4,"",IFERROR(INDEX(tblRegistros[Base],$L100),"")))</f>
        <v/>
      </c>
      <c r="H100" s="3">
        <f>IF($L100="","",IF(INDEX(tblRegistros[Data],$L100)&gt;$D$4,"",IFERROR(INDEX(tblRegistros[Taxa aplicada],$L100),"")))</f>
        <v/>
      </c>
      <c r="I100" s="3">
        <f>IF($L100="","",IF(INDEX(tblRegistros[Data],$L100)&gt;$D$4,"",IFERROR(IF(INDEX(tblRegistros[Status],$L100)="EM ABERTO","",INDEX(tblRegistros[Valor],$L100)),"")))</f>
        <v/>
      </c>
      <c r="J100">
        <f>IF($L100="","",IF(INDEX(tblRegistros[Data],$L100)&gt;$D$4,"",IFERROR(INDEX(tblRegistros[Status],$L100),"")))</f>
        <v/>
      </c>
      <c r="K100">
        <f>IF($L100="","",IF(INDEX(tblRegistros[Data],$L100)&gt;$D$4,"",IFERROR(INDEX(tblRegistros[Observação],$L100),"")))</f>
        <v/>
      </c>
      <c r="L100" s="16">
        <f>IFERROR(MATCH($B$3*100000+COUNTIFS(tblRegistros[ID],$B$3,tblRegistros[Data],"&lt;"&amp;$B$4)+ROWS($L$10:L100),tblRegistros[Chave do cartão],0),"")</f>
        <v/>
      </c>
    </row>
    <row r="101">
      <c r="A101" s="2">
        <f>IF($L101="","",IF(INDEX(tblRegistros[Data],$L101)&gt;$D$4,"",IFERROR(INDEX(tblRegistros[Data],$L101),"")))</f>
        <v/>
      </c>
      <c r="B101">
        <f>IF($L101="","",IF(INDEX(tblRegistros[Data],$L101)&gt;$D$4,"",IFERROR(INDEX(tblRegistros[Projeto],$L101),"")))</f>
        <v/>
      </c>
      <c r="C101">
        <f>IF($L101="","",IF(INDEX(tblRegistros[Data],$L101)&gt;$D$4,"",IFERROR(INDEX(tblRegistros[Atividade],$L101),"")))</f>
        <v/>
      </c>
      <c r="D101" s="4">
        <f>IF($L101="","",IF(INDEX(tblRegistros[Data],$L101)&gt;$D$4,"",IFERROR(INDEX(tblRegistros[Início],$L101),"")))</f>
        <v/>
      </c>
      <c r="E101" s="4">
        <f>IF($L101="","",IF(INDEX(tblRegistros[Data],$L101)&gt;$D$4,"",IFERROR(IF(INDEX(tblRegistros[Status],$L101)="EM ABERTO","",INDEX(tblRegistros[Fim],$L101)),"")))</f>
        <v/>
      </c>
      <c r="F101" s="14">
        <f>IF($L101="","",IF(INDEX(tblRegistros[Data],$L101)&gt;$D$4,"",IFERROR(IF(INDEX(tblRegistros[Status],$L101)="EM ABERTO","",INDEX(tblRegistros[Horas],$L101)),"")))</f>
        <v/>
      </c>
      <c r="G101">
        <f>IF($L101="","",IF(INDEX(tblRegistros[Data],$L101)&gt;$D$4,"",IFERROR(INDEX(tblRegistros[Base],$L101),"")))</f>
        <v/>
      </c>
      <c r="H101" s="3">
        <f>IF($L101="","",IF(INDEX(tblRegistros[Data],$L101)&gt;$D$4,"",IFERROR(INDEX(tblRegistros[Taxa aplicada],$L101),"")))</f>
        <v/>
      </c>
      <c r="I101" s="3">
        <f>IF($L101="","",IF(INDEX(tblRegistros[Data],$L101)&gt;$D$4,"",IFERROR(IF(INDEX(tblRegistros[Status],$L101)="EM ABERTO","",INDEX(tblRegistros[Valor],$L101)),"")))</f>
        <v/>
      </c>
      <c r="J101">
        <f>IF($L101="","",IF(INDEX(tblRegistros[Data],$L101)&gt;$D$4,"",IFERROR(INDEX(tblRegistros[Status],$L101),"")))</f>
        <v/>
      </c>
      <c r="K101">
        <f>IF($L101="","",IF(INDEX(tblRegistros[Data],$L101)&gt;$D$4,"",IFERROR(INDEX(tblRegistros[Observação],$L101),"")))</f>
        <v/>
      </c>
      <c r="L101" s="16">
        <f>IFERROR(MATCH($B$3*100000+COUNTIFS(tblRegistros[ID],$B$3,tblRegistros[Data],"&lt;"&amp;$B$4)+ROWS($L$10:L101),tblRegistros[Chave do cartão],0),"")</f>
        <v/>
      </c>
    </row>
    <row r="102">
      <c r="A102" s="2">
        <f>IF($L102="","",IF(INDEX(tblRegistros[Data],$L102)&gt;$D$4,"",IFERROR(INDEX(tblRegistros[Data],$L102),"")))</f>
        <v/>
      </c>
      <c r="B102">
        <f>IF($L102="","",IF(INDEX(tblRegistros[Data],$L102)&gt;$D$4,"",IFERROR(INDEX(tblRegistros[Projeto],$L102),"")))</f>
        <v/>
      </c>
      <c r="C102">
        <f>IF($L102="","",IF(INDEX(tblRegistros[Data],$L102)&gt;$D$4,"",IFERROR(INDEX(tblRegistros[Atividade],$L102),"")))</f>
        <v/>
      </c>
      <c r="D102" s="4">
        <f>IF($L102="","",IF(INDEX(tblRegistros[Data],$L102)&gt;$D$4,"",IFERROR(INDEX(tblRegistros[Início],$L102),"")))</f>
        <v/>
      </c>
      <c r="E102" s="4">
        <f>IF($L102="","",IF(INDEX(tblRegistros[Data],$L102)&gt;$D$4,"",IFERROR(IF(INDEX(tblRegistros[Status],$L102)="EM ABERTO","",INDEX(tblRegistros[Fim],$L102)),"")))</f>
        <v/>
      </c>
      <c r="F102" s="14">
        <f>IF($L102="","",IF(INDEX(tblRegistros[Data],$L102)&gt;$D$4,"",IFERROR(IF(INDEX(tblRegistros[Status],$L102)="EM ABERTO","",INDEX(tblRegistros[Horas],$L102)),"")))</f>
        <v/>
      </c>
      <c r="G102">
        <f>IF($L102="","",IF(INDEX(tblRegistros[Data],$L102)&gt;$D$4,"",IFERROR(INDEX(tblRegistros[Base],$L102),"")))</f>
        <v/>
      </c>
      <c r="H102" s="3">
        <f>IF($L102="","",IF(INDEX(tblRegistros[Data],$L102)&gt;$D$4,"",IFERROR(INDEX(tblRegistros[Taxa aplicada],$L102),"")))</f>
        <v/>
      </c>
      <c r="I102" s="3">
        <f>IF($L102="","",IF(INDEX(tblRegistros[Data],$L102)&gt;$D$4,"",IFERROR(IF(INDEX(tblRegistros[Status],$L102)="EM ABERTO","",INDEX(tblRegistros[Valor],$L102)),"")))</f>
        <v/>
      </c>
      <c r="J102">
        <f>IF($L102="","",IF(INDEX(tblRegistros[Data],$L102)&gt;$D$4,"",IFERROR(INDEX(tblRegistros[Status],$L102),"")))</f>
        <v/>
      </c>
      <c r="K102">
        <f>IF($L102="","",IF(INDEX(tblRegistros[Data],$L102)&gt;$D$4,"",IFERROR(INDEX(tblRegistros[Observação],$L102),"")))</f>
        <v/>
      </c>
      <c r="L102" s="16">
        <f>IFERROR(MATCH($B$3*100000+COUNTIFS(tblRegistros[ID],$B$3,tblRegistros[Data],"&lt;"&amp;$B$4)+ROWS($L$10:L102),tblRegistros[Chave do cartão],0),"")</f>
        <v/>
      </c>
    </row>
    <row r="103">
      <c r="A103" s="2">
        <f>IF($L103="","",IF(INDEX(tblRegistros[Data],$L103)&gt;$D$4,"",IFERROR(INDEX(tblRegistros[Data],$L103),"")))</f>
        <v/>
      </c>
      <c r="B103">
        <f>IF($L103="","",IF(INDEX(tblRegistros[Data],$L103)&gt;$D$4,"",IFERROR(INDEX(tblRegistros[Projeto],$L103),"")))</f>
        <v/>
      </c>
      <c r="C103">
        <f>IF($L103="","",IF(INDEX(tblRegistros[Data],$L103)&gt;$D$4,"",IFERROR(INDEX(tblRegistros[Atividade],$L103),"")))</f>
        <v/>
      </c>
      <c r="D103" s="4">
        <f>IF($L103="","",IF(INDEX(tblRegistros[Data],$L103)&gt;$D$4,"",IFERROR(INDEX(tblRegistros[Início],$L103),"")))</f>
        <v/>
      </c>
      <c r="E103" s="4">
        <f>IF($L103="","",IF(INDEX(tblRegistros[Data],$L103)&gt;$D$4,"",IFERROR(IF(INDEX(tblRegistros[Status],$L103)="EM ABERTO","",INDEX(tblRegistros[Fim],$L103)),"")))</f>
        <v/>
      </c>
      <c r="F103" s="14">
        <f>IF($L103="","",IF(INDEX(tblRegistros[Data],$L103)&gt;$D$4,"",IFERROR(IF(INDEX(tblRegistros[Status],$L103)="EM ABERTO","",INDEX(tblRegistros[Horas],$L103)),"")))</f>
        <v/>
      </c>
      <c r="G103">
        <f>IF($L103="","",IF(INDEX(tblRegistros[Data],$L103)&gt;$D$4,"",IFERROR(INDEX(tblRegistros[Base],$L103),"")))</f>
        <v/>
      </c>
      <c r="H103" s="3">
        <f>IF($L103="","",IF(INDEX(tblRegistros[Data],$L103)&gt;$D$4,"",IFERROR(INDEX(tblRegistros[Taxa aplicada],$L103),"")))</f>
        <v/>
      </c>
      <c r="I103" s="3">
        <f>IF($L103="","",IF(INDEX(tblRegistros[Data],$L103)&gt;$D$4,"",IFERROR(IF(INDEX(tblRegistros[Status],$L103)="EM ABERTO","",INDEX(tblRegistros[Valor],$L103)),"")))</f>
        <v/>
      </c>
      <c r="J103">
        <f>IF($L103="","",IF(INDEX(tblRegistros[Data],$L103)&gt;$D$4,"",IFERROR(INDEX(tblRegistros[Status],$L103),"")))</f>
        <v/>
      </c>
      <c r="K103">
        <f>IF($L103="","",IF(INDEX(tblRegistros[Data],$L103)&gt;$D$4,"",IFERROR(INDEX(tblRegistros[Observação],$L103),"")))</f>
        <v/>
      </c>
      <c r="L103" s="16">
        <f>IFERROR(MATCH($B$3*100000+COUNTIFS(tblRegistros[ID],$B$3,tblRegistros[Data],"&lt;"&amp;$B$4)+ROWS($L$10:L103),tblRegistros[Chave do cartão],0),"")</f>
        <v/>
      </c>
    </row>
    <row r="104">
      <c r="A104" s="2">
        <f>IF($L104="","",IF(INDEX(tblRegistros[Data],$L104)&gt;$D$4,"",IFERROR(INDEX(tblRegistros[Data],$L104),"")))</f>
        <v/>
      </c>
      <c r="B104">
        <f>IF($L104="","",IF(INDEX(tblRegistros[Data],$L104)&gt;$D$4,"",IFERROR(INDEX(tblRegistros[Projeto],$L104),"")))</f>
        <v/>
      </c>
      <c r="C104">
        <f>IF($L104="","",IF(INDEX(tblRegistros[Data],$L104)&gt;$D$4,"",IFERROR(INDEX(tblRegistros[Atividade],$L104),"")))</f>
        <v/>
      </c>
      <c r="D104" s="4">
        <f>IF($L104="","",IF(INDEX(tblRegistros[Data],$L104)&gt;$D$4,"",IFERROR(INDEX(tblRegistros[Início],$L104),"")))</f>
        <v/>
      </c>
      <c r="E104" s="4">
        <f>IF($L104="","",IF(INDEX(tblRegistros[Data],$L104)&gt;$D$4,"",IFERROR(IF(INDEX(tblRegistros[Status],$L104)="EM ABERTO","",INDEX(tblRegistros[Fim],$L104)),"")))</f>
        <v/>
      </c>
      <c r="F104" s="14">
        <f>IF($L104="","",IF(INDEX(tblRegistros[Data],$L104)&gt;$D$4,"",IFERROR(IF(INDEX(tblRegistros[Status],$L104)="EM ABERTO","",INDEX(tblRegistros[Horas],$L104)),"")))</f>
        <v/>
      </c>
      <c r="G104">
        <f>IF($L104="","",IF(INDEX(tblRegistros[Data],$L104)&gt;$D$4,"",IFERROR(INDEX(tblRegistros[Base],$L104),"")))</f>
        <v/>
      </c>
      <c r="H104" s="3">
        <f>IF($L104="","",IF(INDEX(tblRegistros[Data],$L104)&gt;$D$4,"",IFERROR(INDEX(tblRegistros[Taxa aplicada],$L104),"")))</f>
        <v/>
      </c>
      <c r="I104" s="3">
        <f>IF($L104="","",IF(INDEX(tblRegistros[Data],$L104)&gt;$D$4,"",IFERROR(IF(INDEX(tblRegistros[Status],$L104)="EM ABERTO","",INDEX(tblRegistros[Valor],$L104)),"")))</f>
        <v/>
      </c>
      <c r="J104">
        <f>IF($L104="","",IF(INDEX(tblRegistros[Data],$L104)&gt;$D$4,"",IFERROR(INDEX(tblRegistros[Status],$L104),"")))</f>
        <v/>
      </c>
      <c r="K104">
        <f>IF($L104="","",IF(INDEX(tblRegistros[Data],$L104)&gt;$D$4,"",IFERROR(INDEX(tblRegistros[Observação],$L104),"")))</f>
        <v/>
      </c>
      <c r="L104" s="16">
        <f>IFERROR(MATCH($B$3*100000+COUNTIFS(tblRegistros[ID],$B$3,tblRegistros[Data],"&lt;"&amp;$B$4)+ROWS($L$10:L104),tblRegistros[Chave do cartão],0),"")</f>
        <v/>
      </c>
    </row>
    <row r="105">
      <c r="A105" s="2">
        <f>IF($L105="","",IF(INDEX(tblRegistros[Data],$L105)&gt;$D$4,"",IFERROR(INDEX(tblRegistros[Data],$L105),"")))</f>
        <v/>
      </c>
      <c r="B105">
        <f>IF($L105="","",IF(INDEX(tblRegistros[Data],$L105)&gt;$D$4,"",IFERROR(INDEX(tblRegistros[Projeto],$L105),"")))</f>
        <v/>
      </c>
      <c r="C105">
        <f>IF($L105="","",IF(INDEX(tblRegistros[Data],$L105)&gt;$D$4,"",IFERROR(INDEX(tblRegistros[Atividade],$L105),"")))</f>
        <v/>
      </c>
      <c r="D105" s="4">
        <f>IF($L105="","",IF(INDEX(tblRegistros[Data],$L105)&gt;$D$4,"",IFERROR(INDEX(tblRegistros[Início],$L105),"")))</f>
        <v/>
      </c>
      <c r="E105" s="4">
        <f>IF($L105="","",IF(INDEX(tblRegistros[Data],$L105)&gt;$D$4,"",IFERROR(IF(INDEX(tblRegistros[Status],$L105)="EM ABERTO","",INDEX(tblRegistros[Fim],$L105)),"")))</f>
        <v/>
      </c>
      <c r="F105" s="14">
        <f>IF($L105="","",IF(INDEX(tblRegistros[Data],$L105)&gt;$D$4,"",IFERROR(IF(INDEX(tblRegistros[Status],$L105)="EM ABERTO","",INDEX(tblRegistros[Horas],$L105)),"")))</f>
        <v/>
      </c>
      <c r="G105">
        <f>IF($L105="","",IF(INDEX(tblRegistros[Data],$L105)&gt;$D$4,"",IFERROR(INDEX(tblRegistros[Base],$L105),"")))</f>
        <v/>
      </c>
      <c r="H105" s="3">
        <f>IF($L105="","",IF(INDEX(tblRegistros[Data],$L105)&gt;$D$4,"",IFERROR(INDEX(tblRegistros[Taxa aplicada],$L105),"")))</f>
        <v/>
      </c>
      <c r="I105" s="3">
        <f>IF($L105="","",IF(INDEX(tblRegistros[Data],$L105)&gt;$D$4,"",IFERROR(IF(INDEX(tblRegistros[Status],$L105)="EM ABERTO","",INDEX(tblRegistros[Valor],$L105)),"")))</f>
        <v/>
      </c>
      <c r="J105">
        <f>IF($L105="","",IF(INDEX(tblRegistros[Data],$L105)&gt;$D$4,"",IFERROR(INDEX(tblRegistros[Status],$L105),"")))</f>
        <v/>
      </c>
      <c r="K105">
        <f>IF($L105="","",IF(INDEX(tblRegistros[Data],$L105)&gt;$D$4,"",IFERROR(INDEX(tblRegistros[Observação],$L105),"")))</f>
        <v/>
      </c>
      <c r="L105" s="16">
        <f>IFERROR(MATCH($B$3*100000+COUNTIFS(tblRegistros[ID],$B$3,tblRegistros[Data],"&lt;"&amp;$B$4)+ROWS($L$10:L105),tblRegistros[Chave do cartão],0),"")</f>
        <v/>
      </c>
    </row>
    <row r="106">
      <c r="A106" s="2">
        <f>IF($L106="","",IF(INDEX(tblRegistros[Data],$L106)&gt;$D$4,"",IFERROR(INDEX(tblRegistros[Data],$L106),"")))</f>
        <v/>
      </c>
      <c r="B106">
        <f>IF($L106="","",IF(INDEX(tblRegistros[Data],$L106)&gt;$D$4,"",IFERROR(INDEX(tblRegistros[Projeto],$L106),"")))</f>
        <v/>
      </c>
      <c r="C106">
        <f>IF($L106="","",IF(INDEX(tblRegistros[Data],$L106)&gt;$D$4,"",IFERROR(INDEX(tblRegistros[Atividade],$L106),"")))</f>
        <v/>
      </c>
      <c r="D106" s="4">
        <f>IF($L106="","",IF(INDEX(tblRegistros[Data],$L106)&gt;$D$4,"",IFERROR(INDEX(tblRegistros[Início],$L106),"")))</f>
        <v/>
      </c>
      <c r="E106" s="4">
        <f>IF($L106="","",IF(INDEX(tblRegistros[Data],$L106)&gt;$D$4,"",IFERROR(IF(INDEX(tblRegistros[Status],$L106)="EM ABERTO","",INDEX(tblRegistros[Fim],$L106)),"")))</f>
        <v/>
      </c>
      <c r="F106" s="14">
        <f>IF($L106="","",IF(INDEX(tblRegistros[Data],$L106)&gt;$D$4,"",IFERROR(IF(INDEX(tblRegistros[Status],$L106)="EM ABERTO","",INDEX(tblRegistros[Horas],$L106)),"")))</f>
        <v/>
      </c>
      <c r="G106">
        <f>IF($L106="","",IF(INDEX(tblRegistros[Data],$L106)&gt;$D$4,"",IFERROR(INDEX(tblRegistros[Base],$L106),"")))</f>
        <v/>
      </c>
      <c r="H106" s="3">
        <f>IF($L106="","",IF(INDEX(tblRegistros[Data],$L106)&gt;$D$4,"",IFERROR(INDEX(tblRegistros[Taxa aplicada],$L106),"")))</f>
        <v/>
      </c>
      <c r="I106" s="3">
        <f>IF($L106="","",IF(INDEX(tblRegistros[Data],$L106)&gt;$D$4,"",IFERROR(IF(INDEX(tblRegistros[Status],$L106)="EM ABERTO","",INDEX(tblRegistros[Valor],$L106)),"")))</f>
        <v/>
      </c>
      <c r="J106">
        <f>IF($L106="","",IF(INDEX(tblRegistros[Data],$L106)&gt;$D$4,"",IFERROR(INDEX(tblRegistros[Status],$L106),"")))</f>
        <v/>
      </c>
      <c r="K106">
        <f>IF($L106="","",IF(INDEX(tblRegistros[Data],$L106)&gt;$D$4,"",IFERROR(INDEX(tblRegistros[Observação],$L106),"")))</f>
        <v/>
      </c>
      <c r="L106" s="16">
        <f>IFERROR(MATCH($B$3*100000+COUNTIFS(tblRegistros[ID],$B$3,tblRegistros[Data],"&lt;"&amp;$B$4)+ROWS($L$10:L106),tblRegistros[Chave do cartão],0),"")</f>
        <v/>
      </c>
    </row>
    <row r="107">
      <c r="A107" s="2">
        <f>IF($L107="","",IF(INDEX(tblRegistros[Data],$L107)&gt;$D$4,"",IFERROR(INDEX(tblRegistros[Data],$L107),"")))</f>
        <v/>
      </c>
      <c r="B107">
        <f>IF($L107="","",IF(INDEX(tblRegistros[Data],$L107)&gt;$D$4,"",IFERROR(INDEX(tblRegistros[Projeto],$L107),"")))</f>
        <v/>
      </c>
      <c r="C107">
        <f>IF($L107="","",IF(INDEX(tblRegistros[Data],$L107)&gt;$D$4,"",IFERROR(INDEX(tblRegistros[Atividade],$L107),"")))</f>
        <v/>
      </c>
      <c r="D107" s="4">
        <f>IF($L107="","",IF(INDEX(tblRegistros[Data],$L107)&gt;$D$4,"",IFERROR(INDEX(tblRegistros[Início],$L107),"")))</f>
        <v/>
      </c>
      <c r="E107" s="4">
        <f>IF($L107="","",IF(INDEX(tblRegistros[Data],$L107)&gt;$D$4,"",IFERROR(IF(INDEX(tblRegistros[Status],$L107)="EM ABERTO","",INDEX(tblRegistros[Fim],$L107)),"")))</f>
        <v/>
      </c>
      <c r="F107" s="14">
        <f>IF($L107="","",IF(INDEX(tblRegistros[Data],$L107)&gt;$D$4,"",IFERROR(IF(INDEX(tblRegistros[Status],$L107)="EM ABERTO","",INDEX(tblRegistros[Horas],$L107)),"")))</f>
        <v/>
      </c>
      <c r="G107">
        <f>IF($L107="","",IF(INDEX(tblRegistros[Data],$L107)&gt;$D$4,"",IFERROR(INDEX(tblRegistros[Base],$L107),"")))</f>
        <v/>
      </c>
      <c r="H107" s="3">
        <f>IF($L107="","",IF(INDEX(tblRegistros[Data],$L107)&gt;$D$4,"",IFERROR(INDEX(tblRegistros[Taxa aplicada],$L107),"")))</f>
        <v/>
      </c>
      <c r="I107" s="3">
        <f>IF($L107="","",IF(INDEX(tblRegistros[Data],$L107)&gt;$D$4,"",IFERROR(IF(INDEX(tblRegistros[Status],$L107)="EM ABERTO","",INDEX(tblRegistros[Valor],$L107)),"")))</f>
        <v/>
      </c>
      <c r="J107">
        <f>IF($L107="","",IF(INDEX(tblRegistros[Data],$L107)&gt;$D$4,"",IFERROR(INDEX(tblRegistros[Status],$L107),"")))</f>
        <v/>
      </c>
      <c r="K107">
        <f>IF($L107="","",IF(INDEX(tblRegistros[Data],$L107)&gt;$D$4,"",IFERROR(INDEX(tblRegistros[Observação],$L107),"")))</f>
        <v/>
      </c>
      <c r="L107" s="16">
        <f>IFERROR(MATCH($B$3*100000+COUNTIFS(tblRegistros[ID],$B$3,tblRegistros[Data],"&lt;"&amp;$B$4)+ROWS($L$10:L107),tblRegistros[Chave do cartão],0),"")</f>
        <v/>
      </c>
    </row>
    <row r="108">
      <c r="A108" s="2">
        <f>IF($L108="","",IF(INDEX(tblRegistros[Data],$L108)&gt;$D$4,"",IFERROR(INDEX(tblRegistros[Data],$L108),"")))</f>
        <v/>
      </c>
      <c r="B108">
        <f>IF($L108="","",IF(INDEX(tblRegistros[Data],$L108)&gt;$D$4,"",IFERROR(INDEX(tblRegistros[Projeto],$L108),"")))</f>
        <v/>
      </c>
      <c r="C108">
        <f>IF($L108="","",IF(INDEX(tblRegistros[Data],$L108)&gt;$D$4,"",IFERROR(INDEX(tblRegistros[Atividade],$L108),"")))</f>
        <v/>
      </c>
      <c r="D108" s="4">
        <f>IF($L108="","",IF(INDEX(tblRegistros[Data],$L108)&gt;$D$4,"",IFERROR(INDEX(tblRegistros[Início],$L108),"")))</f>
        <v/>
      </c>
      <c r="E108" s="4">
        <f>IF($L108="","",IF(INDEX(tblRegistros[Data],$L108)&gt;$D$4,"",IFERROR(IF(INDEX(tblRegistros[Status],$L108)="EM ABERTO","",INDEX(tblRegistros[Fim],$L108)),"")))</f>
        <v/>
      </c>
      <c r="F108" s="14">
        <f>IF($L108="","",IF(INDEX(tblRegistros[Data],$L108)&gt;$D$4,"",IFERROR(IF(INDEX(tblRegistros[Status],$L108)="EM ABERTO","",INDEX(tblRegistros[Horas],$L108)),"")))</f>
        <v/>
      </c>
      <c r="G108">
        <f>IF($L108="","",IF(INDEX(tblRegistros[Data],$L108)&gt;$D$4,"",IFERROR(INDEX(tblRegistros[Base],$L108),"")))</f>
        <v/>
      </c>
      <c r="H108" s="3">
        <f>IF($L108="","",IF(INDEX(tblRegistros[Data],$L108)&gt;$D$4,"",IFERROR(INDEX(tblRegistros[Taxa aplicada],$L108),"")))</f>
        <v/>
      </c>
      <c r="I108" s="3">
        <f>IF($L108="","",IF(INDEX(tblRegistros[Data],$L108)&gt;$D$4,"",IFERROR(IF(INDEX(tblRegistros[Status],$L108)="EM ABERTO","",INDEX(tblRegistros[Valor],$L108)),"")))</f>
        <v/>
      </c>
      <c r="J108">
        <f>IF($L108="","",IF(INDEX(tblRegistros[Data],$L108)&gt;$D$4,"",IFERROR(INDEX(tblRegistros[Status],$L108),"")))</f>
        <v/>
      </c>
      <c r="K108">
        <f>IF($L108="","",IF(INDEX(tblRegistros[Data],$L108)&gt;$D$4,"",IFERROR(INDEX(tblRegistros[Observação],$L108),"")))</f>
        <v/>
      </c>
      <c r="L108" s="16">
        <f>IFERROR(MATCH($B$3*100000+COUNTIFS(tblRegistros[ID],$B$3,tblRegistros[Data],"&lt;"&amp;$B$4)+ROWS($L$10:L108),tblRegistros[Chave do cartão],0),"")</f>
        <v/>
      </c>
    </row>
    <row r="109">
      <c r="A109" s="2">
        <f>IF($L109="","",IF(INDEX(tblRegistros[Data],$L109)&gt;$D$4,"",IFERROR(INDEX(tblRegistros[Data],$L109),"")))</f>
        <v/>
      </c>
      <c r="B109">
        <f>IF($L109="","",IF(INDEX(tblRegistros[Data],$L109)&gt;$D$4,"",IFERROR(INDEX(tblRegistros[Projeto],$L109),"")))</f>
        <v/>
      </c>
      <c r="C109">
        <f>IF($L109="","",IF(INDEX(tblRegistros[Data],$L109)&gt;$D$4,"",IFERROR(INDEX(tblRegistros[Atividade],$L109),"")))</f>
        <v/>
      </c>
      <c r="D109" s="4">
        <f>IF($L109="","",IF(INDEX(tblRegistros[Data],$L109)&gt;$D$4,"",IFERROR(INDEX(tblRegistros[Início],$L109),"")))</f>
        <v/>
      </c>
      <c r="E109" s="4">
        <f>IF($L109="","",IF(INDEX(tblRegistros[Data],$L109)&gt;$D$4,"",IFERROR(IF(INDEX(tblRegistros[Status],$L109)="EM ABERTO","",INDEX(tblRegistros[Fim],$L109)),"")))</f>
        <v/>
      </c>
      <c r="F109" s="14">
        <f>IF($L109="","",IF(INDEX(tblRegistros[Data],$L109)&gt;$D$4,"",IFERROR(IF(INDEX(tblRegistros[Status],$L109)="EM ABERTO","",INDEX(tblRegistros[Horas],$L109)),"")))</f>
        <v/>
      </c>
      <c r="G109">
        <f>IF($L109="","",IF(INDEX(tblRegistros[Data],$L109)&gt;$D$4,"",IFERROR(INDEX(tblRegistros[Base],$L109),"")))</f>
        <v/>
      </c>
      <c r="H109" s="3">
        <f>IF($L109="","",IF(INDEX(tblRegistros[Data],$L109)&gt;$D$4,"",IFERROR(INDEX(tblRegistros[Taxa aplicada],$L109),"")))</f>
        <v/>
      </c>
      <c r="I109" s="3">
        <f>IF($L109="","",IF(INDEX(tblRegistros[Data],$L109)&gt;$D$4,"",IFERROR(IF(INDEX(tblRegistros[Status],$L109)="EM ABERTO","",INDEX(tblRegistros[Valor],$L109)),"")))</f>
        <v/>
      </c>
      <c r="J109">
        <f>IF($L109="","",IF(INDEX(tblRegistros[Data],$L109)&gt;$D$4,"",IFERROR(INDEX(tblRegistros[Status],$L109),"")))</f>
        <v/>
      </c>
      <c r="K109">
        <f>IF($L109="","",IF(INDEX(tblRegistros[Data],$L109)&gt;$D$4,"",IFERROR(INDEX(tblRegistros[Observação],$L109),"")))</f>
        <v/>
      </c>
      <c r="L109" s="16">
        <f>IFERROR(MATCH($B$3*100000+COUNTIFS(tblRegistros[ID],$B$3,tblRegistros[Data],"&lt;"&amp;$B$4)+ROWS($L$10:L109),tblRegistros[Chave do cartão],0),"")</f>
        <v/>
      </c>
    </row>
    <row r="110">
      <c r="A110" s="2">
        <f>IF($L110="","",IF(INDEX(tblRegistros[Data],$L110)&gt;$D$4,"",IFERROR(INDEX(tblRegistros[Data],$L110),"")))</f>
        <v/>
      </c>
      <c r="B110">
        <f>IF($L110="","",IF(INDEX(tblRegistros[Data],$L110)&gt;$D$4,"",IFERROR(INDEX(tblRegistros[Projeto],$L110),"")))</f>
        <v/>
      </c>
      <c r="C110">
        <f>IF($L110="","",IF(INDEX(tblRegistros[Data],$L110)&gt;$D$4,"",IFERROR(INDEX(tblRegistros[Atividade],$L110),"")))</f>
        <v/>
      </c>
      <c r="D110" s="4">
        <f>IF($L110="","",IF(INDEX(tblRegistros[Data],$L110)&gt;$D$4,"",IFERROR(INDEX(tblRegistros[Início],$L110),"")))</f>
        <v/>
      </c>
      <c r="E110" s="4">
        <f>IF($L110="","",IF(INDEX(tblRegistros[Data],$L110)&gt;$D$4,"",IFERROR(IF(INDEX(tblRegistros[Status],$L110)="EM ABERTO","",INDEX(tblRegistros[Fim],$L110)),"")))</f>
        <v/>
      </c>
      <c r="F110" s="14">
        <f>IF($L110="","",IF(INDEX(tblRegistros[Data],$L110)&gt;$D$4,"",IFERROR(IF(INDEX(tblRegistros[Status],$L110)="EM ABERTO","",INDEX(tblRegistros[Horas],$L110)),"")))</f>
        <v/>
      </c>
      <c r="G110">
        <f>IF($L110="","",IF(INDEX(tblRegistros[Data],$L110)&gt;$D$4,"",IFERROR(INDEX(tblRegistros[Base],$L110),"")))</f>
        <v/>
      </c>
      <c r="H110" s="3">
        <f>IF($L110="","",IF(INDEX(tblRegistros[Data],$L110)&gt;$D$4,"",IFERROR(INDEX(tblRegistros[Taxa aplicada],$L110),"")))</f>
        <v/>
      </c>
      <c r="I110" s="3">
        <f>IF($L110="","",IF(INDEX(tblRegistros[Data],$L110)&gt;$D$4,"",IFERROR(IF(INDEX(tblRegistros[Status],$L110)="EM ABERTO","",INDEX(tblRegistros[Valor],$L110)),"")))</f>
        <v/>
      </c>
      <c r="J110">
        <f>IF($L110="","",IF(INDEX(tblRegistros[Data],$L110)&gt;$D$4,"",IFERROR(INDEX(tblRegistros[Status],$L110),"")))</f>
        <v/>
      </c>
      <c r="K110">
        <f>IF($L110="","",IF(INDEX(tblRegistros[Data],$L110)&gt;$D$4,"",IFERROR(INDEX(tblRegistros[Observação],$L110),"")))</f>
        <v/>
      </c>
      <c r="L110" s="16">
        <f>IFERROR(MATCH($B$3*100000+COUNTIFS(tblRegistros[ID],$B$3,tblRegistros[Data],"&lt;"&amp;$B$4)+ROWS($L$10:L110),tblRegistros[Chave do cartão],0),"")</f>
        <v/>
      </c>
    </row>
    <row r="111">
      <c r="A111" s="2">
        <f>IF($L111="","",IF(INDEX(tblRegistros[Data],$L111)&gt;$D$4,"",IFERROR(INDEX(tblRegistros[Data],$L111),"")))</f>
        <v/>
      </c>
      <c r="B111">
        <f>IF($L111="","",IF(INDEX(tblRegistros[Data],$L111)&gt;$D$4,"",IFERROR(INDEX(tblRegistros[Projeto],$L111),"")))</f>
        <v/>
      </c>
      <c r="C111">
        <f>IF($L111="","",IF(INDEX(tblRegistros[Data],$L111)&gt;$D$4,"",IFERROR(INDEX(tblRegistros[Atividade],$L111),"")))</f>
        <v/>
      </c>
      <c r="D111" s="4">
        <f>IF($L111="","",IF(INDEX(tblRegistros[Data],$L111)&gt;$D$4,"",IFERROR(INDEX(tblRegistros[Início],$L111),"")))</f>
        <v/>
      </c>
      <c r="E111" s="4">
        <f>IF($L111="","",IF(INDEX(tblRegistros[Data],$L111)&gt;$D$4,"",IFERROR(IF(INDEX(tblRegistros[Status],$L111)="EM ABERTO","",INDEX(tblRegistros[Fim],$L111)),"")))</f>
        <v/>
      </c>
      <c r="F111" s="14">
        <f>IF($L111="","",IF(INDEX(tblRegistros[Data],$L111)&gt;$D$4,"",IFERROR(IF(INDEX(tblRegistros[Status],$L111)="EM ABERTO","",INDEX(tblRegistros[Horas],$L111)),"")))</f>
        <v/>
      </c>
      <c r="G111">
        <f>IF($L111="","",IF(INDEX(tblRegistros[Data],$L111)&gt;$D$4,"",IFERROR(INDEX(tblRegistros[Base],$L111),"")))</f>
        <v/>
      </c>
      <c r="H111" s="3">
        <f>IF($L111="","",IF(INDEX(tblRegistros[Data],$L111)&gt;$D$4,"",IFERROR(INDEX(tblRegistros[Taxa aplicada],$L111),"")))</f>
        <v/>
      </c>
      <c r="I111" s="3">
        <f>IF($L111="","",IF(INDEX(tblRegistros[Data],$L111)&gt;$D$4,"",IFERROR(IF(INDEX(tblRegistros[Status],$L111)="EM ABERTO","",INDEX(tblRegistros[Valor],$L111)),"")))</f>
        <v/>
      </c>
      <c r="J111">
        <f>IF($L111="","",IF(INDEX(tblRegistros[Data],$L111)&gt;$D$4,"",IFERROR(INDEX(tblRegistros[Status],$L111),"")))</f>
        <v/>
      </c>
      <c r="K111">
        <f>IF($L111="","",IF(INDEX(tblRegistros[Data],$L111)&gt;$D$4,"",IFERROR(INDEX(tblRegistros[Observação],$L111),"")))</f>
        <v/>
      </c>
      <c r="L111" s="16">
        <f>IFERROR(MATCH($B$3*100000+COUNTIFS(tblRegistros[ID],$B$3,tblRegistros[Data],"&lt;"&amp;$B$4)+ROWS($L$10:L111),tblRegistros[Chave do cartão],0),"")</f>
        <v/>
      </c>
    </row>
    <row r="112">
      <c r="A112" s="2">
        <f>IF($L112="","",IF(INDEX(tblRegistros[Data],$L112)&gt;$D$4,"",IFERROR(INDEX(tblRegistros[Data],$L112),"")))</f>
        <v/>
      </c>
      <c r="B112">
        <f>IF($L112="","",IF(INDEX(tblRegistros[Data],$L112)&gt;$D$4,"",IFERROR(INDEX(tblRegistros[Projeto],$L112),"")))</f>
        <v/>
      </c>
      <c r="C112">
        <f>IF($L112="","",IF(INDEX(tblRegistros[Data],$L112)&gt;$D$4,"",IFERROR(INDEX(tblRegistros[Atividade],$L112),"")))</f>
        <v/>
      </c>
      <c r="D112" s="4">
        <f>IF($L112="","",IF(INDEX(tblRegistros[Data],$L112)&gt;$D$4,"",IFERROR(INDEX(tblRegistros[Início],$L112),"")))</f>
        <v/>
      </c>
      <c r="E112" s="4">
        <f>IF($L112="","",IF(INDEX(tblRegistros[Data],$L112)&gt;$D$4,"",IFERROR(IF(INDEX(tblRegistros[Status],$L112)="EM ABERTO","",INDEX(tblRegistros[Fim],$L112)),"")))</f>
        <v/>
      </c>
      <c r="F112" s="14">
        <f>IF($L112="","",IF(INDEX(tblRegistros[Data],$L112)&gt;$D$4,"",IFERROR(IF(INDEX(tblRegistros[Status],$L112)="EM ABERTO","",INDEX(tblRegistros[Horas],$L112)),"")))</f>
        <v/>
      </c>
      <c r="G112">
        <f>IF($L112="","",IF(INDEX(tblRegistros[Data],$L112)&gt;$D$4,"",IFERROR(INDEX(tblRegistros[Base],$L112),"")))</f>
        <v/>
      </c>
      <c r="H112" s="3">
        <f>IF($L112="","",IF(INDEX(tblRegistros[Data],$L112)&gt;$D$4,"",IFERROR(INDEX(tblRegistros[Taxa aplicada],$L112),"")))</f>
        <v/>
      </c>
      <c r="I112" s="3">
        <f>IF($L112="","",IF(INDEX(tblRegistros[Data],$L112)&gt;$D$4,"",IFERROR(IF(INDEX(tblRegistros[Status],$L112)="EM ABERTO","",INDEX(tblRegistros[Valor],$L112)),"")))</f>
        <v/>
      </c>
      <c r="J112">
        <f>IF($L112="","",IF(INDEX(tblRegistros[Data],$L112)&gt;$D$4,"",IFERROR(INDEX(tblRegistros[Status],$L112),"")))</f>
        <v/>
      </c>
      <c r="K112">
        <f>IF($L112="","",IF(INDEX(tblRegistros[Data],$L112)&gt;$D$4,"",IFERROR(INDEX(tblRegistros[Observação],$L112),"")))</f>
        <v/>
      </c>
      <c r="L112" s="16">
        <f>IFERROR(MATCH($B$3*100000+COUNTIFS(tblRegistros[ID],$B$3,tblRegistros[Data],"&lt;"&amp;$B$4)+ROWS($L$10:L112),tblRegistros[Chave do cartão],0),"")</f>
        <v/>
      </c>
    </row>
    <row r="113">
      <c r="A113" s="2">
        <f>IF($L113="","",IF(INDEX(tblRegistros[Data],$L113)&gt;$D$4,"",IFERROR(INDEX(tblRegistros[Data],$L113),"")))</f>
        <v/>
      </c>
      <c r="B113">
        <f>IF($L113="","",IF(INDEX(tblRegistros[Data],$L113)&gt;$D$4,"",IFERROR(INDEX(tblRegistros[Projeto],$L113),"")))</f>
        <v/>
      </c>
      <c r="C113">
        <f>IF($L113="","",IF(INDEX(tblRegistros[Data],$L113)&gt;$D$4,"",IFERROR(INDEX(tblRegistros[Atividade],$L113),"")))</f>
        <v/>
      </c>
      <c r="D113" s="4">
        <f>IF($L113="","",IF(INDEX(tblRegistros[Data],$L113)&gt;$D$4,"",IFERROR(INDEX(tblRegistros[Início],$L113),"")))</f>
        <v/>
      </c>
      <c r="E113" s="4">
        <f>IF($L113="","",IF(INDEX(tblRegistros[Data],$L113)&gt;$D$4,"",IFERROR(IF(INDEX(tblRegistros[Status],$L113)="EM ABERTO","",INDEX(tblRegistros[Fim],$L113)),"")))</f>
        <v/>
      </c>
      <c r="F113" s="14">
        <f>IF($L113="","",IF(INDEX(tblRegistros[Data],$L113)&gt;$D$4,"",IFERROR(IF(INDEX(tblRegistros[Status],$L113)="EM ABERTO","",INDEX(tblRegistros[Horas],$L113)),"")))</f>
        <v/>
      </c>
      <c r="G113">
        <f>IF($L113="","",IF(INDEX(tblRegistros[Data],$L113)&gt;$D$4,"",IFERROR(INDEX(tblRegistros[Base],$L113),"")))</f>
        <v/>
      </c>
      <c r="H113" s="3">
        <f>IF($L113="","",IF(INDEX(tblRegistros[Data],$L113)&gt;$D$4,"",IFERROR(INDEX(tblRegistros[Taxa aplicada],$L113),"")))</f>
        <v/>
      </c>
      <c r="I113" s="3">
        <f>IF($L113="","",IF(INDEX(tblRegistros[Data],$L113)&gt;$D$4,"",IFERROR(IF(INDEX(tblRegistros[Status],$L113)="EM ABERTO","",INDEX(tblRegistros[Valor],$L113)),"")))</f>
        <v/>
      </c>
      <c r="J113">
        <f>IF($L113="","",IF(INDEX(tblRegistros[Data],$L113)&gt;$D$4,"",IFERROR(INDEX(tblRegistros[Status],$L113),"")))</f>
        <v/>
      </c>
      <c r="K113">
        <f>IF($L113="","",IF(INDEX(tblRegistros[Data],$L113)&gt;$D$4,"",IFERROR(INDEX(tblRegistros[Observação],$L113),"")))</f>
        <v/>
      </c>
      <c r="L113" s="16">
        <f>IFERROR(MATCH($B$3*100000+COUNTIFS(tblRegistros[ID],$B$3,tblRegistros[Data],"&lt;"&amp;$B$4)+ROWS($L$10:L113),tblRegistros[Chave do cartão],0),"")</f>
        <v/>
      </c>
    </row>
    <row r="114">
      <c r="A114" s="2">
        <f>IF($L114="","",IF(INDEX(tblRegistros[Data],$L114)&gt;$D$4,"",IFERROR(INDEX(tblRegistros[Data],$L114),"")))</f>
        <v/>
      </c>
      <c r="B114">
        <f>IF($L114="","",IF(INDEX(tblRegistros[Data],$L114)&gt;$D$4,"",IFERROR(INDEX(tblRegistros[Projeto],$L114),"")))</f>
        <v/>
      </c>
      <c r="C114">
        <f>IF($L114="","",IF(INDEX(tblRegistros[Data],$L114)&gt;$D$4,"",IFERROR(INDEX(tblRegistros[Atividade],$L114),"")))</f>
        <v/>
      </c>
      <c r="D114" s="4">
        <f>IF($L114="","",IF(INDEX(tblRegistros[Data],$L114)&gt;$D$4,"",IFERROR(INDEX(tblRegistros[Início],$L114),"")))</f>
        <v/>
      </c>
      <c r="E114" s="4">
        <f>IF($L114="","",IF(INDEX(tblRegistros[Data],$L114)&gt;$D$4,"",IFERROR(IF(INDEX(tblRegistros[Status],$L114)="EM ABERTO","",INDEX(tblRegistros[Fim],$L114)),"")))</f>
        <v/>
      </c>
      <c r="F114" s="14">
        <f>IF($L114="","",IF(INDEX(tblRegistros[Data],$L114)&gt;$D$4,"",IFERROR(IF(INDEX(tblRegistros[Status],$L114)="EM ABERTO","",INDEX(tblRegistros[Horas],$L114)),"")))</f>
        <v/>
      </c>
      <c r="G114">
        <f>IF($L114="","",IF(INDEX(tblRegistros[Data],$L114)&gt;$D$4,"",IFERROR(INDEX(tblRegistros[Base],$L114),"")))</f>
        <v/>
      </c>
      <c r="H114" s="3">
        <f>IF($L114="","",IF(INDEX(tblRegistros[Data],$L114)&gt;$D$4,"",IFERROR(INDEX(tblRegistros[Taxa aplicada],$L114),"")))</f>
        <v/>
      </c>
      <c r="I114" s="3">
        <f>IF($L114="","",IF(INDEX(tblRegistros[Data],$L114)&gt;$D$4,"",IFERROR(IF(INDEX(tblRegistros[Status],$L114)="EM ABERTO","",INDEX(tblRegistros[Valor],$L114)),"")))</f>
        <v/>
      </c>
      <c r="J114">
        <f>IF($L114="","",IF(INDEX(tblRegistros[Data],$L114)&gt;$D$4,"",IFERROR(INDEX(tblRegistros[Status],$L114),"")))</f>
        <v/>
      </c>
      <c r="K114">
        <f>IF($L114="","",IF(INDEX(tblRegistros[Data],$L114)&gt;$D$4,"",IFERROR(INDEX(tblRegistros[Observação],$L114),"")))</f>
        <v/>
      </c>
      <c r="L114" s="16">
        <f>IFERROR(MATCH($B$3*100000+COUNTIFS(tblRegistros[ID],$B$3,tblRegistros[Data],"&lt;"&amp;$B$4)+ROWS($L$10:L114),tblRegistros[Chave do cartão],0),"")</f>
        <v/>
      </c>
    </row>
    <row r="115">
      <c r="A115" s="2">
        <f>IF($L115="","",IF(INDEX(tblRegistros[Data],$L115)&gt;$D$4,"",IFERROR(INDEX(tblRegistros[Data],$L115),"")))</f>
        <v/>
      </c>
      <c r="B115">
        <f>IF($L115="","",IF(INDEX(tblRegistros[Data],$L115)&gt;$D$4,"",IFERROR(INDEX(tblRegistros[Projeto],$L115),"")))</f>
        <v/>
      </c>
      <c r="C115">
        <f>IF($L115="","",IF(INDEX(tblRegistros[Data],$L115)&gt;$D$4,"",IFERROR(INDEX(tblRegistros[Atividade],$L115),"")))</f>
        <v/>
      </c>
      <c r="D115" s="4">
        <f>IF($L115="","",IF(INDEX(tblRegistros[Data],$L115)&gt;$D$4,"",IFERROR(INDEX(tblRegistros[Início],$L115),"")))</f>
        <v/>
      </c>
      <c r="E115" s="4">
        <f>IF($L115="","",IF(INDEX(tblRegistros[Data],$L115)&gt;$D$4,"",IFERROR(IF(INDEX(tblRegistros[Status],$L115)="EM ABERTO","",INDEX(tblRegistros[Fim],$L115)),"")))</f>
        <v/>
      </c>
      <c r="F115" s="14">
        <f>IF($L115="","",IF(INDEX(tblRegistros[Data],$L115)&gt;$D$4,"",IFERROR(IF(INDEX(tblRegistros[Status],$L115)="EM ABERTO","",INDEX(tblRegistros[Horas],$L115)),"")))</f>
        <v/>
      </c>
      <c r="G115">
        <f>IF($L115="","",IF(INDEX(tblRegistros[Data],$L115)&gt;$D$4,"",IFERROR(INDEX(tblRegistros[Base],$L115),"")))</f>
        <v/>
      </c>
      <c r="H115" s="3">
        <f>IF($L115="","",IF(INDEX(tblRegistros[Data],$L115)&gt;$D$4,"",IFERROR(INDEX(tblRegistros[Taxa aplicada],$L115),"")))</f>
        <v/>
      </c>
      <c r="I115" s="3">
        <f>IF($L115="","",IF(INDEX(tblRegistros[Data],$L115)&gt;$D$4,"",IFERROR(IF(INDEX(tblRegistros[Status],$L115)="EM ABERTO","",INDEX(tblRegistros[Valor],$L115)),"")))</f>
        <v/>
      </c>
      <c r="J115">
        <f>IF($L115="","",IF(INDEX(tblRegistros[Data],$L115)&gt;$D$4,"",IFERROR(INDEX(tblRegistros[Status],$L115),"")))</f>
        <v/>
      </c>
      <c r="K115">
        <f>IF($L115="","",IF(INDEX(tblRegistros[Data],$L115)&gt;$D$4,"",IFERROR(INDEX(tblRegistros[Observação],$L115),"")))</f>
        <v/>
      </c>
      <c r="L115" s="16">
        <f>IFERROR(MATCH($B$3*100000+COUNTIFS(tblRegistros[ID],$B$3,tblRegistros[Data],"&lt;"&amp;$B$4)+ROWS($L$10:L115),tblRegistros[Chave do cartão],0),"")</f>
        <v/>
      </c>
    </row>
    <row r="116">
      <c r="A116" s="2">
        <f>IF($L116="","",IF(INDEX(tblRegistros[Data],$L116)&gt;$D$4,"",IFERROR(INDEX(tblRegistros[Data],$L116),"")))</f>
        <v/>
      </c>
      <c r="B116">
        <f>IF($L116="","",IF(INDEX(tblRegistros[Data],$L116)&gt;$D$4,"",IFERROR(INDEX(tblRegistros[Projeto],$L116),"")))</f>
        <v/>
      </c>
      <c r="C116">
        <f>IF($L116="","",IF(INDEX(tblRegistros[Data],$L116)&gt;$D$4,"",IFERROR(INDEX(tblRegistros[Atividade],$L116),"")))</f>
        <v/>
      </c>
      <c r="D116" s="4">
        <f>IF($L116="","",IF(INDEX(tblRegistros[Data],$L116)&gt;$D$4,"",IFERROR(INDEX(tblRegistros[Início],$L116),"")))</f>
        <v/>
      </c>
      <c r="E116" s="4">
        <f>IF($L116="","",IF(INDEX(tblRegistros[Data],$L116)&gt;$D$4,"",IFERROR(IF(INDEX(tblRegistros[Status],$L116)="EM ABERTO","",INDEX(tblRegistros[Fim],$L116)),"")))</f>
        <v/>
      </c>
      <c r="F116" s="14">
        <f>IF($L116="","",IF(INDEX(tblRegistros[Data],$L116)&gt;$D$4,"",IFERROR(IF(INDEX(tblRegistros[Status],$L116)="EM ABERTO","",INDEX(tblRegistros[Horas],$L116)),"")))</f>
        <v/>
      </c>
      <c r="G116">
        <f>IF($L116="","",IF(INDEX(tblRegistros[Data],$L116)&gt;$D$4,"",IFERROR(INDEX(tblRegistros[Base],$L116),"")))</f>
        <v/>
      </c>
      <c r="H116" s="3">
        <f>IF($L116="","",IF(INDEX(tblRegistros[Data],$L116)&gt;$D$4,"",IFERROR(INDEX(tblRegistros[Taxa aplicada],$L116),"")))</f>
        <v/>
      </c>
      <c r="I116" s="3">
        <f>IF($L116="","",IF(INDEX(tblRegistros[Data],$L116)&gt;$D$4,"",IFERROR(IF(INDEX(tblRegistros[Status],$L116)="EM ABERTO","",INDEX(tblRegistros[Valor],$L116)),"")))</f>
        <v/>
      </c>
      <c r="J116">
        <f>IF($L116="","",IF(INDEX(tblRegistros[Data],$L116)&gt;$D$4,"",IFERROR(INDEX(tblRegistros[Status],$L116),"")))</f>
        <v/>
      </c>
      <c r="K116">
        <f>IF($L116="","",IF(INDEX(tblRegistros[Data],$L116)&gt;$D$4,"",IFERROR(INDEX(tblRegistros[Observação],$L116),"")))</f>
        <v/>
      </c>
      <c r="L116" s="16">
        <f>IFERROR(MATCH($B$3*100000+COUNTIFS(tblRegistros[ID],$B$3,tblRegistros[Data],"&lt;"&amp;$B$4)+ROWS($L$10:L116),tblRegistros[Chave do cartão],0),"")</f>
        <v/>
      </c>
    </row>
    <row r="117">
      <c r="A117" s="2">
        <f>IF($L117="","",IF(INDEX(tblRegistros[Data],$L117)&gt;$D$4,"",IFERROR(INDEX(tblRegistros[Data],$L117),"")))</f>
        <v/>
      </c>
      <c r="B117">
        <f>IF($L117="","",IF(INDEX(tblRegistros[Data],$L117)&gt;$D$4,"",IFERROR(INDEX(tblRegistros[Projeto],$L117),"")))</f>
        <v/>
      </c>
      <c r="C117">
        <f>IF($L117="","",IF(INDEX(tblRegistros[Data],$L117)&gt;$D$4,"",IFERROR(INDEX(tblRegistros[Atividade],$L117),"")))</f>
        <v/>
      </c>
      <c r="D117" s="4">
        <f>IF($L117="","",IF(INDEX(tblRegistros[Data],$L117)&gt;$D$4,"",IFERROR(INDEX(tblRegistros[Início],$L117),"")))</f>
        <v/>
      </c>
      <c r="E117" s="4">
        <f>IF($L117="","",IF(INDEX(tblRegistros[Data],$L117)&gt;$D$4,"",IFERROR(IF(INDEX(tblRegistros[Status],$L117)="EM ABERTO","",INDEX(tblRegistros[Fim],$L117)),"")))</f>
        <v/>
      </c>
      <c r="F117" s="14">
        <f>IF($L117="","",IF(INDEX(tblRegistros[Data],$L117)&gt;$D$4,"",IFERROR(IF(INDEX(tblRegistros[Status],$L117)="EM ABERTO","",INDEX(tblRegistros[Horas],$L117)),"")))</f>
        <v/>
      </c>
      <c r="G117">
        <f>IF($L117="","",IF(INDEX(tblRegistros[Data],$L117)&gt;$D$4,"",IFERROR(INDEX(tblRegistros[Base],$L117),"")))</f>
        <v/>
      </c>
      <c r="H117" s="3">
        <f>IF($L117="","",IF(INDEX(tblRegistros[Data],$L117)&gt;$D$4,"",IFERROR(INDEX(tblRegistros[Taxa aplicada],$L117),"")))</f>
        <v/>
      </c>
      <c r="I117" s="3">
        <f>IF($L117="","",IF(INDEX(tblRegistros[Data],$L117)&gt;$D$4,"",IFERROR(IF(INDEX(tblRegistros[Status],$L117)="EM ABERTO","",INDEX(tblRegistros[Valor],$L117)),"")))</f>
        <v/>
      </c>
      <c r="J117">
        <f>IF($L117="","",IF(INDEX(tblRegistros[Data],$L117)&gt;$D$4,"",IFERROR(INDEX(tblRegistros[Status],$L117),"")))</f>
        <v/>
      </c>
      <c r="K117">
        <f>IF($L117="","",IF(INDEX(tblRegistros[Data],$L117)&gt;$D$4,"",IFERROR(INDEX(tblRegistros[Observação],$L117),"")))</f>
        <v/>
      </c>
      <c r="L117" s="16">
        <f>IFERROR(MATCH($B$3*100000+COUNTIFS(tblRegistros[ID],$B$3,tblRegistros[Data],"&lt;"&amp;$B$4)+ROWS($L$10:L117),tblRegistros[Chave do cartão],0),"")</f>
        <v/>
      </c>
    </row>
    <row r="118">
      <c r="A118" s="2">
        <f>IF($L118="","",IF(INDEX(tblRegistros[Data],$L118)&gt;$D$4,"",IFERROR(INDEX(tblRegistros[Data],$L118),"")))</f>
        <v/>
      </c>
      <c r="B118">
        <f>IF($L118="","",IF(INDEX(tblRegistros[Data],$L118)&gt;$D$4,"",IFERROR(INDEX(tblRegistros[Projeto],$L118),"")))</f>
        <v/>
      </c>
      <c r="C118">
        <f>IF($L118="","",IF(INDEX(tblRegistros[Data],$L118)&gt;$D$4,"",IFERROR(INDEX(tblRegistros[Atividade],$L118),"")))</f>
        <v/>
      </c>
      <c r="D118" s="4">
        <f>IF($L118="","",IF(INDEX(tblRegistros[Data],$L118)&gt;$D$4,"",IFERROR(INDEX(tblRegistros[Início],$L118),"")))</f>
        <v/>
      </c>
      <c r="E118" s="4">
        <f>IF($L118="","",IF(INDEX(tblRegistros[Data],$L118)&gt;$D$4,"",IFERROR(IF(INDEX(tblRegistros[Status],$L118)="EM ABERTO","",INDEX(tblRegistros[Fim],$L118)),"")))</f>
        <v/>
      </c>
      <c r="F118" s="14">
        <f>IF($L118="","",IF(INDEX(tblRegistros[Data],$L118)&gt;$D$4,"",IFERROR(IF(INDEX(tblRegistros[Status],$L118)="EM ABERTO","",INDEX(tblRegistros[Horas],$L118)),"")))</f>
        <v/>
      </c>
      <c r="G118">
        <f>IF($L118="","",IF(INDEX(tblRegistros[Data],$L118)&gt;$D$4,"",IFERROR(INDEX(tblRegistros[Base],$L118),"")))</f>
        <v/>
      </c>
      <c r="H118" s="3">
        <f>IF($L118="","",IF(INDEX(tblRegistros[Data],$L118)&gt;$D$4,"",IFERROR(INDEX(tblRegistros[Taxa aplicada],$L118),"")))</f>
        <v/>
      </c>
      <c r="I118" s="3">
        <f>IF($L118="","",IF(INDEX(tblRegistros[Data],$L118)&gt;$D$4,"",IFERROR(IF(INDEX(tblRegistros[Status],$L118)="EM ABERTO","",INDEX(tblRegistros[Valor],$L118)),"")))</f>
        <v/>
      </c>
      <c r="J118">
        <f>IF($L118="","",IF(INDEX(tblRegistros[Data],$L118)&gt;$D$4,"",IFERROR(INDEX(tblRegistros[Status],$L118),"")))</f>
        <v/>
      </c>
      <c r="K118">
        <f>IF($L118="","",IF(INDEX(tblRegistros[Data],$L118)&gt;$D$4,"",IFERROR(INDEX(tblRegistros[Observação],$L118),"")))</f>
        <v/>
      </c>
      <c r="L118" s="16">
        <f>IFERROR(MATCH($B$3*100000+COUNTIFS(tblRegistros[ID],$B$3,tblRegistros[Data],"&lt;"&amp;$B$4)+ROWS($L$10:L118),tblRegistros[Chave do cartão],0),"")</f>
        <v/>
      </c>
    </row>
    <row r="119">
      <c r="A119" s="2">
        <f>IF($L119="","",IF(INDEX(tblRegistros[Data],$L119)&gt;$D$4,"",IFERROR(INDEX(tblRegistros[Data],$L119),"")))</f>
        <v/>
      </c>
      <c r="B119">
        <f>IF($L119="","",IF(INDEX(tblRegistros[Data],$L119)&gt;$D$4,"",IFERROR(INDEX(tblRegistros[Projeto],$L119),"")))</f>
        <v/>
      </c>
      <c r="C119">
        <f>IF($L119="","",IF(INDEX(tblRegistros[Data],$L119)&gt;$D$4,"",IFERROR(INDEX(tblRegistros[Atividade],$L119),"")))</f>
        <v/>
      </c>
      <c r="D119" s="4">
        <f>IF($L119="","",IF(INDEX(tblRegistros[Data],$L119)&gt;$D$4,"",IFERROR(INDEX(tblRegistros[Início],$L119),"")))</f>
        <v/>
      </c>
      <c r="E119" s="4">
        <f>IF($L119="","",IF(INDEX(tblRegistros[Data],$L119)&gt;$D$4,"",IFERROR(IF(INDEX(tblRegistros[Status],$L119)="EM ABERTO","",INDEX(tblRegistros[Fim],$L119)),"")))</f>
        <v/>
      </c>
      <c r="F119" s="14">
        <f>IF($L119="","",IF(INDEX(tblRegistros[Data],$L119)&gt;$D$4,"",IFERROR(IF(INDEX(tblRegistros[Status],$L119)="EM ABERTO","",INDEX(tblRegistros[Horas],$L119)),"")))</f>
        <v/>
      </c>
      <c r="G119">
        <f>IF($L119="","",IF(INDEX(tblRegistros[Data],$L119)&gt;$D$4,"",IFERROR(INDEX(tblRegistros[Base],$L119),"")))</f>
        <v/>
      </c>
      <c r="H119" s="3">
        <f>IF($L119="","",IF(INDEX(tblRegistros[Data],$L119)&gt;$D$4,"",IFERROR(INDEX(tblRegistros[Taxa aplicada],$L119),"")))</f>
        <v/>
      </c>
      <c r="I119" s="3">
        <f>IF($L119="","",IF(INDEX(tblRegistros[Data],$L119)&gt;$D$4,"",IFERROR(IF(INDEX(tblRegistros[Status],$L119)="EM ABERTO","",INDEX(tblRegistros[Valor],$L119)),"")))</f>
        <v/>
      </c>
      <c r="J119">
        <f>IF($L119="","",IF(INDEX(tblRegistros[Data],$L119)&gt;$D$4,"",IFERROR(INDEX(tblRegistros[Status],$L119),"")))</f>
        <v/>
      </c>
      <c r="K119">
        <f>IF($L119="","",IF(INDEX(tblRegistros[Data],$L119)&gt;$D$4,"",IFERROR(INDEX(tblRegistros[Observação],$L119),"")))</f>
        <v/>
      </c>
      <c r="L119" s="16">
        <f>IFERROR(MATCH($B$3*100000+COUNTIFS(tblRegistros[ID],$B$3,tblRegistros[Data],"&lt;"&amp;$B$4)+ROWS($L$10:L119),tblRegistros[Chave do cartão],0),"")</f>
        <v/>
      </c>
    </row>
    <row r="120">
      <c r="A120" s="2">
        <f>IF($L120="","",IF(INDEX(tblRegistros[Data],$L120)&gt;$D$4,"",IFERROR(INDEX(tblRegistros[Data],$L120),"")))</f>
        <v/>
      </c>
      <c r="B120">
        <f>IF($L120="","",IF(INDEX(tblRegistros[Data],$L120)&gt;$D$4,"",IFERROR(INDEX(tblRegistros[Projeto],$L120),"")))</f>
        <v/>
      </c>
      <c r="C120">
        <f>IF($L120="","",IF(INDEX(tblRegistros[Data],$L120)&gt;$D$4,"",IFERROR(INDEX(tblRegistros[Atividade],$L120),"")))</f>
        <v/>
      </c>
      <c r="D120" s="4">
        <f>IF($L120="","",IF(INDEX(tblRegistros[Data],$L120)&gt;$D$4,"",IFERROR(INDEX(tblRegistros[Início],$L120),"")))</f>
        <v/>
      </c>
      <c r="E120" s="4">
        <f>IF($L120="","",IF(INDEX(tblRegistros[Data],$L120)&gt;$D$4,"",IFERROR(IF(INDEX(tblRegistros[Status],$L120)="EM ABERTO","",INDEX(tblRegistros[Fim],$L120)),"")))</f>
        <v/>
      </c>
      <c r="F120" s="14">
        <f>IF($L120="","",IF(INDEX(tblRegistros[Data],$L120)&gt;$D$4,"",IFERROR(IF(INDEX(tblRegistros[Status],$L120)="EM ABERTO","",INDEX(tblRegistros[Horas],$L120)),"")))</f>
        <v/>
      </c>
      <c r="G120">
        <f>IF($L120="","",IF(INDEX(tblRegistros[Data],$L120)&gt;$D$4,"",IFERROR(INDEX(tblRegistros[Base],$L120),"")))</f>
        <v/>
      </c>
      <c r="H120" s="3">
        <f>IF($L120="","",IF(INDEX(tblRegistros[Data],$L120)&gt;$D$4,"",IFERROR(INDEX(tblRegistros[Taxa aplicada],$L120),"")))</f>
        <v/>
      </c>
      <c r="I120" s="3">
        <f>IF($L120="","",IF(INDEX(tblRegistros[Data],$L120)&gt;$D$4,"",IFERROR(IF(INDEX(tblRegistros[Status],$L120)="EM ABERTO","",INDEX(tblRegistros[Valor],$L120)),"")))</f>
        <v/>
      </c>
      <c r="J120">
        <f>IF($L120="","",IF(INDEX(tblRegistros[Data],$L120)&gt;$D$4,"",IFERROR(INDEX(tblRegistros[Status],$L120),"")))</f>
        <v/>
      </c>
      <c r="K120">
        <f>IF($L120="","",IF(INDEX(tblRegistros[Data],$L120)&gt;$D$4,"",IFERROR(INDEX(tblRegistros[Observação],$L120),"")))</f>
        <v/>
      </c>
      <c r="L120" s="16">
        <f>IFERROR(MATCH($B$3*100000+COUNTIFS(tblRegistros[ID],$B$3,tblRegistros[Data],"&lt;"&amp;$B$4)+ROWS($L$10:L120),tblRegistros[Chave do cartão],0),"")</f>
        <v/>
      </c>
    </row>
    <row r="121">
      <c r="A121" s="2">
        <f>IF($L121="","",IF(INDEX(tblRegistros[Data],$L121)&gt;$D$4,"",IFERROR(INDEX(tblRegistros[Data],$L121),"")))</f>
        <v/>
      </c>
      <c r="B121">
        <f>IF($L121="","",IF(INDEX(tblRegistros[Data],$L121)&gt;$D$4,"",IFERROR(INDEX(tblRegistros[Projeto],$L121),"")))</f>
        <v/>
      </c>
      <c r="C121">
        <f>IF($L121="","",IF(INDEX(tblRegistros[Data],$L121)&gt;$D$4,"",IFERROR(INDEX(tblRegistros[Atividade],$L121),"")))</f>
        <v/>
      </c>
      <c r="D121" s="4">
        <f>IF($L121="","",IF(INDEX(tblRegistros[Data],$L121)&gt;$D$4,"",IFERROR(INDEX(tblRegistros[Início],$L121),"")))</f>
        <v/>
      </c>
      <c r="E121" s="4">
        <f>IF($L121="","",IF(INDEX(tblRegistros[Data],$L121)&gt;$D$4,"",IFERROR(IF(INDEX(tblRegistros[Status],$L121)="EM ABERTO","",INDEX(tblRegistros[Fim],$L121)),"")))</f>
        <v/>
      </c>
      <c r="F121" s="14">
        <f>IF($L121="","",IF(INDEX(tblRegistros[Data],$L121)&gt;$D$4,"",IFERROR(IF(INDEX(tblRegistros[Status],$L121)="EM ABERTO","",INDEX(tblRegistros[Horas],$L121)),"")))</f>
        <v/>
      </c>
      <c r="G121">
        <f>IF($L121="","",IF(INDEX(tblRegistros[Data],$L121)&gt;$D$4,"",IFERROR(INDEX(tblRegistros[Base],$L121),"")))</f>
        <v/>
      </c>
      <c r="H121" s="3">
        <f>IF($L121="","",IF(INDEX(tblRegistros[Data],$L121)&gt;$D$4,"",IFERROR(INDEX(tblRegistros[Taxa aplicada],$L121),"")))</f>
        <v/>
      </c>
      <c r="I121" s="3">
        <f>IF($L121="","",IF(INDEX(tblRegistros[Data],$L121)&gt;$D$4,"",IFERROR(IF(INDEX(tblRegistros[Status],$L121)="EM ABERTO","",INDEX(tblRegistros[Valor],$L121)),"")))</f>
        <v/>
      </c>
      <c r="J121">
        <f>IF($L121="","",IF(INDEX(tblRegistros[Data],$L121)&gt;$D$4,"",IFERROR(INDEX(tblRegistros[Status],$L121),"")))</f>
        <v/>
      </c>
      <c r="K121">
        <f>IF($L121="","",IF(INDEX(tblRegistros[Data],$L121)&gt;$D$4,"",IFERROR(INDEX(tblRegistros[Observação],$L121),"")))</f>
        <v/>
      </c>
      <c r="L121" s="16">
        <f>IFERROR(MATCH($B$3*100000+COUNTIFS(tblRegistros[ID],$B$3,tblRegistros[Data],"&lt;"&amp;$B$4)+ROWS($L$10:L121),tblRegistros[Chave do cartão],0),"")</f>
        <v/>
      </c>
    </row>
    <row r="122">
      <c r="A122" s="2">
        <f>IF($L122="","",IF(INDEX(tblRegistros[Data],$L122)&gt;$D$4,"",IFERROR(INDEX(tblRegistros[Data],$L122),"")))</f>
        <v/>
      </c>
      <c r="B122">
        <f>IF($L122="","",IF(INDEX(tblRegistros[Data],$L122)&gt;$D$4,"",IFERROR(INDEX(tblRegistros[Projeto],$L122),"")))</f>
        <v/>
      </c>
      <c r="C122">
        <f>IF($L122="","",IF(INDEX(tblRegistros[Data],$L122)&gt;$D$4,"",IFERROR(INDEX(tblRegistros[Atividade],$L122),"")))</f>
        <v/>
      </c>
      <c r="D122" s="4">
        <f>IF($L122="","",IF(INDEX(tblRegistros[Data],$L122)&gt;$D$4,"",IFERROR(INDEX(tblRegistros[Início],$L122),"")))</f>
        <v/>
      </c>
      <c r="E122" s="4">
        <f>IF($L122="","",IF(INDEX(tblRegistros[Data],$L122)&gt;$D$4,"",IFERROR(IF(INDEX(tblRegistros[Status],$L122)="EM ABERTO","",INDEX(tblRegistros[Fim],$L122)),"")))</f>
        <v/>
      </c>
      <c r="F122" s="14">
        <f>IF($L122="","",IF(INDEX(tblRegistros[Data],$L122)&gt;$D$4,"",IFERROR(IF(INDEX(tblRegistros[Status],$L122)="EM ABERTO","",INDEX(tblRegistros[Horas],$L122)),"")))</f>
        <v/>
      </c>
      <c r="G122">
        <f>IF($L122="","",IF(INDEX(tblRegistros[Data],$L122)&gt;$D$4,"",IFERROR(INDEX(tblRegistros[Base],$L122),"")))</f>
        <v/>
      </c>
      <c r="H122" s="3">
        <f>IF($L122="","",IF(INDEX(tblRegistros[Data],$L122)&gt;$D$4,"",IFERROR(INDEX(tblRegistros[Taxa aplicada],$L122),"")))</f>
        <v/>
      </c>
      <c r="I122" s="3">
        <f>IF($L122="","",IF(INDEX(tblRegistros[Data],$L122)&gt;$D$4,"",IFERROR(IF(INDEX(tblRegistros[Status],$L122)="EM ABERTO","",INDEX(tblRegistros[Valor],$L122)),"")))</f>
        <v/>
      </c>
      <c r="J122">
        <f>IF($L122="","",IF(INDEX(tblRegistros[Data],$L122)&gt;$D$4,"",IFERROR(INDEX(tblRegistros[Status],$L122),"")))</f>
        <v/>
      </c>
      <c r="K122">
        <f>IF($L122="","",IF(INDEX(tblRegistros[Data],$L122)&gt;$D$4,"",IFERROR(INDEX(tblRegistros[Observação],$L122),"")))</f>
        <v/>
      </c>
      <c r="L122" s="16">
        <f>IFERROR(MATCH($B$3*100000+COUNTIFS(tblRegistros[ID],$B$3,tblRegistros[Data],"&lt;"&amp;$B$4)+ROWS($L$10:L122),tblRegistros[Chave do cartão],0),"")</f>
        <v/>
      </c>
    </row>
    <row r="123">
      <c r="A123" s="2">
        <f>IF($L123="","",IF(INDEX(tblRegistros[Data],$L123)&gt;$D$4,"",IFERROR(INDEX(tblRegistros[Data],$L123),"")))</f>
        <v/>
      </c>
      <c r="B123">
        <f>IF($L123="","",IF(INDEX(tblRegistros[Data],$L123)&gt;$D$4,"",IFERROR(INDEX(tblRegistros[Projeto],$L123),"")))</f>
        <v/>
      </c>
      <c r="C123">
        <f>IF($L123="","",IF(INDEX(tblRegistros[Data],$L123)&gt;$D$4,"",IFERROR(INDEX(tblRegistros[Atividade],$L123),"")))</f>
        <v/>
      </c>
      <c r="D123" s="4">
        <f>IF($L123="","",IF(INDEX(tblRegistros[Data],$L123)&gt;$D$4,"",IFERROR(INDEX(tblRegistros[Início],$L123),"")))</f>
        <v/>
      </c>
      <c r="E123" s="4">
        <f>IF($L123="","",IF(INDEX(tblRegistros[Data],$L123)&gt;$D$4,"",IFERROR(IF(INDEX(tblRegistros[Status],$L123)="EM ABERTO","",INDEX(tblRegistros[Fim],$L123)),"")))</f>
        <v/>
      </c>
      <c r="F123" s="14">
        <f>IF($L123="","",IF(INDEX(tblRegistros[Data],$L123)&gt;$D$4,"",IFERROR(IF(INDEX(tblRegistros[Status],$L123)="EM ABERTO","",INDEX(tblRegistros[Horas],$L123)),"")))</f>
        <v/>
      </c>
      <c r="G123">
        <f>IF($L123="","",IF(INDEX(tblRegistros[Data],$L123)&gt;$D$4,"",IFERROR(INDEX(tblRegistros[Base],$L123),"")))</f>
        <v/>
      </c>
      <c r="H123" s="3">
        <f>IF($L123="","",IF(INDEX(tblRegistros[Data],$L123)&gt;$D$4,"",IFERROR(INDEX(tblRegistros[Taxa aplicada],$L123),"")))</f>
        <v/>
      </c>
      <c r="I123" s="3">
        <f>IF($L123="","",IF(INDEX(tblRegistros[Data],$L123)&gt;$D$4,"",IFERROR(IF(INDEX(tblRegistros[Status],$L123)="EM ABERTO","",INDEX(tblRegistros[Valor],$L123)),"")))</f>
        <v/>
      </c>
      <c r="J123">
        <f>IF($L123="","",IF(INDEX(tblRegistros[Data],$L123)&gt;$D$4,"",IFERROR(INDEX(tblRegistros[Status],$L123),"")))</f>
        <v/>
      </c>
      <c r="K123">
        <f>IF($L123="","",IF(INDEX(tblRegistros[Data],$L123)&gt;$D$4,"",IFERROR(INDEX(tblRegistros[Observação],$L123),"")))</f>
        <v/>
      </c>
      <c r="L123" s="16">
        <f>IFERROR(MATCH($B$3*100000+COUNTIFS(tblRegistros[ID],$B$3,tblRegistros[Data],"&lt;"&amp;$B$4)+ROWS($L$10:L123),tblRegistros[Chave do cartão],0),"")</f>
        <v/>
      </c>
    </row>
    <row r="124">
      <c r="A124" s="2">
        <f>IF($L124="","",IF(INDEX(tblRegistros[Data],$L124)&gt;$D$4,"",IFERROR(INDEX(tblRegistros[Data],$L124),"")))</f>
        <v/>
      </c>
      <c r="B124">
        <f>IF($L124="","",IF(INDEX(tblRegistros[Data],$L124)&gt;$D$4,"",IFERROR(INDEX(tblRegistros[Projeto],$L124),"")))</f>
        <v/>
      </c>
      <c r="C124">
        <f>IF($L124="","",IF(INDEX(tblRegistros[Data],$L124)&gt;$D$4,"",IFERROR(INDEX(tblRegistros[Atividade],$L124),"")))</f>
        <v/>
      </c>
      <c r="D124" s="4">
        <f>IF($L124="","",IF(INDEX(tblRegistros[Data],$L124)&gt;$D$4,"",IFERROR(INDEX(tblRegistros[Início],$L124),"")))</f>
        <v/>
      </c>
      <c r="E124" s="4">
        <f>IF($L124="","",IF(INDEX(tblRegistros[Data],$L124)&gt;$D$4,"",IFERROR(IF(INDEX(tblRegistros[Status],$L124)="EM ABERTO","",INDEX(tblRegistros[Fim],$L124)),"")))</f>
        <v/>
      </c>
      <c r="F124" s="14">
        <f>IF($L124="","",IF(INDEX(tblRegistros[Data],$L124)&gt;$D$4,"",IFERROR(IF(INDEX(tblRegistros[Status],$L124)="EM ABERTO","",INDEX(tblRegistros[Horas],$L124)),"")))</f>
        <v/>
      </c>
      <c r="G124">
        <f>IF($L124="","",IF(INDEX(tblRegistros[Data],$L124)&gt;$D$4,"",IFERROR(INDEX(tblRegistros[Base],$L124),"")))</f>
        <v/>
      </c>
      <c r="H124" s="3">
        <f>IF($L124="","",IF(INDEX(tblRegistros[Data],$L124)&gt;$D$4,"",IFERROR(INDEX(tblRegistros[Taxa aplicada],$L124),"")))</f>
        <v/>
      </c>
      <c r="I124" s="3">
        <f>IF($L124="","",IF(INDEX(tblRegistros[Data],$L124)&gt;$D$4,"",IFERROR(IF(INDEX(tblRegistros[Status],$L124)="EM ABERTO","",INDEX(tblRegistros[Valor],$L124)),"")))</f>
        <v/>
      </c>
      <c r="J124">
        <f>IF($L124="","",IF(INDEX(tblRegistros[Data],$L124)&gt;$D$4,"",IFERROR(INDEX(tblRegistros[Status],$L124),"")))</f>
        <v/>
      </c>
      <c r="K124">
        <f>IF($L124="","",IF(INDEX(tblRegistros[Data],$L124)&gt;$D$4,"",IFERROR(INDEX(tblRegistros[Observação],$L124),"")))</f>
        <v/>
      </c>
      <c r="L124" s="16">
        <f>IFERROR(MATCH($B$3*100000+COUNTIFS(tblRegistros[ID],$B$3,tblRegistros[Data],"&lt;"&amp;$B$4)+ROWS($L$10:L124),tblRegistros[Chave do cartão],0),"")</f>
        <v/>
      </c>
    </row>
    <row r="125">
      <c r="A125" s="2">
        <f>IF($L125="","",IF(INDEX(tblRegistros[Data],$L125)&gt;$D$4,"",IFERROR(INDEX(tblRegistros[Data],$L125),"")))</f>
        <v/>
      </c>
      <c r="B125">
        <f>IF($L125="","",IF(INDEX(tblRegistros[Data],$L125)&gt;$D$4,"",IFERROR(INDEX(tblRegistros[Projeto],$L125),"")))</f>
        <v/>
      </c>
      <c r="C125">
        <f>IF($L125="","",IF(INDEX(tblRegistros[Data],$L125)&gt;$D$4,"",IFERROR(INDEX(tblRegistros[Atividade],$L125),"")))</f>
        <v/>
      </c>
      <c r="D125" s="4">
        <f>IF($L125="","",IF(INDEX(tblRegistros[Data],$L125)&gt;$D$4,"",IFERROR(INDEX(tblRegistros[Início],$L125),"")))</f>
        <v/>
      </c>
      <c r="E125" s="4">
        <f>IF($L125="","",IF(INDEX(tblRegistros[Data],$L125)&gt;$D$4,"",IFERROR(IF(INDEX(tblRegistros[Status],$L125)="EM ABERTO","",INDEX(tblRegistros[Fim],$L125)),"")))</f>
        <v/>
      </c>
      <c r="F125" s="14">
        <f>IF($L125="","",IF(INDEX(tblRegistros[Data],$L125)&gt;$D$4,"",IFERROR(IF(INDEX(tblRegistros[Status],$L125)="EM ABERTO","",INDEX(tblRegistros[Horas],$L125)),"")))</f>
        <v/>
      </c>
      <c r="G125">
        <f>IF($L125="","",IF(INDEX(tblRegistros[Data],$L125)&gt;$D$4,"",IFERROR(INDEX(tblRegistros[Base],$L125),"")))</f>
        <v/>
      </c>
      <c r="H125" s="3">
        <f>IF($L125="","",IF(INDEX(tblRegistros[Data],$L125)&gt;$D$4,"",IFERROR(INDEX(tblRegistros[Taxa aplicada],$L125),"")))</f>
        <v/>
      </c>
      <c r="I125" s="3">
        <f>IF($L125="","",IF(INDEX(tblRegistros[Data],$L125)&gt;$D$4,"",IFERROR(IF(INDEX(tblRegistros[Status],$L125)="EM ABERTO","",INDEX(tblRegistros[Valor],$L125)),"")))</f>
        <v/>
      </c>
      <c r="J125">
        <f>IF($L125="","",IF(INDEX(tblRegistros[Data],$L125)&gt;$D$4,"",IFERROR(INDEX(tblRegistros[Status],$L125),"")))</f>
        <v/>
      </c>
      <c r="K125">
        <f>IF($L125="","",IF(INDEX(tblRegistros[Data],$L125)&gt;$D$4,"",IFERROR(INDEX(tblRegistros[Observação],$L125),"")))</f>
        <v/>
      </c>
      <c r="L125" s="16">
        <f>IFERROR(MATCH($B$3*100000+COUNTIFS(tblRegistros[ID],$B$3,tblRegistros[Data],"&lt;"&amp;$B$4)+ROWS($L$10:L125),tblRegistros[Chave do cartão],0),"")</f>
        <v/>
      </c>
    </row>
    <row r="126">
      <c r="A126" s="2">
        <f>IF($L126="","",IF(INDEX(tblRegistros[Data],$L126)&gt;$D$4,"",IFERROR(INDEX(tblRegistros[Data],$L126),"")))</f>
        <v/>
      </c>
      <c r="B126">
        <f>IF($L126="","",IF(INDEX(tblRegistros[Data],$L126)&gt;$D$4,"",IFERROR(INDEX(tblRegistros[Projeto],$L126),"")))</f>
        <v/>
      </c>
      <c r="C126">
        <f>IF($L126="","",IF(INDEX(tblRegistros[Data],$L126)&gt;$D$4,"",IFERROR(INDEX(tblRegistros[Atividade],$L126),"")))</f>
        <v/>
      </c>
      <c r="D126" s="4">
        <f>IF($L126="","",IF(INDEX(tblRegistros[Data],$L126)&gt;$D$4,"",IFERROR(INDEX(tblRegistros[Início],$L126),"")))</f>
        <v/>
      </c>
      <c r="E126" s="4">
        <f>IF($L126="","",IF(INDEX(tblRegistros[Data],$L126)&gt;$D$4,"",IFERROR(IF(INDEX(tblRegistros[Status],$L126)="EM ABERTO","",INDEX(tblRegistros[Fim],$L126)),"")))</f>
        <v/>
      </c>
      <c r="F126" s="14">
        <f>IF($L126="","",IF(INDEX(tblRegistros[Data],$L126)&gt;$D$4,"",IFERROR(IF(INDEX(tblRegistros[Status],$L126)="EM ABERTO","",INDEX(tblRegistros[Horas],$L126)),"")))</f>
        <v/>
      </c>
      <c r="G126">
        <f>IF($L126="","",IF(INDEX(tblRegistros[Data],$L126)&gt;$D$4,"",IFERROR(INDEX(tblRegistros[Base],$L126),"")))</f>
        <v/>
      </c>
      <c r="H126" s="3">
        <f>IF($L126="","",IF(INDEX(tblRegistros[Data],$L126)&gt;$D$4,"",IFERROR(INDEX(tblRegistros[Taxa aplicada],$L126),"")))</f>
        <v/>
      </c>
      <c r="I126" s="3">
        <f>IF($L126="","",IF(INDEX(tblRegistros[Data],$L126)&gt;$D$4,"",IFERROR(IF(INDEX(tblRegistros[Status],$L126)="EM ABERTO","",INDEX(tblRegistros[Valor],$L126)),"")))</f>
        <v/>
      </c>
      <c r="J126">
        <f>IF($L126="","",IF(INDEX(tblRegistros[Data],$L126)&gt;$D$4,"",IFERROR(INDEX(tblRegistros[Status],$L126),"")))</f>
        <v/>
      </c>
      <c r="K126">
        <f>IF($L126="","",IF(INDEX(tblRegistros[Data],$L126)&gt;$D$4,"",IFERROR(INDEX(tblRegistros[Observação],$L126),"")))</f>
        <v/>
      </c>
      <c r="L126" s="16">
        <f>IFERROR(MATCH($B$3*100000+COUNTIFS(tblRegistros[ID],$B$3,tblRegistros[Data],"&lt;"&amp;$B$4)+ROWS($L$10:L126),tblRegistros[Chave do cartão],0),"")</f>
        <v/>
      </c>
    </row>
    <row r="127">
      <c r="A127" s="2">
        <f>IF($L127="","",IF(INDEX(tblRegistros[Data],$L127)&gt;$D$4,"",IFERROR(INDEX(tblRegistros[Data],$L127),"")))</f>
        <v/>
      </c>
      <c r="B127">
        <f>IF($L127="","",IF(INDEX(tblRegistros[Data],$L127)&gt;$D$4,"",IFERROR(INDEX(tblRegistros[Projeto],$L127),"")))</f>
        <v/>
      </c>
      <c r="C127">
        <f>IF($L127="","",IF(INDEX(tblRegistros[Data],$L127)&gt;$D$4,"",IFERROR(INDEX(tblRegistros[Atividade],$L127),"")))</f>
        <v/>
      </c>
      <c r="D127" s="4">
        <f>IF($L127="","",IF(INDEX(tblRegistros[Data],$L127)&gt;$D$4,"",IFERROR(INDEX(tblRegistros[Início],$L127),"")))</f>
        <v/>
      </c>
      <c r="E127" s="4">
        <f>IF($L127="","",IF(INDEX(tblRegistros[Data],$L127)&gt;$D$4,"",IFERROR(IF(INDEX(tblRegistros[Status],$L127)="EM ABERTO","",INDEX(tblRegistros[Fim],$L127)),"")))</f>
        <v/>
      </c>
      <c r="F127" s="14">
        <f>IF($L127="","",IF(INDEX(tblRegistros[Data],$L127)&gt;$D$4,"",IFERROR(IF(INDEX(tblRegistros[Status],$L127)="EM ABERTO","",INDEX(tblRegistros[Horas],$L127)),"")))</f>
        <v/>
      </c>
      <c r="G127">
        <f>IF($L127="","",IF(INDEX(tblRegistros[Data],$L127)&gt;$D$4,"",IFERROR(INDEX(tblRegistros[Base],$L127),"")))</f>
        <v/>
      </c>
      <c r="H127" s="3">
        <f>IF($L127="","",IF(INDEX(tblRegistros[Data],$L127)&gt;$D$4,"",IFERROR(INDEX(tblRegistros[Taxa aplicada],$L127),"")))</f>
        <v/>
      </c>
      <c r="I127" s="3">
        <f>IF($L127="","",IF(INDEX(tblRegistros[Data],$L127)&gt;$D$4,"",IFERROR(IF(INDEX(tblRegistros[Status],$L127)="EM ABERTO","",INDEX(tblRegistros[Valor],$L127)),"")))</f>
        <v/>
      </c>
      <c r="J127">
        <f>IF($L127="","",IF(INDEX(tblRegistros[Data],$L127)&gt;$D$4,"",IFERROR(INDEX(tblRegistros[Status],$L127),"")))</f>
        <v/>
      </c>
      <c r="K127">
        <f>IF($L127="","",IF(INDEX(tblRegistros[Data],$L127)&gt;$D$4,"",IFERROR(INDEX(tblRegistros[Observação],$L127),"")))</f>
        <v/>
      </c>
      <c r="L127" s="16">
        <f>IFERROR(MATCH($B$3*100000+COUNTIFS(tblRegistros[ID],$B$3,tblRegistros[Data],"&lt;"&amp;$B$4)+ROWS($L$10:L127),tblRegistros[Chave do cartão],0),"")</f>
        <v/>
      </c>
    </row>
    <row r="128">
      <c r="A128" s="2">
        <f>IF($L128="","",IF(INDEX(tblRegistros[Data],$L128)&gt;$D$4,"",IFERROR(INDEX(tblRegistros[Data],$L128),"")))</f>
        <v/>
      </c>
      <c r="B128">
        <f>IF($L128="","",IF(INDEX(tblRegistros[Data],$L128)&gt;$D$4,"",IFERROR(INDEX(tblRegistros[Projeto],$L128),"")))</f>
        <v/>
      </c>
      <c r="C128">
        <f>IF($L128="","",IF(INDEX(tblRegistros[Data],$L128)&gt;$D$4,"",IFERROR(INDEX(tblRegistros[Atividade],$L128),"")))</f>
        <v/>
      </c>
      <c r="D128" s="4">
        <f>IF($L128="","",IF(INDEX(tblRegistros[Data],$L128)&gt;$D$4,"",IFERROR(INDEX(tblRegistros[Início],$L128),"")))</f>
        <v/>
      </c>
      <c r="E128" s="4">
        <f>IF($L128="","",IF(INDEX(tblRegistros[Data],$L128)&gt;$D$4,"",IFERROR(IF(INDEX(tblRegistros[Status],$L128)="EM ABERTO","",INDEX(tblRegistros[Fim],$L128)),"")))</f>
        <v/>
      </c>
      <c r="F128" s="14">
        <f>IF($L128="","",IF(INDEX(tblRegistros[Data],$L128)&gt;$D$4,"",IFERROR(IF(INDEX(tblRegistros[Status],$L128)="EM ABERTO","",INDEX(tblRegistros[Horas],$L128)),"")))</f>
        <v/>
      </c>
      <c r="G128">
        <f>IF($L128="","",IF(INDEX(tblRegistros[Data],$L128)&gt;$D$4,"",IFERROR(INDEX(tblRegistros[Base],$L128),"")))</f>
        <v/>
      </c>
      <c r="H128" s="3">
        <f>IF($L128="","",IF(INDEX(tblRegistros[Data],$L128)&gt;$D$4,"",IFERROR(INDEX(tblRegistros[Taxa aplicada],$L128),"")))</f>
        <v/>
      </c>
      <c r="I128" s="3">
        <f>IF($L128="","",IF(INDEX(tblRegistros[Data],$L128)&gt;$D$4,"",IFERROR(IF(INDEX(tblRegistros[Status],$L128)="EM ABERTO","",INDEX(tblRegistros[Valor],$L128)),"")))</f>
        <v/>
      </c>
      <c r="J128">
        <f>IF($L128="","",IF(INDEX(tblRegistros[Data],$L128)&gt;$D$4,"",IFERROR(INDEX(tblRegistros[Status],$L128),"")))</f>
        <v/>
      </c>
      <c r="K128">
        <f>IF($L128="","",IF(INDEX(tblRegistros[Data],$L128)&gt;$D$4,"",IFERROR(INDEX(tblRegistros[Observação],$L128),"")))</f>
        <v/>
      </c>
      <c r="L128" s="16">
        <f>IFERROR(MATCH($B$3*100000+COUNTIFS(tblRegistros[ID],$B$3,tblRegistros[Data],"&lt;"&amp;$B$4)+ROWS($L$10:L128),tblRegistros[Chave do cartão],0),"")</f>
        <v/>
      </c>
    </row>
    <row r="129">
      <c r="A129" s="2">
        <f>IF($L129="","",IF(INDEX(tblRegistros[Data],$L129)&gt;$D$4,"",IFERROR(INDEX(tblRegistros[Data],$L129),"")))</f>
        <v/>
      </c>
      <c r="B129">
        <f>IF($L129="","",IF(INDEX(tblRegistros[Data],$L129)&gt;$D$4,"",IFERROR(INDEX(tblRegistros[Projeto],$L129),"")))</f>
        <v/>
      </c>
      <c r="C129">
        <f>IF($L129="","",IF(INDEX(tblRegistros[Data],$L129)&gt;$D$4,"",IFERROR(INDEX(tblRegistros[Atividade],$L129),"")))</f>
        <v/>
      </c>
      <c r="D129" s="4">
        <f>IF($L129="","",IF(INDEX(tblRegistros[Data],$L129)&gt;$D$4,"",IFERROR(INDEX(tblRegistros[Início],$L129),"")))</f>
        <v/>
      </c>
      <c r="E129" s="4">
        <f>IF($L129="","",IF(INDEX(tblRegistros[Data],$L129)&gt;$D$4,"",IFERROR(IF(INDEX(tblRegistros[Status],$L129)="EM ABERTO","",INDEX(tblRegistros[Fim],$L129)),"")))</f>
        <v/>
      </c>
      <c r="F129" s="14">
        <f>IF($L129="","",IF(INDEX(tblRegistros[Data],$L129)&gt;$D$4,"",IFERROR(IF(INDEX(tblRegistros[Status],$L129)="EM ABERTO","",INDEX(tblRegistros[Horas],$L129)),"")))</f>
        <v/>
      </c>
      <c r="G129">
        <f>IF($L129="","",IF(INDEX(tblRegistros[Data],$L129)&gt;$D$4,"",IFERROR(INDEX(tblRegistros[Base],$L129),"")))</f>
        <v/>
      </c>
      <c r="H129" s="3">
        <f>IF($L129="","",IF(INDEX(tblRegistros[Data],$L129)&gt;$D$4,"",IFERROR(INDEX(tblRegistros[Taxa aplicada],$L129),"")))</f>
        <v/>
      </c>
      <c r="I129" s="3">
        <f>IF($L129="","",IF(INDEX(tblRegistros[Data],$L129)&gt;$D$4,"",IFERROR(IF(INDEX(tblRegistros[Status],$L129)="EM ABERTO","",INDEX(tblRegistros[Valor],$L129)),"")))</f>
        <v/>
      </c>
      <c r="J129">
        <f>IF($L129="","",IF(INDEX(tblRegistros[Data],$L129)&gt;$D$4,"",IFERROR(INDEX(tblRegistros[Status],$L129),"")))</f>
        <v/>
      </c>
      <c r="K129">
        <f>IF($L129="","",IF(INDEX(tblRegistros[Data],$L129)&gt;$D$4,"",IFERROR(INDEX(tblRegistros[Observação],$L129),"")))</f>
        <v/>
      </c>
      <c r="L129" s="16">
        <f>IFERROR(MATCH($B$3*100000+COUNTIFS(tblRegistros[ID],$B$3,tblRegistros[Data],"&lt;"&amp;$B$4)+ROWS($L$10:L129),tblRegistros[Chave do cartão],0),"")</f>
        <v/>
      </c>
    </row>
    <row r="130">
      <c r="A130" s="2">
        <f>IF($L130="","",IF(INDEX(tblRegistros[Data],$L130)&gt;$D$4,"",IFERROR(INDEX(tblRegistros[Data],$L130),"")))</f>
        <v/>
      </c>
      <c r="B130">
        <f>IF($L130="","",IF(INDEX(tblRegistros[Data],$L130)&gt;$D$4,"",IFERROR(INDEX(tblRegistros[Projeto],$L130),"")))</f>
        <v/>
      </c>
      <c r="C130">
        <f>IF($L130="","",IF(INDEX(tblRegistros[Data],$L130)&gt;$D$4,"",IFERROR(INDEX(tblRegistros[Atividade],$L130),"")))</f>
        <v/>
      </c>
      <c r="D130" s="4">
        <f>IF($L130="","",IF(INDEX(tblRegistros[Data],$L130)&gt;$D$4,"",IFERROR(INDEX(tblRegistros[Início],$L130),"")))</f>
        <v/>
      </c>
      <c r="E130" s="4">
        <f>IF($L130="","",IF(INDEX(tblRegistros[Data],$L130)&gt;$D$4,"",IFERROR(IF(INDEX(tblRegistros[Status],$L130)="EM ABERTO","",INDEX(tblRegistros[Fim],$L130)),"")))</f>
        <v/>
      </c>
      <c r="F130" s="14">
        <f>IF($L130="","",IF(INDEX(tblRegistros[Data],$L130)&gt;$D$4,"",IFERROR(IF(INDEX(tblRegistros[Status],$L130)="EM ABERTO","",INDEX(tblRegistros[Horas],$L130)),"")))</f>
        <v/>
      </c>
      <c r="G130">
        <f>IF($L130="","",IF(INDEX(tblRegistros[Data],$L130)&gt;$D$4,"",IFERROR(INDEX(tblRegistros[Base],$L130),"")))</f>
        <v/>
      </c>
      <c r="H130" s="3">
        <f>IF($L130="","",IF(INDEX(tblRegistros[Data],$L130)&gt;$D$4,"",IFERROR(INDEX(tblRegistros[Taxa aplicada],$L130),"")))</f>
        <v/>
      </c>
      <c r="I130" s="3">
        <f>IF($L130="","",IF(INDEX(tblRegistros[Data],$L130)&gt;$D$4,"",IFERROR(IF(INDEX(tblRegistros[Status],$L130)="EM ABERTO","",INDEX(tblRegistros[Valor],$L130)),"")))</f>
        <v/>
      </c>
      <c r="J130">
        <f>IF($L130="","",IF(INDEX(tblRegistros[Data],$L130)&gt;$D$4,"",IFERROR(INDEX(tblRegistros[Status],$L130),"")))</f>
        <v/>
      </c>
      <c r="K130">
        <f>IF($L130="","",IF(INDEX(tblRegistros[Data],$L130)&gt;$D$4,"",IFERROR(INDEX(tblRegistros[Observação],$L130),"")))</f>
        <v/>
      </c>
      <c r="L130" s="16">
        <f>IFERROR(MATCH($B$3*100000+COUNTIFS(tblRegistros[ID],$B$3,tblRegistros[Data],"&lt;"&amp;$B$4)+ROWS($L$10:L130),tblRegistros[Chave do cartão],0),"")</f>
        <v/>
      </c>
    </row>
    <row r="131">
      <c r="A131" s="2">
        <f>IF($L131="","",IF(INDEX(tblRegistros[Data],$L131)&gt;$D$4,"",IFERROR(INDEX(tblRegistros[Data],$L131),"")))</f>
        <v/>
      </c>
      <c r="B131">
        <f>IF($L131="","",IF(INDEX(tblRegistros[Data],$L131)&gt;$D$4,"",IFERROR(INDEX(tblRegistros[Projeto],$L131),"")))</f>
        <v/>
      </c>
      <c r="C131">
        <f>IF($L131="","",IF(INDEX(tblRegistros[Data],$L131)&gt;$D$4,"",IFERROR(INDEX(tblRegistros[Atividade],$L131),"")))</f>
        <v/>
      </c>
      <c r="D131" s="4">
        <f>IF($L131="","",IF(INDEX(tblRegistros[Data],$L131)&gt;$D$4,"",IFERROR(INDEX(tblRegistros[Início],$L131),"")))</f>
        <v/>
      </c>
      <c r="E131" s="4">
        <f>IF($L131="","",IF(INDEX(tblRegistros[Data],$L131)&gt;$D$4,"",IFERROR(IF(INDEX(tblRegistros[Status],$L131)="EM ABERTO","",INDEX(tblRegistros[Fim],$L131)),"")))</f>
        <v/>
      </c>
      <c r="F131" s="14">
        <f>IF($L131="","",IF(INDEX(tblRegistros[Data],$L131)&gt;$D$4,"",IFERROR(IF(INDEX(tblRegistros[Status],$L131)="EM ABERTO","",INDEX(tblRegistros[Horas],$L131)),"")))</f>
        <v/>
      </c>
      <c r="G131">
        <f>IF($L131="","",IF(INDEX(tblRegistros[Data],$L131)&gt;$D$4,"",IFERROR(INDEX(tblRegistros[Base],$L131),"")))</f>
        <v/>
      </c>
      <c r="H131" s="3">
        <f>IF($L131="","",IF(INDEX(tblRegistros[Data],$L131)&gt;$D$4,"",IFERROR(INDEX(tblRegistros[Taxa aplicada],$L131),"")))</f>
        <v/>
      </c>
      <c r="I131" s="3">
        <f>IF($L131="","",IF(INDEX(tblRegistros[Data],$L131)&gt;$D$4,"",IFERROR(IF(INDEX(tblRegistros[Status],$L131)="EM ABERTO","",INDEX(tblRegistros[Valor],$L131)),"")))</f>
        <v/>
      </c>
      <c r="J131">
        <f>IF($L131="","",IF(INDEX(tblRegistros[Data],$L131)&gt;$D$4,"",IFERROR(INDEX(tblRegistros[Status],$L131),"")))</f>
        <v/>
      </c>
      <c r="K131">
        <f>IF($L131="","",IF(INDEX(tblRegistros[Data],$L131)&gt;$D$4,"",IFERROR(INDEX(tblRegistros[Observação],$L131),"")))</f>
        <v/>
      </c>
      <c r="L131" s="16">
        <f>IFERROR(MATCH($B$3*100000+COUNTIFS(tblRegistros[ID],$B$3,tblRegistros[Data],"&lt;"&amp;$B$4)+ROWS($L$10:L131),tblRegistros[Chave do cartão],0),"")</f>
        <v/>
      </c>
    </row>
    <row r="132">
      <c r="A132" s="2">
        <f>IF($L132="","",IF(INDEX(tblRegistros[Data],$L132)&gt;$D$4,"",IFERROR(INDEX(tblRegistros[Data],$L132),"")))</f>
        <v/>
      </c>
      <c r="B132">
        <f>IF($L132="","",IF(INDEX(tblRegistros[Data],$L132)&gt;$D$4,"",IFERROR(INDEX(tblRegistros[Projeto],$L132),"")))</f>
        <v/>
      </c>
      <c r="C132">
        <f>IF($L132="","",IF(INDEX(tblRegistros[Data],$L132)&gt;$D$4,"",IFERROR(INDEX(tblRegistros[Atividade],$L132),"")))</f>
        <v/>
      </c>
      <c r="D132" s="4">
        <f>IF($L132="","",IF(INDEX(tblRegistros[Data],$L132)&gt;$D$4,"",IFERROR(INDEX(tblRegistros[Início],$L132),"")))</f>
        <v/>
      </c>
      <c r="E132" s="4">
        <f>IF($L132="","",IF(INDEX(tblRegistros[Data],$L132)&gt;$D$4,"",IFERROR(IF(INDEX(tblRegistros[Status],$L132)="EM ABERTO","",INDEX(tblRegistros[Fim],$L132)),"")))</f>
        <v/>
      </c>
      <c r="F132" s="14">
        <f>IF($L132="","",IF(INDEX(tblRegistros[Data],$L132)&gt;$D$4,"",IFERROR(IF(INDEX(tblRegistros[Status],$L132)="EM ABERTO","",INDEX(tblRegistros[Horas],$L132)),"")))</f>
        <v/>
      </c>
      <c r="G132">
        <f>IF($L132="","",IF(INDEX(tblRegistros[Data],$L132)&gt;$D$4,"",IFERROR(INDEX(tblRegistros[Base],$L132),"")))</f>
        <v/>
      </c>
      <c r="H132" s="3">
        <f>IF($L132="","",IF(INDEX(tblRegistros[Data],$L132)&gt;$D$4,"",IFERROR(INDEX(tblRegistros[Taxa aplicada],$L132),"")))</f>
        <v/>
      </c>
      <c r="I132" s="3">
        <f>IF($L132="","",IF(INDEX(tblRegistros[Data],$L132)&gt;$D$4,"",IFERROR(IF(INDEX(tblRegistros[Status],$L132)="EM ABERTO","",INDEX(tblRegistros[Valor],$L132)),"")))</f>
        <v/>
      </c>
      <c r="J132">
        <f>IF($L132="","",IF(INDEX(tblRegistros[Data],$L132)&gt;$D$4,"",IFERROR(INDEX(tblRegistros[Status],$L132),"")))</f>
        <v/>
      </c>
      <c r="K132">
        <f>IF($L132="","",IF(INDEX(tblRegistros[Data],$L132)&gt;$D$4,"",IFERROR(INDEX(tblRegistros[Observação],$L132),"")))</f>
        <v/>
      </c>
      <c r="L132" s="16">
        <f>IFERROR(MATCH($B$3*100000+COUNTIFS(tblRegistros[ID],$B$3,tblRegistros[Data],"&lt;"&amp;$B$4)+ROWS($L$10:L132),tblRegistros[Chave do cartão],0),"")</f>
        <v/>
      </c>
    </row>
    <row r="133">
      <c r="A133" s="2">
        <f>IF($L133="","",IF(INDEX(tblRegistros[Data],$L133)&gt;$D$4,"",IFERROR(INDEX(tblRegistros[Data],$L133),"")))</f>
        <v/>
      </c>
      <c r="B133">
        <f>IF($L133="","",IF(INDEX(tblRegistros[Data],$L133)&gt;$D$4,"",IFERROR(INDEX(tblRegistros[Projeto],$L133),"")))</f>
        <v/>
      </c>
      <c r="C133">
        <f>IF($L133="","",IF(INDEX(tblRegistros[Data],$L133)&gt;$D$4,"",IFERROR(INDEX(tblRegistros[Atividade],$L133),"")))</f>
        <v/>
      </c>
      <c r="D133" s="4">
        <f>IF($L133="","",IF(INDEX(tblRegistros[Data],$L133)&gt;$D$4,"",IFERROR(INDEX(tblRegistros[Início],$L133),"")))</f>
        <v/>
      </c>
      <c r="E133" s="4">
        <f>IF($L133="","",IF(INDEX(tblRegistros[Data],$L133)&gt;$D$4,"",IFERROR(IF(INDEX(tblRegistros[Status],$L133)="EM ABERTO","",INDEX(tblRegistros[Fim],$L133)),"")))</f>
        <v/>
      </c>
      <c r="F133" s="14">
        <f>IF($L133="","",IF(INDEX(tblRegistros[Data],$L133)&gt;$D$4,"",IFERROR(IF(INDEX(tblRegistros[Status],$L133)="EM ABERTO","",INDEX(tblRegistros[Horas],$L133)),"")))</f>
        <v/>
      </c>
      <c r="G133">
        <f>IF($L133="","",IF(INDEX(tblRegistros[Data],$L133)&gt;$D$4,"",IFERROR(INDEX(tblRegistros[Base],$L133),"")))</f>
        <v/>
      </c>
      <c r="H133" s="3">
        <f>IF($L133="","",IF(INDEX(tblRegistros[Data],$L133)&gt;$D$4,"",IFERROR(INDEX(tblRegistros[Taxa aplicada],$L133),"")))</f>
        <v/>
      </c>
      <c r="I133" s="3">
        <f>IF($L133="","",IF(INDEX(tblRegistros[Data],$L133)&gt;$D$4,"",IFERROR(IF(INDEX(tblRegistros[Status],$L133)="EM ABERTO","",INDEX(tblRegistros[Valor],$L133)),"")))</f>
        <v/>
      </c>
      <c r="J133">
        <f>IF($L133="","",IF(INDEX(tblRegistros[Data],$L133)&gt;$D$4,"",IFERROR(INDEX(tblRegistros[Status],$L133),"")))</f>
        <v/>
      </c>
      <c r="K133">
        <f>IF($L133="","",IF(INDEX(tblRegistros[Data],$L133)&gt;$D$4,"",IFERROR(INDEX(tblRegistros[Observação],$L133),"")))</f>
        <v/>
      </c>
      <c r="L133" s="16">
        <f>IFERROR(MATCH($B$3*100000+COUNTIFS(tblRegistros[ID],$B$3,tblRegistros[Data],"&lt;"&amp;$B$4)+ROWS($L$10:L133),tblRegistros[Chave do cartão],0),"")</f>
        <v/>
      </c>
    </row>
    <row r="134">
      <c r="A134" s="2">
        <f>IF($L134="","",IF(INDEX(tblRegistros[Data],$L134)&gt;$D$4,"",IFERROR(INDEX(tblRegistros[Data],$L134),"")))</f>
        <v/>
      </c>
      <c r="B134">
        <f>IF($L134="","",IF(INDEX(tblRegistros[Data],$L134)&gt;$D$4,"",IFERROR(INDEX(tblRegistros[Projeto],$L134),"")))</f>
        <v/>
      </c>
      <c r="C134">
        <f>IF($L134="","",IF(INDEX(tblRegistros[Data],$L134)&gt;$D$4,"",IFERROR(INDEX(tblRegistros[Atividade],$L134),"")))</f>
        <v/>
      </c>
      <c r="D134" s="4">
        <f>IF($L134="","",IF(INDEX(tblRegistros[Data],$L134)&gt;$D$4,"",IFERROR(INDEX(tblRegistros[Início],$L134),"")))</f>
        <v/>
      </c>
      <c r="E134" s="4">
        <f>IF($L134="","",IF(INDEX(tblRegistros[Data],$L134)&gt;$D$4,"",IFERROR(IF(INDEX(tblRegistros[Status],$L134)="EM ABERTO","",INDEX(tblRegistros[Fim],$L134)),"")))</f>
        <v/>
      </c>
      <c r="F134" s="14">
        <f>IF($L134="","",IF(INDEX(tblRegistros[Data],$L134)&gt;$D$4,"",IFERROR(IF(INDEX(tblRegistros[Status],$L134)="EM ABERTO","",INDEX(tblRegistros[Horas],$L134)),"")))</f>
        <v/>
      </c>
      <c r="G134">
        <f>IF($L134="","",IF(INDEX(tblRegistros[Data],$L134)&gt;$D$4,"",IFERROR(INDEX(tblRegistros[Base],$L134),"")))</f>
        <v/>
      </c>
      <c r="H134" s="3">
        <f>IF($L134="","",IF(INDEX(tblRegistros[Data],$L134)&gt;$D$4,"",IFERROR(INDEX(tblRegistros[Taxa aplicada],$L134),"")))</f>
        <v/>
      </c>
      <c r="I134" s="3">
        <f>IF($L134="","",IF(INDEX(tblRegistros[Data],$L134)&gt;$D$4,"",IFERROR(IF(INDEX(tblRegistros[Status],$L134)="EM ABERTO","",INDEX(tblRegistros[Valor],$L134)),"")))</f>
        <v/>
      </c>
      <c r="J134">
        <f>IF($L134="","",IF(INDEX(tblRegistros[Data],$L134)&gt;$D$4,"",IFERROR(INDEX(tblRegistros[Status],$L134),"")))</f>
        <v/>
      </c>
      <c r="K134">
        <f>IF($L134="","",IF(INDEX(tblRegistros[Data],$L134)&gt;$D$4,"",IFERROR(INDEX(tblRegistros[Observação],$L134),"")))</f>
        <v/>
      </c>
      <c r="L134" s="16">
        <f>IFERROR(MATCH($B$3*100000+COUNTIFS(tblRegistros[ID],$B$3,tblRegistros[Data],"&lt;"&amp;$B$4)+ROWS($L$10:L134),tblRegistros[Chave do cartão],0),"")</f>
        <v/>
      </c>
    </row>
    <row r="135">
      <c r="A135" s="2">
        <f>IF($L135="","",IF(INDEX(tblRegistros[Data],$L135)&gt;$D$4,"",IFERROR(INDEX(tblRegistros[Data],$L135),"")))</f>
        <v/>
      </c>
      <c r="B135">
        <f>IF($L135="","",IF(INDEX(tblRegistros[Data],$L135)&gt;$D$4,"",IFERROR(INDEX(tblRegistros[Projeto],$L135),"")))</f>
        <v/>
      </c>
      <c r="C135">
        <f>IF($L135="","",IF(INDEX(tblRegistros[Data],$L135)&gt;$D$4,"",IFERROR(INDEX(tblRegistros[Atividade],$L135),"")))</f>
        <v/>
      </c>
      <c r="D135" s="4">
        <f>IF($L135="","",IF(INDEX(tblRegistros[Data],$L135)&gt;$D$4,"",IFERROR(INDEX(tblRegistros[Início],$L135),"")))</f>
        <v/>
      </c>
      <c r="E135" s="4">
        <f>IF($L135="","",IF(INDEX(tblRegistros[Data],$L135)&gt;$D$4,"",IFERROR(IF(INDEX(tblRegistros[Status],$L135)="EM ABERTO","",INDEX(tblRegistros[Fim],$L135)),"")))</f>
        <v/>
      </c>
      <c r="F135" s="14">
        <f>IF($L135="","",IF(INDEX(tblRegistros[Data],$L135)&gt;$D$4,"",IFERROR(IF(INDEX(tblRegistros[Status],$L135)="EM ABERTO","",INDEX(tblRegistros[Horas],$L135)),"")))</f>
        <v/>
      </c>
      <c r="G135">
        <f>IF($L135="","",IF(INDEX(tblRegistros[Data],$L135)&gt;$D$4,"",IFERROR(INDEX(tblRegistros[Base],$L135),"")))</f>
        <v/>
      </c>
      <c r="H135" s="3">
        <f>IF($L135="","",IF(INDEX(tblRegistros[Data],$L135)&gt;$D$4,"",IFERROR(INDEX(tblRegistros[Taxa aplicada],$L135),"")))</f>
        <v/>
      </c>
      <c r="I135" s="3">
        <f>IF($L135="","",IF(INDEX(tblRegistros[Data],$L135)&gt;$D$4,"",IFERROR(IF(INDEX(tblRegistros[Status],$L135)="EM ABERTO","",INDEX(tblRegistros[Valor],$L135)),"")))</f>
        <v/>
      </c>
      <c r="J135">
        <f>IF($L135="","",IF(INDEX(tblRegistros[Data],$L135)&gt;$D$4,"",IFERROR(INDEX(tblRegistros[Status],$L135),"")))</f>
        <v/>
      </c>
      <c r="K135">
        <f>IF($L135="","",IF(INDEX(tblRegistros[Data],$L135)&gt;$D$4,"",IFERROR(INDEX(tblRegistros[Observação],$L135),"")))</f>
        <v/>
      </c>
      <c r="L135" s="16">
        <f>IFERROR(MATCH($B$3*100000+COUNTIFS(tblRegistros[ID],$B$3,tblRegistros[Data],"&lt;"&amp;$B$4)+ROWS($L$10:L135),tblRegistros[Chave do cartão],0),"")</f>
        <v/>
      </c>
    </row>
    <row r="136">
      <c r="A136" s="2">
        <f>IF($L136="","",IF(INDEX(tblRegistros[Data],$L136)&gt;$D$4,"",IFERROR(INDEX(tblRegistros[Data],$L136),"")))</f>
        <v/>
      </c>
      <c r="B136">
        <f>IF($L136="","",IF(INDEX(tblRegistros[Data],$L136)&gt;$D$4,"",IFERROR(INDEX(tblRegistros[Projeto],$L136),"")))</f>
        <v/>
      </c>
      <c r="C136">
        <f>IF($L136="","",IF(INDEX(tblRegistros[Data],$L136)&gt;$D$4,"",IFERROR(INDEX(tblRegistros[Atividade],$L136),"")))</f>
        <v/>
      </c>
      <c r="D136" s="4">
        <f>IF($L136="","",IF(INDEX(tblRegistros[Data],$L136)&gt;$D$4,"",IFERROR(INDEX(tblRegistros[Início],$L136),"")))</f>
        <v/>
      </c>
      <c r="E136" s="4">
        <f>IF($L136="","",IF(INDEX(tblRegistros[Data],$L136)&gt;$D$4,"",IFERROR(IF(INDEX(tblRegistros[Status],$L136)="EM ABERTO","",INDEX(tblRegistros[Fim],$L136)),"")))</f>
        <v/>
      </c>
      <c r="F136" s="14">
        <f>IF($L136="","",IF(INDEX(tblRegistros[Data],$L136)&gt;$D$4,"",IFERROR(IF(INDEX(tblRegistros[Status],$L136)="EM ABERTO","",INDEX(tblRegistros[Horas],$L136)),"")))</f>
        <v/>
      </c>
      <c r="G136">
        <f>IF($L136="","",IF(INDEX(tblRegistros[Data],$L136)&gt;$D$4,"",IFERROR(INDEX(tblRegistros[Base],$L136),"")))</f>
        <v/>
      </c>
      <c r="H136" s="3">
        <f>IF($L136="","",IF(INDEX(tblRegistros[Data],$L136)&gt;$D$4,"",IFERROR(INDEX(tblRegistros[Taxa aplicada],$L136),"")))</f>
        <v/>
      </c>
      <c r="I136" s="3">
        <f>IF($L136="","",IF(INDEX(tblRegistros[Data],$L136)&gt;$D$4,"",IFERROR(IF(INDEX(tblRegistros[Status],$L136)="EM ABERTO","",INDEX(tblRegistros[Valor],$L136)),"")))</f>
        <v/>
      </c>
      <c r="J136">
        <f>IF($L136="","",IF(INDEX(tblRegistros[Data],$L136)&gt;$D$4,"",IFERROR(INDEX(tblRegistros[Status],$L136),"")))</f>
        <v/>
      </c>
      <c r="K136">
        <f>IF($L136="","",IF(INDEX(tblRegistros[Data],$L136)&gt;$D$4,"",IFERROR(INDEX(tblRegistros[Observação],$L136),"")))</f>
        <v/>
      </c>
      <c r="L136" s="16">
        <f>IFERROR(MATCH($B$3*100000+COUNTIFS(tblRegistros[ID],$B$3,tblRegistros[Data],"&lt;"&amp;$B$4)+ROWS($L$10:L136),tblRegistros[Chave do cartão],0),"")</f>
        <v/>
      </c>
    </row>
    <row r="137">
      <c r="A137" s="2">
        <f>IF($L137="","",IF(INDEX(tblRegistros[Data],$L137)&gt;$D$4,"",IFERROR(INDEX(tblRegistros[Data],$L137),"")))</f>
        <v/>
      </c>
      <c r="B137">
        <f>IF($L137="","",IF(INDEX(tblRegistros[Data],$L137)&gt;$D$4,"",IFERROR(INDEX(tblRegistros[Projeto],$L137),"")))</f>
        <v/>
      </c>
      <c r="C137">
        <f>IF($L137="","",IF(INDEX(tblRegistros[Data],$L137)&gt;$D$4,"",IFERROR(INDEX(tblRegistros[Atividade],$L137),"")))</f>
        <v/>
      </c>
      <c r="D137" s="4">
        <f>IF($L137="","",IF(INDEX(tblRegistros[Data],$L137)&gt;$D$4,"",IFERROR(INDEX(tblRegistros[Início],$L137),"")))</f>
        <v/>
      </c>
      <c r="E137" s="4">
        <f>IF($L137="","",IF(INDEX(tblRegistros[Data],$L137)&gt;$D$4,"",IFERROR(IF(INDEX(tblRegistros[Status],$L137)="EM ABERTO","",INDEX(tblRegistros[Fim],$L137)),"")))</f>
        <v/>
      </c>
      <c r="F137" s="14">
        <f>IF($L137="","",IF(INDEX(tblRegistros[Data],$L137)&gt;$D$4,"",IFERROR(IF(INDEX(tblRegistros[Status],$L137)="EM ABERTO","",INDEX(tblRegistros[Horas],$L137)),"")))</f>
        <v/>
      </c>
      <c r="G137">
        <f>IF($L137="","",IF(INDEX(tblRegistros[Data],$L137)&gt;$D$4,"",IFERROR(INDEX(tblRegistros[Base],$L137),"")))</f>
        <v/>
      </c>
      <c r="H137" s="3">
        <f>IF($L137="","",IF(INDEX(tblRegistros[Data],$L137)&gt;$D$4,"",IFERROR(INDEX(tblRegistros[Taxa aplicada],$L137),"")))</f>
        <v/>
      </c>
      <c r="I137" s="3">
        <f>IF($L137="","",IF(INDEX(tblRegistros[Data],$L137)&gt;$D$4,"",IFERROR(IF(INDEX(tblRegistros[Status],$L137)="EM ABERTO","",INDEX(tblRegistros[Valor],$L137)),"")))</f>
        <v/>
      </c>
      <c r="J137">
        <f>IF($L137="","",IF(INDEX(tblRegistros[Data],$L137)&gt;$D$4,"",IFERROR(INDEX(tblRegistros[Status],$L137),"")))</f>
        <v/>
      </c>
      <c r="K137">
        <f>IF($L137="","",IF(INDEX(tblRegistros[Data],$L137)&gt;$D$4,"",IFERROR(INDEX(tblRegistros[Observação],$L137),"")))</f>
        <v/>
      </c>
      <c r="L137" s="16">
        <f>IFERROR(MATCH($B$3*100000+COUNTIFS(tblRegistros[ID],$B$3,tblRegistros[Data],"&lt;"&amp;$B$4)+ROWS($L$10:L137),tblRegistros[Chave do cartão],0),"")</f>
        <v/>
      </c>
    </row>
    <row r="138">
      <c r="A138" s="2">
        <f>IF($L138="","",IF(INDEX(tblRegistros[Data],$L138)&gt;$D$4,"",IFERROR(INDEX(tblRegistros[Data],$L138),"")))</f>
        <v/>
      </c>
      <c r="B138">
        <f>IF($L138="","",IF(INDEX(tblRegistros[Data],$L138)&gt;$D$4,"",IFERROR(INDEX(tblRegistros[Projeto],$L138),"")))</f>
        <v/>
      </c>
      <c r="C138">
        <f>IF($L138="","",IF(INDEX(tblRegistros[Data],$L138)&gt;$D$4,"",IFERROR(INDEX(tblRegistros[Atividade],$L138),"")))</f>
        <v/>
      </c>
      <c r="D138" s="4">
        <f>IF($L138="","",IF(INDEX(tblRegistros[Data],$L138)&gt;$D$4,"",IFERROR(INDEX(tblRegistros[Início],$L138),"")))</f>
        <v/>
      </c>
      <c r="E138" s="4">
        <f>IF($L138="","",IF(INDEX(tblRegistros[Data],$L138)&gt;$D$4,"",IFERROR(IF(INDEX(tblRegistros[Status],$L138)="EM ABERTO","",INDEX(tblRegistros[Fim],$L138)),"")))</f>
        <v/>
      </c>
      <c r="F138" s="14">
        <f>IF($L138="","",IF(INDEX(tblRegistros[Data],$L138)&gt;$D$4,"",IFERROR(IF(INDEX(tblRegistros[Status],$L138)="EM ABERTO","",INDEX(tblRegistros[Horas],$L138)),"")))</f>
        <v/>
      </c>
      <c r="G138">
        <f>IF($L138="","",IF(INDEX(tblRegistros[Data],$L138)&gt;$D$4,"",IFERROR(INDEX(tblRegistros[Base],$L138),"")))</f>
        <v/>
      </c>
      <c r="H138" s="3">
        <f>IF($L138="","",IF(INDEX(tblRegistros[Data],$L138)&gt;$D$4,"",IFERROR(INDEX(tblRegistros[Taxa aplicada],$L138),"")))</f>
        <v/>
      </c>
      <c r="I138" s="3">
        <f>IF($L138="","",IF(INDEX(tblRegistros[Data],$L138)&gt;$D$4,"",IFERROR(IF(INDEX(tblRegistros[Status],$L138)="EM ABERTO","",INDEX(tblRegistros[Valor],$L138)),"")))</f>
        <v/>
      </c>
      <c r="J138">
        <f>IF($L138="","",IF(INDEX(tblRegistros[Data],$L138)&gt;$D$4,"",IFERROR(INDEX(tblRegistros[Status],$L138),"")))</f>
        <v/>
      </c>
      <c r="K138">
        <f>IF($L138="","",IF(INDEX(tblRegistros[Data],$L138)&gt;$D$4,"",IFERROR(INDEX(tblRegistros[Observação],$L138),"")))</f>
        <v/>
      </c>
      <c r="L138" s="16">
        <f>IFERROR(MATCH($B$3*100000+COUNTIFS(tblRegistros[ID],$B$3,tblRegistros[Data],"&lt;"&amp;$B$4)+ROWS($L$10:L138),tblRegistros[Chave do cartão],0),"")</f>
        <v/>
      </c>
    </row>
    <row r="139">
      <c r="A139" s="2">
        <f>IF($L139="","",IF(INDEX(tblRegistros[Data],$L139)&gt;$D$4,"",IFERROR(INDEX(tblRegistros[Data],$L139),"")))</f>
        <v/>
      </c>
      <c r="B139">
        <f>IF($L139="","",IF(INDEX(tblRegistros[Data],$L139)&gt;$D$4,"",IFERROR(INDEX(tblRegistros[Projeto],$L139),"")))</f>
        <v/>
      </c>
      <c r="C139">
        <f>IF($L139="","",IF(INDEX(tblRegistros[Data],$L139)&gt;$D$4,"",IFERROR(INDEX(tblRegistros[Atividade],$L139),"")))</f>
        <v/>
      </c>
      <c r="D139" s="4">
        <f>IF($L139="","",IF(INDEX(tblRegistros[Data],$L139)&gt;$D$4,"",IFERROR(INDEX(tblRegistros[Início],$L139),"")))</f>
        <v/>
      </c>
      <c r="E139" s="4">
        <f>IF($L139="","",IF(INDEX(tblRegistros[Data],$L139)&gt;$D$4,"",IFERROR(IF(INDEX(tblRegistros[Status],$L139)="EM ABERTO","",INDEX(tblRegistros[Fim],$L139)),"")))</f>
        <v/>
      </c>
      <c r="F139" s="14">
        <f>IF($L139="","",IF(INDEX(tblRegistros[Data],$L139)&gt;$D$4,"",IFERROR(IF(INDEX(tblRegistros[Status],$L139)="EM ABERTO","",INDEX(tblRegistros[Horas],$L139)),"")))</f>
        <v/>
      </c>
      <c r="G139">
        <f>IF($L139="","",IF(INDEX(tblRegistros[Data],$L139)&gt;$D$4,"",IFERROR(INDEX(tblRegistros[Base],$L139),"")))</f>
        <v/>
      </c>
      <c r="H139" s="3">
        <f>IF($L139="","",IF(INDEX(tblRegistros[Data],$L139)&gt;$D$4,"",IFERROR(INDEX(tblRegistros[Taxa aplicada],$L139),"")))</f>
        <v/>
      </c>
      <c r="I139" s="3">
        <f>IF($L139="","",IF(INDEX(tblRegistros[Data],$L139)&gt;$D$4,"",IFERROR(IF(INDEX(tblRegistros[Status],$L139)="EM ABERTO","",INDEX(tblRegistros[Valor],$L139)),"")))</f>
        <v/>
      </c>
      <c r="J139">
        <f>IF($L139="","",IF(INDEX(tblRegistros[Data],$L139)&gt;$D$4,"",IFERROR(INDEX(tblRegistros[Status],$L139),"")))</f>
        <v/>
      </c>
      <c r="K139">
        <f>IF($L139="","",IF(INDEX(tblRegistros[Data],$L139)&gt;$D$4,"",IFERROR(INDEX(tblRegistros[Observação],$L139),"")))</f>
        <v/>
      </c>
      <c r="L139" s="16">
        <f>IFERROR(MATCH($B$3*100000+COUNTIFS(tblRegistros[ID],$B$3,tblRegistros[Data],"&lt;"&amp;$B$4)+ROWS($L$10:L139),tblRegistros[Chave do cartão],0),"")</f>
        <v/>
      </c>
    </row>
    <row r="140">
      <c r="A140" s="2">
        <f>IF($L140="","",IF(INDEX(tblRegistros[Data],$L140)&gt;$D$4,"",IFERROR(INDEX(tblRegistros[Data],$L140),"")))</f>
        <v/>
      </c>
      <c r="B140">
        <f>IF($L140="","",IF(INDEX(tblRegistros[Data],$L140)&gt;$D$4,"",IFERROR(INDEX(tblRegistros[Projeto],$L140),"")))</f>
        <v/>
      </c>
      <c r="C140">
        <f>IF($L140="","",IF(INDEX(tblRegistros[Data],$L140)&gt;$D$4,"",IFERROR(INDEX(tblRegistros[Atividade],$L140),"")))</f>
        <v/>
      </c>
      <c r="D140" s="4">
        <f>IF($L140="","",IF(INDEX(tblRegistros[Data],$L140)&gt;$D$4,"",IFERROR(INDEX(tblRegistros[Início],$L140),"")))</f>
        <v/>
      </c>
      <c r="E140" s="4">
        <f>IF($L140="","",IF(INDEX(tblRegistros[Data],$L140)&gt;$D$4,"",IFERROR(IF(INDEX(tblRegistros[Status],$L140)="EM ABERTO","",INDEX(tblRegistros[Fim],$L140)),"")))</f>
        <v/>
      </c>
      <c r="F140" s="14">
        <f>IF($L140="","",IF(INDEX(tblRegistros[Data],$L140)&gt;$D$4,"",IFERROR(IF(INDEX(tblRegistros[Status],$L140)="EM ABERTO","",INDEX(tblRegistros[Horas],$L140)),"")))</f>
        <v/>
      </c>
      <c r="G140">
        <f>IF($L140="","",IF(INDEX(tblRegistros[Data],$L140)&gt;$D$4,"",IFERROR(INDEX(tblRegistros[Base],$L140),"")))</f>
        <v/>
      </c>
      <c r="H140" s="3">
        <f>IF($L140="","",IF(INDEX(tblRegistros[Data],$L140)&gt;$D$4,"",IFERROR(INDEX(tblRegistros[Taxa aplicada],$L140),"")))</f>
        <v/>
      </c>
      <c r="I140" s="3">
        <f>IF($L140="","",IF(INDEX(tblRegistros[Data],$L140)&gt;$D$4,"",IFERROR(IF(INDEX(tblRegistros[Status],$L140)="EM ABERTO","",INDEX(tblRegistros[Valor],$L140)),"")))</f>
        <v/>
      </c>
      <c r="J140">
        <f>IF($L140="","",IF(INDEX(tblRegistros[Data],$L140)&gt;$D$4,"",IFERROR(INDEX(tblRegistros[Status],$L140),"")))</f>
        <v/>
      </c>
      <c r="K140">
        <f>IF($L140="","",IF(INDEX(tblRegistros[Data],$L140)&gt;$D$4,"",IFERROR(INDEX(tblRegistros[Observação],$L140),"")))</f>
        <v/>
      </c>
      <c r="L140" s="16">
        <f>IFERROR(MATCH($B$3*100000+COUNTIFS(tblRegistros[ID],$B$3,tblRegistros[Data],"&lt;"&amp;$B$4)+ROWS($L$10:L140),tblRegistros[Chave do cartão],0),"")</f>
        <v/>
      </c>
    </row>
    <row r="141">
      <c r="A141" s="2">
        <f>IF($L141="","",IF(INDEX(tblRegistros[Data],$L141)&gt;$D$4,"",IFERROR(INDEX(tblRegistros[Data],$L141),"")))</f>
        <v/>
      </c>
      <c r="B141">
        <f>IF($L141="","",IF(INDEX(tblRegistros[Data],$L141)&gt;$D$4,"",IFERROR(INDEX(tblRegistros[Projeto],$L141),"")))</f>
        <v/>
      </c>
      <c r="C141">
        <f>IF($L141="","",IF(INDEX(tblRegistros[Data],$L141)&gt;$D$4,"",IFERROR(INDEX(tblRegistros[Atividade],$L141),"")))</f>
        <v/>
      </c>
      <c r="D141" s="4">
        <f>IF($L141="","",IF(INDEX(tblRegistros[Data],$L141)&gt;$D$4,"",IFERROR(INDEX(tblRegistros[Início],$L141),"")))</f>
        <v/>
      </c>
      <c r="E141" s="4">
        <f>IF($L141="","",IF(INDEX(tblRegistros[Data],$L141)&gt;$D$4,"",IFERROR(IF(INDEX(tblRegistros[Status],$L141)="EM ABERTO","",INDEX(tblRegistros[Fim],$L141)),"")))</f>
        <v/>
      </c>
      <c r="F141" s="14">
        <f>IF($L141="","",IF(INDEX(tblRegistros[Data],$L141)&gt;$D$4,"",IFERROR(IF(INDEX(tblRegistros[Status],$L141)="EM ABERTO","",INDEX(tblRegistros[Horas],$L141)),"")))</f>
        <v/>
      </c>
      <c r="G141">
        <f>IF($L141="","",IF(INDEX(tblRegistros[Data],$L141)&gt;$D$4,"",IFERROR(INDEX(tblRegistros[Base],$L141),"")))</f>
        <v/>
      </c>
      <c r="H141" s="3">
        <f>IF($L141="","",IF(INDEX(tblRegistros[Data],$L141)&gt;$D$4,"",IFERROR(INDEX(tblRegistros[Taxa aplicada],$L141),"")))</f>
        <v/>
      </c>
      <c r="I141" s="3">
        <f>IF($L141="","",IF(INDEX(tblRegistros[Data],$L141)&gt;$D$4,"",IFERROR(IF(INDEX(tblRegistros[Status],$L141)="EM ABERTO","",INDEX(tblRegistros[Valor],$L141)),"")))</f>
        <v/>
      </c>
      <c r="J141">
        <f>IF($L141="","",IF(INDEX(tblRegistros[Data],$L141)&gt;$D$4,"",IFERROR(INDEX(tblRegistros[Status],$L141),"")))</f>
        <v/>
      </c>
      <c r="K141">
        <f>IF($L141="","",IF(INDEX(tblRegistros[Data],$L141)&gt;$D$4,"",IFERROR(INDEX(tblRegistros[Observação],$L141),"")))</f>
        <v/>
      </c>
      <c r="L141" s="16">
        <f>IFERROR(MATCH($B$3*100000+COUNTIFS(tblRegistros[ID],$B$3,tblRegistros[Data],"&lt;"&amp;$B$4)+ROWS($L$10:L141),tblRegistros[Chave do cartão],0),"")</f>
        <v/>
      </c>
    </row>
    <row r="142">
      <c r="A142" s="2">
        <f>IF($L142="","",IF(INDEX(tblRegistros[Data],$L142)&gt;$D$4,"",IFERROR(INDEX(tblRegistros[Data],$L142),"")))</f>
        <v/>
      </c>
      <c r="B142">
        <f>IF($L142="","",IF(INDEX(tblRegistros[Data],$L142)&gt;$D$4,"",IFERROR(INDEX(tblRegistros[Projeto],$L142),"")))</f>
        <v/>
      </c>
      <c r="C142">
        <f>IF($L142="","",IF(INDEX(tblRegistros[Data],$L142)&gt;$D$4,"",IFERROR(INDEX(tblRegistros[Atividade],$L142),"")))</f>
        <v/>
      </c>
      <c r="D142" s="4">
        <f>IF($L142="","",IF(INDEX(tblRegistros[Data],$L142)&gt;$D$4,"",IFERROR(INDEX(tblRegistros[Início],$L142),"")))</f>
        <v/>
      </c>
      <c r="E142" s="4">
        <f>IF($L142="","",IF(INDEX(tblRegistros[Data],$L142)&gt;$D$4,"",IFERROR(IF(INDEX(tblRegistros[Status],$L142)="EM ABERTO","",INDEX(tblRegistros[Fim],$L142)),"")))</f>
        <v/>
      </c>
      <c r="F142" s="14">
        <f>IF($L142="","",IF(INDEX(tblRegistros[Data],$L142)&gt;$D$4,"",IFERROR(IF(INDEX(tblRegistros[Status],$L142)="EM ABERTO","",INDEX(tblRegistros[Horas],$L142)),"")))</f>
        <v/>
      </c>
      <c r="G142">
        <f>IF($L142="","",IF(INDEX(tblRegistros[Data],$L142)&gt;$D$4,"",IFERROR(INDEX(tblRegistros[Base],$L142),"")))</f>
        <v/>
      </c>
      <c r="H142" s="3">
        <f>IF($L142="","",IF(INDEX(tblRegistros[Data],$L142)&gt;$D$4,"",IFERROR(INDEX(tblRegistros[Taxa aplicada],$L142),"")))</f>
        <v/>
      </c>
      <c r="I142" s="3">
        <f>IF($L142="","",IF(INDEX(tblRegistros[Data],$L142)&gt;$D$4,"",IFERROR(IF(INDEX(tblRegistros[Status],$L142)="EM ABERTO","",INDEX(tblRegistros[Valor],$L142)),"")))</f>
        <v/>
      </c>
      <c r="J142">
        <f>IF($L142="","",IF(INDEX(tblRegistros[Data],$L142)&gt;$D$4,"",IFERROR(INDEX(tblRegistros[Status],$L142),"")))</f>
        <v/>
      </c>
      <c r="K142">
        <f>IF($L142="","",IF(INDEX(tblRegistros[Data],$L142)&gt;$D$4,"",IFERROR(INDEX(tblRegistros[Observação],$L142),"")))</f>
        <v/>
      </c>
      <c r="L142" s="16">
        <f>IFERROR(MATCH($B$3*100000+COUNTIFS(tblRegistros[ID],$B$3,tblRegistros[Data],"&lt;"&amp;$B$4)+ROWS($L$10:L142),tblRegistros[Chave do cartão],0),"")</f>
        <v/>
      </c>
    </row>
    <row r="143">
      <c r="A143" s="2">
        <f>IF($L143="","",IF(INDEX(tblRegistros[Data],$L143)&gt;$D$4,"",IFERROR(INDEX(tblRegistros[Data],$L143),"")))</f>
        <v/>
      </c>
      <c r="B143">
        <f>IF($L143="","",IF(INDEX(tblRegistros[Data],$L143)&gt;$D$4,"",IFERROR(INDEX(tblRegistros[Projeto],$L143),"")))</f>
        <v/>
      </c>
      <c r="C143">
        <f>IF($L143="","",IF(INDEX(tblRegistros[Data],$L143)&gt;$D$4,"",IFERROR(INDEX(tblRegistros[Atividade],$L143),"")))</f>
        <v/>
      </c>
      <c r="D143" s="4">
        <f>IF($L143="","",IF(INDEX(tblRegistros[Data],$L143)&gt;$D$4,"",IFERROR(INDEX(tblRegistros[Início],$L143),"")))</f>
        <v/>
      </c>
      <c r="E143" s="4">
        <f>IF($L143="","",IF(INDEX(tblRegistros[Data],$L143)&gt;$D$4,"",IFERROR(IF(INDEX(tblRegistros[Status],$L143)="EM ABERTO","",INDEX(tblRegistros[Fim],$L143)),"")))</f>
        <v/>
      </c>
      <c r="F143" s="14">
        <f>IF($L143="","",IF(INDEX(tblRegistros[Data],$L143)&gt;$D$4,"",IFERROR(IF(INDEX(tblRegistros[Status],$L143)="EM ABERTO","",INDEX(tblRegistros[Horas],$L143)),"")))</f>
        <v/>
      </c>
      <c r="G143">
        <f>IF($L143="","",IF(INDEX(tblRegistros[Data],$L143)&gt;$D$4,"",IFERROR(INDEX(tblRegistros[Base],$L143),"")))</f>
        <v/>
      </c>
      <c r="H143" s="3">
        <f>IF($L143="","",IF(INDEX(tblRegistros[Data],$L143)&gt;$D$4,"",IFERROR(INDEX(tblRegistros[Taxa aplicada],$L143),"")))</f>
        <v/>
      </c>
      <c r="I143" s="3">
        <f>IF($L143="","",IF(INDEX(tblRegistros[Data],$L143)&gt;$D$4,"",IFERROR(IF(INDEX(tblRegistros[Status],$L143)="EM ABERTO","",INDEX(tblRegistros[Valor],$L143)),"")))</f>
        <v/>
      </c>
      <c r="J143">
        <f>IF($L143="","",IF(INDEX(tblRegistros[Data],$L143)&gt;$D$4,"",IFERROR(INDEX(tblRegistros[Status],$L143),"")))</f>
        <v/>
      </c>
      <c r="K143">
        <f>IF($L143="","",IF(INDEX(tblRegistros[Data],$L143)&gt;$D$4,"",IFERROR(INDEX(tblRegistros[Observação],$L143),"")))</f>
        <v/>
      </c>
      <c r="L143" s="16">
        <f>IFERROR(MATCH($B$3*100000+COUNTIFS(tblRegistros[ID],$B$3,tblRegistros[Data],"&lt;"&amp;$B$4)+ROWS($L$10:L143),tblRegistros[Chave do cartão],0),"")</f>
        <v/>
      </c>
    </row>
    <row r="144">
      <c r="A144" s="2">
        <f>IF($L144="","",IF(INDEX(tblRegistros[Data],$L144)&gt;$D$4,"",IFERROR(INDEX(tblRegistros[Data],$L144),"")))</f>
        <v/>
      </c>
      <c r="B144">
        <f>IF($L144="","",IF(INDEX(tblRegistros[Data],$L144)&gt;$D$4,"",IFERROR(INDEX(tblRegistros[Projeto],$L144),"")))</f>
        <v/>
      </c>
      <c r="C144">
        <f>IF($L144="","",IF(INDEX(tblRegistros[Data],$L144)&gt;$D$4,"",IFERROR(INDEX(tblRegistros[Atividade],$L144),"")))</f>
        <v/>
      </c>
      <c r="D144" s="4">
        <f>IF($L144="","",IF(INDEX(tblRegistros[Data],$L144)&gt;$D$4,"",IFERROR(INDEX(tblRegistros[Início],$L144),"")))</f>
        <v/>
      </c>
      <c r="E144" s="4">
        <f>IF($L144="","",IF(INDEX(tblRegistros[Data],$L144)&gt;$D$4,"",IFERROR(IF(INDEX(tblRegistros[Status],$L144)="EM ABERTO","",INDEX(tblRegistros[Fim],$L144)),"")))</f>
        <v/>
      </c>
      <c r="F144" s="14">
        <f>IF($L144="","",IF(INDEX(tblRegistros[Data],$L144)&gt;$D$4,"",IFERROR(IF(INDEX(tblRegistros[Status],$L144)="EM ABERTO","",INDEX(tblRegistros[Horas],$L144)),"")))</f>
        <v/>
      </c>
      <c r="G144">
        <f>IF($L144="","",IF(INDEX(tblRegistros[Data],$L144)&gt;$D$4,"",IFERROR(INDEX(tblRegistros[Base],$L144),"")))</f>
        <v/>
      </c>
      <c r="H144" s="3">
        <f>IF($L144="","",IF(INDEX(tblRegistros[Data],$L144)&gt;$D$4,"",IFERROR(INDEX(tblRegistros[Taxa aplicada],$L144),"")))</f>
        <v/>
      </c>
      <c r="I144" s="3">
        <f>IF($L144="","",IF(INDEX(tblRegistros[Data],$L144)&gt;$D$4,"",IFERROR(IF(INDEX(tblRegistros[Status],$L144)="EM ABERTO","",INDEX(tblRegistros[Valor],$L144)),"")))</f>
        <v/>
      </c>
      <c r="J144">
        <f>IF($L144="","",IF(INDEX(tblRegistros[Data],$L144)&gt;$D$4,"",IFERROR(INDEX(tblRegistros[Status],$L144),"")))</f>
        <v/>
      </c>
      <c r="K144">
        <f>IF($L144="","",IF(INDEX(tblRegistros[Data],$L144)&gt;$D$4,"",IFERROR(INDEX(tblRegistros[Observação],$L144),"")))</f>
        <v/>
      </c>
      <c r="L144" s="16">
        <f>IFERROR(MATCH($B$3*100000+COUNTIFS(tblRegistros[ID],$B$3,tblRegistros[Data],"&lt;"&amp;$B$4)+ROWS($L$10:L144),tblRegistros[Chave do cartão],0),"")</f>
        <v/>
      </c>
    </row>
    <row r="145">
      <c r="A145" s="2">
        <f>IF($L145="","",IF(INDEX(tblRegistros[Data],$L145)&gt;$D$4,"",IFERROR(INDEX(tblRegistros[Data],$L145),"")))</f>
        <v/>
      </c>
      <c r="B145">
        <f>IF($L145="","",IF(INDEX(tblRegistros[Data],$L145)&gt;$D$4,"",IFERROR(INDEX(tblRegistros[Projeto],$L145),"")))</f>
        <v/>
      </c>
      <c r="C145">
        <f>IF($L145="","",IF(INDEX(tblRegistros[Data],$L145)&gt;$D$4,"",IFERROR(INDEX(tblRegistros[Atividade],$L145),"")))</f>
        <v/>
      </c>
      <c r="D145" s="4">
        <f>IF($L145="","",IF(INDEX(tblRegistros[Data],$L145)&gt;$D$4,"",IFERROR(INDEX(tblRegistros[Início],$L145),"")))</f>
        <v/>
      </c>
      <c r="E145" s="4">
        <f>IF($L145="","",IF(INDEX(tblRegistros[Data],$L145)&gt;$D$4,"",IFERROR(IF(INDEX(tblRegistros[Status],$L145)="EM ABERTO","",INDEX(tblRegistros[Fim],$L145)),"")))</f>
        <v/>
      </c>
      <c r="F145" s="14">
        <f>IF($L145="","",IF(INDEX(tblRegistros[Data],$L145)&gt;$D$4,"",IFERROR(IF(INDEX(tblRegistros[Status],$L145)="EM ABERTO","",INDEX(tblRegistros[Horas],$L145)),"")))</f>
        <v/>
      </c>
      <c r="G145">
        <f>IF($L145="","",IF(INDEX(tblRegistros[Data],$L145)&gt;$D$4,"",IFERROR(INDEX(tblRegistros[Base],$L145),"")))</f>
        <v/>
      </c>
      <c r="H145" s="3">
        <f>IF($L145="","",IF(INDEX(tblRegistros[Data],$L145)&gt;$D$4,"",IFERROR(INDEX(tblRegistros[Taxa aplicada],$L145),"")))</f>
        <v/>
      </c>
      <c r="I145" s="3">
        <f>IF($L145="","",IF(INDEX(tblRegistros[Data],$L145)&gt;$D$4,"",IFERROR(IF(INDEX(tblRegistros[Status],$L145)="EM ABERTO","",INDEX(tblRegistros[Valor],$L145)),"")))</f>
        <v/>
      </c>
      <c r="J145">
        <f>IF($L145="","",IF(INDEX(tblRegistros[Data],$L145)&gt;$D$4,"",IFERROR(INDEX(tblRegistros[Status],$L145),"")))</f>
        <v/>
      </c>
      <c r="K145">
        <f>IF($L145="","",IF(INDEX(tblRegistros[Data],$L145)&gt;$D$4,"",IFERROR(INDEX(tblRegistros[Observação],$L145),"")))</f>
        <v/>
      </c>
      <c r="L145" s="16">
        <f>IFERROR(MATCH($B$3*100000+COUNTIFS(tblRegistros[ID],$B$3,tblRegistros[Data],"&lt;"&amp;$B$4)+ROWS($L$10:L145),tblRegistros[Chave do cartão],0),"")</f>
        <v/>
      </c>
    </row>
    <row r="146">
      <c r="A146" s="2">
        <f>IF($L146="","",IF(INDEX(tblRegistros[Data],$L146)&gt;$D$4,"",IFERROR(INDEX(tblRegistros[Data],$L146),"")))</f>
        <v/>
      </c>
      <c r="B146">
        <f>IF($L146="","",IF(INDEX(tblRegistros[Data],$L146)&gt;$D$4,"",IFERROR(INDEX(tblRegistros[Projeto],$L146),"")))</f>
        <v/>
      </c>
      <c r="C146">
        <f>IF($L146="","",IF(INDEX(tblRegistros[Data],$L146)&gt;$D$4,"",IFERROR(INDEX(tblRegistros[Atividade],$L146),"")))</f>
        <v/>
      </c>
      <c r="D146" s="4">
        <f>IF($L146="","",IF(INDEX(tblRegistros[Data],$L146)&gt;$D$4,"",IFERROR(INDEX(tblRegistros[Início],$L146),"")))</f>
        <v/>
      </c>
      <c r="E146" s="4">
        <f>IF($L146="","",IF(INDEX(tblRegistros[Data],$L146)&gt;$D$4,"",IFERROR(IF(INDEX(tblRegistros[Status],$L146)="EM ABERTO","",INDEX(tblRegistros[Fim],$L146)),"")))</f>
        <v/>
      </c>
      <c r="F146" s="14">
        <f>IF($L146="","",IF(INDEX(tblRegistros[Data],$L146)&gt;$D$4,"",IFERROR(IF(INDEX(tblRegistros[Status],$L146)="EM ABERTO","",INDEX(tblRegistros[Horas],$L146)),"")))</f>
        <v/>
      </c>
      <c r="G146">
        <f>IF($L146="","",IF(INDEX(tblRegistros[Data],$L146)&gt;$D$4,"",IFERROR(INDEX(tblRegistros[Base],$L146),"")))</f>
        <v/>
      </c>
      <c r="H146" s="3">
        <f>IF($L146="","",IF(INDEX(tblRegistros[Data],$L146)&gt;$D$4,"",IFERROR(INDEX(tblRegistros[Taxa aplicada],$L146),"")))</f>
        <v/>
      </c>
      <c r="I146" s="3">
        <f>IF($L146="","",IF(INDEX(tblRegistros[Data],$L146)&gt;$D$4,"",IFERROR(IF(INDEX(tblRegistros[Status],$L146)="EM ABERTO","",INDEX(tblRegistros[Valor],$L146)),"")))</f>
        <v/>
      </c>
      <c r="J146">
        <f>IF($L146="","",IF(INDEX(tblRegistros[Data],$L146)&gt;$D$4,"",IFERROR(INDEX(tblRegistros[Status],$L146),"")))</f>
        <v/>
      </c>
      <c r="K146">
        <f>IF($L146="","",IF(INDEX(tblRegistros[Data],$L146)&gt;$D$4,"",IFERROR(INDEX(tblRegistros[Observação],$L146),"")))</f>
        <v/>
      </c>
      <c r="L146" s="16">
        <f>IFERROR(MATCH($B$3*100000+COUNTIFS(tblRegistros[ID],$B$3,tblRegistros[Data],"&lt;"&amp;$B$4)+ROWS($L$10:L146),tblRegistros[Chave do cartão],0),"")</f>
        <v/>
      </c>
    </row>
    <row r="147">
      <c r="A147" s="2">
        <f>IF($L147="","",IF(INDEX(tblRegistros[Data],$L147)&gt;$D$4,"",IFERROR(INDEX(tblRegistros[Data],$L147),"")))</f>
        <v/>
      </c>
      <c r="B147">
        <f>IF($L147="","",IF(INDEX(tblRegistros[Data],$L147)&gt;$D$4,"",IFERROR(INDEX(tblRegistros[Projeto],$L147),"")))</f>
        <v/>
      </c>
      <c r="C147">
        <f>IF($L147="","",IF(INDEX(tblRegistros[Data],$L147)&gt;$D$4,"",IFERROR(INDEX(tblRegistros[Atividade],$L147),"")))</f>
        <v/>
      </c>
      <c r="D147" s="4">
        <f>IF($L147="","",IF(INDEX(tblRegistros[Data],$L147)&gt;$D$4,"",IFERROR(INDEX(tblRegistros[Início],$L147),"")))</f>
        <v/>
      </c>
      <c r="E147" s="4">
        <f>IF($L147="","",IF(INDEX(tblRegistros[Data],$L147)&gt;$D$4,"",IFERROR(IF(INDEX(tblRegistros[Status],$L147)="EM ABERTO","",INDEX(tblRegistros[Fim],$L147)),"")))</f>
        <v/>
      </c>
      <c r="F147" s="14">
        <f>IF($L147="","",IF(INDEX(tblRegistros[Data],$L147)&gt;$D$4,"",IFERROR(IF(INDEX(tblRegistros[Status],$L147)="EM ABERTO","",INDEX(tblRegistros[Horas],$L147)),"")))</f>
        <v/>
      </c>
      <c r="G147">
        <f>IF($L147="","",IF(INDEX(tblRegistros[Data],$L147)&gt;$D$4,"",IFERROR(INDEX(tblRegistros[Base],$L147),"")))</f>
        <v/>
      </c>
      <c r="H147" s="3">
        <f>IF($L147="","",IF(INDEX(tblRegistros[Data],$L147)&gt;$D$4,"",IFERROR(INDEX(tblRegistros[Taxa aplicada],$L147),"")))</f>
        <v/>
      </c>
      <c r="I147" s="3">
        <f>IF($L147="","",IF(INDEX(tblRegistros[Data],$L147)&gt;$D$4,"",IFERROR(IF(INDEX(tblRegistros[Status],$L147)="EM ABERTO","",INDEX(tblRegistros[Valor],$L147)),"")))</f>
        <v/>
      </c>
      <c r="J147">
        <f>IF($L147="","",IF(INDEX(tblRegistros[Data],$L147)&gt;$D$4,"",IFERROR(INDEX(tblRegistros[Status],$L147),"")))</f>
        <v/>
      </c>
      <c r="K147">
        <f>IF($L147="","",IF(INDEX(tblRegistros[Data],$L147)&gt;$D$4,"",IFERROR(INDEX(tblRegistros[Observação],$L147),"")))</f>
        <v/>
      </c>
      <c r="L147" s="16">
        <f>IFERROR(MATCH($B$3*100000+COUNTIFS(tblRegistros[ID],$B$3,tblRegistros[Data],"&lt;"&amp;$B$4)+ROWS($L$10:L147),tblRegistros[Chave do cartão],0),"")</f>
        <v/>
      </c>
    </row>
    <row r="148">
      <c r="A148" s="2">
        <f>IF($L148="","",IF(INDEX(tblRegistros[Data],$L148)&gt;$D$4,"",IFERROR(INDEX(tblRegistros[Data],$L148),"")))</f>
        <v/>
      </c>
      <c r="B148">
        <f>IF($L148="","",IF(INDEX(tblRegistros[Data],$L148)&gt;$D$4,"",IFERROR(INDEX(tblRegistros[Projeto],$L148),"")))</f>
        <v/>
      </c>
      <c r="C148">
        <f>IF($L148="","",IF(INDEX(tblRegistros[Data],$L148)&gt;$D$4,"",IFERROR(INDEX(tblRegistros[Atividade],$L148),"")))</f>
        <v/>
      </c>
      <c r="D148" s="4">
        <f>IF($L148="","",IF(INDEX(tblRegistros[Data],$L148)&gt;$D$4,"",IFERROR(INDEX(tblRegistros[Início],$L148),"")))</f>
        <v/>
      </c>
      <c r="E148" s="4">
        <f>IF($L148="","",IF(INDEX(tblRegistros[Data],$L148)&gt;$D$4,"",IFERROR(IF(INDEX(tblRegistros[Status],$L148)="EM ABERTO","",INDEX(tblRegistros[Fim],$L148)),"")))</f>
        <v/>
      </c>
      <c r="F148" s="14">
        <f>IF($L148="","",IF(INDEX(tblRegistros[Data],$L148)&gt;$D$4,"",IFERROR(IF(INDEX(tblRegistros[Status],$L148)="EM ABERTO","",INDEX(tblRegistros[Horas],$L148)),"")))</f>
        <v/>
      </c>
      <c r="G148">
        <f>IF($L148="","",IF(INDEX(tblRegistros[Data],$L148)&gt;$D$4,"",IFERROR(INDEX(tblRegistros[Base],$L148),"")))</f>
        <v/>
      </c>
      <c r="H148" s="3">
        <f>IF($L148="","",IF(INDEX(tblRegistros[Data],$L148)&gt;$D$4,"",IFERROR(INDEX(tblRegistros[Taxa aplicada],$L148),"")))</f>
        <v/>
      </c>
      <c r="I148" s="3">
        <f>IF($L148="","",IF(INDEX(tblRegistros[Data],$L148)&gt;$D$4,"",IFERROR(IF(INDEX(tblRegistros[Status],$L148)="EM ABERTO","",INDEX(tblRegistros[Valor],$L148)),"")))</f>
        <v/>
      </c>
      <c r="J148">
        <f>IF($L148="","",IF(INDEX(tblRegistros[Data],$L148)&gt;$D$4,"",IFERROR(INDEX(tblRegistros[Status],$L148),"")))</f>
        <v/>
      </c>
      <c r="K148">
        <f>IF($L148="","",IF(INDEX(tblRegistros[Data],$L148)&gt;$D$4,"",IFERROR(INDEX(tblRegistros[Observação],$L148),"")))</f>
        <v/>
      </c>
      <c r="L148" s="16">
        <f>IFERROR(MATCH($B$3*100000+COUNTIFS(tblRegistros[ID],$B$3,tblRegistros[Data],"&lt;"&amp;$B$4)+ROWS($L$10:L148),tblRegistros[Chave do cartão],0),"")</f>
        <v/>
      </c>
    </row>
    <row r="149">
      <c r="A149" s="2">
        <f>IF($L149="","",IF(INDEX(tblRegistros[Data],$L149)&gt;$D$4,"",IFERROR(INDEX(tblRegistros[Data],$L149),"")))</f>
        <v/>
      </c>
      <c r="B149">
        <f>IF($L149="","",IF(INDEX(tblRegistros[Data],$L149)&gt;$D$4,"",IFERROR(INDEX(tblRegistros[Projeto],$L149),"")))</f>
        <v/>
      </c>
      <c r="C149">
        <f>IF($L149="","",IF(INDEX(tblRegistros[Data],$L149)&gt;$D$4,"",IFERROR(INDEX(tblRegistros[Atividade],$L149),"")))</f>
        <v/>
      </c>
      <c r="D149" s="4">
        <f>IF($L149="","",IF(INDEX(tblRegistros[Data],$L149)&gt;$D$4,"",IFERROR(INDEX(tblRegistros[Início],$L149),"")))</f>
        <v/>
      </c>
      <c r="E149" s="4">
        <f>IF($L149="","",IF(INDEX(tblRegistros[Data],$L149)&gt;$D$4,"",IFERROR(IF(INDEX(tblRegistros[Status],$L149)="EM ABERTO","",INDEX(tblRegistros[Fim],$L149)),"")))</f>
        <v/>
      </c>
      <c r="F149" s="14">
        <f>IF($L149="","",IF(INDEX(tblRegistros[Data],$L149)&gt;$D$4,"",IFERROR(IF(INDEX(tblRegistros[Status],$L149)="EM ABERTO","",INDEX(tblRegistros[Horas],$L149)),"")))</f>
        <v/>
      </c>
      <c r="G149">
        <f>IF($L149="","",IF(INDEX(tblRegistros[Data],$L149)&gt;$D$4,"",IFERROR(INDEX(tblRegistros[Base],$L149),"")))</f>
        <v/>
      </c>
      <c r="H149" s="3">
        <f>IF($L149="","",IF(INDEX(tblRegistros[Data],$L149)&gt;$D$4,"",IFERROR(INDEX(tblRegistros[Taxa aplicada],$L149),"")))</f>
        <v/>
      </c>
      <c r="I149" s="3">
        <f>IF($L149="","",IF(INDEX(tblRegistros[Data],$L149)&gt;$D$4,"",IFERROR(IF(INDEX(tblRegistros[Status],$L149)="EM ABERTO","",INDEX(tblRegistros[Valor],$L149)),"")))</f>
        <v/>
      </c>
      <c r="J149">
        <f>IF($L149="","",IF(INDEX(tblRegistros[Data],$L149)&gt;$D$4,"",IFERROR(INDEX(tblRegistros[Status],$L149),"")))</f>
        <v/>
      </c>
      <c r="K149">
        <f>IF($L149="","",IF(INDEX(tblRegistros[Data],$L149)&gt;$D$4,"",IFERROR(INDEX(tblRegistros[Observação],$L149),"")))</f>
        <v/>
      </c>
      <c r="L149" s="16">
        <f>IFERROR(MATCH($B$3*100000+COUNTIFS(tblRegistros[ID],$B$3,tblRegistros[Data],"&lt;"&amp;$B$4)+ROWS($L$10:L149),tblRegistros[Chave do cartão],0),"")</f>
        <v/>
      </c>
    </row>
    <row r="150">
      <c r="A150" s="2">
        <f>IF($L150="","",IF(INDEX(tblRegistros[Data],$L150)&gt;$D$4,"",IFERROR(INDEX(tblRegistros[Data],$L150),"")))</f>
        <v/>
      </c>
      <c r="B150">
        <f>IF($L150="","",IF(INDEX(tblRegistros[Data],$L150)&gt;$D$4,"",IFERROR(INDEX(tblRegistros[Projeto],$L150),"")))</f>
        <v/>
      </c>
      <c r="C150">
        <f>IF($L150="","",IF(INDEX(tblRegistros[Data],$L150)&gt;$D$4,"",IFERROR(INDEX(tblRegistros[Atividade],$L150),"")))</f>
        <v/>
      </c>
      <c r="D150" s="4">
        <f>IF($L150="","",IF(INDEX(tblRegistros[Data],$L150)&gt;$D$4,"",IFERROR(INDEX(tblRegistros[Início],$L150),"")))</f>
        <v/>
      </c>
      <c r="E150" s="4">
        <f>IF($L150="","",IF(INDEX(tblRegistros[Data],$L150)&gt;$D$4,"",IFERROR(IF(INDEX(tblRegistros[Status],$L150)="EM ABERTO","",INDEX(tblRegistros[Fim],$L150)),"")))</f>
        <v/>
      </c>
      <c r="F150" s="14">
        <f>IF($L150="","",IF(INDEX(tblRegistros[Data],$L150)&gt;$D$4,"",IFERROR(IF(INDEX(tblRegistros[Status],$L150)="EM ABERTO","",INDEX(tblRegistros[Horas],$L150)),"")))</f>
        <v/>
      </c>
      <c r="G150">
        <f>IF($L150="","",IF(INDEX(tblRegistros[Data],$L150)&gt;$D$4,"",IFERROR(INDEX(tblRegistros[Base],$L150),"")))</f>
        <v/>
      </c>
      <c r="H150" s="3">
        <f>IF($L150="","",IF(INDEX(tblRegistros[Data],$L150)&gt;$D$4,"",IFERROR(INDEX(tblRegistros[Taxa aplicada],$L150),"")))</f>
        <v/>
      </c>
      <c r="I150" s="3">
        <f>IF($L150="","",IF(INDEX(tblRegistros[Data],$L150)&gt;$D$4,"",IFERROR(IF(INDEX(tblRegistros[Status],$L150)="EM ABERTO","",INDEX(tblRegistros[Valor],$L150)),"")))</f>
        <v/>
      </c>
      <c r="J150">
        <f>IF($L150="","",IF(INDEX(tblRegistros[Data],$L150)&gt;$D$4,"",IFERROR(INDEX(tblRegistros[Status],$L150),"")))</f>
        <v/>
      </c>
      <c r="K150">
        <f>IF($L150="","",IF(INDEX(tblRegistros[Data],$L150)&gt;$D$4,"",IFERROR(INDEX(tblRegistros[Observação],$L150),"")))</f>
        <v/>
      </c>
      <c r="L150" s="16">
        <f>IFERROR(MATCH($B$3*100000+COUNTIFS(tblRegistros[ID],$B$3,tblRegistros[Data],"&lt;"&amp;$B$4)+ROWS($L$10:L150),tblRegistros[Chave do cartão],0),"")</f>
        <v/>
      </c>
    </row>
    <row r="151">
      <c r="A151" s="2">
        <f>IF($L151="","",IF(INDEX(tblRegistros[Data],$L151)&gt;$D$4,"",IFERROR(INDEX(tblRegistros[Data],$L151),"")))</f>
        <v/>
      </c>
      <c r="B151">
        <f>IF($L151="","",IF(INDEX(tblRegistros[Data],$L151)&gt;$D$4,"",IFERROR(INDEX(tblRegistros[Projeto],$L151),"")))</f>
        <v/>
      </c>
      <c r="C151">
        <f>IF($L151="","",IF(INDEX(tblRegistros[Data],$L151)&gt;$D$4,"",IFERROR(INDEX(tblRegistros[Atividade],$L151),"")))</f>
        <v/>
      </c>
      <c r="D151" s="4">
        <f>IF($L151="","",IF(INDEX(tblRegistros[Data],$L151)&gt;$D$4,"",IFERROR(INDEX(tblRegistros[Início],$L151),"")))</f>
        <v/>
      </c>
      <c r="E151" s="4">
        <f>IF($L151="","",IF(INDEX(tblRegistros[Data],$L151)&gt;$D$4,"",IFERROR(IF(INDEX(tblRegistros[Status],$L151)="EM ABERTO","",INDEX(tblRegistros[Fim],$L151)),"")))</f>
        <v/>
      </c>
      <c r="F151" s="14">
        <f>IF($L151="","",IF(INDEX(tblRegistros[Data],$L151)&gt;$D$4,"",IFERROR(IF(INDEX(tblRegistros[Status],$L151)="EM ABERTO","",INDEX(tblRegistros[Horas],$L151)),"")))</f>
        <v/>
      </c>
      <c r="G151">
        <f>IF($L151="","",IF(INDEX(tblRegistros[Data],$L151)&gt;$D$4,"",IFERROR(INDEX(tblRegistros[Base],$L151),"")))</f>
        <v/>
      </c>
      <c r="H151" s="3">
        <f>IF($L151="","",IF(INDEX(tblRegistros[Data],$L151)&gt;$D$4,"",IFERROR(INDEX(tblRegistros[Taxa aplicada],$L151),"")))</f>
        <v/>
      </c>
      <c r="I151" s="3">
        <f>IF($L151="","",IF(INDEX(tblRegistros[Data],$L151)&gt;$D$4,"",IFERROR(IF(INDEX(tblRegistros[Status],$L151)="EM ABERTO","",INDEX(tblRegistros[Valor],$L151)),"")))</f>
        <v/>
      </c>
      <c r="J151">
        <f>IF($L151="","",IF(INDEX(tblRegistros[Data],$L151)&gt;$D$4,"",IFERROR(INDEX(tblRegistros[Status],$L151),"")))</f>
        <v/>
      </c>
      <c r="K151">
        <f>IF($L151="","",IF(INDEX(tblRegistros[Data],$L151)&gt;$D$4,"",IFERROR(INDEX(tblRegistros[Observação],$L151),"")))</f>
        <v/>
      </c>
      <c r="L151" s="16">
        <f>IFERROR(MATCH($B$3*100000+COUNTIFS(tblRegistros[ID],$B$3,tblRegistros[Data],"&lt;"&amp;$B$4)+ROWS($L$10:L151),tblRegistros[Chave do cartão],0),"")</f>
        <v/>
      </c>
    </row>
    <row r="152">
      <c r="A152" s="2">
        <f>IF($L152="","",IF(INDEX(tblRegistros[Data],$L152)&gt;$D$4,"",IFERROR(INDEX(tblRegistros[Data],$L152),"")))</f>
        <v/>
      </c>
      <c r="B152">
        <f>IF($L152="","",IF(INDEX(tblRegistros[Data],$L152)&gt;$D$4,"",IFERROR(INDEX(tblRegistros[Projeto],$L152),"")))</f>
        <v/>
      </c>
      <c r="C152">
        <f>IF($L152="","",IF(INDEX(tblRegistros[Data],$L152)&gt;$D$4,"",IFERROR(INDEX(tblRegistros[Atividade],$L152),"")))</f>
        <v/>
      </c>
      <c r="D152" s="4">
        <f>IF($L152="","",IF(INDEX(tblRegistros[Data],$L152)&gt;$D$4,"",IFERROR(INDEX(tblRegistros[Início],$L152),"")))</f>
        <v/>
      </c>
      <c r="E152" s="4">
        <f>IF($L152="","",IF(INDEX(tblRegistros[Data],$L152)&gt;$D$4,"",IFERROR(IF(INDEX(tblRegistros[Status],$L152)="EM ABERTO","",INDEX(tblRegistros[Fim],$L152)),"")))</f>
        <v/>
      </c>
      <c r="F152" s="14">
        <f>IF($L152="","",IF(INDEX(tblRegistros[Data],$L152)&gt;$D$4,"",IFERROR(IF(INDEX(tblRegistros[Status],$L152)="EM ABERTO","",INDEX(tblRegistros[Horas],$L152)),"")))</f>
        <v/>
      </c>
      <c r="G152">
        <f>IF($L152="","",IF(INDEX(tblRegistros[Data],$L152)&gt;$D$4,"",IFERROR(INDEX(tblRegistros[Base],$L152),"")))</f>
        <v/>
      </c>
      <c r="H152" s="3">
        <f>IF($L152="","",IF(INDEX(tblRegistros[Data],$L152)&gt;$D$4,"",IFERROR(INDEX(tblRegistros[Taxa aplicada],$L152),"")))</f>
        <v/>
      </c>
      <c r="I152" s="3">
        <f>IF($L152="","",IF(INDEX(tblRegistros[Data],$L152)&gt;$D$4,"",IFERROR(IF(INDEX(tblRegistros[Status],$L152)="EM ABERTO","",INDEX(tblRegistros[Valor],$L152)),"")))</f>
        <v/>
      </c>
      <c r="J152">
        <f>IF($L152="","",IF(INDEX(tblRegistros[Data],$L152)&gt;$D$4,"",IFERROR(INDEX(tblRegistros[Status],$L152),"")))</f>
        <v/>
      </c>
      <c r="K152">
        <f>IF($L152="","",IF(INDEX(tblRegistros[Data],$L152)&gt;$D$4,"",IFERROR(INDEX(tblRegistros[Observação],$L152),"")))</f>
        <v/>
      </c>
      <c r="L152" s="16">
        <f>IFERROR(MATCH($B$3*100000+COUNTIFS(tblRegistros[ID],$B$3,tblRegistros[Data],"&lt;"&amp;$B$4)+ROWS($L$10:L152),tblRegistros[Chave do cartão],0),"")</f>
        <v/>
      </c>
    </row>
    <row r="153">
      <c r="A153" s="2">
        <f>IF($L153="","",IF(INDEX(tblRegistros[Data],$L153)&gt;$D$4,"",IFERROR(INDEX(tblRegistros[Data],$L153),"")))</f>
        <v/>
      </c>
      <c r="B153">
        <f>IF($L153="","",IF(INDEX(tblRegistros[Data],$L153)&gt;$D$4,"",IFERROR(INDEX(tblRegistros[Projeto],$L153),"")))</f>
        <v/>
      </c>
      <c r="C153">
        <f>IF($L153="","",IF(INDEX(tblRegistros[Data],$L153)&gt;$D$4,"",IFERROR(INDEX(tblRegistros[Atividade],$L153),"")))</f>
        <v/>
      </c>
      <c r="D153" s="4">
        <f>IF($L153="","",IF(INDEX(tblRegistros[Data],$L153)&gt;$D$4,"",IFERROR(INDEX(tblRegistros[Início],$L153),"")))</f>
        <v/>
      </c>
      <c r="E153" s="4">
        <f>IF($L153="","",IF(INDEX(tblRegistros[Data],$L153)&gt;$D$4,"",IFERROR(IF(INDEX(tblRegistros[Status],$L153)="EM ABERTO","",INDEX(tblRegistros[Fim],$L153)),"")))</f>
        <v/>
      </c>
      <c r="F153" s="14">
        <f>IF($L153="","",IF(INDEX(tblRegistros[Data],$L153)&gt;$D$4,"",IFERROR(IF(INDEX(tblRegistros[Status],$L153)="EM ABERTO","",INDEX(tblRegistros[Horas],$L153)),"")))</f>
        <v/>
      </c>
      <c r="G153">
        <f>IF($L153="","",IF(INDEX(tblRegistros[Data],$L153)&gt;$D$4,"",IFERROR(INDEX(tblRegistros[Base],$L153),"")))</f>
        <v/>
      </c>
      <c r="H153" s="3">
        <f>IF($L153="","",IF(INDEX(tblRegistros[Data],$L153)&gt;$D$4,"",IFERROR(INDEX(tblRegistros[Taxa aplicada],$L153),"")))</f>
        <v/>
      </c>
      <c r="I153" s="3">
        <f>IF($L153="","",IF(INDEX(tblRegistros[Data],$L153)&gt;$D$4,"",IFERROR(IF(INDEX(tblRegistros[Status],$L153)="EM ABERTO","",INDEX(tblRegistros[Valor],$L153)),"")))</f>
        <v/>
      </c>
      <c r="J153">
        <f>IF($L153="","",IF(INDEX(tblRegistros[Data],$L153)&gt;$D$4,"",IFERROR(INDEX(tblRegistros[Status],$L153),"")))</f>
        <v/>
      </c>
      <c r="K153">
        <f>IF($L153="","",IF(INDEX(tblRegistros[Data],$L153)&gt;$D$4,"",IFERROR(INDEX(tblRegistros[Observação],$L153),"")))</f>
        <v/>
      </c>
      <c r="L153" s="16">
        <f>IFERROR(MATCH($B$3*100000+COUNTIFS(tblRegistros[ID],$B$3,tblRegistros[Data],"&lt;"&amp;$B$4)+ROWS($L$10:L153),tblRegistros[Chave do cartão],0),"")</f>
        <v/>
      </c>
    </row>
    <row r="154">
      <c r="A154" s="2">
        <f>IF($L154="","",IF(INDEX(tblRegistros[Data],$L154)&gt;$D$4,"",IFERROR(INDEX(tblRegistros[Data],$L154),"")))</f>
        <v/>
      </c>
      <c r="B154">
        <f>IF($L154="","",IF(INDEX(tblRegistros[Data],$L154)&gt;$D$4,"",IFERROR(INDEX(tblRegistros[Projeto],$L154),"")))</f>
        <v/>
      </c>
      <c r="C154">
        <f>IF($L154="","",IF(INDEX(tblRegistros[Data],$L154)&gt;$D$4,"",IFERROR(INDEX(tblRegistros[Atividade],$L154),"")))</f>
        <v/>
      </c>
      <c r="D154" s="4">
        <f>IF($L154="","",IF(INDEX(tblRegistros[Data],$L154)&gt;$D$4,"",IFERROR(INDEX(tblRegistros[Início],$L154),"")))</f>
        <v/>
      </c>
      <c r="E154" s="4">
        <f>IF($L154="","",IF(INDEX(tblRegistros[Data],$L154)&gt;$D$4,"",IFERROR(IF(INDEX(tblRegistros[Status],$L154)="EM ABERTO","",INDEX(tblRegistros[Fim],$L154)),"")))</f>
        <v/>
      </c>
      <c r="F154" s="14">
        <f>IF($L154="","",IF(INDEX(tblRegistros[Data],$L154)&gt;$D$4,"",IFERROR(IF(INDEX(tblRegistros[Status],$L154)="EM ABERTO","",INDEX(tblRegistros[Horas],$L154)),"")))</f>
        <v/>
      </c>
      <c r="G154">
        <f>IF($L154="","",IF(INDEX(tblRegistros[Data],$L154)&gt;$D$4,"",IFERROR(INDEX(tblRegistros[Base],$L154),"")))</f>
        <v/>
      </c>
      <c r="H154" s="3">
        <f>IF($L154="","",IF(INDEX(tblRegistros[Data],$L154)&gt;$D$4,"",IFERROR(INDEX(tblRegistros[Taxa aplicada],$L154),"")))</f>
        <v/>
      </c>
      <c r="I154" s="3">
        <f>IF($L154="","",IF(INDEX(tblRegistros[Data],$L154)&gt;$D$4,"",IFERROR(IF(INDEX(tblRegistros[Status],$L154)="EM ABERTO","",INDEX(tblRegistros[Valor],$L154)),"")))</f>
        <v/>
      </c>
      <c r="J154">
        <f>IF($L154="","",IF(INDEX(tblRegistros[Data],$L154)&gt;$D$4,"",IFERROR(INDEX(tblRegistros[Status],$L154),"")))</f>
        <v/>
      </c>
      <c r="K154">
        <f>IF($L154="","",IF(INDEX(tblRegistros[Data],$L154)&gt;$D$4,"",IFERROR(INDEX(tblRegistros[Observação],$L154),"")))</f>
        <v/>
      </c>
      <c r="L154" s="16">
        <f>IFERROR(MATCH($B$3*100000+COUNTIFS(tblRegistros[ID],$B$3,tblRegistros[Data],"&lt;"&amp;$B$4)+ROWS($L$10:L154),tblRegistros[Chave do cartão],0),"")</f>
        <v/>
      </c>
    </row>
    <row r="155">
      <c r="A155" s="2">
        <f>IF($L155="","",IF(INDEX(tblRegistros[Data],$L155)&gt;$D$4,"",IFERROR(INDEX(tblRegistros[Data],$L155),"")))</f>
        <v/>
      </c>
      <c r="B155">
        <f>IF($L155="","",IF(INDEX(tblRegistros[Data],$L155)&gt;$D$4,"",IFERROR(INDEX(tblRegistros[Projeto],$L155),"")))</f>
        <v/>
      </c>
      <c r="C155">
        <f>IF($L155="","",IF(INDEX(tblRegistros[Data],$L155)&gt;$D$4,"",IFERROR(INDEX(tblRegistros[Atividade],$L155),"")))</f>
        <v/>
      </c>
      <c r="D155" s="4">
        <f>IF($L155="","",IF(INDEX(tblRegistros[Data],$L155)&gt;$D$4,"",IFERROR(INDEX(tblRegistros[Início],$L155),"")))</f>
        <v/>
      </c>
      <c r="E155" s="4">
        <f>IF($L155="","",IF(INDEX(tblRegistros[Data],$L155)&gt;$D$4,"",IFERROR(IF(INDEX(tblRegistros[Status],$L155)="EM ABERTO","",INDEX(tblRegistros[Fim],$L155)),"")))</f>
        <v/>
      </c>
      <c r="F155" s="14">
        <f>IF($L155="","",IF(INDEX(tblRegistros[Data],$L155)&gt;$D$4,"",IFERROR(IF(INDEX(tblRegistros[Status],$L155)="EM ABERTO","",INDEX(tblRegistros[Horas],$L155)),"")))</f>
        <v/>
      </c>
      <c r="G155">
        <f>IF($L155="","",IF(INDEX(tblRegistros[Data],$L155)&gt;$D$4,"",IFERROR(INDEX(tblRegistros[Base],$L155),"")))</f>
        <v/>
      </c>
      <c r="H155" s="3">
        <f>IF($L155="","",IF(INDEX(tblRegistros[Data],$L155)&gt;$D$4,"",IFERROR(INDEX(tblRegistros[Taxa aplicada],$L155),"")))</f>
        <v/>
      </c>
      <c r="I155" s="3">
        <f>IF($L155="","",IF(INDEX(tblRegistros[Data],$L155)&gt;$D$4,"",IFERROR(IF(INDEX(tblRegistros[Status],$L155)="EM ABERTO","",INDEX(tblRegistros[Valor],$L155)),"")))</f>
        <v/>
      </c>
      <c r="J155">
        <f>IF($L155="","",IF(INDEX(tblRegistros[Data],$L155)&gt;$D$4,"",IFERROR(INDEX(tblRegistros[Status],$L155),"")))</f>
        <v/>
      </c>
      <c r="K155">
        <f>IF($L155="","",IF(INDEX(tblRegistros[Data],$L155)&gt;$D$4,"",IFERROR(INDEX(tblRegistros[Observação],$L155),"")))</f>
        <v/>
      </c>
      <c r="L155" s="16">
        <f>IFERROR(MATCH($B$3*100000+COUNTIFS(tblRegistros[ID],$B$3,tblRegistros[Data],"&lt;"&amp;$B$4)+ROWS($L$10:L155),tblRegistros[Chave do cartão],0),"")</f>
        <v/>
      </c>
    </row>
    <row r="156">
      <c r="A156" s="2">
        <f>IF($L156="","",IF(INDEX(tblRegistros[Data],$L156)&gt;$D$4,"",IFERROR(INDEX(tblRegistros[Data],$L156),"")))</f>
        <v/>
      </c>
      <c r="B156">
        <f>IF($L156="","",IF(INDEX(tblRegistros[Data],$L156)&gt;$D$4,"",IFERROR(INDEX(tblRegistros[Projeto],$L156),"")))</f>
        <v/>
      </c>
      <c r="C156">
        <f>IF($L156="","",IF(INDEX(tblRegistros[Data],$L156)&gt;$D$4,"",IFERROR(INDEX(tblRegistros[Atividade],$L156),"")))</f>
        <v/>
      </c>
      <c r="D156" s="4">
        <f>IF($L156="","",IF(INDEX(tblRegistros[Data],$L156)&gt;$D$4,"",IFERROR(INDEX(tblRegistros[Início],$L156),"")))</f>
        <v/>
      </c>
      <c r="E156" s="4">
        <f>IF($L156="","",IF(INDEX(tblRegistros[Data],$L156)&gt;$D$4,"",IFERROR(IF(INDEX(tblRegistros[Status],$L156)="EM ABERTO","",INDEX(tblRegistros[Fim],$L156)),"")))</f>
        <v/>
      </c>
      <c r="F156" s="14">
        <f>IF($L156="","",IF(INDEX(tblRegistros[Data],$L156)&gt;$D$4,"",IFERROR(IF(INDEX(tblRegistros[Status],$L156)="EM ABERTO","",INDEX(tblRegistros[Horas],$L156)),"")))</f>
        <v/>
      </c>
      <c r="G156">
        <f>IF($L156="","",IF(INDEX(tblRegistros[Data],$L156)&gt;$D$4,"",IFERROR(INDEX(tblRegistros[Base],$L156),"")))</f>
        <v/>
      </c>
      <c r="H156" s="3">
        <f>IF($L156="","",IF(INDEX(tblRegistros[Data],$L156)&gt;$D$4,"",IFERROR(INDEX(tblRegistros[Taxa aplicada],$L156),"")))</f>
        <v/>
      </c>
      <c r="I156" s="3">
        <f>IF($L156="","",IF(INDEX(tblRegistros[Data],$L156)&gt;$D$4,"",IFERROR(IF(INDEX(tblRegistros[Status],$L156)="EM ABERTO","",INDEX(tblRegistros[Valor],$L156)),"")))</f>
        <v/>
      </c>
      <c r="J156">
        <f>IF($L156="","",IF(INDEX(tblRegistros[Data],$L156)&gt;$D$4,"",IFERROR(INDEX(tblRegistros[Status],$L156),"")))</f>
        <v/>
      </c>
      <c r="K156">
        <f>IF($L156="","",IF(INDEX(tblRegistros[Data],$L156)&gt;$D$4,"",IFERROR(INDEX(tblRegistros[Observação],$L156),"")))</f>
        <v/>
      </c>
      <c r="L156" s="16">
        <f>IFERROR(MATCH($B$3*100000+COUNTIFS(tblRegistros[ID],$B$3,tblRegistros[Data],"&lt;"&amp;$B$4)+ROWS($L$10:L156),tblRegistros[Chave do cartão],0),"")</f>
        <v/>
      </c>
    </row>
    <row r="157">
      <c r="A157" s="2">
        <f>IF($L157="","",IF(INDEX(tblRegistros[Data],$L157)&gt;$D$4,"",IFERROR(INDEX(tblRegistros[Data],$L157),"")))</f>
        <v/>
      </c>
      <c r="B157">
        <f>IF($L157="","",IF(INDEX(tblRegistros[Data],$L157)&gt;$D$4,"",IFERROR(INDEX(tblRegistros[Projeto],$L157),"")))</f>
        <v/>
      </c>
      <c r="C157">
        <f>IF($L157="","",IF(INDEX(tblRegistros[Data],$L157)&gt;$D$4,"",IFERROR(INDEX(tblRegistros[Atividade],$L157),"")))</f>
        <v/>
      </c>
      <c r="D157" s="4">
        <f>IF($L157="","",IF(INDEX(tblRegistros[Data],$L157)&gt;$D$4,"",IFERROR(INDEX(tblRegistros[Início],$L157),"")))</f>
        <v/>
      </c>
      <c r="E157" s="4">
        <f>IF($L157="","",IF(INDEX(tblRegistros[Data],$L157)&gt;$D$4,"",IFERROR(IF(INDEX(tblRegistros[Status],$L157)="EM ABERTO","",INDEX(tblRegistros[Fim],$L157)),"")))</f>
        <v/>
      </c>
      <c r="F157" s="14">
        <f>IF($L157="","",IF(INDEX(tblRegistros[Data],$L157)&gt;$D$4,"",IFERROR(IF(INDEX(tblRegistros[Status],$L157)="EM ABERTO","",INDEX(tblRegistros[Horas],$L157)),"")))</f>
        <v/>
      </c>
      <c r="G157">
        <f>IF($L157="","",IF(INDEX(tblRegistros[Data],$L157)&gt;$D$4,"",IFERROR(INDEX(tblRegistros[Base],$L157),"")))</f>
        <v/>
      </c>
      <c r="H157" s="3">
        <f>IF($L157="","",IF(INDEX(tblRegistros[Data],$L157)&gt;$D$4,"",IFERROR(INDEX(tblRegistros[Taxa aplicada],$L157),"")))</f>
        <v/>
      </c>
      <c r="I157" s="3">
        <f>IF($L157="","",IF(INDEX(tblRegistros[Data],$L157)&gt;$D$4,"",IFERROR(IF(INDEX(tblRegistros[Status],$L157)="EM ABERTO","",INDEX(tblRegistros[Valor],$L157)),"")))</f>
        <v/>
      </c>
      <c r="J157">
        <f>IF($L157="","",IF(INDEX(tblRegistros[Data],$L157)&gt;$D$4,"",IFERROR(INDEX(tblRegistros[Status],$L157),"")))</f>
        <v/>
      </c>
      <c r="K157">
        <f>IF($L157="","",IF(INDEX(tblRegistros[Data],$L157)&gt;$D$4,"",IFERROR(INDEX(tblRegistros[Observação],$L157),"")))</f>
        <v/>
      </c>
      <c r="L157" s="16">
        <f>IFERROR(MATCH($B$3*100000+COUNTIFS(tblRegistros[ID],$B$3,tblRegistros[Data],"&lt;"&amp;$B$4)+ROWS($L$10:L157),tblRegistros[Chave do cartão],0),"")</f>
        <v/>
      </c>
    </row>
    <row r="158">
      <c r="A158" s="2">
        <f>IF($L158="","",IF(INDEX(tblRegistros[Data],$L158)&gt;$D$4,"",IFERROR(INDEX(tblRegistros[Data],$L158),"")))</f>
        <v/>
      </c>
      <c r="B158">
        <f>IF($L158="","",IF(INDEX(tblRegistros[Data],$L158)&gt;$D$4,"",IFERROR(INDEX(tblRegistros[Projeto],$L158),"")))</f>
        <v/>
      </c>
      <c r="C158">
        <f>IF($L158="","",IF(INDEX(tblRegistros[Data],$L158)&gt;$D$4,"",IFERROR(INDEX(tblRegistros[Atividade],$L158),"")))</f>
        <v/>
      </c>
      <c r="D158" s="4">
        <f>IF($L158="","",IF(INDEX(tblRegistros[Data],$L158)&gt;$D$4,"",IFERROR(INDEX(tblRegistros[Início],$L158),"")))</f>
        <v/>
      </c>
      <c r="E158" s="4">
        <f>IF($L158="","",IF(INDEX(tblRegistros[Data],$L158)&gt;$D$4,"",IFERROR(IF(INDEX(tblRegistros[Status],$L158)="EM ABERTO","",INDEX(tblRegistros[Fim],$L158)),"")))</f>
        <v/>
      </c>
      <c r="F158" s="14">
        <f>IF($L158="","",IF(INDEX(tblRegistros[Data],$L158)&gt;$D$4,"",IFERROR(IF(INDEX(tblRegistros[Status],$L158)="EM ABERTO","",INDEX(tblRegistros[Horas],$L158)),"")))</f>
        <v/>
      </c>
      <c r="G158">
        <f>IF($L158="","",IF(INDEX(tblRegistros[Data],$L158)&gt;$D$4,"",IFERROR(INDEX(tblRegistros[Base],$L158),"")))</f>
        <v/>
      </c>
      <c r="H158" s="3">
        <f>IF($L158="","",IF(INDEX(tblRegistros[Data],$L158)&gt;$D$4,"",IFERROR(INDEX(tblRegistros[Taxa aplicada],$L158),"")))</f>
        <v/>
      </c>
      <c r="I158" s="3">
        <f>IF($L158="","",IF(INDEX(tblRegistros[Data],$L158)&gt;$D$4,"",IFERROR(IF(INDEX(tblRegistros[Status],$L158)="EM ABERTO","",INDEX(tblRegistros[Valor],$L158)),"")))</f>
        <v/>
      </c>
      <c r="J158">
        <f>IF($L158="","",IF(INDEX(tblRegistros[Data],$L158)&gt;$D$4,"",IFERROR(INDEX(tblRegistros[Status],$L158),"")))</f>
        <v/>
      </c>
      <c r="K158">
        <f>IF($L158="","",IF(INDEX(tblRegistros[Data],$L158)&gt;$D$4,"",IFERROR(INDEX(tblRegistros[Observação],$L158),"")))</f>
        <v/>
      </c>
      <c r="L158" s="16">
        <f>IFERROR(MATCH($B$3*100000+COUNTIFS(tblRegistros[ID],$B$3,tblRegistros[Data],"&lt;"&amp;$B$4)+ROWS($L$10:L158),tblRegistros[Chave do cartão],0),"")</f>
        <v/>
      </c>
    </row>
    <row r="159">
      <c r="A159" s="2">
        <f>IF($L159="","",IF(INDEX(tblRegistros[Data],$L159)&gt;$D$4,"",IFERROR(INDEX(tblRegistros[Data],$L159),"")))</f>
        <v/>
      </c>
      <c r="B159">
        <f>IF($L159="","",IF(INDEX(tblRegistros[Data],$L159)&gt;$D$4,"",IFERROR(INDEX(tblRegistros[Projeto],$L159),"")))</f>
        <v/>
      </c>
      <c r="C159">
        <f>IF($L159="","",IF(INDEX(tblRegistros[Data],$L159)&gt;$D$4,"",IFERROR(INDEX(tblRegistros[Atividade],$L159),"")))</f>
        <v/>
      </c>
      <c r="D159" s="4">
        <f>IF($L159="","",IF(INDEX(tblRegistros[Data],$L159)&gt;$D$4,"",IFERROR(INDEX(tblRegistros[Início],$L159),"")))</f>
        <v/>
      </c>
      <c r="E159" s="4">
        <f>IF($L159="","",IF(INDEX(tblRegistros[Data],$L159)&gt;$D$4,"",IFERROR(IF(INDEX(tblRegistros[Status],$L159)="EM ABERTO","",INDEX(tblRegistros[Fim],$L159)),"")))</f>
        <v/>
      </c>
      <c r="F159" s="14">
        <f>IF($L159="","",IF(INDEX(tblRegistros[Data],$L159)&gt;$D$4,"",IFERROR(IF(INDEX(tblRegistros[Status],$L159)="EM ABERTO","",INDEX(tblRegistros[Horas],$L159)),"")))</f>
        <v/>
      </c>
      <c r="G159">
        <f>IF($L159="","",IF(INDEX(tblRegistros[Data],$L159)&gt;$D$4,"",IFERROR(INDEX(tblRegistros[Base],$L159),"")))</f>
        <v/>
      </c>
      <c r="H159" s="3">
        <f>IF($L159="","",IF(INDEX(tblRegistros[Data],$L159)&gt;$D$4,"",IFERROR(INDEX(tblRegistros[Taxa aplicada],$L159),"")))</f>
        <v/>
      </c>
      <c r="I159" s="3">
        <f>IF($L159="","",IF(INDEX(tblRegistros[Data],$L159)&gt;$D$4,"",IFERROR(IF(INDEX(tblRegistros[Status],$L159)="EM ABERTO","",INDEX(tblRegistros[Valor],$L159)),"")))</f>
        <v/>
      </c>
      <c r="J159">
        <f>IF($L159="","",IF(INDEX(tblRegistros[Data],$L159)&gt;$D$4,"",IFERROR(INDEX(tblRegistros[Status],$L159),"")))</f>
        <v/>
      </c>
      <c r="K159">
        <f>IF($L159="","",IF(INDEX(tblRegistros[Data],$L159)&gt;$D$4,"",IFERROR(INDEX(tblRegistros[Observação],$L159),"")))</f>
        <v/>
      </c>
      <c r="L159" s="16">
        <f>IFERROR(MATCH($B$3*100000+COUNTIFS(tblRegistros[ID],$B$3,tblRegistros[Data],"&lt;"&amp;$B$4)+ROWS($L$10:L159),tblRegistros[Chave do cartão],0),"")</f>
        <v/>
      </c>
    </row>
    <row r="160">
      <c r="A160" s="2">
        <f>IF($L160="","",IF(INDEX(tblRegistros[Data],$L160)&gt;$D$4,"",IFERROR(INDEX(tblRegistros[Data],$L160),"")))</f>
        <v/>
      </c>
      <c r="B160">
        <f>IF($L160="","",IF(INDEX(tblRegistros[Data],$L160)&gt;$D$4,"",IFERROR(INDEX(tblRegistros[Projeto],$L160),"")))</f>
        <v/>
      </c>
      <c r="C160">
        <f>IF($L160="","",IF(INDEX(tblRegistros[Data],$L160)&gt;$D$4,"",IFERROR(INDEX(tblRegistros[Atividade],$L160),"")))</f>
        <v/>
      </c>
      <c r="D160" s="4">
        <f>IF($L160="","",IF(INDEX(tblRegistros[Data],$L160)&gt;$D$4,"",IFERROR(INDEX(tblRegistros[Início],$L160),"")))</f>
        <v/>
      </c>
      <c r="E160" s="4">
        <f>IF($L160="","",IF(INDEX(tblRegistros[Data],$L160)&gt;$D$4,"",IFERROR(IF(INDEX(tblRegistros[Status],$L160)="EM ABERTO","",INDEX(tblRegistros[Fim],$L160)),"")))</f>
        <v/>
      </c>
      <c r="F160" s="14">
        <f>IF($L160="","",IF(INDEX(tblRegistros[Data],$L160)&gt;$D$4,"",IFERROR(IF(INDEX(tblRegistros[Status],$L160)="EM ABERTO","",INDEX(tblRegistros[Horas],$L160)),"")))</f>
        <v/>
      </c>
      <c r="G160">
        <f>IF($L160="","",IF(INDEX(tblRegistros[Data],$L160)&gt;$D$4,"",IFERROR(INDEX(tblRegistros[Base],$L160),"")))</f>
        <v/>
      </c>
      <c r="H160" s="3">
        <f>IF($L160="","",IF(INDEX(tblRegistros[Data],$L160)&gt;$D$4,"",IFERROR(INDEX(tblRegistros[Taxa aplicada],$L160),"")))</f>
        <v/>
      </c>
      <c r="I160" s="3">
        <f>IF($L160="","",IF(INDEX(tblRegistros[Data],$L160)&gt;$D$4,"",IFERROR(IF(INDEX(tblRegistros[Status],$L160)="EM ABERTO","",INDEX(tblRegistros[Valor],$L160)),"")))</f>
        <v/>
      </c>
      <c r="J160">
        <f>IF($L160="","",IF(INDEX(tblRegistros[Data],$L160)&gt;$D$4,"",IFERROR(INDEX(tblRegistros[Status],$L160),"")))</f>
        <v/>
      </c>
      <c r="K160">
        <f>IF($L160="","",IF(INDEX(tblRegistros[Data],$L160)&gt;$D$4,"",IFERROR(INDEX(tblRegistros[Observação],$L160),"")))</f>
        <v/>
      </c>
      <c r="L160" s="16">
        <f>IFERROR(MATCH($B$3*100000+COUNTIFS(tblRegistros[ID],$B$3,tblRegistros[Data],"&lt;"&amp;$B$4)+ROWS($L$10:L160),tblRegistros[Chave do cartão],0),"")</f>
        <v/>
      </c>
    </row>
    <row r="161">
      <c r="A161" s="2">
        <f>IF($L161="","",IF(INDEX(tblRegistros[Data],$L161)&gt;$D$4,"",IFERROR(INDEX(tblRegistros[Data],$L161),"")))</f>
        <v/>
      </c>
      <c r="B161">
        <f>IF($L161="","",IF(INDEX(tblRegistros[Data],$L161)&gt;$D$4,"",IFERROR(INDEX(tblRegistros[Projeto],$L161),"")))</f>
        <v/>
      </c>
      <c r="C161">
        <f>IF($L161="","",IF(INDEX(tblRegistros[Data],$L161)&gt;$D$4,"",IFERROR(INDEX(tblRegistros[Atividade],$L161),"")))</f>
        <v/>
      </c>
      <c r="D161" s="4">
        <f>IF($L161="","",IF(INDEX(tblRegistros[Data],$L161)&gt;$D$4,"",IFERROR(INDEX(tblRegistros[Início],$L161),"")))</f>
        <v/>
      </c>
      <c r="E161" s="4">
        <f>IF($L161="","",IF(INDEX(tblRegistros[Data],$L161)&gt;$D$4,"",IFERROR(IF(INDEX(tblRegistros[Status],$L161)="EM ABERTO","",INDEX(tblRegistros[Fim],$L161)),"")))</f>
        <v/>
      </c>
      <c r="F161" s="14">
        <f>IF($L161="","",IF(INDEX(tblRegistros[Data],$L161)&gt;$D$4,"",IFERROR(IF(INDEX(tblRegistros[Status],$L161)="EM ABERTO","",INDEX(tblRegistros[Horas],$L161)),"")))</f>
        <v/>
      </c>
      <c r="G161">
        <f>IF($L161="","",IF(INDEX(tblRegistros[Data],$L161)&gt;$D$4,"",IFERROR(INDEX(tblRegistros[Base],$L161),"")))</f>
        <v/>
      </c>
      <c r="H161" s="3">
        <f>IF($L161="","",IF(INDEX(tblRegistros[Data],$L161)&gt;$D$4,"",IFERROR(INDEX(tblRegistros[Taxa aplicada],$L161),"")))</f>
        <v/>
      </c>
      <c r="I161" s="3">
        <f>IF($L161="","",IF(INDEX(tblRegistros[Data],$L161)&gt;$D$4,"",IFERROR(IF(INDEX(tblRegistros[Status],$L161)="EM ABERTO","",INDEX(tblRegistros[Valor],$L161)),"")))</f>
        <v/>
      </c>
      <c r="J161">
        <f>IF($L161="","",IF(INDEX(tblRegistros[Data],$L161)&gt;$D$4,"",IFERROR(INDEX(tblRegistros[Status],$L161),"")))</f>
        <v/>
      </c>
      <c r="K161">
        <f>IF($L161="","",IF(INDEX(tblRegistros[Data],$L161)&gt;$D$4,"",IFERROR(INDEX(tblRegistros[Observação],$L161),"")))</f>
        <v/>
      </c>
      <c r="L161" s="16">
        <f>IFERROR(MATCH($B$3*100000+COUNTIFS(tblRegistros[ID],$B$3,tblRegistros[Data],"&lt;"&amp;$B$4)+ROWS($L$10:L161),tblRegistros[Chave do cartão],0),"")</f>
        <v/>
      </c>
    </row>
    <row r="162">
      <c r="A162" s="2">
        <f>IF($L162="","",IF(INDEX(tblRegistros[Data],$L162)&gt;$D$4,"",IFERROR(INDEX(tblRegistros[Data],$L162),"")))</f>
        <v/>
      </c>
      <c r="B162">
        <f>IF($L162="","",IF(INDEX(tblRegistros[Data],$L162)&gt;$D$4,"",IFERROR(INDEX(tblRegistros[Projeto],$L162),"")))</f>
        <v/>
      </c>
      <c r="C162">
        <f>IF($L162="","",IF(INDEX(tblRegistros[Data],$L162)&gt;$D$4,"",IFERROR(INDEX(tblRegistros[Atividade],$L162),"")))</f>
        <v/>
      </c>
      <c r="D162" s="4">
        <f>IF($L162="","",IF(INDEX(tblRegistros[Data],$L162)&gt;$D$4,"",IFERROR(INDEX(tblRegistros[Início],$L162),"")))</f>
        <v/>
      </c>
      <c r="E162" s="4">
        <f>IF($L162="","",IF(INDEX(tblRegistros[Data],$L162)&gt;$D$4,"",IFERROR(IF(INDEX(tblRegistros[Status],$L162)="EM ABERTO","",INDEX(tblRegistros[Fim],$L162)),"")))</f>
        <v/>
      </c>
      <c r="F162" s="14">
        <f>IF($L162="","",IF(INDEX(tblRegistros[Data],$L162)&gt;$D$4,"",IFERROR(IF(INDEX(tblRegistros[Status],$L162)="EM ABERTO","",INDEX(tblRegistros[Horas],$L162)),"")))</f>
        <v/>
      </c>
      <c r="G162">
        <f>IF($L162="","",IF(INDEX(tblRegistros[Data],$L162)&gt;$D$4,"",IFERROR(INDEX(tblRegistros[Base],$L162),"")))</f>
        <v/>
      </c>
      <c r="H162" s="3">
        <f>IF($L162="","",IF(INDEX(tblRegistros[Data],$L162)&gt;$D$4,"",IFERROR(INDEX(tblRegistros[Taxa aplicada],$L162),"")))</f>
        <v/>
      </c>
      <c r="I162" s="3">
        <f>IF($L162="","",IF(INDEX(tblRegistros[Data],$L162)&gt;$D$4,"",IFERROR(IF(INDEX(tblRegistros[Status],$L162)="EM ABERTO","",INDEX(tblRegistros[Valor],$L162)),"")))</f>
        <v/>
      </c>
      <c r="J162">
        <f>IF($L162="","",IF(INDEX(tblRegistros[Data],$L162)&gt;$D$4,"",IFERROR(INDEX(tblRegistros[Status],$L162),"")))</f>
        <v/>
      </c>
      <c r="K162">
        <f>IF($L162="","",IF(INDEX(tblRegistros[Data],$L162)&gt;$D$4,"",IFERROR(INDEX(tblRegistros[Observação],$L162),"")))</f>
        <v/>
      </c>
      <c r="L162" s="16">
        <f>IFERROR(MATCH($B$3*100000+COUNTIFS(tblRegistros[ID],$B$3,tblRegistros[Data],"&lt;"&amp;$B$4)+ROWS($L$10:L162),tblRegistros[Chave do cartão],0),"")</f>
        <v/>
      </c>
    </row>
    <row r="163">
      <c r="A163" s="2">
        <f>IF($L163="","",IF(INDEX(tblRegistros[Data],$L163)&gt;$D$4,"",IFERROR(INDEX(tblRegistros[Data],$L163),"")))</f>
        <v/>
      </c>
      <c r="B163">
        <f>IF($L163="","",IF(INDEX(tblRegistros[Data],$L163)&gt;$D$4,"",IFERROR(INDEX(tblRegistros[Projeto],$L163),"")))</f>
        <v/>
      </c>
      <c r="C163">
        <f>IF($L163="","",IF(INDEX(tblRegistros[Data],$L163)&gt;$D$4,"",IFERROR(INDEX(tblRegistros[Atividade],$L163),"")))</f>
        <v/>
      </c>
      <c r="D163" s="4">
        <f>IF($L163="","",IF(INDEX(tblRegistros[Data],$L163)&gt;$D$4,"",IFERROR(INDEX(tblRegistros[Início],$L163),"")))</f>
        <v/>
      </c>
      <c r="E163" s="4">
        <f>IF($L163="","",IF(INDEX(tblRegistros[Data],$L163)&gt;$D$4,"",IFERROR(IF(INDEX(tblRegistros[Status],$L163)="EM ABERTO","",INDEX(tblRegistros[Fim],$L163)),"")))</f>
        <v/>
      </c>
      <c r="F163" s="14">
        <f>IF($L163="","",IF(INDEX(tblRegistros[Data],$L163)&gt;$D$4,"",IFERROR(IF(INDEX(tblRegistros[Status],$L163)="EM ABERTO","",INDEX(tblRegistros[Horas],$L163)),"")))</f>
        <v/>
      </c>
      <c r="G163">
        <f>IF($L163="","",IF(INDEX(tblRegistros[Data],$L163)&gt;$D$4,"",IFERROR(INDEX(tblRegistros[Base],$L163),"")))</f>
        <v/>
      </c>
      <c r="H163" s="3">
        <f>IF($L163="","",IF(INDEX(tblRegistros[Data],$L163)&gt;$D$4,"",IFERROR(INDEX(tblRegistros[Taxa aplicada],$L163),"")))</f>
        <v/>
      </c>
      <c r="I163" s="3">
        <f>IF($L163="","",IF(INDEX(tblRegistros[Data],$L163)&gt;$D$4,"",IFERROR(IF(INDEX(tblRegistros[Status],$L163)="EM ABERTO","",INDEX(tblRegistros[Valor],$L163)),"")))</f>
        <v/>
      </c>
      <c r="J163">
        <f>IF($L163="","",IF(INDEX(tblRegistros[Data],$L163)&gt;$D$4,"",IFERROR(INDEX(tblRegistros[Status],$L163),"")))</f>
        <v/>
      </c>
      <c r="K163">
        <f>IF($L163="","",IF(INDEX(tblRegistros[Data],$L163)&gt;$D$4,"",IFERROR(INDEX(tblRegistros[Observação],$L163),"")))</f>
        <v/>
      </c>
      <c r="L163" s="16">
        <f>IFERROR(MATCH($B$3*100000+COUNTIFS(tblRegistros[ID],$B$3,tblRegistros[Data],"&lt;"&amp;$B$4)+ROWS($L$10:L163),tblRegistros[Chave do cartão],0),"")</f>
        <v/>
      </c>
    </row>
    <row r="164">
      <c r="A164" s="2">
        <f>IF($L164="","",IF(INDEX(tblRegistros[Data],$L164)&gt;$D$4,"",IFERROR(INDEX(tblRegistros[Data],$L164),"")))</f>
        <v/>
      </c>
      <c r="B164">
        <f>IF($L164="","",IF(INDEX(tblRegistros[Data],$L164)&gt;$D$4,"",IFERROR(INDEX(tblRegistros[Projeto],$L164),"")))</f>
        <v/>
      </c>
      <c r="C164">
        <f>IF($L164="","",IF(INDEX(tblRegistros[Data],$L164)&gt;$D$4,"",IFERROR(INDEX(tblRegistros[Atividade],$L164),"")))</f>
        <v/>
      </c>
      <c r="D164" s="4">
        <f>IF($L164="","",IF(INDEX(tblRegistros[Data],$L164)&gt;$D$4,"",IFERROR(INDEX(tblRegistros[Início],$L164),"")))</f>
        <v/>
      </c>
      <c r="E164" s="4">
        <f>IF($L164="","",IF(INDEX(tblRegistros[Data],$L164)&gt;$D$4,"",IFERROR(IF(INDEX(tblRegistros[Status],$L164)="EM ABERTO","",INDEX(tblRegistros[Fim],$L164)),"")))</f>
        <v/>
      </c>
      <c r="F164" s="14">
        <f>IF($L164="","",IF(INDEX(tblRegistros[Data],$L164)&gt;$D$4,"",IFERROR(IF(INDEX(tblRegistros[Status],$L164)="EM ABERTO","",INDEX(tblRegistros[Horas],$L164)),"")))</f>
        <v/>
      </c>
      <c r="G164">
        <f>IF($L164="","",IF(INDEX(tblRegistros[Data],$L164)&gt;$D$4,"",IFERROR(INDEX(tblRegistros[Base],$L164),"")))</f>
        <v/>
      </c>
      <c r="H164" s="3">
        <f>IF($L164="","",IF(INDEX(tblRegistros[Data],$L164)&gt;$D$4,"",IFERROR(INDEX(tblRegistros[Taxa aplicada],$L164),"")))</f>
        <v/>
      </c>
      <c r="I164" s="3">
        <f>IF($L164="","",IF(INDEX(tblRegistros[Data],$L164)&gt;$D$4,"",IFERROR(IF(INDEX(tblRegistros[Status],$L164)="EM ABERTO","",INDEX(tblRegistros[Valor],$L164)),"")))</f>
        <v/>
      </c>
      <c r="J164">
        <f>IF($L164="","",IF(INDEX(tblRegistros[Data],$L164)&gt;$D$4,"",IFERROR(INDEX(tblRegistros[Status],$L164),"")))</f>
        <v/>
      </c>
      <c r="K164">
        <f>IF($L164="","",IF(INDEX(tblRegistros[Data],$L164)&gt;$D$4,"",IFERROR(INDEX(tblRegistros[Observação],$L164),"")))</f>
        <v/>
      </c>
      <c r="L164" s="16">
        <f>IFERROR(MATCH($B$3*100000+COUNTIFS(tblRegistros[ID],$B$3,tblRegistros[Data],"&lt;"&amp;$B$4)+ROWS($L$10:L164),tblRegistros[Chave do cartão],0),"")</f>
        <v/>
      </c>
    </row>
    <row r="165">
      <c r="A165" s="2">
        <f>IF($L165="","",IF(INDEX(tblRegistros[Data],$L165)&gt;$D$4,"",IFERROR(INDEX(tblRegistros[Data],$L165),"")))</f>
        <v/>
      </c>
      <c r="B165">
        <f>IF($L165="","",IF(INDEX(tblRegistros[Data],$L165)&gt;$D$4,"",IFERROR(INDEX(tblRegistros[Projeto],$L165),"")))</f>
        <v/>
      </c>
      <c r="C165">
        <f>IF($L165="","",IF(INDEX(tblRegistros[Data],$L165)&gt;$D$4,"",IFERROR(INDEX(tblRegistros[Atividade],$L165),"")))</f>
        <v/>
      </c>
      <c r="D165" s="4">
        <f>IF($L165="","",IF(INDEX(tblRegistros[Data],$L165)&gt;$D$4,"",IFERROR(INDEX(tblRegistros[Início],$L165),"")))</f>
        <v/>
      </c>
      <c r="E165" s="4">
        <f>IF($L165="","",IF(INDEX(tblRegistros[Data],$L165)&gt;$D$4,"",IFERROR(IF(INDEX(tblRegistros[Status],$L165)="EM ABERTO","",INDEX(tblRegistros[Fim],$L165)),"")))</f>
        <v/>
      </c>
      <c r="F165" s="14">
        <f>IF($L165="","",IF(INDEX(tblRegistros[Data],$L165)&gt;$D$4,"",IFERROR(IF(INDEX(tblRegistros[Status],$L165)="EM ABERTO","",INDEX(tblRegistros[Horas],$L165)),"")))</f>
        <v/>
      </c>
      <c r="G165">
        <f>IF($L165="","",IF(INDEX(tblRegistros[Data],$L165)&gt;$D$4,"",IFERROR(INDEX(tblRegistros[Base],$L165),"")))</f>
        <v/>
      </c>
      <c r="H165" s="3">
        <f>IF($L165="","",IF(INDEX(tblRegistros[Data],$L165)&gt;$D$4,"",IFERROR(INDEX(tblRegistros[Taxa aplicada],$L165),"")))</f>
        <v/>
      </c>
      <c r="I165" s="3">
        <f>IF($L165="","",IF(INDEX(tblRegistros[Data],$L165)&gt;$D$4,"",IFERROR(IF(INDEX(tblRegistros[Status],$L165)="EM ABERTO","",INDEX(tblRegistros[Valor],$L165)),"")))</f>
        <v/>
      </c>
      <c r="J165">
        <f>IF($L165="","",IF(INDEX(tblRegistros[Data],$L165)&gt;$D$4,"",IFERROR(INDEX(tblRegistros[Status],$L165),"")))</f>
        <v/>
      </c>
      <c r="K165">
        <f>IF($L165="","",IF(INDEX(tblRegistros[Data],$L165)&gt;$D$4,"",IFERROR(INDEX(tblRegistros[Observação],$L165),"")))</f>
        <v/>
      </c>
      <c r="L165" s="16">
        <f>IFERROR(MATCH($B$3*100000+COUNTIFS(tblRegistros[ID],$B$3,tblRegistros[Data],"&lt;"&amp;$B$4)+ROWS($L$10:L165),tblRegistros[Chave do cartão],0),"")</f>
        <v/>
      </c>
    </row>
    <row r="166">
      <c r="A166" s="2">
        <f>IF($L166="","",IF(INDEX(tblRegistros[Data],$L166)&gt;$D$4,"",IFERROR(INDEX(tblRegistros[Data],$L166),"")))</f>
        <v/>
      </c>
      <c r="B166">
        <f>IF($L166="","",IF(INDEX(tblRegistros[Data],$L166)&gt;$D$4,"",IFERROR(INDEX(tblRegistros[Projeto],$L166),"")))</f>
        <v/>
      </c>
      <c r="C166">
        <f>IF($L166="","",IF(INDEX(tblRegistros[Data],$L166)&gt;$D$4,"",IFERROR(INDEX(tblRegistros[Atividade],$L166),"")))</f>
        <v/>
      </c>
      <c r="D166" s="4">
        <f>IF($L166="","",IF(INDEX(tblRegistros[Data],$L166)&gt;$D$4,"",IFERROR(INDEX(tblRegistros[Início],$L166),"")))</f>
        <v/>
      </c>
      <c r="E166" s="4">
        <f>IF($L166="","",IF(INDEX(tblRegistros[Data],$L166)&gt;$D$4,"",IFERROR(IF(INDEX(tblRegistros[Status],$L166)="EM ABERTO","",INDEX(tblRegistros[Fim],$L166)),"")))</f>
        <v/>
      </c>
      <c r="F166" s="14">
        <f>IF($L166="","",IF(INDEX(tblRegistros[Data],$L166)&gt;$D$4,"",IFERROR(IF(INDEX(tblRegistros[Status],$L166)="EM ABERTO","",INDEX(tblRegistros[Horas],$L166)),"")))</f>
        <v/>
      </c>
      <c r="G166">
        <f>IF($L166="","",IF(INDEX(tblRegistros[Data],$L166)&gt;$D$4,"",IFERROR(INDEX(tblRegistros[Base],$L166),"")))</f>
        <v/>
      </c>
      <c r="H166" s="3">
        <f>IF($L166="","",IF(INDEX(tblRegistros[Data],$L166)&gt;$D$4,"",IFERROR(INDEX(tblRegistros[Taxa aplicada],$L166),"")))</f>
        <v/>
      </c>
      <c r="I166" s="3">
        <f>IF($L166="","",IF(INDEX(tblRegistros[Data],$L166)&gt;$D$4,"",IFERROR(IF(INDEX(tblRegistros[Status],$L166)="EM ABERTO","",INDEX(tblRegistros[Valor],$L166)),"")))</f>
        <v/>
      </c>
      <c r="J166">
        <f>IF($L166="","",IF(INDEX(tblRegistros[Data],$L166)&gt;$D$4,"",IFERROR(INDEX(tblRegistros[Status],$L166),"")))</f>
        <v/>
      </c>
      <c r="K166">
        <f>IF($L166="","",IF(INDEX(tblRegistros[Data],$L166)&gt;$D$4,"",IFERROR(INDEX(tblRegistros[Observação],$L166),"")))</f>
        <v/>
      </c>
      <c r="L166" s="16">
        <f>IFERROR(MATCH($B$3*100000+COUNTIFS(tblRegistros[ID],$B$3,tblRegistros[Data],"&lt;"&amp;$B$4)+ROWS($L$10:L166),tblRegistros[Chave do cartão],0),"")</f>
        <v/>
      </c>
    </row>
    <row r="167">
      <c r="A167" s="2">
        <f>IF($L167="","",IF(INDEX(tblRegistros[Data],$L167)&gt;$D$4,"",IFERROR(INDEX(tblRegistros[Data],$L167),"")))</f>
        <v/>
      </c>
      <c r="B167">
        <f>IF($L167="","",IF(INDEX(tblRegistros[Data],$L167)&gt;$D$4,"",IFERROR(INDEX(tblRegistros[Projeto],$L167),"")))</f>
        <v/>
      </c>
      <c r="C167">
        <f>IF($L167="","",IF(INDEX(tblRegistros[Data],$L167)&gt;$D$4,"",IFERROR(INDEX(tblRegistros[Atividade],$L167),"")))</f>
        <v/>
      </c>
      <c r="D167" s="4">
        <f>IF($L167="","",IF(INDEX(tblRegistros[Data],$L167)&gt;$D$4,"",IFERROR(INDEX(tblRegistros[Início],$L167),"")))</f>
        <v/>
      </c>
      <c r="E167" s="4">
        <f>IF($L167="","",IF(INDEX(tblRegistros[Data],$L167)&gt;$D$4,"",IFERROR(IF(INDEX(tblRegistros[Status],$L167)="EM ABERTO","",INDEX(tblRegistros[Fim],$L167)),"")))</f>
        <v/>
      </c>
      <c r="F167" s="14">
        <f>IF($L167="","",IF(INDEX(tblRegistros[Data],$L167)&gt;$D$4,"",IFERROR(IF(INDEX(tblRegistros[Status],$L167)="EM ABERTO","",INDEX(tblRegistros[Horas],$L167)),"")))</f>
        <v/>
      </c>
      <c r="G167">
        <f>IF($L167="","",IF(INDEX(tblRegistros[Data],$L167)&gt;$D$4,"",IFERROR(INDEX(tblRegistros[Base],$L167),"")))</f>
        <v/>
      </c>
      <c r="H167" s="3">
        <f>IF($L167="","",IF(INDEX(tblRegistros[Data],$L167)&gt;$D$4,"",IFERROR(INDEX(tblRegistros[Taxa aplicada],$L167),"")))</f>
        <v/>
      </c>
      <c r="I167" s="3">
        <f>IF($L167="","",IF(INDEX(tblRegistros[Data],$L167)&gt;$D$4,"",IFERROR(IF(INDEX(tblRegistros[Status],$L167)="EM ABERTO","",INDEX(tblRegistros[Valor],$L167)),"")))</f>
        <v/>
      </c>
      <c r="J167">
        <f>IF($L167="","",IF(INDEX(tblRegistros[Data],$L167)&gt;$D$4,"",IFERROR(INDEX(tblRegistros[Status],$L167),"")))</f>
        <v/>
      </c>
      <c r="K167">
        <f>IF($L167="","",IF(INDEX(tblRegistros[Data],$L167)&gt;$D$4,"",IFERROR(INDEX(tblRegistros[Observação],$L167),"")))</f>
        <v/>
      </c>
      <c r="L167" s="16">
        <f>IFERROR(MATCH($B$3*100000+COUNTIFS(tblRegistros[ID],$B$3,tblRegistros[Data],"&lt;"&amp;$B$4)+ROWS($L$10:L167),tblRegistros[Chave do cartão],0),"")</f>
        <v/>
      </c>
    </row>
    <row r="168">
      <c r="A168" s="2">
        <f>IF($L168="","",IF(INDEX(tblRegistros[Data],$L168)&gt;$D$4,"",IFERROR(INDEX(tblRegistros[Data],$L168),"")))</f>
        <v/>
      </c>
      <c r="B168">
        <f>IF($L168="","",IF(INDEX(tblRegistros[Data],$L168)&gt;$D$4,"",IFERROR(INDEX(tblRegistros[Projeto],$L168),"")))</f>
        <v/>
      </c>
      <c r="C168">
        <f>IF($L168="","",IF(INDEX(tblRegistros[Data],$L168)&gt;$D$4,"",IFERROR(INDEX(tblRegistros[Atividade],$L168),"")))</f>
        <v/>
      </c>
      <c r="D168" s="4">
        <f>IF($L168="","",IF(INDEX(tblRegistros[Data],$L168)&gt;$D$4,"",IFERROR(INDEX(tblRegistros[Início],$L168),"")))</f>
        <v/>
      </c>
      <c r="E168" s="4">
        <f>IF($L168="","",IF(INDEX(tblRegistros[Data],$L168)&gt;$D$4,"",IFERROR(IF(INDEX(tblRegistros[Status],$L168)="EM ABERTO","",INDEX(tblRegistros[Fim],$L168)),"")))</f>
        <v/>
      </c>
      <c r="F168" s="14">
        <f>IF($L168="","",IF(INDEX(tblRegistros[Data],$L168)&gt;$D$4,"",IFERROR(IF(INDEX(tblRegistros[Status],$L168)="EM ABERTO","",INDEX(tblRegistros[Horas],$L168)),"")))</f>
        <v/>
      </c>
      <c r="G168">
        <f>IF($L168="","",IF(INDEX(tblRegistros[Data],$L168)&gt;$D$4,"",IFERROR(INDEX(tblRegistros[Base],$L168),"")))</f>
        <v/>
      </c>
      <c r="H168" s="3">
        <f>IF($L168="","",IF(INDEX(tblRegistros[Data],$L168)&gt;$D$4,"",IFERROR(INDEX(tblRegistros[Taxa aplicada],$L168),"")))</f>
        <v/>
      </c>
      <c r="I168" s="3">
        <f>IF($L168="","",IF(INDEX(tblRegistros[Data],$L168)&gt;$D$4,"",IFERROR(IF(INDEX(tblRegistros[Status],$L168)="EM ABERTO","",INDEX(tblRegistros[Valor],$L168)),"")))</f>
        <v/>
      </c>
      <c r="J168">
        <f>IF($L168="","",IF(INDEX(tblRegistros[Data],$L168)&gt;$D$4,"",IFERROR(INDEX(tblRegistros[Status],$L168),"")))</f>
        <v/>
      </c>
      <c r="K168">
        <f>IF($L168="","",IF(INDEX(tblRegistros[Data],$L168)&gt;$D$4,"",IFERROR(INDEX(tblRegistros[Observação],$L168),"")))</f>
        <v/>
      </c>
      <c r="L168" s="16">
        <f>IFERROR(MATCH($B$3*100000+COUNTIFS(tblRegistros[ID],$B$3,tblRegistros[Data],"&lt;"&amp;$B$4)+ROWS($L$10:L168),tblRegistros[Chave do cartão],0),"")</f>
        <v/>
      </c>
    </row>
    <row r="169">
      <c r="A169" s="2">
        <f>IF($L169="","",IF(INDEX(tblRegistros[Data],$L169)&gt;$D$4,"",IFERROR(INDEX(tblRegistros[Data],$L169),"")))</f>
        <v/>
      </c>
      <c r="B169">
        <f>IF($L169="","",IF(INDEX(tblRegistros[Data],$L169)&gt;$D$4,"",IFERROR(INDEX(tblRegistros[Projeto],$L169),"")))</f>
        <v/>
      </c>
      <c r="C169">
        <f>IF($L169="","",IF(INDEX(tblRegistros[Data],$L169)&gt;$D$4,"",IFERROR(INDEX(tblRegistros[Atividade],$L169),"")))</f>
        <v/>
      </c>
      <c r="D169" s="4">
        <f>IF($L169="","",IF(INDEX(tblRegistros[Data],$L169)&gt;$D$4,"",IFERROR(INDEX(tblRegistros[Início],$L169),"")))</f>
        <v/>
      </c>
      <c r="E169" s="4">
        <f>IF($L169="","",IF(INDEX(tblRegistros[Data],$L169)&gt;$D$4,"",IFERROR(IF(INDEX(tblRegistros[Status],$L169)="EM ABERTO","",INDEX(tblRegistros[Fim],$L169)),"")))</f>
        <v/>
      </c>
      <c r="F169" s="14">
        <f>IF($L169="","",IF(INDEX(tblRegistros[Data],$L169)&gt;$D$4,"",IFERROR(IF(INDEX(tblRegistros[Status],$L169)="EM ABERTO","",INDEX(tblRegistros[Horas],$L169)),"")))</f>
        <v/>
      </c>
      <c r="G169">
        <f>IF($L169="","",IF(INDEX(tblRegistros[Data],$L169)&gt;$D$4,"",IFERROR(INDEX(tblRegistros[Base],$L169),"")))</f>
        <v/>
      </c>
      <c r="H169" s="3">
        <f>IF($L169="","",IF(INDEX(tblRegistros[Data],$L169)&gt;$D$4,"",IFERROR(INDEX(tblRegistros[Taxa aplicada],$L169),"")))</f>
        <v/>
      </c>
      <c r="I169" s="3">
        <f>IF($L169="","",IF(INDEX(tblRegistros[Data],$L169)&gt;$D$4,"",IFERROR(IF(INDEX(tblRegistros[Status],$L169)="EM ABERTO","",INDEX(tblRegistros[Valor],$L169)),"")))</f>
        <v/>
      </c>
      <c r="J169">
        <f>IF($L169="","",IF(INDEX(tblRegistros[Data],$L169)&gt;$D$4,"",IFERROR(INDEX(tblRegistros[Status],$L169),"")))</f>
        <v/>
      </c>
      <c r="K169">
        <f>IF($L169="","",IF(INDEX(tblRegistros[Data],$L169)&gt;$D$4,"",IFERROR(INDEX(tblRegistros[Observação],$L169),"")))</f>
        <v/>
      </c>
      <c r="L169" s="16">
        <f>IFERROR(MATCH($B$3*100000+COUNTIFS(tblRegistros[ID],$B$3,tblRegistros[Data],"&lt;"&amp;$B$4)+ROWS($L$10:L169),tblRegistros[Chave do cartão],0),"")</f>
        <v/>
      </c>
    </row>
    <row r="170">
      <c r="A170" s="2">
        <f>IF($L170="","",IF(INDEX(tblRegistros[Data],$L170)&gt;$D$4,"",IFERROR(INDEX(tblRegistros[Data],$L170),"")))</f>
        <v/>
      </c>
      <c r="B170">
        <f>IF($L170="","",IF(INDEX(tblRegistros[Data],$L170)&gt;$D$4,"",IFERROR(INDEX(tblRegistros[Projeto],$L170),"")))</f>
        <v/>
      </c>
      <c r="C170">
        <f>IF($L170="","",IF(INDEX(tblRegistros[Data],$L170)&gt;$D$4,"",IFERROR(INDEX(tblRegistros[Atividade],$L170),"")))</f>
        <v/>
      </c>
      <c r="D170" s="4">
        <f>IF($L170="","",IF(INDEX(tblRegistros[Data],$L170)&gt;$D$4,"",IFERROR(INDEX(tblRegistros[Início],$L170),"")))</f>
        <v/>
      </c>
      <c r="E170" s="4">
        <f>IF($L170="","",IF(INDEX(tblRegistros[Data],$L170)&gt;$D$4,"",IFERROR(IF(INDEX(tblRegistros[Status],$L170)="EM ABERTO","",INDEX(tblRegistros[Fim],$L170)),"")))</f>
        <v/>
      </c>
      <c r="F170" s="14">
        <f>IF($L170="","",IF(INDEX(tblRegistros[Data],$L170)&gt;$D$4,"",IFERROR(IF(INDEX(tblRegistros[Status],$L170)="EM ABERTO","",INDEX(tblRegistros[Horas],$L170)),"")))</f>
        <v/>
      </c>
      <c r="G170">
        <f>IF($L170="","",IF(INDEX(tblRegistros[Data],$L170)&gt;$D$4,"",IFERROR(INDEX(tblRegistros[Base],$L170),"")))</f>
        <v/>
      </c>
      <c r="H170" s="3">
        <f>IF($L170="","",IF(INDEX(tblRegistros[Data],$L170)&gt;$D$4,"",IFERROR(INDEX(tblRegistros[Taxa aplicada],$L170),"")))</f>
        <v/>
      </c>
      <c r="I170" s="3">
        <f>IF($L170="","",IF(INDEX(tblRegistros[Data],$L170)&gt;$D$4,"",IFERROR(IF(INDEX(tblRegistros[Status],$L170)="EM ABERTO","",INDEX(tblRegistros[Valor],$L170)),"")))</f>
        <v/>
      </c>
      <c r="J170">
        <f>IF($L170="","",IF(INDEX(tblRegistros[Data],$L170)&gt;$D$4,"",IFERROR(INDEX(tblRegistros[Status],$L170),"")))</f>
        <v/>
      </c>
      <c r="K170">
        <f>IF($L170="","",IF(INDEX(tblRegistros[Data],$L170)&gt;$D$4,"",IFERROR(INDEX(tblRegistros[Observação],$L170),"")))</f>
        <v/>
      </c>
      <c r="L170" s="16">
        <f>IFERROR(MATCH($B$3*100000+COUNTIFS(tblRegistros[ID],$B$3,tblRegistros[Data],"&lt;"&amp;$B$4)+ROWS($L$10:L170),tblRegistros[Chave do cartão],0),"")</f>
        <v/>
      </c>
    </row>
    <row r="171">
      <c r="A171" s="2">
        <f>IF($L171="","",IF(INDEX(tblRegistros[Data],$L171)&gt;$D$4,"",IFERROR(INDEX(tblRegistros[Data],$L171),"")))</f>
        <v/>
      </c>
      <c r="B171">
        <f>IF($L171="","",IF(INDEX(tblRegistros[Data],$L171)&gt;$D$4,"",IFERROR(INDEX(tblRegistros[Projeto],$L171),"")))</f>
        <v/>
      </c>
      <c r="C171">
        <f>IF($L171="","",IF(INDEX(tblRegistros[Data],$L171)&gt;$D$4,"",IFERROR(INDEX(tblRegistros[Atividade],$L171),"")))</f>
        <v/>
      </c>
      <c r="D171" s="4">
        <f>IF($L171="","",IF(INDEX(tblRegistros[Data],$L171)&gt;$D$4,"",IFERROR(INDEX(tblRegistros[Início],$L171),"")))</f>
        <v/>
      </c>
      <c r="E171" s="4">
        <f>IF($L171="","",IF(INDEX(tblRegistros[Data],$L171)&gt;$D$4,"",IFERROR(IF(INDEX(tblRegistros[Status],$L171)="EM ABERTO","",INDEX(tblRegistros[Fim],$L171)),"")))</f>
        <v/>
      </c>
      <c r="F171" s="14">
        <f>IF($L171="","",IF(INDEX(tblRegistros[Data],$L171)&gt;$D$4,"",IFERROR(IF(INDEX(tblRegistros[Status],$L171)="EM ABERTO","",INDEX(tblRegistros[Horas],$L171)),"")))</f>
        <v/>
      </c>
      <c r="G171">
        <f>IF($L171="","",IF(INDEX(tblRegistros[Data],$L171)&gt;$D$4,"",IFERROR(INDEX(tblRegistros[Base],$L171),"")))</f>
        <v/>
      </c>
      <c r="H171" s="3">
        <f>IF($L171="","",IF(INDEX(tblRegistros[Data],$L171)&gt;$D$4,"",IFERROR(INDEX(tblRegistros[Taxa aplicada],$L171),"")))</f>
        <v/>
      </c>
      <c r="I171" s="3">
        <f>IF($L171="","",IF(INDEX(tblRegistros[Data],$L171)&gt;$D$4,"",IFERROR(IF(INDEX(tblRegistros[Status],$L171)="EM ABERTO","",INDEX(tblRegistros[Valor],$L171)),"")))</f>
        <v/>
      </c>
      <c r="J171">
        <f>IF($L171="","",IF(INDEX(tblRegistros[Data],$L171)&gt;$D$4,"",IFERROR(INDEX(tblRegistros[Status],$L171),"")))</f>
        <v/>
      </c>
      <c r="K171">
        <f>IF($L171="","",IF(INDEX(tblRegistros[Data],$L171)&gt;$D$4,"",IFERROR(INDEX(tblRegistros[Observação],$L171),"")))</f>
        <v/>
      </c>
      <c r="L171" s="16">
        <f>IFERROR(MATCH($B$3*100000+COUNTIFS(tblRegistros[ID],$B$3,tblRegistros[Data],"&lt;"&amp;$B$4)+ROWS($L$10:L171),tblRegistros[Chave do cartão],0),"")</f>
        <v/>
      </c>
    </row>
    <row r="172">
      <c r="A172" s="2">
        <f>IF($L172="","",IF(INDEX(tblRegistros[Data],$L172)&gt;$D$4,"",IFERROR(INDEX(tblRegistros[Data],$L172),"")))</f>
        <v/>
      </c>
      <c r="B172">
        <f>IF($L172="","",IF(INDEX(tblRegistros[Data],$L172)&gt;$D$4,"",IFERROR(INDEX(tblRegistros[Projeto],$L172),"")))</f>
        <v/>
      </c>
      <c r="C172">
        <f>IF($L172="","",IF(INDEX(tblRegistros[Data],$L172)&gt;$D$4,"",IFERROR(INDEX(tblRegistros[Atividade],$L172),"")))</f>
        <v/>
      </c>
      <c r="D172" s="4">
        <f>IF($L172="","",IF(INDEX(tblRegistros[Data],$L172)&gt;$D$4,"",IFERROR(INDEX(tblRegistros[Início],$L172),"")))</f>
        <v/>
      </c>
      <c r="E172" s="4">
        <f>IF($L172="","",IF(INDEX(tblRegistros[Data],$L172)&gt;$D$4,"",IFERROR(IF(INDEX(tblRegistros[Status],$L172)="EM ABERTO","",INDEX(tblRegistros[Fim],$L172)),"")))</f>
        <v/>
      </c>
      <c r="F172" s="14">
        <f>IF($L172="","",IF(INDEX(tblRegistros[Data],$L172)&gt;$D$4,"",IFERROR(IF(INDEX(tblRegistros[Status],$L172)="EM ABERTO","",INDEX(tblRegistros[Horas],$L172)),"")))</f>
        <v/>
      </c>
      <c r="G172">
        <f>IF($L172="","",IF(INDEX(tblRegistros[Data],$L172)&gt;$D$4,"",IFERROR(INDEX(tblRegistros[Base],$L172),"")))</f>
        <v/>
      </c>
      <c r="H172" s="3">
        <f>IF($L172="","",IF(INDEX(tblRegistros[Data],$L172)&gt;$D$4,"",IFERROR(INDEX(tblRegistros[Taxa aplicada],$L172),"")))</f>
        <v/>
      </c>
      <c r="I172" s="3">
        <f>IF($L172="","",IF(INDEX(tblRegistros[Data],$L172)&gt;$D$4,"",IFERROR(IF(INDEX(tblRegistros[Status],$L172)="EM ABERTO","",INDEX(tblRegistros[Valor],$L172)),"")))</f>
        <v/>
      </c>
      <c r="J172">
        <f>IF($L172="","",IF(INDEX(tblRegistros[Data],$L172)&gt;$D$4,"",IFERROR(INDEX(tblRegistros[Status],$L172),"")))</f>
        <v/>
      </c>
      <c r="K172">
        <f>IF($L172="","",IF(INDEX(tblRegistros[Data],$L172)&gt;$D$4,"",IFERROR(INDEX(tblRegistros[Observação],$L172),"")))</f>
        <v/>
      </c>
      <c r="L172" s="16">
        <f>IFERROR(MATCH($B$3*100000+COUNTIFS(tblRegistros[ID],$B$3,tblRegistros[Data],"&lt;"&amp;$B$4)+ROWS($L$10:L172),tblRegistros[Chave do cartão],0),"")</f>
        <v/>
      </c>
    </row>
    <row r="173">
      <c r="A173" s="2">
        <f>IF($L173="","",IF(INDEX(tblRegistros[Data],$L173)&gt;$D$4,"",IFERROR(INDEX(tblRegistros[Data],$L173),"")))</f>
        <v/>
      </c>
      <c r="B173">
        <f>IF($L173="","",IF(INDEX(tblRegistros[Data],$L173)&gt;$D$4,"",IFERROR(INDEX(tblRegistros[Projeto],$L173),"")))</f>
        <v/>
      </c>
      <c r="C173">
        <f>IF($L173="","",IF(INDEX(tblRegistros[Data],$L173)&gt;$D$4,"",IFERROR(INDEX(tblRegistros[Atividade],$L173),"")))</f>
        <v/>
      </c>
      <c r="D173" s="4">
        <f>IF($L173="","",IF(INDEX(tblRegistros[Data],$L173)&gt;$D$4,"",IFERROR(INDEX(tblRegistros[Início],$L173),"")))</f>
        <v/>
      </c>
      <c r="E173" s="4">
        <f>IF($L173="","",IF(INDEX(tblRegistros[Data],$L173)&gt;$D$4,"",IFERROR(IF(INDEX(tblRegistros[Status],$L173)="EM ABERTO","",INDEX(tblRegistros[Fim],$L173)),"")))</f>
        <v/>
      </c>
      <c r="F173" s="14">
        <f>IF($L173="","",IF(INDEX(tblRegistros[Data],$L173)&gt;$D$4,"",IFERROR(IF(INDEX(tblRegistros[Status],$L173)="EM ABERTO","",INDEX(tblRegistros[Horas],$L173)),"")))</f>
        <v/>
      </c>
      <c r="G173">
        <f>IF($L173="","",IF(INDEX(tblRegistros[Data],$L173)&gt;$D$4,"",IFERROR(INDEX(tblRegistros[Base],$L173),"")))</f>
        <v/>
      </c>
      <c r="H173" s="3">
        <f>IF($L173="","",IF(INDEX(tblRegistros[Data],$L173)&gt;$D$4,"",IFERROR(INDEX(tblRegistros[Taxa aplicada],$L173),"")))</f>
        <v/>
      </c>
      <c r="I173" s="3">
        <f>IF($L173="","",IF(INDEX(tblRegistros[Data],$L173)&gt;$D$4,"",IFERROR(IF(INDEX(tblRegistros[Status],$L173)="EM ABERTO","",INDEX(tblRegistros[Valor],$L173)),"")))</f>
        <v/>
      </c>
      <c r="J173">
        <f>IF($L173="","",IF(INDEX(tblRegistros[Data],$L173)&gt;$D$4,"",IFERROR(INDEX(tblRegistros[Status],$L173),"")))</f>
        <v/>
      </c>
      <c r="K173">
        <f>IF($L173="","",IF(INDEX(tblRegistros[Data],$L173)&gt;$D$4,"",IFERROR(INDEX(tblRegistros[Observação],$L173),"")))</f>
        <v/>
      </c>
      <c r="L173" s="16">
        <f>IFERROR(MATCH($B$3*100000+COUNTIFS(tblRegistros[ID],$B$3,tblRegistros[Data],"&lt;"&amp;$B$4)+ROWS($L$10:L173),tblRegistros[Chave do cartão],0),"")</f>
        <v/>
      </c>
    </row>
    <row r="174">
      <c r="A174" s="2">
        <f>IF($L174="","",IF(INDEX(tblRegistros[Data],$L174)&gt;$D$4,"",IFERROR(INDEX(tblRegistros[Data],$L174),"")))</f>
        <v/>
      </c>
      <c r="B174">
        <f>IF($L174="","",IF(INDEX(tblRegistros[Data],$L174)&gt;$D$4,"",IFERROR(INDEX(tblRegistros[Projeto],$L174),"")))</f>
        <v/>
      </c>
      <c r="C174">
        <f>IF($L174="","",IF(INDEX(tblRegistros[Data],$L174)&gt;$D$4,"",IFERROR(INDEX(tblRegistros[Atividade],$L174),"")))</f>
        <v/>
      </c>
      <c r="D174" s="4">
        <f>IF($L174="","",IF(INDEX(tblRegistros[Data],$L174)&gt;$D$4,"",IFERROR(INDEX(tblRegistros[Início],$L174),"")))</f>
        <v/>
      </c>
      <c r="E174" s="4">
        <f>IF($L174="","",IF(INDEX(tblRegistros[Data],$L174)&gt;$D$4,"",IFERROR(IF(INDEX(tblRegistros[Status],$L174)="EM ABERTO","",INDEX(tblRegistros[Fim],$L174)),"")))</f>
        <v/>
      </c>
      <c r="F174" s="14">
        <f>IF($L174="","",IF(INDEX(tblRegistros[Data],$L174)&gt;$D$4,"",IFERROR(IF(INDEX(tblRegistros[Status],$L174)="EM ABERTO","",INDEX(tblRegistros[Horas],$L174)),"")))</f>
        <v/>
      </c>
      <c r="G174">
        <f>IF($L174="","",IF(INDEX(tblRegistros[Data],$L174)&gt;$D$4,"",IFERROR(INDEX(tblRegistros[Base],$L174),"")))</f>
        <v/>
      </c>
      <c r="H174" s="3">
        <f>IF($L174="","",IF(INDEX(tblRegistros[Data],$L174)&gt;$D$4,"",IFERROR(INDEX(tblRegistros[Taxa aplicada],$L174),"")))</f>
        <v/>
      </c>
      <c r="I174" s="3">
        <f>IF($L174="","",IF(INDEX(tblRegistros[Data],$L174)&gt;$D$4,"",IFERROR(IF(INDEX(tblRegistros[Status],$L174)="EM ABERTO","",INDEX(tblRegistros[Valor],$L174)),"")))</f>
        <v/>
      </c>
      <c r="J174">
        <f>IF($L174="","",IF(INDEX(tblRegistros[Data],$L174)&gt;$D$4,"",IFERROR(INDEX(tblRegistros[Status],$L174),"")))</f>
        <v/>
      </c>
      <c r="K174">
        <f>IF($L174="","",IF(INDEX(tblRegistros[Data],$L174)&gt;$D$4,"",IFERROR(INDEX(tblRegistros[Observação],$L174),"")))</f>
        <v/>
      </c>
      <c r="L174" s="16">
        <f>IFERROR(MATCH($B$3*100000+COUNTIFS(tblRegistros[ID],$B$3,tblRegistros[Data],"&lt;"&amp;$B$4)+ROWS($L$10:L174),tblRegistros[Chave do cartão],0),"")</f>
        <v/>
      </c>
    </row>
    <row r="175">
      <c r="A175" s="2">
        <f>IF($L175="","",IF(INDEX(tblRegistros[Data],$L175)&gt;$D$4,"",IFERROR(INDEX(tblRegistros[Data],$L175),"")))</f>
        <v/>
      </c>
      <c r="B175">
        <f>IF($L175="","",IF(INDEX(tblRegistros[Data],$L175)&gt;$D$4,"",IFERROR(INDEX(tblRegistros[Projeto],$L175),"")))</f>
        <v/>
      </c>
      <c r="C175">
        <f>IF($L175="","",IF(INDEX(tblRegistros[Data],$L175)&gt;$D$4,"",IFERROR(INDEX(tblRegistros[Atividade],$L175),"")))</f>
        <v/>
      </c>
      <c r="D175" s="4">
        <f>IF($L175="","",IF(INDEX(tblRegistros[Data],$L175)&gt;$D$4,"",IFERROR(INDEX(tblRegistros[Início],$L175),"")))</f>
        <v/>
      </c>
      <c r="E175" s="4">
        <f>IF($L175="","",IF(INDEX(tblRegistros[Data],$L175)&gt;$D$4,"",IFERROR(IF(INDEX(tblRegistros[Status],$L175)="EM ABERTO","",INDEX(tblRegistros[Fim],$L175)),"")))</f>
        <v/>
      </c>
      <c r="F175" s="14">
        <f>IF($L175="","",IF(INDEX(tblRegistros[Data],$L175)&gt;$D$4,"",IFERROR(IF(INDEX(tblRegistros[Status],$L175)="EM ABERTO","",INDEX(tblRegistros[Horas],$L175)),"")))</f>
        <v/>
      </c>
      <c r="G175">
        <f>IF($L175="","",IF(INDEX(tblRegistros[Data],$L175)&gt;$D$4,"",IFERROR(INDEX(tblRegistros[Base],$L175),"")))</f>
        <v/>
      </c>
      <c r="H175" s="3">
        <f>IF($L175="","",IF(INDEX(tblRegistros[Data],$L175)&gt;$D$4,"",IFERROR(INDEX(tblRegistros[Taxa aplicada],$L175),"")))</f>
        <v/>
      </c>
      <c r="I175" s="3">
        <f>IF($L175="","",IF(INDEX(tblRegistros[Data],$L175)&gt;$D$4,"",IFERROR(IF(INDEX(tblRegistros[Status],$L175)="EM ABERTO","",INDEX(tblRegistros[Valor],$L175)),"")))</f>
        <v/>
      </c>
      <c r="J175">
        <f>IF($L175="","",IF(INDEX(tblRegistros[Data],$L175)&gt;$D$4,"",IFERROR(INDEX(tblRegistros[Status],$L175),"")))</f>
        <v/>
      </c>
      <c r="K175">
        <f>IF($L175="","",IF(INDEX(tblRegistros[Data],$L175)&gt;$D$4,"",IFERROR(INDEX(tblRegistros[Observação],$L175),"")))</f>
        <v/>
      </c>
      <c r="L175" s="16">
        <f>IFERROR(MATCH($B$3*100000+COUNTIFS(tblRegistros[ID],$B$3,tblRegistros[Data],"&lt;"&amp;$B$4)+ROWS($L$10:L175),tblRegistros[Chave do cartão],0),"")</f>
        <v/>
      </c>
    </row>
    <row r="176">
      <c r="A176" s="2">
        <f>IF($L176="","",IF(INDEX(tblRegistros[Data],$L176)&gt;$D$4,"",IFERROR(INDEX(tblRegistros[Data],$L176),"")))</f>
        <v/>
      </c>
      <c r="B176">
        <f>IF($L176="","",IF(INDEX(tblRegistros[Data],$L176)&gt;$D$4,"",IFERROR(INDEX(tblRegistros[Projeto],$L176),"")))</f>
        <v/>
      </c>
      <c r="C176">
        <f>IF($L176="","",IF(INDEX(tblRegistros[Data],$L176)&gt;$D$4,"",IFERROR(INDEX(tblRegistros[Atividade],$L176),"")))</f>
        <v/>
      </c>
      <c r="D176" s="4">
        <f>IF($L176="","",IF(INDEX(tblRegistros[Data],$L176)&gt;$D$4,"",IFERROR(INDEX(tblRegistros[Início],$L176),"")))</f>
        <v/>
      </c>
      <c r="E176" s="4">
        <f>IF($L176="","",IF(INDEX(tblRegistros[Data],$L176)&gt;$D$4,"",IFERROR(IF(INDEX(tblRegistros[Status],$L176)="EM ABERTO","",INDEX(tblRegistros[Fim],$L176)),"")))</f>
        <v/>
      </c>
      <c r="F176" s="14">
        <f>IF($L176="","",IF(INDEX(tblRegistros[Data],$L176)&gt;$D$4,"",IFERROR(IF(INDEX(tblRegistros[Status],$L176)="EM ABERTO","",INDEX(tblRegistros[Horas],$L176)),"")))</f>
        <v/>
      </c>
      <c r="G176">
        <f>IF($L176="","",IF(INDEX(tblRegistros[Data],$L176)&gt;$D$4,"",IFERROR(INDEX(tblRegistros[Base],$L176),"")))</f>
        <v/>
      </c>
      <c r="H176" s="3">
        <f>IF($L176="","",IF(INDEX(tblRegistros[Data],$L176)&gt;$D$4,"",IFERROR(INDEX(tblRegistros[Taxa aplicada],$L176),"")))</f>
        <v/>
      </c>
      <c r="I176" s="3">
        <f>IF($L176="","",IF(INDEX(tblRegistros[Data],$L176)&gt;$D$4,"",IFERROR(IF(INDEX(tblRegistros[Status],$L176)="EM ABERTO","",INDEX(tblRegistros[Valor],$L176)),"")))</f>
        <v/>
      </c>
      <c r="J176">
        <f>IF($L176="","",IF(INDEX(tblRegistros[Data],$L176)&gt;$D$4,"",IFERROR(INDEX(tblRegistros[Status],$L176),"")))</f>
        <v/>
      </c>
      <c r="K176">
        <f>IF($L176="","",IF(INDEX(tblRegistros[Data],$L176)&gt;$D$4,"",IFERROR(INDEX(tblRegistros[Observação],$L176),"")))</f>
        <v/>
      </c>
      <c r="L176" s="16">
        <f>IFERROR(MATCH($B$3*100000+COUNTIFS(tblRegistros[ID],$B$3,tblRegistros[Data],"&lt;"&amp;$B$4)+ROWS($L$10:L176),tblRegistros[Chave do cartão],0),"")</f>
        <v/>
      </c>
    </row>
    <row r="177">
      <c r="A177" s="2">
        <f>IF($L177="","",IF(INDEX(tblRegistros[Data],$L177)&gt;$D$4,"",IFERROR(INDEX(tblRegistros[Data],$L177),"")))</f>
        <v/>
      </c>
      <c r="B177">
        <f>IF($L177="","",IF(INDEX(tblRegistros[Data],$L177)&gt;$D$4,"",IFERROR(INDEX(tblRegistros[Projeto],$L177),"")))</f>
        <v/>
      </c>
      <c r="C177">
        <f>IF($L177="","",IF(INDEX(tblRegistros[Data],$L177)&gt;$D$4,"",IFERROR(INDEX(tblRegistros[Atividade],$L177),"")))</f>
        <v/>
      </c>
      <c r="D177" s="4">
        <f>IF($L177="","",IF(INDEX(tblRegistros[Data],$L177)&gt;$D$4,"",IFERROR(INDEX(tblRegistros[Início],$L177),"")))</f>
        <v/>
      </c>
      <c r="E177" s="4">
        <f>IF($L177="","",IF(INDEX(tblRegistros[Data],$L177)&gt;$D$4,"",IFERROR(IF(INDEX(tblRegistros[Status],$L177)="EM ABERTO","",INDEX(tblRegistros[Fim],$L177)),"")))</f>
        <v/>
      </c>
      <c r="F177" s="14">
        <f>IF($L177="","",IF(INDEX(tblRegistros[Data],$L177)&gt;$D$4,"",IFERROR(IF(INDEX(tblRegistros[Status],$L177)="EM ABERTO","",INDEX(tblRegistros[Horas],$L177)),"")))</f>
        <v/>
      </c>
      <c r="G177">
        <f>IF($L177="","",IF(INDEX(tblRegistros[Data],$L177)&gt;$D$4,"",IFERROR(INDEX(tblRegistros[Base],$L177),"")))</f>
        <v/>
      </c>
      <c r="H177" s="3">
        <f>IF($L177="","",IF(INDEX(tblRegistros[Data],$L177)&gt;$D$4,"",IFERROR(INDEX(tblRegistros[Taxa aplicada],$L177),"")))</f>
        <v/>
      </c>
      <c r="I177" s="3">
        <f>IF($L177="","",IF(INDEX(tblRegistros[Data],$L177)&gt;$D$4,"",IFERROR(IF(INDEX(tblRegistros[Status],$L177)="EM ABERTO","",INDEX(tblRegistros[Valor],$L177)),"")))</f>
        <v/>
      </c>
      <c r="J177">
        <f>IF($L177="","",IF(INDEX(tblRegistros[Data],$L177)&gt;$D$4,"",IFERROR(INDEX(tblRegistros[Status],$L177),"")))</f>
        <v/>
      </c>
      <c r="K177">
        <f>IF($L177="","",IF(INDEX(tblRegistros[Data],$L177)&gt;$D$4,"",IFERROR(INDEX(tblRegistros[Observação],$L177),"")))</f>
        <v/>
      </c>
      <c r="L177" s="16">
        <f>IFERROR(MATCH($B$3*100000+COUNTIFS(tblRegistros[ID],$B$3,tblRegistros[Data],"&lt;"&amp;$B$4)+ROWS($L$10:L177),tblRegistros[Chave do cartão],0),"")</f>
        <v/>
      </c>
    </row>
    <row r="178">
      <c r="A178" s="2">
        <f>IF($L178="","",IF(INDEX(tblRegistros[Data],$L178)&gt;$D$4,"",IFERROR(INDEX(tblRegistros[Data],$L178),"")))</f>
        <v/>
      </c>
      <c r="B178">
        <f>IF($L178="","",IF(INDEX(tblRegistros[Data],$L178)&gt;$D$4,"",IFERROR(INDEX(tblRegistros[Projeto],$L178),"")))</f>
        <v/>
      </c>
      <c r="C178">
        <f>IF($L178="","",IF(INDEX(tblRegistros[Data],$L178)&gt;$D$4,"",IFERROR(INDEX(tblRegistros[Atividade],$L178),"")))</f>
        <v/>
      </c>
      <c r="D178" s="4">
        <f>IF($L178="","",IF(INDEX(tblRegistros[Data],$L178)&gt;$D$4,"",IFERROR(INDEX(tblRegistros[Início],$L178),"")))</f>
        <v/>
      </c>
      <c r="E178" s="4">
        <f>IF($L178="","",IF(INDEX(tblRegistros[Data],$L178)&gt;$D$4,"",IFERROR(IF(INDEX(tblRegistros[Status],$L178)="EM ABERTO","",INDEX(tblRegistros[Fim],$L178)),"")))</f>
        <v/>
      </c>
      <c r="F178" s="14">
        <f>IF($L178="","",IF(INDEX(tblRegistros[Data],$L178)&gt;$D$4,"",IFERROR(IF(INDEX(tblRegistros[Status],$L178)="EM ABERTO","",INDEX(tblRegistros[Horas],$L178)),"")))</f>
        <v/>
      </c>
      <c r="G178">
        <f>IF($L178="","",IF(INDEX(tblRegistros[Data],$L178)&gt;$D$4,"",IFERROR(INDEX(tblRegistros[Base],$L178),"")))</f>
        <v/>
      </c>
      <c r="H178" s="3">
        <f>IF($L178="","",IF(INDEX(tblRegistros[Data],$L178)&gt;$D$4,"",IFERROR(INDEX(tblRegistros[Taxa aplicada],$L178),"")))</f>
        <v/>
      </c>
      <c r="I178" s="3">
        <f>IF($L178="","",IF(INDEX(tblRegistros[Data],$L178)&gt;$D$4,"",IFERROR(IF(INDEX(tblRegistros[Status],$L178)="EM ABERTO","",INDEX(tblRegistros[Valor],$L178)),"")))</f>
        <v/>
      </c>
      <c r="J178">
        <f>IF($L178="","",IF(INDEX(tblRegistros[Data],$L178)&gt;$D$4,"",IFERROR(INDEX(tblRegistros[Status],$L178),"")))</f>
        <v/>
      </c>
      <c r="K178">
        <f>IF($L178="","",IF(INDEX(tblRegistros[Data],$L178)&gt;$D$4,"",IFERROR(INDEX(tblRegistros[Observação],$L178),"")))</f>
        <v/>
      </c>
      <c r="L178" s="16">
        <f>IFERROR(MATCH($B$3*100000+COUNTIFS(tblRegistros[ID],$B$3,tblRegistros[Data],"&lt;"&amp;$B$4)+ROWS($L$10:L178),tblRegistros[Chave do cartão],0),"")</f>
        <v/>
      </c>
    </row>
    <row r="179">
      <c r="A179" s="2">
        <f>IF($L179="","",IF(INDEX(tblRegistros[Data],$L179)&gt;$D$4,"",IFERROR(INDEX(tblRegistros[Data],$L179),"")))</f>
        <v/>
      </c>
      <c r="B179">
        <f>IF($L179="","",IF(INDEX(tblRegistros[Data],$L179)&gt;$D$4,"",IFERROR(INDEX(tblRegistros[Projeto],$L179),"")))</f>
        <v/>
      </c>
      <c r="C179">
        <f>IF($L179="","",IF(INDEX(tblRegistros[Data],$L179)&gt;$D$4,"",IFERROR(INDEX(tblRegistros[Atividade],$L179),"")))</f>
        <v/>
      </c>
      <c r="D179" s="4">
        <f>IF($L179="","",IF(INDEX(tblRegistros[Data],$L179)&gt;$D$4,"",IFERROR(INDEX(tblRegistros[Início],$L179),"")))</f>
        <v/>
      </c>
      <c r="E179" s="4">
        <f>IF($L179="","",IF(INDEX(tblRegistros[Data],$L179)&gt;$D$4,"",IFERROR(IF(INDEX(tblRegistros[Status],$L179)="EM ABERTO","",INDEX(tblRegistros[Fim],$L179)),"")))</f>
        <v/>
      </c>
      <c r="F179" s="14">
        <f>IF($L179="","",IF(INDEX(tblRegistros[Data],$L179)&gt;$D$4,"",IFERROR(IF(INDEX(tblRegistros[Status],$L179)="EM ABERTO","",INDEX(tblRegistros[Horas],$L179)),"")))</f>
        <v/>
      </c>
      <c r="G179">
        <f>IF($L179="","",IF(INDEX(tblRegistros[Data],$L179)&gt;$D$4,"",IFERROR(INDEX(tblRegistros[Base],$L179),"")))</f>
        <v/>
      </c>
      <c r="H179" s="3">
        <f>IF($L179="","",IF(INDEX(tblRegistros[Data],$L179)&gt;$D$4,"",IFERROR(INDEX(tblRegistros[Taxa aplicada],$L179),"")))</f>
        <v/>
      </c>
      <c r="I179" s="3">
        <f>IF($L179="","",IF(INDEX(tblRegistros[Data],$L179)&gt;$D$4,"",IFERROR(IF(INDEX(tblRegistros[Status],$L179)="EM ABERTO","",INDEX(tblRegistros[Valor],$L179)),"")))</f>
        <v/>
      </c>
      <c r="J179">
        <f>IF($L179="","",IF(INDEX(tblRegistros[Data],$L179)&gt;$D$4,"",IFERROR(INDEX(tblRegistros[Status],$L179),"")))</f>
        <v/>
      </c>
      <c r="K179">
        <f>IF($L179="","",IF(INDEX(tblRegistros[Data],$L179)&gt;$D$4,"",IFERROR(INDEX(tblRegistros[Observação],$L179),"")))</f>
        <v/>
      </c>
      <c r="L179" s="16">
        <f>IFERROR(MATCH($B$3*100000+COUNTIFS(tblRegistros[ID],$B$3,tblRegistros[Data],"&lt;"&amp;$B$4)+ROWS($L$10:L179),tblRegistros[Chave do cartão],0),"")</f>
        <v/>
      </c>
    </row>
    <row r="180">
      <c r="A180" s="2">
        <f>IF($L180="","",IF(INDEX(tblRegistros[Data],$L180)&gt;$D$4,"",IFERROR(INDEX(tblRegistros[Data],$L180),"")))</f>
        <v/>
      </c>
      <c r="B180">
        <f>IF($L180="","",IF(INDEX(tblRegistros[Data],$L180)&gt;$D$4,"",IFERROR(INDEX(tblRegistros[Projeto],$L180),"")))</f>
        <v/>
      </c>
      <c r="C180">
        <f>IF($L180="","",IF(INDEX(tblRegistros[Data],$L180)&gt;$D$4,"",IFERROR(INDEX(tblRegistros[Atividade],$L180),"")))</f>
        <v/>
      </c>
      <c r="D180" s="4">
        <f>IF($L180="","",IF(INDEX(tblRegistros[Data],$L180)&gt;$D$4,"",IFERROR(INDEX(tblRegistros[Início],$L180),"")))</f>
        <v/>
      </c>
      <c r="E180" s="4">
        <f>IF($L180="","",IF(INDEX(tblRegistros[Data],$L180)&gt;$D$4,"",IFERROR(IF(INDEX(tblRegistros[Status],$L180)="EM ABERTO","",INDEX(tblRegistros[Fim],$L180)),"")))</f>
        <v/>
      </c>
      <c r="F180" s="14">
        <f>IF($L180="","",IF(INDEX(tblRegistros[Data],$L180)&gt;$D$4,"",IFERROR(IF(INDEX(tblRegistros[Status],$L180)="EM ABERTO","",INDEX(tblRegistros[Horas],$L180)),"")))</f>
        <v/>
      </c>
      <c r="G180">
        <f>IF($L180="","",IF(INDEX(tblRegistros[Data],$L180)&gt;$D$4,"",IFERROR(INDEX(tblRegistros[Base],$L180),"")))</f>
        <v/>
      </c>
      <c r="H180" s="3">
        <f>IF($L180="","",IF(INDEX(tblRegistros[Data],$L180)&gt;$D$4,"",IFERROR(INDEX(tblRegistros[Taxa aplicada],$L180),"")))</f>
        <v/>
      </c>
      <c r="I180" s="3">
        <f>IF($L180="","",IF(INDEX(tblRegistros[Data],$L180)&gt;$D$4,"",IFERROR(IF(INDEX(tblRegistros[Status],$L180)="EM ABERTO","",INDEX(tblRegistros[Valor],$L180)),"")))</f>
        <v/>
      </c>
      <c r="J180">
        <f>IF($L180="","",IF(INDEX(tblRegistros[Data],$L180)&gt;$D$4,"",IFERROR(INDEX(tblRegistros[Status],$L180),"")))</f>
        <v/>
      </c>
      <c r="K180">
        <f>IF($L180="","",IF(INDEX(tblRegistros[Data],$L180)&gt;$D$4,"",IFERROR(INDEX(tblRegistros[Observação],$L180),"")))</f>
        <v/>
      </c>
      <c r="L180" s="16">
        <f>IFERROR(MATCH($B$3*100000+COUNTIFS(tblRegistros[ID],$B$3,tblRegistros[Data],"&lt;"&amp;$B$4)+ROWS($L$10:L180),tblRegistros[Chave do cartão],0),"")</f>
        <v/>
      </c>
    </row>
    <row r="181">
      <c r="A181" s="2">
        <f>IF($L181="","",IF(INDEX(tblRegistros[Data],$L181)&gt;$D$4,"",IFERROR(INDEX(tblRegistros[Data],$L181),"")))</f>
        <v/>
      </c>
      <c r="B181">
        <f>IF($L181="","",IF(INDEX(tblRegistros[Data],$L181)&gt;$D$4,"",IFERROR(INDEX(tblRegistros[Projeto],$L181),"")))</f>
        <v/>
      </c>
      <c r="C181">
        <f>IF($L181="","",IF(INDEX(tblRegistros[Data],$L181)&gt;$D$4,"",IFERROR(INDEX(tblRegistros[Atividade],$L181),"")))</f>
        <v/>
      </c>
      <c r="D181" s="4">
        <f>IF($L181="","",IF(INDEX(tblRegistros[Data],$L181)&gt;$D$4,"",IFERROR(INDEX(tblRegistros[Início],$L181),"")))</f>
        <v/>
      </c>
      <c r="E181" s="4">
        <f>IF($L181="","",IF(INDEX(tblRegistros[Data],$L181)&gt;$D$4,"",IFERROR(IF(INDEX(tblRegistros[Status],$L181)="EM ABERTO","",INDEX(tblRegistros[Fim],$L181)),"")))</f>
        <v/>
      </c>
      <c r="F181" s="14">
        <f>IF($L181="","",IF(INDEX(tblRegistros[Data],$L181)&gt;$D$4,"",IFERROR(IF(INDEX(tblRegistros[Status],$L181)="EM ABERTO","",INDEX(tblRegistros[Horas],$L181)),"")))</f>
        <v/>
      </c>
      <c r="G181">
        <f>IF($L181="","",IF(INDEX(tblRegistros[Data],$L181)&gt;$D$4,"",IFERROR(INDEX(tblRegistros[Base],$L181),"")))</f>
        <v/>
      </c>
      <c r="H181" s="3">
        <f>IF($L181="","",IF(INDEX(tblRegistros[Data],$L181)&gt;$D$4,"",IFERROR(INDEX(tblRegistros[Taxa aplicada],$L181),"")))</f>
        <v/>
      </c>
      <c r="I181" s="3">
        <f>IF($L181="","",IF(INDEX(tblRegistros[Data],$L181)&gt;$D$4,"",IFERROR(IF(INDEX(tblRegistros[Status],$L181)="EM ABERTO","",INDEX(tblRegistros[Valor],$L181)),"")))</f>
        <v/>
      </c>
      <c r="J181">
        <f>IF($L181="","",IF(INDEX(tblRegistros[Data],$L181)&gt;$D$4,"",IFERROR(INDEX(tblRegistros[Status],$L181),"")))</f>
        <v/>
      </c>
      <c r="K181">
        <f>IF($L181="","",IF(INDEX(tblRegistros[Data],$L181)&gt;$D$4,"",IFERROR(INDEX(tblRegistros[Observação],$L181),"")))</f>
        <v/>
      </c>
      <c r="L181" s="16">
        <f>IFERROR(MATCH($B$3*100000+COUNTIFS(tblRegistros[ID],$B$3,tblRegistros[Data],"&lt;"&amp;$B$4)+ROWS($L$10:L181),tblRegistros[Chave do cartão],0),"")</f>
        <v/>
      </c>
    </row>
    <row r="182">
      <c r="A182" s="2">
        <f>IF($L182="","",IF(INDEX(tblRegistros[Data],$L182)&gt;$D$4,"",IFERROR(INDEX(tblRegistros[Data],$L182),"")))</f>
        <v/>
      </c>
      <c r="B182">
        <f>IF($L182="","",IF(INDEX(tblRegistros[Data],$L182)&gt;$D$4,"",IFERROR(INDEX(tblRegistros[Projeto],$L182),"")))</f>
        <v/>
      </c>
      <c r="C182">
        <f>IF($L182="","",IF(INDEX(tblRegistros[Data],$L182)&gt;$D$4,"",IFERROR(INDEX(tblRegistros[Atividade],$L182),"")))</f>
        <v/>
      </c>
      <c r="D182" s="4">
        <f>IF($L182="","",IF(INDEX(tblRegistros[Data],$L182)&gt;$D$4,"",IFERROR(INDEX(tblRegistros[Início],$L182),"")))</f>
        <v/>
      </c>
      <c r="E182" s="4">
        <f>IF($L182="","",IF(INDEX(tblRegistros[Data],$L182)&gt;$D$4,"",IFERROR(IF(INDEX(tblRegistros[Status],$L182)="EM ABERTO","",INDEX(tblRegistros[Fim],$L182)),"")))</f>
        <v/>
      </c>
      <c r="F182" s="14">
        <f>IF($L182="","",IF(INDEX(tblRegistros[Data],$L182)&gt;$D$4,"",IFERROR(IF(INDEX(tblRegistros[Status],$L182)="EM ABERTO","",INDEX(tblRegistros[Horas],$L182)),"")))</f>
        <v/>
      </c>
      <c r="G182">
        <f>IF($L182="","",IF(INDEX(tblRegistros[Data],$L182)&gt;$D$4,"",IFERROR(INDEX(tblRegistros[Base],$L182),"")))</f>
        <v/>
      </c>
      <c r="H182" s="3">
        <f>IF($L182="","",IF(INDEX(tblRegistros[Data],$L182)&gt;$D$4,"",IFERROR(INDEX(tblRegistros[Taxa aplicada],$L182),"")))</f>
        <v/>
      </c>
      <c r="I182" s="3">
        <f>IF($L182="","",IF(INDEX(tblRegistros[Data],$L182)&gt;$D$4,"",IFERROR(IF(INDEX(tblRegistros[Status],$L182)="EM ABERTO","",INDEX(tblRegistros[Valor],$L182)),"")))</f>
        <v/>
      </c>
      <c r="J182">
        <f>IF($L182="","",IF(INDEX(tblRegistros[Data],$L182)&gt;$D$4,"",IFERROR(INDEX(tblRegistros[Status],$L182),"")))</f>
        <v/>
      </c>
      <c r="K182">
        <f>IF($L182="","",IF(INDEX(tblRegistros[Data],$L182)&gt;$D$4,"",IFERROR(INDEX(tblRegistros[Observação],$L182),"")))</f>
        <v/>
      </c>
      <c r="L182" s="16">
        <f>IFERROR(MATCH($B$3*100000+COUNTIFS(tblRegistros[ID],$B$3,tblRegistros[Data],"&lt;"&amp;$B$4)+ROWS($L$10:L182),tblRegistros[Chave do cartão],0),"")</f>
        <v/>
      </c>
    </row>
    <row r="183">
      <c r="A183" s="2">
        <f>IF($L183="","",IF(INDEX(tblRegistros[Data],$L183)&gt;$D$4,"",IFERROR(INDEX(tblRegistros[Data],$L183),"")))</f>
        <v/>
      </c>
      <c r="B183">
        <f>IF($L183="","",IF(INDEX(tblRegistros[Data],$L183)&gt;$D$4,"",IFERROR(INDEX(tblRegistros[Projeto],$L183),"")))</f>
        <v/>
      </c>
      <c r="C183">
        <f>IF($L183="","",IF(INDEX(tblRegistros[Data],$L183)&gt;$D$4,"",IFERROR(INDEX(tblRegistros[Atividade],$L183),"")))</f>
        <v/>
      </c>
      <c r="D183" s="4">
        <f>IF($L183="","",IF(INDEX(tblRegistros[Data],$L183)&gt;$D$4,"",IFERROR(INDEX(tblRegistros[Início],$L183),"")))</f>
        <v/>
      </c>
      <c r="E183" s="4">
        <f>IF($L183="","",IF(INDEX(tblRegistros[Data],$L183)&gt;$D$4,"",IFERROR(IF(INDEX(tblRegistros[Status],$L183)="EM ABERTO","",INDEX(tblRegistros[Fim],$L183)),"")))</f>
        <v/>
      </c>
      <c r="F183" s="14">
        <f>IF($L183="","",IF(INDEX(tblRegistros[Data],$L183)&gt;$D$4,"",IFERROR(IF(INDEX(tblRegistros[Status],$L183)="EM ABERTO","",INDEX(tblRegistros[Horas],$L183)),"")))</f>
        <v/>
      </c>
      <c r="G183">
        <f>IF($L183="","",IF(INDEX(tblRegistros[Data],$L183)&gt;$D$4,"",IFERROR(INDEX(tblRegistros[Base],$L183),"")))</f>
        <v/>
      </c>
      <c r="H183" s="3">
        <f>IF($L183="","",IF(INDEX(tblRegistros[Data],$L183)&gt;$D$4,"",IFERROR(INDEX(tblRegistros[Taxa aplicada],$L183),"")))</f>
        <v/>
      </c>
      <c r="I183" s="3">
        <f>IF($L183="","",IF(INDEX(tblRegistros[Data],$L183)&gt;$D$4,"",IFERROR(IF(INDEX(tblRegistros[Status],$L183)="EM ABERTO","",INDEX(tblRegistros[Valor],$L183)),"")))</f>
        <v/>
      </c>
      <c r="J183">
        <f>IF($L183="","",IF(INDEX(tblRegistros[Data],$L183)&gt;$D$4,"",IFERROR(INDEX(tblRegistros[Status],$L183),"")))</f>
        <v/>
      </c>
      <c r="K183">
        <f>IF($L183="","",IF(INDEX(tblRegistros[Data],$L183)&gt;$D$4,"",IFERROR(INDEX(tblRegistros[Observação],$L183),"")))</f>
        <v/>
      </c>
      <c r="L183" s="16">
        <f>IFERROR(MATCH($B$3*100000+COUNTIFS(tblRegistros[ID],$B$3,tblRegistros[Data],"&lt;"&amp;$B$4)+ROWS($L$10:L183),tblRegistros[Chave do cartão],0),"")</f>
        <v/>
      </c>
    </row>
    <row r="184">
      <c r="A184" s="2">
        <f>IF($L184="","",IF(INDEX(tblRegistros[Data],$L184)&gt;$D$4,"",IFERROR(INDEX(tblRegistros[Data],$L184),"")))</f>
        <v/>
      </c>
      <c r="B184">
        <f>IF($L184="","",IF(INDEX(tblRegistros[Data],$L184)&gt;$D$4,"",IFERROR(INDEX(tblRegistros[Projeto],$L184),"")))</f>
        <v/>
      </c>
      <c r="C184">
        <f>IF($L184="","",IF(INDEX(tblRegistros[Data],$L184)&gt;$D$4,"",IFERROR(INDEX(tblRegistros[Atividade],$L184),"")))</f>
        <v/>
      </c>
      <c r="D184" s="4">
        <f>IF($L184="","",IF(INDEX(tblRegistros[Data],$L184)&gt;$D$4,"",IFERROR(INDEX(tblRegistros[Início],$L184),"")))</f>
        <v/>
      </c>
      <c r="E184" s="4">
        <f>IF($L184="","",IF(INDEX(tblRegistros[Data],$L184)&gt;$D$4,"",IFERROR(IF(INDEX(tblRegistros[Status],$L184)="EM ABERTO","",INDEX(tblRegistros[Fim],$L184)),"")))</f>
        <v/>
      </c>
      <c r="F184" s="14">
        <f>IF($L184="","",IF(INDEX(tblRegistros[Data],$L184)&gt;$D$4,"",IFERROR(IF(INDEX(tblRegistros[Status],$L184)="EM ABERTO","",INDEX(tblRegistros[Horas],$L184)),"")))</f>
        <v/>
      </c>
      <c r="G184">
        <f>IF($L184="","",IF(INDEX(tblRegistros[Data],$L184)&gt;$D$4,"",IFERROR(INDEX(tblRegistros[Base],$L184),"")))</f>
        <v/>
      </c>
      <c r="H184" s="3">
        <f>IF($L184="","",IF(INDEX(tblRegistros[Data],$L184)&gt;$D$4,"",IFERROR(INDEX(tblRegistros[Taxa aplicada],$L184),"")))</f>
        <v/>
      </c>
      <c r="I184" s="3">
        <f>IF($L184="","",IF(INDEX(tblRegistros[Data],$L184)&gt;$D$4,"",IFERROR(IF(INDEX(tblRegistros[Status],$L184)="EM ABERTO","",INDEX(tblRegistros[Valor],$L184)),"")))</f>
        <v/>
      </c>
      <c r="J184">
        <f>IF($L184="","",IF(INDEX(tblRegistros[Data],$L184)&gt;$D$4,"",IFERROR(INDEX(tblRegistros[Status],$L184),"")))</f>
        <v/>
      </c>
      <c r="K184">
        <f>IF($L184="","",IF(INDEX(tblRegistros[Data],$L184)&gt;$D$4,"",IFERROR(INDEX(tblRegistros[Observação],$L184),"")))</f>
        <v/>
      </c>
      <c r="L184" s="16">
        <f>IFERROR(MATCH($B$3*100000+COUNTIFS(tblRegistros[ID],$B$3,tblRegistros[Data],"&lt;"&amp;$B$4)+ROWS($L$10:L184),tblRegistros[Chave do cartão],0),"")</f>
        <v/>
      </c>
    </row>
    <row r="185">
      <c r="A185" s="2">
        <f>IF($L185="","",IF(INDEX(tblRegistros[Data],$L185)&gt;$D$4,"",IFERROR(INDEX(tblRegistros[Data],$L185),"")))</f>
        <v/>
      </c>
      <c r="B185">
        <f>IF($L185="","",IF(INDEX(tblRegistros[Data],$L185)&gt;$D$4,"",IFERROR(INDEX(tblRegistros[Projeto],$L185),"")))</f>
        <v/>
      </c>
      <c r="C185">
        <f>IF($L185="","",IF(INDEX(tblRegistros[Data],$L185)&gt;$D$4,"",IFERROR(INDEX(tblRegistros[Atividade],$L185),"")))</f>
        <v/>
      </c>
      <c r="D185" s="4">
        <f>IF($L185="","",IF(INDEX(tblRegistros[Data],$L185)&gt;$D$4,"",IFERROR(INDEX(tblRegistros[Início],$L185),"")))</f>
        <v/>
      </c>
      <c r="E185" s="4">
        <f>IF($L185="","",IF(INDEX(tblRegistros[Data],$L185)&gt;$D$4,"",IFERROR(IF(INDEX(tblRegistros[Status],$L185)="EM ABERTO","",INDEX(tblRegistros[Fim],$L185)),"")))</f>
        <v/>
      </c>
      <c r="F185" s="14">
        <f>IF($L185="","",IF(INDEX(tblRegistros[Data],$L185)&gt;$D$4,"",IFERROR(IF(INDEX(tblRegistros[Status],$L185)="EM ABERTO","",INDEX(tblRegistros[Horas],$L185)),"")))</f>
        <v/>
      </c>
      <c r="G185">
        <f>IF($L185="","",IF(INDEX(tblRegistros[Data],$L185)&gt;$D$4,"",IFERROR(INDEX(tblRegistros[Base],$L185),"")))</f>
        <v/>
      </c>
      <c r="H185" s="3">
        <f>IF($L185="","",IF(INDEX(tblRegistros[Data],$L185)&gt;$D$4,"",IFERROR(INDEX(tblRegistros[Taxa aplicada],$L185),"")))</f>
        <v/>
      </c>
      <c r="I185" s="3">
        <f>IF($L185="","",IF(INDEX(tblRegistros[Data],$L185)&gt;$D$4,"",IFERROR(IF(INDEX(tblRegistros[Status],$L185)="EM ABERTO","",INDEX(tblRegistros[Valor],$L185)),"")))</f>
        <v/>
      </c>
      <c r="J185">
        <f>IF($L185="","",IF(INDEX(tblRegistros[Data],$L185)&gt;$D$4,"",IFERROR(INDEX(tblRegistros[Status],$L185),"")))</f>
        <v/>
      </c>
      <c r="K185">
        <f>IF($L185="","",IF(INDEX(tblRegistros[Data],$L185)&gt;$D$4,"",IFERROR(INDEX(tblRegistros[Observação],$L185),"")))</f>
        <v/>
      </c>
      <c r="L185" s="16">
        <f>IFERROR(MATCH($B$3*100000+COUNTIFS(tblRegistros[ID],$B$3,tblRegistros[Data],"&lt;"&amp;$B$4)+ROWS($L$10:L185),tblRegistros[Chave do cartão],0),"")</f>
        <v/>
      </c>
    </row>
    <row r="186">
      <c r="A186" s="2">
        <f>IF($L186="","",IF(INDEX(tblRegistros[Data],$L186)&gt;$D$4,"",IFERROR(INDEX(tblRegistros[Data],$L186),"")))</f>
        <v/>
      </c>
      <c r="B186">
        <f>IF($L186="","",IF(INDEX(tblRegistros[Data],$L186)&gt;$D$4,"",IFERROR(INDEX(tblRegistros[Projeto],$L186),"")))</f>
        <v/>
      </c>
      <c r="C186">
        <f>IF($L186="","",IF(INDEX(tblRegistros[Data],$L186)&gt;$D$4,"",IFERROR(INDEX(tblRegistros[Atividade],$L186),"")))</f>
        <v/>
      </c>
      <c r="D186" s="4">
        <f>IF($L186="","",IF(INDEX(tblRegistros[Data],$L186)&gt;$D$4,"",IFERROR(INDEX(tblRegistros[Início],$L186),"")))</f>
        <v/>
      </c>
      <c r="E186" s="4">
        <f>IF($L186="","",IF(INDEX(tblRegistros[Data],$L186)&gt;$D$4,"",IFERROR(IF(INDEX(tblRegistros[Status],$L186)="EM ABERTO","",INDEX(tblRegistros[Fim],$L186)),"")))</f>
        <v/>
      </c>
      <c r="F186" s="14">
        <f>IF($L186="","",IF(INDEX(tblRegistros[Data],$L186)&gt;$D$4,"",IFERROR(IF(INDEX(tblRegistros[Status],$L186)="EM ABERTO","",INDEX(tblRegistros[Horas],$L186)),"")))</f>
        <v/>
      </c>
      <c r="G186">
        <f>IF($L186="","",IF(INDEX(tblRegistros[Data],$L186)&gt;$D$4,"",IFERROR(INDEX(tblRegistros[Base],$L186),"")))</f>
        <v/>
      </c>
      <c r="H186" s="3">
        <f>IF($L186="","",IF(INDEX(tblRegistros[Data],$L186)&gt;$D$4,"",IFERROR(INDEX(tblRegistros[Taxa aplicada],$L186),"")))</f>
        <v/>
      </c>
      <c r="I186" s="3">
        <f>IF($L186="","",IF(INDEX(tblRegistros[Data],$L186)&gt;$D$4,"",IFERROR(IF(INDEX(tblRegistros[Status],$L186)="EM ABERTO","",INDEX(tblRegistros[Valor],$L186)),"")))</f>
        <v/>
      </c>
      <c r="J186">
        <f>IF($L186="","",IF(INDEX(tblRegistros[Data],$L186)&gt;$D$4,"",IFERROR(INDEX(tblRegistros[Status],$L186),"")))</f>
        <v/>
      </c>
      <c r="K186">
        <f>IF($L186="","",IF(INDEX(tblRegistros[Data],$L186)&gt;$D$4,"",IFERROR(INDEX(tblRegistros[Observação],$L186),"")))</f>
        <v/>
      </c>
      <c r="L186" s="16">
        <f>IFERROR(MATCH($B$3*100000+COUNTIFS(tblRegistros[ID],$B$3,tblRegistros[Data],"&lt;"&amp;$B$4)+ROWS($L$10:L186),tblRegistros[Chave do cartão],0),"")</f>
        <v/>
      </c>
    </row>
    <row r="187">
      <c r="A187" s="2">
        <f>IF($L187="","",IF(INDEX(tblRegistros[Data],$L187)&gt;$D$4,"",IFERROR(INDEX(tblRegistros[Data],$L187),"")))</f>
        <v/>
      </c>
      <c r="B187">
        <f>IF($L187="","",IF(INDEX(tblRegistros[Data],$L187)&gt;$D$4,"",IFERROR(INDEX(tblRegistros[Projeto],$L187),"")))</f>
        <v/>
      </c>
      <c r="C187">
        <f>IF($L187="","",IF(INDEX(tblRegistros[Data],$L187)&gt;$D$4,"",IFERROR(INDEX(tblRegistros[Atividade],$L187),"")))</f>
        <v/>
      </c>
      <c r="D187" s="4">
        <f>IF($L187="","",IF(INDEX(tblRegistros[Data],$L187)&gt;$D$4,"",IFERROR(INDEX(tblRegistros[Início],$L187),"")))</f>
        <v/>
      </c>
      <c r="E187" s="4">
        <f>IF($L187="","",IF(INDEX(tblRegistros[Data],$L187)&gt;$D$4,"",IFERROR(IF(INDEX(tblRegistros[Status],$L187)="EM ABERTO","",INDEX(tblRegistros[Fim],$L187)),"")))</f>
        <v/>
      </c>
      <c r="F187" s="14">
        <f>IF($L187="","",IF(INDEX(tblRegistros[Data],$L187)&gt;$D$4,"",IFERROR(IF(INDEX(tblRegistros[Status],$L187)="EM ABERTO","",INDEX(tblRegistros[Horas],$L187)),"")))</f>
        <v/>
      </c>
      <c r="G187">
        <f>IF($L187="","",IF(INDEX(tblRegistros[Data],$L187)&gt;$D$4,"",IFERROR(INDEX(tblRegistros[Base],$L187),"")))</f>
        <v/>
      </c>
      <c r="H187" s="3">
        <f>IF($L187="","",IF(INDEX(tblRegistros[Data],$L187)&gt;$D$4,"",IFERROR(INDEX(tblRegistros[Taxa aplicada],$L187),"")))</f>
        <v/>
      </c>
      <c r="I187" s="3">
        <f>IF($L187="","",IF(INDEX(tblRegistros[Data],$L187)&gt;$D$4,"",IFERROR(IF(INDEX(tblRegistros[Status],$L187)="EM ABERTO","",INDEX(tblRegistros[Valor],$L187)),"")))</f>
        <v/>
      </c>
      <c r="J187">
        <f>IF($L187="","",IF(INDEX(tblRegistros[Data],$L187)&gt;$D$4,"",IFERROR(INDEX(tblRegistros[Status],$L187),"")))</f>
        <v/>
      </c>
      <c r="K187">
        <f>IF($L187="","",IF(INDEX(tblRegistros[Data],$L187)&gt;$D$4,"",IFERROR(INDEX(tblRegistros[Observação],$L187),"")))</f>
        <v/>
      </c>
      <c r="L187" s="16">
        <f>IFERROR(MATCH($B$3*100000+COUNTIFS(tblRegistros[ID],$B$3,tblRegistros[Data],"&lt;"&amp;$B$4)+ROWS($L$10:L187),tblRegistros[Chave do cartão],0),"")</f>
        <v/>
      </c>
    </row>
    <row r="188">
      <c r="A188" s="2">
        <f>IF($L188="","",IF(INDEX(tblRegistros[Data],$L188)&gt;$D$4,"",IFERROR(INDEX(tblRegistros[Data],$L188),"")))</f>
        <v/>
      </c>
      <c r="B188">
        <f>IF($L188="","",IF(INDEX(tblRegistros[Data],$L188)&gt;$D$4,"",IFERROR(INDEX(tblRegistros[Projeto],$L188),"")))</f>
        <v/>
      </c>
      <c r="C188">
        <f>IF($L188="","",IF(INDEX(tblRegistros[Data],$L188)&gt;$D$4,"",IFERROR(INDEX(tblRegistros[Atividade],$L188),"")))</f>
        <v/>
      </c>
      <c r="D188" s="4">
        <f>IF($L188="","",IF(INDEX(tblRegistros[Data],$L188)&gt;$D$4,"",IFERROR(INDEX(tblRegistros[Início],$L188),"")))</f>
        <v/>
      </c>
      <c r="E188" s="4">
        <f>IF($L188="","",IF(INDEX(tblRegistros[Data],$L188)&gt;$D$4,"",IFERROR(IF(INDEX(tblRegistros[Status],$L188)="EM ABERTO","",INDEX(tblRegistros[Fim],$L188)),"")))</f>
        <v/>
      </c>
      <c r="F188" s="14">
        <f>IF($L188="","",IF(INDEX(tblRegistros[Data],$L188)&gt;$D$4,"",IFERROR(IF(INDEX(tblRegistros[Status],$L188)="EM ABERTO","",INDEX(tblRegistros[Horas],$L188)),"")))</f>
        <v/>
      </c>
      <c r="G188">
        <f>IF($L188="","",IF(INDEX(tblRegistros[Data],$L188)&gt;$D$4,"",IFERROR(INDEX(tblRegistros[Base],$L188),"")))</f>
        <v/>
      </c>
      <c r="H188" s="3">
        <f>IF($L188="","",IF(INDEX(tblRegistros[Data],$L188)&gt;$D$4,"",IFERROR(INDEX(tblRegistros[Taxa aplicada],$L188),"")))</f>
        <v/>
      </c>
      <c r="I188" s="3">
        <f>IF($L188="","",IF(INDEX(tblRegistros[Data],$L188)&gt;$D$4,"",IFERROR(IF(INDEX(tblRegistros[Status],$L188)="EM ABERTO","",INDEX(tblRegistros[Valor],$L188)),"")))</f>
        <v/>
      </c>
      <c r="J188">
        <f>IF($L188="","",IF(INDEX(tblRegistros[Data],$L188)&gt;$D$4,"",IFERROR(INDEX(tblRegistros[Status],$L188),"")))</f>
        <v/>
      </c>
      <c r="K188">
        <f>IF($L188="","",IF(INDEX(tblRegistros[Data],$L188)&gt;$D$4,"",IFERROR(INDEX(tblRegistros[Observação],$L188),"")))</f>
        <v/>
      </c>
      <c r="L188" s="16">
        <f>IFERROR(MATCH($B$3*100000+COUNTIFS(tblRegistros[ID],$B$3,tblRegistros[Data],"&lt;"&amp;$B$4)+ROWS($L$10:L188),tblRegistros[Chave do cartão],0),"")</f>
        <v/>
      </c>
    </row>
    <row r="189">
      <c r="A189" s="2">
        <f>IF($L189="","",IF(INDEX(tblRegistros[Data],$L189)&gt;$D$4,"",IFERROR(INDEX(tblRegistros[Data],$L189),"")))</f>
        <v/>
      </c>
      <c r="B189">
        <f>IF($L189="","",IF(INDEX(tblRegistros[Data],$L189)&gt;$D$4,"",IFERROR(INDEX(tblRegistros[Projeto],$L189),"")))</f>
        <v/>
      </c>
      <c r="C189">
        <f>IF($L189="","",IF(INDEX(tblRegistros[Data],$L189)&gt;$D$4,"",IFERROR(INDEX(tblRegistros[Atividade],$L189),"")))</f>
        <v/>
      </c>
      <c r="D189" s="4">
        <f>IF($L189="","",IF(INDEX(tblRegistros[Data],$L189)&gt;$D$4,"",IFERROR(INDEX(tblRegistros[Início],$L189),"")))</f>
        <v/>
      </c>
      <c r="E189" s="4">
        <f>IF($L189="","",IF(INDEX(tblRegistros[Data],$L189)&gt;$D$4,"",IFERROR(IF(INDEX(tblRegistros[Status],$L189)="EM ABERTO","",INDEX(tblRegistros[Fim],$L189)),"")))</f>
        <v/>
      </c>
      <c r="F189" s="14">
        <f>IF($L189="","",IF(INDEX(tblRegistros[Data],$L189)&gt;$D$4,"",IFERROR(IF(INDEX(tblRegistros[Status],$L189)="EM ABERTO","",INDEX(tblRegistros[Horas],$L189)),"")))</f>
        <v/>
      </c>
      <c r="G189">
        <f>IF($L189="","",IF(INDEX(tblRegistros[Data],$L189)&gt;$D$4,"",IFERROR(INDEX(tblRegistros[Base],$L189),"")))</f>
        <v/>
      </c>
      <c r="H189" s="3">
        <f>IF($L189="","",IF(INDEX(tblRegistros[Data],$L189)&gt;$D$4,"",IFERROR(INDEX(tblRegistros[Taxa aplicada],$L189),"")))</f>
        <v/>
      </c>
      <c r="I189" s="3">
        <f>IF($L189="","",IF(INDEX(tblRegistros[Data],$L189)&gt;$D$4,"",IFERROR(IF(INDEX(tblRegistros[Status],$L189)="EM ABERTO","",INDEX(tblRegistros[Valor],$L189)),"")))</f>
        <v/>
      </c>
      <c r="J189">
        <f>IF($L189="","",IF(INDEX(tblRegistros[Data],$L189)&gt;$D$4,"",IFERROR(INDEX(tblRegistros[Status],$L189),"")))</f>
        <v/>
      </c>
      <c r="K189">
        <f>IF($L189="","",IF(INDEX(tblRegistros[Data],$L189)&gt;$D$4,"",IFERROR(INDEX(tblRegistros[Observação],$L189),"")))</f>
        <v/>
      </c>
      <c r="L189" s="16">
        <f>IFERROR(MATCH($B$3*100000+COUNTIFS(tblRegistros[ID],$B$3,tblRegistros[Data],"&lt;"&amp;$B$4)+ROWS($L$10:L189),tblRegistros[Chave do cartão],0),"")</f>
        <v/>
      </c>
    </row>
    <row r="190">
      <c r="A190" s="2">
        <f>IF($L190="","",IF(INDEX(tblRegistros[Data],$L190)&gt;$D$4,"",IFERROR(INDEX(tblRegistros[Data],$L190),"")))</f>
        <v/>
      </c>
      <c r="B190">
        <f>IF($L190="","",IF(INDEX(tblRegistros[Data],$L190)&gt;$D$4,"",IFERROR(INDEX(tblRegistros[Projeto],$L190),"")))</f>
        <v/>
      </c>
      <c r="C190">
        <f>IF($L190="","",IF(INDEX(tblRegistros[Data],$L190)&gt;$D$4,"",IFERROR(INDEX(tblRegistros[Atividade],$L190),"")))</f>
        <v/>
      </c>
      <c r="D190" s="4">
        <f>IF($L190="","",IF(INDEX(tblRegistros[Data],$L190)&gt;$D$4,"",IFERROR(INDEX(tblRegistros[Início],$L190),"")))</f>
        <v/>
      </c>
      <c r="E190" s="4">
        <f>IF($L190="","",IF(INDEX(tblRegistros[Data],$L190)&gt;$D$4,"",IFERROR(IF(INDEX(tblRegistros[Status],$L190)="EM ABERTO","",INDEX(tblRegistros[Fim],$L190)),"")))</f>
        <v/>
      </c>
      <c r="F190" s="14">
        <f>IF($L190="","",IF(INDEX(tblRegistros[Data],$L190)&gt;$D$4,"",IFERROR(IF(INDEX(tblRegistros[Status],$L190)="EM ABERTO","",INDEX(tblRegistros[Horas],$L190)),"")))</f>
        <v/>
      </c>
      <c r="G190">
        <f>IF($L190="","",IF(INDEX(tblRegistros[Data],$L190)&gt;$D$4,"",IFERROR(INDEX(tblRegistros[Base],$L190),"")))</f>
        <v/>
      </c>
      <c r="H190" s="3">
        <f>IF($L190="","",IF(INDEX(tblRegistros[Data],$L190)&gt;$D$4,"",IFERROR(INDEX(tblRegistros[Taxa aplicada],$L190),"")))</f>
        <v/>
      </c>
      <c r="I190" s="3">
        <f>IF($L190="","",IF(INDEX(tblRegistros[Data],$L190)&gt;$D$4,"",IFERROR(IF(INDEX(tblRegistros[Status],$L190)="EM ABERTO","",INDEX(tblRegistros[Valor],$L190)),"")))</f>
        <v/>
      </c>
      <c r="J190">
        <f>IF($L190="","",IF(INDEX(tblRegistros[Data],$L190)&gt;$D$4,"",IFERROR(INDEX(tblRegistros[Status],$L190),"")))</f>
        <v/>
      </c>
      <c r="K190">
        <f>IF($L190="","",IF(INDEX(tblRegistros[Data],$L190)&gt;$D$4,"",IFERROR(INDEX(tblRegistros[Observação],$L190),"")))</f>
        <v/>
      </c>
      <c r="L190" s="16">
        <f>IFERROR(MATCH($B$3*100000+COUNTIFS(tblRegistros[ID],$B$3,tblRegistros[Data],"&lt;"&amp;$B$4)+ROWS($L$10:L190),tblRegistros[Chave do cartão],0),"")</f>
        <v/>
      </c>
    </row>
    <row r="191">
      <c r="A191" s="2">
        <f>IF($L191="","",IF(INDEX(tblRegistros[Data],$L191)&gt;$D$4,"",IFERROR(INDEX(tblRegistros[Data],$L191),"")))</f>
        <v/>
      </c>
      <c r="B191">
        <f>IF($L191="","",IF(INDEX(tblRegistros[Data],$L191)&gt;$D$4,"",IFERROR(INDEX(tblRegistros[Projeto],$L191),"")))</f>
        <v/>
      </c>
      <c r="C191">
        <f>IF($L191="","",IF(INDEX(tblRegistros[Data],$L191)&gt;$D$4,"",IFERROR(INDEX(tblRegistros[Atividade],$L191),"")))</f>
        <v/>
      </c>
      <c r="D191" s="4">
        <f>IF($L191="","",IF(INDEX(tblRegistros[Data],$L191)&gt;$D$4,"",IFERROR(INDEX(tblRegistros[Início],$L191),"")))</f>
        <v/>
      </c>
      <c r="E191" s="4">
        <f>IF($L191="","",IF(INDEX(tblRegistros[Data],$L191)&gt;$D$4,"",IFERROR(IF(INDEX(tblRegistros[Status],$L191)="EM ABERTO","",INDEX(tblRegistros[Fim],$L191)),"")))</f>
        <v/>
      </c>
      <c r="F191" s="14">
        <f>IF($L191="","",IF(INDEX(tblRegistros[Data],$L191)&gt;$D$4,"",IFERROR(IF(INDEX(tblRegistros[Status],$L191)="EM ABERTO","",INDEX(tblRegistros[Horas],$L191)),"")))</f>
        <v/>
      </c>
      <c r="G191">
        <f>IF($L191="","",IF(INDEX(tblRegistros[Data],$L191)&gt;$D$4,"",IFERROR(INDEX(tblRegistros[Base],$L191),"")))</f>
        <v/>
      </c>
      <c r="H191" s="3">
        <f>IF($L191="","",IF(INDEX(tblRegistros[Data],$L191)&gt;$D$4,"",IFERROR(INDEX(tblRegistros[Taxa aplicada],$L191),"")))</f>
        <v/>
      </c>
      <c r="I191" s="3">
        <f>IF($L191="","",IF(INDEX(tblRegistros[Data],$L191)&gt;$D$4,"",IFERROR(IF(INDEX(tblRegistros[Status],$L191)="EM ABERTO","",INDEX(tblRegistros[Valor],$L191)),"")))</f>
        <v/>
      </c>
      <c r="J191">
        <f>IF($L191="","",IF(INDEX(tblRegistros[Data],$L191)&gt;$D$4,"",IFERROR(INDEX(tblRegistros[Status],$L191),"")))</f>
        <v/>
      </c>
      <c r="K191">
        <f>IF($L191="","",IF(INDEX(tblRegistros[Data],$L191)&gt;$D$4,"",IFERROR(INDEX(tblRegistros[Observação],$L191),"")))</f>
        <v/>
      </c>
      <c r="L191" s="16">
        <f>IFERROR(MATCH($B$3*100000+COUNTIFS(tblRegistros[ID],$B$3,tblRegistros[Data],"&lt;"&amp;$B$4)+ROWS($L$10:L191),tblRegistros[Chave do cartão],0),"")</f>
        <v/>
      </c>
    </row>
    <row r="192">
      <c r="A192" s="2">
        <f>IF($L192="","",IF(INDEX(tblRegistros[Data],$L192)&gt;$D$4,"",IFERROR(INDEX(tblRegistros[Data],$L192),"")))</f>
        <v/>
      </c>
      <c r="B192">
        <f>IF($L192="","",IF(INDEX(tblRegistros[Data],$L192)&gt;$D$4,"",IFERROR(INDEX(tblRegistros[Projeto],$L192),"")))</f>
        <v/>
      </c>
      <c r="C192">
        <f>IF($L192="","",IF(INDEX(tblRegistros[Data],$L192)&gt;$D$4,"",IFERROR(INDEX(tblRegistros[Atividade],$L192),"")))</f>
        <v/>
      </c>
      <c r="D192" s="4">
        <f>IF($L192="","",IF(INDEX(tblRegistros[Data],$L192)&gt;$D$4,"",IFERROR(INDEX(tblRegistros[Início],$L192),"")))</f>
        <v/>
      </c>
      <c r="E192" s="4">
        <f>IF($L192="","",IF(INDEX(tblRegistros[Data],$L192)&gt;$D$4,"",IFERROR(IF(INDEX(tblRegistros[Status],$L192)="EM ABERTO","",INDEX(tblRegistros[Fim],$L192)),"")))</f>
        <v/>
      </c>
      <c r="F192" s="14">
        <f>IF($L192="","",IF(INDEX(tblRegistros[Data],$L192)&gt;$D$4,"",IFERROR(IF(INDEX(tblRegistros[Status],$L192)="EM ABERTO","",INDEX(tblRegistros[Horas],$L192)),"")))</f>
        <v/>
      </c>
      <c r="G192">
        <f>IF($L192="","",IF(INDEX(tblRegistros[Data],$L192)&gt;$D$4,"",IFERROR(INDEX(tblRegistros[Base],$L192),"")))</f>
        <v/>
      </c>
      <c r="H192" s="3">
        <f>IF($L192="","",IF(INDEX(tblRegistros[Data],$L192)&gt;$D$4,"",IFERROR(INDEX(tblRegistros[Taxa aplicada],$L192),"")))</f>
        <v/>
      </c>
      <c r="I192" s="3">
        <f>IF($L192="","",IF(INDEX(tblRegistros[Data],$L192)&gt;$D$4,"",IFERROR(IF(INDEX(tblRegistros[Status],$L192)="EM ABERTO","",INDEX(tblRegistros[Valor],$L192)),"")))</f>
        <v/>
      </c>
      <c r="J192">
        <f>IF($L192="","",IF(INDEX(tblRegistros[Data],$L192)&gt;$D$4,"",IFERROR(INDEX(tblRegistros[Status],$L192),"")))</f>
        <v/>
      </c>
      <c r="K192">
        <f>IF($L192="","",IF(INDEX(tblRegistros[Data],$L192)&gt;$D$4,"",IFERROR(INDEX(tblRegistros[Observação],$L192),"")))</f>
        <v/>
      </c>
      <c r="L192" s="16">
        <f>IFERROR(MATCH($B$3*100000+COUNTIFS(tblRegistros[ID],$B$3,tblRegistros[Data],"&lt;"&amp;$B$4)+ROWS($L$10:L192),tblRegistros[Chave do cartão],0),"")</f>
        <v/>
      </c>
    </row>
    <row r="193">
      <c r="A193" s="2">
        <f>IF($L193="","",IF(INDEX(tblRegistros[Data],$L193)&gt;$D$4,"",IFERROR(INDEX(tblRegistros[Data],$L193),"")))</f>
        <v/>
      </c>
      <c r="B193">
        <f>IF($L193="","",IF(INDEX(tblRegistros[Data],$L193)&gt;$D$4,"",IFERROR(INDEX(tblRegistros[Projeto],$L193),"")))</f>
        <v/>
      </c>
      <c r="C193">
        <f>IF($L193="","",IF(INDEX(tblRegistros[Data],$L193)&gt;$D$4,"",IFERROR(INDEX(tblRegistros[Atividade],$L193),"")))</f>
        <v/>
      </c>
      <c r="D193" s="4">
        <f>IF($L193="","",IF(INDEX(tblRegistros[Data],$L193)&gt;$D$4,"",IFERROR(INDEX(tblRegistros[Início],$L193),"")))</f>
        <v/>
      </c>
      <c r="E193" s="4">
        <f>IF($L193="","",IF(INDEX(tblRegistros[Data],$L193)&gt;$D$4,"",IFERROR(IF(INDEX(tblRegistros[Status],$L193)="EM ABERTO","",INDEX(tblRegistros[Fim],$L193)),"")))</f>
        <v/>
      </c>
      <c r="F193" s="14">
        <f>IF($L193="","",IF(INDEX(tblRegistros[Data],$L193)&gt;$D$4,"",IFERROR(IF(INDEX(tblRegistros[Status],$L193)="EM ABERTO","",INDEX(tblRegistros[Horas],$L193)),"")))</f>
        <v/>
      </c>
      <c r="G193">
        <f>IF($L193="","",IF(INDEX(tblRegistros[Data],$L193)&gt;$D$4,"",IFERROR(INDEX(tblRegistros[Base],$L193),"")))</f>
        <v/>
      </c>
      <c r="H193" s="3">
        <f>IF($L193="","",IF(INDEX(tblRegistros[Data],$L193)&gt;$D$4,"",IFERROR(INDEX(tblRegistros[Taxa aplicada],$L193),"")))</f>
        <v/>
      </c>
      <c r="I193" s="3">
        <f>IF($L193="","",IF(INDEX(tblRegistros[Data],$L193)&gt;$D$4,"",IFERROR(IF(INDEX(tblRegistros[Status],$L193)="EM ABERTO","",INDEX(tblRegistros[Valor],$L193)),"")))</f>
        <v/>
      </c>
      <c r="J193">
        <f>IF($L193="","",IF(INDEX(tblRegistros[Data],$L193)&gt;$D$4,"",IFERROR(INDEX(tblRegistros[Status],$L193),"")))</f>
        <v/>
      </c>
      <c r="K193">
        <f>IF($L193="","",IF(INDEX(tblRegistros[Data],$L193)&gt;$D$4,"",IFERROR(INDEX(tblRegistros[Observação],$L193),"")))</f>
        <v/>
      </c>
      <c r="L193" s="16">
        <f>IFERROR(MATCH($B$3*100000+COUNTIFS(tblRegistros[ID],$B$3,tblRegistros[Data],"&lt;"&amp;$B$4)+ROWS($L$10:L193),tblRegistros[Chave do cartão],0),"")</f>
        <v/>
      </c>
    </row>
    <row r="194">
      <c r="A194" s="2">
        <f>IF($L194="","",IF(INDEX(tblRegistros[Data],$L194)&gt;$D$4,"",IFERROR(INDEX(tblRegistros[Data],$L194),"")))</f>
        <v/>
      </c>
      <c r="B194">
        <f>IF($L194="","",IF(INDEX(tblRegistros[Data],$L194)&gt;$D$4,"",IFERROR(INDEX(tblRegistros[Projeto],$L194),"")))</f>
        <v/>
      </c>
      <c r="C194">
        <f>IF($L194="","",IF(INDEX(tblRegistros[Data],$L194)&gt;$D$4,"",IFERROR(INDEX(tblRegistros[Atividade],$L194),"")))</f>
        <v/>
      </c>
      <c r="D194" s="4">
        <f>IF($L194="","",IF(INDEX(tblRegistros[Data],$L194)&gt;$D$4,"",IFERROR(INDEX(tblRegistros[Início],$L194),"")))</f>
        <v/>
      </c>
      <c r="E194" s="4">
        <f>IF($L194="","",IF(INDEX(tblRegistros[Data],$L194)&gt;$D$4,"",IFERROR(IF(INDEX(tblRegistros[Status],$L194)="EM ABERTO","",INDEX(tblRegistros[Fim],$L194)),"")))</f>
        <v/>
      </c>
      <c r="F194" s="14">
        <f>IF($L194="","",IF(INDEX(tblRegistros[Data],$L194)&gt;$D$4,"",IFERROR(IF(INDEX(tblRegistros[Status],$L194)="EM ABERTO","",INDEX(tblRegistros[Horas],$L194)),"")))</f>
        <v/>
      </c>
      <c r="G194">
        <f>IF($L194="","",IF(INDEX(tblRegistros[Data],$L194)&gt;$D$4,"",IFERROR(INDEX(tblRegistros[Base],$L194),"")))</f>
        <v/>
      </c>
      <c r="H194" s="3">
        <f>IF($L194="","",IF(INDEX(tblRegistros[Data],$L194)&gt;$D$4,"",IFERROR(INDEX(tblRegistros[Taxa aplicada],$L194),"")))</f>
        <v/>
      </c>
      <c r="I194" s="3">
        <f>IF($L194="","",IF(INDEX(tblRegistros[Data],$L194)&gt;$D$4,"",IFERROR(IF(INDEX(tblRegistros[Status],$L194)="EM ABERTO","",INDEX(tblRegistros[Valor],$L194)),"")))</f>
        <v/>
      </c>
      <c r="J194">
        <f>IF($L194="","",IF(INDEX(tblRegistros[Data],$L194)&gt;$D$4,"",IFERROR(INDEX(tblRegistros[Status],$L194),"")))</f>
        <v/>
      </c>
      <c r="K194">
        <f>IF($L194="","",IF(INDEX(tblRegistros[Data],$L194)&gt;$D$4,"",IFERROR(INDEX(tblRegistros[Observação],$L194),"")))</f>
        <v/>
      </c>
      <c r="L194" s="16">
        <f>IFERROR(MATCH($B$3*100000+COUNTIFS(tblRegistros[ID],$B$3,tblRegistros[Data],"&lt;"&amp;$B$4)+ROWS($L$10:L194),tblRegistros[Chave do cartão],0),"")</f>
        <v/>
      </c>
    </row>
    <row r="195">
      <c r="A195" s="2">
        <f>IF($L195="","",IF(INDEX(tblRegistros[Data],$L195)&gt;$D$4,"",IFERROR(INDEX(tblRegistros[Data],$L195),"")))</f>
        <v/>
      </c>
      <c r="B195">
        <f>IF($L195="","",IF(INDEX(tblRegistros[Data],$L195)&gt;$D$4,"",IFERROR(INDEX(tblRegistros[Projeto],$L195),"")))</f>
        <v/>
      </c>
      <c r="C195">
        <f>IF($L195="","",IF(INDEX(tblRegistros[Data],$L195)&gt;$D$4,"",IFERROR(INDEX(tblRegistros[Atividade],$L195),"")))</f>
        <v/>
      </c>
      <c r="D195" s="4">
        <f>IF($L195="","",IF(INDEX(tblRegistros[Data],$L195)&gt;$D$4,"",IFERROR(INDEX(tblRegistros[Início],$L195),"")))</f>
        <v/>
      </c>
      <c r="E195" s="4">
        <f>IF($L195="","",IF(INDEX(tblRegistros[Data],$L195)&gt;$D$4,"",IFERROR(IF(INDEX(tblRegistros[Status],$L195)="EM ABERTO","",INDEX(tblRegistros[Fim],$L195)),"")))</f>
        <v/>
      </c>
      <c r="F195" s="14">
        <f>IF($L195="","",IF(INDEX(tblRegistros[Data],$L195)&gt;$D$4,"",IFERROR(IF(INDEX(tblRegistros[Status],$L195)="EM ABERTO","",INDEX(tblRegistros[Horas],$L195)),"")))</f>
        <v/>
      </c>
      <c r="G195">
        <f>IF($L195="","",IF(INDEX(tblRegistros[Data],$L195)&gt;$D$4,"",IFERROR(INDEX(tblRegistros[Base],$L195),"")))</f>
        <v/>
      </c>
      <c r="H195" s="3">
        <f>IF($L195="","",IF(INDEX(tblRegistros[Data],$L195)&gt;$D$4,"",IFERROR(INDEX(tblRegistros[Taxa aplicada],$L195),"")))</f>
        <v/>
      </c>
      <c r="I195" s="3">
        <f>IF($L195="","",IF(INDEX(tblRegistros[Data],$L195)&gt;$D$4,"",IFERROR(IF(INDEX(tblRegistros[Status],$L195)="EM ABERTO","",INDEX(tblRegistros[Valor],$L195)),"")))</f>
        <v/>
      </c>
      <c r="J195">
        <f>IF($L195="","",IF(INDEX(tblRegistros[Data],$L195)&gt;$D$4,"",IFERROR(INDEX(tblRegistros[Status],$L195),"")))</f>
        <v/>
      </c>
      <c r="K195">
        <f>IF($L195="","",IF(INDEX(tblRegistros[Data],$L195)&gt;$D$4,"",IFERROR(INDEX(tblRegistros[Observação],$L195),"")))</f>
        <v/>
      </c>
      <c r="L195" s="16">
        <f>IFERROR(MATCH($B$3*100000+COUNTIFS(tblRegistros[ID],$B$3,tblRegistros[Data],"&lt;"&amp;$B$4)+ROWS($L$10:L195),tblRegistros[Chave do cartão],0),"")</f>
        <v/>
      </c>
    </row>
    <row r="196">
      <c r="A196" s="2">
        <f>IF($L196="","",IF(INDEX(tblRegistros[Data],$L196)&gt;$D$4,"",IFERROR(INDEX(tblRegistros[Data],$L196),"")))</f>
        <v/>
      </c>
      <c r="B196">
        <f>IF($L196="","",IF(INDEX(tblRegistros[Data],$L196)&gt;$D$4,"",IFERROR(INDEX(tblRegistros[Projeto],$L196),"")))</f>
        <v/>
      </c>
      <c r="C196">
        <f>IF($L196="","",IF(INDEX(tblRegistros[Data],$L196)&gt;$D$4,"",IFERROR(INDEX(tblRegistros[Atividade],$L196),"")))</f>
        <v/>
      </c>
      <c r="D196" s="4">
        <f>IF($L196="","",IF(INDEX(tblRegistros[Data],$L196)&gt;$D$4,"",IFERROR(INDEX(tblRegistros[Início],$L196),"")))</f>
        <v/>
      </c>
      <c r="E196" s="4">
        <f>IF($L196="","",IF(INDEX(tblRegistros[Data],$L196)&gt;$D$4,"",IFERROR(IF(INDEX(tblRegistros[Status],$L196)="EM ABERTO","",INDEX(tblRegistros[Fim],$L196)),"")))</f>
        <v/>
      </c>
      <c r="F196" s="14">
        <f>IF($L196="","",IF(INDEX(tblRegistros[Data],$L196)&gt;$D$4,"",IFERROR(IF(INDEX(tblRegistros[Status],$L196)="EM ABERTO","",INDEX(tblRegistros[Horas],$L196)),"")))</f>
        <v/>
      </c>
      <c r="G196">
        <f>IF($L196="","",IF(INDEX(tblRegistros[Data],$L196)&gt;$D$4,"",IFERROR(INDEX(tblRegistros[Base],$L196),"")))</f>
        <v/>
      </c>
      <c r="H196" s="3">
        <f>IF($L196="","",IF(INDEX(tblRegistros[Data],$L196)&gt;$D$4,"",IFERROR(INDEX(tblRegistros[Taxa aplicada],$L196),"")))</f>
        <v/>
      </c>
      <c r="I196" s="3">
        <f>IF($L196="","",IF(INDEX(tblRegistros[Data],$L196)&gt;$D$4,"",IFERROR(IF(INDEX(tblRegistros[Status],$L196)="EM ABERTO","",INDEX(tblRegistros[Valor],$L196)),"")))</f>
        <v/>
      </c>
      <c r="J196">
        <f>IF($L196="","",IF(INDEX(tblRegistros[Data],$L196)&gt;$D$4,"",IFERROR(INDEX(tblRegistros[Status],$L196),"")))</f>
        <v/>
      </c>
      <c r="K196">
        <f>IF($L196="","",IF(INDEX(tblRegistros[Data],$L196)&gt;$D$4,"",IFERROR(INDEX(tblRegistros[Observação],$L196),"")))</f>
        <v/>
      </c>
      <c r="L196" s="16">
        <f>IFERROR(MATCH($B$3*100000+COUNTIFS(tblRegistros[ID],$B$3,tblRegistros[Data],"&lt;"&amp;$B$4)+ROWS($L$10:L196),tblRegistros[Chave do cartão],0),"")</f>
        <v/>
      </c>
    </row>
    <row r="197">
      <c r="A197" s="2">
        <f>IF($L197="","",IF(INDEX(tblRegistros[Data],$L197)&gt;$D$4,"",IFERROR(INDEX(tblRegistros[Data],$L197),"")))</f>
        <v/>
      </c>
      <c r="B197">
        <f>IF($L197="","",IF(INDEX(tblRegistros[Data],$L197)&gt;$D$4,"",IFERROR(INDEX(tblRegistros[Projeto],$L197),"")))</f>
        <v/>
      </c>
      <c r="C197">
        <f>IF($L197="","",IF(INDEX(tblRegistros[Data],$L197)&gt;$D$4,"",IFERROR(INDEX(tblRegistros[Atividade],$L197),"")))</f>
        <v/>
      </c>
      <c r="D197" s="4">
        <f>IF($L197="","",IF(INDEX(tblRegistros[Data],$L197)&gt;$D$4,"",IFERROR(INDEX(tblRegistros[Início],$L197),"")))</f>
        <v/>
      </c>
      <c r="E197" s="4">
        <f>IF($L197="","",IF(INDEX(tblRegistros[Data],$L197)&gt;$D$4,"",IFERROR(IF(INDEX(tblRegistros[Status],$L197)="EM ABERTO","",INDEX(tblRegistros[Fim],$L197)),"")))</f>
        <v/>
      </c>
      <c r="F197" s="14">
        <f>IF($L197="","",IF(INDEX(tblRegistros[Data],$L197)&gt;$D$4,"",IFERROR(IF(INDEX(tblRegistros[Status],$L197)="EM ABERTO","",INDEX(tblRegistros[Horas],$L197)),"")))</f>
        <v/>
      </c>
      <c r="G197">
        <f>IF($L197="","",IF(INDEX(tblRegistros[Data],$L197)&gt;$D$4,"",IFERROR(INDEX(tblRegistros[Base],$L197),"")))</f>
        <v/>
      </c>
      <c r="H197" s="3">
        <f>IF($L197="","",IF(INDEX(tblRegistros[Data],$L197)&gt;$D$4,"",IFERROR(INDEX(tblRegistros[Taxa aplicada],$L197),"")))</f>
        <v/>
      </c>
      <c r="I197" s="3">
        <f>IF($L197="","",IF(INDEX(tblRegistros[Data],$L197)&gt;$D$4,"",IFERROR(IF(INDEX(tblRegistros[Status],$L197)="EM ABERTO","",INDEX(tblRegistros[Valor],$L197)),"")))</f>
        <v/>
      </c>
      <c r="J197">
        <f>IF($L197="","",IF(INDEX(tblRegistros[Data],$L197)&gt;$D$4,"",IFERROR(INDEX(tblRegistros[Status],$L197),"")))</f>
        <v/>
      </c>
      <c r="K197">
        <f>IF($L197="","",IF(INDEX(tblRegistros[Data],$L197)&gt;$D$4,"",IFERROR(INDEX(tblRegistros[Observação],$L197),"")))</f>
        <v/>
      </c>
      <c r="L197" s="16">
        <f>IFERROR(MATCH($B$3*100000+COUNTIFS(tblRegistros[ID],$B$3,tblRegistros[Data],"&lt;"&amp;$B$4)+ROWS($L$10:L197),tblRegistros[Chave do cartão],0),"")</f>
        <v/>
      </c>
    </row>
    <row r="198">
      <c r="A198" s="2">
        <f>IF($L198="","",IF(INDEX(tblRegistros[Data],$L198)&gt;$D$4,"",IFERROR(INDEX(tblRegistros[Data],$L198),"")))</f>
        <v/>
      </c>
      <c r="B198">
        <f>IF($L198="","",IF(INDEX(tblRegistros[Data],$L198)&gt;$D$4,"",IFERROR(INDEX(tblRegistros[Projeto],$L198),"")))</f>
        <v/>
      </c>
      <c r="C198">
        <f>IF($L198="","",IF(INDEX(tblRegistros[Data],$L198)&gt;$D$4,"",IFERROR(INDEX(tblRegistros[Atividade],$L198),"")))</f>
        <v/>
      </c>
      <c r="D198" s="4">
        <f>IF($L198="","",IF(INDEX(tblRegistros[Data],$L198)&gt;$D$4,"",IFERROR(INDEX(tblRegistros[Início],$L198),"")))</f>
        <v/>
      </c>
      <c r="E198" s="4">
        <f>IF($L198="","",IF(INDEX(tblRegistros[Data],$L198)&gt;$D$4,"",IFERROR(IF(INDEX(tblRegistros[Status],$L198)="EM ABERTO","",INDEX(tblRegistros[Fim],$L198)),"")))</f>
        <v/>
      </c>
      <c r="F198" s="14">
        <f>IF($L198="","",IF(INDEX(tblRegistros[Data],$L198)&gt;$D$4,"",IFERROR(IF(INDEX(tblRegistros[Status],$L198)="EM ABERTO","",INDEX(tblRegistros[Horas],$L198)),"")))</f>
        <v/>
      </c>
      <c r="G198">
        <f>IF($L198="","",IF(INDEX(tblRegistros[Data],$L198)&gt;$D$4,"",IFERROR(INDEX(tblRegistros[Base],$L198),"")))</f>
        <v/>
      </c>
      <c r="H198" s="3">
        <f>IF($L198="","",IF(INDEX(tblRegistros[Data],$L198)&gt;$D$4,"",IFERROR(INDEX(tblRegistros[Taxa aplicada],$L198),"")))</f>
        <v/>
      </c>
      <c r="I198" s="3">
        <f>IF($L198="","",IF(INDEX(tblRegistros[Data],$L198)&gt;$D$4,"",IFERROR(IF(INDEX(tblRegistros[Status],$L198)="EM ABERTO","",INDEX(tblRegistros[Valor],$L198)),"")))</f>
        <v/>
      </c>
      <c r="J198">
        <f>IF($L198="","",IF(INDEX(tblRegistros[Data],$L198)&gt;$D$4,"",IFERROR(INDEX(tblRegistros[Status],$L198),"")))</f>
        <v/>
      </c>
      <c r="K198">
        <f>IF($L198="","",IF(INDEX(tblRegistros[Data],$L198)&gt;$D$4,"",IFERROR(INDEX(tblRegistros[Observação],$L198),"")))</f>
        <v/>
      </c>
      <c r="L198" s="16">
        <f>IFERROR(MATCH($B$3*100000+COUNTIFS(tblRegistros[ID],$B$3,tblRegistros[Data],"&lt;"&amp;$B$4)+ROWS($L$10:L198),tblRegistros[Chave do cartão],0),"")</f>
        <v/>
      </c>
    </row>
    <row r="199">
      <c r="A199" s="2">
        <f>IF($L199="","",IF(INDEX(tblRegistros[Data],$L199)&gt;$D$4,"",IFERROR(INDEX(tblRegistros[Data],$L199),"")))</f>
        <v/>
      </c>
      <c r="B199">
        <f>IF($L199="","",IF(INDEX(tblRegistros[Data],$L199)&gt;$D$4,"",IFERROR(INDEX(tblRegistros[Projeto],$L199),"")))</f>
        <v/>
      </c>
      <c r="C199">
        <f>IF($L199="","",IF(INDEX(tblRegistros[Data],$L199)&gt;$D$4,"",IFERROR(INDEX(tblRegistros[Atividade],$L199),"")))</f>
        <v/>
      </c>
      <c r="D199" s="4">
        <f>IF($L199="","",IF(INDEX(tblRegistros[Data],$L199)&gt;$D$4,"",IFERROR(INDEX(tblRegistros[Início],$L199),"")))</f>
        <v/>
      </c>
      <c r="E199" s="4">
        <f>IF($L199="","",IF(INDEX(tblRegistros[Data],$L199)&gt;$D$4,"",IFERROR(IF(INDEX(tblRegistros[Status],$L199)="EM ABERTO","",INDEX(tblRegistros[Fim],$L199)),"")))</f>
        <v/>
      </c>
      <c r="F199" s="14">
        <f>IF($L199="","",IF(INDEX(tblRegistros[Data],$L199)&gt;$D$4,"",IFERROR(IF(INDEX(tblRegistros[Status],$L199)="EM ABERTO","",INDEX(tblRegistros[Horas],$L199)),"")))</f>
        <v/>
      </c>
      <c r="G199">
        <f>IF($L199="","",IF(INDEX(tblRegistros[Data],$L199)&gt;$D$4,"",IFERROR(INDEX(tblRegistros[Base],$L199),"")))</f>
        <v/>
      </c>
      <c r="H199" s="3">
        <f>IF($L199="","",IF(INDEX(tblRegistros[Data],$L199)&gt;$D$4,"",IFERROR(INDEX(tblRegistros[Taxa aplicada],$L199),"")))</f>
        <v/>
      </c>
      <c r="I199" s="3">
        <f>IF($L199="","",IF(INDEX(tblRegistros[Data],$L199)&gt;$D$4,"",IFERROR(IF(INDEX(tblRegistros[Status],$L199)="EM ABERTO","",INDEX(tblRegistros[Valor],$L199)),"")))</f>
        <v/>
      </c>
      <c r="J199">
        <f>IF($L199="","",IF(INDEX(tblRegistros[Data],$L199)&gt;$D$4,"",IFERROR(INDEX(tblRegistros[Status],$L199),"")))</f>
        <v/>
      </c>
      <c r="K199">
        <f>IF($L199="","",IF(INDEX(tblRegistros[Data],$L199)&gt;$D$4,"",IFERROR(INDEX(tblRegistros[Observação],$L199),"")))</f>
        <v/>
      </c>
      <c r="L199" s="16">
        <f>IFERROR(MATCH($B$3*100000+COUNTIFS(tblRegistros[ID],$B$3,tblRegistros[Data],"&lt;"&amp;$B$4)+ROWS($L$10:L199),tblRegistros[Chave do cartão],0),"")</f>
        <v/>
      </c>
    </row>
    <row r="200">
      <c r="A200" s="2">
        <f>IF($L200="","",IF(INDEX(tblRegistros[Data],$L200)&gt;$D$4,"",IFERROR(INDEX(tblRegistros[Data],$L200),"")))</f>
        <v/>
      </c>
      <c r="B200">
        <f>IF($L200="","",IF(INDEX(tblRegistros[Data],$L200)&gt;$D$4,"",IFERROR(INDEX(tblRegistros[Projeto],$L200),"")))</f>
        <v/>
      </c>
      <c r="C200">
        <f>IF($L200="","",IF(INDEX(tblRegistros[Data],$L200)&gt;$D$4,"",IFERROR(INDEX(tblRegistros[Atividade],$L200),"")))</f>
        <v/>
      </c>
      <c r="D200" s="4">
        <f>IF($L200="","",IF(INDEX(tblRegistros[Data],$L200)&gt;$D$4,"",IFERROR(INDEX(tblRegistros[Início],$L200),"")))</f>
        <v/>
      </c>
      <c r="E200" s="4">
        <f>IF($L200="","",IF(INDEX(tblRegistros[Data],$L200)&gt;$D$4,"",IFERROR(IF(INDEX(tblRegistros[Status],$L200)="EM ABERTO","",INDEX(tblRegistros[Fim],$L200)),"")))</f>
        <v/>
      </c>
      <c r="F200" s="14">
        <f>IF($L200="","",IF(INDEX(tblRegistros[Data],$L200)&gt;$D$4,"",IFERROR(IF(INDEX(tblRegistros[Status],$L200)="EM ABERTO","",INDEX(tblRegistros[Horas],$L200)),"")))</f>
        <v/>
      </c>
      <c r="G200">
        <f>IF($L200="","",IF(INDEX(tblRegistros[Data],$L200)&gt;$D$4,"",IFERROR(INDEX(tblRegistros[Base],$L200),"")))</f>
        <v/>
      </c>
      <c r="H200" s="3">
        <f>IF($L200="","",IF(INDEX(tblRegistros[Data],$L200)&gt;$D$4,"",IFERROR(INDEX(tblRegistros[Taxa aplicada],$L200),"")))</f>
        <v/>
      </c>
      <c r="I200" s="3">
        <f>IF($L200="","",IF(INDEX(tblRegistros[Data],$L200)&gt;$D$4,"",IFERROR(IF(INDEX(tblRegistros[Status],$L200)="EM ABERTO","",INDEX(tblRegistros[Valor],$L200)),"")))</f>
        <v/>
      </c>
      <c r="J200">
        <f>IF($L200="","",IF(INDEX(tblRegistros[Data],$L200)&gt;$D$4,"",IFERROR(INDEX(tblRegistros[Status],$L200),"")))</f>
        <v/>
      </c>
      <c r="K200">
        <f>IF($L200="","",IF(INDEX(tblRegistros[Data],$L200)&gt;$D$4,"",IFERROR(INDEX(tblRegistros[Observação],$L200),"")))</f>
        <v/>
      </c>
      <c r="L200" s="16">
        <f>IFERROR(MATCH($B$3*100000+COUNTIFS(tblRegistros[ID],$B$3,tblRegistros[Data],"&lt;"&amp;$B$4)+ROWS($L$10:L200),tblRegistros[Chave do cartão],0),"")</f>
        <v/>
      </c>
    </row>
    <row r="201">
      <c r="A201" s="2">
        <f>IF($L201="","",IF(INDEX(tblRegistros[Data],$L201)&gt;$D$4,"",IFERROR(INDEX(tblRegistros[Data],$L201),"")))</f>
        <v/>
      </c>
      <c r="B201">
        <f>IF($L201="","",IF(INDEX(tblRegistros[Data],$L201)&gt;$D$4,"",IFERROR(INDEX(tblRegistros[Projeto],$L201),"")))</f>
        <v/>
      </c>
      <c r="C201">
        <f>IF($L201="","",IF(INDEX(tblRegistros[Data],$L201)&gt;$D$4,"",IFERROR(INDEX(tblRegistros[Atividade],$L201),"")))</f>
        <v/>
      </c>
      <c r="D201" s="4">
        <f>IF($L201="","",IF(INDEX(tblRegistros[Data],$L201)&gt;$D$4,"",IFERROR(INDEX(tblRegistros[Início],$L201),"")))</f>
        <v/>
      </c>
      <c r="E201" s="4">
        <f>IF($L201="","",IF(INDEX(tblRegistros[Data],$L201)&gt;$D$4,"",IFERROR(IF(INDEX(tblRegistros[Status],$L201)="EM ABERTO","",INDEX(tblRegistros[Fim],$L201)),"")))</f>
        <v/>
      </c>
      <c r="F201" s="14">
        <f>IF($L201="","",IF(INDEX(tblRegistros[Data],$L201)&gt;$D$4,"",IFERROR(IF(INDEX(tblRegistros[Status],$L201)="EM ABERTO","",INDEX(tblRegistros[Horas],$L201)),"")))</f>
        <v/>
      </c>
      <c r="G201">
        <f>IF($L201="","",IF(INDEX(tblRegistros[Data],$L201)&gt;$D$4,"",IFERROR(INDEX(tblRegistros[Base],$L201),"")))</f>
        <v/>
      </c>
      <c r="H201" s="3">
        <f>IF($L201="","",IF(INDEX(tblRegistros[Data],$L201)&gt;$D$4,"",IFERROR(INDEX(tblRegistros[Taxa aplicada],$L201),"")))</f>
        <v/>
      </c>
      <c r="I201" s="3">
        <f>IF($L201="","",IF(INDEX(tblRegistros[Data],$L201)&gt;$D$4,"",IFERROR(IF(INDEX(tblRegistros[Status],$L201)="EM ABERTO","",INDEX(tblRegistros[Valor],$L201)),"")))</f>
        <v/>
      </c>
      <c r="J201">
        <f>IF($L201="","",IF(INDEX(tblRegistros[Data],$L201)&gt;$D$4,"",IFERROR(INDEX(tblRegistros[Status],$L201),"")))</f>
        <v/>
      </c>
      <c r="K201">
        <f>IF($L201="","",IF(INDEX(tblRegistros[Data],$L201)&gt;$D$4,"",IFERROR(INDEX(tblRegistros[Observação],$L201),"")))</f>
        <v/>
      </c>
      <c r="L201" s="16">
        <f>IFERROR(MATCH($B$3*100000+COUNTIFS(tblRegistros[ID],$B$3,tblRegistros[Data],"&lt;"&amp;$B$4)+ROWS($L$10:L201),tblRegistros[Chave do cartão],0),"")</f>
        <v/>
      </c>
    </row>
    <row r="202">
      <c r="A202" s="2">
        <f>IF($L202="","",IF(INDEX(tblRegistros[Data],$L202)&gt;$D$4,"",IFERROR(INDEX(tblRegistros[Data],$L202),"")))</f>
        <v/>
      </c>
      <c r="B202">
        <f>IF($L202="","",IF(INDEX(tblRegistros[Data],$L202)&gt;$D$4,"",IFERROR(INDEX(tblRegistros[Projeto],$L202),"")))</f>
        <v/>
      </c>
      <c r="C202">
        <f>IF($L202="","",IF(INDEX(tblRegistros[Data],$L202)&gt;$D$4,"",IFERROR(INDEX(tblRegistros[Atividade],$L202),"")))</f>
        <v/>
      </c>
      <c r="D202" s="4">
        <f>IF($L202="","",IF(INDEX(tblRegistros[Data],$L202)&gt;$D$4,"",IFERROR(INDEX(tblRegistros[Início],$L202),"")))</f>
        <v/>
      </c>
      <c r="E202" s="4">
        <f>IF($L202="","",IF(INDEX(tblRegistros[Data],$L202)&gt;$D$4,"",IFERROR(IF(INDEX(tblRegistros[Status],$L202)="EM ABERTO","",INDEX(tblRegistros[Fim],$L202)),"")))</f>
        <v/>
      </c>
      <c r="F202" s="14">
        <f>IF($L202="","",IF(INDEX(tblRegistros[Data],$L202)&gt;$D$4,"",IFERROR(IF(INDEX(tblRegistros[Status],$L202)="EM ABERTO","",INDEX(tblRegistros[Horas],$L202)),"")))</f>
        <v/>
      </c>
      <c r="G202">
        <f>IF($L202="","",IF(INDEX(tblRegistros[Data],$L202)&gt;$D$4,"",IFERROR(INDEX(tblRegistros[Base],$L202),"")))</f>
        <v/>
      </c>
      <c r="H202" s="3">
        <f>IF($L202="","",IF(INDEX(tblRegistros[Data],$L202)&gt;$D$4,"",IFERROR(INDEX(tblRegistros[Taxa aplicada],$L202),"")))</f>
        <v/>
      </c>
      <c r="I202" s="3">
        <f>IF($L202="","",IF(INDEX(tblRegistros[Data],$L202)&gt;$D$4,"",IFERROR(IF(INDEX(tblRegistros[Status],$L202)="EM ABERTO","",INDEX(tblRegistros[Valor],$L202)),"")))</f>
        <v/>
      </c>
      <c r="J202">
        <f>IF($L202="","",IF(INDEX(tblRegistros[Data],$L202)&gt;$D$4,"",IFERROR(INDEX(tblRegistros[Status],$L202),"")))</f>
        <v/>
      </c>
      <c r="K202">
        <f>IF($L202="","",IF(INDEX(tblRegistros[Data],$L202)&gt;$D$4,"",IFERROR(INDEX(tblRegistros[Observação],$L202),"")))</f>
        <v/>
      </c>
      <c r="L202" s="16">
        <f>IFERROR(MATCH($B$3*100000+COUNTIFS(tblRegistros[ID],$B$3,tblRegistros[Data],"&lt;"&amp;$B$4)+ROWS($L$10:L202),tblRegistros[Chave do cartão],0),"")</f>
        <v/>
      </c>
    </row>
    <row r="203">
      <c r="A203" s="2">
        <f>IF($L203="","",IF(INDEX(tblRegistros[Data],$L203)&gt;$D$4,"",IFERROR(INDEX(tblRegistros[Data],$L203),"")))</f>
        <v/>
      </c>
      <c r="B203">
        <f>IF($L203="","",IF(INDEX(tblRegistros[Data],$L203)&gt;$D$4,"",IFERROR(INDEX(tblRegistros[Projeto],$L203),"")))</f>
        <v/>
      </c>
      <c r="C203">
        <f>IF($L203="","",IF(INDEX(tblRegistros[Data],$L203)&gt;$D$4,"",IFERROR(INDEX(tblRegistros[Atividade],$L203),"")))</f>
        <v/>
      </c>
      <c r="D203" s="4">
        <f>IF($L203="","",IF(INDEX(tblRegistros[Data],$L203)&gt;$D$4,"",IFERROR(INDEX(tblRegistros[Início],$L203),"")))</f>
        <v/>
      </c>
      <c r="E203" s="4">
        <f>IF($L203="","",IF(INDEX(tblRegistros[Data],$L203)&gt;$D$4,"",IFERROR(IF(INDEX(tblRegistros[Status],$L203)="EM ABERTO","",INDEX(tblRegistros[Fim],$L203)),"")))</f>
        <v/>
      </c>
      <c r="F203" s="14">
        <f>IF($L203="","",IF(INDEX(tblRegistros[Data],$L203)&gt;$D$4,"",IFERROR(IF(INDEX(tblRegistros[Status],$L203)="EM ABERTO","",INDEX(tblRegistros[Horas],$L203)),"")))</f>
        <v/>
      </c>
      <c r="G203">
        <f>IF($L203="","",IF(INDEX(tblRegistros[Data],$L203)&gt;$D$4,"",IFERROR(INDEX(tblRegistros[Base],$L203),"")))</f>
        <v/>
      </c>
      <c r="H203" s="3">
        <f>IF($L203="","",IF(INDEX(tblRegistros[Data],$L203)&gt;$D$4,"",IFERROR(INDEX(tblRegistros[Taxa aplicada],$L203),"")))</f>
        <v/>
      </c>
      <c r="I203" s="3">
        <f>IF($L203="","",IF(INDEX(tblRegistros[Data],$L203)&gt;$D$4,"",IFERROR(IF(INDEX(tblRegistros[Status],$L203)="EM ABERTO","",INDEX(tblRegistros[Valor],$L203)),"")))</f>
        <v/>
      </c>
      <c r="J203">
        <f>IF($L203="","",IF(INDEX(tblRegistros[Data],$L203)&gt;$D$4,"",IFERROR(INDEX(tblRegistros[Status],$L203),"")))</f>
        <v/>
      </c>
      <c r="K203">
        <f>IF($L203="","",IF(INDEX(tblRegistros[Data],$L203)&gt;$D$4,"",IFERROR(INDEX(tblRegistros[Observação],$L203),"")))</f>
        <v/>
      </c>
      <c r="L203" s="16">
        <f>IFERROR(MATCH($B$3*100000+COUNTIFS(tblRegistros[ID],$B$3,tblRegistros[Data],"&lt;"&amp;$B$4)+ROWS($L$10:L203),tblRegistros[Chave do cartão],0),"")</f>
        <v/>
      </c>
    </row>
    <row r="204">
      <c r="A204" s="2">
        <f>IF($L204="","",IF(INDEX(tblRegistros[Data],$L204)&gt;$D$4,"",IFERROR(INDEX(tblRegistros[Data],$L204),"")))</f>
        <v/>
      </c>
      <c r="B204">
        <f>IF($L204="","",IF(INDEX(tblRegistros[Data],$L204)&gt;$D$4,"",IFERROR(INDEX(tblRegistros[Projeto],$L204),"")))</f>
        <v/>
      </c>
      <c r="C204">
        <f>IF($L204="","",IF(INDEX(tblRegistros[Data],$L204)&gt;$D$4,"",IFERROR(INDEX(tblRegistros[Atividade],$L204),"")))</f>
        <v/>
      </c>
      <c r="D204" s="4">
        <f>IF($L204="","",IF(INDEX(tblRegistros[Data],$L204)&gt;$D$4,"",IFERROR(INDEX(tblRegistros[Início],$L204),"")))</f>
        <v/>
      </c>
      <c r="E204" s="4">
        <f>IF($L204="","",IF(INDEX(tblRegistros[Data],$L204)&gt;$D$4,"",IFERROR(IF(INDEX(tblRegistros[Status],$L204)="EM ABERTO","",INDEX(tblRegistros[Fim],$L204)),"")))</f>
        <v/>
      </c>
      <c r="F204" s="14">
        <f>IF($L204="","",IF(INDEX(tblRegistros[Data],$L204)&gt;$D$4,"",IFERROR(IF(INDEX(tblRegistros[Status],$L204)="EM ABERTO","",INDEX(tblRegistros[Horas],$L204)),"")))</f>
        <v/>
      </c>
      <c r="G204">
        <f>IF($L204="","",IF(INDEX(tblRegistros[Data],$L204)&gt;$D$4,"",IFERROR(INDEX(tblRegistros[Base],$L204),"")))</f>
        <v/>
      </c>
      <c r="H204" s="3">
        <f>IF($L204="","",IF(INDEX(tblRegistros[Data],$L204)&gt;$D$4,"",IFERROR(INDEX(tblRegistros[Taxa aplicada],$L204),"")))</f>
        <v/>
      </c>
      <c r="I204" s="3">
        <f>IF($L204="","",IF(INDEX(tblRegistros[Data],$L204)&gt;$D$4,"",IFERROR(IF(INDEX(tblRegistros[Status],$L204)="EM ABERTO","",INDEX(tblRegistros[Valor],$L204)),"")))</f>
        <v/>
      </c>
      <c r="J204">
        <f>IF($L204="","",IF(INDEX(tblRegistros[Data],$L204)&gt;$D$4,"",IFERROR(INDEX(tblRegistros[Status],$L204),"")))</f>
        <v/>
      </c>
      <c r="K204">
        <f>IF($L204="","",IF(INDEX(tblRegistros[Data],$L204)&gt;$D$4,"",IFERROR(INDEX(tblRegistros[Observação],$L204),"")))</f>
        <v/>
      </c>
      <c r="L204" s="16">
        <f>IFERROR(MATCH($B$3*100000+COUNTIFS(tblRegistros[ID],$B$3,tblRegistros[Data],"&lt;"&amp;$B$4)+ROWS($L$10:L204),tblRegistros[Chave do cartão],0),"")</f>
        <v/>
      </c>
    </row>
    <row r="205">
      <c r="A205" s="2">
        <f>IF($L205="","",IF(INDEX(tblRegistros[Data],$L205)&gt;$D$4,"",IFERROR(INDEX(tblRegistros[Data],$L205),"")))</f>
        <v/>
      </c>
      <c r="B205">
        <f>IF($L205="","",IF(INDEX(tblRegistros[Data],$L205)&gt;$D$4,"",IFERROR(INDEX(tblRegistros[Projeto],$L205),"")))</f>
        <v/>
      </c>
      <c r="C205">
        <f>IF($L205="","",IF(INDEX(tblRegistros[Data],$L205)&gt;$D$4,"",IFERROR(INDEX(tblRegistros[Atividade],$L205),"")))</f>
        <v/>
      </c>
      <c r="D205" s="4">
        <f>IF($L205="","",IF(INDEX(tblRegistros[Data],$L205)&gt;$D$4,"",IFERROR(INDEX(tblRegistros[Início],$L205),"")))</f>
        <v/>
      </c>
      <c r="E205" s="4">
        <f>IF($L205="","",IF(INDEX(tblRegistros[Data],$L205)&gt;$D$4,"",IFERROR(IF(INDEX(tblRegistros[Status],$L205)="EM ABERTO","",INDEX(tblRegistros[Fim],$L205)),"")))</f>
        <v/>
      </c>
      <c r="F205" s="14">
        <f>IF($L205="","",IF(INDEX(tblRegistros[Data],$L205)&gt;$D$4,"",IFERROR(IF(INDEX(tblRegistros[Status],$L205)="EM ABERTO","",INDEX(tblRegistros[Horas],$L205)),"")))</f>
        <v/>
      </c>
      <c r="G205">
        <f>IF($L205="","",IF(INDEX(tblRegistros[Data],$L205)&gt;$D$4,"",IFERROR(INDEX(tblRegistros[Base],$L205),"")))</f>
        <v/>
      </c>
      <c r="H205" s="3">
        <f>IF($L205="","",IF(INDEX(tblRegistros[Data],$L205)&gt;$D$4,"",IFERROR(INDEX(tblRegistros[Taxa aplicada],$L205),"")))</f>
        <v/>
      </c>
      <c r="I205" s="3">
        <f>IF($L205="","",IF(INDEX(tblRegistros[Data],$L205)&gt;$D$4,"",IFERROR(IF(INDEX(tblRegistros[Status],$L205)="EM ABERTO","",INDEX(tblRegistros[Valor],$L205)),"")))</f>
        <v/>
      </c>
      <c r="J205">
        <f>IF($L205="","",IF(INDEX(tblRegistros[Data],$L205)&gt;$D$4,"",IFERROR(INDEX(tblRegistros[Status],$L205),"")))</f>
        <v/>
      </c>
      <c r="K205">
        <f>IF($L205="","",IF(INDEX(tblRegistros[Data],$L205)&gt;$D$4,"",IFERROR(INDEX(tblRegistros[Observação],$L205),"")))</f>
        <v/>
      </c>
      <c r="L205" s="16">
        <f>IFERROR(MATCH($B$3*100000+COUNTIFS(tblRegistros[ID],$B$3,tblRegistros[Data],"&lt;"&amp;$B$4)+ROWS($L$10:L205),tblRegistros[Chave do cartão],0),"")</f>
        <v/>
      </c>
    </row>
    <row r="206">
      <c r="A206" s="2">
        <f>IF($L206="","",IF(INDEX(tblRegistros[Data],$L206)&gt;$D$4,"",IFERROR(INDEX(tblRegistros[Data],$L206),"")))</f>
        <v/>
      </c>
      <c r="B206">
        <f>IF($L206="","",IF(INDEX(tblRegistros[Data],$L206)&gt;$D$4,"",IFERROR(INDEX(tblRegistros[Projeto],$L206),"")))</f>
        <v/>
      </c>
      <c r="C206">
        <f>IF($L206="","",IF(INDEX(tblRegistros[Data],$L206)&gt;$D$4,"",IFERROR(INDEX(tblRegistros[Atividade],$L206),"")))</f>
        <v/>
      </c>
      <c r="D206" s="4">
        <f>IF($L206="","",IF(INDEX(tblRegistros[Data],$L206)&gt;$D$4,"",IFERROR(INDEX(tblRegistros[Início],$L206),"")))</f>
        <v/>
      </c>
      <c r="E206" s="4">
        <f>IF($L206="","",IF(INDEX(tblRegistros[Data],$L206)&gt;$D$4,"",IFERROR(IF(INDEX(tblRegistros[Status],$L206)="EM ABERTO","",INDEX(tblRegistros[Fim],$L206)),"")))</f>
        <v/>
      </c>
      <c r="F206" s="14">
        <f>IF($L206="","",IF(INDEX(tblRegistros[Data],$L206)&gt;$D$4,"",IFERROR(IF(INDEX(tblRegistros[Status],$L206)="EM ABERTO","",INDEX(tblRegistros[Horas],$L206)),"")))</f>
        <v/>
      </c>
      <c r="G206">
        <f>IF($L206="","",IF(INDEX(tblRegistros[Data],$L206)&gt;$D$4,"",IFERROR(INDEX(tblRegistros[Base],$L206),"")))</f>
        <v/>
      </c>
      <c r="H206" s="3">
        <f>IF($L206="","",IF(INDEX(tblRegistros[Data],$L206)&gt;$D$4,"",IFERROR(INDEX(tblRegistros[Taxa aplicada],$L206),"")))</f>
        <v/>
      </c>
      <c r="I206" s="3">
        <f>IF($L206="","",IF(INDEX(tblRegistros[Data],$L206)&gt;$D$4,"",IFERROR(IF(INDEX(tblRegistros[Status],$L206)="EM ABERTO","",INDEX(tblRegistros[Valor],$L206)),"")))</f>
        <v/>
      </c>
      <c r="J206">
        <f>IF($L206="","",IF(INDEX(tblRegistros[Data],$L206)&gt;$D$4,"",IFERROR(INDEX(tblRegistros[Status],$L206),"")))</f>
        <v/>
      </c>
      <c r="K206">
        <f>IF($L206="","",IF(INDEX(tblRegistros[Data],$L206)&gt;$D$4,"",IFERROR(INDEX(tblRegistros[Observação],$L206),"")))</f>
        <v/>
      </c>
      <c r="L206" s="16">
        <f>IFERROR(MATCH($B$3*100000+COUNTIFS(tblRegistros[ID],$B$3,tblRegistros[Data],"&lt;"&amp;$B$4)+ROWS($L$10:L206),tblRegistros[Chave do cartão],0),"")</f>
        <v/>
      </c>
    </row>
    <row r="207">
      <c r="A207" s="2">
        <f>IF($L207="","",IF(INDEX(tblRegistros[Data],$L207)&gt;$D$4,"",IFERROR(INDEX(tblRegistros[Data],$L207),"")))</f>
        <v/>
      </c>
      <c r="B207">
        <f>IF($L207="","",IF(INDEX(tblRegistros[Data],$L207)&gt;$D$4,"",IFERROR(INDEX(tblRegistros[Projeto],$L207),"")))</f>
        <v/>
      </c>
      <c r="C207">
        <f>IF($L207="","",IF(INDEX(tblRegistros[Data],$L207)&gt;$D$4,"",IFERROR(INDEX(tblRegistros[Atividade],$L207),"")))</f>
        <v/>
      </c>
      <c r="D207" s="4">
        <f>IF($L207="","",IF(INDEX(tblRegistros[Data],$L207)&gt;$D$4,"",IFERROR(INDEX(tblRegistros[Início],$L207),"")))</f>
        <v/>
      </c>
      <c r="E207" s="4">
        <f>IF($L207="","",IF(INDEX(tblRegistros[Data],$L207)&gt;$D$4,"",IFERROR(IF(INDEX(tblRegistros[Status],$L207)="EM ABERTO","",INDEX(tblRegistros[Fim],$L207)),"")))</f>
        <v/>
      </c>
      <c r="F207" s="14">
        <f>IF($L207="","",IF(INDEX(tblRegistros[Data],$L207)&gt;$D$4,"",IFERROR(IF(INDEX(tblRegistros[Status],$L207)="EM ABERTO","",INDEX(tblRegistros[Horas],$L207)),"")))</f>
        <v/>
      </c>
      <c r="G207">
        <f>IF($L207="","",IF(INDEX(tblRegistros[Data],$L207)&gt;$D$4,"",IFERROR(INDEX(tblRegistros[Base],$L207),"")))</f>
        <v/>
      </c>
      <c r="H207" s="3">
        <f>IF($L207="","",IF(INDEX(tblRegistros[Data],$L207)&gt;$D$4,"",IFERROR(INDEX(tblRegistros[Taxa aplicada],$L207),"")))</f>
        <v/>
      </c>
      <c r="I207" s="3">
        <f>IF($L207="","",IF(INDEX(tblRegistros[Data],$L207)&gt;$D$4,"",IFERROR(IF(INDEX(tblRegistros[Status],$L207)="EM ABERTO","",INDEX(tblRegistros[Valor],$L207)),"")))</f>
        <v/>
      </c>
      <c r="J207">
        <f>IF($L207="","",IF(INDEX(tblRegistros[Data],$L207)&gt;$D$4,"",IFERROR(INDEX(tblRegistros[Status],$L207),"")))</f>
        <v/>
      </c>
      <c r="K207">
        <f>IF($L207="","",IF(INDEX(tblRegistros[Data],$L207)&gt;$D$4,"",IFERROR(INDEX(tblRegistros[Observação],$L207),"")))</f>
        <v/>
      </c>
      <c r="L207" s="16">
        <f>IFERROR(MATCH($B$3*100000+COUNTIFS(tblRegistros[ID],$B$3,tblRegistros[Data],"&lt;"&amp;$B$4)+ROWS($L$10:L207),tblRegistros[Chave do cartão],0),"")</f>
        <v/>
      </c>
    </row>
    <row r="208">
      <c r="A208" s="2">
        <f>IF($L208="","",IF(INDEX(tblRegistros[Data],$L208)&gt;$D$4,"",IFERROR(INDEX(tblRegistros[Data],$L208),"")))</f>
        <v/>
      </c>
      <c r="B208">
        <f>IF($L208="","",IF(INDEX(tblRegistros[Data],$L208)&gt;$D$4,"",IFERROR(INDEX(tblRegistros[Projeto],$L208),"")))</f>
        <v/>
      </c>
      <c r="C208">
        <f>IF($L208="","",IF(INDEX(tblRegistros[Data],$L208)&gt;$D$4,"",IFERROR(INDEX(tblRegistros[Atividade],$L208),"")))</f>
        <v/>
      </c>
      <c r="D208" s="4">
        <f>IF($L208="","",IF(INDEX(tblRegistros[Data],$L208)&gt;$D$4,"",IFERROR(INDEX(tblRegistros[Início],$L208),"")))</f>
        <v/>
      </c>
      <c r="E208" s="4">
        <f>IF($L208="","",IF(INDEX(tblRegistros[Data],$L208)&gt;$D$4,"",IFERROR(IF(INDEX(tblRegistros[Status],$L208)="EM ABERTO","",INDEX(tblRegistros[Fim],$L208)),"")))</f>
        <v/>
      </c>
      <c r="F208" s="14">
        <f>IF($L208="","",IF(INDEX(tblRegistros[Data],$L208)&gt;$D$4,"",IFERROR(IF(INDEX(tblRegistros[Status],$L208)="EM ABERTO","",INDEX(tblRegistros[Horas],$L208)),"")))</f>
        <v/>
      </c>
      <c r="G208">
        <f>IF($L208="","",IF(INDEX(tblRegistros[Data],$L208)&gt;$D$4,"",IFERROR(INDEX(tblRegistros[Base],$L208),"")))</f>
        <v/>
      </c>
      <c r="H208" s="3">
        <f>IF($L208="","",IF(INDEX(tblRegistros[Data],$L208)&gt;$D$4,"",IFERROR(INDEX(tblRegistros[Taxa aplicada],$L208),"")))</f>
        <v/>
      </c>
      <c r="I208" s="3">
        <f>IF($L208="","",IF(INDEX(tblRegistros[Data],$L208)&gt;$D$4,"",IFERROR(IF(INDEX(tblRegistros[Status],$L208)="EM ABERTO","",INDEX(tblRegistros[Valor],$L208)),"")))</f>
        <v/>
      </c>
      <c r="J208">
        <f>IF($L208="","",IF(INDEX(tblRegistros[Data],$L208)&gt;$D$4,"",IFERROR(INDEX(tblRegistros[Status],$L208),"")))</f>
        <v/>
      </c>
      <c r="K208">
        <f>IF($L208="","",IF(INDEX(tblRegistros[Data],$L208)&gt;$D$4,"",IFERROR(INDEX(tblRegistros[Observação],$L208),"")))</f>
        <v/>
      </c>
      <c r="L208" s="16">
        <f>IFERROR(MATCH($B$3*100000+COUNTIFS(tblRegistros[ID],$B$3,tblRegistros[Data],"&lt;"&amp;$B$4)+ROWS($L$10:L208),tblRegistros[Chave do cartão],0),"")</f>
        <v/>
      </c>
    </row>
    <row r="209">
      <c r="A209" s="2">
        <f>IF($L209="","",IF(INDEX(tblRegistros[Data],$L209)&gt;$D$4,"",IFERROR(INDEX(tblRegistros[Data],$L209),"")))</f>
        <v/>
      </c>
      <c r="B209">
        <f>IF($L209="","",IF(INDEX(tblRegistros[Data],$L209)&gt;$D$4,"",IFERROR(INDEX(tblRegistros[Projeto],$L209),"")))</f>
        <v/>
      </c>
      <c r="C209">
        <f>IF($L209="","",IF(INDEX(tblRegistros[Data],$L209)&gt;$D$4,"",IFERROR(INDEX(tblRegistros[Atividade],$L209),"")))</f>
        <v/>
      </c>
      <c r="D209" s="4">
        <f>IF($L209="","",IF(INDEX(tblRegistros[Data],$L209)&gt;$D$4,"",IFERROR(INDEX(tblRegistros[Início],$L209),"")))</f>
        <v/>
      </c>
      <c r="E209" s="4">
        <f>IF($L209="","",IF(INDEX(tblRegistros[Data],$L209)&gt;$D$4,"",IFERROR(IF(INDEX(tblRegistros[Status],$L209)="EM ABERTO","",INDEX(tblRegistros[Fim],$L209)),"")))</f>
        <v/>
      </c>
      <c r="F209" s="14">
        <f>IF($L209="","",IF(INDEX(tblRegistros[Data],$L209)&gt;$D$4,"",IFERROR(IF(INDEX(tblRegistros[Status],$L209)="EM ABERTO","",INDEX(tblRegistros[Horas],$L209)),"")))</f>
        <v/>
      </c>
      <c r="G209">
        <f>IF($L209="","",IF(INDEX(tblRegistros[Data],$L209)&gt;$D$4,"",IFERROR(INDEX(tblRegistros[Base],$L209),"")))</f>
        <v/>
      </c>
      <c r="H209" s="3">
        <f>IF($L209="","",IF(INDEX(tblRegistros[Data],$L209)&gt;$D$4,"",IFERROR(INDEX(tblRegistros[Taxa aplicada],$L209),"")))</f>
        <v/>
      </c>
      <c r="I209" s="3">
        <f>IF($L209="","",IF(INDEX(tblRegistros[Data],$L209)&gt;$D$4,"",IFERROR(IF(INDEX(tblRegistros[Status],$L209)="EM ABERTO","",INDEX(tblRegistros[Valor],$L209)),"")))</f>
        <v/>
      </c>
      <c r="J209">
        <f>IF($L209="","",IF(INDEX(tblRegistros[Data],$L209)&gt;$D$4,"",IFERROR(INDEX(tblRegistros[Status],$L209),"")))</f>
        <v/>
      </c>
      <c r="K209">
        <f>IF($L209="","",IF(INDEX(tblRegistros[Data],$L209)&gt;$D$4,"",IFERROR(INDEX(tblRegistros[Observação],$L209),"")))</f>
        <v/>
      </c>
      <c r="L209" s="16">
        <f>IFERROR(MATCH($B$3*100000+COUNTIFS(tblRegistros[ID],$B$3,tblRegistros[Data],"&lt;"&amp;$B$4)+ROWS($L$10:L209),tblRegistros[Chave do cartão],0),"")</f>
        <v/>
      </c>
    </row>
    <row r="210">
      <c r="A210" s="2">
        <f>IF($L210="","",IF(INDEX(tblRegistros[Data],$L210)&gt;$D$4,"",IFERROR(INDEX(tblRegistros[Data],$L210),"")))</f>
        <v/>
      </c>
      <c r="B210">
        <f>IF($L210="","",IF(INDEX(tblRegistros[Data],$L210)&gt;$D$4,"",IFERROR(INDEX(tblRegistros[Projeto],$L210),"")))</f>
        <v/>
      </c>
      <c r="C210">
        <f>IF($L210="","",IF(INDEX(tblRegistros[Data],$L210)&gt;$D$4,"",IFERROR(INDEX(tblRegistros[Atividade],$L210),"")))</f>
        <v/>
      </c>
      <c r="D210" s="4">
        <f>IF($L210="","",IF(INDEX(tblRegistros[Data],$L210)&gt;$D$4,"",IFERROR(INDEX(tblRegistros[Início],$L210),"")))</f>
        <v/>
      </c>
      <c r="E210" s="4">
        <f>IF($L210="","",IF(INDEX(tblRegistros[Data],$L210)&gt;$D$4,"",IFERROR(IF(INDEX(tblRegistros[Status],$L210)="EM ABERTO","",INDEX(tblRegistros[Fim],$L210)),"")))</f>
        <v/>
      </c>
      <c r="F210" s="14">
        <f>IF($L210="","",IF(INDEX(tblRegistros[Data],$L210)&gt;$D$4,"",IFERROR(IF(INDEX(tblRegistros[Status],$L210)="EM ABERTO","",INDEX(tblRegistros[Horas],$L210)),"")))</f>
        <v/>
      </c>
      <c r="G210">
        <f>IF($L210="","",IF(INDEX(tblRegistros[Data],$L210)&gt;$D$4,"",IFERROR(INDEX(tblRegistros[Base],$L210),"")))</f>
        <v/>
      </c>
      <c r="H210" s="3">
        <f>IF($L210="","",IF(INDEX(tblRegistros[Data],$L210)&gt;$D$4,"",IFERROR(INDEX(tblRegistros[Taxa aplicada],$L210),"")))</f>
        <v/>
      </c>
      <c r="I210" s="3">
        <f>IF($L210="","",IF(INDEX(tblRegistros[Data],$L210)&gt;$D$4,"",IFERROR(IF(INDEX(tblRegistros[Status],$L210)="EM ABERTO","",INDEX(tblRegistros[Valor],$L210)),"")))</f>
        <v/>
      </c>
      <c r="J210">
        <f>IF($L210="","",IF(INDEX(tblRegistros[Data],$L210)&gt;$D$4,"",IFERROR(INDEX(tblRegistros[Status],$L210),"")))</f>
        <v/>
      </c>
      <c r="K210">
        <f>IF($L210="","",IF(INDEX(tblRegistros[Data],$L210)&gt;$D$4,"",IFERROR(INDEX(tblRegistros[Observação],$L210),"")))</f>
        <v/>
      </c>
      <c r="L210" s="16">
        <f>IFERROR(MATCH($B$3*100000+COUNTIFS(tblRegistros[ID],$B$3,tblRegistros[Data],"&lt;"&amp;$B$4)+ROWS($L$10:L210),tblRegistros[Chave do cartão],0),"")</f>
        <v/>
      </c>
    </row>
    <row r="211">
      <c r="A211" s="2">
        <f>IF($L211="","",IF(INDEX(tblRegistros[Data],$L211)&gt;$D$4,"",IFERROR(INDEX(tblRegistros[Data],$L211),"")))</f>
        <v/>
      </c>
      <c r="B211">
        <f>IF($L211="","",IF(INDEX(tblRegistros[Data],$L211)&gt;$D$4,"",IFERROR(INDEX(tblRegistros[Projeto],$L211),"")))</f>
        <v/>
      </c>
      <c r="C211">
        <f>IF($L211="","",IF(INDEX(tblRegistros[Data],$L211)&gt;$D$4,"",IFERROR(INDEX(tblRegistros[Atividade],$L211),"")))</f>
        <v/>
      </c>
      <c r="D211" s="4">
        <f>IF($L211="","",IF(INDEX(tblRegistros[Data],$L211)&gt;$D$4,"",IFERROR(INDEX(tblRegistros[Início],$L211),"")))</f>
        <v/>
      </c>
      <c r="E211" s="4">
        <f>IF($L211="","",IF(INDEX(tblRegistros[Data],$L211)&gt;$D$4,"",IFERROR(IF(INDEX(tblRegistros[Status],$L211)="EM ABERTO","",INDEX(tblRegistros[Fim],$L211)),"")))</f>
        <v/>
      </c>
      <c r="F211" s="14">
        <f>IF($L211="","",IF(INDEX(tblRegistros[Data],$L211)&gt;$D$4,"",IFERROR(IF(INDEX(tblRegistros[Status],$L211)="EM ABERTO","",INDEX(tblRegistros[Horas],$L211)),"")))</f>
        <v/>
      </c>
      <c r="G211">
        <f>IF($L211="","",IF(INDEX(tblRegistros[Data],$L211)&gt;$D$4,"",IFERROR(INDEX(tblRegistros[Base],$L211),"")))</f>
        <v/>
      </c>
      <c r="H211" s="3">
        <f>IF($L211="","",IF(INDEX(tblRegistros[Data],$L211)&gt;$D$4,"",IFERROR(INDEX(tblRegistros[Taxa aplicada],$L211),"")))</f>
        <v/>
      </c>
      <c r="I211" s="3">
        <f>IF($L211="","",IF(INDEX(tblRegistros[Data],$L211)&gt;$D$4,"",IFERROR(IF(INDEX(tblRegistros[Status],$L211)="EM ABERTO","",INDEX(tblRegistros[Valor],$L211)),"")))</f>
        <v/>
      </c>
      <c r="J211">
        <f>IF($L211="","",IF(INDEX(tblRegistros[Data],$L211)&gt;$D$4,"",IFERROR(INDEX(tblRegistros[Status],$L211),"")))</f>
        <v/>
      </c>
      <c r="K211">
        <f>IF($L211="","",IF(INDEX(tblRegistros[Data],$L211)&gt;$D$4,"",IFERROR(INDEX(tblRegistros[Observação],$L211),"")))</f>
        <v/>
      </c>
      <c r="L211" s="16">
        <f>IFERROR(MATCH($B$3*100000+COUNTIFS(tblRegistros[ID],$B$3,tblRegistros[Data],"&lt;"&amp;$B$4)+ROWS($L$10:L211),tblRegistros[Chave do cartão],0),"")</f>
        <v/>
      </c>
    </row>
    <row r="212">
      <c r="A212" s="2">
        <f>IF($L212="","",IF(INDEX(tblRegistros[Data],$L212)&gt;$D$4,"",IFERROR(INDEX(tblRegistros[Data],$L212),"")))</f>
        <v/>
      </c>
      <c r="B212">
        <f>IF($L212="","",IF(INDEX(tblRegistros[Data],$L212)&gt;$D$4,"",IFERROR(INDEX(tblRegistros[Projeto],$L212),"")))</f>
        <v/>
      </c>
      <c r="C212">
        <f>IF($L212="","",IF(INDEX(tblRegistros[Data],$L212)&gt;$D$4,"",IFERROR(INDEX(tblRegistros[Atividade],$L212),"")))</f>
        <v/>
      </c>
      <c r="D212" s="4">
        <f>IF($L212="","",IF(INDEX(tblRegistros[Data],$L212)&gt;$D$4,"",IFERROR(INDEX(tblRegistros[Início],$L212),"")))</f>
        <v/>
      </c>
      <c r="E212" s="4">
        <f>IF($L212="","",IF(INDEX(tblRegistros[Data],$L212)&gt;$D$4,"",IFERROR(IF(INDEX(tblRegistros[Status],$L212)="EM ABERTO","",INDEX(tblRegistros[Fim],$L212)),"")))</f>
        <v/>
      </c>
      <c r="F212" s="14">
        <f>IF($L212="","",IF(INDEX(tblRegistros[Data],$L212)&gt;$D$4,"",IFERROR(IF(INDEX(tblRegistros[Status],$L212)="EM ABERTO","",INDEX(tblRegistros[Horas],$L212)),"")))</f>
        <v/>
      </c>
      <c r="G212">
        <f>IF($L212="","",IF(INDEX(tblRegistros[Data],$L212)&gt;$D$4,"",IFERROR(INDEX(tblRegistros[Base],$L212),"")))</f>
        <v/>
      </c>
      <c r="H212" s="3">
        <f>IF($L212="","",IF(INDEX(tblRegistros[Data],$L212)&gt;$D$4,"",IFERROR(INDEX(tblRegistros[Taxa aplicada],$L212),"")))</f>
        <v/>
      </c>
      <c r="I212" s="3">
        <f>IF($L212="","",IF(INDEX(tblRegistros[Data],$L212)&gt;$D$4,"",IFERROR(IF(INDEX(tblRegistros[Status],$L212)="EM ABERTO","",INDEX(tblRegistros[Valor],$L212)),"")))</f>
        <v/>
      </c>
      <c r="J212">
        <f>IF($L212="","",IF(INDEX(tblRegistros[Data],$L212)&gt;$D$4,"",IFERROR(INDEX(tblRegistros[Status],$L212),"")))</f>
        <v/>
      </c>
      <c r="K212">
        <f>IF($L212="","",IF(INDEX(tblRegistros[Data],$L212)&gt;$D$4,"",IFERROR(INDEX(tblRegistros[Observação],$L212),"")))</f>
        <v/>
      </c>
      <c r="L212" s="16">
        <f>IFERROR(MATCH($B$3*100000+COUNTIFS(tblRegistros[ID],$B$3,tblRegistros[Data],"&lt;"&amp;$B$4)+ROWS($L$10:L212),tblRegistros[Chave do cartão],0),"")</f>
        <v/>
      </c>
    </row>
    <row r="213">
      <c r="A213" s="2">
        <f>IF($L213="","",IF(INDEX(tblRegistros[Data],$L213)&gt;$D$4,"",IFERROR(INDEX(tblRegistros[Data],$L213),"")))</f>
        <v/>
      </c>
      <c r="B213">
        <f>IF($L213="","",IF(INDEX(tblRegistros[Data],$L213)&gt;$D$4,"",IFERROR(INDEX(tblRegistros[Projeto],$L213),"")))</f>
        <v/>
      </c>
      <c r="C213">
        <f>IF($L213="","",IF(INDEX(tblRegistros[Data],$L213)&gt;$D$4,"",IFERROR(INDEX(tblRegistros[Atividade],$L213),"")))</f>
        <v/>
      </c>
      <c r="D213" s="4">
        <f>IF($L213="","",IF(INDEX(tblRegistros[Data],$L213)&gt;$D$4,"",IFERROR(INDEX(tblRegistros[Início],$L213),"")))</f>
        <v/>
      </c>
      <c r="E213" s="4">
        <f>IF($L213="","",IF(INDEX(tblRegistros[Data],$L213)&gt;$D$4,"",IFERROR(IF(INDEX(tblRegistros[Status],$L213)="EM ABERTO","",INDEX(tblRegistros[Fim],$L213)),"")))</f>
        <v/>
      </c>
      <c r="F213" s="14">
        <f>IF($L213="","",IF(INDEX(tblRegistros[Data],$L213)&gt;$D$4,"",IFERROR(IF(INDEX(tblRegistros[Status],$L213)="EM ABERTO","",INDEX(tblRegistros[Horas],$L213)),"")))</f>
        <v/>
      </c>
      <c r="G213">
        <f>IF($L213="","",IF(INDEX(tblRegistros[Data],$L213)&gt;$D$4,"",IFERROR(INDEX(tblRegistros[Base],$L213),"")))</f>
        <v/>
      </c>
      <c r="H213" s="3">
        <f>IF($L213="","",IF(INDEX(tblRegistros[Data],$L213)&gt;$D$4,"",IFERROR(INDEX(tblRegistros[Taxa aplicada],$L213),"")))</f>
        <v/>
      </c>
      <c r="I213" s="3">
        <f>IF($L213="","",IF(INDEX(tblRegistros[Data],$L213)&gt;$D$4,"",IFERROR(IF(INDEX(tblRegistros[Status],$L213)="EM ABERTO","",INDEX(tblRegistros[Valor],$L213)),"")))</f>
        <v/>
      </c>
      <c r="J213">
        <f>IF($L213="","",IF(INDEX(tblRegistros[Data],$L213)&gt;$D$4,"",IFERROR(INDEX(tblRegistros[Status],$L213),"")))</f>
        <v/>
      </c>
      <c r="K213">
        <f>IF($L213="","",IF(INDEX(tblRegistros[Data],$L213)&gt;$D$4,"",IFERROR(INDEX(tblRegistros[Observação],$L213),"")))</f>
        <v/>
      </c>
      <c r="L213" s="16">
        <f>IFERROR(MATCH($B$3*100000+COUNTIFS(tblRegistros[ID],$B$3,tblRegistros[Data],"&lt;"&amp;$B$4)+ROWS($L$10:L213),tblRegistros[Chave do cartão],0),"")</f>
        <v/>
      </c>
    </row>
    <row r="214">
      <c r="A214" s="2">
        <f>IF($L214="","",IF(INDEX(tblRegistros[Data],$L214)&gt;$D$4,"",IFERROR(INDEX(tblRegistros[Data],$L214),"")))</f>
        <v/>
      </c>
      <c r="B214">
        <f>IF($L214="","",IF(INDEX(tblRegistros[Data],$L214)&gt;$D$4,"",IFERROR(INDEX(tblRegistros[Projeto],$L214),"")))</f>
        <v/>
      </c>
      <c r="C214">
        <f>IF($L214="","",IF(INDEX(tblRegistros[Data],$L214)&gt;$D$4,"",IFERROR(INDEX(tblRegistros[Atividade],$L214),"")))</f>
        <v/>
      </c>
      <c r="D214" s="4">
        <f>IF($L214="","",IF(INDEX(tblRegistros[Data],$L214)&gt;$D$4,"",IFERROR(INDEX(tblRegistros[Início],$L214),"")))</f>
        <v/>
      </c>
      <c r="E214" s="4">
        <f>IF($L214="","",IF(INDEX(tblRegistros[Data],$L214)&gt;$D$4,"",IFERROR(IF(INDEX(tblRegistros[Status],$L214)="EM ABERTO","",INDEX(tblRegistros[Fim],$L214)),"")))</f>
        <v/>
      </c>
      <c r="F214" s="14">
        <f>IF($L214="","",IF(INDEX(tblRegistros[Data],$L214)&gt;$D$4,"",IFERROR(IF(INDEX(tblRegistros[Status],$L214)="EM ABERTO","",INDEX(tblRegistros[Horas],$L214)),"")))</f>
        <v/>
      </c>
      <c r="G214">
        <f>IF($L214="","",IF(INDEX(tblRegistros[Data],$L214)&gt;$D$4,"",IFERROR(INDEX(tblRegistros[Base],$L214),"")))</f>
        <v/>
      </c>
      <c r="H214" s="3">
        <f>IF($L214="","",IF(INDEX(tblRegistros[Data],$L214)&gt;$D$4,"",IFERROR(INDEX(tblRegistros[Taxa aplicada],$L214),"")))</f>
        <v/>
      </c>
      <c r="I214" s="3">
        <f>IF($L214="","",IF(INDEX(tblRegistros[Data],$L214)&gt;$D$4,"",IFERROR(IF(INDEX(tblRegistros[Status],$L214)="EM ABERTO","",INDEX(tblRegistros[Valor],$L214)),"")))</f>
        <v/>
      </c>
      <c r="J214">
        <f>IF($L214="","",IF(INDEX(tblRegistros[Data],$L214)&gt;$D$4,"",IFERROR(INDEX(tblRegistros[Status],$L214),"")))</f>
        <v/>
      </c>
      <c r="K214">
        <f>IF($L214="","",IF(INDEX(tblRegistros[Data],$L214)&gt;$D$4,"",IFERROR(INDEX(tblRegistros[Observação],$L214),"")))</f>
        <v/>
      </c>
      <c r="L214" s="16">
        <f>IFERROR(MATCH($B$3*100000+COUNTIFS(tblRegistros[ID],$B$3,tblRegistros[Data],"&lt;"&amp;$B$4)+ROWS($L$10:L214),tblRegistros[Chave do cartão],0),"")</f>
        <v/>
      </c>
    </row>
    <row r="215">
      <c r="A215" s="2">
        <f>IF($L215="","",IF(INDEX(tblRegistros[Data],$L215)&gt;$D$4,"",IFERROR(INDEX(tblRegistros[Data],$L215),"")))</f>
        <v/>
      </c>
      <c r="B215">
        <f>IF($L215="","",IF(INDEX(tblRegistros[Data],$L215)&gt;$D$4,"",IFERROR(INDEX(tblRegistros[Projeto],$L215),"")))</f>
        <v/>
      </c>
      <c r="C215">
        <f>IF($L215="","",IF(INDEX(tblRegistros[Data],$L215)&gt;$D$4,"",IFERROR(INDEX(tblRegistros[Atividade],$L215),"")))</f>
        <v/>
      </c>
      <c r="D215" s="4">
        <f>IF($L215="","",IF(INDEX(tblRegistros[Data],$L215)&gt;$D$4,"",IFERROR(INDEX(tblRegistros[Início],$L215),"")))</f>
        <v/>
      </c>
      <c r="E215" s="4">
        <f>IF($L215="","",IF(INDEX(tblRegistros[Data],$L215)&gt;$D$4,"",IFERROR(IF(INDEX(tblRegistros[Status],$L215)="EM ABERTO","",INDEX(tblRegistros[Fim],$L215)),"")))</f>
        <v/>
      </c>
      <c r="F215" s="14">
        <f>IF($L215="","",IF(INDEX(tblRegistros[Data],$L215)&gt;$D$4,"",IFERROR(IF(INDEX(tblRegistros[Status],$L215)="EM ABERTO","",INDEX(tblRegistros[Horas],$L215)),"")))</f>
        <v/>
      </c>
      <c r="G215">
        <f>IF($L215="","",IF(INDEX(tblRegistros[Data],$L215)&gt;$D$4,"",IFERROR(INDEX(tblRegistros[Base],$L215),"")))</f>
        <v/>
      </c>
      <c r="H215" s="3">
        <f>IF($L215="","",IF(INDEX(tblRegistros[Data],$L215)&gt;$D$4,"",IFERROR(INDEX(tblRegistros[Taxa aplicada],$L215),"")))</f>
        <v/>
      </c>
      <c r="I215" s="3">
        <f>IF($L215="","",IF(INDEX(tblRegistros[Data],$L215)&gt;$D$4,"",IFERROR(IF(INDEX(tblRegistros[Status],$L215)="EM ABERTO","",INDEX(tblRegistros[Valor],$L215)),"")))</f>
        <v/>
      </c>
      <c r="J215">
        <f>IF($L215="","",IF(INDEX(tblRegistros[Data],$L215)&gt;$D$4,"",IFERROR(INDEX(tblRegistros[Status],$L215),"")))</f>
        <v/>
      </c>
      <c r="K215">
        <f>IF($L215="","",IF(INDEX(tblRegistros[Data],$L215)&gt;$D$4,"",IFERROR(INDEX(tblRegistros[Observação],$L215),"")))</f>
        <v/>
      </c>
      <c r="L215" s="16">
        <f>IFERROR(MATCH($B$3*100000+COUNTIFS(tblRegistros[ID],$B$3,tblRegistros[Data],"&lt;"&amp;$B$4)+ROWS($L$10:L215),tblRegistros[Chave do cartão],0),"")</f>
        <v/>
      </c>
    </row>
    <row r="216">
      <c r="A216" s="2">
        <f>IF($L216="","",IF(INDEX(tblRegistros[Data],$L216)&gt;$D$4,"",IFERROR(INDEX(tblRegistros[Data],$L216),"")))</f>
        <v/>
      </c>
      <c r="B216">
        <f>IF($L216="","",IF(INDEX(tblRegistros[Data],$L216)&gt;$D$4,"",IFERROR(INDEX(tblRegistros[Projeto],$L216),"")))</f>
        <v/>
      </c>
      <c r="C216">
        <f>IF($L216="","",IF(INDEX(tblRegistros[Data],$L216)&gt;$D$4,"",IFERROR(INDEX(tblRegistros[Atividade],$L216),"")))</f>
        <v/>
      </c>
      <c r="D216" s="4">
        <f>IF($L216="","",IF(INDEX(tblRegistros[Data],$L216)&gt;$D$4,"",IFERROR(INDEX(tblRegistros[Início],$L216),"")))</f>
        <v/>
      </c>
      <c r="E216" s="4">
        <f>IF($L216="","",IF(INDEX(tblRegistros[Data],$L216)&gt;$D$4,"",IFERROR(IF(INDEX(tblRegistros[Status],$L216)="EM ABERTO","",INDEX(tblRegistros[Fim],$L216)),"")))</f>
        <v/>
      </c>
      <c r="F216" s="14">
        <f>IF($L216="","",IF(INDEX(tblRegistros[Data],$L216)&gt;$D$4,"",IFERROR(IF(INDEX(tblRegistros[Status],$L216)="EM ABERTO","",INDEX(tblRegistros[Horas],$L216)),"")))</f>
        <v/>
      </c>
      <c r="G216">
        <f>IF($L216="","",IF(INDEX(tblRegistros[Data],$L216)&gt;$D$4,"",IFERROR(INDEX(tblRegistros[Base],$L216),"")))</f>
        <v/>
      </c>
      <c r="H216" s="3">
        <f>IF($L216="","",IF(INDEX(tblRegistros[Data],$L216)&gt;$D$4,"",IFERROR(INDEX(tblRegistros[Taxa aplicada],$L216),"")))</f>
        <v/>
      </c>
      <c r="I216" s="3">
        <f>IF($L216="","",IF(INDEX(tblRegistros[Data],$L216)&gt;$D$4,"",IFERROR(IF(INDEX(tblRegistros[Status],$L216)="EM ABERTO","",INDEX(tblRegistros[Valor],$L216)),"")))</f>
        <v/>
      </c>
      <c r="J216">
        <f>IF($L216="","",IF(INDEX(tblRegistros[Data],$L216)&gt;$D$4,"",IFERROR(INDEX(tblRegistros[Status],$L216),"")))</f>
        <v/>
      </c>
      <c r="K216">
        <f>IF($L216="","",IF(INDEX(tblRegistros[Data],$L216)&gt;$D$4,"",IFERROR(INDEX(tblRegistros[Observação],$L216),"")))</f>
        <v/>
      </c>
      <c r="L216" s="16">
        <f>IFERROR(MATCH($B$3*100000+COUNTIFS(tblRegistros[ID],$B$3,tblRegistros[Data],"&lt;"&amp;$B$4)+ROWS($L$10:L216),tblRegistros[Chave do cartão],0),"")</f>
        <v/>
      </c>
    </row>
    <row r="217">
      <c r="A217" s="2">
        <f>IF($L217="","",IF(INDEX(tblRegistros[Data],$L217)&gt;$D$4,"",IFERROR(INDEX(tblRegistros[Data],$L217),"")))</f>
        <v/>
      </c>
      <c r="B217">
        <f>IF($L217="","",IF(INDEX(tblRegistros[Data],$L217)&gt;$D$4,"",IFERROR(INDEX(tblRegistros[Projeto],$L217),"")))</f>
        <v/>
      </c>
      <c r="C217">
        <f>IF($L217="","",IF(INDEX(tblRegistros[Data],$L217)&gt;$D$4,"",IFERROR(INDEX(tblRegistros[Atividade],$L217),"")))</f>
        <v/>
      </c>
      <c r="D217" s="4">
        <f>IF($L217="","",IF(INDEX(tblRegistros[Data],$L217)&gt;$D$4,"",IFERROR(INDEX(tblRegistros[Início],$L217),"")))</f>
        <v/>
      </c>
      <c r="E217" s="4">
        <f>IF($L217="","",IF(INDEX(tblRegistros[Data],$L217)&gt;$D$4,"",IFERROR(IF(INDEX(tblRegistros[Status],$L217)="EM ABERTO","",INDEX(tblRegistros[Fim],$L217)),"")))</f>
        <v/>
      </c>
      <c r="F217" s="14">
        <f>IF($L217="","",IF(INDEX(tblRegistros[Data],$L217)&gt;$D$4,"",IFERROR(IF(INDEX(tblRegistros[Status],$L217)="EM ABERTO","",INDEX(tblRegistros[Horas],$L217)),"")))</f>
        <v/>
      </c>
      <c r="G217">
        <f>IF($L217="","",IF(INDEX(tblRegistros[Data],$L217)&gt;$D$4,"",IFERROR(INDEX(tblRegistros[Base],$L217),"")))</f>
        <v/>
      </c>
      <c r="H217" s="3">
        <f>IF($L217="","",IF(INDEX(tblRegistros[Data],$L217)&gt;$D$4,"",IFERROR(INDEX(tblRegistros[Taxa aplicada],$L217),"")))</f>
        <v/>
      </c>
      <c r="I217" s="3">
        <f>IF($L217="","",IF(INDEX(tblRegistros[Data],$L217)&gt;$D$4,"",IFERROR(IF(INDEX(tblRegistros[Status],$L217)="EM ABERTO","",INDEX(tblRegistros[Valor],$L217)),"")))</f>
        <v/>
      </c>
      <c r="J217">
        <f>IF($L217="","",IF(INDEX(tblRegistros[Data],$L217)&gt;$D$4,"",IFERROR(INDEX(tblRegistros[Status],$L217),"")))</f>
        <v/>
      </c>
      <c r="K217">
        <f>IF($L217="","",IF(INDEX(tblRegistros[Data],$L217)&gt;$D$4,"",IFERROR(INDEX(tblRegistros[Observação],$L217),"")))</f>
        <v/>
      </c>
      <c r="L217" s="16">
        <f>IFERROR(MATCH($B$3*100000+COUNTIFS(tblRegistros[ID],$B$3,tblRegistros[Data],"&lt;"&amp;$B$4)+ROWS($L$10:L217),tblRegistros[Chave do cartão],0),"")</f>
        <v/>
      </c>
    </row>
    <row r="218">
      <c r="A218" s="2">
        <f>IF($L218="","",IF(INDEX(tblRegistros[Data],$L218)&gt;$D$4,"",IFERROR(INDEX(tblRegistros[Data],$L218),"")))</f>
        <v/>
      </c>
      <c r="B218">
        <f>IF($L218="","",IF(INDEX(tblRegistros[Data],$L218)&gt;$D$4,"",IFERROR(INDEX(tblRegistros[Projeto],$L218),"")))</f>
        <v/>
      </c>
      <c r="C218">
        <f>IF($L218="","",IF(INDEX(tblRegistros[Data],$L218)&gt;$D$4,"",IFERROR(INDEX(tblRegistros[Atividade],$L218),"")))</f>
        <v/>
      </c>
      <c r="D218" s="4">
        <f>IF($L218="","",IF(INDEX(tblRegistros[Data],$L218)&gt;$D$4,"",IFERROR(INDEX(tblRegistros[Início],$L218),"")))</f>
        <v/>
      </c>
      <c r="E218" s="4">
        <f>IF($L218="","",IF(INDEX(tblRegistros[Data],$L218)&gt;$D$4,"",IFERROR(IF(INDEX(tblRegistros[Status],$L218)="EM ABERTO","",INDEX(tblRegistros[Fim],$L218)),"")))</f>
        <v/>
      </c>
      <c r="F218" s="14">
        <f>IF($L218="","",IF(INDEX(tblRegistros[Data],$L218)&gt;$D$4,"",IFERROR(IF(INDEX(tblRegistros[Status],$L218)="EM ABERTO","",INDEX(tblRegistros[Horas],$L218)),"")))</f>
        <v/>
      </c>
      <c r="G218">
        <f>IF($L218="","",IF(INDEX(tblRegistros[Data],$L218)&gt;$D$4,"",IFERROR(INDEX(tblRegistros[Base],$L218),"")))</f>
        <v/>
      </c>
      <c r="H218" s="3">
        <f>IF($L218="","",IF(INDEX(tblRegistros[Data],$L218)&gt;$D$4,"",IFERROR(INDEX(tblRegistros[Taxa aplicada],$L218),"")))</f>
        <v/>
      </c>
      <c r="I218" s="3">
        <f>IF($L218="","",IF(INDEX(tblRegistros[Data],$L218)&gt;$D$4,"",IFERROR(IF(INDEX(tblRegistros[Status],$L218)="EM ABERTO","",INDEX(tblRegistros[Valor],$L218)),"")))</f>
        <v/>
      </c>
      <c r="J218">
        <f>IF($L218="","",IF(INDEX(tblRegistros[Data],$L218)&gt;$D$4,"",IFERROR(INDEX(tblRegistros[Status],$L218),"")))</f>
        <v/>
      </c>
      <c r="K218">
        <f>IF($L218="","",IF(INDEX(tblRegistros[Data],$L218)&gt;$D$4,"",IFERROR(INDEX(tblRegistros[Observação],$L218),"")))</f>
        <v/>
      </c>
      <c r="L218" s="16">
        <f>IFERROR(MATCH($B$3*100000+COUNTIFS(tblRegistros[ID],$B$3,tblRegistros[Data],"&lt;"&amp;$B$4)+ROWS($L$10:L218),tblRegistros[Chave do cartão],0),"")</f>
        <v/>
      </c>
    </row>
    <row r="219">
      <c r="A219" s="2">
        <f>IF($L219="","",IF(INDEX(tblRegistros[Data],$L219)&gt;$D$4,"",IFERROR(INDEX(tblRegistros[Data],$L219),"")))</f>
        <v/>
      </c>
      <c r="B219">
        <f>IF($L219="","",IF(INDEX(tblRegistros[Data],$L219)&gt;$D$4,"",IFERROR(INDEX(tblRegistros[Projeto],$L219),"")))</f>
        <v/>
      </c>
      <c r="C219">
        <f>IF($L219="","",IF(INDEX(tblRegistros[Data],$L219)&gt;$D$4,"",IFERROR(INDEX(tblRegistros[Atividade],$L219),"")))</f>
        <v/>
      </c>
      <c r="D219" s="4">
        <f>IF($L219="","",IF(INDEX(tblRegistros[Data],$L219)&gt;$D$4,"",IFERROR(INDEX(tblRegistros[Início],$L219),"")))</f>
        <v/>
      </c>
      <c r="E219" s="4">
        <f>IF($L219="","",IF(INDEX(tblRegistros[Data],$L219)&gt;$D$4,"",IFERROR(IF(INDEX(tblRegistros[Status],$L219)="EM ABERTO","",INDEX(tblRegistros[Fim],$L219)),"")))</f>
        <v/>
      </c>
      <c r="F219" s="14">
        <f>IF($L219="","",IF(INDEX(tblRegistros[Data],$L219)&gt;$D$4,"",IFERROR(IF(INDEX(tblRegistros[Status],$L219)="EM ABERTO","",INDEX(tblRegistros[Horas],$L219)),"")))</f>
        <v/>
      </c>
      <c r="G219">
        <f>IF($L219="","",IF(INDEX(tblRegistros[Data],$L219)&gt;$D$4,"",IFERROR(INDEX(tblRegistros[Base],$L219),"")))</f>
        <v/>
      </c>
      <c r="H219" s="3">
        <f>IF($L219="","",IF(INDEX(tblRegistros[Data],$L219)&gt;$D$4,"",IFERROR(INDEX(tblRegistros[Taxa aplicada],$L219),"")))</f>
        <v/>
      </c>
      <c r="I219" s="3">
        <f>IF($L219="","",IF(INDEX(tblRegistros[Data],$L219)&gt;$D$4,"",IFERROR(IF(INDEX(tblRegistros[Status],$L219)="EM ABERTO","",INDEX(tblRegistros[Valor],$L219)),"")))</f>
        <v/>
      </c>
      <c r="J219">
        <f>IF($L219="","",IF(INDEX(tblRegistros[Data],$L219)&gt;$D$4,"",IFERROR(INDEX(tblRegistros[Status],$L219),"")))</f>
        <v/>
      </c>
      <c r="K219">
        <f>IF($L219="","",IF(INDEX(tblRegistros[Data],$L219)&gt;$D$4,"",IFERROR(INDEX(tblRegistros[Observação],$L219),"")))</f>
        <v/>
      </c>
      <c r="L219" s="16">
        <f>IFERROR(MATCH($B$3*100000+COUNTIFS(tblRegistros[ID],$B$3,tblRegistros[Data],"&lt;"&amp;$B$4)+ROWS($L$10:L219),tblRegistros[Chave do cartão],0),"")</f>
        <v/>
      </c>
    </row>
    <row r="220">
      <c r="A220" s="2">
        <f>IF($L220="","",IF(INDEX(tblRegistros[Data],$L220)&gt;$D$4,"",IFERROR(INDEX(tblRegistros[Data],$L220),"")))</f>
        <v/>
      </c>
      <c r="B220">
        <f>IF($L220="","",IF(INDEX(tblRegistros[Data],$L220)&gt;$D$4,"",IFERROR(INDEX(tblRegistros[Projeto],$L220),"")))</f>
        <v/>
      </c>
      <c r="C220">
        <f>IF($L220="","",IF(INDEX(tblRegistros[Data],$L220)&gt;$D$4,"",IFERROR(INDEX(tblRegistros[Atividade],$L220),"")))</f>
        <v/>
      </c>
      <c r="D220" s="4">
        <f>IF($L220="","",IF(INDEX(tblRegistros[Data],$L220)&gt;$D$4,"",IFERROR(INDEX(tblRegistros[Início],$L220),"")))</f>
        <v/>
      </c>
      <c r="E220" s="4">
        <f>IF($L220="","",IF(INDEX(tblRegistros[Data],$L220)&gt;$D$4,"",IFERROR(IF(INDEX(tblRegistros[Status],$L220)="EM ABERTO","",INDEX(tblRegistros[Fim],$L220)),"")))</f>
        <v/>
      </c>
      <c r="F220" s="14">
        <f>IF($L220="","",IF(INDEX(tblRegistros[Data],$L220)&gt;$D$4,"",IFERROR(IF(INDEX(tblRegistros[Status],$L220)="EM ABERTO","",INDEX(tblRegistros[Horas],$L220)),"")))</f>
        <v/>
      </c>
      <c r="G220">
        <f>IF($L220="","",IF(INDEX(tblRegistros[Data],$L220)&gt;$D$4,"",IFERROR(INDEX(tblRegistros[Base],$L220),"")))</f>
        <v/>
      </c>
      <c r="H220" s="3">
        <f>IF($L220="","",IF(INDEX(tblRegistros[Data],$L220)&gt;$D$4,"",IFERROR(INDEX(tblRegistros[Taxa aplicada],$L220),"")))</f>
        <v/>
      </c>
      <c r="I220" s="3">
        <f>IF($L220="","",IF(INDEX(tblRegistros[Data],$L220)&gt;$D$4,"",IFERROR(IF(INDEX(tblRegistros[Status],$L220)="EM ABERTO","",INDEX(tblRegistros[Valor],$L220)),"")))</f>
        <v/>
      </c>
      <c r="J220">
        <f>IF($L220="","",IF(INDEX(tblRegistros[Data],$L220)&gt;$D$4,"",IFERROR(INDEX(tblRegistros[Status],$L220),"")))</f>
        <v/>
      </c>
      <c r="K220">
        <f>IF($L220="","",IF(INDEX(tblRegistros[Data],$L220)&gt;$D$4,"",IFERROR(INDEX(tblRegistros[Observação],$L220),"")))</f>
        <v/>
      </c>
      <c r="L220" s="16">
        <f>IFERROR(MATCH($B$3*100000+COUNTIFS(tblRegistros[ID],$B$3,tblRegistros[Data],"&lt;"&amp;$B$4)+ROWS($L$10:L220),tblRegistros[Chave do cartão],0),"")</f>
        <v/>
      </c>
    </row>
    <row r="221">
      <c r="A221" s="2">
        <f>IF($L221="","",IF(INDEX(tblRegistros[Data],$L221)&gt;$D$4,"",IFERROR(INDEX(tblRegistros[Data],$L221),"")))</f>
        <v/>
      </c>
      <c r="B221">
        <f>IF($L221="","",IF(INDEX(tblRegistros[Data],$L221)&gt;$D$4,"",IFERROR(INDEX(tblRegistros[Projeto],$L221),"")))</f>
        <v/>
      </c>
      <c r="C221">
        <f>IF($L221="","",IF(INDEX(tblRegistros[Data],$L221)&gt;$D$4,"",IFERROR(INDEX(tblRegistros[Atividade],$L221),"")))</f>
        <v/>
      </c>
      <c r="D221" s="4">
        <f>IF($L221="","",IF(INDEX(tblRegistros[Data],$L221)&gt;$D$4,"",IFERROR(INDEX(tblRegistros[Início],$L221),"")))</f>
        <v/>
      </c>
      <c r="E221" s="4">
        <f>IF($L221="","",IF(INDEX(tblRegistros[Data],$L221)&gt;$D$4,"",IFERROR(IF(INDEX(tblRegistros[Status],$L221)="EM ABERTO","",INDEX(tblRegistros[Fim],$L221)),"")))</f>
        <v/>
      </c>
      <c r="F221" s="14">
        <f>IF($L221="","",IF(INDEX(tblRegistros[Data],$L221)&gt;$D$4,"",IFERROR(IF(INDEX(tblRegistros[Status],$L221)="EM ABERTO","",INDEX(tblRegistros[Horas],$L221)),"")))</f>
        <v/>
      </c>
      <c r="G221">
        <f>IF($L221="","",IF(INDEX(tblRegistros[Data],$L221)&gt;$D$4,"",IFERROR(INDEX(tblRegistros[Base],$L221),"")))</f>
        <v/>
      </c>
      <c r="H221" s="3">
        <f>IF($L221="","",IF(INDEX(tblRegistros[Data],$L221)&gt;$D$4,"",IFERROR(INDEX(tblRegistros[Taxa aplicada],$L221),"")))</f>
        <v/>
      </c>
      <c r="I221" s="3">
        <f>IF($L221="","",IF(INDEX(tblRegistros[Data],$L221)&gt;$D$4,"",IFERROR(IF(INDEX(tblRegistros[Status],$L221)="EM ABERTO","",INDEX(tblRegistros[Valor],$L221)),"")))</f>
        <v/>
      </c>
      <c r="J221">
        <f>IF($L221="","",IF(INDEX(tblRegistros[Data],$L221)&gt;$D$4,"",IFERROR(INDEX(tblRegistros[Status],$L221),"")))</f>
        <v/>
      </c>
      <c r="K221">
        <f>IF($L221="","",IF(INDEX(tblRegistros[Data],$L221)&gt;$D$4,"",IFERROR(INDEX(tblRegistros[Observação],$L221),"")))</f>
        <v/>
      </c>
      <c r="L221" s="16">
        <f>IFERROR(MATCH($B$3*100000+COUNTIFS(tblRegistros[ID],$B$3,tblRegistros[Data],"&lt;"&amp;$B$4)+ROWS($L$10:L221),tblRegistros[Chave do cartão],0),"")</f>
        <v/>
      </c>
    </row>
    <row r="222">
      <c r="A222" s="2">
        <f>IF($L222="","",IF(INDEX(tblRegistros[Data],$L222)&gt;$D$4,"",IFERROR(INDEX(tblRegistros[Data],$L222),"")))</f>
        <v/>
      </c>
      <c r="B222">
        <f>IF($L222="","",IF(INDEX(tblRegistros[Data],$L222)&gt;$D$4,"",IFERROR(INDEX(tblRegistros[Projeto],$L222),"")))</f>
        <v/>
      </c>
      <c r="C222">
        <f>IF($L222="","",IF(INDEX(tblRegistros[Data],$L222)&gt;$D$4,"",IFERROR(INDEX(tblRegistros[Atividade],$L222),"")))</f>
        <v/>
      </c>
      <c r="D222" s="4">
        <f>IF($L222="","",IF(INDEX(tblRegistros[Data],$L222)&gt;$D$4,"",IFERROR(INDEX(tblRegistros[Início],$L222),"")))</f>
        <v/>
      </c>
      <c r="E222" s="4">
        <f>IF($L222="","",IF(INDEX(tblRegistros[Data],$L222)&gt;$D$4,"",IFERROR(IF(INDEX(tblRegistros[Status],$L222)="EM ABERTO","",INDEX(tblRegistros[Fim],$L222)),"")))</f>
        <v/>
      </c>
      <c r="F222" s="14">
        <f>IF($L222="","",IF(INDEX(tblRegistros[Data],$L222)&gt;$D$4,"",IFERROR(IF(INDEX(tblRegistros[Status],$L222)="EM ABERTO","",INDEX(tblRegistros[Horas],$L222)),"")))</f>
        <v/>
      </c>
      <c r="G222">
        <f>IF($L222="","",IF(INDEX(tblRegistros[Data],$L222)&gt;$D$4,"",IFERROR(INDEX(tblRegistros[Base],$L222),"")))</f>
        <v/>
      </c>
      <c r="H222" s="3">
        <f>IF($L222="","",IF(INDEX(tblRegistros[Data],$L222)&gt;$D$4,"",IFERROR(INDEX(tblRegistros[Taxa aplicada],$L222),"")))</f>
        <v/>
      </c>
      <c r="I222" s="3">
        <f>IF($L222="","",IF(INDEX(tblRegistros[Data],$L222)&gt;$D$4,"",IFERROR(IF(INDEX(tblRegistros[Status],$L222)="EM ABERTO","",INDEX(tblRegistros[Valor],$L222)),"")))</f>
        <v/>
      </c>
      <c r="J222">
        <f>IF($L222="","",IF(INDEX(tblRegistros[Data],$L222)&gt;$D$4,"",IFERROR(INDEX(tblRegistros[Status],$L222),"")))</f>
        <v/>
      </c>
      <c r="K222">
        <f>IF($L222="","",IF(INDEX(tblRegistros[Data],$L222)&gt;$D$4,"",IFERROR(INDEX(tblRegistros[Observação],$L222),"")))</f>
        <v/>
      </c>
      <c r="L222" s="16">
        <f>IFERROR(MATCH($B$3*100000+COUNTIFS(tblRegistros[ID],$B$3,tblRegistros[Data],"&lt;"&amp;$B$4)+ROWS($L$10:L222),tblRegistros[Chave do cartão],0),"")</f>
        <v/>
      </c>
    </row>
    <row r="223">
      <c r="A223" s="2">
        <f>IF($L223="","",IF(INDEX(tblRegistros[Data],$L223)&gt;$D$4,"",IFERROR(INDEX(tblRegistros[Data],$L223),"")))</f>
        <v/>
      </c>
      <c r="B223">
        <f>IF($L223="","",IF(INDEX(tblRegistros[Data],$L223)&gt;$D$4,"",IFERROR(INDEX(tblRegistros[Projeto],$L223),"")))</f>
        <v/>
      </c>
      <c r="C223">
        <f>IF($L223="","",IF(INDEX(tblRegistros[Data],$L223)&gt;$D$4,"",IFERROR(INDEX(tblRegistros[Atividade],$L223),"")))</f>
        <v/>
      </c>
      <c r="D223" s="4">
        <f>IF($L223="","",IF(INDEX(tblRegistros[Data],$L223)&gt;$D$4,"",IFERROR(INDEX(tblRegistros[Início],$L223),"")))</f>
        <v/>
      </c>
      <c r="E223" s="4">
        <f>IF($L223="","",IF(INDEX(tblRegistros[Data],$L223)&gt;$D$4,"",IFERROR(IF(INDEX(tblRegistros[Status],$L223)="EM ABERTO","",INDEX(tblRegistros[Fim],$L223)),"")))</f>
        <v/>
      </c>
      <c r="F223" s="14">
        <f>IF($L223="","",IF(INDEX(tblRegistros[Data],$L223)&gt;$D$4,"",IFERROR(IF(INDEX(tblRegistros[Status],$L223)="EM ABERTO","",INDEX(tblRegistros[Horas],$L223)),"")))</f>
        <v/>
      </c>
      <c r="G223">
        <f>IF($L223="","",IF(INDEX(tblRegistros[Data],$L223)&gt;$D$4,"",IFERROR(INDEX(tblRegistros[Base],$L223),"")))</f>
        <v/>
      </c>
      <c r="H223" s="3">
        <f>IF($L223="","",IF(INDEX(tblRegistros[Data],$L223)&gt;$D$4,"",IFERROR(INDEX(tblRegistros[Taxa aplicada],$L223),"")))</f>
        <v/>
      </c>
      <c r="I223" s="3">
        <f>IF($L223="","",IF(INDEX(tblRegistros[Data],$L223)&gt;$D$4,"",IFERROR(IF(INDEX(tblRegistros[Status],$L223)="EM ABERTO","",INDEX(tblRegistros[Valor],$L223)),"")))</f>
        <v/>
      </c>
      <c r="J223">
        <f>IF($L223="","",IF(INDEX(tblRegistros[Data],$L223)&gt;$D$4,"",IFERROR(INDEX(tblRegistros[Status],$L223),"")))</f>
        <v/>
      </c>
      <c r="K223">
        <f>IF($L223="","",IF(INDEX(tblRegistros[Data],$L223)&gt;$D$4,"",IFERROR(INDEX(tblRegistros[Observação],$L223),"")))</f>
        <v/>
      </c>
      <c r="L223" s="16">
        <f>IFERROR(MATCH($B$3*100000+COUNTIFS(tblRegistros[ID],$B$3,tblRegistros[Data],"&lt;"&amp;$B$4)+ROWS($L$10:L223),tblRegistros[Chave do cartão],0),"")</f>
        <v/>
      </c>
    </row>
    <row r="224">
      <c r="A224" s="2">
        <f>IF($L224="","",IF(INDEX(tblRegistros[Data],$L224)&gt;$D$4,"",IFERROR(INDEX(tblRegistros[Data],$L224),"")))</f>
        <v/>
      </c>
      <c r="B224">
        <f>IF($L224="","",IF(INDEX(tblRegistros[Data],$L224)&gt;$D$4,"",IFERROR(INDEX(tblRegistros[Projeto],$L224),"")))</f>
        <v/>
      </c>
      <c r="C224">
        <f>IF($L224="","",IF(INDEX(tblRegistros[Data],$L224)&gt;$D$4,"",IFERROR(INDEX(tblRegistros[Atividade],$L224),"")))</f>
        <v/>
      </c>
      <c r="D224" s="4">
        <f>IF($L224="","",IF(INDEX(tblRegistros[Data],$L224)&gt;$D$4,"",IFERROR(INDEX(tblRegistros[Início],$L224),"")))</f>
        <v/>
      </c>
      <c r="E224" s="4">
        <f>IF($L224="","",IF(INDEX(tblRegistros[Data],$L224)&gt;$D$4,"",IFERROR(IF(INDEX(tblRegistros[Status],$L224)="EM ABERTO","",INDEX(tblRegistros[Fim],$L224)),"")))</f>
        <v/>
      </c>
      <c r="F224" s="14">
        <f>IF($L224="","",IF(INDEX(tblRegistros[Data],$L224)&gt;$D$4,"",IFERROR(IF(INDEX(tblRegistros[Status],$L224)="EM ABERTO","",INDEX(tblRegistros[Horas],$L224)),"")))</f>
        <v/>
      </c>
      <c r="G224">
        <f>IF($L224="","",IF(INDEX(tblRegistros[Data],$L224)&gt;$D$4,"",IFERROR(INDEX(tblRegistros[Base],$L224),"")))</f>
        <v/>
      </c>
      <c r="H224" s="3">
        <f>IF($L224="","",IF(INDEX(tblRegistros[Data],$L224)&gt;$D$4,"",IFERROR(INDEX(tblRegistros[Taxa aplicada],$L224),"")))</f>
        <v/>
      </c>
      <c r="I224" s="3">
        <f>IF($L224="","",IF(INDEX(tblRegistros[Data],$L224)&gt;$D$4,"",IFERROR(IF(INDEX(tblRegistros[Status],$L224)="EM ABERTO","",INDEX(tblRegistros[Valor],$L224)),"")))</f>
        <v/>
      </c>
      <c r="J224">
        <f>IF($L224="","",IF(INDEX(tblRegistros[Data],$L224)&gt;$D$4,"",IFERROR(INDEX(tblRegistros[Status],$L224),"")))</f>
        <v/>
      </c>
      <c r="K224">
        <f>IF($L224="","",IF(INDEX(tblRegistros[Data],$L224)&gt;$D$4,"",IFERROR(INDEX(tblRegistros[Observação],$L224),"")))</f>
        <v/>
      </c>
      <c r="L224" s="16">
        <f>IFERROR(MATCH($B$3*100000+COUNTIFS(tblRegistros[ID],$B$3,tblRegistros[Data],"&lt;"&amp;$B$4)+ROWS($L$10:L224),tblRegistros[Chave do cartão],0),"")</f>
        <v/>
      </c>
    </row>
    <row r="225">
      <c r="A225" s="2">
        <f>IF($L225="","",IF(INDEX(tblRegistros[Data],$L225)&gt;$D$4,"",IFERROR(INDEX(tblRegistros[Data],$L225),"")))</f>
        <v/>
      </c>
      <c r="B225">
        <f>IF($L225="","",IF(INDEX(tblRegistros[Data],$L225)&gt;$D$4,"",IFERROR(INDEX(tblRegistros[Projeto],$L225),"")))</f>
        <v/>
      </c>
      <c r="C225">
        <f>IF($L225="","",IF(INDEX(tblRegistros[Data],$L225)&gt;$D$4,"",IFERROR(INDEX(tblRegistros[Atividade],$L225),"")))</f>
        <v/>
      </c>
      <c r="D225" s="4">
        <f>IF($L225="","",IF(INDEX(tblRegistros[Data],$L225)&gt;$D$4,"",IFERROR(INDEX(tblRegistros[Início],$L225),"")))</f>
        <v/>
      </c>
      <c r="E225" s="4">
        <f>IF($L225="","",IF(INDEX(tblRegistros[Data],$L225)&gt;$D$4,"",IFERROR(IF(INDEX(tblRegistros[Status],$L225)="EM ABERTO","",INDEX(tblRegistros[Fim],$L225)),"")))</f>
        <v/>
      </c>
      <c r="F225" s="14">
        <f>IF($L225="","",IF(INDEX(tblRegistros[Data],$L225)&gt;$D$4,"",IFERROR(IF(INDEX(tblRegistros[Status],$L225)="EM ABERTO","",INDEX(tblRegistros[Horas],$L225)),"")))</f>
        <v/>
      </c>
      <c r="G225">
        <f>IF($L225="","",IF(INDEX(tblRegistros[Data],$L225)&gt;$D$4,"",IFERROR(INDEX(tblRegistros[Base],$L225),"")))</f>
        <v/>
      </c>
      <c r="H225" s="3">
        <f>IF($L225="","",IF(INDEX(tblRegistros[Data],$L225)&gt;$D$4,"",IFERROR(INDEX(tblRegistros[Taxa aplicada],$L225),"")))</f>
        <v/>
      </c>
      <c r="I225" s="3">
        <f>IF($L225="","",IF(INDEX(tblRegistros[Data],$L225)&gt;$D$4,"",IFERROR(IF(INDEX(tblRegistros[Status],$L225)="EM ABERTO","",INDEX(tblRegistros[Valor],$L225)),"")))</f>
        <v/>
      </c>
      <c r="J225">
        <f>IF($L225="","",IF(INDEX(tblRegistros[Data],$L225)&gt;$D$4,"",IFERROR(INDEX(tblRegistros[Status],$L225),"")))</f>
        <v/>
      </c>
      <c r="K225">
        <f>IF($L225="","",IF(INDEX(tblRegistros[Data],$L225)&gt;$D$4,"",IFERROR(INDEX(tblRegistros[Observação],$L225),"")))</f>
        <v/>
      </c>
      <c r="L225" s="16">
        <f>IFERROR(MATCH($B$3*100000+COUNTIFS(tblRegistros[ID],$B$3,tblRegistros[Data],"&lt;"&amp;$B$4)+ROWS($L$10:L225),tblRegistros[Chave do cartão],0),"")</f>
        <v/>
      </c>
    </row>
    <row r="226">
      <c r="A226" s="2">
        <f>IF($L226="","",IF(INDEX(tblRegistros[Data],$L226)&gt;$D$4,"",IFERROR(INDEX(tblRegistros[Data],$L226),"")))</f>
        <v/>
      </c>
      <c r="B226">
        <f>IF($L226="","",IF(INDEX(tblRegistros[Data],$L226)&gt;$D$4,"",IFERROR(INDEX(tblRegistros[Projeto],$L226),"")))</f>
        <v/>
      </c>
      <c r="C226">
        <f>IF($L226="","",IF(INDEX(tblRegistros[Data],$L226)&gt;$D$4,"",IFERROR(INDEX(tblRegistros[Atividade],$L226),"")))</f>
        <v/>
      </c>
      <c r="D226" s="4">
        <f>IF($L226="","",IF(INDEX(tblRegistros[Data],$L226)&gt;$D$4,"",IFERROR(INDEX(tblRegistros[Início],$L226),"")))</f>
        <v/>
      </c>
      <c r="E226" s="4">
        <f>IF($L226="","",IF(INDEX(tblRegistros[Data],$L226)&gt;$D$4,"",IFERROR(IF(INDEX(tblRegistros[Status],$L226)="EM ABERTO","",INDEX(tblRegistros[Fim],$L226)),"")))</f>
        <v/>
      </c>
      <c r="F226" s="14">
        <f>IF($L226="","",IF(INDEX(tblRegistros[Data],$L226)&gt;$D$4,"",IFERROR(IF(INDEX(tblRegistros[Status],$L226)="EM ABERTO","",INDEX(tblRegistros[Horas],$L226)),"")))</f>
        <v/>
      </c>
      <c r="G226">
        <f>IF($L226="","",IF(INDEX(tblRegistros[Data],$L226)&gt;$D$4,"",IFERROR(INDEX(tblRegistros[Base],$L226),"")))</f>
        <v/>
      </c>
      <c r="H226" s="3">
        <f>IF($L226="","",IF(INDEX(tblRegistros[Data],$L226)&gt;$D$4,"",IFERROR(INDEX(tblRegistros[Taxa aplicada],$L226),"")))</f>
        <v/>
      </c>
      <c r="I226" s="3">
        <f>IF($L226="","",IF(INDEX(tblRegistros[Data],$L226)&gt;$D$4,"",IFERROR(IF(INDEX(tblRegistros[Status],$L226)="EM ABERTO","",INDEX(tblRegistros[Valor],$L226)),"")))</f>
        <v/>
      </c>
      <c r="J226">
        <f>IF($L226="","",IF(INDEX(tblRegistros[Data],$L226)&gt;$D$4,"",IFERROR(INDEX(tblRegistros[Status],$L226),"")))</f>
        <v/>
      </c>
      <c r="K226">
        <f>IF($L226="","",IF(INDEX(tblRegistros[Data],$L226)&gt;$D$4,"",IFERROR(INDEX(tblRegistros[Observação],$L226),"")))</f>
        <v/>
      </c>
      <c r="L226" s="16">
        <f>IFERROR(MATCH($B$3*100000+COUNTIFS(tblRegistros[ID],$B$3,tblRegistros[Data],"&lt;"&amp;$B$4)+ROWS($L$10:L226),tblRegistros[Chave do cartão],0),"")</f>
        <v/>
      </c>
    </row>
    <row r="227">
      <c r="A227" s="2">
        <f>IF($L227="","",IF(INDEX(tblRegistros[Data],$L227)&gt;$D$4,"",IFERROR(INDEX(tblRegistros[Data],$L227),"")))</f>
        <v/>
      </c>
      <c r="B227">
        <f>IF($L227="","",IF(INDEX(tblRegistros[Data],$L227)&gt;$D$4,"",IFERROR(INDEX(tblRegistros[Projeto],$L227),"")))</f>
        <v/>
      </c>
      <c r="C227">
        <f>IF($L227="","",IF(INDEX(tblRegistros[Data],$L227)&gt;$D$4,"",IFERROR(INDEX(tblRegistros[Atividade],$L227),"")))</f>
        <v/>
      </c>
      <c r="D227" s="4">
        <f>IF($L227="","",IF(INDEX(tblRegistros[Data],$L227)&gt;$D$4,"",IFERROR(INDEX(tblRegistros[Início],$L227),"")))</f>
        <v/>
      </c>
      <c r="E227" s="4">
        <f>IF($L227="","",IF(INDEX(tblRegistros[Data],$L227)&gt;$D$4,"",IFERROR(IF(INDEX(tblRegistros[Status],$L227)="EM ABERTO","",INDEX(tblRegistros[Fim],$L227)),"")))</f>
        <v/>
      </c>
      <c r="F227" s="14">
        <f>IF($L227="","",IF(INDEX(tblRegistros[Data],$L227)&gt;$D$4,"",IFERROR(IF(INDEX(tblRegistros[Status],$L227)="EM ABERTO","",INDEX(tblRegistros[Horas],$L227)),"")))</f>
        <v/>
      </c>
      <c r="G227">
        <f>IF($L227="","",IF(INDEX(tblRegistros[Data],$L227)&gt;$D$4,"",IFERROR(INDEX(tblRegistros[Base],$L227),"")))</f>
        <v/>
      </c>
      <c r="H227" s="3">
        <f>IF($L227="","",IF(INDEX(tblRegistros[Data],$L227)&gt;$D$4,"",IFERROR(INDEX(tblRegistros[Taxa aplicada],$L227),"")))</f>
        <v/>
      </c>
      <c r="I227" s="3">
        <f>IF($L227="","",IF(INDEX(tblRegistros[Data],$L227)&gt;$D$4,"",IFERROR(IF(INDEX(tblRegistros[Status],$L227)="EM ABERTO","",INDEX(tblRegistros[Valor],$L227)),"")))</f>
        <v/>
      </c>
      <c r="J227">
        <f>IF($L227="","",IF(INDEX(tblRegistros[Data],$L227)&gt;$D$4,"",IFERROR(INDEX(tblRegistros[Status],$L227),"")))</f>
        <v/>
      </c>
      <c r="K227">
        <f>IF($L227="","",IF(INDEX(tblRegistros[Data],$L227)&gt;$D$4,"",IFERROR(INDEX(tblRegistros[Observação],$L227),"")))</f>
        <v/>
      </c>
      <c r="L227" s="16">
        <f>IFERROR(MATCH($B$3*100000+COUNTIFS(tblRegistros[ID],$B$3,tblRegistros[Data],"&lt;"&amp;$B$4)+ROWS($L$10:L227),tblRegistros[Chave do cartão],0),"")</f>
        <v/>
      </c>
    </row>
    <row r="228">
      <c r="A228" s="2">
        <f>IF($L228="","",IF(INDEX(tblRegistros[Data],$L228)&gt;$D$4,"",IFERROR(INDEX(tblRegistros[Data],$L228),"")))</f>
        <v/>
      </c>
      <c r="B228">
        <f>IF($L228="","",IF(INDEX(tblRegistros[Data],$L228)&gt;$D$4,"",IFERROR(INDEX(tblRegistros[Projeto],$L228),"")))</f>
        <v/>
      </c>
      <c r="C228">
        <f>IF($L228="","",IF(INDEX(tblRegistros[Data],$L228)&gt;$D$4,"",IFERROR(INDEX(tblRegistros[Atividade],$L228),"")))</f>
        <v/>
      </c>
      <c r="D228" s="4">
        <f>IF($L228="","",IF(INDEX(tblRegistros[Data],$L228)&gt;$D$4,"",IFERROR(INDEX(tblRegistros[Início],$L228),"")))</f>
        <v/>
      </c>
      <c r="E228" s="4">
        <f>IF($L228="","",IF(INDEX(tblRegistros[Data],$L228)&gt;$D$4,"",IFERROR(IF(INDEX(tblRegistros[Status],$L228)="EM ABERTO","",INDEX(tblRegistros[Fim],$L228)),"")))</f>
        <v/>
      </c>
      <c r="F228" s="14">
        <f>IF($L228="","",IF(INDEX(tblRegistros[Data],$L228)&gt;$D$4,"",IFERROR(IF(INDEX(tblRegistros[Status],$L228)="EM ABERTO","",INDEX(tblRegistros[Horas],$L228)),"")))</f>
        <v/>
      </c>
      <c r="G228">
        <f>IF($L228="","",IF(INDEX(tblRegistros[Data],$L228)&gt;$D$4,"",IFERROR(INDEX(tblRegistros[Base],$L228),"")))</f>
        <v/>
      </c>
      <c r="H228" s="3">
        <f>IF($L228="","",IF(INDEX(tblRegistros[Data],$L228)&gt;$D$4,"",IFERROR(INDEX(tblRegistros[Taxa aplicada],$L228),"")))</f>
        <v/>
      </c>
      <c r="I228" s="3">
        <f>IF($L228="","",IF(INDEX(tblRegistros[Data],$L228)&gt;$D$4,"",IFERROR(IF(INDEX(tblRegistros[Status],$L228)="EM ABERTO","",INDEX(tblRegistros[Valor],$L228)),"")))</f>
        <v/>
      </c>
      <c r="J228">
        <f>IF($L228="","",IF(INDEX(tblRegistros[Data],$L228)&gt;$D$4,"",IFERROR(INDEX(tblRegistros[Status],$L228),"")))</f>
        <v/>
      </c>
      <c r="K228">
        <f>IF($L228="","",IF(INDEX(tblRegistros[Data],$L228)&gt;$D$4,"",IFERROR(INDEX(tblRegistros[Observação],$L228),"")))</f>
        <v/>
      </c>
      <c r="L228" s="16">
        <f>IFERROR(MATCH($B$3*100000+COUNTIFS(tblRegistros[ID],$B$3,tblRegistros[Data],"&lt;"&amp;$B$4)+ROWS($L$10:L228),tblRegistros[Chave do cartão],0),"")</f>
        <v/>
      </c>
    </row>
    <row r="229">
      <c r="A229" s="2">
        <f>IF($L229="","",IF(INDEX(tblRegistros[Data],$L229)&gt;$D$4,"",IFERROR(INDEX(tblRegistros[Data],$L229),"")))</f>
        <v/>
      </c>
      <c r="B229">
        <f>IF($L229="","",IF(INDEX(tblRegistros[Data],$L229)&gt;$D$4,"",IFERROR(INDEX(tblRegistros[Projeto],$L229),"")))</f>
        <v/>
      </c>
      <c r="C229">
        <f>IF($L229="","",IF(INDEX(tblRegistros[Data],$L229)&gt;$D$4,"",IFERROR(INDEX(tblRegistros[Atividade],$L229),"")))</f>
        <v/>
      </c>
      <c r="D229" s="4">
        <f>IF($L229="","",IF(INDEX(tblRegistros[Data],$L229)&gt;$D$4,"",IFERROR(INDEX(tblRegistros[Início],$L229),"")))</f>
        <v/>
      </c>
      <c r="E229" s="4">
        <f>IF($L229="","",IF(INDEX(tblRegistros[Data],$L229)&gt;$D$4,"",IFERROR(IF(INDEX(tblRegistros[Status],$L229)="EM ABERTO","",INDEX(tblRegistros[Fim],$L229)),"")))</f>
        <v/>
      </c>
      <c r="F229" s="14">
        <f>IF($L229="","",IF(INDEX(tblRegistros[Data],$L229)&gt;$D$4,"",IFERROR(IF(INDEX(tblRegistros[Status],$L229)="EM ABERTO","",INDEX(tblRegistros[Horas],$L229)),"")))</f>
        <v/>
      </c>
      <c r="G229">
        <f>IF($L229="","",IF(INDEX(tblRegistros[Data],$L229)&gt;$D$4,"",IFERROR(INDEX(tblRegistros[Base],$L229),"")))</f>
        <v/>
      </c>
      <c r="H229" s="3">
        <f>IF($L229="","",IF(INDEX(tblRegistros[Data],$L229)&gt;$D$4,"",IFERROR(INDEX(tblRegistros[Taxa aplicada],$L229),"")))</f>
        <v/>
      </c>
      <c r="I229" s="3">
        <f>IF($L229="","",IF(INDEX(tblRegistros[Data],$L229)&gt;$D$4,"",IFERROR(IF(INDEX(tblRegistros[Status],$L229)="EM ABERTO","",INDEX(tblRegistros[Valor],$L229)),"")))</f>
        <v/>
      </c>
      <c r="J229">
        <f>IF($L229="","",IF(INDEX(tblRegistros[Data],$L229)&gt;$D$4,"",IFERROR(INDEX(tblRegistros[Status],$L229),"")))</f>
        <v/>
      </c>
      <c r="K229">
        <f>IF($L229="","",IF(INDEX(tblRegistros[Data],$L229)&gt;$D$4,"",IFERROR(INDEX(tblRegistros[Observação],$L229),"")))</f>
        <v/>
      </c>
      <c r="L229" s="16">
        <f>IFERROR(MATCH($B$3*100000+COUNTIFS(tblRegistros[ID],$B$3,tblRegistros[Data],"&lt;"&amp;$B$4)+ROWS($L$10:L229),tblRegistros[Chave do cartão],0),"")</f>
        <v/>
      </c>
    </row>
    <row r="230">
      <c r="A230" s="2">
        <f>IF($L230="","",IF(INDEX(tblRegistros[Data],$L230)&gt;$D$4,"",IFERROR(INDEX(tblRegistros[Data],$L230),"")))</f>
        <v/>
      </c>
      <c r="B230">
        <f>IF($L230="","",IF(INDEX(tblRegistros[Data],$L230)&gt;$D$4,"",IFERROR(INDEX(tblRegistros[Projeto],$L230),"")))</f>
        <v/>
      </c>
      <c r="C230">
        <f>IF($L230="","",IF(INDEX(tblRegistros[Data],$L230)&gt;$D$4,"",IFERROR(INDEX(tblRegistros[Atividade],$L230),"")))</f>
        <v/>
      </c>
      <c r="D230" s="4">
        <f>IF($L230="","",IF(INDEX(tblRegistros[Data],$L230)&gt;$D$4,"",IFERROR(INDEX(tblRegistros[Início],$L230),"")))</f>
        <v/>
      </c>
      <c r="E230" s="4">
        <f>IF($L230="","",IF(INDEX(tblRegistros[Data],$L230)&gt;$D$4,"",IFERROR(IF(INDEX(tblRegistros[Status],$L230)="EM ABERTO","",INDEX(tblRegistros[Fim],$L230)),"")))</f>
        <v/>
      </c>
      <c r="F230" s="14">
        <f>IF($L230="","",IF(INDEX(tblRegistros[Data],$L230)&gt;$D$4,"",IFERROR(IF(INDEX(tblRegistros[Status],$L230)="EM ABERTO","",INDEX(tblRegistros[Horas],$L230)),"")))</f>
        <v/>
      </c>
      <c r="G230">
        <f>IF($L230="","",IF(INDEX(tblRegistros[Data],$L230)&gt;$D$4,"",IFERROR(INDEX(tblRegistros[Base],$L230),"")))</f>
        <v/>
      </c>
      <c r="H230" s="3">
        <f>IF($L230="","",IF(INDEX(tblRegistros[Data],$L230)&gt;$D$4,"",IFERROR(INDEX(tblRegistros[Taxa aplicada],$L230),"")))</f>
        <v/>
      </c>
      <c r="I230" s="3">
        <f>IF($L230="","",IF(INDEX(tblRegistros[Data],$L230)&gt;$D$4,"",IFERROR(IF(INDEX(tblRegistros[Status],$L230)="EM ABERTO","",INDEX(tblRegistros[Valor],$L230)),"")))</f>
        <v/>
      </c>
      <c r="J230">
        <f>IF($L230="","",IF(INDEX(tblRegistros[Data],$L230)&gt;$D$4,"",IFERROR(INDEX(tblRegistros[Status],$L230),"")))</f>
        <v/>
      </c>
      <c r="K230">
        <f>IF($L230="","",IF(INDEX(tblRegistros[Data],$L230)&gt;$D$4,"",IFERROR(INDEX(tblRegistros[Observação],$L230),"")))</f>
        <v/>
      </c>
      <c r="L230" s="16">
        <f>IFERROR(MATCH($B$3*100000+COUNTIFS(tblRegistros[ID],$B$3,tblRegistros[Data],"&lt;"&amp;$B$4)+ROWS($L$10:L230),tblRegistros[Chave do cartão],0),"")</f>
        <v/>
      </c>
    </row>
    <row r="231">
      <c r="A231" s="2">
        <f>IF($L231="","",IF(INDEX(tblRegistros[Data],$L231)&gt;$D$4,"",IFERROR(INDEX(tblRegistros[Data],$L231),"")))</f>
        <v/>
      </c>
      <c r="B231">
        <f>IF($L231="","",IF(INDEX(tblRegistros[Data],$L231)&gt;$D$4,"",IFERROR(INDEX(tblRegistros[Projeto],$L231),"")))</f>
        <v/>
      </c>
      <c r="C231">
        <f>IF($L231="","",IF(INDEX(tblRegistros[Data],$L231)&gt;$D$4,"",IFERROR(INDEX(tblRegistros[Atividade],$L231),"")))</f>
        <v/>
      </c>
      <c r="D231" s="4">
        <f>IF($L231="","",IF(INDEX(tblRegistros[Data],$L231)&gt;$D$4,"",IFERROR(INDEX(tblRegistros[Início],$L231),"")))</f>
        <v/>
      </c>
      <c r="E231" s="4">
        <f>IF($L231="","",IF(INDEX(tblRegistros[Data],$L231)&gt;$D$4,"",IFERROR(IF(INDEX(tblRegistros[Status],$L231)="EM ABERTO","",INDEX(tblRegistros[Fim],$L231)),"")))</f>
        <v/>
      </c>
      <c r="F231" s="14">
        <f>IF($L231="","",IF(INDEX(tblRegistros[Data],$L231)&gt;$D$4,"",IFERROR(IF(INDEX(tblRegistros[Status],$L231)="EM ABERTO","",INDEX(tblRegistros[Horas],$L231)),"")))</f>
        <v/>
      </c>
      <c r="G231">
        <f>IF($L231="","",IF(INDEX(tblRegistros[Data],$L231)&gt;$D$4,"",IFERROR(INDEX(tblRegistros[Base],$L231),"")))</f>
        <v/>
      </c>
      <c r="H231" s="3">
        <f>IF($L231="","",IF(INDEX(tblRegistros[Data],$L231)&gt;$D$4,"",IFERROR(INDEX(tblRegistros[Taxa aplicada],$L231),"")))</f>
        <v/>
      </c>
      <c r="I231" s="3">
        <f>IF($L231="","",IF(INDEX(tblRegistros[Data],$L231)&gt;$D$4,"",IFERROR(IF(INDEX(tblRegistros[Status],$L231)="EM ABERTO","",INDEX(tblRegistros[Valor],$L231)),"")))</f>
        <v/>
      </c>
      <c r="J231">
        <f>IF($L231="","",IF(INDEX(tblRegistros[Data],$L231)&gt;$D$4,"",IFERROR(INDEX(tblRegistros[Status],$L231),"")))</f>
        <v/>
      </c>
      <c r="K231">
        <f>IF($L231="","",IF(INDEX(tblRegistros[Data],$L231)&gt;$D$4,"",IFERROR(INDEX(tblRegistros[Observação],$L231),"")))</f>
        <v/>
      </c>
      <c r="L231" s="16">
        <f>IFERROR(MATCH($B$3*100000+COUNTIFS(tblRegistros[ID],$B$3,tblRegistros[Data],"&lt;"&amp;$B$4)+ROWS($L$10:L231),tblRegistros[Chave do cartão],0),"")</f>
        <v/>
      </c>
    </row>
    <row r="232">
      <c r="A232" s="2">
        <f>IF($L232="","",IF(INDEX(tblRegistros[Data],$L232)&gt;$D$4,"",IFERROR(INDEX(tblRegistros[Data],$L232),"")))</f>
        <v/>
      </c>
      <c r="B232">
        <f>IF($L232="","",IF(INDEX(tblRegistros[Data],$L232)&gt;$D$4,"",IFERROR(INDEX(tblRegistros[Projeto],$L232),"")))</f>
        <v/>
      </c>
      <c r="C232">
        <f>IF($L232="","",IF(INDEX(tblRegistros[Data],$L232)&gt;$D$4,"",IFERROR(INDEX(tblRegistros[Atividade],$L232),"")))</f>
        <v/>
      </c>
      <c r="D232" s="4">
        <f>IF($L232="","",IF(INDEX(tblRegistros[Data],$L232)&gt;$D$4,"",IFERROR(INDEX(tblRegistros[Início],$L232),"")))</f>
        <v/>
      </c>
      <c r="E232" s="4">
        <f>IF($L232="","",IF(INDEX(tblRegistros[Data],$L232)&gt;$D$4,"",IFERROR(IF(INDEX(tblRegistros[Status],$L232)="EM ABERTO","",INDEX(tblRegistros[Fim],$L232)),"")))</f>
        <v/>
      </c>
      <c r="F232" s="14">
        <f>IF($L232="","",IF(INDEX(tblRegistros[Data],$L232)&gt;$D$4,"",IFERROR(IF(INDEX(tblRegistros[Status],$L232)="EM ABERTO","",INDEX(tblRegistros[Horas],$L232)),"")))</f>
        <v/>
      </c>
      <c r="G232">
        <f>IF($L232="","",IF(INDEX(tblRegistros[Data],$L232)&gt;$D$4,"",IFERROR(INDEX(tblRegistros[Base],$L232),"")))</f>
        <v/>
      </c>
      <c r="H232" s="3">
        <f>IF($L232="","",IF(INDEX(tblRegistros[Data],$L232)&gt;$D$4,"",IFERROR(INDEX(tblRegistros[Taxa aplicada],$L232),"")))</f>
        <v/>
      </c>
      <c r="I232" s="3">
        <f>IF($L232="","",IF(INDEX(tblRegistros[Data],$L232)&gt;$D$4,"",IFERROR(IF(INDEX(tblRegistros[Status],$L232)="EM ABERTO","",INDEX(tblRegistros[Valor],$L232)),"")))</f>
        <v/>
      </c>
      <c r="J232">
        <f>IF($L232="","",IF(INDEX(tblRegistros[Data],$L232)&gt;$D$4,"",IFERROR(INDEX(tblRegistros[Status],$L232),"")))</f>
        <v/>
      </c>
      <c r="K232">
        <f>IF($L232="","",IF(INDEX(tblRegistros[Data],$L232)&gt;$D$4,"",IFERROR(INDEX(tblRegistros[Observação],$L232),"")))</f>
        <v/>
      </c>
      <c r="L232" s="16">
        <f>IFERROR(MATCH($B$3*100000+COUNTIFS(tblRegistros[ID],$B$3,tblRegistros[Data],"&lt;"&amp;$B$4)+ROWS($L$10:L232),tblRegistros[Chave do cartão],0),"")</f>
        <v/>
      </c>
    </row>
    <row r="233">
      <c r="A233" s="2">
        <f>IF($L233="","",IF(INDEX(tblRegistros[Data],$L233)&gt;$D$4,"",IFERROR(INDEX(tblRegistros[Data],$L233),"")))</f>
        <v/>
      </c>
      <c r="B233">
        <f>IF($L233="","",IF(INDEX(tblRegistros[Data],$L233)&gt;$D$4,"",IFERROR(INDEX(tblRegistros[Projeto],$L233),"")))</f>
        <v/>
      </c>
      <c r="C233">
        <f>IF($L233="","",IF(INDEX(tblRegistros[Data],$L233)&gt;$D$4,"",IFERROR(INDEX(tblRegistros[Atividade],$L233),"")))</f>
        <v/>
      </c>
      <c r="D233" s="4">
        <f>IF($L233="","",IF(INDEX(tblRegistros[Data],$L233)&gt;$D$4,"",IFERROR(INDEX(tblRegistros[Início],$L233),"")))</f>
        <v/>
      </c>
      <c r="E233" s="4">
        <f>IF($L233="","",IF(INDEX(tblRegistros[Data],$L233)&gt;$D$4,"",IFERROR(IF(INDEX(tblRegistros[Status],$L233)="EM ABERTO","",INDEX(tblRegistros[Fim],$L233)),"")))</f>
        <v/>
      </c>
      <c r="F233" s="14">
        <f>IF($L233="","",IF(INDEX(tblRegistros[Data],$L233)&gt;$D$4,"",IFERROR(IF(INDEX(tblRegistros[Status],$L233)="EM ABERTO","",INDEX(tblRegistros[Horas],$L233)),"")))</f>
        <v/>
      </c>
      <c r="G233">
        <f>IF($L233="","",IF(INDEX(tblRegistros[Data],$L233)&gt;$D$4,"",IFERROR(INDEX(tblRegistros[Base],$L233),"")))</f>
        <v/>
      </c>
      <c r="H233" s="3">
        <f>IF($L233="","",IF(INDEX(tblRegistros[Data],$L233)&gt;$D$4,"",IFERROR(INDEX(tblRegistros[Taxa aplicada],$L233),"")))</f>
        <v/>
      </c>
      <c r="I233" s="3">
        <f>IF($L233="","",IF(INDEX(tblRegistros[Data],$L233)&gt;$D$4,"",IFERROR(IF(INDEX(tblRegistros[Status],$L233)="EM ABERTO","",INDEX(tblRegistros[Valor],$L233)),"")))</f>
        <v/>
      </c>
      <c r="J233">
        <f>IF($L233="","",IF(INDEX(tblRegistros[Data],$L233)&gt;$D$4,"",IFERROR(INDEX(tblRegistros[Status],$L233),"")))</f>
        <v/>
      </c>
      <c r="K233">
        <f>IF($L233="","",IF(INDEX(tblRegistros[Data],$L233)&gt;$D$4,"",IFERROR(INDEX(tblRegistros[Observação],$L233),"")))</f>
        <v/>
      </c>
      <c r="L233" s="16">
        <f>IFERROR(MATCH($B$3*100000+COUNTIFS(tblRegistros[ID],$B$3,tblRegistros[Data],"&lt;"&amp;$B$4)+ROWS($L$10:L233),tblRegistros[Chave do cartão],0),"")</f>
        <v/>
      </c>
    </row>
    <row r="234">
      <c r="A234" s="2">
        <f>IF($L234="","",IF(INDEX(tblRegistros[Data],$L234)&gt;$D$4,"",IFERROR(INDEX(tblRegistros[Data],$L234),"")))</f>
        <v/>
      </c>
      <c r="B234">
        <f>IF($L234="","",IF(INDEX(tblRegistros[Data],$L234)&gt;$D$4,"",IFERROR(INDEX(tblRegistros[Projeto],$L234),"")))</f>
        <v/>
      </c>
      <c r="C234">
        <f>IF($L234="","",IF(INDEX(tblRegistros[Data],$L234)&gt;$D$4,"",IFERROR(INDEX(tblRegistros[Atividade],$L234),"")))</f>
        <v/>
      </c>
      <c r="D234" s="4">
        <f>IF($L234="","",IF(INDEX(tblRegistros[Data],$L234)&gt;$D$4,"",IFERROR(INDEX(tblRegistros[Início],$L234),"")))</f>
        <v/>
      </c>
      <c r="E234" s="4">
        <f>IF($L234="","",IF(INDEX(tblRegistros[Data],$L234)&gt;$D$4,"",IFERROR(IF(INDEX(tblRegistros[Status],$L234)="EM ABERTO","",INDEX(tblRegistros[Fim],$L234)),"")))</f>
        <v/>
      </c>
      <c r="F234" s="14">
        <f>IF($L234="","",IF(INDEX(tblRegistros[Data],$L234)&gt;$D$4,"",IFERROR(IF(INDEX(tblRegistros[Status],$L234)="EM ABERTO","",INDEX(tblRegistros[Horas],$L234)),"")))</f>
        <v/>
      </c>
      <c r="G234">
        <f>IF($L234="","",IF(INDEX(tblRegistros[Data],$L234)&gt;$D$4,"",IFERROR(INDEX(tblRegistros[Base],$L234),"")))</f>
        <v/>
      </c>
      <c r="H234" s="3">
        <f>IF($L234="","",IF(INDEX(tblRegistros[Data],$L234)&gt;$D$4,"",IFERROR(INDEX(tblRegistros[Taxa aplicada],$L234),"")))</f>
        <v/>
      </c>
      <c r="I234" s="3">
        <f>IF($L234="","",IF(INDEX(tblRegistros[Data],$L234)&gt;$D$4,"",IFERROR(IF(INDEX(tblRegistros[Status],$L234)="EM ABERTO","",INDEX(tblRegistros[Valor],$L234)),"")))</f>
        <v/>
      </c>
      <c r="J234">
        <f>IF($L234="","",IF(INDEX(tblRegistros[Data],$L234)&gt;$D$4,"",IFERROR(INDEX(tblRegistros[Status],$L234),"")))</f>
        <v/>
      </c>
      <c r="K234">
        <f>IF($L234="","",IF(INDEX(tblRegistros[Data],$L234)&gt;$D$4,"",IFERROR(INDEX(tblRegistros[Observação],$L234),"")))</f>
        <v/>
      </c>
      <c r="L234" s="16">
        <f>IFERROR(MATCH($B$3*100000+COUNTIFS(tblRegistros[ID],$B$3,tblRegistros[Data],"&lt;"&amp;$B$4)+ROWS($L$10:L234),tblRegistros[Chave do cartão],0),"")</f>
        <v/>
      </c>
    </row>
    <row r="235">
      <c r="A235" s="2">
        <f>IF($L235="","",IF(INDEX(tblRegistros[Data],$L235)&gt;$D$4,"",IFERROR(INDEX(tblRegistros[Data],$L235),"")))</f>
        <v/>
      </c>
      <c r="B235">
        <f>IF($L235="","",IF(INDEX(tblRegistros[Data],$L235)&gt;$D$4,"",IFERROR(INDEX(tblRegistros[Projeto],$L235),"")))</f>
        <v/>
      </c>
      <c r="C235">
        <f>IF($L235="","",IF(INDEX(tblRegistros[Data],$L235)&gt;$D$4,"",IFERROR(INDEX(tblRegistros[Atividade],$L235),"")))</f>
        <v/>
      </c>
      <c r="D235" s="4">
        <f>IF($L235="","",IF(INDEX(tblRegistros[Data],$L235)&gt;$D$4,"",IFERROR(INDEX(tblRegistros[Início],$L235),"")))</f>
        <v/>
      </c>
      <c r="E235" s="4">
        <f>IF($L235="","",IF(INDEX(tblRegistros[Data],$L235)&gt;$D$4,"",IFERROR(IF(INDEX(tblRegistros[Status],$L235)="EM ABERTO","",INDEX(tblRegistros[Fim],$L235)),"")))</f>
        <v/>
      </c>
      <c r="F235" s="14">
        <f>IF($L235="","",IF(INDEX(tblRegistros[Data],$L235)&gt;$D$4,"",IFERROR(IF(INDEX(tblRegistros[Status],$L235)="EM ABERTO","",INDEX(tblRegistros[Horas],$L235)),"")))</f>
        <v/>
      </c>
      <c r="G235">
        <f>IF($L235="","",IF(INDEX(tblRegistros[Data],$L235)&gt;$D$4,"",IFERROR(INDEX(tblRegistros[Base],$L235),"")))</f>
        <v/>
      </c>
      <c r="H235" s="3">
        <f>IF($L235="","",IF(INDEX(tblRegistros[Data],$L235)&gt;$D$4,"",IFERROR(INDEX(tblRegistros[Taxa aplicada],$L235),"")))</f>
        <v/>
      </c>
      <c r="I235" s="3">
        <f>IF($L235="","",IF(INDEX(tblRegistros[Data],$L235)&gt;$D$4,"",IFERROR(IF(INDEX(tblRegistros[Status],$L235)="EM ABERTO","",INDEX(tblRegistros[Valor],$L235)),"")))</f>
        <v/>
      </c>
      <c r="J235">
        <f>IF($L235="","",IF(INDEX(tblRegistros[Data],$L235)&gt;$D$4,"",IFERROR(INDEX(tblRegistros[Status],$L235),"")))</f>
        <v/>
      </c>
      <c r="K235">
        <f>IF($L235="","",IF(INDEX(tblRegistros[Data],$L235)&gt;$D$4,"",IFERROR(INDEX(tblRegistros[Observação],$L235),"")))</f>
        <v/>
      </c>
      <c r="L235" s="16">
        <f>IFERROR(MATCH($B$3*100000+COUNTIFS(tblRegistros[ID],$B$3,tblRegistros[Data],"&lt;"&amp;$B$4)+ROWS($L$10:L235),tblRegistros[Chave do cartão],0),"")</f>
        <v/>
      </c>
    </row>
    <row r="236">
      <c r="A236" s="2">
        <f>IF($L236="","",IF(INDEX(tblRegistros[Data],$L236)&gt;$D$4,"",IFERROR(INDEX(tblRegistros[Data],$L236),"")))</f>
        <v/>
      </c>
      <c r="B236">
        <f>IF($L236="","",IF(INDEX(tblRegistros[Data],$L236)&gt;$D$4,"",IFERROR(INDEX(tblRegistros[Projeto],$L236),"")))</f>
        <v/>
      </c>
      <c r="C236">
        <f>IF($L236="","",IF(INDEX(tblRegistros[Data],$L236)&gt;$D$4,"",IFERROR(INDEX(tblRegistros[Atividade],$L236),"")))</f>
        <v/>
      </c>
      <c r="D236" s="4">
        <f>IF($L236="","",IF(INDEX(tblRegistros[Data],$L236)&gt;$D$4,"",IFERROR(INDEX(tblRegistros[Início],$L236),"")))</f>
        <v/>
      </c>
      <c r="E236" s="4">
        <f>IF($L236="","",IF(INDEX(tblRegistros[Data],$L236)&gt;$D$4,"",IFERROR(IF(INDEX(tblRegistros[Status],$L236)="EM ABERTO","",INDEX(tblRegistros[Fim],$L236)),"")))</f>
        <v/>
      </c>
      <c r="F236" s="14">
        <f>IF($L236="","",IF(INDEX(tblRegistros[Data],$L236)&gt;$D$4,"",IFERROR(IF(INDEX(tblRegistros[Status],$L236)="EM ABERTO","",INDEX(tblRegistros[Horas],$L236)),"")))</f>
        <v/>
      </c>
      <c r="G236">
        <f>IF($L236="","",IF(INDEX(tblRegistros[Data],$L236)&gt;$D$4,"",IFERROR(INDEX(tblRegistros[Base],$L236),"")))</f>
        <v/>
      </c>
      <c r="H236" s="3">
        <f>IF($L236="","",IF(INDEX(tblRegistros[Data],$L236)&gt;$D$4,"",IFERROR(INDEX(tblRegistros[Taxa aplicada],$L236),"")))</f>
        <v/>
      </c>
      <c r="I236" s="3">
        <f>IF($L236="","",IF(INDEX(tblRegistros[Data],$L236)&gt;$D$4,"",IFERROR(IF(INDEX(tblRegistros[Status],$L236)="EM ABERTO","",INDEX(tblRegistros[Valor],$L236)),"")))</f>
        <v/>
      </c>
      <c r="J236">
        <f>IF($L236="","",IF(INDEX(tblRegistros[Data],$L236)&gt;$D$4,"",IFERROR(INDEX(tblRegistros[Status],$L236),"")))</f>
        <v/>
      </c>
      <c r="K236">
        <f>IF($L236="","",IF(INDEX(tblRegistros[Data],$L236)&gt;$D$4,"",IFERROR(INDEX(tblRegistros[Observação],$L236),"")))</f>
        <v/>
      </c>
      <c r="L236" s="16">
        <f>IFERROR(MATCH($B$3*100000+COUNTIFS(tblRegistros[ID],$B$3,tblRegistros[Data],"&lt;"&amp;$B$4)+ROWS($L$10:L236),tblRegistros[Chave do cartão],0),"")</f>
        <v/>
      </c>
    </row>
    <row r="237">
      <c r="A237" s="2">
        <f>IF($L237="","",IF(INDEX(tblRegistros[Data],$L237)&gt;$D$4,"",IFERROR(INDEX(tblRegistros[Data],$L237),"")))</f>
        <v/>
      </c>
      <c r="B237">
        <f>IF($L237="","",IF(INDEX(tblRegistros[Data],$L237)&gt;$D$4,"",IFERROR(INDEX(tblRegistros[Projeto],$L237),"")))</f>
        <v/>
      </c>
      <c r="C237">
        <f>IF($L237="","",IF(INDEX(tblRegistros[Data],$L237)&gt;$D$4,"",IFERROR(INDEX(tblRegistros[Atividade],$L237),"")))</f>
        <v/>
      </c>
      <c r="D237" s="4">
        <f>IF($L237="","",IF(INDEX(tblRegistros[Data],$L237)&gt;$D$4,"",IFERROR(INDEX(tblRegistros[Início],$L237),"")))</f>
        <v/>
      </c>
      <c r="E237" s="4">
        <f>IF($L237="","",IF(INDEX(tblRegistros[Data],$L237)&gt;$D$4,"",IFERROR(IF(INDEX(tblRegistros[Status],$L237)="EM ABERTO","",INDEX(tblRegistros[Fim],$L237)),"")))</f>
        <v/>
      </c>
      <c r="F237" s="14">
        <f>IF($L237="","",IF(INDEX(tblRegistros[Data],$L237)&gt;$D$4,"",IFERROR(IF(INDEX(tblRegistros[Status],$L237)="EM ABERTO","",INDEX(tblRegistros[Horas],$L237)),"")))</f>
        <v/>
      </c>
      <c r="G237">
        <f>IF($L237="","",IF(INDEX(tblRegistros[Data],$L237)&gt;$D$4,"",IFERROR(INDEX(tblRegistros[Base],$L237),"")))</f>
        <v/>
      </c>
      <c r="H237" s="3">
        <f>IF($L237="","",IF(INDEX(tblRegistros[Data],$L237)&gt;$D$4,"",IFERROR(INDEX(tblRegistros[Taxa aplicada],$L237),"")))</f>
        <v/>
      </c>
      <c r="I237" s="3">
        <f>IF($L237="","",IF(INDEX(tblRegistros[Data],$L237)&gt;$D$4,"",IFERROR(IF(INDEX(tblRegistros[Status],$L237)="EM ABERTO","",INDEX(tblRegistros[Valor],$L237)),"")))</f>
        <v/>
      </c>
      <c r="J237">
        <f>IF($L237="","",IF(INDEX(tblRegistros[Data],$L237)&gt;$D$4,"",IFERROR(INDEX(tblRegistros[Status],$L237),"")))</f>
        <v/>
      </c>
      <c r="K237">
        <f>IF($L237="","",IF(INDEX(tblRegistros[Data],$L237)&gt;$D$4,"",IFERROR(INDEX(tblRegistros[Observação],$L237),"")))</f>
        <v/>
      </c>
      <c r="L237" s="16">
        <f>IFERROR(MATCH($B$3*100000+COUNTIFS(tblRegistros[ID],$B$3,tblRegistros[Data],"&lt;"&amp;$B$4)+ROWS($L$10:L237),tblRegistros[Chave do cartão],0),"")</f>
        <v/>
      </c>
    </row>
    <row r="238">
      <c r="A238" s="2">
        <f>IF($L238="","",IF(INDEX(tblRegistros[Data],$L238)&gt;$D$4,"",IFERROR(INDEX(tblRegistros[Data],$L238),"")))</f>
        <v/>
      </c>
      <c r="B238">
        <f>IF($L238="","",IF(INDEX(tblRegistros[Data],$L238)&gt;$D$4,"",IFERROR(INDEX(tblRegistros[Projeto],$L238),"")))</f>
        <v/>
      </c>
      <c r="C238">
        <f>IF($L238="","",IF(INDEX(tblRegistros[Data],$L238)&gt;$D$4,"",IFERROR(INDEX(tblRegistros[Atividade],$L238),"")))</f>
        <v/>
      </c>
      <c r="D238" s="4">
        <f>IF($L238="","",IF(INDEX(tblRegistros[Data],$L238)&gt;$D$4,"",IFERROR(INDEX(tblRegistros[Início],$L238),"")))</f>
        <v/>
      </c>
      <c r="E238" s="4">
        <f>IF($L238="","",IF(INDEX(tblRegistros[Data],$L238)&gt;$D$4,"",IFERROR(IF(INDEX(tblRegistros[Status],$L238)="EM ABERTO","",INDEX(tblRegistros[Fim],$L238)),"")))</f>
        <v/>
      </c>
      <c r="F238" s="14">
        <f>IF($L238="","",IF(INDEX(tblRegistros[Data],$L238)&gt;$D$4,"",IFERROR(IF(INDEX(tblRegistros[Status],$L238)="EM ABERTO","",INDEX(tblRegistros[Horas],$L238)),"")))</f>
        <v/>
      </c>
      <c r="G238">
        <f>IF($L238="","",IF(INDEX(tblRegistros[Data],$L238)&gt;$D$4,"",IFERROR(INDEX(tblRegistros[Base],$L238),"")))</f>
        <v/>
      </c>
      <c r="H238" s="3">
        <f>IF($L238="","",IF(INDEX(tblRegistros[Data],$L238)&gt;$D$4,"",IFERROR(INDEX(tblRegistros[Taxa aplicada],$L238),"")))</f>
        <v/>
      </c>
      <c r="I238" s="3">
        <f>IF($L238="","",IF(INDEX(tblRegistros[Data],$L238)&gt;$D$4,"",IFERROR(IF(INDEX(tblRegistros[Status],$L238)="EM ABERTO","",INDEX(tblRegistros[Valor],$L238)),"")))</f>
        <v/>
      </c>
      <c r="J238">
        <f>IF($L238="","",IF(INDEX(tblRegistros[Data],$L238)&gt;$D$4,"",IFERROR(INDEX(tblRegistros[Status],$L238),"")))</f>
        <v/>
      </c>
      <c r="K238">
        <f>IF($L238="","",IF(INDEX(tblRegistros[Data],$L238)&gt;$D$4,"",IFERROR(INDEX(tblRegistros[Observação],$L238),"")))</f>
        <v/>
      </c>
      <c r="L238" s="16">
        <f>IFERROR(MATCH($B$3*100000+COUNTIFS(tblRegistros[ID],$B$3,tblRegistros[Data],"&lt;"&amp;$B$4)+ROWS($L$10:L238),tblRegistros[Chave do cartão],0),"")</f>
        <v/>
      </c>
    </row>
    <row r="239">
      <c r="A239" s="2">
        <f>IF($L239="","",IF(INDEX(tblRegistros[Data],$L239)&gt;$D$4,"",IFERROR(INDEX(tblRegistros[Data],$L239),"")))</f>
        <v/>
      </c>
      <c r="B239">
        <f>IF($L239="","",IF(INDEX(tblRegistros[Data],$L239)&gt;$D$4,"",IFERROR(INDEX(tblRegistros[Projeto],$L239),"")))</f>
        <v/>
      </c>
      <c r="C239">
        <f>IF($L239="","",IF(INDEX(tblRegistros[Data],$L239)&gt;$D$4,"",IFERROR(INDEX(tblRegistros[Atividade],$L239),"")))</f>
        <v/>
      </c>
      <c r="D239" s="4">
        <f>IF($L239="","",IF(INDEX(tblRegistros[Data],$L239)&gt;$D$4,"",IFERROR(INDEX(tblRegistros[Início],$L239),"")))</f>
        <v/>
      </c>
      <c r="E239" s="4">
        <f>IF($L239="","",IF(INDEX(tblRegistros[Data],$L239)&gt;$D$4,"",IFERROR(IF(INDEX(tblRegistros[Status],$L239)="EM ABERTO","",INDEX(tblRegistros[Fim],$L239)),"")))</f>
        <v/>
      </c>
      <c r="F239" s="14">
        <f>IF($L239="","",IF(INDEX(tblRegistros[Data],$L239)&gt;$D$4,"",IFERROR(IF(INDEX(tblRegistros[Status],$L239)="EM ABERTO","",INDEX(tblRegistros[Horas],$L239)),"")))</f>
        <v/>
      </c>
      <c r="G239">
        <f>IF($L239="","",IF(INDEX(tblRegistros[Data],$L239)&gt;$D$4,"",IFERROR(INDEX(tblRegistros[Base],$L239),"")))</f>
        <v/>
      </c>
      <c r="H239" s="3">
        <f>IF($L239="","",IF(INDEX(tblRegistros[Data],$L239)&gt;$D$4,"",IFERROR(INDEX(tblRegistros[Taxa aplicada],$L239),"")))</f>
        <v/>
      </c>
      <c r="I239" s="3">
        <f>IF($L239="","",IF(INDEX(tblRegistros[Data],$L239)&gt;$D$4,"",IFERROR(IF(INDEX(tblRegistros[Status],$L239)="EM ABERTO","",INDEX(tblRegistros[Valor],$L239)),"")))</f>
        <v/>
      </c>
      <c r="J239">
        <f>IF($L239="","",IF(INDEX(tblRegistros[Data],$L239)&gt;$D$4,"",IFERROR(INDEX(tblRegistros[Status],$L239),"")))</f>
        <v/>
      </c>
      <c r="K239">
        <f>IF($L239="","",IF(INDEX(tblRegistros[Data],$L239)&gt;$D$4,"",IFERROR(INDEX(tblRegistros[Observação],$L239),"")))</f>
        <v/>
      </c>
      <c r="L239" s="16">
        <f>IFERROR(MATCH($B$3*100000+COUNTIFS(tblRegistros[ID],$B$3,tblRegistros[Data],"&lt;"&amp;$B$4)+ROWS($L$10:L239),tblRegistros[Chave do cartão],0),"")</f>
        <v/>
      </c>
    </row>
    <row r="240">
      <c r="A240" s="2">
        <f>IF($L240="","",IF(INDEX(tblRegistros[Data],$L240)&gt;$D$4,"",IFERROR(INDEX(tblRegistros[Data],$L240),"")))</f>
        <v/>
      </c>
      <c r="B240">
        <f>IF($L240="","",IF(INDEX(tblRegistros[Data],$L240)&gt;$D$4,"",IFERROR(INDEX(tblRegistros[Projeto],$L240),"")))</f>
        <v/>
      </c>
      <c r="C240">
        <f>IF($L240="","",IF(INDEX(tblRegistros[Data],$L240)&gt;$D$4,"",IFERROR(INDEX(tblRegistros[Atividade],$L240),"")))</f>
        <v/>
      </c>
      <c r="D240" s="4">
        <f>IF($L240="","",IF(INDEX(tblRegistros[Data],$L240)&gt;$D$4,"",IFERROR(INDEX(tblRegistros[Início],$L240),"")))</f>
        <v/>
      </c>
      <c r="E240" s="4">
        <f>IF($L240="","",IF(INDEX(tblRegistros[Data],$L240)&gt;$D$4,"",IFERROR(IF(INDEX(tblRegistros[Status],$L240)="EM ABERTO","",INDEX(tblRegistros[Fim],$L240)),"")))</f>
        <v/>
      </c>
      <c r="F240" s="14">
        <f>IF($L240="","",IF(INDEX(tblRegistros[Data],$L240)&gt;$D$4,"",IFERROR(IF(INDEX(tblRegistros[Status],$L240)="EM ABERTO","",INDEX(tblRegistros[Horas],$L240)),"")))</f>
        <v/>
      </c>
      <c r="G240">
        <f>IF($L240="","",IF(INDEX(tblRegistros[Data],$L240)&gt;$D$4,"",IFERROR(INDEX(tblRegistros[Base],$L240),"")))</f>
        <v/>
      </c>
      <c r="H240" s="3">
        <f>IF($L240="","",IF(INDEX(tblRegistros[Data],$L240)&gt;$D$4,"",IFERROR(INDEX(tblRegistros[Taxa aplicada],$L240),"")))</f>
        <v/>
      </c>
      <c r="I240" s="3">
        <f>IF($L240="","",IF(INDEX(tblRegistros[Data],$L240)&gt;$D$4,"",IFERROR(IF(INDEX(tblRegistros[Status],$L240)="EM ABERTO","",INDEX(tblRegistros[Valor],$L240)),"")))</f>
        <v/>
      </c>
      <c r="J240">
        <f>IF($L240="","",IF(INDEX(tblRegistros[Data],$L240)&gt;$D$4,"",IFERROR(INDEX(tblRegistros[Status],$L240),"")))</f>
        <v/>
      </c>
      <c r="K240">
        <f>IF($L240="","",IF(INDEX(tblRegistros[Data],$L240)&gt;$D$4,"",IFERROR(INDEX(tblRegistros[Observação],$L240),"")))</f>
        <v/>
      </c>
      <c r="L240" s="16">
        <f>IFERROR(MATCH($B$3*100000+COUNTIFS(tblRegistros[ID],$B$3,tblRegistros[Data],"&lt;"&amp;$B$4)+ROWS($L$10:L240),tblRegistros[Chave do cartão],0),"")</f>
        <v/>
      </c>
    </row>
    <row r="241">
      <c r="A241" s="2">
        <f>IF($L241="","",IF(INDEX(tblRegistros[Data],$L241)&gt;$D$4,"",IFERROR(INDEX(tblRegistros[Data],$L241),"")))</f>
        <v/>
      </c>
      <c r="B241">
        <f>IF($L241="","",IF(INDEX(tblRegistros[Data],$L241)&gt;$D$4,"",IFERROR(INDEX(tblRegistros[Projeto],$L241),"")))</f>
        <v/>
      </c>
      <c r="C241">
        <f>IF($L241="","",IF(INDEX(tblRegistros[Data],$L241)&gt;$D$4,"",IFERROR(INDEX(tblRegistros[Atividade],$L241),"")))</f>
        <v/>
      </c>
      <c r="D241" s="4">
        <f>IF($L241="","",IF(INDEX(tblRegistros[Data],$L241)&gt;$D$4,"",IFERROR(INDEX(tblRegistros[Início],$L241),"")))</f>
        <v/>
      </c>
      <c r="E241" s="4">
        <f>IF($L241="","",IF(INDEX(tblRegistros[Data],$L241)&gt;$D$4,"",IFERROR(IF(INDEX(tblRegistros[Status],$L241)="EM ABERTO","",INDEX(tblRegistros[Fim],$L241)),"")))</f>
        <v/>
      </c>
      <c r="F241" s="14">
        <f>IF($L241="","",IF(INDEX(tblRegistros[Data],$L241)&gt;$D$4,"",IFERROR(IF(INDEX(tblRegistros[Status],$L241)="EM ABERTO","",INDEX(tblRegistros[Horas],$L241)),"")))</f>
        <v/>
      </c>
      <c r="G241">
        <f>IF($L241="","",IF(INDEX(tblRegistros[Data],$L241)&gt;$D$4,"",IFERROR(INDEX(tblRegistros[Base],$L241),"")))</f>
        <v/>
      </c>
      <c r="H241" s="3">
        <f>IF($L241="","",IF(INDEX(tblRegistros[Data],$L241)&gt;$D$4,"",IFERROR(INDEX(tblRegistros[Taxa aplicada],$L241),"")))</f>
        <v/>
      </c>
      <c r="I241" s="3">
        <f>IF($L241="","",IF(INDEX(tblRegistros[Data],$L241)&gt;$D$4,"",IFERROR(IF(INDEX(tblRegistros[Status],$L241)="EM ABERTO","",INDEX(tblRegistros[Valor],$L241)),"")))</f>
        <v/>
      </c>
      <c r="J241">
        <f>IF($L241="","",IF(INDEX(tblRegistros[Data],$L241)&gt;$D$4,"",IFERROR(INDEX(tblRegistros[Status],$L241),"")))</f>
        <v/>
      </c>
      <c r="K241">
        <f>IF($L241="","",IF(INDEX(tblRegistros[Data],$L241)&gt;$D$4,"",IFERROR(INDEX(tblRegistros[Observação],$L241),"")))</f>
        <v/>
      </c>
      <c r="L241" s="16">
        <f>IFERROR(MATCH($B$3*100000+COUNTIFS(tblRegistros[ID],$B$3,tblRegistros[Data],"&lt;"&amp;$B$4)+ROWS($L$10:L241),tblRegistros[Chave do cartão],0),"")</f>
        <v/>
      </c>
    </row>
    <row r="242">
      <c r="A242" s="2">
        <f>IF($L242="","",IF(INDEX(tblRegistros[Data],$L242)&gt;$D$4,"",IFERROR(INDEX(tblRegistros[Data],$L242),"")))</f>
        <v/>
      </c>
      <c r="B242">
        <f>IF($L242="","",IF(INDEX(tblRegistros[Data],$L242)&gt;$D$4,"",IFERROR(INDEX(tblRegistros[Projeto],$L242),"")))</f>
        <v/>
      </c>
      <c r="C242">
        <f>IF($L242="","",IF(INDEX(tblRegistros[Data],$L242)&gt;$D$4,"",IFERROR(INDEX(tblRegistros[Atividade],$L242),"")))</f>
        <v/>
      </c>
      <c r="D242" s="4">
        <f>IF($L242="","",IF(INDEX(tblRegistros[Data],$L242)&gt;$D$4,"",IFERROR(INDEX(tblRegistros[Início],$L242),"")))</f>
        <v/>
      </c>
      <c r="E242" s="4">
        <f>IF($L242="","",IF(INDEX(tblRegistros[Data],$L242)&gt;$D$4,"",IFERROR(IF(INDEX(tblRegistros[Status],$L242)="EM ABERTO","",INDEX(tblRegistros[Fim],$L242)),"")))</f>
        <v/>
      </c>
      <c r="F242" s="14">
        <f>IF($L242="","",IF(INDEX(tblRegistros[Data],$L242)&gt;$D$4,"",IFERROR(IF(INDEX(tblRegistros[Status],$L242)="EM ABERTO","",INDEX(tblRegistros[Horas],$L242)),"")))</f>
        <v/>
      </c>
      <c r="G242">
        <f>IF($L242="","",IF(INDEX(tblRegistros[Data],$L242)&gt;$D$4,"",IFERROR(INDEX(tblRegistros[Base],$L242),"")))</f>
        <v/>
      </c>
      <c r="H242" s="3">
        <f>IF($L242="","",IF(INDEX(tblRegistros[Data],$L242)&gt;$D$4,"",IFERROR(INDEX(tblRegistros[Taxa aplicada],$L242),"")))</f>
        <v/>
      </c>
      <c r="I242" s="3">
        <f>IF($L242="","",IF(INDEX(tblRegistros[Data],$L242)&gt;$D$4,"",IFERROR(IF(INDEX(tblRegistros[Status],$L242)="EM ABERTO","",INDEX(tblRegistros[Valor],$L242)),"")))</f>
        <v/>
      </c>
      <c r="J242">
        <f>IF($L242="","",IF(INDEX(tblRegistros[Data],$L242)&gt;$D$4,"",IFERROR(INDEX(tblRegistros[Status],$L242),"")))</f>
        <v/>
      </c>
      <c r="K242">
        <f>IF($L242="","",IF(INDEX(tblRegistros[Data],$L242)&gt;$D$4,"",IFERROR(INDEX(tblRegistros[Observação],$L242),"")))</f>
        <v/>
      </c>
      <c r="L242" s="16">
        <f>IFERROR(MATCH($B$3*100000+COUNTIFS(tblRegistros[ID],$B$3,tblRegistros[Data],"&lt;"&amp;$B$4)+ROWS($L$10:L242),tblRegistros[Chave do cartão],0),"")</f>
        <v/>
      </c>
    </row>
    <row r="243">
      <c r="A243" s="2">
        <f>IF($L243="","",IF(INDEX(tblRegistros[Data],$L243)&gt;$D$4,"",IFERROR(INDEX(tblRegistros[Data],$L243),"")))</f>
        <v/>
      </c>
      <c r="B243">
        <f>IF($L243="","",IF(INDEX(tblRegistros[Data],$L243)&gt;$D$4,"",IFERROR(INDEX(tblRegistros[Projeto],$L243),"")))</f>
        <v/>
      </c>
      <c r="C243">
        <f>IF($L243="","",IF(INDEX(tblRegistros[Data],$L243)&gt;$D$4,"",IFERROR(INDEX(tblRegistros[Atividade],$L243),"")))</f>
        <v/>
      </c>
      <c r="D243" s="4">
        <f>IF($L243="","",IF(INDEX(tblRegistros[Data],$L243)&gt;$D$4,"",IFERROR(INDEX(tblRegistros[Início],$L243),"")))</f>
        <v/>
      </c>
      <c r="E243" s="4">
        <f>IF($L243="","",IF(INDEX(tblRegistros[Data],$L243)&gt;$D$4,"",IFERROR(IF(INDEX(tblRegistros[Status],$L243)="EM ABERTO","",INDEX(tblRegistros[Fim],$L243)),"")))</f>
        <v/>
      </c>
      <c r="F243" s="14">
        <f>IF($L243="","",IF(INDEX(tblRegistros[Data],$L243)&gt;$D$4,"",IFERROR(IF(INDEX(tblRegistros[Status],$L243)="EM ABERTO","",INDEX(tblRegistros[Horas],$L243)),"")))</f>
        <v/>
      </c>
      <c r="G243">
        <f>IF($L243="","",IF(INDEX(tblRegistros[Data],$L243)&gt;$D$4,"",IFERROR(INDEX(tblRegistros[Base],$L243),"")))</f>
        <v/>
      </c>
      <c r="H243" s="3">
        <f>IF($L243="","",IF(INDEX(tblRegistros[Data],$L243)&gt;$D$4,"",IFERROR(INDEX(tblRegistros[Taxa aplicada],$L243),"")))</f>
        <v/>
      </c>
      <c r="I243" s="3">
        <f>IF($L243="","",IF(INDEX(tblRegistros[Data],$L243)&gt;$D$4,"",IFERROR(IF(INDEX(tblRegistros[Status],$L243)="EM ABERTO","",INDEX(tblRegistros[Valor],$L243)),"")))</f>
        <v/>
      </c>
      <c r="J243">
        <f>IF($L243="","",IF(INDEX(tblRegistros[Data],$L243)&gt;$D$4,"",IFERROR(INDEX(tblRegistros[Status],$L243),"")))</f>
        <v/>
      </c>
      <c r="K243">
        <f>IF($L243="","",IF(INDEX(tblRegistros[Data],$L243)&gt;$D$4,"",IFERROR(INDEX(tblRegistros[Observação],$L243),"")))</f>
        <v/>
      </c>
      <c r="L243" s="16">
        <f>IFERROR(MATCH($B$3*100000+COUNTIFS(tblRegistros[ID],$B$3,tblRegistros[Data],"&lt;"&amp;$B$4)+ROWS($L$10:L243),tblRegistros[Chave do cartão],0),"")</f>
        <v/>
      </c>
    </row>
    <row r="244">
      <c r="A244" s="2">
        <f>IF($L244="","",IF(INDEX(tblRegistros[Data],$L244)&gt;$D$4,"",IFERROR(INDEX(tblRegistros[Data],$L244),"")))</f>
        <v/>
      </c>
      <c r="B244">
        <f>IF($L244="","",IF(INDEX(tblRegistros[Data],$L244)&gt;$D$4,"",IFERROR(INDEX(tblRegistros[Projeto],$L244),"")))</f>
        <v/>
      </c>
      <c r="C244">
        <f>IF($L244="","",IF(INDEX(tblRegistros[Data],$L244)&gt;$D$4,"",IFERROR(INDEX(tblRegistros[Atividade],$L244),"")))</f>
        <v/>
      </c>
      <c r="D244" s="4">
        <f>IF($L244="","",IF(INDEX(tblRegistros[Data],$L244)&gt;$D$4,"",IFERROR(INDEX(tblRegistros[Início],$L244),"")))</f>
        <v/>
      </c>
      <c r="E244" s="4">
        <f>IF($L244="","",IF(INDEX(tblRegistros[Data],$L244)&gt;$D$4,"",IFERROR(IF(INDEX(tblRegistros[Status],$L244)="EM ABERTO","",INDEX(tblRegistros[Fim],$L244)),"")))</f>
        <v/>
      </c>
      <c r="F244" s="14">
        <f>IF($L244="","",IF(INDEX(tblRegistros[Data],$L244)&gt;$D$4,"",IFERROR(IF(INDEX(tblRegistros[Status],$L244)="EM ABERTO","",INDEX(tblRegistros[Horas],$L244)),"")))</f>
        <v/>
      </c>
      <c r="G244">
        <f>IF($L244="","",IF(INDEX(tblRegistros[Data],$L244)&gt;$D$4,"",IFERROR(INDEX(tblRegistros[Base],$L244),"")))</f>
        <v/>
      </c>
      <c r="H244" s="3">
        <f>IF($L244="","",IF(INDEX(tblRegistros[Data],$L244)&gt;$D$4,"",IFERROR(INDEX(tblRegistros[Taxa aplicada],$L244),"")))</f>
        <v/>
      </c>
      <c r="I244" s="3">
        <f>IF($L244="","",IF(INDEX(tblRegistros[Data],$L244)&gt;$D$4,"",IFERROR(IF(INDEX(tblRegistros[Status],$L244)="EM ABERTO","",INDEX(tblRegistros[Valor],$L244)),"")))</f>
        <v/>
      </c>
      <c r="J244">
        <f>IF($L244="","",IF(INDEX(tblRegistros[Data],$L244)&gt;$D$4,"",IFERROR(INDEX(tblRegistros[Status],$L244),"")))</f>
        <v/>
      </c>
      <c r="K244">
        <f>IF($L244="","",IF(INDEX(tblRegistros[Data],$L244)&gt;$D$4,"",IFERROR(INDEX(tblRegistros[Observação],$L244),"")))</f>
        <v/>
      </c>
      <c r="L244" s="16">
        <f>IFERROR(MATCH($B$3*100000+COUNTIFS(tblRegistros[ID],$B$3,tblRegistros[Data],"&lt;"&amp;$B$4)+ROWS($L$10:L244),tblRegistros[Chave do cartão],0),"")</f>
        <v/>
      </c>
    </row>
    <row r="245">
      <c r="A245" s="2">
        <f>IF($L245="","",IF(INDEX(tblRegistros[Data],$L245)&gt;$D$4,"",IFERROR(INDEX(tblRegistros[Data],$L245),"")))</f>
        <v/>
      </c>
      <c r="B245">
        <f>IF($L245="","",IF(INDEX(tblRegistros[Data],$L245)&gt;$D$4,"",IFERROR(INDEX(tblRegistros[Projeto],$L245),"")))</f>
        <v/>
      </c>
      <c r="C245">
        <f>IF($L245="","",IF(INDEX(tblRegistros[Data],$L245)&gt;$D$4,"",IFERROR(INDEX(tblRegistros[Atividade],$L245),"")))</f>
        <v/>
      </c>
      <c r="D245" s="4">
        <f>IF($L245="","",IF(INDEX(tblRegistros[Data],$L245)&gt;$D$4,"",IFERROR(INDEX(tblRegistros[Início],$L245),"")))</f>
        <v/>
      </c>
      <c r="E245" s="4">
        <f>IF($L245="","",IF(INDEX(tblRegistros[Data],$L245)&gt;$D$4,"",IFERROR(IF(INDEX(tblRegistros[Status],$L245)="EM ABERTO","",INDEX(tblRegistros[Fim],$L245)),"")))</f>
        <v/>
      </c>
      <c r="F245" s="14">
        <f>IF($L245="","",IF(INDEX(tblRegistros[Data],$L245)&gt;$D$4,"",IFERROR(IF(INDEX(tblRegistros[Status],$L245)="EM ABERTO","",INDEX(tblRegistros[Horas],$L245)),"")))</f>
        <v/>
      </c>
      <c r="G245">
        <f>IF($L245="","",IF(INDEX(tblRegistros[Data],$L245)&gt;$D$4,"",IFERROR(INDEX(tblRegistros[Base],$L245),"")))</f>
        <v/>
      </c>
      <c r="H245" s="3">
        <f>IF($L245="","",IF(INDEX(tblRegistros[Data],$L245)&gt;$D$4,"",IFERROR(INDEX(tblRegistros[Taxa aplicada],$L245),"")))</f>
        <v/>
      </c>
      <c r="I245" s="3">
        <f>IF($L245="","",IF(INDEX(tblRegistros[Data],$L245)&gt;$D$4,"",IFERROR(IF(INDEX(tblRegistros[Status],$L245)="EM ABERTO","",INDEX(tblRegistros[Valor],$L245)),"")))</f>
        <v/>
      </c>
      <c r="J245">
        <f>IF($L245="","",IF(INDEX(tblRegistros[Data],$L245)&gt;$D$4,"",IFERROR(INDEX(tblRegistros[Status],$L245),"")))</f>
        <v/>
      </c>
      <c r="K245">
        <f>IF($L245="","",IF(INDEX(tblRegistros[Data],$L245)&gt;$D$4,"",IFERROR(INDEX(tblRegistros[Observação],$L245),"")))</f>
        <v/>
      </c>
      <c r="L245" s="16">
        <f>IFERROR(MATCH($B$3*100000+COUNTIFS(tblRegistros[ID],$B$3,tblRegistros[Data],"&lt;"&amp;$B$4)+ROWS($L$10:L245),tblRegistros[Chave do cartão],0),"")</f>
        <v/>
      </c>
    </row>
    <row r="246">
      <c r="A246" s="2">
        <f>IF($L246="","",IF(INDEX(tblRegistros[Data],$L246)&gt;$D$4,"",IFERROR(INDEX(tblRegistros[Data],$L246),"")))</f>
        <v/>
      </c>
      <c r="B246">
        <f>IF($L246="","",IF(INDEX(tblRegistros[Data],$L246)&gt;$D$4,"",IFERROR(INDEX(tblRegistros[Projeto],$L246),"")))</f>
        <v/>
      </c>
      <c r="C246">
        <f>IF($L246="","",IF(INDEX(tblRegistros[Data],$L246)&gt;$D$4,"",IFERROR(INDEX(tblRegistros[Atividade],$L246),"")))</f>
        <v/>
      </c>
      <c r="D246" s="4">
        <f>IF($L246="","",IF(INDEX(tblRegistros[Data],$L246)&gt;$D$4,"",IFERROR(INDEX(tblRegistros[Início],$L246),"")))</f>
        <v/>
      </c>
      <c r="E246" s="4">
        <f>IF($L246="","",IF(INDEX(tblRegistros[Data],$L246)&gt;$D$4,"",IFERROR(IF(INDEX(tblRegistros[Status],$L246)="EM ABERTO","",INDEX(tblRegistros[Fim],$L246)),"")))</f>
        <v/>
      </c>
      <c r="F246" s="14">
        <f>IF($L246="","",IF(INDEX(tblRegistros[Data],$L246)&gt;$D$4,"",IFERROR(IF(INDEX(tblRegistros[Status],$L246)="EM ABERTO","",INDEX(tblRegistros[Horas],$L246)),"")))</f>
        <v/>
      </c>
      <c r="G246">
        <f>IF($L246="","",IF(INDEX(tblRegistros[Data],$L246)&gt;$D$4,"",IFERROR(INDEX(tblRegistros[Base],$L246),"")))</f>
        <v/>
      </c>
      <c r="H246" s="3">
        <f>IF($L246="","",IF(INDEX(tblRegistros[Data],$L246)&gt;$D$4,"",IFERROR(INDEX(tblRegistros[Taxa aplicada],$L246),"")))</f>
        <v/>
      </c>
      <c r="I246" s="3">
        <f>IF($L246="","",IF(INDEX(tblRegistros[Data],$L246)&gt;$D$4,"",IFERROR(IF(INDEX(tblRegistros[Status],$L246)="EM ABERTO","",INDEX(tblRegistros[Valor],$L246)),"")))</f>
        <v/>
      </c>
      <c r="J246">
        <f>IF($L246="","",IF(INDEX(tblRegistros[Data],$L246)&gt;$D$4,"",IFERROR(INDEX(tblRegistros[Status],$L246),"")))</f>
        <v/>
      </c>
      <c r="K246">
        <f>IF($L246="","",IF(INDEX(tblRegistros[Data],$L246)&gt;$D$4,"",IFERROR(INDEX(tblRegistros[Observação],$L246),"")))</f>
        <v/>
      </c>
      <c r="L246" s="16">
        <f>IFERROR(MATCH($B$3*100000+COUNTIFS(tblRegistros[ID],$B$3,tblRegistros[Data],"&lt;"&amp;$B$4)+ROWS($L$10:L246),tblRegistros[Chave do cartão],0),"")</f>
        <v/>
      </c>
    </row>
    <row r="247">
      <c r="A247" s="2">
        <f>IF($L247="","",IF(INDEX(tblRegistros[Data],$L247)&gt;$D$4,"",IFERROR(INDEX(tblRegistros[Data],$L247),"")))</f>
        <v/>
      </c>
      <c r="B247">
        <f>IF($L247="","",IF(INDEX(tblRegistros[Data],$L247)&gt;$D$4,"",IFERROR(INDEX(tblRegistros[Projeto],$L247),"")))</f>
        <v/>
      </c>
      <c r="C247">
        <f>IF($L247="","",IF(INDEX(tblRegistros[Data],$L247)&gt;$D$4,"",IFERROR(INDEX(tblRegistros[Atividade],$L247),"")))</f>
        <v/>
      </c>
      <c r="D247" s="4">
        <f>IF($L247="","",IF(INDEX(tblRegistros[Data],$L247)&gt;$D$4,"",IFERROR(INDEX(tblRegistros[Início],$L247),"")))</f>
        <v/>
      </c>
      <c r="E247" s="4">
        <f>IF($L247="","",IF(INDEX(tblRegistros[Data],$L247)&gt;$D$4,"",IFERROR(IF(INDEX(tblRegistros[Status],$L247)="EM ABERTO","",INDEX(tblRegistros[Fim],$L247)),"")))</f>
        <v/>
      </c>
      <c r="F247" s="14">
        <f>IF($L247="","",IF(INDEX(tblRegistros[Data],$L247)&gt;$D$4,"",IFERROR(IF(INDEX(tblRegistros[Status],$L247)="EM ABERTO","",INDEX(tblRegistros[Horas],$L247)),"")))</f>
        <v/>
      </c>
      <c r="G247">
        <f>IF($L247="","",IF(INDEX(tblRegistros[Data],$L247)&gt;$D$4,"",IFERROR(INDEX(tblRegistros[Base],$L247),"")))</f>
        <v/>
      </c>
      <c r="H247" s="3">
        <f>IF($L247="","",IF(INDEX(tblRegistros[Data],$L247)&gt;$D$4,"",IFERROR(INDEX(tblRegistros[Taxa aplicada],$L247),"")))</f>
        <v/>
      </c>
      <c r="I247" s="3">
        <f>IF($L247="","",IF(INDEX(tblRegistros[Data],$L247)&gt;$D$4,"",IFERROR(IF(INDEX(tblRegistros[Status],$L247)="EM ABERTO","",INDEX(tblRegistros[Valor],$L247)),"")))</f>
        <v/>
      </c>
      <c r="J247">
        <f>IF($L247="","",IF(INDEX(tblRegistros[Data],$L247)&gt;$D$4,"",IFERROR(INDEX(tblRegistros[Status],$L247),"")))</f>
        <v/>
      </c>
      <c r="K247">
        <f>IF($L247="","",IF(INDEX(tblRegistros[Data],$L247)&gt;$D$4,"",IFERROR(INDEX(tblRegistros[Observação],$L247),"")))</f>
        <v/>
      </c>
      <c r="L247" s="16">
        <f>IFERROR(MATCH($B$3*100000+COUNTIFS(tblRegistros[ID],$B$3,tblRegistros[Data],"&lt;"&amp;$B$4)+ROWS($L$10:L247),tblRegistros[Chave do cartão],0),"")</f>
        <v/>
      </c>
    </row>
    <row r="248">
      <c r="A248" s="2">
        <f>IF($L248="","",IF(INDEX(tblRegistros[Data],$L248)&gt;$D$4,"",IFERROR(INDEX(tblRegistros[Data],$L248),"")))</f>
        <v/>
      </c>
      <c r="B248">
        <f>IF($L248="","",IF(INDEX(tblRegistros[Data],$L248)&gt;$D$4,"",IFERROR(INDEX(tblRegistros[Projeto],$L248),"")))</f>
        <v/>
      </c>
      <c r="C248">
        <f>IF($L248="","",IF(INDEX(tblRegistros[Data],$L248)&gt;$D$4,"",IFERROR(INDEX(tblRegistros[Atividade],$L248),"")))</f>
        <v/>
      </c>
      <c r="D248" s="4">
        <f>IF($L248="","",IF(INDEX(tblRegistros[Data],$L248)&gt;$D$4,"",IFERROR(INDEX(tblRegistros[Início],$L248),"")))</f>
        <v/>
      </c>
      <c r="E248" s="4">
        <f>IF($L248="","",IF(INDEX(tblRegistros[Data],$L248)&gt;$D$4,"",IFERROR(IF(INDEX(tblRegistros[Status],$L248)="EM ABERTO","",INDEX(tblRegistros[Fim],$L248)),"")))</f>
        <v/>
      </c>
      <c r="F248" s="14">
        <f>IF($L248="","",IF(INDEX(tblRegistros[Data],$L248)&gt;$D$4,"",IFERROR(IF(INDEX(tblRegistros[Status],$L248)="EM ABERTO","",INDEX(tblRegistros[Horas],$L248)),"")))</f>
        <v/>
      </c>
      <c r="G248">
        <f>IF($L248="","",IF(INDEX(tblRegistros[Data],$L248)&gt;$D$4,"",IFERROR(INDEX(tblRegistros[Base],$L248),"")))</f>
        <v/>
      </c>
      <c r="H248" s="3">
        <f>IF($L248="","",IF(INDEX(tblRegistros[Data],$L248)&gt;$D$4,"",IFERROR(INDEX(tblRegistros[Taxa aplicada],$L248),"")))</f>
        <v/>
      </c>
      <c r="I248" s="3">
        <f>IF($L248="","",IF(INDEX(tblRegistros[Data],$L248)&gt;$D$4,"",IFERROR(IF(INDEX(tblRegistros[Status],$L248)="EM ABERTO","",INDEX(tblRegistros[Valor],$L248)),"")))</f>
        <v/>
      </c>
      <c r="J248">
        <f>IF($L248="","",IF(INDEX(tblRegistros[Data],$L248)&gt;$D$4,"",IFERROR(INDEX(tblRegistros[Status],$L248),"")))</f>
        <v/>
      </c>
      <c r="K248">
        <f>IF($L248="","",IF(INDEX(tblRegistros[Data],$L248)&gt;$D$4,"",IFERROR(INDEX(tblRegistros[Observação],$L248),"")))</f>
        <v/>
      </c>
      <c r="L248" s="16">
        <f>IFERROR(MATCH($B$3*100000+COUNTIFS(tblRegistros[ID],$B$3,tblRegistros[Data],"&lt;"&amp;$B$4)+ROWS($L$10:L248),tblRegistros[Chave do cartão],0),"")</f>
        <v/>
      </c>
    </row>
    <row r="249">
      <c r="A249" s="2">
        <f>IF($L249="","",IF(INDEX(tblRegistros[Data],$L249)&gt;$D$4,"",IFERROR(INDEX(tblRegistros[Data],$L249),"")))</f>
        <v/>
      </c>
      <c r="B249">
        <f>IF($L249="","",IF(INDEX(tblRegistros[Data],$L249)&gt;$D$4,"",IFERROR(INDEX(tblRegistros[Projeto],$L249),"")))</f>
        <v/>
      </c>
      <c r="C249">
        <f>IF($L249="","",IF(INDEX(tblRegistros[Data],$L249)&gt;$D$4,"",IFERROR(INDEX(tblRegistros[Atividade],$L249),"")))</f>
        <v/>
      </c>
      <c r="D249" s="4">
        <f>IF($L249="","",IF(INDEX(tblRegistros[Data],$L249)&gt;$D$4,"",IFERROR(INDEX(tblRegistros[Início],$L249),"")))</f>
        <v/>
      </c>
      <c r="E249" s="4">
        <f>IF($L249="","",IF(INDEX(tblRegistros[Data],$L249)&gt;$D$4,"",IFERROR(IF(INDEX(tblRegistros[Status],$L249)="EM ABERTO","",INDEX(tblRegistros[Fim],$L249)),"")))</f>
        <v/>
      </c>
      <c r="F249" s="14">
        <f>IF($L249="","",IF(INDEX(tblRegistros[Data],$L249)&gt;$D$4,"",IFERROR(IF(INDEX(tblRegistros[Status],$L249)="EM ABERTO","",INDEX(tblRegistros[Horas],$L249)),"")))</f>
        <v/>
      </c>
      <c r="G249">
        <f>IF($L249="","",IF(INDEX(tblRegistros[Data],$L249)&gt;$D$4,"",IFERROR(INDEX(tblRegistros[Base],$L249),"")))</f>
        <v/>
      </c>
      <c r="H249" s="3">
        <f>IF($L249="","",IF(INDEX(tblRegistros[Data],$L249)&gt;$D$4,"",IFERROR(INDEX(tblRegistros[Taxa aplicada],$L249),"")))</f>
        <v/>
      </c>
      <c r="I249" s="3">
        <f>IF($L249="","",IF(INDEX(tblRegistros[Data],$L249)&gt;$D$4,"",IFERROR(IF(INDEX(tblRegistros[Status],$L249)="EM ABERTO","",INDEX(tblRegistros[Valor],$L249)),"")))</f>
        <v/>
      </c>
      <c r="J249">
        <f>IF($L249="","",IF(INDEX(tblRegistros[Data],$L249)&gt;$D$4,"",IFERROR(INDEX(tblRegistros[Status],$L249),"")))</f>
        <v/>
      </c>
      <c r="K249">
        <f>IF($L249="","",IF(INDEX(tblRegistros[Data],$L249)&gt;$D$4,"",IFERROR(INDEX(tblRegistros[Observação],$L249),"")))</f>
        <v/>
      </c>
      <c r="L249" s="16">
        <f>IFERROR(MATCH($B$3*100000+COUNTIFS(tblRegistros[ID],$B$3,tblRegistros[Data],"&lt;"&amp;$B$4)+ROWS($L$10:L249),tblRegistros[Chave do cartão],0),"")</f>
        <v/>
      </c>
    </row>
    <row r="250">
      <c r="A250" s="2">
        <f>IF($L250="","",IF(INDEX(tblRegistros[Data],$L250)&gt;$D$4,"",IFERROR(INDEX(tblRegistros[Data],$L250),"")))</f>
        <v/>
      </c>
      <c r="B250">
        <f>IF($L250="","",IF(INDEX(tblRegistros[Data],$L250)&gt;$D$4,"",IFERROR(INDEX(tblRegistros[Projeto],$L250),"")))</f>
        <v/>
      </c>
      <c r="C250">
        <f>IF($L250="","",IF(INDEX(tblRegistros[Data],$L250)&gt;$D$4,"",IFERROR(INDEX(tblRegistros[Atividade],$L250),"")))</f>
        <v/>
      </c>
      <c r="D250" s="4">
        <f>IF($L250="","",IF(INDEX(tblRegistros[Data],$L250)&gt;$D$4,"",IFERROR(INDEX(tblRegistros[Início],$L250),"")))</f>
        <v/>
      </c>
      <c r="E250" s="4">
        <f>IF($L250="","",IF(INDEX(tblRegistros[Data],$L250)&gt;$D$4,"",IFERROR(IF(INDEX(tblRegistros[Status],$L250)="EM ABERTO","",INDEX(tblRegistros[Fim],$L250)),"")))</f>
        <v/>
      </c>
      <c r="F250" s="14">
        <f>IF($L250="","",IF(INDEX(tblRegistros[Data],$L250)&gt;$D$4,"",IFERROR(IF(INDEX(tblRegistros[Status],$L250)="EM ABERTO","",INDEX(tblRegistros[Horas],$L250)),"")))</f>
        <v/>
      </c>
      <c r="G250">
        <f>IF($L250="","",IF(INDEX(tblRegistros[Data],$L250)&gt;$D$4,"",IFERROR(INDEX(tblRegistros[Base],$L250),"")))</f>
        <v/>
      </c>
      <c r="H250" s="3">
        <f>IF($L250="","",IF(INDEX(tblRegistros[Data],$L250)&gt;$D$4,"",IFERROR(INDEX(tblRegistros[Taxa aplicada],$L250),"")))</f>
        <v/>
      </c>
      <c r="I250" s="3">
        <f>IF($L250="","",IF(INDEX(tblRegistros[Data],$L250)&gt;$D$4,"",IFERROR(IF(INDEX(tblRegistros[Status],$L250)="EM ABERTO","",INDEX(tblRegistros[Valor],$L250)),"")))</f>
        <v/>
      </c>
      <c r="J250">
        <f>IF($L250="","",IF(INDEX(tblRegistros[Data],$L250)&gt;$D$4,"",IFERROR(INDEX(tblRegistros[Status],$L250),"")))</f>
        <v/>
      </c>
      <c r="K250">
        <f>IF($L250="","",IF(INDEX(tblRegistros[Data],$L250)&gt;$D$4,"",IFERROR(INDEX(tblRegistros[Observação],$L250),"")))</f>
        <v/>
      </c>
      <c r="L250" s="16">
        <f>IFERROR(MATCH($B$3*100000+COUNTIFS(tblRegistros[ID],$B$3,tblRegistros[Data],"&lt;"&amp;$B$4)+ROWS($L$10:L250),tblRegistros[Chave do cartão],0),"")</f>
        <v/>
      </c>
    </row>
    <row r="251">
      <c r="A251" s="2">
        <f>IF($L251="","",IF(INDEX(tblRegistros[Data],$L251)&gt;$D$4,"",IFERROR(INDEX(tblRegistros[Data],$L251),"")))</f>
        <v/>
      </c>
      <c r="B251">
        <f>IF($L251="","",IF(INDEX(tblRegistros[Data],$L251)&gt;$D$4,"",IFERROR(INDEX(tblRegistros[Projeto],$L251),"")))</f>
        <v/>
      </c>
      <c r="C251">
        <f>IF($L251="","",IF(INDEX(tblRegistros[Data],$L251)&gt;$D$4,"",IFERROR(INDEX(tblRegistros[Atividade],$L251),"")))</f>
        <v/>
      </c>
      <c r="D251" s="4">
        <f>IF($L251="","",IF(INDEX(tblRegistros[Data],$L251)&gt;$D$4,"",IFERROR(INDEX(tblRegistros[Início],$L251),"")))</f>
        <v/>
      </c>
      <c r="E251" s="4">
        <f>IF($L251="","",IF(INDEX(tblRegistros[Data],$L251)&gt;$D$4,"",IFERROR(IF(INDEX(tblRegistros[Status],$L251)="EM ABERTO","",INDEX(tblRegistros[Fim],$L251)),"")))</f>
        <v/>
      </c>
      <c r="F251" s="14">
        <f>IF($L251="","",IF(INDEX(tblRegistros[Data],$L251)&gt;$D$4,"",IFERROR(IF(INDEX(tblRegistros[Status],$L251)="EM ABERTO","",INDEX(tblRegistros[Horas],$L251)),"")))</f>
        <v/>
      </c>
      <c r="G251">
        <f>IF($L251="","",IF(INDEX(tblRegistros[Data],$L251)&gt;$D$4,"",IFERROR(INDEX(tblRegistros[Base],$L251),"")))</f>
        <v/>
      </c>
      <c r="H251" s="3">
        <f>IF($L251="","",IF(INDEX(tblRegistros[Data],$L251)&gt;$D$4,"",IFERROR(INDEX(tblRegistros[Taxa aplicada],$L251),"")))</f>
        <v/>
      </c>
      <c r="I251" s="3">
        <f>IF($L251="","",IF(INDEX(tblRegistros[Data],$L251)&gt;$D$4,"",IFERROR(IF(INDEX(tblRegistros[Status],$L251)="EM ABERTO","",INDEX(tblRegistros[Valor],$L251)),"")))</f>
        <v/>
      </c>
      <c r="J251">
        <f>IF($L251="","",IF(INDEX(tblRegistros[Data],$L251)&gt;$D$4,"",IFERROR(INDEX(tblRegistros[Status],$L251),"")))</f>
        <v/>
      </c>
      <c r="K251">
        <f>IF($L251="","",IF(INDEX(tblRegistros[Data],$L251)&gt;$D$4,"",IFERROR(INDEX(tblRegistros[Observação],$L251),"")))</f>
        <v/>
      </c>
      <c r="L251" s="16">
        <f>IFERROR(MATCH($B$3*100000+COUNTIFS(tblRegistros[ID],$B$3,tblRegistros[Data],"&lt;"&amp;$B$4)+ROWS($L$10:L251),tblRegistros[Chave do cartão],0),"")</f>
        <v/>
      </c>
    </row>
    <row r="252">
      <c r="A252" s="2">
        <f>IF($L252="","",IF(INDEX(tblRegistros[Data],$L252)&gt;$D$4,"",IFERROR(INDEX(tblRegistros[Data],$L252),"")))</f>
        <v/>
      </c>
      <c r="B252">
        <f>IF($L252="","",IF(INDEX(tblRegistros[Data],$L252)&gt;$D$4,"",IFERROR(INDEX(tblRegistros[Projeto],$L252),"")))</f>
        <v/>
      </c>
      <c r="C252">
        <f>IF($L252="","",IF(INDEX(tblRegistros[Data],$L252)&gt;$D$4,"",IFERROR(INDEX(tblRegistros[Atividade],$L252),"")))</f>
        <v/>
      </c>
      <c r="D252" s="4">
        <f>IF($L252="","",IF(INDEX(tblRegistros[Data],$L252)&gt;$D$4,"",IFERROR(INDEX(tblRegistros[Início],$L252),"")))</f>
        <v/>
      </c>
      <c r="E252" s="4">
        <f>IF($L252="","",IF(INDEX(tblRegistros[Data],$L252)&gt;$D$4,"",IFERROR(IF(INDEX(tblRegistros[Status],$L252)="EM ABERTO","",INDEX(tblRegistros[Fim],$L252)),"")))</f>
        <v/>
      </c>
      <c r="F252" s="14">
        <f>IF($L252="","",IF(INDEX(tblRegistros[Data],$L252)&gt;$D$4,"",IFERROR(IF(INDEX(tblRegistros[Status],$L252)="EM ABERTO","",INDEX(tblRegistros[Horas],$L252)),"")))</f>
        <v/>
      </c>
      <c r="G252">
        <f>IF($L252="","",IF(INDEX(tblRegistros[Data],$L252)&gt;$D$4,"",IFERROR(INDEX(tblRegistros[Base],$L252),"")))</f>
        <v/>
      </c>
      <c r="H252" s="3">
        <f>IF($L252="","",IF(INDEX(tblRegistros[Data],$L252)&gt;$D$4,"",IFERROR(INDEX(tblRegistros[Taxa aplicada],$L252),"")))</f>
        <v/>
      </c>
      <c r="I252" s="3">
        <f>IF($L252="","",IF(INDEX(tblRegistros[Data],$L252)&gt;$D$4,"",IFERROR(IF(INDEX(tblRegistros[Status],$L252)="EM ABERTO","",INDEX(tblRegistros[Valor],$L252)),"")))</f>
        <v/>
      </c>
      <c r="J252">
        <f>IF($L252="","",IF(INDEX(tblRegistros[Data],$L252)&gt;$D$4,"",IFERROR(INDEX(tblRegistros[Status],$L252),"")))</f>
        <v/>
      </c>
      <c r="K252">
        <f>IF($L252="","",IF(INDEX(tblRegistros[Data],$L252)&gt;$D$4,"",IFERROR(INDEX(tblRegistros[Observação],$L252),"")))</f>
        <v/>
      </c>
      <c r="L252" s="16">
        <f>IFERROR(MATCH($B$3*100000+COUNTIFS(tblRegistros[ID],$B$3,tblRegistros[Data],"&lt;"&amp;$B$4)+ROWS($L$10:L252),tblRegistros[Chave do cartão],0),"")</f>
        <v/>
      </c>
    </row>
    <row r="253">
      <c r="A253" s="2">
        <f>IF($L253="","",IF(INDEX(tblRegistros[Data],$L253)&gt;$D$4,"",IFERROR(INDEX(tblRegistros[Data],$L253),"")))</f>
        <v/>
      </c>
      <c r="B253">
        <f>IF($L253="","",IF(INDEX(tblRegistros[Data],$L253)&gt;$D$4,"",IFERROR(INDEX(tblRegistros[Projeto],$L253),"")))</f>
        <v/>
      </c>
      <c r="C253">
        <f>IF($L253="","",IF(INDEX(tblRegistros[Data],$L253)&gt;$D$4,"",IFERROR(INDEX(tblRegistros[Atividade],$L253),"")))</f>
        <v/>
      </c>
      <c r="D253" s="4">
        <f>IF($L253="","",IF(INDEX(tblRegistros[Data],$L253)&gt;$D$4,"",IFERROR(INDEX(tblRegistros[Início],$L253),"")))</f>
        <v/>
      </c>
      <c r="E253" s="4">
        <f>IF($L253="","",IF(INDEX(tblRegistros[Data],$L253)&gt;$D$4,"",IFERROR(IF(INDEX(tblRegistros[Status],$L253)="EM ABERTO","",INDEX(tblRegistros[Fim],$L253)),"")))</f>
        <v/>
      </c>
      <c r="F253" s="14">
        <f>IF($L253="","",IF(INDEX(tblRegistros[Data],$L253)&gt;$D$4,"",IFERROR(IF(INDEX(tblRegistros[Status],$L253)="EM ABERTO","",INDEX(tblRegistros[Horas],$L253)),"")))</f>
        <v/>
      </c>
      <c r="G253">
        <f>IF($L253="","",IF(INDEX(tblRegistros[Data],$L253)&gt;$D$4,"",IFERROR(INDEX(tblRegistros[Base],$L253),"")))</f>
        <v/>
      </c>
      <c r="H253" s="3">
        <f>IF($L253="","",IF(INDEX(tblRegistros[Data],$L253)&gt;$D$4,"",IFERROR(INDEX(tblRegistros[Taxa aplicada],$L253),"")))</f>
        <v/>
      </c>
      <c r="I253" s="3">
        <f>IF($L253="","",IF(INDEX(tblRegistros[Data],$L253)&gt;$D$4,"",IFERROR(IF(INDEX(tblRegistros[Status],$L253)="EM ABERTO","",INDEX(tblRegistros[Valor],$L253)),"")))</f>
        <v/>
      </c>
      <c r="J253">
        <f>IF($L253="","",IF(INDEX(tblRegistros[Data],$L253)&gt;$D$4,"",IFERROR(INDEX(tblRegistros[Status],$L253),"")))</f>
        <v/>
      </c>
      <c r="K253">
        <f>IF($L253="","",IF(INDEX(tblRegistros[Data],$L253)&gt;$D$4,"",IFERROR(INDEX(tblRegistros[Observação],$L253),"")))</f>
        <v/>
      </c>
      <c r="L253" s="16">
        <f>IFERROR(MATCH($B$3*100000+COUNTIFS(tblRegistros[ID],$B$3,tblRegistros[Data],"&lt;"&amp;$B$4)+ROWS($L$10:L253),tblRegistros[Chave do cartão],0),"")</f>
        <v/>
      </c>
    </row>
    <row r="254">
      <c r="A254" s="2">
        <f>IF($L254="","",IF(INDEX(tblRegistros[Data],$L254)&gt;$D$4,"",IFERROR(INDEX(tblRegistros[Data],$L254),"")))</f>
        <v/>
      </c>
      <c r="B254">
        <f>IF($L254="","",IF(INDEX(tblRegistros[Data],$L254)&gt;$D$4,"",IFERROR(INDEX(tblRegistros[Projeto],$L254),"")))</f>
        <v/>
      </c>
      <c r="C254">
        <f>IF($L254="","",IF(INDEX(tblRegistros[Data],$L254)&gt;$D$4,"",IFERROR(INDEX(tblRegistros[Atividade],$L254),"")))</f>
        <v/>
      </c>
      <c r="D254" s="4">
        <f>IF($L254="","",IF(INDEX(tblRegistros[Data],$L254)&gt;$D$4,"",IFERROR(INDEX(tblRegistros[Início],$L254),"")))</f>
        <v/>
      </c>
      <c r="E254" s="4">
        <f>IF($L254="","",IF(INDEX(tblRegistros[Data],$L254)&gt;$D$4,"",IFERROR(IF(INDEX(tblRegistros[Status],$L254)="EM ABERTO","",INDEX(tblRegistros[Fim],$L254)),"")))</f>
        <v/>
      </c>
      <c r="F254" s="14">
        <f>IF($L254="","",IF(INDEX(tblRegistros[Data],$L254)&gt;$D$4,"",IFERROR(IF(INDEX(tblRegistros[Status],$L254)="EM ABERTO","",INDEX(tblRegistros[Horas],$L254)),"")))</f>
        <v/>
      </c>
      <c r="G254">
        <f>IF($L254="","",IF(INDEX(tblRegistros[Data],$L254)&gt;$D$4,"",IFERROR(INDEX(tblRegistros[Base],$L254),"")))</f>
        <v/>
      </c>
      <c r="H254" s="3">
        <f>IF($L254="","",IF(INDEX(tblRegistros[Data],$L254)&gt;$D$4,"",IFERROR(INDEX(tblRegistros[Taxa aplicada],$L254),"")))</f>
        <v/>
      </c>
      <c r="I254" s="3">
        <f>IF($L254="","",IF(INDEX(tblRegistros[Data],$L254)&gt;$D$4,"",IFERROR(IF(INDEX(tblRegistros[Status],$L254)="EM ABERTO","",INDEX(tblRegistros[Valor],$L254)),"")))</f>
        <v/>
      </c>
      <c r="J254">
        <f>IF($L254="","",IF(INDEX(tblRegistros[Data],$L254)&gt;$D$4,"",IFERROR(INDEX(tblRegistros[Status],$L254),"")))</f>
        <v/>
      </c>
      <c r="K254">
        <f>IF($L254="","",IF(INDEX(tblRegistros[Data],$L254)&gt;$D$4,"",IFERROR(INDEX(tblRegistros[Observação],$L254),"")))</f>
        <v/>
      </c>
      <c r="L254" s="16">
        <f>IFERROR(MATCH($B$3*100000+COUNTIFS(tblRegistros[ID],$B$3,tblRegistros[Data],"&lt;"&amp;$B$4)+ROWS($L$10:L254),tblRegistros[Chave do cartão],0),"")</f>
        <v/>
      </c>
    </row>
    <row r="255">
      <c r="A255" s="2">
        <f>IF($L255="","",IF(INDEX(tblRegistros[Data],$L255)&gt;$D$4,"",IFERROR(INDEX(tblRegistros[Data],$L255),"")))</f>
        <v/>
      </c>
      <c r="B255">
        <f>IF($L255="","",IF(INDEX(tblRegistros[Data],$L255)&gt;$D$4,"",IFERROR(INDEX(tblRegistros[Projeto],$L255),"")))</f>
        <v/>
      </c>
      <c r="C255">
        <f>IF($L255="","",IF(INDEX(tblRegistros[Data],$L255)&gt;$D$4,"",IFERROR(INDEX(tblRegistros[Atividade],$L255),"")))</f>
        <v/>
      </c>
      <c r="D255" s="4">
        <f>IF($L255="","",IF(INDEX(tblRegistros[Data],$L255)&gt;$D$4,"",IFERROR(INDEX(tblRegistros[Início],$L255),"")))</f>
        <v/>
      </c>
      <c r="E255" s="4">
        <f>IF($L255="","",IF(INDEX(tblRegistros[Data],$L255)&gt;$D$4,"",IFERROR(IF(INDEX(tblRegistros[Status],$L255)="EM ABERTO","",INDEX(tblRegistros[Fim],$L255)),"")))</f>
        <v/>
      </c>
      <c r="F255" s="14">
        <f>IF($L255="","",IF(INDEX(tblRegistros[Data],$L255)&gt;$D$4,"",IFERROR(IF(INDEX(tblRegistros[Status],$L255)="EM ABERTO","",INDEX(tblRegistros[Horas],$L255)),"")))</f>
        <v/>
      </c>
      <c r="G255">
        <f>IF($L255="","",IF(INDEX(tblRegistros[Data],$L255)&gt;$D$4,"",IFERROR(INDEX(tblRegistros[Base],$L255),"")))</f>
        <v/>
      </c>
      <c r="H255" s="3">
        <f>IF($L255="","",IF(INDEX(tblRegistros[Data],$L255)&gt;$D$4,"",IFERROR(INDEX(tblRegistros[Taxa aplicada],$L255),"")))</f>
        <v/>
      </c>
      <c r="I255" s="3">
        <f>IF($L255="","",IF(INDEX(tblRegistros[Data],$L255)&gt;$D$4,"",IFERROR(IF(INDEX(tblRegistros[Status],$L255)="EM ABERTO","",INDEX(tblRegistros[Valor],$L255)),"")))</f>
        <v/>
      </c>
      <c r="J255">
        <f>IF($L255="","",IF(INDEX(tblRegistros[Data],$L255)&gt;$D$4,"",IFERROR(INDEX(tblRegistros[Status],$L255),"")))</f>
        <v/>
      </c>
      <c r="K255">
        <f>IF($L255="","",IF(INDEX(tblRegistros[Data],$L255)&gt;$D$4,"",IFERROR(INDEX(tblRegistros[Observação],$L255),"")))</f>
        <v/>
      </c>
      <c r="L255" s="16">
        <f>IFERROR(MATCH($B$3*100000+COUNTIFS(tblRegistros[ID],$B$3,tblRegistros[Data],"&lt;"&amp;$B$4)+ROWS($L$10:L255),tblRegistros[Chave do cartão],0),"")</f>
        <v/>
      </c>
    </row>
    <row r="256">
      <c r="A256" s="2">
        <f>IF($L256="","",IF(INDEX(tblRegistros[Data],$L256)&gt;$D$4,"",IFERROR(INDEX(tblRegistros[Data],$L256),"")))</f>
        <v/>
      </c>
      <c r="B256">
        <f>IF($L256="","",IF(INDEX(tblRegistros[Data],$L256)&gt;$D$4,"",IFERROR(INDEX(tblRegistros[Projeto],$L256),"")))</f>
        <v/>
      </c>
      <c r="C256">
        <f>IF($L256="","",IF(INDEX(tblRegistros[Data],$L256)&gt;$D$4,"",IFERROR(INDEX(tblRegistros[Atividade],$L256),"")))</f>
        <v/>
      </c>
      <c r="D256" s="4">
        <f>IF($L256="","",IF(INDEX(tblRegistros[Data],$L256)&gt;$D$4,"",IFERROR(INDEX(tblRegistros[Início],$L256),"")))</f>
        <v/>
      </c>
      <c r="E256" s="4">
        <f>IF($L256="","",IF(INDEX(tblRegistros[Data],$L256)&gt;$D$4,"",IFERROR(IF(INDEX(tblRegistros[Status],$L256)="EM ABERTO","",INDEX(tblRegistros[Fim],$L256)),"")))</f>
        <v/>
      </c>
      <c r="F256" s="14">
        <f>IF($L256="","",IF(INDEX(tblRegistros[Data],$L256)&gt;$D$4,"",IFERROR(IF(INDEX(tblRegistros[Status],$L256)="EM ABERTO","",INDEX(tblRegistros[Horas],$L256)),"")))</f>
        <v/>
      </c>
      <c r="G256">
        <f>IF($L256="","",IF(INDEX(tblRegistros[Data],$L256)&gt;$D$4,"",IFERROR(INDEX(tblRegistros[Base],$L256),"")))</f>
        <v/>
      </c>
      <c r="H256" s="3">
        <f>IF($L256="","",IF(INDEX(tblRegistros[Data],$L256)&gt;$D$4,"",IFERROR(INDEX(tblRegistros[Taxa aplicada],$L256),"")))</f>
        <v/>
      </c>
      <c r="I256" s="3">
        <f>IF($L256="","",IF(INDEX(tblRegistros[Data],$L256)&gt;$D$4,"",IFERROR(IF(INDEX(tblRegistros[Status],$L256)="EM ABERTO","",INDEX(tblRegistros[Valor],$L256)),"")))</f>
        <v/>
      </c>
      <c r="J256">
        <f>IF($L256="","",IF(INDEX(tblRegistros[Data],$L256)&gt;$D$4,"",IFERROR(INDEX(tblRegistros[Status],$L256),"")))</f>
        <v/>
      </c>
      <c r="K256">
        <f>IF($L256="","",IF(INDEX(tblRegistros[Data],$L256)&gt;$D$4,"",IFERROR(INDEX(tblRegistros[Observação],$L256),"")))</f>
        <v/>
      </c>
      <c r="L256" s="16">
        <f>IFERROR(MATCH($B$3*100000+COUNTIFS(tblRegistros[ID],$B$3,tblRegistros[Data],"&lt;"&amp;$B$4)+ROWS($L$10:L256),tblRegistros[Chave do cartão],0),"")</f>
        <v/>
      </c>
    </row>
    <row r="257">
      <c r="A257" s="2">
        <f>IF($L257="","",IF(INDEX(tblRegistros[Data],$L257)&gt;$D$4,"",IFERROR(INDEX(tblRegistros[Data],$L257),"")))</f>
        <v/>
      </c>
      <c r="B257">
        <f>IF($L257="","",IF(INDEX(tblRegistros[Data],$L257)&gt;$D$4,"",IFERROR(INDEX(tblRegistros[Projeto],$L257),"")))</f>
        <v/>
      </c>
      <c r="C257">
        <f>IF($L257="","",IF(INDEX(tblRegistros[Data],$L257)&gt;$D$4,"",IFERROR(INDEX(tblRegistros[Atividade],$L257),"")))</f>
        <v/>
      </c>
      <c r="D257" s="4">
        <f>IF($L257="","",IF(INDEX(tblRegistros[Data],$L257)&gt;$D$4,"",IFERROR(INDEX(tblRegistros[Início],$L257),"")))</f>
        <v/>
      </c>
      <c r="E257" s="4">
        <f>IF($L257="","",IF(INDEX(tblRegistros[Data],$L257)&gt;$D$4,"",IFERROR(IF(INDEX(tblRegistros[Status],$L257)="EM ABERTO","",INDEX(tblRegistros[Fim],$L257)),"")))</f>
        <v/>
      </c>
      <c r="F257" s="14">
        <f>IF($L257="","",IF(INDEX(tblRegistros[Data],$L257)&gt;$D$4,"",IFERROR(IF(INDEX(tblRegistros[Status],$L257)="EM ABERTO","",INDEX(tblRegistros[Horas],$L257)),"")))</f>
        <v/>
      </c>
      <c r="G257">
        <f>IF($L257="","",IF(INDEX(tblRegistros[Data],$L257)&gt;$D$4,"",IFERROR(INDEX(tblRegistros[Base],$L257),"")))</f>
        <v/>
      </c>
      <c r="H257" s="3">
        <f>IF($L257="","",IF(INDEX(tblRegistros[Data],$L257)&gt;$D$4,"",IFERROR(INDEX(tblRegistros[Taxa aplicada],$L257),"")))</f>
        <v/>
      </c>
      <c r="I257" s="3">
        <f>IF($L257="","",IF(INDEX(tblRegistros[Data],$L257)&gt;$D$4,"",IFERROR(IF(INDEX(tblRegistros[Status],$L257)="EM ABERTO","",INDEX(tblRegistros[Valor],$L257)),"")))</f>
        <v/>
      </c>
      <c r="J257">
        <f>IF($L257="","",IF(INDEX(tblRegistros[Data],$L257)&gt;$D$4,"",IFERROR(INDEX(tblRegistros[Status],$L257),"")))</f>
        <v/>
      </c>
      <c r="K257">
        <f>IF($L257="","",IF(INDEX(tblRegistros[Data],$L257)&gt;$D$4,"",IFERROR(INDEX(tblRegistros[Observação],$L257),"")))</f>
        <v/>
      </c>
      <c r="L257" s="16">
        <f>IFERROR(MATCH($B$3*100000+COUNTIFS(tblRegistros[ID],$B$3,tblRegistros[Data],"&lt;"&amp;$B$4)+ROWS($L$10:L257),tblRegistros[Chave do cartão],0),"")</f>
        <v/>
      </c>
    </row>
    <row r="258">
      <c r="A258" s="2">
        <f>IF($L258="","",IF(INDEX(tblRegistros[Data],$L258)&gt;$D$4,"",IFERROR(INDEX(tblRegistros[Data],$L258),"")))</f>
        <v/>
      </c>
      <c r="B258">
        <f>IF($L258="","",IF(INDEX(tblRegistros[Data],$L258)&gt;$D$4,"",IFERROR(INDEX(tblRegistros[Projeto],$L258),"")))</f>
        <v/>
      </c>
      <c r="C258">
        <f>IF($L258="","",IF(INDEX(tblRegistros[Data],$L258)&gt;$D$4,"",IFERROR(INDEX(tblRegistros[Atividade],$L258),"")))</f>
        <v/>
      </c>
      <c r="D258" s="4">
        <f>IF($L258="","",IF(INDEX(tblRegistros[Data],$L258)&gt;$D$4,"",IFERROR(INDEX(tblRegistros[Início],$L258),"")))</f>
        <v/>
      </c>
      <c r="E258" s="4">
        <f>IF($L258="","",IF(INDEX(tblRegistros[Data],$L258)&gt;$D$4,"",IFERROR(IF(INDEX(tblRegistros[Status],$L258)="EM ABERTO","",INDEX(tblRegistros[Fim],$L258)),"")))</f>
        <v/>
      </c>
      <c r="F258" s="14">
        <f>IF($L258="","",IF(INDEX(tblRegistros[Data],$L258)&gt;$D$4,"",IFERROR(IF(INDEX(tblRegistros[Status],$L258)="EM ABERTO","",INDEX(tblRegistros[Horas],$L258)),"")))</f>
        <v/>
      </c>
      <c r="G258">
        <f>IF($L258="","",IF(INDEX(tblRegistros[Data],$L258)&gt;$D$4,"",IFERROR(INDEX(tblRegistros[Base],$L258),"")))</f>
        <v/>
      </c>
      <c r="H258" s="3">
        <f>IF($L258="","",IF(INDEX(tblRegistros[Data],$L258)&gt;$D$4,"",IFERROR(INDEX(tblRegistros[Taxa aplicada],$L258),"")))</f>
        <v/>
      </c>
      <c r="I258" s="3">
        <f>IF($L258="","",IF(INDEX(tblRegistros[Data],$L258)&gt;$D$4,"",IFERROR(IF(INDEX(tblRegistros[Status],$L258)="EM ABERTO","",INDEX(tblRegistros[Valor],$L258)),"")))</f>
        <v/>
      </c>
      <c r="J258">
        <f>IF($L258="","",IF(INDEX(tblRegistros[Data],$L258)&gt;$D$4,"",IFERROR(INDEX(tblRegistros[Status],$L258),"")))</f>
        <v/>
      </c>
      <c r="K258">
        <f>IF($L258="","",IF(INDEX(tblRegistros[Data],$L258)&gt;$D$4,"",IFERROR(INDEX(tblRegistros[Observação],$L258),"")))</f>
        <v/>
      </c>
      <c r="L258" s="16">
        <f>IFERROR(MATCH($B$3*100000+COUNTIFS(tblRegistros[ID],$B$3,tblRegistros[Data],"&lt;"&amp;$B$4)+ROWS($L$10:L258),tblRegistros[Chave do cartão],0),"")</f>
        <v/>
      </c>
    </row>
    <row r="259">
      <c r="A259" s="2">
        <f>IF($L259="","",IF(INDEX(tblRegistros[Data],$L259)&gt;$D$4,"",IFERROR(INDEX(tblRegistros[Data],$L259),"")))</f>
        <v/>
      </c>
      <c r="B259">
        <f>IF($L259="","",IF(INDEX(tblRegistros[Data],$L259)&gt;$D$4,"",IFERROR(INDEX(tblRegistros[Projeto],$L259),"")))</f>
        <v/>
      </c>
      <c r="C259">
        <f>IF($L259="","",IF(INDEX(tblRegistros[Data],$L259)&gt;$D$4,"",IFERROR(INDEX(tblRegistros[Atividade],$L259),"")))</f>
        <v/>
      </c>
      <c r="D259" s="4">
        <f>IF($L259="","",IF(INDEX(tblRegistros[Data],$L259)&gt;$D$4,"",IFERROR(INDEX(tblRegistros[Início],$L259),"")))</f>
        <v/>
      </c>
      <c r="E259" s="4">
        <f>IF($L259="","",IF(INDEX(tblRegistros[Data],$L259)&gt;$D$4,"",IFERROR(IF(INDEX(tblRegistros[Status],$L259)="EM ABERTO","",INDEX(tblRegistros[Fim],$L259)),"")))</f>
        <v/>
      </c>
      <c r="F259" s="14">
        <f>IF($L259="","",IF(INDEX(tblRegistros[Data],$L259)&gt;$D$4,"",IFERROR(IF(INDEX(tblRegistros[Status],$L259)="EM ABERTO","",INDEX(tblRegistros[Horas],$L259)),"")))</f>
        <v/>
      </c>
      <c r="G259">
        <f>IF($L259="","",IF(INDEX(tblRegistros[Data],$L259)&gt;$D$4,"",IFERROR(INDEX(tblRegistros[Base],$L259),"")))</f>
        <v/>
      </c>
      <c r="H259" s="3">
        <f>IF($L259="","",IF(INDEX(tblRegistros[Data],$L259)&gt;$D$4,"",IFERROR(INDEX(tblRegistros[Taxa aplicada],$L259),"")))</f>
        <v/>
      </c>
      <c r="I259" s="3">
        <f>IF($L259="","",IF(INDEX(tblRegistros[Data],$L259)&gt;$D$4,"",IFERROR(IF(INDEX(tblRegistros[Status],$L259)="EM ABERTO","",INDEX(tblRegistros[Valor],$L259)),"")))</f>
        <v/>
      </c>
      <c r="J259">
        <f>IF($L259="","",IF(INDEX(tblRegistros[Data],$L259)&gt;$D$4,"",IFERROR(INDEX(tblRegistros[Status],$L259),"")))</f>
        <v/>
      </c>
      <c r="K259">
        <f>IF($L259="","",IF(INDEX(tblRegistros[Data],$L259)&gt;$D$4,"",IFERROR(INDEX(tblRegistros[Observação],$L259),"")))</f>
        <v/>
      </c>
      <c r="L259" s="16">
        <f>IFERROR(MATCH($B$3*100000+COUNTIFS(tblRegistros[ID],$B$3,tblRegistros[Data],"&lt;"&amp;$B$4)+ROWS($L$10:L259),tblRegistros[Chave do cartão],0),"")</f>
        <v/>
      </c>
    </row>
    <row r="260">
      <c r="A260" s="2">
        <f>IF($L260="","",IF(INDEX(tblRegistros[Data],$L260)&gt;$D$4,"",IFERROR(INDEX(tblRegistros[Data],$L260),"")))</f>
        <v/>
      </c>
      <c r="B260">
        <f>IF($L260="","",IF(INDEX(tblRegistros[Data],$L260)&gt;$D$4,"",IFERROR(INDEX(tblRegistros[Projeto],$L260),"")))</f>
        <v/>
      </c>
      <c r="C260">
        <f>IF($L260="","",IF(INDEX(tblRegistros[Data],$L260)&gt;$D$4,"",IFERROR(INDEX(tblRegistros[Atividade],$L260),"")))</f>
        <v/>
      </c>
      <c r="D260" s="4">
        <f>IF($L260="","",IF(INDEX(tblRegistros[Data],$L260)&gt;$D$4,"",IFERROR(INDEX(tblRegistros[Início],$L260),"")))</f>
        <v/>
      </c>
      <c r="E260" s="4">
        <f>IF($L260="","",IF(INDEX(tblRegistros[Data],$L260)&gt;$D$4,"",IFERROR(IF(INDEX(tblRegistros[Status],$L260)="EM ABERTO","",INDEX(tblRegistros[Fim],$L260)),"")))</f>
        <v/>
      </c>
      <c r="F260" s="14">
        <f>IF($L260="","",IF(INDEX(tblRegistros[Data],$L260)&gt;$D$4,"",IFERROR(IF(INDEX(tblRegistros[Status],$L260)="EM ABERTO","",INDEX(tblRegistros[Horas],$L260)),"")))</f>
        <v/>
      </c>
      <c r="G260">
        <f>IF($L260="","",IF(INDEX(tblRegistros[Data],$L260)&gt;$D$4,"",IFERROR(INDEX(tblRegistros[Base],$L260),"")))</f>
        <v/>
      </c>
      <c r="H260" s="3">
        <f>IF($L260="","",IF(INDEX(tblRegistros[Data],$L260)&gt;$D$4,"",IFERROR(INDEX(tblRegistros[Taxa aplicada],$L260),"")))</f>
        <v/>
      </c>
      <c r="I260" s="3">
        <f>IF($L260="","",IF(INDEX(tblRegistros[Data],$L260)&gt;$D$4,"",IFERROR(IF(INDEX(tblRegistros[Status],$L260)="EM ABERTO","",INDEX(tblRegistros[Valor],$L260)),"")))</f>
        <v/>
      </c>
      <c r="J260">
        <f>IF($L260="","",IF(INDEX(tblRegistros[Data],$L260)&gt;$D$4,"",IFERROR(INDEX(tblRegistros[Status],$L260),"")))</f>
        <v/>
      </c>
      <c r="K260">
        <f>IF($L260="","",IF(INDEX(tblRegistros[Data],$L260)&gt;$D$4,"",IFERROR(INDEX(tblRegistros[Observação],$L260),"")))</f>
        <v/>
      </c>
      <c r="L260" s="16">
        <f>IFERROR(MATCH($B$3*100000+COUNTIFS(tblRegistros[ID],$B$3,tblRegistros[Data],"&lt;"&amp;$B$4)+ROWS($L$10:L260),tblRegistros[Chave do cartão],0),"")</f>
        <v/>
      </c>
    </row>
    <row r="261">
      <c r="A261" s="2">
        <f>IF($L261="","",IF(INDEX(tblRegistros[Data],$L261)&gt;$D$4,"",IFERROR(INDEX(tblRegistros[Data],$L261),"")))</f>
        <v/>
      </c>
      <c r="B261">
        <f>IF($L261="","",IF(INDEX(tblRegistros[Data],$L261)&gt;$D$4,"",IFERROR(INDEX(tblRegistros[Projeto],$L261),"")))</f>
        <v/>
      </c>
      <c r="C261">
        <f>IF($L261="","",IF(INDEX(tblRegistros[Data],$L261)&gt;$D$4,"",IFERROR(INDEX(tblRegistros[Atividade],$L261),"")))</f>
        <v/>
      </c>
      <c r="D261" s="4">
        <f>IF($L261="","",IF(INDEX(tblRegistros[Data],$L261)&gt;$D$4,"",IFERROR(INDEX(tblRegistros[Início],$L261),"")))</f>
        <v/>
      </c>
      <c r="E261" s="4">
        <f>IF($L261="","",IF(INDEX(tblRegistros[Data],$L261)&gt;$D$4,"",IFERROR(IF(INDEX(tblRegistros[Status],$L261)="EM ABERTO","",INDEX(tblRegistros[Fim],$L261)),"")))</f>
        <v/>
      </c>
      <c r="F261" s="14">
        <f>IF($L261="","",IF(INDEX(tblRegistros[Data],$L261)&gt;$D$4,"",IFERROR(IF(INDEX(tblRegistros[Status],$L261)="EM ABERTO","",INDEX(tblRegistros[Horas],$L261)),"")))</f>
        <v/>
      </c>
      <c r="G261">
        <f>IF($L261="","",IF(INDEX(tblRegistros[Data],$L261)&gt;$D$4,"",IFERROR(INDEX(tblRegistros[Base],$L261),"")))</f>
        <v/>
      </c>
      <c r="H261" s="3">
        <f>IF($L261="","",IF(INDEX(tblRegistros[Data],$L261)&gt;$D$4,"",IFERROR(INDEX(tblRegistros[Taxa aplicada],$L261),"")))</f>
        <v/>
      </c>
      <c r="I261" s="3">
        <f>IF($L261="","",IF(INDEX(tblRegistros[Data],$L261)&gt;$D$4,"",IFERROR(IF(INDEX(tblRegistros[Status],$L261)="EM ABERTO","",INDEX(tblRegistros[Valor],$L261)),"")))</f>
        <v/>
      </c>
      <c r="J261">
        <f>IF($L261="","",IF(INDEX(tblRegistros[Data],$L261)&gt;$D$4,"",IFERROR(INDEX(tblRegistros[Status],$L261),"")))</f>
        <v/>
      </c>
      <c r="K261">
        <f>IF($L261="","",IF(INDEX(tblRegistros[Data],$L261)&gt;$D$4,"",IFERROR(INDEX(tblRegistros[Observação],$L261),"")))</f>
        <v/>
      </c>
      <c r="L261" s="16">
        <f>IFERROR(MATCH($B$3*100000+COUNTIFS(tblRegistros[ID],$B$3,tblRegistros[Data],"&lt;"&amp;$B$4)+ROWS($L$10:L261),tblRegistros[Chave do cartão],0),"")</f>
        <v/>
      </c>
    </row>
    <row r="262">
      <c r="A262" s="2">
        <f>IF($L262="","",IF(INDEX(tblRegistros[Data],$L262)&gt;$D$4,"",IFERROR(INDEX(tblRegistros[Data],$L262),"")))</f>
        <v/>
      </c>
      <c r="B262">
        <f>IF($L262="","",IF(INDEX(tblRegistros[Data],$L262)&gt;$D$4,"",IFERROR(INDEX(tblRegistros[Projeto],$L262),"")))</f>
        <v/>
      </c>
      <c r="C262">
        <f>IF($L262="","",IF(INDEX(tblRegistros[Data],$L262)&gt;$D$4,"",IFERROR(INDEX(tblRegistros[Atividade],$L262),"")))</f>
        <v/>
      </c>
      <c r="D262" s="4">
        <f>IF($L262="","",IF(INDEX(tblRegistros[Data],$L262)&gt;$D$4,"",IFERROR(INDEX(tblRegistros[Início],$L262),"")))</f>
        <v/>
      </c>
      <c r="E262" s="4">
        <f>IF($L262="","",IF(INDEX(tblRegistros[Data],$L262)&gt;$D$4,"",IFERROR(IF(INDEX(tblRegistros[Status],$L262)="EM ABERTO","",INDEX(tblRegistros[Fim],$L262)),"")))</f>
        <v/>
      </c>
      <c r="F262" s="14">
        <f>IF($L262="","",IF(INDEX(tblRegistros[Data],$L262)&gt;$D$4,"",IFERROR(IF(INDEX(tblRegistros[Status],$L262)="EM ABERTO","",INDEX(tblRegistros[Horas],$L262)),"")))</f>
        <v/>
      </c>
      <c r="G262">
        <f>IF($L262="","",IF(INDEX(tblRegistros[Data],$L262)&gt;$D$4,"",IFERROR(INDEX(tblRegistros[Base],$L262),"")))</f>
        <v/>
      </c>
      <c r="H262" s="3">
        <f>IF($L262="","",IF(INDEX(tblRegistros[Data],$L262)&gt;$D$4,"",IFERROR(INDEX(tblRegistros[Taxa aplicada],$L262),"")))</f>
        <v/>
      </c>
      <c r="I262" s="3">
        <f>IF($L262="","",IF(INDEX(tblRegistros[Data],$L262)&gt;$D$4,"",IFERROR(IF(INDEX(tblRegistros[Status],$L262)="EM ABERTO","",INDEX(tblRegistros[Valor],$L262)),"")))</f>
        <v/>
      </c>
      <c r="J262">
        <f>IF($L262="","",IF(INDEX(tblRegistros[Data],$L262)&gt;$D$4,"",IFERROR(INDEX(tblRegistros[Status],$L262),"")))</f>
        <v/>
      </c>
      <c r="K262">
        <f>IF($L262="","",IF(INDEX(tblRegistros[Data],$L262)&gt;$D$4,"",IFERROR(INDEX(tblRegistros[Observação],$L262),"")))</f>
        <v/>
      </c>
      <c r="L262" s="16">
        <f>IFERROR(MATCH($B$3*100000+COUNTIFS(tblRegistros[ID],$B$3,tblRegistros[Data],"&lt;"&amp;$B$4)+ROWS($L$10:L262),tblRegistros[Chave do cartão],0),"")</f>
        <v/>
      </c>
    </row>
    <row r="263">
      <c r="A263" s="2">
        <f>IF($L263="","",IF(INDEX(tblRegistros[Data],$L263)&gt;$D$4,"",IFERROR(INDEX(tblRegistros[Data],$L263),"")))</f>
        <v/>
      </c>
      <c r="B263">
        <f>IF($L263="","",IF(INDEX(tblRegistros[Data],$L263)&gt;$D$4,"",IFERROR(INDEX(tblRegistros[Projeto],$L263),"")))</f>
        <v/>
      </c>
      <c r="C263">
        <f>IF($L263="","",IF(INDEX(tblRegistros[Data],$L263)&gt;$D$4,"",IFERROR(INDEX(tblRegistros[Atividade],$L263),"")))</f>
        <v/>
      </c>
      <c r="D263" s="4">
        <f>IF($L263="","",IF(INDEX(tblRegistros[Data],$L263)&gt;$D$4,"",IFERROR(INDEX(tblRegistros[Início],$L263),"")))</f>
        <v/>
      </c>
      <c r="E263" s="4">
        <f>IF($L263="","",IF(INDEX(tblRegistros[Data],$L263)&gt;$D$4,"",IFERROR(IF(INDEX(tblRegistros[Status],$L263)="EM ABERTO","",INDEX(tblRegistros[Fim],$L263)),"")))</f>
        <v/>
      </c>
      <c r="F263" s="14">
        <f>IF($L263="","",IF(INDEX(tblRegistros[Data],$L263)&gt;$D$4,"",IFERROR(IF(INDEX(tblRegistros[Status],$L263)="EM ABERTO","",INDEX(tblRegistros[Horas],$L263)),"")))</f>
        <v/>
      </c>
      <c r="G263">
        <f>IF($L263="","",IF(INDEX(tblRegistros[Data],$L263)&gt;$D$4,"",IFERROR(INDEX(tblRegistros[Base],$L263),"")))</f>
        <v/>
      </c>
      <c r="H263" s="3">
        <f>IF($L263="","",IF(INDEX(tblRegistros[Data],$L263)&gt;$D$4,"",IFERROR(INDEX(tblRegistros[Taxa aplicada],$L263),"")))</f>
        <v/>
      </c>
      <c r="I263" s="3">
        <f>IF($L263="","",IF(INDEX(tblRegistros[Data],$L263)&gt;$D$4,"",IFERROR(IF(INDEX(tblRegistros[Status],$L263)="EM ABERTO","",INDEX(tblRegistros[Valor],$L263)),"")))</f>
        <v/>
      </c>
      <c r="J263">
        <f>IF($L263="","",IF(INDEX(tblRegistros[Data],$L263)&gt;$D$4,"",IFERROR(INDEX(tblRegistros[Status],$L263),"")))</f>
        <v/>
      </c>
      <c r="K263">
        <f>IF($L263="","",IF(INDEX(tblRegistros[Data],$L263)&gt;$D$4,"",IFERROR(INDEX(tblRegistros[Observação],$L263),"")))</f>
        <v/>
      </c>
      <c r="L263" s="16">
        <f>IFERROR(MATCH($B$3*100000+COUNTIFS(tblRegistros[ID],$B$3,tblRegistros[Data],"&lt;"&amp;$B$4)+ROWS($L$10:L263),tblRegistros[Chave do cartão],0),"")</f>
        <v/>
      </c>
    </row>
    <row r="264">
      <c r="A264" s="2">
        <f>IF($L264="","",IF(INDEX(tblRegistros[Data],$L264)&gt;$D$4,"",IFERROR(INDEX(tblRegistros[Data],$L264),"")))</f>
        <v/>
      </c>
      <c r="B264">
        <f>IF($L264="","",IF(INDEX(tblRegistros[Data],$L264)&gt;$D$4,"",IFERROR(INDEX(tblRegistros[Projeto],$L264),"")))</f>
        <v/>
      </c>
      <c r="C264">
        <f>IF($L264="","",IF(INDEX(tblRegistros[Data],$L264)&gt;$D$4,"",IFERROR(INDEX(tblRegistros[Atividade],$L264),"")))</f>
        <v/>
      </c>
      <c r="D264" s="4">
        <f>IF($L264="","",IF(INDEX(tblRegistros[Data],$L264)&gt;$D$4,"",IFERROR(INDEX(tblRegistros[Início],$L264),"")))</f>
        <v/>
      </c>
      <c r="E264" s="4">
        <f>IF($L264="","",IF(INDEX(tblRegistros[Data],$L264)&gt;$D$4,"",IFERROR(IF(INDEX(tblRegistros[Status],$L264)="EM ABERTO","",INDEX(tblRegistros[Fim],$L264)),"")))</f>
        <v/>
      </c>
      <c r="F264" s="14">
        <f>IF($L264="","",IF(INDEX(tblRegistros[Data],$L264)&gt;$D$4,"",IFERROR(IF(INDEX(tblRegistros[Status],$L264)="EM ABERTO","",INDEX(tblRegistros[Horas],$L264)),"")))</f>
        <v/>
      </c>
      <c r="G264">
        <f>IF($L264="","",IF(INDEX(tblRegistros[Data],$L264)&gt;$D$4,"",IFERROR(INDEX(tblRegistros[Base],$L264),"")))</f>
        <v/>
      </c>
      <c r="H264" s="3">
        <f>IF($L264="","",IF(INDEX(tblRegistros[Data],$L264)&gt;$D$4,"",IFERROR(INDEX(tblRegistros[Taxa aplicada],$L264),"")))</f>
        <v/>
      </c>
      <c r="I264" s="3">
        <f>IF($L264="","",IF(INDEX(tblRegistros[Data],$L264)&gt;$D$4,"",IFERROR(IF(INDEX(tblRegistros[Status],$L264)="EM ABERTO","",INDEX(tblRegistros[Valor],$L264)),"")))</f>
        <v/>
      </c>
      <c r="J264">
        <f>IF($L264="","",IF(INDEX(tblRegistros[Data],$L264)&gt;$D$4,"",IFERROR(INDEX(tblRegistros[Status],$L264),"")))</f>
        <v/>
      </c>
      <c r="K264">
        <f>IF($L264="","",IF(INDEX(tblRegistros[Data],$L264)&gt;$D$4,"",IFERROR(INDEX(tblRegistros[Observação],$L264),"")))</f>
        <v/>
      </c>
      <c r="L264" s="16">
        <f>IFERROR(MATCH($B$3*100000+COUNTIFS(tblRegistros[ID],$B$3,tblRegistros[Data],"&lt;"&amp;$B$4)+ROWS($L$10:L264),tblRegistros[Chave do cartão],0),"")</f>
        <v/>
      </c>
    </row>
    <row r="265">
      <c r="A265" s="2">
        <f>IF($L265="","",IF(INDEX(tblRegistros[Data],$L265)&gt;$D$4,"",IFERROR(INDEX(tblRegistros[Data],$L265),"")))</f>
        <v/>
      </c>
      <c r="B265">
        <f>IF($L265="","",IF(INDEX(tblRegistros[Data],$L265)&gt;$D$4,"",IFERROR(INDEX(tblRegistros[Projeto],$L265),"")))</f>
        <v/>
      </c>
      <c r="C265">
        <f>IF($L265="","",IF(INDEX(tblRegistros[Data],$L265)&gt;$D$4,"",IFERROR(INDEX(tblRegistros[Atividade],$L265),"")))</f>
        <v/>
      </c>
      <c r="D265" s="4">
        <f>IF($L265="","",IF(INDEX(tblRegistros[Data],$L265)&gt;$D$4,"",IFERROR(INDEX(tblRegistros[Início],$L265),"")))</f>
        <v/>
      </c>
      <c r="E265" s="4">
        <f>IF($L265="","",IF(INDEX(tblRegistros[Data],$L265)&gt;$D$4,"",IFERROR(IF(INDEX(tblRegistros[Status],$L265)="EM ABERTO","",INDEX(tblRegistros[Fim],$L265)),"")))</f>
        <v/>
      </c>
      <c r="F265" s="14">
        <f>IF($L265="","",IF(INDEX(tblRegistros[Data],$L265)&gt;$D$4,"",IFERROR(IF(INDEX(tblRegistros[Status],$L265)="EM ABERTO","",INDEX(tblRegistros[Horas],$L265)),"")))</f>
        <v/>
      </c>
      <c r="G265">
        <f>IF($L265="","",IF(INDEX(tblRegistros[Data],$L265)&gt;$D$4,"",IFERROR(INDEX(tblRegistros[Base],$L265),"")))</f>
        <v/>
      </c>
      <c r="H265" s="3">
        <f>IF($L265="","",IF(INDEX(tblRegistros[Data],$L265)&gt;$D$4,"",IFERROR(INDEX(tblRegistros[Taxa aplicada],$L265),"")))</f>
        <v/>
      </c>
      <c r="I265" s="3">
        <f>IF($L265="","",IF(INDEX(tblRegistros[Data],$L265)&gt;$D$4,"",IFERROR(IF(INDEX(tblRegistros[Status],$L265)="EM ABERTO","",INDEX(tblRegistros[Valor],$L265)),"")))</f>
        <v/>
      </c>
      <c r="J265">
        <f>IF($L265="","",IF(INDEX(tblRegistros[Data],$L265)&gt;$D$4,"",IFERROR(INDEX(tblRegistros[Status],$L265),"")))</f>
        <v/>
      </c>
      <c r="K265">
        <f>IF($L265="","",IF(INDEX(tblRegistros[Data],$L265)&gt;$D$4,"",IFERROR(INDEX(tblRegistros[Observação],$L265),"")))</f>
        <v/>
      </c>
      <c r="L265" s="16">
        <f>IFERROR(MATCH($B$3*100000+COUNTIFS(tblRegistros[ID],$B$3,tblRegistros[Data],"&lt;"&amp;$B$4)+ROWS($L$10:L265),tblRegistros[Chave do cartão],0),"")</f>
        <v/>
      </c>
    </row>
    <row r="266">
      <c r="A266" s="2">
        <f>IF($L266="","",IF(INDEX(tblRegistros[Data],$L266)&gt;$D$4,"",IFERROR(INDEX(tblRegistros[Data],$L266),"")))</f>
        <v/>
      </c>
      <c r="B266">
        <f>IF($L266="","",IF(INDEX(tblRegistros[Data],$L266)&gt;$D$4,"",IFERROR(INDEX(tblRegistros[Projeto],$L266),"")))</f>
        <v/>
      </c>
      <c r="C266">
        <f>IF($L266="","",IF(INDEX(tblRegistros[Data],$L266)&gt;$D$4,"",IFERROR(INDEX(tblRegistros[Atividade],$L266),"")))</f>
        <v/>
      </c>
      <c r="D266" s="4">
        <f>IF($L266="","",IF(INDEX(tblRegistros[Data],$L266)&gt;$D$4,"",IFERROR(INDEX(tblRegistros[Início],$L266),"")))</f>
        <v/>
      </c>
      <c r="E266" s="4">
        <f>IF($L266="","",IF(INDEX(tblRegistros[Data],$L266)&gt;$D$4,"",IFERROR(IF(INDEX(tblRegistros[Status],$L266)="EM ABERTO","",INDEX(tblRegistros[Fim],$L266)),"")))</f>
        <v/>
      </c>
      <c r="F266" s="14">
        <f>IF($L266="","",IF(INDEX(tblRegistros[Data],$L266)&gt;$D$4,"",IFERROR(IF(INDEX(tblRegistros[Status],$L266)="EM ABERTO","",INDEX(tblRegistros[Horas],$L266)),"")))</f>
        <v/>
      </c>
      <c r="G266">
        <f>IF($L266="","",IF(INDEX(tblRegistros[Data],$L266)&gt;$D$4,"",IFERROR(INDEX(tblRegistros[Base],$L266),"")))</f>
        <v/>
      </c>
      <c r="H266" s="3">
        <f>IF($L266="","",IF(INDEX(tblRegistros[Data],$L266)&gt;$D$4,"",IFERROR(INDEX(tblRegistros[Taxa aplicada],$L266),"")))</f>
        <v/>
      </c>
      <c r="I266" s="3">
        <f>IF($L266="","",IF(INDEX(tblRegistros[Data],$L266)&gt;$D$4,"",IFERROR(IF(INDEX(tblRegistros[Status],$L266)="EM ABERTO","",INDEX(tblRegistros[Valor],$L266)),"")))</f>
        <v/>
      </c>
      <c r="J266">
        <f>IF($L266="","",IF(INDEX(tblRegistros[Data],$L266)&gt;$D$4,"",IFERROR(INDEX(tblRegistros[Status],$L266),"")))</f>
        <v/>
      </c>
      <c r="K266">
        <f>IF($L266="","",IF(INDEX(tblRegistros[Data],$L266)&gt;$D$4,"",IFERROR(INDEX(tblRegistros[Observação],$L266),"")))</f>
        <v/>
      </c>
      <c r="L266" s="16">
        <f>IFERROR(MATCH($B$3*100000+COUNTIFS(tblRegistros[ID],$B$3,tblRegistros[Data],"&lt;"&amp;$B$4)+ROWS($L$10:L266),tblRegistros[Chave do cartão],0),"")</f>
        <v/>
      </c>
    </row>
    <row r="267">
      <c r="A267" s="2">
        <f>IF($L267="","",IF(INDEX(tblRegistros[Data],$L267)&gt;$D$4,"",IFERROR(INDEX(tblRegistros[Data],$L267),"")))</f>
        <v/>
      </c>
      <c r="B267">
        <f>IF($L267="","",IF(INDEX(tblRegistros[Data],$L267)&gt;$D$4,"",IFERROR(INDEX(tblRegistros[Projeto],$L267),"")))</f>
        <v/>
      </c>
      <c r="C267">
        <f>IF($L267="","",IF(INDEX(tblRegistros[Data],$L267)&gt;$D$4,"",IFERROR(INDEX(tblRegistros[Atividade],$L267),"")))</f>
        <v/>
      </c>
      <c r="D267" s="4">
        <f>IF($L267="","",IF(INDEX(tblRegistros[Data],$L267)&gt;$D$4,"",IFERROR(INDEX(tblRegistros[Início],$L267),"")))</f>
        <v/>
      </c>
      <c r="E267" s="4">
        <f>IF($L267="","",IF(INDEX(tblRegistros[Data],$L267)&gt;$D$4,"",IFERROR(IF(INDEX(tblRegistros[Status],$L267)="EM ABERTO","",INDEX(tblRegistros[Fim],$L267)),"")))</f>
        <v/>
      </c>
      <c r="F267" s="14">
        <f>IF($L267="","",IF(INDEX(tblRegistros[Data],$L267)&gt;$D$4,"",IFERROR(IF(INDEX(tblRegistros[Status],$L267)="EM ABERTO","",INDEX(tblRegistros[Horas],$L267)),"")))</f>
        <v/>
      </c>
      <c r="G267">
        <f>IF($L267="","",IF(INDEX(tblRegistros[Data],$L267)&gt;$D$4,"",IFERROR(INDEX(tblRegistros[Base],$L267),"")))</f>
        <v/>
      </c>
      <c r="H267" s="3">
        <f>IF($L267="","",IF(INDEX(tblRegistros[Data],$L267)&gt;$D$4,"",IFERROR(INDEX(tblRegistros[Taxa aplicada],$L267),"")))</f>
        <v/>
      </c>
      <c r="I267" s="3">
        <f>IF($L267="","",IF(INDEX(tblRegistros[Data],$L267)&gt;$D$4,"",IFERROR(IF(INDEX(tblRegistros[Status],$L267)="EM ABERTO","",INDEX(tblRegistros[Valor],$L267)),"")))</f>
        <v/>
      </c>
      <c r="J267">
        <f>IF($L267="","",IF(INDEX(tblRegistros[Data],$L267)&gt;$D$4,"",IFERROR(INDEX(tblRegistros[Status],$L267),"")))</f>
        <v/>
      </c>
      <c r="K267">
        <f>IF($L267="","",IF(INDEX(tblRegistros[Data],$L267)&gt;$D$4,"",IFERROR(INDEX(tblRegistros[Observação],$L267),"")))</f>
        <v/>
      </c>
      <c r="L267" s="16">
        <f>IFERROR(MATCH($B$3*100000+COUNTIFS(tblRegistros[ID],$B$3,tblRegistros[Data],"&lt;"&amp;$B$4)+ROWS($L$10:L267),tblRegistros[Chave do cartão],0),"")</f>
        <v/>
      </c>
    </row>
    <row r="268">
      <c r="A268" s="2">
        <f>IF($L268="","",IF(INDEX(tblRegistros[Data],$L268)&gt;$D$4,"",IFERROR(INDEX(tblRegistros[Data],$L268),"")))</f>
        <v/>
      </c>
      <c r="B268">
        <f>IF($L268="","",IF(INDEX(tblRegistros[Data],$L268)&gt;$D$4,"",IFERROR(INDEX(tblRegistros[Projeto],$L268),"")))</f>
        <v/>
      </c>
      <c r="C268">
        <f>IF($L268="","",IF(INDEX(tblRegistros[Data],$L268)&gt;$D$4,"",IFERROR(INDEX(tblRegistros[Atividade],$L268),"")))</f>
        <v/>
      </c>
      <c r="D268" s="4">
        <f>IF($L268="","",IF(INDEX(tblRegistros[Data],$L268)&gt;$D$4,"",IFERROR(INDEX(tblRegistros[Início],$L268),"")))</f>
        <v/>
      </c>
      <c r="E268" s="4">
        <f>IF($L268="","",IF(INDEX(tblRegistros[Data],$L268)&gt;$D$4,"",IFERROR(IF(INDEX(tblRegistros[Status],$L268)="EM ABERTO","",INDEX(tblRegistros[Fim],$L268)),"")))</f>
        <v/>
      </c>
      <c r="F268" s="14">
        <f>IF($L268="","",IF(INDEX(tblRegistros[Data],$L268)&gt;$D$4,"",IFERROR(IF(INDEX(tblRegistros[Status],$L268)="EM ABERTO","",INDEX(tblRegistros[Horas],$L268)),"")))</f>
        <v/>
      </c>
      <c r="G268">
        <f>IF($L268="","",IF(INDEX(tblRegistros[Data],$L268)&gt;$D$4,"",IFERROR(INDEX(tblRegistros[Base],$L268),"")))</f>
        <v/>
      </c>
      <c r="H268" s="3">
        <f>IF($L268="","",IF(INDEX(tblRegistros[Data],$L268)&gt;$D$4,"",IFERROR(INDEX(tblRegistros[Taxa aplicada],$L268),"")))</f>
        <v/>
      </c>
      <c r="I268" s="3">
        <f>IF($L268="","",IF(INDEX(tblRegistros[Data],$L268)&gt;$D$4,"",IFERROR(IF(INDEX(tblRegistros[Status],$L268)="EM ABERTO","",INDEX(tblRegistros[Valor],$L268)),"")))</f>
        <v/>
      </c>
      <c r="J268">
        <f>IF($L268="","",IF(INDEX(tblRegistros[Data],$L268)&gt;$D$4,"",IFERROR(INDEX(tblRegistros[Status],$L268),"")))</f>
        <v/>
      </c>
      <c r="K268">
        <f>IF($L268="","",IF(INDEX(tblRegistros[Data],$L268)&gt;$D$4,"",IFERROR(INDEX(tblRegistros[Observação],$L268),"")))</f>
        <v/>
      </c>
      <c r="L268" s="16">
        <f>IFERROR(MATCH($B$3*100000+COUNTIFS(tblRegistros[ID],$B$3,tblRegistros[Data],"&lt;"&amp;$B$4)+ROWS($L$10:L268),tblRegistros[Chave do cartão],0),"")</f>
        <v/>
      </c>
    </row>
    <row r="269">
      <c r="A269" s="2">
        <f>IF($L269="","",IF(INDEX(tblRegistros[Data],$L269)&gt;$D$4,"",IFERROR(INDEX(tblRegistros[Data],$L269),"")))</f>
        <v/>
      </c>
      <c r="B269">
        <f>IF($L269="","",IF(INDEX(tblRegistros[Data],$L269)&gt;$D$4,"",IFERROR(INDEX(tblRegistros[Projeto],$L269),"")))</f>
        <v/>
      </c>
      <c r="C269">
        <f>IF($L269="","",IF(INDEX(tblRegistros[Data],$L269)&gt;$D$4,"",IFERROR(INDEX(tblRegistros[Atividade],$L269),"")))</f>
        <v/>
      </c>
      <c r="D269" s="4">
        <f>IF($L269="","",IF(INDEX(tblRegistros[Data],$L269)&gt;$D$4,"",IFERROR(INDEX(tblRegistros[Início],$L269),"")))</f>
        <v/>
      </c>
      <c r="E269" s="4">
        <f>IF($L269="","",IF(INDEX(tblRegistros[Data],$L269)&gt;$D$4,"",IFERROR(IF(INDEX(tblRegistros[Status],$L269)="EM ABERTO","",INDEX(tblRegistros[Fim],$L269)),"")))</f>
        <v/>
      </c>
      <c r="F269" s="14">
        <f>IF($L269="","",IF(INDEX(tblRegistros[Data],$L269)&gt;$D$4,"",IFERROR(IF(INDEX(tblRegistros[Status],$L269)="EM ABERTO","",INDEX(tblRegistros[Horas],$L269)),"")))</f>
        <v/>
      </c>
      <c r="G269">
        <f>IF($L269="","",IF(INDEX(tblRegistros[Data],$L269)&gt;$D$4,"",IFERROR(INDEX(tblRegistros[Base],$L269),"")))</f>
        <v/>
      </c>
      <c r="H269" s="3">
        <f>IF($L269="","",IF(INDEX(tblRegistros[Data],$L269)&gt;$D$4,"",IFERROR(INDEX(tblRegistros[Taxa aplicada],$L269),"")))</f>
        <v/>
      </c>
      <c r="I269" s="3">
        <f>IF($L269="","",IF(INDEX(tblRegistros[Data],$L269)&gt;$D$4,"",IFERROR(IF(INDEX(tblRegistros[Status],$L269)="EM ABERTO","",INDEX(tblRegistros[Valor],$L269)),"")))</f>
        <v/>
      </c>
      <c r="J269">
        <f>IF($L269="","",IF(INDEX(tblRegistros[Data],$L269)&gt;$D$4,"",IFERROR(INDEX(tblRegistros[Status],$L269),"")))</f>
        <v/>
      </c>
      <c r="K269">
        <f>IF($L269="","",IF(INDEX(tblRegistros[Data],$L269)&gt;$D$4,"",IFERROR(INDEX(tblRegistros[Observação],$L269),"")))</f>
        <v/>
      </c>
      <c r="L269" s="16">
        <f>IFERROR(MATCH($B$3*100000+COUNTIFS(tblRegistros[ID],$B$3,tblRegistros[Data],"&lt;"&amp;$B$4)+ROWS($L$10:L269),tblRegistros[Chave do cartão],0),"")</f>
        <v/>
      </c>
    </row>
    <row r="270">
      <c r="A270" s="2">
        <f>IF($L270="","",IF(INDEX(tblRegistros[Data],$L270)&gt;$D$4,"",IFERROR(INDEX(tblRegistros[Data],$L270),"")))</f>
        <v/>
      </c>
      <c r="B270">
        <f>IF($L270="","",IF(INDEX(tblRegistros[Data],$L270)&gt;$D$4,"",IFERROR(INDEX(tblRegistros[Projeto],$L270),"")))</f>
        <v/>
      </c>
      <c r="C270">
        <f>IF($L270="","",IF(INDEX(tblRegistros[Data],$L270)&gt;$D$4,"",IFERROR(INDEX(tblRegistros[Atividade],$L270),"")))</f>
        <v/>
      </c>
      <c r="D270" s="4">
        <f>IF($L270="","",IF(INDEX(tblRegistros[Data],$L270)&gt;$D$4,"",IFERROR(INDEX(tblRegistros[Início],$L270),"")))</f>
        <v/>
      </c>
      <c r="E270" s="4">
        <f>IF($L270="","",IF(INDEX(tblRegistros[Data],$L270)&gt;$D$4,"",IFERROR(IF(INDEX(tblRegistros[Status],$L270)="EM ABERTO","",INDEX(tblRegistros[Fim],$L270)),"")))</f>
        <v/>
      </c>
      <c r="F270" s="14">
        <f>IF($L270="","",IF(INDEX(tblRegistros[Data],$L270)&gt;$D$4,"",IFERROR(IF(INDEX(tblRegistros[Status],$L270)="EM ABERTO","",INDEX(tblRegistros[Horas],$L270)),"")))</f>
        <v/>
      </c>
      <c r="G270">
        <f>IF($L270="","",IF(INDEX(tblRegistros[Data],$L270)&gt;$D$4,"",IFERROR(INDEX(tblRegistros[Base],$L270),"")))</f>
        <v/>
      </c>
      <c r="H270" s="3">
        <f>IF($L270="","",IF(INDEX(tblRegistros[Data],$L270)&gt;$D$4,"",IFERROR(INDEX(tblRegistros[Taxa aplicada],$L270),"")))</f>
        <v/>
      </c>
      <c r="I270" s="3">
        <f>IF($L270="","",IF(INDEX(tblRegistros[Data],$L270)&gt;$D$4,"",IFERROR(IF(INDEX(tblRegistros[Status],$L270)="EM ABERTO","",INDEX(tblRegistros[Valor],$L270)),"")))</f>
        <v/>
      </c>
      <c r="J270">
        <f>IF($L270="","",IF(INDEX(tblRegistros[Data],$L270)&gt;$D$4,"",IFERROR(INDEX(tblRegistros[Status],$L270),"")))</f>
        <v/>
      </c>
      <c r="K270">
        <f>IF($L270="","",IF(INDEX(tblRegistros[Data],$L270)&gt;$D$4,"",IFERROR(INDEX(tblRegistros[Observação],$L270),"")))</f>
        <v/>
      </c>
      <c r="L270" s="16">
        <f>IFERROR(MATCH($B$3*100000+COUNTIFS(tblRegistros[ID],$B$3,tblRegistros[Data],"&lt;"&amp;$B$4)+ROWS($L$10:L270),tblRegistros[Chave do cartão],0),"")</f>
        <v/>
      </c>
    </row>
    <row r="271">
      <c r="A271" s="2">
        <f>IF($L271="","",IF(INDEX(tblRegistros[Data],$L271)&gt;$D$4,"",IFERROR(INDEX(tblRegistros[Data],$L271),"")))</f>
        <v/>
      </c>
      <c r="B271">
        <f>IF($L271="","",IF(INDEX(tblRegistros[Data],$L271)&gt;$D$4,"",IFERROR(INDEX(tblRegistros[Projeto],$L271),"")))</f>
        <v/>
      </c>
      <c r="C271">
        <f>IF($L271="","",IF(INDEX(tblRegistros[Data],$L271)&gt;$D$4,"",IFERROR(INDEX(tblRegistros[Atividade],$L271),"")))</f>
        <v/>
      </c>
      <c r="D271" s="4">
        <f>IF($L271="","",IF(INDEX(tblRegistros[Data],$L271)&gt;$D$4,"",IFERROR(INDEX(tblRegistros[Início],$L271),"")))</f>
        <v/>
      </c>
      <c r="E271" s="4">
        <f>IF($L271="","",IF(INDEX(tblRegistros[Data],$L271)&gt;$D$4,"",IFERROR(IF(INDEX(tblRegistros[Status],$L271)="EM ABERTO","",INDEX(tblRegistros[Fim],$L271)),"")))</f>
        <v/>
      </c>
      <c r="F271" s="14">
        <f>IF($L271="","",IF(INDEX(tblRegistros[Data],$L271)&gt;$D$4,"",IFERROR(IF(INDEX(tblRegistros[Status],$L271)="EM ABERTO","",INDEX(tblRegistros[Horas],$L271)),"")))</f>
        <v/>
      </c>
      <c r="G271">
        <f>IF($L271="","",IF(INDEX(tblRegistros[Data],$L271)&gt;$D$4,"",IFERROR(INDEX(tblRegistros[Base],$L271),"")))</f>
        <v/>
      </c>
      <c r="H271" s="3">
        <f>IF($L271="","",IF(INDEX(tblRegistros[Data],$L271)&gt;$D$4,"",IFERROR(INDEX(tblRegistros[Taxa aplicada],$L271),"")))</f>
        <v/>
      </c>
      <c r="I271" s="3">
        <f>IF($L271="","",IF(INDEX(tblRegistros[Data],$L271)&gt;$D$4,"",IFERROR(IF(INDEX(tblRegistros[Status],$L271)="EM ABERTO","",INDEX(tblRegistros[Valor],$L271)),"")))</f>
        <v/>
      </c>
      <c r="J271">
        <f>IF($L271="","",IF(INDEX(tblRegistros[Data],$L271)&gt;$D$4,"",IFERROR(INDEX(tblRegistros[Status],$L271),"")))</f>
        <v/>
      </c>
      <c r="K271">
        <f>IF($L271="","",IF(INDEX(tblRegistros[Data],$L271)&gt;$D$4,"",IFERROR(INDEX(tblRegistros[Observação],$L271),"")))</f>
        <v/>
      </c>
      <c r="L271" s="16">
        <f>IFERROR(MATCH($B$3*100000+COUNTIFS(tblRegistros[ID],$B$3,tblRegistros[Data],"&lt;"&amp;$B$4)+ROWS($L$10:L271),tblRegistros[Chave do cartão],0),"")</f>
        <v/>
      </c>
    </row>
    <row r="272">
      <c r="A272" s="2">
        <f>IF($L272="","",IF(INDEX(tblRegistros[Data],$L272)&gt;$D$4,"",IFERROR(INDEX(tblRegistros[Data],$L272),"")))</f>
        <v/>
      </c>
      <c r="B272">
        <f>IF($L272="","",IF(INDEX(tblRegistros[Data],$L272)&gt;$D$4,"",IFERROR(INDEX(tblRegistros[Projeto],$L272),"")))</f>
        <v/>
      </c>
      <c r="C272">
        <f>IF($L272="","",IF(INDEX(tblRegistros[Data],$L272)&gt;$D$4,"",IFERROR(INDEX(tblRegistros[Atividade],$L272),"")))</f>
        <v/>
      </c>
      <c r="D272" s="4">
        <f>IF($L272="","",IF(INDEX(tblRegistros[Data],$L272)&gt;$D$4,"",IFERROR(INDEX(tblRegistros[Início],$L272),"")))</f>
        <v/>
      </c>
      <c r="E272" s="4">
        <f>IF($L272="","",IF(INDEX(tblRegistros[Data],$L272)&gt;$D$4,"",IFERROR(IF(INDEX(tblRegistros[Status],$L272)="EM ABERTO","",INDEX(tblRegistros[Fim],$L272)),"")))</f>
        <v/>
      </c>
      <c r="F272" s="14">
        <f>IF($L272="","",IF(INDEX(tblRegistros[Data],$L272)&gt;$D$4,"",IFERROR(IF(INDEX(tblRegistros[Status],$L272)="EM ABERTO","",INDEX(tblRegistros[Horas],$L272)),"")))</f>
        <v/>
      </c>
      <c r="G272">
        <f>IF($L272="","",IF(INDEX(tblRegistros[Data],$L272)&gt;$D$4,"",IFERROR(INDEX(tblRegistros[Base],$L272),"")))</f>
        <v/>
      </c>
      <c r="H272" s="3">
        <f>IF($L272="","",IF(INDEX(tblRegistros[Data],$L272)&gt;$D$4,"",IFERROR(INDEX(tblRegistros[Taxa aplicada],$L272),"")))</f>
        <v/>
      </c>
      <c r="I272" s="3">
        <f>IF($L272="","",IF(INDEX(tblRegistros[Data],$L272)&gt;$D$4,"",IFERROR(IF(INDEX(tblRegistros[Status],$L272)="EM ABERTO","",INDEX(tblRegistros[Valor],$L272)),"")))</f>
        <v/>
      </c>
      <c r="J272">
        <f>IF($L272="","",IF(INDEX(tblRegistros[Data],$L272)&gt;$D$4,"",IFERROR(INDEX(tblRegistros[Status],$L272),"")))</f>
        <v/>
      </c>
      <c r="K272">
        <f>IF($L272="","",IF(INDEX(tblRegistros[Data],$L272)&gt;$D$4,"",IFERROR(INDEX(tblRegistros[Observação],$L272),"")))</f>
        <v/>
      </c>
      <c r="L272" s="16">
        <f>IFERROR(MATCH($B$3*100000+COUNTIFS(tblRegistros[ID],$B$3,tblRegistros[Data],"&lt;"&amp;$B$4)+ROWS($L$10:L272),tblRegistros[Chave do cartão],0),"")</f>
        <v/>
      </c>
    </row>
    <row r="273">
      <c r="A273" s="2">
        <f>IF($L273="","",IF(INDEX(tblRegistros[Data],$L273)&gt;$D$4,"",IFERROR(INDEX(tblRegistros[Data],$L273),"")))</f>
        <v/>
      </c>
      <c r="B273">
        <f>IF($L273="","",IF(INDEX(tblRegistros[Data],$L273)&gt;$D$4,"",IFERROR(INDEX(tblRegistros[Projeto],$L273),"")))</f>
        <v/>
      </c>
      <c r="C273">
        <f>IF($L273="","",IF(INDEX(tblRegistros[Data],$L273)&gt;$D$4,"",IFERROR(INDEX(tblRegistros[Atividade],$L273),"")))</f>
        <v/>
      </c>
      <c r="D273" s="4">
        <f>IF($L273="","",IF(INDEX(tblRegistros[Data],$L273)&gt;$D$4,"",IFERROR(INDEX(tblRegistros[Início],$L273),"")))</f>
        <v/>
      </c>
      <c r="E273" s="4">
        <f>IF($L273="","",IF(INDEX(tblRegistros[Data],$L273)&gt;$D$4,"",IFERROR(IF(INDEX(tblRegistros[Status],$L273)="EM ABERTO","",INDEX(tblRegistros[Fim],$L273)),"")))</f>
        <v/>
      </c>
      <c r="F273" s="14">
        <f>IF($L273="","",IF(INDEX(tblRegistros[Data],$L273)&gt;$D$4,"",IFERROR(IF(INDEX(tblRegistros[Status],$L273)="EM ABERTO","",INDEX(tblRegistros[Horas],$L273)),"")))</f>
        <v/>
      </c>
      <c r="G273">
        <f>IF($L273="","",IF(INDEX(tblRegistros[Data],$L273)&gt;$D$4,"",IFERROR(INDEX(tblRegistros[Base],$L273),"")))</f>
        <v/>
      </c>
      <c r="H273" s="3">
        <f>IF($L273="","",IF(INDEX(tblRegistros[Data],$L273)&gt;$D$4,"",IFERROR(INDEX(tblRegistros[Taxa aplicada],$L273),"")))</f>
        <v/>
      </c>
      <c r="I273" s="3">
        <f>IF($L273="","",IF(INDEX(tblRegistros[Data],$L273)&gt;$D$4,"",IFERROR(IF(INDEX(tblRegistros[Status],$L273)="EM ABERTO","",INDEX(tblRegistros[Valor],$L273)),"")))</f>
        <v/>
      </c>
      <c r="J273">
        <f>IF($L273="","",IF(INDEX(tblRegistros[Data],$L273)&gt;$D$4,"",IFERROR(INDEX(tblRegistros[Status],$L273),"")))</f>
        <v/>
      </c>
      <c r="K273">
        <f>IF($L273="","",IF(INDEX(tblRegistros[Data],$L273)&gt;$D$4,"",IFERROR(INDEX(tblRegistros[Observação],$L273),"")))</f>
        <v/>
      </c>
      <c r="L273" s="16">
        <f>IFERROR(MATCH($B$3*100000+COUNTIFS(tblRegistros[ID],$B$3,tblRegistros[Data],"&lt;"&amp;$B$4)+ROWS($L$10:L273),tblRegistros[Chave do cartão],0),"")</f>
        <v/>
      </c>
    </row>
    <row r="274">
      <c r="A274" s="2">
        <f>IF($L274="","",IF(INDEX(tblRegistros[Data],$L274)&gt;$D$4,"",IFERROR(INDEX(tblRegistros[Data],$L274),"")))</f>
        <v/>
      </c>
      <c r="B274">
        <f>IF($L274="","",IF(INDEX(tblRegistros[Data],$L274)&gt;$D$4,"",IFERROR(INDEX(tblRegistros[Projeto],$L274),"")))</f>
        <v/>
      </c>
      <c r="C274">
        <f>IF($L274="","",IF(INDEX(tblRegistros[Data],$L274)&gt;$D$4,"",IFERROR(INDEX(tblRegistros[Atividade],$L274),"")))</f>
        <v/>
      </c>
      <c r="D274" s="4">
        <f>IF($L274="","",IF(INDEX(tblRegistros[Data],$L274)&gt;$D$4,"",IFERROR(INDEX(tblRegistros[Início],$L274),"")))</f>
        <v/>
      </c>
      <c r="E274" s="4">
        <f>IF($L274="","",IF(INDEX(tblRegistros[Data],$L274)&gt;$D$4,"",IFERROR(IF(INDEX(tblRegistros[Status],$L274)="EM ABERTO","",INDEX(tblRegistros[Fim],$L274)),"")))</f>
        <v/>
      </c>
      <c r="F274" s="14">
        <f>IF($L274="","",IF(INDEX(tblRegistros[Data],$L274)&gt;$D$4,"",IFERROR(IF(INDEX(tblRegistros[Status],$L274)="EM ABERTO","",INDEX(tblRegistros[Horas],$L274)),"")))</f>
        <v/>
      </c>
      <c r="G274">
        <f>IF($L274="","",IF(INDEX(tblRegistros[Data],$L274)&gt;$D$4,"",IFERROR(INDEX(tblRegistros[Base],$L274),"")))</f>
        <v/>
      </c>
      <c r="H274" s="3">
        <f>IF($L274="","",IF(INDEX(tblRegistros[Data],$L274)&gt;$D$4,"",IFERROR(INDEX(tblRegistros[Taxa aplicada],$L274),"")))</f>
        <v/>
      </c>
      <c r="I274" s="3">
        <f>IF($L274="","",IF(INDEX(tblRegistros[Data],$L274)&gt;$D$4,"",IFERROR(IF(INDEX(tblRegistros[Status],$L274)="EM ABERTO","",INDEX(tblRegistros[Valor],$L274)),"")))</f>
        <v/>
      </c>
      <c r="J274">
        <f>IF($L274="","",IF(INDEX(tblRegistros[Data],$L274)&gt;$D$4,"",IFERROR(INDEX(tblRegistros[Status],$L274),"")))</f>
        <v/>
      </c>
      <c r="K274">
        <f>IF($L274="","",IF(INDEX(tblRegistros[Data],$L274)&gt;$D$4,"",IFERROR(INDEX(tblRegistros[Observação],$L274),"")))</f>
        <v/>
      </c>
      <c r="L274" s="16">
        <f>IFERROR(MATCH($B$3*100000+COUNTIFS(tblRegistros[ID],$B$3,tblRegistros[Data],"&lt;"&amp;$B$4)+ROWS($L$10:L274),tblRegistros[Chave do cartão],0),"")</f>
        <v/>
      </c>
    </row>
    <row r="275">
      <c r="A275" s="2">
        <f>IF($L275="","",IF(INDEX(tblRegistros[Data],$L275)&gt;$D$4,"",IFERROR(INDEX(tblRegistros[Data],$L275),"")))</f>
        <v/>
      </c>
      <c r="B275">
        <f>IF($L275="","",IF(INDEX(tblRegistros[Data],$L275)&gt;$D$4,"",IFERROR(INDEX(tblRegistros[Projeto],$L275),"")))</f>
        <v/>
      </c>
      <c r="C275">
        <f>IF($L275="","",IF(INDEX(tblRegistros[Data],$L275)&gt;$D$4,"",IFERROR(INDEX(tblRegistros[Atividade],$L275),"")))</f>
        <v/>
      </c>
      <c r="D275" s="4">
        <f>IF($L275="","",IF(INDEX(tblRegistros[Data],$L275)&gt;$D$4,"",IFERROR(INDEX(tblRegistros[Início],$L275),"")))</f>
        <v/>
      </c>
      <c r="E275" s="4">
        <f>IF($L275="","",IF(INDEX(tblRegistros[Data],$L275)&gt;$D$4,"",IFERROR(IF(INDEX(tblRegistros[Status],$L275)="EM ABERTO","",INDEX(tblRegistros[Fim],$L275)),"")))</f>
        <v/>
      </c>
      <c r="F275" s="14">
        <f>IF($L275="","",IF(INDEX(tblRegistros[Data],$L275)&gt;$D$4,"",IFERROR(IF(INDEX(tblRegistros[Status],$L275)="EM ABERTO","",INDEX(tblRegistros[Horas],$L275)),"")))</f>
        <v/>
      </c>
      <c r="G275">
        <f>IF($L275="","",IF(INDEX(tblRegistros[Data],$L275)&gt;$D$4,"",IFERROR(INDEX(tblRegistros[Base],$L275),"")))</f>
        <v/>
      </c>
      <c r="H275" s="3">
        <f>IF($L275="","",IF(INDEX(tblRegistros[Data],$L275)&gt;$D$4,"",IFERROR(INDEX(tblRegistros[Taxa aplicada],$L275),"")))</f>
        <v/>
      </c>
      <c r="I275" s="3">
        <f>IF($L275="","",IF(INDEX(tblRegistros[Data],$L275)&gt;$D$4,"",IFERROR(IF(INDEX(tblRegistros[Status],$L275)="EM ABERTO","",INDEX(tblRegistros[Valor],$L275)),"")))</f>
        <v/>
      </c>
      <c r="J275">
        <f>IF($L275="","",IF(INDEX(tblRegistros[Data],$L275)&gt;$D$4,"",IFERROR(INDEX(tblRegistros[Status],$L275),"")))</f>
        <v/>
      </c>
      <c r="K275">
        <f>IF($L275="","",IF(INDEX(tblRegistros[Data],$L275)&gt;$D$4,"",IFERROR(INDEX(tblRegistros[Observação],$L275),"")))</f>
        <v/>
      </c>
      <c r="L275" s="16">
        <f>IFERROR(MATCH($B$3*100000+COUNTIFS(tblRegistros[ID],$B$3,tblRegistros[Data],"&lt;"&amp;$B$4)+ROWS($L$10:L275),tblRegistros[Chave do cartão],0),"")</f>
        <v/>
      </c>
    </row>
    <row r="276">
      <c r="A276" s="2">
        <f>IF($L276="","",IF(INDEX(tblRegistros[Data],$L276)&gt;$D$4,"",IFERROR(INDEX(tblRegistros[Data],$L276),"")))</f>
        <v/>
      </c>
      <c r="B276">
        <f>IF($L276="","",IF(INDEX(tblRegistros[Data],$L276)&gt;$D$4,"",IFERROR(INDEX(tblRegistros[Projeto],$L276),"")))</f>
        <v/>
      </c>
      <c r="C276">
        <f>IF($L276="","",IF(INDEX(tblRegistros[Data],$L276)&gt;$D$4,"",IFERROR(INDEX(tblRegistros[Atividade],$L276),"")))</f>
        <v/>
      </c>
      <c r="D276" s="4">
        <f>IF($L276="","",IF(INDEX(tblRegistros[Data],$L276)&gt;$D$4,"",IFERROR(INDEX(tblRegistros[Início],$L276),"")))</f>
        <v/>
      </c>
      <c r="E276" s="4">
        <f>IF($L276="","",IF(INDEX(tblRegistros[Data],$L276)&gt;$D$4,"",IFERROR(IF(INDEX(tblRegistros[Status],$L276)="EM ABERTO","",INDEX(tblRegistros[Fim],$L276)),"")))</f>
        <v/>
      </c>
      <c r="F276" s="14">
        <f>IF($L276="","",IF(INDEX(tblRegistros[Data],$L276)&gt;$D$4,"",IFERROR(IF(INDEX(tblRegistros[Status],$L276)="EM ABERTO","",INDEX(tblRegistros[Horas],$L276)),"")))</f>
        <v/>
      </c>
      <c r="G276">
        <f>IF($L276="","",IF(INDEX(tblRegistros[Data],$L276)&gt;$D$4,"",IFERROR(INDEX(tblRegistros[Base],$L276),"")))</f>
        <v/>
      </c>
      <c r="H276" s="3">
        <f>IF($L276="","",IF(INDEX(tblRegistros[Data],$L276)&gt;$D$4,"",IFERROR(INDEX(tblRegistros[Taxa aplicada],$L276),"")))</f>
        <v/>
      </c>
      <c r="I276" s="3">
        <f>IF($L276="","",IF(INDEX(tblRegistros[Data],$L276)&gt;$D$4,"",IFERROR(IF(INDEX(tblRegistros[Status],$L276)="EM ABERTO","",INDEX(tblRegistros[Valor],$L276)),"")))</f>
        <v/>
      </c>
      <c r="J276">
        <f>IF($L276="","",IF(INDEX(tblRegistros[Data],$L276)&gt;$D$4,"",IFERROR(INDEX(tblRegistros[Status],$L276),"")))</f>
        <v/>
      </c>
      <c r="K276">
        <f>IF($L276="","",IF(INDEX(tblRegistros[Data],$L276)&gt;$D$4,"",IFERROR(INDEX(tblRegistros[Observação],$L276),"")))</f>
        <v/>
      </c>
      <c r="L276" s="16">
        <f>IFERROR(MATCH($B$3*100000+COUNTIFS(tblRegistros[ID],$B$3,tblRegistros[Data],"&lt;"&amp;$B$4)+ROWS($L$10:L276),tblRegistros[Chave do cartão],0),"")</f>
        <v/>
      </c>
    </row>
    <row r="277">
      <c r="A277" s="2">
        <f>IF($L277="","",IF(INDEX(tblRegistros[Data],$L277)&gt;$D$4,"",IFERROR(INDEX(tblRegistros[Data],$L277),"")))</f>
        <v/>
      </c>
      <c r="B277">
        <f>IF($L277="","",IF(INDEX(tblRegistros[Data],$L277)&gt;$D$4,"",IFERROR(INDEX(tblRegistros[Projeto],$L277),"")))</f>
        <v/>
      </c>
      <c r="C277">
        <f>IF($L277="","",IF(INDEX(tblRegistros[Data],$L277)&gt;$D$4,"",IFERROR(INDEX(tblRegistros[Atividade],$L277),"")))</f>
        <v/>
      </c>
      <c r="D277" s="4">
        <f>IF($L277="","",IF(INDEX(tblRegistros[Data],$L277)&gt;$D$4,"",IFERROR(INDEX(tblRegistros[Início],$L277),"")))</f>
        <v/>
      </c>
      <c r="E277" s="4">
        <f>IF($L277="","",IF(INDEX(tblRegistros[Data],$L277)&gt;$D$4,"",IFERROR(IF(INDEX(tblRegistros[Status],$L277)="EM ABERTO","",INDEX(tblRegistros[Fim],$L277)),"")))</f>
        <v/>
      </c>
      <c r="F277" s="14">
        <f>IF($L277="","",IF(INDEX(tblRegistros[Data],$L277)&gt;$D$4,"",IFERROR(IF(INDEX(tblRegistros[Status],$L277)="EM ABERTO","",INDEX(tblRegistros[Horas],$L277)),"")))</f>
        <v/>
      </c>
      <c r="G277">
        <f>IF($L277="","",IF(INDEX(tblRegistros[Data],$L277)&gt;$D$4,"",IFERROR(INDEX(tblRegistros[Base],$L277),"")))</f>
        <v/>
      </c>
      <c r="H277" s="3">
        <f>IF($L277="","",IF(INDEX(tblRegistros[Data],$L277)&gt;$D$4,"",IFERROR(INDEX(tblRegistros[Taxa aplicada],$L277),"")))</f>
        <v/>
      </c>
      <c r="I277" s="3">
        <f>IF($L277="","",IF(INDEX(tblRegistros[Data],$L277)&gt;$D$4,"",IFERROR(IF(INDEX(tblRegistros[Status],$L277)="EM ABERTO","",INDEX(tblRegistros[Valor],$L277)),"")))</f>
        <v/>
      </c>
      <c r="J277">
        <f>IF($L277="","",IF(INDEX(tblRegistros[Data],$L277)&gt;$D$4,"",IFERROR(INDEX(tblRegistros[Status],$L277),"")))</f>
        <v/>
      </c>
      <c r="K277">
        <f>IF($L277="","",IF(INDEX(tblRegistros[Data],$L277)&gt;$D$4,"",IFERROR(INDEX(tblRegistros[Observação],$L277),"")))</f>
        <v/>
      </c>
      <c r="L277" s="16">
        <f>IFERROR(MATCH($B$3*100000+COUNTIFS(tblRegistros[ID],$B$3,tblRegistros[Data],"&lt;"&amp;$B$4)+ROWS($L$10:L277),tblRegistros[Chave do cartão],0),"")</f>
        <v/>
      </c>
    </row>
    <row r="278">
      <c r="A278" s="2">
        <f>IF($L278="","",IF(INDEX(tblRegistros[Data],$L278)&gt;$D$4,"",IFERROR(INDEX(tblRegistros[Data],$L278),"")))</f>
        <v/>
      </c>
      <c r="B278">
        <f>IF($L278="","",IF(INDEX(tblRegistros[Data],$L278)&gt;$D$4,"",IFERROR(INDEX(tblRegistros[Projeto],$L278),"")))</f>
        <v/>
      </c>
      <c r="C278">
        <f>IF($L278="","",IF(INDEX(tblRegistros[Data],$L278)&gt;$D$4,"",IFERROR(INDEX(tblRegistros[Atividade],$L278),"")))</f>
        <v/>
      </c>
      <c r="D278" s="4">
        <f>IF($L278="","",IF(INDEX(tblRegistros[Data],$L278)&gt;$D$4,"",IFERROR(INDEX(tblRegistros[Início],$L278),"")))</f>
        <v/>
      </c>
      <c r="E278" s="4">
        <f>IF($L278="","",IF(INDEX(tblRegistros[Data],$L278)&gt;$D$4,"",IFERROR(IF(INDEX(tblRegistros[Status],$L278)="EM ABERTO","",INDEX(tblRegistros[Fim],$L278)),"")))</f>
        <v/>
      </c>
      <c r="F278" s="14">
        <f>IF($L278="","",IF(INDEX(tblRegistros[Data],$L278)&gt;$D$4,"",IFERROR(IF(INDEX(tblRegistros[Status],$L278)="EM ABERTO","",INDEX(tblRegistros[Horas],$L278)),"")))</f>
        <v/>
      </c>
      <c r="G278">
        <f>IF($L278="","",IF(INDEX(tblRegistros[Data],$L278)&gt;$D$4,"",IFERROR(INDEX(tblRegistros[Base],$L278),"")))</f>
        <v/>
      </c>
      <c r="H278" s="3">
        <f>IF($L278="","",IF(INDEX(tblRegistros[Data],$L278)&gt;$D$4,"",IFERROR(INDEX(tblRegistros[Taxa aplicada],$L278),"")))</f>
        <v/>
      </c>
      <c r="I278" s="3">
        <f>IF($L278="","",IF(INDEX(tblRegistros[Data],$L278)&gt;$D$4,"",IFERROR(IF(INDEX(tblRegistros[Status],$L278)="EM ABERTO","",INDEX(tblRegistros[Valor],$L278)),"")))</f>
        <v/>
      </c>
      <c r="J278">
        <f>IF($L278="","",IF(INDEX(tblRegistros[Data],$L278)&gt;$D$4,"",IFERROR(INDEX(tblRegistros[Status],$L278),"")))</f>
        <v/>
      </c>
      <c r="K278">
        <f>IF($L278="","",IF(INDEX(tblRegistros[Data],$L278)&gt;$D$4,"",IFERROR(INDEX(tblRegistros[Observação],$L278),"")))</f>
        <v/>
      </c>
      <c r="L278" s="16">
        <f>IFERROR(MATCH($B$3*100000+COUNTIFS(tblRegistros[ID],$B$3,tblRegistros[Data],"&lt;"&amp;$B$4)+ROWS($L$10:L278),tblRegistros[Chave do cartão],0),"")</f>
        <v/>
      </c>
    </row>
    <row r="279">
      <c r="A279" s="2">
        <f>IF($L279="","",IF(INDEX(tblRegistros[Data],$L279)&gt;$D$4,"",IFERROR(INDEX(tblRegistros[Data],$L279),"")))</f>
        <v/>
      </c>
      <c r="B279">
        <f>IF($L279="","",IF(INDEX(tblRegistros[Data],$L279)&gt;$D$4,"",IFERROR(INDEX(tblRegistros[Projeto],$L279),"")))</f>
        <v/>
      </c>
      <c r="C279">
        <f>IF($L279="","",IF(INDEX(tblRegistros[Data],$L279)&gt;$D$4,"",IFERROR(INDEX(tblRegistros[Atividade],$L279),"")))</f>
        <v/>
      </c>
      <c r="D279" s="4">
        <f>IF($L279="","",IF(INDEX(tblRegistros[Data],$L279)&gt;$D$4,"",IFERROR(INDEX(tblRegistros[Início],$L279),"")))</f>
        <v/>
      </c>
      <c r="E279" s="4">
        <f>IF($L279="","",IF(INDEX(tblRegistros[Data],$L279)&gt;$D$4,"",IFERROR(IF(INDEX(tblRegistros[Status],$L279)="EM ABERTO","",INDEX(tblRegistros[Fim],$L279)),"")))</f>
        <v/>
      </c>
      <c r="F279" s="14">
        <f>IF($L279="","",IF(INDEX(tblRegistros[Data],$L279)&gt;$D$4,"",IFERROR(IF(INDEX(tblRegistros[Status],$L279)="EM ABERTO","",INDEX(tblRegistros[Horas],$L279)),"")))</f>
        <v/>
      </c>
      <c r="G279">
        <f>IF($L279="","",IF(INDEX(tblRegistros[Data],$L279)&gt;$D$4,"",IFERROR(INDEX(tblRegistros[Base],$L279),"")))</f>
        <v/>
      </c>
      <c r="H279" s="3">
        <f>IF($L279="","",IF(INDEX(tblRegistros[Data],$L279)&gt;$D$4,"",IFERROR(INDEX(tblRegistros[Taxa aplicada],$L279),"")))</f>
        <v/>
      </c>
      <c r="I279" s="3">
        <f>IF($L279="","",IF(INDEX(tblRegistros[Data],$L279)&gt;$D$4,"",IFERROR(IF(INDEX(tblRegistros[Status],$L279)="EM ABERTO","",INDEX(tblRegistros[Valor],$L279)),"")))</f>
        <v/>
      </c>
      <c r="J279">
        <f>IF($L279="","",IF(INDEX(tblRegistros[Data],$L279)&gt;$D$4,"",IFERROR(INDEX(tblRegistros[Status],$L279),"")))</f>
        <v/>
      </c>
      <c r="K279">
        <f>IF($L279="","",IF(INDEX(tblRegistros[Data],$L279)&gt;$D$4,"",IFERROR(INDEX(tblRegistros[Observação],$L279),"")))</f>
        <v/>
      </c>
      <c r="L279" s="16">
        <f>IFERROR(MATCH($B$3*100000+COUNTIFS(tblRegistros[ID],$B$3,tblRegistros[Data],"&lt;"&amp;$B$4)+ROWS($L$10:L279),tblRegistros[Chave do cartão],0),"")</f>
        <v/>
      </c>
    </row>
    <row r="280">
      <c r="A280" s="2">
        <f>IF($L280="","",IF(INDEX(tblRegistros[Data],$L280)&gt;$D$4,"",IFERROR(INDEX(tblRegistros[Data],$L280),"")))</f>
        <v/>
      </c>
      <c r="B280">
        <f>IF($L280="","",IF(INDEX(tblRegistros[Data],$L280)&gt;$D$4,"",IFERROR(INDEX(tblRegistros[Projeto],$L280),"")))</f>
        <v/>
      </c>
      <c r="C280">
        <f>IF($L280="","",IF(INDEX(tblRegistros[Data],$L280)&gt;$D$4,"",IFERROR(INDEX(tblRegistros[Atividade],$L280),"")))</f>
        <v/>
      </c>
      <c r="D280" s="4">
        <f>IF($L280="","",IF(INDEX(tblRegistros[Data],$L280)&gt;$D$4,"",IFERROR(INDEX(tblRegistros[Início],$L280),"")))</f>
        <v/>
      </c>
      <c r="E280" s="4">
        <f>IF($L280="","",IF(INDEX(tblRegistros[Data],$L280)&gt;$D$4,"",IFERROR(IF(INDEX(tblRegistros[Status],$L280)="EM ABERTO","",INDEX(tblRegistros[Fim],$L280)),"")))</f>
        <v/>
      </c>
      <c r="F280" s="14">
        <f>IF($L280="","",IF(INDEX(tblRegistros[Data],$L280)&gt;$D$4,"",IFERROR(IF(INDEX(tblRegistros[Status],$L280)="EM ABERTO","",INDEX(tblRegistros[Horas],$L280)),"")))</f>
        <v/>
      </c>
      <c r="G280">
        <f>IF($L280="","",IF(INDEX(tblRegistros[Data],$L280)&gt;$D$4,"",IFERROR(INDEX(tblRegistros[Base],$L280),"")))</f>
        <v/>
      </c>
      <c r="H280" s="3">
        <f>IF($L280="","",IF(INDEX(tblRegistros[Data],$L280)&gt;$D$4,"",IFERROR(INDEX(tblRegistros[Taxa aplicada],$L280),"")))</f>
        <v/>
      </c>
      <c r="I280" s="3">
        <f>IF($L280="","",IF(INDEX(tblRegistros[Data],$L280)&gt;$D$4,"",IFERROR(IF(INDEX(tblRegistros[Status],$L280)="EM ABERTO","",INDEX(tblRegistros[Valor],$L280)),"")))</f>
        <v/>
      </c>
      <c r="J280">
        <f>IF($L280="","",IF(INDEX(tblRegistros[Data],$L280)&gt;$D$4,"",IFERROR(INDEX(tblRegistros[Status],$L280),"")))</f>
        <v/>
      </c>
      <c r="K280">
        <f>IF($L280="","",IF(INDEX(tblRegistros[Data],$L280)&gt;$D$4,"",IFERROR(INDEX(tblRegistros[Observação],$L280),"")))</f>
        <v/>
      </c>
      <c r="L280" s="16">
        <f>IFERROR(MATCH($B$3*100000+COUNTIFS(tblRegistros[ID],$B$3,tblRegistros[Data],"&lt;"&amp;$B$4)+ROWS($L$10:L280),tblRegistros[Chave do cartão],0),"")</f>
        <v/>
      </c>
    </row>
    <row r="281">
      <c r="A281" s="2">
        <f>IF($L281="","",IF(INDEX(tblRegistros[Data],$L281)&gt;$D$4,"",IFERROR(INDEX(tblRegistros[Data],$L281),"")))</f>
        <v/>
      </c>
      <c r="B281">
        <f>IF($L281="","",IF(INDEX(tblRegistros[Data],$L281)&gt;$D$4,"",IFERROR(INDEX(tblRegistros[Projeto],$L281),"")))</f>
        <v/>
      </c>
      <c r="C281">
        <f>IF($L281="","",IF(INDEX(tblRegistros[Data],$L281)&gt;$D$4,"",IFERROR(INDEX(tblRegistros[Atividade],$L281),"")))</f>
        <v/>
      </c>
      <c r="D281" s="4">
        <f>IF($L281="","",IF(INDEX(tblRegistros[Data],$L281)&gt;$D$4,"",IFERROR(INDEX(tblRegistros[Início],$L281),"")))</f>
        <v/>
      </c>
      <c r="E281" s="4">
        <f>IF($L281="","",IF(INDEX(tblRegistros[Data],$L281)&gt;$D$4,"",IFERROR(IF(INDEX(tblRegistros[Status],$L281)="EM ABERTO","",INDEX(tblRegistros[Fim],$L281)),"")))</f>
        <v/>
      </c>
      <c r="F281" s="14">
        <f>IF($L281="","",IF(INDEX(tblRegistros[Data],$L281)&gt;$D$4,"",IFERROR(IF(INDEX(tblRegistros[Status],$L281)="EM ABERTO","",INDEX(tblRegistros[Horas],$L281)),"")))</f>
        <v/>
      </c>
      <c r="G281">
        <f>IF($L281="","",IF(INDEX(tblRegistros[Data],$L281)&gt;$D$4,"",IFERROR(INDEX(tblRegistros[Base],$L281),"")))</f>
        <v/>
      </c>
      <c r="H281" s="3">
        <f>IF($L281="","",IF(INDEX(tblRegistros[Data],$L281)&gt;$D$4,"",IFERROR(INDEX(tblRegistros[Taxa aplicada],$L281),"")))</f>
        <v/>
      </c>
      <c r="I281" s="3">
        <f>IF($L281="","",IF(INDEX(tblRegistros[Data],$L281)&gt;$D$4,"",IFERROR(IF(INDEX(tblRegistros[Status],$L281)="EM ABERTO","",INDEX(tblRegistros[Valor],$L281)),"")))</f>
        <v/>
      </c>
      <c r="J281">
        <f>IF($L281="","",IF(INDEX(tblRegistros[Data],$L281)&gt;$D$4,"",IFERROR(INDEX(tblRegistros[Status],$L281),"")))</f>
        <v/>
      </c>
      <c r="K281">
        <f>IF($L281="","",IF(INDEX(tblRegistros[Data],$L281)&gt;$D$4,"",IFERROR(INDEX(tblRegistros[Observação],$L281),"")))</f>
        <v/>
      </c>
      <c r="L281" s="16">
        <f>IFERROR(MATCH($B$3*100000+COUNTIFS(tblRegistros[ID],$B$3,tblRegistros[Data],"&lt;"&amp;$B$4)+ROWS($L$10:L281),tblRegistros[Chave do cartão],0),"")</f>
        <v/>
      </c>
    </row>
    <row r="282">
      <c r="A282" s="2">
        <f>IF($L282="","",IF(INDEX(tblRegistros[Data],$L282)&gt;$D$4,"",IFERROR(INDEX(tblRegistros[Data],$L282),"")))</f>
        <v/>
      </c>
      <c r="B282">
        <f>IF($L282="","",IF(INDEX(tblRegistros[Data],$L282)&gt;$D$4,"",IFERROR(INDEX(tblRegistros[Projeto],$L282),"")))</f>
        <v/>
      </c>
      <c r="C282">
        <f>IF($L282="","",IF(INDEX(tblRegistros[Data],$L282)&gt;$D$4,"",IFERROR(INDEX(tblRegistros[Atividade],$L282),"")))</f>
        <v/>
      </c>
      <c r="D282" s="4">
        <f>IF($L282="","",IF(INDEX(tblRegistros[Data],$L282)&gt;$D$4,"",IFERROR(INDEX(tblRegistros[Início],$L282),"")))</f>
        <v/>
      </c>
      <c r="E282" s="4">
        <f>IF($L282="","",IF(INDEX(tblRegistros[Data],$L282)&gt;$D$4,"",IFERROR(IF(INDEX(tblRegistros[Status],$L282)="EM ABERTO","",INDEX(tblRegistros[Fim],$L282)),"")))</f>
        <v/>
      </c>
      <c r="F282" s="14">
        <f>IF($L282="","",IF(INDEX(tblRegistros[Data],$L282)&gt;$D$4,"",IFERROR(IF(INDEX(tblRegistros[Status],$L282)="EM ABERTO","",INDEX(tblRegistros[Horas],$L282)),"")))</f>
        <v/>
      </c>
      <c r="G282">
        <f>IF($L282="","",IF(INDEX(tblRegistros[Data],$L282)&gt;$D$4,"",IFERROR(INDEX(tblRegistros[Base],$L282),"")))</f>
        <v/>
      </c>
      <c r="H282" s="3">
        <f>IF($L282="","",IF(INDEX(tblRegistros[Data],$L282)&gt;$D$4,"",IFERROR(INDEX(tblRegistros[Taxa aplicada],$L282),"")))</f>
        <v/>
      </c>
      <c r="I282" s="3">
        <f>IF($L282="","",IF(INDEX(tblRegistros[Data],$L282)&gt;$D$4,"",IFERROR(IF(INDEX(tblRegistros[Status],$L282)="EM ABERTO","",INDEX(tblRegistros[Valor],$L282)),"")))</f>
        <v/>
      </c>
      <c r="J282">
        <f>IF($L282="","",IF(INDEX(tblRegistros[Data],$L282)&gt;$D$4,"",IFERROR(INDEX(tblRegistros[Status],$L282),"")))</f>
        <v/>
      </c>
      <c r="K282">
        <f>IF($L282="","",IF(INDEX(tblRegistros[Data],$L282)&gt;$D$4,"",IFERROR(INDEX(tblRegistros[Observação],$L282),"")))</f>
        <v/>
      </c>
      <c r="L282" s="16">
        <f>IFERROR(MATCH($B$3*100000+COUNTIFS(tblRegistros[ID],$B$3,tblRegistros[Data],"&lt;"&amp;$B$4)+ROWS($L$10:L282),tblRegistros[Chave do cartão],0),"")</f>
        <v/>
      </c>
    </row>
    <row r="283">
      <c r="A283" s="2">
        <f>IF($L283="","",IF(INDEX(tblRegistros[Data],$L283)&gt;$D$4,"",IFERROR(INDEX(tblRegistros[Data],$L283),"")))</f>
        <v/>
      </c>
      <c r="B283">
        <f>IF($L283="","",IF(INDEX(tblRegistros[Data],$L283)&gt;$D$4,"",IFERROR(INDEX(tblRegistros[Projeto],$L283),"")))</f>
        <v/>
      </c>
      <c r="C283">
        <f>IF($L283="","",IF(INDEX(tblRegistros[Data],$L283)&gt;$D$4,"",IFERROR(INDEX(tblRegistros[Atividade],$L283),"")))</f>
        <v/>
      </c>
      <c r="D283" s="4">
        <f>IF($L283="","",IF(INDEX(tblRegistros[Data],$L283)&gt;$D$4,"",IFERROR(INDEX(tblRegistros[Início],$L283),"")))</f>
        <v/>
      </c>
      <c r="E283" s="4">
        <f>IF($L283="","",IF(INDEX(tblRegistros[Data],$L283)&gt;$D$4,"",IFERROR(IF(INDEX(tblRegistros[Status],$L283)="EM ABERTO","",INDEX(tblRegistros[Fim],$L283)),"")))</f>
        <v/>
      </c>
      <c r="F283" s="14">
        <f>IF($L283="","",IF(INDEX(tblRegistros[Data],$L283)&gt;$D$4,"",IFERROR(IF(INDEX(tblRegistros[Status],$L283)="EM ABERTO","",INDEX(tblRegistros[Horas],$L283)),"")))</f>
        <v/>
      </c>
      <c r="G283">
        <f>IF($L283="","",IF(INDEX(tblRegistros[Data],$L283)&gt;$D$4,"",IFERROR(INDEX(tblRegistros[Base],$L283),"")))</f>
        <v/>
      </c>
      <c r="H283" s="3">
        <f>IF($L283="","",IF(INDEX(tblRegistros[Data],$L283)&gt;$D$4,"",IFERROR(INDEX(tblRegistros[Taxa aplicada],$L283),"")))</f>
        <v/>
      </c>
      <c r="I283" s="3">
        <f>IF($L283="","",IF(INDEX(tblRegistros[Data],$L283)&gt;$D$4,"",IFERROR(IF(INDEX(tblRegistros[Status],$L283)="EM ABERTO","",INDEX(tblRegistros[Valor],$L283)),"")))</f>
        <v/>
      </c>
      <c r="J283">
        <f>IF($L283="","",IF(INDEX(tblRegistros[Data],$L283)&gt;$D$4,"",IFERROR(INDEX(tblRegistros[Status],$L283),"")))</f>
        <v/>
      </c>
      <c r="K283">
        <f>IF($L283="","",IF(INDEX(tblRegistros[Data],$L283)&gt;$D$4,"",IFERROR(INDEX(tblRegistros[Observação],$L283),"")))</f>
        <v/>
      </c>
      <c r="L283" s="16">
        <f>IFERROR(MATCH($B$3*100000+COUNTIFS(tblRegistros[ID],$B$3,tblRegistros[Data],"&lt;"&amp;$B$4)+ROWS($L$10:L283),tblRegistros[Chave do cartão],0),"")</f>
        <v/>
      </c>
    </row>
    <row r="284">
      <c r="A284" s="2">
        <f>IF($L284="","",IF(INDEX(tblRegistros[Data],$L284)&gt;$D$4,"",IFERROR(INDEX(tblRegistros[Data],$L284),"")))</f>
        <v/>
      </c>
      <c r="B284">
        <f>IF($L284="","",IF(INDEX(tblRegistros[Data],$L284)&gt;$D$4,"",IFERROR(INDEX(tblRegistros[Projeto],$L284),"")))</f>
        <v/>
      </c>
      <c r="C284">
        <f>IF($L284="","",IF(INDEX(tblRegistros[Data],$L284)&gt;$D$4,"",IFERROR(INDEX(tblRegistros[Atividade],$L284),"")))</f>
        <v/>
      </c>
      <c r="D284" s="4">
        <f>IF($L284="","",IF(INDEX(tblRegistros[Data],$L284)&gt;$D$4,"",IFERROR(INDEX(tblRegistros[Início],$L284),"")))</f>
        <v/>
      </c>
      <c r="E284" s="4">
        <f>IF($L284="","",IF(INDEX(tblRegistros[Data],$L284)&gt;$D$4,"",IFERROR(IF(INDEX(tblRegistros[Status],$L284)="EM ABERTO","",INDEX(tblRegistros[Fim],$L284)),"")))</f>
        <v/>
      </c>
      <c r="F284" s="14">
        <f>IF($L284="","",IF(INDEX(tblRegistros[Data],$L284)&gt;$D$4,"",IFERROR(IF(INDEX(tblRegistros[Status],$L284)="EM ABERTO","",INDEX(tblRegistros[Horas],$L284)),"")))</f>
        <v/>
      </c>
      <c r="G284">
        <f>IF($L284="","",IF(INDEX(tblRegistros[Data],$L284)&gt;$D$4,"",IFERROR(INDEX(tblRegistros[Base],$L284),"")))</f>
        <v/>
      </c>
      <c r="H284" s="3">
        <f>IF($L284="","",IF(INDEX(tblRegistros[Data],$L284)&gt;$D$4,"",IFERROR(INDEX(tblRegistros[Taxa aplicada],$L284),"")))</f>
        <v/>
      </c>
      <c r="I284" s="3">
        <f>IF($L284="","",IF(INDEX(tblRegistros[Data],$L284)&gt;$D$4,"",IFERROR(IF(INDEX(tblRegistros[Status],$L284)="EM ABERTO","",INDEX(tblRegistros[Valor],$L284)),"")))</f>
        <v/>
      </c>
      <c r="J284">
        <f>IF($L284="","",IF(INDEX(tblRegistros[Data],$L284)&gt;$D$4,"",IFERROR(INDEX(tblRegistros[Status],$L284),"")))</f>
        <v/>
      </c>
      <c r="K284">
        <f>IF($L284="","",IF(INDEX(tblRegistros[Data],$L284)&gt;$D$4,"",IFERROR(INDEX(tblRegistros[Observação],$L284),"")))</f>
        <v/>
      </c>
      <c r="L284" s="16">
        <f>IFERROR(MATCH($B$3*100000+COUNTIFS(tblRegistros[ID],$B$3,tblRegistros[Data],"&lt;"&amp;$B$4)+ROWS($L$10:L284),tblRegistros[Chave do cartão],0),"")</f>
        <v/>
      </c>
    </row>
    <row r="285">
      <c r="A285" s="2">
        <f>IF($L285="","",IF(INDEX(tblRegistros[Data],$L285)&gt;$D$4,"",IFERROR(INDEX(tblRegistros[Data],$L285),"")))</f>
        <v/>
      </c>
      <c r="B285">
        <f>IF($L285="","",IF(INDEX(tblRegistros[Data],$L285)&gt;$D$4,"",IFERROR(INDEX(tblRegistros[Projeto],$L285),"")))</f>
        <v/>
      </c>
      <c r="C285">
        <f>IF($L285="","",IF(INDEX(tblRegistros[Data],$L285)&gt;$D$4,"",IFERROR(INDEX(tblRegistros[Atividade],$L285),"")))</f>
        <v/>
      </c>
      <c r="D285" s="4">
        <f>IF($L285="","",IF(INDEX(tblRegistros[Data],$L285)&gt;$D$4,"",IFERROR(INDEX(tblRegistros[Início],$L285),"")))</f>
        <v/>
      </c>
      <c r="E285" s="4">
        <f>IF($L285="","",IF(INDEX(tblRegistros[Data],$L285)&gt;$D$4,"",IFERROR(IF(INDEX(tblRegistros[Status],$L285)="EM ABERTO","",INDEX(tblRegistros[Fim],$L285)),"")))</f>
        <v/>
      </c>
      <c r="F285" s="14">
        <f>IF($L285="","",IF(INDEX(tblRegistros[Data],$L285)&gt;$D$4,"",IFERROR(IF(INDEX(tblRegistros[Status],$L285)="EM ABERTO","",INDEX(tblRegistros[Horas],$L285)),"")))</f>
        <v/>
      </c>
      <c r="G285">
        <f>IF($L285="","",IF(INDEX(tblRegistros[Data],$L285)&gt;$D$4,"",IFERROR(INDEX(tblRegistros[Base],$L285),"")))</f>
        <v/>
      </c>
      <c r="H285" s="3">
        <f>IF($L285="","",IF(INDEX(tblRegistros[Data],$L285)&gt;$D$4,"",IFERROR(INDEX(tblRegistros[Taxa aplicada],$L285),"")))</f>
        <v/>
      </c>
      <c r="I285" s="3">
        <f>IF($L285="","",IF(INDEX(tblRegistros[Data],$L285)&gt;$D$4,"",IFERROR(IF(INDEX(tblRegistros[Status],$L285)="EM ABERTO","",INDEX(tblRegistros[Valor],$L285)),"")))</f>
        <v/>
      </c>
      <c r="J285">
        <f>IF($L285="","",IF(INDEX(tblRegistros[Data],$L285)&gt;$D$4,"",IFERROR(INDEX(tblRegistros[Status],$L285),"")))</f>
        <v/>
      </c>
      <c r="K285">
        <f>IF($L285="","",IF(INDEX(tblRegistros[Data],$L285)&gt;$D$4,"",IFERROR(INDEX(tblRegistros[Observação],$L285),"")))</f>
        <v/>
      </c>
      <c r="L285" s="16">
        <f>IFERROR(MATCH($B$3*100000+COUNTIFS(tblRegistros[ID],$B$3,tblRegistros[Data],"&lt;"&amp;$B$4)+ROWS($L$10:L285),tblRegistros[Chave do cartão],0),"")</f>
        <v/>
      </c>
    </row>
    <row r="286">
      <c r="A286" s="2">
        <f>IF($L286="","",IF(INDEX(tblRegistros[Data],$L286)&gt;$D$4,"",IFERROR(INDEX(tblRegistros[Data],$L286),"")))</f>
        <v/>
      </c>
      <c r="B286">
        <f>IF($L286="","",IF(INDEX(tblRegistros[Data],$L286)&gt;$D$4,"",IFERROR(INDEX(tblRegistros[Projeto],$L286),"")))</f>
        <v/>
      </c>
      <c r="C286">
        <f>IF($L286="","",IF(INDEX(tblRegistros[Data],$L286)&gt;$D$4,"",IFERROR(INDEX(tblRegistros[Atividade],$L286),"")))</f>
        <v/>
      </c>
      <c r="D286" s="4">
        <f>IF($L286="","",IF(INDEX(tblRegistros[Data],$L286)&gt;$D$4,"",IFERROR(INDEX(tblRegistros[Início],$L286),"")))</f>
        <v/>
      </c>
      <c r="E286" s="4">
        <f>IF($L286="","",IF(INDEX(tblRegistros[Data],$L286)&gt;$D$4,"",IFERROR(IF(INDEX(tblRegistros[Status],$L286)="EM ABERTO","",INDEX(tblRegistros[Fim],$L286)),"")))</f>
        <v/>
      </c>
      <c r="F286" s="14">
        <f>IF($L286="","",IF(INDEX(tblRegistros[Data],$L286)&gt;$D$4,"",IFERROR(IF(INDEX(tblRegistros[Status],$L286)="EM ABERTO","",INDEX(tblRegistros[Horas],$L286)),"")))</f>
        <v/>
      </c>
      <c r="G286">
        <f>IF($L286="","",IF(INDEX(tblRegistros[Data],$L286)&gt;$D$4,"",IFERROR(INDEX(tblRegistros[Base],$L286),"")))</f>
        <v/>
      </c>
      <c r="H286" s="3">
        <f>IF($L286="","",IF(INDEX(tblRegistros[Data],$L286)&gt;$D$4,"",IFERROR(INDEX(tblRegistros[Taxa aplicada],$L286),"")))</f>
        <v/>
      </c>
      <c r="I286" s="3">
        <f>IF($L286="","",IF(INDEX(tblRegistros[Data],$L286)&gt;$D$4,"",IFERROR(IF(INDEX(tblRegistros[Status],$L286)="EM ABERTO","",INDEX(tblRegistros[Valor],$L286)),"")))</f>
        <v/>
      </c>
      <c r="J286">
        <f>IF($L286="","",IF(INDEX(tblRegistros[Data],$L286)&gt;$D$4,"",IFERROR(INDEX(tblRegistros[Status],$L286),"")))</f>
        <v/>
      </c>
      <c r="K286">
        <f>IF($L286="","",IF(INDEX(tblRegistros[Data],$L286)&gt;$D$4,"",IFERROR(INDEX(tblRegistros[Observação],$L286),"")))</f>
        <v/>
      </c>
      <c r="L286" s="16">
        <f>IFERROR(MATCH($B$3*100000+COUNTIFS(tblRegistros[ID],$B$3,tblRegistros[Data],"&lt;"&amp;$B$4)+ROWS($L$10:L286),tblRegistros[Chave do cartão],0),"")</f>
        <v/>
      </c>
    </row>
    <row r="287">
      <c r="A287" s="2">
        <f>IF($L287="","",IF(INDEX(tblRegistros[Data],$L287)&gt;$D$4,"",IFERROR(INDEX(tblRegistros[Data],$L287),"")))</f>
        <v/>
      </c>
      <c r="B287">
        <f>IF($L287="","",IF(INDEX(tblRegistros[Data],$L287)&gt;$D$4,"",IFERROR(INDEX(tblRegistros[Projeto],$L287),"")))</f>
        <v/>
      </c>
      <c r="C287">
        <f>IF($L287="","",IF(INDEX(tblRegistros[Data],$L287)&gt;$D$4,"",IFERROR(INDEX(tblRegistros[Atividade],$L287),"")))</f>
        <v/>
      </c>
      <c r="D287" s="4">
        <f>IF($L287="","",IF(INDEX(tblRegistros[Data],$L287)&gt;$D$4,"",IFERROR(INDEX(tblRegistros[Início],$L287),"")))</f>
        <v/>
      </c>
      <c r="E287" s="4">
        <f>IF($L287="","",IF(INDEX(tblRegistros[Data],$L287)&gt;$D$4,"",IFERROR(IF(INDEX(tblRegistros[Status],$L287)="EM ABERTO","",INDEX(tblRegistros[Fim],$L287)),"")))</f>
        <v/>
      </c>
      <c r="F287" s="14">
        <f>IF($L287="","",IF(INDEX(tblRegistros[Data],$L287)&gt;$D$4,"",IFERROR(IF(INDEX(tblRegistros[Status],$L287)="EM ABERTO","",INDEX(tblRegistros[Horas],$L287)),"")))</f>
        <v/>
      </c>
      <c r="G287">
        <f>IF($L287="","",IF(INDEX(tblRegistros[Data],$L287)&gt;$D$4,"",IFERROR(INDEX(tblRegistros[Base],$L287),"")))</f>
        <v/>
      </c>
      <c r="H287" s="3">
        <f>IF($L287="","",IF(INDEX(tblRegistros[Data],$L287)&gt;$D$4,"",IFERROR(INDEX(tblRegistros[Taxa aplicada],$L287),"")))</f>
        <v/>
      </c>
      <c r="I287" s="3">
        <f>IF($L287="","",IF(INDEX(tblRegistros[Data],$L287)&gt;$D$4,"",IFERROR(IF(INDEX(tblRegistros[Status],$L287)="EM ABERTO","",INDEX(tblRegistros[Valor],$L287)),"")))</f>
        <v/>
      </c>
      <c r="J287">
        <f>IF($L287="","",IF(INDEX(tblRegistros[Data],$L287)&gt;$D$4,"",IFERROR(INDEX(tblRegistros[Status],$L287),"")))</f>
        <v/>
      </c>
      <c r="K287">
        <f>IF($L287="","",IF(INDEX(tblRegistros[Data],$L287)&gt;$D$4,"",IFERROR(INDEX(tblRegistros[Observação],$L287),"")))</f>
        <v/>
      </c>
      <c r="L287" s="16">
        <f>IFERROR(MATCH($B$3*100000+COUNTIFS(tblRegistros[ID],$B$3,tblRegistros[Data],"&lt;"&amp;$B$4)+ROWS($L$10:L287),tblRegistros[Chave do cartão],0),"")</f>
        <v/>
      </c>
    </row>
    <row r="288">
      <c r="A288" s="2">
        <f>IF($L288="","",IF(INDEX(tblRegistros[Data],$L288)&gt;$D$4,"",IFERROR(INDEX(tblRegistros[Data],$L288),"")))</f>
        <v/>
      </c>
      <c r="B288">
        <f>IF($L288="","",IF(INDEX(tblRegistros[Data],$L288)&gt;$D$4,"",IFERROR(INDEX(tblRegistros[Projeto],$L288),"")))</f>
        <v/>
      </c>
      <c r="C288">
        <f>IF($L288="","",IF(INDEX(tblRegistros[Data],$L288)&gt;$D$4,"",IFERROR(INDEX(tblRegistros[Atividade],$L288),"")))</f>
        <v/>
      </c>
      <c r="D288" s="4">
        <f>IF($L288="","",IF(INDEX(tblRegistros[Data],$L288)&gt;$D$4,"",IFERROR(INDEX(tblRegistros[Início],$L288),"")))</f>
        <v/>
      </c>
      <c r="E288" s="4">
        <f>IF($L288="","",IF(INDEX(tblRegistros[Data],$L288)&gt;$D$4,"",IFERROR(IF(INDEX(tblRegistros[Status],$L288)="EM ABERTO","",INDEX(tblRegistros[Fim],$L288)),"")))</f>
        <v/>
      </c>
      <c r="F288" s="14">
        <f>IF($L288="","",IF(INDEX(tblRegistros[Data],$L288)&gt;$D$4,"",IFERROR(IF(INDEX(tblRegistros[Status],$L288)="EM ABERTO","",INDEX(tblRegistros[Horas],$L288)),"")))</f>
        <v/>
      </c>
      <c r="G288">
        <f>IF($L288="","",IF(INDEX(tblRegistros[Data],$L288)&gt;$D$4,"",IFERROR(INDEX(tblRegistros[Base],$L288),"")))</f>
        <v/>
      </c>
      <c r="H288" s="3">
        <f>IF($L288="","",IF(INDEX(tblRegistros[Data],$L288)&gt;$D$4,"",IFERROR(INDEX(tblRegistros[Taxa aplicada],$L288),"")))</f>
        <v/>
      </c>
      <c r="I288" s="3">
        <f>IF($L288="","",IF(INDEX(tblRegistros[Data],$L288)&gt;$D$4,"",IFERROR(IF(INDEX(tblRegistros[Status],$L288)="EM ABERTO","",INDEX(tblRegistros[Valor],$L288)),"")))</f>
        <v/>
      </c>
      <c r="J288">
        <f>IF($L288="","",IF(INDEX(tblRegistros[Data],$L288)&gt;$D$4,"",IFERROR(INDEX(tblRegistros[Status],$L288),"")))</f>
        <v/>
      </c>
      <c r="K288">
        <f>IF($L288="","",IF(INDEX(tblRegistros[Data],$L288)&gt;$D$4,"",IFERROR(INDEX(tblRegistros[Observação],$L288),"")))</f>
        <v/>
      </c>
      <c r="L288" s="16">
        <f>IFERROR(MATCH($B$3*100000+COUNTIFS(tblRegistros[ID],$B$3,tblRegistros[Data],"&lt;"&amp;$B$4)+ROWS($L$10:L288),tblRegistros[Chave do cartão],0),"")</f>
        <v/>
      </c>
    </row>
    <row r="289">
      <c r="A289" s="2">
        <f>IF($L289="","",IF(INDEX(tblRegistros[Data],$L289)&gt;$D$4,"",IFERROR(INDEX(tblRegistros[Data],$L289),"")))</f>
        <v/>
      </c>
      <c r="B289">
        <f>IF($L289="","",IF(INDEX(tblRegistros[Data],$L289)&gt;$D$4,"",IFERROR(INDEX(tblRegistros[Projeto],$L289),"")))</f>
        <v/>
      </c>
      <c r="C289">
        <f>IF($L289="","",IF(INDEX(tblRegistros[Data],$L289)&gt;$D$4,"",IFERROR(INDEX(tblRegistros[Atividade],$L289),"")))</f>
        <v/>
      </c>
      <c r="D289" s="4">
        <f>IF($L289="","",IF(INDEX(tblRegistros[Data],$L289)&gt;$D$4,"",IFERROR(INDEX(tblRegistros[Início],$L289),"")))</f>
        <v/>
      </c>
      <c r="E289" s="4">
        <f>IF($L289="","",IF(INDEX(tblRegistros[Data],$L289)&gt;$D$4,"",IFERROR(IF(INDEX(tblRegistros[Status],$L289)="EM ABERTO","",INDEX(tblRegistros[Fim],$L289)),"")))</f>
        <v/>
      </c>
      <c r="F289" s="14">
        <f>IF($L289="","",IF(INDEX(tblRegistros[Data],$L289)&gt;$D$4,"",IFERROR(IF(INDEX(tblRegistros[Status],$L289)="EM ABERTO","",INDEX(tblRegistros[Horas],$L289)),"")))</f>
        <v/>
      </c>
      <c r="G289">
        <f>IF($L289="","",IF(INDEX(tblRegistros[Data],$L289)&gt;$D$4,"",IFERROR(INDEX(tblRegistros[Base],$L289),"")))</f>
        <v/>
      </c>
      <c r="H289" s="3">
        <f>IF($L289="","",IF(INDEX(tblRegistros[Data],$L289)&gt;$D$4,"",IFERROR(INDEX(tblRegistros[Taxa aplicada],$L289),"")))</f>
        <v/>
      </c>
      <c r="I289" s="3">
        <f>IF($L289="","",IF(INDEX(tblRegistros[Data],$L289)&gt;$D$4,"",IFERROR(IF(INDEX(tblRegistros[Status],$L289)="EM ABERTO","",INDEX(tblRegistros[Valor],$L289)),"")))</f>
        <v/>
      </c>
      <c r="J289">
        <f>IF($L289="","",IF(INDEX(tblRegistros[Data],$L289)&gt;$D$4,"",IFERROR(INDEX(tblRegistros[Status],$L289),"")))</f>
        <v/>
      </c>
      <c r="K289">
        <f>IF($L289="","",IF(INDEX(tblRegistros[Data],$L289)&gt;$D$4,"",IFERROR(INDEX(tblRegistros[Observação],$L289),"")))</f>
        <v/>
      </c>
      <c r="L289" s="16">
        <f>IFERROR(MATCH($B$3*100000+COUNTIFS(tblRegistros[ID],$B$3,tblRegistros[Data],"&lt;"&amp;$B$4)+ROWS($L$10:L289),tblRegistros[Chave do cartão],0),"")</f>
        <v/>
      </c>
    </row>
    <row r="290">
      <c r="A290" s="2">
        <f>IF($L290="","",IF(INDEX(tblRegistros[Data],$L290)&gt;$D$4,"",IFERROR(INDEX(tblRegistros[Data],$L290),"")))</f>
        <v/>
      </c>
      <c r="B290">
        <f>IF($L290="","",IF(INDEX(tblRegistros[Data],$L290)&gt;$D$4,"",IFERROR(INDEX(tblRegistros[Projeto],$L290),"")))</f>
        <v/>
      </c>
      <c r="C290">
        <f>IF($L290="","",IF(INDEX(tblRegistros[Data],$L290)&gt;$D$4,"",IFERROR(INDEX(tblRegistros[Atividade],$L290),"")))</f>
        <v/>
      </c>
      <c r="D290" s="4">
        <f>IF($L290="","",IF(INDEX(tblRegistros[Data],$L290)&gt;$D$4,"",IFERROR(INDEX(tblRegistros[Início],$L290),"")))</f>
        <v/>
      </c>
      <c r="E290" s="4">
        <f>IF($L290="","",IF(INDEX(tblRegistros[Data],$L290)&gt;$D$4,"",IFERROR(IF(INDEX(tblRegistros[Status],$L290)="EM ABERTO","",INDEX(tblRegistros[Fim],$L290)),"")))</f>
        <v/>
      </c>
      <c r="F290" s="14">
        <f>IF($L290="","",IF(INDEX(tblRegistros[Data],$L290)&gt;$D$4,"",IFERROR(IF(INDEX(tblRegistros[Status],$L290)="EM ABERTO","",INDEX(tblRegistros[Horas],$L290)),"")))</f>
        <v/>
      </c>
      <c r="G290">
        <f>IF($L290="","",IF(INDEX(tblRegistros[Data],$L290)&gt;$D$4,"",IFERROR(INDEX(tblRegistros[Base],$L290),"")))</f>
        <v/>
      </c>
      <c r="H290" s="3">
        <f>IF($L290="","",IF(INDEX(tblRegistros[Data],$L290)&gt;$D$4,"",IFERROR(INDEX(tblRegistros[Taxa aplicada],$L290),"")))</f>
        <v/>
      </c>
      <c r="I290" s="3">
        <f>IF($L290="","",IF(INDEX(tblRegistros[Data],$L290)&gt;$D$4,"",IFERROR(IF(INDEX(tblRegistros[Status],$L290)="EM ABERTO","",INDEX(tblRegistros[Valor],$L290)),"")))</f>
        <v/>
      </c>
      <c r="J290">
        <f>IF($L290="","",IF(INDEX(tblRegistros[Data],$L290)&gt;$D$4,"",IFERROR(INDEX(tblRegistros[Status],$L290),"")))</f>
        <v/>
      </c>
      <c r="K290">
        <f>IF($L290="","",IF(INDEX(tblRegistros[Data],$L290)&gt;$D$4,"",IFERROR(INDEX(tblRegistros[Observação],$L290),"")))</f>
        <v/>
      </c>
      <c r="L290" s="16">
        <f>IFERROR(MATCH($B$3*100000+COUNTIFS(tblRegistros[ID],$B$3,tblRegistros[Data],"&lt;"&amp;$B$4)+ROWS($L$10:L290),tblRegistros[Chave do cartão],0),"")</f>
        <v/>
      </c>
    </row>
    <row r="291">
      <c r="A291" s="2">
        <f>IF($L291="","",IF(INDEX(tblRegistros[Data],$L291)&gt;$D$4,"",IFERROR(INDEX(tblRegistros[Data],$L291),"")))</f>
        <v/>
      </c>
      <c r="B291">
        <f>IF($L291="","",IF(INDEX(tblRegistros[Data],$L291)&gt;$D$4,"",IFERROR(INDEX(tblRegistros[Projeto],$L291),"")))</f>
        <v/>
      </c>
      <c r="C291">
        <f>IF($L291="","",IF(INDEX(tblRegistros[Data],$L291)&gt;$D$4,"",IFERROR(INDEX(tblRegistros[Atividade],$L291),"")))</f>
        <v/>
      </c>
      <c r="D291" s="4">
        <f>IF($L291="","",IF(INDEX(tblRegistros[Data],$L291)&gt;$D$4,"",IFERROR(INDEX(tblRegistros[Início],$L291),"")))</f>
        <v/>
      </c>
      <c r="E291" s="4">
        <f>IF($L291="","",IF(INDEX(tblRegistros[Data],$L291)&gt;$D$4,"",IFERROR(IF(INDEX(tblRegistros[Status],$L291)="EM ABERTO","",INDEX(tblRegistros[Fim],$L291)),"")))</f>
        <v/>
      </c>
      <c r="F291" s="14">
        <f>IF($L291="","",IF(INDEX(tblRegistros[Data],$L291)&gt;$D$4,"",IFERROR(IF(INDEX(tblRegistros[Status],$L291)="EM ABERTO","",INDEX(tblRegistros[Horas],$L291)),"")))</f>
        <v/>
      </c>
      <c r="G291">
        <f>IF($L291="","",IF(INDEX(tblRegistros[Data],$L291)&gt;$D$4,"",IFERROR(INDEX(tblRegistros[Base],$L291),"")))</f>
        <v/>
      </c>
      <c r="H291" s="3">
        <f>IF($L291="","",IF(INDEX(tblRegistros[Data],$L291)&gt;$D$4,"",IFERROR(INDEX(tblRegistros[Taxa aplicada],$L291),"")))</f>
        <v/>
      </c>
      <c r="I291" s="3">
        <f>IF($L291="","",IF(INDEX(tblRegistros[Data],$L291)&gt;$D$4,"",IFERROR(IF(INDEX(tblRegistros[Status],$L291)="EM ABERTO","",INDEX(tblRegistros[Valor],$L291)),"")))</f>
        <v/>
      </c>
      <c r="J291">
        <f>IF($L291="","",IF(INDEX(tblRegistros[Data],$L291)&gt;$D$4,"",IFERROR(INDEX(tblRegistros[Status],$L291),"")))</f>
        <v/>
      </c>
      <c r="K291">
        <f>IF($L291="","",IF(INDEX(tblRegistros[Data],$L291)&gt;$D$4,"",IFERROR(INDEX(tblRegistros[Observação],$L291),"")))</f>
        <v/>
      </c>
      <c r="L291" s="16">
        <f>IFERROR(MATCH($B$3*100000+COUNTIFS(tblRegistros[ID],$B$3,tblRegistros[Data],"&lt;"&amp;$B$4)+ROWS($L$10:L291),tblRegistros[Chave do cartão],0),"")</f>
        <v/>
      </c>
    </row>
    <row r="292">
      <c r="A292" s="2">
        <f>IF($L292="","",IF(INDEX(tblRegistros[Data],$L292)&gt;$D$4,"",IFERROR(INDEX(tblRegistros[Data],$L292),"")))</f>
        <v/>
      </c>
      <c r="B292">
        <f>IF($L292="","",IF(INDEX(tblRegistros[Data],$L292)&gt;$D$4,"",IFERROR(INDEX(tblRegistros[Projeto],$L292),"")))</f>
        <v/>
      </c>
      <c r="C292">
        <f>IF($L292="","",IF(INDEX(tblRegistros[Data],$L292)&gt;$D$4,"",IFERROR(INDEX(tblRegistros[Atividade],$L292),"")))</f>
        <v/>
      </c>
      <c r="D292" s="4">
        <f>IF($L292="","",IF(INDEX(tblRegistros[Data],$L292)&gt;$D$4,"",IFERROR(INDEX(tblRegistros[Início],$L292),"")))</f>
        <v/>
      </c>
      <c r="E292" s="4">
        <f>IF($L292="","",IF(INDEX(tblRegistros[Data],$L292)&gt;$D$4,"",IFERROR(IF(INDEX(tblRegistros[Status],$L292)="EM ABERTO","",INDEX(tblRegistros[Fim],$L292)),"")))</f>
        <v/>
      </c>
      <c r="F292" s="14">
        <f>IF($L292="","",IF(INDEX(tblRegistros[Data],$L292)&gt;$D$4,"",IFERROR(IF(INDEX(tblRegistros[Status],$L292)="EM ABERTO","",INDEX(tblRegistros[Horas],$L292)),"")))</f>
        <v/>
      </c>
      <c r="G292">
        <f>IF($L292="","",IF(INDEX(tblRegistros[Data],$L292)&gt;$D$4,"",IFERROR(INDEX(tblRegistros[Base],$L292),"")))</f>
        <v/>
      </c>
      <c r="H292" s="3">
        <f>IF($L292="","",IF(INDEX(tblRegistros[Data],$L292)&gt;$D$4,"",IFERROR(INDEX(tblRegistros[Taxa aplicada],$L292),"")))</f>
        <v/>
      </c>
      <c r="I292" s="3">
        <f>IF($L292="","",IF(INDEX(tblRegistros[Data],$L292)&gt;$D$4,"",IFERROR(IF(INDEX(tblRegistros[Status],$L292)="EM ABERTO","",INDEX(tblRegistros[Valor],$L292)),"")))</f>
        <v/>
      </c>
      <c r="J292">
        <f>IF($L292="","",IF(INDEX(tblRegistros[Data],$L292)&gt;$D$4,"",IFERROR(INDEX(tblRegistros[Status],$L292),"")))</f>
        <v/>
      </c>
      <c r="K292">
        <f>IF($L292="","",IF(INDEX(tblRegistros[Data],$L292)&gt;$D$4,"",IFERROR(INDEX(tblRegistros[Observação],$L292),"")))</f>
        <v/>
      </c>
      <c r="L292" s="16">
        <f>IFERROR(MATCH($B$3*100000+COUNTIFS(tblRegistros[ID],$B$3,tblRegistros[Data],"&lt;"&amp;$B$4)+ROWS($L$10:L292),tblRegistros[Chave do cartão],0),"")</f>
        <v/>
      </c>
    </row>
    <row r="293">
      <c r="A293" s="2">
        <f>IF($L293="","",IF(INDEX(tblRegistros[Data],$L293)&gt;$D$4,"",IFERROR(INDEX(tblRegistros[Data],$L293),"")))</f>
        <v/>
      </c>
      <c r="B293">
        <f>IF($L293="","",IF(INDEX(tblRegistros[Data],$L293)&gt;$D$4,"",IFERROR(INDEX(tblRegistros[Projeto],$L293),"")))</f>
        <v/>
      </c>
      <c r="C293">
        <f>IF($L293="","",IF(INDEX(tblRegistros[Data],$L293)&gt;$D$4,"",IFERROR(INDEX(tblRegistros[Atividade],$L293),"")))</f>
        <v/>
      </c>
      <c r="D293" s="4">
        <f>IF($L293="","",IF(INDEX(tblRegistros[Data],$L293)&gt;$D$4,"",IFERROR(INDEX(tblRegistros[Início],$L293),"")))</f>
        <v/>
      </c>
      <c r="E293" s="4">
        <f>IF($L293="","",IF(INDEX(tblRegistros[Data],$L293)&gt;$D$4,"",IFERROR(IF(INDEX(tblRegistros[Status],$L293)="EM ABERTO","",INDEX(tblRegistros[Fim],$L293)),"")))</f>
        <v/>
      </c>
      <c r="F293" s="14">
        <f>IF($L293="","",IF(INDEX(tblRegistros[Data],$L293)&gt;$D$4,"",IFERROR(IF(INDEX(tblRegistros[Status],$L293)="EM ABERTO","",INDEX(tblRegistros[Horas],$L293)),"")))</f>
        <v/>
      </c>
      <c r="G293">
        <f>IF($L293="","",IF(INDEX(tblRegistros[Data],$L293)&gt;$D$4,"",IFERROR(INDEX(tblRegistros[Base],$L293),"")))</f>
        <v/>
      </c>
      <c r="H293" s="3">
        <f>IF($L293="","",IF(INDEX(tblRegistros[Data],$L293)&gt;$D$4,"",IFERROR(INDEX(tblRegistros[Taxa aplicada],$L293),"")))</f>
        <v/>
      </c>
      <c r="I293" s="3">
        <f>IF($L293="","",IF(INDEX(tblRegistros[Data],$L293)&gt;$D$4,"",IFERROR(IF(INDEX(tblRegistros[Status],$L293)="EM ABERTO","",INDEX(tblRegistros[Valor],$L293)),"")))</f>
        <v/>
      </c>
      <c r="J293">
        <f>IF($L293="","",IF(INDEX(tblRegistros[Data],$L293)&gt;$D$4,"",IFERROR(INDEX(tblRegistros[Status],$L293),"")))</f>
        <v/>
      </c>
      <c r="K293">
        <f>IF($L293="","",IF(INDEX(tblRegistros[Data],$L293)&gt;$D$4,"",IFERROR(INDEX(tblRegistros[Observação],$L293),"")))</f>
        <v/>
      </c>
      <c r="L293" s="16">
        <f>IFERROR(MATCH($B$3*100000+COUNTIFS(tblRegistros[ID],$B$3,tblRegistros[Data],"&lt;"&amp;$B$4)+ROWS($L$10:L293),tblRegistros[Chave do cartão],0),"")</f>
        <v/>
      </c>
    </row>
    <row r="294">
      <c r="A294" s="2">
        <f>IF($L294="","",IF(INDEX(tblRegistros[Data],$L294)&gt;$D$4,"",IFERROR(INDEX(tblRegistros[Data],$L294),"")))</f>
        <v/>
      </c>
      <c r="B294">
        <f>IF($L294="","",IF(INDEX(tblRegistros[Data],$L294)&gt;$D$4,"",IFERROR(INDEX(tblRegistros[Projeto],$L294),"")))</f>
        <v/>
      </c>
      <c r="C294">
        <f>IF($L294="","",IF(INDEX(tblRegistros[Data],$L294)&gt;$D$4,"",IFERROR(INDEX(tblRegistros[Atividade],$L294),"")))</f>
        <v/>
      </c>
      <c r="D294" s="4">
        <f>IF($L294="","",IF(INDEX(tblRegistros[Data],$L294)&gt;$D$4,"",IFERROR(INDEX(tblRegistros[Início],$L294),"")))</f>
        <v/>
      </c>
      <c r="E294" s="4">
        <f>IF($L294="","",IF(INDEX(tblRegistros[Data],$L294)&gt;$D$4,"",IFERROR(IF(INDEX(tblRegistros[Status],$L294)="EM ABERTO","",INDEX(tblRegistros[Fim],$L294)),"")))</f>
        <v/>
      </c>
      <c r="F294" s="14">
        <f>IF($L294="","",IF(INDEX(tblRegistros[Data],$L294)&gt;$D$4,"",IFERROR(IF(INDEX(tblRegistros[Status],$L294)="EM ABERTO","",INDEX(tblRegistros[Horas],$L294)),"")))</f>
        <v/>
      </c>
      <c r="G294">
        <f>IF($L294="","",IF(INDEX(tblRegistros[Data],$L294)&gt;$D$4,"",IFERROR(INDEX(tblRegistros[Base],$L294),"")))</f>
        <v/>
      </c>
      <c r="H294" s="3">
        <f>IF($L294="","",IF(INDEX(tblRegistros[Data],$L294)&gt;$D$4,"",IFERROR(INDEX(tblRegistros[Taxa aplicada],$L294),"")))</f>
        <v/>
      </c>
      <c r="I294" s="3">
        <f>IF($L294="","",IF(INDEX(tblRegistros[Data],$L294)&gt;$D$4,"",IFERROR(IF(INDEX(tblRegistros[Status],$L294)="EM ABERTO","",INDEX(tblRegistros[Valor],$L294)),"")))</f>
        <v/>
      </c>
      <c r="J294">
        <f>IF($L294="","",IF(INDEX(tblRegistros[Data],$L294)&gt;$D$4,"",IFERROR(INDEX(tblRegistros[Status],$L294),"")))</f>
        <v/>
      </c>
      <c r="K294">
        <f>IF($L294="","",IF(INDEX(tblRegistros[Data],$L294)&gt;$D$4,"",IFERROR(INDEX(tblRegistros[Observação],$L294),"")))</f>
        <v/>
      </c>
      <c r="L294" s="16">
        <f>IFERROR(MATCH($B$3*100000+COUNTIFS(tblRegistros[ID],$B$3,tblRegistros[Data],"&lt;"&amp;$B$4)+ROWS($L$10:L294),tblRegistros[Chave do cartão],0),"")</f>
        <v/>
      </c>
    </row>
    <row r="295">
      <c r="A295" s="2">
        <f>IF($L295="","",IF(INDEX(tblRegistros[Data],$L295)&gt;$D$4,"",IFERROR(INDEX(tblRegistros[Data],$L295),"")))</f>
        <v/>
      </c>
      <c r="B295">
        <f>IF($L295="","",IF(INDEX(tblRegistros[Data],$L295)&gt;$D$4,"",IFERROR(INDEX(tblRegistros[Projeto],$L295),"")))</f>
        <v/>
      </c>
      <c r="C295">
        <f>IF($L295="","",IF(INDEX(tblRegistros[Data],$L295)&gt;$D$4,"",IFERROR(INDEX(tblRegistros[Atividade],$L295),"")))</f>
        <v/>
      </c>
      <c r="D295" s="4">
        <f>IF($L295="","",IF(INDEX(tblRegistros[Data],$L295)&gt;$D$4,"",IFERROR(INDEX(tblRegistros[Início],$L295),"")))</f>
        <v/>
      </c>
      <c r="E295" s="4">
        <f>IF($L295="","",IF(INDEX(tblRegistros[Data],$L295)&gt;$D$4,"",IFERROR(IF(INDEX(tblRegistros[Status],$L295)="EM ABERTO","",INDEX(tblRegistros[Fim],$L295)),"")))</f>
        <v/>
      </c>
      <c r="F295" s="14">
        <f>IF($L295="","",IF(INDEX(tblRegistros[Data],$L295)&gt;$D$4,"",IFERROR(IF(INDEX(tblRegistros[Status],$L295)="EM ABERTO","",INDEX(tblRegistros[Horas],$L295)),"")))</f>
        <v/>
      </c>
      <c r="G295">
        <f>IF($L295="","",IF(INDEX(tblRegistros[Data],$L295)&gt;$D$4,"",IFERROR(INDEX(tblRegistros[Base],$L295),"")))</f>
        <v/>
      </c>
      <c r="H295" s="3">
        <f>IF($L295="","",IF(INDEX(tblRegistros[Data],$L295)&gt;$D$4,"",IFERROR(INDEX(tblRegistros[Taxa aplicada],$L295),"")))</f>
        <v/>
      </c>
      <c r="I295" s="3">
        <f>IF($L295="","",IF(INDEX(tblRegistros[Data],$L295)&gt;$D$4,"",IFERROR(IF(INDEX(tblRegistros[Status],$L295)="EM ABERTO","",INDEX(tblRegistros[Valor],$L295)),"")))</f>
        <v/>
      </c>
      <c r="J295">
        <f>IF($L295="","",IF(INDEX(tblRegistros[Data],$L295)&gt;$D$4,"",IFERROR(INDEX(tblRegistros[Status],$L295),"")))</f>
        <v/>
      </c>
      <c r="K295">
        <f>IF($L295="","",IF(INDEX(tblRegistros[Data],$L295)&gt;$D$4,"",IFERROR(INDEX(tblRegistros[Observação],$L295),"")))</f>
        <v/>
      </c>
      <c r="L295" s="16">
        <f>IFERROR(MATCH($B$3*100000+COUNTIFS(tblRegistros[ID],$B$3,tblRegistros[Data],"&lt;"&amp;$B$4)+ROWS($L$10:L295),tblRegistros[Chave do cartão],0),"")</f>
        <v/>
      </c>
    </row>
    <row r="296">
      <c r="A296" s="2">
        <f>IF($L296="","",IF(INDEX(tblRegistros[Data],$L296)&gt;$D$4,"",IFERROR(INDEX(tblRegistros[Data],$L296),"")))</f>
        <v/>
      </c>
      <c r="B296">
        <f>IF($L296="","",IF(INDEX(tblRegistros[Data],$L296)&gt;$D$4,"",IFERROR(INDEX(tblRegistros[Projeto],$L296),"")))</f>
        <v/>
      </c>
      <c r="C296">
        <f>IF($L296="","",IF(INDEX(tblRegistros[Data],$L296)&gt;$D$4,"",IFERROR(INDEX(tblRegistros[Atividade],$L296),"")))</f>
        <v/>
      </c>
      <c r="D296" s="4">
        <f>IF($L296="","",IF(INDEX(tblRegistros[Data],$L296)&gt;$D$4,"",IFERROR(INDEX(tblRegistros[Início],$L296),"")))</f>
        <v/>
      </c>
      <c r="E296" s="4">
        <f>IF($L296="","",IF(INDEX(tblRegistros[Data],$L296)&gt;$D$4,"",IFERROR(IF(INDEX(tblRegistros[Status],$L296)="EM ABERTO","",INDEX(tblRegistros[Fim],$L296)),"")))</f>
        <v/>
      </c>
      <c r="F296" s="14">
        <f>IF($L296="","",IF(INDEX(tblRegistros[Data],$L296)&gt;$D$4,"",IFERROR(IF(INDEX(tblRegistros[Status],$L296)="EM ABERTO","",INDEX(tblRegistros[Horas],$L296)),"")))</f>
        <v/>
      </c>
      <c r="G296">
        <f>IF($L296="","",IF(INDEX(tblRegistros[Data],$L296)&gt;$D$4,"",IFERROR(INDEX(tblRegistros[Base],$L296),"")))</f>
        <v/>
      </c>
      <c r="H296" s="3">
        <f>IF($L296="","",IF(INDEX(tblRegistros[Data],$L296)&gt;$D$4,"",IFERROR(INDEX(tblRegistros[Taxa aplicada],$L296),"")))</f>
        <v/>
      </c>
      <c r="I296" s="3">
        <f>IF($L296="","",IF(INDEX(tblRegistros[Data],$L296)&gt;$D$4,"",IFERROR(IF(INDEX(tblRegistros[Status],$L296)="EM ABERTO","",INDEX(tblRegistros[Valor],$L296)),"")))</f>
        <v/>
      </c>
      <c r="J296">
        <f>IF($L296="","",IF(INDEX(tblRegistros[Data],$L296)&gt;$D$4,"",IFERROR(INDEX(tblRegistros[Status],$L296),"")))</f>
        <v/>
      </c>
      <c r="K296">
        <f>IF($L296="","",IF(INDEX(tblRegistros[Data],$L296)&gt;$D$4,"",IFERROR(INDEX(tblRegistros[Observação],$L296),"")))</f>
        <v/>
      </c>
      <c r="L296" s="16">
        <f>IFERROR(MATCH($B$3*100000+COUNTIFS(tblRegistros[ID],$B$3,tblRegistros[Data],"&lt;"&amp;$B$4)+ROWS($L$10:L296),tblRegistros[Chave do cartão],0),"")</f>
        <v/>
      </c>
    </row>
    <row r="297">
      <c r="A297" s="2">
        <f>IF($L297="","",IF(INDEX(tblRegistros[Data],$L297)&gt;$D$4,"",IFERROR(INDEX(tblRegistros[Data],$L297),"")))</f>
        <v/>
      </c>
      <c r="B297">
        <f>IF($L297="","",IF(INDEX(tblRegistros[Data],$L297)&gt;$D$4,"",IFERROR(INDEX(tblRegistros[Projeto],$L297),"")))</f>
        <v/>
      </c>
      <c r="C297">
        <f>IF($L297="","",IF(INDEX(tblRegistros[Data],$L297)&gt;$D$4,"",IFERROR(INDEX(tblRegistros[Atividade],$L297),"")))</f>
        <v/>
      </c>
      <c r="D297" s="4">
        <f>IF($L297="","",IF(INDEX(tblRegistros[Data],$L297)&gt;$D$4,"",IFERROR(INDEX(tblRegistros[Início],$L297),"")))</f>
        <v/>
      </c>
      <c r="E297" s="4">
        <f>IF($L297="","",IF(INDEX(tblRegistros[Data],$L297)&gt;$D$4,"",IFERROR(IF(INDEX(tblRegistros[Status],$L297)="EM ABERTO","",INDEX(tblRegistros[Fim],$L297)),"")))</f>
        <v/>
      </c>
      <c r="F297" s="14">
        <f>IF($L297="","",IF(INDEX(tblRegistros[Data],$L297)&gt;$D$4,"",IFERROR(IF(INDEX(tblRegistros[Status],$L297)="EM ABERTO","",INDEX(tblRegistros[Horas],$L297)),"")))</f>
        <v/>
      </c>
      <c r="G297">
        <f>IF($L297="","",IF(INDEX(tblRegistros[Data],$L297)&gt;$D$4,"",IFERROR(INDEX(tblRegistros[Base],$L297),"")))</f>
        <v/>
      </c>
      <c r="H297" s="3">
        <f>IF($L297="","",IF(INDEX(tblRegistros[Data],$L297)&gt;$D$4,"",IFERROR(INDEX(tblRegistros[Taxa aplicada],$L297),"")))</f>
        <v/>
      </c>
      <c r="I297" s="3">
        <f>IF($L297="","",IF(INDEX(tblRegistros[Data],$L297)&gt;$D$4,"",IFERROR(IF(INDEX(tblRegistros[Status],$L297)="EM ABERTO","",INDEX(tblRegistros[Valor],$L297)),"")))</f>
        <v/>
      </c>
      <c r="J297">
        <f>IF($L297="","",IF(INDEX(tblRegistros[Data],$L297)&gt;$D$4,"",IFERROR(INDEX(tblRegistros[Status],$L297),"")))</f>
        <v/>
      </c>
      <c r="K297">
        <f>IF($L297="","",IF(INDEX(tblRegistros[Data],$L297)&gt;$D$4,"",IFERROR(INDEX(tblRegistros[Observação],$L297),"")))</f>
        <v/>
      </c>
      <c r="L297" s="16">
        <f>IFERROR(MATCH($B$3*100000+COUNTIFS(tblRegistros[ID],$B$3,tblRegistros[Data],"&lt;"&amp;$B$4)+ROWS($L$10:L297),tblRegistros[Chave do cartão],0),"")</f>
        <v/>
      </c>
    </row>
    <row r="298">
      <c r="A298" s="2">
        <f>IF($L298="","",IF(INDEX(tblRegistros[Data],$L298)&gt;$D$4,"",IFERROR(INDEX(tblRegistros[Data],$L298),"")))</f>
        <v/>
      </c>
      <c r="B298">
        <f>IF($L298="","",IF(INDEX(tblRegistros[Data],$L298)&gt;$D$4,"",IFERROR(INDEX(tblRegistros[Projeto],$L298),"")))</f>
        <v/>
      </c>
      <c r="C298">
        <f>IF($L298="","",IF(INDEX(tblRegistros[Data],$L298)&gt;$D$4,"",IFERROR(INDEX(tblRegistros[Atividade],$L298),"")))</f>
        <v/>
      </c>
      <c r="D298" s="4">
        <f>IF($L298="","",IF(INDEX(tblRegistros[Data],$L298)&gt;$D$4,"",IFERROR(INDEX(tblRegistros[Início],$L298),"")))</f>
        <v/>
      </c>
      <c r="E298" s="4">
        <f>IF($L298="","",IF(INDEX(tblRegistros[Data],$L298)&gt;$D$4,"",IFERROR(IF(INDEX(tblRegistros[Status],$L298)="EM ABERTO","",INDEX(tblRegistros[Fim],$L298)),"")))</f>
        <v/>
      </c>
      <c r="F298" s="14">
        <f>IF($L298="","",IF(INDEX(tblRegistros[Data],$L298)&gt;$D$4,"",IFERROR(IF(INDEX(tblRegistros[Status],$L298)="EM ABERTO","",INDEX(tblRegistros[Horas],$L298)),"")))</f>
        <v/>
      </c>
      <c r="G298">
        <f>IF($L298="","",IF(INDEX(tblRegistros[Data],$L298)&gt;$D$4,"",IFERROR(INDEX(tblRegistros[Base],$L298),"")))</f>
        <v/>
      </c>
      <c r="H298" s="3">
        <f>IF($L298="","",IF(INDEX(tblRegistros[Data],$L298)&gt;$D$4,"",IFERROR(INDEX(tblRegistros[Taxa aplicada],$L298),"")))</f>
        <v/>
      </c>
      <c r="I298" s="3">
        <f>IF($L298="","",IF(INDEX(tblRegistros[Data],$L298)&gt;$D$4,"",IFERROR(IF(INDEX(tblRegistros[Status],$L298)="EM ABERTO","",INDEX(tblRegistros[Valor],$L298)),"")))</f>
        <v/>
      </c>
      <c r="J298">
        <f>IF($L298="","",IF(INDEX(tblRegistros[Data],$L298)&gt;$D$4,"",IFERROR(INDEX(tblRegistros[Status],$L298),"")))</f>
        <v/>
      </c>
      <c r="K298">
        <f>IF($L298="","",IF(INDEX(tblRegistros[Data],$L298)&gt;$D$4,"",IFERROR(INDEX(tblRegistros[Observação],$L298),"")))</f>
        <v/>
      </c>
      <c r="L298" s="16">
        <f>IFERROR(MATCH($B$3*100000+COUNTIFS(tblRegistros[ID],$B$3,tblRegistros[Data],"&lt;"&amp;$B$4)+ROWS($L$10:L298),tblRegistros[Chave do cartão],0),"")</f>
        <v/>
      </c>
    </row>
    <row r="299">
      <c r="A299" s="2">
        <f>IF($L299="","",IF(INDEX(tblRegistros[Data],$L299)&gt;$D$4,"",IFERROR(INDEX(tblRegistros[Data],$L299),"")))</f>
        <v/>
      </c>
      <c r="B299">
        <f>IF($L299="","",IF(INDEX(tblRegistros[Data],$L299)&gt;$D$4,"",IFERROR(INDEX(tblRegistros[Projeto],$L299),"")))</f>
        <v/>
      </c>
      <c r="C299">
        <f>IF($L299="","",IF(INDEX(tblRegistros[Data],$L299)&gt;$D$4,"",IFERROR(INDEX(tblRegistros[Atividade],$L299),"")))</f>
        <v/>
      </c>
      <c r="D299" s="4">
        <f>IF($L299="","",IF(INDEX(tblRegistros[Data],$L299)&gt;$D$4,"",IFERROR(INDEX(tblRegistros[Início],$L299),"")))</f>
        <v/>
      </c>
      <c r="E299" s="4">
        <f>IF($L299="","",IF(INDEX(tblRegistros[Data],$L299)&gt;$D$4,"",IFERROR(IF(INDEX(tblRegistros[Status],$L299)="EM ABERTO","",INDEX(tblRegistros[Fim],$L299)),"")))</f>
        <v/>
      </c>
      <c r="F299" s="14">
        <f>IF($L299="","",IF(INDEX(tblRegistros[Data],$L299)&gt;$D$4,"",IFERROR(IF(INDEX(tblRegistros[Status],$L299)="EM ABERTO","",INDEX(tblRegistros[Horas],$L299)),"")))</f>
        <v/>
      </c>
      <c r="G299">
        <f>IF($L299="","",IF(INDEX(tblRegistros[Data],$L299)&gt;$D$4,"",IFERROR(INDEX(tblRegistros[Base],$L299),"")))</f>
        <v/>
      </c>
      <c r="H299" s="3">
        <f>IF($L299="","",IF(INDEX(tblRegistros[Data],$L299)&gt;$D$4,"",IFERROR(INDEX(tblRegistros[Taxa aplicada],$L299),"")))</f>
        <v/>
      </c>
      <c r="I299" s="3">
        <f>IF($L299="","",IF(INDEX(tblRegistros[Data],$L299)&gt;$D$4,"",IFERROR(IF(INDEX(tblRegistros[Status],$L299)="EM ABERTO","",INDEX(tblRegistros[Valor],$L299)),"")))</f>
        <v/>
      </c>
      <c r="J299">
        <f>IF($L299="","",IF(INDEX(tblRegistros[Data],$L299)&gt;$D$4,"",IFERROR(INDEX(tblRegistros[Status],$L299),"")))</f>
        <v/>
      </c>
      <c r="K299">
        <f>IF($L299="","",IF(INDEX(tblRegistros[Data],$L299)&gt;$D$4,"",IFERROR(INDEX(tblRegistros[Observação],$L299),"")))</f>
        <v/>
      </c>
      <c r="L299" s="16">
        <f>IFERROR(MATCH($B$3*100000+COUNTIFS(tblRegistros[ID],$B$3,tblRegistros[Data],"&lt;"&amp;$B$4)+ROWS($L$10:L299),tblRegistros[Chave do cartão],0),"")</f>
        <v/>
      </c>
    </row>
    <row r="300">
      <c r="A300" s="2">
        <f>IF($L300="","",IF(INDEX(tblRegistros[Data],$L300)&gt;$D$4,"",IFERROR(INDEX(tblRegistros[Data],$L300),"")))</f>
        <v/>
      </c>
      <c r="B300">
        <f>IF($L300="","",IF(INDEX(tblRegistros[Data],$L300)&gt;$D$4,"",IFERROR(INDEX(tblRegistros[Projeto],$L300),"")))</f>
        <v/>
      </c>
      <c r="C300">
        <f>IF($L300="","",IF(INDEX(tblRegistros[Data],$L300)&gt;$D$4,"",IFERROR(INDEX(tblRegistros[Atividade],$L300),"")))</f>
        <v/>
      </c>
      <c r="D300" s="4">
        <f>IF($L300="","",IF(INDEX(tblRegistros[Data],$L300)&gt;$D$4,"",IFERROR(INDEX(tblRegistros[Início],$L300),"")))</f>
        <v/>
      </c>
      <c r="E300" s="4">
        <f>IF($L300="","",IF(INDEX(tblRegistros[Data],$L300)&gt;$D$4,"",IFERROR(IF(INDEX(tblRegistros[Status],$L300)="EM ABERTO","",INDEX(tblRegistros[Fim],$L300)),"")))</f>
        <v/>
      </c>
      <c r="F300" s="14">
        <f>IF($L300="","",IF(INDEX(tblRegistros[Data],$L300)&gt;$D$4,"",IFERROR(IF(INDEX(tblRegistros[Status],$L300)="EM ABERTO","",INDEX(tblRegistros[Horas],$L300)),"")))</f>
        <v/>
      </c>
      <c r="G300">
        <f>IF($L300="","",IF(INDEX(tblRegistros[Data],$L300)&gt;$D$4,"",IFERROR(INDEX(tblRegistros[Base],$L300),"")))</f>
        <v/>
      </c>
      <c r="H300" s="3">
        <f>IF($L300="","",IF(INDEX(tblRegistros[Data],$L300)&gt;$D$4,"",IFERROR(INDEX(tblRegistros[Taxa aplicada],$L300),"")))</f>
        <v/>
      </c>
      <c r="I300" s="3">
        <f>IF($L300="","",IF(INDEX(tblRegistros[Data],$L300)&gt;$D$4,"",IFERROR(IF(INDEX(tblRegistros[Status],$L300)="EM ABERTO","",INDEX(tblRegistros[Valor],$L300)),"")))</f>
        <v/>
      </c>
      <c r="J300">
        <f>IF($L300="","",IF(INDEX(tblRegistros[Data],$L300)&gt;$D$4,"",IFERROR(INDEX(tblRegistros[Status],$L300),"")))</f>
        <v/>
      </c>
      <c r="K300">
        <f>IF($L300="","",IF(INDEX(tblRegistros[Data],$L300)&gt;$D$4,"",IFERROR(INDEX(tblRegistros[Observação],$L300),"")))</f>
        <v/>
      </c>
      <c r="L300" s="16">
        <f>IFERROR(MATCH($B$3*100000+COUNTIFS(tblRegistros[ID],$B$3,tblRegistros[Data],"&lt;"&amp;$B$4)+ROWS($L$10:L300),tblRegistros[Chave do cartão],0),"")</f>
        <v/>
      </c>
    </row>
    <row r="301">
      <c r="A301" s="2">
        <f>IF($L301="","",IF(INDEX(tblRegistros[Data],$L301)&gt;$D$4,"",IFERROR(INDEX(tblRegistros[Data],$L301),"")))</f>
        <v/>
      </c>
      <c r="B301">
        <f>IF($L301="","",IF(INDEX(tblRegistros[Data],$L301)&gt;$D$4,"",IFERROR(INDEX(tblRegistros[Projeto],$L301),"")))</f>
        <v/>
      </c>
      <c r="C301">
        <f>IF($L301="","",IF(INDEX(tblRegistros[Data],$L301)&gt;$D$4,"",IFERROR(INDEX(tblRegistros[Atividade],$L301),"")))</f>
        <v/>
      </c>
      <c r="D301" s="4">
        <f>IF($L301="","",IF(INDEX(tblRegistros[Data],$L301)&gt;$D$4,"",IFERROR(INDEX(tblRegistros[Início],$L301),"")))</f>
        <v/>
      </c>
      <c r="E301" s="4">
        <f>IF($L301="","",IF(INDEX(tblRegistros[Data],$L301)&gt;$D$4,"",IFERROR(IF(INDEX(tblRegistros[Status],$L301)="EM ABERTO","",INDEX(tblRegistros[Fim],$L301)),"")))</f>
        <v/>
      </c>
      <c r="F301" s="14">
        <f>IF($L301="","",IF(INDEX(tblRegistros[Data],$L301)&gt;$D$4,"",IFERROR(IF(INDEX(tblRegistros[Status],$L301)="EM ABERTO","",INDEX(tblRegistros[Horas],$L301)),"")))</f>
        <v/>
      </c>
      <c r="G301">
        <f>IF($L301="","",IF(INDEX(tblRegistros[Data],$L301)&gt;$D$4,"",IFERROR(INDEX(tblRegistros[Base],$L301),"")))</f>
        <v/>
      </c>
      <c r="H301" s="3">
        <f>IF($L301="","",IF(INDEX(tblRegistros[Data],$L301)&gt;$D$4,"",IFERROR(INDEX(tblRegistros[Taxa aplicada],$L301),"")))</f>
        <v/>
      </c>
      <c r="I301" s="3">
        <f>IF($L301="","",IF(INDEX(tblRegistros[Data],$L301)&gt;$D$4,"",IFERROR(IF(INDEX(tblRegistros[Status],$L301)="EM ABERTO","",INDEX(tblRegistros[Valor],$L301)),"")))</f>
        <v/>
      </c>
      <c r="J301">
        <f>IF($L301="","",IF(INDEX(tblRegistros[Data],$L301)&gt;$D$4,"",IFERROR(INDEX(tblRegistros[Status],$L301),"")))</f>
        <v/>
      </c>
      <c r="K301">
        <f>IF($L301="","",IF(INDEX(tblRegistros[Data],$L301)&gt;$D$4,"",IFERROR(INDEX(tblRegistros[Observação],$L301),"")))</f>
        <v/>
      </c>
      <c r="L301" s="16">
        <f>IFERROR(MATCH($B$3*100000+COUNTIFS(tblRegistros[ID],$B$3,tblRegistros[Data],"&lt;"&amp;$B$4)+ROWS($L$10:L301),tblRegistros[Chave do cartão],0),"")</f>
        <v/>
      </c>
    </row>
    <row r="302">
      <c r="A302" s="2">
        <f>IF($L302="","",IF(INDEX(tblRegistros[Data],$L302)&gt;$D$4,"",IFERROR(INDEX(tblRegistros[Data],$L302),"")))</f>
        <v/>
      </c>
      <c r="B302">
        <f>IF($L302="","",IF(INDEX(tblRegistros[Data],$L302)&gt;$D$4,"",IFERROR(INDEX(tblRegistros[Projeto],$L302),"")))</f>
        <v/>
      </c>
      <c r="C302">
        <f>IF($L302="","",IF(INDEX(tblRegistros[Data],$L302)&gt;$D$4,"",IFERROR(INDEX(tblRegistros[Atividade],$L302),"")))</f>
        <v/>
      </c>
      <c r="D302" s="4">
        <f>IF($L302="","",IF(INDEX(tblRegistros[Data],$L302)&gt;$D$4,"",IFERROR(INDEX(tblRegistros[Início],$L302),"")))</f>
        <v/>
      </c>
      <c r="E302" s="4">
        <f>IF($L302="","",IF(INDEX(tblRegistros[Data],$L302)&gt;$D$4,"",IFERROR(IF(INDEX(tblRegistros[Status],$L302)="EM ABERTO","",INDEX(tblRegistros[Fim],$L302)),"")))</f>
        <v/>
      </c>
      <c r="F302" s="14">
        <f>IF($L302="","",IF(INDEX(tblRegistros[Data],$L302)&gt;$D$4,"",IFERROR(IF(INDEX(tblRegistros[Status],$L302)="EM ABERTO","",INDEX(tblRegistros[Horas],$L302)),"")))</f>
        <v/>
      </c>
      <c r="G302">
        <f>IF($L302="","",IF(INDEX(tblRegistros[Data],$L302)&gt;$D$4,"",IFERROR(INDEX(tblRegistros[Base],$L302),"")))</f>
        <v/>
      </c>
      <c r="H302" s="3">
        <f>IF($L302="","",IF(INDEX(tblRegistros[Data],$L302)&gt;$D$4,"",IFERROR(INDEX(tblRegistros[Taxa aplicada],$L302),"")))</f>
        <v/>
      </c>
      <c r="I302" s="3">
        <f>IF($L302="","",IF(INDEX(tblRegistros[Data],$L302)&gt;$D$4,"",IFERROR(IF(INDEX(tblRegistros[Status],$L302)="EM ABERTO","",INDEX(tblRegistros[Valor],$L302)),"")))</f>
        <v/>
      </c>
      <c r="J302">
        <f>IF($L302="","",IF(INDEX(tblRegistros[Data],$L302)&gt;$D$4,"",IFERROR(INDEX(tblRegistros[Status],$L302),"")))</f>
        <v/>
      </c>
      <c r="K302">
        <f>IF($L302="","",IF(INDEX(tblRegistros[Data],$L302)&gt;$D$4,"",IFERROR(INDEX(tblRegistros[Observação],$L302),"")))</f>
        <v/>
      </c>
      <c r="L302" s="16">
        <f>IFERROR(MATCH($B$3*100000+COUNTIFS(tblRegistros[ID],$B$3,tblRegistros[Data],"&lt;"&amp;$B$4)+ROWS($L$10:L302),tblRegistros[Chave do cartão],0),"")</f>
        <v/>
      </c>
    </row>
    <row r="303">
      <c r="A303" s="2">
        <f>IF($L303="","",IF(INDEX(tblRegistros[Data],$L303)&gt;$D$4,"",IFERROR(INDEX(tblRegistros[Data],$L303),"")))</f>
        <v/>
      </c>
      <c r="B303">
        <f>IF($L303="","",IF(INDEX(tblRegistros[Data],$L303)&gt;$D$4,"",IFERROR(INDEX(tblRegistros[Projeto],$L303),"")))</f>
        <v/>
      </c>
      <c r="C303">
        <f>IF($L303="","",IF(INDEX(tblRegistros[Data],$L303)&gt;$D$4,"",IFERROR(INDEX(tblRegistros[Atividade],$L303),"")))</f>
        <v/>
      </c>
      <c r="D303" s="4">
        <f>IF($L303="","",IF(INDEX(tblRegistros[Data],$L303)&gt;$D$4,"",IFERROR(INDEX(tblRegistros[Início],$L303),"")))</f>
        <v/>
      </c>
      <c r="E303" s="4">
        <f>IF($L303="","",IF(INDEX(tblRegistros[Data],$L303)&gt;$D$4,"",IFERROR(IF(INDEX(tblRegistros[Status],$L303)="EM ABERTO","",INDEX(tblRegistros[Fim],$L303)),"")))</f>
        <v/>
      </c>
      <c r="F303" s="14">
        <f>IF($L303="","",IF(INDEX(tblRegistros[Data],$L303)&gt;$D$4,"",IFERROR(IF(INDEX(tblRegistros[Status],$L303)="EM ABERTO","",INDEX(tblRegistros[Horas],$L303)),"")))</f>
        <v/>
      </c>
      <c r="G303">
        <f>IF($L303="","",IF(INDEX(tblRegistros[Data],$L303)&gt;$D$4,"",IFERROR(INDEX(tblRegistros[Base],$L303),"")))</f>
        <v/>
      </c>
      <c r="H303" s="3">
        <f>IF($L303="","",IF(INDEX(tblRegistros[Data],$L303)&gt;$D$4,"",IFERROR(INDEX(tblRegistros[Taxa aplicada],$L303),"")))</f>
        <v/>
      </c>
      <c r="I303" s="3">
        <f>IF($L303="","",IF(INDEX(tblRegistros[Data],$L303)&gt;$D$4,"",IFERROR(IF(INDEX(tblRegistros[Status],$L303)="EM ABERTO","",INDEX(tblRegistros[Valor],$L303)),"")))</f>
        <v/>
      </c>
      <c r="J303">
        <f>IF($L303="","",IF(INDEX(tblRegistros[Data],$L303)&gt;$D$4,"",IFERROR(INDEX(tblRegistros[Status],$L303),"")))</f>
        <v/>
      </c>
      <c r="K303">
        <f>IF($L303="","",IF(INDEX(tblRegistros[Data],$L303)&gt;$D$4,"",IFERROR(INDEX(tblRegistros[Observação],$L303),"")))</f>
        <v/>
      </c>
      <c r="L303" s="16">
        <f>IFERROR(MATCH($B$3*100000+COUNTIFS(tblRegistros[ID],$B$3,tblRegistros[Data],"&lt;"&amp;$B$4)+ROWS($L$10:L303),tblRegistros[Chave do cartão],0),"")</f>
        <v/>
      </c>
    </row>
    <row r="304">
      <c r="A304" s="2">
        <f>IF($L304="","",IF(INDEX(tblRegistros[Data],$L304)&gt;$D$4,"",IFERROR(INDEX(tblRegistros[Data],$L304),"")))</f>
        <v/>
      </c>
      <c r="B304">
        <f>IF($L304="","",IF(INDEX(tblRegistros[Data],$L304)&gt;$D$4,"",IFERROR(INDEX(tblRegistros[Projeto],$L304),"")))</f>
        <v/>
      </c>
      <c r="C304">
        <f>IF($L304="","",IF(INDEX(tblRegistros[Data],$L304)&gt;$D$4,"",IFERROR(INDEX(tblRegistros[Atividade],$L304),"")))</f>
        <v/>
      </c>
      <c r="D304" s="4">
        <f>IF($L304="","",IF(INDEX(tblRegistros[Data],$L304)&gt;$D$4,"",IFERROR(INDEX(tblRegistros[Início],$L304),"")))</f>
        <v/>
      </c>
      <c r="E304" s="4">
        <f>IF($L304="","",IF(INDEX(tblRegistros[Data],$L304)&gt;$D$4,"",IFERROR(IF(INDEX(tblRegistros[Status],$L304)="EM ABERTO","",INDEX(tblRegistros[Fim],$L304)),"")))</f>
        <v/>
      </c>
      <c r="F304" s="14">
        <f>IF($L304="","",IF(INDEX(tblRegistros[Data],$L304)&gt;$D$4,"",IFERROR(IF(INDEX(tblRegistros[Status],$L304)="EM ABERTO","",INDEX(tblRegistros[Horas],$L304)),"")))</f>
        <v/>
      </c>
      <c r="G304">
        <f>IF($L304="","",IF(INDEX(tblRegistros[Data],$L304)&gt;$D$4,"",IFERROR(INDEX(tblRegistros[Base],$L304),"")))</f>
        <v/>
      </c>
      <c r="H304" s="3">
        <f>IF($L304="","",IF(INDEX(tblRegistros[Data],$L304)&gt;$D$4,"",IFERROR(INDEX(tblRegistros[Taxa aplicada],$L304),"")))</f>
        <v/>
      </c>
      <c r="I304" s="3">
        <f>IF($L304="","",IF(INDEX(tblRegistros[Data],$L304)&gt;$D$4,"",IFERROR(IF(INDEX(tblRegistros[Status],$L304)="EM ABERTO","",INDEX(tblRegistros[Valor],$L304)),"")))</f>
        <v/>
      </c>
      <c r="J304">
        <f>IF($L304="","",IF(INDEX(tblRegistros[Data],$L304)&gt;$D$4,"",IFERROR(INDEX(tblRegistros[Status],$L304),"")))</f>
        <v/>
      </c>
      <c r="K304">
        <f>IF($L304="","",IF(INDEX(tblRegistros[Data],$L304)&gt;$D$4,"",IFERROR(INDEX(tblRegistros[Observação],$L304),"")))</f>
        <v/>
      </c>
      <c r="L304" s="16">
        <f>IFERROR(MATCH($B$3*100000+COUNTIFS(tblRegistros[ID],$B$3,tblRegistros[Data],"&lt;"&amp;$B$4)+ROWS($L$10:L304),tblRegistros[Chave do cartão],0),"")</f>
        <v/>
      </c>
    </row>
    <row r="305">
      <c r="A305" s="2">
        <f>IF($L305="","",IF(INDEX(tblRegistros[Data],$L305)&gt;$D$4,"",IFERROR(INDEX(tblRegistros[Data],$L305),"")))</f>
        <v/>
      </c>
      <c r="B305">
        <f>IF($L305="","",IF(INDEX(tblRegistros[Data],$L305)&gt;$D$4,"",IFERROR(INDEX(tblRegistros[Projeto],$L305),"")))</f>
        <v/>
      </c>
      <c r="C305">
        <f>IF($L305="","",IF(INDEX(tblRegistros[Data],$L305)&gt;$D$4,"",IFERROR(INDEX(tblRegistros[Atividade],$L305),"")))</f>
        <v/>
      </c>
      <c r="D305" s="4">
        <f>IF($L305="","",IF(INDEX(tblRegistros[Data],$L305)&gt;$D$4,"",IFERROR(INDEX(tblRegistros[Início],$L305),"")))</f>
        <v/>
      </c>
      <c r="E305" s="4">
        <f>IF($L305="","",IF(INDEX(tblRegistros[Data],$L305)&gt;$D$4,"",IFERROR(IF(INDEX(tblRegistros[Status],$L305)="EM ABERTO","",INDEX(tblRegistros[Fim],$L305)),"")))</f>
        <v/>
      </c>
      <c r="F305" s="14">
        <f>IF($L305="","",IF(INDEX(tblRegistros[Data],$L305)&gt;$D$4,"",IFERROR(IF(INDEX(tblRegistros[Status],$L305)="EM ABERTO","",INDEX(tblRegistros[Horas],$L305)),"")))</f>
        <v/>
      </c>
      <c r="G305">
        <f>IF($L305="","",IF(INDEX(tblRegistros[Data],$L305)&gt;$D$4,"",IFERROR(INDEX(tblRegistros[Base],$L305),"")))</f>
        <v/>
      </c>
      <c r="H305" s="3">
        <f>IF($L305="","",IF(INDEX(tblRegistros[Data],$L305)&gt;$D$4,"",IFERROR(INDEX(tblRegistros[Taxa aplicada],$L305),"")))</f>
        <v/>
      </c>
      <c r="I305" s="3">
        <f>IF($L305="","",IF(INDEX(tblRegistros[Data],$L305)&gt;$D$4,"",IFERROR(IF(INDEX(tblRegistros[Status],$L305)="EM ABERTO","",INDEX(tblRegistros[Valor],$L305)),"")))</f>
        <v/>
      </c>
      <c r="J305">
        <f>IF($L305="","",IF(INDEX(tblRegistros[Data],$L305)&gt;$D$4,"",IFERROR(INDEX(tblRegistros[Status],$L305),"")))</f>
        <v/>
      </c>
      <c r="K305">
        <f>IF($L305="","",IF(INDEX(tblRegistros[Data],$L305)&gt;$D$4,"",IFERROR(INDEX(tblRegistros[Observação],$L305),"")))</f>
        <v/>
      </c>
      <c r="L305" s="16">
        <f>IFERROR(MATCH($B$3*100000+COUNTIFS(tblRegistros[ID],$B$3,tblRegistros[Data],"&lt;"&amp;$B$4)+ROWS($L$10:L305),tblRegistros[Chave do cartão],0),"")</f>
        <v/>
      </c>
    </row>
    <row r="306">
      <c r="A306" s="2">
        <f>IF($L306="","",IF(INDEX(tblRegistros[Data],$L306)&gt;$D$4,"",IFERROR(INDEX(tblRegistros[Data],$L306),"")))</f>
        <v/>
      </c>
      <c r="B306">
        <f>IF($L306="","",IF(INDEX(tblRegistros[Data],$L306)&gt;$D$4,"",IFERROR(INDEX(tblRegistros[Projeto],$L306),"")))</f>
        <v/>
      </c>
      <c r="C306">
        <f>IF($L306="","",IF(INDEX(tblRegistros[Data],$L306)&gt;$D$4,"",IFERROR(INDEX(tblRegistros[Atividade],$L306),"")))</f>
        <v/>
      </c>
      <c r="D306" s="4">
        <f>IF($L306="","",IF(INDEX(tblRegistros[Data],$L306)&gt;$D$4,"",IFERROR(INDEX(tblRegistros[Início],$L306),"")))</f>
        <v/>
      </c>
      <c r="E306" s="4">
        <f>IF($L306="","",IF(INDEX(tblRegistros[Data],$L306)&gt;$D$4,"",IFERROR(IF(INDEX(tblRegistros[Status],$L306)="EM ABERTO","",INDEX(tblRegistros[Fim],$L306)),"")))</f>
        <v/>
      </c>
      <c r="F306" s="14">
        <f>IF($L306="","",IF(INDEX(tblRegistros[Data],$L306)&gt;$D$4,"",IFERROR(IF(INDEX(tblRegistros[Status],$L306)="EM ABERTO","",INDEX(tblRegistros[Horas],$L306)),"")))</f>
        <v/>
      </c>
      <c r="G306">
        <f>IF($L306="","",IF(INDEX(tblRegistros[Data],$L306)&gt;$D$4,"",IFERROR(INDEX(tblRegistros[Base],$L306),"")))</f>
        <v/>
      </c>
      <c r="H306" s="3">
        <f>IF($L306="","",IF(INDEX(tblRegistros[Data],$L306)&gt;$D$4,"",IFERROR(INDEX(tblRegistros[Taxa aplicada],$L306),"")))</f>
        <v/>
      </c>
      <c r="I306" s="3">
        <f>IF($L306="","",IF(INDEX(tblRegistros[Data],$L306)&gt;$D$4,"",IFERROR(IF(INDEX(tblRegistros[Status],$L306)="EM ABERTO","",INDEX(tblRegistros[Valor],$L306)),"")))</f>
        <v/>
      </c>
      <c r="J306">
        <f>IF($L306="","",IF(INDEX(tblRegistros[Data],$L306)&gt;$D$4,"",IFERROR(INDEX(tblRegistros[Status],$L306),"")))</f>
        <v/>
      </c>
      <c r="K306">
        <f>IF($L306="","",IF(INDEX(tblRegistros[Data],$L306)&gt;$D$4,"",IFERROR(INDEX(tblRegistros[Observação],$L306),"")))</f>
        <v/>
      </c>
      <c r="L306" s="16">
        <f>IFERROR(MATCH($B$3*100000+COUNTIFS(tblRegistros[ID],$B$3,tblRegistros[Data],"&lt;"&amp;$B$4)+ROWS($L$10:L306),tblRegistros[Chave do cartão],0),"")</f>
        <v/>
      </c>
    </row>
    <row r="307">
      <c r="A307" s="2">
        <f>IF($L307="","",IF(INDEX(tblRegistros[Data],$L307)&gt;$D$4,"",IFERROR(INDEX(tblRegistros[Data],$L307),"")))</f>
        <v/>
      </c>
      <c r="B307">
        <f>IF($L307="","",IF(INDEX(tblRegistros[Data],$L307)&gt;$D$4,"",IFERROR(INDEX(tblRegistros[Projeto],$L307),"")))</f>
        <v/>
      </c>
      <c r="C307">
        <f>IF($L307="","",IF(INDEX(tblRegistros[Data],$L307)&gt;$D$4,"",IFERROR(INDEX(tblRegistros[Atividade],$L307),"")))</f>
        <v/>
      </c>
      <c r="D307" s="4">
        <f>IF($L307="","",IF(INDEX(tblRegistros[Data],$L307)&gt;$D$4,"",IFERROR(INDEX(tblRegistros[Início],$L307),"")))</f>
        <v/>
      </c>
      <c r="E307" s="4">
        <f>IF($L307="","",IF(INDEX(tblRegistros[Data],$L307)&gt;$D$4,"",IFERROR(IF(INDEX(tblRegistros[Status],$L307)="EM ABERTO","",INDEX(tblRegistros[Fim],$L307)),"")))</f>
        <v/>
      </c>
      <c r="F307" s="14">
        <f>IF($L307="","",IF(INDEX(tblRegistros[Data],$L307)&gt;$D$4,"",IFERROR(IF(INDEX(tblRegistros[Status],$L307)="EM ABERTO","",INDEX(tblRegistros[Horas],$L307)),"")))</f>
        <v/>
      </c>
      <c r="G307">
        <f>IF($L307="","",IF(INDEX(tblRegistros[Data],$L307)&gt;$D$4,"",IFERROR(INDEX(tblRegistros[Base],$L307),"")))</f>
        <v/>
      </c>
      <c r="H307" s="3">
        <f>IF($L307="","",IF(INDEX(tblRegistros[Data],$L307)&gt;$D$4,"",IFERROR(INDEX(tblRegistros[Taxa aplicada],$L307),"")))</f>
        <v/>
      </c>
      <c r="I307" s="3">
        <f>IF($L307="","",IF(INDEX(tblRegistros[Data],$L307)&gt;$D$4,"",IFERROR(IF(INDEX(tblRegistros[Status],$L307)="EM ABERTO","",INDEX(tblRegistros[Valor],$L307)),"")))</f>
        <v/>
      </c>
      <c r="J307">
        <f>IF($L307="","",IF(INDEX(tblRegistros[Data],$L307)&gt;$D$4,"",IFERROR(INDEX(tblRegistros[Status],$L307),"")))</f>
        <v/>
      </c>
      <c r="K307">
        <f>IF($L307="","",IF(INDEX(tblRegistros[Data],$L307)&gt;$D$4,"",IFERROR(INDEX(tblRegistros[Observação],$L307),"")))</f>
        <v/>
      </c>
      <c r="L307" s="16">
        <f>IFERROR(MATCH($B$3*100000+COUNTIFS(tblRegistros[ID],$B$3,tblRegistros[Data],"&lt;"&amp;$B$4)+ROWS($L$10:L307),tblRegistros[Chave do cartão],0),"")</f>
        <v/>
      </c>
    </row>
    <row r="308">
      <c r="A308" s="2">
        <f>IF($L308="","",IF(INDEX(tblRegistros[Data],$L308)&gt;$D$4,"",IFERROR(INDEX(tblRegistros[Data],$L308),"")))</f>
        <v/>
      </c>
      <c r="B308">
        <f>IF($L308="","",IF(INDEX(tblRegistros[Data],$L308)&gt;$D$4,"",IFERROR(INDEX(tblRegistros[Projeto],$L308),"")))</f>
        <v/>
      </c>
      <c r="C308">
        <f>IF($L308="","",IF(INDEX(tblRegistros[Data],$L308)&gt;$D$4,"",IFERROR(INDEX(tblRegistros[Atividade],$L308),"")))</f>
        <v/>
      </c>
      <c r="D308" s="4">
        <f>IF($L308="","",IF(INDEX(tblRegistros[Data],$L308)&gt;$D$4,"",IFERROR(INDEX(tblRegistros[Início],$L308),"")))</f>
        <v/>
      </c>
      <c r="E308" s="4">
        <f>IF($L308="","",IF(INDEX(tblRegistros[Data],$L308)&gt;$D$4,"",IFERROR(IF(INDEX(tblRegistros[Status],$L308)="EM ABERTO","",INDEX(tblRegistros[Fim],$L308)),"")))</f>
        <v/>
      </c>
      <c r="F308" s="14">
        <f>IF($L308="","",IF(INDEX(tblRegistros[Data],$L308)&gt;$D$4,"",IFERROR(IF(INDEX(tblRegistros[Status],$L308)="EM ABERTO","",INDEX(tblRegistros[Horas],$L308)),"")))</f>
        <v/>
      </c>
      <c r="G308">
        <f>IF($L308="","",IF(INDEX(tblRegistros[Data],$L308)&gt;$D$4,"",IFERROR(INDEX(tblRegistros[Base],$L308),"")))</f>
        <v/>
      </c>
      <c r="H308" s="3">
        <f>IF($L308="","",IF(INDEX(tblRegistros[Data],$L308)&gt;$D$4,"",IFERROR(INDEX(tblRegistros[Taxa aplicada],$L308),"")))</f>
        <v/>
      </c>
      <c r="I308" s="3">
        <f>IF($L308="","",IF(INDEX(tblRegistros[Data],$L308)&gt;$D$4,"",IFERROR(IF(INDEX(tblRegistros[Status],$L308)="EM ABERTO","",INDEX(tblRegistros[Valor],$L308)),"")))</f>
        <v/>
      </c>
      <c r="J308">
        <f>IF($L308="","",IF(INDEX(tblRegistros[Data],$L308)&gt;$D$4,"",IFERROR(INDEX(tblRegistros[Status],$L308),"")))</f>
        <v/>
      </c>
      <c r="K308">
        <f>IF($L308="","",IF(INDEX(tblRegistros[Data],$L308)&gt;$D$4,"",IFERROR(INDEX(tblRegistros[Observação],$L308),"")))</f>
        <v/>
      </c>
      <c r="L308" s="16">
        <f>IFERROR(MATCH($B$3*100000+COUNTIFS(tblRegistros[ID],$B$3,tblRegistros[Data],"&lt;"&amp;$B$4)+ROWS($L$10:L308),tblRegistros[Chave do cartão],0),"")</f>
        <v/>
      </c>
    </row>
    <row r="309">
      <c r="A309" s="2">
        <f>IF($L309="","",IF(INDEX(tblRegistros[Data],$L309)&gt;$D$4,"",IFERROR(INDEX(tblRegistros[Data],$L309),"")))</f>
        <v/>
      </c>
      <c r="B309">
        <f>IF($L309="","",IF(INDEX(tblRegistros[Data],$L309)&gt;$D$4,"",IFERROR(INDEX(tblRegistros[Projeto],$L309),"")))</f>
        <v/>
      </c>
      <c r="C309">
        <f>IF($L309="","",IF(INDEX(tblRegistros[Data],$L309)&gt;$D$4,"",IFERROR(INDEX(tblRegistros[Atividade],$L309),"")))</f>
        <v/>
      </c>
      <c r="D309" s="4">
        <f>IF($L309="","",IF(INDEX(tblRegistros[Data],$L309)&gt;$D$4,"",IFERROR(INDEX(tblRegistros[Início],$L309),"")))</f>
        <v/>
      </c>
      <c r="E309" s="4">
        <f>IF($L309="","",IF(INDEX(tblRegistros[Data],$L309)&gt;$D$4,"",IFERROR(IF(INDEX(tblRegistros[Status],$L309)="EM ABERTO","",INDEX(tblRegistros[Fim],$L309)),"")))</f>
        <v/>
      </c>
      <c r="F309" s="14">
        <f>IF($L309="","",IF(INDEX(tblRegistros[Data],$L309)&gt;$D$4,"",IFERROR(IF(INDEX(tblRegistros[Status],$L309)="EM ABERTO","",INDEX(tblRegistros[Horas],$L309)),"")))</f>
        <v/>
      </c>
      <c r="G309">
        <f>IF($L309="","",IF(INDEX(tblRegistros[Data],$L309)&gt;$D$4,"",IFERROR(INDEX(tblRegistros[Base],$L309),"")))</f>
        <v/>
      </c>
      <c r="H309" s="3">
        <f>IF($L309="","",IF(INDEX(tblRegistros[Data],$L309)&gt;$D$4,"",IFERROR(INDEX(tblRegistros[Taxa aplicada],$L309),"")))</f>
        <v/>
      </c>
      <c r="I309" s="3">
        <f>IF($L309="","",IF(INDEX(tblRegistros[Data],$L309)&gt;$D$4,"",IFERROR(IF(INDEX(tblRegistros[Status],$L309)="EM ABERTO","",INDEX(tblRegistros[Valor],$L309)),"")))</f>
        <v/>
      </c>
      <c r="J309">
        <f>IF($L309="","",IF(INDEX(tblRegistros[Data],$L309)&gt;$D$4,"",IFERROR(INDEX(tblRegistros[Status],$L309),"")))</f>
        <v/>
      </c>
      <c r="K309">
        <f>IF($L309="","",IF(INDEX(tblRegistros[Data],$L309)&gt;$D$4,"",IFERROR(INDEX(tblRegistros[Observação],$L309),"")))</f>
        <v/>
      </c>
      <c r="L309" s="16">
        <f>IFERROR(MATCH($B$3*100000+COUNTIFS(tblRegistros[ID],$B$3,tblRegistros[Data],"&lt;"&amp;$B$4)+ROWS($L$10:L309),tblRegistros[Chave do cartão],0),"")</f>
        <v/>
      </c>
    </row>
    <row r="310">
      <c r="A310" s="2">
        <f>IF($L310="","",IF(INDEX(tblRegistros[Data],$L310)&gt;$D$4,"",IFERROR(INDEX(tblRegistros[Data],$L310),"")))</f>
        <v/>
      </c>
      <c r="B310">
        <f>IF($L310="","",IF(INDEX(tblRegistros[Data],$L310)&gt;$D$4,"",IFERROR(INDEX(tblRegistros[Projeto],$L310),"")))</f>
        <v/>
      </c>
      <c r="C310">
        <f>IF($L310="","",IF(INDEX(tblRegistros[Data],$L310)&gt;$D$4,"",IFERROR(INDEX(tblRegistros[Atividade],$L310),"")))</f>
        <v/>
      </c>
      <c r="D310" s="4">
        <f>IF($L310="","",IF(INDEX(tblRegistros[Data],$L310)&gt;$D$4,"",IFERROR(INDEX(tblRegistros[Início],$L310),"")))</f>
        <v/>
      </c>
      <c r="E310" s="4">
        <f>IF($L310="","",IF(INDEX(tblRegistros[Data],$L310)&gt;$D$4,"",IFERROR(IF(INDEX(tblRegistros[Status],$L310)="EM ABERTO","",INDEX(tblRegistros[Fim],$L310)),"")))</f>
        <v/>
      </c>
      <c r="F310" s="14">
        <f>IF($L310="","",IF(INDEX(tblRegistros[Data],$L310)&gt;$D$4,"",IFERROR(IF(INDEX(tblRegistros[Status],$L310)="EM ABERTO","",INDEX(tblRegistros[Horas],$L310)),"")))</f>
        <v/>
      </c>
      <c r="G310">
        <f>IF($L310="","",IF(INDEX(tblRegistros[Data],$L310)&gt;$D$4,"",IFERROR(INDEX(tblRegistros[Base],$L310),"")))</f>
        <v/>
      </c>
      <c r="H310" s="3">
        <f>IF($L310="","",IF(INDEX(tblRegistros[Data],$L310)&gt;$D$4,"",IFERROR(INDEX(tblRegistros[Taxa aplicada],$L310),"")))</f>
        <v/>
      </c>
      <c r="I310" s="3">
        <f>IF($L310="","",IF(INDEX(tblRegistros[Data],$L310)&gt;$D$4,"",IFERROR(IF(INDEX(tblRegistros[Status],$L310)="EM ABERTO","",INDEX(tblRegistros[Valor],$L310)),"")))</f>
        <v/>
      </c>
      <c r="J310">
        <f>IF($L310="","",IF(INDEX(tblRegistros[Data],$L310)&gt;$D$4,"",IFERROR(INDEX(tblRegistros[Status],$L310),"")))</f>
        <v/>
      </c>
      <c r="K310">
        <f>IF($L310="","",IF(INDEX(tblRegistros[Data],$L310)&gt;$D$4,"",IFERROR(INDEX(tblRegistros[Observação],$L310),"")))</f>
        <v/>
      </c>
      <c r="L310" s="16">
        <f>IFERROR(MATCH($B$3*100000+COUNTIFS(tblRegistros[ID],$B$3,tblRegistros[Data],"&lt;"&amp;$B$4)+ROWS($L$10:L310),tblRegistros[Chave do cartão],0),"")</f>
        <v/>
      </c>
    </row>
    <row r="311">
      <c r="A311" s="2">
        <f>IF($L311="","",IF(INDEX(tblRegistros[Data],$L311)&gt;$D$4,"",IFERROR(INDEX(tblRegistros[Data],$L311),"")))</f>
        <v/>
      </c>
      <c r="B311">
        <f>IF($L311="","",IF(INDEX(tblRegistros[Data],$L311)&gt;$D$4,"",IFERROR(INDEX(tblRegistros[Projeto],$L311),"")))</f>
        <v/>
      </c>
      <c r="C311">
        <f>IF($L311="","",IF(INDEX(tblRegistros[Data],$L311)&gt;$D$4,"",IFERROR(INDEX(tblRegistros[Atividade],$L311),"")))</f>
        <v/>
      </c>
      <c r="D311" s="4">
        <f>IF($L311="","",IF(INDEX(tblRegistros[Data],$L311)&gt;$D$4,"",IFERROR(INDEX(tblRegistros[Início],$L311),"")))</f>
        <v/>
      </c>
      <c r="E311" s="4">
        <f>IF($L311="","",IF(INDEX(tblRegistros[Data],$L311)&gt;$D$4,"",IFERROR(IF(INDEX(tblRegistros[Status],$L311)="EM ABERTO","",INDEX(tblRegistros[Fim],$L311)),"")))</f>
        <v/>
      </c>
      <c r="F311" s="14">
        <f>IF($L311="","",IF(INDEX(tblRegistros[Data],$L311)&gt;$D$4,"",IFERROR(IF(INDEX(tblRegistros[Status],$L311)="EM ABERTO","",INDEX(tblRegistros[Horas],$L311)),"")))</f>
        <v/>
      </c>
      <c r="G311">
        <f>IF($L311="","",IF(INDEX(tblRegistros[Data],$L311)&gt;$D$4,"",IFERROR(INDEX(tblRegistros[Base],$L311),"")))</f>
        <v/>
      </c>
      <c r="H311" s="3">
        <f>IF($L311="","",IF(INDEX(tblRegistros[Data],$L311)&gt;$D$4,"",IFERROR(INDEX(tblRegistros[Taxa aplicada],$L311),"")))</f>
        <v/>
      </c>
      <c r="I311" s="3">
        <f>IF($L311="","",IF(INDEX(tblRegistros[Data],$L311)&gt;$D$4,"",IFERROR(IF(INDEX(tblRegistros[Status],$L311)="EM ABERTO","",INDEX(tblRegistros[Valor],$L311)),"")))</f>
        <v/>
      </c>
      <c r="J311">
        <f>IF($L311="","",IF(INDEX(tblRegistros[Data],$L311)&gt;$D$4,"",IFERROR(INDEX(tblRegistros[Status],$L311),"")))</f>
        <v/>
      </c>
      <c r="K311">
        <f>IF($L311="","",IF(INDEX(tblRegistros[Data],$L311)&gt;$D$4,"",IFERROR(INDEX(tblRegistros[Observação],$L311),"")))</f>
        <v/>
      </c>
      <c r="L311" s="16">
        <f>IFERROR(MATCH($B$3*100000+COUNTIFS(tblRegistros[ID],$B$3,tblRegistros[Data],"&lt;"&amp;$B$4)+ROWS($L$10:L311),tblRegistros[Chave do cartão],0),"")</f>
        <v/>
      </c>
    </row>
    <row r="312">
      <c r="A312" s="2">
        <f>IF($L312="","",IF(INDEX(tblRegistros[Data],$L312)&gt;$D$4,"",IFERROR(INDEX(tblRegistros[Data],$L312),"")))</f>
        <v/>
      </c>
      <c r="B312">
        <f>IF($L312="","",IF(INDEX(tblRegistros[Data],$L312)&gt;$D$4,"",IFERROR(INDEX(tblRegistros[Projeto],$L312),"")))</f>
        <v/>
      </c>
      <c r="C312">
        <f>IF($L312="","",IF(INDEX(tblRegistros[Data],$L312)&gt;$D$4,"",IFERROR(INDEX(tblRegistros[Atividade],$L312),"")))</f>
        <v/>
      </c>
      <c r="D312" s="4">
        <f>IF($L312="","",IF(INDEX(tblRegistros[Data],$L312)&gt;$D$4,"",IFERROR(INDEX(tblRegistros[Início],$L312),"")))</f>
        <v/>
      </c>
      <c r="E312" s="4">
        <f>IF($L312="","",IF(INDEX(tblRegistros[Data],$L312)&gt;$D$4,"",IFERROR(IF(INDEX(tblRegistros[Status],$L312)="EM ABERTO","",INDEX(tblRegistros[Fim],$L312)),"")))</f>
        <v/>
      </c>
      <c r="F312" s="14">
        <f>IF($L312="","",IF(INDEX(tblRegistros[Data],$L312)&gt;$D$4,"",IFERROR(IF(INDEX(tblRegistros[Status],$L312)="EM ABERTO","",INDEX(tblRegistros[Horas],$L312)),"")))</f>
        <v/>
      </c>
      <c r="G312">
        <f>IF($L312="","",IF(INDEX(tblRegistros[Data],$L312)&gt;$D$4,"",IFERROR(INDEX(tblRegistros[Base],$L312),"")))</f>
        <v/>
      </c>
      <c r="H312" s="3">
        <f>IF($L312="","",IF(INDEX(tblRegistros[Data],$L312)&gt;$D$4,"",IFERROR(INDEX(tblRegistros[Taxa aplicada],$L312),"")))</f>
        <v/>
      </c>
      <c r="I312" s="3">
        <f>IF($L312="","",IF(INDEX(tblRegistros[Data],$L312)&gt;$D$4,"",IFERROR(IF(INDEX(tblRegistros[Status],$L312)="EM ABERTO","",INDEX(tblRegistros[Valor],$L312)),"")))</f>
        <v/>
      </c>
      <c r="J312">
        <f>IF($L312="","",IF(INDEX(tblRegistros[Data],$L312)&gt;$D$4,"",IFERROR(INDEX(tblRegistros[Status],$L312),"")))</f>
        <v/>
      </c>
      <c r="K312">
        <f>IF($L312="","",IF(INDEX(tblRegistros[Data],$L312)&gt;$D$4,"",IFERROR(INDEX(tblRegistros[Observação],$L312),"")))</f>
        <v/>
      </c>
      <c r="L312" s="16">
        <f>IFERROR(MATCH($B$3*100000+COUNTIFS(tblRegistros[ID],$B$3,tblRegistros[Data],"&lt;"&amp;$B$4)+ROWS($L$10:L312),tblRegistros[Chave do cartão],0),"")</f>
        <v/>
      </c>
    </row>
    <row r="313">
      <c r="A313" s="2">
        <f>IF($L313="","",IF(INDEX(tblRegistros[Data],$L313)&gt;$D$4,"",IFERROR(INDEX(tblRegistros[Data],$L313),"")))</f>
        <v/>
      </c>
      <c r="B313">
        <f>IF($L313="","",IF(INDEX(tblRegistros[Data],$L313)&gt;$D$4,"",IFERROR(INDEX(tblRegistros[Projeto],$L313),"")))</f>
        <v/>
      </c>
      <c r="C313">
        <f>IF($L313="","",IF(INDEX(tblRegistros[Data],$L313)&gt;$D$4,"",IFERROR(INDEX(tblRegistros[Atividade],$L313),"")))</f>
        <v/>
      </c>
      <c r="D313" s="4">
        <f>IF($L313="","",IF(INDEX(tblRegistros[Data],$L313)&gt;$D$4,"",IFERROR(INDEX(tblRegistros[Início],$L313),"")))</f>
        <v/>
      </c>
      <c r="E313" s="4">
        <f>IF($L313="","",IF(INDEX(tblRegistros[Data],$L313)&gt;$D$4,"",IFERROR(IF(INDEX(tblRegistros[Status],$L313)="EM ABERTO","",INDEX(tblRegistros[Fim],$L313)),"")))</f>
        <v/>
      </c>
      <c r="F313" s="14">
        <f>IF($L313="","",IF(INDEX(tblRegistros[Data],$L313)&gt;$D$4,"",IFERROR(IF(INDEX(tblRegistros[Status],$L313)="EM ABERTO","",INDEX(tblRegistros[Horas],$L313)),"")))</f>
        <v/>
      </c>
      <c r="G313">
        <f>IF($L313="","",IF(INDEX(tblRegistros[Data],$L313)&gt;$D$4,"",IFERROR(INDEX(tblRegistros[Base],$L313),"")))</f>
        <v/>
      </c>
      <c r="H313" s="3">
        <f>IF($L313="","",IF(INDEX(tblRegistros[Data],$L313)&gt;$D$4,"",IFERROR(INDEX(tblRegistros[Taxa aplicada],$L313),"")))</f>
        <v/>
      </c>
      <c r="I313" s="3">
        <f>IF($L313="","",IF(INDEX(tblRegistros[Data],$L313)&gt;$D$4,"",IFERROR(IF(INDEX(tblRegistros[Status],$L313)="EM ABERTO","",INDEX(tblRegistros[Valor],$L313)),"")))</f>
        <v/>
      </c>
      <c r="J313">
        <f>IF($L313="","",IF(INDEX(tblRegistros[Data],$L313)&gt;$D$4,"",IFERROR(INDEX(tblRegistros[Status],$L313),"")))</f>
        <v/>
      </c>
      <c r="K313">
        <f>IF($L313="","",IF(INDEX(tblRegistros[Data],$L313)&gt;$D$4,"",IFERROR(INDEX(tblRegistros[Observação],$L313),"")))</f>
        <v/>
      </c>
      <c r="L313" s="16">
        <f>IFERROR(MATCH($B$3*100000+COUNTIFS(tblRegistros[ID],$B$3,tblRegistros[Data],"&lt;"&amp;$B$4)+ROWS($L$10:L313),tblRegistros[Chave do cartão],0),"")</f>
        <v/>
      </c>
    </row>
    <row r="314">
      <c r="A314" s="2">
        <f>IF($L314="","",IF(INDEX(tblRegistros[Data],$L314)&gt;$D$4,"",IFERROR(INDEX(tblRegistros[Data],$L314),"")))</f>
        <v/>
      </c>
      <c r="B314">
        <f>IF($L314="","",IF(INDEX(tblRegistros[Data],$L314)&gt;$D$4,"",IFERROR(INDEX(tblRegistros[Projeto],$L314),"")))</f>
        <v/>
      </c>
      <c r="C314">
        <f>IF($L314="","",IF(INDEX(tblRegistros[Data],$L314)&gt;$D$4,"",IFERROR(INDEX(tblRegistros[Atividade],$L314),"")))</f>
        <v/>
      </c>
      <c r="D314" s="4">
        <f>IF($L314="","",IF(INDEX(tblRegistros[Data],$L314)&gt;$D$4,"",IFERROR(INDEX(tblRegistros[Início],$L314),"")))</f>
        <v/>
      </c>
      <c r="E314" s="4">
        <f>IF($L314="","",IF(INDEX(tblRegistros[Data],$L314)&gt;$D$4,"",IFERROR(IF(INDEX(tblRegistros[Status],$L314)="EM ABERTO","",INDEX(tblRegistros[Fim],$L314)),"")))</f>
        <v/>
      </c>
      <c r="F314" s="14">
        <f>IF($L314="","",IF(INDEX(tblRegistros[Data],$L314)&gt;$D$4,"",IFERROR(IF(INDEX(tblRegistros[Status],$L314)="EM ABERTO","",INDEX(tblRegistros[Horas],$L314)),"")))</f>
        <v/>
      </c>
      <c r="G314">
        <f>IF($L314="","",IF(INDEX(tblRegistros[Data],$L314)&gt;$D$4,"",IFERROR(INDEX(tblRegistros[Base],$L314),"")))</f>
        <v/>
      </c>
      <c r="H314" s="3">
        <f>IF($L314="","",IF(INDEX(tblRegistros[Data],$L314)&gt;$D$4,"",IFERROR(INDEX(tblRegistros[Taxa aplicada],$L314),"")))</f>
        <v/>
      </c>
      <c r="I314" s="3">
        <f>IF($L314="","",IF(INDEX(tblRegistros[Data],$L314)&gt;$D$4,"",IFERROR(IF(INDEX(tblRegistros[Status],$L314)="EM ABERTO","",INDEX(tblRegistros[Valor],$L314)),"")))</f>
        <v/>
      </c>
      <c r="J314">
        <f>IF($L314="","",IF(INDEX(tblRegistros[Data],$L314)&gt;$D$4,"",IFERROR(INDEX(tblRegistros[Status],$L314),"")))</f>
        <v/>
      </c>
      <c r="K314">
        <f>IF($L314="","",IF(INDEX(tblRegistros[Data],$L314)&gt;$D$4,"",IFERROR(INDEX(tblRegistros[Observação],$L314),"")))</f>
        <v/>
      </c>
      <c r="L314" s="16">
        <f>IFERROR(MATCH($B$3*100000+COUNTIFS(tblRegistros[ID],$B$3,tblRegistros[Data],"&lt;"&amp;$B$4)+ROWS($L$10:L314),tblRegistros[Chave do cartão],0),"")</f>
        <v/>
      </c>
    </row>
    <row r="315">
      <c r="A315" s="2">
        <f>IF($L315="","",IF(INDEX(tblRegistros[Data],$L315)&gt;$D$4,"",IFERROR(INDEX(tblRegistros[Data],$L315),"")))</f>
        <v/>
      </c>
      <c r="B315">
        <f>IF($L315="","",IF(INDEX(tblRegistros[Data],$L315)&gt;$D$4,"",IFERROR(INDEX(tblRegistros[Projeto],$L315),"")))</f>
        <v/>
      </c>
      <c r="C315">
        <f>IF($L315="","",IF(INDEX(tblRegistros[Data],$L315)&gt;$D$4,"",IFERROR(INDEX(tblRegistros[Atividade],$L315),"")))</f>
        <v/>
      </c>
      <c r="D315" s="4">
        <f>IF($L315="","",IF(INDEX(tblRegistros[Data],$L315)&gt;$D$4,"",IFERROR(INDEX(tblRegistros[Início],$L315),"")))</f>
        <v/>
      </c>
      <c r="E315" s="4">
        <f>IF($L315="","",IF(INDEX(tblRegistros[Data],$L315)&gt;$D$4,"",IFERROR(IF(INDEX(tblRegistros[Status],$L315)="EM ABERTO","",INDEX(tblRegistros[Fim],$L315)),"")))</f>
        <v/>
      </c>
      <c r="F315" s="14">
        <f>IF($L315="","",IF(INDEX(tblRegistros[Data],$L315)&gt;$D$4,"",IFERROR(IF(INDEX(tblRegistros[Status],$L315)="EM ABERTO","",INDEX(tblRegistros[Horas],$L315)),"")))</f>
        <v/>
      </c>
      <c r="G315">
        <f>IF($L315="","",IF(INDEX(tblRegistros[Data],$L315)&gt;$D$4,"",IFERROR(INDEX(tblRegistros[Base],$L315),"")))</f>
        <v/>
      </c>
      <c r="H315" s="3">
        <f>IF($L315="","",IF(INDEX(tblRegistros[Data],$L315)&gt;$D$4,"",IFERROR(INDEX(tblRegistros[Taxa aplicada],$L315),"")))</f>
        <v/>
      </c>
      <c r="I315" s="3">
        <f>IF($L315="","",IF(INDEX(tblRegistros[Data],$L315)&gt;$D$4,"",IFERROR(IF(INDEX(tblRegistros[Status],$L315)="EM ABERTO","",INDEX(tblRegistros[Valor],$L315)),"")))</f>
        <v/>
      </c>
      <c r="J315">
        <f>IF($L315="","",IF(INDEX(tblRegistros[Data],$L315)&gt;$D$4,"",IFERROR(INDEX(tblRegistros[Status],$L315),"")))</f>
        <v/>
      </c>
      <c r="K315">
        <f>IF($L315="","",IF(INDEX(tblRegistros[Data],$L315)&gt;$D$4,"",IFERROR(INDEX(tblRegistros[Observação],$L315),"")))</f>
        <v/>
      </c>
      <c r="L315" s="16">
        <f>IFERROR(MATCH($B$3*100000+COUNTIFS(tblRegistros[ID],$B$3,tblRegistros[Data],"&lt;"&amp;$B$4)+ROWS($L$10:L315),tblRegistros[Chave do cartão],0),"")</f>
        <v/>
      </c>
    </row>
    <row r="316">
      <c r="A316" s="2">
        <f>IF($L316="","",IF(INDEX(tblRegistros[Data],$L316)&gt;$D$4,"",IFERROR(INDEX(tblRegistros[Data],$L316),"")))</f>
        <v/>
      </c>
      <c r="B316">
        <f>IF($L316="","",IF(INDEX(tblRegistros[Data],$L316)&gt;$D$4,"",IFERROR(INDEX(tblRegistros[Projeto],$L316),"")))</f>
        <v/>
      </c>
      <c r="C316">
        <f>IF($L316="","",IF(INDEX(tblRegistros[Data],$L316)&gt;$D$4,"",IFERROR(INDEX(tblRegistros[Atividade],$L316),"")))</f>
        <v/>
      </c>
      <c r="D316" s="4">
        <f>IF($L316="","",IF(INDEX(tblRegistros[Data],$L316)&gt;$D$4,"",IFERROR(INDEX(tblRegistros[Início],$L316),"")))</f>
        <v/>
      </c>
      <c r="E316" s="4">
        <f>IF($L316="","",IF(INDEX(tblRegistros[Data],$L316)&gt;$D$4,"",IFERROR(IF(INDEX(tblRegistros[Status],$L316)="EM ABERTO","",INDEX(tblRegistros[Fim],$L316)),"")))</f>
        <v/>
      </c>
      <c r="F316" s="14">
        <f>IF($L316="","",IF(INDEX(tblRegistros[Data],$L316)&gt;$D$4,"",IFERROR(IF(INDEX(tblRegistros[Status],$L316)="EM ABERTO","",INDEX(tblRegistros[Horas],$L316)),"")))</f>
        <v/>
      </c>
      <c r="G316">
        <f>IF($L316="","",IF(INDEX(tblRegistros[Data],$L316)&gt;$D$4,"",IFERROR(INDEX(tblRegistros[Base],$L316),"")))</f>
        <v/>
      </c>
      <c r="H316" s="3">
        <f>IF($L316="","",IF(INDEX(tblRegistros[Data],$L316)&gt;$D$4,"",IFERROR(INDEX(tblRegistros[Taxa aplicada],$L316),"")))</f>
        <v/>
      </c>
      <c r="I316" s="3">
        <f>IF($L316="","",IF(INDEX(tblRegistros[Data],$L316)&gt;$D$4,"",IFERROR(IF(INDEX(tblRegistros[Status],$L316)="EM ABERTO","",INDEX(tblRegistros[Valor],$L316)),"")))</f>
        <v/>
      </c>
      <c r="J316">
        <f>IF($L316="","",IF(INDEX(tblRegistros[Data],$L316)&gt;$D$4,"",IFERROR(INDEX(tblRegistros[Status],$L316),"")))</f>
        <v/>
      </c>
      <c r="K316">
        <f>IF($L316="","",IF(INDEX(tblRegistros[Data],$L316)&gt;$D$4,"",IFERROR(INDEX(tblRegistros[Observação],$L316),"")))</f>
        <v/>
      </c>
      <c r="L316" s="16">
        <f>IFERROR(MATCH($B$3*100000+COUNTIFS(tblRegistros[ID],$B$3,tblRegistros[Data],"&lt;"&amp;$B$4)+ROWS($L$10:L316),tblRegistros[Chave do cartão],0),"")</f>
        <v/>
      </c>
    </row>
    <row r="317">
      <c r="A317" s="2">
        <f>IF($L317="","",IF(INDEX(tblRegistros[Data],$L317)&gt;$D$4,"",IFERROR(INDEX(tblRegistros[Data],$L317),"")))</f>
        <v/>
      </c>
      <c r="B317">
        <f>IF($L317="","",IF(INDEX(tblRegistros[Data],$L317)&gt;$D$4,"",IFERROR(INDEX(tblRegistros[Projeto],$L317),"")))</f>
        <v/>
      </c>
      <c r="C317">
        <f>IF($L317="","",IF(INDEX(tblRegistros[Data],$L317)&gt;$D$4,"",IFERROR(INDEX(tblRegistros[Atividade],$L317),"")))</f>
        <v/>
      </c>
      <c r="D317" s="4">
        <f>IF($L317="","",IF(INDEX(tblRegistros[Data],$L317)&gt;$D$4,"",IFERROR(INDEX(tblRegistros[Início],$L317),"")))</f>
        <v/>
      </c>
      <c r="E317" s="4">
        <f>IF($L317="","",IF(INDEX(tblRegistros[Data],$L317)&gt;$D$4,"",IFERROR(IF(INDEX(tblRegistros[Status],$L317)="EM ABERTO","",INDEX(tblRegistros[Fim],$L317)),"")))</f>
        <v/>
      </c>
      <c r="F317" s="14">
        <f>IF($L317="","",IF(INDEX(tblRegistros[Data],$L317)&gt;$D$4,"",IFERROR(IF(INDEX(tblRegistros[Status],$L317)="EM ABERTO","",INDEX(tblRegistros[Horas],$L317)),"")))</f>
        <v/>
      </c>
      <c r="G317">
        <f>IF($L317="","",IF(INDEX(tblRegistros[Data],$L317)&gt;$D$4,"",IFERROR(INDEX(tblRegistros[Base],$L317),"")))</f>
        <v/>
      </c>
      <c r="H317" s="3">
        <f>IF($L317="","",IF(INDEX(tblRegistros[Data],$L317)&gt;$D$4,"",IFERROR(INDEX(tblRegistros[Taxa aplicada],$L317),"")))</f>
        <v/>
      </c>
      <c r="I317" s="3">
        <f>IF($L317="","",IF(INDEX(tblRegistros[Data],$L317)&gt;$D$4,"",IFERROR(IF(INDEX(tblRegistros[Status],$L317)="EM ABERTO","",INDEX(tblRegistros[Valor],$L317)),"")))</f>
        <v/>
      </c>
      <c r="J317">
        <f>IF($L317="","",IF(INDEX(tblRegistros[Data],$L317)&gt;$D$4,"",IFERROR(INDEX(tblRegistros[Status],$L317),"")))</f>
        <v/>
      </c>
      <c r="K317">
        <f>IF($L317="","",IF(INDEX(tblRegistros[Data],$L317)&gt;$D$4,"",IFERROR(INDEX(tblRegistros[Observação],$L317),"")))</f>
        <v/>
      </c>
      <c r="L317" s="16">
        <f>IFERROR(MATCH($B$3*100000+COUNTIFS(tblRegistros[ID],$B$3,tblRegistros[Data],"&lt;"&amp;$B$4)+ROWS($L$10:L317),tblRegistros[Chave do cartão],0),"")</f>
        <v/>
      </c>
    </row>
    <row r="318">
      <c r="A318" s="2">
        <f>IF($L318="","",IF(INDEX(tblRegistros[Data],$L318)&gt;$D$4,"",IFERROR(INDEX(tblRegistros[Data],$L318),"")))</f>
        <v/>
      </c>
      <c r="B318">
        <f>IF($L318="","",IF(INDEX(tblRegistros[Data],$L318)&gt;$D$4,"",IFERROR(INDEX(tblRegistros[Projeto],$L318),"")))</f>
        <v/>
      </c>
      <c r="C318">
        <f>IF($L318="","",IF(INDEX(tblRegistros[Data],$L318)&gt;$D$4,"",IFERROR(INDEX(tblRegistros[Atividade],$L318),"")))</f>
        <v/>
      </c>
      <c r="D318" s="4">
        <f>IF($L318="","",IF(INDEX(tblRegistros[Data],$L318)&gt;$D$4,"",IFERROR(INDEX(tblRegistros[Início],$L318),"")))</f>
        <v/>
      </c>
      <c r="E318" s="4">
        <f>IF($L318="","",IF(INDEX(tblRegistros[Data],$L318)&gt;$D$4,"",IFERROR(IF(INDEX(tblRegistros[Status],$L318)="EM ABERTO","",INDEX(tblRegistros[Fim],$L318)),"")))</f>
        <v/>
      </c>
      <c r="F318" s="14">
        <f>IF($L318="","",IF(INDEX(tblRegistros[Data],$L318)&gt;$D$4,"",IFERROR(IF(INDEX(tblRegistros[Status],$L318)="EM ABERTO","",INDEX(tblRegistros[Horas],$L318)),"")))</f>
        <v/>
      </c>
      <c r="G318">
        <f>IF($L318="","",IF(INDEX(tblRegistros[Data],$L318)&gt;$D$4,"",IFERROR(INDEX(tblRegistros[Base],$L318),"")))</f>
        <v/>
      </c>
      <c r="H318" s="3">
        <f>IF($L318="","",IF(INDEX(tblRegistros[Data],$L318)&gt;$D$4,"",IFERROR(INDEX(tblRegistros[Taxa aplicada],$L318),"")))</f>
        <v/>
      </c>
      <c r="I318" s="3">
        <f>IF($L318="","",IF(INDEX(tblRegistros[Data],$L318)&gt;$D$4,"",IFERROR(IF(INDEX(tblRegistros[Status],$L318)="EM ABERTO","",INDEX(tblRegistros[Valor],$L318)),"")))</f>
        <v/>
      </c>
      <c r="J318">
        <f>IF($L318="","",IF(INDEX(tblRegistros[Data],$L318)&gt;$D$4,"",IFERROR(INDEX(tblRegistros[Status],$L318),"")))</f>
        <v/>
      </c>
      <c r="K318">
        <f>IF($L318="","",IF(INDEX(tblRegistros[Data],$L318)&gt;$D$4,"",IFERROR(INDEX(tblRegistros[Observação],$L318),"")))</f>
        <v/>
      </c>
      <c r="L318" s="16">
        <f>IFERROR(MATCH($B$3*100000+COUNTIFS(tblRegistros[ID],$B$3,tblRegistros[Data],"&lt;"&amp;$B$4)+ROWS($L$10:L318),tblRegistros[Chave do cartão],0),"")</f>
        <v/>
      </c>
    </row>
    <row r="319">
      <c r="A319" s="2">
        <f>IF($L319="","",IF(INDEX(tblRegistros[Data],$L319)&gt;$D$4,"",IFERROR(INDEX(tblRegistros[Data],$L319),"")))</f>
        <v/>
      </c>
      <c r="B319">
        <f>IF($L319="","",IF(INDEX(tblRegistros[Data],$L319)&gt;$D$4,"",IFERROR(INDEX(tblRegistros[Projeto],$L319),"")))</f>
        <v/>
      </c>
      <c r="C319">
        <f>IF($L319="","",IF(INDEX(tblRegistros[Data],$L319)&gt;$D$4,"",IFERROR(INDEX(tblRegistros[Atividade],$L319),"")))</f>
        <v/>
      </c>
      <c r="D319" s="4">
        <f>IF($L319="","",IF(INDEX(tblRegistros[Data],$L319)&gt;$D$4,"",IFERROR(INDEX(tblRegistros[Início],$L319),"")))</f>
        <v/>
      </c>
      <c r="E319" s="4">
        <f>IF($L319="","",IF(INDEX(tblRegistros[Data],$L319)&gt;$D$4,"",IFERROR(IF(INDEX(tblRegistros[Status],$L319)="EM ABERTO","",INDEX(tblRegistros[Fim],$L319)),"")))</f>
        <v/>
      </c>
      <c r="F319" s="14">
        <f>IF($L319="","",IF(INDEX(tblRegistros[Data],$L319)&gt;$D$4,"",IFERROR(IF(INDEX(tblRegistros[Status],$L319)="EM ABERTO","",INDEX(tblRegistros[Horas],$L319)),"")))</f>
        <v/>
      </c>
      <c r="G319">
        <f>IF($L319="","",IF(INDEX(tblRegistros[Data],$L319)&gt;$D$4,"",IFERROR(INDEX(tblRegistros[Base],$L319),"")))</f>
        <v/>
      </c>
      <c r="H319" s="3">
        <f>IF($L319="","",IF(INDEX(tblRegistros[Data],$L319)&gt;$D$4,"",IFERROR(INDEX(tblRegistros[Taxa aplicada],$L319),"")))</f>
        <v/>
      </c>
      <c r="I319" s="3">
        <f>IF($L319="","",IF(INDEX(tblRegistros[Data],$L319)&gt;$D$4,"",IFERROR(IF(INDEX(tblRegistros[Status],$L319)="EM ABERTO","",INDEX(tblRegistros[Valor],$L319)),"")))</f>
        <v/>
      </c>
      <c r="J319">
        <f>IF($L319="","",IF(INDEX(tblRegistros[Data],$L319)&gt;$D$4,"",IFERROR(INDEX(tblRegistros[Status],$L319),"")))</f>
        <v/>
      </c>
      <c r="K319">
        <f>IF($L319="","",IF(INDEX(tblRegistros[Data],$L319)&gt;$D$4,"",IFERROR(INDEX(tblRegistros[Observação],$L319),"")))</f>
        <v/>
      </c>
      <c r="L319" s="16">
        <f>IFERROR(MATCH($B$3*100000+COUNTIFS(tblRegistros[ID],$B$3,tblRegistros[Data],"&lt;"&amp;$B$4)+ROWS($L$10:L319),tblRegistros[Chave do cartão],0),"")</f>
        <v/>
      </c>
    </row>
    <row r="320">
      <c r="A320" s="2">
        <f>IF($L320="","",IF(INDEX(tblRegistros[Data],$L320)&gt;$D$4,"",IFERROR(INDEX(tblRegistros[Data],$L320),"")))</f>
        <v/>
      </c>
      <c r="B320">
        <f>IF($L320="","",IF(INDEX(tblRegistros[Data],$L320)&gt;$D$4,"",IFERROR(INDEX(tblRegistros[Projeto],$L320),"")))</f>
        <v/>
      </c>
      <c r="C320">
        <f>IF($L320="","",IF(INDEX(tblRegistros[Data],$L320)&gt;$D$4,"",IFERROR(INDEX(tblRegistros[Atividade],$L320),"")))</f>
        <v/>
      </c>
      <c r="D320" s="4">
        <f>IF($L320="","",IF(INDEX(tblRegistros[Data],$L320)&gt;$D$4,"",IFERROR(INDEX(tblRegistros[Início],$L320),"")))</f>
        <v/>
      </c>
      <c r="E320" s="4">
        <f>IF($L320="","",IF(INDEX(tblRegistros[Data],$L320)&gt;$D$4,"",IFERROR(IF(INDEX(tblRegistros[Status],$L320)="EM ABERTO","",INDEX(tblRegistros[Fim],$L320)),"")))</f>
        <v/>
      </c>
      <c r="F320" s="14">
        <f>IF($L320="","",IF(INDEX(tblRegistros[Data],$L320)&gt;$D$4,"",IFERROR(IF(INDEX(tblRegistros[Status],$L320)="EM ABERTO","",INDEX(tblRegistros[Horas],$L320)),"")))</f>
        <v/>
      </c>
      <c r="G320">
        <f>IF($L320="","",IF(INDEX(tblRegistros[Data],$L320)&gt;$D$4,"",IFERROR(INDEX(tblRegistros[Base],$L320),"")))</f>
        <v/>
      </c>
      <c r="H320" s="3">
        <f>IF($L320="","",IF(INDEX(tblRegistros[Data],$L320)&gt;$D$4,"",IFERROR(INDEX(tblRegistros[Taxa aplicada],$L320),"")))</f>
        <v/>
      </c>
      <c r="I320" s="3">
        <f>IF($L320="","",IF(INDEX(tblRegistros[Data],$L320)&gt;$D$4,"",IFERROR(IF(INDEX(tblRegistros[Status],$L320)="EM ABERTO","",INDEX(tblRegistros[Valor],$L320)),"")))</f>
        <v/>
      </c>
      <c r="J320">
        <f>IF($L320="","",IF(INDEX(tblRegistros[Data],$L320)&gt;$D$4,"",IFERROR(INDEX(tblRegistros[Status],$L320),"")))</f>
        <v/>
      </c>
      <c r="K320">
        <f>IF($L320="","",IF(INDEX(tblRegistros[Data],$L320)&gt;$D$4,"",IFERROR(INDEX(tblRegistros[Observação],$L320),"")))</f>
        <v/>
      </c>
      <c r="L320" s="16">
        <f>IFERROR(MATCH($B$3*100000+COUNTIFS(tblRegistros[ID],$B$3,tblRegistros[Data],"&lt;"&amp;$B$4)+ROWS($L$10:L320),tblRegistros[Chave do cartão],0),"")</f>
        <v/>
      </c>
    </row>
    <row r="321">
      <c r="A321" s="2">
        <f>IF($L321="","",IF(INDEX(tblRegistros[Data],$L321)&gt;$D$4,"",IFERROR(INDEX(tblRegistros[Data],$L321),"")))</f>
        <v/>
      </c>
      <c r="B321">
        <f>IF($L321="","",IF(INDEX(tblRegistros[Data],$L321)&gt;$D$4,"",IFERROR(INDEX(tblRegistros[Projeto],$L321),"")))</f>
        <v/>
      </c>
      <c r="C321">
        <f>IF($L321="","",IF(INDEX(tblRegistros[Data],$L321)&gt;$D$4,"",IFERROR(INDEX(tblRegistros[Atividade],$L321),"")))</f>
        <v/>
      </c>
      <c r="D321" s="4">
        <f>IF($L321="","",IF(INDEX(tblRegistros[Data],$L321)&gt;$D$4,"",IFERROR(INDEX(tblRegistros[Início],$L321),"")))</f>
        <v/>
      </c>
      <c r="E321" s="4">
        <f>IF($L321="","",IF(INDEX(tblRegistros[Data],$L321)&gt;$D$4,"",IFERROR(IF(INDEX(tblRegistros[Status],$L321)="EM ABERTO","",INDEX(tblRegistros[Fim],$L321)),"")))</f>
        <v/>
      </c>
      <c r="F321" s="14">
        <f>IF($L321="","",IF(INDEX(tblRegistros[Data],$L321)&gt;$D$4,"",IFERROR(IF(INDEX(tblRegistros[Status],$L321)="EM ABERTO","",INDEX(tblRegistros[Horas],$L321)),"")))</f>
        <v/>
      </c>
      <c r="G321">
        <f>IF($L321="","",IF(INDEX(tblRegistros[Data],$L321)&gt;$D$4,"",IFERROR(INDEX(tblRegistros[Base],$L321),"")))</f>
        <v/>
      </c>
      <c r="H321" s="3">
        <f>IF($L321="","",IF(INDEX(tblRegistros[Data],$L321)&gt;$D$4,"",IFERROR(INDEX(tblRegistros[Taxa aplicada],$L321),"")))</f>
        <v/>
      </c>
      <c r="I321" s="3">
        <f>IF($L321="","",IF(INDEX(tblRegistros[Data],$L321)&gt;$D$4,"",IFERROR(IF(INDEX(tblRegistros[Status],$L321)="EM ABERTO","",INDEX(tblRegistros[Valor],$L321)),"")))</f>
        <v/>
      </c>
      <c r="J321">
        <f>IF($L321="","",IF(INDEX(tblRegistros[Data],$L321)&gt;$D$4,"",IFERROR(INDEX(tblRegistros[Status],$L321),"")))</f>
        <v/>
      </c>
      <c r="K321">
        <f>IF($L321="","",IF(INDEX(tblRegistros[Data],$L321)&gt;$D$4,"",IFERROR(INDEX(tblRegistros[Observação],$L321),"")))</f>
        <v/>
      </c>
      <c r="L321" s="16">
        <f>IFERROR(MATCH($B$3*100000+COUNTIFS(tblRegistros[ID],$B$3,tblRegistros[Data],"&lt;"&amp;$B$4)+ROWS($L$10:L321),tblRegistros[Chave do cartão],0),"")</f>
        <v/>
      </c>
    </row>
    <row r="322">
      <c r="A322" s="2">
        <f>IF($L322="","",IF(INDEX(tblRegistros[Data],$L322)&gt;$D$4,"",IFERROR(INDEX(tblRegistros[Data],$L322),"")))</f>
        <v/>
      </c>
      <c r="B322">
        <f>IF($L322="","",IF(INDEX(tblRegistros[Data],$L322)&gt;$D$4,"",IFERROR(INDEX(tblRegistros[Projeto],$L322),"")))</f>
        <v/>
      </c>
      <c r="C322">
        <f>IF($L322="","",IF(INDEX(tblRegistros[Data],$L322)&gt;$D$4,"",IFERROR(INDEX(tblRegistros[Atividade],$L322),"")))</f>
        <v/>
      </c>
      <c r="D322" s="4">
        <f>IF($L322="","",IF(INDEX(tblRegistros[Data],$L322)&gt;$D$4,"",IFERROR(INDEX(tblRegistros[Início],$L322),"")))</f>
        <v/>
      </c>
      <c r="E322" s="4">
        <f>IF($L322="","",IF(INDEX(tblRegistros[Data],$L322)&gt;$D$4,"",IFERROR(IF(INDEX(tblRegistros[Status],$L322)="EM ABERTO","",INDEX(tblRegistros[Fim],$L322)),"")))</f>
        <v/>
      </c>
      <c r="F322" s="14">
        <f>IF($L322="","",IF(INDEX(tblRegistros[Data],$L322)&gt;$D$4,"",IFERROR(IF(INDEX(tblRegistros[Status],$L322)="EM ABERTO","",INDEX(tblRegistros[Horas],$L322)),"")))</f>
        <v/>
      </c>
      <c r="G322">
        <f>IF($L322="","",IF(INDEX(tblRegistros[Data],$L322)&gt;$D$4,"",IFERROR(INDEX(tblRegistros[Base],$L322),"")))</f>
        <v/>
      </c>
      <c r="H322" s="3">
        <f>IF($L322="","",IF(INDEX(tblRegistros[Data],$L322)&gt;$D$4,"",IFERROR(INDEX(tblRegistros[Taxa aplicada],$L322),"")))</f>
        <v/>
      </c>
      <c r="I322" s="3">
        <f>IF($L322="","",IF(INDEX(tblRegistros[Data],$L322)&gt;$D$4,"",IFERROR(IF(INDEX(tblRegistros[Status],$L322)="EM ABERTO","",INDEX(tblRegistros[Valor],$L322)),"")))</f>
        <v/>
      </c>
      <c r="J322">
        <f>IF($L322="","",IF(INDEX(tblRegistros[Data],$L322)&gt;$D$4,"",IFERROR(INDEX(tblRegistros[Status],$L322),"")))</f>
        <v/>
      </c>
      <c r="K322">
        <f>IF($L322="","",IF(INDEX(tblRegistros[Data],$L322)&gt;$D$4,"",IFERROR(INDEX(tblRegistros[Observação],$L322),"")))</f>
        <v/>
      </c>
      <c r="L322" s="16">
        <f>IFERROR(MATCH($B$3*100000+COUNTIFS(tblRegistros[ID],$B$3,tblRegistros[Data],"&lt;"&amp;$B$4)+ROWS($L$10:L322),tblRegistros[Chave do cartão],0),"")</f>
        <v/>
      </c>
    </row>
    <row r="323">
      <c r="A323" s="2">
        <f>IF($L323="","",IF(INDEX(tblRegistros[Data],$L323)&gt;$D$4,"",IFERROR(INDEX(tblRegistros[Data],$L323),"")))</f>
        <v/>
      </c>
      <c r="B323">
        <f>IF($L323="","",IF(INDEX(tblRegistros[Data],$L323)&gt;$D$4,"",IFERROR(INDEX(tblRegistros[Projeto],$L323),"")))</f>
        <v/>
      </c>
      <c r="C323">
        <f>IF($L323="","",IF(INDEX(tblRegistros[Data],$L323)&gt;$D$4,"",IFERROR(INDEX(tblRegistros[Atividade],$L323),"")))</f>
        <v/>
      </c>
      <c r="D323" s="4">
        <f>IF($L323="","",IF(INDEX(tblRegistros[Data],$L323)&gt;$D$4,"",IFERROR(INDEX(tblRegistros[Início],$L323),"")))</f>
        <v/>
      </c>
      <c r="E323" s="4">
        <f>IF($L323="","",IF(INDEX(tblRegistros[Data],$L323)&gt;$D$4,"",IFERROR(IF(INDEX(tblRegistros[Status],$L323)="EM ABERTO","",INDEX(tblRegistros[Fim],$L323)),"")))</f>
        <v/>
      </c>
      <c r="F323" s="14">
        <f>IF($L323="","",IF(INDEX(tblRegistros[Data],$L323)&gt;$D$4,"",IFERROR(IF(INDEX(tblRegistros[Status],$L323)="EM ABERTO","",INDEX(tblRegistros[Horas],$L323)),"")))</f>
        <v/>
      </c>
      <c r="G323">
        <f>IF($L323="","",IF(INDEX(tblRegistros[Data],$L323)&gt;$D$4,"",IFERROR(INDEX(tblRegistros[Base],$L323),"")))</f>
        <v/>
      </c>
      <c r="H323" s="3">
        <f>IF($L323="","",IF(INDEX(tblRegistros[Data],$L323)&gt;$D$4,"",IFERROR(INDEX(tblRegistros[Taxa aplicada],$L323),"")))</f>
        <v/>
      </c>
      <c r="I323" s="3">
        <f>IF($L323="","",IF(INDEX(tblRegistros[Data],$L323)&gt;$D$4,"",IFERROR(IF(INDEX(tblRegistros[Status],$L323)="EM ABERTO","",INDEX(tblRegistros[Valor],$L323)),"")))</f>
        <v/>
      </c>
      <c r="J323">
        <f>IF($L323="","",IF(INDEX(tblRegistros[Data],$L323)&gt;$D$4,"",IFERROR(INDEX(tblRegistros[Status],$L323),"")))</f>
        <v/>
      </c>
      <c r="K323">
        <f>IF($L323="","",IF(INDEX(tblRegistros[Data],$L323)&gt;$D$4,"",IFERROR(INDEX(tblRegistros[Observação],$L323),"")))</f>
        <v/>
      </c>
      <c r="L323" s="16">
        <f>IFERROR(MATCH($B$3*100000+COUNTIFS(tblRegistros[ID],$B$3,tblRegistros[Data],"&lt;"&amp;$B$4)+ROWS($L$10:L323),tblRegistros[Chave do cartão],0),"")</f>
        <v/>
      </c>
    </row>
    <row r="324">
      <c r="A324" s="2">
        <f>IF($L324="","",IF(INDEX(tblRegistros[Data],$L324)&gt;$D$4,"",IFERROR(INDEX(tblRegistros[Data],$L324),"")))</f>
        <v/>
      </c>
      <c r="B324">
        <f>IF($L324="","",IF(INDEX(tblRegistros[Data],$L324)&gt;$D$4,"",IFERROR(INDEX(tblRegistros[Projeto],$L324),"")))</f>
        <v/>
      </c>
      <c r="C324">
        <f>IF($L324="","",IF(INDEX(tblRegistros[Data],$L324)&gt;$D$4,"",IFERROR(INDEX(tblRegistros[Atividade],$L324),"")))</f>
        <v/>
      </c>
      <c r="D324" s="4">
        <f>IF($L324="","",IF(INDEX(tblRegistros[Data],$L324)&gt;$D$4,"",IFERROR(INDEX(tblRegistros[Início],$L324),"")))</f>
        <v/>
      </c>
      <c r="E324" s="4">
        <f>IF($L324="","",IF(INDEX(tblRegistros[Data],$L324)&gt;$D$4,"",IFERROR(IF(INDEX(tblRegistros[Status],$L324)="EM ABERTO","",INDEX(tblRegistros[Fim],$L324)),"")))</f>
        <v/>
      </c>
      <c r="F324" s="14">
        <f>IF($L324="","",IF(INDEX(tblRegistros[Data],$L324)&gt;$D$4,"",IFERROR(IF(INDEX(tblRegistros[Status],$L324)="EM ABERTO","",INDEX(tblRegistros[Horas],$L324)),"")))</f>
        <v/>
      </c>
      <c r="G324">
        <f>IF($L324="","",IF(INDEX(tblRegistros[Data],$L324)&gt;$D$4,"",IFERROR(INDEX(tblRegistros[Base],$L324),"")))</f>
        <v/>
      </c>
      <c r="H324" s="3">
        <f>IF($L324="","",IF(INDEX(tblRegistros[Data],$L324)&gt;$D$4,"",IFERROR(INDEX(tblRegistros[Taxa aplicada],$L324),"")))</f>
        <v/>
      </c>
      <c r="I324" s="3">
        <f>IF($L324="","",IF(INDEX(tblRegistros[Data],$L324)&gt;$D$4,"",IFERROR(IF(INDEX(tblRegistros[Status],$L324)="EM ABERTO","",INDEX(tblRegistros[Valor],$L324)),"")))</f>
        <v/>
      </c>
      <c r="J324">
        <f>IF($L324="","",IF(INDEX(tblRegistros[Data],$L324)&gt;$D$4,"",IFERROR(INDEX(tblRegistros[Status],$L324),"")))</f>
        <v/>
      </c>
      <c r="K324">
        <f>IF($L324="","",IF(INDEX(tblRegistros[Data],$L324)&gt;$D$4,"",IFERROR(INDEX(tblRegistros[Observação],$L324),"")))</f>
        <v/>
      </c>
      <c r="L324" s="16">
        <f>IFERROR(MATCH($B$3*100000+COUNTIFS(tblRegistros[ID],$B$3,tblRegistros[Data],"&lt;"&amp;$B$4)+ROWS($L$10:L324),tblRegistros[Chave do cartão],0),"")</f>
        <v/>
      </c>
    </row>
    <row r="325">
      <c r="A325" s="2">
        <f>IF($L325="","",IF(INDEX(tblRegistros[Data],$L325)&gt;$D$4,"",IFERROR(INDEX(tblRegistros[Data],$L325),"")))</f>
        <v/>
      </c>
      <c r="B325">
        <f>IF($L325="","",IF(INDEX(tblRegistros[Data],$L325)&gt;$D$4,"",IFERROR(INDEX(tblRegistros[Projeto],$L325),"")))</f>
        <v/>
      </c>
      <c r="C325">
        <f>IF($L325="","",IF(INDEX(tblRegistros[Data],$L325)&gt;$D$4,"",IFERROR(INDEX(tblRegistros[Atividade],$L325),"")))</f>
        <v/>
      </c>
      <c r="D325" s="4">
        <f>IF($L325="","",IF(INDEX(tblRegistros[Data],$L325)&gt;$D$4,"",IFERROR(INDEX(tblRegistros[Início],$L325),"")))</f>
        <v/>
      </c>
      <c r="E325" s="4">
        <f>IF($L325="","",IF(INDEX(tblRegistros[Data],$L325)&gt;$D$4,"",IFERROR(IF(INDEX(tblRegistros[Status],$L325)="EM ABERTO","",INDEX(tblRegistros[Fim],$L325)),"")))</f>
        <v/>
      </c>
      <c r="F325" s="14">
        <f>IF($L325="","",IF(INDEX(tblRegistros[Data],$L325)&gt;$D$4,"",IFERROR(IF(INDEX(tblRegistros[Status],$L325)="EM ABERTO","",INDEX(tblRegistros[Horas],$L325)),"")))</f>
        <v/>
      </c>
      <c r="G325">
        <f>IF($L325="","",IF(INDEX(tblRegistros[Data],$L325)&gt;$D$4,"",IFERROR(INDEX(tblRegistros[Base],$L325),"")))</f>
        <v/>
      </c>
      <c r="H325" s="3">
        <f>IF($L325="","",IF(INDEX(tblRegistros[Data],$L325)&gt;$D$4,"",IFERROR(INDEX(tblRegistros[Taxa aplicada],$L325),"")))</f>
        <v/>
      </c>
      <c r="I325" s="3">
        <f>IF($L325="","",IF(INDEX(tblRegistros[Data],$L325)&gt;$D$4,"",IFERROR(IF(INDEX(tblRegistros[Status],$L325)="EM ABERTO","",INDEX(tblRegistros[Valor],$L325)),"")))</f>
        <v/>
      </c>
      <c r="J325">
        <f>IF($L325="","",IF(INDEX(tblRegistros[Data],$L325)&gt;$D$4,"",IFERROR(INDEX(tblRegistros[Status],$L325),"")))</f>
        <v/>
      </c>
      <c r="K325">
        <f>IF($L325="","",IF(INDEX(tblRegistros[Data],$L325)&gt;$D$4,"",IFERROR(INDEX(tblRegistros[Observação],$L325),"")))</f>
        <v/>
      </c>
      <c r="L325" s="16">
        <f>IFERROR(MATCH($B$3*100000+COUNTIFS(tblRegistros[ID],$B$3,tblRegistros[Data],"&lt;"&amp;$B$4)+ROWS($L$10:L325),tblRegistros[Chave do cartão],0),"")</f>
        <v/>
      </c>
    </row>
    <row r="326">
      <c r="A326" s="2">
        <f>IF($L326="","",IF(INDEX(tblRegistros[Data],$L326)&gt;$D$4,"",IFERROR(INDEX(tblRegistros[Data],$L326),"")))</f>
        <v/>
      </c>
      <c r="B326">
        <f>IF($L326="","",IF(INDEX(tblRegistros[Data],$L326)&gt;$D$4,"",IFERROR(INDEX(tblRegistros[Projeto],$L326),"")))</f>
        <v/>
      </c>
      <c r="C326">
        <f>IF($L326="","",IF(INDEX(tblRegistros[Data],$L326)&gt;$D$4,"",IFERROR(INDEX(tblRegistros[Atividade],$L326),"")))</f>
        <v/>
      </c>
      <c r="D326" s="4">
        <f>IF($L326="","",IF(INDEX(tblRegistros[Data],$L326)&gt;$D$4,"",IFERROR(INDEX(tblRegistros[Início],$L326),"")))</f>
        <v/>
      </c>
      <c r="E326" s="4">
        <f>IF($L326="","",IF(INDEX(tblRegistros[Data],$L326)&gt;$D$4,"",IFERROR(IF(INDEX(tblRegistros[Status],$L326)="EM ABERTO","",INDEX(tblRegistros[Fim],$L326)),"")))</f>
        <v/>
      </c>
      <c r="F326" s="14">
        <f>IF($L326="","",IF(INDEX(tblRegistros[Data],$L326)&gt;$D$4,"",IFERROR(IF(INDEX(tblRegistros[Status],$L326)="EM ABERTO","",INDEX(tblRegistros[Horas],$L326)),"")))</f>
        <v/>
      </c>
      <c r="G326">
        <f>IF($L326="","",IF(INDEX(tblRegistros[Data],$L326)&gt;$D$4,"",IFERROR(INDEX(tblRegistros[Base],$L326),"")))</f>
        <v/>
      </c>
      <c r="H326" s="3">
        <f>IF($L326="","",IF(INDEX(tblRegistros[Data],$L326)&gt;$D$4,"",IFERROR(INDEX(tblRegistros[Taxa aplicada],$L326),"")))</f>
        <v/>
      </c>
      <c r="I326" s="3">
        <f>IF($L326="","",IF(INDEX(tblRegistros[Data],$L326)&gt;$D$4,"",IFERROR(IF(INDEX(tblRegistros[Status],$L326)="EM ABERTO","",INDEX(tblRegistros[Valor],$L326)),"")))</f>
        <v/>
      </c>
      <c r="J326">
        <f>IF($L326="","",IF(INDEX(tblRegistros[Data],$L326)&gt;$D$4,"",IFERROR(INDEX(tblRegistros[Status],$L326),"")))</f>
        <v/>
      </c>
      <c r="K326">
        <f>IF($L326="","",IF(INDEX(tblRegistros[Data],$L326)&gt;$D$4,"",IFERROR(INDEX(tblRegistros[Observação],$L326),"")))</f>
        <v/>
      </c>
      <c r="L326" s="16">
        <f>IFERROR(MATCH($B$3*100000+COUNTIFS(tblRegistros[ID],$B$3,tblRegistros[Data],"&lt;"&amp;$B$4)+ROWS($L$10:L326),tblRegistros[Chave do cartão],0),"")</f>
        <v/>
      </c>
    </row>
    <row r="327">
      <c r="A327" s="2">
        <f>IF($L327="","",IF(INDEX(tblRegistros[Data],$L327)&gt;$D$4,"",IFERROR(INDEX(tblRegistros[Data],$L327),"")))</f>
        <v/>
      </c>
      <c r="B327">
        <f>IF($L327="","",IF(INDEX(tblRegistros[Data],$L327)&gt;$D$4,"",IFERROR(INDEX(tblRegistros[Projeto],$L327),"")))</f>
        <v/>
      </c>
      <c r="C327">
        <f>IF($L327="","",IF(INDEX(tblRegistros[Data],$L327)&gt;$D$4,"",IFERROR(INDEX(tblRegistros[Atividade],$L327),"")))</f>
        <v/>
      </c>
      <c r="D327" s="4">
        <f>IF($L327="","",IF(INDEX(tblRegistros[Data],$L327)&gt;$D$4,"",IFERROR(INDEX(tblRegistros[Início],$L327),"")))</f>
        <v/>
      </c>
      <c r="E327" s="4">
        <f>IF($L327="","",IF(INDEX(tblRegistros[Data],$L327)&gt;$D$4,"",IFERROR(IF(INDEX(tblRegistros[Status],$L327)="EM ABERTO","",INDEX(tblRegistros[Fim],$L327)),"")))</f>
        <v/>
      </c>
      <c r="F327" s="14">
        <f>IF($L327="","",IF(INDEX(tblRegistros[Data],$L327)&gt;$D$4,"",IFERROR(IF(INDEX(tblRegistros[Status],$L327)="EM ABERTO","",INDEX(tblRegistros[Horas],$L327)),"")))</f>
        <v/>
      </c>
      <c r="G327">
        <f>IF($L327="","",IF(INDEX(tblRegistros[Data],$L327)&gt;$D$4,"",IFERROR(INDEX(tblRegistros[Base],$L327),"")))</f>
        <v/>
      </c>
      <c r="H327" s="3">
        <f>IF($L327="","",IF(INDEX(tblRegistros[Data],$L327)&gt;$D$4,"",IFERROR(INDEX(tblRegistros[Taxa aplicada],$L327),"")))</f>
        <v/>
      </c>
      <c r="I327" s="3">
        <f>IF($L327="","",IF(INDEX(tblRegistros[Data],$L327)&gt;$D$4,"",IFERROR(IF(INDEX(tblRegistros[Status],$L327)="EM ABERTO","",INDEX(tblRegistros[Valor],$L327)),"")))</f>
        <v/>
      </c>
      <c r="J327">
        <f>IF($L327="","",IF(INDEX(tblRegistros[Data],$L327)&gt;$D$4,"",IFERROR(INDEX(tblRegistros[Status],$L327),"")))</f>
        <v/>
      </c>
      <c r="K327">
        <f>IF($L327="","",IF(INDEX(tblRegistros[Data],$L327)&gt;$D$4,"",IFERROR(INDEX(tblRegistros[Observação],$L327),"")))</f>
        <v/>
      </c>
      <c r="L327" s="16">
        <f>IFERROR(MATCH($B$3*100000+COUNTIFS(tblRegistros[ID],$B$3,tblRegistros[Data],"&lt;"&amp;$B$4)+ROWS($L$10:L327),tblRegistros[Chave do cartão],0),"")</f>
        <v/>
      </c>
    </row>
    <row r="328">
      <c r="A328" s="2">
        <f>IF($L328="","",IF(INDEX(tblRegistros[Data],$L328)&gt;$D$4,"",IFERROR(INDEX(tblRegistros[Data],$L328),"")))</f>
        <v/>
      </c>
      <c r="B328">
        <f>IF($L328="","",IF(INDEX(tblRegistros[Data],$L328)&gt;$D$4,"",IFERROR(INDEX(tblRegistros[Projeto],$L328),"")))</f>
        <v/>
      </c>
      <c r="C328">
        <f>IF($L328="","",IF(INDEX(tblRegistros[Data],$L328)&gt;$D$4,"",IFERROR(INDEX(tblRegistros[Atividade],$L328),"")))</f>
        <v/>
      </c>
      <c r="D328" s="4">
        <f>IF($L328="","",IF(INDEX(tblRegistros[Data],$L328)&gt;$D$4,"",IFERROR(INDEX(tblRegistros[Início],$L328),"")))</f>
        <v/>
      </c>
      <c r="E328" s="4">
        <f>IF($L328="","",IF(INDEX(tblRegistros[Data],$L328)&gt;$D$4,"",IFERROR(IF(INDEX(tblRegistros[Status],$L328)="EM ABERTO","",INDEX(tblRegistros[Fim],$L328)),"")))</f>
        <v/>
      </c>
      <c r="F328" s="14">
        <f>IF($L328="","",IF(INDEX(tblRegistros[Data],$L328)&gt;$D$4,"",IFERROR(IF(INDEX(tblRegistros[Status],$L328)="EM ABERTO","",INDEX(tblRegistros[Horas],$L328)),"")))</f>
        <v/>
      </c>
      <c r="G328">
        <f>IF($L328="","",IF(INDEX(tblRegistros[Data],$L328)&gt;$D$4,"",IFERROR(INDEX(tblRegistros[Base],$L328),"")))</f>
        <v/>
      </c>
      <c r="H328" s="3">
        <f>IF($L328="","",IF(INDEX(tblRegistros[Data],$L328)&gt;$D$4,"",IFERROR(INDEX(tblRegistros[Taxa aplicada],$L328),"")))</f>
        <v/>
      </c>
      <c r="I328" s="3">
        <f>IF($L328="","",IF(INDEX(tblRegistros[Data],$L328)&gt;$D$4,"",IFERROR(IF(INDEX(tblRegistros[Status],$L328)="EM ABERTO","",INDEX(tblRegistros[Valor],$L328)),"")))</f>
        <v/>
      </c>
      <c r="J328">
        <f>IF($L328="","",IF(INDEX(tblRegistros[Data],$L328)&gt;$D$4,"",IFERROR(INDEX(tblRegistros[Status],$L328),"")))</f>
        <v/>
      </c>
      <c r="K328">
        <f>IF($L328="","",IF(INDEX(tblRegistros[Data],$L328)&gt;$D$4,"",IFERROR(INDEX(tblRegistros[Observação],$L328),"")))</f>
        <v/>
      </c>
      <c r="L328" s="16">
        <f>IFERROR(MATCH($B$3*100000+COUNTIFS(tblRegistros[ID],$B$3,tblRegistros[Data],"&lt;"&amp;$B$4)+ROWS($L$10:L328),tblRegistros[Chave do cartão],0),"")</f>
        <v/>
      </c>
    </row>
    <row r="329">
      <c r="A329" s="2">
        <f>IF($L329="","",IF(INDEX(tblRegistros[Data],$L329)&gt;$D$4,"",IFERROR(INDEX(tblRegistros[Data],$L329),"")))</f>
        <v/>
      </c>
      <c r="B329">
        <f>IF($L329="","",IF(INDEX(tblRegistros[Data],$L329)&gt;$D$4,"",IFERROR(INDEX(tblRegistros[Projeto],$L329),"")))</f>
        <v/>
      </c>
      <c r="C329">
        <f>IF($L329="","",IF(INDEX(tblRegistros[Data],$L329)&gt;$D$4,"",IFERROR(INDEX(tblRegistros[Atividade],$L329),"")))</f>
        <v/>
      </c>
      <c r="D329" s="4">
        <f>IF($L329="","",IF(INDEX(tblRegistros[Data],$L329)&gt;$D$4,"",IFERROR(INDEX(tblRegistros[Início],$L329),"")))</f>
        <v/>
      </c>
      <c r="E329" s="4">
        <f>IF($L329="","",IF(INDEX(tblRegistros[Data],$L329)&gt;$D$4,"",IFERROR(IF(INDEX(tblRegistros[Status],$L329)="EM ABERTO","",INDEX(tblRegistros[Fim],$L329)),"")))</f>
        <v/>
      </c>
      <c r="F329" s="14">
        <f>IF($L329="","",IF(INDEX(tblRegistros[Data],$L329)&gt;$D$4,"",IFERROR(IF(INDEX(tblRegistros[Status],$L329)="EM ABERTO","",INDEX(tblRegistros[Horas],$L329)),"")))</f>
        <v/>
      </c>
      <c r="G329">
        <f>IF($L329="","",IF(INDEX(tblRegistros[Data],$L329)&gt;$D$4,"",IFERROR(INDEX(tblRegistros[Base],$L329),"")))</f>
        <v/>
      </c>
      <c r="H329" s="3">
        <f>IF($L329="","",IF(INDEX(tblRegistros[Data],$L329)&gt;$D$4,"",IFERROR(INDEX(tblRegistros[Taxa aplicada],$L329),"")))</f>
        <v/>
      </c>
      <c r="I329" s="3">
        <f>IF($L329="","",IF(INDEX(tblRegistros[Data],$L329)&gt;$D$4,"",IFERROR(IF(INDEX(tblRegistros[Status],$L329)="EM ABERTO","",INDEX(tblRegistros[Valor],$L329)),"")))</f>
        <v/>
      </c>
      <c r="J329">
        <f>IF($L329="","",IF(INDEX(tblRegistros[Data],$L329)&gt;$D$4,"",IFERROR(INDEX(tblRegistros[Status],$L329),"")))</f>
        <v/>
      </c>
      <c r="K329">
        <f>IF($L329="","",IF(INDEX(tblRegistros[Data],$L329)&gt;$D$4,"",IFERROR(INDEX(tblRegistros[Observação],$L329),"")))</f>
        <v/>
      </c>
      <c r="L329" s="16">
        <f>IFERROR(MATCH($B$3*100000+COUNTIFS(tblRegistros[ID],$B$3,tblRegistros[Data],"&lt;"&amp;$B$4)+ROWS($L$10:L329),tblRegistros[Chave do cartão],0),"")</f>
        <v/>
      </c>
    </row>
    <row r="330">
      <c r="A330" s="2">
        <f>IF($L330="","",IF(INDEX(tblRegistros[Data],$L330)&gt;$D$4,"",IFERROR(INDEX(tblRegistros[Data],$L330),"")))</f>
        <v/>
      </c>
      <c r="B330">
        <f>IF($L330="","",IF(INDEX(tblRegistros[Data],$L330)&gt;$D$4,"",IFERROR(INDEX(tblRegistros[Projeto],$L330),"")))</f>
        <v/>
      </c>
      <c r="C330">
        <f>IF($L330="","",IF(INDEX(tblRegistros[Data],$L330)&gt;$D$4,"",IFERROR(INDEX(tblRegistros[Atividade],$L330),"")))</f>
        <v/>
      </c>
      <c r="D330" s="4">
        <f>IF($L330="","",IF(INDEX(tblRegistros[Data],$L330)&gt;$D$4,"",IFERROR(INDEX(tblRegistros[Início],$L330),"")))</f>
        <v/>
      </c>
      <c r="E330" s="4">
        <f>IF($L330="","",IF(INDEX(tblRegistros[Data],$L330)&gt;$D$4,"",IFERROR(IF(INDEX(tblRegistros[Status],$L330)="EM ABERTO","",INDEX(tblRegistros[Fim],$L330)),"")))</f>
        <v/>
      </c>
      <c r="F330" s="14">
        <f>IF($L330="","",IF(INDEX(tblRegistros[Data],$L330)&gt;$D$4,"",IFERROR(IF(INDEX(tblRegistros[Status],$L330)="EM ABERTO","",INDEX(tblRegistros[Horas],$L330)),"")))</f>
        <v/>
      </c>
      <c r="G330">
        <f>IF($L330="","",IF(INDEX(tblRegistros[Data],$L330)&gt;$D$4,"",IFERROR(INDEX(tblRegistros[Base],$L330),"")))</f>
        <v/>
      </c>
      <c r="H330" s="3">
        <f>IF($L330="","",IF(INDEX(tblRegistros[Data],$L330)&gt;$D$4,"",IFERROR(INDEX(tblRegistros[Taxa aplicada],$L330),"")))</f>
        <v/>
      </c>
      <c r="I330" s="3">
        <f>IF($L330="","",IF(INDEX(tblRegistros[Data],$L330)&gt;$D$4,"",IFERROR(IF(INDEX(tblRegistros[Status],$L330)="EM ABERTO","",INDEX(tblRegistros[Valor],$L330)),"")))</f>
        <v/>
      </c>
      <c r="J330">
        <f>IF($L330="","",IF(INDEX(tblRegistros[Data],$L330)&gt;$D$4,"",IFERROR(INDEX(tblRegistros[Status],$L330),"")))</f>
        <v/>
      </c>
      <c r="K330">
        <f>IF($L330="","",IF(INDEX(tblRegistros[Data],$L330)&gt;$D$4,"",IFERROR(INDEX(tblRegistros[Observação],$L330),"")))</f>
        <v/>
      </c>
      <c r="L330" s="16">
        <f>IFERROR(MATCH($B$3*100000+COUNTIFS(tblRegistros[ID],$B$3,tblRegistros[Data],"&lt;"&amp;$B$4)+ROWS($L$10:L330),tblRegistros[Chave do cartão],0),"")</f>
        <v/>
      </c>
    </row>
    <row r="331">
      <c r="A331" s="2">
        <f>IF($L331="","",IF(INDEX(tblRegistros[Data],$L331)&gt;$D$4,"",IFERROR(INDEX(tblRegistros[Data],$L331),"")))</f>
        <v/>
      </c>
      <c r="B331">
        <f>IF($L331="","",IF(INDEX(tblRegistros[Data],$L331)&gt;$D$4,"",IFERROR(INDEX(tblRegistros[Projeto],$L331),"")))</f>
        <v/>
      </c>
      <c r="C331">
        <f>IF($L331="","",IF(INDEX(tblRegistros[Data],$L331)&gt;$D$4,"",IFERROR(INDEX(tblRegistros[Atividade],$L331),"")))</f>
        <v/>
      </c>
      <c r="D331" s="4">
        <f>IF($L331="","",IF(INDEX(tblRegistros[Data],$L331)&gt;$D$4,"",IFERROR(INDEX(tblRegistros[Início],$L331),"")))</f>
        <v/>
      </c>
      <c r="E331" s="4">
        <f>IF($L331="","",IF(INDEX(tblRegistros[Data],$L331)&gt;$D$4,"",IFERROR(IF(INDEX(tblRegistros[Status],$L331)="EM ABERTO","",INDEX(tblRegistros[Fim],$L331)),"")))</f>
        <v/>
      </c>
      <c r="F331" s="14">
        <f>IF($L331="","",IF(INDEX(tblRegistros[Data],$L331)&gt;$D$4,"",IFERROR(IF(INDEX(tblRegistros[Status],$L331)="EM ABERTO","",INDEX(tblRegistros[Horas],$L331)),"")))</f>
        <v/>
      </c>
      <c r="G331">
        <f>IF($L331="","",IF(INDEX(tblRegistros[Data],$L331)&gt;$D$4,"",IFERROR(INDEX(tblRegistros[Base],$L331),"")))</f>
        <v/>
      </c>
      <c r="H331" s="3">
        <f>IF($L331="","",IF(INDEX(tblRegistros[Data],$L331)&gt;$D$4,"",IFERROR(INDEX(tblRegistros[Taxa aplicada],$L331),"")))</f>
        <v/>
      </c>
      <c r="I331" s="3">
        <f>IF($L331="","",IF(INDEX(tblRegistros[Data],$L331)&gt;$D$4,"",IFERROR(IF(INDEX(tblRegistros[Status],$L331)="EM ABERTO","",INDEX(tblRegistros[Valor],$L331)),"")))</f>
        <v/>
      </c>
      <c r="J331">
        <f>IF($L331="","",IF(INDEX(tblRegistros[Data],$L331)&gt;$D$4,"",IFERROR(INDEX(tblRegistros[Status],$L331),"")))</f>
        <v/>
      </c>
      <c r="K331">
        <f>IF($L331="","",IF(INDEX(tblRegistros[Data],$L331)&gt;$D$4,"",IFERROR(INDEX(tblRegistros[Observação],$L331),"")))</f>
        <v/>
      </c>
      <c r="L331" s="16">
        <f>IFERROR(MATCH($B$3*100000+COUNTIFS(tblRegistros[ID],$B$3,tblRegistros[Data],"&lt;"&amp;$B$4)+ROWS($L$10:L331),tblRegistros[Chave do cartão],0),"")</f>
        <v/>
      </c>
    </row>
    <row r="332">
      <c r="A332" s="2">
        <f>IF($L332="","",IF(INDEX(tblRegistros[Data],$L332)&gt;$D$4,"",IFERROR(INDEX(tblRegistros[Data],$L332),"")))</f>
        <v/>
      </c>
      <c r="B332">
        <f>IF($L332="","",IF(INDEX(tblRegistros[Data],$L332)&gt;$D$4,"",IFERROR(INDEX(tblRegistros[Projeto],$L332),"")))</f>
        <v/>
      </c>
      <c r="C332">
        <f>IF($L332="","",IF(INDEX(tblRegistros[Data],$L332)&gt;$D$4,"",IFERROR(INDEX(tblRegistros[Atividade],$L332),"")))</f>
        <v/>
      </c>
      <c r="D332" s="4">
        <f>IF($L332="","",IF(INDEX(tblRegistros[Data],$L332)&gt;$D$4,"",IFERROR(INDEX(tblRegistros[Início],$L332),"")))</f>
        <v/>
      </c>
      <c r="E332" s="4">
        <f>IF($L332="","",IF(INDEX(tblRegistros[Data],$L332)&gt;$D$4,"",IFERROR(IF(INDEX(tblRegistros[Status],$L332)="EM ABERTO","",INDEX(tblRegistros[Fim],$L332)),"")))</f>
        <v/>
      </c>
      <c r="F332" s="14">
        <f>IF($L332="","",IF(INDEX(tblRegistros[Data],$L332)&gt;$D$4,"",IFERROR(IF(INDEX(tblRegistros[Status],$L332)="EM ABERTO","",INDEX(tblRegistros[Horas],$L332)),"")))</f>
        <v/>
      </c>
      <c r="G332">
        <f>IF($L332="","",IF(INDEX(tblRegistros[Data],$L332)&gt;$D$4,"",IFERROR(INDEX(tblRegistros[Base],$L332),"")))</f>
        <v/>
      </c>
      <c r="H332" s="3">
        <f>IF($L332="","",IF(INDEX(tblRegistros[Data],$L332)&gt;$D$4,"",IFERROR(INDEX(tblRegistros[Taxa aplicada],$L332),"")))</f>
        <v/>
      </c>
      <c r="I332" s="3">
        <f>IF($L332="","",IF(INDEX(tblRegistros[Data],$L332)&gt;$D$4,"",IFERROR(IF(INDEX(tblRegistros[Status],$L332)="EM ABERTO","",INDEX(tblRegistros[Valor],$L332)),"")))</f>
        <v/>
      </c>
      <c r="J332">
        <f>IF($L332="","",IF(INDEX(tblRegistros[Data],$L332)&gt;$D$4,"",IFERROR(INDEX(tblRegistros[Status],$L332),"")))</f>
        <v/>
      </c>
      <c r="K332">
        <f>IF($L332="","",IF(INDEX(tblRegistros[Data],$L332)&gt;$D$4,"",IFERROR(INDEX(tblRegistros[Observação],$L332),"")))</f>
        <v/>
      </c>
      <c r="L332" s="16">
        <f>IFERROR(MATCH($B$3*100000+COUNTIFS(tblRegistros[ID],$B$3,tblRegistros[Data],"&lt;"&amp;$B$4)+ROWS($L$10:L332),tblRegistros[Chave do cartão],0),"")</f>
        <v/>
      </c>
    </row>
    <row r="333">
      <c r="A333" s="2">
        <f>IF($L333="","",IF(INDEX(tblRegistros[Data],$L333)&gt;$D$4,"",IFERROR(INDEX(tblRegistros[Data],$L333),"")))</f>
        <v/>
      </c>
      <c r="B333">
        <f>IF($L333="","",IF(INDEX(tblRegistros[Data],$L333)&gt;$D$4,"",IFERROR(INDEX(tblRegistros[Projeto],$L333),"")))</f>
        <v/>
      </c>
      <c r="C333">
        <f>IF($L333="","",IF(INDEX(tblRegistros[Data],$L333)&gt;$D$4,"",IFERROR(INDEX(tblRegistros[Atividade],$L333),"")))</f>
        <v/>
      </c>
      <c r="D333" s="4">
        <f>IF($L333="","",IF(INDEX(tblRegistros[Data],$L333)&gt;$D$4,"",IFERROR(INDEX(tblRegistros[Início],$L333),"")))</f>
        <v/>
      </c>
      <c r="E333" s="4">
        <f>IF($L333="","",IF(INDEX(tblRegistros[Data],$L333)&gt;$D$4,"",IFERROR(IF(INDEX(tblRegistros[Status],$L333)="EM ABERTO","",INDEX(tblRegistros[Fim],$L333)),"")))</f>
        <v/>
      </c>
      <c r="F333" s="14">
        <f>IF($L333="","",IF(INDEX(tblRegistros[Data],$L333)&gt;$D$4,"",IFERROR(IF(INDEX(tblRegistros[Status],$L333)="EM ABERTO","",INDEX(tblRegistros[Horas],$L333)),"")))</f>
        <v/>
      </c>
      <c r="G333">
        <f>IF($L333="","",IF(INDEX(tblRegistros[Data],$L333)&gt;$D$4,"",IFERROR(INDEX(tblRegistros[Base],$L333),"")))</f>
        <v/>
      </c>
      <c r="H333" s="3">
        <f>IF($L333="","",IF(INDEX(tblRegistros[Data],$L333)&gt;$D$4,"",IFERROR(INDEX(tblRegistros[Taxa aplicada],$L333),"")))</f>
        <v/>
      </c>
      <c r="I333" s="3">
        <f>IF($L333="","",IF(INDEX(tblRegistros[Data],$L333)&gt;$D$4,"",IFERROR(IF(INDEX(tblRegistros[Status],$L333)="EM ABERTO","",INDEX(tblRegistros[Valor],$L333)),"")))</f>
        <v/>
      </c>
      <c r="J333">
        <f>IF($L333="","",IF(INDEX(tblRegistros[Data],$L333)&gt;$D$4,"",IFERROR(INDEX(tblRegistros[Status],$L333),"")))</f>
        <v/>
      </c>
      <c r="K333">
        <f>IF($L333="","",IF(INDEX(tblRegistros[Data],$L333)&gt;$D$4,"",IFERROR(INDEX(tblRegistros[Observação],$L333),"")))</f>
        <v/>
      </c>
      <c r="L333" s="16">
        <f>IFERROR(MATCH($B$3*100000+COUNTIFS(tblRegistros[ID],$B$3,tblRegistros[Data],"&lt;"&amp;$B$4)+ROWS($L$10:L333),tblRegistros[Chave do cartão],0),"")</f>
        <v/>
      </c>
    </row>
    <row r="334">
      <c r="A334" s="2">
        <f>IF($L334="","",IF(INDEX(tblRegistros[Data],$L334)&gt;$D$4,"",IFERROR(INDEX(tblRegistros[Data],$L334),"")))</f>
        <v/>
      </c>
      <c r="B334">
        <f>IF($L334="","",IF(INDEX(tblRegistros[Data],$L334)&gt;$D$4,"",IFERROR(INDEX(tblRegistros[Projeto],$L334),"")))</f>
        <v/>
      </c>
      <c r="C334">
        <f>IF($L334="","",IF(INDEX(tblRegistros[Data],$L334)&gt;$D$4,"",IFERROR(INDEX(tblRegistros[Atividade],$L334),"")))</f>
        <v/>
      </c>
      <c r="D334" s="4">
        <f>IF($L334="","",IF(INDEX(tblRegistros[Data],$L334)&gt;$D$4,"",IFERROR(INDEX(tblRegistros[Início],$L334),"")))</f>
        <v/>
      </c>
      <c r="E334" s="4">
        <f>IF($L334="","",IF(INDEX(tblRegistros[Data],$L334)&gt;$D$4,"",IFERROR(IF(INDEX(tblRegistros[Status],$L334)="EM ABERTO","",INDEX(tblRegistros[Fim],$L334)),"")))</f>
        <v/>
      </c>
      <c r="F334" s="14">
        <f>IF($L334="","",IF(INDEX(tblRegistros[Data],$L334)&gt;$D$4,"",IFERROR(IF(INDEX(tblRegistros[Status],$L334)="EM ABERTO","",INDEX(tblRegistros[Horas],$L334)),"")))</f>
        <v/>
      </c>
      <c r="G334">
        <f>IF($L334="","",IF(INDEX(tblRegistros[Data],$L334)&gt;$D$4,"",IFERROR(INDEX(tblRegistros[Base],$L334),"")))</f>
        <v/>
      </c>
      <c r="H334" s="3">
        <f>IF($L334="","",IF(INDEX(tblRegistros[Data],$L334)&gt;$D$4,"",IFERROR(INDEX(tblRegistros[Taxa aplicada],$L334),"")))</f>
        <v/>
      </c>
      <c r="I334" s="3">
        <f>IF($L334="","",IF(INDEX(tblRegistros[Data],$L334)&gt;$D$4,"",IFERROR(IF(INDEX(tblRegistros[Status],$L334)="EM ABERTO","",INDEX(tblRegistros[Valor],$L334)),"")))</f>
        <v/>
      </c>
      <c r="J334">
        <f>IF($L334="","",IF(INDEX(tblRegistros[Data],$L334)&gt;$D$4,"",IFERROR(INDEX(tblRegistros[Status],$L334),"")))</f>
        <v/>
      </c>
      <c r="K334">
        <f>IF($L334="","",IF(INDEX(tblRegistros[Data],$L334)&gt;$D$4,"",IFERROR(INDEX(tblRegistros[Observação],$L334),"")))</f>
        <v/>
      </c>
      <c r="L334" s="16">
        <f>IFERROR(MATCH($B$3*100000+COUNTIFS(tblRegistros[ID],$B$3,tblRegistros[Data],"&lt;"&amp;$B$4)+ROWS($L$10:L334),tblRegistros[Chave do cartão],0),"")</f>
        <v/>
      </c>
    </row>
    <row r="335">
      <c r="A335" s="2">
        <f>IF($L335="","",IF(INDEX(tblRegistros[Data],$L335)&gt;$D$4,"",IFERROR(INDEX(tblRegistros[Data],$L335),"")))</f>
        <v/>
      </c>
      <c r="B335">
        <f>IF($L335="","",IF(INDEX(tblRegistros[Data],$L335)&gt;$D$4,"",IFERROR(INDEX(tblRegistros[Projeto],$L335),"")))</f>
        <v/>
      </c>
      <c r="C335">
        <f>IF($L335="","",IF(INDEX(tblRegistros[Data],$L335)&gt;$D$4,"",IFERROR(INDEX(tblRegistros[Atividade],$L335),"")))</f>
        <v/>
      </c>
      <c r="D335" s="4">
        <f>IF($L335="","",IF(INDEX(tblRegistros[Data],$L335)&gt;$D$4,"",IFERROR(INDEX(tblRegistros[Início],$L335),"")))</f>
        <v/>
      </c>
      <c r="E335" s="4">
        <f>IF($L335="","",IF(INDEX(tblRegistros[Data],$L335)&gt;$D$4,"",IFERROR(IF(INDEX(tblRegistros[Status],$L335)="EM ABERTO","",INDEX(tblRegistros[Fim],$L335)),"")))</f>
        <v/>
      </c>
      <c r="F335" s="14">
        <f>IF($L335="","",IF(INDEX(tblRegistros[Data],$L335)&gt;$D$4,"",IFERROR(IF(INDEX(tblRegistros[Status],$L335)="EM ABERTO","",INDEX(tblRegistros[Horas],$L335)),"")))</f>
        <v/>
      </c>
      <c r="G335">
        <f>IF($L335="","",IF(INDEX(tblRegistros[Data],$L335)&gt;$D$4,"",IFERROR(INDEX(tblRegistros[Base],$L335),"")))</f>
        <v/>
      </c>
      <c r="H335" s="3">
        <f>IF($L335="","",IF(INDEX(tblRegistros[Data],$L335)&gt;$D$4,"",IFERROR(INDEX(tblRegistros[Taxa aplicada],$L335),"")))</f>
        <v/>
      </c>
      <c r="I335" s="3">
        <f>IF($L335="","",IF(INDEX(tblRegistros[Data],$L335)&gt;$D$4,"",IFERROR(IF(INDEX(tblRegistros[Status],$L335)="EM ABERTO","",INDEX(tblRegistros[Valor],$L335)),"")))</f>
        <v/>
      </c>
      <c r="J335">
        <f>IF($L335="","",IF(INDEX(tblRegistros[Data],$L335)&gt;$D$4,"",IFERROR(INDEX(tblRegistros[Status],$L335),"")))</f>
        <v/>
      </c>
      <c r="K335">
        <f>IF($L335="","",IF(INDEX(tblRegistros[Data],$L335)&gt;$D$4,"",IFERROR(INDEX(tblRegistros[Observação],$L335),"")))</f>
        <v/>
      </c>
      <c r="L335" s="16">
        <f>IFERROR(MATCH($B$3*100000+COUNTIFS(tblRegistros[ID],$B$3,tblRegistros[Data],"&lt;"&amp;$B$4)+ROWS($L$10:L335),tblRegistros[Chave do cartão],0),"")</f>
        <v/>
      </c>
    </row>
    <row r="336">
      <c r="A336" s="2">
        <f>IF($L336="","",IF(INDEX(tblRegistros[Data],$L336)&gt;$D$4,"",IFERROR(INDEX(tblRegistros[Data],$L336),"")))</f>
        <v/>
      </c>
      <c r="B336">
        <f>IF($L336="","",IF(INDEX(tblRegistros[Data],$L336)&gt;$D$4,"",IFERROR(INDEX(tblRegistros[Projeto],$L336),"")))</f>
        <v/>
      </c>
      <c r="C336">
        <f>IF($L336="","",IF(INDEX(tblRegistros[Data],$L336)&gt;$D$4,"",IFERROR(INDEX(tblRegistros[Atividade],$L336),"")))</f>
        <v/>
      </c>
      <c r="D336" s="4">
        <f>IF($L336="","",IF(INDEX(tblRegistros[Data],$L336)&gt;$D$4,"",IFERROR(INDEX(tblRegistros[Início],$L336),"")))</f>
        <v/>
      </c>
      <c r="E336" s="4">
        <f>IF($L336="","",IF(INDEX(tblRegistros[Data],$L336)&gt;$D$4,"",IFERROR(IF(INDEX(tblRegistros[Status],$L336)="EM ABERTO","",INDEX(tblRegistros[Fim],$L336)),"")))</f>
        <v/>
      </c>
      <c r="F336" s="14">
        <f>IF($L336="","",IF(INDEX(tblRegistros[Data],$L336)&gt;$D$4,"",IFERROR(IF(INDEX(tblRegistros[Status],$L336)="EM ABERTO","",INDEX(tblRegistros[Horas],$L336)),"")))</f>
        <v/>
      </c>
      <c r="G336">
        <f>IF($L336="","",IF(INDEX(tblRegistros[Data],$L336)&gt;$D$4,"",IFERROR(INDEX(tblRegistros[Base],$L336),"")))</f>
        <v/>
      </c>
      <c r="H336" s="3">
        <f>IF($L336="","",IF(INDEX(tblRegistros[Data],$L336)&gt;$D$4,"",IFERROR(INDEX(tblRegistros[Taxa aplicada],$L336),"")))</f>
        <v/>
      </c>
      <c r="I336" s="3">
        <f>IF($L336="","",IF(INDEX(tblRegistros[Data],$L336)&gt;$D$4,"",IFERROR(IF(INDEX(tblRegistros[Status],$L336)="EM ABERTO","",INDEX(tblRegistros[Valor],$L336)),"")))</f>
        <v/>
      </c>
      <c r="J336">
        <f>IF($L336="","",IF(INDEX(tblRegistros[Data],$L336)&gt;$D$4,"",IFERROR(INDEX(tblRegistros[Status],$L336),"")))</f>
        <v/>
      </c>
      <c r="K336">
        <f>IF($L336="","",IF(INDEX(tblRegistros[Data],$L336)&gt;$D$4,"",IFERROR(INDEX(tblRegistros[Observação],$L336),"")))</f>
        <v/>
      </c>
      <c r="L336" s="16">
        <f>IFERROR(MATCH($B$3*100000+COUNTIFS(tblRegistros[ID],$B$3,tblRegistros[Data],"&lt;"&amp;$B$4)+ROWS($L$10:L336),tblRegistros[Chave do cartão],0),"")</f>
        <v/>
      </c>
    </row>
    <row r="337">
      <c r="A337" s="2">
        <f>IF($L337="","",IF(INDEX(tblRegistros[Data],$L337)&gt;$D$4,"",IFERROR(INDEX(tblRegistros[Data],$L337),"")))</f>
        <v/>
      </c>
      <c r="B337">
        <f>IF($L337="","",IF(INDEX(tblRegistros[Data],$L337)&gt;$D$4,"",IFERROR(INDEX(tblRegistros[Projeto],$L337),"")))</f>
        <v/>
      </c>
      <c r="C337">
        <f>IF($L337="","",IF(INDEX(tblRegistros[Data],$L337)&gt;$D$4,"",IFERROR(INDEX(tblRegistros[Atividade],$L337),"")))</f>
        <v/>
      </c>
      <c r="D337" s="4">
        <f>IF($L337="","",IF(INDEX(tblRegistros[Data],$L337)&gt;$D$4,"",IFERROR(INDEX(tblRegistros[Início],$L337),"")))</f>
        <v/>
      </c>
      <c r="E337" s="4">
        <f>IF($L337="","",IF(INDEX(tblRegistros[Data],$L337)&gt;$D$4,"",IFERROR(IF(INDEX(tblRegistros[Status],$L337)="EM ABERTO","",INDEX(tblRegistros[Fim],$L337)),"")))</f>
        <v/>
      </c>
      <c r="F337" s="14">
        <f>IF($L337="","",IF(INDEX(tblRegistros[Data],$L337)&gt;$D$4,"",IFERROR(IF(INDEX(tblRegistros[Status],$L337)="EM ABERTO","",INDEX(tblRegistros[Horas],$L337)),"")))</f>
        <v/>
      </c>
      <c r="G337">
        <f>IF($L337="","",IF(INDEX(tblRegistros[Data],$L337)&gt;$D$4,"",IFERROR(INDEX(tblRegistros[Base],$L337),"")))</f>
        <v/>
      </c>
      <c r="H337" s="3">
        <f>IF($L337="","",IF(INDEX(tblRegistros[Data],$L337)&gt;$D$4,"",IFERROR(INDEX(tblRegistros[Taxa aplicada],$L337),"")))</f>
        <v/>
      </c>
      <c r="I337" s="3">
        <f>IF($L337="","",IF(INDEX(tblRegistros[Data],$L337)&gt;$D$4,"",IFERROR(IF(INDEX(tblRegistros[Status],$L337)="EM ABERTO","",INDEX(tblRegistros[Valor],$L337)),"")))</f>
        <v/>
      </c>
      <c r="J337">
        <f>IF($L337="","",IF(INDEX(tblRegistros[Data],$L337)&gt;$D$4,"",IFERROR(INDEX(tblRegistros[Status],$L337),"")))</f>
        <v/>
      </c>
      <c r="K337">
        <f>IF($L337="","",IF(INDEX(tblRegistros[Data],$L337)&gt;$D$4,"",IFERROR(INDEX(tblRegistros[Observação],$L337),"")))</f>
        <v/>
      </c>
      <c r="L337" s="16">
        <f>IFERROR(MATCH($B$3*100000+COUNTIFS(tblRegistros[ID],$B$3,tblRegistros[Data],"&lt;"&amp;$B$4)+ROWS($L$10:L337),tblRegistros[Chave do cartão],0),"")</f>
        <v/>
      </c>
    </row>
    <row r="338">
      <c r="A338" s="2">
        <f>IF($L338="","",IF(INDEX(tblRegistros[Data],$L338)&gt;$D$4,"",IFERROR(INDEX(tblRegistros[Data],$L338),"")))</f>
        <v/>
      </c>
      <c r="B338">
        <f>IF($L338="","",IF(INDEX(tblRegistros[Data],$L338)&gt;$D$4,"",IFERROR(INDEX(tblRegistros[Projeto],$L338),"")))</f>
        <v/>
      </c>
      <c r="C338">
        <f>IF($L338="","",IF(INDEX(tblRegistros[Data],$L338)&gt;$D$4,"",IFERROR(INDEX(tblRegistros[Atividade],$L338),"")))</f>
        <v/>
      </c>
      <c r="D338" s="4">
        <f>IF($L338="","",IF(INDEX(tblRegistros[Data],$L338)&gt;$D$4,"",IFERROR(INDEX(tblRegistros[Início],$L338),"")))</f>
        <v/>
      </c>
      <c r="E338" s="4">
        <f>IF($L338="","",IF(INDEX(tblRegistros[Data],$L338)&gt;$D$4,"",IFERROR(IF(INDEX(tblRegistros[Status],$L338)="EM ABERTO","",INDEX(tblRegistros[Fim],$L338)),"")))</f>
        <v/>
      </c>
      <c r="F338" s="14">
        <f>IF($L338="","",IF(INDEX(tblRegistros[Data],$L338)&gt;$D$4,"",IFERROR(IF(INDEX(tblRegistros[Status],$L338)="EM ABERTO","",INDEX(tblRegistros[Horas],$L338)),"")))</f>
        <v/>
      </c>
      <c r="G338">
        <f>IF($L338="","",IF(INDEX(tblRegistros[Data],$L338)&gt;$D$4,"",IFERROR(INDEX(tblRegistros[Base],$L338),"")))</f>
        <v/>
      </c>
      <c r="H338" s="3">
        <f>IF($L338="","",IF(INDEX(tblRegistros[Data],$L338)&gt;$D$4,"",IFERROR(INDEX(tblRegistros[Taxa aplicada],$L338),"")))</f>
        <v/>
      </c>
      <c r="I338" s="3">
        <f>IF($L338="","",IF(INDEX(tblRegistros[Data],$L338)&gt;$D$4,"",IFERROR(IF(INDEX(tblRegistros[Status],$L338)="EM ABERTO","",INDEX(tblRegistros[Valor],$L338)),"")))</f>
        <v/>
      </c>
      <c r="J338">
        <f>IF($L338="","",IF(INDEX(tblRegistros[Data],$L338)&gt;$D$4,"",IFERROR(INDEX(tblRegistros[Status],$L338),"")))</f>
        <v/>
      </c>
      <c r="K338">
        <f>IF($L338="","",IF(INDEX(tblRegistros[Data],$L338)&gt;$D$4,"",IFERROR(INDEX(tblRegistros[Observação],$L338),"")))</f>
        <v/>
      </c>
      <c r="L338" s="16">
        <f>IFERROR(MATCH($B$3*100000+COUNTIFS(tblRegistros[ID],$B$3,tblRegistros[Data],"&lt;"&amp;$B$4)+ROWS($L$10:L338),tblRegistros[Chave do cartão],0),"")</f>
        <v/>
      </c>
    </row>
    <row r="339">
      <c r="A339" s="2">
        <f>IF($L339="","",IF(INDEX(tblRegistros[Data],$L339)&gt;$D$4,"",IFERROR(INDEX(tblRegistros[Data],$L339),"")))</f>
        <v/>
      </c>
      <c r="B339">
        <f>IF($L339="","",IF(INDEX(tblRegistros[Data],$L339)&gt;$D$4,"",IFERROR(INDEX(tblRegistros[Projeto],$L339),"")))</f>
        <v/>
      </c>
      <c r="C339">
        <f>IF($L339="","",IF(INDEX(tblRegistros[Data],$L339)&gt;$D$4,"",IFERROR(INDEX(tblRegistros[Atividade],$L339),"")))</f>
        <v/>
      </c>
      <c r="D339" s="4">
        <f>IF($L339="","",IF(INDEX(tblRegistros[Data],$L339)&gt;$D$4,"",IFERROR(INDEX(tblRegistros[Início],$L339),"")))</f>
        <v/>
      </c>
      <c r="E339" s="4">
        <f>IF($L339="","",IF(INDEX(tblRegistros[Data],$L339)&gt;$D$4,"",IFERROR(IF(INDEX(tblRegistros[Status],$L339)="EM ABERTO","",INDEX(tblRegistros[Fim],$L339)),"")))</f>
        <v/>
      </c>
      <c r="F339" s="14">
        <f>IF($L339="","",IF(INDEX(tblRegistros[Data],$L339)&gt;$D$4,"",IFERROR(IF(INDEX(tblRegistros[Status],$L339)="EM ABERTO","",INDEX(tblRegistros[Horas],$L339)),"")))</f>
        <v/>
      </c>
      <c r="G339">
        <f>IF($L339="","",IF(INDEX(tblRegistros[Data],$L339)&gt;$D$4,"",IFERROR(INDEX(tblRegistros[Base],$L339),"")))</f>
        <v/>
      </c>
      <c r="H339" s="3">
        <f>IF($L339="","",IF(INDEX(tblRegistros[Data],$L339)&gt;$D$4,"",IFERROR(INDEX(tblRegistros[Taxa aplicada],$L339),"")))</f>
        <v/>
      </c>
      <c r="I339" s="3">
        <f>IF($L339="","",IF(INDEX(tblRegistros[Data],$L339)&gt;$D$4,"",IFERROR(IF(INDEX(tblRegistros[Status],$L339)="EM ABERTO","",INDEX(tblRegistros[Valor],$L339)),"")))</f>
        <v/>
      </c>
      <c r="J339">
        <f>IF($L339="","",IF(INDEX(tblRegistros[Data],$L339)&gt;$D$4,"",IFERROR(INDEX(tblRegistros[Status],$L339),"")))</f>
        <v/>
      </c>
      <c r="K339">
        <f>IF($L339="","",IF(INDEX(tblRegistros[Data],$L339)&gt;$D$4,"",IFERROR(INDEX(tblRegistros[Observação],$L339),"")))</f>
        <v/>
      </c>
      <c r="L339" s="16">
        <f>IFERROR(MATCH($B$3*100000+COUNTIFS(tblRegistros[ID],$B$3,tblRegistros[Data],"&lt;"&amp;$B$4)+ROWS($L$10:L339),tblRegistros[Chave do cartão],0),"")</f>
        <v/>
      </c>
    </row>
    <row r="340">
      <c r="A340" s="2">
        <f>IF($L340="","",IF(INDEX(tblRegistros[Data],$L340)&gt;$D$4,"",IFERROR(INDEX(tblRegistros[Data],$L340),"")))</f>
        <v/>
      </c>
      <c r="B340">
        <f>IF($L340="","",IF(INDEX(tblRegistros[Data],$L340)&gt;$D$4,"",IFERROR(INDEX(tblRegistros[Projeto],$L340),"")))</f>
        <v/>
      </c>
      <c r="C340">
        <f>IF($L340="","",IF(INDEX(tblRegistros[Data],$L340)&gt;$D$4,"",IFERROR(INDEX(tblRegistros[Atividade],$L340),"")))</f>
        <v/>
      </c>
      <c r="D340" s="4">
        <f>IF($L340="","",IF(INDEX(tblRegistros[Data],$L340)&gt;$D$4,"",IFERROR(INDEX(tblRegistros[Início],$L340),"")))</f>
        <v/>
      </c>
      <c r="E340" s="4">
        <f>IF($L340="","",IF(INDEX(tblRegistros[Data],$L340)&gt;$D$4,"",IFERROR(IF(INDEX(tblRegistros[Status],$L340)="EM ABERTO","",INDEX(tblRegistros[Fim],$L340)),"")))</f>
        <v/>
      </c>
      <c r="F340" s="14">
        <f>IF($L340="","",IF(INDEX(tblRegistros[Data],$L340)&gt;$D$4,"",IFERROR(IF(INDEX(tblRegistros[Status],$L340)="EM ABERTO","",INDEX(tblRegistros[Horas],$L340)),"")))</f>
        <v/>
      </c>
      <c r="G340">
        <f>IF($L340="","",IF(INDEX(tblRegistros[Data],$L340)&gt;$D$4,"",IFERROR(INDEX(tblRegistros[Base],$L340),"")))</f>
        <v/>
      </c>
      <c r="H340" s="3">
        <f>IF($L340="","",IF(INDEX(tblRegistros[Data],$L340)&gt;$D$4,"",IFERROR(INDEX(tblRegistros[Taxa aplicada],$L340),"")))</f>
        <v/>
      </c>
      <c r="I340" s="3">
        <f>IF($L340="","",IF(INDEX(tblRegistros[Data],$L340)&gt;$D$4,"",IFERROR(IF(INDEX(tblRegistros[Status],$L340)="EM ABERTO","",INDEX(tblRegistros[Valor],$L340)),"")))</f>
        <v/>
      </c>
      <c r="J340">
        <f>IF($L340="","",IF(INDEX(tblRegistros[Data],$L340)&gt;$D$4,"",IFERROR(INDEX(tblRegistros[Status],$L340),"")))</f>
        <v/>
      </c>
      <c r="K340">
        <f>IF($L340="","",IF(INDEX(tblRegistros[Data],$L340)&gt;$D$4,"",IFERROR(INDEX(tblRegistros[Observação],$L340),"")))</f>
        <v/>
      </c>
      <c r="L340" s="16">
        <f>IFERROR(MATCH($B$3*100000+COUNTIFS(tblRegistros[ID],$B$3,tblRegistros[Data],"&lt;"&amp;$B$4)+ROWS($L$10:L340),tblRegistros[Chave do cartão],0),"")</f>
        <v/>
      </c>
    </row>
    <row r="341">
      <c r="A341" s="2">
        <f>IF($L341="","",IF(INDEX(tblRegistros[Data],$L341)&gt;$D$4,"",IFERROR(INDEX(tblRegistros[Data],$L341),"")))</f>
        <v/>
      </c>
      <c r="B341">
        <f>IF($L341="","",IF(INDEX(tblRegistros[Data],$L341)&gt;$D$4,"",IFERROR(INDEX(tblRegistros[Projeto],$L341),"")))</f>
        <v/>
      </c>
      <c r="C341">
        <f>IF($L341="","",IF(INDEX(tblRegistros[Data],$L341)&gt;$D$4,"",IFERROR(INDEX(tblRegistros[Atividade],$L341),"")))</f>
        <v/>
      </c>
      <c r="D341" s="4">
        <f>IF($L341="","",IF(INDEX(tblRegistros[Data],$L341)&gt;$D$4,"",IFERROR(INDEX(tblRegistros[Início],$L341),"")))</f>
        <v/>
      </c>
      <c r="E341" s="4">
        <f>IF($L341="","",IF(INDEX(tblRegistros[Data],$L341)&gt;$D$4,"",IFERROR(IF(INDEX(tblRegistros[Status],$L341)="EM ABERTO","",INDEX(tblRegistros[Fim],$L341)),"")))</f>
        <v/>
      </c>
      <c r="F341" s="14">
        <f>IF($L341="","",IF(INDEX(tblRegistros[Data],$L341)&gt;$D$4,"",IFERROR(IF(INDEX(tblRegistros[Status],$L341)="EM ABERTO","",INDEX(tblRegistros[Horas],$L341)),"")))</f>
        <v/>
      </c>
      <c r="G341">
        <f>IF($L341="","",IF(INDEX(tblRegistros[Data],$L341)&gt;$D$4,"",IFERROR(INDEX(tblRegistros[Base],$L341),"")))</f>
        <v/>
      </c>
      <c r="H341" s="3">
        <f>IF($L341="","",IF(INDEX(tblRegistros[Data],$L341)&gt;$D$4,"",IFERROR(INDEX(tblRegistros[Taxa aplicada],$L341),"")))</f>
        <v/>
      </c>
      <c r="I341" s="3">
        <f>IF($L341="","",IF(INDEX(tblRegistros[Data],$L341)&gt;$D$4,"",IFERROR(IF(INDEX(tblRegistros[Status],$L341)="EM ABERTO","",INDEX(tblRegistros[Valor],$L341)),"")))</f>
        <v/>
      </c>
      <c r="J341">
        <f>IF($L341="","",IF(INDEX(tblRegistros[Data],$L341)&gt;$D$4,"",IFERROR(INDEX(tblRegistros[Status],$L341),"")))</f>
        <v/>
      </c>
      <c r="K341">
        <f>IF($L341="","",IF(INDEX(tblRegistros[Data],$L341)&gt;$D$4,"",IFERROR(INDEX(tblRegistros[Observação],$L341),"")))</f>
        <v/>
      </c>
      <c r="L341" s="16">
        <f>IFERROR(MATCH($B$3*100000+COUNTIFS(tblRegistros[ID],$B$3,tblRegistros[Data],"&lt;"&amp;$B$4)+ROWS($L$10:L341),tblRegistros[Chave do cartão],0),"")</f>
        <v/>
      </c>
    </row>
    <row r="342">
      <c r="A342" s="2">
        <f>IF($L342="","",IF(INDEX(tblRegistros[Data],$L342)&gt;$D$4,"",IFERROR(INDEX(tblRegistros[Data],$L342),"")))</f>
        <v/>
      </c>
      <c r="B342">
        <f>IF($L342="","",IF(INDEX(tblRegistros[Data],$L342)&gt;$D$4,"",IFERROR(INDEX(tblRegistros[Projeto],$L342),"")))</f>
        <v/>
      </c>
      <c r="C342">
        <f>IF($L342="","",IF(INDEX(tblRegistros[Data],$L342)&gt;$D$4,"",IFERROR(INDEX(tblRegistros[Atividade],$L342),"")))</f>
        <v/>
      </c>
      <c r="D342" s="4">
        <f>IF($L342="","",IF(INDEX(tblRegistros[Data],$L342)&gt;$D$4,"",IFERROR(INDEX(tblRegistros[Início],$L342),"")))</f>
        <v/>
      </c>
      <c r="E342" s="4">
        <f>IF($L342="","",IF(INDEX(tblRegistros[Data],$L342)&gt;$D$4,"",IFERROR(IF(INDEX(tblRegistros[Status],$L342)="EM ABERTO","",INDEX(tblRegistros[Fim],$L342)),"")))</f>
        <v/>
      </c>
      <c r="F342" s="14">
        <f>IF($L342="","",IF(INDEX(tblRegistros[Data],$L342)&gt;$D$4,"",IFERROR(IF(INDEX(tblRegistros[Status],$L342)="EM ABERTO","",INDEX(tblRegistros[Horas],$L342)),"")))</f>
        <v/>
      </c>
      <c r="G342">
        <f>IF($L342="","",IF(INDEX(tblRegistros[Data],$L342)&gt;$D$4,"",IFERROR(INDEX(tblRegistros[Base],$L342),"")))</f>
        <v/>
      </c>
      <c r="H342" s="3">
        <f>IF($L342="","",IF(INDEX(tblRegistros[Data],$L342)&gt;$D$4,"",IFERROR(INDEX(tblRegistros[Taxa aplicada],$L342),"")))</f>
        <v/>
      </c>
      <c r="I342" s="3">
        <f>IF($L342="","",IF(INDEX(tblRegistros[Data],$L342)&gt;$D$4,"",IFERROR(IF(INDEX(tblRegistros[Status],$L342)="EM ABERTO","",INDEX(tblRegistros[Valor],$L342)),"")))</f>
        <v/>
      </c>
      <c r="J342">
        <f>IF($L342="","",IF(INDEX(tblRegistros[Data],$L342)&gt;$D$4,"",IFERROR(INDEX(tblRegistros[Status],$L342),"")))</f>
        <v/>
      </c>
      <c r="K342">
        <f>IF($L342="","",IF(INDEX(tblRegistros[Data],$L342)&gt;$D$4,"",IFERROR(INDEX(tblRegistros[Observação],$L342),"")))</f>
        <v/>
      </c>
      <c r="L342" s="16">
        <f>IFERROR(MATCH($B$3*100000+COUNTIFS(tblRegistros[ID],$B$3,tblRegistros[Data],"&lt;"&amp;$B$4)+ROWS($L$10:L342),tblRegistros[Chave do cartão],0),"")</f>
        <v/>
      </c>
    </row>
    <row r="343">
      <c r="A343" s="2">
        <f>IF($L343="","",IF(INDEX(tblRegistros[Data],$L343)&gt;$D$4,"",IFERROR(INDEX(tblRegistros[Data],$L343),"")))</f>
        <v/>
      </c>
      <c r="B343">
        <f>IF($L343="","",IF(INDEX(tblRegistros[Data],$L343)&gt;$D$4,"",IFERROR(INDEX(tblRegistros[Projeto],$L343),"")))</f>
        <v/>
      </c>
      <c r="C343">
        <f>IF($L343="","",IF(INDEX(tblRegistros[Data],$L343)&gt;$D$4,"",IFERROR(INDEX(tblRegistros[Atividade],$L343),"")))</f>
        <v/>
      </c>
      <c r="D343" s="4">
        <f>IF($L343="","",IF(INDEX(tblRegistros[Data],$L343)&gt;$D$4,"",IFERROR(INDEX(tblRegistros[Início],$L343),"")))</f>
        <v/>
      </c>
      <c r="E343" s="4">
        <f>IF($L343="","",IF(INDEX(tblRegistros[Data],$L343)&gt;$D$4,"",IFERROR(IF(INDEX(tblRegistros[Status],$L343)="EM ABERTO","",INDEX(tblRegistros[Fim],$L343)),"")))</f>
        <v/>
      </c>
      <c r="F343" s="14">
        <f>IF($L343="","",IF(INDEX(tblRegistros[Data],$L343)&gt;$D$4,"",IFERROR(IF(INDEX(tblRegistros[Status],$L343)="EM ABERTO","",INDEX(tblRegistros[Horas],$L343)),"")))</f>
        <v/>
      </c>
      <c r="G343">
        <f>IF($L343="","",IF(INDEX(tblRegistros[Data],$L343)&gt;$D$4,"",IFERROR(INDEX(tblRegistros[Base],$L343),"")))</f>
        <v/>
      </c>
      <c r="H343" s="3">
        <f>IF($L343="","",IF(INDEX(tblRegistros[Data],$L343)&gt;$D$4,"",IFERROR(INDEX(tblRegistros[Taxa aplicada],$L343),"")))</f>
        <v/>
      </c>
      <c r="I343" s="3">
        <f>IF($L343="","",IF(INDEX(tblRegistros[Data],$L343)&gt;$D$4,"",IFERROR(IF(INDEX(tblRegistros[Status],$L343)="EM ABERTO","",INDEX(tblRegistros[Valor],$L343)),"")))</f>
        <v/>
      </c>
      <c r="J343">
        <f>IF($L343="","",IF(INDEX(tblRegistros[Data],$L343)&gt;$D$4,"",IFERROR(INDEX(tblRegistros[Status],$L343),"")))</f>
        <v/>
      </c>
      <c r="K343">
        <f>IF($L343="","",IF(INDEX(tblRegistros[Data],$L343)&gt;$D$4,"",IFERROR(INDEX(tblRegistros[Observação],$L343),"")))</f>
        <v/>
      </c>
      <c r="L343" s="16">
        <f>IFERROR(MATCH($B$3*100000+COUNTIFS(tblRegistros[ID],$B$3,tblRegistros[Data],"&lt;"&amp;$B$4)+ROWS($L$10:L343),tblRegistros[Chave do cartão],0),"")</f>
        <v/>
      </c>
    </row>
    <row r="344">
      <c r="A344" s="2">
        <f>IF($L344="","",IF(INDEX(tblRegistros[Data],$L344)&gt;$D$4,"",IFERROR(INDEX(tblRegistros[Data],$L344),"")))</f>
        <v/>
      </c>
      <c r="B344">
        <f>IF($L344="","",IF(INDEX(tblRegistros[Data],$L344)&gt;$D$4,"",IFERROR(INDEX(tblRegistros[Projeto],$L344),"")))</f>
        <v/>
      </c>
      <c r="C344">
        <f>IF($L344="","",IF(INDEX(tblRegistros[Data],$L344)&gt;$D$4,"",IFERROR(INDEX(tblRegistros[Atividade],$L344),"")))</f>
        <v/>
      </c>
      <c r="D344" s="4">
        <f>IF($L344="","",IF(INDEX(tblRegistros[Data],$L344)&gt;$D$4,"",IFERROR(INDEX(tblRegistros[Início],$L344),"")))</f>
        <v/>
      </c>
      <c r="E344" s="4">
        <f>IF($L344="","",IF(INDEX(tblRegistros[Data],$L344)&gt;$D$4,"",IFERROR(IF(INDEX(tblRegistros[Status],$L344)="EM ABERTO","",INDEX(tblRegistros[Fim],$L344)),"")))</f>
        <v/>
      </c>
      <c r="F344" s="14">
        <f>IF($L344="","",IF(INDEX(tblRegistros[Data],$L344)&gt;$D$4,"",IFERROR(IF(INDEX(tblRegistros[Status],$L344)="EM ABERTO","",INDEX(tblRegistros[Horas],$L344)),"")))</f>
        <v/>
      </c>
      <c r="G344">
        <f>IF($L344="","",IF(INDEX(tblRegistros[Data],$L344)&gt;$D$4,"",IFERROR(INDEX(tblRegistros[Base],$L344),"")))</f>
        <v/>
      </c>
      <c r="H344" s="3">
        <f>IF($L344="","",IF(INDEX(tblRegistros[Data],$L344)&gt;$D$4,"",IFERROR(INDEX(tblRegistros[Taxa aplicada],$L344),"")))</f>
        <v/>
      </c>
      <c r="I344" s="3">
        <f>IF($L344="","",IF(INDEX(tblRegistros[Data],$L344)&gt;$D$4,"",IFERROR(IF(INDEX(tblRegistros[Status],$L344)="EM ABERTO","",INDEX(tblRegistros[Valor],$L344)),"")))</f>
        <v/>
      </c>
      <c r="J344">
        <f>IF($L344="","",IF(INDEX(tblRegistros[Data],$L344)&gt;$D$4,"",IFERROR(INDEX(tblRegistros[Status],$L344),"")))</f>
        <v/>
      </c>
      <c r="K344">
        <f>IF($L344="","",IF(INDEX(tblRegistros[Data],$L344)&gt;$D$4,"",IFERROR(INDEX(tblRegistros[Observação],$L344),"")))</f>
        <v/>
      </c>
      <c r="L344" s="16">
        <f>IFERROR(MATCH($B$3*100000+COUNTIFS(tblRegistros[ID],$B$3,tblRegistros[Data],"&lt;"&amp;$B$4)+ROWS($L$10:L344),tblRegistros[Chave do cartão],0),"")</f>
        <v/>
      </c>
    </row>
    <row r="345">
      <c r="A345" s="2">
        <f>IF($L345="","",IF(INDEX(tblRegistros[Data],$L345)&gt;$D$4,"",IFERROR(INDEX(tblRegistros[Data],$L345),"")))</f>
        <v/>
      </c>
      <c r="B345">
        <f>IF($L345="","",IF(INDEX(tblRegistros[Data],$L345)&gt;$D$4,"",IFERROR(INDEX(tblRegistros[Projeto],$L345),"")))</f>
        <v/>
      </c>
      <c r="C345">
        <f>IF($L345="","",IF(INDEX(tblRegistros[Data],$L345)&gt;$D$4,"",IFERROR(INDEX(tblRegistros[Atividade],$L345),"")))</f>
        <v/>
      </c>
      <c r="D345" s="4">
        <f>IF($L345="","",IF(INDEX(tblRegistros[Data],$L345)&gt;$D$4,"",IFERROR(INDEX(tblRegistros[Início],$L345),"")))</f>
        <v/>
      </c>
      <c r="E345" s="4">
        <f>IF($L345="","",IF(INDEX(tblRegistros[Data],$L345)&gt;$D$4,"",IFERROR(IF(INDEX(tblRegistros[Status],$L345)="EM ABERTO","",INDEX(tblRegistros[Fim],$L345)),"")))</f>
        <v/>
      </c>
      <c r="F345" s="14">
        <f>IF($L345="","",IF(INDEX(tblRegistros[Data],$L345)&gt;$D$4,"",IFERROR(IF(INDEX(tblRegistros[Status],$L345)="EM ABERTO","",INDEX(tblRegistros[Horas],$L345)),"")))</f>
        <v/>
      </c>
      <c r="G345">
        <f>IF($L345="","",IF(INDEX(tblRegistros[Data],$L345)&gt;$D$4,"",IFERROR(INDEX(tblRegistros[Base],$L345),"")))</f>
        <v/>
      </c>
      <c r="H345" s="3">
        <f>IF($L345="","",IF(INDEX(tblRegistros[Data],$L345)&gt;$D$4,"",IFERROR(INDEX(tblRegistros[Taxa aplicada],$L345),"")))</f>
        <v/>
      </c>
      <c r="I345" s="3">
        <f>IF($L345="","",IF(INDEX(tblRegistros[Data],$L345)&gt;$D$4,"",IFERROR(IF(INDEX(tblRegistros[Status],$L345)="EM ABERTO","",INDEX(tblRegistros[Valor],$L345)),"")))</f>
        <v/>
      </c>
      <c r="J345">
        <f>IF($L345="","",IF(INDEX(tblRegistros[Data],$L345)&gt;$D$4,"",IFERROR(INDEX(tblRegistros[Status],$L345),"")))</f>
        <v/>
      </c>
      <c r="K345">
        <f>IF($L345="","",IF(INDEX(tblRegistros[Data],$L345)&gt;$D$4,"",IFERROR(INDEX(tblRegistros[Observação],$L345),"")))</f>
        <v/>
      </c>
      <c r="L345" s="16">
        <f>IFERROR(MATCH($B$3*100000+COUNTIFS(tblRegistros[ID],$B$3,tblRegistros[Data],"&lt;"&amp;$B$4)+ROWS($L$10:L345),tblRegistros[Chave do cartão],0),"")</f>
        <v/>
      </c>
    </row>
    <row r="346">
      <c r="A346" s="2">
        <f>IF($L346="","",IF(INDEX(tblRegistros[Data],$L346)&gt;$D$4,"",IFERROR(INDEX(tblRegistros[Data],$L346),"")))</f>
        <v/>
      </c>
      <c r="B346">
        <f>IF($L346="","",IF(INDEX(tblRegistros[Data],$L346)&gt;$D$4,"",IFERROR(INDEX(tblRegistros[Projeto],$L346),"")))</f>
        <v/>
      </c>
      <c r="C346">
        <f>IF($L346="","",IF(INDEX(tblRegistros[Data],$L346)&gt;$D$4,"",IFERROR(INDEX(tblRegistros[Atividade],$L346),"")))</f>
        <v/>
      </c>
      <c r="D346" s="4">
        <f>IF($L346="","",IF(INDEX(tblRegistros[Data],$L346)&gt;$D$4,"",IFERROR(INDEX(tblRegistros[Início],$L346),"")))</f>
        <v/>
      </c>
      <c r="E346" s="4">
        <f>IF($L346="","",IF(INDEX(tblRegistros[Data],$L346)&gt;$D$4,"",IFERROR(IF(INDEX(tblRegistros[Status],$L346)="EM ABERTO","",INDEX(tblRegistros[Fim],$L346)),"")))</f>
        <v/>
      </c>
      <c r="F346" s="14">
        <f>IF($L346="","",IF(INDEX(tblRegistros[Data],$L346)&gt;$D$4,"",IFERROR(IF(INDEX(tblRegistros[Status],$L346)="EM ABERTO","",INDEX(tblRegistros[Horas],$L346)),"")))</f>
        <v/>
      </c>
      <c r="G346">
        <f>IF($L346="","",IF(INDEX(tblRegistros[Data],$L346)&gt;$D$4,"",IFERROR(INDEX(tblRegistros[Base],$L346),"")))</f>
        <v/>
      </c>
      <c r="H346" s="3">
        <f>IF($L346="","",IF(INDEX(tblRegistros[Data],$L346)&gt;$D$4,"",IFERROR(INDEX(tblRegistros[Taxa aplicada],$L346),"")))</f>
        <v/>
      </c>
      <c r="I346" s="3">
        <f>IF($L346="","",IF(INDEX(tblRegistros[Data],$L346)&gt;$D$4,"",IFERROR(IF(INDEX(tblRegistros[Status],$L346)="EM ABERTO","",INDEX(tblRegistros[Valor],$L346)),"")))</f>
        <v/>
      </c>
      <c r="J346">
        <f>IF($L346="","",IF(INDEX(tblRegistros[Data],$L346)&gt;$D$4,"",IFERROR(INDEX(tblRegistros[Status],$L346),"")))</f>
        <v/>
      </c>
      <c r="K346">
        <f>IF($L346="","",IF(INDEX(tblRegistros[Data],$L346)&gt;$D$4,"",IFERROR(INDEX(tblRegistros[Observação],$L346),"")))</f>
        <v/>
      </c>
      <c r="L346" s="16">
        <f>IFERROR(MATCH($B$3*100000+COUNTIFS(tblRegistros[ID],$B$3,tblRegistros[Data],"&lt;"&amp;$B$4)+ROWS($L$10:L346),tblRegistros[Chave do cartão],0),"")</f>
        <v/>
      </c>
    </row>
    <row r="347">
      <c r="A347" s="2">
        <f>IF($L347="","",IF(INDEX(tblRegistros[Data],$L347)&gt;$D$4,"",IFERROR(INDEX(tblRegistros[Data],$L347),"")))</f>
        <v/>
      </c>
      <c r="B347">
        <f>IF($L347="","",IF(INDEX(tblRegistros[Data],$L347)&gt;$D$4,"",IFERROR(INDEX(tblRegistros[Projeto],$L347),"")))</f>
        <v/>
      </c>
      <c r="C347">
        <f>IF($L347="","",IF(INDEX(tblRegistros[Data],$L347)&gt;$D$4,"",IFERROR(INDEX(tblRegistros[Atividade],$L347),"")))</f>
        <v/>
      </c>
      <c r="D347" s="4">
        <f>IF($L347="","",IF(INDEX(tblRegistros[Data],$L347)&gt;$D$4,"",IFERROR(INDEX(tblRegistros[Início],$L347),"")))</f>
        <v/>
      </c>
      <c r="E347" s="4">
        <f>IF($L347="","",IF(INDEX(tblRegistros[Data],$L347)&gt;$D$4,"",IFERROR(IF(INDEX(tblRegistros[Status],$L347)="EM ABERTO","",INDEX(tblRegistros[Fim],$L347)),"")))</f>
        <v/>
      </c>
      <c r="F347" s="14">
        <f>IF($L347="","",IF(INDEX(tblRegistros[Data],$L347)&gt;$D$4,"",IFERROR(IF(INDEX(tblRegistros[Status],$L347)="EM ABERTO","",INDEX(tblRegistros[Horas],$L347)),"")))</f>
        <v/>
      </c>
      <c r="G347">
        <f>IF($L347="","",IF(INDEX(tblRegistros[Data],$L347)&gt;$D$4,"",IFERROR(INDEX(tblRegistros[Base],$L347),"")))</f>
        <v/>
      </c>
      <c r="H347" s="3">
        <f>IF($L347="","",IF(INDEX(tblRegistros[Data],$L347)&gt;$D$4,"",IFERROR(INDEX(tblRegistros[Taxa aplicada],$L347),"")))</f>
        <v/>
      </c>
      <c r="I347" s="3">
        <f>IF($L347="","",IF(INDEX(tblRegistros[Data],$L347)&gt;$D$4,"",IFERROR(IF(INDEX(tblRegistros[Status],$L347)="EM ABERTO","",INDEX(tblRegistros[Valor],$L347)),"")))</f>
        <v/>
      </c>
      <c r="J347">
        <f>IF($L347="","",IF(INDEX(tblRegistros[Data],$L347)&gt;$D$4,"",IFERROR(INDEX(tblRegistros[Status],$L347),"")))</f>
        <v/>
      </c>
      <c r="K347">
        <f>IF($L347="","",IF(INDEX(tblRegistros[Data],$L347)&gt;$D$4,"",IFERROR(INDEX(tblRegistros[Observação],$L347),"")))</f>
        <v/>
      </c>
      <c r="L347" s="16">
        <f>IFERROR(MATCH($B$3*100000+COUNTIFS(tblRegistros[ID],$B$3,tblRegistros[Data],"&lt;"&amp;$B$4)+ROWS($L$10:L347),tblRegistros[Chave do cartão],0),"")</f>
        <v/>
      </c>
    </row>
    <row r="348">
      <c r="A348" s="2">
        <f>IF($L348="","",IF(INDEX(tblRegistros[Data],$L348)&gt;$D$4,"",IFERROR(INDEX(tblRegistros[Data],$L348),"")))</f>
        <v/>
      </c>
      <c r="B348">
        <f>IF($L348="","",IF(INDEX(tblRegistros[Data],$L348)&gt;$D$4,"",IFERROR(INDEX(tblRegistros[Projeto],$L348),"")))</f>
        <v/>
      </c>
      <c r="C348">
        <f>IF($L348="","",IF(INDEX(tblRegistros[Data],$L348)&gt;$D$4,"",IFERROR(INDEX(tblRegistros[Atividade],$L348),"")))</f>
        <v/>
      </c>
      <c r="D348" s="4">
        <f>IF($L348="","",IF(INDEX(tblRegistros[Data],$L348)&gt;$D$4,"",IFERROR(INDEX(tblRegistros[Início],$L348),"")))</f>
        <v/>
      </c>
      <c r="E348" s="4">
        <f>IF($L348="","",IF(INDEX(tblRegistros[Data],$L348)&gt;$D$4,"",IFERROR(IF(INDEX(tblRegistros[Status],$L348)="EM ABERTO","",INDEX(tblRegistros[Fim],$L348)),"")))</f>
        <v/>
      </c>
      <c r="F348" s="14">
        <f>IF($L348="","",IF(INDEX(tblRegistros[Data],$L348)&gt;$D$4,"",IFERROR(IF(INDEX(tblRegistros[Status],$L348)="EM ABERTO","",INDEX(tblRegistros[Horas],$L348)),"")))</f>
        <v/>
      </c>
      <c r="G348">
        <f>IF($L348="","",IF(INDEX(tblRegistros[Data],$L348)&gt;$D$4,"",IFERROR(INDEX(tblRegistros[Base],$L348),"")))</f>
        <v/>
      </c>
      <c r="H348" s="3">
        <f>IF($L348="","",IF(INDEX(tblRegistros[Data],$L348)&gt;$D$4,"",IFERROR(INDEX(tblRegistros[Taxa aplicada],$L348),"")))</f>
        <v/>
      </c>
      <c r="I348" s="3">
        <f>IF($L348="","",IF(INDEX(tblRegistros[Data],$L348)&gt;$D$4,"",IFERROR(IF(INDEX(tblRegistros[Status],$L348)="EM ABERTO","",INDEX(tblRegistros[Valor],$L348)),"")))</f>
        <v/>
      </c>
      <c r="J348">
        <f>IF($L348="","",IF(INDEX(tblRegistros[Data],$L348)&gt;$D$4,"",IFERROR(INDEX(tblRegistros[Status],$L348),"")))</f>
        <v/>
      </c>
      <c r="K348">
        <f>IF($L348="","",IF(INDEX(tblRegistros[Data],$L348)&gt;$D$4,"",IFERROR(INDEX(tblRegistros[Observação],$L348),"")))</f>
        <v/>
      </c>
      <c r="L348" s="16">
        <f>IFERROR(MATCH($B$3*100000+COUNTIFS(tblRegistros[ID],$B$3,tblRegistros[Data],"&lt;"&amp;$B$4)+ROWS($L$10:L348),tblRegistros[Chave do cartão],0),"")</f>
        <v/>
      </c>
    </row>
    <row r="349">
      <c r="A349" s="2">
        <f>IF($L349="","",IF(INDEX(tblRegistros[Data],$L349)&gt;$D$4,"",IFERROR(INDEX(tblRegistros[Data],$L349),"")))</f>
        <v/>
      </c>
      <c r="B349">
        <f>IF($L349="","",IF(INDEX(tblRegistros[Data],$L349)&gt;$D$4,"",IFERROR(INDEX(tblRegistros[Projeto],$L349),"")))</f>
        <v/>
      </c>
      <c r="C349">
        <f>IF($L349="","",IF(INDEX(tblRegistros[Data],$L349)&gt;$D$4,"",IFERROR(INDEX(tblRegistros[Atividade],$L349),"")))</f>
        <v/>
      </c>
      <c r="D349" s="4">
        <f>IF($L349="","",IF(INDEX(tblRegistros[Data],$L349)&gt;$D$4,"",IFERROR(INDEX(tblRegistros[Início],$L349),"")))</f>
        <v/>
      </c>
      <c r="E349" s="4">
        <f>IF($L349="","",IF(INDEX(tblRegistros[Data],$L349)&gt;$D$4,"",IFERROR(IF(INDEX(tblRegistros[Status],$L349)="EM ABERTO","",INDEX(tblRegistros[Fim],$L349)),"")))</f>
        <v/>
      </c>
      <c r="F349" s="14">
        <f>IF($L349="","",IF(INDEX(tblRegistros[Data],$L349)&gt;$D$4,"",IFERROR(IF(INDEX(tblRegistros[Status],$L349)="EM ABERTO","",INDEX(tblRegistros[Horas],$L349)),"")))</f>
        <v/>
      </c>
      <c r="G349">
        <f>IF($L349="","",IF(INDEX(tblRegistros[Data],$L349)&gt;$D$4,"",IFERROR(INDEX(tblRegistros[Base],$L349),"")))</f>
        <v/>
      </c>
      <c r="H349" s="3">
        <f>IF($L349="","",IF(INDEX(tblRegistros[Data],$L349)&gt;$D$4,"",IFERROR(INDEX(tblRegistros[Taxa aplicada],$L349),"")))</f>
        <v/>
      </c>
      <c r="I349" s="3">
        <f>IF($L349="","",IF(INDEX(tblRegistros[Data],$L349)&gt;$D$4,"",IFERROR(IF(INDEX(tblRegistros[Status],$L349)="EM ABERTO","",INDEX(tblRegistros[Valor],$L349)),"")))</f>
        <v/>
      </c>
      <c r="J349">
        <f>IF($L349="","",IF(INDEX(tblRegistros[Data],$L349)&gt;$D$4,"",IFERROR(INDEX(tblRegistros[Status],$L349),"")))</f>
        <v/>
      </c>
      <c r="K349">
        <f>IF($L349="","",IF(INDEX(tblRegistros[Data],$L349)&gt;$D$4,"",IFERROR(INDEX(tblRegistros[Observação],$L349),"")))</f>
        <v/>
      </c>
      <c r="L349" s="16">
        <f>IFERROR(MATCH($B$3*100000+COUNTIFS(tblRegistros[ID],$B$3,tblRegistros[Data],"&lt;"&amp;$B$4)+ROWS($L$10:L349),tblRegistros[Chave do cartão],0),"")</f>
        <v/>
      </c>
    </row>
    <row r="350">
      <c r="A350" s="2">
        <f>IF($L350="","",IF(INDEX(tblRegistros[Data],$L350)&gt;$D$4,"",IFERROR(INDEX(tblRegistros[Data],$L350),"")))</f>
        <v/>
      </c>
      <c r="B350">
        <f>IF($L350="","",IF(INDEX(tblRegistros[Data],$L350)&gt;$D$4,"",IFERROR(INDEX(tblRegistros[Projeto],$L350),"")))</f>
        <v/>
      </c>
      <c r="C350">
        <f>IF($L350="","",IF(INDEX(tblRegistros[Data],$L350)&gt;$D$4,"",IFERROR(INDEX(tblRegistros[Atividade],$L350),"")))</f>
        <v/>
      </c>
      <c r="D350" s="4">
        <f>IF($L350="","",IF(INDEX(tblRegistros[Data],$L350)&gt;$D$4,"",IFERROR(INDEX(tblRegistros[Início],$L350),"")))</f>
        <v/>
      </c>
      <c r="E350" s="4">
        <f>IF($L350="","",IF(INDEX(tblRegistros[Data],$L350)&gt;$D$4,"",IFERROR(IF(INDEX(tblRegistros[Status],$L350)="EM ABERTO","",INDEX(tblRegistros[Fim],$L350)),"")))</f>
        <v/>
      </c>
      <c r="F350" s="14">
        <f>IF($L350="","",IF(INDEX(tblRegistros[Data],$L350)&gt;$D$4,"",IFERROR(IF(INDEX(tblRegistros[Status],$L350)="EM ABERTO","",INDEX(tblRegistros[Horas],$L350)),"")))</f>
        <v/>
      </c>
      <c r="G350">
        <f>IF($L350="","",IF(INDEX(tblRegistros[Data],$L350)&gt;$D$4,"",IFERROR(INDEX(tblRegistros[Base],$L350),"")))</f>
        <v/>
      </c>
      <c r="H350" s="3">
        <f>IF($L350="","",IF(INDEX(tblRegistros[Data],$L350)&gt;$D$4,"",IFERROR(INDEX(tblRegistros[Taxa aplicada],$L350),"")))</f>
        <v/>
      </c>
      <c r="I350" s="3">
        <f>IF($L350="","",IF(INDEX(tblRegistros[Data],$L350)&gt;$D$4,"",IFERROR(IF(INDEX(tblRegistros[Status],$L350)="EM ABERTO","",INDEX(tblRegistros[Valor],$L350)),"")))</f>
        <v/>
      </c>
      <c r="J350">
        <f>IF($L350="","",IF(INDEX(tblRegistros[Data],$L350)&gt;$D$4,"",IFERROR(INDEX(tblRegistros[Status],$L350),"")))</f>
        <v/>
      </c>
      <c r="K350">
        <f>IF($L350="","",IF(INDEX(tblRegistros[Data],$L350)&gt;$D$4,"",IFERROR(INDEX(tblRegistros[Observação],$L350),"")))</f>
        <v/>
      </c>
      <c r="L350" s="16">
        <f>IFERROR(MATCH($B$3*100000+COUNTIFS(tblRegistros[ID],$B$3,tblRegistros[Data],"&lt;"&amp;$B$4)+ROWS($L$10:L350),tblRegistros[Chave do cartão],0),"")</f>
        <v/>
      </c>
    </row>
    <row r="351">
      <c r="A351" s="2">
        <f>IF($L351="","",IF(INDEX(tblRegistros[Data],$L351)&gt;$D$4,"",IFERROR(INDEX(tblRegistros[Data],$L351),"")))</f>
        <v/>
      </c>
      <c r="B351">
        <f>IF($L351="","",IF(INDEX(tblRegistros[Data],$L351)&gt;$D$4,"",IFERROR(INDEX(tblRegistros[Projeto],$L351),"")))</f>
        <v/>
      </c>
      <c r="C351">
        <f>IF($L351="","",IF(INDEX(tblRegistros[Data],$L351)&gt;$D$4,"",IFERROR(INDEX(tblRegistros[Atividade],$L351),"")))</f>
        <v/>
      </c>
      <c r="D351" s="4">
        <f>IF($L351="","",IF(INDEX(tblRegistros[Data],$L351)&gt;$D$4,"",IFERROR(INDEX(tblRegistros[Início],$L351),"")))</f>
        <v/>
      </c>
      <c r="E351" s="4">
        <f>IF($L351="","",IF(INDEX(tblRegistros[Data],$L351)&gt;$D$4,"",IFERROR(IF(INDEX(tblRegistros[Status],$L351)="EM ABERTO","",INDEX(tblRegistros[Fim],$L351)),"")))</f>
        <v/>
      </c>
      <c r="F351" s="14">
        <f>IF($L351="","",IF(INDEX(tblRegistros[Data],$L351)&gt;$D$4,"",IFERROR(IF(INDEX(tblRegistros[Status],$L351)="EM ABERTO","",INDEX(tblRegistros[Horas],$L351)),"")))</f>
        <v/>
      </c>
      <c r="G351">
        <f>IF($L351="","",IF(INDEX(tblRegistros[Data],$L351)&gt;$D$4,"",IFERROR(INDEX(tblRegistros[Base],$L351),"")))</f>
        <v/>
      </c>
      <c r="H351" s="3">
        <f>IF($L351="","",IF(INDEX(tblRegistros[Data],$L351)&gt;$D$4,"",IFERROR(INDEX(tblRegistros[Taxa aplicada],$L351),"")))</f>
        <v/>
      </c>
      <c r="I351" s="3">
        <f>IF($L351="","",IF(INDEX(tblRegistros[Data],$L351)&gt;$D$4,"",IFERROR(IF(INDEX(tblRegistros[Status],$L351)="EM ABERTO","",INDEX(tblRegistros[Valor],$L351)),"")))</f>
        <v/>
      </c>
      <c r="J351">
        <f>IF($L351="","",IF(INDEX(tblRegistros[Data],$L351)&gt;$D$4,"",IFERROR(INDEX(tblRegistros[Status],$L351),"")))</f>
        <v/>
      </c>
      <c r="K351">
        <f>IF($L351="","",IF(INDEX(tblRegistros[Data],$L351)&gt;$D$4,"",IFERROR(INDEX(tblRegistros[Observação],$L351),"")))</f>
        <v/>
      </c>
      <c r="L351" s="16">
        <f>IFERROR(MATCH($B$3*100000+COUNTIFS(tblRegistros[ID],$B$3,tblRegistros[Data],"&lt;"&amp;$B$4)+ROWS($L$10:L351),tblRegistros[Chave do cartão],0),"")</f>
        <v/>
      </c>
    </row>
    <row r="352">
      <c r="A352" s="2">
        <f>IF($L352="","",IF(INDEX(tblRegistros[Data],$L352)&gt;$D$4,"",IFERROR(INDEX(tblRegistros[Data],$L352),"")))</f>
        <v/>
      </c>
      <c r="B352">
        <f>IF($L352="","",IF(INDEX(tblRegistros[Data],$L352)&gt;$D$4,"",IFERROR(INDEX(tblRegistros[Projeto],$L352),"")))</f>
        <v/>
      </c>
      <c r="C352">
        <f>IF($L352="","",IF(INDEX(tblRegistros[Data],$L352)&gt;$D$4,"",IFERROR(INDEX(tblRegistros[Atividade],$L352),"")))</f>
        <v/>
      </c>
      <c r="D352" s="4">
        <f>IF($L352="","",IF(INDEX(tblRegistros[Data],$L352)&gt;$D$4,"",IFERROR(INDEX(tblRegistros[Início],$L352),"")))</f>
        <v/>
      </c>
      <c r="E352" s="4">
        <f>IF($L352="","",IF(INDEX(tblRegistros[Data],$L352)&gt;$D$4,"",IFERROR(IF(INDEX(tblRegistros[Status],$L352)="EM ABERTO","",INDEX(tblRegistros[Fim],$L352)),"")))</f>
        <v/>
      </c>
      <c r="F352" s="14">
        <f>IF($L352="","",IF(INDEX(tblRegistros[Data],$L352)&gt;$D$4,"",IFERROR(IF(INDEX(tblRegistros[Status],$L352)="EM ABERTO","",INDEX(tblRegistros[Horas],$L352)),"")))</f>
        <v/>
      </c>
      <c r="G352">
        <f>IF($L352="","",IF(INDEX(tblRegistros[Data],$L352)&gt;$D$4,"",IFERROR(INDEX(tblRegistros[Base],$L352),"")))</f>
        <v/>
      </c>
      <c r="H352" s="3">
        <f>IF($L352="","",IF(INDEX(tblRegistros[Data],$L352)&gt;$D$4,"",IFERROR(INDEX(tblRegistros[Taxa aplicada],$L352),"")))</f>
        <v/>
      </c>
      <c r="I352" s="3">
        <f>IF($L352="","",IF(INDEX(tblRegistros[Data],$L352)&gt;$D$4,"",IFERROR(IF(INDEX(tblRegistros[Status],$L352)="EM ABERTO","",INDEX(tblRegistros[Valor],$L352)),"")))</f>
        <v/>
      </c>
      <c r="J352">
        <f>IF($L352="","",IF(INDEX(tblRegistros[Data],$L352)&gt;$D$4,"",IFERROR(INDEX(tblRegistros[Status],$L352),"")))</f>
        <v/>
      </c>
      <c r="K352">
        <f>IF($L352="","",IF(INDEX(tblRegistros[Data],$L352)&gt;$D$4,"",IFERROR(INDEX(tblRegistros[Observação],$L352),"")))</f>
        <v/>
      </c>
      <c r="L352" s="16">
        <f>IFERROR(MATCH($B$3*100000+COUNTIFS(tblRegistros[ID],$B$3,tblRegistros[Data],"&lt;"&amp;$B$4)+ROWS($L$10:L352),tblRegistros[Chave do cartão],0),"")</f>
        <v/>
      </c>
    </row>
    <row r="353">
      <c r="A353" s="2">
        <f>IF($L353="","",IF(INDEX(tblRegistros[Data],$L353)&gt;$D$4,"",IFERROR(INDEX(tblRegistros[Data],$L353),"")))</f>
        <v/>
      </c>
      <c r="B353">
        <f>IF($L353="","",IF(INDEX(tblRegistros[Data],$L353)&gt;$D$4,"",IFERROR(INDEX(tblRegistros[Projeto],$L353),"")))</f>
        <v/>
      </c>
      <c r="C353">
        <f>IF($L353="","",IF(INDEX(tblRegistros[Data],$L353)&gt;$D$4,"",IFERROR(INDEX(tblRegistros[Atividade],$L353),"")))</f>
        <v/>
      </c>
      <c r="D353" s="4">
        <f>IF($L353="","",IF(INDEX(tblRegistros[Data],$L353)&gt;$D$4,"",IFERROR(INDEX(tblRegistros[Início],$L353),"")))</f>
        <v/>
      </c>
      <c r="E353" s="4">
        <f>IF($L353="","",IF(INDEX(tblRegistros[Data],$L353)&gt;$D$4,"",IFERROR(IF(INDEX(tblRegistros[Status],$L353)="EM ABERTO","",INDEX(tblRegistros[Fim],$L353)),"")))</f>
        <v/>
      </c>
      <c r="F353" s="14">
        <f>IF($L353="","",IF(INDEX(tblRegistros[Data],$L353)&gt;$D$4,"",IFERROR(IF(INDEX(tblRegistros[Status],$L353)="EM ABERTO","",INDEX(tblRegistros[Horas],$L353)),"")))</f>
        <v/>
      </c>
      <c r="G353">
        <f>IF($L353="","",IF(INDEX(tblRegistros[Data],$L353)&gt;$D$4,"",IFERROR(INDEX(tblRegistros[Base],$L353),"")))</f>
        <v/>
      </c>
      <c r="H353" s="3">
        <f>IF($L353="","",IF(INDEX(tblRegistros[Data],$L353)&gt;$D$4,"",IFERROR(INDEX(tblRegistros[Taxa aplicada],$L353),"")))</f>
        <v/>
      </c>
      <c r="I353" s="3">
        <f>IF($L353="","",IF(INDEX(tblRegistros[Data],$L353)&gt;$D$4,"",IFERROR(IF(INDEX(tblRegistros[Status],$L353)="EM ABERTO","",INDEX(tblRegistros[Valor],$L353)),"")))</f>
        <v/>
      </c>
      <c r="J353">
        <f>IF($L353="","",IF(INDEX(tblRegistros[Data],$L353)&gt;$D$4,"",IFERROR(INDEX(tblRegistros[Status],$L353),"")))</f>
        <v/>
      </c>
      <c r="K353">
        <f>IF($L353="","",IF(INDEX(tblRegistros[Data],$L353)&gt;$D$4,"",IFERROR(INDEX(tblRegistros[Observação],$L353),"")))</f>
        <v/>
      </c>
      <c r="L353" s="16">
        <f>IFERROR(MATCH($B$3*100000+COUNTIFS(tblRegistros[ID],$B$3,tblRegistros[Data],"&lt;"&amp;$B$4)+ROWS($L$10:L353),tblRegistros[Chave do cartão],0),"")</f>
        <v/>
      </c>
    </row>
    <row r="354">
      <c r="A354" s="2">
        <f>IF($L354="","",IF(INDEX(tblRegistros[Data],$L354)&gt;$D$4,"",IFERROR(INDEX(tblRegistros[Data],$L354),"")))</f>
        <v/>
      </c>
      <c r="B354">
        <f>IF($L354="","",IF(INDEX(tblRegistros[Data],$L354)&gt;$D$4,"",IFERROR(INDEX(tblRegistros[Projeto],$L354),"")))</f>
        <v/>
      </c>
      <c r="C354">
        <f>IF($L354="","",IF(INDEX(tblRegistros[Data],$L354)&gt;$D$4,"",IFERROR(INDEX(tblRegistros[Atividade],$L354),"")))</f>
        <v/>
      </c>
      <c r="D354" s="4">
        <f>IF($L354="","",IF(INDEX(tblRegistros[Data],$L354)&gt;$D$4,"",IFERROR(INDEX(tblRegistros[Início],$L354),"")))</f>
        <v/>
      </c>
      <c r="E354" s="4">
        <f>IF($L354="","",IF(INDEX(tblRegistros[Data],$L354)&gt;$D$4,"",IFERROR(IF(INDEX(tblRegistros[Status],$L354)="EM ABERTO","",INDEX(tblRegistros[Fim],$L354)),"")))</f>
        <v/>
      </c>
      <c r="F354" s="14">
        <f>IF($L354="","",IF(INDEX(tblRegistros[Data],$L354)&gt;$D$4,"",IFERROR(IF(INDEX(tblRegistros[Status],$L354)="EM ABERTO","",INDEX(tblRegistros[Horas],$L354)),"")))</f>
        <v/>
      </c>
      <c r="G354">
        <f>IF($L354="","",IF(INDEX(tblRegistros[Data],$L354)&gt;$D$4,"",IFERROR(INDEX(tblRegistros[Base],$L354),"")))</f>
        <v/>
      </c>
      <c r="H354" s="3">
        <f>IF($L354="","",IF(INDEX(tblRegistros[Data],$L354)&gt;$D$4,"",IFERROR(INDEX(tblRegistros[Taxa aplicada],$L354),"")))</f>
        <v/>
      </c>
      <c r="I354" s="3">
        <f>IF($L354="","",IF(INDEX(tblRegistros[Data],$L354)&gt;$D$4,"",IFERROR(IF(INDEX(tblRegistros[Status],$L354)="EM ABERTO","",INDEX(tblRegistros[Valor],$L354)),"")))</f>
        <v/>
      </c>
      <c r="J354">
        <f>IF($L354="","",IF(INDEX(tblRegistros[Data],$L354)&gt;$D$4,"",IFERROR(INDEX(tblRegistros[Status],$L354),"")))</f>
        <v/>
      </c>
      <c r="K354">
        <f>IF($L354="","",IF(INDEX(tblRegistros[Data],$L354)&gt;$D$4,"",IFERROR(INDEX(tblRegistros[Observação],$L354),"")))</f>
        <v/>
      </c>
      <c r="L354" s="16">
        <f>IFERROR(MATCH($B$3*100000+COUNTIFS(tblRegistros[ID],$B$3,tblRegistros[Data],"&lt;"&amp;$B$4)+ROWS($L$10:L354),tblRegistros[Chave do cartão],0),"")</f>
        <v/>
      </c>
    </row>
    <row r="355">
      <c r="A355" s="2">
        <f>IF($L355="","",IF(INDEX(tblRegistros[Data],$L355)&gt;$D$4,"",IFERROR(INDEX(tblRegistros[Data],$L355),"")))</f>
        <v/>
      </c>
      <c r="B355">
        <f>IF($L355="","",IF(INDEX(tblRegistros[Data],$L355)&gt;$D$4,"",IFERROR(INDEX(tblRegistros[Projeto],$L355),"")))</f>
        <v/>
      </c>
      <c r="C355">
        <f>IF($L355="","",IF(INDEX(tblRegistros[Data],$L355)&gt;$D$4,"",IFERROR(INDEX(tblRegistros[Atividade],$L355),"")))</f>
        <v/>
      </c>
      <c r="D355" s="4">
        <f>IF($L355="","",IF(INDEX(tblRegistros[Data],$L355)&gt;$D$4,"",IFERROR(INDEX(tblRegistros[Início],$L355),"")))</f>
        <v/>
      </c>
      <c r="E355" s="4">
        <f>IF($L355="","",IF(INDEX(tblRegistros[Data],$L355)&gt;$D$4,"",IFERROR(IF(INDEX(tblRegistros[Status],$L355)="EM ABERTO","",INDEX(tblRegistros[Fim],$L355)),"")))</f>
        <v/>
      </c>
      <c r="F355" s="14">
        <f>IF($L355="","",IF(INDEX(tblRegistros[Data],$L355)&gt;$D$4,"",IFERROR(IF(INDEX(tblRegistros[Status],$L355)="EM ABERTO","",INDEX(tblRegistros[Horas],$L355)),"")))</f>
        <v/>
      </c>
      <c r="G355">
        <f>IF($L355="","",IF(INDEX(tblRegistros[Data],$L355)&gt;$D$4,"",IFERROR(INDEX(tblRegistros[Base],$L355),"")))</f>
        <v/>
      </c>
      <c r="H355" s="3">
        <f>IF($L355="","",IF(INDEX(tblRegistros[Data],$L355)&gt;$D$4,"",IFERROR(INDEX(tblRegistros[Taxa aplicada],$L355),"")))</f>
        <v/>
      </c>
      <c r="I355" s="3">
        <f>IF($L355="","",IF(INDEX(tblRegistros[Data],$L355)&gt;$D$4,"",IFERROR(IF(INDEX(tblRegistros[Status],$L355)="EM ABERTO","",INDEX(tblRegistros[Valor],$L355)),"")))</f>
        <v/>
      </c>
      <c r="J355">
        <f>IF($L355="","",IF(INDEX(tblRegistros[Data],$L355)&gt;$D$4,"",IFERROR(INDEX(tblRegistros[Status],$L355),"")))</f>
        <v/>
      </c>
      <c r="K355">
        <f>IF($L355="","",IF(INDEX(tblRegistros[Data],$L355)&gt;$D$4,"",IFERROR(INDEX(tblRegistros[Observação],$L355),"")))</f>
        <v/>
      </c>
      <c r="L355" s="16">
        <f>IFERROR(MATCH($B$3*100000+COUNTIFS(tblRegistros[ID],$B$3,tblRegistros[Data],"&lt;"&amp;$B$4)+ROWS($L$10:L355),tblRegistros[Chave do cartão],0),"")</f>
        <v/>
      </c>
    </row>
    <row r="356">
      <c r="A356" s="2">
        <f>IF($L356="","",IF(INDEX(tblRegistros[Data],$L356)&gt;$D$4,"",IFERROR(INDEX(tblRegistros[Data],$L356),"")))</f>
        <v/>
      </c>
      <c r="B356">
        <f>IF($L356="","",IF(INDEX(tblRegistros[Data],$L356)&gt;$D$4,"",IFERROR(INDEX(tblRegistros[Projeto],$L356),"")))</f>
        <v/>
      </c>
      <c r="C356">
        <f>IF($L356="","",IF(INDEX(tblRegistros[Data],$L356)&gt;$D$4,"",IFERROR(INDEX(tblRegistros[Atividade],$L356),"")))</f>
        <v/>
      </c>
      <c r="D356" s="4">
        <f>IF($L356="","",IF(INDEX(tblRegistros[Data],$L356)&gt;$D$4,"",IFERROR(INDEX(tblRegistros[Início],$L356),"")))</f>
        <v/>
      </c>
      <c r="E356" s="4">
        <f>IF($L356="","",IF(INDEX(tblRegistros[Data],$L356)&gt;$D$4,"",IFERROR(IF(INDEX(tblRegistros[Status],$L356)="EM ABERTO","",INDEX(tblRegistros[Fim],$L356)),"")))</f>
        <v/>
      </c>
      <c r="F356" s="14">
        <f>IF($L356="","",IF(INDEX(tblRegistros[Data],$L356)&gt;$D$4,"",IFERROR(IF(INDEX(tblRegistros[Status],$L356)="EM ABERTO","",INDEX(tblRegistros[Horas],$L356)),"")))</f>
        <v/>
      </c>
      <c r="G356">
        <f>IF($L356="","",IF(INDEX(tblRegistros[Data],$L356)&gt;$D$4,"",IFERROR(INDEX(tblRegistros[Base],$L356),"")))</f>
        <v/>
      </c>
      <c r="H356" s="3">
        <f>IF($L356="","",IF(INDEX(tblRegistros[Data],$L356)&gt;$D$4,"",IFERROR(INDEX(tblRegistros[Taxa aplicada],$L356),"")))</f>
        <v/>
      </c>
      <c r="I356" s="3">
        <f>IF($L356="","",IF(INDEX(tblRegistros[Data],$L356)&gt;$D$4,"",IFERROR(IF(INDEX(tblRegistros[Status],$L356)="EM ABERTO","",INDEX(tblRegistros[Valor],$L356)),"")))</f>
        <v/>
      </c>
      <c r="J356">
        <f>IF($L356="","",IF(INDEX(tblRegistros[Data],$L356)&gt;$D$4,"",IFERROR(INDEX(tblRegistros[Status],$L356),"")))</f>
        <v/>
      </c>
      <c r="K356">
        <f>IF($L356="","",IF(INDEX(tblRegistros[Data],$L356)&gt;$D$4,"",IFERROR(INDEX(tblRegistros[Observação],$L356),"")))</f>
        <v/>
      </c>
      <c r="L356" s="16">
        <f>IFERROR(MATCH($B$3*100000+COUNTIFS(tblRegistros[ID],$B$3,tblRegistros[Data],"&lt;"&amp;$B$4)+ROWS($L$10:L356),tblRegistros[Chave do cartão],0),"")</f>
        <v/>
      </c>
    </row>
    <row r="357">
      <c r="A357" s="2">
        <f>IF($L357="","",IF(INDEX(tblRegistros[Data],$L357)&gt;$D$4,"",IFERROR(INDEX(tblRegistros[Data],$L357),"")))</f>
        <v/>
      </c>
      <c r="B357">
        <f>IF($L357="","",IF(INDEX(tblRegistros[Data],$L357)&gt;$D$4,"",IFERROR(INDEX(tblRegistros[Projeto],$L357),"")))</f>
        <v/>
      </c>
      <c r="C357">
        <f>IF($L357="","",IF(INDEX(tblRegistros[Data],$L357)&gt;$D$4,"",IFERROR(INDEX(tblRegistros[Atividade],$L357),"")))</f>
        <v/>
      </c>
      <c r="D357" s="4">
        <f>IF($L357="","",IF(INDEX(tblRegistros[Data],$L357)&gt;$D$4,"",IFERROR(INDEX(tblRegistros[Início],$L357),"")))</f>
        <v/>
      </c>
      <c r="E357" s="4">
        <f>IF($L357="","",IF(INDEX(tblRegistros[Data],$L357)&gt;$D$4,"",IFERROR(IF(INDEX(tblRegistros[Status],$L357)="EM ABERTO","",INDEX(tblRegistros[Fim],$L357)),"")))</f>
        <v/>
      </c>
      <c r="F357" s="14">
        <f>IF($L357="","",IF(INDEX(tblRegistros[Data],$L357)&gt;$D$4,"",IFERROR(IF(INDEX(tblRegistros[Status],$L357)="EM ABERTO","",INDEX(tblRegistros[Horas],$L357)),"")))</f>
        <v/>
      </c>
      <c r="G357">
        <f>IF($L357="","",IF(INDEX(tblRegistros[Data],$L357)&gt;$D$4,"",IFERROR(INDEX(tblRegistros[Base],$L357),"")))</f>
        <v/>
      </c>
      <c r="H357" s="3">
        <f>IF($L357="","",IF(INDEX(tblRegistros[Data],$L357)&gt;$D$4,"",IFERROR(INDEX(tblRegistros[Taxa aplicada],$L357),"")))</f>
        <v/>
      </c>
      <c r="I357" s="3">
        <f>IF($L357="","",IF(INDEX(tblRegistros[Data],$L357)&gt;$D$4,"",IFERROR(IF(INDEX(tblRegistros[Status],$L357)="EM ABERTO","",INDEX(tblRegistros[Valor],$L357)),"")))</f>
        <v/>
      </c>
      <c r="J357">
        <f>IF($L357="","",IF(INDEX(tblRegistros[Data],$L357)&gt;$D$4,"",IFERROR(INDEX(tblRegistros[Status],$L357),"")))</f>
        <v/>
      </c>
      <c r="K357">
        <f>IF($L357="","",IF(INDEX(tblRegistros[Data],$L357)&gt;$D$4,"",IFERROR(INDEX(tblRegistros[Observação],$L357),"")))</f>
        <v/>
      </c>
      <c r="L357" s="16">
        <f>IFERROR(MATCH($B$3*100000+COUNTIFS(tblRegistros[ID],$B$3,tblRegistros[Data],"&lt;"&amp;$B$4)+ROWS($L$10:L357),tblRegistros[Chave do cartão],0),"")</f>
        <v/>
      </c>
    </row>
    <row r="358">
      <c r="A358" s="2">
        <f>IF($L358="","",IF(INDEX(tblRegistros[Data],$L358)&gt;$D$4,"",IFERROR(INDEX(tblRegistros[Data],$L358),"")))</f>
        <v/>
      </c>
      <c r="B358">
        <f>IF($L358="","",IF(INDEX(tblRegistros[Data],$L358)&gt;$D$4,"",IFERROR(INDEX(tblRegistros[Projeto],$L358),"")))</f>
        <v/>
      </c>
      <c r="C358">
        <f>IF($L358="","",IF(INDEX(tblRegistros[Data],$L358)&gt;$D$4,"",IFERROR(INDEX(tblRegistros[Atividade],$L358),"")))</f>
        <v/>
      </c>
      <c r="D358" s="4">
        <f>IF($L358="","",IF(INDEX(tblRegistros[Data],$L358)&gt;$D$4,"",IFERROR(INDEX(tblRegistros[Início],$L358),"")))</f>
        <v/>
      </c>
      <c r="E358" s="4">
        <f>IF($L358="","",IF(INDEX(tblRegistros[Data],$L358)&gt;$D$4,"",IFERROR(IF(INDEX(tblRegistros[Status],$L358)="EM ABERTO","",INDEX(tblRegistros[Fim],$L358)),"")))</f>
        <v/>
      </c>
      <c r="F358" s="14">
        <f>IF($L358="","",IF(INDEX(tblRegistros[Data],$L358)&gt;$D$4,"",IFERROR(IF(INDEX(tblRegistros[Status],$L358)="EM ABERTO","",INDEX(tblRegistros[Horas],$L358)),"")))</f>
        <v/>
      </c>
      <c r="G358">
        <f>IF($L358="","",IF(INDEX(tblRegistros[Data],$L358)&gt;$D$4,"",IFERROR(INDEX(tblRegistros[Base],$L358),"")))</f>
        <v/>
      </c>
      <c r="H358" s="3">
        <f>IF($L358="","",IF(INDEX(tblRegistros[Data],$L358)&gt;$D$4,"",IFERROR(INDEX(tblRegistros[Taxa aplicada],$L358),"")))</f>
        <v/>
      </c>
      <c r="I358" s="3">
        <f>IF($L358="","",IF(INDEX(tblRegistros[Data],$L358)&gt;$D$4,"",IFERROR(IF(INDEX(tblRegistros[Status],$L358)="EM ABERTO","",INDEX(tblRegistros[Valor],$L358)),"")))</f>
        <v/>
      </c>
      <c r="J358">
        <f>IF($L358="","",IF(INDEX(tblRegistros[Data],$L358)&gt;$D$4,"",IFERROR(INDEX(tblRegistros[Status],$L358),"")))</f>
        <v/>
      </c>
      <c r="K358">
        <f>IF($L358="","",IF(INDEX(tblRegistros[Data],$L358)&gt;$D$4,"",IFERROR(INDEX(tblRegistros[Observação],$L358),"")))</f>
        <v/>
      </c>
      <c r="L358" s="16">
        <f>IFERROR(MATCH($B$3*100000+COUNTIFS(tblRegistros[ID],$B$3,tblRegistros[Data],"&lt;"&amp;$B$4)+ROWS($L$10:L358),tblRegistros[Chave do cartão],0),"")</f>
        <v/>
      </c>
    </row>
    <row r="359">
      <c r="A359" s="2">
        <f>IF($L359="","",IF(INDEX(tblRegistros[Data],$L359)&gt;$D$4,"",IFERROR(INDEX(tblRegistros[Data],$L359),"")))</f>
        <v/>
      </c>
      <c r="B359">
        <f>IF($L359="","",IF(INDEX(tblRegistros[Data],$L359)&gt;$D$4,"",IFERROR(INDEX(tblRegistros[Projeto],$L359),"")))</f>
        <v/>
      </c>
      <c r="C359">
        <f>IF($L359="","",IF(INDEX(tblRegistros[Data],$L359)&gt;$D$4,"",IFERROR(INDEX(tblRegistros[Atividade],$L359),"")))</f>
        <v/>
      </c>
      <c r="D359" s="4">
        <f>IF($L359="","",IF(INDEX(tblRegistros[Data],$L359)&gt;$D$4,"",IFERROR(INDEX(tblRegistros[Início],$L359),"")))</f>
        <v/>
      </c>
      <c r="E359" s="4">
        <f>IF($L359="","",IF(INDEX(tblRegistros[Data],$L359)&gt;$D$4,"",IFERROR(IF(INDEX(tblRegistros[Status],$L359)="EM ABERTO","",INDEX(tblRegistros[Fim],$L359)),"")))</f>
        <v/>
      </c>
      <c r="F359" s="14">
        <f>IF($L359="","",IF(INDEX(tblRegistros[Data],$L359)&gt;$D$4,"",IFERROR(IF(INDEX(tblRegistros[Status],$L359)="EM ABERTO","",INDEX(tblRegistros[Horas],$L359)),"")))</f>
        <v/>
      </c>
      <c r="G359">
        <f>IF($L359="","",IF(INDEX(tblRegistros[Data],$L359)&gt;$D$4,"",IFERROR(INDEX(tblRegistros[Base],$L359),"")))</f>
        <v/>
      </c>
      <c r="H359" s="3">
        <f>IF($L359="","",IF(INDEX(tblRegistros[Data],$L359)&gt;$D$4,"",IFERROR(INDEX(tblRegistros[Taxa aplicada],$L359),"")))</f>
        <v/>
      </c>
      <c r="I359" s="3">
        <f>IF($L359="","",IF(INDEX(tblRegistros[Data],$L359)&gt;$D$4,"",IFERROR(IF(INDEX(tblRegistros[Status],$L359)="EM ABERTO","",INDEX(tblRegistros[Valor],$L359)),"")))</f>
        <v/>
      </c>
      <c r="J359">
        <f>IF($L359="","",IF(INDEX(tblRegistros[Data],$L359)&gt;$D$4,"",IFERROR(INDEX(tblRegistros[Status],$L359),"")))</f>
        <v/>
      </c>
      <c r="K359">
        <f>IF($L359="","",IF(INDEX(tblRegistros[Data],$L359)&gt;$D$4,"",IFERROR(INDEX(tblRegistros[Observação],$L359),"")))</f>
        <v/>
      </c>
      <c r="L359" s="16">
        <f>IFERROR(MATCH($B$3*100000+COUNTIFS(tblRegistros[ID],$B$3,tblRegistros[Data],"&lt;"&amp;$B$4)+ROWS($L$10:L359),tblRegistros[Chave do cartão],0),"")</f>
        <v/>
      </c>
    </row>
    <row r="360">
      <c r="A360" s="2">
        <f>IF($L360="","",IF(INDEX(tblRegistros[Data],$L360)&gt;$D$4,"",IFERROR(INDEX(tblRegistros[Data],$L360),"")))</f>
        <v/>
      </c>
      <c r="B360">
        <f>IF($L360="","",IF(INDEX(tblRegistros[Data],$L360)&gt;$D$4,"",IFERROR(INDEX(tblRegistros[Projeto],$L360),"")))</f>
        <v/>
      </c>
      <c r="C360">
        <f>IF($L360="","",IF(INDEX(tblRegistros[Data],$L360)&gt;$D$4,"",IFERROR(INDEX(tblRegistros[Atividade],$L360),"")))</f>
        <v/>
      </c>
      <c r="D360" s="4">
        <f>IF($L360="","",IF(INDEX(tblRegistros[Data],$L360)&gt;$D$4,"",IFERROR(INDEX(tblRegistros[Início],$L360),"")))</f>
        <v/>
      </c>
      <c r="E360" s="4">
        <f>IF($L360="","",IF(INDEX(tblRegistros[Data],$L360)&gt;$D$4,"",IFERROR(IF(INDEX(tblRegistros[Status],$L360)="EM ABERTO","",INDEX(tblRegistros[Fim],$L360)),"")))</f>
        <v/>
      </c>
      <c r="F360" s="14">
        <f>IF($L360="","",IF(INDEX(tblRegistros[Data],$L360)&gt;$D$4,"",IFERROR(IF(INDEX(tblRegistros[Status],$L360)="EM ABERTO","",INDEX(tblRegistros[Horas],$L360)),"")))</f>
        <v/>
      </c>
      <c r="G360">
        <f>IF($L360="","",IF(INDEX(tblRegistros[Data],$L360)&gt;$D$4,"",IFERROR(INDEX(tblRegistros[Base],$L360),"")))</f>
        <v/>
      </c>
      <c r="H360" s="3">
        <f>IF($L360="","",IF(INDEX(tblRegistros[Data],$L360)&gt;$D$4,"",IFERROR(INDEX(tblRegistros[Taxa aplicada],$L360),"")))</f>
        <v/>
      </c>
      <c r="I360" s="3">
        <f>IF($L360="","",IF(INDEX(tblRegistros[Data],$L360)&gt;$D$4,"",IFERROR(IF(INDEX(tblRegistros[Status],$L360)="EM ABERTO","",INDEX(tblRegistros[Valor],$L360)),"")))</f>
        <v/>
      </c>
      <c r="J360">
        <f>IF($L360="","",IF(INDEX(tblRegistros[Data],$L360)&gt;$D$4,"",IFERROR(INDEX(tblRegistros[Status],$L360),"")))</f>
        <v/>
      </c>
      <c r="K360">
        <f>IF($L360="","",IF(INDEX(tblRegistros[Data],$L360)&gt;$D$4,"",IFERROR(INDEX(tblRegistros[Observação],$L360),"")))</f>
        <v/>
      </c>
      <c r="L360" s="16">
        <f>IFERROR(MATCH($B$3*100000+COUNTIFS(tblRegistros[ID],$B$3,tblRegistros[Data],"&lt;"&amp;$B$4)+ROWS($L$10:L360),tblRegistros[Chave do cartão],0),"")</f>
        <v/>
      </c>
    </row>
    <row r="361">
      <c r="A361" s="2">
        <f>IF($L361="","",IF(INDEX(tblRegistros[Data],$L361)&gt;$D$4,"",IFERROR(INDEX(tblRegistros[Data],$L361),"")))</f>
        <v/>
      </c>
      <c r="B361">
        <f>IF($L361="","",IF(INDEX(tblRegistros[Data],$L361)&gt;$D$4,"",IFERROR(INDEX(tblRegistros[Projeto],$L361),"")))</f>
        <v/>
      </c>
      <c r="C361">
        <f>IF($L361="","",IF(INDEX(tblRegistros[Data],$L361)&gt;$D$4,"",IFERROR(INDEX(tblRegistros[Atividade],$L361),"")))</f>
        <v/>
      </c>
      <c r="D361" s="4">
        <f>IF($L361="","",IF(INDEX(tblRegistros[Data],$L361)&gt;$D$4,"",IFERROR(INDEX(tblRegistros[Início],$L361),"")))</f>
        <v/>
      </c>
      <c r="E361" s="4">
        <f>IF($L361="","",IF(INDEX(tblRegistros[Data],$L361)&gt;$D$4,"",IFERROR(IF(INDEX(tblRegistros[Status],$L361)="EM ABERTO","",INDEX(tblRegistros[Fim],$L361)),"")))</f>
        <v/>
      </c>
      <c r="F361" s="14">
        <f>IF($L361="","",IF(INDEX(tblRegistros[Data],$L361)&gt;$D$4,"",IFERROR(IF(INDEX(tblRegistros[Status],$L361)="EM ABERTO","",INDEX(tblRegistros[Horas],$L361)),"")))</f>
        <v/>
      </c>
      <c r="G361">
        <f>IF($L361="","",IF(INDEX(tblRegistros[Data],$L361)&gt;$D$4,"",IFERROR(INDEX(tblRegistros[Base],$L361),"")))</f>
        <v/>
      </c>
      <c r="H361" s="3">
        <f>IF($L361="","",IF(INDEX(tblRegistros[Data],$L361)&gt;$D$4,"",IFERROR(INDEX(tblRegistros[Taxa aplicada],$L361),"")))</f>
        <v/>
      </c>
      <c r="I361" s="3">
        <f>IF($L361="","",IF(INDEX(tblRegistros[Data],$L361)&gt;$D$4,"",IFERROR(IF(INDEX(tblRegistros[Status],$L361)="EM ABERTO","",INDEX(tblRegistros[Valor],$L361)),"")))</f>
        <v/>
      </c>
      <c r="J361">
        <f>IF($L361="","",IF(INDEX(tblRegistros[Data],$L361)&gt;$D$4,"",IFERROR(INDEX(tblRegistros[Status],$L361),"")))</f>
        <v/>
      </c>
      <c r="K361">
        <f>IF($L361="","",IF(INDEX(tblRegistros[Data],$L361)&gt;$D$4,"",IFERROR(INDEX(tblRegistros[Observação],$L361),"")))</f>
        <v/>
      </c>
      <c r="L361" s="16">
        <f>IFERROR(MATCH($B$3*100000+COUNTIFS(tblRegistros[ID],$B$3,tblRegistros[Data],"&lt;"&amp;$B$4)+ROWS($L$10:L361),tblRegistros[Chave do cartão],0),"")</f>
        <v/>
      </c>
    </row>
    <row r="362">
      <c r="A362" s="2">
        <f>IF($L362="","",IF(INDEX(tblRegistros[Data],$L362)&gt;$D$4,"",IFERROR(INDEX(tblRegistros[Data],$L362),"")))</f>
        <v/>
      </c>
      <c r="B362">
        <f>IF($L362="","",IF(INDEX(tblRegistros[Data],$L362)&gt;$D$4,"",IFERROR(INDEX(tblRegistros[Projeto],$L362),"")))</f>
        <v/>
      </c>
      <c r="C362">
        <f>IF($L362="","",IF(INDEX(tblRegistros[Data],$L362)&gt;$D$4,"",IFERROR(INDEX(tblRegistros[Atividade],$L362),"")))</f>
        <v/>
      </c>
      <c r="D362" s="4">
        <f>IF($L362="","",IF(INDEX(tblRegistros[Data],$L362)&gt;$D$4,"",IFERROR(INDEX(tblRegistros[Início],$L362),"")))</f>
        <v/>
      </c>
      <c r="E362" s="4">
        <f>IF($L362="","",IF(INDEX(tblRegistros[Data],$L362)&gt;$D$4,"",IFERROR(IF(INDEX(tblRegistros[Status],$L362)="EM ABERTO","",INDEX(tblRegistros[Fim],$L362)),"")))</f>
        <v/>
      </c>
      <c r="F362" s="14">
        <f>IF($L362="","",IF(INDEX(tblRegistros[Data],$L362)&gt;$D$4,"",IFERROR(IF(INDEX(tblRegistros[Status],$L362)="EM ABERTO","",INDEX(tblRegistros[Horas],$L362)),"")))</f>
        <v/>
      </c>
      <c r="G362">
        <f>IF($L362="","",IF(INDEX(tblRegistros[Data],$L362)&gt;$D$4,"",IFERROR(INDEX(tblRegistros[Base],$L362),"")))</f>
        <v/>
      </c>
      <c r="H362" s="3">
        <f>IF($L362="","",IF(INDEX(tblRegistros[Data],$L362)&gt;$D$4,"",IFERROR(INDEX(tblRegistros[Taxa aplicada],$L362),"")))</f>
        <v/>
      </c>
      <c r="I362" s="3">
        <f>IF($L362="","",IF(INDEX(tblRegistros[Data],$L362)&gt;$D$4,"",IFERROR(IF(INDEX(tblRegistros[Status],$L362)="EM ABERTO","",INDEX(tblRegistros[Valor],$L362)),"")))</f>
        <v/>
      </c>
      <c r="J362">
        <f>IF($L362="","",IF(INDEX(tblRegistros[Data],$L362)&gt;$D$4,"",IFERROR(INDEX(tblRegistros[Status],$L362),"")))</f>
        <v/>
      </c>
      <c r="K362">
        <f>IF($L362="","",IF(INDEX(tblRegistros[Data],$L362)&gt;$D$4,"",IFERROR(INDEX(tblRegistros[Observação],$L362),"")))</f>
        <v/>
      </c>
      <c r="L362" s="16">
        <f>IFERROR(MATCH($B$3*100000+COUNTIFS(tblRegistros[ID],$B$3,tblRegistros[Data],"&lt;"&amp;$B$4)+ROWS($L$10:L362),tblRegistros[Chave do cartão],0),"")</f>
        <v/>
      </c>
    </row>
    <row r="363">
      <c r="A363" s="2">
        <f>IF($L363="","",IF(INDEX(tblRegistros[Data],$L363)&gt;$D$4,"",IFERROR(INDEX(tblRegistros[Data],$L363),"")))</f>
        <v/>
      </c>
      <c r="B363">
        <f>IF($L363="","",IF(INDEX(tblRegistros[Data],$L363)&gt;$D$4,"",IFERROR(INDEX(tblRegistros[Projeto],$L363),"")))</f>
        <v/>
      </c>
      <c r="C363">
        <f>IF($L363="","",IF(INDEX(tblRegistros[Data],$L363)&gt;$D$4,"",IFERROR(INDEX(tblRegistros[Atividade],$L363),"")))</f>
        <v/>
      </c>
      <c r="D363" s="4">
        <f>IF($L363="","",IF(INDEX(tblRegistros[Data],$L363)&gt;$D$4,"",IFERROR(INDEX(tblRegistros[Início],$L363),"")))</f>
        <v/>
      </c>
      <c r="E363" s="4">
        <f>IF($L363="","",IF(INDEX(tblRegistros[Data],$L363)&gt;$D$4,"",IFERROR(IF(INDEX(tblRegistros[Status],$L363)="EM ABERTO","",INDEX(tblRegistros[Fim],$L363)),"")))</f>
        <v/>
      </c>
      <c r="F363" s="14">
        <f>IF($L363="","",IF(INDEX(tblRegistros[Data],$L363)&gt;$D$4,"",IFERROR(IF(INDEX(tblRegistros[Status],$L363)="EM ABERTO","",INDEX(tblRegistros[Horas],$L363)),"")))</f>
        <v/>
      </c>
      <c r="G363">
        <f>IF($L363="","",IF(INDEX(tblRegistros[Data],$L363)&gt;$D$4,"",IFERROR(INDEX(tblRegistros[Base],$L363),"")))</f>
        <v/>
      </c>
      <c r="H363" s="3">
        <f>IF($L363="","",IF(INDEX(tblRegistros[Data],$L363)&gt;$D$4,"",IFERROR(INDEX(tblRegistros[Taxa aplicada],$L363),"")))</f>
        <v/>
      </c>
      <c r="I363" s="3">
        <f>IF($L363="","",IF(INDEX(tblRegistros[Data],$L363)&gt;$D$4,"",IFERROR(IF(INDEX(tblRegistros[Status],$L363)="EM ABERTO","",INDEX(tblRegistros[Valor],$L363)),"")))</f>
        <v/>
      </c>
      <c r="J363">
        <f>IF($L363="","",IF(INDEX(tblRegistros[Data],$L363)&gt;$D$4,"",IFERROR(INDEX(tblRegistros[Status],$L363),"")))</f>
        <v/>
      </c>
      <c r="K363">
        <f>IF($L363="","",IF(INDEX(tblRegistros[Data],$L363)&gt;$D$4,"",IFERROR(INDEX(tblRegistros[Observação],$L363),"")))</f>
        <v/>
      </c>
      <c r="L363" s="16">
        <f>IFERROR(MATCH($B$3*100000+COUNTIFS(tblRegistros[ID],$B$3,tblRegistros[Data],"&lt;"&amp;$B$4)+ROWS($L$10:L363),tblRegistros[Chave do cartão],0),"")</f>
        <v/>
      </c>
    </row>
    <row r="364">
      <c r="A364" s="2">
        <f>IF($L364="","",IF(INDEX(tblRegistros[Data],$L364)&gt;$D$4,"",IFERROR(INDEX(tblRegistros[Data],$L364),"")))</f>
        <v/>
      </c>
      <c r="B364">
        <f>IF($L364="","",IF(INDEX(tblRegistros[Data],$L364)&gt;$D$4,"",IFERROR(INDEX(tblRegistros[Projeto],$L364),"")))</f>
        <v/>
      </c>
      <c r="C364">
        <f>IF($L364="","",IF(INDEX(tblRegistros[Data],$L364)&gt;$D$4,"",IFERROR(INDEX(tblRegistros[Atividade],$L364),"")))</f>
        <v/>
      </c>
      <c r="D364" s="4">
        <f>IF($L364="","",IF(INDEX(tblRegistros[Data],$L364)&gt;$D$4,"",IFERROR(INDEX(tblRegistros[Início],$L364),"")))</f>
        <v/>
      </c>
      <c r="E364" s="4">
        <f>IF($L364="","",IF(INDEX(tblRegistros[Data],$L364)&gt;$D$4,"",IFERROR(IF(INDEX(tblRegistros[Status],$L364)="EM ABERTO","",INDEX(tblRegistros[Fim],$L364)),"")))</f>
        <v/>
      </c>
      <c r="F364" s="14">
        <f>IF($L364="","",IF(INDEX(tblRegistros[Data],$L364)&gt;$D$4,"",IFERROR(IF(INDEX(tblRegistros[Status],$L364)="EM ABERTO","",INDEX(tblRegistros[Horas],$L364)),"")))</f>
        <v/>
      </c>
      <c r="G364">
        <f>IF($L364="","",IF(INDEX(tblRegistros[Data],$L364)&gt;$D$4,"",IFERROR(INDEX(tblRegistros[Base],$L364),"")))</f>
        <v/>
      </c>
      <c r="H364" s="3">
        <f>IF($L364="","",IF(INDEX(tblRegistros[Data],$L364)&gt;$D$4,"",IFERROR(INDEX(tblRegistros[Taxa aplicada],$L364),"")))</f>
        <v/>
      </c>
      <c r="I364" s="3">
        <f>IF($L364="","",IF(INDEX(tblRegistros[Data],$L364)&gt;$D$4,"",IFERROR(IF(INDEX(tblRegistros[Status],$L364)="EM ABERTO","",INDEX(tblRegistros[Valor],$L364)),"")))</f>
        <v/>
      </c>
      <c r="J364">
        <f>IF($L364="","",IF(INDEX(tblRegistros[Data],$L364)&gt;$D$4,"",IFERROR(INDEX(tblRegistros[Status],$L364),"")))</f>
        <v/>
      </c>
      <c r="K364">
        <f>IF($L364="","",IF(INDEX(tblRegistros[Data],$L364)&gt;$D$4,"",IFERROR(INDEX(tblRegistros[Observação],$L364),"")))</f>
        <v/>
      </c>
      <c r="L364" s="16">
        <f>IFERROR(MATCH($B$3*100000+COUNTIFS(tblRegistros[ID],$B$3,tblRegistros[Data],"&lt;"&amp;$B$4)+ROWS($L$10:L364),tblRegistros[Chave do cartão],0),"")</f>
        <v/>
      </c>
    </row>
    <row r="365">
      <c r="A365" s="2">
        <f>IF($L365="","",IF(INDEX(tblRegistros[Data],$L365)&gt;$D$4,"",IFERROR(INDEX(tblRegistros[Data],$L365),"")))</f>
        <v/>
      </c>
      <c r="B365">
        <f>IF($L365="","",IF(INDEX(tblRegistros[Data],$L365)&gt;$D$4,"",IFERROR(INDEX(tblRegistros[Projeto],$L365),"")))</f>
        <v/>
      </c>
      <c r="C365">
        <f>IF($L365="","",IF(INDEX(tblRegistros[Data],$L365)&gt;$D$4,"",IFERROR(INDEX(tblRegistros[Atividade],$L365),"")))</f>
        <v/>
      </c>
      <c r="D365" s="4">
        <f>IF($L365="","",IF(INDEX(tblRegistros[Data],$L365)&gt;$D$4,"",IFERROR(INDEX(tblRegistros[Início],$L365),"")))</f>
        <v/>
      </c>
      <c r="E365" s="4">
        <f>IF($L365="","",IF(INDEX(tblRegistros[Data],$L365)&gt;$D$4,"",IFERROR(IF(INDEX(tblRegistros[Status],$L365)="EM ABERTO","",INDEX(tblRegistros[Fim],$L365)),"")))</f>
        <v/>
      </c>
      <c r="F365" s="14">
        <f>IF($L365="","",IF(INDEX(tblRegistros[Data],$L365)&gt;$D$4,"",IFERROR(IF(INDEX(tblRegistros[Status],$L365)="EM ABERTO","",INDEX(tblRegistros[Horas],$L365)),"")))</f>
        <v/>
      </c>
      <c r="G365">
        <f>IF($L365="","",IF(INDEX(tblRegistros[Data],$L365)&gt;$D$4,"",IFERROR(INDEX(tblRegistros[Base],$L365),"")))</f>
        <v/>
      </c>
      <c r="H365" s="3">
        <f>IF($L365="","",IF(INDEX(tblRegistros[Data],$L365)&gt;$D$4,"",IFERROR(INDEX(tblRegistros[Taxa aplicada],$L365),"")))</f>
        <v/>
      </c>
      <c r="I365" s="3">
        <f>IF($L365="","",IF(INDEX(tblRegistros[Data],$L365)&gt;$D$4,"",IFERROR(IF(INDEX(tblRegistros[Status],$L365)="EM ABERTO","",INDEX(tblRegistros[Valor],$L365)),"")))</f>
        <v/>
      </c>
      <c r="J365">
        <f>IF($L365="","",IF(INDEX(tblRegistros[Data],$L365)&gt;$D$4,"",IFERROR(INDEX(tblRegistros[Status],$L365),"")))</f>
        <v/>
      </c>
      <c r="K365">
        <f>IF($L365="","",IF(INDEX(tblRegistros[Data],$L365)&gt;$D$4,"",IFERROR(INDEX(tblRegistros[Observação],$L365),"")))</f>
        <v/>
      </c>
      <c r="L365" s="16">
        <f>IFERROR(MATCH($B$3*100000+COUNTIFS(tblRegistros[ID],$B$3,tblRegistros[Data],"&lt;"&amp;$B$4)+ROWS($L$10:L365),tblRegistros[Chave do cartão],0),"")</f>
        <v/>
      </c>
    </row>
    <row r="366">
      <c r="A366" s="2">
        <f>IF($L366="","",IF(INDEX(tblRegistros[Data],$L366)&gt;$D$4,"",IFERROR(INDEX(tblRegistros[Data],$L366),"")))</f>
        <v/>
      </c>
      <c r="B366">
        <f>IF($L366="","",IF(INDEX(tblRegistros[Data],$L366)&gt;$D$4,"",IFERROR(INDEX(tblRegistros[Projeto],$L366),"")))</f>
        <v/>
      </c>
      <c r="C366">
        <f>IF($L366="","",IF(INDEX(tblRegistros[Data],$L366)&gt;$D$4,"",IFERROR(INDEX(tblRegistros[Atividade],$L366),"")))</f>
        <v/>
      </c>
      <c r="D366" s="4">
        <f>IF($L366="","",IF(INDEX(tblRegistros[Data],$L366)&gt;$D$4,"",IFERROR(INDEX(tblRegistros[Início],$L366),"")))</f>
        <v/>
      </c>
      <c r="E366" s="4">
        <f>IF($L366="","",IF(INDEX(tblRegistros[Data],$L366)&gt;$D$4,"",IFERROR(IF(INDEX(tblRegistros[Status],$L366)="EM ABERTO","",INDEX(tblRegistros[Fim],$L366)),"")))</f>
        <v/>
      </c>
      <c r="F366" s="14">
        <f>IF($L366="","",IF(INDEX(tblRegistros[Data],$L366)&gt;$D$4,"",IFERROR(IF(INDEX(tblRegistros[Status],$L366)="EM ABERTO","",INDEX(tblRegistros[Horas],$L366)),"")))</f>
        <v/>
      </c>
      <c r="G366">
        <f>IF($L366="","",IF(INDEX(tblRegistros[Data],$L366)&gt;$D$4,"",IFERROR(INDEX(tblRegistros[Base],$L366),"")))</f>
        <v/>
      </c>
      <c r="H366" s="3">
        <f>IF($L366="","",IF(INDEX(tblRegistros[Data],$L366)&gt;$D$4,"",IFERROR(INDEX(tblRegistros[Taxa aplicada],$L366),"")))</f>
        <v/>
      </c>
      <c r="I366" s="3">
        <f>IF($L366="","",IF(INDEX(tblRegistros[Data],$L366)&gt;$D$4,"",IFERROR(IF(INDEX(tblRegistros[Status],$L366)="EM ABERTO","",INDEX(tblRegistros[Valor],$L366)),"")))</f>
        <v/>
      </c>
      <c r="J366">
        <f>IF($L366="","",IF(INDEX(tblRegistros[Data],$L366)&gt;$D$4,"",IFERROR(INDEX(tblRegistros[Status],$L366),"")))</f>
        <v/>
      </c>
      <c r="K366">
        <f>IF($L366="","",IF(INDEX(tblRegistros[Data],$L366)&gt;$D$4,"",IFERROR(INDEX(tblRegistros[Observação],$L366),"")))</f>
        <v/>
      </c>
      <c r="L366" s="16">
        <f>IFERROR(MATCH($B$3*100000+COUNTIFS(tblRegistros[ID],$B$3,tblRegistros[Data],"&lt;"&amp;$B$4)+ROWS($L$10:L366),tblRegistros[Chave do cartão],0),"")</f>
        <v/>
      </c>
    </row>
    <row r="367">
      <c r="A367" s="2">
        <f>IF($L367="","",IF(INDEX(tblRegistros[Data],$L367)&gt;$D$4,"",IFERROR(INDEX(tblRegistros[Data],$L367),"")))</f>
        <v/>
      </c>
      <c r="B367">
        <f>IF($L367="","",IF(INDEX(tblRegistros[Data],$L367)&gt;$D$4,"",IFERROR(INDEX(tblRegistros[Projeto],$L367),"")))</f>
        <v/>
      </c>
      <c r="C367">
        <f>IF($L367="","",IF(INDEX(tblRegistros[Data],$L367)&gt;$D$4,"",IFERROR(INDEX(tblRegistros[Atividade],$L367),"")))</f>
        <v/>
      </c>
      <c r="D367" s="4">
        <f>IF($L367="","",IF(INDEX(tblRegistros[Data],$L367)&gt;$D$4,"",IFERROR(INDEX(tblRegistros[Início],$L367),"")))</f>
        <v/>
      </c>
      <c r="E367" s="4">
        <f>IF($L367="","",IF(INDEX(tblRegistros[Data],$L367)&gt;$D$4,"",IFERROR(IF(INDEX(tblRegistros[Status],$L367)="EM ABERTO","",INDEX(tblRegistros[Fim],$L367)),"")))</f>
        <v/>
      </c>
      <c r="F367" s="14">
        <f>IF($L367="","",IF(INDEX(tblRegistros[Data],$L367)&gt;$D$4,"",IFERROR(IF(INDEX(tblRegistros[Status],$L367)="EM ABERTO","",INDEX(tblRegistros[Horas],$L367)),"")))</f>
        <v/>
      </c>
      <c r="G367">
        <f>IF($L367="","",IF(INDEX(tblRegistros[Data],$L367)&gt;$D$4,"",IFERROR(INDEX(tblRegistros[Base],$L367),"")))</f>
        <v/>
      </c>
      <c r="H367" s="3">
        <f>IF($L367="","",IF(INDEX(tblRegistros[Data],$L367)&gt;$D$4,"",IFERROR(INDEX(tblRegistros[Taxa aplicada],$L367),"")))</f>
        <v/>
      </c>
      <c r="I367" s="3">
        <f>IF($L367="","",IF(INDEX(tblRegistros[Data],$L367)&gt;$D$4,"",IFERROR(IF(INDEX(tblRegistros[Status],$L367)="EM ABERTO","",INDEX(tblRegistros[Valor],$L367)),"")))</f>
        <v/>
      </c>
      <c r="J367">
        <f>IF($L367="","",IF(INDEX(tblRegistros[Data],$L367)&gt;$D$4,"",IFERROR(INDEX(tblRegistros[Status],$L367),"")))</f>
        <v/>
      </c>
      <c r="K367">
        <f>IF($L367="","",IF(INDEX(tblRegistros[Data],$L367)&gt;$D$4,"",IFERROR(INDEX(tblRegistros[Observação],$L367),"")))</f>
        <v/>
      </c>
      <c r="L367" s="16">
        <f>IFERROR(MATCH($B$3*100000+COUNTIFS(tblRegistros[ID],$B$3,tblRegistros[Data],"&lt;"&amp;$B$4)+ROWS($L$10:L367),tblRegistros[Chave do cartão],0),"")</f>
        <v/>
      </c>
    </row>
    <row r="368">
      <c r="A368" s="2">
        <f>IF($L368="","",IF(INDEX(tblRegistros[Data],$L368)&gt;$D$4,"",IFERROR(INDEX(tblRegistros[Data],$L368),"")))</f>
        <v/>
      </c>
      <c r="B368">
        <f>IF($L368="","",IF(INDEX(tblRegistros[Data],$L368)&gt;$D$4,"",IFERROR(INDEX(tblRegistros[Projeto],$L368),"")))</f>
        <v/>
      </c>
      <c r="C368">
        <f>IF($L368="","",IF(INDEX(tblRegistros[Data],$L368)&gt;$D$4,"",IFERROR(INDEX(tblRegistros[Atividade],$L368),"")))</f>
        <v/>
      </c>
      <c r="D368" s="4">
        <f>IF($L368="","",IF(INDEX(tblRegistros[Data],$L368)&gt;$D$4,"",IFERROR(INDEX(tblRegistros[Início],$L368),"")))</f>
        <v/>
      </c>
      <c r="E368" s="4">
        <f>IF($L368="","",IF(INDEX(tblRegistros[Data],$L368)&gt;$D$4,"",IFERROR(IF(INDEX(tblRegistros[Status],$L368)="EM ABERTO","",INDEX(tblRegistros[Fim],$L368)),"")))</f>
        <v/>
      </c>
      <c r="F368" s="14">
        <f>IF($L368="","",IF(INDEX(tblRegistros[Data],$L368)&gt;$D$4,"",IFERROR(IF(INDEX(tblRegistros[Status],$L368)="EM ABERTO","",INDEX(tblRegistros[Horas],$L368)),"")))</f>
        <v/>
      </c>
      <c r="G368">
        <f>IF($L368="","",IF(INDEX(tblRegistros[Data],$L368)&gt;$D$4,"",IFERROR(INDEX(tblRegistros[Base],$L368),"")))</f>
        <v/>
      </c>
      <c r="H368" s="3">
        <f>IF($L368="","",IF(INDEX(tblRegistros[Data],$L368)&gt;$D$4,"",IFERROR(INDEX(tblRegistros[Taxa aplicada],$L368),"")))</f>
        <v/>
      </c>
      <c r="I368" s="3">
        <f>IF($L368="","",IF(INDEX(tblRegistros[Data],$L368)&gt;$D$4,"",IFERROR(IF(INDEX(tblRegistros[Status],$L368)="EM ABERTO","",INDEX(tblRegistros[Valor],$L368)),"")))</f>
        <v/>
      </c>
      <c r="J368">
        <f>IF($L368="","",IF(INDEX(tblRegistros[Data],$L368)&gt;$D$4,"",IFERROR(INDEX(tblRegistros[Status],$L368),"")))</f>
        <v/>
      </c>
      <c r="K368">
        <f>IF($L368="","",IF(INDEX(tblRegistros[Data],$L368)&gt;$D$4,"",IFERROR(INDEX(tblRegistros[Observação],$L368),"")))</f>
        <v/>
      </c>
      <c r="L368" s="16">
        <f>IFERROR(MATCH($B$3*100000+COUNTIFS(tblRegistros[ID],$B$3,tblRegistros[Data],"&lt;"&amp;$B$4)+ROWS($L$10:L368),tblRegistros[Chave do cartão],0),"")</f>
        <v/>
      </c>
    </row>
    <row r="369">
      <c r="A369" s="2">
        <f>IF($L369="","",IF(INDEX(tblRegistros[Data],$L369)&gt;$D$4,"",IFERROR(INDEX(tblRegistros[Data],$L369),"")))</f>
        <v/>
      </c>
      <c r="B369">
        <f>IF($L369="","",IF(INDEX(tblRegistros[Data],$L369)&gt;$D$4,"",IFERROR(INDEX(tblRegistros[Projeto],$L369),"")))</f>
        <v/>
      </c>
      <c r="C369">
        <f>IF($L369="","",IF(INDEX(tblRegistros[Data],$L369)&gt;$D$4,"",IFERROR(INDEX(tblRegistros[Atividade],$L369),"")))</f>
        <v/>
      </c>
      <c r="D369" s="4">
        <f>IF($L369="","",IF(INDEX(tblRegistros[Data],$L369)&gt;$D$4,"",IFERROR(INDEX(tblRegistros[Início],$L369),"")))</f>
        <v/>
      </c>
      <c r="E369" s="4">
        <f>IF($L369="","",IF(INDEX(tblRegistros[Data],$L369)&gt;$D$4,"",IFERROR(IF(INDEX(tblRegistros[Status],$L369)="EM ABERTO","",INDEX(tblRegistros[Fim],$L369)),"")))</f>
        <v/>
      </c>
      <c r="F369" s="14">
        <f>IF($L369="","",IF(INDEX(tblRegistros[Data],$L369)&gt;$D$4,"",IFERROR(IF(INDEX(tblRegistros[Status],$L369)="EM ABERTO","",INDEX(tblRegistros[Horas],$L369)),"")))</f>
        <v/>
      </c>
      <c r="G369">
        <f>IF($L369="","",IF(INDEX(tblRegistros[Data],$L369)&gt;$D$4,"",IFERROR(INDEX(tblRegistros[Base],$L369),"")))</f>
        <v/>
      </c>
      <c r="H369" s="3">
        <f>IF($L369="","",IF(INDEX(tblRegistros[Data],$L369)&gt;$D$4,"",IFERROR(INDEX(tblRegistros[Taxa aplicada],$L369),"")))</f>
        <v/>
      </c>
      <c r="I369" s="3">
        <f>IF($L369="","",IF(INDEX(tblRegistros[Data],$L369)&gt;$D$4,"",IFERROR(IF(INDEX(tblRegistros[Status],$L369)="EM ABERTO","",INDEX(tblRegistros[Valor],$L369)),"")))</f>
        <v/>
      </c>
      <c r="J369">
        <f>IF($L369="","",IF(INDEX(tblRegistros[Data],$L369)&gt;$D$4,"",IFERROR(INDEX(tblRegistros[Status],$L369),"")))</f>
        <v/>
      </c>
      <c r="K369">
        <f>IF($L369="","",IF(INDEX(tblRegistros[Data],$L369)&gt;$D$4,"",IFERROR(INDEX(tblRegistros[Observação],$L369),"")))</f>
        <v/>
      </c>
      <c r="L369" s="16">
        <f>IFERROR(MATCH($B$3*100000+COUNTIFS(tblRegistros[ID],$B$3,tblRegistros[Data],"&lt;"&amp;$B$4)+ROWS($L$10:L369),tblRegistros[Chave do cartão],0),"")</f>
        <v/>
      </c>
    </row>
    <row r="370">
      <c r="A370" s="2">
        <f>IF($L370="","",IF(INDEX(tblRegistros[Data],$L370)&gt;$D$4,"",IFERROR(INDEX(tblRegistros[Data],$L370),"")))</f>
        <v/>
      </c>
      <c r="B370">
        <f>IF($L370="","",IF(INDEX(tblRegistros[Data],$L370)&gt;$D$4,"",IFERROR(INDEX(tblRegistros[Projeto],$L370),"")))</f>
        <v/>
      </c>
      <c r="C370">
        <f>IF($L370="","",IF(INDEX(tblRegistros[Data],$L370)&gt;$D$4,"",IFERROR(INDEX(tblRegistros[Atividade],$L370),"")))</f>
        <v/>
      </c>
      <c r="D370" s="4">
        <f>IF($L370="","",IF(INDEX(tblRegistros[Data],$L370)&gt;$D$4,"",IFERROR(INDEX(tblRegistros[Início],$L370),"")))</f>
        <v/>
      </c>
      <c r="E370" s="4">
        <f>IF($L370="","",IF(INDEX(tblRegistros[Data],$L370)&gt;$D$4,"",IFERROR(IF(INDEX(tblRegistros[Status],$L370)="EM ABERTO","",INDEX(tblRegistros[Fim],$L370)),"")))</f>
        <v/>
      </c>
      <c r="F370" s="14">
        <f>IF($L370="","",IF(INDEX(tblRegistros[Data],$L370)&gt;$D$4,"",IFERROR(IF(INDEX(tblRegistros[Status],$L370)="EM ABERTO","",INDEX(tblRegistros[Horas],$L370)),"")))</f>
        <v/>
      </c>
      <c r="G370">
        <f>IF($L370="","",IF(INDEX(tblRegistros[Data],$L370)&gt;$D$4,"",IFERROR(INDEX(tblRegistros[Base],$L370),"")))</f>
        <v/>
      </c>
      <c r="H370" s="3">
        <f>IF($L370="","",IF(INDEX(tblRegistros[Data],$L370)&gt;$D$4,"",IFERROR(INDEX(tblRegistros[Taxa aplicada],$L370),"")))</f>
        <v/>
      </c>
      <c r="I370" s="3">
        <f>IF($L370="","",IF(INDEX(tblRegistros[Data],$L370)&gt;$D$4,"",IFERROR(IF(INDEX(tblRegistros[Status],$L370)="EM ABERTO","",INDEX(tblRegistros[Valor],$L370)),"")))</f>
        <v/>
      </c>
      <c r="J370">
        <f>IF($L370="","",IF(INDEX(tblRegistros[Data],$L370)&gt;$D$4,"",IFERROR(INDEX(tblRegistros[Status],$L370),"")))</f>
        <v/>
      </c>
      <c r="K370">
        <f>IF($L370="","",IF(INDEX(tblRegistros[Data],$L370)&gt;$D$4,"",IFERROR(INDEX(tblRegistros[Observação],$L370),"")))</f>
        <v/>
      </c>
      <c r="L370" s="16">
        <f>IFERROR(MATCH($B$3*100000+COUNTIFS(tblRegistros[ID],$B$3,tblRegistros[Data],"&lt;"&amp;$B$4)+ROWS($L$10:L370),tblRegistros[Chave do cartão],0),"")</f>
        <v/>
      </c>
    </row>
    <row r="371">
      <c r="A371" s="2">
        <f>IF($L371="","",IF(INDEX(tblRegistros[Data],$L371)&gt;$D$4,"",IFERROR(INDEX(tblRegistros[Data],$L371),"")))</f>
        <v/>
      </c>
      <c r="B371">
        <f>IF($L371="","",IF(INDEX(tblRegistros[Data],$L371)&gt;$D$4,"",IFERROR(INDEX(tblRegistros[Projeto],$L371),"")))</f>
        <v/>
      </c>
      <c r="C371">
        <f>IF($L371="","",IF(INDEX(tblRegistros[Data],$L371)&gt;$D$4,"",IFERROR(INDEX(tblRegistros[Atividade],$L371),"")))</f>
        <v/>
      </c>
      <c r="D371" s="4">
        <f>IF($L371="","",IF(INDEX(tblRegistros[Data],$L371)&gt;$D$4,"",IFERROR(INDEX(tblRegistros[Início],$L371),"")))</f>
        <v/>
      </c>
      <c r="E371" s="4">
        <f>IF($L371="","",IF(INDEX(tblRegistros[Data],$L371)&gt;$D$4,"",IFERROR(IF(INDEX(tblRegistros[Status],$L371)="EM ABERTO","",INDEX(tblRegistros[Fim],$L371)),"")))</f>
        <v/>
      </c>
      <c r="F371" s="14">
        <f>IF($L371="","",IF(INDEX(tblRegistros[Data],$L371)&gt;$D$4,"",IFERROR(IF(INDEX(tblRegistros[Status],$L371)="EM ABERTO","",INDEX(tblRegistros[Horas],$L371)),"")))</f>
        <v/>
      </c>
      <c r="G371">
        <f>IF($L371="","",IF(INDEX(tblRegistros[Data],$L371)&gt;$D$4,"",IFERROR(INDEX(tblRegistros[Base],$L371),"")))</f>
        <v/>
      </c>
      <c r="H371" s="3">
        <f>IF($L371="","",IF(INDEX(tblRegistros[Data],$L371)&gt;$D$4,"",IFERROR(INDEX(tblRegistros[Taxa aplicada],$L371),"")))</f>
        <v/>
      </c>
      <c r="I371" s="3">
        <f>IF($L371="","",IF(INDEX(tblRegistros[Data],$L371)&gt;$D$4,"",IFERROR(IF(INDEX(tblRegistros[Status],$L371)="EM ABERTO","",INDEX(tblRegistros[Valor],$L371)),"")))</f>
        <v/>
      </c>
      <c r="J371">
        <f>IF($L371="","",IF(INDEX(tblRegistros[Data],$L371)&gt;$D$4,"",IFERROR(INDEX(tblRegistros[Status],$L371),"")))</f>
        <v/>
      </c>
      <c r="K371">
        <f>IF($L371="","",IF(INDEX(tblRegistros[Data],$L371)&gt;$D$4,"",IFERROR(INDEX(tblRegistros[Observação],$L371),"")))</f>
        <v/>
      </c>
      <c r="L371" s="16">
        <f>IFERROR(MATCH($B$3*100000+COUNTIFS(tblRegistros[ID],$B$3,tblRegistros[Data],"&lt;"&amp;$B$4)+ROWS($L$10:L371),tblRegistros[Chave do cartão],0),"")</f>
        <v/>
      </c>
    </row>
    <row r="372">
      <c r="A372" s="2">
        <f>IF($L372="","",IF(INDEX(tblRegistros[Data],$L372)&gt;$D$4,"",IFERROR(INDEX(tblRegistros[Data],$L372),"")))</f>
        <v/>
      </c>
      <c r="B372">
        <f>IF($L372="","",IF(INDEX(tblRegistros[Data],$L372)&gt;$D$4,"",IFERROR(INDEX(tblRegistros[Projeto],$L372),"")))</f>
        <v/>
      </c>
      <c r="C372">
        <f>IF($L372="","",IF(INDEX(tblRegistros[Data],$L372)&gt;$D$4,"",IFERROR(INDEX(tblRegistros[Atividade],$L372),"")))</f>
        <v/>
      </c>
      <c r="D372" s="4">
        <f>IF($L372="","",IF(INDEX(tblRegistros[Data],$L372)&gt;$D$4,"",IFERROR(INDEX(tblRegistros[Início],$L372),"")))</f>
        <v/>
      </c>
      <c r="E372" s="4">
        <f>IF($L372="","",IF(INDEX(tblRegistros[Data],$L372)&gt;$D$4,"",IFERROR(IF(INDEX(tblRegistros[Status],$L372)="EM ABERTO","",INDEX(tblRegistros[Fim],$L372)),"")))</f>
        <v/>
      </c>
      <c r="F372" s="14">
        <f>IF($L372="","",IF(INDEX(tblRegistros[Data],$L372)&gt;$D$4,"",IFERROR(IF(INDEX(tblRegistros[Status],$L372)="EM ABERTO","",INDEX(tblRegistros[Horas],$L372)),"")))</f>
        <v/>
      </c>
      <c r="G372">
        <f>IF($L372="","",IF(INDEX(tblRegistros[Data],$L372)&gt;$D$4,"",IFERROR(INDEX(tblRegistros[Base],$L372),"")))</f>
        <v/>
      </c>
      <c r="H372" s="3">
        <f>IF($L372="","",IF(INDEX(tblRegistros[Data],$L372)&gt;$D$4,"",IFERROR(INDEX(tblRegistros[Taxa aplicada],$L372),"")))</f>
        <v/>
      </c>
      <c r="I372" s="3">
        <f>IF($L372="","",IF(INDEX(tblRegistros[Data],$L372)&gt;$D$4,"",IFERROR(IF(INDEX(tblRegistros[Status],$L372)="EM ABERTO","",INDEX(tblRegistros[Valor],$L372)),"")))</f>
        <v/>
      </c>
      <c r="J372">
        <f>IF($L372="","",IF(INDEX(tblRegistros[Data],$L372)&gt;$D$4,"",IFERROR(INDEX(tblRegistros[Status],$L372),"")))</f>
        <v/>
      </c>
      <c r="K372">
        <f>IF($L372="","",IF(INDEX(tblRegistros[Data],$L372)&gt;$D$4,"",IFERROR(INDEX(tblRegistros[Observação],$L372),"")))</f>
        <v/>
      </c>
      <c r="L372" s="16">
        <f>IFERROR(MATCH($B$3*100000+COUNTIFS(tblRegistros[ID],$B$3,tblRegistros[Data],"&lt;"&amp;$B$4)+ROWS($L$10:L372),tblRegistros[Chave do cartão],0),"")</f>
        <v/>
      </c>
    </row>
    <row r="373">
      <c r="A373" s="2">
        <f>IF($L373="","",IF(INDEX(tblRegistros[Data],$L373)&gt;$D$4,"",IFERROR(INDEX(tblRegistros[Data],$L373),"")))</f>
        <v/>
      </c>
      <c r="B373">
        <f>IF($L373="","",IF(INDEX(tblRegistros[Data],$L373)&gt;$D$4,"",IFERROR(INDEX(tblRegistros[Projeto],$L373),"")))</f>
        <v/>
      </c>
      <c r="C373">
        <f>IF($L373="","",IF(INDEX(tblRegistros[Data],$L373)&gt;$D$4,"",IFERROR(INDEX(tblRegistros[Atividade],$L373),"")))</f>
        <v/>
      </c>
      <c r="D373" s="4">
        <f>IF($L373="","",IF(INDEX(tblRegistros[Data],$L373)&gt;$D$4,"",IFERROR(INDEX(tblRegistros[Início],$L373),"")))</f>
        <v/>
      </c>
      <c r="E373" s="4">
        <f>IF($L373="","",IF(INDEX(tblRegistros[Data],$L373)&gt;$D$4,"",IFERROR(IF(INDEX(tblRegistros[Status],$L373)="EM ABERTO","",INDEX(tblRegistros[Fim],$L373)),"")))</f>
        <v/>
      </c>
      <c r="F373" s="14">
        <f>IF($L373="","",IF(INDEX(tblRegistros[Data],$L373)&gt;$D$4,"",IFERROR(IF(INDEX(tblRegistros[Status],$L373)="EM ABERTO","",INDEX(tblRegistros[Horas],$L373)),"")))</f>
        <v/>
      </c>
      <c r="G373">
        <f>IF($L373="","",IF(INDEX(tblRegistros[Data],$L373)&gt;$D$4,"",IFERROR(INDEX(tblRegistros[Base],$L373),"")))</f>
        <v/>
      </c>
      <c r="H373" s="3">
        <f>IF($L373="","",IF(INDEX(tblRegistros[Data],$L373)&gt;$D$4,"",IFERROR(INDEX(tblRegistros[Taxa aplicada],$L373),"")))</f>
        <v/>
      </c>
      <c r="I373" s="3">
        <f>IF($L373="","",IF(INDEX(tblRegistros[Data],$L373)&gt;$D$4,"",IFERROR(IF(INDEX(tblRegistros[Status],$L373)="EM ABERTO","",INDEX(tblRegistros[Valor],$L373)),"")))</f>
        <v/>
      </c>
      <c r="J373">
        <f>IF($L373="","",IF(INDEX(tblRegistros[Data],$L373)&gt;$D$4,"",IFERROR(INDEX(tblRegistros[Status],$L373),"")))</f>
        <v/>
      </c>
      <c r="K373">
        <f>IF($L373="","",IF(INDEX(tblRegistros[Data],$L373)&gt;$D$4,"",IFERROR(INDEX(tblRegistros[Observação],$L373),"")))</f>
        <v/>
      </c>
      <c r="L373" s="16">
        <f>IFERROR(MATCH($B$3*100000+COUNTIFS(tblRegistros[ID],$B$3,tblRegistros[Data],"&lt;"&amp;$B$4)+ROWS($L$10:L373),tblRegistros[Chave do cartão],0),"")</f>
        <v/>
      </c>
    </row>
    <row r="374">
      <c r="A374" s="2">
        <f>IF($L374="","",IF(INDEX(tblRegistros[Data],$L374)&gt;$D$4,"",IFERROR(INDEX(tblRegistros[Data],$L374),"")))</f>
        <v/>
      </c>
      <c r="B374">
        <f>IF($L374="","",IF(INDEX(tblRegistros[Data],$L374)&gt;$D$4,"",IFERROR(INDEX(tblRegistros[Projeto],$L374),"")))</f>
        <v/>
      </c>
      <c r="C374">
        <f>IF($L374="","",IF(INDEX(tblRegistros[Data],$L374)&gt;$D$4,"",IFERROR(INDEX(tblRegistros[Atividade],$L374),"")))</f>
        <v/>
      </c>
      <c r="D374" s="4">
        <f>IF($L374="","",IF(INDEX(tblRegistros[Data],$L374)&gt;$D$4,"",IFERROR(INDEX(tblRegistros[Início],$L374),"")))</f>
        <v/>
      </c>
      <c r="E374" s="4">
        <f>IF($L374="","",IF(INDEX(tblRegistros[Data],$L374)&gt;$D$4,"",IFERROR(IF(INDEX(tblRegistros[Status],$L374)="EM ABERTO","",INDEX(tblRegistros[Fim],$L374)),"")))</f>
        <v/>
      </c>
      <c r="F374" s="14">
        <f>IF($L374="","",IF(INDEX(tblRegistros[Data],$L374)&gt;$D$4,"",IFERROR(IF(INDEX(tblRegistros[Status],$L374)="EM ABERTO","",INDEX(tblRegistros[Horas],$L374)),"")))</f>
        <v/>
      </c>
      <c r="G374">
        <f>IF($L374="","",IF(INDEX(tblRegistros[Data],$L374)&gt;$D$4,"",IFERROR(INDEX(tblRegistros[Base],$L374),"")))</f>
        <v/>
      </c>
      <c r="H374" s="3">
        <f>IF($L374="","",IF(INDEX(tblRegistros[Data],$L374)&gt;$D$4,"",IFERROR(INDEX(tblRegistros[Taxa aplicada],$L374),"")))</f>
        <v/>
      </c>
      <c r="I374" s="3">
        <f>IF($L374="","",IF(INDEX(tblRegistros[Data],$L374)&gt;$D$4,"",IFERROR(IF(INDEX(tblRegistros[Status],$L374)="EM ABERTO","",INDEX(tblRegistros[Valor],$L374)),"")))</f>
        <v/>
      </c>
      <c r="J374">
        <f>IF($L374="","",IF(INDEX(tblRegistros[Data],$L374)&gt;$D$4,"",IFERROR(INDEX(tblRegistros[Status],$L374),"")))</f>
        <v/>
      </c>
      <c r="K374">
        <f>IF($L374="","",IF(INDEX(tblRegistros[Data],$L374)&gt;$D$4,"",IFERROR(INDEX(tblRegistros[Observação],$L374),"")))</f>
        <v/>
      </c>
      <c r="L374" s="16">
        <f>IFERROR(MATCH($B$3*100000+COUNTIFS(tblRegistros[ID],$B$3,tblRegistros[Data],"&lt;"&amp;$B$4)+ROWS($L$10:L374),tblRegistros[Chave do cartão],0),"")</f>
        <v/>
      </c>
    </row>
    <row r="375">
      <c r="A375" s="2">
        <f>IF($L375="","",IF(INDEX(tblRegistros[Data],$L375)&gt;$D$4,"",IFERROR(INDEX(tblRegistros[Data],$L375),"")))</f>
        <v/>
      </c>
      <c r="B375">
        <f>IF($L375="","",IF(INDEX(tblRegistros[Data],$L375)&gt;$D$4,"",IFERROR(INDEX(tblRegistros[Projeto],$L375),"")))</f>
        <v/>
      </c>
      <c r="C375">
        <f>IF($L375="","",IF(INDEX(tblRegistros[Data],$L375)&gt;$D$4,"",IFERROR(INDEX(tblRegistros[Atividade],$L375),"")))</f>
        <v/>
      </c>
      <c r="D375" s="4">
        <f>IF($L375="","",IF(INDEX(tblRegistros[Data],$L375)&gt;$D$4,"",IFERROR(INDEX(tblRegistros[Início],$L375),"")))</f>
        <v/>
      </c>
      <c r="E375" s="4">
        <f>IF($L375="","",IF(INDEX(tblRegistros[Data],$L375)&gt;$D$4,"",IFERROR(IF(INDEX(tblRegistros[Status],$L375)="EM ABERTO","",INDEX(tblRegistros[Fim],$L375)),"")))</f>
        <v/>
      </c>
      <c r="F375" s="14">
        <f>IF($L375="","",IF(INDEX(tblRegistros[Data],$L375)&gt;$D$4,"",IFERROR(IF(INDEX(tblRegistros[Status],$L375)="EM ABERTO","",INDEX(tblRegistros[Horas],$L375)),"")))</f>
        <v/>
      </c>
      <c r="G375">
        <f>IF($L375="","",IF(INDEX(tblRegistros[Data],$L375)&gt;$D$4,"",IFERROR(INDEX(tblRegistros[Base],$L375),"")))</f>
        <v/>
      </c>
      <c r="H375" s="3">
        <f>IF($L375="","",IF(INDEX(tblRegistros[Data],$L375)&gt;$D$4,"",IFERROR(INDEX(tblRegistros[Taxa aplicada],$L375),"")))</f>
        <v/>
      </c>
      <c r="I375" s="3">
        <f>IF($L375="","",IF(INDEX(tblRegistros[Data],$L375)&gt;$D$4,"",IFERROR(IF(INDEX(tblRegistros[Status],$L375)="EM ABERTO","",INDEX(tblRegistros[Valor],$L375)),"")))</f>
        <v/>
      </c>
      <c r="J375">
        <f>IF($L375="","",IF(INDEX(tblRegistros[Data],$L375)&gt;$D$4,"",IFERROR(INDEX(tblRegistros[Status],$L375),"")))</f>
        <v/>
      </c>
      <c r="K375">
        <f>IF($L375="","",IF(INDEX(tblRegistros[Data],$L375)&gt;$D$4,"",IFERROR(INDEX(tblRegistros[Observação],$L375),"")))</f>
        <v/>
      </c>
      <c r="L375" s="16">
        <f>IFERROR(MATCH($B$3*100000+COUNTIFS(tblRegistros[ID],$B$3,tblRegistros[Data],"&lt;"&amp;$B$4)+ROWS($L$10:L375),tblRegistros[Chave do cartão],0),"")</f>
        <v/>
      </c>
    </row>
    <row r="376">
      <c r="A376" s="2">
        <f>IF($L376="","",IF(INDEX(tblRegistros[Data],$L376)&gt;$D$4,"",IFERROR(INDEX(tblRegistros[Data],$L376),"")))</f>
        <v/>
      </c>
      <c r="B376">
        <f>IF($L376="","",IF(INDEX(tblRegistros[Data],$L376)&gt;$D$4,"",IFERROR(INDEX(tblRegistros[Projeto],$L376),"")))</f>
        <v/>
      </c>
      <c r="C376">
        <f>IF($L376="","",IF(INDEX(tblRegistros[Data],$L376)&gt;$D$4,"",IFERROR(INDEX(tblRegistros[Atividade],$L376),"")))</f>
        <v/>
      </c>
      <c r="D376" s="4">
        <f>IF($L376="","",IF(INDEX(tblRegistros[Data],$L376)&gt;$D$4,"",IFERROR(INDEX(tblRegistros[Início],$L376),"")))</f>
        <v/>
      </c>
      <c r="E376" s="4">
        <f>IF($L376="","",IF(INDEX(tblRegistros[Data],$L376)&gt;$D$4,"",IFERROR(IF(INDEX(tblRegistros[Status],$L376)="EM ABERTO","",INDEX(tblRegistros[Fim],$L376)),"")))</f>
        <v/>
      </c>
      <c r="F376" s="14">
        <f>IF($L376="","",IF(INDEX(tblRegistros[Data],$L376)&gt;$D$4,"",IFERROR(IF(INDEX(tblRegistros[Status],$L376)="EM ABERTO","",INDEX(tblRegistros[Horas],$L376)),"")))</f>
        <v/>
      </c>
      <c r="G376">
        <f>IF($L376="","",IF(INDEX(tblRegistros[Data],$L376)&gt;$D$4,"",IFERROR(INDEX(tblRegistros[Base],$L376),"")))</f>
        <v/>
      </c>
      <c r="H376" s="3">
        <f>IF($L376="","",IF(INDEX(tblRegistros[Data],$L376)&gt;$D$4,"",IFERROR(INDEX(tblRegistros[Taxa aplicada],$L376),"")))</f>
        <v/>
      </c>
      <c r="I376" s="3">
        <f>IF($L376="","",IF(INDEX(tblRegistros[Data],$L376)&gt;$D$4,"",IFERROR(IF(INDEX(tblRegistros[Status],$L376)="EM ABERTO","",INDEX(tblRegistros[Valor],$L376)),"")))</f>
        <v/>
      </c>
      <c r="J376">
        <f>IF($L376="","",IF(INDEX(tblRegistros[Data],$L376)&gt;$D$4,"",IFERROR(INDEX(tblRegistros[Status],$L376),"")))</f>
        <v/>
      </c>
      <c r="K376">
        <f>IF($L376="","",IF(INDEX(tblRegistros[Data],$L376)&gt;$D$4,"",IFERROR(INDEX(tblRegistros[Observação],$L376),"")))</f>
        <v/>
      </c>
      <c r="L376" s="16">
        <f>IFERROR(MATCH($B$3*100000+COUNTIFS(tblRegistros[ID],$B$3,tblRegistros[Data],"&lt;"&amp;$B$4)+ROWS($L$10:L376),tblRegistros[Chave do cartão],0),"")</f>
        <v/>
      </c>
    </row>
    <row r="377">
      <c r="A377" s="2">
        <f>IF($L377="","",IF(INDEX(tblRegistros[Data],$L377)&gt;$D$4,"",IFERROR(INDEX(tblRegistros[Data],$L377),"")))</f>
        <v/>
      </c>
      <c r="B377">
        <f>IF($L377="","",IF(INDEX(tblRegistros[Data],$L377)&gt;$D$4,"",IFERROR(INDEX(tblRegistros[Projeto],$L377),"")))</f>
        <v/>
      </c>
      <c r="C377">
        <f>IF($L377="","",IF(INDEX(tblRegistros[Data],$L377)&gt;$D$4,"",IFERROR(INDEX(tblRegistros[Atividade],$L377),"")))</f>
        <v/>
      </c>
      <c r="D377" s="4">
        <f>IF($L377="","",IF(INDEX(tblRegistros[Data],$L377)&gt;$D$4,"",IFERROR(INDEX(tblRegistros[Início],$L377),"")))</f>
        <v/>
      </c>
      <c r="E377" s="4">
        <f>IF($L377="","",IF(INDEX(tblRegistros[Data],$L377)&gt;$D$4,"",IFERROR(IF(INDEX(tblRegistros[Status],$L377)="EM ABERTO","",INDEX(tblRegistros[Fim],$L377)),"")))</f>
        <v/>
      </c>
      <c r="F377" s="14">
        <f>IF($L377="","",IF(INDEX(tblRegistros[Data],$L377)&gt;$D$4,"",IFERROR(IF(INDEX(tblRegistros[Status],$L377)="EM ABERTO","",INDEX(tblRegistros[Horas],$L377)),"")))</f>
        <v/>
      </c>
      <c r="G377">
        <f>IF($L377="","",IF(INDEX(tblRegistros[Data],$L377)&gt;$D$4,"",IFERROR(INDEX(tblRegistros[Base],$L377),"")))</f>
        <v/>
      </c>
      <c r="H377" s="3">
        <f>IF($L377="","",IF(INDEX(tblRegistros[Data],$L377)&gt;$D$4,"",IFERROR(INDEX(tblRegistros[Taxa aplicada],$L377),"")))</f>
        <v/>
      </c>
      <c r="I377" s="3">
        <f>IF($L377="","",IF(INDEX(tblRegistros[Data],$L377)&gt;$D$4,"",IFERROR(IF(INDEX(tblRegistros[Status],$L377)="EM ABERTO","",INDEX(tblRegistros[Valor],$L377)),"")))</f>
        <v/>
      </c>
      <c r="J377">
        <f>IF($L377="","",IF(INDEX(tblRegistros[Data],$L377)&gt;$D$4,"",IFERROR(INDEX(tblRegistros[Status],$L377),"")))</f>
        <v/>
      </c>
      <c r="K377">
        <f>IF($L377="","",IF(INDEX(tblRegistros[Data],$L377)&gt;$D$4,"",IFERROR(INDEX(tblRegistros[Observação],$L377),"")))</f>
        <v/>
      </c>
      <c r="L377" s="16">
        <f>IFERROR(MATCH($B$3*100000+COUNTIFS(tblRegistros[ID],$B$3,tblRegistros[Data],"&lt;"&amp;$B$4)+ROWS($L$10:L377),tblRegistros[Chave do cartão],0),"")</f>
        <v/>
      </c>
    </row>
    <row r="378">
      <c r="A378" s="2">
        <f>IF($L378="","",IF(INDEX(tblRegistros[Data],$L378)&gt;$D$4,"",IFERROR(INDEX(tblRegistros[Data],$L378),"")))</f>
        <v/>
      </c>
      <c r="B378">
        <f>IF($L378="","",IF(INDEX(tblRegistros[Data],$L378)&gt;$D$4,"",IFERROR(INDEX(tblRegistros[Projeto],$L378),"")))</f>
        <v/>
      </c>
      <c r="C378">
        <f>IF($L378="","",IF(INDEX(tblRegistros[Data],$L378)&gt;$D$4,"",IFERROR(INDEX(tblRegistros[Atividade],$L378),"")))</f>
        <v/>
      </c>
      <c r="D378" s="4">
        <f>IF($L378="","",IF(INDEX(tblRegistros[Data],$L378)&gt;$D$4,"",IFERROR(INDEX(tblRegistros[Início],$L378),"")))</f>
        <v/>
      </c>
      <c r="E378" s="4">
        <f>IF($L378="","",IF(INDEX(tblRegistros[Data],$L378)&gt;$D$4,"",IFERROR(IF(INDEX(tblRegistros[Status],$L378)="EM ABERTO","",INDEX(tblRegistros[Fim],$L378)),"")))</f>
        <v/>
      </c>
      <c r="F378" s="14">
        <f>IF($L378="","",IF(INDEX(tblRegistros[Data],$L378)&gt;$D$4,"",IFERROR(IF(INDEX(tblRegistros[Status],$L378)="EM ABERTO","",INDEX(tblRegistros[Horas],$L378)),"")))</f>
        <v/>
      </c>
      <c r="G378">
        <f>IF($L378="","",IF(INDEX(tblRegistros[Data],$L378)&gt;$D$4,"",IFERROR(INDEX(tblRegistros[Base],$L378),"")))</f>
        <v/>
      </c>
      <c r="H378" s="3">
        <f>IF($L378="","",IF(INDEX(tblRegistros[Data],$L378)&gt;$D$4,"",IFERROR(INDEX(tblRegistros[Taxa aplicada],$L378),"")))</f>
        <v/>
      </c>
      <c r="I378" s="3">
        <f>IF($L378="","",IF(INDEX(tblRegistros[Data],$L378)&gt;$D$4,"",IFERROR(IF(INDEX(tblRegistros[Status],$L378)="EM ABERTO","",INDEX(tblRegistros[Valor],$L378)),"")))</f>
        <v/>
      </c>
      <c r="J378">
        <f>IF($L378="","",IF(INDEX(tblRegistros[Data],$L378)&gt;$D$4,"",IFERROR(INDEX(tblRegistros[Status],$L378),"")))</f>
        <v/>
      </c>
      <c r="K378">
        <f>IF($L378="","",IF(INDEX(tblRegistros[Data],$L378)&gt;$D$4,"",IFERROR(INDEX(tblRegistros[Observação],$L378),"")))</f>
        <v/>
      </c>
      <c r="L378" s="16">
        <f>IFERROR(MATCH($B$3*100000+COUNTIFS(tblRegistros[ID],$B$3,tblRegistros[Data],"&lt;"&amp;$B$4)+ROWS($L$10:L378),tblRegistros[Chave do cartão],0),"")</f>
        <v/>
      </c>
    </row>
    <row r="379">
      <c r="A379" s="2">
        <f>IF($L379="","",IF(INDEX(tblRegistros[Data],$L379)&gt;$D$4,"",IFERROR(INDEX(tblRegistros[Data],$L379),"")))</f>
        <v/>
      </c>
      <c r="B379">
        <f>IF($L379="","",IF(INDEX(tblRegistros[Data],$L379)&gt;$D$4,"",IFERROR(INDEX(tblRegistros[Projeto],$L379),"")))</f>
        <v/>
      </c>
      <c r="C379">
        <f>IF($L379="","",IF(INDEX(tblRegistros[Data],$L379)&gt;$D$4,"",IFERROR(INDEX(tblRegistros[Atividade],$L379),"")))</f>
        <v/>
      </c>
      <c r="D379" s="4">
        <f>IF($L379="","",IF(INDEX(tblRegistros[Data],$L379)&gt;$D$4,"",IFERROR(INDEX(tblRegistros[Início],$L379),"")))</f>
        <v/>
      </c>
      <c r="E379" s="4">
        <f>IF($L379="","",IF(INDEX(tblRegistros[Data],$L379)&gt;$D$4,"",IFERROR(IF(INDEX(tblRegistros[Status],$L379)="EM ABERTO","",INDEX(tblRegistros[Fim],$L379)),"")))</f>
        <v/>
      </c>
      <c r="F379" s="14">
        <f>IF($L379="","",IF(INDEX(tblRegistros[Data],$L379)&gt;$D$4,"",IFERROR(IF(INDEX(tblRegistros[Status],$L379)="EM ABERTO","",INDEX(tblRegistros[Horas],$L379)),"")))</f>
        <v/>
      </c>
      <c r="G379">
        <f>IF($L379="","",IF(INDEX(tblRegistros[Data],$L379)&gt;$D$4,"",IFERROR(INDEX(tblRegistros[Base],$L379),"")))</f>
        <v/>
      </c>
      <c r="H379" s="3">
        <f>IF($L379="","",IF(INDEX(tblRegistros[Data],$L379)&gt;$D$4,"",IFERROR(INDEX(tblRegistros[Taxa aplicada],$L379),"")))</f>
        <v/>
      </c>
      <c r="I379" s="3">
        <f>IF($L379="","",IF(INDEX(tblRegistros[Data],$L379)&gt;$D$4,"",IFERROR(IF(INDEX(tblRegistros[Status],$L379)="EM ABERTO","",INDEX(tblRegistros[Valor],$L379)),"")))</f>
        <v/>
      </c>
      <c r="J379">
        <f>IF($L379="","",IF(INDEX(tblRegistros[Data],$L379)&gt;$D$4,"",IFERROR(INDEX(tblRegistros[Status],$L379),"")))</f>
        <v/>
      </c>
      <c r="K379">
        <f>IF($L379="","",IF(INDEX(tblRegistros[Data],$L379)&gt;$D$4,"",IFERROR(INDEX(tblRegistros[Observação],$L379),"")))</f>
        <v/>
      </c>
      <c r="L379" s="16">
        <f>IFERROR(MATCH($B$3*100000+COUNTIFS(tblRegistros[ID],$B$3,tblRegistros[Data],"&lt;"&amp;$B$4)+ROWS($L$10:L379),tblRegistros[Chave do cartão],0),"")</f>
        <v/>
      </c>
    </row>
    <row r="380">
      <c r="A380" s="2">
        <f>IF($L380="","",IF(INDEX(tblRegistros[Data],$L380)&gt;$D$4,"",IFERROR(INDEX(tblRegistros[Data],$L380),"")))</f>
        <v/>
      </c>
      <c r="B380">
        <f>IF($L380="","",IF(INDEX(tblRegistros[Data],$L380)&gt;$D$4,"",IFERROR(INDEX(tblRegistros[Projeto],$L380),"")))</f>
        <v/>
      </c>
      <c r="C380">
        <f>IF($L380="","",IF(INDEX(tblRegistros[Data],$L380)&gt;$D$4,"",IFERROR(INDEX(tblRegistros[Atividade],$L380),"")))</f>
        <v/>
      </c>
      <c r="D380" s="4">
        <f>IF($L380="","",IF(INDEX(tblRegistros[Data],$L380)&gt;$D$4,"",IFERROR(INDEX(tblRegistros[Início],$L380),"")))</f>
        <v/>
      </c>
      <c r="E380" s="4">
        <f>IF($L380="","",IF(INDEX(tblRegistros[Data],$L380)&gt;$D$4,"",IFERROR(IF(INDEX(tblRegistros[Status],$L380)="EM ABERTO","",INDEX(tblRegistros[Fim],$L380)),"")))</f>
        <v/>
      </c>
      <c r="F380" s="14">
        <f>IF($L380="","",IF(INDEX(tblRegistros[Data],$L380)&gt;$D$4,"",IFERROR(IF(INDEX(tblRegistros[Status],$L380)="EM ABERTO","",INDEX(tblRegistros[Horas],$L380)),"")))</f>
        <v/>
      </c>
      <c r="G380">
        <f>IF($L380="","",IF(INDEX(tblRegistros[Data],$L380)&gt;$D$4,"",IFERROR(INDEX(tblRegistros[Base],$L380),"")))</f>
        <v/>
      </c>
      <c r="H380" s="3">
        <f>IF($L380="","",IF(INDEX(tblRegistros[Data],$L380)&gt;$D$4,"",IFERROR(INDEX(tblRegistros[Taxa aplicada],$L380),"")))</f>
        <v/>
      </c>
      <c r="I380" s="3">
        <f>IF($L380="","",IF(INDEX(tblRegistros[Data],$L380)&gt;$D$4,"",IFERROR(IF(INDEX(tblRegistros[Status],$L380)="EM ABERTO","",INDEX(tblRegistros[Valor],$L380)),"")))</f>
        <v/>
      </c>
      <c r="J380">
        <f>IF($L380="","",IF(INDEX(tblRegistros[Data],$L380)&gt;$D$4,"",IFERROR(INDEX(tblRegistros[Status],$L380),"")))</f>
        <v/>
      </c>
      <c r="K380">
        <f>IF($L380="","",IF(INDEX(tblRegistros[Data],$L380)&gt;$D$4,"",IFERROR(INDEX(tblRegistros[Observação],$L380),"")))</f>
        <v/>
      </c>
      <c r="L380" s="16">
        <f>IFERROR(MATCH($B$3*100000+COUNTIFS(tblRegistros[ID],$B$3,tblRegistros[Data],"&lt;"&amp;$B$4)+ROWS($L$10:L380),tblRegistros[Chave do cartão],0),"")</f>
        <v/>
      </c>
    </row>
    <row r="381">
      <c r="A381" s="2">
        <f>IF($L381="","",IF(INDEX(tblRegistros[Data],$L381)&gt;$D$4,"",IFERROR(INDEX(tblRegistros[Data],$L381),"")))</f>
        <v/>
      </c>
      <c r="B381">
        <f>IF($L381="","",IF(INDEX(tblRegistros[Data],$L381)&gt;$D$4,"",IFERROR(INDEX(tblRegistros[Projeto],$L381),"")))</f>
        <v/>
      </c>
      <c r="C381">
        <f>IF($L381="","",IF(INDEX(tblRegistros[Data],$L381)&gt;$D$4,"",IFERROR(INDEX(tblRegistros[Atividade],$L381),"")))</f>
        <v/>
      </c>
      <c r="D381" s="4">
        <f>IF($L381="","",IF(INDEX(tblRegistros[Data],$L381)&gt;$D$4,"",IFERROR(INDEX(tblRegistros[Início],$L381),"")))</f>
        <v/>
      </c>
      <c r="E381" s="4">
        <f>IF($L381="","",IF(INDEX(tblRegistros[Data],$L381)&gt;$D$4,"",IFERROR(IF(INDEX(tblRegistros[Status],$L381)="EM ABERTO","",INDEX(tblRegistros[Fim],$L381)),"")))</f>
        <v/>
      </c>
      <c r="F381" s="14">
        <f>IF($L381="","",IF(INDEX(tblRegistros[Data],$L381)&gt;$D$4,"",IFERROR(IF(INDEX(tblRegistros[Status],$L381)="EM ABERTO","",INDEX(tblRegistros[Horas],$L381)),"")))</f>
        <v/>
      </c>
      <c r="G381">
        <f>IF($L381="","",IF(INDEX(tblRegistros[Data],$L381)&gt;$D$4,"",IFERROR(INDEX(tblRegistros[Base],$L381),"")))</f>
        <v/>
      </c>
      <c r="H381" s="3">
        <f>IF($L381="","",IF(INDEX(tblRegistros[Data],$L381)&gt;$D$4,"",IFERROR(INDEX(tblRegistros[Taxa aplicada],$L381),"")))</f>
        <v/>
      </c>
      <c r="I381" s="3">
        <f>IF($L381="","",IF(INDEX(tblRegistros[Data],$L381)&gt;$D$4,"",IFERROR(IF(INDEX(tblRegistros[Status],$L381)="EM ABERTO","",INDEX(tblRegistros[Valor],$L381)),"")))</f>
        <v/>
      </c>
      <c r="J381">
        <f>IF($L381="","",IF(INDEX(tblRegistros[Data],$L381)&gt;$D$4,"",IFERROR(INDEX(tblRegistros[Status],$L381),"")))</f>
        <v/>
      </c>
      <c r="K381">
        <f>IF($L381="","",IF(INDEX(tblRegistros[Data],$L381)&gt;$D$4,"",IFERROR(INDEX(tblRegistros[Observação],$L381),"")))</f>
        <v/>
      </c>
      <c r="L381" s="16">
        <f>IFERROR(MATCH($B$3*100000+COUNTIFS(tblRegistros[ID],$B$3,tblRegistros[Data],"&lt;"&amp;$B$4)+ROWS($L$10:L381),tblRegistros[Chave do cartão],0),"")</f>
        <v/>
      </c>
    </row>
    <row r="382">
      <c r="A382" s="2">
        <f>IF($L382="","",IF(INDEX(tblRegistros[Data],$L382)&gt;$D$4,"",IFERROR(INDEX(tblRegistros[Data],$L382),"")))</f>
        <v/>
      </c>
      <c r="B382">
        <f>IF($L382="","",IF(INDEX(tblRegistros[Data],$L382)&gt;$D$4,"",IFERROR(INDEX(tblRegistros[Projeto],$L382),"")))</f>
        <v/>
      </c>
      <c r="C382">
        <f>IF($L382="","",IF(INDEX(tblRegistros[Data],$L382)&gt;$D$4,"",IFERROR(INDEX(tblRegistros[Atividade],$L382),"")))</f>
        <v/>
      </c>
      <c r="D382" s="4">
        <f>IF($L382="","",IF(INDEX(tblRegistros[Data],$L382)&gt;$D$4,"",IFERROR(INDEX(tblRegistros[Início],$L382),"")))</f>
        <v/>
      </c>
      <c r="E382" s="4">
        <f>IF($L382="","",IF(INDEX(tblRegistros[Data],$L382)&gt;$D$4,"",IFERROR(IF(INDEX(tblRegistros[Status],$L382)="EM ABERTO","",INDEX(tblRegistros[Fim],$L382)),"")))</f>
        <v/>
      </c>
      <c r="F382" s="14">
        <f>IF($L382="","",IF(INDEX(tblRegistros[Data],$L382)&gt;$D$4,"",IFERROR(IF(INDEX(tblRegistros[Status],$L382)="EM ABERTO","",INDEX(tblRegistros[Horas],$L382)),"")))</f>
        <v/>
      </c>
      <c r="G382">
        <f>IF($L382="","",IF(INDEX(tblRegistros[Data],$L382)&gt;$D$4,"",IFERROR(INDEX(tblRegistros[Base],$L382),"")))</f>
        <v/>
      </c>
      <c r="H382" s="3">
        <f>IF($L382="","",IF(INDEX(tblRegistros[Data],$L382)&gt;$D$4,"",IFERROR(INDEX(tblRegistros[Taxa aplicada],$L382),"")))</f>
        <v/>
      </c>
      <c r="I382" s="3">
        <f>IF($L382="","",IF(INDEX(tblRegistros[Data],$L382)&gt;$D$4,"",IFERROR(IF(INDEX(tblRegistros[Status],$L382)="EM ABERTO","",INDEX(tblRegistros[Valor],$L382)),"")))</f>
        <v/>
      </c>
      <c r="J382">
        <f>IF($L382="","",IF(INDEX(tblRegistros[Data],$L382)&gt;$D$4,"",IFERROR(INDEX(tblRegistros[Status],$L382),"")))</f>
        <v/>
      </c>
      <c r="K382">
        <f>IF($L382="","",IF(INDEX(tblRegistros[Data],$L382)&gt;$D$4,"",IFERROR(INDEX(tblRegistros[Observação],$L382),"")))</f>
        <v/>
      </c>
      <c r="L382" s="16">
        <f>IFERROR(MATCH($B$3*100000+COUNTIFS(tblRegistros[ID],$B$3,tblRegistros[Data],"&lt;"&amp;$B$4)+ROWS($L$10:L382),tblRegistros[Chave do cartão],0),"")</f>
        <v/>
      </c>
    </row>
    <row r="383">
      <c r="A383" s="2">
        <f>IF($L383="","",IF(INDEX(tblRegistros[Data],$L383)&gt;$D$4,"",IFERROR(INDEX(tblRegistros[Data],$L383),"")))</f>
        <v/>
      </c>
      <c r="B383">
        <f>IF($L383="","",IF(INDEX(tblRegistros[Data],$L383)&gt;$D$4,"",IFERROR(INDEX(tblRegistros[Projeto],$L383),"")))</f>
        <v/>
      </c>
      <c r="C383">
        <f>IF($L383="","",IF(INDEX(tblRegistros[Data],$L383)&gt;$D$4,"",IFERROR(INDEX(tblRegistros[Atividade],$L383),"")))</f>
        <v/>
      </c>
      <c r="D383" s="4">
        <f>IF($L383="","",IF(INDEX(tblRegistros[Data],$L383)&gt;$D$4,"",IFERROR(INDEX(tblRegistros[Início],$L383),"")))</f>
        <v/>
      </c>
      <c r="E383" s="4">
        <f>IF($L383="","",IF(INDEX(tblRegistros[Data],$L383)&gt;$D$4,"",IFERROR(IF(INDEX(tblRegistros[Status],$L383)="EM ABERTO","",INDEX(tblRegistros[Fim],$L383)),"")))</f>
        <v/>
      </c>
      <c r="F383" s="14">
        <f>IF($L383="","",IF(INDEX(tblRegistros[Data],$L383)&gt;$D$4,"",IFERROR(IF(INDEX(tblRegistros[Status],$L383)="EM ABERTO","",INDEX(tblRegistros[Horas],$L383)),"")))</f>
        <v/>
      </c>
      <c r="G383">
        <f>IF($L383="","",IF(INDEX(tblRegistros[Data],$L383)&gt;$D$4,"",IFERROR(INDEX(tblRegistros[Base],$L383),"")))</f>
        <v/>
      </c>
      <c r="H383" s="3">
        <f>IF($L383="","",IF(INDEX(tblRegistros[Data],$L383)&gt;$D$4,"",IFERROR(INDEX(tblRegistros[Taxa aplicada],$L383),"")))</f>
        <v/>
      </c>
      <c r="I383" s="3">
        <f>IF($L383="","",IF(INDEX(tblRegistros[Data],$L383)&gt;$D$4,"",IFERROR(IF(INDEX(tblRegistros[Status],$L383)="EM ABERTO","",INDEX(tblRegistros[Valor],$L383)),"")))</f>
        <v/>
      </c>
      <c r="J383">
        <f>IF($L383="","",IF(INDEX(tblRegistros[Data],$L383)&gt;$D$4,"",IFERROR(INDEX(tblRegistros[Status],$L383),"")))</f>
        <v/>
      </c>
      <c r="K383">
        <f>IF($L383="","",IF(INDEX(tblRegistros[Data],$L383)&gt;$D$4,"",IFERROR(INDEX(tblRegistros[Observação],$L383),"")))</f>
        <v/>
      </c>
      <c r="L383" s="16">
        <f>IFERROR(MATCH($B$3*100000+COUNTIFS(tblRegistros[ID],$B$3,tblRegistros[Data],"&lt;"&amp;$B$4)+ROWS($L$10:L383),tblRegistros[Chave do cartão],0),"")</f>
        <v/>
      </c>
    </row>
    <row r="384">
      <c r="A384" s="2">
        <f>IF($L384="","",IF(INDEX(tblRegistros[Data],$L384)&gt;$D$4,"",IFERROR(INDEX(tblRegistros[Data],$L384),"")))</f>
        <v/>
      </c>
      <c r="B384">
        <f>IF($L384="","",IF(INDEX(tblRegistros[Data],$L384)&gt;$D$4,"",IFERROR(INDEX(tblRegistros[Projeto],$L384),"")))</f>
        <v/>
      </c>
      <c r="C384">
        <f>IF($L384="","",IF(INDEX(tblRegistros[Data],$L384)&gt;$D$4,"",IFERROR(INDEX(tblRegistros[Atividade],$L384),"")))</f>
        <v/>
      </c>
      <c r="D384" s="4">
        <f>IF($L384="","",IF(INDEX(tblRegistros[Data],$L384)&gt;$D$4,"",IFERROR(INDEX(tblRegistros[Início],$L384),"")))</f>
        <v/>
      </c>
      <c r="E384" s="4">
        <f>IF($L384="","",IF(INDEX(tblRegistros[Data],$L384)&gt;$D$4,"",IFERROR(IF(INDEX(tblRegistros[Status],$L384)="EM ABERTO","",INDEX(tblRegistros[Fim],$L384)),"")))</f>
        <v/>
      </c>
      <c r="F384" s="14">
        <f>IF($L384="","",IF(INDEX(tblRegistros[Data],$L384)&gt;$D$4,"",IFERROR(IF(INDEX(tblRegistros[Status],$L384)="EM ABERTO","",INDEX(tblRegistros[Horas],$L384)),"")))</f>
        <v/>
      </c>
      <c r="G384">
        <f>IF($L384="","",IF(INDEX(tblRegistros[Data],$L384)&gt;$D$4,"",IFERROR(INDEX(tblRegistros[Base],$L384),"")))</f>
        <v/>
      </c>
      <c r="H384" s="3">
        <f>IF($L384="","",IF(INDEX(tblRegistros[Data],$L384)&gt;$D$4,"",IFERROR(INDEX(tblRegistros[Taxa aplicada],$L384),"")))</f>
        <v/>
      </c>
      <c r="I384" s="3">
        <f>IF($L384="","",IF(INDEX(tblRegistros[Data],$L384)&gt;$D$4,"",IFERROR(IF(INDEX(tblRegistros[Status],$L384)="EM ABERTO","",INDEX(tblRegistros[Valor],$L384)),"")))</f>
        <v/>
      </c>
      <c r="J384">
        <f>IF($L384="","",IF(INDEX(tblRegistros[Data],$L384)&gt;$D$4,"",IFERROR(INDEX(tblRegistros[Status],$L384),"")))</f>
        <v/>
      </c>
      <c r="K384">
        <f>IF($L384="","",IF(INDEX(tblRegistros[Data],$L384)&gt;$D$4,"",IFERROR(INDEX(tblRegistros[Observação],$L384),"")))</f>
        <v/>
      </c>
      <c r="L384" s="16">
        <f>IFERROR(MATCH($B$3*100000+COUNTIFS(tblRegistros[ID],$B$3,tblRegistros[Data],"&lt;"&amp;$B$4)+ROWS($L$10:L384),tblRegistros[Chave do cartão],0),"")</f>
        <v/>
      </c>
    </row>
    <row r="385">
      <c r="A385" s="2">
        <f>IF($L385="","",IF(INDEX(tblRegistros[Data],$L385)&gt;$D$4,"",IFERROR(INDEX(tblRegistros[Data],$L385),"")))</f>
        <v/>
      </c>
      <c r="B385">
        <f>IF($L385="","",IF(INDEX(tblRegistros[Data],$L385)&gt;$D$4,"",IFERROR(INDEX(tblRegistros[Projeto],$L385),"")))</f>
        <v/>
      </c>
      <c r="C385">
        <f>IF($L385="","",IF(INDEX(tblRegistros[Data],$L385)&gt;$D$4,"",IFERROR(INDEX(tblRegistros[Atividade],$L385),"")))</f>
        <v/>
      </c>
      <c r="D385" s="4">
        <f>IF($L385="","",IF(INDEX(tblRegistros[Data],$L385)&gt;$D$4,"",IFERROR(INDEX(tblRegistros[Início],$L385),"")))</f>
        <v/>
      </c>
      <c r="E385" s="4">
        <f>IF($L385="","",IF(INDEX(tblRegistros[Data],$L385)&gt;$D$4,"",IFERROR(IF(INDEX(tblRegistros[Status],$L385)="EM ABERTO","",INDEX(tblRegistros[Fim],$L385)),"")))</f>
        <v/>
      </c>
      <c r="F385" s="14">
        <f>IF($L385="","",IF(INDEX(tblRegistros[Data],$L385)&gt;$D$4,"",IFERROR(IF(INDEX(tblRegistros[Status],$L385)="EM ABERTO","",INDEX(tblRegistros[Horas],$L385)),"")))</f>
        <v/>
      </c>
      <c r="G385">
        <f>IF($L385="","",IF(INDEX(tblRegistros[Data],$L385)&gt;$D$4,"",IFERROR(INDEX(tblRegistros[Base],$L385),"")))</f>
        <v/>
      </c>
      <c r="H385" s="3">
        <f>IF($L385="","",IF(INDEX(tblRegistros[Data],$L385)&gt;$D$4,"",IFERROR(INDEX(tblRegistros[Taxa aplicada],$L385),"")))</f>
        <v/>
      </c>
      <c r="I385" s="3">
        <f>IF($L385="","",IF(INDEX(tblRegistros[Data],$L385)&gt;$D$4,"",IFERROR(IF(INDEX(tblRegistros[Status],$L385)="EM ABERTO","",INDEX(tblRegistros[Valor],$L385)),"")))</f>
        <v/>
      </c>
      <c r="J385">
        <f>IF($L385="","",IF(INDEX(tblRegistros[Data],$L385)&gt;$D$4,"",IFERROR(INDEX(tblRegistros[Status],$L385),"")))</f>
        <v/>
      </c>
      <c r="K385">
        <f>IF($L385="","",IF(INDEX(tblRegistros[Data],$L385)&gt;$D$4,"",IFERROR(INDEX(tblRegistros[Observação],$L385),"")))</f>
        <v/>
      </c>
      <c r="L385" s="16">
        <f>IFERROR(MATCH($B$3*100000+COUNTIFS(tblRegistros[ID],$B$3,tblRegistros[Data],"&lt;"&amp;$B$4)+ROWS($L$10:L385),tblRegistros[Chave do cartão],0),"")</f>
        <v/>
      </c>
    </row>
    <row r="386">
      <c r="A386" s="2">
        <f>IF($L386="","",IF(INDEX(tblRegistros[Data],$L386)&gt;$D$4,"",IFERROR(INDEX(tblRegistros[Data],$L386),"")))</f>
        <v/>
      </c>
      <c r="B386">
        <f>IF($L386="","",IF(INDEX(tblRegistros[Data],$L386)&gt;$D$4,"",IFERROR(INDEX(tblRegistros[Projeto],$L386),"")))</f>
        <v/>
      </c>
      <c r="C386">
        <f>IF($L386="","",IF(INDEX(tblRegistros[Data],$L386)&gt;$D$4,"",IFERROR(INDEX(tblRegistros[Atividade],$L386),"")))</f>
        <v/>
      </c>
      <c r="D386" s="4">
        <f>IF($L386="","",IF(INDEX(tblRegistros[Data],$L386)&gt;$D$4,"",IFERROR(INDEX(tblRegistros[Início],$L386),"")))</f>
        <v/>
      </c>
      <c r="E386" s="4">
        <f>IF($L386="","",IF(INDEX(tblRegistros[Data],$L386)&gt;$D$4,"",IFERROR(IF(INDEX(tblRegistros[Status],$L386)="EM ABERTO","",INDEX(tblRegistros[Fim],$L386)),"")))</f>
        <v/>
      </c>
      <c r="F386" s="14">
        <f>IF($L386="","",IF(INDEX(tblRegistros[Data],$L386)&gt;$D$4,"",IFERROR(IF(INDEX(tblRegistros[Status],$L386)="EM ABERTO","",INDEX(tblRegistros[Horas],$L386)),"")))</f>
        <v/>
      </c>
      <c r="G386">
        <f>IF($L386="","",IF(INDEX(tblRegistros[Data],$L386)&gt;$D$4,"",IFERROR(INDEX(tblRegistros[Base],$L386),"")))</f>
        <v/>
      </c>
      <c r="H386" s="3">
        <f>IF($L386="","",IF(INDEX(tblRegistros[Data],$L386)&gt;$D$4,"",IFERROR(INDEX(tblRegistros[Taxa aplicada],$L386),"")))</f>
        <v/>
      </c>
      <c r="I386" s="3">
        <f>IF($L386="","",IF(INDEX(tblRegistros[Data],$L386)&gt;$D$4,"",IFERROR(IF(INDEX(tblRegistros[Status],$L386)="EM ABERTO","",INDEX(tblRegistros[Valor],$L386)),"")))</f>
        <v/>
      </c>
      <c r="J386">
        <f>IF($L386="","",IF(INDEX(tblRegistros[Data],$L386)&gt;$D$4,"",IFERROR(INDEX(tblRegistros[Status],$L386),"")))</f>
        <v/>
      </c>
      <c r="K386">
        <f>IF($L386="","",IF(INDEX(tblRegistros[Data],$L386)&gt;$D$4,"",IFERROR(INDEX(tblRegistros[Observação],$L386),"")))</f>
        <v/>
      </c>
      <c r="L386" s="16">
        <f>IFERROR(MATCH($B$3*100000+COUNTIFS(tblRegistros[ID],$B$3,tblRegistros[Data],"&lt;"&amp;$B$4)+ROWS($L$10:L386),tblRegistros[Chave do cartão],0),"")</f>
        <v/>
      </c>
    </row>
    <row r="387">
      <c r="A387" s="2">
        <f>IF($L387="","",IF(INDEX(tblRegistros[Data],$L387)&gt;$D$4,"",IFERROR(INDEX(tblRegistros[Data],$L387),"")))</f>
        <v/>
      </c>
      <c r="B387">
        <f>IF($L387="","",IF(INDEX(tblRegistros[Data],$L387)&gt;$D$4,"",IFERROR(INDEX(tblRegistros[Projeto],$L387),"")))</f>
        <v/>
      </c>
      <c r="C387">
        <f>IF($L387="","",IF(INDEX(tblRegistros[Data],$L387)&gt;$D$4,"",IFERROR(INDEX(tblRegistros[Atividade],$L387),"")))</f>
        <v/>
      </c>
      <c r="D387" s="4">
        <f>IF($L387="","",IF(INDEX(tblRegistros[Data],$L387)&gt;$D$4,"",IFERROR(INDEX(tblRegistros[Início],$L387),"")))</f>
        <v/>
      </c>
      <c r="E387" s="4">
        <f>IF($L387="","",IF(INDEX(tblRegistros[Data],$L387)&gt;$D$4,"",IFERROR(IF(INDEX(tblRegistros[Status],$L387)="EM ABERTO","",INDEX(tblRegistros[Fim],$L387)),"")))</f>
        <v/>
      </c>
      <c r="F387" s="14">
        <f>IF($L387="","",IF(INDEX(tblRegistros[Data],$L387)&gt;$D$4,"",IFERROR(IF(INDEX(tblRegistros[Status],$L387)="EM ABERTO","",INDEX(tblRegistros[Horas],$L387)),"")))</f>
        <v/>
      </c>
      <c r="G387">
        <f>IF($L387="","",IF(INDEX(tblRegistros[Data],$L387)&gt;$D$4,"",IFERROR(INDEX(tblRegistros[Base],$L387),"")))</f>
        <v/>
      </c>
      <c r="H387" s="3">
        <f>IF($L387="","",IF(INDEX(tblRegistros[Data],$L387)&gt;$D$4,"",IFERROR(INDEX(tblRegistros[Taxa aplicada],$L387),"")))</f>
        <v/>
      </c>
      <c r="I387" s="3">
        <f>IF($L387="","",IF(INDEX(tblRegistros[Data],$L387)&gt;$D$4,"",IFERROR(IF(INDEX(tblRegistros[Status],$L387)="EM ABERTO","",INDEX(tblRegistros[Valor],$L387)),"")))</f>
        <v/>
      </c>
      <c r="J387">
        <f>IF($L387="","",IF(INDEX(tblRegistros[Data],$L387)&gt;$D$4,"",IFERROR(INDEX(tblRegistros[Status],$L387),"")))</f>
        <v/>
      </c>
      <c r="K387">
        <f>IF($L387="","",IF(INDEX(tblRegistros[Data],$L387)&gt;$D$4,"",IFERROR(INDEX(tblRegistros[Observação],$L387),"")))</f>
        <v/>
      </c>
      <c r="L387" s="16">
        <f>IFERROR(MATCH($B$3*100000+COUNTIFS(tblRegistros[ID],$B$3,tblRegistros[Data],"&lt;"&amp;$B$4)+ROWS($L$10:L387),tblRegistros[Chave do cartão],0),"")</f>
        <v/>
      </c>
    </row>
    <row r="388">
      <c r="A388" s="2">
        <f>IF($L388="","",IF(INDEX(tblRegistros[Data],$L388)&gt;$D$4,"",IFERROR(INDEX(tblRegistros[Data],$L388),"")))</f>
        <v/>
      </c>
      <c r="B388">
        <f>IF($L388="","",IF(INDEX(tblRegistros[Data],$L388)&gt;$D$4,"",IFERROR(INDEX(tblRegistros[Projeto],$L388),"")))</f>
        <v/>
      </c>
      <c r="C388">
        <f>IF($L388="","",IF(INDEX(tblRegistros[Data],$L388)&gt;$D$4,"",IFERROR(INDEX(tblRegistros[Atividade],$L388),"")))</f>
        <v/>
      </c>
      <c r="D388" s="4">
        <f>IF($L388="","",IF(INDEX(tblRegistros[Data],$L388)&gt;$D$4,"",IFERROR(INDEX(tblRegistros[Início],$L388),"")))</f>
        <v/>
      </c>
      <c r="E388" s="4">
        <f>IF($L388="","",IF(INDEX(tblRegistros[Data],$L388)&gt;$D$4,"",IFERROR(IF(INDEX(tblRegistros[Status],$L388)="EM ABERTO","",INDEX(tblRegistros[Fim],$L388)),"")))</f>
        <v/>
      </c>
      <c r="F388" s="14">
        <f>IF($L388="","",IF(INDEX(tblRegistros[Data],$L388)&gt;$D$4,"",IFERROR(IF(INDEX(tblRegistros[Status],$L388)="EM ABERTO","",INDEX(tblRegistros[Horas],$L388)),"")))</f>
        <v/>
      </c>
      <c r="G388">
        <f>IF($L388="","",IF(INDEX(tblRegistros[Data],$L388)&gt;$D$4,"",IFERROR(INDEX(tblRegistros[Base],$L388),"")))</f>
        <v/>
      </c>
      <c r="H388" s="3">
        <f>IF($L388="","",IF(INDEX(tblRegistros[Data],$L388)&gt;$D$4,"",IFERROR(INDEX(tblRegistros[Taxa aplicada],$L388),"")))</f>
        <v/>
      </c>
      <c r="I388" s="3">
        <f>IF($L388="","",IF(INDEX(tblRegistros[Data],$L388)&gt;$D$4,"",IFERROR(IF(INDEX(tblRegistros[Status],$L388)="EM ABERTO","",INDEX(tblRegistros[Valor],$L388)),"")))</f>
        <v/>
      </c>
      <c r="J388">
        <f>IF($L388="","",IF(INDEX(tblRegistros[Data],$L388)&gt;$D$4,"",IFERROR(INDEX(tblRegistros[Status],$L388),"")))</f>
        <v/>
      </c>
      <c r="K388">
        <f>IF($L388="","",IF(INDEX(tblRegistros[Data],$L388)&gt;$D$4,"",IFERROR(INDEX(tblRegistros[Observação],$L388),"")))</f>
        <v/>
      </c>
      <c r="L388" s="16">
        <f>IFERROR(MATCH($B$3*100000+COUNTIFS(tblRegistros[ID],$B$3,tblRegistros[Data],"&lt;"&amp;$B$4)+ROWS($L$10:L388),tblRegistros[Chave do cartão],0),"")</f>
        <v/>
      </c>
    </row>
    <row r="389">
      <c r="A389" s="2">
        <f>IF($L389="","",IF(INDEX(tblRegistros[Data],$L389)&gt;$D$4,"",IFERROR(INDEX(tblRegistros[Data],$L389),"")))</f>
        <v/>
      </c>
      <c r="B389">
        <f>IF($L389="","",IF(INDEX(tblRegistros[Data],$L389)&gt;$D$4,"",IFERROR(INDEX(tblRegistros[Projeto],$L389),"")))</f>
        <v/>
      </c>
      <c r="C389">
        <f>IF($L389="","",IF(INDEX(tblRegistros[Data],$L389)&gt;$D$4,"",IFERROR(INDEX(tblRegistros[Atividade],$L389),"")))</f>
        <v/>
      </c>
      <c r="D389" s="4">
        <f>IF($L389="","",IF(INDEX(tblRegistros[Data],$L389)&gt;$D$4,"",IFERROR(INDEX(tblRegistros[Início],$L389),"")))</f>
        <v/>
      </c>
      <c r="E389" s="4">
        <f>IF($L389="","",IF(INDEX(tblRegistros[Data],$L389)&gt;$D$4,"",IFERROR(IF(INDEX(tblRegistros[Status],$L389)="EM ABERTO","",INDEX(tblRegistros[Fim],$L389)),"")))</f>
        <v/>
      </c>
      <c r="F389" s="14">
        <f>IF($L389="","",IF(INDEX(tblRegistros[Data],$L389)&gt;$D$4,"",IFERROR(IF(INDEX(tblRegistros[Status],$L389)="EM ABERTO","",INDEX(tblRegistros[Horas],$L389)),"")))</f>
        <v/>
      </c>
      <c r="G389">
        <f>IF($L389="","",IF(INDEX(tblRegistros[Data],$L389)&gt;$D$4,"",IFERROR(INDEX(tblRegistros[Base],$L389),"")))</f>
        <v/>
      </c>
      <c r="H389" s="3">
        <f>IF($L389="","",IF(INDEX(tblRegistros[Data],$L389)&gt;$D$4,"",IFERROR(INDEX(tblRegistros[Taxa aplicada],$L389),"")))</f>
        <v/>
      </c>
      <c r="I389" s="3">
        <f>IF($L389="","",IF(INDEX(tblRegistros[Data],$L389)&gt;$D$4,"",IFERROR(IF(INDEX(tblRegistros[Status],$L389)="EM ABERTO","",INDEX(tblRegistros[Valor],$L389)),"")))</f>
        <v/>
      </c>
      <c r="J389">
        <f>IF($L389="","",IF(INDEX(tblRegistros[Data],$L389)&gt;$D$4,"",IFERROR(INDEX(tblRegistros[Status],$L389),"")))</f>
        <v/>
      </c>
      <c r="K389">
        <f>IF($L389="","",IF(INDEX(tblRegistros[Data],$L389)&gt;$D$4,"",IFERROR(INDEX(tblRegistros[Observação],$L389),"")))</f>
        <v/>
      </c>
      <c r="L389" s="16">
        <f>IFERROR(MATCH($B$3*100000+COUNTIFS(tblRegistros[ID],$B$3,tblRegistros[Data],"&lt;"&amp;$B$4)+ROWS($L$10:L389),tblRegistros[Chave do cartão],0),"")</f>
        <v/>
      </c>
    </row>
    <row r="390">
      <c r="A390" s="2">
        <f>IF($L390="","",IF(INDEX(tblRegistros[Data],$L390)&gt;$D$4,"",IFERROR(INDEX(tblRegistros[Data],$L390),"")))</f>
        <v/>
      </c>
      <c r="B390">
        <f>IF($L390="","",IF(INDEX(tblRegistros[Data],$L390)&gt;$D$4,"",IFERROR(INDEX(tblRegistros[Projeto],$L390),"")))</f>
        <v/>
      </c>
      <c r="C390">
        <f>IF($L390="","",IF(INDEX(tblRegistros[Data],$L390)&gt;$D$4,"",IFERROR(INDEX(tblRegistros[Atividade],$L390),"")))</f>
        <v/>
      </c>
      <c r="D390" s="4">
        <f>IF($L390="","",IF(INDEX(tblRegistros[Data],$L390)&gt;$D$4,"",IFERROR(INDEX(tblRegistros[Início],$L390),"")))</f>
        <v/>
      </c>
      <c r="E390" s="4">
        <f>IF($L390="","",IF(INDEX(tblRegistros[Data],$L390)&gt;$D$4,"",IFERROR(IF(INDEX(tblRegistros[Status],$L390)="EM ABERTO","",INDEX(tblRegistros[Fim],$L390)),"")))</f>
        <v/>
      </c>
      <c r="F390" s="14">
        <f>IF($L390="","",IF(INDEX(tblRegistros[Data],$L390)&gt;$D$4,"",IFERROR(IF(INDEX(tblRegistros[Status],$L390)="EM ABERTO","",INDEX(tblRegistros[Horas],$L390)),"")))</f>
        <v/>
      </c>
      <c r="G390">
        <f>IF($L390="","",IF(INDEX(tblRegistros[Data],$L390)&gt;$D$4,"",IFERROR(INDEX(tblRegistros[Base],$L390),"")))</f>
        <v/>
      </c>
      <c r="H390" s="3">
        <f>IF($L390="","",IF(INDEX(tblRegistros[Data],$L390)&gt;$D$4,"",IFERROR(INDEX(tblRegistros[Taxa aplicada],$L390),"")))</f>
        <v/>
      </c>
      <c r="I390" s="3">
        <f>IF($L390="","",IF(INDEX(tblRegistros[Data],$L390)&gt;$D$4,"",IFERROR(IF(INDEX(tblRegistros[Status],$L390)="EM ABERTO","",INDEX(tblRegistros[Valor],$L390)),"")))</f>
        <v/>
      </c>
      <c r="J390">
        <f>IF($L390="","",IF(INDEX(tblRegistros[Data],$L390)&gt;$D$4,"",IFERROR(INDEX(tblRegistros[Status],$L390),"")))</f>
        <v/>
      </c>
      <c r="K390">
        <f>IF($L390="","",IF(INDEX(tblRegistros[Data],$L390)&gt;$D$4,"",IFERROR(INDEX(tblRegistros[Observação],$L390),"")))</f>
        <v/>
      </c>
      <c r="L390" s="16">
        <f>IFERROR(MATCH($B$3*100000+COUNTIFS(tblRegistros[ID],$B$3,tblRegistros[Data],"&lt;"&amp;$B$4)+ROWS($L$10:L390),tblRegistros[Chave do cartão],0),"")</f>
        <v/>
      </c>
    </row>
    <row r="391">
      <c r="A391" s="2">
        <f>IF($L391="","",IF(INDEX(tblRegistros[Data],$L391)&gt;$D$4,"",IFERROR(INDEX(tblRegistros[Data],$L391),"")))</f>
        <v/>
      </c>
      <c r="B391">
        <f>IF($L391="","",IF(INDEX(tblRegistros[Data],$L391)&gt;$D$4,"",IFERROR(INDEX(tblRegistros[Projeto],$L391),"")))</f>
        <v/>
      </c>
      <c r="C391">
        <f>IF($L391="","",IF(INDEX(tblRegistros[Data],$L391)&gt;$D$4,"",IFERROR(INDEX(tblRegistros[Atividade],$L391),"")))</f>
        <v/>
      </c>
      <c r="D391" s="4">
        <f>IF($L391="","",IF(INDEX(tblRegistros[Data],$L391)&gt;$D$4,"",IFERROR(INDEX(tblRegistros[Início],$L391),"")))</f>
        <v/>
      </c>
      <c r="E391" s="4">
        <f>IF($L391="","",IF(INDEX(tblRegistros[Data],$L391)&gt;$D$4,"",IFERROR(IF(INDEX(tblRegistros[Status],$L391)="EM ABERTO","",INDEX(tblRegistros[Fim],$L391)),"")))</f>
        <v/>
      </c>
      <c r="F391" s="14">
        <f>IF($L391="","",IF(INDEX(tblRegistros[Data],$L391)&gt;$D$4,"",IFERROR(IF(INDEX(tblRegistros[Status],$L391)="EM ABERTO","",INDEX(tblRegistros[Horas],$L391)),"")))</f>
        <v/>
      </c>
      <c r="G391">
        <f>IF($L391="","",IF(INDEX(tblRegistros[Data],$L391)&gt;$D$4,"",IFERROR(INDEX(tblRegistros[Base],$L391),"")))</f>
        <v/>
      </c>
      <c r="H391" s="3">
        <f>IF($L391="","",IF(INDEX(tblRegistros[Data],$L391)&gt;$D$4,"",IFERROR(INDEX(tblRegistros[Taxa aplicada],$L391),"")))</f>
        <v/>
      </c>
      <c r="I391" s="3">
        <f>IF($L391="","",IF(INDEX(tblRegistros[Data],$L391)&gt;$D$4,"",IFERROR(IF(INDEX(tblRegistros[Status],$L391)="EM ABERTO","",INDEX(tblRegistros[Valor],$L391)),"")))</f>
        <v/>
      </c>
      <c r="J391">
        <f>IF($L391="","",IF(INDEX(tblRegistros[Data],$L391)&gt;$D$4,"",IFERROR(INDEX(tblRegistros[Status],$L391),"")))</f>
        <v/>
      </c>
      <c r="K391">
        <f>IF($L391="","",IF(INDEX(tblRegistros[Data],$L391)&gt;$D$4,"",IFERROR(INDEX(tblRegistros[Observação],$L391),"")))</f>
        <v/>
      </c>
      <c r="L391" s="16">
        <f>IFERROR(MATCH($B$3*100000+COUNTIFS(tblRegistros[ID],$B$3,tblRegistros[Data],"&lt;"&amp;$B$4)+ROWS($L$10:L391),tblRegistros[Chave do cartão],0),"")</f>
        <v/>
      </c>
    </row>
    <row r="392">
      <c r="A392" s="2">
        <f>IF($L392="","",IF(INDEX(tblRegistros[Data],$L392)&gt;$D$4,"",IFERROR(INDEX(tblRegistros[Data],$L392),"")))</f>
        <v/>
      </c>
      <c r="B392">
        <f>IF($L392="","",IF(INDEX(tblRegistros[Data],$L392)&gt;$D$4,"",IFERROR(INDEX(tblRegistros[Projeto],$L392),"")))</f>
        <v/>
      </c>
      <c r="C392">
        <f>IF($L392="","",IF(INDEX(tblRegistros[Data],$L392)&gt;$D$4,"",IFERROR(INDEX(tblRegistros[Atividade],$L392),"")))</f>
        <v/>
      </c>
      <c r="D392" s="4">
        <f>IF($L392="","",IF(INDEX(tblRegistros[Data],$L392)&gt;$D$4,"",IFERROR(INDEX(tblRegistros[Início],$L392),"")))</f>
        <v/>
      </c>
      <c r="E392" s="4">
        <f>IF($L392="","",IF(INDEX(tblRegistros[Data],$L392)&gt;$D$4,"",IFERROR(IF(INDEX(tblRegistros[Status],$L392)="EM ABERTO","",INDEX(tblRegistros[Fim],$L392)),"")))</f>
        <v/>
      </c>
      <c r="F392" s="14">
        <f>IF($L392="","",IF(INDEX(tblRegistros[Data],$L392)&gt;$D$4,"",IFERROR(IF(INDEX(tblRegistros[Status],$L392)="EM ABERTO","",INDEX(tblRegistros[Horas],$L392)),"")))</f>
        <v/>
      </c>
      <c r="G392">
        <f>IF($L392="","",IF(INDEX(tblRegistros[Data],$L392)&gt;$D$4,"",IFERROR(INDEX(tblRegistros[Base],$L392),"")))</f>
        <v/>
      </c>
      <c r="H392" s="3">
        <f>IF($L392="","",IF(INDEX(tblRegistros[Data],$L392)&gt;$D$4,"",IFERROR(INDEX(tblRegistros[Taxa aplicada],$L392),"")))</f>
        <v/>
      </c>
      <c r="I392" s="3">
        <f>IF($L392="","",IF(INDEX(tblRegistros[Data],$L392)&gt;$D$4,"",IFERROR(IF(INDEX(tblRegistros[Status],$L392)="EM ABERTO","",INDEX(tblRegistros[Valor],$L392)),"")))</f>
        <v/>
      </c>
      <c r="J392">
        <f>IF($L392="","",IF(INDEX(tblRegistros[Data],$L392)&gt;$D$4,"",IFERROR(INDEX(tblRegistros[Status],$L392),"")))</f>
        <v/>
      </c>
      <c r="K392">
        <f>IF($L392="","",IF(INDEX(tblRegistros[Data],$L392)&gt;$D$4,"",IFERROR(INDEX(tblRegistros[Observação],$L392),"")))</f>
        <v/>
      </c>
      <c r="L392" s="16">
        <f>IFERROR(MATCH($B$3*100000+COUNTIFS(tblRegistros[ID],$B$3,tblRegistros[Data],"&lt;"&amp;$B$4)+ROWS($L$10:L392),tblRegistros[Chave do cartão],0),"")</f>
        <v/>
      </c>
    </row>
    <row r="393">
      <c r="A393" s="2">
        <f>IF($L393="","",IF(INDEX(tblRegistros[Data],$L393)&gt;$D$4,"",IFERROR(INDEX(tblRegistros[Data],$L393),"")))</f>
        <v/>
      </c>
      <c r="B393">
        <f>IF($L393="","",IF(INDEX(tblRegistros[Data],$L393)&gt;$D$4,"",IFERROR(INDEX(tblRegistros[Projeto],$L393),"")))</f>
        <v/>
      </c>
      <c r="C393">
        <f>IF($L393="","",IF(INDEX(tblRegistros[Data],$L393)&gt;$D$4,"",IFERROR(INDEX(tblRegistros[Atividade],$L393),"")))</f>
        <v/>
      </c>
      <c r="D393" s="4">
        <f>IF($L393="","",IF(INDEX(tblRegistros[Data],$L393)&gt;$D$4,"",IFERROR(INDEX(tblRegistros[Início],$L393),"")))</f>
        <v/>
      </c>
      <c r="E393" s="4">
        <f>IF($L393="","",IF(INDEX(tblRegistros[Data],$L393)&gt;$D$4,"",IFERROR(IF(INDEX(tblRegistros[Status],$L393)="EM ABERTO","",INDEX(tblRegistros[Fim],$L393)),"")))</f>
        <v/>
      </c>
      <c r="F393" s="14">
        <f>IF($L393="","",IF(INDEX(tblRegistros[Data],$L393)&gt;$D$4,"",IFERROR(IF(INDEX(tblRegistros[Status],$L393)="EM ABERTO","",INDEX(tblRegistros[Horas],$L393)),"")))</f>
        <v/>
      </c>
      <c r="G393">
        <f>IF($L393="","",IF(INDEX(tblRegistros[Data],$L393)&gt;$D$4,"",IFERROR(INDEX(tblRegistros[Base],$L393),"")))</f>
        <v/>
      </c>
      <c r="H393" s="3">
        <f>IF($L393="","",IF(INDEX(tblRegistros[Data],$L393)&gt;$D$4,"",IFERROR(INDEX(tblRegistros[Taxa aplicada],$L393),"")))</f>
        <v/>
      </c>
      <c r="I393" s="3">
        <f>IF($L393="","",IF(INDEX(tblRegistros[Data],$L393)&gt;$D$4,"",IFERROR(IF(INDEX(tblRegistros[Status],$L393)="EM ABERTO","",INDEX(tblRegistros[Valor],$L393)),"")))</f>
        <v/>
      </c>
      <c r="J393">
        <f>IF($L393="","",IF(INDEX(tblRegistros[Data],$L393)&gt;$D$4,"",IFERROR(INDEX(tblRegistros[Status],$L393),"")))</f>
        <v/>
      </c>
      <c r="K393">
        <f>IF($L393="","",IF(INDEX(tblRegistros[Data],$L393)&gt;$D$4,"",IFERROR(INDEX(tblRegistros[Observação],$L393),"")))</f>
        <v/>
      </c>
      <c r="L393" s="16">
        <f>IFERROR(MATCH($B$3*100000+COUNTIFS(tblRegistros[ID],$B$3,tblRegistros[Data],"&lt;"&amp;$B$4)+ROWS($L$10:L393),tblRegistros[Chave do cartão],0),"")</f>
        <v/>
      </c>
    </row>
    <row r="394">
      <c r="A394" s="2">
        <f>IF($L394="","",IF(INDEX(tblRegistros[Data],$L394)&gt;$D$4,"",IFERROR(INDEX(tblRegistros[Data],$L394),"")))</f>
        <v/>
      </c>
      <c r="B394">
        <f>IF($L394="","",IF(INDEX(tblRegistros[Data],$L394)&gt;$D$4,"",IFERROR(INDEX(tblRegistros[Projeto],$L394),"")))</f>
        <v/>
      </c>
      <c r="C394">
        <f>IF($L394="","",IF(INDEX(tblRegistros[Data],$L394)&gt;$D$4,"",IFERROR(INDEX(tblRegistros[Atividade],$L394),"")))</f>
        <v/>
      </c>
      <c r="D394" s="4">
        <f>IF($L394="","",IF(INDEX(tblRegistros[Data],$L394)&gt;$D$4,"",IFERROR(INDEX(tblRegistros[Início],$L394),"")))</f>
        <v/>
      </c>
      <c r="E394" s="4">
        <f>IF($L394="","",IF(INDEX(tblRegistros[Data],$L394)&gt;$D$4,"",IFERROR(IF(INDEX(tblRegistros[Status],$L394)="EM ABERTO","",INDEX(tblRegistros[Fim],$L394)),"")))</f>
        <v/>
      </c>
      <c r="F394" s="14">
        <f>IF($L394="","",IF(INDEX(tblRegistros[Data],$L394)&gt;$D$4,"",IFERROR(IF(INDEX(tblRegistros[Status],$L394)="EM ABERTO","",INDEX(tblRegistros[Horas],$L394)),"")))</f>
        <v/>
      </c>
      <c r="G394">
        <f>IF($L394="","",IF(INDEX(tblRegistros[Data],$L394)&gt;$D$4,"",IFERROR(INDEX(tblRegistros[Base],$L394),"")))</f>
        <v/>
      </c>
      <c r="H394" s="3">
        <f>IF($L394="","",IF(INDEX(tblRegistros[Data],$L394)&gt;$D$4,"",IFERROR(INDEX(tblRegistros[Taxa aplicada],$L394),"")))</f>
        <v/>
      </c>
      <c r="I394" s="3">
        <f>IF($L394="","",IF(INDEX(tblRegistros[Data],$L394)&gt;$D$4,"",IFERROR(IF(INDEX(tblRegistros[Status],$L394)="EM ABERTO","",INDEX(tblRegistros[Valor],$L394)),"")))</f>
        <v/>
      </c>
      <c r="J394">
        <f>IF($L394="","",IF(INDEX(tblRegistros[Data],$L394)&gt;$D$4,"",IFERROR(INDEX(tblRegistros[Status],$L394),"")))</f>
        <v/>
      </c>
      <c r="K394">
        <f>IF($L394="","",IF(INDEX(tblRegistros[Data],$L394)&gt;$D$4,"",IFERROR(INDEX(tblRegistros[Observação],$L394),"")))</f>
        <v/>
      </c>
      <c r="L394" s="16">
        <f>IFERROR(MATCH($B$3*100000+COUNTIFS(tblRegistros[ID],$B$3,tblRegistros[Data],"&lt;"&amp;$B$4)+ROWS($L$10:L394),tblRegistros[Chave do cartão],0),"")</f>
        <v/>
      </c>
    </row>
    <row r="395">
      <c r="A395" s="2">
        <f>IF($L395="","",IF(INDEX(tblRegistros[Data],$L395)&gt;$D$4,"",IFERROR(INDEX(tblRegistros[Data],$L395),"")))</f>
        <v/>
      </c>
      <c r="B395">
        <f>IF($L395="","",IF(INDEX(tblRegistros[Data],$L395)&gt;$D$4,"",IFERROR(INDEX(tblRegistros[Projeto],$L395),"")))</f>
        <v/>
      </c>
      <c r="C395">
        <f>IF($L395="","",IF(INDEX(tblRegistros[Data],$L395)&gt;$D$4,"",IFERROR(INDEX(tblRegistros[Atividade],$L395),"")))</f>
        <v/>
      </c>
      <c r="D395" s="4">
        <f>IF($L395="","",IF(INDEX(tblRegistros[Data],$L395)&gt;$D$4,"",IFERROR(INDEX(tblRegistros[Início],$L395),"")))</f>
        <v/>
      </c>
      <c r="E395" s="4">
        <f>IF($L395="","",IF(INDEX(tblRegistros[Data],$L395)&gt;$D$4,"",IFERROR(IF(INDEX(tblRegistros[Status],$L395)="EM ABERTO","",INDEX(tblRegistros[Fim],$L395)),"")))</f>
        <v/>
      </c>
      <c r="F395" s="14">
        <f>IF($L395="","",IF(INDEX(tblRegistros[Data],$L395)&gt;$D$4,"",IFERROR(IF(INDEX(tblRegistros[Status],$L395)="EM ABERTO","",INDEX(tblRegistros[Horas],$L395)),"")))</f>
        <v/>
      </c>
      <c r="G395">
        <f>IF($L395="","",IF(INDEX(tblRegistros[Data],$L395)&gt;$D$4,"",IFERROR(INDEX(tblRegistros[Base],$L395),"")))</f>
        <v/>
      </c>
      <c r="H395" s="3">
        <f>IF($L395="","",IF(INDEX(tblRegistros[Data],$L395)&gt;$D$4,"",IFERROR(INDEX(tblRegistros[Taxa aplicada],$L395),"")))</f>
        <v/>
      </c>
      <c r="I395" s="3">
        <f>IF($L395="","",IF(INDEX(tblRegistros[Data],$L395)&gt;$D$4,"",IFERROR(IF(INDEX(tblRegistros[Status],$L395)="EM ABERTO","",INDEX(tblRegistros[Valor],$L395)),"")))</f>
        <v/>
      </c>
      <c r="J395">
        <f>IF($L395="","",IF(INDEX(tblRegistros[Data],$L395)&gt;$D$4,"",IFERROR(INDEX(tblRegistros[Status],$L395),"")))</f>
        <v/>
      </c>
      <c r="K395">
        <f>IF($L395="","",IF(INDEX(tblRegistros[Data],$L395)&gt;$D$4,"",IFERROR(INDEX(tblRegistros[Observação],$L395),"")))</f>
        <v/>
      </c>
      <c r="L395" s="16">
        <f>IFERROR(MATCH($B$3*100000+COUNTIFS(tblRegistros[ID],$B$3,tblRegistros[Data],"&lt;"&amp;$B$4)+ROWS($L$10:L395),tblRegistros[Chave do cartão],0),"")</f>
        <v/>
      </c>
    </row>
    <row r="396">
      <c r="A396" s="2">
        <f>IF($L396="","",IF(INDEX(tblRegistros[Data],$L396)&gt;$D$4,"",IFERROR(INDEX(tblRegistros[Data],$L396),"")))</f>
        <v/>
      </c>
      <c r="B396">
        <f>IF($L396="","",IF(INDEX(tblRegistros[Data],$L396)&gt;$D$4,"",IFERROR(INDEX(tblRegistros[Projeto],$L396),"")))</f>
        <v/>
      </c>
      <c r="C396">
        <f>IF($L396="","",IF(INDEX(tblRegistros[Data],$L396)&gt;$D$4,"",IFERROR(INDEX(tblRegistros[Atividade],$L396),"")))</f>
        <v/>
      </c>
      <c r="D396" s="4">
        <f>IF($L396="","",IF(INDEX(tblRegistros[Data],$L396)&gt;$D$4,"",IFERROR(INDEX(tblRegistros[Início],$L396),"")))</f>
        <v/>
      </c>
      <c r="E396" s="4">
        <f>IF($L396="","",IF(INDEX(tblRegistros[Data],$L396)&gt;$D$4,"",IFERROR(IF(INDEX(tblRegistros[Status],$L396)="EM ABERTO","",INDEX(tblRegistros[Fim],$L396)),"")))</f>
        <v/>
      </c>
      <c r="F396" s="14">
        <f>IF($L396="","",IF(INDEX(tblRegistros[Data],$L396)&gt;$D$4,"",IFERROR(IF(INDEX(tblRegistros[Status],$L396)="EM ABERTO","",INDEX(tblRegistros[Horas],$L396)),"")))</f>
        <v/>
      </c>
      <c r="G396">
        <f>IF($L396="","",IF(INDEX(tblRegistros[Data],$L396)&gt;$D$4,"",IFERROR(INDEX(tblRegistros[Base],$L396),"")))</f>
        <v/>
      </c>
      <c r="H396" s="3">
        <f>IF($L396="","",IF(INDEX(tblRegistros[Data],$L396)&gt;$D$4,"",IFERROR(INDEX(tblRegistros[Taxa aplicada],$L396),"")))</f>
        <v/>
      </c>
      <c r="I396" s="3">
        <f>IF($L396="","",IF(INDEX(tblRegistros[Data],$L396)&gt;$D$4,"",IFERROR(IF(INDEX(tblRegistros[Status],$L396)="EM ABERTO","",INDEX(tblRegistros[Valor],$L396)),"")))</f>
        <v/>
      </c>
      <c r="J396">
        <f>IF($L396="","",IF(INDEX(tblRegistros[Data],$L396)&gt;$D$4,"",IFERROR(INDEX(tblRegistros[Status],$L396),"")))</f>
        <v/>
      </c>
      <c r="K396">
        <f>IF($L396="","",IF(INDEX(tblRegistros[Data],$L396)&gt;$D$4,"",IFERROR(INDEX(tblRegistros[Observação],$L396),"")))</f>
        <v/>
      </c>
      <c r="L396" s="16">
        <f>IFERROR(MATCH($B$3*100000+COUNTIFS(tblRegistros[ID],$B$3,tblRegistros[Data],"&lt;"&amp;$B$4)+ROWS($L$10:L396),tblRegistros[Chave do cartão],0),"")</f>
        <v/>
      </c>
    </row>
    <row r="397">
      <c r="A397" s="2">
        <f>IF($L397="","",IF(INDEX(tblRegistros[Data],$L397)&gt;$D$4,"",IFERROR(INDEX(tblRegistros[Data],$L397),"")))</f>
        <v/>
      </c>
      <c r="B397">
        <f>IF($L397="","",IF(INDEX(tblRegistros[Data],$L397)&gt;$D$4,"",IFERROR(INDEX(tblRegistros[Projeto],$L397),"")))</f>
        <v/>
      </c>
      <c r="C397">
        <f>IF($L397="","",IF(INDEX(tblRegistros[Data],$L397)&gt;$D$4,"",IFERROR(INDEX(tblRegistros[Atividade],$L397),"")))</f>
        <v/>
      </c>
      <c r="D397" s="4">
        <f>IF($L397="","",IF(INDEX(tblRegistros[Data],$L397)&gt;$D$4,"",IFERROR(INDEX(tblRegistros[Início],$L397),"")))</f>
        <v/>
      </c>
      <c r="E397" s="4">
        <f>IF($L397="","",IF(INDEX(tblRegistros[Data],$L397)&gt;$D$4,"",IFERROR(IF(INDEX(tblRegistros[Status],$L397)="EM ABERTO","",INDEX(tblRegistros[Fim],$L397)),"")))</f>
        <v/>
      </c>
      <c r="F397" s="14">
        <f>IF($L397="","",IF(INDEX(tblRegistros[Data],$L397)&gt;$D$4,"",IFERROR(IF(INDEX(tblRegistros[Status],$L397)="EM ABERTO","",INDEX(tblRegistros[Horas],$L397)),"")))</f>
        <v/>
      </c>
      <c r="G397">
        <f>IF($L397="","",IF(INDEX(tblRegistros[Data],$L397)&gt;$D$4,"",IFERROR(INDEX(tblRegistros[Base],$L397),"")))</f>
        <v/>
      </c>
      <c r="H397" s="3">
        <f>IF($L397="","",IF(INDEX(tblRegistros[Data],$L397)&gt;$D$4,"",IFERROR(INDEX(tblRegistros[Taxa aplicada],$L397),"")))</f>
        <v/>
      </c>
      <c r="I397" s="3">
        <f>IF($L397="","",IF(INDEX(tblRegistros[Data],$L397)&gt;$D$4,"",IFERROR(IF(INDEX(tblRegistros[Status],$L397)="EM ABERTO","",INDEX(tblRegistros[Valor],$L397)),"")))</f>
        <v/>
      </c>
      <c r="J397">
        <f>IF($L397="","",IF(INDEX(tblRegistros[Data],$L397)&gt;$D$4,"",IFERROR(INDEX(tblRegistros[Status],$L397),"")))</f>
        <v/>
      </c>
      <c r="K397">
        <f>IF($L397="","",IF(INDEX(tblRegistros[Data],$L397)&gt;$D$4,"",IFERROR(INDEX(tblRegistros[Observação],$L397),"")))</f>
        <v/>
      </c>
      <c r="L397" s="16">
        <f>IFERROR(MATCH($B$3*100000+COUNTIFS(tblRegistros[ID],$B$3,tblRegistros[Data],"&lt;"&amp;$B$4)+ROWS($L$10:L397),tblRegistros[Chave do cartão],0),"")</f>
        <v/>
      </c>
    </row>
    <row r="398">
      <c r="A398" s="2">
        <f>IF($L398="","",IF(INDEX(tblRegistros[Data],$L398)&gt;$D$4,"",IFERROR(INDEX(tblRegistros[Data],$L398),"")))</f>
        <v/>
      </c>
      <c r="B398">
        <f>IF($L398="","",IF(INDEX(tblRegistros[Data],$L398)&gt;$D$4,"",IFERROR(INDEX(tblRegistros[Projeto],$L398),"")))</f>
        <v/>
      </c>
      <c r="C398">
        <f>IF($L398="","",IF(INDEX(tblRegistros[Data],$L398)&gt;$D$4,"",IFERROR(INDEX(tblRegistros[Atividade],$L398),"")))</f>
        <v/>
      </c>
      <c r="D398" s="4">
        <f>IF($L398="","",IF(INDEX(tblRegistros[Data],$L398)&gt;$D$4,"",IFERROR(INDEX(tblRegistros[Início],$L398),"")))</f>
        <v/>
      </c>
      <c r="E398" s="4">
        <f>IF($L398="","",IF(INDEX(tblRegistros[Data],$L398)&gt;$D$4,"",IFERROR(IF(INDEX(tblRegistros[Status],$L398)="EM ABERTO","",INDEX(tblRegistros[Fim],$L398)),"")))</f>
        <v/>
      </c>
      <c r="F398" s="14">
        <f>IF($L398="","",IF(INDEX(tblRegistros[Data],$L398)&gt;$D$4,"",IFERROR(IF(INDEX(tblRegistros[Status],$L398)="EM ABERTO","",INDEX(tblRegistros[Horas],$L398)),"")))</f>
        <v/>
      </c>
      <c r="G398">
        <f>IF($L398="","",IF(INDEX(tblRegistros[Data],$L398)&gt;$D$4,"",IFERROR(INDEX(tblRegistros[Base],$L398),"")))</f>
        <v/>
      </c>
      <c r="H398" s="3">
        <f>IF($L398="","",IF(INDEX(tblRegistros[Data],$L398)&gt;$D$4,"",IFERROR(INDEX(tblRegistros[Taxa aplicada],$L398),"")))</f>
        <v/>
      </c>
      <c r="I398" s="3">
        <f>IF($L398="","",IF(INDEX(tblRegistros[Data],$L398)&gt;$D$4,"",IFERROR(IF(INDEX(tblRegistros[Status],$L398)="EM ABERTO","",INDEX(tblRegistros[Valor],$L398)),"")))</f>
        <v/>
      </c>
      <c r="J398">
        <f>IF($L398="","",IF(INDEX(tblRegistros[Data],$L398)&gt;$D$4,"",IFERROR(INDEX(tblRegistros[Status],$L398),"")))</f>
        <v/>
      </c>
      <c r="K398">
        <f>IF($L398="","",IF(INDEX(tblRegistros[Data],$L398)&gt;$D$4,"",IFERROR(INDEX(tblRegistros[Observação],$L398),"")))</f>
        <v/>
      </c>
      <c r="L398" s="16">
        <f>IFERROR(MATCH($B$3*100000+COUNTIFS(tblRegistros[ID],$B$3,tblRegistros[Data],"&lt;"&amp;$B$4)+ROWS($L$10:L398),tblRegistros[Chave do cartão],0),"")</f>
        <v/>
      </c>
    </row>
    <row r="399">
      <c r="A399" s="2">
        <f>IF($L399="","",IF(INDEX(tblRegistros[Data],$L399)&gt;$D$4,"",IFERROR(INDEX(tblRegistros[Data],$L399),"")))</f>
        <v/>
      </c>
      <c r="B399">
        <f>IF($L399="","",IF(INDEX(tblRegistros[Data],$L399)&gt;$D$4,"",IFERROR(INDEX(tblRegistros[Projeto],$L399),"")))</f>
        <v/>
      </c>
      <c r="C399">
        <f>IF($L399="","",IF(INDEX(tblRegistros[Data],$L399)&gt;$D$4,"",IFERROR(INDEX(tblRegistros[Atividade],$L399),"")))</f>
        <v/>
      </c>
      <c r="D399" s="4">
        <f>IF($L399="","",IF(INDEX(tblRegistros[Data],$L399)&gt;$D$4,"",IFERROR(INDEX(tblRegistros[Início],$L399),"")))</f>
        <v/>
      </c>
      <c r="E399" s="4">
        <f>IF($L399="","",IF(INDEX(tblRegistros[Data],$L399)&gt;$D$4,"",IFERROR(IF(INDEX(tblRegistros[Status],$L399)="EM ABERTO","",INDEX(tblRegistros[Fim],$L399)),"")))</f>
        <v/>
      </c>
      <c r="F399" s="14">
        <f>IF($L399="","",IF(INDEX(tblRegistros[Data],$L399)&gt;$D$4,"",IFERROR(IF(INDEX(tblRegistros[Status],$L399)="EM ABERTO","",INDEX(tblRegistros[Horas],$L399)),"")))</f>
        <v/>
      </c>
      <c r="G399">
        <f>IF($L399="","",IF(INDEX(tblRegistros[Data],$L399)&gt;$D$4,"",IFERROR(INDEX(tblRegistros[Base],$L399),"")))</f>
        <v/>
      </c>
      <c r="H399" s="3">
        <f>IF($L399="","",IF(INDEX(tblRegistros[Data],$L399)&gt;$D$4,"",IFERROR(INDEX(tblRegistros[Taxa aplicada],$L399),"")))</f>
        <v/>
      </c>
      <c r="I399" s="3">
        <f>IF($L399="","",IF(INDEX(tblRegistros[Data],$L399)&gt;$D$4,"",IFERROR(IF(INDEX(tblRegistros[Status],$L399)="EM ABERTO","",INDEX(tblRegistros[Valor],$L399)),"")))</f>
        <v/>
      </c>
      <c r="J399">
        <f>IF($L399="","",IF(INDEX(tblRegistros[Data],$L399)&gt;$D$4,"",IFERROR(INDEX(tblRegistros[Status],$L399),"")))</f>
        <v/>
      </c>
      <c r="K399">
        <f>IF($L399="","",IF(INDEX(tblRegistros[Data],$L399)&gt;$D$4,"",IFERROR(INDEX(tblRegistros[Observação],$L399),"")))</f>
        <v/>
      </c>
      <c r="L399" s="16">
        <f>IFERROR(MATCH($B$3*100000+COUNTIFS(tblRegistros[ID],$B$3,tblRegistros[Data],"&lt;"&amp;$B$4)+ROWS($L$10:L399),tblRegistros[Chave do cartão],0),"")</f>
        <v/>
      </c>
    </row>
    <row r="400">
      <c r="A400" s="2">
        <f>IF($L400="","",IF(INDEX(tblRegistros[Data],$L400)&gt;$D$4,"",IFERROR(INDEX(tblRegistros[Data],$L400),"")))</f>
        <v/>
      </c>
      <c r="B400">
        <f>IF($L400="","",IF(INDEX(tblRegistros[Data],$L400)&gt;$D$4,"",IFERROR(INDEX(tblRegistros[Projeto],$L400),"")))</f>
        <v/>
      </c>
      <c r="C400">
        <f>IF($L400="","",IF(INDEX(tblRegistros[Data],$L400)&gt;$D$4,"",IFERROR(INDEX(tblRegistros[Atividade],$L400),"")))</f>
        <v/>
      </c>
      <c r="D400" s="4">
        <f>IF($L400="","",IF(INDEX(tblRegistros[Data],$L400)&gt;$D$4,"",IFERROR(INDEX(tblRegistros[Início],$L400),"")))</f>
        <v/>
      </c>
      <c r="E400" s="4">
        <f>IF($L400="","",IF(INDEX(tblRegistros[Data],$L400)&gt;$D$4,"",IFERROR(IF(INDEX(tblRegistros[Status],$L400)="EM ABERTO","",INDEX(tblRegistros[Fim],$L400)),"")))</f>
        <v/>
      </c>
      <c r="F400" s="14">
        <f>IF($L400="","",IF(INDEX(tblRegistros[Data],$L400)&gt;$D$4,"",IFERROR(IF(INDEX(tblRegistros[Status],$L400)="EM ABERTO","",INDEX(tblRegistros[Horas],$L400)),"")))</f>
        <v/>
      </c>
      <c r="G400">
        <f>IF($L400="","",IF(INDEX(tblRegistros[Data],$L400)&gt;$D$4,"",IFERROR(INDEX(tblRegistros[Base],$L400),"")))</f>
        <v/>
      </c>
      <c r="H400" s="3">
        <f>IF($L400="","",IF(INDEX(tblRegistros[Data],$L400)&gt;$D$4,"",IFERROR(INDEX(tblRegistros[Taxa aplicada],$L400),"")))</f>
        <v/>
      </c>
      <c r="I400" s="3">
        <f>IF($L400="","",IF(INDEX(tblRegistros[Data],$L400)&gt;$D$4,"",IFERROR(IF(INDEX(tblRegistros[Status],$L400)="EM ABERTO","",INDEX(tblRegistros[Valor],$L400)),"")))</f>
        <v/>
      </c>
      <c r="J400">
        <f>IF($L400="","",IF(INDEX(tblRegistros[Data],$L400)&gt;$D$4,"",IFERROR(INDEX(tblRegistros[Status],$L400),"")))</f>
        <v/>
      </c>
      <c r="K400">
        <f>IF($L400="","",IF(INDEX(tblRegistros[Data],$L400)&gt;$D$4,"",IFERROR(INDEX(tblRegistros[Observação],$L400),"")))</f>
        <v/>
      </c>
      <c r="L400" s="16">
        <f>IFERROR(MATCH($B$3*100000+COUNTIFS(tblRegistros[ID],$B$3,tblRegistros[Data],"&lt;"&amp;$B$4)+ROWS($L$10:L400),tblRegistros[Chave do cartão],0),"")</f>
        <v/>
      </c>
    </row>
    <row r="401">
      <c r="A401" s="2">
        <f>IF($L401="","",IF(INDEX(tblRegistros[Data],$L401)&gt;$D$4,"",IFERROR(INDEX(tblRegistros[Data],$L401),"")))</f>
        <v/>
      </c>
      <c r="B401">
        <f>IF($L401="","",IF(INDEX(tblRegistros[Data],$L401)&gt;$D$4,"",IFERROR(INDEX(tblRegistros[Projeto],$L401),"")))</f>
        <v/>
      </c>
      <c r="C401">
        <f>IF($L401="","",IF(INDEX(tblRegistros[Data],$L401)&gt;$D$4,"",IFERROR(INDEX(tblRegistros[Atividade],$L401),"")))</f>
        <v/>
      </c>
      <c r="D401" s="4">
        <f>IF($L401="","",IF(INDEX(tblRegistros[Data],$L401)&gt;$D$4,"",IFERROR(INDEX(tblRegistros[Início],$L401),"")))</f>
        <v/>
      </c>
      <c r="E401" s="4">
        <f>IF($L401="","",IF(INDEX(tblRegistros[Data],$L401)&gt;$D$4,"",IFERROR(IF(INDEX(tblRegistros[Status],$L401)="EM ABERTO","",INDEX(tblRegistros[Fim],$L401)),"")))</f>
        <v/>
      </c>
      <c r="F401">
        <f>IF($L401="","",IF(INDEX(tblRegistros[Data],$L401)&gt;$D$4,"",IFERROR(IF(INDEX(tblRegistros[Status],$L401)="EM ABERTO","",INDEX(tblRegistros[Horas],$L401)),"")))</f>
        <v/>
      </c>
      <c r="G401">
        <f>IF($L401="","",IF(INDEX(tblRegistros[Data],$L401)&gt;$D$4,"",IFERROR(INDEX(tblRegistros[Base],$L401),"")))</f>
        <v/>
      </c>
      <c r="H401" s="3">
        <f>IF($L401="","",IF(INDEX(tblRegistros[Data],$L401)&gt;$D$4,"",IFERROR(INDEX(tblRegistros[Taxa aplicada],$L401),"")))</f>
        <v/>
      </c>
      <c r="I401" s="3">
        <f>IF($L401="","",IF(INDEX(tblRegistros[Data],$L401)&gt;$D$4,"",IFERROR(IF(INDEX(tblRegistros[Status],$L401)="EM ABERTO","",INDEX(tblRegistros[Valor],$L401)),"")))</f>
        <v/>
      </c>
      <c r="J401">
        <f>IF($L401="","",IF(INDEX(tblRegistros[Data],$L401)&gt;$D$4,"",IFERROR(INDEX(tblRegistros[Status],$L401),"")))</f>
        <v/>
      </c>
      <c r="K401">
        <f>IF($L401="","",IF(INDEX(tblRegistros[Data],$L401)&gt;$D$4,"",IFERROR(INDEX(tblRegistros[Observação],$L401),"")))</f>
        <v/>
      </c>
      <c r="L401" s="16">
        <f>IFERROR(MATCH($B$3*100000+COUNTIFS(tblRegistros[ID],$B$3,tblRegistros[Data],"&lt;"&amp;$B$4)+ROWS($L$10:L401),tblRegistros[Chave do cartão],0),"")</f>
        <v/>
      </c>
    </row>
    <row r="402">
      <c r="A402" s="2">
        <f>IF($L402="","",IF(INDEX(tblRegistros[Data],$L402)&gt;$D$4,"",IFERROR(INDEX(tblRegistros[Data],$L402),"")))</f>
        <v/>
      </c>
      <c r="B402">
        <f>IF($L402="","",IF(INDEX(tblRegistros[Data],$L402)&gt;$D$4,"",IFERROR(INDEX(tblRegistros[Projeto],$L402),"")))</f>
        <v/>
      </c>
      <c r="C402">
        <f>IF($L402="","",IF(INDEX(tblRegistros[Data],$L402)&gt;$D$4,"",IFERROR(INDEX(tblRegistros[Atividade],$L402),"")))</f>
        <v/>
      </c>
      <c r="D402" s="4">
        <f>IF($L402="","",IF(INDEX(tblRegistros[Data],$L402)&gt;$D$4,"",IFERROR(INDEX(tblRegistros[Início],$L402),"")))</f>
        <v/>
      </c>
      <c r="E402" s="4">
        <f>IF($L402="","",IF(INDEX(tblRegistros[Data],$L402)&gt;$D$4,"",IFERROR(IF(INDEX(tblRegistros[Status],$L402)="EM ABERTO","",INDEX(tblRegistros[Fim],$L402)),"")))</f>
        <v/>
      </c>
      <c r="F402">
        <f>IF($L402="","",IF(INDEX(tblRegistros[Data],$L402)&gt;$D$4,"",IFERROR(IF(INDEX(tblRegistros[Status],$L402)="EM ABERTO","",INDEX(tblRegistros[Horas],$L402)),"")))</f>
        <v/>
      </c>
      <c r="G402">
        <f>IF($L402="","",IF(INDEX(tblRegistros[Data],$L402)&gt;$D$4,"",IFERROR(INDEX(tblRegistros[Base],$L402),"")))</f>
        <v/>
      </c>
      <c r="H402" s="3">
        <f>IF($L402="","",IF(INDEX(tblRegistros[Data],$L402)&gt;$D$4,"",IFERROR(INDEX(tblRegistros[Taxa aplicada],$L402),"")))</f>
        <v/>
      </c>
      <c r="I402" s="3">
        <f>IF($L402="","",IF(INDEX(tblRegistros[Data],$L402)&gt;$D$4,"",IFERROR(IF(INDEX(tblRegistros[Status],$L402)="EM ABERTO","",INDEX(tblRegistros[Valor],$L402)),"")))</f>
        <v/>
      </c>
      <c r="J402">
        <f>IF($L402="","",IF(INDEX(tblRegistros[Data],$L402)&gt;$D$4,"",IFERROR(INDEX(tblRegistros[Status],$L402),"")))</f>
        <v/>
      </c>
      <c r="K402">
        <f>IF($L402="","",IF(INDEX(tblRegistros[Data],$L402)&gt;$D$4,"",IFERROR(INDEX(tblRegistros[Observação],$L402),"")))</f>
        <v/>
      </c>
      <c r="L402" s="16">
        <f>IFERROR(MATCH($B$3*100000+COUNTIFS(tblRegistros[ID],$B$3,tblRegistros[Data],"&lt;"&amp;$B$4)+ROWS($L$10:L402),tblRegistros[Chave do cartão],0),"")</f>
        <v/>
      </c>
    </row>
    <row r="403">
      <c r="A403" s="2">
        <f>IF($L403="","",IF(INDEX(tblRegistros[Data],$L403)&gt;$D$4,"",IFERROR(INDEX(tblRegistros[Data],$L403),"")))</f>
        <v/>
      </c>
      <c r="B403">
        <f>IF($L403="","",IF(INDEX(tblRegistros[Data],$L403)&gt;$D$4,"",IFERROR(INDEX(tblRegistros[Projeto],$L403),"")))</f>
        <v/>
      </c>
      <c r="C403">
        <f>IF($L403="","",IF(INDEX(tblRegistros[Data],$L403)&gt;$D$4,"",IFERROR(INDEX(tblRegistros[Atividade],$L403),"")))</f>
        <v/>
      </c>
      <c r="D403" s="4">
        <f>IF($L403="","",IF(INDEX(tblRegistros[Data],$L403)&gt;$D$4,"",IFERROR(INDEX(tblRegistros[Início],$L403),"")))</f>
        <v/>
      </c>
      <c r="E403" s="4">
        <f>IF($L403="","",IF(INDEX(tblRegistros[Data],$L403)&gt;$D$4,"",IFERROR(IF(INDEX(tblRegistros[Status],$L403)="EM ABERTO","",INDEX(tblRegistros[Fim],$L403)),"")))</f>
        <v/>
      </c>
      <c r="F403">
        <f>IF($L403="","",IF(INDEX(tblRegistros[Data],$L403)&gt;$D$4,"",IFERROR(IF(INDEX(tblRegistros[Status],$L403)="EM ABERTO","",INDEX(tblRegistros[Horas],$L403)),"")))</f>
        <v/>
      </c>
      <c r="G403">
        <f>IF($L403="","",IF(INDEX(tblRegistros[Data],$L403)&gt;$D$4,"",IFERROR(INDEX(tblRegistros[Base],$L403),"")))</f>
        <v/>
      </c>
      <c r="H403" s="3">
        <f>IF($L403="","",IF(INDEX(tblRegistros[Data],$L403)&gt;$D$4,"",IFERROR(INDEX(tblRegistros[Taxa aplicada],$L403),"")))</f>
        <v/>
      </c>
      <c r="I403" s="3">
        <f>IF($L403="","",IF(INDEX(tblRegistros[Data],$L403)&gt;$D$4,"",IFERROR(IF(INDEX(tblRegistros[Status],$L403)="EM ABERTO","",INDEX(tblRegistros[Valor],$L403)),"")))</f>
        <v/>
      </c>
      <c r="J403">
        <f>IF($L403="","",IF(INDEX(tblRegistros[Data],$L403)&gt;$D$4,"",IFERROR(INDEX(tblRegistros[Status],$L403),"")))</f>
        <v/>
      </c>
      <c r="K403">
        <f>IF($L403="","",IF(INDEX(tblRegistros[Data],$L403)&gt;$D$4,"",IFERROR(INDEX(tblRegistros[Observação],$L403),"")))</f>
        <v/>
      </c>
      <c r="L403" s="16">
        <f>IFERROR(MATCH($B$3*100000+COUNTIFS(tblRegistros[ID],$B$3,tblRegistros[Data],"&lt;"&amp;$B$4)+ROWS($L$10:L403),tblRegistros[Chave do cartão],0),"")</f>
        <v/>
      </c>
    </row>
    <row r="404">
      <c r="A404" s="2">
        <f>IF($L404="","",IF(INDEX(tblRegistros[Data],$L404)&gt;$D$4,"",IFERROR(INDEX(tblRegistros[Data],$L404),"")))</f>
        <v/>
      </c>
      <c r="B404">
        <f>IF($L404="","",IF(INDEX(tblRegistros[Data],$L404)&gt;$D$4,"",IFERROR(INDEX(tblRegistros[Projeto],$L404),"")))</f>
        <v/>
      </c>
      <c r="C404">
        <f>IF($L404="","",IF(INDEX(tblRegistros[Data],$L404)&gt;$D$4,"",IFERROR(INDEX(tblRegistros[Atividade],$L404),"")))</f>
        <v/>
      </c>
      <c r="D404" s="4">
        <f>IF($L404="","",IF(INDEX(tblRegistros[Data],$L404)&gt;$D$4,"",IFERROR(INDEX(tblRegistros[Início],$L404),"")))</f>
        <v/>
      </c>
      <c r="E404" s="4">
        <f>IF($L404="","",IF(INDEX(tblRegistros[Data],$L404)&gt;$D$4,"",IFERROR(IF(INDEX(tblRegistros[Status],$L404)="EM ABERTO","",INDEX(tblRegistros[Fim],$L404)),"")))</f>
        <v/>
      </c>
      <c r="F404">
        <f>IF($L404="","",IF(INDEX(tblRegistros[Data],$L404)&gt;$D$4,"",IFERROR(IF(INDEX(tblRegistros[Status],$L404)="EM ABERTO","",INDEX(tblRegistros[Horas],$L404)),"")))</f>
        <v/>
      </c>
      <c r="G404">
        <f>IF($L404="","",IF(INDEX(tblRegistros[Data],$L404)&gt;$D$4,"",IFERROR(INDEX(tblRegistros[Base],$L404),"")))</f>
        <v/>
      </c>
      <c r="H404" s="3">
        <f>IF($L404="","",IF(INDEX(tblRegistros[Data],$L404)&gt;$D$4,"",IFERROR(INDEX(tblRegistros[Taxa aplicada],$L404),"")))</f>
        <v/>
      </c>
      <c r="I404" s="3">
        <f>IF($L404="","",IF(INDEX(tblRegistros[Data],$L404)&gt;$D$4,"",IFERROR(IF(INDEX(tblRegistros[Status],$L404)="EM ABERTO","",INDEX(tblRegistros[Valor],$L404)),"")))</f>
        <v/>
      </c>
      <c r="J404">
        <f>IF($L404="","",IF(INDEX(tblRegistros[Data],$L404)&gt;$D$4,"",IFERROR(INDEX(tblRegistros[Status],$L404),"")))</f>
        <v/>
      </c>
      <c r="K404">
        <f>IF($L404="","",IF(INDEX(tblRegistros[Data],$L404)&gt;$D$4,"",IFERROR(INDEX(tblRegistros[Observação],$L404),"")))</f>
        <v/>
      </c>
      <c r="L404" s="16">
        <f>IFERROR(MATCH($B$3*100000+COUNTIFS(tblRegistros[ID],$B$3,tblRegistros[Data],"&lt;"&amp;$B$4)+ROWS($L$10:L404),tblRegistros[Chave do cartão],0),"")</f>
        <v/>
      </c>
    </row>
    <row r="405">
      <c r="A405" s="2">
        <f>IF($L405="","",IF(INDEX(tblRegistros[Data],$L405)&gt;$D$4,"",IFERROR(INDEX(tblRegistros[Data],$L405),"")))</f>
        <v/>
      </c>
      <c r="B405">
        <f>IF($L405="","",IF(INDEX(tblRegistros[Data],$L405)&gt;$D$4,"",IFERROR(INDEX(tblRegistros[Projeto],$L405),"")))</f>
        <v/>
      </c>
      <c r="C405">
        <f>IF($L405="","",IF(INDEX(tblRegistros[Data],$L405)&gt;$D$4,"",IFERROR(INDEX(tblRegistros[Atividade],$L405),"")))</f>
        <v/>
      </c>
      <c r="D405" s="4">
        <f>IF($L405="","",IF(INDEX(tblRegistros[Data],$L405)&gt;$D$4,"",IFERROR(INDEX(tblRegistros[Início],$L405),"")))</f>
        <v/>
      </c>
      <c r="E405" s="4">
        <f>IF($L405="","",IF(INDEX(tblRegistros[Data],$L405)&gt;$D$4,"",IFERROR(IF(INDEX(tblRegistros[Status],$L405)="EM ABERTO","",INDEX(tblRegistros[Fim],$L405)),"")))</f>
        <v/>
      </c>
      <c r="F405">
        <f>IF($L405="","",IF(INDEX(tblRegistros[Data],$L405)&gt;$D$4,"",IFERROR(IF(INDEX(tblRegistros[Status],$L405)="EM ABERTO","",INDEX(tblRegistros[Horas],$L405)),"")))</f>
        <v/>
      </c>
      <c r="G405">
        <f>IF($L405="","",IF(INDEX(tblRegistros[Data],$L405)&gt;$D$4,"",IFERROR(INDEX(tblRegistros[Base],$L405),"")))</f>
        <v/>
      </c>
      <c r="H405" s="3">
        <f>IF($L405="","",IF(INDEX(tblRegistros[Data],$L405)&gt;$D$4,"",IFERROR(INDEX(tblRegistros[Taxa aplicada],$L405),"")))</f>
        <v/>
      </c>
      <c r="I405" s="3">
        <f>IF($L405="","",IF(INDEX(tblRegistros[Data],$L405)&gt;$D$4,"",IFERROR(IF(INDEX(tblRegistros[Status],$L405)="EM ABERTO","",INDEX(tblRegistros[Valor],$L405)),"")))</f>
        <v/>
      </c>
      <c r="J405">
        <f>IF($L405="","",IF(INDEX(tblRegistros[Data],$L405)&gt;$D$4,"",IFERROR(INDEX(tblRegistros[Status],$L405),"")))</f>
        <v/>
      </c>
      <c r="K405">
        <f>IF($L405="","",IF(INDEX(tblRegistros[Data],$L405)&gt;$D$4,"",IFERROR(INDEX(tblRegistros[Observação],$L405),"")))</f>
        <v/>
      </c>
      <c r="L405" s="16">
        <f>IFERROR(MATCH($B$3*100000+COUNTIFS(tblRegistros[ID],$B$3,tblRegistros[Data],"&lt;"&amp;$B$4)+ROWS($L$10:L405),tblRegistros[Chave do cartão],0),"")</f>
        <v/>
      </c>
    </row>
    <row r="406">
      <c r="A406" s="2">
        <f>IF($L406="","",IF(INDEX(tblRegistros[Data],$L406)&gt;$D$4,"",IFERROR(INDEX(tblRegistros[Data],$L406),"")))</f>
        <v/>
      </c>
      <c r="B406">
        <f>IF($L406="","",IF(INDEX(tblRegistros[Data],$L406)&gt;$D$4,"",IFERROR(INDEX(tblRegistros[Projeto],$L406),"")))</f>
        <v/>
      </c>
      <c r="C406">
        <f>IF($L406="","",IF(INDEX(tblRegistros[Data],$L406)&gt;$D$4,"",IFERROR(INDEX(tblRegistros[Atividade],$L406),"")))</f>
        <v/>
      </c>
      <c r="D406" s="4">
        <f>IF($L406="","",IF(INDEX(tblRegistros[Data],$L406)&gt;$D$4,"",IFERROR(INDEX(tblRegistros[Início],$L406),"")))</f>
        <v/>
      </c>
      <c r="E406" s="4">
        <f>IF($L406="","",IF(INDEX(tblRegistros[Data],$L406)&gt;$D$4,"",IFERROR(IF(INDEX(tblRegistros[Status],$L406)="EM ABERTO","",INDEX(tblRegistros[Fim],$L406)),"")))</f>
        <v/>
      </c>
      <c r="F406">
        <f>IF($L406="","",IF(INDEX(tblRegistros[Data],$L406)&gt;$D$4,"",IFERROR(IF(INDEX(tblRegistros[Status],$L406)="EM ABERTO","",INDEX(tblRegistros[Horas],$L406)),"")))</f>
        <v/>
      </c>
      <c r="G406">
        <f>IF($L406="","",IF(INDEX(tblRegistros[Data],$L406)&gt;$D$4,"",IFERROR(INDEX(tblRegistros[Base],$L406),"")))</f>
        <v/>
      </c>
      <c r="H406" s="3">
        <f>IF($L406="","",IF(INDEX(tblRegistros[Data],$L406)&gt;$D$4,"",IFERROR(INDEX(tblRegistros[Taxa aplicada],$L406),"")))</f>
        <v/>
      </c>
      <c r="I406" s="3">
        <f>IF($L406="","",IF(INDEX(tblRegistros[Data],$L406)&gt;$D$4,"",IFERROR(IF(INDEX(tblRegistros[Status],$L406)="EM ABERTO","",INDEX(tblRegistros[Valor],$L406)),"")))</f>
        <v/>
      </c>
      <c r="J406">
        <f>IF($L406="","",IF(INDEX(tblRegistros[Data],$L406)&gt;$D$4,"",IFERROR(INDEX(tblRegistros[Status],$L406),"")))</f>
        <v/>
      </c>
      <c r="K406">
        <f>IF($L406="","",IF(INDEX(tblRegistros[Data],$L406)&gt;$D$4,"",IFERROR(INDEX(tblRegistros[Observação],$L406),"")))</f>
        <v/>
      </c>
      <c r="L406" s="16">
        <f>IFERROR(MATCH($B$3*100000+COUNTIFS(tblRegistros[ID],$B$3,tblRegistros[Data],"&lt;"&amp;$B$4)+ROWS($L$10:L406),tblRegistros[Chave do cartão],0),"")</f>
        <v/>
      </c>
    </row>
    <row r="407">
      <c r="A407" s="2">
        <f>IF($L407="","",IF(INDEX(tblRegistros[Data],$L407)&gt;$D$4,"",IFERROR(INDEX(tblRegistros[Data],$L407),"")))</f>
        <v/>
      </c>
      <c r="B407">
        <f>IF($L407="","",IF(INDEX(tblRegistros[Data],$L407)&gt;$D$4,"",IFERROR(INDEX(tblRegistros[Projeto],$L407),"")))</f>
        <v/>
      </c>
      <c r="C407">
        <f>IF($L407="","",IF(INDEX(tblRegistros[Data],$L407)&gt;$D$4,"",IFERROR(INDEX(tblRegistros[Atividade],$L407),"")))</f>
        <v/>
      </c>
      <c r="D407" s="4">
        <f>IF($L407="","",IF(INDEX(tblRegistros[Data],$L407)&gt;$D$4,"",IFERROR(INDEX(tblRegistros[Início],$L407),"")))</f>
        <v/>
      </c>
      <c r="E407" s="4">
        <f>IF($L407="","",IF(INDEX(tblRegistros[Data],$L407)&gt;$D$4,"",IFERROR(IF(INDEX(tblRegistros[Status],$L407)="EM ABERTO","",INDEX(tblRegistros[Fim],$L407)),"")))</f>
        <v/>
      </c>
      <c r="F407">
        <f>IF($L407="","",IF(INDEX(tblRegistros[Data],$L407)&gt;$D$4,"",IFERROR(IF(INDEX(tblRegistros[Status],$L407)="EM ABERTO","",INDEX(tblRegistros[Horas],$L407)),"")))</f>
        <v/>
      </c>
      <c r="G407">
        <f>IF($L407="","",IF(INDEX(tblRegistros[Data],$L407)&gt;$D$4,"",IFERROR(INDEX(tblRegistros[Base],$L407),"")))</f>
        <v/>
      </c>
      <c r="H407" s="3">
        <f>IF($L407="","",IF(INDEX(tblRegistros[Data],$L407)&gt;$D$4,"",IFERROR(INDEX(tblRegistros[Taxa aplicada],$L407),"")))</f>
        <v/>
      </c>
      <c r="I407" s="3">
        <f>IF($L407="","",IF(INDEX(tblRegistros[Data],$L407)&gt;$D$4,"",IFERROR(IF(INDEX(tblRegistros[Status],$L407)="EM ABERTO","",INDEX(tblRegistros[Valor],$L407)),"")))</f>
        <v/>
      </c>
      <c r="J407">
        <f>IF($L407="","",IF(INDEX(tblRegistros[Data],$L407)&gt;$D$4,"",IFERROR(INDEX(tblRegistros[Status],$L407),"")))</f>
        <v/>
      </c>
      <c r="K407">
        <f>IF($L407="","",IF(INDEX(tblRegistros[Data],$L407)&gt;$D$4,"",IFERROR(INDEX(tblRegistros[Observação],$L407),"")))</f>
        <v/>
      </c>
      <c r="L407" s="16">
        <f>IFERROR(MATCH($B$3*100000+COUNTIFS(tblRegistros[ID],$B$3,tblRegistros[Data],"&lt;"&amp;$B$4)+ROWS($L$10:L407),tblRegistros[Chave do cartão],0),"")</f>
        <v/>
      </c>
    </row>
    <row r="408">
      <c r="A408" s="2">
        <f>IF($L408="","",IF(INDEX(tblRegistros[Data],$L408)&gt;$D$4,"",IFERROR(INDEX(tblRegistros[Data],$L408),"")))</f>
        <v/>
      </c>
      <c r="B408">
        <f>IF($L408="","",IF(INDEX(tblRegistros[Data],$L408)&gt;$D$4,"",IFERROR(INDEX(tblRegistros[Projeto],$L408),"")))</f>
        <v/>
      </c>
      <c r="C408">
        <f>IF($L408="","",IF(INDEX(tblRegistros[Data],$L408)&gt;$D$4,"",IFERROR(INDEX(tblRegistros[Atividade],$L408),"")))</f>
        <v/>
      </c>
      <c r="D408" s="4">
        <f>IF($L408="","",IF(INDEX(tblRegistros[Data],$L408)&gt;$D$4,"",IFERROR(INDEX(tblRegistros[Início],$L408),"")))</f>
        <v/>
      </c>
      <c r="E408" s="4">
        <f>IF($L408="","",IF(INDEX(tblRegistros[Data],$L408)&gt;$D$4,"",IFERROR(IF(INDEX(tblRegistros[Status],$L408)="EM ABERTO","",INDEX(tblRegistros[Fim],$L408)),"")))</f>
        <v/>
      </c>
      <c r="F408">
        <f>IF($L408="","",IF(INDEX(tblRegistros[Data],$L408)&gt;$D$4,"",IFERROR(IF(INDEX(tblRegistros[Status],$L408)="EM ABERTO","",INDEX(tblRegistros[Horas],$L408)),"")))</f>
        <v/>
      </c>
      <c r="G408">
        <f>IF($L408="","",IF(INDEX(tblRegistros[Data],$L408)&gt;$D$4,"",IFERROR(INDEX(tblRegistros[Base],$L408),"")))</f>
        <v/>
      </c>
      <c r="H408" s="3">
        <f>IF($L408="","",IF(INDEX(tblRegistros[Data],$L408)&gt;$D$4,"",IFERROR(INDEX(tblRegistros[Taxa aplicada],$L408),"")))</f>
        <v/>
      </c>
      <c r="I408" s="3">
        <f>IF($L408="","",IF(INDEX(tblRegistros[Data],$L408)&gt;$D$4,"",IFERROR(IF(INDEX(tblRegistros[Status],$L408)="EM ABERTO","",INDEX(tblRegistros[Valor],$L408)),"")))</f>
        <v/>
      </c>
      <c r="J408">
        <f>IF($L408="","",IF(INDEX(tblRegistros[Data],$L408)&gt;$D$4,"",IFERROR(INDEX(tblRegistros[Status],$L408),"")))</f>
        <v/>
      </c>
      <c r="K408">
        <f>IF($L408="","",IF(INDEX(tblRegistros[Data],$L408)&gt;$D$4,"",IFERROR(INDEX(tblRegistros[Observação],$L408),"")))</f>
        <v/>
      </c>
      <c r="L408" s="16">
        <f>IFERROR(MATCH($B$3*100000+COUNTIFS(tblRegistros[ID],$B$3,tblRegistros[Data],"&lt;"&amp;$B$4)+ROWS($L$10:L408),tblRegistros[Chave do cartão],0),"")</f>
        <v/>
      </c>
    </row>
    <row r="409">
      <c r="A409" s="2">
        <f>IF($L409="","",IF(INDEX(tblRegistros[Data],$L409)&gt;$D$4,"",IFERROR(INDEX(tblRegistros[Data],$L409),"")))</f>
        <v/>
      </c>
      <c r="B409">
        <f>IF($L409="","",IF(INDEX(tblRegistros[Data],$L409)&gt;$D$4,"",IFERROR(INDEX(tblRegistros[Projeto],$L409),"")))</f>
        <v/>
      </c>
      <c r="C409">
        <f>IF($L409="","",IF(INDEX(tblRegistros[Data],$L409)&gt;$D$4,"",IFERROR(INDEX(tblRegistros[Atividade],$L409),"")))</f>
        <v/>
      </c>
      <c r="D409" s="4">
        <f>IF($L409="","",IF(INDEX(tblRegistros[Data],$L409)&gt;$D$4,"",IFERROR(INDEX(tblRegistros[Início],$L409),"")))</f>
        <v/>
      </c>
      <c r="E409" s="4">
        <f>IF($L409="","",IF(INDEX(tblRegistros[Data],$L409)&gt;$D$4,"",IFERROR(IF(INDEX(tblRegistros[Status],$L409)="EM ABERTO","",INDEX(tblRegistros[Fim],$L409)),"")))</f>
        <v/>
      </c>
      <c r="F409">
        <f>IF($L409="","",IF(INDEX(tblRegistros[Data],$L409)&gt;$D$4,"",IFERROR(IF(INDEX(tblRegistros[Status],$L409)="EM ABERTO","",INDEX(tblRegistros[Horas],$L409)),"")))</f>
        <v/>
      </c>
      <c r="G409">
        <f>IF($L409="","",IF(INDEX(tblRegistros[Data],$L409)&gt;$D$4,"",IFERROR(INDEX(tblRegistros[Base],$L409),"")))</f>
        <v/>
      </c>
      <c r="H409" s="3">
        <f>IF($L409="","",IF(INDEX(tblRegistros[Data],$L409)&gt;$D$4,"",IFERROR(INDEX(tblRegistros[Taxa aplicada],$L409),"")))</f>
        <v/>
      </c>
      <c r="I409" s="3">
        <f>IF($L409="","",IF(INDEX(tblRegistros[Data],$L409)&gt;$D$4,"",IFERROR(IF(INDEX(tblRegistros[Status],$L409)="EM ABERTO","",INDEX(tblRegistros[Valor],$L409)),"")))</f>
        <v/>
      </c>
      <c r="J409">
        <f>IF($L409="","",IF(INDEX(tblRegistros[Data],$L409)&gt;$D$4,"",IFERROR(INDEX(tblRegistros[Status],$L409),"")))</f>
        <v/>
      </c>
      <c r="K409">
        <f>IF($L409="","",IF(INDEX(tblRegistros[Data],$L409)&gt;$D$4,"",IFERROR(INDEX(tblRegistros[Observação],$L409),"")))</f>
        <v/>
      </c>
      <c r="L409" s="16">
        <f>IFERROR(MATCH($B$3*100000+COUNTIFS(tblRegistros[ID],$B$3,tblRegistros[Data],"&lt;"&amp;$B$4)+ROWS($L$10:L409),tblRegistros[Chave do cartão],0),"")</f>
        <v/>
      </c>
    </row>
    <row r="410">
      <c r="A410" s="2">
        <f>IF($L410="","",IF(INDEX(tblRegistros[Data],$L410)&gt;$D$4,"",IFERROR(INDEX(tblRegistros[Data],$L410),"")))</f>
        <v/>
      </c>
      <c r="B410">
        <f>IF($L410="","",IF(INDEX(tblRegistros[Data],$L410)&gt;$D$4,"",IFERROR(INDEX(tblRegistros[Projeto],$L410),"")))</f>
        <v/>
      </c>
      <c r="C410">
        <f>IF($L410="","",IF(INDEX(tblRegistros[Data],$L410)&gt;$D$4,"",IFERROR(INDEX(tblRegistros[Atividade],$L410),"")))</f>
        <v/>
      </c>
      <c r="D410" s="4">
        <f>IF($L410="","",IF(INDEX(tblRegistros[Data],$L410)&gt;$D$4,"",IFERROR(INDEX(tblRegistros[Início],$L410),"")))</f>
        <v/>
      </c>
      <c r="E410" s="4">
        <f>IF($L410="","",IF(INDEX(tblRegistros[Data],$L410)&gt;$D$4,"",IFERROR(IF(INDEX(tblRegistros[Status],$L410)="EM ABERTO","",INDEX(tblRegistros[Fim],$L410)),"")))</f>
        <v/>
      </c>
      <c r="F410">
        <f>IF($L410="","",IF(INDEX(tblRegistros[Data],$L410)&gt;$D$4,"",IFERROR(IF(INDEX(tblRegistros[Status],$L410)="EM ABERTO","",INDEX(tblRegistros[Horas],$L410)),"")))</f>
        <v/>
      </c>
      <c r="G410">
        <f>IF($L410="","",IF(INDEX(tblRegistros[Data],$L410)&gt;$D$4,"",IFERROR(INDEX(tblRegistros[Base],$L410),"")))</f>
        <v/>
      </c>
      <c r="H410" s="3">
        <f>IF($L410="","",IF(INDEX(tblRegistros[Data],$L410)&gt;$D$4,"",IFERROR(INDEX(tblRegistros[Taxa aplicada],$L410),"")))</f>
        <v/>
      </c>
      <c r="I410" s="3">
        <f>IF($L410="","",IF(INDEX(tblRegistros[Data],$L410)&gt;$D$4,"",IFERROR(IF(INDEX(tblRegistros[Status],$L410)="EM ABERTO","",INDEX(tblRegistros[Valor],$L410)),"")))</f>
        <v/>
      </c>
      <c r="J410">
        <f>IF($L410="","",IF(INDEX(tblRegistros[Data],$L410)&gt;$D$4,"",IFERROR(INDEX(tblRegistros[Status],$L410),"")))</f>
        <v/>
      </c>
      <c r="K410">
        <f>IF($L410="","",IF(INDEX(tblRegistros[Data],$L410)&gt;$D$4,"",IFERROR(INDEX(tblRegistros[Observação],$L410),"")))</f>
        <v/>
      </c>
      <c r="L410" s="16">
        <f>IFERROR(MATCH($B$3*100000+COUNTIFS(tblRegistros[ID],$B$3,tblRegistros[Data],"&lt;"&amp;$B$4)+ROWS($L$10:L410),tblRegistros[Chave do cartão],0),"")</f>
        <v/>
      </c>
    </row>
    <row r="411">
      <c r="A411" s="2">
        <f>IF($L411="","",IF(INDEX(tblRegistros[Data],$L411)&gt;$D$4,"",IFERROR(INDEX(tblRegistros[Data],$L411),"")))</f>
        <v/>
      </c>
      <c r="B411">
        <f>IF($L411="","",IF(INDEX(tblRegistros[Data],$L411)&gt;$D$4,"",IFERROR(INDEX(tblRegistros[Projeto],$L411),"")))</f>
        <v/>
      </c>
      <c r="C411">
        <f>IF($L411="","",IF(INDEX(tblRegistros[Data],$L411)&gt;$D$4,"",IFERROR(INDEX(tblRegistros[Atividade],$L411),"")))</f>
        <v/>
      </c>
      <c r="D411" s="4">
        <f>IF($L411="","",IF(INDEX(tblRegistros[Data],$L411)&gt;$D$4,"",IFERROR(INDEX(tblRegistros[Início],$L411),"")))</f>
        <v/>
      </c>
      <c r="E411" s="4">
        <f>IF($L411="","",IF(INDEX(tblRegistros[Data],$L411)&gt;$D$4,"",IFERROR(IF(INDEX(tblRegistros[Status],$L411)="EM ABERTO","",INDEX(tblRegistros[Fim],$L411)),"")))</f>
        <v/>
      </c>
      <c r="F411">
        <f>IF($L411="","",IF(INDEX(tblRegistros[Data],$L411)&gt;$D$4,"",IFERROR(IF(INDEX(tblRegistros[Status],$L411)="EM ABERTO","",INDEX(tblRegistros[Horas],$L411)),"")))</f>
        <v/>
      </c>
      <c r="G411">
        <f>IF($L411="","",IF(INDEX(tblRegistros[Data],$L411)&gt;$D$4,"",IFERROR(INDEX(tblRegistros[Base],$L411),"")))</f>
        <v/>
      </c>
      <c r="H411" s="3">
        <f>IF($L411="","",IF(INDEX(tblRegistros[Data],$L411)&gt;$D$4,"",IFERROR(INDEX(tblRegistros[Taxa aplicada],$L411),"")))</f>
        <v/>
      </c>
      <c r="I411" s="3">
        <f>IF($L411="","",IF(INDEX(tblRegistros[Data],$L411)&gt;$D$4,"",IFERROR(IF(INDEX(tblRegistros[Status],$L411)="EM ABERTO","",INDEX(tblRegistros[Valor],$L411)),"")))</f>
        <v/>
      </c>
      <c r="J411">
        <f>IF($L411="","",IF(INDEX(tblRegistros[Data],$L411)&gt;$D$4,"",IFERROR(INDEX(tblRegistros[Status],$L411),"")))</f>
        <v/>
      </c>
      <c r="K411">
        <f>IF($L411="","",IF(INDEX(tblRegistros[Data],$L411)&gt;$D$4,"",IFERROR(INDEX(tblRegistros[Observação],$L411),"")))</f>
        <v/>
      </c>
      <c r="L411" s="16">
        <f>IFERROR(MATCH($B$3*100000+COUNTIFS(tblRegistros[ID],$B$3,tblRegistros[Data],"&lt;"&amp;$B$4)+ROWS($L$10:L411),tblRegistros[Chave do cartão],0),"")</f>
        <v/>
      </c>
    </row>
    <row r="412">
      <c r="A412" s="2">
        <f>IF($L412="","",IF(INDEX(tblRegistros[Data],$L412)&gt;$D$4,"",IFERROR(INDEX(tblRegistros[Data],$L412),"")))</f>
        <v/>
      </c>
      <c r="B412">
        <f>IF($L412="","",IF(INDEX(tblRegistros[Data],$L412)&gt;$D$4,"",IFERROR(INDEX(tblRegistros[Projeto],$L412),"")))</f>
        <v/>
      </c>
      <c r="C412">
        <f>IF($L412="","",IF(INDEX(tblRegistros[Data],$L412)&gt;$D$4,"",IFERROR(INDEX(tblRegistros[Atividade],$L412),"")))</f>
        <v/>
      </c>
      <c r="D412" s="4">
        <f>IF($L412="","",IF(INDEX(tblRegistros[Data],$L412)&gt;$D$4,"",IFERROR(INDEX(tblRegistros[Início],$L412),"")))</f>
        <v/>
      </c>
      <c r="E412" s="4">
        <f>IF($L412="","",IF(INDEX(tblRegistros[Data],$L412)&gt;$D$4,"",IFERROR(IF(INDEX(tblRegistros[Status],$L412)="EM ABERTO","",INDEX(tblRegistros[Fim],$L412)),"")))</f>
        <v/>
      </c>
      <c r="F412">
        <f>IF($L412="","",IF(INDEX(tblRegistros[Data],$L412)&gt;$D$4,"",IFERROR(IF(INDEX(tblRegistros[Status],$L412)="EM ABERTO","",INDEX(tblRegistros[Horas],$L412)),"")))</f>
        <v/>
      </c>
      <c r="G412">
        <f>IF($L412="","",IF(INDEX(tblRegistros[Data],$L412)&gt;$D$4,"",IFERROR(INDEX(tblRegistros[Base],$L412),"")))</f>
        <v/>
      </c>
      <c r="H412" s="3">
        <f>IF($L412="","",IF(INDEX(tblRegistros[Data],$L412)&gt;$D$4,"",IFERROR(INDEX(tblRegistros[Taxa aplicada],$L412),"")))</f>
        <v/>
      </c>
      <c r="I412" s="3">
        <f>IF($L412="","",IF(INDEX(tblRegistros[Data],$L412)&gt;$D$4,"",IFERROR(IF(INDEX(tblRegistros[Status],$L412)="EM ABERTO","",INDEX(tblRegistros[Valor],$L412)),"")))</f>
        <v/>
      </c>
      <c r="J412">
        <f>IF($L412="","",IF(INDEX(tblRegistros[Data],$L412)&gt;$D$4,"",IFERROR(INDEX(tblRegistros[Status],$L412),"")))</f>
        <v/>
      </c>
      <c r="K412">
        <f>IF($L412="","",IF(INDEX(tblRegistros[Data],$L412)&gt;$D$4,"",IFERROR(INDEX(tblRegistros[Observação],$L412),"")))</f>
        <v/>
      </c>
      <c r="L412" s="16">
        <f>IFERROR(MATCH($B$3*100000+COUNTIFS(tblRegistros[ID],$B$3,tblRegistros[Data],"&lt;"&amp;$B$4)+ROWS($L$10:L412),tblRegistros[Chave do cartão],0),"")</f>
        <v/>
      </c>
    </row>
    <row r="413">
      <c r="A413" s="2">
        <f>IF($L413="","",IF(INDEX(tblRegistros[Data],$L413)&gt;$D$4,"",IFERROR(INDEX(tblRegistros[Data],$L413),"")))</f>
        <v/>
      </c>
      <c r="B413">
        <f>IF($L413="","",IF(INDEX(tblRegistros[Data],$L413)&gt;$D$4,"",IFERROR(INDEX(tblRegistros[Projeto],$L413),"")))</f>
        <v/>
      </c>
      <c r="C413">
        <f>IF($L413="","",IF(INDEX(tblRegistros[Data],$L413)&gt;$D$4,"",IFERROR(INDEX(tblRegistros[Atividade],$L413),"")))</f>
        <v/>
      </c>
      <c r="D413" s="4">
        <f>IF($L413="","",IF(INDEX(tblRegistros[Data],$L413)&gt;$D$4,"",IFERROR(INDEX(tblRegistros[Início],$L413),"")))</f>
        <v/>
      </c>
      <c r="E413" s="4">
        <f>IF($L413="","",IF(INDEX(tblRegistros[Data],$L413)&gt;$D$4,"",IFERROR(IF(INDEX(tblRegistros[Status],$L413)="EM ABERTO","",INDEX(tblRegistros[Fim],$L413)),"")))</f>
        <v/>
      </c>
      <c r="F413">
        <f>IF($L413="","",IF(INDEX(tblRegistros[Data],$L413)&gt;$D$4,"",IFERROR(IF(INDEX(tblRegistros[Status],$L413)="EM ABERTO","",INDEX(tblRegistros[Horas],$L413)),"")))</f>
        <v/>
      </c>
      <c r="G413">
        <f>IF($L413="","",IF(INDEX(tblRegistros[Data],$L413)&gt;$D$4,"",IFERROR(INDEX(tblRegistros[Base],$L413),"")))</f>
        <v/>
      </c>
      <c r="H413" s="3">
        <f>IF($L413="","",IF(INDEX(tblRegistros[Data],$L413)&gt;$D$4,"",IFERROR(INDEX(tblRegistros[Taxa aplicada],$L413),"")))</f>
        <v/>
      </c>
      <c r="I413" s="3">
        <f>IF($L413="","",IF(INDEX(tblRegistros[Data],$L413)&gt;$D$4,"",IFERROR(IF(INDEX(tblRegistros[Status],$L413)="EM ABERTO","",INDEX(tblRegistros[Valor],$L413)),"")))</f>
        <v/>
      </c>
      <c r="J413">
        <f>IF($L413="","",IF(INDEX(tblRegistros[Data],$L413)&gt;$D$4,"",IFERROR(INDEX(tblRegistros[Status],$L413),"")))</f>
        <v/>
      </c>
      <c r="K413">
        <f>IF($L413="","",IF(INDEX(tblRegistros[Data],$L413)&gt;$D$4,"",IFERROR(INDEX(tblRegistros[Observação],$L413),"")))</f>
        <v/>
      </c>
      <c r="L413" s="16">
        <f>IFERROR(MATCH($B$3*100000+COUNTIFS(tblRegistros[ID],$B$3,tblRegistros[Data],"&lt;"&amp;$B$4)+ROWS($L$10:L413),tblRegistros[Chave do cartão],0),"")</f>
        <v/>
      </c>
    </row>
    <row r="414">
      <c r="A414" s="2">
        <f>IF($L414="","",IF(INDEX(tblRegistros[Data],$L414)&gt;$D$4,"",IFERROR(INDEX(tblRegistros[Data],$L414),"")))</f>
        <v/>
      </c>
      <c r="B414">
        <f>IF($L414="","",IF(INDEX(tblRegistros[Data],$L414)&gt;$D$4,"",IFERROR(INDEX(tblRegistros[Projeto],$L414),"")))</f>
        <v/>
      </c>
      <c r="C414">
        <f>IF($L414="","",IF(INDEX(tblRegistros[Data],$L414)&gt;$D$4,"",IFERROR(INDEX(tblRegistros[Atividade],$L414),"")))</f>
        <v/>
      </c>
      <c r="D414" s="4">
        <f>IF($L414="","",IF(INDEX(tblRegistros[Data],$L414)&gt;$D$4,"",IFERROR(INDEX(tblRegistros[Início],$L414),"")))</f>
        <v/>
      </c>
      <c r="E414" s="4">
        <f>IF($L414="","",IF(INDEX(tblRegistros[Data],$L414)&gt;$D$4,"",IFERROR(IF(INDEX(tblRegistros[Status],$L414)="EM ABERTO","",INDEX(tblRegistros[Fim],$L414)),"")))</f>
        <v/>
      </c>
      <c r="F414">
        <f>IF($L414="","",IF(INDEX(tblRegistros[Data],$L414)&gt;$D$4,"",IFERROR(IF(INDEX(tblRegistros[Status],$L414)="EM ABERTO","",INDEX(tblRegistros[Horas],$L414)),"")))</f>
        <v/>
      </c>
      <c r="G414">
        <f>IF($L414="","",IF(INDEX(tblRegistros[Data],$L414)&gt;$D$4,"",IFERROR(INDEX(tblRegistros[Base],$L414),"")))</f>
        <v/>
      </c>
      <c r="H414" s="3">
        <f>IF($L414="","",IF(INDEX(tblRegistros[Data],$L414)&gt;$D$4,"",IFERROR(INDEX(tblRegistros[Taxa aplicada],$L414),"")))</f>
        <v/>
      </c>
      <c r="I414" s="3">
        <f>IF($L414="","",IF(INDEX(tblRegistros[Data],$L414)&gt;$D$4,"",IFERROR(IF(INDEX(tblRegistros[Status],$L414)="EM ABERTO","",INDEX(tblRegistros[Valor],$L414)),"")))</f>
        <v/>
      </c>
      <c r="J414">
        <f>IF($L414="","",IF(INDEX(tblRegistros[Data],$L414)&gt;$D$4,"",IFERROR(INDEX(tblRegistros[Status],$L414),"")))</f>
        <v/>
      </c>
      <c r="K414">
        <f>IF($L414="","",IF(INDEX(tblRegistros[Data],$L414)&gt;$D$4,"",IFERROR(INDEX(tblRegistros[Observação],$L414),"")))</f>
        <v/>
      </c>
      <c r="L414" s="16">
        <f>IFERROR(MATCH($B$3*100000+COUNTIFS(tblRegistros[ID],$B$3,tblRegistros[Data],"&lt;"&amp;$B$4)+ROWS($L$10:L414),tblRegistros[Chave do cartão],0),"")</f>
        <v/>
      </c>
    </row>
    <row r="415">
      <c r="A415" s="2">
        <f>IF($L415="","",IF(INDEX(tblRegistros[Data],$L415)&gt;$D$4,"",IFERROR(INDEX(tblRegistros[Data],$L415),"")))</f>
        <v/>
      </c>
      <c r="B415">
        <f>IF($L415="","",IF(INDEX(tblRegistros[Data],$L415)&gt;$D$4,"",IFERROR(INDEX(tblRegistros[Projeto],$L415),"")))</f>
        <v/>
      </c>
      <c r="C415">
        <f>IF($L415="","",IF(INDEX(tblRegistros[Data],$L415)&gt;$D$4,"",IFERROR(INDEX(tblRegistros[Atividade],$L415),"")))</f>
        <v/>
      </c>
      <c r="D415" s="4">
        <f>IF($L415="","",IF(INDEX(tblRegistros[Data],$L415)&gt;$D$4,"",IFERROR(INDEX(tblRegistros[Início],$L415),"")))</f>
        <v/>
      </c>
      <c r="E415" s="4">
        <f>IF($L415="","",IF(INDEX(tblRegistros[Data],$L415)&gt;$D$4,"",IFERROR(IF(INDEX(tblRegistros[Status],$L415)="EM ABERTO","",INDEX(tblRegistros[Fim],$L415)),"")))</f>
        <v/>
      </c>
      <c r="F415">
        <f>IF($L415="","",IF(INDEX(tblRegistros[Data],$L415)&gt;$D$4,"",IFERROR(IF(INDEX(tblRegistros[Status],$L415)="EM ABERTO","",INDEX(tblRegistros[Horas],$L415)),"")))</f>
        <v/>
      </c>
      <c r="G415">
        <f>IF($L415="","",IF(INDEX(tblRegistros[Data],$L415)&gt;$D$4,"",IFERROR(INDEX(tblRegistros[Base],$L415),"")))</f>
        <v/>
      </c>
      <c r="H415" s="3">
        <f>IF($L415="","",IF(INDEX(tblRegistros[Data],$L415)&gt;$D$4,"",IFERROR(INDEX(tblRegistros[Taxa aplicada],$L415),"")))</f>
        <v/>
      </c>
      <c r="I415" s="3">
        <f>IF($L415="","",IF(INDEX(tblRegistros[Data],$L415)&gt;$D$4,"",IFERROR(IF(INDEX(tblRegistros[Status],$L415)="EM ABERTO","",INDEX(tblRegistros[Valor],$L415)),"")))</f>
        <v/>
      </c>
      <c r="J415">
        <f>IF($L415="","",IF(INDEX(tblRegistros[Data],$L415)&gt;$D$4,"",IFERROR(INDEX(tblRegistros[Status],$L415),"")))</f>
        <v/>
      </c>
      <c r="K415">
        <f>IF($L415="","",IF(INDEX(tblRegistros[Data],$L415)&gt;$D$4,"",IFERROR(INDEX(tblRegistros[Observação],$L415),"")))</f>
        <v/>
      </c>
      <c r="L415" s="16">
        <f>IFERROR(MATCH($B$3*100000+COUNTIFS(tblRegistros[ID],$B$3,tblRegistros[Data],"&lt;"&amp;$B$4)+ROWS($L$10:L415),tblRegistros[Chave do cartão],0),"")</f>
        <v/>
      </c>
    </row>
    <row r="416">
      <c r="A416" s="2">
        <f>IF($L416="","",IF(INDEX(tblRegistros[Data],$L416)&gt;$D$4,"",IFERROR(INDEX(tblRegistros[Data],$L416),"")))</f>
        <v/>
      </c>
      <c r="B416">
        <f>IF($L416="","",IF(INDEX(tblRegistros[Data],$L416)&gt;$D$4,"",IFERROR(INDEX(tblRegistros[Projeto],$L416),"")))</f>
        <v/>
      </c>
      <c r="C416">
        <f>IF($L416="","",IF(INDEX(tblRegistros[Data],$L416)&gt;$D$4,"",IFERROR(INDEX(tblRegistros[Atividade],$L416),"")))</f>
        <v/>
      </c>
      <c r="D416" s="4">
        <f>IF($L416="","",IF(INDEX(tblRegistros[Data],$L416)&gt;$D$4,"",IFERROR(INDEX(tblRegistros[Início],$L416),"")))</f>
        <v/>
      </c>
      <c r="E416" s="4">
        <f>IF($L416="","",IF(INDEX(tblRegistros[Data],$L416)&gt;$D$4,"",IFERROR(IF(INDEX(tblRegistros[Status],$L416)="EM ABERTO","",INDEX(tblRegistros[Fim],$L416)),"")))</f>
        <v/>
      </c>
      <c r="F416">
        <f>IF($L416="","",IF(INDEX(tblRegistros[Data],$L416)&gt;$D$4,"",IFERROR(IF(INDEX(tblRegistros[Status],$L416)="EM ABERTO","",INDEX(tblRegistros[Horas],$L416)),"")))</f>
        <v/>
      </c>
      <c r="G416">
        <f>IF($L416="","",IF(INDEX(tblRegistros[Data],$L416)&gt;$D$4,"",IFERROR(INDEX(tblRegistros[Base],$L416),"")))</f>
        <v/>
      </c>
      <c r="H416" s="3">
        <f>IF($L416="","",IF(INDEX(tblRegistros[Data],$L416)&gt;$D$4,"",IFERROR(INDEX(tblRegistros[Taxa aplicada],$L416),"")))</f>
        <v/>
      </c>
      <c r="I416" s="3">
        <f>IF($L416="","",IF(INDEX(tblRegistros[Data],$L416)&gt;$D$4,"",IFERROR(IF(INDEX(tblRegistros[Status],$L416)="EM ABERTO","",INDEX(tblRegistros[Valor],$L416)),"")))</f>
        <v/>
      </c>
      <c r="J416">
        <f>IF($L416="","",IF(INDEX(tblRegistros[Data],$L416)&gt;$D$4,"",IFERROR(INDEX(tblRegistros[Status],$L416),"")))</f>
        <v/>
      </c>
      <c r="K416">
        <f>IF($L416="","",IF(INDEX(tblRegistros[Data],$L416)&gt;$D$4,"",IFERROR(INDEX(tblRegistros[Observação],$L416),"")))</f>
        <v/>
      </c>
      <c r="L416" s="16">
        <f>IFERROR(MATCH($B$3*100000+COUNTIFS(tblRegistros[ID],$B$3,tblRegistros[Data],"&lt;"&amp;$B$4)+ROWS($L$10:L416),tblRegistros[Chave do cartão],0),"")</f>
        <v/>
      </c>
    </row>
    <row r="417">
      <c r="A417" s="2">
        <f>IF($L417="","",IF(INDEX(tblRegistros[Data],$L417)&gt;$D$4,"",IFERROR(INDEX(tblRegistros[Data],$L417),"")))</f>
        <v/>
      </c>
      <c r="B417">
        <f>IF($L417="","",IF(INDEX(tblRegistros[Data],$L417)&gt;$D$4,"",IFERROR(INDEX(tblRegistros[Projeto],$L417),"")))</f>
        <v/>
      </c>
      <c r="C417">
        <f>IF($L417="","",IF(INDEX(tblRegistros[Data],$L417)&gt;$D$4,"",IFERROR(INDEX(tblRegistros[Atividade],$L417),"")))</f>
        <v/>
      </c>
      <c r="D417" s="4">
        <f>IF($L417="","",IF(INDEX(tblRegistros[Data],$L417)&gt;$D$4,"",IFERROR(INDEX(tblRegistros[Início],$L417),"")))</f>
        <v/>
      </c>
      <c r="E417" s="4">
        <f>IF($L417="","",IF(INDEX(tblRegistros[Data],$L417)&gt;$D$4,"",IFERROR(IF(INDEX(tblRegistros[Status],$L417)="EM ABERTO","",INDEX(tblRegistros[Fim],$L417)),"")))</f>
        <v/>
      </c>
      <c r="F417">
        <f>IF($L417="","",IF(INDEX(tblRegistros[Data],$L417)&gt;$D$4,"",IFERROR(IF(INDEX(tblRegistros[Status],$L417)="EM ABERTO","",INDEX(tblRegistros[Horas],$L417)),"")))</f>
        <v/>
      </c>
      <c r="G417">
        <f>IF($L417="","",IF(INDEX(tblRegistros[Data],$L417)&gt;$D$4,"",IFERROR(INDEX(tblRegistros[Base],$L417),"")))</f>
        <v/>
      </c>
      <c r="H417" s="3">
        <f>IF($L417="","",IF(INDEX(tblRegistros[Data],$L417)&gt;$D$4,"",IFERROR(INDEX(tblRegistros[Taxa aplicada],$L417),"")))</f>
        <v/>
      </c>
      <c r="I417" s="3">
        <f>IF($L417="","",IF(INDEX(tblRegistros[Data],$L417)&gt;$D$4,"",IFERROR(IF(INDEX(tblRegistros[Status],$L417)="EM ABERTO","",INDEX(tblRegistros[Valor],$L417)),"")))</f>
        <v/>
      </c>
      <c r="J417">
        <f>IF($L417="","",IF(INDEX(tblRegistros[Data],$L417)&gt;$D$4,"",IFERROR(INDEX(tblRegistros[Status],$L417),"")))</f>
        <v/>
      </c>
      <c r="K417">
        <f>IF($L417="","",IF(INDEX(tblRegistros[Data],$L417)&gt;$D$4,"",IFERROR(INDEX(tblRegistros[Observação],$L417),"")))</f>
        <v/>
      </c>
      <c r="L417" s="16">
        <f>IFERROR(MATCH($B$3*100000+COUNTIFS(tblRegistros[ID],$B$3,tblRegistros[Data],"&lt;"&amp;$B$4)+ROWS($L$10:L417),tblRegistros[Chave do cartão],0),"")</f>
        <v/>
      </c>
    </row>
    <row r="418">
      <c r="A418" s="2">
        <f>IF($L418="","",IF(INDEX(tblRegistros[Data],$L418)&gt;$D$4,"",IFERROR(INDEX(tblRegistros[Data],$L418),"")))</f>
        <v/>
      </c>
      <c r="B418">
        <f>IF($L418="","",IF(INDEX(tblRegistros[Data],$L418)&gt;$D$4,"",IFERROR(INDEX(tblRegistros[Projeto],$L418),"")))</f>
        <v/>
      </c>
      <c r="C418">
        <f>IF($L418="","",IF(INDEX(tblRegistros[Data],$L418)&gt;$D$4,"",IFERROR(INDEX(tblRegistros[Atividade],$L418),"")))</f>
        <v/>
      </c>
      <c r="D418" s="4">
        <f>IF($L418="","",IF(INDEX(tblRegistros[Data],$L418)&gt;$D$4,"",IFERROR(INDEX(tblRegistros[Início],$L418),"")))</f>
        <v/>
      </c>
      <c r="E418" s="4">
        <f>IF($L418="","",IF(INDEX(tblRegistros[Data],$L418)&gt;$D$4,"",IFERROR(IF(INDEX(tblRegistros[Status],$L418)="EM ABERTO","",INDEX(tblRegistros[Fim],$L418)),"")))</f>
        <v/>
      </c>
      <c r="F418">
        <f>IF($L418="","",IF(INDEX(tblRegistros[Data],$L418)&gt;$D$4,"",IFERROR(IF(INDEX(tblRegistros[Status],$L418)="EM ABERTO","",INDEX(tblRegistros[Horas],$L418)),"")))</f>
        <v/>
      </c>
      <c r="G418">
        <f>IF($L418="","",IF(INDEX(tblRegistros[Data],$L418)&gt;$D$4,"",IFERROR(INDEX(tblRegistros[Base],$L418),"")))</f>
        <v/>
      </c>
      <c r="H418" s="3">
        <f>IF($L418="","",IF(INDEX(tblRegistros[Data],$L418)&gt;$D$4,"",IFERROR(INDEX(tblRegistros[Taxa aplicada],$L418),"")))</f>
        <v/>
      </c>
      <c r="I418" s="3">
        <f>IF($L418="","",IF(INDEX(tblRegistros[Data],$L418)&gt;$D$4,"",IFERROR(IF(INDEX(tblRegistros[Status],$L418)="EM ABERTO","",INDEX(tblRegistros[Valor],$L418)),"")))</f>
        <v/>
      </c>
      <c r="J418">
        <f>IF($L418="","",IF(INDEX(tblRegistros[Data],$L418)&gt;$D$4,"",IFERROR(INDEX(tblRegistros[Status],$L418),"")))</f>
        <v/>
      </c>
      <c r="K418">
        <f>IF($L418="","",IF(INDEX(tblRegistros[Data],$L418)&gt;$D$4,"",IFERROR(INDEX(tblRegistros[Observação],$L418),"")))</f>
        <v/>
      </c>
      <c r="L418" s="16">
        <f>IFERROR(MATCH($B$3*100000+COUNTIFS(tblRegistros[ID],$B$3,tblRegistros[Data],"&lt;"&amp;$B$4)+ROWS($L$10:L418),tblRegistros[Chave do cartão],0),"")</f>
        <v/>
      </c>
    </row>
    <row r="419">
      <c r="A419" s="2">
        <f>IF($L419="","",IF(INDEX(tblRegistros[Data],$L419)&gt;$D$4,"",IFERROR(INDEX(tblRegistros[Data],$L419),"")))</f>
        <v/>
      </c>
      <c r="B419">
        <f>IF($L419="","",IF(INDEX(tblRegistros[Data],$L419)&gt;$D$4,"",IFERROR(INDEX(tblRegistros[Projeto],$L419),"")))</f>
        <v/>
      </c>
      <c r="C419">
        <f>IF($L419="","",IF(INDEX(tblRegistros[Data],$L419)&gt;$D$4,"",IFERROR(INDEX(tblRegistros[Atividade],$L419),"")))</f>
        <v/>
      </c>
      <c r="D419" s="4">
        <f>IF($L419="","",IF(INDEX(tblRegistros[Data],$L419)&gt;$D$4,"",IFERROR(INDEX(tblRegistros[Início],$L419),"")))</f>
        <v/>
      </c>
      <c r="E419" s="4">
        <f>IF($L419="","",IF(INDEX(tblRegistros[Data],$L419)&gt;$D$4,"",IFERROR(IF(INDEX(tblRegistros[Status],$L419)="EM ABERTO","",INDEX(tblRegistros[Fim],$L419)),"")))</f>
        <v/>
      </c>
      <c r="F419">
        <f>IF($L419="","",IF(INDEX(tblRegistros[Data],$L419)&gt;$D$4,"",IFERROR(IF(INDEX(tblRegistros[Status],$L419)="EM ABERTO","",INDEX(tblRegistros[Horas],$L419)),"")))</f>
        <v/>
      </c>
      <c r="G419">
        <f>IF($L419="","",IF(INDEX(tblRegistros[Data],$L419)&gt;$D$4,"",IFERROR(INDEX(tblRegistros[Base],$L419),"")))</f>
        <v/>
      </c>
      <c r="H419" s="3">
        <f>IF($L419="","",IF(INDEX(tblRegistros[Data],$L419)&gt;$D$4,"",IFERROR(INDEX(tblRegistros[Taxa aplicada],$L419),"")))</f>
        <v/>
      </c>
      <c r="I419" s="3">
        <f>IF($L419="","",IF(INDEX(tblRegistros[Data],$L419)&gt;$D$4,"",IFERROR(IF(INDEX(tblRegistros[Status],$L419)="EM ABERTO","",INDEX(tblRegistros[Valor],$L419)),"")))</f>
        <v/>
      </c>
      <c r="J419">
        <f>IF($L419="","",IF(INDEX(tblRegistros[Data],$L419)&gt;$D$4,"",IFERROR(INDEX(tblRegistros[Status],$L419),"")))</f>
        <v/>
      </c>
      <c r="K419">
        <f>IF($L419="","",IF(INDEX(tblRegistros[Data],$L419)&gt;$D$4,"",IFERROR(INDEX(tblRegistros[Observação],$L419),"")))</f>
        <v/>
      </c>
      <c r="L419" s="16">
        <f>IFERROR(MATCH($B$3*100000+COUNTIFS(tblRegistros[ID],$B$3,tblRegistros[Data],"&lt;"&amp;$B$4)+ROWS($L$10:L419),tblRegistros[Chave do cartão],0),"")</f>
        <v/>
      </c>
    </row>
    <row r="420">
      <c r="A420" s="2">
        <f>IF($L420="","",IF(INDEX(tblRegistros[Data],$L420)&gt;$D$4,"",IFERROR(INDEX(tblRegistros[Data],$L420),"")))</f>
        <v/>
      </c>
      <c r="B420">
        <f>IF($L420="","",IF(INDEX(tblRegistros[Data],$L420)&gt;$D$4,"",IFERROR(INDEX(tblRegistros[Projeto],$L420),"")))</f>
        <v/>
      </c>
      <c r="C420">
        <f>IF($L420="","",IF(INDEX(tblRegistros[Data],$L420)&gt;$D$4,"",IFERROR(INDEX(tblRegistros[Atividade],$L420),"")))</f>
        <v/>
      </c>
      <c r="D420" s="4">
        <f>IF($L420="","",IF(INDEX(tblRegistros[Data],$L420)&gt;$D$4,"",IFERROR(INDEX(tblRegistros[Início],$L420),"")))</f>
        <v/>
      </c>
      <c r="E420" s="4">
        <f>IF($L420="","",IF(INDEX(tblRegistros[Data],$L420)&gt;$D$4,"",IFERROR(IF(INDEX(tblRegistros[Status],$L420)="EM ABERTO","",INDEX(tblRegistros[Fim],$L420)),"")))</f>
        <v/>
      </c>
      <c r="F420">
        <f>IF($L420="","",IF(INDEX(tblRegistros[Data],$L420)&gt;$D$4,"",IFERROR(IF(INDEX(tblRegistros[Status],$L420)="EM ABERTO","",INDEX(tblRegistros[Horas],$L420)),"")))</f>
        <v/>
      </c>
      <c r="G420">
        <f>IF($L420="","",IF(INDEX(tblRegistros[Data],$L420)&gt;$D$4,"",IFERROR(INDEX(tblRegistros[Base],$L420),"")))</f>
        <v/>
      </c>
      <c r="H420" s="3">
        <f>IF($L420="","",IF(INDEX(tblRegistros[Data],$L420)&gt;$D$4,"",IFERROR(INDEX(tblRegistros[Taxa aplicada],$L420),"")))</f>
        <v/>
      </c>
      <c r="I420" s="3">
        <f>IF($L420="","",IF(INDEX(tblRegistros[Data],$L420)&gt;$D$4,"",IFERROR(IF(INDEX(tblRegistros[Status],$L420)="EM ABERTO","",INDEX(tblRegistros[Valor],$L420)),"")))</f>
        <v/>
      </c>
      <c r="J420">
        <f>IF($L420="","",IF(INDEX(tblRegistros[Data],$L420)&gt;$D$4,"",IFERROR(INDEX(tblRegistros[Status],$L420),"")))</f>
        <v/>
      </c>
      <c r="K420">
        <f>IF($L420="","",IF(INDEX(tblRegistros[Data],$L420)&gt;$D$4,"",IFERROR(INDEX(tblRegistros[Observação],$L420),"")))</f>
        <v/>
      </c>
      <c r="L420" s="16">
        <f>IFERROR(MATCH($B$3*100000+COUNTIFS(tblRegistros[ID],$B$3,tblRegistros[Data],"&lt;"&amp;$B$4)+ROWS($L$10:L420),tblRegistros[Chave do cartão],0),"")</f>
        <v/>
      </c>
    </row>
    <row r="421">
      <c r="A421" s="2">
        <f>IF($L421="","",IF(INDEX(tblRegistros[Data],$L421)&gt;$D$4,"",IFERROR(INDEX(tblRegistros[Data],$L421),"")))</f>
        <v/>
      </c>
      <c r="B421">
        <f>IF($L421="","",IF(INDEX(tblRegistros[Data],$L421)&gt;$D$4,"",IFERROR(INDEX(tblRegistros[Projeto],$L421),"")))</f>
        <v/>
      </c>
      <c r="C421">
        <f>IF($L421="","",IF(INDEX(tblRegistros[Data],$L421)&gt;$D$4,"",IFERROR(INDEX(tblRegistros[Atividade],$L421),"")))</f>
        <v/>
      </c>
      <c r="D421" s="4">
        <f>IF($L421="","",IF(INDEX(tblRegistros[Data],$L421)&gt;$D$4,"",IFERROR(INDEX(tblRegistros[Início],$L421),"")))</f>
        <v/>
      </c>
      <c r="E421" s="4">
        <f>IF($L421="","",IF(INDEX(tblRegistros[Data],$L421)&gt;$D$4,"",IFERROR(IF(INDEX(tblRegistros[Status],$L421)="EM ABERTO","",INDEX(tblRegistros[Fim],$L421)),"")))</f>
        <v/>
      </c>
      <c r="F421">
        <f>IF($L421="","",IF(INDEX(tblRegistros[Data],$L421)&gt;$D$4,"",IFERROR(IF(INDEX(tblRegistros[Status],$L421)="EM ABERTO","",INDEX(tblRegistros[Horas],$L421)),"")))</f>
        <v/>
      </c>
      <c r="G421">
        <f>IF($L421="","",IF(INDEX(tblRegistros[Data],$L421)&gt;$D$4,"",IFERROR(INDEX(tblRegistros[Base],$L421),"")))</f>
        <v/>
      </c>
      <c r="H421" s="3">
        <f>IF($L421="","",IF(INDEX(tblRegistros[Data],$L421)&gt;$D$4,"",IFERROR(INDEX(tblRegistros[Taxa aplicada],$L421),"")))</f>
        <v/>
      </c>
      <c r="I421" s="3">
        <f>IF($L421="","",IF(INDEX(tblRegistros[Data],$L421)&gt;$D$4,"",IFERROR(IF(INDEX(tblRegistros[Status],$L421)="EM ABERTO","",INDEX(tblRegistros[Valor],$L421)),"")))</f>
        <v/>
      </c>
      <c r="J421">
        <f>IF($L421="","",IF(INDEX(tblRegistros[Data],$L421)&gt;$D$4,"",IFERROR(INDEX(tblRegistros[Status],$L421),"")))</f>
        <v/>
      </c>
      <c r="K421">
        <f>IF($L421="","",IF(INDEX(tblRegistros[Data],$L421)&gt;$D$4,"",IFERROR(INDEX(tblRegistros[Observação],$L421),"")))</f>
        <v/>
      </c>
      <c r="L421" s="16">
        <f>IFERROR(MATCH($B$3*100000+COUNTIFS(tblRegistros[ID],$B$3,tblRegistros[Data],"&lt;"&amp;$B$4)+ROWS($L$10:L421),tblRegistros[Chave do cartão],0),"")</f>
        <v/>
      </c>
    </row>
    <row r="422">
      <c r="A422" s="2">
        <f>IF($L422="","",IF(INDEX(tblRegistros[Data],$L422)&gt;$D$4,"",IFERROR(INDEX(tblRegistros[Data],$L422),"")))</f>
        <v/>
      </c>
      <c r="B422">
        <f>IF($L422="","",IF(INDEX(tblRegistros[Data],$L422)&gt;$D$4,"",IFERROR(INDEX(tblRegistros[Projeto],$L422),"")))</f>
        <v/>
      </c>
      <c r="C422">
        <f>IF($L422="","",IF(INDEX(tblRegistros[Data],$L422)&gt;$D$4,"",IFERROR(INDEX(tblRegistros[Atividade],$L422),"")))</f>
        <v/>
      </c>
      <c r="D422" s="4">
        <f>IF($L422="","",IF(INDEX(tblRegistros[Data],$L422)&gt;$D$4,"",IFERROR(INDEX(tblRegistros[Início],$L422),"")))</f>
        <v/>
      </c>
      <c r="E422" s="4">
        <f>IF($L422="","",IF(INDEX(tblRegistros[Data],$L422)&gt;$D$4,"",IFERROR(IF(INDEX(tblRegistros[Status],$L422)="EM ABERTO","",INDEX(tblRegistros[Fim],$L422)),"")))</f>
        <v/>
      </c>
      <c r="F422">
        <f>IF($L422="","",IF(INDEX(tblRegistros[Data],$L422)&gt;$D$4,"",IFERROR(IF(INDEX(tblRegistros[Status],$L422)="EM ABERTO","",INDEX(tblRegistros[Horas],$L422)),"")))</f>
        <v/>
      </c>
      <c r="G422">
        <f>IF($L422="","",IF(INDEX(tblRegistros[Data],$L422)&gt;$D$4,"",IFERROR(INDEX(tblRegistros[Base],$L422),"")))</f>
        <v/>
      </c>
      <c r="H422" s="3">
        <f>IF($L422="","",IF(INDEX(tblRegistros[Data],$L422)&gt;$D$4,"",IFERROR(INDEX(tblRegistros[Taxa aplicada],$L422),"")))</f>
        <v/>
      </c>
      <c r="I422" s="3">
        <f>IF($L422="","",IF(INDEX(tblRegistros[Data],$L422)&gt;$D$4,"",IFERROR(IF(INDEX(tblRegistros[Status],$L422)="EM ABERTO","",INDEX(tblRegistros[Valor],$L422)),"")))</f>
        <v/>
      </c>
      <c r="J422">
        <f>IF($L422="","",IF(INDEX(tblRegistros[Data],$L422)&gt;$D$4,"",IFERROR(INDEX(tblRegistros[Status],$L422),"")))</f>
        <v/>
      </c>
      <c r="K422">
        <f>IF($L422="","",IF(INDEX(tblRegistros[Data],$L422)&gt;$D$4,"",IFERROR(INDEX(tblRegistros[Observação],$L422),"")))</f>
        <v/>
      </c>
      <c r="L422" s="16">
        <f>IFERROR(MATCH($B$3*100000+COUNTIFS(tblRegistros[ID],$B$3,tblRegistros[Data],"&lt;"&amp;$B$4)+ROWS($L$10:L422),tblRegistros[Chave do cartão],0),"")</f>
        <v/>
      </c>
    </row>
    <row r="423">
      <c r="A423" s="2">
        <f>IF($L423="","",IF(INDEX(tblRegistros[Data],$L423)&gt;$D$4,"",IFERROR(INDEX(tblRegistros[Data],$L423),"")))</f>
        <v/>
      </c>
      <c r="B423">
        <f>IF($L423="","",IF(INDEX(tblRegistros[Data],$L423)&gt;$D$4,"",IFERROR(INDEX(tblRegistros[Projeto],$L423),"")))</f>
        <v/>
      </c>
      <c r="C423">
        <f>IF($L423="","",IF(INDEX(tblRegistros[Data],$L423)&gt;$D$4,"",IFERROR(INDEX(tblRegistros[Atividade],$L423),"")))</f>
        <v/>
      </c>
      <c r="D423" s="4">
        <f>IF($L423="","",IF(INDEX(tblRegistros[Data],$L423)&gt;$D$4,"",IFERROR(INDEX(tblRegistros[Início],$L423),"")))</f>
        <v/>
      </c>
      <c r="E423" s="4">
        <f>IF($L423="","",IF(INDEX(tblRegistros[Data],$L423)&gt;$D$4,"",IFERROR(IF(INDEX(tblRegistros[Status],$L423)="EM ABERTO","",INDEX(tblRegistros[Fim],$L423)),"")))</f>
        <v/>
      </c>
      <c r="F423">
        <f>IF($L423="","",IF(INDEX(tblRegistros[Data],$L423)&gt;$D$4,"",IFERROR(IF(INDEX(tblRegistros[Status],$L423)="EM ABERTO","",INDEX(tblRegistros[Horas],$L423)),"")))</f>
        <v/>
      </c>
      <c r="G423">
        <f>IF($L423="","",IF(INDEX(tblRegistros[Data],$L423)&gt;$D$4,"",IFERROR(INDEX(tblRegistros[Base],$L423),"")))</f>
        <v/>
      </c>
      <c r="H423" s="3">
        <f>IF($L423="","",IF(INDEX(tblRegistros[Data],$L423)&gt;$D$4,"",IFERROR(INDEX(tblRegistros[Taxa aplicada],$L423),"")))</f>
        <v/>
      </c>
      <c r="I423" s="3">
        <f>IF($L423="","",IF(INDEX(tblRegistros[Data],$L423)&gt;$D$4,"",IFERROR(IF(INDEX(tblRegistros[Status],$L423)="EM ABERTO","",INDEX(tblRegistros[Valor],$L423)),"")))</f>
        <v/>
      </c>
      <c r="J423">
        <f>IF($L423="","",IF(INDEX(tblRegistros[Data],$L423)&gt;$D$4,"",IFERROR(INDEX(tblRegistros[Status],$L423),"")))</f>
        <v/>
      </c>
      <c r="K423">
        <f>IF($L423="","",IF(INDEX(tblRegistros[Data],$L423)&gt;$D$4,"",IFERROR(INDEX(tblRegistros[Observação],$L423),"")))</f>
        <v/>
      </c>
      <c r="L423" s="16">
        <f>IFERROR(MATCH($B$3*100000+COUNTIFS(tblRegistros[ID],$B$3,tblRegistros[Data],"&lt;"&amp;$B$4)+ROWS($L$10:L423),tblRegistros[Chave do cartão],0),"")</f>
        <v/>
      </c>
    </row>
    <row r="424">
      <c r="A424" s="2">
        <f>IF($L424="","",IF(INDEX(tblRegistros[Data],$L424)&gt;$D$4,"",IFERROR(INDEX(tblRegistros[Data],$L424),"")))</f>
        <v/>
      </c>
      <c r="B424">
        <f>IF($L424="","",IF(INDEX(tblRegistros[Data],$L424)&gt;$D$4,"",IFERROR(INDEX(tblRegistros[Projeto],$L424),"")))</f>
        <v/>
      </c>
      <c r="C424">
        <f>IF($L424="","",IF(INDEX(tblRegistros[Data],$L424)&gt;$D$4,"",IFERROR(INDEX(tblRegistros[Atividade],$L424),"")))</f>
        <v/>
      </c>
      <c r="D424" s="4">
        <f>IF($L424="","",IF(INDEX(tblRegistros[Data],$L424)&gt;$D$4,"",IFERROR(INDEX(tblRegistros[Início],$L424),"")))</f>
        <v/>
      </c>
      <c r="E424" s="4">
        <f>IF($L424="","",IF(INDEX(tblRegistros[Data],$L424)&gt;$D$4,"",IFERROR(IF(INDEX(tblRegistros[Status],$L424)="EM ABERTO","",INDEX(tblRegistros[Fim],$L424)),"")))</f>
        <v/>
      </c>
      <c r="F424">
        <f>IF($L424="","",IF(INDEX(tblRegistros[Data],$L424)&gt;$D$4,"",IFERROR(IF(INDEX(tblRegistros[Status],$L424)="EM ABERTO","",INDEX(tblRegistros[Horas],$L424)),"")))</f>
        <v/>
      </c>
      <c r="G424">
        <f>IF($L424="","",IF(INDEX(tblRegistros[Data],$L424)&gt;$D$4,"",IFERROR(INDEX(tblRegistros[Base],$L424),"")))</f>
        <v/>
      </c>
      <c r="H424" s="3">
        <f>IF($L424="","",IF(INDEX(tblRegistros[Data],$L424)&gt;$D$4,"",IFERROR(INDEX(tblRegistros[Taxa aplicada],$L424),"")))</f>
        <v/>
      </c>
      <c r="I424" s="3">
        <f>IF($L424="","",IF(INDEX(tblRegistros[Data],$L424)&gt;$D$4,"",IFERROR(IF(INDEX(tblRegistros[Status],$L424)="EM ABERTO","",INDEX(tblRegistros[Valor],$L424)),"")))</f>
        <v/>
      </c>
      <c r="J424">
        <f>IF($L424="","",IF(INDEX(tblRegistros[Data],$L424)&gt;$D$4,"",IFERROR(INDEX(tblRegistros[Status],$L424),"")))</f>
        <v/>
      </c>
      <c r="K424">
        <f>IF($L424="","",IF(INDEX(tblRegistros[Data],$L424)&gt;$D$4,"",IFERROR(INDEX(tblRegistros[Observação],$L424),"")))</f>
        <v/>
      </c>
      <c r="L424" s="16">
        <f>IFERROR(MATCH($B$3*100000+COUNTIFS(tblRegistros[ID],$B$3,tblRegistros[Data],"&lt;"&amp;$B$4)+ROWS($L$10:L424),tblRegistros[Chave do cartão],0),"")</f>
        <v/>
      </c>
    </row>
    <row r="425">
      <c r="A425" s="2">
        <f>IF($L425="","",IF(INDEX(tblRegistros[Data],$L425)&gt;$D$4,"",IFERROR(INDEX(tblRegistros[Data],$L425),"")))</f>
        <v/>
      </c>
      <c r="B425">
        <f>IF($L425="","",IF(INDEX(tblRegistros[Data],$L425)&gt;$D$4,"",IFERROR(INDEX(tblRegistros[Projeto],$L425),"")))</f>
        <v/>
      </c>
      <c r="C425">
        <f>IF($L425="","",IF(INDEX(tblRegistros[Data],$L425)&gt;$D$4,"",IFERROR(INDEX(tblRegistros[Atividade],$L425),"")))</f>
        <v/>
      </c>
      <c r="D425" s="4">
        <f>IF($L425="","",IF(INDEX(tblRegistros[Data],$L425)&gt;$D$4,"",IFERROR(INDEX(tblRegistros[Início],$L425),"")))</f>
        <v/>
      </c>
      <c r="E425" s="4">
        <f>IF($L425="","",IF(INDEX(tblRegistros[Data],$L425)&gt;$D$4,"",IFERROR(IF(INDEX(tblRegistros[Status],$L425)="EM ABERTO","",INDEX(tblRegistros[Fim],$L425)),"")))</f>
        <v/>
      </c>
      <c r="F425">
        <f>IF($L425="","",IF(INDEX(tblRegistros[Data],$L425)&gt;$D$4,"",IFERROR(IF(INDEX(tblRegistros[Status],$L425)="EM ABERTO","",INDEX(tblRegistros[Horas],$L425)),"")))</f>
        <v/>
      </c>
      <c r="G425">
        <f>IF($L425="","",IF(INDEX(tblRegistros[Data],$L425)&gt;$D$4,"",IFERROR(INDEX(tblRegistros[Base],$L425),"")))</f>
        <v/>
      </c>
      <c r="H425" s="3">
        <f>IF($L425="","",IF(INDEX(tblRegistros[Data],$L425)&gt;$D$4,"",IFERROR(INDEX(tblRegistros[Taxa aplicada],$L425),"")))</f>
        <v/>
      </c>
      <c r="I425" s="3">
        <f>IF($L425="","",IF(INDEX(tblRegistros[Data],$L425)&gt;$D$4,"",IFERROR(IF(INDEX(tblRegistros[Status],$L425)="EM ABERTO","",INDEX(tblRegistros[Valor],$L425)),"")))</f>
        <v/>
      </c>
      <c r="J425">
        <f>IF($L425="","",IF(INDEX(tblRegistros[Data],$L425)&gt;$D$4,"",IFERROR(INDEX(tblRegistros[Status],$L425),"")))</f>
        <v/>
      </c>
      <c r="K425">
        <f>IF($L425="","",IF(INDEX(tblRegistros[Data],$L425)&gt;$D$4,"",IFERROR(INDEX(tblRegistros[Observação],$L425),"")))</f>
        <v/>
      </c>
      <c r="L425" s="16">
        <f>IFERROR(MATCH($B$3*100000+COUNTIFS(tblRegistros[ID],$B$3,tblRegistros[Data],"&lt;"&amp;$B$4)+ROWS($L$10:L425),tblRegistros[Chave do cartão],0),"")</f>
        <v/>
      </c>
    </row>
    <row r="426">
      <c r="A426" s="2">
        <f>IF($L426="","",IF(INDEX(tblRegistros[Data],$L426)&gt;$D$4,"",IFERROR(INDEX(tblRegistros[Data],$L426),"")))</f>
        <v/>
      </c>
      <c r="B426">
        <f>IF($L426="","",IF(INDEX(tblRegistros[Data],$L426)&gt;$D$4,"",IFERROR(INDEX(tblRegistros[Projeto],$L426),"")))</f>
        <v/>
      </c>
      <c r="C426">
        <f>IF($L426="","",IF(INDEX(tblRegistros[Data],$L426)&gt;$D$4,"",IFERROR(INDEX(tblRegistros[Atividade],$L426),"")))</f>
        <v/>
      </c>
      <c r="D426" s="4">
        <f>IF($L426="","",IF(INDEX(tblRegistros[Data],$L426)&gt;$D$4,"",IFERROR(INDEX(tblRegistros[Início],$L426),"")))</f>
        <v/>
      </c>
      <c r="E426" s="4">
        <f>IF($L426="","",IF(INDEX(tblRegistros[Data],$L426)&gt;$D$4,"",IFERROR(IF(INDEX(tblRegistros[Status],$L426)="EM ABERTO","",INDEX(tblRegistros[Fim],$L426)),"")))</f>
        <v/>
      </c>
      <c r="F426">
        <f>IF($L426="","",IF(INDEX(tblRegistros[Data],$L426)&gt;$D$4,"",IFERROR(IF(INDEX(tblRegistros[Status],$L426)="EM ABERTO","",INDEX(tblRegistros[Horas],$L426)),"")))</f>
        <v/>
      </c>
      <c r="G426">
        <f>IF($L426="","",IF(INDEX(tblRegistros[Data],$L426)&gt;$D$4,"",IFERROR(INDEX(tblRegistros[Base],$L426),"")))</f>
        <v/>
      </c>
      <c r="H426" s="3">
        <f>IF($L426="","",IF(INDEX(tblRegistros[Data],$L426)&gt;$D$4,"",IFERROR(INDEX(tblRegistros[Taxa aplicada],$L426),"")))</f>
        <v/>
      </c>
      <c r="I426" s="3">
        <f>IF($L426="","",IF(INDEX(tblRegistros[Data],$L426)&gt;$D$4,"",IFERROR(IF(INDEX(tblRegistros[Status],$L426)="EM ABERTO","",INDEX(tblRegistros[Valor],$L426)),"")))</f>
        <v/>
      </c>
      <c r="J426">
        <f>IF($L426="","",IF(INDEX(tblRegistros[Data],$L426)&gt;$D$4,"",IFERROR(INDEX(tblRegistros[Status],$L426),"")))</f>
        <v/>
      </c>
      <c r="K426">
        <f>IF($L426="","",IF(INDEX(tblRegistros[Data],$L426)&gt;$D$4,"",IFERROR(INDEX(tblRegistros[Observação],$L426),"")))</f>
        <v/>
      </c>
      <c r="L426" s="16">
        <f>IFERROR(MATCH($B$3*100000+COUNTIFS(tblRegistros[ID],$B$3,tblRegistros[Data],"&lt;"&amp;$B$4)+ROWS($L$10:L426),tblRegistros[Chave do cartão],0),"")</f>
        <v/>
      </c>
    </row>
    <row r="427">
      <c r="A427" s="2">
        <f>IF($L427="","",IF(INDEX(tblRegistros[Data],$L427)&gt;$D$4,"",IFERROR(INDEX(tblRegistros[Data],$L427),"")))</f>
        <v/>
      </c>
      <c r="B427">
        <f>IF($L427="","",IF(INDEX(tblRegistros[Data],$L427)&gt;$D$4,"",IFERROR(INDEX(tblRegistros[Projeto],$L427),"")))</f>
        <v/>
      </c>
      <c r="C427">
        <f>IF($L427="","",IF(INDEX(tblRegistros[Data],$L427)&gt;$D$4,"",IFERROR(INDEX(tblRegistros[Atividade],$L427),"")))</f>
        <v/>
      </c>
      <c r="D427" s="4">
        <f>IF($L427="","",IF(INDEX(tblRegistros[Data],$L427)&gt;$D$4,"",IFERROR(INDEX(tblRegistros[Início],$L427),"")))</f>
        <v/>
      </c>
      <c r="E427" s="4">
        <f>IF($L427="","",IF(INDEX(tblRegistros[Data],$L427)&gt;$D$4,"",IFERROR(IF(INDEX(tblRegistros[Status],$L427)="EM ABERTO","",INDEX(tblRegistros[Fim],$L427)),"")))</f>
        <v/>
      </c>
      <c r="F427">
        <f>IF($L427="","",IF(INDEX(tblRegistros[Data],$L427)&gt;$D$4,"",IFERROR(IF(INDEX(tblRegistros[Status],$L427)="EM ABERTO","",INDEX(tblRegistros[Horas],$L427)),"")))</f>
        <v/>
      </c>
      <c r="G427">
        <f>IF($L427="","",IF(INDEX(tblRegistros[Data],$L427)&gt;$D$4,"",IFERROR(INDEX(tblRegistros[Base],$L427),"")))</f>
        <v/>
      </c>
      <c r="H427" s="3">
        <f>IF($L427="","",IF(INDEX(tblRegistros[Data],$L427)&gt;$D$4,"",IFERROR(INDEX(tblRegistros[Taxa aplicada],$L427),"")))</f>
        <v/>
      </c>
      <c r="I427" s="3">
        <f>IF($L427="","",IF(INDEX(tblRegistros[Data],$L427)&gt;$D$4,"",IFERROR(IF(INDEX(tblRegistros[Status],$L427)="EM ABERTO","",INDEX(tblRegistros[Valor],$L427)),"")))</f>
        <v/>
      </c>
      <c r="J427">
        <f>IF($L427="","",IF(INDEX(tblRegistros[Data],$L427)&gt;$D$4,"",IFERROR(INDEX(tblRegistros[Status],$L427),"")))</f>
        <v/>
      </c>
      <c r="K427">
        <f>IF($L427="","",IF(INDEX(tblRegistros[Data],$L427)&gt;$D$4,"",IFERROR(INDEX(tblRegistros[Observação],$L427),"")))</f>
        <v/>
      </c>
      <c r="L427" s="16">
        <f>IFERROR(MATCH($B$3*100000+COUNTIFS(tblRegistros[ID],$B$3,tblRegistros[Data],"&lt;"&amp;$B$4)+ROWS($L$10:L427),tblRegistros[Chave do cartão],0),"")</f>
        <v/>
      </c>
    </row>
    <row r="428">
      <c r="A428" s="2">
        <f>IF($L428="","",IF(INDEX(tblRegistros[Data],$L428)&gt;$D$4,"",IFERROR(INDEX(tblRegistros[Data],$L428),"")))</f>
        <v/>
      </c>
      <c r="B428">
        <f>IF($L428="","",IF(INDEX(tblRegistros[Data],$L428)&gt;$D$4,"",IFERROR(INDEX(tblRegistros[Projeto],$L428),"")))</f>
        <v/>
      </c>
      <c r="C428">
        <f>IF($L428="","",IF(INDEX(tblRegistros[Data],$L428)&gt;$D$4,"",IFERROR(INDEX(tblRegistros[Atividade],$L428),"")))</f>
        <v/>
      </c>
      <c r="D428" s="4">
        <f>IF($L428="","",IF(INDEX(tblRegistros[Data],$L428)&gt;$D$4,"",IFERROR(INDEX(tblRegistros[Início],$L428),"")))</f>
        <v/>
      </c>
      <c r="E428" s="4">
        <f>IF($L428="","",IF(INDEX(tblRegistros[Data],$L428)&gt;$D$4,"",IFERROR(IF(INDEX(tblRegistros[Status],$L428)="EM ABERTO","",INDEX(tblRegistros[Fim],$L428)),"")))</f>
        <v/>
      </c>
      <c r="F428">
        <f>IF($L428="","",IF(INDEX(tblRegistros[Data],$L428)&gt;$D$4,"",IFERROR(IF(INDEX(tblRegistros[Status],$L428)="EM ABERTO","",INDEX(tblRegistros[Horas],$L428)),"")))</f>
        <v/>
      </c>
      <c r="G428">
        <f>IF($L428="","",IF(INDEX(tblRegistros[Data],$L428)&gt;$D$4,"",IFERROR(INDEX(tblRegistros[Base],$L428),"")))</f>
        <v/>
      </c>
      <c r="H428" s="3">
        <f>IF($L428="","",IF(INDEX(tblRegistros[Data],$L428)&gt;$D$4,"",IFERROR(INDEX(tblRegistros[Taxa aplicada],$L428),"")))</f>
        <v/>
      </c>
      <c r="I428" s="3">
        <f>IF($L428="","",IF(INDEX(tblRegistros[Data],$L428)&gt;$D$4,"",IFERROR(IF(INDEX(tblRegistros[Status],$L428)="EM ABERTO","",INDEX(tblRegistros[Valor],$L428)),"")))</f>
        <v/>
      </c>
      <c r="J428">
        <f>IF($L428="","",IF(INDEX(tblRegistros[Data],$L428)&gt;$D$4,"",IFERROR(INDEX(tblRegistros[Status],$L428),"")))</f>
        <v/>
      </c>
      <c r="K428">
        <f>IF($L428="","",IF(INDEX(tblRegistros[Data],$L428)&gt;$D$4,"",IFERROR(INDEX(tblRegistros[Observação],$L428),"")))</f>
        <v/>
      </c>
      <c r="L428" s="16">
        <f>IFERROR(MATCH($B$3*100000+COUNTIFS(tblRegistros[ID],$B$3,tblRegistros[Data],"&lt;"&amp;$B$4)+ROWS($L$10:L428),tblRegistros[Chave do cartão],0),"")</f>
        <v/>
      </c>
    </row>
    <row r="429">
      <c r="A429" s="2">
        <f>IF($L429="","",IF(INDEX(tblRegistros[Data],$L429)&gt;$D$4,"",IFERROR(INDEX(tblRegistros[Data],$L429),"")))</f>
        <v/>
      </c>
      <c r="B429">
        <f>IF($L429="","",IF(INDEX(tblRegistros[Data],$L429)&gt;$D$4,"",IFERROR(INDEX(tblRegistros[Projeto],$L429),"")))</f>
        <v/>
      </c>
      <c r="C429">
        <f>IF($L429="","",IF(INDEX(tblRegistros[Data],$L429)&gt;$D$4,"",IFERROR(INDEX(tblRegistros[Atividade],$L429),"")))</f>
        <v/>
      </c>
      <c r="D429" s="4">
        <f>IF($L429="","",IF(INDEX(tblRegistros[Data],$L429)&gt;$D$4,"",IFERROR(INDEX(tblRegistros[Início],$L429),"")))</f>
        <v/>
      </c>
      <c r="E429" s="4">
        <f>IF($L429="","",IF(INDEX(tblRegistros[Data],$L429)&gt;$D$4,"",IFERROR(IF(INDEX(tblRegistros[Status],$L429)="EM ABERTO","",INDEX(tblRegistros[Fim],$L429)),"")))</f>
        <v/>
      </c>
      <c r="F429">
        <f>IF($L429="","",IF(INDEX(tblRegistros[Data],$L429)&gt;$D$4,"",IFERROR(IF(INDEX(tblRegistros[Status],$L429)="EM ABERTO","",INDEX(tblRegistros[Horas],$L429)),"")))</f>
        <v/>
      </c>
      <c r="G429">
        <f>IF($L429="","",IF(INDEX(tblRegistros[Data],$L429)&gt;$D$4,"",IFERROR(INDEX(tblRegistros[Base],$L429),"")))</f>
        <v/>
      </c>
      <c r="H429" s="3">
        <f>IF($L429="","",IF(INDEX(tblRegistros[Data],$L429)&gt;$D$4,"",IFERROR(INDEX(tblRegistros[Taxa aplicada],$L429),"")))</f>
        <v/>
      </c>
      <c r="I429" s="3">
        <f>IF($L429="","",IF(INDEX(tblRegistros[Data],$L429)&gt;$D$4,"",IFERROR(IF(INDEX(tblRegistros[Status],$L429)="EM ABERTO","",INDEX(tblRegistros[Valor],$L429)),"")))</f>
        <v/>
      </c>
      <c r="J429">
        <f>IF($L429="","",IF(INDEX(tblRegistros[Data],$L429)&gt;$D$4,"",IFERROR(INDEX(tblRegistros[Status],$L429),"")))</f>
        <v/>
      </c>
      <c r="K429">
        <f>IF($L429="","",IF(INDEX(tblRegistros[Data],$L429)&gt;$D$4,"",IFERROR(INDEX(tblRegistros[Observação],$L429),"")))</f>
        <v/>
      </c>
      <c r="L429" s="16">
        <f>IFERROR(MATCH($B$3*100000+COUNTIFS(tblRegistros[ID],$B$3,tblRegistros[Data],"&lt;"&amp;$B$4)+ROWS($L$10:L429),tblRegistros[Chave do cartão],0),"")</f>
        <v/>
      </c>
    </row>
    <row r="430">
      <c r="A430" s="2">
        <f>IF($L430="","",IF(INDEX(tblRegistros[Data],$L430)&gt;$D$4,"",IFERROR(INDEX(tblRegistros[Data],$L430),"")))</f>
        <v/>
      </c>
      <c r="B430">
        <f>IF($L430="","",IF(INDEX(tblRegistros[Data],$L430)&gt;$D$4,"",IFERROR(INDEX(tblRegistros[Projeto],$L430),"")))</f>
        <v/>
      </c>
      <c r="C430">
        <f>IF($L430="","",IF(INDEX(tblRegistros[Data],$L430)&gt;$D$4,"",IFERROR(INDEX(tblRegistros[Atividade],$L430),"")))</f>
        <v/>
      </c>
      <c r="D430" s="4">
        <f>IF($L430="","",IF(INDEX(tblRegistros[Data],$L430)&gt;$D$4,"",IFERROR(INDEX(tblRegistros[Início],$L430),"")))</f>
        <v/>
      </c>
      <c r="E430" s="4">
        <f>IF($L430="","",IF(INDEX(tblRegistros[Data],$L430)&gt;$D$4,"",IFERROR(IF(INDEX(tblRegistros[Status],$L430)="EM ABERTO","",INDEX(tblRegistros[Fim],$L430)),"")))</f>
        <v/>
      </c>
      <c r="F430">
        <f>IF($L430="","",IF(INDEX(tblRegistros[Data],$L430)&gt;$D$4,"",IFERROR(IF(INDEX(tblRegistros[Status],$L430)="EM ABERTO","",INDEX(tblRegistros[Horas],$L430)),"")))</f>
        <v/>
      </c>
      <c r="G430">
        <f>IF($L430="","",IF(INDEX(tblRegistros[Data],$L430)&gt;$D$4,"",IFERROR(INDEX(tblRegistros[Base],$L430),"")))</f>
        <v/>
      </c>
      <c r="H430" s="3">
        <f>IF($L430="","",IF(INDEX(tblRegistros[Data],$L430)&gt;$D$4,"",IFERROR(INDEX(tblRegistros[Taxa aplicada],$L430),"")))</f>
        <v/>
      </c>
      <c r="I430" s="3">
        <f>IF($L430="","",IF(INDEX(tblRegistros[Data],$L430)&gt;$D$4,"",IFERROR(IF(INDEX(tblRegistros[Status],$L430)="EM ABERTO","",INDEX(tblRegistros[Valor],$L430)),"")))</f>
        <v/>
      </c>
      <c r="J430">
        <f>IF($L430="","",IF(INDEX(tblRegistros[Data],$L430)&gt;$D$4,"",IFERROR(INDEX(tblRegistros[Status],$L430),"")))</f>
        <v/>
      </c>
      <c r="K430">
        <f>IF($L430="","",IF(INDEX(tblRegistros[Data],$L430)&gt;$D$4,"",IFERROR(INDEX(tblRegistros[Observação],$L430),"")))</f>
        <v/>
      </c>
      <c r="L430" s="16">
        <f>IFERROR(MATCH($B$3*100000+COUNTIFS(tblRegistros[ID],$B$3,tblRegistros[Data],"&lt;"&amp;$B$4)+ROWS($L$10:L430),tblRegistros[Chave do cartão],0),"")</f>
        <v/>
      </c>
    </row>
    <row r="431">
      <c r="A431" s="2">
        <f>IF($L431="","",IF(INDEX(tblRegistros[Data],$L431)&gt;$D$4,"",IFERROR(INDEX(tblRegistros[Data],$L431),"")))</f>
        <v/>
      </c>
      <c r="B431">
        <f>IF($L431="","",IF(INDEX(tblRegistros[Data],$L431)&gt;$D$4,"",IFERROR(INDEX(tblRegistros[Projeto],$L431),"")))</f>
        <v/>
      </c>
      <c r="C431">
        <f>IF($L431="","",IF(INDEX(tblRegistros[Data],$L431)&gt;$D$4,"",IFERROR(INDEX(tblRegistros[Atividade],$L431),"")))</f>
        <v/>
      </c>
      <c r="D431" s="4">
        <f>IF($L431="","",IF(INDEX(tblRegistros[Data],$L431)&gt;$D$4,"",IFERROR(INDEX(tblRegistros[Início],$L431),"")))</f>
        <v/>
      </c>
      <c r="E431" s="4">
        <f>IF($L431="","",IF(INDEX(tblRegistros[Data],$L431)&gt;$D$4,"",IFERROR(IF(INDEX(tblRegistros[Status],$L431)="EM ABERTO","",INDEX(tblRegistros[Fim],$L431)),"")))</f>
        <v/>
      </c>
      <c r="F431">
        <f>IF($L431="","",IF(INDEX(tblRegistros[Data],$L431)&gt;$D$4,"",IFERROR(IF(INDEX(tblRegistros[Status],$L431)="EM ABERTO","",INDEX(tblRegistros[Horas],$L431)),"")))</f>
        <v/>
      </c>
      <c r="G431">
        <f>IF($L431="","",IF(INDEX(tblRegistros[Data],$L431)&gt;$D$4,"",IFERROR(INDEX(tblRegistros[Base],$L431),"")))</f>
        <v/>
      </c>
      <c r="H431" s="3">
        <f>IF($L431="","",IF(INDEX(tblRegistros[Data],$L431)&gt;$D$4,"",IFERROR(INDEX(tblRegistros[Taxa aplicada],$L431),"")))</f>
        <v/>
      </c>
      <c r="I431" s="3">
        <f>IF($L431="","",IF(INDEX(tblRegistros[Data],$L431)&gt;$D$4,"",IFERROR(IF(INDEX(tblRegistros[Status],$L431)="EM ABERTO","",INDEX(tblRegistros[Valor],$L431)),"")))</f>
        <v/>
      </c>
      <c r="J431">
        <f>IF($L431="","",IF(INDEX(tblRegistros[Data],$L431)&gt;$D$4,"",IFERROR(INDEX(tblRegistros[Status],$L431),"")))</f>
        <v/>
      </c>
      <c r="K431">
        <f>IF($L431="","",IF(INDEX(tblRegistros[Data],$L431)&gt;$D$4,"",IFERROR(INDEX(tblRegistros[Observação],$L431),"")))</f>
        <v/>
      </c>
      <c r="L431" s="16">
        <f>IFERROR(MATCH($B$3*100000+COUNTIFS(tblRegistros[ID],$B$3,tblRegistros[Data],"&lt;"&amp;$B$4)+ROWS($L$10:L431),tblRegistros[Chave do cartão],0),"")</f>
        <v/>
      </c>
    </row>
    <row r="432">
      <c r="A432" s="2">
        <f>IF($L432="","",IF(INDEX(tblRegistros[Data],$L432)&gt;$D$4,"",IFERROR(INDEX(tblRegistros[Data],$L432),"")))</f>
        <v/>
      </c>
      <c r="B432">
        <f>IF($L432="","",IF(INDEX(tblRegistros[Data],$L432)&gt;$D$4,"",IFERROR(INDEX(tblRegistros[Projeto],$L432),"")))</f>
        <v/>
      </c>
      <c r="C432">
        <f>IF($L432="","",IF(INDEX(tblRegistros[Data],$L432)&gt;$D$4,"",IFERROR(INDEX(tblRegistros[Atividade],$L432),"")))</f>
        <v/>
      </c>
      <c r="D432" s="4">
        <f>IF($L432="","",IF(INDEX(tblRegistros[Data],$L432)&gt;$D$4,"",IFERROR(INDEX(tblRegistros[Início],$L432),"")))</f>
        <v/>
      </c>
      <c r="E432" s="4">
        <f>IF($L432="","",IF(INDEX(tblRegistros[Data],$L432)&gt;$D$4,"",IFERROR(IF(INDEX(tblRegistros[Status],$L432)="EM ABERTO","",INDEX(tblRegistros[Fim],$L432)),"")))</f>
        <v/>
      </c>
      <c r="F432">
        <f>IF($L432="","",IF(INDEX(tblRegistros[Data],$L432)&gt;$D$4,"",IFERROR(IF(INDEX(tblRegistros[Status],$L432)="EM ABERTO","",INDEX(tblRegistros[Horas],$L432)),"")))</f>
        <v/>
      </c>
      <c r="G432">
        <f>IF($L432="","",IF(INDEX(tblRegistros[Data],$L432)&gt;$D$4,"",IFERROR(INDEX(tblRegistros[Base],$L432),"")))</f>
        <v/>
      </c>
      <c r="H432" s="3">
        <f>IF($L432="","",IF(INDEX(tblRegistros[Data],$L432)&gt;$D$4,"",IFERROR(INDEX(tblRegistros[Taxa aplicada],$L432),"")))</f>
        <v/>
      </c>
      <c r="I432" s="3">
        <f>IF($L432="","",IF(INDEX(tblRegistros[Data],$L432)&gt;$D$4,"",IFERROR(IF(INDEX(tblRegistros[Status],$L432)="EM ABERTO","",INDEX(tblRegistros[Valor],$L432)),"")))</f>
        <v/>
      </c>
      <c r="J432">
        <f>IF($L432="","",IF(INDEX(tblRegistros[Data],$L432)&gt;$D$4,"",IFERROR(INDEX(tblRegistros[Status],$L432),"")))</f>
        <v/>
      </c>
      <c r="K432">
        <f>IF($L432="","",IF(INDEX(tblRegistros[Data],$L432)&gt;$D$4,"",IFERROR(INDEX(tblRegistros[Observação],$L432),"")))</f>
        <v/>
      </c>
      <c r="L432" s="16">
        <f>IFERROR(MATCH($B$3*100000+COUNTIFS(tblRegistros[ID],$B$3,tblRegistros[Data],"&lt;"&amp;$B$4)+ROWS($L$10:L432),tblRegistros[Chave do cartão],0),"")</f>
        <v/>
      </c>
    </row>
    <row r="433">
      <c r="A433" s="2">
        <f>IF($L433="","",IF(INDEX(tblRegistros[Data],$L433)&gt;$D$4,"",IFERROR(INDEX(tblRegistros[Data],$L433),"")))</f>
        <v/>
      </c>
      <c r="B433">
        <f>IF($L433="","",IF(INDEX(tblRegistros[Data],$L433)&gt;$D$4,"",IFERROR(INDEX(tblRegistros[Projeto],$L433),"")))</f>
        <v/>
      </c>
      <c r="C433">
        <f>IF($L433="","",IF(INDEX(tblRegistros[Data],$L433)&gt;$D$4,"",IFERROR(INDEX(tblRegistros[Atividade],$L433),"")))</f>
        <v/>
      </c>
      <c r="D433" s="4">
        <f>IF($L433="","",IF(INDEX(tblRegistros[Data],$L433)&gt;$D$4,"",IFERROR(INDEX(tblRegistros[Início],$L433),"")))</f>
        <v/>
      </c>
      <c r="E433" s="4">
        <f>IF($L433="","",IF(INDEX(tblRegistros[Data],$L433)&gt;$D$4,"",IFERROR(IF(INDEX(tblRegistros[Status],$L433)="EM ABERTO","",INDEX(tblRegistros[Fim],$L433)),"")))</f>
        <v/>
      </c>
      <c r="F433">
        <f>IF($L433="","",IF(INDEX(tblRegistros[Data],$L433)&gt;$D$4,"",IFERROR(IF(INDEX(tblRegistros[Status],$L433)="EM ABERTO","",INDEX(tblRegistros[Horas],$L433)),"")))</f>
        <v/>
      </c>
      <c r="G433">
        <f>IF($L433="","",IF(INDEX(tblRegistros[Data],$L433)&gt;$D$4,"",IFERROR(INDEX(tblRegistros[Base],$L433),"")))</f>
        <v/>
      </c>
      <c r="H433" s="3">
        <f>IF($L433="","",IF(INDEX(tblRegistros[Data],$L433)&gt;$D$4,"",IFERROR(INDEX(tblRegistros[Taxa aplicada],$L433),"")))</f>
        <v/>
      </c>
      <c r="I433" s="3">
        <f>IF($L433="","",IF(INDEX(tblRegistros[Data],$L433)&gt;$D$4,"",IFERROR(IF(INDEX(tblRegistros[Status],$L433)="EM ABERTO","",INDEX(tblRegistros[Valor],$L433)),"")))</f>
        <v/>
      </c>
      <c r="J433">
        <f>IF($L433="","",IF(INDEX(tblRegistros[Data],$L433)&gt;$D$4,"",IFERROR(INDEX(tblRegistros[Status],$L433),"")))</f>
        <v/>
      </c>
      <c r="K433">
        <f>IF($L433="","",IF(INDEX(tblRegistros[Data],$L433)&gt;$D$4,"",IFERROR(INDEX(tblRegistros[Observação],$L433),"")))</f>
        <v/>
      </c>
      <c r="L433" s="16">
        <f>IFERROR(MATCH($B$3*100000+COUNTIFS(tblRegistros[ID],$B$3,tblRegistros[Data],"&lt;"&amp;$B$4)+ROWS($L$10:L433),tblRegistros[Chave do cartão],0),"")</f>
        <v/>
      </c>
    </row>
    <row r="434">
      <c r="A434" s="2">
        <f>IF($L434="","",IF(INDEX(tblRegistros[Data],$L434)&gt;$D$4,"",IFERROR(INDEX(tblRegistros[Data],$L434),"")))</f>
        <v/>
      </c>
      <c r="B434">
        <f>IF($L434="","",IF(INDEX(tblRegistros[Data],$L434)&gt;$D$4,"",IFERROR(INDEX(tblRegistros[Projeto],$L434),"")))</f>
        <v/>
      </c>
      <c r="C434">
        <f>IF($L434="","",IF(INDEX(tblRegistros[Data],$L434)&gt;$D$4,"",IFERROR(INDEX(tblRegistros[Atividade],$L434),"")))</f>
        <v/>
      </c>
      <c r="D434" s="4">
        <f>IF($L434="","",IF(INDEX(tblRegistros[Data],$L434)&gt;$D$4,"",IFERROR(INDEX(tblRegistros[Início],$L434),"")))</f>
        <v/>
      </c>
      <c r="E434" s="4">
        <f>IF($L434="","",IF(INDEX(tblRegistros[Data],$L434)&gt;$D$4,"",IFERROR(IF(INDEX(tblRegistros[Status],$L434)="EM ABERTO","",INDEX(tblRegistros[Fim],$L434)),"")))</f>
        <v/>
      </c>
      <c r="F434">
        <f>IF($L434="","",IF(INDEX(tblRegistros[Data],$L434)&gt;$D$4,"",IFERROR(IF(INDEX(tblRegistros[Status],$L434)="EM ABERTO","",INDEX(tblRegistros[Horas],$L434)),"")))</f>
        <v/>
      </c>
      <c r="G434">
        <f>IF($L434="","",IF(INDEX(tblRegistros[Data],$L434)&gt;$D$4,"",IFERROR(INDEX(tblRegistros[Base],$L434),"")))</f>
        <v/>
      </c>
      <c r="H434" s="3">
        <f>IF($L434="","",IF(INDEX(tblRegistros[Data],$L434)&gt;$D$4,"",IFERROR(INDEX(tblRegistros[Taxa aplicada],$L434),"")))</f>
        <v/>
      </c>
      <c r="I434" s="3">
        <f>IF($L434="","",IF(INDEX(tblRegistros[Data],$L434)&gt;$D$4,"",IFERROR(IF(INDEX(tblRegistros[Status],$L434)="EM ABERTO","",INDEX(tblRegistros[Valor],$L434)),"")))</f>
        <v/>
      </c>
      <c r="J434">
        <f>IF($L434="","",IF(INDEX(tblRegistros[Data],$L434)&gt;$D$4,"",IFERROR(INDEX(tblRegistros[Status],$L434),"")))</f>
        <v/>
      </c>
      <c r="K434">
        <f>IF($L434="","",IF(INDEX(tblRegistros[Data],$L434)&gt;$D$4,"",IFERROR(INDEX(tblRegistros[Observação],$L434),"")))</f>
        <v/>
      </c>
      <c r="L434" s="16">
        <f>IFERROR(MATCH($B$3*100000+COUNTIFS(tblRegistros[ID],$B$3,tblRegistros[Data],"&lt;"&amp;$B$4)+ROWS($L$10:L434),tblRegistros[Chave do cartão],0),"")</f>
        <v/>
      </c>
    </row>
    <row r="435">
      <c r="A435" s="2">
        <f>IF($L435="","",IF(INDEX(tblRegistros[Data],$L435)&gt;$D$4,"",IFERROR(INDEX(tblRegistros[Data],$L435),"")))</f>
        <v/>
      </c>
      <c r="B435">
        <f>IF($L435="","",IF(INDEX(tblRegistros[Data],$L435)&gt;$D$4,"",IFERROR(INDEX(tblRegistros[Projeto],$L435),"")))</f>
        <v/>
      </c>
      <c r="C435">
        <f>IF($L435="","",IF(INDEX(tblRegistros[Data],$L435)&gt;$D$4,"",IFERROR(INDEX(tblRegistros[Atividade],$L435),"")))</f>
        <v/>
      </c>
      <c r="D435" s="4">
        <f>IF($L435="","",IF(INDEX(tblRegistros[Data],$L435)&gt;$D$4,"",IFERROR(INDEX(tblRegistros[Início],$L435),"")))</f>
        <v/>
      </c>
      <c r="E435" s="4">
        <f>IF($L435="","",IF(INDEX(tblRegistros[Data],$L435)&gt;$D$4,"",IFERROR(IF(INDEX(tblRegistros[Status],$L435)="EM ABERTO","",INDEX(tblRegistros[Fim],$L435)),"")))</f>
        <v/>
      </c>
      <c r="F435">
        <f>IF($L435="","",IF(INDEX(tblRegistros[Data],$L435)&gt;$D$4,"",IFERROR(IF(INDEX(tblRegistros[Status],$L435)="EM ABERTO","",INDEX(tblRegistros[Horas],$L435)),"")))</f>
        <v/>
      </c>
      <c r="G435">
        <f>IF($L435="","",IF(INDEX(tblRegistros[Data],$L435)&gt;$D$4,"",IFERROR(INDEX(tblRegistros[Base],$L435),"")))</f>
        <v/>
      </c>
      <c r="H435" s="3">
        <f>IF($L435="","",IF(INDEX(tblRegistros[Data],$L435)&gt;$D$4,"",IFERROR(INDEX(tblRegistros[Taxa aplicada],$L435),"")))</f>
        <v/>
      </c>
      <c r="I435" s="3">
        <f>IF($L435="","",IF(INDEX(tblRegistros[Data],$L435)&gt;$D$4,"",IFERROR(IF(INDEX(tblRegistros[Status],$L435)="EM ABERTO","",INDEX(tblRegistros[Valor],$L435)),"")))</f>
        <v/>
      </c>
      <c r="J435">
        <f>IF($L435="","",IF(INDEX(tblRegistros[Data],$L435)&gt;$D$4,"",IFERROR(INDEX(tblRegistros[Status],$L435),"")))</f>
        <v/>
      </c>
      <c r="K435">
        <f>IF($L435="","",IF(INDEX(tblRegistros[Data],$L435)&gt;$D$4,"",IFERROR(INDEX(tblRegistros[Observação],$L435),"")))</f>
        <v/>
      </c>
      <c r="L435" s="16">
        <f>IFERROR(MATCH($B$3*100000+COUNTIFS(tblRegistros[ID],$B$3,tblRegistros[Data],"&lt;"&amp;$B$4)+ROWS($L$10:L435),tblRegistros[Chave do cartão],0),"")</f>
        <v/>
      </c>
    </row>
    <row r="436">
      <c r="A436" s="2">
        <f>IF($L436="","",IF(INDEX(tblRegistros[Data],$L436)&gt;$D$4,"",IFERROR(INDEX(tblRegistros[Data],$L436),"")))</f>
        <v/>
      </c>
      <c r="B436">
        <f>IF($L436="","",IF(INDEX(tblRegistros[Data],$L436)&gt;$D$4,"",IFERROR(INDEX(tblRegistros[Projeto],$L436),"")))</f>
        <v/>
      </c>
      <c r="C436">
        <f>IF($L436="","",IF(INDEX(tblRegistros[Data],$L436)&gt;$D$4,"",IFERROR(INDEX(tblRegistros[Atividade],$L436),"")))</f>
        <v/>
      </c>
      <c r="D436" s="4">
        <f>IF($L436="","",IF(INDEX(tblRegistros[Data],$L436)&gt;$D$4,"",IFERROR(INDEX(tblRegistros[Início],$L436),"")))</f>
        <v/>
      </c>
      <c r="E436" s="4">
        <f>IF($L436="","",IF(INDEX(tblRegistros[Data],$L436)&gt;$D$4,"",IFERROR(IF(INDEX(tblRegistros[Status],$L436)="EM ABERTO","",INDEX(tblRegistros[Fim],$L436)),"")))</f>
        <v/>
      </c>
      <c r="F436">
        <f>IF($L436="","",IF(INDEX(tblRegistros[Data],$L436)&gt;$D$4,"",IFERROR(IF(INDEX(tblRegistros[Status],$L436)="EM ABERTO","",INDEX(tblRegistros[Horas],$L436)),"")))</f>
        <v/>
      </c>
      <c r="G436">
        <f>IF($L436="","",IF(INDEX(tblRegistros[Data],$L436)&gt;$D$4,"",IFERROR(INDEX(tblRegistros[Base],$L436),"")))</f>
        <v/>
      </c>
      <c r="H436" s="3">
        <f>IF($L436="","",IF(INDEX(tblRegistros[Data],$L436)&gt;$D$4,"",IFERROR(INDEX(tblRegistros[Taxa aplicada],$L436),"")))</f>
        <v/>
      </c>
      <c r="I436" s="3">
        <f>IF($L436="","",IF(INDEX(tblRegistros[Data],$L436)&gt;$D$4,"",IFERROR(IF(INDEX(tblRegistros[Status],$L436)="EM ABERTO","",INDEX(tblRegistros[Valor],$L436)),"")))</f>
        <v/>
      </c>
      <c r="J436">
        <f>IF($L436="","",IF(INDEX(tblRegistros[Data],$L436)&gt;$D$4,"",IFERROR(INDEX(tblRegistros[Status],$L436),"")))</f>
        <v/>
      </c>
      <c r="K436">
        <f>IF($L436="","",IF(INDEX(tblRegistros[Data],$L436)&gt;$D$4,"",IFERROR(INDEX(tblRegistros[Observação],$L436),"")))</f>
        <v/>
      </c>
      <c r="L436" s="16">
        <f>IFERROR(MATCH($B$3*100000+COUNTIFS(tblRegistros[ID],$B$3,tblRegistros[Data],"&lt;"&amp;$B$4)+ROWS($L$10:L436),tblRegistros[Chave do cartão],0),"")</f>
        <v/>
      </c>
    </row>
    <row r="437">
      <c r="A437" s="2">
        <f>IF($L437="","",IF(INDEX(tblRegistros[Data],$L437)&gt;$D$4,"",IFERROR(INDEX(tblRegistros[Data],$L437),"")))</f>
        <v/>
      </c>
      <c r="B437">
        <f>IF($L437="","",IF(INDEX(tblRegistros[Data],$L437)&gt;$D$4,"",IFERROR(INDEX(tblRegistros[Projeto],$L437),"")))</f>
        <v/>
      </c>
      <c r="C437">
        <f>IF($L437="","",IF(INDEX(tblRegistros[Data],$L437)&gt;$D$4,"",IFERROR(INDEX(tblRegistros[Atividade],$L437),"")))</f>
        <v/>
      </c>
      <c r="D437" s="4">
        <f>IF($L437="","",IF(INDEX(tblRegistros[Data],$L437)&gt;$D$4,"",IFERROR(INDEX(tblRegistros[Início],$L437),"")))</f>
        <v/>
      </c>
      <c r="E437" s="4">
        <f>IF($L437="","",IF(INDEX(tblRegistros[Data],$L437)&gt;$D$4,"",IFERROR(IF(INDEX(tblRegistros[Status],$L437)="EM ABERTO","",INDEX(tblRegistros[Fim],$L437)),"")))</f>
        <v/>
      </c>
      <c r="F437">
        <f>IF($L437="","",IF(INDEX(tblRegistros[Data],$L437)&gt;$D$4,"",IFERROR(IF(INDEX(tblRegistros[Status],$L437)="EM ABERTO","",INDEX(tblRegistros[Horas],$L437)),"")))</f>
        <v/>
      </c>
      <c r="G437">
        <f>IF($L437="","",IF(INDEX(tblRegistros[Data],$L437)&gt;$D$4,"",IFERROR(INDEX(tblRegistros[Base],$L437),"")))</f>
        <v/>
      </c>
      <c r="H437" s="3">
        <f>IF($L437="","",IF(INDEX(tblRegistros[Data],$L437)&gt;$D$4,"",IFERROR(INDEX(tblRegistros[Taxa aplicada],$L437),"")))</f>
        <v/>
      </c>
      <c r="I437" s="3">
        <f>IF($L437="","",IF(INDEX(tblRegistros[Data],$L437)&gt;$D$4,"",IFERROR(IF(INDEX(tblRegistros[Status],$L437)="EM ABERTO","",INDEX(tblRegistros[Valor],$L437)),"")))</f>
        <v/>
      </c>
      <c r="J437">
        <f>IF($L437="","",IF(INDEX(tblRegistros[Data],$L437)&gt;$D$4,"",IFERROR(INDEX(tblRegistros[Status],$L437),"")))</f>
        <v/>
      </c>
      <c r="K437">
        <f>IF($L437="","",IF(INDEX(tblRegistros[Data],$L437)&gt;$D$4,"",IFERROR(INDEX(tblRegistros[Observação],$L437),"")))</f>
        <v/>
      </c>
      <c r="L437" s="16">
        <f>IFERROR(MATCH($B$3*100000+COUNTIFS(tblRegistros[ID],$B$3,tblRegistros[Data],"&lt;"&amp;$B$4)+ROWS($L$10:L437),tblRegistros[Chave do cartão],0),"")</f>
        <v/>
      </c>
    </row>
    <row r="438">
      <c r="A438" s="2">
        <f>IF($L438="","",IF(INDEX(tblRegistros[Data],$L438)&gt;$D$4,"",IFERROR(INDEX(tblRegistros[Data],$L438),"")))</f>
        <v/>
      </c>
      <c r="B438">
        <f>IF($L438="","",IF(INDEX(tblRegistros[Data],$L438)&gt;$D$4,"",IFERROR(INDEX(tblRegistros[Projeto],$L438),"")))</f>
        <v/>
      </c>
      <c r="C438">
        <f>IF($L438="","",IF(INDEX(tblRegistros[Data],$L438)&gt;$D$4,"",IFERROR(INDEX(tblRegistros[Atividade],$L438),"")))</f>
        <v/>
      </c>
      <c r="D438" s="4">
        <f>IF($L438="","",IF(INDEX(tblRegistros[Data],$L438)&gt;$D$4,"",IFERROR(INDEX(tblRegistros[Início],$L438),"")))</f>
        <v/>
      </c>
      <c r="E438" s="4">
        <f>IF($L438="","",IF(INDEX(tblRegistros[Data],$L438)&gt;$D$4,"",IFERROR(IF(INDEX(tblRegistros[Status],$L438)="EM ABERTO","",INDEX(tblRegistros[Fim],$L438)),"")))</f>
        <v/>
      </c>
      <c r="F438">
        <f>IF($L438="","",IF(INDEX(tblRegistros[Data],$L438)&gt;$D$4,"",IFERROR(IF(INDEX(tblRegistros[Status],$L438)="EM ABERTO","",INDEX(tblRegistros[Horas],$L438)),"")))</f>
        <v/>
      </c>
      <c r="G438">
        <f>IF($L438="","",IF(INDEX(tblRegistros[Data],$L438)&gt;$D$4,"",IFERROR(INDEX(tblRegistros[Base],$L438),"")))</f>
        <v/>
      </c>
      <c r="H438" s="3">
        <f>IF($L438="","",IF(INDEX(tblRegistros[Data],$L438)&gt;$D$4,"",IFERROR(INDEX(tblRegistros[Taxa aplicada],$L438),"")))</f>
        <v/>
      </c>
      <c r="I438" s="3">
        <f>IF($L438="","",IF(INDEX(tblRegistros[Data],$L438)&gt;$D$4,"",IFERROR(IF(INDEX(tblRegistros[Status],$L438)="EM ABERTO","",INDEX(tblRegistros[Valor],$L438)),"")))</f>
        <v/>
      </c>
      <c r="J438">
        <f>IF($L438="","",IF(INDEX(tblRegistros[Data],$L438)&gt;$D$4,"",IFERROR(INDEX(tblRegistros[Status],$L438),"")))</f>
        <v/>
      </c>
      <c r="K438">
        <f>IF($L438="","",IF(INDEX(tblRegistros[Data],$L438)&gt;$D$4,"",IFERROR(INDEX(tblRegistros[Observação],$L438),"")))</f>
        <v/>
      </c>
      <c r="L438" s="16">
        <f>IFERROR(MATCH($B$3*100000+COUNTIFS(tblRegistros[ID],$B$3,tblRegistros[Data],"&lt;"&amp;$B$4)+ROWS($L$10:L438),tblRegistros[Chave do cartão],0),"")</f>
        <v/>
      </c>
    </row>
    <row r="439">
      <c r="A439" s="2">
        <f>IF($L439="","",IF(INDEX(tblRegistros[Data],$L439)&gt;$D$4,"",IFERROR(INDEX(tblRegistros[Data],$L439),"")))</f>
        <v/>
      </c>
      <c r="B439">
        <f>IF($L439="","",IF(INDEX(tblRegistros[Data],$L439)&gt;$D$4,"",IFERROR(INDEX(tblRegistros[Projeto],$L439),"")))</f>
        <v/>
      </c>
      <c r="C439">
        <f>IF($L439="","",IF(INDEX(tblRegistros[Data],$L439)&gt;$D$4,"",IFERROR(INDEX(tblRegistros[Atividade],$L439),"")))</f>
        <v/>
      </c>
      <c r="D439" s="4">
        <f>IF($L439="","",IF(INDEX(tblRegistros[Data],$L439)&gt;$D$4,"",IFERROR(INDEX(tblRegistros[Início],$L439),"")))</f>
        <v/>
      </c>
      <c r="E439" s="4">
        <f>IF($L439="","",IF(INDEX(tblRegistros[Data],$L439)&gt;$D$4,"",IFERROR(IF(INDEX(tblRegistros[Status],$L439)="EM ABERTO","",INDEX(tblRegistros[Fim],$L439)),"")))</f>
        <v/>
      </c>
      <c r="F439">
        <f>IF($L439="","",IF(INDEX(tblRegistros[Data],$L439)&gt;$D$4,"",IFERROR(IF(INDEX(tblRegistros[Status],$L439)="EM ABERTO","",INDEX(tblRegistros[Horas],$L439)),"")))</f>
        <v/>
      </c>
      <c r="G439">
        <f>IF($L439="","",IF(INDEX(tblRegistros[Data],$L439)&gt;$D$4,"",IFERROR(INDEX(tblRegistros[Base],$L439),"")))</f>
        <v/>
      </c>
      <c r="H439" s="3">
        <f>IF($L439="","",IF(INDEX(tblRegistros[Data],$L439)&gt;$D$4,"",IFERROR(INDEX(tblRegistros[Taxa aplicada],$L439),"")))</f>
        <v/>
      </c>
      <c r="I439" s="3">
        <f>IF($L439="","",IF(INDEX(tblRegistros[Data],$L439)&gt;$D$4,"",IFERROR(IF(INDEX(tblRegistros[Status],$L439)="EM ABERTO","",INDEX(tblRegistros[Valor],$L439)),"")))</f>
        <v/>
      </c>
      <c r="J439">
        <f>IF($L439="","",IF(INDEX(tblRegistros[Data],$L439)&gt;$D$4,"",IFERROR(INDEX(tblRegistros[Status],$L439),"")))</f>
        <v/>
      </c>
      <c r="K439">
        <f>IF($L439="","",IF(INDEX(tblRegistros[Data],$L439)&gt;$D$4,"",IFERROR(INDEX(tblRegistros[Observação],$L439),"")))</f>
        <v/>
      </c>
      <c r="L439" s="16">
        <f>IFERROR(MATCH($B$3*100000+COUNTIFS(tblRegistros[ID],$B$3,tblRegistros[Data],"&lt;"&amp;$B$4)+ROWS($L$10:L439),tblRegistros[Chave do cartão],0),"")</f>
        <v/>
      </c>
    </row>
    <row r="440">
      <c r="A440" s="2">
        <f>IF($L440="","",IF(INDEX(tblRegistros[Data],$L440)&gt;$D$4,"",IFERROR(INDEX(tblRegistros[Data],$L440),"")))</f>
        <v/>
      </c>
      <c r="B440">
        <f>IF($L440="","",IF(INDEX(tblRegistros[Data],$L440)&gt;$D$4,"",IFERROR(INDEX(tblRegistros[Projeto],$L440),"")))</f>
        <v/>
      </c>
      <c r="C440">
        <f>IF($L440="","",IF(INDEX(tblRegistros[Data],$L440)&gt;$D$4,"",IFERROR(INDEX(tblRegistros[Atividade],$L440),"")))</f>
        <v/>
      </c>
      <c r="D440" s="4">
        <f>IF($L440="","",IF(INDEX(tblRegistros[Data],$L440)&gt;$D$4,"",IFERROR(INDEX(tblRegistros[Início],$L440),"")))</f>
        <v/>
      </c>
      <c r="E440" s="4">
        <f>IF($L440="","",IF(INDEX(tblRegistros[Data],$L440)&gt;$D$4,"",IFERROR(IF(INDEX(tblRegistros[Status],$L440)="EM ABERTO","",INDEX(tblRegistros[Fim],$L440)),"")))</f>
        <v/>
      </c>
      <c r="F440">
        <f>IF($L440="","",IF(INDEX(tblRegistros[Data],$L440)&gt;$D$4,"",IFERROR(IF(INDEX(tblRegistros[Status],$L440)="EM ABERTO","",INDEX(tblRegistros[Horas],$L440)),"")))</f>
        <v/>
      </c>
      <c r="G440">
        <f>IF($L440="","",IF(INDEX(tblRegistros[Data],$L440)&gt;$D$4,"",IFERROR(INDEX(tblRegistros[Base],$L440),"")))</f>
        <v/>
      </c>
      <c r="H440" s="3">
        <f>IF($L440="","",IF(INDEX(tblRegistros[Data],$L440)&gt;$D$4,"",IFERROR(INDEX(tblRegistros[Taxa aplicada],$L440),"")))</f>
        <v/>
      </c>
      <c r="I440" s="3">
        <f>IF($L440="","",IF(INDEX(tblRegistros[Data],$L440)&gt;$D$4,"",IFERROR(IF(INDEX(tblRegistros[Status],$L440)="EM ABERTO","",INDEX(tblRegistros[Valor],$L440)),"")))</f>
        <v/>
      </c>
      <c r="J440">
        <f>IF($L440="","",IF(INDEX(tblRegistros[Data],$L440)&gt;$D$4,"",IFERROR(INDEX(tblRegistros[Status],$L440),"")))</f>
        <v/>
      </c>
      <c r="K440">
        <f>IF($L440="","",IF(INDEX(tblRegistros[Data],$L440)&gt;$D$4,"",IFERROR(INDEX(tblRegistros[Observação],$L440),"")))</f>
        <v/>
      </c>
      <c r="L440" s="16">
        <f>IFERROR(MATCH($B$3*100000+COUNTIFS(tblRegistros[ID],$B$3,tblRegistros[Data],"&lt;"&amp;$B$4)+ROWS($L$10:L440),tblRegistros[Chave do cartão],0),"")</f>
        <v/>
      </c>
    </row>
    <row r="441">
      <c r="A441" s="2">
        <f>IF($L441="","",IF(INDEX(tblRegistros[Data],$L441)&gt;$D$4,"",IFERROR(INDEX(tblRegistros[Data],$L441),"")))</f>
        <v/>
      </c>
      <c r="B441">
        <f>IF($L441="","",IF(INDEX(tblRegistros[Data],$L441)&gt;$D$4,"",IFERROR(INDEX(tblRegistros[Projeto],$L441),"")))</f>
        <v/>
      </c>
      <c r="C441">
        <f>IF($L441="","",IF(INDEX(tblRegistros[Data],$L441)&gt;$D$4,"",IFERROR(INDEX(tblRegistros[Atividade],$L441),"")))</f>
        <v/>
      </c>
      <c r="D441" s="4">
        <f>IF($L441="","",IF(INDEX(tblRegistros[Data],$L441)&gt;$D$4,"",IFERROR(INDEX(tblRegistros[Início],$L441),"")))</f>
        <v/>
      </c>
      <c r="E441" s="4">
        <f>IF($L441="","",IF(INDEX(tblRegistros[Data],$L441)&gt;$D$4,"",IFERROR(IF(INDEX(tblRegistros[Status],$L441)="EM ABERTO","",INDEX(tblRegistros[Fim],$L441)),"")))</f>
        <v/>
      </c>
      <c r="F441">
        <f>IF($L441="","",IF(INDEX(tblRegistros[Data],$L441)&gt;$D$4,"",IFERROR(IF(INDEX(tblRegistros[Status],$L441)="EM ABERTO","",INDEX(tblRegistros[Horas],$L441)),"")))</f>
        <v/>
      </c>
      <c r="G441">
        <f>IF($L441="","",IF(INDEX(tblRegistros[Data],$L441)&gt;$D$4,"",IFERROR(INDEX(tblRegistros[Base],$L441),"")))</f>
        <v/>
      </c>
      <c r="H441" s="3">
        <f>IF($L441="","",IF(INDEX(tblRegistros[Data],$L441)&gt;$D$4,"",IFERROR(INDEX(tblRegistros[Taxa aplicada],$L441),"")))</f>
        <v/>
      </c>
      <c r="I441" s="3">
        <f>IF($L441="","",IF(INDEX(tblRegistros[Data],$L441)&gt;$D$4,"",IFERROR(IF(INDEX(tblRegistros[Status],$L441)="EM ABERTO","",INDEX(tblRegistros[Valor],$L441)),"")))</f>
        <v/>
      </c>
      <c r="J441">
        <f>IF($L441="","",IF(INDEX(tblRegistros[Data],$L441)&gt;$D$4,"",IFERROR(INDEX(tblRegistros[Status],$L441),"")))</f>
        <v/>
      </c>
      <c r="K441">
        <f>IF($L441="","",IF(INDEX(tblRegistros[Data],$L441)&gt;$D$4,"",IFERROR(INDEX(tblRegistros[Observação],$L441),"")))</f>
        <v/>
      </c>
      <c r="L441" s="16">
        <f>IFERROR(MATCH($B$3*100000+COUNTIFS(tblRegistros[ID],$B$3,tblRegistros[Data],"&lt;"&amp;$B$4)+ROWS($L$10:L441),tblRegistros[Chave do cartão],0),"")</f>
        <v/>
      </c>
    </row>
    <row r="442">
      <c r="A442" s="2">
        <f>IF($L442="","",IF(INDEX(tblRegistros[Data],$L442)&gt;$D$4,"",IFERROR(INDEX(tblRegistros[Data],$L442),"")))</f>
        <v/>
      </c>
      <c r="B442">
        <f>IF($L442="","",IF(INDEX(tblRegistros[Data],$L442)&gt;$D$4,"",IFERROR(INDEX(tblRegistros[Projeto],$L442),"")))</f>
        <v/>
      </c>
      <c r="C442">
        <f>IF($L442="","",IF(INDEX(tblRegistros[Data],$L442)&gt;$D$4,"",IFERROR(INDEX(tblRegistros[Atividade],$L442),"")))</f>
        <v/>
      </c>
      <c r="D442" s="4">
        <f>IF($L442="","",IF(INDEX(tblRegistros[Data],$L442)&gt;$D$4,"",IFERROR(INDEX(tblRegistros[Início],$L442),"")))</f>
        <v/>
      </c>
      <c r="E442" s="4">
        <f>IF($L442="","",IF(INDEX(tblRegistros[Data],$L442)&gt;$D$4,"",IFERROR(IF(INDEX(tblRegistros[Status],$L442)="EM ABERTO","",INDEX(tblRegistros[Fim],$L442)),"")))</f>
        <v/>
      </c>
      <c r="F442">
        <f>IF($L442="","",IF(INDEX(tblRegistros[Data],$L442)&gt;$D$4,"",IFERROR(IF(INDEX(tblRegistros[Status],$L442)="EM ABERTO","",INDEX(tblRegistros[Horas],$L442)),"")))</f>
        <v/>
      </c>
      <c r="G442">
        <f>IF($L442="","",IF(INDEX(tblRegistros[Data],$L442)&gt;$D$4,"",IFERROR(INDEX(tblRegistros[Base],$L442),"")))</f>
        <v/>
      </c>
      <c r="H442" s="3">
        <f>IF($L442="","",IF(INDEX(tblRegistros[Data],$L442)&gt;$D$4,"",IFERROR(INDEX(tblRegistros[Taxa aplicada],$L442),"")))</f>
        <v/>
      </c>
      <c r="I442" s="3">
        <f>IF($L442="","",IF(INDEX(tblRegistros[Data],$L442)&gt;$D$4,"",IFERROR(IF(INDEX(tblRegistros[Status],$L442)="EM ABERTO","",INDEX(tblRegistros[Valor],$L442)),"")))</f>
        <v/>
      </c>
      <c r="J442">
        <f>IF($L442="","",IF(INDEX(tblRegistros[Data],$L442)&gt;$D$4,"",IFERROR(INDEX(tblRegistros[Status],$L442),"")))</f>
        <v/>
      </c>
      <c r="K442">
        <f>IF($L442="","",IF(INDEX(tblRegistros[Data],$L442)&gt;$D$4,"",IFERROR(INDEX(tblRegistros[Observação],$L442),"")))</f>
        <v/>
      </c>
      <c r="L442" s="16">
        <f>IFERROR(MATCH($B$3*100000+COUNTIFS(tblRegistros[ID],$B$3,tblRegistros[Data],"&lt;"&amp;$B$4)+ROWS($L$10:L442),tblRegistros[Chave do cartão],0),"")</f>
        <v/>
      </c>
    </row>
    <row r="443">
      <c r="A443" s="2">
        <f>IF($L443="","",IF(INDEX(tblRegistros[Data],$L443)&gt;$D$4,"",IFERROR(INDEX(tblRegistros[Data],$L443),"")))</f>
        <v/>
      </c>
      <c r="B443">
        <f>IF($L443="","",IF(INDEX(tblRegistros[Data],$L443)&gt;$D$4,"",IFERROR(INDEX(tblRegistros[Projeto],$L443),"")))</f>
        <v/>
      </c>
      <c r="C443">
        <f>IF($L443="","",IF(INDEX(tblRegistros[Data],$L443)&gt;$D$4,"",IFERROR(INDEX(tblRegistros[Atividade],$L443),"")))</f>
        <v/>
      </c>
      <c r="D443" s="4">
        <f>IF($L443="","",IF(INDEX(tblRegistros[Data],$L443)&gt;$D$4,"",IFERROR(INDEX(tblRegistros[Início],$L443),"")))</f>
        <v/>
      </c>
      <c r="E443" s="4">
        <f>IF($L443="","",IF(INDEX(tblRegistros[Data],$L443)&gt;$D$4,"",IFERROR(IF(INDEX(tblRegistros[Status],$L443)="EM ABERTO","",INDEX(tblRegistros[Fim],$L443)),"")))</f>
        <v/>
      </c>
      <c r="F443">
        <f>IF($L443="","",IF(INDEX(tblRegistros[Data],$L443)&gt;$D$4,"",IFERROR(IF(INDEX(tblRegistros[Status],$L443)="EM ABERTO","",INDEX(tblRegistros[Horas],$L443)),"")))</f>
        <v/>
      </c>
      <c r="G443">
        <f>IF($L443="","",IF(INDEX(tblRegistros[Data],$L443)&gt;$D$4,"",IFERROR(INDEX(tblRegistros[Base],$L443),"")))</f>
        <v/>
      </c>
      <c r="H443" s="3">
        <f>IF($L443="","",IF(INDEX(tblRegistros[Data],$L443)&gt;$D$4,"",IFERROR(INDEX(tblRegistros[Taxa aplicada],$L443),"")))</f>
        <v/>
      </c>
      <c r="I443" s="3">
        <f>IF($L443="","",IF(INDEX(tblRegistros[Data],$L443)&gt;$D$4,"",IFERROR(IF(INDEX(tblRegistros[Status],$L443)="EM ABERTO","",INDEX(tblRegistros[Valor],$L443)),"")))</f>
        <v/>
      </c>
      <c r="J443">
        <f>IF($L443="","",IF(INDEX(tblRegistros[Data],$L443)&gt;$D$4,"",IFERROR(INDEX(tblRegistros[Status],$L443),"")))</f>
        <v/>
      </c>
      <c r="K443">
        <f>IF($L443="","",IF(INDEX(tblRegistros[Data],$L443)&gt;$D$4,"",IFERROR(INDEX(tblRegistros[Observação],$L443),"")))</f>
        <v/>
      </c>
      <c r="L443" s="16">
        <f>IFERROR(MATCH($B$3*100000+COUNTIFS(tblRegistros[ID],$B$3,tblRegistros[Data],"&lt;"&amp;$B$4)+ROWS($L$10:L443),tblRegistros[Chave do cartão],0),"")</f>
        <v/>
      </c>
    </row>
    <row r="444">
      <c r="A444" s="2">
        <f>IF($L444="","",IF(INDEX(tblRegistros[Data],$L444)&gt;$D$4,"",IFERROR(INDEX(tblRegistros[Data],$L444),"")))</f>
        <v/>
      </c>
      <c r="B444">
        <f>IF($L444="","",IF(INDEX(tblRegistros[Data],$L444)&gt;$D$4,"",IFERROR(INDEX(tblRegistros[Projeto],$L444),"")))</f>
        <v/>
      </c>
      <c r="C444">
        <f>IF($L444="","",IF(INDEX(tblRegistros[Data],$L444)&gt;$D$4,"",IFERROR(INDEX(tblRegistros[Atividade],$L444),"")))</f>
        <v/>
      </c>
      <c r="D444" s="4">
        <f>IF($L444="","",IF(INDEX(tblRegistros[Data],$L444)&gt;$D$4,"",IFERROR(INDEX(tblRegistros[Início],$L444),"")))</f>
        <v/>
      </c>
      <c r="E444" s="4">
        <f>IF($L444="","",IF(INDEX(tblRegistros[Data],$L444)&gt;$D$4,"",IFERROR(IF(INDEX(tblRegistros[Status],$L444)="EM ABERTO","",INDEX(tblRegistros[Fim],$L444)),"")))</f>
        <v/>
      </c>
      <c r="F444">
        <f>IF($L444="","",IF(INDEX(tblRegistros[Data],$L444)&gt;$D$4,"",IFERROR(IF(INDEX(tblRegistros[Status],$L444)="EM ABERTO","",INDEX(tblRegistros[Horas],$L444)),"")))</f>
        <v/>
      </c>
      <c r="G444">
        <f>IF($L444="","",IF(INDEX(tblRegistros[Data],$L444)&gt;$D$4,"",IFERROR(INDEX(tblRegistros[Base],$L444),"")))</f>
        <v/>
      </c>
      <c r="H444" s="3">
        <f>IF($L444="","",IF(INDEX(tblRegistros[Data],$L444)&gt;$D$4,"",IFERROR(INDEX(tblRegistros[Taxa aplicada],$L444),"")))</f>
        <v/>
      </c>
      <c r="I444" s="3">
        <f>IF($L444="","",IF(INDEX(tblRegistros[Data],$L444)&gt;$D$4,"",IFERROR(IF(INDEX(tblRegistros[Status],$L444)="EM ABERTO","",INDEX(tblRegistros[Valor],$L444)),"")))</f>
        <v/>
      </c>
      <c r="J444">
        <f>IF($L444="","",IF(INDEX(tblRegistros[Data],$L444)&gt;$D$4,"",IFERROR(INDEX(tblRegistros[Status],$L444),"")))</f>
        <v/>
      </c>
      <c r="K444">
        <f>IF($L444="","",IF(INDEX(tblRegistros[Data],$L444)&gt;$D$4,"",IFERROR(INDEX(tblRegistros[Observação],$L444),"")))</f>
        <v/>
      </c>
      <c r="L444" s="16">
        <f>IFERROR(MATCH($B$3*100000+COUNTIFS(tblRegistros[ID],$B$3,tblRegistros[Data],"&lt;"&amp;$B$4)+ROWS($L$10:L444),tblRegistros[Chave do cartão],0),"")</f>
        <v/>
      </c>
    </row>
    <row r="445">
      <c r="A445" s="2">
        <f>IF($L445="","",IF(INDEX(tblRegistros[Data],$L445)&gt;$D$4,"",IFERROR(INDEX(tblRegistros[Data],$L445),"")))</f>
        <v/>
      </c>
      <c r="B445">
        <f>IF($L445="","",IF(INDEX(tblRegistros[Data],$L445)&gt;$D$4,"",IFERROR(INDEX(tblRegistros[Projeto],$L445),"")))</f>
        <v/>
      </c>
      <c r="C445">
        <f>IF($L445="","",IF(INDEX(tblRegistros[Data],$L445)&gt;$D$4,"",IFERROR(INDEX(tblRegistros[Atividade],$L445),"")))</f>
        <v/>
      </c>
      <c r="D445" s="4">
        <f>IF($L445="","",IF(INDEX(tblRegistros[Data],$L445)&gt;$D$4,"",IFERROR(INDEX(tblRegistros[Início],$L445),"")))</f>
        <v/>
      </c>
      <c r="E445" s="4">
        <f>IF($L445="","",IF(INDEX(tblRegistros[Data],$L445)&gt;$D$4,"",IFERROR(IF(INDEX(tblRegistros[Status],$L445)="EM ABERTO","",INDEX(tblRegistros[Fim],$L445)),"")))</f>
        <v/>
      </c>
      <c r="F445">
        <f>IF($L445="","",IF(INDEX(tblRegistros[Data],$L445)&gt;$D$4,"",IFERROR(IF(INDEX(tblRegistros[Status],$L445)="EM ABERTO","",INDEX(tblRegistros[Horas],$L445)),"")))</f>
        <v/>
      </c>
      <c r="G445">
        <f>IF($L445="","",IF(INDEX(tblRegistros[Data],$L445)&gt;$D$4,"",IFERROR(INDEX(tblRegistros[Base],$L445),"")))</f>
        <v/>
      </c>
      <c r="H445" s="3">
        <f>IF($L445="","",IF(INDEX(tblRegistros[Data],$L445)&gt;$D$4,"",IFERROR(INDEX(tblRegistros[Taxa aplicada],$L445),"")))</f>
        <v/>
      </c>
      <c r="I445" s="3">
        <f>IF($L445="","",IF(INDEX(tblRegistros[Data],$L445)&gt;$D$4,"",IFERROR(IF(INDEX(tblRegistros[Status],$L445)="EM ABERTO","",INDEX(tblRegistros[Valor],$L445)),"")))</f>
        <v/>
      </c>
      <c r="J445">
        <f>IF($L445="","",IF(INDEX(tblRegistros[Data],$L445)&gt;$D$4,"",IFERROR(INDEX(tblRegistros[Status],$L445),"")))</f>
        <v/>
      </c>
      <c r="K445">
        <f>IF($L445="","",IF(INDEX(tblRegistros[Data],$L445)&gt;$D$4,"",IFERROR(INDEX(tblRegistros[Observação],$L445),"")))</f>
        <v/>
      </c>
      <c r="L445" s="16">
        <f>IFERROR(MATCH($B$3*100000+COUNTIFS(tblRegistros[ID],$B$3,tblRegistros[Data],"&lt;"&amp;$B$4)+ROWS($L$10:L445),tblRegistros[Chave do cartão],0),"")</f>
        <v/>
      </c>
    </row>
    <row r="446">
      <c r="A446" s="2">
        <f>IF($L446="","",IF(INDEX(tblRegistros[Data],$L446)&gt;$D$4,"",IFERROR(INDEX(tblRegistros[Data],$L446),"")))</f>
        <v/>
      </c>
      <c r="B446">
        <f>IF($L446="","",IF(INDEX(tblRegistros[Data],$L446)&gt;$D$4,"",IFERROR(INDEX(tblRegistros[Projeto],$L446),"")))</f>
        <v/>
      </c>
      <c r="C446">
        <f>IF($L446="","",IF(INDEX(tblRegistros[Data],$L446)&gt;$D$4,"",IFERROR(INDEX(tblRegistros[Atividade],$L446),"")))</f>
        <v/>
      </c>
      <c r="D446" s="4">
        <f>IF($L446="","",IF(INDEX(tblRegistros[Data],$L446)&gt;$D$4,"",IFERROR(INDEX(tblRegistros[Início],$L446),"")))</f>
        <v/>
      </c>
      <c r="E446" s="4">
        <f>IF($L446="","",IF(INDEX(tblRegistros[Data],$L446)&gt;$D$4,"",IFERROR(IF(INDEX(tblRegistros[Status],$L446)="EM ABERTO","",INDEX(tblRegistros[Fim],$L446)),"")))</f>
        <v/>
      </c>
      <c r="F446">
        <f>IF($L446="","",IF(INDEX(tblRegistros[Data],$L446)&gt;$D$4,"",IFERROR(IF(INDEX(tblRegistros[Status],$L446)="EM ABERTO","",INDEX(tblRegistros[Horas],$L446)),"")))</f>
        <v/>
      </c>
      <c r="G446">
        <f>IF($L446="","",IF(INDEX(tblRegistros[Data],$L446)&gt;$D$4,"",IFERROR(INDEX(tblRegistros[Base],$L446),"")))</f>
        <v/>
      </c>
      <c r="H446" s="3">
        <f>IF($L446="","",IF(INDEX(tblRegistros[Data],$L446)&gt;$D$4,"",IFERROR(INDEX(tblRegistros[Taxa aplicada],$L446),"")))</f>
        <v/>
      </c>
      <c r="I446" s="3">
        <f>IF($L446="","",IF(INDEX(tblRegistros[Data],$L446)&gt;$D$4,"",IFERROR(IF(INDEX(tblRegistros[Status],$L446)="EM ABERTO","",INDEX(tblRegistros[Valor],$L446)),"")))</f>
        <v/>
      </c>
      <c r="J446">
        <f>IF($L446="","",IF(INDEX(tblRegistros[Data],$L446)&gt;$D$4,"",IFERROR(INDEX(tblRegistros[Status],$L446),"")))</f>
        <v/>
      </c>
      <c r="K446">
        <f>IF($L446="","",IF(INDEX(tblRegistros[Data],$L446)&gt;$D$4,"",IFERROR(INDEX(tblRegistros[Observação],$L446),"")))</f>
        <v/>
      </c>
      <c r="L446" s="16">
        <f>IFERROR(MATCH($B$3*100000+COUNTIFS(tblRegistros[ID],$B$3,tblRegistros[Data],"&lt;"&amp;$B$4)+ROWS($L$10:L446),tblRegistros[Chave do cartão],0),"")</f>
        <v/>
      </c>
    </row>
    <row r="447">
      <c r="A447" s="2">
        <f>IF($L447="","",IF(INDEX(tblRegistros[Data],$L447)&gt;$D$4,"",IFERROR(INDEX(tblRegistros[Data],$L447),"")))</f>
        <v/>
      </c>
      <c r="B447">
        <f>IF($L447="","",IF(INDEX(tblRegistros[Data],$L447)&gt;$D$4,"",IFERROR(INDEX(tblRegistros[Projeto],$L447),"")))</f>
        <v/>
      </c>
      <c r="C447">
        <f>IF($L447="","",IF(INDEX(tblRegistros[Data],$L447)&gt;$D$4,"",IFERROR(INDEX(tblRegistros[Atividade],$L447),"")))</f>
        <v/>
      </c>
      <c r="D447" s="4">
        <f>IF($L447="","",IF(INDEX(tblRegistros[Data],$L447)&gt;$D$4,"",IFERROR(INDEX(tblRegistros[Início],$L447),"")))</f>
        <v/>
      </c>
      <c r="E447" s="4">
        <f>IF($L447="","",IF(INDEX(tblRegistros[Data],$L447)&gt;$D$4,"",IFERROR(IF(INDEX(tblRegistros[Status],$L447)="EM ABERTO","",INDEX(tblRegistros[Fim],$L447)),"")))</f>
        <v/>
      </c>
      <c r="F447">
        <f>IF($L447="","",IF(INDEX(tblRegistros[Data],$L447)&gt;$D$4,"",IFERROR(IF(INDEX(tblRegistros[Status],$L447)="EM ABERTO","",INDEX(tblRegistros[Horas],$L447)),"")))</f>
        <v/>
      </c>
      <c r="G447">
        <f>IF($L447="","",IF(INDEX(tblRegistros[Data],$L447)&gt;$D$4,"",IFERROR(INDEX(tblRegistros[Base],$L447),"")))</f>
        <v/>
      </c>
      <c r="H447" s="3">
        <f>IF($L447="","",IF(INDEX(tblRegistros[Data],$L447)&gt;$D$4,"",IFERROR(INDEX(tblRegistros[Taxa aplicada],$L447),"")))</f>
        <v/>
      </c>
      <c r="I447" s="3">
        <f>IF($L447="","",IF(INDEX(tblRegistros[Data],$L447)&gt;$D$4,"",IFERROR(IF(INDEX(tblRegistros[Status],$L447)="EM ABERTO","",INDEX(tblRegistros[Valor],$L447)),"")))</f>
        <v/>
      </c>
      <c r="J447">
        <f>IF($L447="","",IF(INDEX(tblRegistros[Data],$L447)&gt;$D$4,"",IFERROR(INDEX(tblRegistros[Status],$L447),"")))</f>
        <v/>
      </c>
      <c r="K447">
        <f>IF($L447="","",IF(INDEX(tblRegistros[Data],$L447)&gt;$D$4,"",IFERROR(INDEX(tblRegistros[Observação],$L447),"")))</f>
        <v/>
      </c>
      <c r="L447" s="16">
        <f>IFERROR(MATCH($B$3*100000+COUNTIFS(tblRegistros[ID],$B$3,tblRegistros[Data],"&lt;"&amp;$B$4)+ROWS($L$10:L447),tblRegistros[Chave do cartão],0),"")</f>
        <v/>
      </c>
    </row>
    <row r="448">
      <c r="A448" s="2">
        <f>IF($L448="","",IF(INDEX(tblRegistros[Data],$L448)&gt;$D$4,"",IFERROR(INDEX(tblRegistros[Data],$L448),"")))</f>
        <v/>
      </c>
      <c r="B448">
        <f>IF($L448="","",IF(INDEX(tblRegistros[Data],$L448)&gt;$D$4,"",IFERROR(INDEX(tblRegistros[Projeto],$L448),"")))</f>
        <v/>
      </c>
      <c r="C448">
        <f>IF($L448="","",IF(INDEX(tblRegistros[Data],$L448)&gt;$D$4,"",IFERROR(INDEX(tblRegistros[Atividade],$L448),"")))</f>
        <v/>
      </c>
      <c r="D448" s="4">
        <f>IF($L448="","",IF(INDEX(tblRegistros[Data],$L448)&gt;$D$4,"",IFERROR(INDEX(tblRegistros[Início],$L448),"")))</f>
        <v/>
      </c>
      <c r="E448" s="4">
        <f>IF($L448="","",IF(INDEX(tblRegistros[Data],$L448)&gt;$D$4,"",IFERROR(IF(INDEX(tblRegistros[Status],$L448)="EM ABERTO","",INDEX(tblRegistros[Fim],$L448)),"")))</f>
        <v/>
      </c>
      <c r="F448">
        <f>IF($L448="","",IF(INDEX(tblRegistros[Data],$L448)&gt;$D$4,"",IFERROR(IF(INDEX(tblRegistros[Status],$L448)="EM ABERTO","",INDEX(tblRegistros[Horas],$L448)),"")))</f>
        <v/>
      </c>
      <c r="G448">
        <f>IF($L448="","",IF(INDEX(tblRegistros[Data],$L448)&gt;$D$4,"",IFERROR(INDEX(tblRegistros[Base],$L448),"")))</f>
        <v/>
      </c>
      <c r="H448" s="3">
        <f>IF($L448="","",IF(INDEX(tblRegistros[Data],$L448)&gt;$D$4,"",IFERROR(INDEX(tblRegistros[Taxa aplicada],$L448),"")))</f>
        <v/>
      </c>
      <c r="I448" s="3">
        <f>IF($L448="","",IF(INDEX(tblRegistros[Data],$L448)&gt;$D$4,"",IFERROR(IF(INDEX(tblRegistros[Status],$L448)="EM ABERTO","",INDEX(tblRegistros[Valor],$L448)),"")))</f>
        <v/>
      </c>
      <c r="J448">
        <f>IF($L448="","",IF(INDEX(tblRegistros[Data],$L448)&gt;$D$4,"",IFERROR(INDEX(tblRegistros[Status],$L448),"")))</f>
        <v/>
      </c>
      <c r="K448">
        <f>IF($L448="","",IF(INDEX(tblRegistros[Data],$L448)&gt;$D$4,"",IFERROR(INDEX(tblRegistros[Observação],$L448),"")))</f>
        <v/>
      </c>
      <c r="L448" s="16">
        <f>IFERROR(MATCH($B$3*100000+COUNTIFS(tblRegistros[ID],$B$3,tblRegistros[Data],"&lt;"&amp;$B$4)+ROWS($L$10:L448),tblRegistros[Chave do cartão],0),"")</f>
        <v/>
      </c>
    </row>
    <row r="449">
      <c r="A449" s="2">
        <f>IF($L449="","",IF(INDEX(tblRegistros[Data],$L449)&gt;$D$4,"",IFERROR(INDEX(tblRegistros[Data],$L449),"")))</f>
        <v/>
      </c>
      <c r="B449">
        <f>IF($L449="","",IF(INDEX(tblRegistros[Data],$L449)&gt;$D$4,"",IFERROR(INDEX(tblRegistros[Projeto],$L449),"")))</f>
        <v/>
      </c>
      <c r="C449">
        <f>IF($L449="","",IF(INDEX(tblRegistros[Data],$L449)&gt;$D$4,"",IFERROR(INDEX(tblRegistros[Atividade],$L449),"")))</f>
        <v/>
      </c>
      <c r="D449" s="4">
        <f>IF($L449="","",IF(INDEX(tblRegistros[Data],$L449)&gt;$D$4,"",IFERROR(INDEX(tblRegistros[Início],$L449),"")))</f>
        <v/>
      </c>
      <c r="E449" s="4">
        <f>IF($L449="","",IF(INDEX(tblRegistros[Data],$L449)&gt;$D$4,"",IFERROR(IF(INDEX(tblRegistros[Status],$L449)="EM ABERTO","",INDEX(tblRegistros[Fim],$L449)),"")))</f>
        <v/>
      </c>
      <c r="F449">
        <f>IF($L449="","",IF(INDEX(tblRegistros[Data],$L449)&gt;$D$4,"",IFERROR(IF(INDEX(tblRegistros[Status],$L449)="EM ABERTO","",INDEX(tblRegistros[Horas],$L449)),"")))</f>
        <v/>
      </c>
      <c r="G449">
        <f>IF($L449="","",IF(INDEX(tblRegistros[Data],$L449)&gt;$D$4,"",IFERROR(INDEX(tblRegistros[Base],$L449),"")))</f>
        <v/>
      </c>
      <c r="H449" s="3">
        <f>IF($L449="","",IF(INDEX(tblRegistros[Data],$L449)&gt;$D$4,"",IFERROR(INDEX(tblRegistros[Taxa aplicada],$L449),"")))</f>
        <v/>
      </c>
      <c r="I449" s="3">
        <f>IF($L449="","",IF(INDEX(tblRegistros[Data],$L449)&gt;$D$4,"",IFERROR(IF(INDEX(tblRegistros[Status],$L449)="EM ABERTO","",INDEX(tblRegistros[Valor],$L449)),"")))</f>
        <v/>
      </c>
      <c r="J449">
        <f>IF($L449="","",IF(INDEX(tblRegistros[Data],$L449)&gt;$D$4,"",IFERROR(INDEX(tblRegistros[Status],$L449),"")))</f>
        <v/>
      </c>
      <c r="K449">
        <f>IF($L449="","",IF(INDEX(tblRegistros[Data],$L449)&gt;$D$4,"",IFERROR(INDEX(tblRegistros[Observação],$L449),"")))</f>
        <v/>
      </c>
      <c r="L449" s="16">
        <f>IFERROR(MATCH($B$3*100000+COUNTIFS(tblRegistros[ID],$B$3,tblRegistros[Data],"&lt;"&amp;$B$4)+ROWS($L$10:L449),tblRegistros[Chave do cartão],0),"")</f>
        <v/>
      </c>
    </row>
    <row r="450">
      <c r="A450" s="2">
        <f>IF($L450="","",IF(INDEX(tblRegistros[Data],$L450)&gt;$D$4,"",IFERROR(INDEX(tblRegistros[Data],$L450),"")))</f>
        <v/>
      </c>
      <c r="B450">
        <f>IF($L450="","",IF(INDEX(tblRegistros[Data],$L450)&gt;$D$4,"",IFERROR(INDEX(tblRegistros[Projeto],$L450),"")))</f>
        <v/>
      </c>
      <c r="C450">
        <f>IF($L450="","",IF(INDEX(tblRegistros[Data],$L450)&gt;$D$4,"",IFERROR(INDEX(tblRegistros[Atividade],$L450),"")))</f>
        <v/>
      </c>
      <c r="D450" s="4">
        <f>IF($L450="","",IF(INDEX(tblRegistros[Data],$L450)&gt;$D$4,"",IFERROR(INDEX(tblRegistros[Início],$L450),"")))</f>
        <v/>
      </c>
      <c r="E450" s="4">
        <f>IF($L450="","",IF(INDEX(tblRegistros[Data],$L450)&gt;$D$4,"",IFERROR(IF(INDEX(tblRegistros[Status],$L450)="EM ABERTO","",INDEX(tblRegistros[Fim],$L450)),"")))</f>
        <v/>
      </c>
      <c r="F450">
        <f>IF($L450="","",IF(INDEX(tblRegistros[Data],$L450)&gt;$D$4,"",IFERROR(IF(INDEX(tblRegistros[Status],$L450)="EM ABERTO","",INDEX(tblRegistros[Horas],$L450)),"")))</f>
        <v/>
      </c>
      <c r="G450">
        <f>IF($L450="","",IF(INDEX(tblRegistros[Data],$L450)&gt;$D$4,"",IFERROR(INDEX(tblRegistros[Base],$L450),"")))</f>
        <v/>
      </c>
      <c r="H450" s="3">
        <f>IF($L450="","",IF(INDEX(tblRegistros[Data],$L450)&gt;$D$4,"",IFERROR(INDEX(tblRegistros[Taxa aplicada],$L450),"")))</f>
        <v/>
      </c>
      <c r="I450" s="3">
        <f>IF($L450="","",IF(INDEX(tblRegistros[Data],$L450)&gt;$D$4,"",IFERROR(IF(INDEX(tblRegistros[Status],$L450)="EM ABERTO","",INDEX(tblRegistros[Valor],$L450)),"")))</f>
        <v/>
      </c>
      <c r="J450">
        <f>IF($L450="","",IF(INDEX(tblRegistros[Data],$L450)&gt;$D$4,"",IFERROR(INDEX(tblRegistros[Status],$L450),"")))</f>
        <v/>
      </c>
      <c r="K450">
        <f>IF($L450="","",IF(INDEX(tblRegistros[Data],$L450)&gt;$D$4,"",IFERROR(INDEX(tblRegistros[Observação],$L450),"")))</f>
        <v/>
      </c>
      <c r="L450" s="16">
        <f>IFERROR(MATCH($B$3*100000+COUNTIFS(tblRegistros[ID],$B$3,tblRegistros[Data],"&lt;"&amp;$B$4)+ROWS($L$10:L450),tblRegistros[Chave do cartão],0),"")</f>
        <v/>
      </c>
    </row>
    <row r="451">
      <c r="A451" s="2">
        <f>IF($L451="","",IF(INDEX(tblRegistros[Data],$L451)&gt;$D$4,"",IFERROR(INDEX(tblRegistros[Data],$L451),"")))</f>
        <v/>
      </c>
      <c r="B451">
        <f>IF($L451="","",IF(INDEX(tblRegistros[Data],$L451)&gt;$D$4,"",IFERROR(INDEX(tblRegistros[Projeto],$L451),"")))</f>
        <v/>
      </c>
      <c r="C451">
        <f>IF($L451="","",IF(INDEX(tblRegistros[Data],$L451)&gt;$D$4,"",IFERROR(INDEX(tblRegistros[Atividade],$L451),"")))</f>
        <v/>
      </c>
      <c r="D451" s="4">
        <f>IF($L451="","",IF(INDEX(tblRegistros[Data],$L451)&gt;$D$4,"",IFERROR(INDEX(tblRegistros[Início],$L451),"")))</f>
        <v/>
      </c>
      <c r="E451" s="4">
        <f>IF($L451="","",IF(INDEX(tblRegistros[Data],$L451)&gt;$D$4,"",IFERROR(IF(INDEX(tblRegistros[Status],$L451)="EM ABERTO","",INDEX(tblRegistros[Fim],$L451)),"")))</f>
        <v/>
      </c>
      <c r="F451">
        <f>IF($L451="","",IF(INDEX(tblRegistros[Data],$L451)&gt;$D$4,"",IFERROR(IF(INDEX(tblRegistros[Status],$L451)="EM ABERTO","",INDEX(tblRegistros[Horas],$L451)),"")))</f>
        <v/>
      </c>
      <c r="G451">
        <f>IF($L451="","",IF(INDEX(tblRegistros[Data],$L451)&gt;$D$4,"",IFERROR(INDEX(tblRegistros[Base],$L451),"")))</f>
        <v/>
      </c>
      <c r="H451" s="3">
        <f>IF($L451="","",IF(INDEX(tblRegistros[Data],$L451)&gt;$D$4,"",IFERROR(INDEX(tblRegistros[Taxa aplicada],$L451),"")))</f>
        <v/>
      </c>
      <c r="I451" s="3">
        <f>IF($L451="","",IF(INDEX(tblRegistros[Data],$L451)&gt;$D$4,"",IFERROR(IF(INDEX(tblRegistros[Status],$L451)="EM ABERTO","",INDEX(tblRegistros[Valor],$L451)),"")))</f>
        <v/>
      </c>
      <c r="J451">
        <f>IF($L451="","",IF(INDEX(tblRegistros[Data],$L451)&gt;$D$4,"",IFERROR(INDEX(tblRegistros[Status],$L451),"")))</f>
        <v/>
      </c>
      <c r="K451">
        <f>IF($L451="","",IF(INDEX(tblRegistros[Data],$L451)&gt;$D$4,"",IFERROR(INDEX(tblRegistros[Observação],$L451),"")))</f>
        <v/>
      </c>
      <c r="L451" s="16">
        <f>IFERROR(MATCH($B$3*100000+COUNTIFS(tblRegistros[ID],$B$3,tblRegistros[Data],"&lt;"&amp;$B$4)+ROWS($L$10:L451),tblRegistros[Chave do cartão],0),"")</f>
        <v/>
      </c>
    </row>
    <row r="452">
      <c r="A452" s="2">
        <f>IF($L452="","",IF(INDEX(tblRegistros[Data],$L452)&gt;$D$4,"",IFERROR(INDEX(tblRegistros[Data],$L452),"")))</f>
        <v/>
      </c>
      <c r="B452">
        <f>IF($L452="","",IF(INDEX(tblRegistros[Data],$L452)&gt;$D$4,"",IFERROR(INDEX(tblRegistros[Projeto],$L452),"")))</f>
        <v/>
      </c>
      <c r="C452">
        <f>IF($L452="","",IF(INDEX(tblRegistros[Data],$L452)&gt;$D$4,"",IFERROR(INDEX(tblRegistros[Atividade],$L452),"")))</f>
        <v/>
      </c>
      <c r="D452" s="4">
        <f>IF($L452="","",IF(INDEX(tblRegistros[Data],$L452)&gt;$D$4,"",IFERROR(INDEX(tblRegistros[Início],$L452),"")))</f>
        <v/>
      </c>
      <c r="E452" s="4">
        <f>IF($L452="","",IF(INDEX(tblRegistros[Data],$L452)&gt;$D$4,"",IFERROR(IF(INDEX(tblRegistros[Status],$L452)="EM ABERTO","",INDEX(tblRegistros[Fim],$L452)),"")))</f>
        <v/>
      </c>
      <c r="F452">
        <f>IF($L452="","",IF(INDEX(tblRegistros[Data],$L452)&gt;$D$4,"",IFERROR(IF(INDEX(tblRegistros[Status],$L452)="EM ABERTO","",INDEX(tblRegistros[Horas],$L452)),"")))</f>
        <v/>
      </c>
      <c r="G452">
        <f>IF($L452="","",IF(INDEX(tblRegistros[Data],$L452)&gt;$D$4,"",IFERROR(INDEX(tblRegistros[Base],$L452),"")))</f>
        <v/>
      </c>
      <c r="H452" s="3">
        <f>IF($L452="","",IF(INDEX(tblRegistros[Data],$L452)&gt;$D$4,"",IFERROR(INDEX(tblRegistros[Taxa aplicada],$L452),"")))</f>
        <v/>
      </c>
      <c r="I452" s="3">
        <f>IF($L452="","",IF(INDEX(tblRegistros[Data],$L452)&gt;$D$4,"",IFERROR(IF(INDEX(tblRegistros[Status],$L452)="EM ABERTO","",INDEX(tblRegistros[Valor],$L452)),"")))</f>
        <v/>
      </c>
      <c r="J452">
        <f>IF($L452="","",IF(INDEX(tblRegistros[Data],$L452)&gt;$D$4,"",IFERROR(INDEX(tblRegistros[Status],$L452),"")))</f>
        <v/>
      </c>
      <c r="K452">
        <f>IF($L452="","",IF(INDEX(tblRegistros[Data],$L452)&gt;$D$4,"",IFERROR(INDEX(tblRegistros[Observação],$L452),"")))</f>
        <v/>
      </c>
      <c r="L452" s="16">
        <f>IFERROR(MATCH($B$3*100000+COUNTIFS(tblRegistros[ID],$B$3,tblRegistros[Data],"&lt;"&amp;$B$4)+ROWS($L$10:L452),tblRegistros[Chave do cartão],0),"")</f>
        <v/>
      </c>
    </row>
    <row r="453">
      <c r="A453" s="2">
        <f>IF($L453="","",IF(INDEX(tblRegistros[Data],$L453)&gt;$D$4,"",IFERROR(INDEX(tblRegistros[Data],$L453),"")))</f>
        <v/>
      </c>
      <c r="B453">
        <f>IF($L453="","",IF(INDEX(tblRegistros[Data],$L453)&gt;$D$4,"",IFERROR(INDEX(tblRegistros[Projeto],$L453),"")))</f>
        <v/>
      </c>
      <c r="C453">
        <f>IF($L453="","",IF(INDEX(tblRegistros[Data],$L453)&gt;$D$4,"",IFERROR(INDEX(tblRegistros[Atividade],$L453),"")))</f>
        <v/>
      </c>
      <c r="D453" s="4">
        <f>IF($L453="","",IF(INDEX(tblRegistros[Data],$L453)&gt;$D$4,"",IFERROR(INDEX(tblRegistros[Início],$L453),"")))</f>
        <v/>
      </c>
      <c r="E453" s="4">
        <f>IF($L453="","",IF(INDEX(tblRegistros[Data],$L453)&gt;$D$4,"",IFERROR(IF(INDEX(tblRegistros[Status],$L453)="EM ABERTO","",INDEX(tblRegistros[Fim],$L453)),"")))</f>
        <v/>
      </c>
      <c r="F453">
        <f>IF($L453="","",IF(INDEX(tblRegistros[Data],$L453)&gt;$D$4,"",IFERROR(IF(INDEX(tblRegistros[Status],$L453)="EM ABERTO","",INDEX(tblRegistros[Horas],$L453)),"")))</f>
        <v/>
      </c>
      <c r="G453">
        <f>IF($L453="","",IF(INDEX(tblRegistros[Data],$L453)&gt;$D$4,"",IFERROR(INDEX(tblRegistros[Base],$L453),"")))</f>
        <v/>
      </c>
      <c r="H453" s="3">
        <f>IF($L453="","",IF(INDEX(tblRegistros[Data],$L453)&gt;$D$4,"",IFERROR(INDEX(tblRegistros[Taxa aplicada],$L453),"")))</f>
        <v/>
      </c>
      <c r="I453" s="3">
        <f>IF($L453="","",IF(INDEX(tblRegistros[Data],$L453)&gt;$D$4,"",IFERROR(IF(INDEX(tblRegistros[Status],$L453)="EM ABERTO","",INDEX(tblRegistros[Valor],$L453)),"")))</f>
        <v/>
      </c>
      <c r="J453">
        <f>IF($L453="","",IF(INDEX(tblRegistros[Data],$L453)&gt;$D$4,"",IFERROR(INDEX(tblRegistros[Status],$L453),"")))</f>
        <v/>
      </c>
      <c r="K453">
        <f>IF($L453="","",IF(INDEX(tblRegistros[Data],$L453)&gt;$D$4,"",IFERROR(INDEX(tblRegistros[Observação],$L453),"")))</f>
        <v/>
      </c>
      <c r="L453" s="16">
        <f>IFERROR(MATCH($B$3*100000+COUNTIFS(tblRegistros[ID],$B$3,tblRegistros[Data],"&lt;"&amp;$B$4)+ROWS($L$10:L453),tblRegistros[Chave do cartão],0),"")</f>
        <v/>
      </c>
    </row>
    <row r="454">
      <c r="A454" s="2">
        <f>IF($L454="","",IF(INDEX(tblRegistros[Data],$L454)&gt;$D$4,"",IFERROR(INDEX(tblRegistros[Data],$L454),"")))</f>
        <v/>
      </c>
      <c r="B454">
        <f>IF($L454="","",IF(INDEX(tblRegistros[Data],$L454)&gt;$D$4,"",IFERROR(INDEX(tblRegistros[Projeto],$L454),"")))</f>
        <v/>
      </c>
      <c r="C454">
        <f>IF($L454="","",IF(INDEX(tblRegistros[Data],$L454)&gt;$D$4,"",IFERROR(INDEX(tblRegistros[Atividade],$L454),"")))</f>
        <v/>
      </c>
      <c r="D454" s="4">
        <f>IF($L454="","",IF(INDEX(tblRegistros[Data],$L454)&gt;$D$4,"",IFERROR(INDEX(tblRegistros[Início],$L454),"")))</f>
        <v/>
      </c>
      <c r="E454" s="4">
        <f>IF($L454="","",IF(INDEX(tblRegistros[Data],$L454)&gt;$D$4,"",IFERROR(IF(INDEX(tblRegistros[Status],$L454)="EM ABERTO","",INDEX(tblRegistros[Fim],$L454)),"")))</f>
        <v/>
      </c>
      <c r="F454">
        <f>IF($L454="","",IF(INDEX(tblRegistros[Data],$L454)&gt;$D$4,"",IFERROR(IF(INDEX(tblRegistros[Status],$L454)="EM ABERTO","",INDEX(tblRegistros[Horas],$L454)),"")))</f>
        <v/>
      </c>
      <c r="G454">
        <f>IF($L454="","",IF(INDEX(tblRegistros[Data],$L454)&gt;$D$4,"",IFERROR(INDEX(tblRegistros[Base],$L454),"")))</f>
        <v/>
      </c>
      <c r="H454" s="3">
        <f>IF($L454="","",IF(INDEX(tblRegistros[Data],$L454)&gt;$D$4,"",IFERROR(INDEX(tblRegistros[Taxa aplicada],$L454),"")))</f>
        <v/>
      </c>
      <c r="I454" s="3">
        <f>IF($L454="","",IF(INDEX(tblRegistros[Data],$L454)&gt;$D$4,"",IFERROR(IF(INDEX(tblRegistros[Status],$L454)="EM ABERTO","",INDEX(tblRegistros[Valor],$L454)),"")))</f>
        <v/>
      </c>
      <c r="J454">
        <f>IF($L454="","",IF(INDEX(tblRegistros[Data],$L454)&gt;$D$4,"",IFERROR(INDEX(tblRegistros[Status],$L454),"")))</f>
        <v/>
      </c>
      <c r="K454">
        <f>IF($L454="","",IF(INDEX(tblRegistros[Data],$L454)&gt;$D$4,"",IFERROR(INDEX(tblRegistros[Observação],$L454),"")))</f>
        <v/>
      </c>
      <c r="L454" s="16">
        <f>IFERROR(MATCH($B$3*100000+COUNTIFS(tblRegistros[ID],$B$3,tblRegistros[Data],"&lt;"&amp;$B$4)+ROWS($L$10:L454),tblRegistros[Chave do cartão],0),"")</f>
        <v/>
      </c>
    </row>
    <row r="455">
      <c r="A455" s="2">
        <f>IF($L455="","",IF(INDEX(tblRegistros[Data],$L455)&gt;$D$4,"",IFERROR(INDEX(tblRegistros[Data],$L455),"")))</f>
        <v/>
      </c>
      <c r="B455">
        <f>IF($L455="","",IF(INDEX(tblRegistros[Data],$L455)&gt;$D$4,"",IFERROR(INDEX(tblRegistros[Projeto],$L455),"")))</f>
        <v/>
      </c>
      <c r="C455">
        <f>IF($L455="","",IF(INDEX(tblRegistros[Data],$L455)&gt;$D$4,"",IFERROR(INDEX(tblRegistros[Atividade],$L455),"")))</f>
        <v/>
      </c>
      <c r="D455" s="4">
        <f>IF($L455="","",IF(INDEX(tblRegistros[Data],$L455)&gt;$D$4,"",IFERROR(INDEX(tblRegistros[Início],$L455),"")))</f>
        <v/>
      </c>
      <c r="E455" s="4">
        <f>IF($L455="","",IF(INDEX(tblRegistros[Data],$L455)&gt;$D$4,"",IFERROR(IF(INDEX(tblRegistros[Status],$L455)="EM ABERTO","",INDEX(tblRegistros[Fim],$L455)),"")))</f>
        <v/>
      </c>
      <c r="F455">
        <f>IF($L455="","",IF(INDEX(tblRegistros[Data],$L455)&gt;$D$4,"",IFERROR(IF(INDEX(tblRegistros[Status],$L455)="EM ABERTO","",INDEX(tblRegistros[Horas],$L455)),"")))</f>
        <v/>
      </c>
      <c r="G455">
        <f>IF($L455="","",IF(INDEX(tblRegistros[Data],$L455)&gt;$D$4,"",IFERROR(INDEX(tblRegistros[Base],$L455),"")))</f>
        <v/>
      </c>
      <c r="H455" s="3">
        <f>IF($L455="","",IF(INDEX(tblRegistros[Data],$L455)&gt;$D$4,"",IFERROR(INDEX(tblRegistros[Taxa aplicada],$L455),"")))</f>
        <v/>
      </c>
      <c r="I455" s="3">
        <f>IF($L455="","",IF(INDEX(tblRegistros[Data],$L455)&gt;$D$4,"",IFERROR(IF(INDEX(tblRegistros[Status],$L455)="EM ABERTO","",INDEX(tblRegistros[Valor],$L455)),"")))</f>
        <v/>
      </c>
      <c r="J455">
        <f>IF($L455="","",IF(INDEX(tblRegistros[Data],$L455)&gt;$D$4,"",IFERROR(INDEX(tblRegistros[Status],$L455),"")))</f>
        <v/>
      </c>
      <c r="K455">
        <f>IF($L455="","",IF(INDEX(tblRegistros[Data],$L455)&gt;$D$4,"",IFERROR(INDEX(tblRegistros[Observação],$L455),"")))</f>
        <v/>
      </c>
      <c r="L455" s="16">
        <f>IFERROR(MATCH($B$3*100000+COUNTIFS(tblRegistros[ID],$B$3,tblRegistros[Data],"&lt;"&amp;$B$4)+ROWS($L$10:L455),tblRegistros[Chave do cartão],0),"")</f>
        <v/>
      </c>
    </row>
    <row r="456">
      <c r="A456" s="2">
        <f>IF($L456="","",IF(INDEX(tblRegistros[Data],$L456)&gt;$D$4,"",IFERROR(INDEX(tblRegistros[Data],$L456),"")))</f>
        <v/>
      </c>
      <c r="B456">
        <f>IF($L456="","",IF(INDEX(tblRegistros[Data],$L456)&gt;$D$4,"",IFERROR(INDEX(tblRegistros[Projeto],$L456),"")))</f>
        <v/>
      </c>
      <c r="C456">
        <f>IF($L456="","",IF(INDEX(tblRegistros[Data],$L456)&gt;$D$4,"",IFERROR(INDEX(tblRegistros[Atividade],$L456),"")))</f>
        <v/>
      </c>
      <c r="D456" s="4">
        <f>IF($L456="","",IF(INDEX(tblRegistros[Data],$L456)&gt;$D$4,"",IFERROR(INDEX(tblRegistros[Início],$L456),"")))</f>
        <v/>
      </c>
      <c r="E456" s="4">
        <f>IF($L456="","",IF(INDEX(tblRegistros[Data],$L456)&gt;$D$4,"",IFERROR(IF(INDEX(tblRegistros[Status],$L456)="EM ABERTO","",INDEX(tblRegistros[Fim],$L456)),"")))</f>
        <v/>
      </c>
      <c r="F456">
        <f>IF($L456="","",IF(INDEX(tblRegistros[Data],$L456)&gt;$D$4,"",IFERROR(IF(INDEX(tblRegistros[Status],$L456)="EM ABERTO","",INDEX(tblRegistros[Horas],$L456)),"")))</f>
        <v/>
      </c>
      <c r="G456">
        <f>IF($L456="","",IF(INDEX(tblRegistros[Data],$L456)&gt;$D$4,"",IFERROR(INDEX(tblRegistros[Base],$L456),"")))</f>
        <v/>
      </c>
      <c r="H456" s="3">
        <f>IF($L456="","",IF(INDEX(tblRegistros[Data],$L456)&gt;$D$4,"",IFERROR(INDEX(tblRegistros[Taxa aplicada],$L456),"")))</f>
        <v/>
      </c>
      <c r="I456" s="3">
        <f>IF($L456="","",IF(INDEX(tblRegistros[Data],$L456)&gt;$D$4,"",IFERROR(IF(INDEX(tblRegistros[Status],$L456)="EM ABERTO","",INDEX(tblRegistros[Valor],$L456)),"")))</f>
        <v/>
      </c>
      <c r="J456">
        <f>IF($L456="","",IF(INDEX(tblRegistros[Data],$L456)&gt;$D$4,"",IFERROR(INDEX(tblRegistros[Status],$L456),"")))</f>
        <v/>
      </c>
      <c r="K456">
        <f>IF($L456="","",IF(INDEX(tblRegistros[Data],$L456)&gt;$D$4,"",IFERROR(INDEX(tblRegistros[Observação],$L456),"")))</f>
        <v/>
      </c>
      <c r="L456" s="16">
        <f>IFERROR(MATCH($B$3*100000+COUNTIFS(tblRegistros[ID],$B$3,tblRegistros[Data],"&lt;"&amp;$B$4)+ROWS($L$10:L456),tblRegistros[Chave do cartão],0),"")</f>
        <v/>
      </c>
    </row>
    <row r="457">
      <c r="A457" s="2">
        <f>IF($L457="","",IF(INDEX(tblRegistros[Data],$L457)&gt;$D$4,"",IFERROR(INDEX(tblRegistros[Data],$L457),"")))</f>
        <v/>
      </c>
      <c r="B457">
        <f>IF($L457="","",IF(INDEX(tblRegistros[Data],$L457)&gt;$D$4,"",IFERROR(INDEX(tblRegistros[Projeto],$L457),"")))</f>
        <v/>
      </c>
      <c r="C457">
        <f>IF($L457="","",IF(INDEX(tblRegistros[Data],$L457)&gt;$D$4,"",IFERROR(INDEX(tblRegistros[Atividade],$L457),"")))</f>
        <v/>
      </c>
      <c r="D457" s="4">
        <f>IF($L457="","",IF(INDEX(tblRegistros[Data],$L457)&gt;$D$4,"",IFERROR(INDEX(tblRegistros[Início],$L457),"")))</f>
        <v/>
      </c>
      <c r="E457" s="4">
        <f>IF($L457="","",IF(INDEX(tblRegistros[Data],$L457)&gt;$D$4,"",IFERROR(IF(INDEX(tblRegistros[Status],$L457)="EM ABERTO","",INDEX(tblRegistros[Fim],$L457)),"")))</f>
        <v/>
      </c>
      <c r="F457">
        <f>IF($L457="","",IF(INDEX(tblRegistros[Data],$L457)&gt;$D$4,"",IFERROR(IF(INDEX(tblRegistros[Status],$L457)="EM ABERTO","",INDEX(tblRegistros[Horas],$L457)),"")))</f>
        <v/>
      </c>
      <c r="G457">
        <f>IF($L457="","",IF(INDEX(tblRegistros[Data],$L457)&gt;$D$4,"",IFERROR(INDEX(tblRegistros[Base],$L457),"")))</f>
        <v/>
      </c>
      <c r="H457" s="3">
        <f>IF($L457="","",IF(INDEX(tblRegistros[Data],$L457)&gt;$D$4,"",IFERROR(INDEX(tblRegistros[Taxa aplicada],$L457),"")))</f>
        <v/>
      </c>
      <c r="I457" s="3">
        <f>IF($L457="","",IF(INDEX(tblRegistros[Data],$L457)&gt;$D$4,"",IFERROR(IF(INDEX(tblRegistros[Status],$L457)="EM ABERTO","",INDEX(tblRegistros[Valor],$L457)),"")))</f>
        <v/>
      </c>
      <c r="J457">
        <f>IF($L457="","",IF(INDEX(tblRegistros[Data],$L457)&gt;$D$4,"",IFERROR(INDEX(tblRegistros[Status],$L457),"")))</f>
        <v/>
      </c>
      <c r="K457">
        <f>IF($L457="","",IF(INDEX(tblRegistros[Data],$L457)&gt;$D$4,"",IFERROR(INDEX(tblRegistros[Observação],$L457),"")))</f>
        <v/>
      </c>
      <c r="L457" s="16">
        <f>IFERROR(MATCH($B$3*100000+COUNTIFS(tblRegistros[ID],$B$3,tblRegistros[Data],"&lt;"&amp;$B$4)+ROWS($L$10:L457),tblRegistros[Chave do cartão],0),"")</f>
        <v/>
      </c>
    </row>
    <row r="458">
      <c r="A458" s="2">
        <f>IF($L458="","",IF(INDEX(tblRegistros[Data],$L458)&gt;$D$4,"",IFERROR(INDEX(tblRegistros[Data],$L458),"")))</f>
        <v/>
      </c>
      <c r="B458">
        <f>IF($L458="","",IF(INDEX(tblRegistros[Data],$L458)&gt;$D$4,"",IFERROR(INDEX(tblRegistros[Projeto],$L458),"")))</f>
        <v/>
      </c>
      <c r="C458">
        <f>IF($L458="","",IF(INDEX(tblRegistros[Data],$L458)&gt;$D$4,"",IFERROR(INDEX(tblRegistros[Atividade],$L458),"")))</f>
        <v/>
      </c>
      <c r="D458" s="4">
        <f>IF($L458="","",IF(INDEX(tblRegistros[Data],$L458)&gt;$D$4,"",IFERROR(INDEX(tblRegistros[Início],$L458),"")))</f>
        <v/>
      </c>
      <c r="E458" s="4">
        <f>IF($L458="","",IF(INDEX(tblRegistros[Data],$L458)&gt;$D$4,"",IFERROR(IF(INDEX(tblRegistros[Status],$L458)="EM ABERTO","",INDEX(tblRegistros[Fim],$L458)),"")))</f>
        <v/>
      </c>
      <c r="F458">
        <f>IF($L458="","",IF(INDEX(tblRegistros[Data],$L458)&gt;$D$4,"",IFERROR(IF(INDEX(tblRegistros[Status],$L458)="EM ABERTO","",INDEX(tblRegistros[Horas],$L458)),"")))</f>
        <v/>
      </c>
      <c r="G458">
        <f>IF($L458="","",IF(INDEX(tblRegistros[Data],$L458)&gt;$D$4,"",IFERROR(INDEX(tblRegistros[Base],$L458),"")))</f>
        <v/>
      </c>
      <c r="H458" s="3">
        <f>IF($L458="","",IF(INDEX(tblRegistros[Data],$L458)&gt;$D$4,"",IFERROR(INDEX(tblRegistros[Taxa aplicada],$L458),"")))</f>
        <v/>
      </c>
      <c r="I458" s="3">
        <f>IF($L458="","",IF(INDEX(tblRegistros[Data],$L458)&gt;$D$4,"",IFERROR(IF(INDEX(tblRegistros[Status],$L458)="EM ABERTO","",INDEX(tblRegistros[Valor],$L458)),"")))</f>
        <v/>
      </c>
      <c r="J458">
        <f>IF($L458="","",IF(INDEX(tblRegistros[Data],$L458)&gt;$D$4,"",IFERROR(INDEX(tblRegistros[Status],$L458),"")))</f>
        <v/>
      </c>
      <c r="K458">
        <f>IF($L458="","",IF(INDEX(tblRegistros[Data],$L458)&gt;$D$4,"",IFERROR(INDEX(tblRegistros[Observação],$L458),"")))</f>
        <v/>
      </c>
      <c r="L458" s="16">
        <f>IFERROR(MATCH($B$3*100000+COUNTIFS(tblRegistros[ID],$B$3,tblRegistros[Data],"&lt;"&amp;$B$4)+ROWS($L$10:L458),tblRegistros[Chave do cartão],0),"")</f>
        <v/>
      </c>
    </row>
    <row r="459">
      <c r="A459" s="2">
        <f>IF($L459="","",IF(INDEX(tblRegistros[Data],$L459)&gt;$D$4,"",IFERROR(INDEX(tblRegistros[Data],$L459),"")))</f>
        <v/>
      </c>
      <c r="B459">
        <f>IF($L459="","",IF(INDEX(tblRegistros[Data],$L459)&gt;$D$4,"",IFERROR(INDEX(tblRegistros[Projeto],$L459),"")))</f>
        <v/>
      </c>
      <c r="C459">
        <f>IF($L459="","",IF(INDEX(tblRegistros[Data],$L459)&gt;$D$4,"",IFERROR(INDEX(tblRegistros[Atividade],$L459),"")))</f>
        <v/>
      </c>
      <c r="D459" s="4">
        <f>IF($L459="","",IF(INDEX(tblRegistros[Data],$L459)&gt;$D$4,"",IFERROR(INDEX(tblRegistros[Início],$L459),"")))</f>
        <v/>
      </c>
      <c r="E459" s="4">
        <f>IF($L459="","",IF(INDEX(tblRegistros[Data],$L459)&gt;$D$4,"",IFERROR(IF(INDEX(tblRegistros[Status],$L459)="EM ABERTO","",INDEX(tblRegistros[Fim],$L459)),"")))</f>
        <v/>
      </c>
      <c r="F459">
        <f>IF($L459="","",IF(INDEX(tblRegistros[Data],$L459)&gt;$D$4,"",IFERROR(IF(INDEX(tblRegistros[Status],$L459)="EM ABERTO","",INDEX(tblRegistros[Horas],$L459)),"")))</f>
        <v/>
      </c>
      <c r="G459">
        <f>IF($L459="","",IF(INDEX(tblRegistros[Data],$L459)&gt;$D$4,"",IFERROR(INDEX(tblRegistros[Base],$L459),"")))</f>
        <v/>
      </c>
      <c r="H459" s="3">
        <f>IF($L459="","",IF(INDEX(tblRegistros[Data],$L459)&gt;$D$4,"",IFERROR(INDEX(tblRegistros[Taxa aplicada],$L459),"")))</f>
        <v/>
      </c>
      <c r="I459" s="3">
        <f>IF($L459="","",IF(INDEX(tblRegistros[Data],$L459)&gt;$D$4,"",IFERROR(IF(INDEX(tblRegistros[Status],$L459)="EM ABERTO","",INDEX(tblRegistros[Valor],$L459)),"")))</f>
        <v/>
      </c>
      <c r="J459">
        <f>IF($L459="","",IF(INDEX(tblRegistros[Data],$L459)&gt;$D$4,"",IFERROR(INDEX(tblRegistros[Status],$L459),"")))</f>
        <v/>
      </c>
      <c r="K459">
        <f>IF($L459="","",IF(INDEX(tblRegistros[Data],$L459)&gt;$D$4,"",IFERROR(INDEX(tblRegistros[Observação],$L459),"")))</f>
        <v/>
      </c>
      <c r="L459" s="16">
        <f>IFERROR(MATCH($B$3*100000+COUNTIFS(tblRegistros[ID],$B$3,tblRegistros[Data],"&lt;"&amp;$B$4)+ROWS($L$10:L459),tblRegistros[Chave do cartão],0),"")</f>
        <v/>
      </c>
    </row>
    <row r="460">
      <c r="A460" s="2">
        <f>IF($L460="","",IF(INDEX(tblRegistros[Data],$L460)&gt;$D$4,"",IFERROR(INDEX(tblRegistros[Data],$L460),"")))</f>
        <v/>
      </c>
      <c r="B460">
        <f>IF($L460="","",IF(INDEX(tblRegistros[Data],$L460)&gt;$D$4,"",IFERROR(INDEX(tblRegistros[Projeto],$L460),"")))</f>
        <v/>
      </c>
      <c r="C460">
        <f>IF($L460="","",IF(INDEX(tblRegistros[Data],$L460)&gt;$D$4,"",IFERROR(INDEX(tblRegistros[Atividade],$L460),"")))</f>
        <v/>
      </c>
      <c r="D460" s="4">
        <f>IF($L460="","",IF(INDEX(tblRegistros[Data],$L460)&gt;$D$4,"",IFERROR(INDEX(tblRegistros[Início],$L460),"")))</f>
        <v/>
      </c>
      <c r="E460" s="4">
        <f>IF($L460="","",IF(INDEX(tblRegistros[Data],$L460)&gt;$D$4,"",IFERROR(IF(INDEX(tblRegistros[Status],$L460)="EM ABERTO","",INDEX(tblRegistros[Fim],$L460)),"")))</f>
        <v/>
      </c>
      <c r="F460">
        <f>IF($L460="","",IF(INDEX(tblRegistros[Data],$L460)&gt;$D$4,"",IFERROR(IF(INDEX(tblRegistros[Status],$L460)="EM ABERTO","",INDEX(tblRegistros[Horas],$L460)),"")))</f>
        <v/>
      </c>
      <c r="G460">
        <f>IF($L460="","",IF(INDEX(tblRegistros[Data],$L460)&gt;$D$4,"",IFERROR(INDEX(tblRegistros[Base],$L460),"")))</f>
        <v/>
      </c>
      <c r="H460" s="3">
        <f>IF($L460="","",IF(INDEX(tblRegistros[Data],$L460)&gt;$D$4,"",IFERROR(INDEX(tblRegistros[Taxa aplicada],$L460),"")))</f>
        <v/>
      </c>
      <c r="I460" s="3">
        <f>IF($L460="","",IF(INDEX(tblRegistros[Data],$L460)&gt;$D$4,"",IFERROR(IF(INDEX(tblRegistros[Status],$L460)="EM ABERTO","",INDEX(tblRegistros[Valor],$L460)),"")))</f>
        <v/>
      </c>
      <c r="J460">
        <f>IF($L460="","",IF(INDEX(tblRegistros[Data],$L460)&gt;$D$4,"",IFERROR(INDEX(tblRegistros[Status],$L460),"")))</f>
        <v/>
      </c>
      <c r="K460">
        <f>IF($L460="","",IF(INDEX(tblRegistros[Data],$L460)&gt;$D$4,"",IFERROR(INDEX(tblRegistros[Observação],$L460),"")))</f>
        <v/>
      </c>
      <c r="L460" s="16">
        <f>IFERROR(MATCH($B$3*100000+COUNTIFS(tblRegistros[ID],$B$3,tblRegistros[Data],"&lt;"&amp;$B$4)+ROWS($L$10:L460),tblRegistros[Chave do cartão],0),"")</f>
        <v/>
      </c>
    </row>
    <row r="461">
      <c r="A461" s="2">
        <f>IF($L461="","",IF(INDEX(tblRegistros[Data],$L461)&gt;$D$4,"",IFERROR(INDEX(tblRegistros[Data],$L461),"")))</f>
        <v/>
      </c>
      <c r="B461">
        <f>IF($L461="","",IF(INDEX(tblRegistros[Data],$L461)&gt;$D$4,"",IFERROR(INDEX(tblRegistros[Projeto],$L461),"")))</f>
        <v/>
      </c>
      <c r="C461">
        <f>IF($L461="","",IF(INDEX(tblRegistros[Data],$L461)&gt;$D$4,"",IFERROR(INDEX(tblRegistros[Atividade],$L461),"")))</f>
        <v/>
      </c>
      <c r="D461" s="4">
        <f>IF($L461="","",IF(INDEX(tblRegistros[Data],$L461)&gt;$D$4,"",IFERROR(INDEX(tblRegistros[Início],$L461),"")))</f>
        <v/>
      </c>
      <c r="E461" s="4">
        <f>IF($L461="","",IF(INDEX(tblRegistros[Data],$L461)&gt;$D$4,"",IFERROR(IF(INDEX(tblRegistros[Status],$L461)="EM ABERTO","",INDEX(tblRegistros[Fim],$L461)),"")))</f>
        <v/>
      </c>
      <c r="F461">
        <f>IF($L461="","",IF(INDEX(tblRegistros[Data],$L461)&gt;$D$4,"",IFERROR(IF(INDEX(tblRegistros[Status],$L461)="EM ABERTO","",INDEX(tblRegistros[Horas],$L461)),"")))</f>
        <v/>
      </c>
      <c r="G461">
        <f>IF($L461="","",IF(INDEX(tblRegistros[Data],$L461)&gt;$D$4,"",IFERROR(INDEX(tblRegistros[Base],$L461),"")))</f>
        <v/>
      </c>
      <c r="H461" s="3">
        <f>IF($L461="","",IF(INDEX(tblRegistros[Data],$L461)&gt;$D$4,"",IFERROR(INDEX(tblRegistros[Taxa aplicada],$L461),"")))</f>
        <v/>
      </c>
      <c r="I461" s="3">
        <f>IF($L461="","",IF(INDEX(tblRegistros[Data],$L461)&gt;$D$4,"",IFERROR(IF(INDEX(tblRegistros[Status],$L461)="EM ABERTO","",INDEX(tblRegistros[Valor],$L461)),"")))</f>
        <v/>
      </c>
      <c r="J461">
        <f>IF($L461="","",IF(INDEX(tblRegistros[Data],$L461)&gt;$D$4,"",IFERROR(INDEX(tblRegistros[Status],$L461),"")))</f>
        <v/>
      </c>
      <c r="K461">
        <f>IF($L461="","",IF(INDEX(tblRegistros[Data],$L461)&gt;$D$4,"",IFERROR(INDEX(tblRegistros[Observação],$L461),"")))</f>
        <v/>
      </c>
      <c r="L461" s="16">
        <f>IFERROR(MATCH($B$3*100000+COUNTIFS(tblRegistros[ID],$B$3,tblRegistros[Data],"&lt;"&amp;$B$4)+ROWS($L$10:L461),tblRegistros[Chave do cartão],0),"")</f>
        <v/>
      </c>
    </row>
    <row r="462">
      <c r="A462" s="2">
        <f>IF($L462="","",IF(INDEX(tblRegistros[Data],$L462)&gt;$D$4,"",IFERROR(INDEX(tblRegistros[Data],$L462),"")))</f>
        <v/>
      </c>
      <c r="B462">
        <f>IF($L462="","",IF(INDEX(tblRegistros[Data],$L462)&gt;$D$4,"",IFERROR(INDEX(tblRegistros[Projeto],$L462),"")))</f>
        <v/>
      </c>
      <c r="C462">
        <f>IF($L462="","",IF(INDEX(tblRegistros[Data],$L462)&gt;$D$4,"",IFERROR(INDEX(tblRegistros[Atividade],$L462),"")))</f>
        <v/>
      </c>
      <c r="D462" s="4">
        <f>IF($L462="","",IF(INDEX(tblRegistros[Data],$L462)&gt;$D$4,"",IFERROR(INDEX(tblRegistros[Início],$L462),"")))</f>
        <v/>
      </c>
      <c r="E462" s="4">
        <f>IF($L462="","",IF(INDEX(tblRegistros[Data],$L462)&gt;$D$4,"",IFERROR(IF(INDEX(tblRegistros[Status],$L462)="EM ABERTO","",INDEX(tblRegistros[Fim],$L462)),"")))</f>
        <v/>
      </c>
      <c r="F462">
        <f>IF($L462="","",IF(INDEX(tblRegistros[Data],$L462)&gt;$D$4,"",IFERROR(IF(INDEX(tblRegistros[Status],$L462)="EM ABERTO","",INDEX(tblRegistros[Horas],$L462)),"")))</f>
        <v/>
      </c>
      <c r="G462">
        <f>IF($L462="","",IF(INDEX(tblRegistros[Data],$L462)&gt;$D$4,"",IFERROR(INDEX(tblRegistros[Base],$L462),"")))</f>
        <v/>
      </c>
      <c r="H462" s="3">
        <f>IF($L462="","",IF(INDEX(tblRegistros[Data],$L462)&gt;$D$4,"",IFERROR(INDEX(tblRegistros[Taxa aplicada],$L462),"")))</f>
        <v/>
      </c>
      <c r="I462" s="3">
        <f>IF($L462="","",IF(INDEX(tblRegistros[Data],$L462)&gt;$D$4,"",IFERROR(IF(INDEX(tblRegistros[Status],$L462)="EM ABERTO","",INDEX(tblRegistros[Valor],$L462)),"")))</f>
        <v/>
      </c>
      <c r="J462">
        <f>IF($L462="","",IF(INDEX(tblRegistros[Data],$L462)&gt;$D$4,"",IFERROR(INDEX(tblRegistros[Status],$L462),"")))</f>
        <v/>
      </c>
      <c r="K462">
        <f>IF($L462="","",IF(INDEX(tblRegistros[Data],$L462)&gt;$D$4,"",IFERROR(INDEX(tblRegistros[Observação],$L462),"")))</f>
        <v/>
      </c>
      <c r="L462" s="16">
        <f>IFERROR(MATCH($B$3*100000+COUNTIFS(tblRegistros[ID],$B$3,tblRegistros[Data],"&lt;"&amp;$B$4)+ROWS($L$10:L462),tblRegistros[Chave do cartão],0),"")</f>
        <v/>
      </c>
    </row>
    <row r="463">
      <c r="A463" s="2">
        <f>IF($L463="","",IF(INDEX(tblRegistros[Data],$L463)&gt;$D$4,"",IFERROR(INDEX(tblRegistros[Data],$L463),"")))</f>
        <v/>
      </c>
      <c r="B463">
        <f>IF($L463="","",IF(INDEX(tblRegistros[Data],$L463)&gt;$D$4,"",IFERROR(INDEX(tblRegistros[Projeto],$L463),"")))</f>
        <v/>
      </c>
      <c r="C463">
        <f>IF($L463="","",IF(INDEX(tblRegistros[Data],$L463)&gt;$D$4,"",IFERROR(INDEX(tblRegistros[Atividade],$L463),"")))</f>
        <v/>
      </c>
      <c r="D463" s="4">
        <f>IF($L463="","",IF(INDEX(tblRegistros[Data],$L463)&gt;$D$4,"",IFERROR(INDEX(tblRegistros[Início],$L463),"")))</f>
        <v/>
      </c>
      <c r="E463" s="4">
        <f>IF($L463="","",IF(INDEX(tblRegistros[Data],$L463)&gt;$D$4,"",IFERROR(IF(INDEX(tblRegistros[Status],$L463)="EM ABERTO","",INDEX(tblRegistros[Fim],$L463)),"")))</f>
        <v/>
      </c>
      <c r="F463">
        <f>IF($L463="","",IF(INDEX(tblRegistros[Data],$L463)&gt;$D$4,"",IFERROR(IF(INDEX(tblRegistros[Status],$L463)="EM ABERTO","",INDEX(tblRegistros[Horas],$L463)),"")))</f>
        <v/>
      </c>
      <c r="G463">
        <f>IF($L463="","",IF(INDEX(tblRegistros[Data],$L463)&gt;$D$4,"",IFERROR(INDEX(tblRegistros[Base],$L463),"")))</f>
        <v/>
      </c>
      <c r="H463" s="3">
        <f>IF($L463="","",IF(INDEX(tblRegistros[Data],$L463)&gt;$D$4,"",IFERROR(INDEX(tblRegistros[Taxa aplicada],$L463),"")))</f>
        <v/>
      </c>
      <c r="I463" s="3">
        <f>IF($L463="","",IF(INDEX(tblRegistros[Data],$L463)&gt;$D$4,"",IFERROR(IF(INDEX(tblRegistros[Status],$L463)="EM ABERTO","",INDEX(tblRegistros[Valor],$L463)),"")))</f>
        <v/>
      </c>
      <c r="J463">
        <f>IF($L463="","",IF(INDEX(tblRegistros[Data],$L463)&gt;$D$4,"",IFERROR(INDEX(tblRegistros[Status],$L463),"")))</f>
        <v/>
      </c>
      <c r="K463">
        <f>IF($L463="","",IF(INDEX(tblRegistros[Data],$L463)&gt;$D$4,"",IFERROR(INDEX(tblRegistros[Observação],$L463),"")))</f>
        <v/>
      </c>
      <c r="L463" s="16">
        <f>IFERROR(MATCH($B$3*100000+COUNTIFS(tblRegistros[ID],$B$3,tblRegistros[Data],"&lt;"&amp;$B$4)+ROWS($L$10:L463),tblRegistros[Chave do cartão],0),"")</f>
        <v/>
      </c>
    </row>
    <row r="464">
      <c r="A464" s="2">
        <f>IF($L464="","",IF(INDEX(tblRegistros[Data],$L464)&gt;$D$4,"",IFERROR(INDEX(tblRegistros[Data],$L464),"")))</f>
        <v/>
      </c>
      <c r="B464">
        <f>IF($L464="","",IF(INDEX(tblRegistros[Data],$L464)&gt;$D$4,"",IFERROR(INDEX(tblRegistros[Projeto],$L464),"")))</f>
        <v/>
      </c>
      <c r="C464">
        <f>IF($L464="","",IF(INDEX(tblRegistros[Data],$L464)&gt;$D$4,"",IFERROR(INDEX(tblRegistros[Atividade],$L464),"")))</f>
        <v/>
      </c>
      <c r="D464" s="4">
        <f>IF($L464="","",IF(INDEX(tblRegistros[Data],$L464)&gt;$D$4,"",IFERROR(INDEX(tblRegistros[Início],$L464),"")))</f>
        <v/>
      </c>
      <c r="E464" s="4">
        <f>IF($L464="","",IF(INDEX(tblRegistros[Data],$L464)&gt;$D$4,"",IFERROR(IF(INDEX(tblRegistros[Status],$L464)="EM ABERTO","",INDEX(tblRegistros[Fim],$L464)),"")))</f>
        <v/>
      </c>
      <c r="F464">
        <f>IF($L464="","",IF(INDEX(tblRegistros[Data],$L464)&gt;$D$4,"",IFERROR(IF(INDEX(tblRegistros[Status],$L464)="EM ABERTO","",INDEX(tblRegistros[Horas],$L464)),"")))</f>
        <v/>
      </c>
      <c r="G464">
        <f>IF($L464="","",IF(INDEX(tblRegistros[Data],$L464)&gt;$D$4,"",IFERROR(INDEX(tblRegistros[Base],$L464),"")))</f>
        <v/>
      </c>
      <c r="H464" s="3">
        <f>IF($L464="","",IF(INDEX(tblRegistros[Data],$L464)&gt;$D$4,"",IFERROR(INDEX(tblRegistros[Taxa aplicada],$L464),"")))</f>
        <v/>
      </c>
      <c r="I464" s="3">
        <f>IF($L464="","",IF(INDEX(tblRegistros[Data],$L464)&gt;$D$4,"",IFERROR(IF(INDEX(tblRegistros[Status],$L464)="EM ABERTO","",INDEX(tblRegistros[Valor],$L464)),"")))</f>
        <v/>
      </c>
      <c r="J464">
        <f>IF($L464="","",IF(INDEX(tblRegistros[Data],$L464)&gt;$D$4,"",IFERROR(INDEX(tblRegistros[Status],$L464),"")))</f>
        <v/>
      </c>
      <c r="K464">
        <f>IF($L464="","",IF(INDEX(tblRegistros[Data],$L464)&gt;$D$4,"",IFERROR(INDEX(tblRegistros[Observação],$L464),"")))</f>
        <v/>
      </c>
      <c r="L464" s="16">
        <f>IFERROR(MATCH($B$3*100000+COUNTIFS(tblRegistros[ID],$B$3,tblRegistros[Data],"&lt;"&amp;$B$4)+ROWS($L$10:L464),tblRegistros[Chave do cartão],0),"")</f>
        <v/>
      </c>
    </row>
    <row r="465">
      <c r="A465" s="2">
        <f>IF($L465="","",IF(INDEX(tblRegistros[Data],$L465)&gt;$D$4,"",IFERROR(INDEX(tblRegistros[Data],$L465),"")))</f>
        <v/>
      </c>
      <c r="B465">
        <f>IF($L465="","",IF(INDEX(tblRegistros[Data],$L465)&gt;$D$4,"",IFERROR(INDEX(tblRegistros[Projeto],$L465),"")))</f>
        <v/>
      </c>
      <c r="C465">
        <f>IF($L465="","",IF(INDEX(tblRegistros[Data],$L465)&gt;$D$4,"",IFERROR(INDEX(tblRegistros[Atividade],$L465),"")))</f>
        <v/>
      </c>
      <c r="D465" s="4">
        <f>IF($L465="","",IF(INDEX(tblRegistros[Data],$L465)&gt;$D$4,"",IFERROR(INDEX(tblRegistros[Início],$L465),"")))</f>
        <v/>
      </c>
      <c r="E465" s="4">
        <f>IF($L465="","",IF(INDEX(tblRegistros[Data],$L465)&gt;$D$4,"",IFERROR(IF(INDEX(tblRegistros[Status],$L465)="EM ABERTO","",INDEX(tblRegistros[Fim],$L465)),"")))</f>
        <v/>
      </c>
      <c r="F465">
        <f>IF($L465="","",IF(INDEX(tblRegistros[Data],$L465)&gt;$D$4,"",IFERROR(IF(INDEX(tblRegistros[Status],$L465)="EM ABERTO","",INDEX(tblRegistros[Horas],$L465)),"")))</f>
        <v/>
      </c>
      <c r="G465">
        <f>IF($L465="","",IF(INDEX(tblRegistros[Data],$L465)&gt;$D$4,"",IFERROR(INDEX(tblRegistros[Base],$L465),"")))</f>
        <v/>
      </c>
      <c r="H465" s="3">
        <f>IF($L465="","",IF(INDEX(tblRegistros[Data],$L465)&gt;$D$4,"",IFERROR(INDEX(tblRegistros[Taxa aplicada],$L465),"")))</f>
        <v/>
      </c>
      <c r="I465" s="3">
        <f>IF($L465="","",IF(INDEX(tblRegistros[Data],$L465)&gt;$D$4,"",IFERROR(IF(INDEX(tblRegistros[Status],$L465)="EM ABERTO","",INDEX(tblRegistros[Valor],$L465)),"")))</f>
        <v/>
      </c>
      <c r="J465">
        <f>IF($L465="","",IF(INDEX(tblRegistros[Data],$L465)&gt;$D$4,"",IFERROR(INDEX(tblRegistros[Status],$L465),"")))</f>
        <v/>
      </c>
      <c r="K465">
        <f>IF($L465="","",IF(INDEX(tblRegistros[Data],$L465)&gt;$D$4,"",IFERROR(INDEX(tblRegistros[Observação],$L465),"")))</f>
        <v/>
      </c>
      <c r="L465" s="16">
        <f>IFERROR(MATCH($B$3*100000+COUNTIFS(tblRegistros[ID],$B$3,tblRegistros[Data],"&lt;"&amp;$B$4)+ROWS($L$10:L465),tblRegistros[Chave do cartão],0),"")</f>
        <v/>
      </c>
    </row>
    <row r="466">
      <c r="A466" s="2">
        <f>IF($L466="","",IF(INDEX(tblRegistros[Data],$L466)&gt;$D$4,"",IFERROR(INDEX(tblRegistros[Data],$L466),"")))</f>
        <v/>
      </c>
      <c r="B466">
        <f>IF($L466="","",IF(INDEX(tblRegistros[Data],$L466)&gt;$D$4,"",IFERROR(INDEX(tblRegistros[Projeto],$L466),"")))</f>
        <v/>
      </c>
      <c r="C466">
        <f>IF($L466="","",IF(INDEX(tblRegistros[Data],$L466)&gt;$D$4,"",IFERROR(INDEX(tblRegistros[Atividade],$L466),"")))</f>
        <v/>
      </c>
      <c r="D466" s="4">
        <f>IF($L466="","",IF(INDEX(tblRegistros[Data],$L466)&gt;$D$4,"",IFERROR(INDEX(tblRegistros[Início],$L466),"")))</f>
        <v/>
      </c>
      <c r="E466" s="4">
        <f>IF($L466="","",IF(INDEX(tblRegistros[Data],$L466)&gt;$D$4,"",IFERROR(IF(INDEX(tblRegistros[Status],$L466)="EM ABERTO","",INDEX(tblRegistros[Fim],$L466)),"")))</f>
        <v/>
      </c>
      <c r="F466">
        <f>IF($L466="","",IF(INDEX(tblRegistros[Data],$L466)&gt;$D$4,"",IFERROR(IF(INDEX(tblRegistros[Status],$L466)="EM ABERTO","",INDEX(tblRegistros[Horas],$L466)),"")))</f>
        <v/>
      </c>
      <c r="G466">
        <f>IF($L466="","",IF(INDEX(tblRegistros[Data],$L466)&gt;$D$4,"",IFERROR(INDEX(tblRegistros[Base],$L466),"")))</f>
        <v/>
      </c>
      <c r="H466" s="3">
        <f>IF($L466="","",IF(INDEX(tblRegistros[Data],$L466)&gt;$D$4,"",IFERROR(INDEX(tblRegistros[Taxa aplicada],$L466),"")))</f>
        <v/>
      </c>
      <c r="I466" s="3">
        <f>IF($L466="","",IF(INDEX(tblRegistros[Data],$L466)&gt;$D$4,"",IFERROR(IF(INDEX(tblRegistros[Status],$L466)="EM ABERTO","",INDEX(tblRegistros[Valor],$L466)),"")))</f>
        <v/>
      </c>
      <c r="J466">
        <f>IF($L466="","",IF(INDEX(tblRegistros[Data],$L466)&gt;$D$4,"",IFERROR(INDEX(tblRegistros[Status],$L466),"")))</f>
        <v/>
      </c>
      <c r="K466">
        <f>IF($L466="","",IF(INDEX(tblRegistros[Data],$L466)&gt;$D$4,"",IFERROR(INDEX(tblRegistros[Observação],$L466),"")))</f>
        <v/>
      </c>
      <c r="L466" s="16">
        <f>IFERROR(MATCH($B$3*100000+COUNTIFS(tblRegistros[ID],$B$3,tblRegistros[Data],"&lt;"&amp;$B$4)+ROWS($L$10:L466),tblRegistros[Chave do cartão],0),"")</f>
        <v/>
      </c>
    </row>
    <row r="467">
      <c r="A467" s="2">
        <f>IF($L467="","",IF(INDEX(tblRegistros[Data],$L467)&gt;$D$4,"",IFERROR(INDEX(tblRegistros[Data],$L467),"")))</f>
        <v/>
      </c>
      <c r="B467">
        <f>IF($L467="","",IF(INDEX(tblRegistros[Data],$L467)&gt;$D$4,"",IFERROR(INDEX(tblRegistros[Projeto],$L467),"")))</f>
        <v/>
      </c>
      <c r="C467">
        <f>IF($L467="","",IF(INDEX(tblRegistros[Data],$L467)&gt;$D$4,"",IFERROR(INDEX(tblRegistros[Atividade],$L467),"")))</f>
        <v/>
      </c>
      <c r="D467" s="4">
        <f>IF($L467="","",IF(INDEX(tblRegistros[Data],$L467)&gt;$D$4,"",IFERROR(INDEX(tblRegistros[Início],$L467),"")))</f>
        <v/>
      </c>
      <c r="E467" s="4">
        <f>IF($L467="","",IF(INDEX(tblRegistros[Data],$L467)&gt;$D$4,"",IFERROR(IF(INDEX(tblRegistros[Status],$L467)="EM ABERTO","",INDEX(tblRegistros[Fim],$L467)),"")))</f>
        <v/>
      </c>
      <c r="F467">
        <f>IF($L467="","",IF(INDEX(tblRegistros[Data],$L467)&gt;$D$4,"",IFERROR(IF(INDEX(tblRegistros[Status],$L467)="EM ABERTO","",INDEX(tblRegistros[Horas],$L467)),"")))</f>
        <v/>
      </c>
      <c r="G467">
        <f>IF($L467="","",IF(INDEX(tblRegistros[Data],$L467)&gt;$D$4,"",IFERROR(INDEX(tblRegistros[Base],$L467),"")))</f>
        <v/>
      </c>
      <c r="H467" s="3">
        <f>IF($L467="","",IF(INDEX(tblRegistros[Data],$L467)&gt;$D$4,"",IFERROR(INDEX(tblRegistros[Taxa aplicada],$L467),"")))</f>
        <v/>
      </c>
      <c r="I467" s="3">
        <f>IF($L467="","",IF(INDEX(tblRegistros[Data],$L467)&gt;$D$4,"",IFERROR(IF(INDEX(tblRegistros[Status],$L467)="EM ABERTO","",INDEX(tblRegistros[Valor],$L467)),"")))</f>
        <v/>
      </c>
      <c r="J467">
        <f>IF($L467="","",IF(INDEX(tblRegistros[Data],$L467)&gt;$D$4,"",IFERROR(INDEX(tblRegistros[Status],$L467),"")))</f>
        <v/>
      </c>
      <c r="K467">
        <f>IF($L467="","",IF(INDEX(tblRegistros[Data],$L467)&gt;$D$4,"",IFERROR(INDEX(tblRegistros[Observação],$L467),"")))</f>
        <v/>
      </c>
      <c r="L467" s="16">
        <f>IFERROR(MATCH($B$3*100000+COUNTIFS(tblRegistros[ID],$B$3,tblRegistros[Data],"&lt;"&amp;$B$4)+ROWS($L$10:L467),tblRegistros[Chave do cartão],0),"")</f>
        <v/>
      </c>
    </row>
    <row r="468">
      <c r="A468" s="2">
        <f>IF($L468="","",IF(INDEX(tblRegistros[Data],$L468)&gt;$D$4,"",IFERROR(INDEX(tblRegistros[Data],$L468),"")))</f>
        <v/>
      </c>
      <c r="B468">
        <f>IF($L468="","",IF(INDEX(tblRegistros[Data],$L468)&gt;$D$4,"",IFERROR(INDEX(tblRegistros[Projeto],$L468),"")))</f>
        <v/>
      </c>
      <c r="C468">
        <f>IF($L468="","",IF(INDEX(tblRegistros[Data],$L468)&gt;$D$4,"",IFERROR(INDEX(tblRegistros[Atividade],$L468),"")))</f>
        <v/>
      </c>
      <c r="D468" s="4">
        <f>IF($L468="","",IF(INDEX(tblRegistros[Data],$L468)&gt;$D$4,"",IFERROR(INDEX(tblRegistros[Início],$L468),"")))</f>
        <v/>
      </c>
      <c r="E468" s="4">
        <f>IF($L468="","",IF(INDEX(tblRegistros[Data],$L468)&gt;$D$4,"",IFERROR(IF(INDEX(tblRegistros[Status],$L468)="EM ABERTO","",INDEX(tblRegistros[Fim],$L468)),"")))</f>
        <v/>
      </c>
      <c r="F468">
        <f>IF($L468="","",IF(INDEX(tblRegistros[Data],$L468)&gt;$D$4,"",IFERROR(IF(INDEX(tblRegistros[Status],$L468)="EM ABERTO","",INDEX(tblRegistros[Horas],$L468)),"")))</f>
        <v/>
      </c>
      <c r="G468">
        <f>IF($L468="","",IF(INDEX(tblRegistros[Data],$L468)&gt;$D$4,"",IFERROR(INDEX(tblRegistros[Base],$L468),"")))</f>
        <v/>
      </c>
      <c r="H468" s="3">
        <f>IF($L468="","",IF(INDEX(tblRegistros[Data],$L468)&gt;$D$4,"",IFERROR(INDEX(tblRegistros[Taxa aplicada],$L468),"")))</f>
        <v/>
      </c>
      <c r="I468" s="3">
        <f>IF($L468="","",IF(INDEX(tblRegistros[Data],$L468)&gt;$D$4,"",IFERROR(IF(INDEX(tblRegistros[Status],$L468)="EM ABERTO","",INDEX(tblRegistros[Valor],$L468)),"")))</f>
        <v/>
      </c>
      <c r="J468">
        <f>IF($L468="","",IF(INDEX(tblRegistros[Data],$L468)&gt;$D$4,"",IFERROR(INDEX(tblRegistros[Status],$L468),"")))</f>
        <v/>
      </c>
      <c r="K468">
        <f>IF($L468="","",IF(INDEX(tblRegistros[Data],$L468)&gt;$D$4,"",IFERROR(INDEX(tblRegistros[Observação],$L468),"")))</f>
        <v/>
      </c>
      <c r="L468" s="16">
        <f>IFERROR(MATCH($B$3*100000+COUNTIFS(tblRegistros[ID],$B$3,tblRegistros[Data],"&lt;"&amp;$B$4)+ROWS($L$10:L468),tblRegistros[Chave do cartão],0),"")</f>
        <v/>
      </c>
    </row>
    <row r="469">
      <c r="A469" s="2">
        <f>IF($L469="","",IF(INDEX(tblRegistros[Data],$L469)&gt;$D$4,"",IFERROR(INDEX(tblRegistros[Data],$L469),"")))</f>
        <v/>
      </c>
      <c r="B469">
        <f>IF($L469="","",IF(INDEX(tblRegistros[Data],$L469)&gt;$D$4,"",IFERROR(INDEX(tblRegistros[Projeto],$L469),"")))</f>
        <v/>
      </c>
      <c r="C469">
        <f>IF($L469="","",IF(INDEX(tblRegistros[Data],$L469)&gt;$D$4,"",IFERROR(INDEX(tblRegistros[Atividade],$L469),"")))</f>
        <v/>
      </c>
      <c r="D469" s="4">
        <f>IF($L469="","",IF(INDEX(tblRegistros[Data],$L469)&gt;$D$4,"",IFERROR(INDEX(tblRegistros[Início],$L469),"")))</f>
        <v/>
      </c>
      <c r="E469" s="4">
        <f>IF($L469="","",IF(INDEX(tblRegistros[Data],$L469)&gt;$D$4,"",IFERROR(IF(INDEX(tblRegistros[Status],$L469)="EM ABERTO","",INDEX(tblRegistros[Fim],$L469)),"")))</f>
        <v/>
      </c>
      <c r="F469">
        <f>IF($L469="","",IF(INDEX(tblRegistros[Data],$L469)&gt;$D$4,"",IFERROR(IF(INDEX(tblRegistros[Status],$L469)="EM ABERTO","",INDEX(tblRegistros[Horas],$L469)),"")))</f>
        <v/>
      </c>
      <c r="G469">
        <f>IF($L469="","",IF(INDEX(tblRegistros[Data],$L469)&gt;$D$4,"",IFERROR(INDEX(tblRegistros[Base],$L469),"")))</f>
        <v/>
      </c>
      <c r="H469" s="3">
        <f>IF($L469="","",IF(INDEX(tblRegistros[Data],$L469)&gt;$D$4,"",IFERROR(INDEX(tblRegistros[Taxa aplicada],$L469),"")))</f>
        <v/>
      </c>
      <c r="I469" s="3">
        <f>IF($L469="","",IF(INDEX(tblRegistros[Data],$L469)&gt;$D$4,"",IFERROR(IF(INDEX(tblRegistros[Status],$L469)="EM ABERTO","",INDEX(tblRegistros[Valor],$L469)),"")))</f>
        <v/>
      </c>
      <c r="J469">
        <f>IF($L469="","",IF(INDEX(tblRegistros[Data],$L469)&gt;$D$4,"",IFERROR(INDEX(tblRegistros[Status],$L469),"")))</f>
        <v/>
      </c>
      <c r="K469">
        <f>IF($L469="","",IF(INDEX(tblRegistros[Data],$L469)&gt;$D$4,"",IFERROR(INDEX(tblRegistros[Observação],$L469),"")))</f>
        <v/>
      </c>
      <c r="L469" s="16">
        <f>IFERROR(MATCH($B$3*100000+COUNTIFS(tblRegistros[ID],$B$3,tblRegistros[Data],"&lt;"&amp;$B$4)+ROWS($L$10:L469),tblRegistros[Chave do cartão],0),"")</f>
        <v/>
      </c>
    </row>
    <row r="470">
      <c r="A470" s="2">
        <f>IF($L470="","",IF(INDEX(tblRegistros[Data],$L470)&gt;$D$4,"",IFERROR(INDEX(tblRegistros[Data],$L470),"")))</f>
        <v/>
      </c>
      <c r="B470">
        <f>IF($L470="","",IF(INDEX(tblRegistros[Data],$L470)&gt;$D$4,"",IFERROR(INDEX(tblRegistros[Projeto],$L470),"")))</f>
        <v/>
      </c>
      <c r="C470">
        <f>IF($L470="","",IF(INDEX(tblRegistros[Data],$L470)&gt;$D$4,"",IFERROR(INDEX(tblRegistros[Atividade],$L470),"")))</f>
        <v/>
      </c>
      <c r="D470" s="4">
        <f>IF($L470="","",IF(INDEX(tblRegistros[Data],$L470)&gt;$D$4,"",IFERROR(INDEX(tblRegistros[Início],$L470),"")))</f>
        <v/>
      </c>
      <c r="E470" s="4">
        <f>IF($L470="","",IF(INDEX(tblRegistros[Data],$L470)&gt;$D$4,"",IFERROR(IF(INDEX(tblRegistros[Status],$L470)="EM ABERTO","",INDEX(tblRegistros[Fim],$L470)),"")))</f>
        <v/>
      </c>
      <c r="F470">
        <f>IF($L470="","",IF(INDEX(tblRegistros[Data],$L470)&gt;$D$4,"",IFERROR(IF(INDEX(tblRegistros[Status],$L470)="EM ABERTO","",INDEX(tblRegistros[Horas],$L470)),"")))</f>
        <v/>
      </c>
      <c r="G470">
        <f>IF($L470="","",IF(INDEX(tblRegistros[Data],$L470)&gt;$D$4,"",IFERROR(INDEX(tblRegistros[Base],$L470),"")))</f>
        <v/>
      </c>
      <c r="H470" s="3">
        <f>IF($L470="","",IF(INDEX(tblRegistros[Data],$L470)&gt;$D$4,"",IFERROR(INDEX(tblRegistros[Taxa aplicada],$L470),"")))</f>
        <v/>
      </c>
      <c r="I470" s="3">
        <f>IF($L470="","",IF(INDEX(tblRegistros[Data],$L470)&gt;$D$4,"",IFERROR(IF(INDEX(tblRegistros[Status],$L470)="EM ABERTO","",INDEX(tblRegistros[Valor],$L470)),"")))</f>
        <v/>
      </c>
      <c r="J470">
        <f>IF($L470="","",IF(INDEX(tblRegistros[Data],$L470)&gt;$D$4,"",IFERROR(INDEX(tblRegistros[Status],$L470),"")))</f>
        <v/>
      </c>
      <c r="K470">
        <f>IF($L470="","",IF(INDEX(tblRegistros[Data],$L470)&gt;$D$4,"",IFERROR(INDEX(tblRegistros[Observação],$L470),"")))</f>
        <v/>
      </c>
      <c r="L470" s="16">
        <f>IFERROR(MATCH($B$3*100000+COUNTIFS(tblRegistros[ID],$B$3,tblRegistros[Data],"&lt;"&amp;$B$4)+ROWS($L$10:L470),tblRegistros[Chave do cartão],0),"")</f>
        <v/>
      </c>
    </row>
    <row r="471">
      <c r="A471" s="2">
        <f>IF($L471="","",IF(INDEX(tblRegistros[Data],$L471)&gt;$D$4,"",IFERROR(INDEX(tblRegistros[Data],$L471),"")))</f>
        <v/>
      </c>
      <c r="B471">
        <f>IF($L471="","",IF(INDEX(tblRegistros[Data],$L471)&gt;$D$4,"",IFERROR(INDEX(tblRegistros[Projeto],$L471),"")))</f>
        <v/>
      </c>
      <c r="C471">
        <f>IF($L471="","",IF(INDEX(tblRegistros[Data],$L471)&gt;$D$4,"",IFERROR(INDEX(tblRegistros[Atividade],$L471),"")))</f>
        <v/>
      </c>
      <c r="D471" s="4">
        <f>IF($L471="","",IF(INDEX(tblRegistros[Data],$L471)&gt;$D$4,"",IFERROR(INDEX(tblRegistros[Início],$L471),"")))</f>
        <v/>
      </c>
      <c r="E471" s="4">
        <f>IF($L471="","",IF(INDEX(tblRegistros[Data],$L471)&gt;$D$4,"",IFERROR(IF(INDEX(tblRegistros[Status],$L471)="EM ABERTO","",INDEX(tblRegistros[Fim],$L471)),"")))</f>
        <v/>
      </c>
      <c r="F471">
        <f>IF($L471="","",IF(INDEX(tblRegistros[Data],$L471)&gt;$D$4,"",IFERROR(IF(INDEX(tblRegistros[Status],$L471)="EM ABERTO","",INDEX(tblRegistros[Horas],$L471)),"")))</f>
        <v/>
      </c>
      <c r="G471">
        <f>IF($L471="","",IF(INDEX(tblRegistros[Data],$L471)&gt;$D$4,"",IFERROR(INDEX(tblRegistros[Base],$L471),"")))</f>
        <v/>
      </c>
      <c r="H471" s="3">
        <f>IF($L471="","",IF(INDEX(tblRegistros[Data],$L471)&gt;$D$4,"",IFERROR(INDEX(tblRegistros[Taxa aplicada],$L471),"")))</f>
        <v/>
      </c>
      <c r="I471" s="3">
        <f>IF($L471="","",IF(INDEX(tblRegistros[Data],$L471)&gt;$D$4,"",IFERROR(IF(INDEX(tblRegistros[Status],$L471)="EM ABERTO","",INDEX(tblRegistros[Valor],$L471)),"")))</f>
        <v/>
      </c>
      <c r="J471">
        <f>IF($L471="","",IF(INDEX(tblRegistros[Data],$L471)&gt;$D$4,"",IFERROR(INDEX(tblRegistros[Status],$L471),"")))</f>
        <v/>
      </c>
      <c r="K471">
        <f>IF($L471="","",IF(INDEX(tblRegistros[Data],$L471)&gt;$D$4,"",IFERROR(INDEX(tblRegistros[Observação],$L471),"")))</f>
        <v/>
      </c>
      <c r="L471" s="16">
        <f>IFERROR(MATCH($B$3*100000+COUNTIFS(tblRegistros[ID],$B$3,tblRegistros[Data],"&lt;"&amp;$B$4)+ROWS($L$10:L471),tblRegistros[Chave do cartão],0),"")</f>
        <v/>
      </c>
    </row>
    <row r="472">
      <c r="A472" s="2">
        <f>IF($L472="","",IF(INDEX(tblRegistros[Data],$L472)&gt;$D$4,"",IFERROR(INDEX(tblRegistros[Data],$L472),"")))</f>
        <v/>
      </c>
      <c r="B472">
        <f>IF($L472="","",IF(INDEX(tblRegistros[Data],$L472)&gt;$D$4,"",IFERROR(INDEX(tblRegistros[Projeto],$L472),"")))</f>
        <v/>
      </c>
      <c r="C472">
        <f>IF($L472="","",IF(INDEX(tblRegistros[Data],$L472)&gt;$D$4,"",IFERROR(INDEX(tblRegistros[Atividade],$L472),"")))</f>
        <v/>
      </c>
      <c r="D472" s="4">
        <f>IF($L472="","",IF(INDEX(tblRegistros[Data],$L472)&gt;$D$4,"",IFERROR(INDEX(tblRegistros[Início],$L472),"")))</f>
        <v/>
      </c>
      <c r="E472" s="4">
        <f>IF($L472="","",IF(INDEX(tblRegistros[Data],$L472)&gt;$D$4,"",IFERROR(IF(INDEX(tblRegistros[Status],$L472)="EM ABERTO","",INDEX(tblRegistros[Fim],$L472)),"")))</f>
        <v/>
      </c>
      <c r="F472">
        <f>IF($L472="","",IF(INDEX(tblRegistros[Data],$L472)&gt;$D$4,"",IFERROR(IF(INDEX(tblRegistros[Status],$L472)="EM ABERTO","",INDEX(tblRegistros[Horas],$L472)),"")))</f>
        <v/>
      </c>
      <c r="G472">
        <f>IF($L472="","",IF(INDEX(tblRegistros[Data],$L472)&gt;$D$4,"",IFERROR(INDEX(tblRegistros[Base],$L472),"")))</f>
        <v/>
      </c>
      <c r="H472" s="3">
        <f>IF($L472="","",IF(INDEX(tblRegistros[Data],$L472)&gt;$D$4,"",IFERROR(INDEX(tblRegistros[Taxa aplicada],$L472),"")))</f>
        <v/>
      </c>
      <c r="I472" s="3">
        <f>IF($L472="","",IF(INDEX(tblRegistros[Data],$L472)&gt;$D$4,"",IFERROR(IF(INDEX(tblRegistros[Status],$L472)="EM ABERTO","",INDEX(tblRegistros[Valor],$L472)),"")))</f>
        <v/>
      </c>
      <c r="J472">
        <f>IF($L472="","",IF(INDEX(tblRegistros[Data],$L472)&gt;$D$4,"",IFERROR(INDEX(tblRegistros[Status],$L472),"")))</f>
        <v/>
      </c>
      <c r="K472">
        <f>IF($L472="","",IF(INDEX(tblRegistros[Data],$L472)&gt;$D$4,"",IFERROR(INDEX(tblRegistros[Observação],$L472),"")))</f>
        <v/>
      </c>
      <c r="L472" s="16">
        <f>IFERROR(MATCH($B$3*100000+COUNTIFS(tblRegistros[ID],$B$3,tblRegistros[Data],"&lt;"&amp;$B$4)+ROWS($L$10:L472),tblRegistros[Chave do cartão],0),"")</f>
        <v/>
      </c>
    </row>
    <row r="473">
      <c r="A473" s="2">
        <f>IF($L473="","",IF(INDEX(tblRegistros[Data],$L473)&gt;$D$4,"",IFERROR(INDEX(tblRegistros[Data],$L473),"")))</f>
        <v/>
      </c>
      <c r="B473">
        <f>IF($L473="","",IF(INDEX(tblRegistros[Data],$L473)&gt;$D$4,"",IFERROR(INDEX(tblRegistros[Projeto],$L473),"")))</f>
        <v/>
      </c>
      <c r="C473">
        <f>IF($L473="","",IF(INDEX(tblRegistros[Data],$L473)&gt;$D$4,"",IFERROR(INDEX(tblRegistros[Atividade],$L473),"")))</f>
        <v/>
      </c>
      <c r="D473" s="4">
        <f>IF($L473="","",IF(INDEX(tblRegistros[Data],$L473)&gt;$D$4,"",IFERROR(INDEX(tblRegistros[Início],$L473),"")))</f>
        <v/>
      </c>
      <c r="E473" s="4">
        <f>IF($L473="","",IF(INDEX(tblRegistros[Data],$L473)&gt;$D$4,"",IFERROR(IF(INDEX(tblRegistros[Status],$L473)="EM ABERTO","",INDEX(tblRegistros[Fim],$L473)),"")))</f>
        <v/>
      </c>
      <c r="F473">
        <f>IF($L473="","",IF(INDEX(tblRegistros[Data],$L473)&gt;$D$4,"",IFERROR(IF(INDEX(tblRegistros[Status],$L473)="EM ABERTO","",INDEX(tblRegistros[Horas],$L473)),"")))</f>
        <v/>
      </c>
      <c r="G473">
        <f>IF($L473="","",IF(INDEX(tblRegistros[Data],$L473)&gt;$D$4,"",IFERROR(INDEX(tblRegistros[Base],$L473),"")))</f>
        <v/>
      </c>
      <c r="H473" s="3">
        <f>IF($L473="","",IF(INDEX(tblRegistros[Data],$L473)&gt;$D$4,"",IFERROR(INDEX(tblRegistros[Taxa aplicada],$L473),"")))</f>
        <v/>
      </c>
      <c r="I473" s="3">
        <f>IF($L473="","",IF(INDEX(tblRegistros[Data],$L473)&gt;$D$4,"",IFERROR(IF(INDEX(tblRegistros[Status],$L473)="EM ABERTO","",INDEX(tblRegistros[Valor],$L473)),"")))</f>
        <v/>
      </c>
      <c r="J473">
        <f>IF($L473="","",IF(INDEX(tblRegistros[Data],$L473)&gt;$D$4,"",IFERROR(INDEX(tblRegistros[Status],$L473),"")))</f>
        <v/>
      </c>
      <c r="K473">
        <f>IF($L473="","",IF(INDEX(tblRegistros[Data],$L473)&gt;$D$4,"",IFERROR(INDEX(tblRegistros[Observação],$L473),"")))</f>
        <v/>
      </c>
      <c r="L473" s="16">
        <f>IFERROR(MATCH($B$3*100000+COUNTIFS(tblRegistros[ID],$B$3,tblRegistros[Data],"&lt;"&amp;$B$4)+ROWS($L$10:L473),tblRegistros[Chave do cartão],0),"")</f>
        <v/>
      </c>
    </row>
    <row r="474">
      <c r="A474" s="2">
        <f>IF($L474="","",IF(INDEX(tblRegistros[Data],$L474)&gt;$D$4,"",IFERROR(INDEX(tblRegistros[Data],$L474),"")))</f>
        <v/>
      </c>
      <c r="B474">
        <f>IF($L474="","",IF(INDEX(tblRegistros[Data],$L474)&gt;$D$4,"",IFERROR(INDEX(tblRegistros[Projeto],$L474),"")))</f>
        <v/>
      </c>
      <c r="C474">
        <f>IF($L474="","",IF(INDEX(tblRegistros[Data],$L474)&gt;$D$4,"",IFERROR(INDEX(tblRegistros[Atividade],$L474),"")))</f>
        <v/>
      </c>
      <c r="D474" s="4">
        <f>IF($L474="","",IF(INDEX(tblRegistros[Data],$L474)&gt;$D$4,"",IFERROR(INDEX(tblRegistros[Início],$L474),"")))</f>
        <v/>
      </c>
      <c r="E474" s="4">
        <f>IF($L474="","",IF(INDEX(tblRegistros[Data],$L474)&gt;$D$4,"",IFERROR(IF(INDEX(tblRegistros[Status],$L474)="EM ABERTO","",INDEX(tblRegistros[Fim],$L474)),"")))</f>
        <v/>
      </c>
      <c r="F474">
        <f>IF($L474="","",IF(INDEX(tblRegistros[Data],$L474)&gt;$D$4,"",IFERROR(IF(INDEX(tblRegistros[Status],$L474)="EM ABERTO","",INDEX(tblRegistros[Horas],$L474)),"")))</f>
        <v/>
      </c>
      <c r="G474">
        <f>IF($L474="","",IF(INDEX(tblRegistros[Data],$L474)&gt;$D$4,"",IFERROR(INDEX(tblRegistros[Base],$L474),"")))</f>
        <v/>
      </c>
      <c r="H474" s="3">
        <f>IF($L474="","",IF(INDEX(tblRegistros[Data],$L474)&gt;$D$4,"",IFERROR(INDEX(tblRegistros[Taxa aplicada],$L474),"")))</f>
        <v/>
      </c>
      <c r="I474" s="3">
        <f>IF($L474="","",IF(INDEX(tblRegistros[Data],$L474)&gt;$D$4,"",IFERROR(IF(INDEX(tblRegistros[Status],$L474)="EM ABERTO","",INDEX(tblRegistros[Valor],$L474)),"")))</f>
        <v/>
      </c>
      <c r="J474">
        <f>IF($L474="","",IF(INDEX(tblRegistros[Data],$L474)&gt;$D$4,"",IFERROR(INDEX(tblRegistros[Status],$L474),"")))</f>
        <v/>
      </c>
      <c r="K474">
        <f>IF($L474="","",IF(INDEX(tblRegistros[Data],$L474)&gt;$D$4,"",IFERROR(INDEX(tblRegistros[Observação],$L474),"")))</f>
        <v/>
      </c>
      <c r="L474" s="16">
        <f>IFERROR(MATCH($B$3*100000+COUNTIFS(tblRegistros[ID],$B$3,tblRegistros[Data],"&lt;"&amp;$B$4)+ROWS($L$10:L474),tblRegistros[Chave do cartão],0),"")</f>
        <v/>
      </c>
    </row>
    <row r="475">
      <c r="A475" s="2">
        <f>IF($L475="","",IF(INDEX(tblRegistros[Data],$L475)&gt;$D$4,"",IFERROR(INDEX(tblRegistros[Data],$L475),"")))</f>
        <v/>
      </c>
      <c r="B475">
        <f>IF($L475="","",IF(INDEX(tblRegistros[Data],$L475)&gt;$D$4,"",IFERROR(INDEX(tblRegistros[Projeto],$L475),"")))</f>
        <v/>
      </c>
      <c r="C475">
        <f>IF($L475="","",IF(INDEX(tblRegistros[Data],$L475)&gt;$D$4,"",IFERROR(INDEX(tblRegistros[Atividade],$L475),"")))</f>
        <v/>
      </c>
      <c r="D475" s="4">
        <f>IF($L475="","",IF(INDEX(tblRegistros[Data],$L475)&gt;$D$4,"",IFERROR(INDEX(tblRegistros[Início],$L475),"")))</f>
        <v/>
      </c>
      <c r="E475" s="4">
        <f>IF($L475="","",IF(INDEX(tblRegistros[Data],$L475)&gt;$D$4,"",IFERROR(IF(INDEX(tblRegistros[Status],$L475)="EM ABERTO","",INDEX(tblRegistros[Fim],$L475)),"")))</f>
        <v/>
      </c>
      <c r="F475">
        <f>IF($L475="","",IF(INDEX(tblRegistros[Data],$L475)&gt;$D$4,"",IFERROR(IF(INDEX(tblRegistros[Status],$L475)="EM ABERTO","",INDEX(tblRegistros[Horas],$L475)),"")))</f>
        <v/>
      </c>
      <c r="G475">
        <f>IF($L475="","",IF(INDEX(tblRegistros[Data],$L475)&gt;$D$4,"",IFERROR(INDEX(tblRegistros[Base],$L475),"")))</f>
        <v/>
      </c>
      <c r="H475" s="3">
        <f>IF($L475="","",IF(INDEX(tblRegistros[Data],$L475)&gt;$D$4,"",IFERROR(INDEX(tblRegistros[Taxa aplicada],$L475),"")))</f>
        <v/>
      </c>
      <c r="I475" s="3">
        <f>IF($L475="","",IF(INDEX(tblRegistros[Data],$L475)&gt;$D$4,"",IFERROR(IF(INDEX(tblRegistros[Status],$L475)="EM ABERTO","",INDEX(tblRegistros[Valor],$L475)),"")))</f>
        <v/>
      </c>
      <c r="J475">
        <f>IF($L475="","",IF(INDEX(tblRegistros[Data],$L475)&gt;$D$4,"",IFERROR(INDEX(tblRegistros[Status],$L475),"")))</f>
        <v/>
      </c>
      <c r="K475">
        <f>IF($L475="","",IF(INDEX(tblRegistros[Data],$L475)&gt;$D$4,"",IFERROR(INDEX(tblRegistros[Observação],$L475),"")))</f>
        <v/>
      </c>
      <c r="L475" s="16">
        <f>IFERROR(MATCH($B$3*100000+COUNTIFS(tblRegistros[ID],$B$3,tblRegistros[Data],"&lt;"&amp;$B$4)+ROWS($L$10:L475),tblRegistros[Chave do cartão],0),"")</f>
        <v/>
      </c>
    </row>
    <row r="476">
      <c r="A476" s="2">
        <f>IF($L476="","",IF(INDEX(tblRegistros[Data],$L476)&gt;$D$4,"",IFERROR(INDEX(tblRegistros[Data],$L476),"")))</f>
        <v/>
      </c>
      <c r="B476">
        <f>IF($L476="","",IF(INDEX(tblRegistros[Data],$L476)&gt;$D$4,"",IFERROR(INDEX(tblRegistros[Projeto],$L476),"")))</f>
        <v/>
      </c>
      <c r="C476">
        <f>IF($L476="","",IF(INDEX(tblRegistros[Data],$L476)&gt;$D$4,"",IFERROR(INDEX(tblRegistros[Atividade],$L476),"")))</f>
        <v/>
      </c>
      <c r="D476" s="4">
        <f>IF($L476="","",IF(INDEX(tblRegistros[Data],$L476)&gt;$D$4,"",IFERROR(INDEX(tblRegistros[Início],$L476),"")))</f>
        <v/>
      </c>
      <c r="E476" s="4">
        <f>IF($L476="","",IF(INDEX(tblRegistros[Data],$L476)&gt;$D$4,"",IFERROR(IF(INDEX(tblRegistros[Status],$L476)="EM ABERTO","",INDEX(tblRegistros[Fim],$L476)),"")))</f>
        <v/>
      </c>
      <c r="F476">
        <f>IF($L476="","",IF(INDEX(tblRegistros[Data],$L476)&gt;$D$4,"",IFERROR(IF(INDEX(tblRegistros[Status],$L476)="EM ABERTO","",INDEX(tblRegistros[Horas],$L476)),"")))</f>
        <v/>
      </c>
      <c r="G476">
        <f>IF($L476="","",IF(INDEX(tblRegistros[Data],$L476)&gt;$D$4,"",IFERROR(INDEX(tblRegistros[Base],$L476),"")))</f>
        <v/>
      </c>
      <c r="H476" s="3">
        <f>IF($L476="","",IF(INDEX(tblRegistros[Data],$L476)&gt;$D$4,"",IFERROR(INDEX(tblRegistros[Taxa aplicada],$L476),"")))</f>
        <v/>
      </c>
      <c r="I476" s="3">
        <f>IF($L476="","",IF(INDEX(tblRegistros[Data],$L476)&gt;$D$4,"",IFERROR(IF(INDEX(tblRegistros[Status],$L476)="EM ABERTO","",INDEX(tblRegistros[Valor],$L476)),"")))</f>
        <v/>
      </c>
      <c r="J476">
        <f>IF($L476="","",IF(INDEX(tblRegistros[Data],$L476)&gt;$D$4,"",IFERROR(INDEX(tblRegistros[Status],$L476),"")))</f>
        <v/>
      </c>
      <c r="K476">
        <f>IF($L476="","",IF(INDEX(tblRegistros[Data],$L476)&gt;$D$4,"",IFERROR(INDEX(tblRegistros[Observação],$L476),"")))</f>
        <v/>
      </c>
      <c r="L476" s="16">
        <f>IFERROR(MATCH($B$3*100000+COUNTIFS(tblRegistros[ID],$B$3,tblRegistros[Data],"&lt;"&amp;$B$4)+ROWS($L$10:L476),tblRegistros[Chave do cartão],0),"")</f>
        <v/>
      </c>
    </row>
    <row r="477">
      <c r="A477" s="2">
        <f>IF($L477="","",IF(INDEX(tblRegistros[Data],$L477)&gt;$D$4,"",IFERROR(INDEX(tblRegistros[Data],$L477),"")))</f>
        <v/>
      </c>
      <c r="B477">
        <f>IF($L477="","",IF(INDEX(tblRegistros[Data],$L477)&gt;$D$4,"",IFERROR(INDEX(tblRegistros[Projeto],$L477),"")))</f>
        <v/>
      </c>
      <c r="C477">
        <f>IF($L477="","",IF(INDEX(tblRegistros[Data],$L477)&gt;$D$4,"",IFERROR(INDEX(tblRegistros[Atividade],$L477),"")))</f>
        <v/>
      </c>
      <c r="D477" s="4">
        <f>IF($L477="","",IF(INDEX(tblRegistros[Data],$L477)&gt;$D$4,"",IFERROR(INDEX(tblRegistros[Início],$L477),"")))</f>
        <v/>
      </c>
      <c r="E477" s="4">
        <f>IF($L477="","",IF(INDEX(tblRegistros[Data],$L477)&gt;$D$4,"",IFERROR(IF(INDEX(tblRegistros[Status],$L477)="EM ABERTO","",INDEX(tblRegistros[Fim],$L477)),"")))</f>
        <v/>
      </c>
      <c r="F477">
        <f>IF($L477="","",IF(INDEX(tblRegistros[Data],$L477)&gt;$D$4,"",IFERROR(IF(INDEX(tblRegistros[Status],$L477)="EM ABERTO","",INDEX(tblRegistros[Horas],$L477)),"")))</f>
        <v/>
      </c>
      <c r="G477">
        <f>IF($L477="","",IF(INDEX(tblRegistros[Data],$L477)&gt;$D$4,"",IFERROR(INDEX(tblRegistros[Base],$L477),"")))</f>
        <v/>
      </c>
      <c r="H477" s="3">
        <f>IF($L477="","",IF(INDEX(tblRegistros[Data],$L477)&gt;$D$4,"",IFERROR(INDEX(tblRegistros[Taxa aplicada],$L477),"")))</f>
        <v/>
      </c>
      <c r="I477" s="3">
        <f>IF($L477="","",IF(INDEX(tblRegistros[Data],$L477)&gt;$D$4,"",IFERROR(IF(INDEX(tblRegistros[Status],$L477)="EM ABERTO","",INDEX(tblRegistros[Valor],$L477)),"")))</f>
        <v/>
      </c>
      <c r="J477">
        <f>IF($L477="","",IF(INDEX(tblRegistros[Data],$L477)&gt;$D$4,"",IFERROR(INDEX(tblRegistros[Status],$L477),"")))</f>
        <v/>
      </c>
      <c r="K477">
        <f>IF($L477="","",IF(INDEX(tblRegistros[Data],$L477)&gt;$D$4,"",IFERROR(INDEX(tblRegistros[Observação],$L477),"")))</f>
        <v/>
      </c>
      <c r="L477" s="16">
        <f>IFERROR(MATCH($B$3*100000+COUNTIFS(tblRegistros[ID],$B$3,tblRegistros[Data],"&lt;"&amp;$B$4)+ROWS($L$10:L477),tblRegistros[Chave do cartão],0),"")</f>
        <v/>
      </c>
    </row>
    <row r="478">
      <c r="A478" s="2">
        <f>IF($L478="","",IF(INDEX(tblRegistros[Data],$L478)&gt;$D$4,"",IFERROR(INDEX(tblRegistros[Data],$L478),"")))</f>
        <v/>
      </c>
      <c r="B478">
        <f>IF($L478="","",IF(INDEX(tblRegistros[Data],$L478)&gt;$D$4,"",IFERROR(INDEX(tblRegistros[Projeto],$L478),"")))</f>
        <v/>
      </c>
      <c r="C478">
        <f>IF($L478="","",IF(INDEX(tblRegistros[Data],$L478)&gt;$D$4,"",IFERROR(INDEX(tblRegistros[Atividade],$L478),"")))</f>
        <v/>
      </c>
      <c r="D478" s="4">
        <f>IF($L478="","",IF(INDEX(tblRegistros[Data],$L478)&gt;$D$4,"",IFERROR(INDEX(tblRegistros[Início],$L478),"")))</f>
        <v/>
      </c>
      <c r="E478" s="4">
        <f>IF($L478="","",IF(INDEX(tblRegistros[Data],$L478)&gt;$D$4,"",IFERROR(IF(INDEX(tblRegistros[Status],$L478)="EM ABERTO","",INDEX(tblRegistros[Fim],$L478)),"")))</f>
        <v/>
      </c>
      <c r="F478">
        <f>IF($L478="","",IF(INDEX(tblRegistros[Data],$L478)&gt;$D$4,"",IFERROR(IF(INDEX(tblRegistros[Status],$L478)="EM ABERTO","",INDEX(tblRegistros[Horas],$L478)),"")))</f>
        <v/>
      </c>
      <c r="G478">
        <f>IF($L478="","",IF(INDEX(tblRegistros[Data],$L478)&gt;$D$4,"",IFERROR(INDEX(tblRegistros[Base],$L478),"")))</f>
        <v/>
      </c>
      <c r="H478" s="3">
        <f>IF($L478="","",IF(INDEX(tblRegistros[Data],$L478)&gt;$D$4,"",IFERROR(INDEX(tblRegistros[Taxa aplicada],$L478),"")))</f>
        <v/>
      </c>
      <c r="I478" s="3">
        <f>IF($L478="","",IF(INDEX(tblRegistros[Data],$L478)&gt;$D$4,"",IFERROR(IF(INDEX(tblRegistros[Status],$L478)="EM ABERTO","",INDEX(tblRegistros[Valor],$L478)),"")))</f>
        <v/>
      </c>
      <c r="J478">
        <f>IF($L478="","",IF(INDEX(tblRegistros[Data],$L478)&gt;$D$4,"",IFERROR(INDEX(tblRegistros[Status],$L478),"")))</f>
        <v/>
      </c>
      <c r="K478">
        <f>IF($L478="","",IF(INDEX(tblRegistros[Data],$L478)&gt;$D$4,"",IFERROR(INDEX(tblRegistros[Observação],$L478),"")))</f>
        <v/>
      </c>
      <c r="L478" s="16">
        <f>IFERROR(MATCH($B$3*100000+COUNTIFS(tblRegistros[ID],$B$3,tblRegistros[Data],"&lt;"&amp;$B$4)+ROWS($L$10:L478),tblRegistros[Chave do cartão],0),"")</f>
        <v/>
      </c>
    </row>
    <row r="479">
      <c r="A479" s="2">
        <f>IF($L479="","",IF(INDEX(tblRegistros[Data],$L479)&gt;$D$4,"",IFERROR(INDEX(tblRegistros[Data],$L479),"")))</f>
        <v/>
      </c>
      <c r="B479">
        <f>IF($L479="","",IF(INDEX(tblRegistros[Data],$L479)&gt;$D$4,"",IFERROR(INDEX(tblRegistros[Projeto],$L479),"")))</f>
        <v/>
      </c>
      <c r="C479">
        <f>IF($L479="","",IF(INDEX(tblRegistros[Data],$L479)&gt;$D$4,"",IFERROR(INDEX(tblRegistros[Atividade],$L479),"")))</f>
        <v/>
      </c>
      <c r="D479" s="4">
        <f>IF($L479="","",IF(INDEX(tblRegistros[Data],$L479)&gt;$D$4,"",IFERROR(INDEX(tblRegistros[Início],$L479),"")))</f>
        <v/>
      </c>
      <c r="E479" s="4">
        <f>IF($L479="","",IF(INDEX(tblRegistros[Data],$L479)&gt;$D$4,"",IFERROR(IF(INDEX(tblRegistros[Status],$L479)="EM ABERTO","",INDEX(tblRegistros[Fim],$L479)),"")))</f>
        <v/>
      </c>
      <c r="F479">
        <f>IF($L479="","",IF(INDEX(tblRegistros[Data],$L479)&gt;$D$4,"",IFERROR(IF(INDEX(tblRegistros[Status],$L479)="EM ABERTO","",INDEX(tblRegistros[Horas],$L479)),"")))</f>
        <v/>
      </c>
      <c r="G479">
        <f>IF($L479="","",IF(INDEX(tblRegistros[Data],$L479)&gt;$D$4,"",IFERROR(INDEX(tblRegistros[Base],$L479),"")))</f>
        <v/>
      </c>
      <c r="H479" s="3">
        <f>IF($L479="","",IF(INDEX(tblRegistros[Data],$L479)&gt;$D$4,"",IFERROR(INDEX(tblRegistros[Taxa aplicada],$L479),"")))</f>
        <v/>
      </c>
      <c r="I479" s="3">
        <f>IF($L479="","",IF(INDEX(tblRegistros[Data],$L479)&gt;$D$4,"",IFERROR(IF(INDEX(tblRegistros[Status],$L479)="EM ABERTO","",INDEX(tblRegistros[Valor],$L479)),"")))</f>
        <v/>
      </c>
      <c r="J479">
        <f>IF($L479="","",IF(INDEX(tblRegistros[Data],$L479)&gt;$D$4,"",IFERROR(INDEX(tblRegistros[Status],$L479),"")))</f>
        <v/>
      </c>
      <c r="K479">
        <f>IF($L479="","",IF(INDEX(tblRegistros[Data],$L479)&gt;$D$4,"",IFERROR(INDEX(tblRegistros[Observação],$L479),"")))</f>
        <v/>
      </c>
      <c r="L479" s="16">
        <f>IFERROR(MATCH($B$3*100000+COUNTIFS(tblRegistros[ID],$B$3,tblRegistros[Data],"&lt;"&amp;$B$4)+ROWS($L$10:L479),tblRegistros[Chave do cartão],0),"")</f>
        <v/>
      </c>
    </row>
    <row r="480">
      <c r="A480" s="2">
        <f>IF($L480="","",IF(INDEX(tblRegistros[Data],$L480)&gt;$D$4,"",IFERROR(INDEX(tblRegistros[Data],$L480),"")))</f>
        <v/>
      </c>
      <c r="B480">
        <f>IF($L480="","",IF(INDEX(tblRegistros[Data],$L480)&gt;$D$4,"",IFERROR(INDEX(tblRegistros[Projeto],$L480),"")))</f>
        <v/>
      </c>
      <c r="C480">
        <f>IF($L480="","",IF(INDEX(tblRegistros[Data],$L480)&gt;$D$4,"",IFERROR(INDEX(tblRegistros[Atividade],$L480),"")))</f>
        <v/>
      </c>
      <c r="D480" s="4">
        <f>IF($L480="","",IF(INDEX(tblRegistros[Data],$L480)&gt;$D$4,"",IFERROR(INDEX(tblRegistros[Início],$L480),"")))</f>
        <v/>
      </c>
      <c r="E480" s="4">
        <f>IF($L480="","",IF(INDEX(tblRegistros[Data],$L480)&gt;$D$4,"",IFERROR(IF(INDEX(tblRegistros[Status],$L480)="EM ABERTO","",INDEX(tblRegistros[Fim],$L480)),"")))</f>
        <v/>
      </c>
      <c r="F480">
        <f>IF($L480="","",IF(INDEX(tblRegistros[Data],$L480)&gt;$D$4,"",IFERROR(IF(INDEX(tblRegistros[Status],$L480)="EM ABERTO","",INDEX(tblRegistros[Horas],$L480)),"")))</f>
        <v/>
      </c>
      <c r="G480">
        <f>IF($L480="","",IF(INDEX(tblRegistros[Data],$L480)&gt;$D$4,"",IFERROR(INDEX(tblRegistros[Base],$L480),"")))</f>
        <v/>
      </c>
      <c r="H480" s="3">
        <f>IF($L480="","",IF(INDEX(tblRegistros[Data],$L480)&gt;$D$4,"",IFERROR(INDEX(tblRegistros[Taxa aplicada],$L480),"")))</f>
        <v/>
      </c>
      <c r="I480" s="3">
        <f>IF($L480="","",IF(INDEX(tblRegistros[Data],$L480)&gt;$D$4,"",IFERROR(IF(INDEX(tblRegistros[Status],$L480)="EM ABERTO","",INDEX(tblRegistros[Valor],$L480)),"")))</f>
        <v/>
      </c>
      <c r="J480">
        <f>IF($L480="","",IF(INDEX(tblRegistros[Data],$L480)&gt;$D$4,"",IFERROR(INDEX(tblRegistros[Status],$L480),"")))</f>
        <v/>
      </c>
      <c r="K480">
        <f>IF($L480="","",IF(INDEX(tblRegistros[Data],$L480)&gt;$D$4,"",IFERROR(INDEX(tblRegistros[Observação],$L480),"")))</f>
        <v/>
      </c>
      <c r="L480" s="16">
        <f>IFERROR(MATCH($B$3*100000+COUNTIFS(tblRegistros[ID],$B$3,tblRegistros[Data],"&lt;"&amp;$B$4)+ROWS($L$10:L480),tblRegistros[Chave do cartão],0),"")</f>
        <v/>
      </c>
    </row>
    <row r="481">
      <c r="A481" s="2">
        <f>IF($L481="","",IF(INDEX(tblRegistros[Data],$L481)&gt;$D$4,"",IFERROR(INDEX(tblRegistros[Data],$L481),"")))</f>
        <v/>
      </c>
      <c r="B481">
        <f>IF($L481="","",IF(INDEX(tblRegistros[Data],$L481)&gt;$D$4,"",IFERROR(INDEX(tblRegistros[Projeto],$L481),"")))</f>
        <v/>
      </c>
      <c r="C481">
        <f>IF($L481="","",IF(INDEX(tblRegistros[Data],$L481)&gt;$D$4,"",IFERROR(INDEX(tblRegistros[Atividade],$L481),"")))</f>
        <v/>
      </c>
      <c r="D481" s="4">
        <f>IF($L481="","",IF(INDEX(tblRegistros[Data],$L481)&gt;$D$4,"",IFERROR(INDEX(tblRegistros[Início],$L481),"")))</f>
        <v/>
      </c>
      <c r="E481" s="4">
        <f>IF($L481="","",IF(INDEX(tblRegistros[Data],$L481)&gt;$D$4,"",IFERROR(IF(INDEX(tblRegistros[Status],$L481)="EM ABERTO","",INDEX(tblRegistros[Fim],$L481)),"")))</f>
        <v/>
      </c>
      <c r="F481">
        <f>IF($L481="","",IF(INDEX(tblRegistros[Data],$L481)&gt;$D$4,"",IFERROR(IF(INDEX(tblRegistros[Status],$L481)="EM ABERTO","",INDEX(tblRegistros[Horas],$L481)),"")))</f>
        <v/>
      </c>
      <c r="G481">
        <f>IF($L481="","",IF(INDEX(tblRegistros[Data],$L481)&gt;$D$4,"",IFERROR(INDEX(tblRegistros[Base],$L481),"")))</f>
        <v/>
      </c>
      <c r="H481" s="3">
        <f>IF($L481="","",IF(INDEX(tblRegistros[Data],$L481)&gt;$D$4,"",IFERROR(INDEX(tblRegistros[Taxa aplicada],$L481),"")))</f>
        <v/>
      </c>
      <c r="I481" s="3">
        <f>IF($L481="","",IF(INDEX(tblRegistros[Data],$L481)&gt;$D$4,"",IFERROR(IF(INDEX(tblRegistros[Status],$L481)="EM ABERTO","",INDEX(tblRegistros[Valor],$L481)),"")))</f>
        <v/>
      </c>
      <c r="J481">
        <f>IF($L481="","",IF(INDEX(tblRegistros[Data],$L481)&gt;$D$4,"",IFERROR(INDEX(tblRegistros[Status],$L481),"")))</f>
        <v/>
      </c>
      <c r="K481">
        <f>IF($L481="","",IF(INDEX(tblRegistros[Data],$L481)&gt;$D$4,"",IFERROR(INDEX(tblRegistros[Observação],$L481),"")))</f>
        <v/>
      </c>
      <c r="L481" s="16">
        <f>IFERROR(MATCH($B$3*100000+COUNTIFS(tblRegistros[ID],$B$3,tblRegistros[Data],"&lt;"&amp;$B$4)+ROWS($L$10:L481),tblRegistros[Chave do cartão],0),"")</f>
        <v/>
      </c>
    </row>
    <row r="482">
      <c r="A482" s="2">
        <f>IF($L482="","",IF(INDEX(tblRegistros[Data],$L482)&gt;$D$4,"",IFERROR(INDEX(tblRegistros[Data],$L482),"")))</f>
        <v/>
      </c>
      <c r="B482">
        <f>IF($L482="","",IF(INDEX(tblRegistros[Data],$L482)&gt;$D$4,"",IFERROR(INDEX(tblRegistros[Projeto],$L482),"")))</f>
        <v/>
      </c>
      <c r="C482">
        <f>IF($L482="","",IF(INDEX(tblRegistros[Data],$L482)&gt;$D$4,"",IFERROR(INDEX(tblRegistros[Atividade],$L482),"")))</f>
        <v/>
      </c>
      <c r="D482" s="4">
        <f>IF($L482="","",IF(INDEX(tblRegistros[Data],$L482)&gt;$D$4,"",IFERROR(INDEX(tblRegistros[Início],$L482),"")))</f>
        <v/>
      </c>
      <c r="E482" s="4">
        <f>IF($L482="","",IF(INDEX(tblRegistros[Data],$L482)&gt;$D$4,"",IFERROR(IF(INDEX(tblRegistros[Status],$L482)="EM ABERTO","",INDEX(tblRegistros[Fim],$L482)),"")))</f>
        <v/>
      </c>
      <c r="F482">
        <f>IF($L482="","",IF(INDEX(tblRegistros[Data],$L482)&gt;$D$4,"",IFERROR(IF(INDEX(tblRegistros[Status],$L482)="EM ABERTO","",INDEX(tblRegistros[Horas],$L482)),"")))</f>
        <v/>
      </c>
      <c r="G482">
        <f>IF($L482="","",IF(INDEX(tblRegistros[Data],$L482)&gt;$D$4,"",IFERROR(INDEX(tblRegistros[Base],$L482),"")))</f>
        <v/>
      </c>
      <c r="H482" s="3">
        <f>IF($L482="","",IF(INDEX(tblRegistros[Data],$L482)&gt;$D$4,"",IFERROR(INDEX(tblRegistros[Taxa aplicada],$L482),"")))</f>
        <v/>
      </c>
      <c r="I482" s="3">
        <f>IF($L482="","",IF(INDEX(tblRegistros[Data],$L482)&gt;$D$4,"",IFERROR(IF(INDEX(tblRegistros[Status],$L482)="EM ABERTO","",INDEX(tblRegistros[Valor],$L482)),"")))</f>
        <v/>
      </c>
      <c r="J482">
        <f>IF($L482="","",IF(INDEX(tblRegistros[Data],$L482)&gt;$D$4,"",IFERROR(INDEX(tblRegistros[Status],$L482),"")))</f>
        <v/>
      </c>
      <c r="K482">
        <f>IF($L482="","",IF(INDEX(tblRegistros[Data],$L482)&gt;$D$4,"",IFERROR(INDEX(tblRegistros[Observação],$L482),"")))</f>
        <v/>
      </c>
      <c r="L482" s="16">
        <f>IFERROR(MATCH($B$3*100000+COUNTIFS(tblRegistros[ID],$B$3,tblRegistros[Data],"&lt;"&amp;$B$4)+ROWS($L$10:L482),tblRegistros[Chave do cartão],0),"")</f>
        <v/>
      </c>
    </row>
    <row r="483">
      <c r="A483" s="2">
        <f>IF($L483="","",IF(INDEX(tblRegistros[Data],$L483)&gt;$D$4,"",IFERROR(INDEX(tblRegistros[Data],$L483),"")))</f>
        <v/>
      </c>
      <c r="B483">
        <f>IF($L483="","",IF(INDEX(tblRegistros[Data],$L483)&gt;$D$4,"",IFERROR(INDEX(tblRegistros[Projeto],$L483),"")))</f>
        <v/>
      </c>
      <c r="C483">
        <f>IF($L483="","",IF(INDEX(tblRegistros[Data],$L483)&gt;$D$4,"",IFERROR(INDEX(tblRegistros[Atividade],$L483),"")))</f>
        <v/>
      </c>
      <c r="D483" s="4">
        <f>IF($L483="","",IF(INDEX(tblRegistros[Data],$L483)&gt;$D$4,"",IFERROR(INDEX(tblRegistros[Início],$L483),"")))</f>
        <v/>
      </c>
      <c r="E483" s="4">
        <f>IF($L483="","",IF(INDEX(tblRegistros[Data],$L483)&gt;$D$4,"",IFERROR(IF(INDEX(tblRegistros[Status],$L483)="EM ABERTO","",INDEX(tblRegistros[Fim],$L483)),"")))</f>
        <v/>
      </c>
      <c r="F483">
        <f>IF($L483="","",IF(INDEX(tblRegistros[Data],$L483)&gt;$D$4,"",IFERROR(IF(INDEX(tblRegistros[Status],$L483)="EM ABERTO","",INDEX(tblRegistros[Horas],$L483)),"")))</f>
        <v/>
      </c>
      <c r="G483">
        <f>IF($L483="","",IF(INDEX(tblRegistros[Data],$L483)&gt;$D$4,"",IFERROR(INDEX(tblRegistros[Base],$L483),"")))</f>
        <v/>
      </c>
      <c r="H483" s="3">
        <f>IF($L483="","",IF(INDEX(tblRegistros[Data],$L483)&gt;$D$4,"",IFERROR(INDEX(tblRegistros[Taxa aplicada],$L483),"")))</f>
        <v/>
      </c>
      <c r="I483" s="3">
        <f>IF($L483="","",IF(INDEX(tblRegistros[Data],$L483)&gt;$D$4,"",IFERROR(IF(INDEX(tblRegistros[Status],$L483)="EM ABERTO","",INDEX(tblRegistros[Valor],$L483)),"")))</f>
        <v/>
      </c>
      <c r="J483">
        <f>IF($L483="","",IF(INDEX(tblRegistros[Data],$L483)&gt;$D$4,"",IFERROR(INDEX(tblRegistros[Status],$L483),"")))</f>
        <v/>
      </c>
      <c r="K483">
        <f>IF($L483="","",IF(INDEX(tblRegistros[Data],$L483)&gt;$D$4,"",IFERROR(INDEX(tblRegistros[Observação],$L483),"")))</f>
        <v/>
      </c>
      <c r="L483" s="16">
        <f>IFERROR(MATCH($B$3*100000+COUNTIFS(tblRegistros[ID],$B$3,tblRegistros[Data],"&lt;"&amp;$B$4)+ROWS($L$10:L483),tblRegistros[Chave do cartão],0),"")</f>
        <v/>
      </c>
    </row>
    <row r="484">
      <c r="A484" s="2">
        <f>IF($L484="","",IF(INDEX(tblRegistros[Data],$L484)&gt;$D$4,"",IFERROR(INDEX(tblRegistros[Data],$L484),"")))</f>
        <v/>
      </c>
      <c r="B484">
        <f>IF($L484="","",IF(INDEX(tblRegistros[Data],$L484)&gt;$D$4,"",IFERROR(INDEX(tblRegistros[Projeto],$L484),"")))</f>
        <v/>
      </c>
      <c r="C484">
        <f>IF($L484="","",IF(INDEX(tblRegistros[Data],$L484)&gt;$D$4,"",IFERROR(INDEX(tblRegistros[Atividade],$L484),"")))</f>
        <v/>
      </c>
      <c r="D484" s="4">
        <f>IF($L484="","",IF(INDEX(tblRegistros[Data],$L484)&gt;$D$4,"",IFERROR(INDEX(tblRegistros[Início],$L484),"")))</f>
        <v/>
      </c>
      <c r="E484" s="4">
        <f>IF($L484="","",IF(INDEX(tblRegistros[Data],$L484)&gt;$D$4,"",IFERROR(IF(INDEX(tblRegistros[Status],$L484)="EM ABERTO","",INDEX(tblRegistros[Fim],$L484)),"")))</f>
        <v/>
      </c>
      <c r="F484">
        <f>IF($L484="","",IF(INDEX(tblRegistros[Data],$L484)&gt;$D$4,"",IFERROR(IF(INDEX(tblRegistros[Status],$L484)="EM ABERTO","",INDEX(tblRegistros[Horas],$L484)),"")))</f>
        <v/>
      </c>
      <c r="G484">
        <f>IF($L484="","",IF(INDEX(tblRegistros[Data],$L484)&gt;$D$4,"",IFERROR(INDEX(tblRegistros[Base],$L484),"")))</f>
        <v/>
      </c>
      <c r="H484" s="3">
        <f>IF($L484="","",IF(INDEX(tblRegistros[Data],$L484)&gt;$D$4,"",IFERROR(INDEX(tblRegistros[Taxa aplicada],$L484),"")))</f>
        <v/>
      </c>
      <c r="I484" s="3">
        <f>IF($L484="","",IF(INDEX(tblRegistros[Data],$L484)&gt;$D$4,"",IFERROR(IF(INDEX(tblRegistros[Status],$L484)="EM ABERTO","",INDEX(tblRegistros[Valor],$L484)),"")))</f>
        <v/>
      </c>
      <c r="J484">
        <f>IF($L484="","",IF(INDEX(tblRegistros[Data],$L484)&gt;$D$4,"",IFERROR(INDEX(tblRegistros[Status],$L484),"")))</f>
        <v/>
      </c>
      <c r="K484">
        <f>IF($L484="","",IF(INDEX(tblRegistros[Data],$L484)&gt;$D$4,"",IFERROR(INDEX(tblRegistros[Observação],$L484),"")))</f>
        <v/>
      </c>
      <c r="L484" s="16">
        <f>IFERROR(MATCH($B$3*100000+COUNTIFS(tblRegistros[ID],$B$3,tblRegistros[Data],"&lt;"&amp;$B$4)+ROWS($L$10:L484),tblRegistros[Chave do cartão],0),"")</f>
        <v/>
      </c>
    </row>
    <row r="485">
      <c r="A485" s="2">
        <f>IF($L485="","",IF(INDEX(tblRegistros[Data],$L485)&gt;$D$4,"",IFERROR(INDEX(tblRegistros[Data],$L485),"")))</f>
        <v/>
      </c>
      <c r="B485">
        <f>IF($L485="","",IF(INDEX(tblRegistros[Data],$L485)&gt;$D$4,"",IFERROR(INDEX(tblRegistros[Projeto],$L485),"")))</f>
        <v/>
      </c>
      <c r="C485">
        <f>IF($L485="","",IF(INDEX(tblRegistros[Data],$L485)&gt;$D$4,"",IFERROR(INDEX(tblRegistros[Atividade],$L485),"")))</f>
        <v/>
      </c>
      <c r="D485" s="4">
        <f>IF($L485="","",IF(INDEX(tblRegistros[Data],$L485)&gt;$D$4,"",IFERROR(INDEX(tblRegistros[Início],$L485),"")))</f>
        <v/>
      </c>
      <c r="E485" s="4">
        <f>IF($L485="","",IF(INDEX(tblRegistros[Data],$L485)&gt;$D$4,"",IFERROR(IF(INDEX(tblRegistros[Status],$L485)="EM ABERTO","",INDEX(tblRegistros[Fim],$L485)),"")))</f>
        <v/>
      </c>
      <c r="F485">
        <f>IF($L485="","",IF(INDEX(tblRegistros[Data],$L485)&gt;$D$4,"",IFERROR(IF(INDEX(tblRegistros[Status],$L485)="EM ABERTO","",INDEX(tblRegistros[Horas],$L485)),"")))</f>
        <v/>
      </c>
      <c r="G485">
        <f>IF($L485="","",IF(INDEX(tblRegistros[Data],$L485)&gt;$D$4,"",IFERROR(INDEX(tblRegistros[Base],$L485),"")))</f>
        <v/>
      </c>
      <c r="H485" s="3">
        <f>IF($L485="","",IF(INDEX(tblRegistros[Data],$L485)&gt;$D$4,"",IFERROR(INDEX(tblRegistros[Taxa aplicada],$L485),"")))</f>
        <v/>
      </c>
      <c r="I485" s="3">
        <f>IF($L485="","",IF(INDEX(tblRegistros[Data],$L485)&gt;$D$4,"",IFERROR(IF(INDEX(tblRegistros[Status],$L485)="EM ABERTO","",INDEX(tblRegistros[Valor],$L485)),"")))</f>
        <v/>
      </c>
      <c r="J485">
        <f>IF($L485="","",IF(INDEX(tblRegistros[Data],$L485)&gt;$D$4,"",IFERROR(INDEX(tblRegistros[Status],$L485),"")))</f>
        <v/>
      </c>
      <c r="K485">
        <f>IF($L485="","",IF(INDEX(tblRegistros[Data],$L485)&gt;$D$4,"",IFERROR(INDEX(tblRegistros[Observação],$L485),"")))</f>
        <v/>
      </c>
      <c r="L485" s="16">
        <f>IFERROR(MATCH($B$3*100000+COUNTIFS(tblRegistros[ID],$B$3,tblRegistros[Data],"&lt;"&amp;$B$4)+ROWS($L$10:L485),tblRegistros[Chave do cartão],0),"")</f>
        <v/>
      </c>
    </row>
    <row r="486">
      <c r="A486" s="2">
        <f>IF($L486="","",IF(INDEX(tblRegistros[Data],$L486)&gt;$D$4,"",IFERROR(INDEX(tblRegistros[Data],$L486),"")))</f>
        <v/>
      </c>
      <c r="B486">
        <f>IF($L486="","",IF(INDEX(tblRegistros[Data],$L486)&gt;$D$4,"",IFERROR(INDEX(tblRegistros[Projeto],$L486),"")))</f>
        <v/>
      </c>
      <c r="C486">
        <f>IF($L486="","",IF(INDEX(tblRegistros[Data],$L486)&gt;$D$4,"",IFERROR(INDEX(tblRegistros[Atividade],$L486),"")))</f>
        <v/>
      </c>
      <c r="D486" s="4">
        <f>IF($L486="","",IF(INDEX(tblRegistros[Data],$L486)&gt;$D$4,"",IFERROR(INDEX(tblRegistros[Início],$L486),"")))</f>
        <v/>
      </c>
      <c r="E486" s="4">
        <f>IF($L486="","",IF(INDEX(tblRegistros[Data],$L486)&gt;$D$4,"",IFERROR(IF(INDEX(tblRegistros[Status],$L486)="EM ABERTO","",INDEX(tblRegistros[Fim],$L486)),"")))</f>
        <v/>
      </c>
      <c r="F486">
        <f>IF($L486="","",IF(INDEX(tblRegistros[Data],$L486)&gt;$D$4,"",IFERROR(IF(INDEX(tblRegistros[Status],$L486)="EM ABERTO","",INDEX(tblRegistros[Horas],$L486)),"")))</f>
        <v/>
      </c>
      <c r="G486">
        <f>IF($L486="","",IF(INDEX(tblRegistros[Data],$L486)&gt;$D$4,"",IFERROR(INDEX(tblRegistros[Base],$L486),"")))</f>
        <v/>
      </c>
      <c r="H486" s="3">
        <f>IF($L486="","",IF(INDEX(tblRegistros[Data],$L486)&gt;$D$4,"",IFERROR(INDEX(tblRegistros[Taxa aplicada],$L486),"")))</f>
        <v/>
      </c>
      <c r="I486" s="3">
        <f>IF($L486="","",IF(INDEX(tblRegistros[Data],$L486)&gt;$D$4,"",IFERROR(IF(INDEX(tblRegistros[Status],$L486)="EM ABERTO","",INDEX(tblRegistros[Valor],$L486)),"")))</f>
        <v/>
      </c>
      <c r="J486">
        <f>IF($L486="","",IF(INDEX(tblRegistros[Data],$L486)&gt;$D$4,"",IFERROR(INDEX(tblRegistros[Status],$L486),"")))</f>
        <v/>
      </c>
      <c r="K486">
        <f>IF($L486="","",IF(INDEX(tblRegistros[Data],$L486)&gt;$D$4,"",IFERROR(INDEX(tblRegistros[Observação],$L486),"")))</f>
        <v/>
      </c>
      <c r="L486" s="16">
        <f>IFERROR(MATCH($B$3*100000+COUNTIFS(tblRegistros[ID],$B$3,tblRegistros[Data],"&lt;"&amp;$B$4)+ROWS($L$10:L486),tblRegistros[Chave do cartão],0),"")</f>
        <v/>
      </c>
    </row>
    <row r="487">
      <c r="A487" s="2">
        <f>IF($L487="","",IF(INDEX(tblRegistros[Data],$L487)&gt;$D$4,"",IFERROR(INDEX(tblRegistros[Data],$L487),"")))</f>
        <v/>
      </c>
      <c r="B487">
        <f>IF($L487="","",IF(INDEX(tblRegistros[Data],$L487)&gt;$D$4,"",IFERROR(INDEX(tblRegistros[Projeto],$L487),"")))</f>
        <v/>
      </c>
      <c r="C487">
        <f>IF($L487="","",IF(INDEX(tblRegistros[Data],$L487)&gt;$D$4,"",IFERROR(INDEX(tblRegistros[Atividade],$L487),"")))</f>
        <v/>
      </c>
      <c r="D487" s="4">
        <f>IF($L487="","",IF(INDEX(tblRegistros[Data],$L487)&gt;$D$4,"",IFERROR(INDEX(tblRegistros[Início],$L487),"")))</f>
        <v/>
      </c>
      <c r="E487" s="4">
        <f>IF($L487="","",IF(INDEX(tblRegistros[Data],$L487)&gt;$D$4,"",IFERROR(IF(INDEX(tblRegistros[Status],$L487)="EM ABERTO","",INDEX(tblRegistros[Fim],$L487)),"")))</f>
        <v/>
      </c>
      <c r="F487">
        <f>IF($L487="","",IF(INDEX(tblRegistros[Data],$L487)&gt;$D$4,"",IFERROR(IF(INDEX(tblRegistros[Status],$L487)="EM ABERTO","",INDEX(tblRegistros[Horas],$L487)),"")))</f>
        <v/>
      </c>
      <c r="G487">
        <f>IF($L487="","",IF(INDEX(tblRegistros[Data],$L487)&gt;$D$4,"",IFERROR(INDEX(tblRegistros[Base],$L487),"")))</f>
        <v/>
      </c>
      <c r="H487" s="3">
        <f>IF($L487="","",IF(INDEX(tblRegistros[Data],$L487)&gt;$D$4,"",IFERROR(INDEX(tblRegistros[Taxa aplicada],$L487),"")))</f>
        <v/>
      </c>
      <c r="I487" s="3">
        <f>IF($L487="","",IF(INDEX(tblRegistros[Data],$L487)&gt;$D$4,"",IFERROR(IF(INDEX(tblRegistros[Status],$L487)="EM ABERTO","",INDEX(tblRegistros[Valor],$L487)),"")))</f>
        <v/>
      </c>
      <c r="J487">
        <f>IF($L487="","",IF(INDEX(tblRegistros[Data],$L487)&gt;$D$4,"",IFERROR(INDEX(tblRegistros[Status],$L487),"")))</f>
        <v/>
      </c>
      <c r="K487">
        <f>IF($L487="","",IF(INDEX(tblRegistros[Data],$L487)&gt;$D$4,"",IFERROR(INDEX(tblRegistros[Observação],$L487),"")))</f>
        <v/>
      </c>
      <c r="L487" s="16">
        <f>IFERROR(MATCH($B$3*100000+COUNTIFS(tblRegistros[ID],$B$3,tblRegistros[Data],"&lt;"&amp;$B$4)+ROWS($L$10:L487),tblRegistros[Chave do cartão],0),"")</f>
        <v/>
      </c>
    </row>
    <row r="488">
      <c r="A488" s="2">
        <f>IF($L488="","",IF(INDEX(tblRegistros[Data],$L488)&gt;$D$4,"",IFERROR(INDEX(tblRegistros[Data],$L488),"")))</f>
        <v/>
      </c>
      <c r="B488">
        <f>IF($L488="","",IF(INDEX(tblRegistros[Data],$L488)&gt;$D$4,"",IFERROR(INDEX(tblRegistros[Projeto],$L488),"")))</f>
        <v/>
      </c>
      <c r="C488">
        <f>IF($L488="","",IF(INDEX(tblRegistros[Data],$L488)&gt;$D$4,"",IFERROR(INDEX(tblRegistros[Atividade],$L488),"")))</f>
        <v/>
      </c>
      <c r="D488" s="4">
        <f>IF($L488="","",IF(INDEX(tblRegistros[Data],$L488)&gt;$D$4,"",IFERROR(INDEX(tblRegistros[Início],$L488),"")))</f>
        <v/>
      </c>
      <c r="E488" s="4">
        <f>IF($L488="","",IF(INDEX(tblRegistros[Data],$L488)&gt;$D$4,"",IFERROR(IF(INDEX(tblRegistros[Status],$L488)="EM ABERTO","",INDEX(tblRegistros[Fim],$L488)),"")))</f>
        <v/>
      </c>
      <c r="F488">
        <f>IF($L488="","",IF(INDEX(tblRegistros[Data],$L488)&gt;$D$4,"",IFERROR(IF(INDEX(tblRegistros[Status],$L488)="EM ABERTO","",INDEX(tblRegistros[Horas],$L488)),"")))</f>
        <v/>
      </c>
      <c r="G488">
        <f>IF($L488="","",IF(INDEX(tblRegistros[Data],$L488)&gt;$D$4,"",IFERROR(INDEX(tblRegistros[Base],$L488),"")))</f>
        <v/>
      </c>
      <c r="H488" s="3">
        <f>IF($L488="","",IF(INDEX(tblRegistros[Data],$L488)&gt;$D$4,"",IFERROR(INDEX(tblRegistros[Taxa aplicada],$L488),"")))</f>
        <v/>
      </c>
      <c r="I488" s="3">
        <f>IF($L488="","",IF(INDEX(tblRegistros[Data],$L488)&gt;$D$4,"",IFERROR(IF(INDEX(tblRegistros[Status],$L488)="EM ABERTO","",INDEX(tblRegistros[Valor],$L488)),"")))</f>
        <v/>
      </c>
      <c r="J488">
        <f>IF($L488="","",IF(INDEX(tblRegistros[Data],$L488)&gt;$D$4,"",IFERROR(INDEX(tblRegistros[Status],$L488),"")))</f>
        <v/>
      </c>
      <c r="K488">
        <f>IF($L488="","",IF(INDEX(tblRegistros[Data],$L488)&gt;$D$4,"",IFERROR(INDEX(tblRegistros[Observação],$L488),"")))</f>
        <v/>
      </c>
      <c r="L488" s="16">
        <f>IFERROR(MATCH($B$3*100000+COUNTIFS(tblRegistros[ID],$B$3,tblRegistros[Data],"&lt;"&amp;$B$4)+ROWS($L$10:L488),tblRegistros[Chave do cartão],0),"")</f>
        <v/>
      </c>
    </row>
    <row r="489">
      <c r="A489" s="2">
        <f>IF($L489="","",IF(INDEX(tblRegistros[Data],$L489)&gt;$D$4,"",IFERROR(INDEX(tblRegistros[Data],$L489),"")))</f>
        <v/>
      </c>
      <c r="B489">
        <f>IF($L489="","",IF(INDEX(tblRegistros[Data],$L489)&gt;$D$4,"",IFERROR(INDEX(tblRegistros[Projeto],$L489),"")))</f>
        <v/>
      </c>
      <c r="C489">
        <f>IF($L489="","",IF(INDEX(tblRegistros[Data],$L489)&gt;$D$4,"",IFERROR(INDEX(tblRegistros[Atividade],$L489),"")))</f>
        <v/>
      </c>
      <c r="D489" s="4">
        <f>IF($L489="","",IF(INDEX(tblRegistros[Data],$L489)&gt;$D$4,"",IFERROR(INDEX(tblRegistros[Início],$L489),"")))</f>
        <v/>
      </c>
      <c r="E489" s="4">
        <f>IF($L489="","",IF(INDEX(tblRegistros[Data],$L489)&gt;$D$4,"",IFERROR(IF(INDEX(tblRegistros[Status],$L489)="EM ABERTO","",INDEX(tblRegistros[Fim],$L489)),"")))</f>
        <v/>
      </c>
      <c r="F489">
        <f>IF($L489="","",IF(INDEX(tblRegistros[Data],$L489)&gt;$D$4,"",IFERROR(IF(INDEX(tblRegistros[Status],$L489)="EM ABERTO","",INDEX(tblRegistros[Horas],$L489)),"")))</f>
        <v/>
      </c>
      <c r="G489">
        <f>IF($L489="","",IF(INDEX(tblRegistros[Data],$L489)&gt;$D$4,"",IFERROR(INDEX(tblRegistros[Base],$L489),"")))</f>
        <v/>
      </c>
      <c r="H489" s="3">
        <f>IF($L489="","",IF(INDEX(tblRegistros[Data],$L489)&gt;$D$4,"",IFERROR(INDEX(tblRegistros[Taxa aplicada],$L489),"")))</f>
        <v/>
      </c>
      <c r="I489" s="3">
        <f>IF($L489="","",IF(INDEX(tblRegistros[Data],$L489)&gt;$D$4,"",IFERROR(IF(INDEX(tblRegistros[Status],$L489)="EM ABERTO","",INDEX(tblRegistros[Valor],$L489)),"")))</f>
        <v/>
      </c>
      <c r="J489">
        <f>IF($L489="","",IF(INDEX(tblRegistros[Data],$L489)&gt;$D$4,"",IFERROR(INDEX(tblRegistros[Status],$L489),"")))</f>
        <v/>
      </c>
      <c r="K489">
        <f>IF($L489="","",IF(INDEX(tblRegistros[Data],$L489)&gt;$D$4,"",IFERROR(INDEX(tblRegistros[Observação],$L489),"")))</f>
        <v/>
      </c>
      <c r="L489" s="16">
        <f>IFERROR(MATCH($B$3*100000+COUNTIFS(tblRegistros[ID],$B$3,tblRegistros[Data],"&lt;"&amp;$B$4)+ROWS($L$10:L489),tblRegistros[Chave do cartão],0),"")</f>
        <v/>
      </c>
    </row>
    <row r="490">
      <c r="A490" s="2">
        <f>IF($L490="","",IF(INDEX(tblRegistros[Data],$L490)&gt;$D$4,"",IFERROR(INDEX(tblRegistros[Data],$L490),"")))</f>
        <v/>
      </c>
      <c r="B490">
        <f>IF($L490="","",IF(INDEX(tblRegistros[Data],$L490)&gt;$D$4,"",IFERROR(INDEX(tblRegistros[Projeto],$L490),"")))</f>
        <v/>
      </c>
      <c r="C490">
        <f>IF($L490="","",IF(INDEX(tblRegistros[Data],$L490)&gt;$D$4,"",IFERROR(INDEX(tblRegistros[Atividade],$L490),"")))</f>
        <v/>
      </c>
      <c r="D490" s="4">
        <f>IF($L490="","",IF(INDEX(tblRegistros[Data],$L490)&gt;$D$4,"",IFERROR(INDEX(tblRegistros[Início],$L490),"")))</f>
        <v/>
      </c>
      <c r="E490" s="4">
        <f>IF($L490="","",IF(INDEX(tblRegistros[Data],$L490)&gt;$D$4,"",IFERROR(IF(INDEX(tblRegistros[Status],$L490)="EM ABERTO","",INDEX(tblRegistros[Fim],$L490)),"")))</f>
        <v/>
      </c>
      <c r="F490">
        <f>IF($L490="","",IF(INDEX(tblRegistros[Data],$L490)&gt;$D$4,"",IFERROR(IF(INDEX(tblRegistros[Status],$L490)="EM ABERTO","",INDEX(tblRegistros[Horas],$L490)),"")))</f>
        <v/>
      </c>
      <c r="G490">
        <f>IF($L490="","",IF(INDEX(tblRegistros[Data],$L490)&gt;$D$4,"",IFERROR(INDEX(tblRegistros[Base],$L490),"")))</f>
        <v/>
      </c>
      <c r="H490" s="3">
        <f>IF($L490="","",IF(INDEX(tblRegistros[Data],$L490)&gt;$D$4,"",IFERROR(INDEX(tblRegistros[Taxa aplicada],$L490),"")))</f>
        <v/>
      </c>
      <c r="I490" s="3">
        <f>IF($L490="","",IF(INDEX(tblRegistros[Data],$L490)&gt;$D$4,"",IFERROR(IF(INDEX(tblRegistros[Status],$L490)="EM ABERTO","",INDEX(tblRegistros[Valor],$L490)),"")))</f>
        <v/>
      </c>
      <c r="J490">
        <f>IF($L490="","",IF(INDEX(tblRegistros[Data],$L490)&gt;$D$4,"",IFERROR(INDEX(tblRegistros[Status],$L490),"")))</f>
        <v/>
      </c>
      <c r="K490">
        <f>IF($L490="","",IF(INDEX(tblRegistros[Data],$L490)&gt;$D$4,"",IFERROR(INDEX(tblRegistros[Observação],$L490),"")))</f>
        <v/>
      </c>
      <c r="L490" s="16">
        <f>IFERROR(MATCH($B$3*100000+COUNTIFS(tblRegistros[ID],$B$3,tblRegistros[Data],"&lt;"&amp;$B$4)+ROWS($L$10:L490),tblRegistros[Chave do cartão],0),"")</f>
        <v/>
      </c>
    </row>
    <row r="491">
      <c r="A491" s="2">
        <f>IF($L491="","",IF(INDEX(tblRegistros[Data],$L491)&gt;$D$4,"",IFERROR(INDEX(tblRegistros[Data],$L491),"")))</f>
        <v/>
      </c>
      <c r="B491">
        <f>IF($L491="","",IF(INDEX(tblRegistros[Data],$L491)&gt;$D$4,"",IFERROR(INDEX(tblRegistros[Projeto],$L491),"")))</f>
        <v/>
      </c>
      <c r="C491">
        <f>IF($L491="","",IF(INDEX(tblRegistros[Data],$L491)&gt;$D$4,"",IFERROR(INDEX(tblRegistros[Atividade],$L491),"")))</f>
        <v/>
      </c>
      <c r="D491" s="4">
        <f>IF($L491="","",IF(INDEX(tblRegistros[Data],$L491)&gt;$D$4,"",IFERROR(INDEX(tblRegistros[Início],$L491),"")))</f>
        <v/>
      </c>
      <c r="E491" s="4">
        <f>IF($L491="","",IF(INDEX(tblRegistros[Data],$L491)&gt;$D$4,"",IFERROR(IF(INDEX(tblRegistros[Status],$L491)="EM ABERTO","",INDEX(tblRegistros[Fim],$L491)),"")))</f>
        <v/>
      </c>
      <c r="F491">
        <f>IF($L491="","",IF(INDEX(tblRegistros[Data],$L491)&gt;$D$4,"",IFERROR(IF(INDEX(tblRegistros[Status],$L491)="EM ABERTO","",INDEX(tblRegistros[Horas],$L491)),"")))</f>
        <v/>
      </c>
      <c r="G491">
        <f>IF($L491="","",IF(INDEX(tblRegistros[Data],$L491)&gt;$D$4,"",IFERROR(INDEX(tblRegistros[Base],$L491),"")))</f>
        <v/>
      </c>
      <c r="H491" s="3">
        <f>IF($L491="","",IF(INDEX(tblRegistros[Data],$L491)&gt;$D$4,"",IFERROR(INDEX(tblRegistros[Taxa aplicada],$L491),"")))</f>
        <v/>
      </c>
      <c r="I491" s="3">
        <f>IF($L491="","",IF(INDEX(tblRegistros[Data],$L491)&gt;$D$4,"",IFERROR(IF(INDEX(tblRegistros[Status],$L491)="EM ABERTO","",INDEX(tblRegistros[Valor],$L491)),"")))</f>
        <v/>
      </c>
      <c r="J491">
        <f>IF($L491="","",IF(INDEX(tblRegistros[Data],$L491)&gt;$D$4,"",IFERROR(INDEX(tblRegistros[Status],$L491),"")))</f>
        <v/>
      </c>
      <c r="K491">
        <f>IF($L491="","",IF(INDEX(tblRegistros[Data],$L491)&gt;$D$4,"",IFERROR(INDEX(tblRegistros[Observação],$L491),"")))</f>
        <v/>
      </c>
      <c r="L491" s="16">
        <f>IFERROR(MATCH($B$3*100000+COUNTIFS(tblRegistros[ID],$B$3,tblRegistros[Data],"&lt;"&amp;$B$4)+ROWS($L$10:L491),tblRegistros[Chave do cartão],0),"")</f>
        <v/>
      </c>
    </row>
    <row r="492">
      <c r="A492" s="2">
        <f>IF($L492="","",IF(INDEX(tblRegistros[Data],$L492)&gt;$D$4,"",IFERROR(INDEX(tblRegistros[Data],$L492),"")))</f>
        <v/>
      </c>
      <c r="B492">
        <f>IF($L492="","",IF(INDEX(tblRegistros[Data],$L492)&gt;$D$4,"",IFERROR(INDEX(tblRegistros[Projeto],$L492),"")))</f>
        <v/>
      </c>
      <c r="C492">
        <f>IF($L492="","",IF(INDEX(tblRegistros[Data],$L492)&gt;$D$4,"",IFERROR(INDEX(tblRegistros[Atividade],$L492),"")))</f>
        <v/>
      </c>
      <c r="D492" s="4">
        <f>IF($L492="","",IF(INDEX(tblRegistros[Data],$L492)&gt;$D$4,"",IFERROR(INDEX(tblRegistros[Início],$L492),"")))</f>
        <v/>
      </c>
      <c r="E492" s="4">
        <f>IF($L492="","",IF(INDEX(tblRegistros[Data],$L492)&gt;$D$4,"",IFERROR(IF(INDEX(tblRegistros[Status],$L492)="EM ABERTO","",INDEX(tblRegistros[Fim],$L492)),"")))</f>
        <v/>
      </c>
      <c r="F492">
        <f>IF($L492="","",IF(INDEX(tblRegistros[Data],$L492)&gt;$D$4,"",IFERROR(IF(INDEX(tblRegistros[Status],$L492)="EM ABERTO","",INDEX(tblRegistros[Horas],$L492)),"")))</f>
        <v/>
      </c>
      <c r="G492">
        <f>IF($L492="","",IF(INDEX(tblRegistros[Data],$L492)&gt;$D$4,"",IFERROR(INDEX(tblRegistros[Base],$L492),"")))</f>
        <v/>
      </c>
      <c r="H492" s="3">
        <f>IF($L492="","",IF(INDEX(tblRegistros[Data],$L492)&gt;$D$4,"",IFERROR(INDEX(tblRegistros[Taxa aplicada],$L492),"")))</f>
        <v/>
      </c>
      <c r="I492" s="3">
        <f>IF($L492="","",IF(INDEX(tblRegistros[Data],$L492)&gt;$D$4,"",IFERROR(IF(INDEX(tblRegistros[Status],$L492)="EM ABERTO","",INDEX(tblRegistros[Valor],$L492)),"")))</f>
        <v/>
      </c>
      <c r="J492">
        <f>IF($L492="","",IF(INDEX(tblRegistros[Data],$L492)&gt;$D$4,"",IFERROR(INDEX(tblRegistros[Status],$L492),"")))</f>
        <v/>
      </c>
      <c r="K492">
        <f>IF($L492="","",IF(INDEX(tblRegistros[Data],$L492)&gt;$D$4,"",IFERROR(INDEX(tblRegistros[Observação],$L492),"")))</f>
        <v/>
      </c>
      <c r="L492" s="16">
        <f>IFERROR(MATCH($B$3*100000+COUNTIFS(tblRegistros[ID],$B$3,tblRegistros[Data],"&lt;"&amp;$B$4)+ROWS($L$10:L492),tblRegistros[Chave do cartão],0),"")</f>
        <v/>
      </c>
    </row>
    <row r="493">
      <c r="A493" s="2">
        <f>IF($L493="","",IF(INDEX(tblRegistros[Data],$L493)&gt;$D$4,"",IFERROR(INDEX(tblRegistros[Data],$L493),"")))</f>
        <v/>
      </c>
      <c r="B493">
        <f>IF($L493="","",IF(INDEX(tblRegistros[Data],$L493)&gt;$D$4,"",IFERROR(INDEX(tblRegistros[Projeto],$L493),"")))</f>
        <v/>
      </c>
      <c r="C493">
        <f>IF($L493="","",IF(INDEX(tblRegistros[Data],$L493)&gt;$D$4,"",IFERROR(INDEX(tblRegistros[Atividade],$L493),"")))</f>
        <v/>
      </c>
      <c r="D493" s="4">
        <f>IF($L493="","",IF(INDEX(tblRegistros[Data],$L493)&gt;$D$4,"",IFERROR(INDEX(tblRegistros[Início],$L493),"")))</f>
        <v/>
      </c>
      <c r="E493" s="4">
        <f>IF($L493="","",IF(INDEX(tblRegistros[Data],$L493)&gt;$D$4,"",IFERROR(IF(INDEX(tblRegistros[Status],$L493)="EM ABERTO","",INDEX(tblRegistros[Fim],$L493)),"")))</f>
        <v/>
      </c>
      <c r="F493">
        <f>IF($L493="","",IF(INDEX(tblRegistros[Data],$L493)&gt;$D$4,"",IFERROR(IF(INDEX(tblRegistros[Status],$L493)="EM ABERTO","",INDEX(tblRegistros[Horas],$L493)),"")))</f>
        <v/>
      </c>
      <c r="G493">
        <f>IF($L493="","",IF(INDEX(tblRegistros[Data],$L493)&gt;$D$4,"",IFERROR(INDEX(tblRegistros[Base],$L493),"")))</f>
        <v/>
      </c>
      <c r="H493" s="3">
        <f>IF($L493="","",IF(INDEX(tblRegistros[Data],$L493)&gt;$D$4,"",IFERROR(INDEX(tblRegistros[Taxa aplicada],$L493),"")))</f>
        <v/>
      </c>
      <c r="I493" s="3">
        <f>IF($L493="","",IF(INDEX(tblRegistros[Data],$L493)&gt;$D$4,"",IFERROR(IF(INDEX(tblRegistros[Status],$L493)="EM ABERTO","",INDEX(tblRegistros[Valor],$L493)),"")))</f>
        <v/>
      </c>
      <c r="J493">
        <f>IF($L493="","",IF(INDEX(tblRegistros[Data],$L493)&gt;$D$4,"",IFERROR(INDEX(tblRegistros[Status],$L493),"")))</f>
        <v/>
      </c>
      <c r="K493">
        <f>IF($L493="","",IF(INDEX(tblRegistros[Data],$L493)&gt;$D$4,"",IFERROR(INDEX(tblRegistros[Observação],$L493),"")))</f>
        <v/>
      </c>
      <c r="L493" s="16">
        <f>IFERROR(MATCH($B$3*100000+COUNTIFS(tblRegistros[ID],$B$3,tblRegistros[Data],"&lt;"&amp;$B$4)+ROWS($L$10:L493),tblRegistros[Chave do cartão],0),"")</f>
        <v/>
      </c>
    </row>
    <row r="494">
      <c r="A494" s="2">
        <f>IF($L494="","",IF(INDEX(tblRegistros[Data],$L494)&gt;$D$4,"",IFERROR(INDEX(tblRegistros[Data],$L494),"")))</f>
        <v/>
      </c>
      <c r="B494">
        <f>IF($L494="","",IF(INDEX(tblRegistros[Data],$L494)&gt;$D$4,"",IFERROR(INDEX(tblRegistros[Projeto],$L494),"")))</f>
        <v/>
      </c>
      <c r="C494">
        <f>IF($L494="","",IF(INDEX(tblRegistros[Data],$L494)&gt;$D$4,"",IFERROR(INDEX(tblRegistros[Atividade],$L494),"")))</f>
        <v/>
      </c>
      <c r="D494" s="4">
        <f>IF($L494="","",IF(INDEX(tblRegistros[Data],$L494)&gt;$D$4,"",IFERROR(INDEX(tblRegistros[Início],$L494),"")))</f>
        <v/>
      </c>
      <c r="E494" s="4">
        <f>IF($L494="","",IF(INDEX(tblRegistros[Data],$L494)&gt;$D$4,"",IFERROR(IF(INDEX(tblRegistros[Status],$L494)="EM ABERTO","",INDEX(tblRegistros[Fim],$L494)),"")))</f>
        <v/>
      </c>
      <c r="F494">
        <f>IF($L494="","",IF(INDEX(tblRegistros[Data],$L494)&gt;$D$4,"",IFERROR(IF(INDEX(tblRegistros[Status],$L494)="EM ABERTO","",INDEX(tblRegistros[Horas],$L494)),"")))</f>
        <v/>
      </c>
      <c r="G494">
        <f>IF($L494="","",IF(INDEX(tblRegistros[Data],$L494)&gt;$D$4,"",IFERROR(INDEX(tblRegistros[Base],$L494),"")))</f>
        <v/>
      </c>
      <c r="H494" s="3">
        <f>IF($L494="","",IF(INDEX(tblRegistros[Data],$L494)&gt;$D$4,"",IFERROR(INDEX(tblRegistros[Taxa aplicada],$L494),"")))</f>
        <v/>
      </c>
      <c r="I494" s="3">
        <f>IF($L494="","",IF(INDEX(tblRegistros[Data],$L494)&gt;$D$4,"",IFERROR(IF(INDEX(tblRegistros[Status],$L494)="EM ABERTO","",INDEX(tblRegistros[Valor],$L494)),"")))</f>
        <v/>
      </c>
      <c r="J494">
        <f>IF($L494="","",IF(INDEX(tblRegistros[Data],$L494)&gt;$D$4,"",IFERROR(INDEX(tblRegistros[Status],$L494),"")))</f>
        <v/>
      </c>
      <c r="K494">
        <f>IF($L494="","",IF(INDEX(tblRegistros[Data],$L494)&gt;$D$4,"",IFERROR(INDEX(tblRegistros[Observação],$L494),"")))</f>
        <v/>
      </c>
      <c r="L494" s="16">
        <f>IFERROR(MATCH($B$3*100000+COUNTIFS(tblRegistros[ID],$B$3,tblRegistros[Data],"&lt;"&amp;$B$4)+ROWS($L$10:L494),tblRegistros[Chave do cartão],0),"")</f>
        <v/>
      </c>
    </row>
    <row r="495">
      <c r="A495" s="2">
        <f>IF($L495="","",IF(INDEX(tblRegistros[Data],$L495)&gt;$D$4,"",IFERROR(INDEX(tblRegistros[Data],$L495),"")))</f>
        <v/>
      </c>
      <c r="B495">
        <f>IF($L495="","",IF(INDEX(tblRegistros[Data],$L495)&gt;$D$4,"",IFERROR(INDEX(tblRegistros[Projeto],$L495),"")))</f>
        <v/>
      </c>
      <c r="C495">
        <f>IF($L495="","",IF(INDEX(tblRegistros[Data],$L495)&gt;$D$4,"",IFERROR(INDEX(tblRegistros[Atividade],$L495),"")))</f>
        <v/>
      </c>
      <c r="D495" s="4">
        <f>IF($L495="","",IF(INDEX(tblRegistros[Data],$L495)&gt;$D$4,"",IFERROR(INDEX(tblRegistros[Início],$L495),"")))</f>
        <v/>
      </c>
      <c r="E495" s="4">
        <f>IF($L495="","",IF(INDEX(tblRegistros[Data],$L495)&gt;$D$4,"",IFERROR(IF(INDEX(tblRegistros[Status],$L495)="EM ABERTO","",INDEX(tblRegistros[Fim],$L495)),"")))</f>
        <v/>
      </c>
      <c r="F495">
        <f>IF($L495="","",IF(INDEX(tblRegistros[Data],$L495)&gt;$D$4,"",IFERROR(IF(INDEX(tblRegistros[Status],$L495)="EM ABERTO","",INDEX(tblRegistros[Horas],$L495)),"")))</f>
        <v/>
      </c>
      <c r="G495">
        <f>IF($L495="","",IF(INDEX(tblRegistros[Data],$L495)&gt;$D$4,"",IFERROR(INDEX(tblRegistros[Base],$L495),"")))</f>
        <v/>
      </c>
      <c r="H495" s="3">
        <f>IF($L495="","",IF(INDEX(tblRegistros[Data],$L495)&gt;$D$4,"",IFERROR(INDEX(tblRegistros[Taxa aplicada],$L495),"")))</f>
        <v/>
      </c>
      <c r="I495" s="3">
        <f>IF($L495="","",IF(INDEX(tblRegistros[Data],$L495)&gt;$D$4,"",IFERROR(IF(INDEX(tblRegistros[Status],$L495)="EM ABERTO","",INDEX(tblRegistros[Valor],$L495)),"")))</f>
        <v/>
      </c>
      <c r="J495">
        <f>IF($L495="","",IF(INDEX(tblRegistros[Data],$L495)&gt;$D$4,"",IFERROR(INDEX(tblRegistros[Status],$L495),"")))</f>
        <v/>
      </c>
      <c r="K495">
        <f>IF($L495="","",IF(INDEX(tblRegistros[Data],$L495)&gt;$D$4,"",IFERROR(INDEX(tblRegistros[Observação],$L495),"")))</f>
        <v/>
      </c>
      <c r="L495" s="16">
        <f>IFERROR(MATCH($B$3*100000+COUNTIFS(tblRegistros[ID],$B$3,tblRegistros[Data],"&lt;"&amp;$B$4)+ROWS($L$10:L495),tblRegistros[Chave do cartão],0),"")</f>
        <v/>
      </c>
    </row>
    <row r="496">
      <c r="A496" s="2">
        <f>IF($L496="","",IF(INDEX(tblRegistros[Data],$L496)&gt;$D$4,"",IFERROR(INDEX(tblRegistros[Data],$L496),"")))</f>
        <v/>
      </c>
      <c r="B496">
        <f>IF($L496="","",IF(INDEX(tblRegistros[Data],$L496)&gt;$D$4,"",IFERROR(INDEX(tblRegistros[Projeto],$L496),"")))</f>
        <v/>
      </c>
      <c r="C496">
        <f>IF($L496="","",IF(INDEX(tblRegistros[Data],$L496)&gt;$D$4,"",IFERROR(INDEX(tblRegistros[Atividade],$L496),"")))</f>
        <v/>
      </c>
      <c r="D496" s="4">
        <f>IF($L496="","",IF(INDEX(tblRegistros[Data],$L496)&gt;$D$4,"",IFERROR(INDEX(tblRegistros[Início],$L496),"")))</f>
        <v/>
      </c>
      <c r="E496" s="4">
        <f>IF($L496="","",IF(INDEX(tblRegistros[Data],$L496)&gt;$D$4,"",IFERROR(IF(INDEX(tblRegistros[Status],$L496)="EM ABERTO","",INDEX(tblRegistros[Fim],$L496)),"")))</f>
        <v/>
      </c>
      <c r="F496">
        <f>IF($L496="","",IF(INDEX(tblRegistros[Data],$L496)&gt;$D$4,"",IFERROR(IF(INDEX(tblRegistros[Status],$L496)="EM ABERTO","",INDEX(tblRegistros[Horas],$L496)),"")))</f>
        <v/>
      </c>
      <c r="G496">
        <f>IF($L496="","",IF(INDEX(tblRegistros[Data],$L496)&gt;$D$4,"",IFERROR(INDEX(tblRegistros[Base],$L496),"")))</f>
        <v/>
      </c>
      <c r="H496" s="3">
        <f>IF($L496="","",IF(INDEX(tblRegistros[Data],$L496)&gt;$D$4,"",IFERROR(INDEX(tblRegistros[Taxa aplicada],$L496),"")))</f>
        <v/>
      </c>
      <c r="I496" s="3">
        <f>IF($L496="","",IF(INDEX(tblRegistros[Data],$L496)&gt;$D$4,"",IFERROR(IF(INDEX(tblRegistros[Status],$L496)="EM ABERTO","",INDEX(tblRegistros[Valor],$L496)),"")))</f>
        <v/>
      </c>
      <c r="J496">
        <f>IF($L496="","",IF(INDEX(tblRegistros[Data],$L496)&gt;$D$4,"",IFERROR(INDEX(tblRegistros[Status],$L496),"")))</f>
        <v/>
      </c>
      <c r="K496">
        <f>IF($L496="","",IF(INDEX(tblRegistros[Data],$L496)&gt;$D$4,"",IFERROR(INDEX(tblRegistros[Observação],$L496),"")))</f>
        <v/>
      </c>
      <c r="L496" s="16">
        <f>IFERROR(MATCH($B$3*100000+COUNTIFS(tblRegistros[ID],$B$3,tblRegistros[Data],"&lt;"&amp;$B$4)+ROWS($L$10:L496),tblRegistros[Chave do cartão],0),"")</f>
        <v/>
      </c>
    </row>
    <row r="497">
      <c r="A497" s="2">
        <f>IF($L497="","",IF(INDEX(tblRegistros[Data],$L497)&gt;$D$4,"",IFERROR(INDEX(tblRegistros[Data],$L497),"")))</f>
        <v/>
      </c>
      <c r="B497">
        <f>IF($L497="","",IF(INDEX(tblRegistros[Data],$L497)&gt;$D$4,"",IFERROR(INDEX(tblRegistros[Projeto],$L497),"")))</f>
        <v/>
      </c>
      <c r="C497">
        <f>IF($L497="","",IF(INDEX(tblRegistros[Data],$L497)&gt;$D$4,"",IFERROR(INDEX(tblRegistros[Atividade],$L497),"")))</f>
        <v/>
      </c>
      <c r="D497" s="4">
        <f>IF($L497="","",IF(INDEX(tblRegistros[Data],$L497)&gt;$D$4,"",IFERROR(INDEX(tblRegistros[Início],$L497),"")))</f>
        <v/>
      </c>
      <c r="E497" s="4">
        <f>IF($L497="","",IF(INDEX(tblRegistros[Data],$L497)&gt;$D$4,"",IFERROR(IF(INDEX(tblRegistros[Status],$L497)="EM ABERTO","",INDEX(tblRegistros[Fim],$L497)),"")))</f>
        <v/>
      </c>
      <c r="F497">
        <f>IF($L497="","",IF(INDEX(tblRegistros[Data],$L497)&gt;$D$4,"",IFERROR(IF(INDEX(tblRegistros[Status],$L497)="EM ABERTO","",INDEX(tblRegistros[Horas],$L497)),"")))</f>
        <v/>
      </c>
      <c r="G497">
        <f>IF($L497="","",IF(INDEX(tblRegistros[Data],$L497)&gt;$D$4,"",IFERROR(INDEX(tblRegistros[Base],$L497),"")))</f>
        <v/>
      </c>
      <c r="H497" s="3">
        <f>IF($L497="","",IF(INDEX(tblRegistros[Data],$L497)&gt;$D$4,"",IFERROR(INDEX(tblRegistros[Taxa aplicada],$L497),"")))</f>
        <v/>
      </c>
      <c r="I497" s="3">
        <f>IF($L497="","",IF(INDEX(tblRegistros[Data],$L497)&gt;$D$4,"",IFERROR(IF(INDEX(tblRegistros[Status],$L497)="EM ABERTO","",INDEX(tblRegistros[Valor],$L497)),"")))</f>
        <v/>
      </c>
      <c r="J497">
        <f>IF($L497="","",IF(INDEX(tblRegistros[Data],$L497)&gt;$D$4,"",IFERROR(INDEX(tblRegistros[Status],$L497),"")))</f>
        <v/>
      </c>
      <c r="K497">
        <f>IF($L497="","",IF(INDEX(tblRegistros[Data],$L497)&gt;$D$4,"",IFERROR(INDEX(tblRegistros[Observação],$L497),"")))</f>
        <v/>
      </c>
      <c r="L497" s="16">
        <f>IFERROR(MATCH($B$3*100000+COUNTIFS(tblRegistros[ID],$B$3,tblRegistros[Data],"&lt;"&amp;$B$4)+ROWS($L$10:L497),tblRegistros[Chave do cartão],0),"")</f>
        <v/>
      </c>
    </row>
    <row r="498">
      <c r="A498" s="2">
        <f>IF($L498="","",IF(INDEX(tblRegistros[Data],$L498)&gt;$D$4,"",IFERROR(INDEX(tblRegistros[Data],$L498),"")))</f>
        <v/>
      </c>
      <c r="B498">
        <f>IF($L498="","",IF(INDEX(tblRegistros[Data],$L498)&gt;$D$4,"",IFERROR(INDEX(tblRegistros[Projeto],$L498),"")))</f>
        <v/>
      </c>
      <c r="C498">
        <f>IF($L498="","",IF(INDEX(tblRegistros[Data],$L498)&gt;$D$4,"",IFERROR(INDEX(tblRegistros[Atividade],$L498),"")))</f>
        <v/>
      </c>
      <c r="D498" s="4">
        <f>IF($L498="","",IF(INDEX(tblRegistros[Data],$L498)&gt;$D$4,"",IFERROR(INDEX(tblRegistros[Início],$L498),"")))</f>
        <v/>
      </c>
      <c r="E498" s="4">
        <f>IF($L498="","",IF(INDEX(tblRegistros[Data],$L498)&gt;$D$4,"",IFERROR(IF(INDEX(tblRegistros[Status],$L498)="EM ABERTO","",INDEX(tblRegistros[Fim],$L498)),"")))</f>
        <v/>
      </c>
      <c r="F498">
        <f>IF($L498="","",IF(INDEX(tblRegistros[Data],$L498)&gt;$D$4,"",IFERROR(IF(INDEX(tblRegistros[Status],$L498)="EM ABERTO","",INDEX(tblRegistros[Horas],$L498)),"")))</f>
        <v/>
      </c>
      <c r="G498">
        <f>IF($L498="","",IF(INDEX(tblRegistros[Data],$L498)&gt;$D$4,"",IFERROR(INDEX(tblRegistros[Base],$L498),"")))</f>
        <v/>
      </c>
      <c r="H498" s="3">
        <f>IF($L498="","",IF(INDEX(tblRegistros[Data],$L498)&gt;$D$4,"",IFERROR(INDEX(tblRegistros[Taxa aplicada],$L498),"")))</f>
        <v/>
      </c>
      <c r="I498" s="3">
        <f>IF($L498="","",IF(INDEX(tblRegistros[Data],$L498)&gt;$D$4,"",IFERROR(IF(INDEX(tblRegistros[Status],$L498)="EM ABERTO","",INDEX(tblRegistros[Valor],$L498)),"")))</f>
        <v/>
      </c>
      <c r="J498">
        <f>IF($L498="","",IF(INDEX(tblRegistros[Data],$L498)&gt;$D$4,"",IFERROR(INDEX(tblRegistros[Status],$L498),"")))</f>
        <v/>
      </c>
      <c r="K498">
        <f>IF($L498="","",IF(INDEX(tblRegistros[Data],$L498)&gt;$D$4,"",IFERROR(INDEX(tblRegistros[Observação],$L498),"")))</f>
        <v/>
      </c>
      <c r="L498" s="16">
        <f>IFERROR(MATCH($B$3*100000+COUNTIFS(tblRegistros[ID],$B$3,tblRegistros[Data],"&lt;"&amp;$B$4)+ROWS($L$10:L498),tblRegistros[Chave do cartão],0),"")</f>
        <v/>
      </c>
    </row>
    <row r="499">
      <c r="A499" s="2">
        <f>IF($L499="","",IF(INDEX(tblRegistros[Data],$L499)&gt;$D$4,"",IFERROR(INDEX(tblRegistros[Data],$L499),"")))</f>
        <v/>
      </c>
      <c r="B499">
        <f>IF($L499="","",IF(INDEX(tblRegistros[Data],$L499)&gt;$D$4,"",IFERROR(INDEX(tblRegistros[Projeto],$L499),"")))</f>
        <v/>
      </c>
      <c r="C499">
        <f>IF($L499="","",IF(INDEX(tblRegistros[Data],$L499)&gt;$D$4,"",IFERROR(INDEX(tblRegistros[Atividade],$L499),"")))</f>
        <v/>
      </c>
      <c r="D499" s="4">
        <f>IF($L499="","",IF(INDEX(tblRegistros[Data],$L499)&gt;$D$4,"",IFERROR(INDEX(tblRegistros[Início],$L499),"")))</f>
        <v/>
      </c>
      <c r="E499" s="4">
        <f>IF($L499="","",IF(INDEX(tblRegistros[Data],$L499)&gt;$D$4,"",IFERROR(IF(INDEX(tblRegistros[Status],$L499)="EM ABERTO","",INDEX(tblRegistros[Fim],$L499)),"")))</f>
        <v/>
      </c>
      <c r="F499">
        <f>IF($L499="","",IF(INDEX(tblRegistros[Data],$L499)&gt;$D$4,"",IFERROR(IF(INDEX(tblRegistros[Status],$L499)="EM ABERTO","",INDEX(tblRegistros[Horas],$L499)),"")))</f>
        <v/>
      </c>
      <c r="G499">
        <f>IF($L499="","",IF(INDEX(tblRegistros[Data],$L499)&gt;$D$4,"",IFERROR(INDEX(tblRegistros[Base],$L499),"")))</f>
        <v/>
      </c>
      <c r="H499" s="3">
        <f>IF($L499="","",IF(INDEX(tblRegistros[Data],$L499)&gt;$D$4,"",IFERROR(INDEX(tblRegistros[Taxa aplicada],$L499),"")))</f>
        <v/>
      </c>
      <c r="I499" s="3">
        <f>IF($L499="","",IF(INDEX(tblRegistros[Data],$L499)&gt;$D$4,"",IFERROR(IF(INDEX(tblRegistros[Status],$L499)="EM ABERTO","",INDEX(tblRegistros[Valor],$L499)),"")))</f>
        <v/>
      </c>
      <c r="J499">
        <f>IF($L499="","",IF(INDEX(tblRegistros[Data],$L499)&gt;$D$4,"",IFERROR(INDEX(tblRegistros[Status],$L499),"")))</f>
        <v/>
      </c>
      <c r="K499">
        <f>IF($L499="","",IF(INDEX(tblRegistros[Data],$L499)&gt;$D$4,"",IFERROR(INDEX(tblRegistros[Observação],$L499),"")))</f>
        <v/>
      </c>
      <c r="L499" s="16">
        <f>IFERROR(MATCH($B$3*100000+COUNTIFS(tblRegistros[ID],$B$3,tblRegistros[Data],"&lt;"&amp;$B$4)+ROWS($L$10:L499),tblRegistros[Chave do cartão],0),"")</f>
        <v/>
      </c>
    </row>
    <row r="500">
      <c r="A500" s="2">
        <f>IF($L500="","",IF(INDEX(tblRegistros[Data],$L500)&gt;$D$4,"",IFERROR(INDEX(tblRegistros[Data],$L500),"")))</f>
        <v/>
      </c>
      <c r="B500">
        <f>IF($L500="","",IF(INDEX(tblRegistros[Data],$L500)&gt;$D$4,"",IFERROR(INDEX(tblRegistros[Projeto],$L500),"")))</f>
        <v/>
      </c>
      <c r="C500">
        <f>IF($L500="","",IF(INDEX(tblRegistros[Data],$L500)&gt;$D$4,"",IFERROR(INDEX(tblRegistros[Atividade],$L500),"")))</f>
        <v/>
      </c>
      <c r="D500" s="4">
        <f>IF($L500="","",IF(INDEX(tblRegistros[Data],$L500)&gt;$D$4,"",IFERROR(INDEX(tblRegistros[Início],$L500),"")))</f>
        <v/>
      </c>
      <c r="E500" s="4">
        <f>IF($L500="","",IF(INDEX(tblRegistros[Data],$L500)&gt;$D$4,"",IFERROR(IF(INDEX(tblRegistros[Status],$L500)="EM ABERTO","",INDEX(tblRegistros[Fim],$L500)),"")))</f>
        <v/>
      </c>
      <c r="F500">
        <f>IF($L500="","",IF(INDEX(tblRegistros[Data],$L500)&gt;$D$4,"",IFERROR(IF(INDEX(tblRegistros[Status],$L500)="EM ABERTO","",INDEX(tblRegistros[Horas],$L500)),"")))</f>
        <v/>
      </c>
      <c r="G500">
        <f>IF($L500="","",IF(INDEX(tblRegistros[Data],$L500)&gt;$D$4,"",IFERROR(INDEX(tblRegistros[Base],$L500),"")))</f>
        <v/>
      </c>
      <c r="H500" s="3">
        <f>IF($L500="","",IF(INDEX(tblRegistros[Data],$L500)&gt;$D$4,"",IFERROR(INDEX(tblRegistros[Taxa aplicada],$L500),"")))</f>
        <v/>
      </c>
      <c r="I500" s="3">
        <f>IF($L500="","",IF(INDEX(tblRegistros[Data],$L500)&gt;$D$4,"",IFERROR(IF(INDEX(tblRegistros[Status],$L500)="EM ABERTO","",INDEX(tblRegistros[Valor],$L500)),"")))</f>
        <v/>
      </c>
      <c r="J500">
        <f>IF($L500="","",IF(INDEX(tblRegistros[Data],$L500)&gt;$D$4,"",IFERROR(INDEX(tblRegistros[Status],$L500),"")))</f>
        <v/>
      </c>
      <c r="K500">
        <f>IF($L500="","",IF(INDEX(tblRegistros[Data],$L500)&gt;$D$4,"",IFERROR(INDEX(tblRegistros[Observação],$L500),"")))</f>
        <v/>
      </c>
      <c r="L500" s="16">
        <f>IFERROR(MATCH($B$3*100000+COUNTIFS(tblRegistros[ID],$B$3,tblRegistros[Data],"&lt;"&amp;$B$4)+ROWS($L$10:L500),tblRegistros[Chave do cartão],0),"")</f>
        <v/>
      </c>
    </row>
    <row r="501">
      <c r="A501" s="2">
        <f>IF($L501="","",IF(INDEX(tblRegistros[Data],$L501)&gt;$D$4,"",IFERROR(INDEX(tblRegistros[Data],$L501),"")))</f>
        <v/>
      </c>
      <c r="B501">
        <f>IF($L501="","",IF(INDEX(tblRegistros[Data],$L501)&gt;$D$4,"",IFERROR(INDEX(tblRegistros[Projeto],$L501),"")))</f>
        <v/>
      </c>
      <c r="C501">
        <f>IF($L501="","",IF(INDEX(tblRegistros[Data],$L501)&gt;$D$4,"",IFERROR(INDEX(tblRegistros[Atividade],$L501),"")))</f>
        <v/>
      </c>
      <c r="D501" s="4">
        <f>IF($L501="","",IF(INDEX(tblRegistros[Data],$L501)&gt;$D$4,"",IFERROR(INDEX(tblRegistros[Início],$L501),"")))</f>
        <v/>
      </c>
      <c r="E501" s="4">
        <f>IF($L501="","",IF(INDEX(tblRegistros[Data],$L501)&gt;$D$4,"",IFERROR(IF(INDEX(tblRegistros[Status],$L501)="EM ABERTO","",INDEX(tblRegistros[Fim],$L501)),"")))</f>
        <v/>
      </c>
      <c r="F501">
        <f>IF($L501="","",IF(INDEX(tblRegistros[Data],$L501)&gt;$D$4,"",IFERROR(IF(INDEX(tblRegistros[Status],$L501)="EM ABERTO","",INDEX(tblRegistros[Horas],$L501)),"")))</f>
        <v/>
      </c>
      <c r="G501">
        <f>IF($L501="","",IF(INDEX(tblRegistros[Data],$L501)&gt;$D$4,"",IFERROR(INDEX(tblRegistros[Base],$L501),"")))</f>
        <v/>
      </c>
      <c r="H501" s="3">
        <f>IF($L501="","",IF(INDEX(tblRegistros[Data],$L501)&gt;$D$4,"",IFERROR(INDEX(tblRegistros[Taxa aplicada],$L501),"")))</f>
        <v/>
      </c>
      <c r="I501" s="3">
        <f>IF($L501="","",IF(INDEX(tblRegistros[Data],$L501)&gt;$D$4,"",IFERROR(IF(INDEX(tblRegistros[Status],$L501)="EM ABERTO","",INDEX(tblRegistros[Valor],$L501)),"")))</f>
        <v/>
      </c>
      <c r="J501">
        <f>IF($L501="","",IF(INDEX(tblRegistros[Data],$L501)&gt;$D$4,"",IFERROR(INDEX(tblRegistros[Status],$L501),"")))</f>
        <v/>
      </c>
      <c r="K501">
        <f>IF($L501="","",IF(INDEX(tblRegistros[Data],$L501)&gt;$D$4,"",IFERROR(INDEX(tblRegistros[Observação],$L501),"")))</f>
        <v/>
      </c>
      <c r="L501" s="16">
        <f>IFERROR(MATCH($B$3*100000+COUNTIFS(tblRegistros[ID],$B$3,tblRegistros[Data],"&lt;"&amp;$B$4)+ROWS($L$10:L501),tblRegistros[Chave do cartão],0),"")</f>
        <v/>
      </c>
    </row>
    <row r="502">
      <c r="A502" s="2">
        <f>IF($L502="","",IF(INDEX(tblRegistros[Data],$L502)&gt;$D$4,"",IFERROR(INDEX(tblRegistros[Data],$L502),"")))</f>
        <v/>
      </c>
      <c r="B502">
        <f>IF($L502="","",IF(INDEX(tblRegistros[Data],$L502)&gt;$D$4,"",IFERROR(INDEX(tblRegistros[Projeto],$L502),"")))</f>
        <v/>
      </c>
      <c r="C502">
        <f>IF($L502="","",IF(INDEX(tblRegistros[Data],$L502)&gt;$D$4,"",IFERROR(INDEX(tblRegistros[Atividade],$L502),"")))</f>
        <v/>
      </c>
      <c r="D502" s="4">
        <f>IF($L502="","",IF(INDEX(tblRegistros[Data],$L502)&gt;$D$4,"",IFERROR(INDEX(tblRegistros[Início],$L502),"")))</f>
        <v/>
      </c>
      <c r="E502" s="4">
        <f>IF($L502="","",IF(INDEX(tblRegistros[Data],$L502)&gt;$D$4,"",IFERROR(IF(INDEX(tblRegistros[Status],$L502)="EM ABERTO","",INDEX(tblRegistros[Fim],$L502)),"")))</f>
        <v/>
      </c>
      <c r="F502">
        <f>IF($L502="","",IF(INDEX(tblRegistros[Data],$L502)&gt;$D$4,"",IFERROR(IF(INDEX(tblRegistros[Status],$L502)="EM ABERTO","",INDEX(tblRegistros[Horas],$L502)),"")))</f>
        <v/>
      </c>
      <c r="G502">
        <f>IF($L502="","",IF(INDEX(tblRegistros[Data],$L502)&gt;$D$4,"",IFERROR(INDEX(tblRegistros[Base],$L502),"")))</f>
        <v/>
      </c>
      <c r="H502" s="3">
        <f>IF($L502="","",IF(INDEX(tblRegistros[Data],$L502)&gt;$D$4,"",IFERROR(INDEX(tblRegistros[Taxa aplicada],$L502),"")))</f>
        <v/>
      </c>
      <c r="I502" s="3">
        <f>IF($L502="","",IF(INDEX(tblRegistros[Data],$L502)&gt;$D$4,"",IFERROR(IF(INDEX(tblRegistros[Status],$L502)="EM ABERTO","",INDEX(tblRegistros[Valor],$L502)),"")))</f>
        <v/>
      </c>
      <c r="J502">
        <f>IF($L502="","",IF(INDEX(tblRegistros[Data],$L502)&gt;$D$4,"",IFERROR(INDEX(tblRegistros[Status],$L502),"")))</f>
        <v/>
      </c>
      <c r="K502">
        <f>IF($L502="","",IF(INDEX(tblRegistros[Data],$L502)&gt;$D$4,"",IFERROR(INDEX(tblRegistros[Observação],$L502),"")))</f>
        <v/>
      </c>
      <c r="L502" s="16">
        <f>IFERROR(MATCH($B$3*100000+COUNTIFS(tblRegistros[ID],$B$3,tblRegistros[Data],"&lt;"&amp;$B$4)+ROWS($L$10:L502),tblRegistros[Chave do cartão],0),"")</f>
        <v/>
      </c>
    </row>
    <row r="503">
      <c r="A503" s="2">
        <f>IF($L503="","",IF(INDEX(tblRegistros[Data],$L503)&gt;$D$4,"",IFERROR(INDEX(tblRegistros[Data],$L503),"")))</f>
        <v/>
      </c>
      <c r="B503">
        <f>IF($L503="","",IF(INDEX(tblRegistros[Data],$L503)&gt;$D$4,"",IFERROR(INDEX(tblRegistros[Projeto],$L503),"")))</f>
        <v/>
      </c>
      <c r="C503">
        <f>IF($L503="","",IF(INDEX(tblRegistros[Data],$L503)&gt;$D$4,"",IFERROR(INDEX(tblRegistros[Atividade],$L503),"")))</f>
        <v/>
      </c>
      <c r="D503" s="4">
        <f>IF($L503="","",IF(INDEX(tblRegistros[Data],$L503)&gt;$D$4,"",IFERROR(INDEX(tblRegistros[Início],$L503),"")))</f>
        <v/>
      </c>
      <c r="E503" s="4">
        <f>IF($L503="","",IF(INDEX(tblRegistros[Data],$L503)&gt;$D$4,"",IFERROR(IF(INDEX(tblRegistros[Status],$L503)="EM ABERTO","",INDEX(tblRegistros[Fim],$L503)),"")))</f>
        <v/>
      </c>
      <c r="F503">
        <f>IF($L503="","",IF(INDEX(tblRegistros[Data],$L503)&gt;$D$4,"",IFERROR(IF(INDEX(tblRegistros[Status],$L503)="EM ABERTO","",INDEX(tblRegistros[Horas],$L503)),"")))</f>
        <v/>
      </c>
      <c r="G503">
        <f>IF($L503="","",IF(INDEX(tblRegistros[Data],$L503)&gt;$D$4,"",IFERROR(INDEX(tblRegistros[Base],$L503),"")))</f>
        <v/>
      </c>
      <c r="H503" s="3">
        <f>IF($L503="","",IF(INDEX(tblRegistros[Data],$L503)&gt;$D$4,"",IFERROR(INDEX(tblRegistros[Taxa aplicada],$L503),"")))</f>
        <v/>
      </c>
      <c r="I503" s="3">
        <f>IF($L503="","",IF(INDEX(tblRegistros[Data],$L503)&gt;$D$4,"",IFERROR(IF(INDEX(tblRegistros[Status],$L503)="EM ABERTO","",INDEX(tblRegistros[Valor],$L503)),"")))</f>
        <v/>
      </c>
      <c r="J503">
        <f>IF($L503="","",IF(INDEX(tblRegistros[Data],$L503)&gt;$D$4,"",IFERROR(INDEX(tblRegistros[Status],$L503),"")))</f>
        <v/>
      </c>
      <c r="K503">
        <f>IF($L503="","",IF(INDEX(tblRegistros[Data],$L503)&gt;$D$4,"",IFERROR(INDEX(tblRegistros[Observação],$L503),"")))</f>
        <v/>
      </c>
      <c r="L503" s="16">
        <f>IFERROR(MATCH($B$3*100000+COUNTIFS(tblRegistros[ID],$B$3,tblRegistros[Data],"&lt;"&amp;$B$4)+ROWS($L$10:L503),tblRegistros[Chave do cartão],0),"")</f>
        <v/>
      </c>
    </row>
    <row r="504">
      <c r="A504" s="2">
        <f>IF($L504="","",IF(INDEX(tblRegistros[Data],$L504)&gt;$D$4,"",IFERROR(INDEX(tblRegistros[Data],$L504),"")))</f>
        <v/>
      </c>
      <c r="B504">
        <f>IF($L504="","",IF(INDEX(tblRegistros[Data],$L504)&gt;$D$4,"",IFERROR(INDEX(tblRegistros[Projeto],$L504),"")))</f>
        <v/>
      </c>
      <c r="C504">
        <f>IF($L504="","",IF(INDEX(tblRegistros[Data],$L504)&gt;$D$4,"",IFERROR(INDEX(tblRegistros[Atividade],$L504),"")))</f>
        <v/>
      </c>
      <c r="D504" s="4">
        <f>IF($L504="","",IF(INDEX(tblRegistros[Data],$L504)&gt;$D$4,"",IFERROR(INDEX(tblRegistros[Início],$L504),"")))</f>
        <v/>
      </c>
      <c r="E504" s="4">
        <f>IF($L504="","",IF(INDEX(tblRegistros[Data],$L504)&gt;$D$4,"",IFERROR(IF(INDEX(tblRegistros[Status],$L504)="EM ABERTO","",INDEX(tblRegistros[Fim],$L504)),"")))</f>
        <v/>
      </c>
      <c r="F504">
        <f>IF($L504="","",IF(INDEX(tblRegistros[Data],$L504)&gt;$D$4,"",IFERROR(IF(INDEX(tblRegistros[Status],$L504)="EM ABERTO","",INDEX(tblRegistros[Horas],$L504)),"")))</f>
        <v/>
      </c>
      <c r="G504">
        <f>IF($L504="","",IF(INDEX(tblRegistros[Data],$L504)&gt;$D$4,"",IFERROR(INDEX(tblRegistros[Base],$L504),"")))</f>
        <v/>
      </c>
      <c r="H504" s="3">
        <f>IF($L504="","",IF(INDEX(tblRegistros[Data],$L504)&gt;$D$4,"",IFERROR(INDEX(tblRegistros[Taxa aplicada],$L504),"")))</f>
        <v/>
      </c>
      <c r="I504" s="3">
        <f>IF($L504="","",IF(INDEX(tblRegistros[Data],$L504)&gt;$D$4,"",IFERROR(IF(INDEX(tblRegistros[Status],$L504)="EM ABERTO","",INDEX(tblRegistros[Valor],$L504)),"")))</f>
        <v/>
      </c>
      <c r="J504">
        <f>IF($L504="","",IF(INDEX(tblRegistros[Data],$L504)&gt;$D$4,"",IFERROR(INDEX(tblRegistros[Status],$L504),"")))</f>
        <v/>
      </c>
      <c r="K504">
        <f>IF($L504="","",IF(INDEX(tblRegistros[Data],$L504)&gt;$D$4,"",IFERROR(INDEX(tblRegistros[Observação],$L504),"")))</f>
        <v/>
      </c>
      <c r="L504" s="16">
        <f>IFERROR(MATCH($B$3*100000+COUNTIFS(tblRegistros[ID],$B$3,tblRegistros[Data],"&lt;"&amp;$B$4)+ROWS($L$10:L504),tblRegistros[Chave do cartão],0),"")</f>
        <v/>
      </c>
    </row>
    <row r="505">
      <c r="A505" s="2">
        <f>IF($L505="","",IF(INDEX(tblRegistros[Data],$L505)&gt;$D$4,"",IFERROR(INDEX(tblRegistros[Data],$L505),"")))</f>
        <v/>
      </c>
      <c r="B505">
        <f>IF($L505="","",IF(INDEX(tblRegistros[Data],$L505)&gt;$D$4,"",IFERROR(INDEX(tblRegistros[Projeto],$L505),"")))</f>
        <v/>
      </c>
      <c r="C505">
        <f>IF($L505="","",IF(INDEX(tblRegistros[Data],$L505)&gt;$D$4,"",IFERROR(INDEX(tblRegistros[Atividade],$L505),"")))</f>
        <v/>
      </c>
      <c r="D505" s="4">
        <f>IF($L505="","",IF(INDEX(tblRegistros[Data],$L505)&gt;$D$4,"",IFERROR(INDEX(tblRegistros[Início],$L505),"")))</f>
        <v/>
      </c>
      <c r="E505" s="4">
        <f>IF($L505="","",IF(INDEX(tblRegistros[Data],$L505)&gt;$D$4,"",IFERROR(IF(INDEX(tblRegistros[Status],$L505)="EM ABERTO","",INDEX(tblRegistros[Fim],$L505)),"")))</f>
        <v/>
      </c>
      <c r="F505">
        <f>IF($L505="","",IF(INDEX(tblRegistros[Data],$L505)&gt;$D$4,"",IFERROR(IF(INDEX(tblRegistros[Status],$L505)="EM ABERTO","",INDEX(tblRegistros[Horas],$L505)),"")))</f>
        <v/>
      </c>
      <c r="G505">
        <f>IF($L505="","",IF(INDEX(tblRegistros[Data],$L505)&gt;$D$4,"",IFERROR(INDEX(tblRegistros[Base],$L505),"")))</f>
        <v/>
      </c>
      <c r="H505" s="3">
        <f>IF($L505="","",IF(INDEX(tblRegistros[Data],$L505)&gt;$D$4,"",IFERROR(INDEX(tblRegistros[Taxa aplicada],$L505),"")))</f>
        <v/>
      </c>
      <c r="I505" s="3">
        <f>IF($L505="","",IF(INDEX(tblRegistros[Data],$L505)&gt;$D$4,"",IFERROR(IF(INDEX(tblRegistros[Status],$L505)="EM ABERTO","",INDEX(tblRegistros[Valor],$L505)),"")))</f>
        <v/>
      </c>
      <c r="J505">
        <f>IF($L505="","",IF(INDEX(tblRegistros[Data],$L505)&gt;$D$4,"",IFERROR(INDEX(tblRegistros[Status],$L505),"")))</f>
        <v/>
      </c>
      <c r="K505">
        <f>IF($L505="","",IF(INDEX(tblRegistros[Data],$L505)&gt;$D$4,"",IFERROR(INDEX(tblRegistros[Observação],$L505),"")))</f>
        <v/>
      </c>
      <c r="L505" s="16">
        <f>IFERROR(MATCH($B$3*100000+COUNTIFS(tblRegistros[ID],$B$3,tblRegistros[Data],"&lt;"&amp;$B$4)+ROWS($L$10:L505),tblRegistros[Chave do cartão],0),"")</f>
        <v/>
      </c>
    </row>
    <row r="506">
      <c r="A506" s="2">
        <f>IF($L506="","",IF(INDEX(tblRegistros[Data],$L506)&gt;$D$4,"",IFERROR(INDEX(tblRegistros[Data],$L506),"")))</f>
        <v/>
      </c>
      <c r="B506">
        <f>IF($L506="","",IF(INDEX(tblRegistros[Data],$L506)&gt;$D$4,"",IFERROR(INDEX(tblRegistros[Projeto],$L506),"")))</f>
        <v/>
      </c>
      <c r="C506">
        <f>IF($L506="","",IF(INDEX(tblRegistros[Data],$L506)&gt;$D$4,"",IFERROR(INDEX(tblRegistros[Atividade],$L506),"")))</f>
        <v/>
      </c>
      <c r="D506" s="4">
        <f>IF($L506="","",IF(INDEX(tblRegistros[Data],$L506)&gt;$D$4,"",IFERROR(INDEX(tblRegistros[Início],$L506),"")))</f>
        <v/>
      </c>
      <c r="E506" s="4">
        <f>IF($L506="","",IF(INDEX(tblRegistros[Data],$L506)&gt;$D$4,"",IFERROR(IF(INDEX(tblRegistros[Status],$L506)="EM ABERTO","",INDEX(tblRegistros[Fim],$L506)),"")))</f>
        <v/>
      </c>
      <c r="F506">
        <f>IF($L506="","",IF(INDEX(tblRegistros[Data],$L506)&gt;$D$4,"",IFERROR(IF(INDEX(tblRegistros[Status],$L506)="EM ABERTO","",INDEX(tblRegistros[Horas],$L506)),"")))</f>
        <v/>
      </c>
      <c r="G506">
        <f>IF($L506="","",IF(INDEX(tblRegistros[Data],$L506)&gt;$D$4,"",IFERROR(INDEX(tblRegistros[Base],$L506),"")))</f>
        <v/>
      </c>
      <c r="H506" s="3">
        <f>IF($L506="","",IF(INDEX(tblRegistros[Data],$L506)&gt;$D$4,"",IFERROR(INDEX(tblRegistros[Taxa aplicada],$L506),"")))</f>
        <v/>
      </c>
      <c r="I506" s="3">
        <f>IF($L506="","",IF(INDEX(tblRegistros[Data],$L506)&gt;$D$4,"",IFERROR(IF(INDEX(tblRegistros[Status],$L506)="EM ABERTO","",INDEX(tblRegistros[Valor],$L506)),"")))</f>
        <v/>
      </c>
      <c r="J506">
        <f>IF($L506="","",IF(INDEX(tblRegistros[Data],$L506)&gt;$D$4,"",IFERROR(INDEX(tblRegistros[Status],$L506),"")))</f>
        <v/>
      </c>
      <c r="K506">
        <f>IF($L506="","",IF(INDEX(tblRegistros[Data],$L506)&gt;$D$4,"",IFERROR(INDEX(tblRegistros[Observação],$L506),"")))</f>
        <v/>
      </c>
      <c r="L506" s="16">
        <f>IFERROR(MATCH($B$3*100000+COUNTIFS(tblRegistros[ID],$B$3,tblRegistros[Data],"&lt;"&amp;$B$4)+ROWS($L$10:L506),tblRegistros[Chave do cartão],0),"")</f>
        <v/>
      </c>
    </row>
    <row r="507">
      <c r="A507" s="2">
        <f>IF($L507="","",IF(INDEX(tblRegistros[Data],$L507)&gt;$D$4,"",IFERROR(INDEX(tblRegistros[Data],$L507),"")))</f>
        <v/>
      </c>
      <c r="B507">
        <f>IF($L507="","",IF(INDEX(tblRegistros[Data],$L507)&gt;$D$4,"",IFERROR(INDEX(tblRegistros[Projeto],$L507),"")))</f>
        <v/>
      </c>
      <c r="C507">
        <f>IF($L507="","",IF(INDEX(tblRegistros[Data],$L507)&gt;$D$4,"",IFERROR(INDEX(tblRegistros[Atividade],$L507),"")))</f>
        <v/>
      </c>
      <c r="D507" s="4">
        <f>IF($L507="","",IF(INDEX(tblRegistros[Data],$L507)&gt;$D$4,"",IFERROR(INDEX(tblRegistros[Início],$L507),"")))</f>
        <v/>
      </c>
      <c r="E507" s="4">
        <f>IF($L507="","",IF(INDEX(tblRegistros[Data],$L507)&gt;$D$4,"",IFERROR(IF(INDEX(tblRegistros[Status],$L507)="EM ABERTO","",INDEX(tblRegistros[Fim],$L507)),"")))</f>
        <v/>
      </c>
      <c r="F507">
        <f>IF($L507="","",IF(INDEX(tblRegistros[Data],$L507)&gt;$D$4,"",IFERROR(IF(INDEX(tblRegistros[Status],$L507)="EM ABERTO","",INDEX(tblRegistros[Horas],$L507)),"")))</f>
        <v/>
      </c>
      <c r="G507">
        <f>IF($L507="","",IF(INDEX(tblRegistros[Data],$L507)&gt;$D$4,"",IFERROR(INDEX(tblRegistros[Base],$L507),"")))</f>
        <v/>
      </c>
      <c r="H507" s="3">
        <f>IF($L507="","",IF(INDEX(tblRegistros[Data],$L507)&gt;$D$4,"",IFERROR(INDEX(tblRegistros[Taxa aplicada],$L507),"")))</f>
        <v/>
      </c>
      <c r="I507" s="3">
        <f>IF($L507="","",IF(INDEX(tblRegistros[Data],$L507)&gt;$D$4,"",IFERROR(IF(INDEX(tblRegistros[Status],$L507)="EM ABERTO","",INDEX(tblRegistros[Valor],$L507)),"")))</f>
        <v/>
      </c>
      <c r="J507">
        <f>IF($L507="","",IF(INDEX(tblRegistros[Data],$L507)&gt;$D$4,"",IFERROR(INDEX(tblRegistros[Status],$L507),"")))</f>
        <v/>
      </c>
      <c r="K507">
        <f>IF($L507="","",IF(INDEX(tblRegistros[Data],$L507)&gt;$D$4,"",IFERROR(INDEX(tblRegistros[Observação],$L507),"")))</f>
        <v/>
      </c>
      <c r="L507" s="16">
        <f>IFERROR(MATCH($B$3*100000+COUNTIFS(tblRegistros[ID],$B$3,tblRegistros[Data],"&lt;"&amp;$B$4)+ROWS($L$10:L507),tblRegistros[Chave do cartão],0),"")</f>
        <v/>
      </c>
    </row>
    <row r="508">
      <c r="A508" s="2">
        <f>IF($L508="","",IF(INDEX(tblRegistros[Data],$L508)&gt;$D$4,"",IFERROR(INDEX(tblRegistros[Data],$L508),"")))</f>
        <v/>
      </c>
      <c r="B508">
        <f>IF($L508="","",IF(INDEX(tblRegistros[Data],$L508)&gt;$D$4,"",IFERROR(INDEX(tblRegistros[Projeto],$L508),"")))</f>
        <v/>
      </c>
      <c r="C508">
        <f>IF($L508="","",IF(INDEX(tblRegistros[Data],$L508)&gt;$D$4,"",IFERROR(INDEX(tblRegistros[Atividade],$L508),"")))</f>
        <v/>
      </c>
      <c r="D508" s="4">
        <f>IF($L508="","",IF(INDEX(tblRegistros[Data],$L508)&gt;$D$4,"",IFERROR(INDEX(tblRegistros[Início],$L508),"")))</f>
        <v/>
      </c>
      <c r="E508" s="4">
        <f>IF($L508="","",IF(INDEX(tblRegistros[Data],$L508)&gt;$D$4,"",IFERROR(IF(INDEX(tblRegistros[Status],$L508)="EM ABERTO","",INDEX(tblRegistros[Fim],$L508)),"")))</f>
        <v/>
      </c>
      <c r="F508">
        <f>IF($L508="","",IF(INDEX(tblRegistros[Data],$L508)&gt;$D$4,"",IFERROR(IF(INDEX(tblRegistros[Status],$L508)="EM ABERTO","",INDEX(tblRegistros[Horas],$L508)),"")))</f>
        <v/>
      </c>
      <c r="G508">
        <f>IF($L508="","",IF(INDEX(tblRegistros[Data],$L508)&gt;$D$4,"",IFERROR(INDEX(tblRegistros[Base],$L508),"")))</f>
        <v/>
      </c>
      <c r="H508" s="3">
        <f>IF($L508="","",IF(INDEX(tblRegistros[Data],$L508)&gt;$D$4,"",IFERROR(INDEX(tblRegistros[Taxa aplicada],$L508),"")))</f>
        <v/>
      </c>
      <c r="I508" s="3">
        <f>IF($L508="","",IF(INDEX(tblRegistros[Data],$L508)&gt;$D$4,"",IFERROR(IF(INDEX(tblRegistros[Status],$L508)="EM ABERTO","",INDEX(tblRegistros[Valor],$L508)),"")))</f>
        <v/>
      </c>
      <c r="J508">
        <f>IF($L508="","",IF(INDEX(tblRegistros[Data],$L508)&gt;$D$4,"",IFERROR(INDEX(tblRegistros[Status],$L508),"")))</f>
        <v/>
      </c>
      <c r="K508">
        <f>IF($L508="","",IF(INDEX(tblRegistros[Data],$L508)&gt;$D$4,"",IFERROR(INDEX(tblRegistros[Observação],$L508),"")))</f>
        <v/>
      </c>
      <c r="L508" s="16">
        <f>IFERROR(MATCH($B$3*100000+COUNTIFS(tblRegistros[ID],$B$3,tblRegistros[Data],"&lt;"&amp;$B$4)+ROWS($L$10:L508),tblRegistros[Chave do cartão],0),"")</f>
        <v/>
      </c>
    </row>
    <row r="509">
      <c r="A509" s="2">
        <f>IF($L509="","",IF(INDEX(tblRegistros[Data],$L509)&gt;$D$4,"",IFERROR(INDEX(tblRegistros[Data],$L509),"")))</f>
        <v/>
      </c>
      <c r="B509">
        <f>IF($L509="","",IF(INDEX(tblRegistros[Data],$L509)&gt;$D$4,"",IFERROR(INDEX(tblRegistros[Projeto],$L509),"")))</f>
        <v/>
      </c>
      <c r="C509">
        <f>IF($L509="","",IF(INDEX(tblRegistros[Data],$L509)&gt;$D$4,"",IFERROR(INDEX(tblRegistros[Atividade],$L509),"")))</f>
        <v/>
      </c>
      <c r="D509" s="4">
        <f>IF($L509="","",IF(INDEX(tblRegistros[Data],$L509)&gt;$D$4,"",IFERROR(INDEX(tblRegistros[Início],$L509),"")))</f>
        <v/>
      </c>
      <c r="E509" s="4">
        <f>IF($L509="","",IF(INDEX(tblRegistros[Data],$L509)&gt;$D$4,"",IFERROR(IF(INDEX(tblRegistros[Status],$L509)="EM ABERTO","",INDEX(tblRegistros[Fim],$L509)),"")))</f>
        <v/>
      </c>
      <c r="F509">
        <f>IF($L509="","",IF(INDEX(tblRegistros[Data],$L509)&gt;$D$4,"",IFERROR(IF(INDEX(tblRegistros[Status],$L509)="EM ABERTO","",INDEX(tblRegistros[Horas],$L509)),"")))</f>
        <v/>
      </c>
      <c r="G509">
        <f>IF($L509="","",IF(INDEX(tblRegistros[Data],$L509)&gt;$D$4,"",IFERROR(INDEX(tblRegistros[Base],$L509),"")))</f>
        <v/>
      </c>
      <c r="H509" s="3">
        <f>IF($L509="","",IF(INDEX(tblRegistros[Data],$L509)&gt;$D$4,"",IFERROR(INDEX(tblRegistros[Taxa aplicada],$L509),"")))</f>
        <v/>
      </c>
      <c r="I509" s="3">
        <f>IF($L509="","",IF(INDEX(tblRegistros[Data],$L509)&gt;$D$4,"",IFERROR(IF(INDEX(tblRegistros[Status],$L509)="EM ABERTO","",INDEX(tblRegistros[Valor],$L509)),"")))</f>
        <v/>
      </c>
      <c r="J509">
        <f>IF($L509="","",IF(INDEX(tblRegistros[Data],$L509)&gt;$D$4,"",IFERROR(INDEX(tblRegistros[Status],$L509),"")))</f>
        <v/>
      </c>
      <c r="K509">
        <f>IF($L509="","",IF(INDEX(tblRegistros[Data],$L509)&gt;$D$4,"",IFERROR(INDEX(tblRegistros[Observação],$L509),"")))</f>
        <v/>
      </c>
      <c r="L509" s="16">
        <f>IFERROR(MATCH($B$3*100000+COUNTIFS(tblRegistros[ID],$B$3,tblRegistros[Data],"&lt;"&amp;$B$4)+ROWS($L$10:L509),tblRegistros[Chave do cartão],0),"")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7324D"/>
    <outlinePr summaryBelow="1" summaryRight="1"/>
    <pageSetUpPr/>
  </sheetPr>
  <dimension ref="A1:N106"/>
  <sheetViews>
    <sheetView showGridLines="0" workbookViewId="0">
      <selection activeCell="A1" sqref="A1"/>
    </sheetView>
  </sheetViews>
  <sheetFormatPr baseColWidth="8" defaultRowHeight="14.25"/>
  <cols>
    <col width="8" customWidth="1" min="1" max="1"/>
    <col width="32.25" customWidth="1" min="2" max="2"/>
    <col width="10" customWidth="1" min="3" max="3"/>
    <col width="11.125" customWidth="1" min="4" max="6"/>
    <col width="13.125" customWidth="1" min="7" max="7"/>
    <col width="11.625" customWidth="1" min="8" max="10"/>
    <col width="13.875" customWidth="1" min="11" max="11"/>
    <col width="11.625" customWidth="1" min="12" max="12"/>
    <col width="15" customWidth="1" min="13" max="13"/>
    <col width="11.625" customWidth="1" min="14" max="14"/>
  </cols>
  <sheetData>
    <row r="1" ht="24" customHeight="1">
      <c r="A1" s="17" t="inlineStr">
        <is>
          <t>RESUMO DE PAGAMENTOS POR PERÍODO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</row>
    <row r="2" ht="19.5" customHeight="1">
      <c r="A2" s="7" t="inlineStr">
        <is>
          <t>Informe o primeiro e o último dia para recalcular horas e pagamentos.</t>
        </is>
      </c>
    </row>
    <row r="4" ht="22.5" customHeight="1">
      <c r="A4" s="8" t="inlineStr">
        <is>
          <t>Data inicial</t>
        </is>
      </c>
      <c r="B4" s="11" t="n">
        <v>46266</v>
      </c>
      <c r="C4" s="8" t="inlineStr">
        <is>
          <t>Data final</t>
        </is>
      </c>
      <c r="D4" s="11" t="n">
        <v>46295</v>
      </c>
    </row>
    <row r="5" ht="15" customHeight="1">
      <c r="A5" s="18" t="inlineStr">
        <is>
          <t>TOTAL DO PERÍODO</t>
        </is>
      </c>
      <c r="B5" s="18" t="n"/>
      <c r="C5" s="18" t="n"/>
      <c r="D5" s="18" t="n"/>
      <c r="E5" s="18" t="n"/>
      <c r="F5" s="20">
        <f>SUM(F7:F106)</f>
        <v/>
      </c>
      <c r="G5" s="18" t="n"/>
      <c r="H5" s="18" t="n"/>
      <c r="I5" s="18" t="n"/>
      <c r="J5" s="18" t="n"/>
      <c r="K5" s="18" t="n"/>
      <c r="L5" s="18" t="n"/>
      <c r="M5" s="19">
        <f>SUM(M7:M106)</f>
        <v/>
      </c>
      <c r="N5" s="18">
        <f>SUM(N7:N106)</f>
        <v/>
      </c>
    </row>
    <row r="6" ht="24" customHeight="1">
      <c r="A6" s="5" t="inlineStr">
        <is>
          <t>ID</t>
        </is>
      </c>
      <c r="B6" s="5" t="inlineStr">
        <is>
          <t>Pessoa</t>
        </is>
      </c>
      <c r="C6" s="5" t="inlineStr">
        <is>
          <t>Base</t>
        </is>
      </c>
      <c r="D6" s="5" t="inlineStr">
        <is>
          <t>Horas úteis</t>
        </is>
      </c>
      <c r="E6" s="5" t="inlineStr">
        <is>
          <t>Horas FDS</t>
        </is>
      </c>
      <c r="F6" s="5" t="inlineStr">
        <is>
          <t>Horas totais</t>
        </is>
      </c>
      <c r="G6" s="5" t="inlineStr">
        <is>
          <t>Dias trabalhados</t>
        </is>
      </c>
      <c r="H6" s="5" t="inlineStr">
        <is>
          <t>R$/h útil</t>
        </is>
      </c>
      <c r="I6" s="5" t="inlineStr">
        <is>
          <t>R$/h FDS</t>
        </is>
      </c>
      <c r="J6" s="5" t="inlineStr">
        <is>
          <t>R$/diária</t>
        </is>
      </c>
      <c r="K6" s="5" t="inlineStr">
        <is>
          <t>Valor calculado</t>
        </is>
      </c>
      <c r="L6" s="5" t="inlineStr">
        <is>
          <t>Ajustes</t>
        </is>
      </c>
      <c r="M6" s="5" t="inlineStr">
        <is>
          <t>TOTAL A PAGAR</t>
        </is>
      </c>
      <c r="N6" s="5" t="inlineStr">
        <is>
          <t>Pendências</t>
        </is>
      </c>
    </row>
    <row r="7" ht="18.75" customHeight="1">
      <c r="A7" t="n">
        <v>1001</v>
      </c>
      <c r="B7" t="inlineStr">
        <is>
          <t>Adriana Pereira dos Santos</t>
        </is>
      </c>
      <c r="C7" t="inlineStr">
        <is>
          <t>Hora</t>
        </is>
      </c>
      <c r="D7" s="14">
        <f>IF(A7="","",SUMIFS(tblRegistros[Horas],tblRegistros[ID],A7,tblRegistros[Data],"&gt;="&amp;$B$4,tblRegistros[Data],"&lt;"&amp;($D$4+1),tblRegistros[Status],"CONCLUÍDO",tblRegistros[Tipo de dia],"DIA ÚTIL"))</f>
        <v/>
      </c>
      <c r="E7" s="14">
        <f>IF(A7="","",SUMIFS(tblRegistros[Horas],tblRegistros[ID],A7,tblRegistros[Data],"&gt;="&amp;$B$4,tblRegistros[Data],"&lt;"&amp;($D$4+1),tblRegistros[Status],"CONCLUÍDO",tblRegistros[Tipo de dia],"FDS/FERIADO"))</f>
        <v/>
      </c>
      <c r="F7" s="14">
        <f>IF(A7="","",D7+E7)</f>
        <v/>
      </c>
      <c r="G7">
        <f>IF(A7="","",SUMIFS(tblRegistros[1º do dia],tblRegistros[ID],A7,tblRegistros[Data],"&gt;="&amp;$B$4,tblRegistros[Data],"&lt;"&amp;($D$4+1),tblRegistros[Status],"CONCLUÍDO"))</f>
        <v/>
      </c>
      <c r="H7" s="3" t="n">
        <v>17</v>
      </c>
      <c r="I7" s="3" t="n">
        <v>20</v>
      </c>
      <c r="J7" s="3" t="n">
        <v>0</v>
      </c>
      <c r="K7" s="3">
        <f>IF(A7="","",SUMIFS(tblRegistros[Valor],tblRegistros[ID],A7,tblRegistros[Data],"&gt;="&amp;$B$4,tblRegistros[Data],"&lt;"&amp;($D$4+1),tblRegistros[Status],"CONCLUÍDO"))</f>
        <v/>
      </c>
      <c r="L7" s="3" t="n">
        <v>0</v>
      </c>
      <c r="M7" s="3">
        <f>IF(A7="","",K7+L7)</f>
        <v/>
      </c>
      <c r="N7">
        <f>IF(A7="","",COUNTIFS(tblRegistros[ID],A7,tblRegistros[Data],"&gt;="&amp;$B$4,tblRegistros[Data],"&lt;"&amp;($D$4+1),tblRegistros[Status],"EM ABERTO")+COUNTIFS(tblRegistros[ID],A7,tblRegistros[Data],"&gt;="&amp;$B$4,tblRegistros[Data],"&lt;"&amp;($D$4+1),tblRegistros[Status],"REVISAR"))</f>
        <v/>
      </c>
    </row>
    <row r="8" ht="18.75" customHeight="1">
      <c r="A8" t="n">
        <v>1002</v>
      </c>
      <c r="B8" t="inlineStr">
        <is>
          <t>Alex de Almeida Mariano</t>
        </is>
      </c>
      <c r="C8" t="inlineStr">
        <is>
          <t>Hora</t>
        </is>
      </c>
      <c r="D8" s="14">
        <f>IF(A8="","",SUMIFS(tblRegistros[Horas],tblRegistros[ID],A8,tblRegistros[Data],"&gt;="&amp;$B$4,tblRegistros[Data],"&lt;"&amp;($D$4+1),tblRegistros[Status],"CONCLUÍDO",tblRegistros[Tipo de dia],"DIA ÚTIL"))</f>
        <v/>
      </c>
      <c r="E8" s="14">
        <f>IF(A8="","",SUMIFS(tblRegistros[Horas],tblRegistros[ID],A8,tblRegistros[Data],"&gt;="&amp;$B$4,tblRegistros[Data],"&lt;"&amp;($D$4+1),tblRegistros[Status],"CONCLUÍDO",tblRegistros[Tipo de dia],"FDS/FERIADO"))</f>
        <v/>
      </c>
      <c r="F8" s="14">
        <f>IF(A8="","",D8+E8)</f>
        <v/>
      </c>
      <c r="G8">
        <f>IF(A8="","",SUMIFS(tblRegistros[1º do dia],tblRegistros[ID],A8,tblRegistros[Data],"&gt;="&amp;$B$4,tblRegistros[Data],"&lt;"&amp;($D$4+1),tblRegistros[Status],"CONCLUÍDO"))</f>
        <v/>
      </c>
      <c r="H8" s="3" t="n">
        <v>23.5</v>
      </c>
      <c r="I8" s="3" t="n">
        <v>23.5</v>
      </c>
      <c r="J8" s="3" t="n">
        <v>0</v>
      </c>
      <c r="K8" s="3">
        <f>IF(A8="","",SUMIFS(tblRegistros[Valor],tblRegistros[ID],A8,tblRegistros[Data],"&gt;="&amp;$B$4,tblRegistros[Data],"&lt;"&amp;($D$4+1),tblRegistros[Status],"CONCLUÍDO"))</f>
        <v/>
      </c>
      <c r="L8" s="3" t="n">
        <v>0</v>
      </c>
      <c r="M8" s="3">
        <f>IF(A8="","",K8+L8)</f>
        <v/>
      </c>
      <c r="N8">
        <f>IF(A8="","",COUNTIFS(tblRegistros[ID],A8,tblRegistros[Data],"&gt;="&amp;$B$4,tblRegistros[Data],"&lt;"&amp;($D$4+1),tblRegistros[Status],"EM ABERTO")+COUNTIFS(tblRegistros[ID],A8,tblRegistros[Data],"&gt;="&amp;$B$4,tblRegistros[Data],"&lt;"&amp;($D$4+1),tblRegistros[Status],"REVISAR"))</f>
        <v/>
      </c>
    </row>
    <row r="9" ht="18.75" customHeight="1">
      <c r="A9" t="n">
        <v>1003</v>
      </c>
      <c r="B9" t="inlineStr">
        <is>
          <t>Amanda do Carmo Ribeiro</t>
        </is>
      </c>
      <c r="C9" t="inlineStr">
        <is>
          <t>Hora</t>
        </is>
      </c>
      <c r="D9" s="14">
        <f>IF(A9="","",SUMIFS(tblRegistros[Horas],tblRegistros[ID],A9,tblRegistros[Data],"&gt;="&amp;$B$4,tblRegistros[Data],"&lt;"&amp;($D$4+1),tblRegistros[Status],"CONCLUÍDO",tblRegistros[Tipo de dia],"DIA ÚTIL"))</f>
        <v/>
      </c>
      <c r="E9" s="14">
        <f>IF(A9="","",SUMIFS(tblRegistros[Horas],tblRegistros[ID],A9,tblRegistros[Data],"&gt;="&amp;$B$4,tblRegistros[Data],"&lt;"&amp;($D$4+1),tblRegistros[Status],"CONCLUÍDO",tblRegistros[Tipo de dia],"FDS/FERIADO"))</f>
        <v/>
      </c>
      <c r="F9" s="14">
        <f>IF(A9="","",D9+E9)</f>
        <v/>
      </c>
      <c r="G9">
        <f>IF(A9="","",SUMIFS(tblRegistros[1º do dia],tblRegistros[ID],A9,tblRegistros[Data],"&gt;="&amp;$B$4,tblRegistros[Data],"&lt;"&amp;($D$4+1),tblRegistros[Status],"CONCLUÍDO"))</f>
        <v/>
      </c>
      <c r="H9" s="3" t="n">
        <v>23.5</v>
      </c>
      <c r="I9" s="3" t="n">
        <v>23.5</v>
      </c>
      <c r="J9" s="3" t="n">
        <v>0</v>
      </c>
      <c r="K9" s="3">
        <f>IF(A9="","",SUMIFS(tblRegistros[Valor],tblRegistros[ID],A9,tblRegistros[Data],"&gt;="&amp;$B$4,tblRegistros[Data],"&lt;"&amp;($D$4+1),tblRegistros[Status],"CONCLUÍDO"))</f>
        <v/>
      </c>
      <c r="L9" s="3" t="n">
        <v>0</v>
      </c>
      <c r="M9" s="3">
        <f>IF(A9="","",K9+L9)</f>
        <v/>
      </c>
      <c r="N9">
        <f>IF(A9="","",COUNTIFS(tblRegistros[ID],A9,tblRegistros[Data],"&gt;="&amp;$B$4,tblRegistros[Data],"&lt;"&amp;($D$4+1),tblRegistros[Status],"EM ABERTO")+COUNTIFS(tblRegistros[ID],A9,tblRegistros[Data],"&gt;="&amp;$B$4,tblRegistros[Data],"&lt;"&amp;($D$4+1),tblRegistros[Status],"REVISAR"))</f>
        <v/>
      </c>
    </row>
    <row r="10" ht="18.75" customHeight="1">
      <c r="A10" t="n">
        <v>1004</v>
      </c>
      <c r="B10" t="inlineStr">
        <is>
          <t>Angela Bertoli</t>
        </is>
      </c>
      <c r="C10" t="inlineStr">
        <is>
          <t>Hora</t>
        </is>
      </c>
      <c r="D10" s="14">
        <f>IF(A10="","",SUMIFS(tblRegistros[Horas],tblRegistros[ID],A10,tblRegistros[Data],"&gt;="&amp;$B$4,tblRegistros[Data],"&lt;"&amp;($D$4+1),tblRegistros[Status],"CONCLUÍDO",tblRegistros[Tipo de dia],"DIA ÚTIL"))</f>
        <v/>
      </c>
      <c r="E10" s="14">
        <f>IF(A10="","",SUMIFS(tblRegistros[Horas],tblRegistros[ID],A10,tblRegistros[Data],"&gt;="&amp;$B$4,tblRegistros[Data],"&lt;"&amp;($D$4+1),tblRegistros[Status],"CONCLUÍDO",tblRegistros[Tipo de dia],"FDS/FERIADO"))</f>
        <v/>
      </c>
      <c r="F10" s="14">
        <f>IF(A10="","",D10+E10)</f>
        <v/>
      </c>
      <c r="G10">
        <f>IF(A10="","",SUMIFS(tblRegistros[1º do dia],tblRegistros[ID],A10,tblRegistros[Data],"&gt;="&amp;$B$4,tblRegistros[Data],"&lt;"&amp;($D$4+1),tblRegistros[Status],"CONCLUÍDO"))</f>
        <v/>
      </c>
      <c r="H10" s="3" t="n">
        <v>21.5</v>
      </c>
      <c r="I10" s="3" t="n">
        <v>20</v>
      </c>
      <c r="J10" s="3" t="n">
        <v>0</v>
      </c>
      <c r="K10" s="3">
        <f>IF(A10="","",SUMIFS(tblRegistros[Valor],tblRegistros[ID],A10,tblRegistros[Data],"&gt;="&amp;$B$4,tblRegistros[Data],"&lt;"&amp;($D$4+1),tblRegistros[Status],"CONCLUÍDO"))</f>
        <v/>
      </c>
      <c r="L10" s="3" t="n">
        <v>0</v>
      </c>
      <c r="M10" s="3">
        <f>IF(A10="","",K10+L10)</f>
        <v/>
      </c>
      <c r="N10">
        <f>IF(A10="","",COUNTIFS(tblRegistros[ID],A10,tblRegistros[Data],"&gt;="&amp;$B$4,tblRegistros[Data],"&lt;"&amp;($D$4+1),tblRegistros[Status],"EM ABERTO")+COUNTIFS(tblRegistros[ID],A10,tblRegistros[Data],"&gt;="&amp;$B$4,tblRegistros[Data],"&lt;"&amp;($D$4+1),tblRegistros[Status],"REVISAR"))</f>
        <v/>
      </c>
    </row>
    <row r="11" ht="18.75" customHeight="1">
      <c r="A11" t="n">
        <v>1005</v>
      </c>
      <c r="B11" t="inlineStr">
        <is>
          <t>Carolina Fantini Vidigal Diniz Dias</t>
        </is>
      </c>
      <c r="C11" t="inlineStr">
        <is>
          <t>Hora</t>
        </is>
      </c>
      <c r="D11" s="14">
        <f>IF(A11="","",SUMIFS(tblRegistros[Horas],tblRegistros[ID],A11,tblRegistros[Data],"&gt;="&amp;$B$4,tblRegistros[Data],"&lt;"&amp;($D$4+1),tblRegistros[Status],"CONCLUÍDO",tblRegistros[Tipo de dia],"DIA ÚTIL"))</f>
        <v/>
      </c>
      <c r="E11" s="14">
        <f>IF(A11="","",SUMIFS(tblRegistros[Horas],tblRegistros[ID],A11,tblRegistros[Data],"&gt;="&amp;$B$4,tblRegistros[Data],"&lt;"&amp;($D$4+1),tblRegistros[Status],"CONCLUÍDO",tblRegistros[Tipo de dia],"FDS/FERIADO"))</f>
        <v/>
      </c>
      <c r="F11" s="14">
        <f>IF(A11="","",D11+E11)</f>
        <v/>
      </c>
      <c r="G11">
        <f>IF(A11="","",SUMIFS(tblRegistros[1º do dia],tblRegistros[ID],A11,tblRegistros[Data],"&gt;="&amp;$B$4,tblRegistros[Data],"&lt;"&amp;($D$4+1),tblRegistros[Status],"CONCLUÍDO"))</f>
        <v/>
      </c>
      <c r="H11" s="3" t="n">
        <v>13</v>
      </c>
      <c r="I11" s="3" t="n">
        <v>16.5</v>
      </c>
      <c r="J11" s="3" t="n">
        <v>0</v>
      </c>
      <c r="K11" s="3">
        <f>IF(A11="","",SUMIFS(tblRegistros[Valor],tblRegistros[ID],A11,tblRegistros[Data],"&gt;="&amp;$B$4,tblRegistros[Data],"&lt;"&amp;($D$4+1),tblRegistros[Status],"CONCLUÍDO"))</f>
        <v/>
      </c>
      <c r="L11" s="3" t="n">
        <v>0</v>
      </c>
      <c r="M11" s="3">
        <f>IF(A11="","",K11+L11)</f>
        <v/>
      </c>
      <c r="N11">
        <f>IF(A11="","",COUNTIFS(tblRegistros[ID],A11,tblRegistros[Data],"&gt;="&amp;$B$4,tblRegistros[Data],"&lt;"&amp;($D$4+1),tblRegistros[Status],"EM ABERTO")+COUNTIFS(tblRegistros[ID],A11,tblRegistros[Data],"&gt;="&amp;$B$4,tblRegistros[Data],"&lt;"&amp;($D$4+1),tblRegistros[Status],"REVISAR"))</f>
        <v/>
      </c>
    </row>
    <row r="12" ht="18.75" customHeight="1">
      <c r="A12" t="n">
        <v>1006</v>
      </c>
      <c r="B12" t="inlineStr">
        <is>
          <t>Eliane dos Santos Oliveira</t>
        </is>
      </c>
      <c r="C12" t="inlineStr">
        <is>
          <t>Hora</t>
        </is>
      </c>
      <c r="D12" s="14">
        <f>IF(A12="","",SUMIFS(tblRegistros[Horas],tblRegistros[ID],A12,tblRegistros[Data],"&gt;="&amp;$B$4,tblRegistros[Data],"&lt;"&amp;($D$4+1),tblRegistros[Status],"CONCLUÍDO",tblRegistros[Tipo de dia],"DIA ÚTIL"))</f>
        <v/>
      </c>
      <c r="E12" s="14">
        <f>IF(A12="","",SUMIFS(tblRegistros[Horas],tblRegistros[ID],A12,tblRegistros[Data],"&gt;="&amp;$B$4,tblRegistros[Data],"&lt;"&amp;($D$4+1),tblRegistros[Status],"CONCLUÍDO",tblRegistros[Tipo de dia],"FDS/FERIADO"))</f>
        <v/>
      </c>
      <c r="F12" s="14">
        <f>IF(A12="","",D12+E12)</f>
        <v/>
      </c>
      <c r="G12">
        <f>IF(A12="","",SUMIFS(tblRegistros[1º do dia],tblRegistros[ID],A12,tblRegistros[Data],"&gt;="&amp;$B$4,tblRegistros[Data],"&lt;"&amp;($D$4+1),tblRegistros[Status],"CONCLUÍDO"))</f>
        <v/>
      </c>
      <c r="H12" s="3" t="n">
        <v>14</v>
      </c>
      <c r="I12" s="3" t="n">
        <v>17</v>
      </c>
      <c r="J12" s="3" t="n">
        <v>0</v>
      </c>
      <c r="K12" s="3">
        <f>IF(A12="","",SUMIFS(tblRegistros[Valor],tblRegistros[ID],A12,tblRegistros[Data],"&gt;="&amp;$B$4,tblRegistros[Data],"&lt;"&amp;($D$4+1),tblRegistros[Status],"CONCLUÍDO"))</f>
        <v/>
      </c>
      <c r="L12" s="3" t="n">
        <v>0</v>
      </c>
      <c r="M12" s="3">
        <f>IF(A12="","",K12+L12)</f>
        <v/>
      </c>
      <c r="N12">
        <f>IF(A12="","",COUNTIFS(tblRegistros[ID],A12,tblRegistros[Data],"&gt;="&amp;$B$4,tblRegistros[Data],"&lt;"&amp;($D$4+1),tblRegistros[Status],"EM ABERTO")+COUNTIFS(tblRegistros[ID],A12,tblRegistros[Data],"&gt;="&amp;$B$4,tblRegistros[Data],"&lt;"&amp;($D$4+1),tblRegistros[Status],"REVISAR"))</f>
        <v/>
      </c>
    </row>
    <row r="13" ht="18.75" customHeight="1">
      <c r="A13" t="n">
        <v>1007</v>
      </c>
      <c r="B13" t="inlineStr">
        <is>
          <t>Fernanda Lopes</t>
        </is>
      </c>
      <c r="C13" t="inlineStr">
        <is>
          <t>Hora</t>
        </is>
      </c>
      <c r="D13" s="14">
        <f>IF(A13="","",SUMIFS(tblRegistros[Horas],tblRegistros[ID],A13,tblRegistros[Data],"&gt;="&amp;$B$4,tblRegistros[Data],"&lt;"&amp;($D$4+1),tblRegistros[Status],"CONCLUÍDO",tblRegistros[Tipo de dia],"DIA ÚTIL"))</f>
        <v/>
      </c>
      <c r="E13" s="14">
        <f>IF(A13="","",SUMIFS(tblRegistros[Horas],tblRegistros[ID],A13,tblRegistros[Data],"&gt;="&amp;$B$4,tblRegistros[Data],"&lt;"&amp;($D$4+1),tblRegistros[Status],"CONCLUÍDO",tblRegistros[Tipo de dia],"FDS/FERIADO"))</f>
        <v/>
      </c>
      <c r="F13" s="14">
        <f>IF(A13="","",D13+E13)</f>
        <v/>
      </c>
      <c r="G13">
        <f>IF(A13="","",SUMIFS(tblRegistros[1º do dia],tblRegistros[ID],A13,tblRegistros[Data],"&gt;="&amp;$B$4,tblRegistros[Data],"&lt;"&amp;($D$4+1),tblRegistros[Status],"CONCLUÍDO"))</f>
        <v/>
      </c>
      <c r="H13" s="3" t="n">
        <v>23.5</v>
      </c>
      <c r="I13" s="3" t="n">
        <v>23.5</v>
      </c>
      <c r="J13" s="3" t="n">
        <v>0</v>
      </c>
      <c r="K13" s="3">
        <f>IF(A13="","",SUMIFS(tblRegistros[Valor],tblRegistros[ID],A13,tblRegistros[Data],"&gt;="&amp;$B$4,tblRegistros[Data],"&lt;"&amp;($D$4+1),tblRegistros[Status],"CONCLUÍDO"))</f>
        <v/>
      </c>
      <c r="L13" s="3" t="n">
        <v>0</v>
      </c>
      <c r="M13" s="3">
        <f>IF(A13="","",K13+L13)</f>
        <v/>
      </c>
      <c r="N13">
        <f>IF(A13="","",COUNTIFS(tblRegistros[ID],A13,tblRegistros[Data],"&gt;="&amp;$B$4,tblRegistros[Data],"&lt;"&amp;($D$4+1),tblRegistros[Status],"EM ABERTO")+COUNTIFS(tblRegistros[ID],A13,tblRegistros[Data],"&gt;="&amp;$B$4,tblRegistros[Data],"&lt;"&amp;($D$4+1),tblRegistros[Status],"REVISAR"))</f>
        <v/>
      </c>
    </row>
    <row r="14" ht="18.75" customHeight="1">
      <c r="A14" t="n">
        <v>1008</v>
      </c>
      <c r="B14" t="inlineStr">
        <is>
          <t>Flávia Reis</t>
        </is>
      </c>
      <c r="C14" t="inlineStr">
        <is>
          <t>Hora</t>
        </is>
      </c>
      <c r="D14" s="14">
        <f>IF(A14="","",SUMIFS(tblRegistros[Horas],tblRegistros[ID],A14,tblRegistros[Data],"&gt;="&amp;$B$4,tblRegistros[Data],"&lt;"&amp;($D$4+1),tblRegistros[Status],"CONCLUÍDO",tblRegistros[Tipo de dia],"DIA ÚTIL"))</f>
        <v/>
      </c>
      <c r="E14" s="14">
        <f>IF(A14="","",SUMIFS(tblRegistros[Horas],tblRegistros[ID],A14,tblRegistros[Data],"&gt;="&amp;$B$4,tblRegistros[Data],"&lt;"&amp;($D$4+1),tblRegistros[Status],"CONCLUÍDO",tblRegistros[Tipo de dia],"FDS/FERIADO"))</f>
        <v/>
      </c>
      <c r="F14" s="14">
        <f>IF(A14="","",D14+E14)</f>
        <v/>
      </c>
      <c r="G14">
        <f>IF(A14="","",SUMIFS(tblRegistros[1º do dia],tblRegistros[ID],A14,tblRegistros[Data],"&gt;="&amp;$B$4,tblRegistros[Data],"&lt;"&amp;($D$4+1),tblRegistros[Status],"CONCLUÍDO"))</f>
        <v/>
      </c>
      <c r="H14" s="3" t="n">
        <v>14</v>
      </c>
      <c r="I14" s="3" t="n">
        <v>17</v>
      </c>
      <c r="J14" s="3" t="n">
        <v>0</v>
      </c>
      <c r="K14" s="3">
        <f>IF(A14="","",SUMIFS(tblRegistros[Valor],tblRegistros[ID],A14,tblRegistros[Data],"&gt;="&amp;$B$4,tblRegistros[Data],"&lt;"&amp;($D$4+1),tblRegistros[Status],"CONCLUÍDO"))</f>
        <v/>
      </c>
      <c r="L14" s="3" t="n">
        <v>0</v>
      </c>
      <c r="M14" s="3">
        <f>IF(A14="","",K14+L14)</f>
        <v/>
      </c>
      <c r="N14">
        <f>IF(A14="","",COUNTIFS(tblRegistros[ID],A14,tblRegistros[Data],"&gt;="&amp;$B$4,tblRegistros[Data],"&lt;"&amp;($D$4+1),tblRegistros[Status],"EM ABERTO")+COUNTIFS(tblRegistros[ID],A14,tblRegistros[Data],"&gt;="&amp;$B$4,tblRegistros[Data],"&lt;"&amp;($D$4+1),tblRegistros[Status],"REVISAR"))</f>
        <v/>
      </c>
    </row>
    <row r="15" ht="18.75" customHeight="1">
      <c r="A15" t="n">
        <v>1009</v>
      </c>
      <c r="B15" t="inlineStr">
        <is>
          <t>Junia Maria Santos</t>
        </is>
      </c>
      <c r="C15" t="inlineStr">
        <is>
          <t>Hora</t>
        </is>
      </c>
      <c r="D15" s="14">
        <f>IF(A15="","",SUMIFS(tblRegistros[Horas],tblRegistros[ID],A15,tblRegistros[Data],"&gt;="&amp;$B$4,tblRegistros[Data],"&lt;"&amp;($D$4+1),tblRegistros[Status],"CONCLUÍDO",tblRegistros[Tipo de dia],"DIA ÚTIL"))</f>
        <v/>
      </c>
      <c r="E15" s="14">
        <f>IF(A15="","",SUMIFS(tblRegistros[Horas],tblRegistros[ID],A15,tblRegistros[Data],"&gt;="&amp;$B$4,tblRegistros[Data],"&lt;"&amp;($D$4+1),tblRegistros[Status],"CONCLUÍDO",tblRegistros[Tipo de dia],"FDS/FERIADO"))</f>
        <v/>
      </c>
      <c r="F15" s="14">
        <f>IF(A15="","",D15+E15)</f>
        <v/>
      </c>
      <c r="G15">
        <f>IF(A15="","",SUMIFS(tblRegistros[1º do dia],tblRegistros[ID],A15,tblRegistros[Data],"&gt;="&amp;$B$4,tblRegistros[Data],"&lt;"&amp;($D$4+1),tblRegistros[Status],"CONCLUÍDO"))</f>
        <v/>
      </c>
      <c r="H15" s="3" t="n">
        <v>14</v>
      </c>
      <c r="I15" s="3" t="n">
        <v>17</v>
      </c>
      <c r="J15" s="3" t="n">
        <v>0</v>
      </c>
      <c r="K15" s="3">
        <f>IF(A15="","",SUMIFS(tblRegistros[Valor],tblRegistros[ID],A15,tblRegistros[Data],"&gt;="&amp;$B$4,tblRegistros[Data],"&lt;"&amp;($D$4+1),tblRegistros[Status],"CONCLUÍDO"))</f>
        <v/>
      </c>
      <c r="L15" s="3" t="n">
        <v>0</v>
      </c>
      <c r="M15" s="3">
        <f>IF(A15="","",K15+L15)</f>
        <v/>
      </c>
      <c r="N15">
        <f>IF(A15="","",COUNTIFS(tblRegistros[ID],A15,tblRegistros[Data],"&gt;="&amp;$B$4,tblRegistros[Data],"&lt;"&amp;($D$4+1),tblRegistros[Status],"EM ABERTO")+COUNTIFS(tblRegistros[ID],A15,tblRegistros[Data],"&gt;="&amp;$B$4,tblRegistros[Data],"&lt;"&amp;($D$4+1),tblRegistros[Status],"REVISAR"))</f>
        <v/>
      </c>
    </row>
    <row r="16" ht="18.75" customHeight="1">
      <c r="A16" t="n">
        <v>1010</v>
      </c>
      <c r="B16" t="inlineStr">
        <is>
          <t>Nataly Tayê</t>
        </is>
      </c>
      <c r="C16" t="inlineStr">
        <is>
          <t>Hora</t>
        </is>
      </c>
      <c r="D16" s="14">
        <f>IF(A16="","",SUMIFS(tblRegistros[Horas],tblRegistros[ID],A16,tblRegistros[Data],"&gt;="&amp;$B$4,tblRegistros[Data],"&lt;"&amp;($D$4+1),tblRegistros[Status],"CONCLUÍDO",tblRegistros[Tipo de dia],"DIA ÚTIL"))</f>
        <v/>
      </c>
      <c r="E16" s="14">
        <f>IF(A16="","",SUMIFS(tblRegistros[Horas],tblRegistros[ID],A16,tblRegistros[Data],"&gt;="&amp;$B$4,tblRegistros[Data],"&lt;"&amp;($D$4+1),tblRegistros[Status],"CONCLUÍDO",tblRegistros[Tipo de dia],"FDS/FERIADO"))</f>
        <v/>
      </c>
      <c r="F16" s="14">
        <f>IF(A16="","",D16+E16)</f>
        <v/>
      </c>
      <c r="G16">
        <f>IF(A16="","",SUMIFS(tblRegistros[1º do dia],tblRegistros[ID],A16,tblRegistros[Data],"&gt;="&amp;$B$4,tblRegistros[Data],"&lt;"&amp;($D$4+1),tblRegistros[Status],"CONCLUÍDO"))</f>
        <v/>
      </c>
      <c r="H16" s="3" t="n">
        <v>14</v>
      </c>
      <c r="I16" s="3" t="n">
        <v>17</v>
      </c>
      <c r="J16" s="3" t="n">
        <v>0</v>
      </c>
      <c r="K16" s="3">
        <f>IF(A16="","",SUMIFS(tblRegistros[Valor],tblRegistros[ID],A16,tblRegistros[Data],"&gt;="&amp;$B$4,tblRegistros[Data],"&lt;"&amp;($D$4+1),tblRegistros[Status],"CONCLUÍDO"))</f>
        <v/>
      </c>
      <c r="L16" s="3" t="n">
        <v>0</v>
      </c>
      <c r="M16" s="3">
        <f>IF(A16="","",K16+L16)</f>
        <v/>
      </c>
      <c r="N16">
        <f>IF(A16="","",COUNTIFS(tblRegistros[ID],A16,tblRegistros[Data],"&gt;="&amp;$B$4,tblRegistros[Data],"&lt;"&amp;($D$4+1),tblRegistros[Status],"EM ABERTO")+COUNTIFS(tblRegistros[ID],A16,tblRegistros[Data],"&gt;="&amp;$B$4,tblRegistros[Data],"&lt;"&amp;($D$4+1),tblRegistros[Status],"REVISAR"))</f>
        <v/>
      </c>
    </row>
    <row r="17" ht="18.75" customHeight="1">
      <c r="A17" t="n">
        <v>1011</v>
      </c>
      <c r="B17" t="inlineStr">
        <is>
          <t>Nathalia Arruda</t>
        </is>
      </c>
      <c r="C17" t="inlineStr">
        <is>
          <t>Hora</t>
        </is>
      </c>
      <c r="D17" s="14">
        <f>IF(A17="","",SUMIFS(tblRegistros[Horas],tblRegistros[ID],A17,tblRegistros[Data],"&gt;="&amp;$B$4,tblRegistros[Data],"&lt;"&amp;($D$4+1),tblRegistros[Status],"CONCLUÍDO",tblRegistros[Tipo de dia],"DIA ÚTIL"))</f>
        <v/>
      </c>
      <c r="E17" s="14">
        <f>IF(A17="","",SUMIFS(tblRegistros[Horas],tblRegistros[ID],A17,tblRegistros[Data],"&gt;="&amp;$B$4,tblRegistros[Data],"&lt;"&amp;($D$4+1),tblRegistros[Status],"CONCLUÍDO",tblRegistros[Tipo de dia],"FDS/FERIADO"))</f>
        <v/>
      </c>
      <c r="F17" s="14">
        <f>IF(A17="","",D17+E17)</f>
        <v/>
      </c>
      <c r="G17">
        <f>IF(A17="","",SUMIFS(tblRegistros[1º do dia],tblRegistros[ID],A17,tblRegistros[Data],"&gt;="&amp;$B$4,tblRegistros[Data],"&lt;"&amp;($D$4+1),tblRegistros[Status],"CONCLUÍDO"))</f>
        <v/>
      </c>
      <c r="H17" s="3" t="n">
        <v>23.5</v>
      </c>
      <c r="I17" s="3" t="n">
        <v>23.5</v>
      </c>
      <c r="J17" s="3" t="n">
        <v>0</v>
      </c>
      <c r="K17" s="3">
        <f>IF(A17="","",SUMIFS(tblRegistros[Valor],tblRegistros[ID],A17,tblRegistros[Data],"&gt;="&amp;$B$4,tblRegistros[Data],"&lt;"&amp;($D$4+1),tblRegistros[Status],"CONCLUÍDO"))</f>
        <v/>
      </c>
      <c r="L17" s="3" t="n">
        <v>0</v>
      </c>
      <c r="M17" s="3">
        <f>IF(A17="","",K17+L17)</f>
        <v/>
      </c>
      <c r="N17">
        <f>IF(A17="","",COUNTIFS(tblRegistros[ID],A17,tblRegistros[Data],"&gt;="&amp;$B$4,tblRegistros[Data],"&lt;"&amp;($D$4+1),tblRegistros[Status],"EM ABERTO")+COUNTIFS(tblRegistros[ID],A17,tblRegistros[Data],"&gt;="&amp;$B$4,tblRegistros[Data],"&lt;"&amp;($D$4+1),tblRegistros[Status],"REVISAR"))</f>
        <v/>
      </c>
    </row>
    <row r="18" ht="18.75" customHeight="1">
      <c r="A18" t="n">
        <v>1012</v>
      </c>
      <c r="B18" t="inlineStr">
        <is>
          <t>Nelma Lucia dos S. B. Brandão</t>
        </is>
      </c>
      <c r="C18" t="inlineStr">
        <is>
          <t>Diária</t>
        </is>
      </c>
      <c r="D18" s="14">
        <f>IF(A18="","",SUMIFS(tblRegistros[Horas],tblRegistros[ID],A18,tblRegistros[Data],"&gt;="&amp;$B$4,tblRegistros[Data],"&lt;"&amp;($D$4+1),tblRegistros[Status],"CONCLUÍDO",tblRegistros[Tipo de dia],"DIA ÚTIL"))</f>
        <v/>
      </c>
      <c r="E18" s="14">
        <f>IF(A18="","",SUMIFS(tblRegistros[Horas],tblRegistros[ID],A18,tblRegistros[Data],"&gt;="&amp;$B$4,tblRegistros[Data],"&lt;"&amp;($D$4+1),tblRegistros[Status],"CONCLUÍDO",tblRegistros[Tipo de dia],"FDS/FERIADO"))</f>
        <v/>
      </c>
      <c r="F18" s="14">
        <f>IF(A18="","",D18+E18)</f>
        <v/>
      </c>
      <c r="G18">
        <f>IF(A18="","",SUMIFS(tblRegistros[1º do dia],tblRegistros[ID],A18,tblRegistros[Data],"&gt;="&amp;$B$4,tblRegistros[Data],"&lt;"&amp;($D$4+1),tblRegistros[Status],"CONCLUÍDO"))</f>
        <v/>
      </c>
      <c r="H18" s="3" t="n">
        <v>0</v>
      </c>
      <c r="I18" s="3" t="n">
        <v>0</v>
      </c>
      <c r="J18" s="3" t="n">
        <v>222.72</v>
      </c>
      <c r="K18" s="3">
        <f>IF(A18="","",SUMIFS(tblRegistros[Valor],tblRegistros[ID],A18,tblRegistros[Data],"&gt;="&amp;$B$4,tblRegistros[Data],"&lt;"&amp;($D$4+1),tblRegistros[Status],"CONCLUÍDO"))</f>
        <v/>
      </c>
      <c r="L18" s="3" t="n">
        <v>0</v>
      </c>
      <c r="M18" s="3">
        <f>IF(A18="","",K18+L18)</f>
        <v/>
      </c>
      <c r="N18">
        <f>IF(A18="","",COUNTIFS(tblRegistros[ID],A18,tblRegistros[Data],"&gt;="&amp;$B$4,tblRegistros[Data],"&lt;"&amp;($D$4+1),tblRegistros[Status],"EM ABERTO")+COUNTIFS(tblRegistros[ID],A18,tblRegistros[Data],"&gt;="&amp;$B$4,tblRegistros[Data],"&lt;"&amp;($D$4+1),tblRegistros[Status],"REVISAR"))</f>
        <v/>
      </c>
    </row>
    <row r="19" ht="18.75" customHeight="1">
      <c r="A19" t="n">
        <v>1013</v>
      </c>
      <c r="B19" t="inlineStr">
        <is>
          <t>Rafaela Maria Resende Lara</t>
        </is>
      </c>
      <c r="C19" t="inlineStr">
        <is>
          <t>Hora</t>
        </is>
      </c>
      <c r="D19" s="14">
        <f>IF(A19="","",SUMIFS(tblRegistros[Horas],tblRegistros[ID],A19,tblRegistros[Data],"&gt;="&amp;$B$4,tblRegistros[Data],"&lt;"&amp;($D$4+1),tblRegistros[Status],"CONCLUÍDO",tblRegistros[Tipo de dia],"DIA ÚTIL"))</f>
        <v/>
      </c>
      <c r="E19" s="14">
        <f>IF(A19="","",SUMIFS(tblRegistros[Horas],tblRegistros[ID],A19,tblRegistros[Data],"&gt;="&amp;$B$4,tblRegistros[Data],"&lt;"&amp;($D$4+1),tblRegistros[Status],"CONCLUÍDO",tblRegistros[Tipo de dia],"FDS/FERIADO"))</f>
        <v/>
      </c>
      <c r="F19" s="14">
        <f>IF(A19="","",D19+E19)</f>
        <v/>
      </c>
      <c r="G19">
        <f>IF(A19="","",SUMIFS(tblRegistros[1º do dia],tblRegistros[ID],A19,tblRegistros[Data],"&gt;="&amp;$B$4,tblRegistros[Data],"&lt;"&amp;($D$4+1),tblRegistros[Status],"CONCLUÍDO"))</f>
        <v/>
      </c>
      <c r="H19" s="3" t="n">
        <v>23.5</v>
      </c>
      <c r="I19" s="3" t="n">
        <v>23.5</v>
      </c>
      <c r="J19" s="3" t="n">
        <v>0</v>
      </c>
      <c r="K19" s="3">
        <f>IF(A19="","",SUMIFS(tblRegistros[Valor],tblRegistros[ID],A19,tblRegistros[Data],"&gt;="&amp;$B$4,tblRegistros[Data],"&lt;"&amp;($D$4+1),tblRegistros[Status],"CONCLUÍDO"))</f>
        <v/>
      </c>
      <c r="L19" s="3" t="n">
        <v>0</v>
      </c>
      <c r="M19" s="3">
        <f>IF(A19="","",K19+L19)</f>
        <v/>
      </c>
      <c r="N19">
        <f>IF(A19="","",COUNTIFS(tblRegistros[ID],A19,tblRegistros[Data],"&gt;="&amp;$B$4,tblRegistros[Data],"&lt;"&amp;($D$4+1),tblRegistros[Status],"EM ABERTO")+COUNTIFS(tblRegistros[ID],A19,tblRegistros[Data],"&gt;="&amp;$B$4,tblRegistros[Data],"&lt;"&amp;($D$4+1),tblRegistros[Status],"REVISAR"))</f>
        <v/>
      </c>
    </row>
    <row r="20" ht="18.75" customHeight="1">
      <c r="A20" t="n">
        <v>1014</v>
      </c>
      <c r="B20" t="inlineStr">
        <is>
          <t>Robert Filipe Orlando de Souza</t>
        </is>
      </c>
      <c r="C20" t="inlineStr">
        <is>
          <t>Hora</t>
        </is>
      </c>
      <c r="D20" s="14">
        <f>IF(A20="","",SUMIFS(tblRegistros[Horas],tblRegistros[ID],A20,tblRegistros[Data],"&gt;="&amp;$B$4,tblRegistros[Data],"&lt;"&amp;($D$4+1),tblRegistros[Status],"CONCLUÍDO",tblRegistros[Tipo de dia],"DIA ÚTIL"))</f>
        <v/>
      </c>
      <c r="E20" s="14">
        <f>IF(A20="","",SUMIFS(tblRegistros[Horas],tblRegistros[ID],A20,tblRegistros[Data],"&gt;="&amp;$B$4,tblRegistros[Data],"&lt;"&amp;($D$4+1),tblRegistros[Status],"CONCLUÍDO",tblRegistros[Tipo de dia],"FDS/FERIADO"))</f>
        <v/>
      </c>
      <c r="F20" s="14">
        <f>IF(A20="","",D20+E20)</f>
        <v/>
      </c>
      <c r="G20">
        <f>IF(A20="","",SUMIFS(tblRegistros[1º do dia],tblRegistros[ID],A20,tblRegistros[Data],"&gt;="&amp;$B$4,tblRegistros[Data],"&lt;"&amp;($D$4+1),tblRegistros[Status],"CONCLUÍDO"))</f>
        <v/>
      </c>
      <c r="H20" s="3" t="n">
        <v>21.5</v>
      </c>
      <c r="I20" s="3" t="n">
        <v>21.5</v>
      </c>
      <c r="J20" s="3" t="n">
        <v>0</v>
      </c>
      <c r="K20" s="3">
        <f>IF(A20="","",SUMIFS(tblRegistros[Valor],tblRegistros[ID],A20,tblRegistros[Data],"&gt;="&amp;$B$4,tblRegistros[Data],"&lt;"&amp;($D$4+1),tblRegistros[Status],"CONCLUÍDO"))</f>
        <v/>
      </c>
      <c r="L20" s="3" t="n">
        <v>0</v>
      </c>
      <c r="M20" s="3">
        <f>IF(A20="","",K20+L20)</f>
        <v/>
      </c>
      <c r="N20">
        <f>IF(A20="","",COUNTIFS(tblRegistros[ID],A20,tblRegistros[Data],"&gt;="&amp;$B$4,tblRegistros[Data],"&lt;"&amp;($D$4+1),tblRegistros[Status],"EM ABERTO")+COUNTIFS(tblRegistros[ID],A20,tblRegistros[Data],"&gt;="&amp;$B$4,tblRegistros[Data],"&lt;"&amp;($D$4+1),tblRegistros[Status],"REVISAR"))</f>
        <v/>
      </c>
    </row>
    <row r="21" ht="18.75" customHeight="1">
      <c r="A21" t="n">
        <v>1015</v>
      </c>
      <c r="B21" t="inlineStr">
        <is>
          <t>Vitor Guilherme Miguel Rocha</t>
        </is>
      </c>
      <c r="C21" t="inlineStr">
        <is>
          <t>Hora</t>
        </is>
      </c>
      <c r="D21" s="14">
        <f>IF(A21="","",SUMIFS(tblRegistros[Horas],tblRegistros[ID],A21,tblRegistros[Data],"&gt;="&amp;$B$4,tblRegistros[Data],"&lt;"&amp;($D$4+1),tblRegistros[Status],"CONCLUÍDO",tblRegistros[Tipo de dia],"DIA ÚTIL"))</f>
        <v/>
      </c>
      <c r="E21" s="14">
        <f>IF(A21="","",SUMIFS(tblRegistros[Horas],tblRegistros[ID],A21,tblRegistros[Data],"&gt;="&amp;$B$4,tblRegistros[Data],"&lt;"&amp;($D$4+1),tblRegistros[Status],"CONCLUÍDO",tblRegistros[Tipo de dia],"FDS/FERIADO"))</f>
        <v/>
      </c>
      <c r="F21" s="14">
        <f>IF(A21="","",D21+E21)</f>
        <v/>
      </c>
      <c r="G21">
        <f>IF(A21="","",SUMIFS(tblRegistros[1º do dia],tblRegistros[ID],A21,tblRegistros[Data],"&gt;="&amp;$B$4,tblRegistros[Data],"&lt;"&amp;($D$4+1),tblRegistros[Status],"CONCLUÍDO"))</f>
        <v/>
      </c>
      <c r="H21" s="3" t="n">
        <v>21.5</v>
      </c>
      <c r="I21" s="3" t="n">
        <v>21.5</v>
      </c>
      <c r="J21" s="3" t="n">
        <v>0</v>
      </c>
      <c r="K21" s="3">
        <f>IF(A21="","",SUMIFS(tblRegistros[Valor],tblRegistros[ID],A21,tblRegistros[Data],"&gt;="&amp;$B$4,tblRegistros[Data],"&lt;"&amp;($D$4+1),tblRegistros[Status],"CONCLUÍDO"))</f>
        <v/>
      </c>
      <c r="L21" s="3" t="n">
        <v>0</v>
      </c>
      <c r="M21" s="3">
        <f>IF(A21="","",K21+L21)</f>
        <v/>
      </c>
      <c r="N21">
        <f>IF(A21="","",COUNTIFS(tblRegistros[ID],A21,tblRegistros[Data],"&gt;="&amp;$B$4,tblRegistros[Data],"&lt;"&amp;($D$4+1),tblRegistros[Status],"EM ABERTO")+COUNTIFS(tblRegistros[ID],A21,tblRegistros[Data],"&gt;="&amp;$B$4,tblRegistros[Data],"&lt;"&amp;($D$4+1),tblRegistros[Status],"REVISAR"))</f>
        <v/>
      </c>
    </row>
    <row r="22" ht="18.75" customHeight="1">
      <c r="A22" t="n">
        <v>1016</v>
      </c>
      <c r="B22" t="inlineStr">
        <is>
          <t>Ana Luisa Nardin</t>
        </is>
      </c>
      <c r="C22" t="inlineStr">
        <is>
          <t>Hora</t>
        </is>
      </c>
      <c r="D22" s="14">
        <f>IF(A22="","",SUMIFS(tblRegistros[Horas],tblRegistros[ID],A22,tblRegistros[Data],"&gt;="&amp;$B$4,tblRegistros[Data],"&lt;"&amp;($D$4+1),tblRegistros[Status],"CONCLUÍDO",tblRegistros[Tipo de dia],"DIA ÚTIL"))</f>
        <v/>
      </c>
      <c r="E22" s="14">
        <f>IF(A22="","",SUMIFS(tblRegistros[Horas],tblRegistros[ID],A22,tblRegistros[Data],"&gt;="&amp;$B$4,tblRegistros[Data],"&lt;"&amp;($D$4+1),tblRegistros[Status],"CONCLUÍDO",tblRegistros[Tipo de dia],"FDS/FERIADO"))</f>
        <v/>
      </c>
      <c r="F22" s="14">
        <f>IF(A22="","",D22+E22)</f>
        <v/>
      </c>
      <c r="G22">
        <f>IF(A22="","",SUMIFS(tblRegistros[1º do dia],tblRegistros[ID],A22,tblRegistros[Data],"&gt;="&amp;$B$4,tblRegistros[Data],"&lt;"&amp;($D$4+1),tblRegistros[Status],"CONCLUÍDO"))</f>
        <v/>
      </c>
      <c r="H22" s="3" t="n">
        <v>23.5</v>
      </c>
      <c r="I22" s="3" t="n">
        <v>23.5</v>
      </c>
      <c r="J22" s="3" t="n">
        <v>0</v>
      </c>
      <c r="K22" s="3">
        <f>IF(A22="","",SUMIFS(tblRegistros[Valor],tblRegistros[ID],A22,tblRegistros[Data],"&gt;="&amp;$B$4,tblRegistros[Data],"&lt;"&amp;($D$4+1),tblRegistros[Status],"CONCLUÍDO"))</f>
        <v/>
      </c>
      <c r="L22" s="3" t="n">
        <v>0</v>
      </c>
      <c r="M22" s="3">
        <f>IF(A22="","",K22+L22)</f>
        <v/>
      </c>
      <c r="N22">
        <f>IF(A22="","",COUNTIFS(tblRegistros[ID],A22,tblRegistros[Data],"&gt;="&amp;$B$4,tblRegistros[Data],"&lt;"&amp;($D$4+1),tblRegistros[Status],"EM ABERTO")+COUNTIFS(tblRegistros[ID],A22,tblRegistros[Data],"&gt;="&amp;$B$4,tblRegistros[Data],"&lt;"&amp;($D$4+1),tblRegistros[Status],"REVISAR"))</f>
        <v/>
      </c>
    </row>
    <row r="23" ht="18.75" customHeight="1">
      <c r="A23" t="n">
        <v>1017</v>
      </c>
      <c r="B23" t="inlineStr">
        <is>
          <t>Renato Inácio da Silva</t>
        </is>
      </c>
      <c r="C23" t="inlineStr">
        <is>
          <t>Hora</t>
        </is>
      </c>
      <c r="D23" s="14">
        <f>IF(A23="","",SUMIFS(tblRegistros[Horas],tblRegistros[ID],A23,tblRegistros[Data],"&gt;="&amp;$B$4,tblRegistros[Data],"&lt;"&amp;($D$4+1),tblRegistros[Status],"CONCLUÍDO",tblRegistros[Tipo de dia],"DIA ÚTIL"))</f>
        <v/>
      </c>
      <c r="E23" s="14">
        <f>IF(A23="","",SUMIFS(tblRegistros[Horas],tblRegistros[ID],A23,tblRegistros[Data],"&gt;="&amp;$B$4,tblRegistros[Data],"&lt;"&amp;($D$4+1),tblRegistros[Status],"CONCLUÍDO",tblRegistros[Tipo de dia],"FDS/FERIADO"))</f>
        <v/>
      </c>
      <c r="F23" s="14">
        <f>IF(A23="","",D23+E23)</f>
        <v/>
      </c>
      <c r="G23">
        <f>IF(A23="","",SUMIFS(tblRegistros[1º do dia],tblRegistros[ID],A23,tblRegistros[Data],"&gt;="&amp;$B$4,tblRegistros[Data],"&lt;"&amp;($D$4+1),tblRegistros[Status],"CONCLUÍDO"))</f>
        <v/>
      </c>
      <c r="H23" s="3" t="n">
        <v>14</v>
      </c>
      <c r="I23" s="3" t="n">
        <v>17</v>
      </c>
      <c r="J23" s="3" t="n">
        <v>0</v>
      </c>
      <c r="K23" s="3">
        <f>IF(A23="","",SUMIFS(tblRegistros[Valor],tblRegistros[ID],A23,tblRegistros[Data],"&gt;="&amp;$B$4,tblRegistros[Data],"&lt;"&amp;($D$4+1),tblRegistros[Status],"CONCLUÍDO"))</f>
        <v/>
      </c>
      <c r="L23" s="3" t="n">
        <v>0</v>
      </c>
      <c r="M23" s="3">
        <f>IF(A23="","",K23+L23)</f>
        <v/>
      </c>
      <c r="N23">
        <f>IF(A23="","",COUNTIFS(tblRegistros[ID],A23,tblRegistros[Data],"&gt;="&amp;$B$4,tblRegistros[Data],"&lt;"&amp;($D$4+1),tblRegistros[Status],"EM ABERTO")+COUNTIFS(tblRegistros[ID],A23,tblRegistros[Data],"&gt;="&amp;$B$4,tblRegistros[Data],"&lt;"&amp;($D$4+1),tblRegistros[Status],"REVISAR"))</f>
        <v/>
      </c>
    </row>
    <row r="24">
      <c r="D24" s="14" t="n"/>
      <c r="E24" s="14" t="n"/>
      <c r="F24" s="14" t="n"/>
      <c r="H24" s="3" t="n"/>
      <c r="I24" s="3" t="n"/>
      <c r="J24" s="3" t="n"/>
      <c r="K24" s="3" t="n"/>
      <c r="L24" s="3" t="n"/>
      <c r="M24" s="3" t="n"/>
    </row>
    <row r="25">
      <c r="D25" s="14" t="n"/>
      <c r="E25" s="14" t="n"/>
      <c r="F25" s="14" t="n"/>
      <c r="H25" s="3" t="n"/>
      <c r="I25" s="3" t="n"/>
      <c r="J25" s="3" t="n"/>
      <c r="K25" s="3" t="n"/>
      <c r="L25" s="3" t="n"/>
      <c r="M25" s="3" t="n"/>
    </row>
    <row r="26">
      <c r="D26" s="14" t="n"/>
      <c r="E26" s="14" t="n"/>
      <c r="F26" s="14" t="n"/>
      <c r="H26" s="3" t="n"/>
      <c r="I26" s="3" t="n"/>
      <c r="J26" s="3" t="n"/>
      <c r="K26" s="3" t="n"/>
      <c r="L26" s="3" t="n"/>
      <c r="M26" s="3" t="n"/>
    </row>
    <row r="27">
      <c r="D27" s="14" t="n"/>
      <c r="E27" s="14" t="n"/>
      <c r="F27" s="14" t="n"/>
      <c r="H27" s="3" t="n"/>
      <c r="I27" s="3" t="n"/>
      <c r="J27" s="3" t="n"/>
      <c r="K27" s="3" t="n"/>
      <c r="L27" s="3" t="n"/>
      <c r="M27" s="3" t="n"/>
    </row>
    <row r="28">
      <c r="D28" s="14" t="n"/>
      <c r="E28" s="14" t="n"/>
      <c r="F28" s="14" t="n"/>
      <c r="H28" s="3" t="n"/>
      <c r="I28" s="3" t="n"/>
      <c r="J28" s="3" t="n"/>
      <c r="K28" s="3" t="n"/>
      <c r="L28" s="3" t="n"/>
      <c r="M28" s="3" t="n"/>
    </row>
    <row r="29">
      <c r="D29" s="14" t="n"/>
      <c r="E29" s="14" t="n"/>
      <c r="F29" s="14" t="n"/>
      <c r="H29" s="3" t="n"/>
      <c r="I29" s="3" t="n"/>
      <c r="J29" s="3" t="n"/>
      <c r="K29" s="3" t="n"/>
      <c r="L29" s="3" t="n"/>
      <c r="M29" s="3" t="n"/>
    </row>
    <row r="30">
      <c r="D30" s="14" t="n"/>
      <c r="E30" s="14" t="n"/>
      <c r="F30" s="14" t="n"/>
      <c r="H30" s="3" t="n"/>
      <c r="I30" s="3" t="n"/>
      <c r="J30" s="3" t="n"/>
      <c r="K30" s="3" t="n"/>
      <c r="L30" s="3" t="n"/>
      <c r="M30" s="3" t="n"/>
    </row>
    <row r="31">
      <c r="D31" s="14" t="n"/>
      <c r="E31" s="14" t="n"/>
      <c r="F31" s="14" t="n"/>
      <c r="H31" s="3" t="n"/>
      <c r="I31" s="3" t="n"/>
      <c r="J31" s="3" t="n"/>
      <c r="K31" s="3" t="n"/>
      <c r="L31" s="3" t="n"/>
      <c r="M31" s="3" t="n"/>
    </row>
    <row r="32">
      <c r="D32" s="14" t="n"/>
      <c r="E32" s="14" t="n"/>
      <c r="F32" s="14" t="n"/>
      <c r="H32" s="3" t="n"/>
      <c r="I32" s="3" t="n"/>
      <c r="J32" s="3" t="n"/>
      <c r="K32" s="3" t="n"/>
      <c r="L32" s="3" t="n"/>
      <c r="M32" s="3" t="n"/>
    </row>
    <row r="33">
      <c r="D33" s="14" t="n"/>
      <c r="E33" s="14" t="n"/>
      <c r="F33" s="14" t="n"/>
      <c r="H33" s="3" t="n"/>
      <c r="I33" s="3" t="n"/>
      <c r="J33" s="3" t="n"/>
      <c r="K33" s="3" t="n"/>
      <c r="L33" s="3" t="n"/>
      <c r="M33" s="3" t="n"/>
    </row>
    <row r="34">
      <c r="D34" s="14" t="n"/>
      <c r="E34" s="14" t="n"/>
      <c r="F34" s="14" t="n"/>
      <c r="H34" s="3" t="n"/>
      <c r="I34" s="3" t="n"/>
      <c r="J34" s="3" t="n"/>
      <c r="K34" s="3" t="n"/>
      <c r="L34" s="3" t="n"/>
      <c r="M34" s="3" t="n"/>
    </row>
    <row r="35">
      <c r="D35" s="14" t="n"/>
      <c r="E35" s="14" t="n"/>
      <c r="F35" s="14" t="n"/>
      <c r="H35" s="3" t="n"/>
      <c r="I35" s="3" t="n"/>
      <c r="J35" s="3" t="n"/>
      <c r="K35" s="3" t="n"/>
      <c r="L35" s="3" t="n"/>
      <c r="M35" s="3" t="n"/>
    </row>
    <row r="36">
      <c r="D36" s="14" t="n"/>
      <c r="E36" s="14" t="n"/>
      <c r="F36" s="14" t="n"/>
      <c r="H36" s="3" t="n"/>
      <c r="I36" s="3" t="n"/>
      <c r="J36" s="3" t="n"/>
      <c r="K36" s="3" t="n"/>
      <c r="L36" s="3" t="n"/>
      <c r="M36" s="3" t="n"/>
    </row>
    <row r="37">
      <c r="D37" s="14" t="n"/>
      <c r="E37" s="14" t="n"/>
      <c r="F37" s="14" t="n"/>
      <c r="H37" s="3" t="n"/>
      <c r="I37" s="3" t="n"/>
      <c r="J37" s="3" t="n"/>
      <c r="K37" s="3" t="n"/>
      <c r="L37" s="3" t="n"/>
      <c r="M37" s="3" t="n"/>
    </row>
    <row r="38">
      <c r="D38" s="14" t="n"/>
      <c r="E38" s="14" t="n"/>
      <c r="F38" s="14" t="n"/>
      <c r="H38" s="3" t="n"/>
      <c r="I38" s="3" t="n"/>
      <c r="J38" s="3" t="n"/>
      <c r="K38" s="3" t="n"/>
      <c r="L38" s="3" t="n"/>
      <c r="M38" s="3" t="n"/>
    </row>
    <row r="39">
      <c r="D39" s="14" t="n"/>
      <c r="E39" s="14" t="n"/>
      <c r="F39" s="14" t="n"/>
      <c r="H39" s="3" t="n"/>
      <c r="I39" s="3" t="n"/>
      <c r="J39" s="3" t="n"/>
      <c r="K39" s="3" t="n"/>
      <c r="L39" s="3" t="n"/>
      <c r="M39" s="3" t="n"/>
    </row>
    <row r="40">
      <c r="D40" s="14" t="n"/>
      <c r="E40" s="14" t="n"/>
      <c r="F40" s="14" t="n"/>
      <c r="H40" s="3" t="n"/>
      <c r="I40" s="3" t="n"/>
      <c r="J40" s="3" t="n"/>
      <c r="K40" s="3" t="n"/>
      <c r="L40" s="3" t="n"/>
      <c r="M40" s="3" t="n"/>
    </row>
    <row r="41">
      <c r="D41" s="14" t="n"/>
      <c r="E41" s="14" t="n"/>
      <c r="F41" s="14" t="n"/>
      <c r="H41" s="3" t="n"/>
      <c r="I41" s="3" t="n"/>
      <c r="J41" s="3" t="n"/>
      <c r="K41" s="3" t="n"/>
      <c r="L41" s="3" t="n"/>
      <c r="M41" s="3" t="n"/>
    </row>
    <row r="42">
      <c r="D42" s="14" t="n"/>
      <c r="E42" s="14" t="n"/>
      <c r="F42" s="14" t="n"/>
      <c r="H42" s="3" t="n"/>
      <c r="I42" s="3" t="n"/>
      <c r="J42" s="3" t="n"/>
      <c r="K42" s="3" t="n"/>
      <c r="L42" s="3" t="n"/>
      <c r="M42" s="3" t="n"/>
    </row>
    <row r="43">
      <c r="D43" s="14" t="n"/>
      <c r="E43" s="14" t="n"/>
      <c r="F43" s="14" t="n"/>
      <c r="H43" s="3" t="n"/>
      <c r="I43" s="3" t="n"/>
      <c r="J43" s="3" t="n"/>
      <c r="K43" s="3" t="n"/>
      <c r="L43" s="3" t="n"/>
      <c r="M43" s="3" t="n"/>
    </row>
    <row r="44">
      <c r="D44" s="14" t="n"/>
      <c r="E44" s="14" t="n"/>
      <c r="F44" s="14" t="n"/>
      <c r="H44" s="3" t="n"/>
      <c r="I44" s="3" t="n"/>
      <c r="J44" s="3" t="n"/>
      <c r="K44" s="3" t="n"/>
      <c r="L44" s="3" t="n"/>
      <c r="M44" s="3" t="n"/>
    </row>
    <row r="45">
      <c r="D45" s="14" t="n"/>
      <c r="E45" s="14" t="n"/>
      <c r="F45" s="14" t="n"/>
      <c r="H45" s="3" t="n"/>
      <c r="I45" s="3" t="n"/>
      <c r="J45" s="3" t="n"/>
      <c r="K45" s="3" t="n"/>
      <c r="L45" s="3" t="n"/>
      <c r="M45" s="3" t="n"/>
    </row>
    <row r="46">
      <c r="D46" s="14" t="n"/>
      <c r="E46" s="14" t="n"/>
      <c r="F46" s="14" t="n"/>
      <c r="H46" s="3" t="n"/>
      <c r="I46" s="3" t="n"/>
      <c r="J46" s="3" t="n"/>
      <c r="K46" s="3" t="n"/>
      <c r="L46" s="3" t="n"/>
      <c r="M46" s="3" t="n"/>
    </row>
    <row r="47">
      <c r="D47" s="14" t="n"/>
      <c r="E47" s="14" t="n"/>
      <c r="F47" s="14" t="n"/>
      <c r="H47" s="3" t="n"/>
      <c r="I47" s="3" t="n"/>
      <c r="J47" s="3" t="n"/>
      <c r="K47" s="3" t="n"/>
      <c r="L47" s="3" t="n"/>
      <c r="M47" s="3" t="n"/>
    </row>
    <row r="48">
      <c r="D48" s="14" t="n"/>
      <c r="E48" s="14" t="n"/>
      <c r="F48" s="14" t="n"/>
      <c r="H48" s="3" t="n"/>
      <c r="I48" s="3" t="n"/>
      <c r="J48" s="3" t="n"/>
      <c r="K48" s="3" t="n"/>
      <c r="L48" s="3" t="n"/>
      <c r="M48" s="3" t="n"/>
    </row>
    <row r="49">
      <c r="D49" s="14" t="n"/>
      <c r="E49" s="14" t="n"/>
      <c r="F49" s="14" t="n"/>
      <c r="H49" s="3" t="n"/>
      <c r="I49" s="3" t="n"/>
      <c r="J49" s="3" t="n"/>
      <c r="K49" s="3" t="n"/>
      <c r="L49" s="3" t="n"/>
      <c r="M49" s="3" t="n"/>
    </row>
    <row r="50">
      <c r="D50" s="14" t="n"/>
      <c r="E50" s="14" t="n"/>
      <c r="F50" s="14" t="n"/>
      <c r="H50" s="3" t="n"/>
      <c r="I50" s="3" t="n"/>
      <c r="J50" s="3" t="n"/>
      <c r="K50" s="3" t="n"/>
      <c r="L50" s="3" t="n"/>
      <c r="M50" s="3" t="n"/>
    </row>
    <row r="51">
      <c r="D51" s="14" t="n"/>
      <c r="E51" s="14" t="n"/>
      <c r="F51" s="14" t="n"/>
      <c r="H51" s="3" t="n"/>
      <c r="I51" s="3" t="n"/>
      <c r="J51" s="3" t="n"/>
      <c r="K51" s="3" t="n"/>
      <c r="L51" s="3" t="n"/>
      <c r="M51" s="3" t="n"/>
    </row>
    <row r="52">
      <c r="D52" s="14" t="n"/>
      <c r="E52" s="14" t="n"/>
      <c r="F52" s="14" t="n"/>
      <c r="H52" s="3" t="n"/>
      <c r="I52" s="3" t="n"/>
      <c r="J52" s="3" t="n"/>
      <c r="K52" s="3" t="n"/>
      <c r="L52" s="3" t="n"/>
      <c r="M52" s="3" t="n"/>
    </row>
    <row r="53">
      <c r="D53" s="14" t="n"/>
      <c r="E53" s="14" t="n"/>
      <c r="F53" s="14" t="n"/>
      <c r="H53" s="3" t="n"/>
      <c r="I53" s="3" t="n"/>
      <c r="J53" s="3" t="n"/>
      <c r="K53" s="3" t="n"/>
      <c r="L53" s="3" t="n"/>
      <c r="M53" s="3" t="n"/>
    </row>
    <row r="54">
      <c r="D54" s="14" t="n"/>
      <c r="E54" s="14" t="n"/>
      <c r="F54" s="14" t="n"/>
      <c r="H54" s="3" t="n"/>
      <c r="I54" s="3" t="n"/>
      <c r="J54" s="3" t="n"/>
      <c r="K54" s="3" t="n"/>
      <c r="L54" s="3" t="n"/>
      <c r="M54" s="3" t="n"/>
    </row>
    <row r="55">
      <c r="D55" s="14" t="n"/>
      <c r="E55" s="14" t="n"/>
      <c r="F55" s="14" t="n"/>
      <c r="H55" s="3" t="n"/>
      <c r="I55" s="3" t="n"/>
      <c r="J55" s="3" t="n"/>
      <c r="K55" s="3" t="n"/>
      <c r="L55" s="3" t="n"/>
      <c r="M55" s="3" t="n"/>
    </row>
    <row r="56">
      <c r="D56" s="14" t="n"/>
      <c r="E56" s="14" t="n"/>
      <c r="F56" s="14" t="n"/>
      <c r="H56" s="3" t="n"/>
      <c r="I56" s="3" t="n"/>
      <c r="J56" s="3" t="n"/>
      <c r="K56" s="3" t="n"/>
      <c r="L56" s="3" t="n"/>
      <c r="M56" s="3" t="n"/>
    </row>
    <row r="57">
      <c r="D57" s="14" t="n"/>
      <c r="E57" s="14" t="n"/>
      <c r="F57" s="14" t="n"/>
      <c r="H57" s="3" t="n"/>
      <c r="I57" s="3" t="n"/>
      <c r="J57" s="3" t="n"/>
      <c r="K57" s="3" t="n"/>
      <c r="L57" s="3" t="n"/>
      <c r="M57" s="3" t="n"/>
    </row>
    <row r="58">
      <c r="D58" s="14" t="n"/>
      <c r="E58" s="14" t="n"/>
      <c r="F58" s="14" t="n"/>
      <c r="H58" s="3" t="n"/>
      <c r="I58" s="3" t="n"/>
      <c r="J58" s="3" t="n"/>
      <c r="K58" s="3" t="n"/>
      <c r="L58" s="3" t="n"/>
      <c r="M58" s="3" t="n"/>
    </row>
    <row r="59">
      <c r="D59" s="14" t="n"/>
      <c r="E59" s="14" t="n"/>
      <c r="F59" s="14" t="n"/>
      <c r="H59" s="3" t="n"/>
      <c r="I59" s="3" t="n"/>
      <c r="J59" s="3" t="n"/>
      <c r="K59" s="3" t="n"/>
      <c r="L59" s="3" t="n"/>
      <c r="M59" s="3" t="n"/>
    </row>
    <row r="60">
      <c r="D60" s="14" t="n"/>
      <c r="E60" s="14" t="n"/>
      <c r="F60" s="14" t="n"/>
      <c r="H60" s="3" t="n"/>
      <c r="I60" s="3" t="n"/>
      <c r="J60" s="3" t="n"/>
      <c r="K60" s="3" t="n"/>
      <c r="L60" s="3" t="n"/>
      <c r="M60" s="3" t="n"/>
    </row>
    <row r="61">
      <c r="D61" s="14" t="n"/>
      <c r="E61" s="14" t="n"/>
      <c r="F61" s="14" t="n"/>
      <c r="H61" s="3" t="n"/>
      <c r="I61" s="3" t="n"/>
      <c r="J61" s="3" t="n"/>
      <c r="K61" s="3" t="n"/>
      <c r="L61" s="3" t="n"/>
      <c r="M61" s="3" t="n"/>
    </row>
    <row r="62">
      <c r="D62" s="14" t="n"/>
      <c r="E62" s="14" t="n"/>
      <c r="F62" s="14" t="n"/>
      <c r="H62" s="3" t="n"/>
      <c r="I62" s="3" t="n"/>
      <c r="J62" s="3" t="n"/>
      <c r="K62" s="3" t="n"/>
      <c r="L62" s="3" t="n"/>
      <c r="M62" s="3" t="n"/>
    </row>
    <row r="63">
      <c r="D63" s="14" t="n"/>
      <c r="E63" s="14" t="n"/>
      <c r="F63" s="14" t="n"/>
      <c r="H63" s="3" t="n"/>
      <c r="I63" s="3" t="n"/>
      <c r="J63" s="3" t="n"/>
      <c r="K63" s="3" t="n"/>
      <c r="L63" s="3" t="n"/>
      <c r="M63" s="3" t="n"/>
    </row>
    <row r="64">
      <c r="D64" s="14" t="n"/>
      <c r="E64" s="14" t="n"/>
      <c r="F64" s="14" t="n"/>
      <c r="H64" s="3" t="n"/>
      <c r="I64" s="3" t="n"/>
      <c r="J64" s="3" t="n"/>
      <c r="K64" s="3" t="n"/>
      <c r="L64" s="3" t="n"/>
      <c r="M64" s="3" t="n"/>
    </row>
    <row r="65">
      <c r="D65" s="14" t="n"/>
      <c r="E65" s="14" t="n"/>
      <c r="F65" s="14" t="n"/>
      <c r="H65" s="3" t="n"/>
      <c r="I65" s="3" t="n"/>
      <c r="J65" s="3" t="n"/>
      <c r="K65" s="3" t="n"/>
      <c r="L65" s="3" t="n"/>
      <c r="M65" s="3" t="n"/>
    </row>
    <row r="66">
      <c r="D66" s="14" t="n"/>
      <c r="E66" s="14" t="n"/>
      <c r="F66" s="14" t="n"/>
      <c r="H66" s="3" t="n"/>
      <c r="I66" s="3" t="n"/>
      <c r="J66" s="3" t="n"/>
      <c r="K66" s="3" t="n"/>
      <c r="L66" s="3" t="n"/>
      <c r="M66" s="3" t="n"/>
    </row>
    <row r="67">
      <c r="D67" s="14" t="n"/>
      <c r="E67" s="14" t="n"/>
      <c r="F67" s="14" t="n"/>
      <c r="H67" s="3" t="n"/>
      <c r="I67" s="3" t="n"/>
      <c r="J67" s="3" t="n"/>
      <c r="K67" s="3" t="n"/>
      <c r="L67" s="3" t="n"/>
      <c r="M67" s="3" t="n"/>
    </row>
    <row r="68">
      <c r="D68" s="14" t="n"/>
      <c r="E68" s="14" t="n"/>
      <c r="F68" s="14" t="n"/>
      <c r="H68" s="3" t="n"/>
      <c r="I68" s="3" t="n"/>
      <c r="J68" s="3" t="n"/>
      <c r="K68" s="3" t="n"/>
      <c r="L68" s="3" t="n"/>
      <c r="M68" s="3" t="n"/>
    </row>
    <row r="69">
      <c r="D69" s="14" t="n"/>
      <c r="E69" s="14" t="n"/>
      <c r="F69" s="14" t="n"/>
      <c r="H69" s="3" t="n"/>
      <c r="I69" s="3" t="n"/>
      <c r="J69" s="3" t="n"/>
      <c r="K69" s="3" t="n"/>
      <c r="L69" s="3" t="n"/>
      <c r="M69" s="3" t="n"/>
    </row>
    <row r="70">
      <c r="D70" s="14" t="n"/>
      <c r="E70" s="14" t="n"/>
      <c r="F70" s="14" t="n"/>
      <c r="H70" s="3" t="n"/>
      <c r="I70" s="3" t="n"/>
      <c r="J70" s="3" t="n"/>
      <c r="K70" s="3" t="n"/>
      <c r="L70" s="3" t="n"/>
      <c r="M70" s="3" t="n"/>
    </row>
    <row r="71">
      <c r="D71" s="14" t="n"/>
      <c r="E71" s="14" t="n"/>
      <c r="F71" s="14" t="n"/>
      <c r="H71" s="3" t="n"/>
      <c r="I71" s="3" t="n"/>
      <c r="J71" s="3" t="n"/>
      <c r="K71" s="3" t="n"/>
      <c r="L71" s="3" t="n"/>
      <c r="M71" s="3" t="n"/>
    </row>
    <row r="72">
      <c r="D72" s="14" t="n"/>
      <c r="E72" s="14" t="n"/>
      <c r="F72" s="14" t="n"/>
      <c r="H72" s="3" t="n"/>
      <c r="I72" s="3" t="n"/>
      <c r="J72" s="3" t="n"/>
      <c r="K72" s="3" t="n"/>
      <c r="L72" s="3" t="n"/>
      <c r="M72" s="3" t="n"/>
    </row>
    <row r="73">
      <c r="D73" s="14" t="n"/>
      <c r="E73" s="14" t="n"/>
      <c r="F73" s="14" t="n"/>
      <c r="H73" s="3" t="n"/>
      <c r="I73" s="3" t="n"/>
      <c r="J73" s="3" t="n"/>
      <c r="K73" s="3" t="n"/>
      <c r="L73" s="3" t="n"/>
      <c r="M73" s="3" t="n"/>
    </row>
    <row r="74">
      <c r="D74" s="14" t="n"/>
      <c r="E74" s="14" t="n"/>
      <c r="F74" s="14" t="n"/>
      <c r="H74" s="3" t="n"/>
      <c r="I74" s="3" t="n"/>
      <c r="J74" s="3" t="n"/>
      <c r="K74" s="3" t="n"/>
      <c r="L74" s="3" t="n"/>
      <c r="M74" s="3" t="n"/>
    </row>
    <row r="75">
      <c r="D75" s="14" t="n"/>
      <c r="E75" s="14" t="n"/>
      <c r="F75" s="14" t="n"/>
      <c r="H75" s="3" t="n"/>
      <c r="I75" s="3" t="n"/>
      <c r="J75" s="3" t="n"/>
      <c r="K75" s="3" t="n"/>
      <c r="L75" s="3" t="n"/>
      <c r="M75" s="3" t="n"/>
    </row>
    <row r="76">
      <c r="D76" s="14" t="n"/>
      <c r="E76" s="14" t="n"/>
      <c r="F76" s="14" t="n"/>
      <c r="H76" s="3" t="n"/>
      <c r="I76" s="3" t="n"/>
      <c r="J76" s="3" t="n"/>
      <c r="K76" s="3" t="n"/>
      <c r="L76" s="3" t="n"/>
      <c r="M76" s="3" t="n"/>
    </row>
    <row r="77">
      <c r="D77" s="14" t="n"/>
      <c r="E77" s="14" t="n"/>
      <c r="F77" s="14" t="n"/>
      <c r="H77" s="3" t="n"/>
      <c r="I77" s="3" t="n"/>
      <c r="J77" s="3" t="n"/>
      <c r="K77" s="3" t="n"/>
      <c r="L77" s="3" t="n"/>
      <c r="M77" s="3" t="n"/>
    </row>
    <row r="78">
      <c r="D78" s="14" t="n"/>
      <c r="E78" s="14" t="n"/>
      <c r="F78" s="14" t="n"/>
      <c r="H78" s="3" t="n"/>
      <c r="I78" s="3" t="n"/>
      <c r="J78" s="3" t="n"/>
      <c r="K78" s="3" t="n"/>
      <c r="L78" s="3" t="n"/>
      <c r="M78" s="3" t="n"/>
    </row>
    <row r="79">
      <c r="D79" s="14" t="n"/>
      <c r="E79" s="14" t="n"/>
      <c r="F79" s="14" t="n"/>
      <c r="H79" s="3" t="n"/>
      <c r="I79" s="3" t="n"/>
      <c r="J79" s="3" t="n"/>
      <c r="K79" s="3" t="n"/>
      <c r="L79" s="3" t="n"/>
      <c r="M79" s="3" t="n"/>
    </row>
    <row r="80">
      <c r="D80" s="14" t="n"/>
      <c r="E80" s="14" t="n"/>
      <c r="F80" s="14" t="n"/>
      <c r="H80" s="3" t="n"/>
      <c r="I80" s="3" t="n"/>
      <c r="J80" s="3" t="n"/>
      <c r="K80" s="3" t="n"/>
      <c r="L80" s="3" t="n"/>
      <c r="M80" s="3" t="n"/>
    </row>
    <row r="81">
      <c r="D81" s="14" t="n"/>
      <c r="E81" s="14" t="n"/>
      <c r="F81" s="14" t="n"/>
      <c r="H81" s="3" t="n"/>
      <c r="I81" s="3" t="n"/>
      <c r="J81" s="3" t="n"/>
      <c r="K81" s="3" t="n"/>
      <c r="L81" s="3" t="n"/>
      <c r="M81" s="3" t="n"/>
    </row>
    <row r="82">
      <c r="D82" s="14" t="n"/>
      <c r="E82" s="14" t="n"/>
      <c r="F82" s="14" t="n"/>
      <c r="H82" s="3" t="n"/>
      <c r="I82" s="3" t="n"/>
      <c r="J82" s="3" t="n"/>
      <c r="K82" s="3" t="n"/>
      <c r="L82" s="3" t="n"/>
      <c r="M82" s="3" t="n"/>
    </row>
    <row r="83">
      <c r="D83" s="14" t="n"/>
      <c r="E83" s="14" t="n"/>
      <c r="F83" s="14" t="n"/>
      <c r="H83" s="3" t="n"/>
      <c r="I83" s="3" t="n"/>
      <c r="J83" s="3" t="n"/>
      <c r="K83" s="3" t="n"/>
      <c r="L83" s="3" t="n"/>
      <c r="M83" s="3" t="n"/>
    </row>
    <row r="84">
      <c r="D84" s="14" t="n"/>
      <c r="E84" s="14" t="n"/>
      <c r="F84" s="14" t="n"/>
      <c r="H84" s="3" t="n"/>
      <c r="I84" s="3" t="n"/>
      <c r="J84" s="3" t="n"/>
      <c r="K84" s="3" t="n"/>
      <c r="L84" s="3" t="n"/>
      <c r="M84" s="3" t="n"/>
    </row>
    <row r="85">
      <c r="D85" s="14" t="n"/>
      <c r="E85" s="14" t="n"/>
      <c r="F85" s="14" t="n"/>
      <c r="H85" s="3" t="n"/>
      <c r="I85" s="3" t="n"/>
      <c r="J85" s="3" t="n"/>
      <c r="K85" s="3" t="n"/>
      <c r="L85" s="3" t="n"/>
      <c r="M85" s="3" t="n"/>
    </row>
    <row r="86">
      <c r="D86" s="14" t="n"/>
      <c r="E86" s="14" t="n"/>
      <c r="F86" s="14" t="n"/>
      <c r="H86" s="3" t="n"/>
      <c r="I86" s="3" t="n"/>
      <c r="J86" s="3" t="n"/>
      <c r="K86" s="3" t="n"/>
      <c r="L86" s="3" t="n"/>
      <c r="M86" s="3" t="n"/>
    </row>
    <row r="87">
      <c r="D87" s="14" t="n"/>
      <c r="E87" s="14" t="n"/>
      <c r="F87" s="14" t="n"/>
      <c r="H87" s="3" t="n"/>
      <c r="I87" s="3" t="n"/>
      <c r="J87" s="3" t="n"/>
      <c r="K87" s="3" t="n"/>
      <c r="L87" s="3" t="n"/>
      <c r="M87" s="3" t="n"/>
    </row>
    <row r="88">
      <c r="D88" s="14" t="n"/>
      <c r="E88" s="14" t="n"/>
      <c r="F88" s="14" t="n"/>
      <c r="H88" s="3" t="n"/>
      <c r="I88" s="3" t="n"/>
      <c r="J88" s="3" t="n"/>
      <c r="K88" s="3" t="n"/>
      <c r="L88" s="3" t="n"/>
      <c r="M88" s="3" t="n"/>
    </row>
    <row r="89">
      <c r="D89" s="14" t="n"/>
      <c r="E89" s="14" t="n"/>
      <c r="F89" s="14" t="n"/>
      <c r="H89" s="3" t="n"/>
      <c r="I89" s="3" t="n"/>
      <c r="J89" s="3" t="n"/>
      <c r="K89" s="3" t="n"/>
      <c r="L89" s="3" t="n"/>
      <c r="M89" s="3" t="n"/>
    </row>
    <row r="90">
      <c r="D90" s="14" t="n"/>
      <c r="E90" s="14" t="n"/>
      <c r="F90" s="14" t="n"/>
      <c r="H90" s="3" t="n"/>
      <c r="I90" s="3" t="n"/>
      <c r="J90" s="3" t="n"/>
      <c r="K90" s="3" t="n"/>
      <c r="L90" s="3" t="n"/>
      <c r="M90" s="3" t="n"/>
    </row>
    <row r="91">
      <c r="D91" s="14" t="n"/>
      <c r="E91" s="14" t="n"/>
      <c r="F91" s="14" t="n"/>
      <c r="H91" s="3" t="n"/>
      <c r="I91" s="3" t="n"/>
      <c r="J91" s="3" t="n"/>
      <c r="K91" s="3" t="n"/>
      <c r="L91" s="3" t="n"/>
      <c r="M91" s="3" t="n"/>
    </row>
    <row r="92">
      <c r="D92" s="14" t="n"/>
      <c r="E92" s="14" t="n"/>
      <c r="F92" s="14" t="n"/>
      <c r="H92" s="3" t="n"/>
      <c r="I92" s="3" t="n"/>
      <c r="J92" s="3" t="n"/>
      <c r="K92" s="3" t="n"/>
      <c r="L92" s="3" t="n"/>
      <c r="M92" s="3" t="n"/>
    </row>
    <row r="93">
      <c r="D93" s="14" t="n"/>
      <c r="E93" s="14" t="n"/>
      <c r="F93" s="14" t="n"/>
      <c r="H93" s="3" t="n"/>
      <c r="I93" s="3" t="n"/>
      <c r="J93" s="3" t="n"/>
      <c r="K93" s="3" t="n"/>
      <c r="L93" s="3" t="n"/>
      <c r="M93" s="3" t="n"/>
    </row>
    <row r="94">
      <c r="D94" s="14" t="n"/>
      <c r="E94" s="14" t="n"/>
      <c r="F94" s="14" t="n"/>
      <c r="H94" s="3" t="n"/>
      <c r="I94" s="3" t="n"/>
      <c r="J94" s="3" t="n"/>
      <c r="K94" s="3" t="n"/>
      <c r="L94" s="3" t="n"/>
      <c r="M94" s="3" t="n"/>
    </row>
    <row r="95">
      <c r="D95" s="14" t="n"/>
      <c r="E95" s="14" t="n"/>
      <c r="F95" s="14" t="n"/>
      <c r="H95" s="3" t="n"/>
      <c r="I95" s="3" t="n"/>
      <c r="J95" s="3" t="n"/>
      <c r="K95" s="3" t="n"/>
      <c r="L95" s="3" t="n"/>
      <c r="M95" s="3" t="n"/>
    </row>
    <row r="96">
      <c r="D96" s="14" t="n"/>
      <c r="E96" s="14" t="n"/>
      <c r="F96" s="14" t="n"/>
      <c r="H96" s="3" t="n"/>
      <c r="I96" s="3" t="n"/>
      <c r="J96" s="3" t="n"/>
      <c r="K96" s="3" t="n"/>
      <c r="L96" s="3" t="n"/>
      <c r="M96" s="3" t="n"/>
    </row>
    <row r="97">
      <c r="D97" s="14" t="n"/>
      <c r="E97" s="14" t="n"/>
      <c r="F97" s="14" t="n"/>
      <c r="H97" s="3" t="n"/>
      <c r="I97" s="3" t="n"/>
      <c r="J97" s="3" t="n"/>
      <c r="K97" s="3" t="n"/>
      <c r="L97" s="3" t="n"/>
      <c r="M97" s="3" t="n"/>
    </row>
    <row r="98">
      <c r="D98" s="14" t="n"/>
      <c r="E98" s="14" t="n"/>
      <c r="F98" s="14" t="n"/>
      <c r="H98" s="3" t="n"/>
      <c r="I98" s="3" t="n"/>
      <c r="J98" s="3" t="n"/>
      <c r="K98" s="3" t="n"/>
      <c r="L98" s="3" t="n"/>
      <c r="M98" s="3" t="n"/>
    </row>
    <row r="99">
      <c r="D99" s="14" t="n"/>
      <c r="E99" s="14" t="n"/>
      <c r="F99" s="14" t="n"/>
      <c r="H99" s="3" t="n"/>
      <c r="I99" s="3" t="n"/>
      <c r="J99" s="3" t="n"/>
      <c r="K99" s="3" t="n"/>
      <c r="L99" s="3" t="n"/>
      <c r="M99" s="3" t="n"/>
    </row>
    <row r="100">
      <c r="D100" s="14" t="n"/>
      <c r="E100" s="14" t="n"/>
      <c r="F100" s="14" t="n"/>
      <c r="H100" s="3" t="n"/>
      <c r="I100" s="3" t="n"/>
      <c r="J100" s="3" t="n"/>
      <c r="K100" s="3" t="n"/>
      <c r="L100" s="3" t="n"/>
      <c r="M100" s="3" t="n"/>
    </row>
    <row r="101">
      <c r="D101" s="14" t="n"/>
      <c r="E101" s="14" t="n"/>
      <c r="F101" s="14" t="n"/>
      <c r="H101" s="3" t="n"/>
      <c r="I101" s="3" t="n"/>
      <c r="J101" s="3" t="n"/>
      <c r="K101" s="3" t="n"/>
      <c r="L101" s="3" t="n"/>
      <c r="M101" s="3" t="n"/>
    </row>
    <row r="102">
      <c r="D102" s="14" t="n"/>
      <c r="E102" s="14" t="n"/>
      <c r="F102" s="14" t="n"/>
      <c r="H102" s="3" t="n"/>
      <c r="I102" s="3" t="n"/>
      <c r="J102" s="3" t="n"/>
      <c r="K102" s="3" t="n"/>
      <c r="L102" s="3" t="n"/>
      <c r="M102" s="3" t="n"/>
    </row>
    <row r="103">
      <c r="D103" s="14" t="n"/>
      <c r="E103" s="14" t="n"/>
      <c r="F103" s="14" t="n"/>
      <c r="H103" s="3" t="n"/>
      <c r="I103" s="3" t="n"/>
      <c r="J103" s="3" t="n"/>
      <c r="K103" s="3" t="n"/>
      <c r="L103" s="3" t="n"/>
      <c r="M103" s="3" t="n"/>
    </row>
    <row r="104">
      <c r="D104" s="14" t="n"/>
      <c r="E104" s="14" t="n"/>
      <c r="F104" s="14" t="n"/>
      <c r="H104" s="3" t="n"/>
      <c r="I104" s="3" t="n"/>
      <c r="J104" s="3" t="n"/>
      <c r="K104" s="3" t="n"/>
      <c r="L104" s="3" t="n"/>
      <c r="M104" s="3" t="n"/>
    </row>
    <row r="105">
      <c r="D105" s="14" t="n"/>
      <c r="E105" s="14" t="n"/>
      <c r="F105" s="14" t="n"/>
      <c r="H105" s="3" t="n"/>
      <c r="I105" s="3" t="n"/>
      <c r="J105" s="3" t="n"/>
      <c r="K105" s="3" t="n"/>
      <c r="L105" s="3" t="n"/>
      <c r="M105" s="3" t="n"/>
    </row>
    <row r="106">
      <c r="D106" s="14" t="n"/>
      <c r="E106" s="14" t="n"/>
      <c r="F106" s="14" t="n"/>
      <c r="H106" s="3" t="n"/>
      <c r="I106" s="3" t="n"/>
      <c r="J106" s="3" t="n"/>
      <c r="K106" s="3" t="n"/>
      <c r="L106" s="3" t="n"/>
      <c r="M106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7324D"/>
    <outlinePr summaryBelow="1" summaryRight="1"/>
    <pageSetUpPr/>
  </sheetPr>
  <dimension ref="A1:H156"/>
  <sheetViews>
    <sheetView showGridLines="0" workbookViewId="0">
      <selection activeCell="H7" sqref="H7"/>
    </sheetView>
  </sheetViews>
  <sheetFormatPr baseColWidth="8" defaultRowHeight="14.25"/>
  <cols>
    <col width="11.125" customWidth="1" min="1" max="1"/>
    <col width="26.625" customWidth="1" min="2" max="2"/>
    <col width="12.75" customWidth="1" min="3" max="5"/>
    <col width="12.375" customWidth="1" min="6" max="6"/>
    <col width="10.875" customWidth="1" min="7" max="7"/>
    <col width="16.125" customWidth="1" min="8" max="8"/>
  </cols>
  <sheetData>
    <row r="1" ht="24" customHeight="1">
      <c r="A1" s="17" t="inlineStr">
        <is>
          <t>CUSTO POR PROJETO POR PERÍODO</t>
        </is>
      </c>
      <c r="B1" s="17" t="n"/>
      <c r="C1" s="17" t="n"/>
      <c r="D1" s="17" t="n"/>
      <c r="E1" s="17" t="n"/>
      <c r="F1" s="17" t="n"/>
      <c r="G1" s="17" t="n"/>
      <c r="H1" s="17" t="n"/>
    </row>
    <row r="2" ht="19.5" customHeight="1">
      <c r="A2" s="7" t="inlineStr">
        <is>
          <t>Informe o primeiro e o último dia para recalcular o custo por projeto.</t>
        </is>
      </c>
    </row>
    <row r="4" ht="22.5" customHeight="1">
      <c r="A4" s="8" t="inlineStr">
        <is>
          <t>Data inicial</t>
        </is>
      </c>
      <c r="B4" s="11" t="n">
        <v>46235</v>
      </c>
      <c r="C4" s="8" t="inlineStr">
        <is>
          <t>Data final</t>
        </is>
      </c>
      <c r="D4" s="11" t="n">
        <v>46265</v>
      </c>
    </row>
    <row r="5" ht="15" customHeight="1">
      <c r="A5" s="18" t="n"/>
      <c r="B5" s="18" t="inlineStr">
        <is>
          <t>TOTAL DO PERÍODO</t>
        </is>
      </c>
      <c r="C5" s="18" t="n"/>
      <c r="D5" s="18" t="n"/>
      <c r="E5" s="18">
        <f>SUM(E7:E156)</f>
        <v/>
      </c>
      <c r="F5" s="18" t="n"/>
      <c r="G5" s="18" t="n"/>
      <c r="H5" s="19">
        <f>SUM(H7:H156)</f>
        <v/>
      </c>
    </row>
    <row r="6" ht="24" customHeight="1">
      <c r="A6" s="5" t="inlineStr">
        <is>
          <t>Código</t>
        </is>
      </c>
      <c r="B6" s="5" t="inlineStr">
        <is>
          <t>Projeto</t>
        </is>
      </c>
      <c r="C6" s="5" t="inlineStr">
        <is>
          <t>Horas úteis</t>
        </is>
      </c>
      <c r="D6" s="5" t="inlineStr">
        <is>
          <t>Horas FDS</t>
        </is>
      </c>
      <c r="E6" s="5" t="inlineStr">
        <is>
          <t>Horas totais</t>
        </is>
      </c>
      <c r="F6" s="5" t="inlineStr">
        <is>
          <t>Registros</t>
        </is>
      </c>
      <c r="G6" s="5" t="inlineStr">
        <is>
          <t>Pessoas</t>
        </is>
      </c>
      <c r="H6" s="5" t="inlineStr">
        <is>
          <t>Custo total</t>
        </is>
      </c>
    </row>
    <row r="7" ht="18.75" customHeight="1">
      <c r="A7" t="inlineStr">
        <is>
          <t>PRJ-001</t>
        </is>
      </c>
      <c r="B7" t="inlineStr">
        <is>
          <t>BC - CONFIANÇA PIX</t>
        </is>
      </c>
      <c r="C7" s="14">
        <f>IF(B7="","",SUMIFS(tblRegistros[Horas],tblRegistros[Projeto],B7,tblRegistros[Data],"&gt;="&amp;$B$4,tblRegistros[Data],"&lt;"&amp;($D$4+1),tblRegistros[Status],"CONCLUÍDO",tblRegistros[Tipo de dia],"DIA ÚTIL"))</f>
        <v/>
      </c>
      <c r="D7" s="14">
        <f>IF(B7="","",SUMIFS(tblRegistros[Horas],tblRegistros[Projeto],B7,tblRegistros[Data],"&gt;="&amp;$B$4,tblRegistros[Data],"&lt;"&amp;($D$4+1),tblRegistros[Status],"CONCLUÍDO",tblRegistros[Tipo de dia],"FDS/FERIADO"))</f>
        <v/>
      </c>
      <c r="E7" s="14">
        <f>IF(B7="","",C7+D7)</f>
        <v/>
      </c>
      <c r="F7">
        <f>IF(B7="","",COUNTIFS(tblRegistros[Projeto],B7,tblRegistros[Data],"&gt;="&amp;$B$4,tblRegistros[Data],"&lt;"&amp;($D$4+1),tblRegistros[Status],"CONCLUÍDO"))</f>
        <v/>
      </c>
      <c r="G7">
        <f>IF(F7=0,0,IFERROR(ROWS(_xlfn.UNIQUE(_xlfn._xlws.FILTER(tblRegistros[ID],(tblRegistros[Projeto]=B7)*(tblRegistros[Data]&gt;=$B$4)*(tblRegistros[Data]&lt;=$D$4)*(tblRegistros[Status]="CONCLUÍDO")))),0))</f>
        <v/>
      </c>
      <c r="H7" s="3">
        <f>IF(B7="","",SUMIFS(tblRegistros[Valor],tblRegistros[Projeto],B7,tblRegistros[Data],"&gt;="&amp;$B$4,tblRegistros[Data],"&lt;"&amp;($D$4+1),tblRegistros[Status],"CONCLUÍDO"))</f>
        <v/>
      </c>
    </row>
    <row r="8" ht="18.75" customHeight="1">
      <c r="A8" t="inlineStr">
        <is>
          <t>PRJ-002</t>
        </is>
      </c>
      <c r="B8" t="inlineStr">
        <is>
          <t>CFI / ACCION</t>
        </is>
      </c>
      <c r="C8" s="14">
        <f>IF(B8="","",SUMIFS(tblRegistros[Horas],tblRegistros[Projeto],B8,tblRegistros[Data],"&gt;="&amp;$B$4,tblRegistros[Data],"&lt;"&amp;($D$4+1),tblRegistros[Status],"CONCLUÍDO",tblRegistros[Tipo de dia],"DIA ÚTIL"))</f>
        <v/>
      </c>
      <c r="D8" s="14">
        <f>IF(B8="","",SUMIFS(tblRegistros[Horas],tblRegistros[Projeto],B8,tblRegistros[Data],"&gt;="&amp;$B$4,tblRegistros[Data],"&lt;"&amp;($D$4+1),tblRegistros[Status],"CONCLUÍDO",tblRegistros[Tipo de dia],"FDS/FERIADO"))</f>
        <v/>
      </c>
      <c r="E8" s="14">
        <f>IF(B8="","",C8+D8)</f>
        <v/>
      </c>
      <c r="F8">
        <f>IF(B8="","",COUNTIFS(tblRegistros[Projeto],B8,tblRegistros[Data],"&gt;="&amp;$B$4,tblRegistros[Data],"&lt;"&amp;($D$4+1),tblRegistros[Status],"CONCLUÍDO"))</f>
        <v/>
      </c>
      <c r="G8">
        <f>IF(F8=0,0,IFERROR(ROWS(_xlfn.UNIQUE(_xlfn._xlws.FILTER(tblRegistros[ID],(tblRegistros[Projeto]=B8)*(tblRegistros[Data]&gt;=$B$4)*(tblRegistros[Data]&lt;=$D$4)*(tblRegistros[Status]="CONCLUÍDO")))),0))</f>
        <v/>
      </c>
      <c r="H8" s="3">
        <f>IF(B8="","",SUMIFS(tblRegistros[Valor],tblRegistros[Projeto],B8,tblRegistros[Data],"&gt;="&amp;$B$4,tblRegistros[Data],"&lt;"&amp;($D$4+1),tblRegistros[Status],"CONCLUÍDO"))</f>
        <v/>
      </c>
    </row>
    <row r="9" ht="18.75" customHeight="1">
      <c r="A9" t="inlineStr">
        <is>
          <t>PRJ-003</t>
        </is>
      </c>
      <c r="B9" t="inlineStr">
        <is>
          <t>SICOOB CREDICOM</t>
        </is>
      </c>
      <c r="C9" s="14">
        <f>IF(B9="","",SUMIFS(tblRegistros[Horas],tblRegistros[Projeto],B9,tblRegistros[Data],"&gt;="&amp;$B$4,tblRegistros[Data],"&lt;"&amp;($D$4+1),tblRegistros[Status],"CONCLUÍDO",tblRegistros[Tipo de dia],"DIA ÚTIL"))</f>
        <v/>
      </c>
      <c r="D9" s="14">
        <f>IF(B9="","",SUMIFS(tblRegistros[Horas],tblRegistros[Projeto],B9,tblRegistros[Data],"&gt;="&amp;$B$4,tblRegistros[Data],"&lt;"&amp;($D$4+1),tblRegistros[Status],"CONCLUÍDO",tblRegistros[Tipo de dia],"FDS/FERIADO"))</f>
        <v/>
      </c>
      <c r="E9" s="14">
        <f>IF(B9="","",C9+D9)</f>
        <v/>
      </c>
      <c r="F9">
        <f>IF(B9="","",COUNTIFS(tblRegistros[Projeto],B9,tblRegistros[Data],"&gt;="&amp;$B$4,tblRegistros[Data],"&lt;"&amp;($D$4+1),tblRegistros[Status],"CONCLUÍDO"))</f>
        <v/>
      </c>
      <c r="G9">
        <f>IF(F9=0,0,IFERROR(ROWS(_xlfn.UNIQUE(_xlfn._xlws.FILTER(tblRegistros[ID],(tblRegistros[Projeto]=B9)*(tblRegistros[Data]&gt;=$B$4)*(tblRegistros[Data]&lt;=$D$4)*(tblRegistros[Status]="CONCLUÍDO")))),0))</f>
        <v/>
      </c>
      <c r="H9" s="3">
        <f>IF(B9="","",SUMIFS(tblRegistros[Valor],tblRegistros[Projeto],B9,tblRegistros[Data],"&gt;="&amp;$B$4,tblRegistros[Data],"&lt;"&amp;($D$4+1),tblRegistros[Status],"CONCLUÍDO"))</f>
        <v/>
      </c>
    </row>
    <row r="10" ht="18.75" customHeight="1">
      <c r="A10" t="inlineStr">
        <is>
          <t>PRJ-004</t>
        </is>
      </c>
      <c r="B10" t="inlineStr">
        <is>
          <t>OTEMPO</t>
        </is>
      </c>
      <c r="C10" s="14">
        <f>IF(B10="","",SUMIFS(tblRegistros[Horas],tblRegistros[Projeto],B10,tblRegistros[Data],"&gt;="&amp;$B$4,tblRegistros[Data],"&lt;"&amp;($D$4+1),tblRegistros[Status],"CONCLUÍDO",tblRegistros[Tipo de dia],"DIA ÚTIL"))</f>
        <v/>
      </c>
      <c r="D10" s="14">
        <f>IF(B10="","",SUMIFS(tblRegistros[Horas],tblRegistros[Projeto],B10,tblRegistros[Data],"&gt;="&amp;$B$4,tblRegistros[Data],"&lt;"&amp;($D$4+1),tblRegistros[Status],"CONCLUÍDO",tblRegistros[Tipo de dia],"FDS/FERIADO"))</f>
        <v/>
      </c>
      <c r="E10" s="14">
        <f>IF(B10="","",C10+D10)</f>
        <v/>
      </c>
      <c r="F10">
        <f>IF(B10="","",COUNTIFS(tblRegistros[Projeto],B10,tblRegistros[Data],"&gt;="&amp;$B$4,tblRegistros[Data],"&lt;"&amp;($D$4+1),tblRegistros[Status],"CONCLUÍDO"))</f>
        <v/>
      </c>
      <c r="G10">
        <f>IF(F10=0,0,IFERROR(ROWS(_xlfn.UNIQUE(_xlfn._xlws.FILTER(tblRegistros[ID],(tblRegistros[Projeto]=B10)*(tblRegistros[Data]&gt;=$B$4)*(tblRegistros[Data]&lt;=$D$4)*(tblRegistros[Status]="CONCLUÍDO")))),0))</f>
        <v/>
      </c>
      <c r="H10" s="3">
        <f>IF(B10="","",SUMIFS(tblRegistros[Valor],tblRegistros[Projeto],B10,tblRegistros[Data],"&gt;="&amp;$B$4,tblRegistros[Data],"&lt;"&amp;($D$4+1),tblRegistros[Status],"CONCLUÍDO"))</f>
        <v/>
      </c>
    </row>
    <row r="11" ht="18.75" customHeight="1">
      <c r="A11" t="inlineStr">
        <is>
          <t>PRJ-005</t>
        </is>
      </c>
      <c r="B11" t="inlineStr">
        <is>
          <t>ESTADUAL - OTEMPO</t>
        </is>
      </c>
      <c r="C11" s="14">
        <f>IF(B11="","",SUMIFS(tblRegistros[Horas],tblRegistros[Projeto],B11,tblRegistros[Data],"&gt;="&amp;$B$4,tblRegistros[Data],"&lt;"&amp;($D$4+1),tblRegistros[Status],"CONCLUÍDO",tblRegistros[Tipo de dia],"DIA ÚTIL"))</f>
        <v/>
      </c>
      <c r="D11" s="14">
        <f>IF(B11="","",SUMIFS(tblRegistros[Horas],tblRegistros[Projeto],B11,tblRegistros[Data],"&gt;="&amp;$B$4,tblRegistros[Data],"&lt;"&amp;($D$4+1),tblRegistros[Status],"CONCLUÍDO",tblRegistros[Tipo de dia],"FDS/FERIADO"))</f>
        <v/>
      </c>
      <c r="E11" s="14">
        <f>IF(B11="","",C11+D11)</f>
        <v/>
      </c>
      <c r="F11">
        <f>IF(B11="","",COUNTIFS(tblRegistros[Projeto],B11,tblRegistros[Data],"&gt;="&amp;$B$4,tblRegistros[Data],"&lt;"&amp;($D$4+1),tblRegistros[Status],"CONCLUÍDO"))</f>
        <v/>
      </c>
      <c r="G11">
        <f>IF(F11=0,0,IFERROR(ROWS(_xlfn.UNIQUE(_xlfn._xlws.FILTER(tblRegistros[ID],(tblRegistros[Projeto]=B11)*(tblRegistros[Data]&gt;=$B$4)*(tblRegistros[Data]&lt;=$D$4)*(tblRegistros[Status]="CONCLUÍDO")))),0))</f>
        <v/>
      </c>
      <c r="H11" s="3">
        <f>IF(B11="","",SUMIFS(tblRegistros[Valor],tblRegistros[Projeto],B11,tblRegistros[Data],"&gt;="&amp;$B$4,tblRegistros[Data],"&lt;"&amp;($D$4+1),tblRegistros[Status],"CONCLUÍDO"))</f>
        <v/>
      </c>
    </row>
    <row r="12" ht="18.75" customHeight="1">
      <c r="A12" t="inlineStr">
        <is>
          <t>PRJ-006</t>
        </is>
      </c>
      <c r="B12" t="inlineStr">
        <is>
          <t>CDL/BH</t>
        </is>
      </c>
      <c r="C12" s="14">
        <f>IF(B12="","",SUMIFS(tblRegistros[Horas],tblRegistros[Projeto],B12,tblRegistros[Data],"&gt;="&amp;$B$4,tblRegistros[Data],"&lt;"&amp;($D$4+1),tblRegistros[Status],"CONCLUÍDO",tblRegistros[Tipo de dia],"DIA ÚTIL"))</f>
        <v/>
      </c>
      <c r="D12" s="14">
        <f>IF(B12="","",SUMIFS(tblRegistros[Horas],tblRegistros[Projeto],B12,tblRegistros[Data],"&gt;="&amp;$B$4,tblRegistros[Data],"&lt;"&amp;($D$4+1),tblRegistros[Status],"CONCLUÍDO",tblRegistros[Tipo de dia],"FDS/FERIADO"))</f>
        <v/>
      </c>
      <c r="E12" s="14">
        <f>IF(B12="","",C12+D12)</f>
        <v/>
      </c>
      <c r="F12">
        <f>IF(B12="","",COUNTIFS(tblRegistros[Projeto],B12,tblRegistros[Data],"&gt;="&amp;$B$4,tblRegistros[Data],"&lt;"&amp;($D$4+1),tblRegistros[Status],"CONCLUÍDO"))</f>
        <v/>
      </c>
      <c r="G12">
        <f>IF(F12=0,0,IFERROR(ROWS(_xlfn.UNIQUE(_xlfn._xlws.FILTER(tblRegistros[ID],(tblRegistros[Projeto]=B12)*(tblRegistros[Data]&gt;=$B$4)*(tblRegistros[Data]&lt;=$D$4)*(tblRegistros[Status]="CONCLUÍDO")))),0))</f>
        <v/>
      </c>
      <c r="H12" s="3">
        <f>IF(B12="","",SUMIFS(tblRegistros[Valor],tblRegistros[Projeto],B12,tblRegistros[Data],"&gt;="&amp;$B$4,tblRegistros[Data],"&lt;"&amp;($D$4+1),tblRegistros[Status],"CONCLUÍDO"))</f>
        <v/>
      </c>
    </row>
    <row r="13" ht="18.75" customHeight="1">
      <c r="A13" t="inlineStr">
        <is>
          <t>PRJ-007</t>
        </is>
      </c>
      <c r="B13" t="inlineStr">
        <is>
          <t>TOOLKIT</t>
        </is>
      </c>
      <c r="C13" s="14">
        <f>IF(B13="","",SUMIFS(tblRegistros[Horas],tblRegistros[Projeto],B13,tblRegistros[Data],"&gt;="&amp;$B$4,tblRegistros[Data],"&lt;"&amp;($D$4+1),tblRegistros[Status],"CONCLUÍDO",tblRegistros[Tipo de dia],"DIA ÚTIL"))</f>
        <v/>
      </c>
      <c r="D13" s="14">
        <f>IF(B13="","",SUMIFS(tblRegistros[Horas],tblRegistros[Projeto],B13,tblRegistros[Data],"&gt;="&amp;$B$4,tblRegistros[Data],"&lt;"&amp;($D$4+1),tblRegistros[Status],"CONCLUÍDO",tblRegistros[Tipo de dia],"FDS/FERIADO"))</f>
        <v/>
      </c>
      <c r="E13" s="14">
        <f>IF(B13="","",C13+D13)</f>
        <v/>
      </c>
      <c r="F13">
        <f>IF(B13="","",COUNTIFS(tblRegistros[Projeto],B13,tblRegistros[Data],"&gt;="&amp;$B$4,tblRegistros[Data],"&lt;"&amp;($D$4+1),tblRegistros[Status],"CONCLUÍDO"))</f>
        <v/>
      </c>
      <c r="G13">
        <f>IF(F13=0,0,IFERROR(ROWS(_xlfn.UNIQUE(_xlfn._xlws.FILTER(tblRegistros[ID],(tblRegistros[Projeto]=B13)*(tblRegistros[Data]&gt;=$B$4)*(tblRegistros[Data]&lt;=$D$4)*(tblRegistros[Status]="CONCLUÍDO")))),0))</f>
        <v/>
      </c>
      <c r="H13" s="3">
        <f>IF(B13="","",SUMIFS(tblRegistros[Valor],tblRegistros[Projeto],B13,tblRegistros[Data],"&gt;="&amp;$B$4,tblRegistros[Data],"&lt;"&amp;($D$4+1),tblRegistros[Status],"CONCLUÍDO"))</f>
        <v/>
      </c>
    </row>
    <row r="14" ht="18.75" customHeight="1">
      <c r="A14" t="inlineStr">
        <is>
          <t>PRJ-008</t>
        </is>
      </c>
      <c r="B14" t="inlineStr">
        <is>
          <t>CAMPANHA</t>
        </is>
      </c>
      <c r="C14" s="14">
        <f>IF(B14="","",SUMIFS(tblRegistros[Horas],tblRegistros[Projeto],B14,tblRegistros[Data],"&gt;="&amp;$B$4,tblRegistros[Data],"&lt;"&amp;($D$4+1),tblRegistros[Status],"CONCLUÍDO",tblRegistros[Tipo de dia],"DIA ÚTIL"))</f>
        <v/>
      </c>
      <c r="D14" s="14">
        <f>IF(B14="","",SUMIFS(tblRegistros[Horas],tblRegistros[Projeto],B14,tblRegistros[Data],"&gt;="&amp;$B$4,tblRegistros[Data],"&lt;"&amp;($D$4+1),tblRegistros[Status],"CONCLUÍDO",tblRegistros[Tipo de dia],"FDS/FERIADO"))</f>
        <v/>
      </c>
      <c r="E14" s="14">
        <f>IF(B14="","",C14+D14)</f>
        <v/>
      </c>
      <c r="F14">
        <f>IF(B14="","",COUNTIFS(tblRegistros[Projeto],B14,tblRegistros[Data],"&gt;="&amp;$B$4,tblRegistros[Data],"&lt;"&amp;($D$4+1),tblRegistros[Status],"CONCLUÍDO"))</f>
        <v/>
      </c>
      <c r="G14">
        <f>IF(F14=0,0,IFERROR(ROWS(_xlfn.UNIQUE(_xlfn._xlws.FILTER(tblRegistros[ID],(tblRegistros[Projeto]=B14)*(tblRegistros[Data]&gt;=$B$4)*(tblRegistros[Data]&lt;=$D$4)*(tblRegistros[Status]="CONCLUÍDO")))),0))</f>
        <v/>
      </c>
      <c r="H14" s="3">
        <f>IF(B14="","",SUMIFS(tblRegistros[Valor],tblRegistros[Projeto],B14,tblRegistros[Data],"&gt;="&amp;$B$4,tblRegistros[Data],"&lt;"&amp;($D$4+1),tblRegistros[Status],"CONCLUÍDO"))</f>
        <v/>
      </c>
    </row>
    <row r="15" ht="18.75" customHeight="1">
      <c r="A15" t="inlineStr">
        <is>
          <t>PRJ-009</t>
        </is>
      </c>
      <c r="B15" t="inlineStr">
        <is>
          <t>ADMINISTRATIVO</t>
        </is>
      </c>
      <c r="C15" s="14">
        <f>IF(B15="","",SUMIFS(tblRegistros[Horas],tblRegistros[Projeto],B15,tblRegistros[Data],"&gt;="&amp;$B$4,tblRegistros[Data],"&lt;"&amp;($D$4+1),tblRegistros[Status],"CONCLUÍDO",tblRegistros[Tipo de dia],"DIA ÚTIL"))</f>
        <v/>
      </c>
      <c r="D15" s="14">
        <f>IF(B15="","",SUMIFS(tblRegistros[Horas],tblRegistros[Projeto],B15,tblRegistros[Data],"&gt;="&amp;$B$4,tblRegistros[Data],"&lt;"&amp;($D$4+1),tblRegistros[Status],"CONCLUÍDO",tblRegistros[Tipo de dia],"FDS/FERIADO"))</f>
        <v/>
      </c>
      <c r="E15" s="14">
        <f>IF(B15="","",C15+D15)</f>
        <v/>
      </c>
      <c r="F15">
        <f>IF(B15="","",COUNTIFS(tblRegistros[Projeto],B15,tblRegistros[Data],"&gt;="&amp;$B$4,tblRegistros[Data],"&lt;"&amp;($D$4+1),tblRegistros[Status],"CONCLUÍDO"))</f>
        <v/>
      </c>
      <c r="G15">
        <f>IF(F15=0,0,IFERROR(ROWS(_xlfn.UNIQUE(_xlfn._xlws.FILTER(tblRegistros[ID],(tblRegistros[Projeto]=B15)*(tblRegistros[Data]&gt;=$B$4)*(tblRegistros[Data]&lt;=$D$4)*(tblRegistros[Status]="CONCLUÍDO")))),0))</f>
        <v/>
      </c>
      <c r="H15" s="3">
        <f>IF(B15="","",SUMIFS(tblRegistros[Valor],tblRegistros[Projeto],B15,tblRegistros[Data],"&gt;="&amp;$B$4,tblRegistros[Data],"&lt;"&amp;($D$4+1),tblRegistros[Status],"CONCLUÍDO"))</f>
        <v/>
      </c>
    </row>
    <row r="16" ht="18.75" customHeight="1">
      <c r="A16" t="inlineStr">
        <is>
          <t>PRJ-010</t>
        </is>
      </c>
      <c r="B16" t="inlineStr">
        <is>
          <t>OUTROS</t>
        </is>
      </c>
      <c r="C16" s="14">
        <f>IF(B16="","",SUMIFS(tblRegistros[Horas],tblRegistros[Projeto],B16,tblRegistros[Data],"&gt;="&amp;$B$4,tblRegistros[Data],"&lt;"&amp;($D$4+1),tblRegistros[Status],"CONCLUÍDO",tblRegistros[Tipo de dia],"DIA ÚTIL"))</f>
        <v/>
      </c>
      <c r="D16" s="14">
        <f>IF(B16="","",SUMIFS(tblRegistros[Horas],tblRegistros[Projeto],B16,tblRegistros[Data],"&gt;="&amp;$B$4,tblRegistros[Data],"&lt;"&amp;($D$4+1),tblRegistros[Status],"CONCLUÍDO",tblRegistros[Tipo de dia],"FDS/FERIADO"))</f>
        <v/>
      </c>
      <c r="E16" s="14">
        <f>IF(B16="","",C16+D16)</f>
        <v/>
      </c>
      <c r="F16">
        <f>IF(B16="","",COUNTIFS(tblRegistros[Projeto],B16,tblRegistros[Data],"&gt;="&amp;$B$4,tblRegistros[Data],"&lt;"&amp;($D$4+1),tblRegistros[Status],"CONCLUÍDO"))</f>
        <v/>
      </c>
      <c r="G16">
        <f>IF(F16=0,0,IFERROR(ROWS(_xlfn.UNIQUE(_xlfn._xlws.FILTER(tblRegistros[ID],(tblRegistros[Projeto]=B16)*(tblRegistros[Data]&gt;=$B$4)*(tblRegistros[Data]&lt;=$D$4)*(tblRegistros[Status]="CONCLUÍDO")))),0))</f>
        <v/>
      </c>
      <c r="H16" s="3">
        <f>IF(B16="","",SUMIFS(tblRegistros[Valor],tblRegistros[Projeto],B16,tblRegistros[Data],"&gt;="&amp;$B$4,tblRegistros[Data],"&lt;"&amp;($D$4+1),tblRegistros[Status],"CONCLUÍDO"))</f>
        <v/>
      </c>
    </row>
    <row r="17" ht="18.75" customHeight="1">
      <c r="A17" t="inlineStr">
        <is>
          <t>PRJ-011</t>
        </is>
      </c>
      <c r="B17" t="inlineStr">
        <is>
          <t>BETIM - TRACKING</t>
        </is>
      </c>
      <c r="C17" s="14">
        <f>IF(B17="","",SUMIFS(tblRegistros[Horas],tblRegistros[Projeto],B17,tblRegistros[Data],"&gt;="&amp;$B$4,tblRegistros[Data],"&lt;"&amp;($D$4+1),tblRegistros[Status],"CONCLUÍDO",tblRegistros[Tipo de dia],"DIA ÚTIL"))</f>
        <v/>
      </c>
      <c r="D17" s="14">
        <f>IF(B17="","",SUMIFS(tblRegistros[Horas],tblRegistros[Projeto],B17,tblRegistros[Data],"&gt;="&amp;$B$4,tblRegistros[Data],"&lt;"&amp;($D$4+1),tblRegistros[Status],"CONCLUÍDO",tblRegistros[Tipo de dia],"FDS/FERIADO"))</f>
        <v/>
      </c>
      <c r="E17" s="14">
        <f>IF(B17="","",C17+D17)</f>
        <v/>
      </c>
      <c r="F17">
        <f>IF(B17="","",COUNTIFS(tblRegistros[Projeto],B17,tblRegistros[Data],"&gt;="&amp;$B$4,tblRegistros[Data],"&lt;"&amp;($D$4+1),tblRegistros[Status],"CONCLUÍDO"))</f>
        <v/>
      </c>
      <c r="G17">
        <f>IF(F17=0,0,IFERROR(ROWS(_xlfn.UNIQUE(_xlfn._xlws.FILTER(tblRegistros[ID],(tblRegistros[Projeto]=B17)*(tblRegistros[Data]&gt;=$B$4)*(tblRegistros[Data]&lt;=$D$4)*(tblRegistros[Status]="CONCLUÍDO")))),0))</f>
        <v/>
      </c>
      <c r="H17" s="3">
        <f>IF(B17="","",SUMIFS(tblRegistros[Valor],tblRegistros[Projeto],B17,tblRegistros[Data],"&gt;="&amp;$B$4,tblRegistros[Data],"&lt;"&amp;($D$4+1),tblRegistros[Status],"CONCLUÍDO"))</f>
        <v/>
      </c>
    </row>
    <row r="18">
      <c r="C18" s="14" t="n"/>
      <c r="D18" s="14" t="n"/>
      <c r="E18" s="14" t="n"/>
      <c r="H18" s="3" t="n"/>
    </row>
    <row r="19">
      <c r="C19" s="14" t="n"/>
      <c r="D19" s="14" t="n"/>
      <c r="E19" s="14" t="n"/>
      <c r="H19" s="3" t="n"/>
    </row>
    <row r="20">
      <c r="C20" s="14" t="n"/>
      <c r="D20" s="14" t="n"/>
      <c r="E20" s="14" t="n"/>
      <c r="H20" s="3" t="n"/>
    </row>
    <row r="21">
      <c r="C21" s="14" t="n"/>
      <c r="D21" s="14" t="n"/>
      <c r="E21" s="14" t="n"/>
      <c r="H21" s="3" t="n"/>
    </row>
    <row r="22">
      <c r="C22" s="14" t="n"/>
      <c r="D22" s="14" t="n"/>
      <c r="E22" s="14" t="n"/>
      <c r="H22" s="3" t="n"/>
    </row>
    <row r="23">
      <c r="C23" s="14" t="n"/>
      <c r="D23" s="14" t="n"/>
      <c r="E23" s="14" t="n"/>
      <c r="H23" s="3" t="n"/>
    </row>
    <row r="24">
      <c r="C24" s="14" t="n"/>
      <c r="D24" s="14" t="n"/>
      <c r="E24" s="14" t="n"/>
      <c r="H24" s="3" t="n"/>
    </row>
    <row r="25">
      <c r="C25" s="14" t="n"/>
      <c r="D25" s="14" t="n"/>
      <c r="E25" s="14" t="n"/>
      <c r="H25" s="3" t="n"/>
    </row>
    <row r="26">
      <c r="C26" s="14" t="n"/>
      <c r="D26" s="14" t="n"/>
      <c r="E26" s="14" t="n"/>
      <c r="H26" s="3" t="n"/>
    </row>
    <row r="27">
      <c r="C27" s="14" t="n"/>
      <c r="D27" s="14" t="n"/>
      <c r="E27" s="14" t="n"/>
      <c r="H27" s="3" t="n"/>
    </row>
    <row r="28">
      <c r="C28" s="14" t="n"/>
      <c r="D28" s="14" t="n"/>
      <c r="E28" s="14" t="n"/>
      <c r="H28" s="3" t="n"/>
    </row>
    <row r="29">
      <c r="C29" s="14" t="n"/>
      <c r="D29" s="14" t="n"/>
      <c r="E29" s="14" t="n"/>
      <c r="H29" s="3" t="n"/>
    </row>
    <row r="30">
      <c r="C30" s="14" t="n"/>
      <c r="D30" s="14" t="n"/>
      <c r="E30" s="14" t="n"/>
      <c r="H30" s="3" t="n"/>
    </row>
    <row r="31">
      <c r="C31" s="14" t="n"/>
      <c r="D31" s="14" t="n"/>
      <c r="E31" s="14" t="n"/>
      <c r="H31" s="3" t="n"/>
    </row>
    <row r="32">
      <c r="C32" s="14" t="n"/>
      <c r="D32" s="14" t="n"/>
      <c r="E32" s="14" t="n"/>
      <c r="H32" s="3" t="n"/>
    </row>
    <row r="33">
      <c r="C33" s="14" t="n"/>
      <c r="D33" s="14" t="n"/>
      <c r="E33" s="14" t="n"/>
      <c r="H33" s="3" t="n"/>
    </row>
    <row r="34">
      <c r="C34" s="14" t="n"/>
      <c r="D34" s="14" t="n"/>
      <c r="E34" s="14" t="n"/>
      <c r="H34" s="3" t="n"/>
    </row>
    <row r="35">
      <c r="C35" s="14" t="n"/>
      <c r="D35" s="14" t="n"/>
      <c r="E35" s="14" t="n"/>
      <c r="H35" s="3" t="n"/>
    </row>
    <row r="36">
      <c r="C36" s="14" t="n"/>
      <c r="D36" s="14" t="n"/>
      <c r="E36" s="14" t="n"/>
      <c r="H36" s="3" t="n"/>
    </row>
    <row r="37">
      <c r="C37" s="14" t="n"/>
      <c r="D37" s="14" t="n"/>
      <c r="E37" s="14" t="n"/>
      <c r="H37" s="3" t="n"/>
    </row>
    <row r="38">
      <c r="C38" s="14" t="n"/>
      <c r="D38" s="14" t="n"/>
      <c r="E38" s="14" t="n"/>
      <c r="H38" s="3" t="n"/>
    </row>
    <row r="39">
      <c r="C39" s="14" t="n"/>
      <c r="D39" s="14" t="n"/>
      <c r="E39" s="14" t="n"/>
      <c r="H39" s="3" t="n"/>
    </row>
    <row r="40">
      <c r="C40" s="14" t="n"/>
      <c r="D40" s="14" t="n"/>
      <c r="E40" s="14" t="n"/>
      <c r="H40" s="3" t="n"/>
    </row>
    <row r="41">
      <c r="C41" s="14" t="n"/>
      <c r="D41" s="14" t="n"/>
      <c r="E41" s="14" t="n"/>
      <c r="H41" s="3" t="n"/>
    </row>
    <row r="42">
      <c r="C42" s="14" t="n"/>
      <c r="D42" s="14" t="n"/>
      <c r="E42" s="14" t="n"/>
      <c r="H42" s="3" t="n"/>
    </row>
    <row r="43">
      <c r="C43" s="14" t="n"/>
      <c r="D43" s="14" t="n"/>
      <c r="E43" s="14" t="n"/>
      <c r="H43" s="3" t="n"/>
    </row>
    <row r="44">
      <c r="C44" s="14" t="n"/>
      <c r="D44" s="14" t="n"/>
      <c r="E44" s="14" t="n"/>
      <c r="H44" s="3" t="n"/>
    </row>
    <row r="45">
      <c r="C45" s="14" t="n"/>
      <c r="D45" s="14" t="n"/>
      <c r="E45" s="14" t="n"/>
      <c r="H45" s="3" t="n"/>
    </row>
    <row r="46">
      <c r="C46" s="14" t="n"/>
      <c r="D46" s="14" t="n"/>
      <c r="E46" s="14" t="n"/>
      <c r="H46" s="3" t="n"/>
    </row>
    <row r="47">
      <c r="C47" s="14" t="n"/>
      <c r="D47" s="14" t="n"/>
      <c r="E47" s="14" t="n"/>
      <c r="H47" s="3" t="n"/>
    </row>
    <row r="48">
      <c r="C48" s="14" t="n"/>
      <c r="D48" s="14" t="n"/>
      <c r="E48" s="14" t="n"/>
      <c r="H48" s="3" t="n"/>
    </row>
    <row r="49">
      <c r="C49" s="14" t="n"/>
      <c r="D49" s="14" t="n"/>
      <c r="E49" s="14" t="n"/>
      <c r="H49" s="3" t="n"/>
    </row>
    <row r="50">
      <c r="C50" s="14" t="n"/>
      <c r="D50" s="14" t="n"/>
      <c r="E50" s="14" t="n"/>
      <c r="H50" s="3" t="n"/>
    </row>
    <row r="51">
      <c r="C51" s="14" t="n"/>
      <c r="D51" s="14" t="n"/>
      <c r="E51" s="14" t="n"/>
      <c r="H51" s="3" t="n"/>
    </row>
    <row r="52">
      <c r="C52" s="14" t="n"/>
      <c r="D52" s="14" t="n"/>
      <c r="E52" s="14" t="n"/>
      <c r="H52" s="3" t="n"/>
    </row>
    <row r="53">
      <c r="C53" s="14" t="n"/>
      <c r="D53" s="14" t="n"/>
      <c r="E53" s="14" t="n"/>
      <c r="H53" s="3" t="n"/>
    </row>
    <row r="54">
      <c r="C54" s="14" t="n"/>
      <c r="D54" s="14" t="n"/>
      <c r="E54" s="14" t="n"/>
      <c r="H54" s="3" t="n"/>
    </row>
    <row r="55">
      <c r="C55" s="14" t="n"/>
      <c r="D55" s="14" t="n"/>
      <c r="E55" s="14" t="n"/>
      <c r="H55" s="3" t="n"/>
    </row>
    <row r="56">
      <c r="C56" s="14" t="n"/>
      <c r="D56" s="14" t="n"/>
      <c r="E56" s="14" t="n"/>
      <c r="H56" s="3" t="n"/>
    </row>
    <row r="57">
      <c r="C57" s="14" t="n"/>
      <c r="D57" s="14" t="n"/>
      <c r="E57" s="14" t="n"/>
      <c r="H57" s="3" t="n"/>
    </row>
    <row r="58">
      <c r="C58" s="14" t="n"/>
      <c r="D58" s="14" t="n"/>
      <c r="E58" s="14" t="n"/>
      <c r="H58" s="3" t="n"/>
    </row>
    <row r="59">
      <c r="C59" s="14" t="n"/>
      <c r="D59" s="14" t="n"/>
      <c r="E59" s="14" t="n"/>
      <c r="H59" s="3" t="n"/>
    </row>
    <row r="60">
      <c r="C60" s="14" t="n"/>
      <c r="D60" s="14" t="n"/>
      <c r="E60" s="14" t="n"/>
      <c r="H60" s="3" t="n"/>
    </row>
    <row r="61">
      <c r="C61" s="14" t="n"/>
      <c r="D61" s="14" t="n"/>
      <c r="E61" s="14" t="n"/>
      <c r="H61" s="3" t="n"/>
    </row>
    <row r="62">
      <c r="C62" s="14" t="n"/>
      <c r="D62" s="14" t="n"/>
      <c r="E62" s="14" t="n"/>
      <c r="H62" s="3" t="n"/>
    </row>
    <row r="63">
      <c r="C63" s="14" t="n"/>
      <c r="D63" s="14" t="n"/>
      <c r="E63" s="14" t="n"/>
      <c r="H63" s="3" t="n"/>
    </row>
    <row r="64">
      <c r="C64" s="14" t="n"/>
      <c r="D64" s="14" t="n"/>
      <c r="E64" s="14" t="n"/>
      <c r="H64" s="3" t="n"/>
    </row>
    <row r="65">
      <c r="C65" s="14" t="n"/>
      <c r="D65" s="14" t="n"/>
      <c r="E65" s="14" t="n"/>
      <c r="H65" s="3" t="n"/>
    </row>
    <row r="66">
      <c r="C66" s="14" t="n"/>
      <c r="D66" s="14" t="n"/>
      <c r="E66" s="14" t="n"/>
      <c r="H66" s="3" t="n"/>
    </row>
    <row r="67">
      <c r="C67" s="14" t="n"/>
      <c r="D67" s="14" t="n"/>
      <c r="E67" s="14" t="n"/>
      <c r="H67" s="3" t="n"/>
    </row>
    <row r="68">
      <c r="C68" s="14" t="n"/>
      <c r="D68" s="14" t="n"/>
      <c r="E68" s="14" t="n"/>
      <c r="H68" s="3" t="n"/>
    </row>
    <row r="69">
      <c r="C69" s="14" t="n"/>
      <c r="D69" s="14" t="n"/>
      <c r="E69" s="14" t="n"/>
      <c r="H69" s="3" t="n"/>
    </row>
    <row r="70">
      <c r="C70" s="14" t="n"/>
      <c r="D70" s="14" t="n"/>
      <c r="E70" s="14" t="n"/>
      <c r="H70" s="3" t="n"/>
    </row>
    <row r="71">
      <c r="C71" s="14" t="n"/>
      <c r="D71" s="14" t="n"/>
      <c r="E71" s="14" t="n"/>
      <c r="H71" s="3" t="n"/>
    </row>
    <row r="72">
      <c r="C72" s="14" t="n"/>
      <c r="D72" s="14" t="n"/>
      <c r="E72" s="14" t="n"/>
      <c r="H72" s="3" t="n"/>
    </row>
    <row r="73">
      <c r="C73" s="14" t="n"/>
      <c r="D73" s="14" t="n"/>
      <c r="E73" s="14" t="n"/>
      <c r="H73" s="3" t="n"/>
    </row>
    <row r="74">
      <c r="C74" s="14" t="n"/>
      <c r="D74" s="14" t="n"/>
      <c r="E74" s="14" t="n"/>
      <c r="H74" s="3" t="n"/>
    </row>
    <row r="75">
      <c r="C75" s="14" t="n"/>
      <c r="D75" s="14" t="n"/>
      <c r="E75" s="14" t="n"/>
      <c r="H75" s="3" t="n"/>
    </row>
    <row r="76">
      <c r="C76" s="14" t="n"/>
      <c r="D76" s="14" t="n"/>
      <c r="E76" s="14" t="n"/>
      <c r="H76" s="3" t="n"/>
    </row>
    <row r="77">
      <c r="C77" s="14" t="n"/>
      <c r="D77" s="14" t="n"/>
      <c r="E77" s="14" t="n"/>
      <c r="H77" s="3" t="n"/>
    </row>
    <row r="78">
      <c r="C78" s="14" t="n"/>
      <c r="D78" s="14" t="n"/>
      <c r="E78" s="14" t="n"/>
      <c r="H78" s="3" t="n"/>
    </row>
    <row r="79">
      <c r="C79" s="14" t="n"/>
      <c r="D79" s="14" t="n"/>
      <c r="E79" s="14" t="n"/>
      <c r="H79" s="3" t="n"/>
    </row>
    <row r="80">
      <c r="C80" s="14" t="n"/>
      <c r="D80" s="14" t="n"/>
      <c r="E80" s="14" t="n"/>
      <c r="H80" s="3" t="n"/>
    </row>
    <row r="81">
      <c r="C81" s="14" t="n"/>
      <c r="D81" s="14" t="n"/>
      <c r="E81" s="14" t="n"/>
      <c r="H81" s="3" t="n"/>
    </row>
    <row r="82">
      <c r="C82" s="14" t="n"/>
      <c r="D82" s="14" t="n"/>
      <c r="E82" s="14" t="n"/>
      <c r="H82" s="3" t="n"/>
    </row>
    <row r="83">
      <c r="C83" s="14" t="n"/>
      <c r="D83" s="14" t="n"/>
      <c r="E83" s="14" t="n"/>
      <c r="H83" s="3" t="n"/>
    </row>
    <row r="84">
      <c r="C84" s="14" t="n"/>
      <c r="D84" s="14" t="n"/>
      <c r="E84" s="14" t="n"/>
      <c r="H84" s="3" t="n"/>
    </row>
    <row r="85">
      <c r="C85" s="14" t="n"/>
      <c r="D85" s="14" t="n"/>
      <c r="E85" s="14" t="n"/>
      <c r="H85" s="3" t="n"/>
    </row>
    <row r="86">
      <c r="C86" s="14" t="n"/>
      <c r="D86" s="14" t="n"/>
      <c r="E86" s="14" t="n"/>
      <c r="H86" s="3" t="n"/>
    </row>
    <row r="87">
      <c r="C87" s="14" t="n"/>
      <c r="D87" s="14" t="n"/>
      <c r="E87" s="14" t="n"/>
      <c r="H87" s="3" t="n"/>
    </row>
    <row r="88">
      <c r="C88" s="14" t="n"/>
      <c r="D88" s="14" t="n"/>
      <c r="E88" s="14" t="n"/>
      <c r="H88" s="3" t="n"/>
    </row>
    <row r="89">
      <c r="C89" s="14" t="n"/>
      <c r="D89" s="14" t="n"/>
      <c r="E89" s="14" t="n"/>
      <c r="H89" s="3" t="n"/>
    </row>
    <row r="90">
      <c r="C90" s="14" t="n"/>
      <c r="D90" s="14" t="n"/>
      <c r="E90" s="14" t="n"/>
      <c r="H90" s="3" t="n"/>
    </row>
    <row r="91">
      <c r="C91" s="14" t="n"/>
      <c r="D91" s="14" t="n"/>
      <c r="E91" s="14" t="n"/>
      <c r="H91" s="3" t="n"/>
    </row>
    <row r="92">
      <c r="C92" s="14" t="n"/>
      <c r="D92" s="14" t="n"/>
      <c r="E92" s="14" t="n"/>
      <c r="H92" s="3" t="n"/>
    </row>
    <row r="93">
      <c r="C93" s="14" t="n"/>
      <c r="D93" s="14" t="n"/>
      <c r="E93" s="14" t="n"/>
      <c r="H93" s="3" t="n"/>
    </row>
    <row r="94">
      <c r="C94" s="14" t="n"/>
      <c r="D94" s="14" t="n"/>
      <c r="E94" s="14" t="n"/>
      <c r="H94" s="3" t="n"/>
    </row>
    <row r="95">
      <c r="C95" s="14" t="n"/>
      <c r="D95" s="14" t="n"/>
      <c r="E95" s="14" t="n"/>
      <c r="H95" s="3" t="n"/>
    </row>
    <row r="96">
      <c r="C96" s="14" t="n"/>
      <c r="D96" s="14" t="n"/>
      <c r="E96" s="14" t="n"/>
      <c r="H96" s="3" t="n"/>
    </row>
    <row r="97">
      <c r="C97" s="14" t="n"/>
      <c r="D97" s="14" t="n"/>
      <c r="E97" s="14" t="n"/>
      <c r="H97" s="3" t="n"/>
    </row>
    <row r="98">
      <c r="C98" s="14" t="n"/>
      <c r="D98" s="14" t="n"/>
      <c r="E98" s="14" t="n"/>
      <c r="H98" s="3" t="n"/>
    </row>
    <row r="99">
      <c r="C99" s="14" t="n"/>
      <c r="D99" s="14" t="n"/>
      <c r="E99" s="14" t="n"/>
      <c r="H99" s="3" t="n"/>
    </row>
    <row r="100">
      <c r="C100" s="14" t="n"/>
      <c r="D100" s="14" t="n"/>
      <c r="E100" s="14" t="n"/>
      <c r="H100" s="3" t="n"/>
    </row>
    <row r="101">
      <c r="C101" s="14" t="n"/>
      <c r="D101" s="14" t="n"/>
      <c r="E101" s="14" t="n"/>
      <c r="H101" s="3" t="n"/>
    </row>
    <row r="102">
      <c r="C102" s="14" t="n"/>
      <c r="D102" s="14" t="n"/>
      <c r="E102" s="14" t="n"/>
      <c r="H102" s="3" t="n"/>
    </row>
    <row r="103">
      <c r="C103" s="14" t="n"/>
      <c r="D103" s="14" t="n"/>
      <c r="E103" s="14" t="n"/>
      <c r="H103" s="3" t="n"/>
    </row>
    <row r="104">
      <c r="C104" s="14" t="n"/>
      <c r="D104" s="14" t="n"/>
      <c r="E104" s="14" t="n"/>
      <c r="H104" s="3" t="n"/>
    </row>
    <row r="105">
      <c r="C105" s="14" t="n"/>
      <c r="D105" s="14" t="n"/>
      <c r="E105" s="14" t="n"/>
      <c r="H105" s="3" t="n"/>
    </row>
    <row r="106">
      <c r="C106" s="14" t="n"/>
      <c r="D106" s="14" t="n"/>
      <c r="E106" s="14" t="n"/>
      <c r="H106" s="3" t="n"/>
    </row>
    <row r="107">
      <c r="C107" s="14" t="n"/>
      <c r="D107" s="14" t="n"/>
      <c r="E107" s="14" t="n"/>
      <c r="H107" s="3" t="n"/>
    </row>
    <row r="108">
      <c r="C108" s="14" t="n"/>
      <c r="D108" s="14" t="n"/>
      <c r="E108" s="14" t="n"/>
      <c r="H108" s="3" t="n"/>
    </row>
    <row r="109">
      <c r="C109" s="14" t="n"/>
      <c r="D109" s="14" t="n"/>
      <c r="E109" s="14" t="n"/>
      <c r="H109" s="3" t="n"/>
    </row>
    <row r="110">
      <c r="C110" s="14" t="n"/>
      <c r="D110" s="14" t="n"/>
      <c r="E110" s="14" t="n"/>
      <c r="H110" s="3" t="n"/>
    </row>
    <row r="111">
      <c r="C111" s="14" t="n"/>
      <c r="D111" s="14" t="n"/>
      <c r="E111" s="14" t="n"/>
      <c r="H111" s="3" t="n"/>
    </row>
    <row r="112">
      <c r="C112" s="14" t="n"/>
      <c r="D112" s="14" t="n"/>
      <c r="E112" s="14" t="n"/>
      <c r="H112" s="3" t="n"/>
    </row>
    <row r="113">
      <c r="C113" s="14" t="n"/>
      <c r="D113" s="14" t="n"/>
      <c r="E113" s="14" t="n"/>
      <c r="H113" s="3" t="n"/>
    </row>
    <row r="114">
      <c r="C114" s="14" t="n"/>
      <c r="D114" s="14" t="n"/>
      <c r="E114" s="14" t="n"/>
      <c r="H114" s="3" t="n"/>
    </row>
    <row r="115">
      <c r="C115" s="14" t="n"/>
      <c r="D115" s="14" t="n"/>
      <c r="E115" s="14" t="n"/>
      <c r="H115" s="3" t="n"/>
    </row>
    <row r="116">
      <c r="C116" s="14" t="n"/>
      <c r="D116" s="14" t="n"/>
      <c r="E116" s="14" t="n"/>
      <c r="H116" s="3" t="n"/>
    </row>
    <row r="117">
      <c r="C117" s="14" t="n"/>
      <c r="D117" s="14" t="n"/>
      <c r="E117" s="14" t="n"/>
      <c r="H117" s="3" t="n"/>
    </row>
    <row r="118">
      <c r="C118" s="14" t="n"/>
      <c r="D118" s="14" t="n"/>
      <c r="E118" s="14" t="n"/>
      <c r="H118" s="3" t="n"/>
    </row>
    <row r="119">
      <c r="C119" s="14" t="n"/>
      <c r="D119" s="14" t="n"/>
      <c r="E119" s="14" t="n"/>
      <c r="H119" s="3" t="n"/>
    </row>
    <row r="120">
      <c r="C120" s="14" t="n"/>
      <c r="D120" s="14" t="n"/>
      <c r="E120" s="14" t="n"/>
      <c r="H120" s="3" t="n"/>
    </row>
    <row r="121">
      <c r="C121" s="14" t="n"/>
      <c r="D121" s="14" t="n"/>
      <c r="E121" s="14" t="n"/>
      <c r="H121" s="3" t="n"/>
    </row>
    <row r="122">
      <c r="C122" s="14" t="n"/>
      <c r="D122" s="14" t="n"/>
      <c r="E122" s="14" t="n"/>
      <c r="H122" s="3" t="n"/>
    </row>
    <row r="123">
      <c r="C123" s="14" t="n"/>
      <c r="D123" s="14" t="n"/>
      <c r="E123" s="14" t="n"/>
      <c r="H123" s="3" t="n"/>
    </row>
    <row r="124">
      <c r="C124" s="14" t="n"/>
      <c r="D124" s="14" t="n"/>
      <c r="E124" s="14" t="n"/>
      <c r="H124" s="3" t="n"/>
    </row>
    <row r="125">
      <c r="C125" s="14" t="n"/>
      <c r="D125" s="14" t="n"/>
      <c r="E125" s="14" t="n"/>
      <c r="H125" s="3" t="n"/>
    </row>
    <row r="126">
      <c r="C126" s="14" t="n"/>
      <c r="D126" s="14" t="n"/>
      <c r="E126" s="14" t="n"/>
      <c r="H126" s="3" t="n"/>
    </row>
    <row r="127">
      <c r="C127" s="14" t="n"/>
      <c r="D127" s="14" t="n"/>
      <c r="E127" s="14" t="n"/>
      <c r="H127" s="3" t="n"/>
    </row>
    <row r="128">
      <c r="C128" s="14" t="n"/>
      <c r="D128" s="14" t="n"/>
      <c r="E128" s="14" t="n"/>
      <c r="H128" s="3" t="n"/>
    </row>
    <row r="129">
      <c r="C129" s="14" t="n"/>
      <c r="D129" s="14" t="n"/>
      <c r="E129" s="14" t="n"/>
      <c r="H129" s="3" t="n"/>
    </row>
    <row r="130">
      <c r="C130" s="14" t="n"/>
      <c r="D130" s="14" t="n"/>
      <c r="E130" s="14" t="n"/>
      <c r="H130" s="3" t="n"/>
    </row>
    <row r="131">
      <c r="C131" s="14" t="n"/>
      <c r="D131" s="14" t="n"/>
      <c r="E131" s="14" t="n"/>
      <c r="H131" s="3" t="n"/>
    </row>
    <row r="132">
      <c r="C132" s="14" t="n"/>
      <c r="D132" s="14" t="n"/>
      <c r="E132" s="14" t="n"/>
      <c r="H132" s="3" t="n"/>
    </row>
    <row r="133">
      <c r="C133" s="14" t="n"/>
      <c r="D133" s="14" t="n"/>
      <c r="E133" s="14" t="n"/>
      <c r="H133" s="3" t="n"/>
    </row>
    <row r="134">
      <c r="C134" s="14" t="n"/>
      <c r="D134" s="14" t="n"/>
      <c r="E134" s="14" t="n"/>
      <c r="H134" s="3" t="n"/>
    </row>
    <row r="135">
      <c r="C135" s="14" t="n"/>
      <c r="D135" s="14" t="n"/>
      <c r="E135" s="14" t="n"/>
      <c r="H135" s="3" t="n"/>
    </row>
    <row r="136">
      <c r="C136" s="14" t="n"/>
      <c r="D136" s="14" t="n"/>
      <c r="E136" s="14" t="n"/>
      <c r="H136" s="3" t="n"/>
    </row>
    <row r="137">
      <c r="C137" s="14" t="n"/>
      <c r="D137" s="14" t="n"/>
      <c r="E137" s="14" t="n"/>
      <c r="H137" s="3" t="n"/>
    </row>
    <row r="138">
      <c r="C138" s="14" t="n"/>
      <c r="D138" s="14" t="n"/>
      <c r="E138" s="14" t="n"/>
      <c r="H138" s="3" t="n"/>
    </row>
    <row r="139">
      <c r="C139" s="14" t="n"/>
      <c r="D139" s="14" t="n"/>
      <c r="E139" s="14" t="n"/>
      <c r="H139" s="3" t="n"/>
    </row>
    <row r="140">
      <c r="C140" s="14" t="n"/>
      <c r="D140" s="14" t="n"/>
      <c r="E140" s="14" t="n"/>
      <c r="H140" s="3" t="n"/>
    </row>
    <row r="141">
      <c r="C141" s="14" t="n"/>
      <c r="D141" s="14" t="n"/>
      <c r="E141" s="14" t="n"/>
      <c r="H141" s="3" t="n"/>
    </row>
    <row r="142">
      <c r="C142" s="14" t="n"/>
      <c r="D142" s="14" t="n"/>
      <c r="E142" s="14" t="n"/>
      <c r="H142" s="3" t="n"/>
    </row>
    <row r="143">
      <c r="C143" s="14" t="n"/>
      <c r="D143" s="14" t="n"/>
      <c r="E143" s="14" t="n"/>
      <c r="H143" s="3" t="n"/>
    </row>
    <row r="144">
      <c r="C144" s="14" t="n"/>
      <c r="D144" s="14" t="n"/>
      <c r="E144" s="14" t="n"/>
      <c r="H144" s="3" t="n"/>
    </row>
    <row r="145">
      <c r="C145" s="14" t="n"/>
      <c r="D145" s="14" t="n"/>
      <c r="E145" s="14" t="n"/>
      <c r="H145" s="3" t="n"/>
    </row>
    <row r="146">
      <c r="C146" s="14" t="n"/>
      <c r="D146" s="14" t="n"/>
      <c r="E146" s="14" t="n"/>
      <c r="H146" s="3" t="n"/>
    </row>
    <row r="147">
      <c r="C147" s="14" t="n"/>
      <c r="D147" s="14" t="n"/>
      <c r="E147" s="14" t="n"/>
      <c r="H147" s="3" t="n"/>
    </row>
    <row r="148">
      <c r="C148" s="14" t="n"/>
      <c r="D148" s="14" t="n"/>
      <c r="E148" s="14" t="n"/>
      <c r="H148" s="3" t="n"/>
    </row>
    <row r="149">
      <c r="C149" s="14" t="n"/>
      <c r="D149" s="14" t="n"/>
      <c r="E149" s="14" t="n"/>
      <c r="H149" s="3" t="n"/>
    </row>
    <row r="150">
      <c r="C150" s="14" t="n"/>
      <c r="D150" s="14" t="n"/>
      <c r="E150" s="14" t="n"/>
      <c r="H150" s="3" t="n"/>
    </row>
    <row r="151">
      <c r="C151" s="14" t="n"/>
      <c r="D151" s="14" t="n"/>
      <c r="E151" s="14" t="n"/>
      <c r="H151" s="3" t="n"/>
    </row>
    <row r="152">
      <c r="C152" s="14" t="n"/>
      <c r="D152" s="14" t="n"/>
      <c r="E152" s="14" t="n"/>
      <c r="H152" s="3" t="n"/>
    </row>
    <row r="153">
      <c r="C153" s="14" t="n"/>
      <c r="D153" s="14" t="n"/>
      <c r="E153" s="14" t="n"/>
      <c r="H153" s="3" t="n"/>
    </row>
    <row r="154">
      <c r="C154" s="14" t="n"/>
      <c r="D154" s="14" t="n"/>
      <c r="E154" s="14" t="n"/>
      <c r="H154" s="3" t="n"/>
    </row>
    <row r="155">
      <c r="C155" s="14" t="n"/>
      <c r="D155" s="14" t="n"/>
      <c r="E155" s="14" t="n"/>
      <c r="H155" s="3" t="n"/>
    </row>
    <row r="156">
      <c r="C156" s="14" t="n"/>
      <c r="D156" s="14" t="n"/>
      <c r="E156" s="14" t="n"/>
      <c r="H156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8"/>
  <sheetViews>
    <sheetView showGridLines="0" tabSelected="1" workbookViewId="0">
      <pane ySplit="4" topLeftCell="A5" activePane="bottomLeft" state="frozen"/>
      <selection pane="bottomLeft" activeCell="I17" sqref="I17"/>
    </sheetView>
  </sheetViews>
  <sheetFormatPr baseColWidth="8" defaultRowHeight="14.25"/>
  <cols>
    <col width="23.375" customWidth="1" min="1" max="1"/>
    <col width="11.625" customWidth="1" min="2" max="2"/>
    <col width="15" customWidth="1" min="3" max="3"/>
    <col width="13.875" customWidth="1" min="4" max="4"/>
    <col width="8.375" customWidth="1" min="5" max="5"/>
    <col width="28.875" customWidth="1" min="6" max="6"/>
    <col width="21.625" customWidth="1" min="7" max="7"/>
    <col width="18.875" customWidth="1" min="8" max="8"/>
    <col width="10.625" customWidth="1" min="9" max="10"/>
    <col width="10" customWidth="1" min="11" max="11"/>
    <col width="36.625" customWidth="1" min="12" max="12"/>
    <col width="9.375" customWidth="1" min="13" max="13"/>
    <col width="13.375" customWidth="1" min="14" max="14"/>
    <col width="12.25" customWidth="1" min="15" max="15"/>
    <col width="14.375" customWidth="1" min="16" max="16"/>
    <col width="13.625" customWidth="1" min="17" max="17"/>
    <col width="10.625" customWidth="1" min="18" max="18"/>
    <col width="11.125" customWidth="1" min="19" max="19"/>
    <col width="14.375" customWidth="1" min="20" max="20"/>
  </cols>
  <sheetData>
    <row r="1" ht="24" customHeight="1">
      <c r="A1" s="17" t="inlineStr">
        <is>
          <t>REGISTROS CONSOLIDADOS DE HORAS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</row>
    <row r="2" ht="19.5" customHeight="1">
      <c r="A2" s="7" t="inlineStr">
        <is>
          <t>Esta aba é calculada a partir das Batidas. Corrija as marcações na origem; registros REVISAR não entram no pagamento.</t>
        </is>
      </c>
    </row>
    <row r="4" ht="24" customHeight="1">
      <c r="A4" s="5" t="inlineStr">
        <is>
          <t>Registro ID</t>
        </is>
      </c>
      <c r="B4" s="5" t="inlineStr">
        <is>
          <t>Data</t>
        </is>
      </c>
      <c r="C4" s="5" t="inlineStr">
        <is>
          <t>Dia da semana</t>
        </is>
      </c>
      <c r="D4" s="5" t="inlineStr">
        <is>
          <t>Tipo de dia</t>
        </is>
      </c>
      <c r="E4" s="5" t="inlineStr">
        <is>
          <t>ID</t>
        </is>
      </c>
      <c r="F4" s="5" t="inlineStr">
        <is>
          <t>Pessoa</t>
        </is>
      </c>
      <c r="G4" s="5" t="inlineStr">
        <is>
          <t>Projeto</t>
        </is>
      </c>
      <c r="H4" s="5" t="inlineStr">
        <is>
          <t>Atividade</t>
        </is>
      </c>
      <c r="I4" s="5" t="inlineStr">
        <is>
          <t>Início</t>
        </is>
      </c>
      <c r="J4" s="5" t="inlineStr">
        <is>
          <t>Fim</t>
        </is>
      </c>
      <c r="K4" s="5" t="inlineStr">
        <is>
          <t>Horas</t>
        </is>
      </c>
      <c r="L4" s="5" t="inlineStr">
        <is>
          <t>Observação</t>
        </is>
      </c>
      <c r="M4" s="5" t="inlineStr">
        <is>
          <t>Base</t>
        </is>
      </c>
      <c r="N4" s="5" t="inlineStr">
        <is>
          <t>Taxa aplicada</t>
        </is>
      </c>
      <c r="O4" s="5" t="inlineStr">
        <is>
          <t>Diária</t>
        </is>
      </c>
      <c r="P4" s="5" t="inlineStr">
        <is>
          <t>Valor</t>
        </is>
      </c>
      <c r="Q4" s="5" t="inlineStr">
        <is>
          <t>Status</t>
        </is>
      </c>
      <c r="R4" s="5" t="inlineStr">
        <is>
          <t>1º do dia</t>
        </is>
      </c>
      <c r="S4" s="5" t="inlineStr">
        <is>
          <t>Mês</t>
        </is>
      </c>
      <c r="T4" s="5" t="inlineStr">
        <is>
          <t>Chave do cartão</t>
        </is>
      </c>
    </row>
    <row r="5">
      <c r="A5" t="inlineStr">
        <is>
          <t>R20260928091119-1002</t>
        </is>
      </c>
      <c r="B5" s="2" t="n">
        <v>46293</v>
      </c>
      <c r="C5" t="inlineStr">
        <is>
          <t>SEGUNDA-FEIRA</t>
        </is>
      </c>
      <c r="D5" t="inlineStr">
        <is>
          <t>DIA ÚTIL</t>
        </is>
      </c>
      <c r="E5" t="n">
        <v>1002</v>
      </c>
      <c r="F5" t="inlineStr">
        <is>
          <t>Alex de Almeida Mariano</t>
        </is>
      </c>
      <c r="G5" t="inlineStr">
        <is>
          <t>TOOLKIT</t>
        </is>
      </c>
      <c r="H5" t="inlineStr">
        <is>
          <t>ANÁLISE</t>
        </is>
      </c>
      <c r="I5" s="4" t="inlineStr">
        <is>
          <t>09:11:19</t>
        </is>
      </c>
      <c r="J5" s="4" t="n"/>
      <c r="K5" s="14" t="n"/>
      <c r="M5" t="inlineStr">
        <is>
          <t>Hora</t>
        </is>
      </c>
      <c r="N5" s="3" t="n">
        <v>23.5</v>
      </c>
      <c r="O5" s="3" t="n">
        <v>0</v>
      </c>
      <c r="P5" s="3" t="n"/>
      <c r="Q5" t="inlineStr">
        <is>
          <t>EM ABERTO</t>
        </is>
      </c>
      <c r="R5" t="n">
        <v>1</v>
      </c>
      <c r="S5" t="inlineStr">
        <is>
          <t>2026-09</t>
        </is>
      </c>
      <c r="T5">
        <f>IF(E5="","",E5*100000+COUNTIFS(tblRegistros[ID],E5,tblRegistros[Data],"&lt;"&amp;B5)+COUNTIFS(tblRegistros[ID],E5,tblRegistros[Data],B5,tblRegistros[Início],"&lt;"&amp;I5)+COUNTIFS($E$5:E5,E5,$B$5:B5,B5,$I$5:I5,I5))</f>
        <v/>
      </c>
    </row>
    <row r="6">
      <c r="A6" t="inlineStr">
        <is>
          <t>R20260930081002-1001</t>
        </is>
      </c>
      <c r="B6" s="2" t="n">
        <v>46295</v>
      </c>
      <c r="C6" t="inlineStr">
        <is>
          <t>QUARTA-FEIRA</t>
        </is>
      </c>
      <c r="D6" t="inlineStr">
        <is>
          <t>DIA ÚTIL</t>
        </is>
      </c>
      <c r="E6" t="n">
        <v>1001</v>
      </c>
      <c r="F6" t="inlineStr">
        <is>
          <t>Adriana Pereira dos Santos</t>
        </is>
      </c>
      <c r="G6" t="inlineStr">
        <is>
          <t>BC - CONFIANÇA PIX</t>
        </is>
      </c>
      <c r="H6" t="inlineStr">
        <is>
          <t>SUPERVISÃO</t>
        </is>
      </c>
      <c r="I6" s="4" t="inlineStr">
        <is>
          <t>08:10:02</t>
        </is>
      </c>
      <c r="J6" s="4" t="inlineStr">
        <is>
          <t>08:25:23</t>
        </is>
      </c>
      <c r="K6" s="14" t="n">
        <v>0.26</v>
      </c>
      <c r="L6" t="inlineStr"/>
      <c r="M6" t="inlineStr">
        <is>
          <t>Hora</t>
        </is>
      </c>
      <c r="N6" s="3" t="n">
        <v>17</v>
      </c>
      <c r="O6" s="3" t="n">
        <v>0</v>
      </c>
      <c r="P6" s="3" t="n">
        <v>4.35</v>
      </c>
      <c r="Q6" t="inlineStr">
        <is>
          <t>CONCLUÍDO</t>
        </is>
      </c>
      <c r="R6" t="n">
        <v>1</v>
      </c>
      <c r="S6" t="inlineStr">
        <is>
          <t>2026-09</t>
        </is>
      </c>
      <c r="T6">
        <f>IF(E6="","",E6*100000+COUNTIFS(tblRegistros[ID],E6,tblRegistros[Data],"&lt;"&amp;B6)+COUNTIFS(tblRegistros[ID],E6,tblRegistros[Data],B6,tblRegistros[Início],"&lt;"&amp;I6)+COUNTIFS($E$5:E6,E6,$B$5:B6,B6,$I$5:I6,I6))</f>
        <v/>
      </c>
    </row>
    <row r="7">
      <c r="A7" t="inlineStr">
        <is>
          <t>R20260930081019-1005</t>
        </is>
      </c>
      <c r="B7" s="2" t="n">
        <v>46295</v>
      </c>
      <c r="C7" t="inlineStr">
        <is>
          <t>QUARTA-FEIRA</t>
        </is>
      </c>
      <c r="D7" t="inlineStr">
        <is>
          <t>DIA ÚTIL</t>
        </is>
      </c>
      <c r="E7" t="n">
        <v>1005</v>
      </c>
      <c r="F7" t="inlineStr">
        <is>
          <t>Carolina Fantini Vidigal Diniz Dias</t>
        </is>
      </c>
      <c r="G7" t="inlineStr">
        <is>
          <t>ESTADUAL - OTEMPO</t>
        </is>
      </c>
      <c r="H7" t="inlineStr">
        <is>
          <t>RECRUTAMENTO</t>
        </is>
      </c>
      <c r="I7" s="4" t="inlineStr">
        <is>
          <t>08:10:19</t>
        </is>
      </c>
      <c r="J7" s="4" t="n"/>
      <c r="K7" s="14" t="n"/>
      <c r="M7" t="inlineStr">
        <is>
          <t>Hora</t>
        </is>
      </c>
      <c r="N7" s="3" t="n">
        <v>13</v>
      </c>
      <c r="O7" s="3" t="n">
        <v>0</v>
      </c>
      <c r="P7" s="3" t="n"/>
      <c r="Q7" t="inlineStr">
        <is>
          <t>EM ABERTO</t>
        </is>
      </c>
      <c r="R7" t="n">
        <v>1</v>
      </c>
      <c r="S7" t="inlineStr">
        <is>
          <t>2026-09</t>
        </is>
      </c>
      <c r="T7">
        <f>IF(E7="","",E7*100000+COUNTIFS(tblRegistros[ID],E7,tblRegistros[Data],"&lt;"&amp;B7)+COUNTIFS(tblRegistros[ID],E7,tblRegistros[Data],B7,tblRegistros[Início],"&lt;"&amp;I7)+COUNTIFS($E$5:E7,E7,$B$5:B7,B7,$I$5:I7,I7))</f>
        <v/>
      </c>
    </row>
    <row r="8">
      <c r="A8" t="inlineStr">
        <is>
          <t>R20260930081036-1011</t>
        </is>
      </c>
      <c r="B8" s="2" t="n">
        <v>46295</v>
      </c>
      <c r="C8" t="inlineStr">
        <is>
          <t>QUARTA-FEIRA</t>
        </is>
      </c>
      <c r="D8" t="inlineStr">
        <is>
          <t>DIA ÚTIL</t>
        </is>
      </c>
      <c r="E8" t="n">
        <v>1011</v>
      </c>
      <c r="F8" t="inlineStr">
        <is>
          <t>Nathalia Arruda</t>
        </is>
      </c>
      <c r="G8" t="inlineStr">
        <is>
          <t>BETIM - TRACKING</t>
        </is>
      </c>
      <c r="H8" t="inlineStr">
        <is>
          <t>APOIO OPERACIONAL</t>
        </is>
      </c>
      <c r="I8" s="4" t="inlineStr">
        <is>
          <t>08:10:36</t>
        </is>
      </c>
      <c r="J8" s="4" t="inlineStr">
        <is>
          <t>08:25:56</t>
        </is>
      </c>
      <c r="K8" s="14" t="n">
        <v>0.26</v>
      </c>
      <c r="L8" t="inlineStr"/>
      <c r="M8" t="inlineStr">
        <is>
          <t>Hora</t>
        </is>
      </c>
      <c r="N8" s="3" t="n">
        <v>23.5</v>
      </c>
      <c r="O8" s="3" t="n">
        <v>0</v>
      </c>
      <c r="P8" s="3" t="n">
        <v>6.01</v>
      </c>
      <c r="Q8" t="inlineStr">
        <is>
          <t>CONCLUÍDO</t>
        </is>
      </c>
      <c r="R8" t="n">
        <v>1</v>
      </c>
      <c r="S8" t="inlineStr">
        <is>
          <t>2026-09</t>
        </is>
      </c>
      <c r="T8">
        <f>IF(E8="","",E8*100000+COUNTIFS(tblRegistros[ID],E8,tblRegistros[Data],"&lt;"&amp;B8)+COUNTIFS(tblRegistros[ID],E8,tblRegistros[Data],B8,tblRegistros[Início],"&lt;"&amp;I8)+COUNTIFS($E$5:E8,E8,$B$5:B8,B8,$I$5:I8,I8))</f>
        <v/>
      </c>
    </row>
    <row r="9">
      <c r="A9" t="inlineStr">
        <is>
          <t>R20260930082446-1013</t>
        </is>
      </c>
      <c r="B9" s="2" t="n">
        <v>46295</v>
      </c>
      <c r="C9" t="inlineStr">
        <is>
          <t>QUARTA-FEIRA</t>
        </is>
      </c>
      <c r="D9" t="inlineStr">
        <is>
          <t>DIA ÚTIL</t>
        </is>
      </c>
      <c r="E9" t="n">
        <v>1013</v>
      </c>
      <c r="F9" t="inlineStr">
        <is>
          <t>Rafaela Maria Resende Lara</t>
        </is>
      </c>
      <c r="G9" t="inlineStr">
        <is>
          <t>BC - CONFIANÇA PIX</t>
        </is>
      </c>
      <c r="H9" t="inlineStr">
        <is>
          <t>RECRUTAMENTO</t>
        </is>
      </c>
      <c r="I9" s="4" t="inlineStr">
        <is>
          <t>08:24:46</t>
        </is>
      </c>
      <c r="J9" s="4" t="n"/>
      <c r="K9" s="14" t="n"/>
      <c r="M9" t="inlineStr">
        <is>
          <t>Hora</t>
        </is>
      </c>
      <c r="N9" s="3" t="n">
        <v>23.5</v>
      </c>
      <c r="O9" s="3" t="n">
        <v>0</v>
      </c>
      <c r="P9" s="3" t="n"/>
      <c r="Q9" t="inlineStr">
        <is>
          <t>EM ABERTO</t>
        </is>
      </c>
      <c r="R9" t="n">
        <v>1</v>
      </c>
      <c r="S9" t="inlineStr">
        <is>
          <t>2026-09</t>
        </is>
      </c>
      <c r="T9">
        <f>IF(E9="","",E9*100000+COUNTIFS(tblRegistros[ID],E9,tblRegistros[Data],"&lt;"&amp;B9)+COUNTIFS(tblRegistros[ID],E9,tblRegistros[Data],B9,tblRegistros[Início],"&lt;"&amp;I9)+COUNTIFS($E$5:E9,E9,$B$5:B9,B9,$I$5:I9,I9))</f>
        <v/>
      </c>
    </row>
    <row r="10">
      <c r="A10" t="inlineStr">
        <is>
          <t>R20260930082506-1009</t>
        </is>
      </c>
      <c r="B10" s="2" t="n">
        <v>46295</v>
      </c>
      <c r="C10" t="inlineStr">
        <is>
          <t>QUARTA-FEIRA</t>
        </is>
      </c>
      <c r="D10" t="inlineStr">
        <is>
          <t>DIA ÚTIL</t>
        </is>
      </c>
      <c r="E10" t="n">
        <v>1009</v>
      </c>
      <c r="F10" t="inlineStr">
        <is>
          <t>Junia Maria Santos</t>
        </is>
      </c>
      <c r="G10" t="inlineStr">
        <is>
          <t>CAMPANHA</t>
        </is>
      </c>
      <c r="H10" t="inlineStr">
        <is>
          <t>TRANSCRIÇÃO</t>
        </is>
      </c>
      <c r="I10" s="4" t="inlineStr">
        <is>
          <t>08:25:06</t>
        </is>
      </c>
      <c r="J10" s="4" t="n"/>
      <c r="K10" s="14" t="n"/>
      <c r="M10" t="inlineStr">
        <is>
          <t>Hora</t>
        </is>
      </c>
      <c r="N10" s="3" t="n">
        <v>14</v>
      </c>
      <c r="O10" s="3" t="n">
        <v>0</v>
      </c>
      <c r="P10" s="3" t="n"/>
      <c r="Q10" t="inlineStr">
        <is>
          <t>EM ABERTO</t>
        </is>
      </c>
      <c r="R10" t="n">
        <v>1</v>
      </c>
      <c r="S10" t="inlineStr">
        <is>
          <t>2026-09</t>
        </is>
      </c>
      <c r="T10">
        <f>IF(E10="","",E10*100000+COUNTIFS(tblRegistros[ID],E10,tblRegistros[Data],"&lt;"&amp;B10)+COUNTIFS(tblRegistros[ID],E10,tblRegistros[Data],B10,tblRegistros[Início],"&lt;"&amp;I10)+COUNTIFS($E$5:E10,E10,$B$5:B10,B10,$I$5:I10,I10))</f>
        <v/>
      </c>
    </row>
    <row r="11">
      <c r="B11" s="2" t="n"/>
      <c r="I11" s="4" t="n"/>
      <c r="J11" s="4" t="n"/>
      <c r="K11" s="14" t="n"/>
      <c r="N11" s="3" t="n"/>
      <c r="O11" s="3" t="n"/>
      <c r="P11" s="3" t="n"/>
      <c r="T11">
        <f>IF(E11="","",E11*100000+COUNTIFS(tblRegistros[ID],E11,tblRegistros[Data],"&lt;"&amp;B11)+COUNTIFS(tblRegistros[ID],E11,tblRegistros[Data],B11,tblRegistros[Início],"&lt;"&amp;I11)+COUNTIFS($E$5:E11,E11,$B$5:B11,B11,$I$5:I11,I11))</f>
        <v/>
      </c>
    </row>
    <row r="12">
      <c r="B12" s="2" t="n"/>
      <c r="I12" s="4" t="n"/>
      <c r="J12" s="4" t="n"/>
      <c r="K12" s="14" t="n"/>
      <c r="N12" s="3" t="n"/>
      <c r="O12" s="3" t="n"/>
      <c r="P12" s="3" t="n"/>
      <c r="T12">
        <f>IF(E12="","",E12*100000+COUNTIFS(tblRegistros[ID],E12,tblRegistros[Data],"&lt;"&amp;B12)+COUNTIFS(tblRegistros[ID],E12,tblRegistros[Data],B12,tblRegistros[Início],"&lt;"&amp;I12)+COUNTIFS($E$5:E12,E12,$B$5:B12,B12,$I$5:I12,I12))</f>
        <v/>
      </c>
    </row>
    <row r="13">
      <c r="B13" s="2" t="n"/>
      <c r="I13" s="4" t="n"/>
      <c r="J13" s="4" t="n"/>
      <c r="K13" s="14" t="n"/>
      <c r="N13" s="3" t="n"/>
      <c r="O13" s="3" t="n"/>
      <c r="P13" s="3" t="n"/>
      <c r="T13">
        <f>IF(E13="","",E13*100000+COUNTIFS(tblRegistros[ID],E13,tblRegistros[Data],"&lt;"&amp;B13)+COUNTIFS(tblRegistros[ID],E13,tblRegistros[Data],B13,tblRegistros[Início],"&lt;"&amp;I13)+COUNTIFS($E$5:E13,E13,$B$5:B13,B13,$I$5:I13,I13))</f>
        <v/>
      </c>
    </row>
    <row r="14">
      <c r="B14" s="2" t="n"/>
      <c r="I14" s="4" t="n"/>
      <c r="J14" s="4" t="n"/>
      <c r="K14" s="14" t="n"/>
      <c r="N14" s="3" t="n"/>
      <c r="O14" s="3" t="n"/>
      <c r="P14" s="3" t="n"/>
      <c r="T14">
        <f>IF(E14="","",E14*100000+COUNTIFS(tblRegistros[ID],E14,tblRegistros[Data],"&lt;"&amp;B14)+COUNTIFS(tblRegistros[ID],E14,tblRegistros[Data],B14,tblRegistros[Início],"&lt;"&amp;I14)+COUNTIFS($E$5:E14,E14,$B$5:B14,B14,$I$5:I14,I14))</f>
        <v/>
      </c>
    </row>
    <row r="15">
      <c r="B15" s="2" t="n"/>
      <c r="I15" s="4" t="n"/>
      <c r="J15" s="4" t="n"/>
      <c r="K15" s="14" t="n"/>
      <c r="N15" s="3" t="n"/>
      <c r="O15" s="3" t="n"/>
      <c r="P15" s="3" t="n"/>
      <c r="T15">
        <f>IF(E15="","",E15*100000+COUNTIFS(tblRegistros[ID],E15,tblRegistros[Data],"&lt;"&amp;B15)+COUNTIFS(tblRegistros[ID],E15,tblRegistros[Data],B15,tblRegistros[Início],"&lt;"&amp;I15)+COUNTIFS($E$5:E15,E15,$B$5:B15,B15,$I$5:I15,I15))</f>
        <v/>
      </c>
    </row>
    <row r="16">
      <c r="B16" s="2" t="n"/>
      <c r="I16" s="4" t="n"/>
      <c r="J16" s="4" t="n"/>
      <c r="K16" s="14" t="n"/>
      <c r="N16" s="3" t="n"/>
      <c r="O16" s="3" t="n"/>
      <c r="P16" s="3" t="n"/>
      <c r="T16">
        <f>IF(E16="","",E16*100000+COUNTIFS(tblRegistros[ID],E16,tblRegistros[Data],"&lt;"&amp;B16)+COUNTIFS(tblRegistros[ID],E16,tblRegistros[Data],B16,tblRegistros[Início],"&lt;"&amp;I16)+COUNTIFS($E$5:E16,E16,$B$5:B16,B16,$I$5:I16,I16))</f>
        <v/>
      </c>
    </row>
    <row r="17">
      <c r="B17" s="2" t="n"/>
      <c r="I17" s="4" t="n"/>
      <c r="J17" s="4" t="n"/>
      <c r="K17" s="14" t="n"/>
      <c r="N17" s="3" t="n"/>
      <c r="O17" s="3" t="n"/>
      <c r="P17" s="3" t="n"/>
      <c r="T17">
        <f>IF(E17="","",E17*100000+COUNTIFS(tblRegistros[ID],E17,tblRegistros[Data],"&lt;"&amp;B17)+COUNTIFS(tblRegistros[ID],E17,tblRegistros[Data],B17,tblRegistros[Início],"&lt;"&amp;I17)+COUNTIFS($E$5:E17,E17,$B$5:B17,B17,$I$5:I17,I17))</f>
        <v/>
      </c>
    </row>
    <row r="18">
      <c r="B18" s="2" t="n"/>
      <c r="I18" s="4" t="n"/>
      <c r="J18" s="4" t="n"/>
      <c r="K18" s="14" t="n"/>
      <c r="N18" s="3" t="n"/>
      <c r="O18" s="3" t="n"/>
      <c r="P18" s="3" t="n"/>
      <c r="T18">
        <f>IF(E18="","",E18*100000+COUNTIFS(tblRegistros[ID],E18,tblRegistros[Data],"&lt;"&amp;B18)+COUNTIFS(tblRegistros[ID],E18,tblRegistros[Data],B18,tblRegistros[Início],"&lt;"&amp;I18)+COUNTIFS($E$5:E18,E18,$B$5:B18,B18,$I$5:I18,I18))</f>
        <v/>
      </c>
    </row>
    <row r="19">
      <c r="B19" s="2" t="n"/>
      <c r="I19" s="4" t="n"/>
      <c r="J19" s="4" t="n"/>
      <c r="K19" s="14" t="n"/>
      <c r="N19" s="3" t="n"/>
      <c r="O19" s="3" t="n"/>
      <c r="P19" s="3" t="n"/>
      <c r="T19">
        <f>IF(E19="","",E19*100000+COUNTIFS(tblRegistros[ID],E19,tblRegistros[Data],"&lt;"&amp;B19)+COUNTIFS(tblRegistros[ID],E19,tblRegistros[Data],B19,tblRegistros[Início],"&lt;"&amp;I19)+COUNTIFS($E$5:E19,E19,$B$5:B19,B19,$I$5:I19,I19))</f>
        <v/>
      </c>
    </row>
    <row r="20">
      <c r="B20" s="2" t="n"/>
      <c r="I20" s="4" t="n"/>
      <c r="J20" s="4" t="n"/>
      <c r="K20" s="14" t="n"/>
      <c r="N20" s="3" t="n"/>
      <c r="O20" s="3" t="n"/>
      <c r="P20" s="3" t="n"/>
      <c r="T20">
        <f>IF(E20="","",E20*100000+COUNTIFS(tblRegistros[ID],E20,tblRegistros[Data],"&lt;"&amp;B20)+COUNTIFS(tblRegistros[ID],E20,tblRegistros[Data],B20,tblRegistros[Início],"&lt;"&amp;I20)+COUNTIFS($E$5:E20,E20,$B$5:B20,B20,$I$5:I20,I20))</f>
        <v/>
      </c>
    </row>
    <row r="21">
      <c r="B21" s="2" t="n"/>
      <c r="I21" s="4" t="n"/>
      <c r="J21" s="4" t="n"/>
      <c r="K21" s="14" t="n"/>
      <c r="N21" s="3" t="n"/>
      <c r="O21" s="3" t="n"/>
      <c r="P21" s="3" t="n"/>
      <c r="T21">
        <f>IF(E21="","",E21*100000+COUNTIFS(tblRegistros[ID],E21,tblRegistros[Data],"&lt;"&amp;B21)+COUNTIFS(tblRegistros[ID],E21,tblRegistros[Data],B21,tblRegistros[Início],"&lt;"&amp;I21)+COUNTIFS($E$5:E21,E21,$B$5:B21,B21,$I$5:I21,I21))</f>
        <v/>
      </c>
    </row>
    <row r="22">
      <c r="B22" s="2" t="n"/>
      <c r="I22" s="4" t="n"/>
      <c r="J22" s="4" t="n"/>
      <c r="K22" s="14" t="n"/>
      <c r="N22" s="3" t="n"/>
      <c r="O22" s="3" t="n"/>
      <c r="P22" s="3" t="n"/>
      <c r="T22">
        <f>IF(E22="","",E22*100000+COUNTIFS(tblRegistros[ID],E22,tblRegistros[Data],"&lt;"&amp;B22)+COUNTIFS(tblRegistros[ID],E22,tblRegistros[Data],B22,tblRegistros[Início],"&lt;"&amp;I22)+COUNTIFS($E$5:E22,E22,$B$5:B22,B22,$I$5:I22,I22))</f>
        <v/>
      </c>
    </row>
    <row r="23">
      <c r="B23" s="2" t="n"/>
      <c r="I23" s="4" t="n"/>
      <c r="J23" s="4" t="n"/>
      <c r="K23" s="14" t="n"/>
      <c r="N23" s="3" t="n"/>
      <c r="O23" s="3" t="n"/>
      <c r="P23" s="3" t="n"/>
      <c r="T23">
        <f>IF(E23="","",E23*100000+COUNTIFS(tblRegistros[ID],E23,tblRegistros[Data],"&lt;"&amp;B23)+COUNTIFS(tblRegistros[ID],E23,tblRegistros[Data],B23,tblRegistros[Início],"&lt;"&amp;I23)+COUNTIFS($E$5:E23,E23,$B$5:B23,B23,$I$5:I23,I23))</f>
        <v/>
      </c>
    </row>
    <row r="24">
      <c r="B24" s="2" t="n"/>
      <c r="I24" s="4" t="n"/>
      <c r="J24" s="4" t="n"/>
      <c r="K24" s="14" t="n"/>
      <c r="N24" s="3" t="n"/>
      <c r="O24" s="3" t="n"/>
      <c r="P24" s="3" t="n"/>
      <c r="T24">
        <f>IF(E24="","",E24*100000+COUNTIFS(tblRegistros[ID],E24,tblRegistros[Data],"&lt;"&amp;B24)+COUNTIFS(tblRegistros[ID],E24,tblRegistros[Data],B24,tblRegistros[Início],"&lt;"&amp;I24)+COUNTIFS($E$5:E24,E24,$B$5:B24,B24,$I$5:I24,I24))</f>
        <v/>
      </c>
    </row>
    <row r="25">
      <c r="B25" s="2" t="n"/>
      <c r="I25" s="4" t="n"/>
      <c r="J25" s="4" t="n"/>
      <c r="K25" s="14" t="n"/>
      <c r="N25" s="3" t="n"/>
      <c r="O25" s="3" t="n"/>
      <c r="P25" s="3" t="n"/>
      <c r="T25">
        <f>IF(E25="","",E25*100000+COUNTIFS(tblRegistros[ID],E25,tblRegistros[Data],"&lt;"&amp;B25)+COUNTIFS(tblRegistros[ID],E25,tblRegistros[Data],B25,tblRegistros[Início],"&lt;"&amp;I25)+COUNTIFS($E$5:E25,E25,$B$5:B25,B25,$I$5:I25,I25))</f>
        <v/>
      </c>
    </row>
    <row r="26">
      <c r="B26" s="2" t="n"/>
      <c r="I26" s="4" t="n"/>
      <c r="J26" s="4" t="n"/>
      <c r="K26" s="14" t="n"/>
      <c r="N26" s="3" t="n"/>
      <c r="O26" s="3" t="n"/>
      <c r="P26" s="3" t="n"/>
      <c r="T26">
        <f>IF(E26="","",E26*100000+COUNTIFS(tblRegistros[ID],E26,tblRegistros[Data],"&lt;"&amp;B26)+COUNTIFS(tblRegistros[ID],E26,tblRegistros[Data],B26,tblRegistros[Início],"&lt;"&amp;I26)+COUNTIFS($E$5:E26,E26,$B$5:B26,B26,$I$5:I26,I26))</f>
        <v/>
      </c>
    </row>
    <row r="27">
      <c r="B27" s="2" t="n"/>
      <c r="I27" s="4" t="n"/>
      <c r="J27" s="4" t="n"/>
      <c r="K27" s="14" t="n"/>
      <c r="N27" s="3" t="n"/>
      <c r="O27" s="3" t="n"/>
      <c r="P27" s="3" t="n"/>
      <c r="T27">
        <f>IF(E27="","",E27*100000+COUNTIFS(tblRegistros[ID],E27,tblRegistros[Data],"&lt;"&amp;B27)+COUNTIFS(tblRegistros[ID],E27,tblRegistros[Data],B27,tblRegistros[Início],"&lt;"&amp;I27)+COUNTIFS($E$5:E27,E27,$B$5:B27,B27,$I$5:I27,I27))</f>
        <v/>
      </c>
    </row>
    <row r="28">
      <c r="B28" s="2" t="n"/>
      <c r="I28" s="4" t="n"/>
      <c r="J28" s="4" t="n"/>
      <c r="K28" s="14" t="n"/>
      <c r="N28" s="3" t="n"/>
      <c r="O28" s="3" t="n"/>
      <c r="P28" s="3" t="n"/>
      <c r="T28">
        <f>IF(E28="","",E28*100000+COUNTIFS(tblRegistros[ID],E28,tblRegistros[Data],"&lt;"&amp;B28)+COUNTIFS(tblRegistros[ID],E28,tblRegistros[Data],B28,tblRegistros[Início],"&lt;"&amp;I28)+COUNTIFS($E$5:E28,E28,$B$5:B28,B28,$I$5:I28,I28))</f>
        <v/>
      </c>
    </row>
    <row r="29">
      <c r="B29" s="2" t="n"/>
      <c r="I29" s="4" t="n"/>
      <c r="J29" s="4" t="n"/>
      <c r="K29" s="14" t="n"/>
      <c r="N29" s="3" t="n"/>
      <c r="O29" s="3" t="n"/>
      <c r="P29" s="3" t="n"/>
      <c r="T29">
        <f>IF(E29="","",E29*100000+COUNTIFS(tblRegistros[ID],E29,tblRegistros[Data],"&lt;"&amp;B29)+COUNTIFS(tblRegistros[ID],E29,tblRegistros[Data],B29,tblRegistros[Início],"&lt;"&amp;I29)+COUNTIFS($E$5:E29,E29,$B$5:B29,B29,$I$5:I29,I29))</f>
        <v/>
      </c>
    </row>
    <row r="30">
      <c r="B30" s="2" t="n"/>
      <c r="I30" s="4" t="n"/>
      <c r="J30" s="4" t="n"/>
      <c r="K30" s="14" t="n"/>
      <c r="N30" s="3" t="n"/>
      <c r="O30" s="3" t="n"/>
      <c r="P30" s="3" t="n"/>
      <c r="T30">
        <f>IF(E30="","",E30*100000+COUNTIFS(tblRegistros[ID],E30,tblRegistros[Data],"&lt;"&amp;B30)+COUNTIFS(tblRegistros[ID],E30,tblRegistros[Data],B30,tblRegistros[Início],"&lt;"&amp;I30)+COUNTIFS($E$5:E30,E30,$B$5:B30,B30,$I$5:I30,I30))</f>
        <v/>
      </c>
    </row>
    <row r="31">
      <c r="B31" s="2" t="n"/>
      <c r="I31" s="4" t="n"/>
      <c r="J31" s="4" t="n"/>
      <c r="K31" s="14" t="n"/>
      <c r="N31" s="3" t="n"/>
      <c r="O31" s="3" t="n"/>
      <c r="P31" s="3" t="n"/>
      <c r="T31">
        <f>IF(E31="","",E31*100000+COUNTIFS(tblRegistros[ID],E31,tblRegistros[Data],"&lt;"&amp;B31)+COUNTIFS(tblRegistros[ID],E31,tblRegistros[Data],B31,tblRegistros[Início],"&lt;"&amp;I31)+COUNTIFS($E$5:E31,E31,$B$5:B31,B31,$I$5:I31,I31))</f>
        <v/>
      </c>
    </row>
    <row r="32">
      <c r="B32" s="2" t="n"/>
      <c r="I32" s="4" t="n"/>
      <c r="J32" s="4" t="n"/>
      <c r="K32" s="14" t="n"/>
      <c r="N32" s="3" t="n"/>
      <c r="O32" s="3" t="n"/>
      <c r="P32" s="3" t="n"/>
      <c r="T32">
        <f>IF(E32="","",E32*100000+COUNTIFS(tblRegistros[ID],E32,tblRegistros[Data],"&lt;"&amp;B32)+COUNTIFS(tblRegistros[ID],E32,tblRegistros[Data],B32,tblRegistros[Início],"&lt;"&amp;I32)+COUNTIFS($E$5:E32,E32,$B$5:B32,B32,$I$5:I32,I32))</f>
        <v/>
      </c>
    </row>
    <row r="33">
      <c r="B33" s="2" t="n"/>
      <c r="I33" s="4" t="n"/>
      <c r="J33" s="4" t="n"/>
      <c r="K33" s="14" t="n"/>
      <c r="N33" s="3" t="n"/>
      <c r="O33" s="3" t="n"/>
      <c r="P33" s="3" t="n"/>
      <c r="T33">
        <f>IF(E33="","",E33*100000+COUNTIFS(tblRegistros[ID],E33,tblRegistros[Data],"&lt;"&amp;B33)+COUNTIFS(tblRegistros[ID],E33,tblRegistros[Data],B33,tblRegistros[Início],"&lt;"&amp;I33)+COUNTIFS($E$5:E33,E33,$B$5:B33,B33,$I$5:I33,I33))</f>
        <v/>
      </c>
    </row>
    <row r="34">
      <c r="B34" s="2" t="n"/>
      <c r="I34" s="4" t="n"/>
      <c r="J34" s="4" t="n"/>
      <c r="K34" s="14" t="n"/>
      <c r="N34" s="3" t="n"/>
      <c r="O34" s="3" t="n"/>
      <c r="P34" s="3" t="n"/>
      <c r="T34">
        <f>IF(E34="","",E34*100000+COUNTIFS(tblRegistros[ID],E34,tblRegistros[Data],"&lt;"&amp;B34)+COUNTIFS(tblRegistros[ID],E34,tblRegistros[Data],B34,tblRegistros[Início],"&lt;"&amp;I34)+COUNTIFS($E$5:E34,E34,$B$5:B34,B34,$I$5:I34,I34))</f>
        <v/>
      </c>
    </row>
    <row r="35">
      <c r="B35" s="2" t="n"/>
      <c r="I35" s="4" t="n"/>
      <c r="J35" s="4" t="n"/>
      <c r="K35" s="14" t="n"/>
      <c r="N35" s="3" t="n"/>
      <c r="O35" s="3" t="n"/>
      <c r="P35" s="3" t="n"/>
      <c r="T35">
        <f>IF(E35="","",E35*100000+COUNTIFS(tblRegistros[ID],E35,tblRegistros[Data],"&lt;"&amp;B35)+COUNTIFS(tblRegistros[ID],E35,tblRegistros[Data],B35,tblRegistros[Início],"&lt;"&amp;I35)+COUNTIFS($E$5:E35,E35,$B$5:B35,B35,$I$5:I35,I35))</f>
        <v/>
      </c>
    </row>
    <row r="36">
      <c r="B36" s="2" t="n"/>
      <c r="I36" s="4" t="n"/>
      <c r="J36" s="4" t="n"/>
      <c r="K36" s="14" t="n"/>
      <c r="N36" s="3" t="n"/>
      <c r="O36" s="3" t="n"/>
      <c r="P36" s="3" t="n"/>
      <c r="T36">
        <f>IF(E36="","",E36*100000+COUNTIFS(tblRegistros[ID],E36,tblRegistros[Data],"&lt;"&amp;B36)+COUNTIFS(tblRegistros[ID],E36,tblRegistros[Data],B36,tblRegistros[Início],"&lt;"&amp;I36)+COUNTIFS($E$5:E36,E36,$B$5:B36,B36,$I$5:I36,I36))</f>
        <v/>
      </c>
    </row>
    <row r="37">
      <c r="B37" s="2" t="n"/>
      <c r="I37" s="4" t="n"/>
      <c r="J37" s="4" t="n"/>
      <c r="K37" s="14" t="n"/>
      <c r="N37" s="3" t="n"/>
      <c r="O37" s="3" t="n"/>
      <c r="P37" s="3" t="n"/>
      <c r="T37">
        <f>IF(E37="","",E37*100000+COUNTIFS(tblRegistros[ID],E37,tblRegistros[Data],"&lt;"&amp;B37)+COUNTIFS(tblRegistros[ID],E37,tblRegistros[Data],B37,tblRegistros[Início],"&lt;"&amp;I37)+COUNTIFS($E$5:E37,E37,$B$5:B37,B37,$I$5:I37,I37))</f>
        <v/>
      </c>
    </row>
    <row r="38">
      <c r="B38" s="2" t="n"/>
      <c r="I38" s="4" t="n"/>
      <c r="J38" s="4" t="n"/>
      <c r="K38" s="14" t="n"/>
      <c r="N38" s="3" t="n"/>
      <c r="O38" s="3" t="n"/>
      <c r="P38" s="3" t="n"/>
      <c r="T38">
        <f>IF(E38="","",E38*100000+COUNTIFS(tblRegistros[ID],E38,tblRegistros[Data],"&lt;"&amp;B38)+COUNTIFS(tblRegistros[ID],E38,tblRegistros[Data],B38,tblRegistros[Início],"&lt;"&amp;I38)+COUNTIFS($E$5:E38,E38,$B$5:B38,B38,$I$5:I38,I38))</f>
        <v/>
      </c>
    </row>
    <row r="39">
      <c r="B39" s="2" t="n"/>
      <c r="I39" s="4" t="n"/>
      <c r="J39" s="4" t="n"/>
      <c r="K39" s="14" t="n"/>
      <c r="N39" s="3" t="n"/>
      <c r="O39" s="3" t="n"/>
      <c r="P39" s="3" t="n"/>
      <c r="T39">
        <f>IF(E39="","",E39*100000+COUNTIFS(tblRegistros[ID],E39,tblRegistros[Data],"&lt;"&amp;B39)+COUNTIFS(tblRegistros[ID],E39,tblRegistros[Data],B39,tblRegistros[Início],"&lt;"&amp;I39)+COUNTIFS($E$5:E39,E39,$B$5:B39,B39,$I$5:I39,I39))</f>
        <v/>
      </c>
    </row>
    <row r="40">
      <c r="B40" s="2" t="n"/>
      <c r="I40" s="4" t="n"/>
      <c r="J40" s="4" t="n"/>
      <c r="K40" s="14" t="n"/>
      <c r="N40" s="3" t="n"/>
      <c r="O40" s="3" t="n"/>
      <c r="P40" s="3" t="n"/>
      <c r="T40">
        <f>IF(E40="","",E40*100000+COUNTIFS(tblRegistros[ID],E40,tblRegistros[Data],"&lt;"&amp;B40)+COUNTIFS(tblRegistros[ID],E40,tblRegistros[Data],B40,tblRegistros[Início],"&lt;"&amp;I40)+COUNTIFS($E$5:E40,E40,$B$5:B40,B40,$I$5:I40,I40))</f>
        <v/>
      </c>
    </row>
    <row r="41">
      <c r="B41" s="2" t="n"/>
      <c r="I41" s="4" t="n"/>
      <c r="J41" s="4" t="n"/>
      <c r="K41" s="14" t="n"/>
      <c r="N41" s="3" t="n"/>
      <c r="O41" s="3" t="n"/>
      <c r="P41" s="3" t="n"/>
      <c r="T41">
        <f>IF(E41="","",E41*100000+COUNTIFS(tblRegistros[ID],E41,tblRegistros[Data],"&lt;"&amp;B41)+COUNTIFS(tblRegistros[ID],E41,tblRegistros[Data],B41,tblRegistros[Início],"&lt;"&amp;I41)+COUNTIFS($E$5:E41,E41,$B$5:B41,B41,$I$5:I41,I41))</f>
        <v/>
      </c>
    </row>
    <row r="42">
      <c r="B42" s="2" t="n"/>
      <c r="I42" s="4" t="n"/>
      <c r="J42" s="4" t="n"/>
      <c r="K42" s="14" t="n"/>
      <c r="N42" s="3" t="n"/>
      <c r="O42" s="3" t="n"/>
      <c r="P42" s="3" t="n"/>
      <c r="T42">
        <f>IF(E42="","",E42*100000+COUNTIFS(tblRegistros[ID],E42,tblRegistros[Data],"&lt;"&amp;B42)+COUNTIFS(tblRegistros[ID],E42,tblRegistros[Data],B42,tblRegistros[Início],"&lt;"&amp;I42)+COUNTIFS($E$5:E42,E42,$B$5:B42,B42,$I$5:I42,I42))</f>
        <v/>
      </c>
    </row>
    <row r="43">
      <c r="B43" s="2" t="n"/>
      <c r="I43" s="4" t="n"/>
      <c r="J43" s="4" t="n"/>
      <c r="K43" s="14" t="n"/>
      <c r="N43" s="3" t="n"/>
      <c r="O43" s="3" t="n"/>
      <c r="P43" s="3" t="n"/>
      <c r="T43">
        <f>IF(E43="","",E43*100000+COUNTIFS(tblRegistros[ID],E43,tblRegistros[Data],"&lt;"&amp;B43)+COUNTIFS(tblRegistros[ID],E43,tblRegistros[Data],B43,tblRegistros[Início],"&lt;"&amp;I43)+COUNTIFS($E$5:E43,E43,$B$5:B43,B43,$I$5:I43,I43))</f>
        <v/>
      </c>
    </row>
    <row r="44">
      <c r="B44" s="2" t="n"/>
      <c r="I44" s="4" t="n"/>
      <c r="J44" s="4" t="n"/>
      <c r="K44" s="14" t="n"/>
      <c r="N44" s="3" t="n"/>
      <c r="O44" s="3" t="n"/>
      <c r="P44" s="3" t="n"/>
      <c r="T44">
        <f>IF(E44="","",E44*100000+COUNTIFS(tblRegistros[ID],E44,tblRegistros[Data],"&lt;"&amp;B44)+COUNTIFS(tblRegistros[ID],E44,tblRegistros[Data],B44,tblRegistros[Início],"&lt;"&amp;I44)+COUNTIFS($E$5:E44,E44,$B$5:B44,B44,$I$5:I44,I44))</f>
        <v/>
      </c>
    </row>
    <row r="45">
      <c r="B45" s="2" t="n"/>
      <c r="I45" s="4" t="n"/>
      <c r="J45" s="4" t="n"/>
      <c r="K45" s="14" t="n"/>
      <c r="N45" s="3" t="n"/>
      <c r="O45" s="3" t="n"/>
      <c r="P45" s="3" t="n"/>
      <c r="T45">
        <f>IF(E45="","",E45*100000+COUNTIFS(tblRegistros[ID],E45,tblRegistros[Data],"&lt;"&amp;B45)+COUNTIFS(tblRegistros[ID],E45,tblRegistros[Data],B45,tblRegistros[Início],"&lt;"&amp;I45)+COUNTIFS($E$5:E45,E45,$B$5:B45,B45,$I$5:I45,I45))</f>
        <v/>
      </c>
    </row>
    <row r="46">
      <c r="B46" s="2" t="n"/>
      <c r="I46" s="4" t="n"/>
      <c r="J46" s="4" t="n"/>
      <c r="K46" s="14" t="n"/>
      <c r="N46" s="3" t="n"/>
      <c r="O46" s="3" t="n"/>
      <c r="P46" s="3" t="n"/>
      <c r="T46">
        <f>IF(E46="","",E46*100000+COUNTIFS(tblRegistros[ID],E46,tblRegistros[Data],"&lt;"&amp;B46)+COUNTIFS(tblRegistros[ID],E46,tblRegistros[Data],B46,tblRegistros[Início],"&lt;"&amp;I46)+COUNTIFS($E$5:E46,E46,$B$5:B46,B46,$I$5:I46,I46))</f>
        <v/>
      </c>
    </row>
    <row r="47">
      <c r="B47" s="2" t="n"/>
      <c r="I47" s="4" t="n"/>
      <c r="J47" s="4" t="n"/>
      <c r="K47" s="14" t="n"/>
      <c r="N47" s="3" t="n"/>
      <c r="O47" s="3" t="n"/>
      <c r="P47" s="3" t="n"/>
      <c r="T47">
        <f>IF(E47="","",E47*100000+COUNTIFS(tblRegistros[ID],E47,tblRegistros[Data],"&lt;"&amp;B47)+COUNTIFS(tblRegistros[ID],E47,tblRegistros[Data],B47,tblRegistros[Início],"&lt;"&amp;I47)+COUNTIFS($E$5:E47,E47,$B$5:B47,B47,$I$5:I47,I47))</f>
        <v/>
      </c>
    </row>
    <row r="48">
      <c r="B48" s="2" t="n"/>
      <c r="I48" s="4" t="n"/>
      <c r="J48" s="4" t="n"/>
      <c r="K48" s="14" t="n"/>
      <c r="N48" s="3" t="n"/>
      <c r="O48" s="3" t="n"/>
      <c r="P48" s="3" t="n"/>
      <c r="T48">
        <f>IF(E48="","",E48*100000+COUNTIFS(tblRegistros[ID],E48,tblRegistros[Data],"&lt;"&amp;B48)+COUNTIFS(tblRegistros[ID],E48,tblRegistros[Data],B48,tblRegistros[Início],"&lt;"&amp;I48)+COUNTIFS($E$5:E48,E48,$B$5:B48,B48,$I$5:I48,I48))</f>
        <v/>
      </c>
    </row>
    <row r="49">
      <c r="B49" s="2" t="n"/>
      <c r="I49" s="4" t="n"/>
      <c r="J49" s="4" t="n"/>
      <c r="K49" s="14" t="n"/>
      <c r="N49" s="3" t="n"/>
      <c r="O49" s="3" t="n"/>
      <c r="P49" s="3" t="n"/>
      <c r="T49">
        <f>IF(E49="","",E49*100000+COUNTIFS(tblRegistros[ID],E49,tblRegistros[Data],"&lt;"&amp;B49)+COUNTIFS(tblRegistros[ID],E49,tblRegistros[Data],B49,tblRegistros[Início],"&lt;"&amp;I49)+COUNTIFS($E$5:E49,E49,$B$5:B49,B49,$I$5:I49,I49))</f>
        <v/>
      </c>
    </row>
    <row r="50">
      <c r="B50" s="2" t="n"/>
      <c r="I50" s="4" t="n"/>
      <c r="J50" s="4" t="n"/>
      <c r="K50" s="14" t="n"/>
      <c r="N50" s="3" t="n"/>
      <c r="O50" s="3" t="n"/>
      <c r="P50" s="3" t="n"/>
      <c r="T50">
        <f>IF(E50="","",E50*100000+COUNTIFS(tblRegistros[ID],E50,tblRegistros[Data],"&lt;"&amp;B50)+COUNTIFS(tblRegistros[ID],E50,tblRegistros[Data],B50,tblRegistros[Início],"&lt;"&amp;I50)+COUNTIFS($E$5:E50,E50,$B$5:B50,B50,$I$5:I50,I50))</f>
        <v/>
      </c>
    </row>
    <row r="51">
      <c r="B51" s="2" t="n"/>
      <c r="I51" s="4" t="n"/>
      <c r="J51" s="4" t="n"/>
      <c r="K51" s="14" t="n"/>
      <c r="N51" s="3" t="n"/>
      <c r="O51" s="3" t="n"/>
      <c r="P51" s="3" t="n"/>
      <c r="T51">
        <f>IF(E51="","",E51*100000+COUNTIFS(tblRegistros[ID],E51,tblRegistros[Data],"&lt;"&amp;B51)+COUNTIFS(tblRegistros[ID],E51,tblRegistros[Data],B51,tblRegistros[Início],"&lt;"&amp;I51)+COUNTIFS($E$5:E51,E51,$B$5:B51,B51,$I$5:I51,I51))</f>
        <v/>
      </c>
    </row>
    <row r="52">
      <c r="B52" s="2" t="n"/>
      <c r="I52" s="4" t="n"/>
      <c r="J52" s="4" t="n"/>
      <c r="K52" s="14" t="n"/>
      <c r="N52" s="3" t="n"/>
      <c r="O52" s="3" t="n"/>
      <c r="P52" s="3" t="n"/>
      <c r="T52">
        <f>IF(E52="","",E52*100000+COUNTIFS(tblRegistros[ID],E52,tblRegistros[Data],"&lt;"&amp;B52)+COUNTIFS(tblRegistros[ID],E52,tblRegistros[Data],B52,tblRegistros[Início],"&lt;"&amp;I52)+COUNTIFS($E$5:E52,E52,$B$5:B52,B52,$I$5:I52,I52))</f>
        <v/>
      </c>
    </row>
    <row r="53">
      <c r="B53" s="2" t="n"/>
      <c r="I53" s="4" t="n"/>
      <c r="J53" s="4" t="n"/>
      <c r="K53" s="14" t="n"/>
      <c r="N53" s="3" t="n"/>
      <c r="O53" s="3" t="n"/>
      <c r="P53" s="3" t="n"/>
      <c r="T53">
        <f>IF(E53="","",E53*100000+COUNTIFS(tblRegistros[ID],E53,tblRegistros[Data],"&lt;"&amp;B53)+COUNTIFS(tblRegistros[ID],E53,tblRegistros[Data],B53,tblRegistros[Início],"&lt;"&amp;I53)+COUNTIFS($E$5:E53,E53,$B$5:B53,B53,$I$5:I53,I53))</f>
        <v/>
      </c>
    </row>
    <row r="54">
      <c r="B54" s="2" t="n"/>
      <c r="I54" s="4" t="n"/>
      <c r="J54" s="4" t="n"/>
      <c r="K54" s="14" t="n"/>
      <c r="N54" s="3" t="n"/>
      <c r="O54" s="3" t="n"/>
      <c r="P54" s="3" t="n"/>
      <c r="T54">
        <f>IF(E54="","",E54*100000+COUNTIFS(tblRegistros[ID],E54,tblRegistros[Data],"&lt;"&amp;B54)+COUNTIFS(tblRegistros[ID],E54,tblRegistros[Data],B54,tblRegistros[Início],"&lt;"&amp;I54)+COUNTIFS($E$5:E54,E54,$B$5:B54,B54,$I$5:I54,I54))</f>
        <v/>
      </c>
    </row>
    <row r="55">
      <c r="B55" s="2" t="n"/>
      <c r="I55" s="4" t="n"/>
      <c r="J55" s="4" t="n"/>
      <c r="K55" s="14" t="n"/>
      <c r="N55" s="3" t="n"/>
      <c r="O55" s="3" t="n"/>
      <c r="P55" s="3" t="n"/>
      <c r="T55">
        <f>IF(E55="","",E55*100000+COUNTIFS(tblRegistros[ID],E55,tblRegistros[Data],"&lt;"&amp;B55)+COUNTIFS(tblRegistros[ID],E55,tblRegistros[Data],B55,tblRegistros[Início],"&lt;"&amp;I55)+COUNTIFS($E$5:E55,E55,$B$5:B55,B55,$I$5:I55,I55))</f>
        <v/>
      </c>
    </row>
    <row r="56">
      <c r="B56" s="2" t="n"/>
      <c r="I56" s="4" t="n"/>
      <c r="J56" s="4" t="n"/>
      <c r="K56" s="14" t="n"/>
      <c r="N56" s="3" t="n"/>
      <c r="O56" s="3" t="n"/>
      <c r="P56" s="3" t="n"/>
      <c r="T56">
        <f>IF(E56="","",E56*100000+COUNTIFS(tblRegistros[ID],E56,tblRegistros[Data],"&lt;"&amp;B56)+COUNTIFS(tblRegistros[ID],E56,tblRegistros[Data],B56,tblRegistros[Início],"&lt;"&amp;I56)+COUNTIFS($E$5:E56,E56,$B$5:B56,B56,$I$5:I56,I56))</f>
        <v/>
      </c>
    </row>
    <row r="57">
      <c r="B57" s="2" t="n"/>
      <c r="I57" s="4" t="n"/>
      <c r="J57" s="4" t="n"/>
      <c r="K57" s="14" t="n"/>
      <c r="N57" s="3" t="n"/>
      <c r="O57" s="3" t="n"/>
      <c r="P57" s="3" t="n"/>
      <c r="T57">
        <f>IF(E57="","",E57*100000+COUNTIFS(tblRegistros[ID],E57,tblRegistros[Data],"&lt;"&amp;B57)+COUNTIFS(tblRegistros[ID],E57,tblRegistros[Data],B57,tblRegistros[Início],"&lt;"&amp;I57)+COUNTIFS($E$5:E57,E57,$B$5:B57,B57,$I$5:I57,I57))</f>
        <v/>
      </c>
    </row>
    <row r="58">
      <c r="B58" s="2" t="n"/>
      <c r="I58" s="4" t="n"/>
      <c r="J58" s="4" t="n"/>
      <c r="K58" s="14" t="n"/>
      <c r="N58" s="3" t="n"/>
      <c r="O58" s="3" t="n"/>
      <c r="P58" s="3" t="n"/>
      <c r="T58">
        <f>IF(E58="","",E58*100000+COUNTIFS(tblRegistros[ID],E58,tblRegistros[Data],"&lt;"&amp;B58)+COUNTIFS(tblRegistros[ID],E58,tblRegistros[Data],B58,tblRegistros[Início],"&lt;"&amp;I58)+COUNTIFS($E$5:E58,E58,$B$5:B58,B58,$I$5:I58,I58))</f>
        <v/>
      </c>
    </row>
    <row r="59">
      <c r="B59" s="2" t="n"/>
      <c r="I59" s="4" t="n"/>
      <c r="J59" s="4" t="n"/>
      <c r="K59" s="14" t="n"/>
      <c r="N59" s="3" t="n"/>
      <c r="O59" s="3" t="n"/>
      <c r="P59" s="3" t="n"/>
      <c r="T59">
        <f>IF(E59="","",E59*100000+COUNTIFS(tblRegistros[ID],E59,tblRegistros[Data],"&lt;"&amp;B59)+COUNTIFS(tblRegistros[ID],E59,tblRegistros[Data],B59,tblRegistros[Início],"&lt;"&amp;I59)+COUNTIFS($E$5:E59,E59,$B$5:B59,B59,$I$5:I59,I59))</f>
        <v/>
      </c>
    </row>
    <row r="60">
      <c r="B60" s="2" t="n"/>
      <c r="I60" s="4" t="n"/>
      <c r="J60" s="4" t="n"/>
      <c r="K60" s="14" t="n"/>
      <c r="N60" s="3" t="n"/>
      <c r="O60" s="3" t="n"/>
      <c r="P60" s="3" t="n"/>
      <c r="T60">
        <f>IF(E60="","",E60*100000+COUNTIFS(tblRegistros[ID],E60,tblRegistros[Data],"&lt;"&amp;B60)+COUNTIFS(tblRegistros[ID],E60,tblRegistros[Data],B60,tblRegistros[Início],"&lt;"&amp;I60)+COUNTIFS($E$5:E60,E60,$B$5:B60,B60,$I$5:I60,I60))</f>
        <v/>
      </c>
    </row>
    <row r="61">
      <c r="B61" s="2" t="n"/>
      <c r="I61" s="4" t="n"/>
      <c r="J61" s="4" t="n"/>
      <c r="K61" s="14" t="n"/>
      <c r="N61" s="3" t="n"/>
      <c r="O61" s="3" t="n"/>
      <c r="P61" s="3" t="n"/>
      <c r="T61">
        <f>IF(E61="","",E61*100000+COUNTIFS(tblRegistros[ID],E61,tblRegistros[Data],"&lt;"&amp;B61)+COUNTIFS(tblRegistros[ID],E61,tblRegistros[Data],B61,tblRegistros[Início],"&lt;"&amp;I61)+COUNTIFS($E$5:E61,E61,$B$5:B61,B61,$I$5:I61,I61))</f>
        <v/>
      </c>
    </row>
    <row r="62">
      <c r="B62" s="2" t="n"/>
      <c r="I62" s="4" t="n"/>
      <c r="J62" s="4" t="n"/>
      <c r="K62" s="14" t="n"/>
      <c r="N62" s="3" t="n"/>
      <c r="O62" s="3" t="n"/>
      <c r="P62" s="3" t="n"/>
      <c r="T62">
        <f>IF(E62="","",E62*100000+COUNTIFS(tblRegistros[ID],E62,tblRegistros[Data],"&lt;"&amp;B62)+COUNTIFS(tblRegistros[ID],E62,tblRegistros[Data],B62,tblRegistros[Início],"&lt;"&amp;I62)+COUNTIFS($E$5:E62,E62,$B$5:B62,B62,$I$5:I62,I62))</f>
        <v/>
      </c>
    </row>
    <row r="63">
      <c r="B63" s="2" t="n"/>
      <c r="I63" s="4" t="n"/>
      <c r="J63" s="4" t="n"/>
      <c r="K63" s="14" t="n"/>
      <c r="N63" s="3" t="n"/>
      <c r="O63" s="3" t="n"/>
      <c r="P63" s="3" t="n"/>
      <c r="T63">
        <f>IF(E63="","",E63*100000+COUNTIFS(tblRegistros[ID],E63,tblRegistros[Data],"&lt;"&amp;B63)+COUNTIFS(tblRegistros[ID],E63,tblRegistros[Data],B63,tblRegistros[Início],"&lt;"&amp;I63)+COUNTIFS($E$5:E63,E63,$B$5:B63,B63,$I$5:I63,I63))</f>
        <v/>
      </c>
    </row>
    <row r="64">
      <c r="B64" s="2" t="n"/>
      <c r="I64" s="4" t="n"/>
      <c r="J64" s="4" t="n"/>
      <c r="K64" s="14" t="n"/>
      <c r="N64" s="3" t="n"/>
      <c r="O64" s="3" t="n"/>
      <c r="P64" s="3" t="n"/>
      <c r="T64">
        <f>IF(E64="","",E64*100000+COUNTIFS(tblRegistros[ID],E64,tblRegistros[Data],"&lt;"&amp;B64)+COUNTIFS(tblRegistros[ID],E64,tblRegistros[Data],B64,tblRegistros[Início],"&lt;"&amp;I64)+COUNTIFS($E$5:E64,E64,$B$5:B64,B64,$I$5:I64,I64))</f>
        <v/>
      </c>
    </row>
    <row r="65">
      <c r="B65" s="2" t="n"/>
      <c r="I65" s="4" t="n"/>
      <c r="J65" s="4" t="n"/>
      <c r="K65" s="14" t="n"/>
      <c r="N65" s="3" t="n"/>
      <c r="O65" s="3" t="n"/>
      <c r="P65" s="3" t="n"/>
      <c r="T65">
        <f>IF(E65="","",E65*100000+COUNTIFS(tblRegistros[ID],E65,tblRegistros[Data],"&lt;"&amp;B65)+COUNTIFS(tblRegistros[ID],E65,tblRegistros[Data],B65,tblRegistros[Início],"&lt;"&amp;I65)+COUNTIFS($E$5:E65,E65,$B$5:B65,B65,$I$5:I65,I65))</f>
        <v/>
      </c>
    </row>
    <row r="66">
      <c r="B66" s="2" t="n"/>
      <c r="I66" s="4" t="n"/>
      <c r="J66" s="4" t="n"/>
      <c r="K66" s="14" t="n"/>
      <c r="N66" s="3" t="n"/>
      <c r="O66" s="3" t="n"/>
      <c r="P66" s="3" t="n"/>
      <c r="T66">
        <f>IF(E66="","",E66*100000+COUNTIFS(tblRegistros[ID],E66,tblRegistros[Data],"&lt;"&amp;B66)+COUNTIFS(tblRegistros[ID],E66,tblRegistros[Data],B66,tblRegistros[Início],"&lt;"&amp;I66)+COUNTIFS($E$5:E66,E66,$B$5:B66,B66,$I$5:I66,I66))</f>
        <v/>
      </c>
    </row>
    <row r="67">
      <c r="B67" s="2" t="n"/>
      <c r="I67" s="4" t="n"/>
      <c r="J67" s="4" t="n"/>
      <c r="K67" s="14" t="n"/>
      <c r="N67" s="3" t="n"/>
      <c r="O67" s="3" t="n"/>
      <c r="P67" s="3" t="n"/>
      <c r="T67">
        <f>IF(E67="","",E67*100000+COUNTIFS(tblRegistros[ID],E67,tblRegistros[Data],"&lt;"&amp;B67)+COUNTIFS(tblRegistros[ID],E67,tblRegistros[Data],B67,tblRegistros[Início],"&lt;"&amp;I67)+COUNTIFS($E$5:E67,E67,$B$5:B67,B67,$I$5:I67,I67))</f>
        <v/>
      </c>
    </row>
    <row r="68">
      <c r="B68" s="2" t="n"/>
      <c r="I68" s="4" t="n"/>
      <c r="J68" s="4" t="n"/>
      <c r="K68" s="14" t="n"/>
      <c r="N68" s="3" t="n"/>
      <c r="O68" s="3" t="n"/>
      <c r="P68" s="3" t="n"/>
      <c r="T68">
        <f>IF(E68="","",E68*100000+COUNTIFS(tblRegistros[ID],E68,tblRegistros[Data],"&lt;"&amp;B68)+COUNTIFS(tblRegistros[ID],E68,tblRegistros[Data],B68,tblRegistros[Início],"&lt;"&amp;I68)+COUNTIFS($E$5:E68,E68,$B$5:B68,B68,$I$5:I68,I68))</f>
        <v/>
      </c>
    </row>
    <row r="69">
      <c r="B69" s="2" t="n"/>
      <c r="I69" s="4" t="n"/>
      <c r="J69" s="4" t="n"/>
      <c r="K69" s="14" t="n"/>
      <c r="N69" s="3" t="n"/>
      <c r="O69" s="3" t="n"/>
      <c r="P69" s="3" t="n"/>
      <c r="T69">
        <f>IF(E69="","",E69*100000+COUNTIFS(tblRegistros[ID],E69,tblRegistros[Data],"&lt;"&amp;B69)+COUNTIFS(tblRegistros[ID],E69,tblRegistros[Data],B69,tblRegistros[Início],"&lt;"&amp;I69)+COUNTIFS($E$5:E69,E69,$B$5:B69,B69,$I$5:I69,I69))</f>
        <v/>
      </c>
    </row>
    <row r="70">
      <c r="B70" s="2" t="n"/>
      <c r="I70" s="4" t="n"/>
      <c r="J70" s="4" t="n"/>
      <c r="K70" s="14" t="n"/>
      <c r="N70" s="3" t="n"/>
      <c r="O70" s="3" t="n"/>
      <c r="P70" s="3" t="n"/>
      <c r="T70">
        <f>IF(E70="","",E70*100000+COUNTIFS(tblRegistros[ID],E70,tblRegistros[Data],"&lt;"&amp;B70)+COUNTIFS(tblRegistros[ID],E70,tblRegistros[Data],B70,tblRegistros[Início],"&lt;"&amp;I70)+COUNTIFS($E$5:E70,E70,$B$5:B70,B70,$I$5:I70,I70))</f>
        <v/>
      </c>
    </row>
    <row r="71">
      <c r="B71" s="2" t="n"/>
      <c r="I71" s="4" t="n"/>
      <c r="J71" s="4" t="n"/>
      <c r="K71" s="14" t="n"/>
      <c r="N71" s="3" t="n"/>
      <c r="O71" s="3" t="n"/>
      <c r="P71" s="3" t="n"/>
      <c r="T71">
        <f>IF(E71="","",E71*100000+COUNTIFS(tblRegistros[ID],E71,tblRegistros[Data],"&lt;"&amp;B71)+COUNTIFS(tblRegistros[ID],E71,tblRegistros[Data],B71,tblRegistros[Início],"&lt;"&amp;I71)+COUNTIFS($E$5:E71,E71,$B$5:B71,B71,$I$5:I71,I71))</f>
        <v/>
      </c>
    </row>
    <row r="72">
      <c r="B72" s="2" t="n"/>
      <c r="I72" s="4" t="n"/>
      <c r="J72" s="4" t="n"/>
      <c r="K72" s="14" t="n"/>
      <c r="N72" s="3" t="n"/>
      <c r="O72" s="3" t="n"/>
      <c r="P72" s="3" t="n"/>
      <c r="T72">
        <f>IF(E72="","",E72*100000+COUNTIFS(tblRegistros[ID],E72,tblRegistros[Data],"&lt;"&amp;B72)+COUNTIFS(tblRegistros[ID],E72,tblRegistros[Data],B72,tblRegistros[Início],"&lt;"&amp;I72)+COUNTIFS($E$5:E72,E72,$B$5:B72,B72,$I$5:I72,I72))</f>
        <v/>
      </c>
    </row>
    <row r="73">
      <c r="B73" s="2" t="n"/>
      <c r="I73" s="4" t="n"/>
      <c r="J73" s="4" t="n"/>
      <c r="K73" s="14" t="n"/>
      <c r="N73" s="3" t="n"/>
      <c r="O73" s="3" t="n"/>
      <c r="P73" s="3" t="n"/>
      <c r="T73">
        <f>IF(E73="","",E73*100000+COUNTIFS(tblRegistros[ID],E73,tblRegistros[Data],"&lt;"&amp;B73)+COUNTIFS(tblRegistros[ID],E73,tblRegistros[Data],B73,tblRegistros[Início],"&lt;"&amp;I73)+COUNTIFS($E$5:E73,E73,$B$5:B73,B73,$I$5:I73,I73))</f>
        <v/>
      </c>
    </row>
    <row r="74">
      <c r="B74" s="2" t="n"/>
      <c r="I74" s="4" t="n"/>
      <c r="J74" s="4" t="n"/>
      <c r="K74" s="14" t="n"/>
      <c r="N74" s="3" t="n"/>
      <c r="O74" s="3" t="n"/>
      <c r="P74" s="3" t="n"/>
      <c r="T74">
        <f>IF(E74="","",E74*100000+COUNTIFS(tblRegistros[ID],E74,tblRegistros[Data],"&lt;"&amp;B74)+COUNTIFS(tblRegistros[ID],E74,tblRegistros[Data],B74,tblRegistros[Início],"&lt;"&amp;I74)+COUNTIFS($E$5:E74,E74,$B$5:B74,B74,$I$5:I74,I74))</f>
        <v/>
      </c>
    </row>
    <row r="75">
      <c r="B75" s="2" t="n"/>
      <c r="I75" s="4" t="n"/>
      <c r="J75" s="4" t="n"/>
      <c r="K75" s="14" t="n"/>
      <c r="N75" s="3" t="n"/>
      <c r="O75" s="3" t="n"/>
      <c r="P75" s="3" t="n"/>
      <c r="T75">
        <f>IF(E75="","",E75*100000+COUNTIFS(tblRegistros[ID],E75,tblRegistros[Data],"&lt;"&amp;B75)+COUNTIFS(tblRegistros[ID],E75,tblRegistros[Data],B75,tblRegistros[Início],"&lt;"&amp;I75)+COUNTIFS($E$5:E75,E75,$B$5:B75,B75,$I$5:I75,I75))</f>
        <v/>
      </c>
    </row>
    <row r="76">
      <c r="B76" s="2" t="n"/>
      <c r="I76" s="4" t="n"/>
      <c r="J76" s="4" t="n"/>
      <c r="K76" s="14" t="n"/>
      <c r="N76" s="3" t="n"/>
      <c r="O76" s="3" t="n"/>
      <c r="P76" s="3" t="n"/>
      <c r="T76">
        <f>IF(E76="","",E76*100000+COUNTIFS(tblRegistros[ID],E76,tblRegistros[Data],"&lt;"&amp;B76)+COUNTIFS(tblRegistros[ID],E76,tblRegistros[Data],B76,tblRegistros[Início],"&lt;"&amp;I76)+COUNTIFS($E$5:E76,E76,$B$5:B76,B76,$I$5:I76,I76))</f>
        <v/>
      </c>
    </row>
    <row r="77">
      <c r="B77" s="2" t="n"/>
      <c r="I77" s="4" t="n"/>
      <c r="J77" s="4" t="n"/>
      <c r="K77" s="14" t="n"/>
      <c r="N77" s="3" t="n"/>
      <c r="O77" s="3" t="n"/>
      <c r="P77" s="3" t="n"/>
      <c r="T77">
        <f>IF(E77="","",E77*100000+COUNTIFS(tblRegistros[ID],E77,tblRegistros[Data],"&lt;"&amp;B77)+COUNTIFS(tblRegistros[ID],E77,tblRegistros[Data],B77,tblRegistros[Início],"&lt;"&amp;I77)+COUNTIFS($E$5:E77,E77,$B$5:B77,B77,$I$5:I77,I77))</f>
        <v/>
      </c>
    </row>
    <row r="78">
      <c r="B78" s="2" t="n"/>
      <c r="I78" s="4" t="n"/>
      <c r="J78" s="4" t="n"/>
      <c r="K78" s="14" t="n"/>
      <c r="N78" s="3" t="n"/>
      <c r="O78" s="3" t="n"/>
      <c r="P78" s="3" t="n"/>
      <c r="T78">
        <f>IF(E78="","",E78*100000+COUNTIFS(tblRegistros[ID],E78,tblRegistros[Data],"&lt;"&amp;B78)+COUNTIFS(tblRegistros[ID],E78,tblRegistros[Data],B78,tblRegistros[Início],"&lt;"&amp;I78)+COUNTIFS($E$5:E78,E78,$B$5:B78,B78,$I$5:I78,I78))</f>
        <v/>
      </c>
    </row>
    <row r="79">
      <c r="B79" s="2" t="n"/>
      <c r="I79" s="4" t="n"/>
      <c r="J79" s="4" t="n"/>
      <c r="K79" s="14" t="n"/>
      <c r="N79" s="3" t="n"/>
      <c r="O79" s="3" t="n"/>
      <c r="P79" s="3" t="n"/>
      <c r="T79">
        <f>IF(E79="","",E79*100000+COUNTIFS(tblRegistros[ID],E79,tblRegistros[Data],"&lt;"&amp;B79)+COUNTIFS(tblRegistros[ID],E79,tblRegistros[Data],B79,tblRegistros[Início],"&lt;"&amp;I79)+COUNTIFS($E$5:E79,E79,$B$5:B79,B79,$I$5:I79,I79))</f>
        <v/>
      </c>
    </row>
    <row r="80">
      <c r="B80" s="2" t="n"/>
      <c r="I80" s="4" t="n"/>
      <c r="J80" s="4" t="n"/>
      <c r="K80" s="14" t="n"/>
      <c r="N80" s="3" t="n"/>
      <c r="O80" s="3" t="n"/>
      <c r="P80" s="3" t="n"/>
      <c r="T80">
        <f>IF(E80="","",E80*100000+COUNTIFS(tblRegistros[ID],E80,tblRegistros[Data],"&lt;"&amp;B80)+COUNTIFS(tblRegistros[ID],E80,tblRegistros[Data],B80,tblRegistros[Início],"&lt;"&amp;I80)+COUNTIFS($E$5:E80,E80,$B$5:B80,B80,$I$5:I80,I80))</f>
        <v/>
      </c>
    </row>
    <row r="81">
      <c r="B81" s="2" t="n"/>
      <c r="I81" s="4" t="n"/>
      <c r="J81" s="4" t="n"/>
      <c r="K81" s="14" t="n"/>
      <c r="N81" s="3" t="n"/>
      <c r="O81" s="3" t="n"/>
      <c r="P81" s="3" t="n"/>
      <c r="T81">
        <f>IF(E81="","",E81*100000+COUNTIFS(tblRegistros[ID],E81,tblRegistros[Data],"&lt;"&amp;B81)+COUNTIFS(tblRegistros[ID],E81,tblRegistros[Data],B81,tblRegistros[Início],"&lt;"&amp;I81)+COUNTIFS($E$5:E81,E81,$B$5:B81,B81,$I$5:I81,I81))</f>
        <v/>
      </c>
    </row>
    <row r="82">
      <c r="B82" s="2" t="n"/>
      <c r="I82" s="4" t="n"/>
      <c r="J82" s="4" t="n"/>
      <c r="K82" s="14" t="n"/>
      <c r="N82" s="3" t="n"/>
      <c r="O82" s="3" t="n"/>
      <c r="P82" s="3" t="n"/>
      <c r="T82">
        <f>IF(E82="","",E82*100000+COUNTIFS(tblRegistros[ID],E82,tblRegistros[Data],"&lt;"&amp;B82)+COUNTIFS(tblRegistros[ID],E82,tblRegistros[Data],B82,tblRegistros[Início],"&lt;"&amp;I82)+COUNTIFS($E$5:E82,E82,$B$5:B82,B82,$I$5:I82,I82))</f>
        <v/>
      </c>
    </row>
    <row r="83">
      <c r="B83" s="2" t="n"/>
      <c r="I83" s="4" t="n"/>
      <c r="J83" s="4" t="n"/>
      <c r="K83" s="14" t="n"/>
      <c r="N83" s="3" t="n"/>
      <c r="O83" s="3" t="n"/>
      <c r="P83" s="3" t="n"/>
      <c r="T83">
        <f>IF(E83="","",E83*100000+COUNTIFS(tblRegistros[ID],E83,tblRegistros[Data],"&lt;"&amp;B83)+COUNTIFS(tblRegistros[ID],E83,tblRegistros[Data],B83,tblRegistros[Início],"&lt;"&amp;I83)+COUNTIFS($E$5:E83,E83,$B$5:B83,B83,$I$5:I83,I83))</f>
        <v/>
      </c>
    </row>
    <row r="84">
      <c r="B84" s="2" t="n"/>
      <c r="I84" s="4" t="n"/>
      <c r="J84" s="4" t="n"/>
      <c r="K84" s="14" t="n"/>
      <c r="N84" s="3" t="n"/>
      <c r="O84" s="3" t="n"/>
      <c r="P84" s="3" t="n"/>
      <c r="T84">
        <f>IF(E84="","",E84*100000+COUNTIFS(tblRegistros[ID],E84,tblRegistros[Data],"&lt;"&amp;B84)+COUNTIFS(tblRegistros[ID],E84,tblRegistros[Data],B84,tblRegistros[Início],"&lt;"&amp;I84)+COUNTIFS($E$5:E84,E84,$B$5:B84,B84,$I$5:I84,I84))</f>
        <v/>
      </c>
    </row>
    <row r="85">
      <c r="B85" s="2" t="n"/>
      <c r="I85" s="4" t="n"/>
      <c r="J85" s="4" t="n"/>
      <c r="K85" s="14" t="n"/>
      <c r="N85" s="3" t="n"/>
      <c r="O85" s="3" t="n"/>
      <c r="P85" s="3" t="n"/>
      <c r="T85">
        <f>IF(E85="","",E85*100000+COUNTIFS(tblRegistros[ID],E85,tblRegistros[Data],"&lt;"&amp;B85)+COUNTIFS(tblRegistros[ID],E85,tblRegistros[Data],B85,tblRegistros[Início],"&lt;"&amp;I85)+COUNTIFS($E$5:E85,E85,$B$5:B85,B85,$I$5:I85,I85))</f>
        <v/>
      </c>
    </row>
    <row r="86">
      <c r="B86" s="2" t="n"/>
      <c r="I86" s="4" t="n"/>
      <c r="J86" s="4" t="n"/>
      <c r="K86" s="14" t="n"/>
      <c r="N86" s="3" t="n"/>
      <c r="O86" s="3" t="n"/>
      <c r="P86" s="3" t="n"/>
      <c r="T86">
        <f>IF(E86="","",E86*100000+COUNTIFS(tblRegistros[ID],E86,tblRegistros[Data],"&lt;"&amp;B86)+COUNTIFS(tblRegistros[ID],E86,tblRegistros[Data],B86,tblRegistros[Início],"&lt;"&amp;I86)+COUNTIFS($E$5:E86,E86,$B$5:B86,B86,$I$5:I86,I86))</f>
        <v/>
      </c>
    </row>
    <row r="87">
      <c r="B87" s="2" t="n"/>
      <c r="I87" s="4" t="n"/>
      <c r="J87" s="4" t="n"/>
      <c r="K87" s="14" t="n"/>
      <c r="N87" s="3" t="n"/>
      <c r="O87" s="3" t="n"/>
      <c r="P87" s="3" t="n"/>
      <c r="T87">
        <f>IF(E87="","",E87*100000+COUNTIFS(tblRegistros[ID],E87,tblRegistros[Data],"&lt;"&amp;B87)+COUNTIFS(tblRegistros[ID],E87,tblRegistros[Data],B87,tblRegistros[Início],"&lt;"&amp;I87)+COUNTIFS($E$5:E87,E87,$B$5:B87,B87,$I$5:I87,I87))</f>
        <v/>
      </c>
    </row>
    <row r="88">
      <c r="B88" s="2" t="n"/>
      <c r="I88" s="4" t="n"/>
      <c r="J88" s="4" t="n"/>
      <c r="K88" s="14" t="n"/>
      <c r="N88" s="3" t="n"/>
      <c r="O88" s="3" t="n"/>
      <c r="P88" s="3" t="n"/>
      <c r="T88">
        <f>IF(E88="","",E88*100000+COUNTIFS(tblRegistros[ID],E88,tblRegistros[Data],"&lt;"&amp;B88)+COUNTIFS(tblRegistros[ID],E88,tblRegistros[Data],B88,tblRegistros[Início],"&lt;"&amp;I88)+COUNTIFS($E$5:E88,E88,$B$5:B88,B88,$I$5:I88,I88))</f>
        <v/>
      </c>
    </row>
    <row r="89">
      <c r="B89" s="2" t="n"/>
      <c r="I89" s="4" t="n"/>
      <c r="J89" s="4" t="n"/>
      <c r="K89" s="14" t="n"/>
      <c r="N89" s="3" t="n"/>
      <c r="O89" s="3" t="n"/>
      <c r="P89" s="3" t="n"/>
      <c r="T89">
        <f>IF(E89="","",E89*100000+COUNTIFS(tblRegistros[ID],E89,tblRegistros[Data],"&lt;"&amp;B89)+COUNTIFS(tblRegistros[ID],E89,tblRegistros[Data],B89,tblRegistros[Início],"&lt;"&amp;I89)+COUNTIFS($E$5:E89,E89,$B$5:B89,B89,$I$5:I89,I89))</f>
        <v/>
      </c>
    </row>
    <row r="90">
      <c r="B90" s="2" t="n"/>
      <c r="I90" s="4" t="n"/>
      <c r="J90" s="4" t="n"/>
      <c r="K90" s="14" t="n"/>
      <c r="N90" s="3" t="n"/>
      <c r="O90" s="3" t="n"/>
      <c r="P90" s="3" t="n"/>
      <c r="T90">
        <f>IF(E90="","",E90*100000+COUNTIFS(tblRegistros[ID],E90,tblRegistros[Data],"&lt;"&amp;B90)+COUNTIFS(tblRegistros[ID],E90,tblRegistros[Data],B90,tblRegistros[Início],"&lt;"&amp;I90)+COUNTIFS($E$5:E90,E90,$B$5:B90,B90,$I$5:I90,I90))</f>
        <v/>
      </c>
    </row>
    <row r="91">
      <c r="B91" s="2" t="n"/>
      <c r="I91" s="4" t="n"/>
      <c r="J91" s="4" t="n"/>
      <c r="K91" s="14" t="n"/>
      <c r="N91" s="3" t="n"/>
      <c r="O91" s="3" t="n"/>
      <c r="P91" s="3" t="n"/>
      <c r="T91">
        <f>IF(E91="","",E91*100000+COUNTIFS(tblRegistros[ID],E91,tblRegistros[Data],"&lt;"&amp;B91)+COUNTIFS(tblRegistros[ID],E91,tblRegistros[Data],B91,tblRegistros[Início],"&lt;"&amp;I91)+COUNTIFS($E$5:E91,E91,$B$5:B91,B91,$I$5:I91,I91))</f>
        <v/>
      </c>
    </row>
    <row r="92">
      <c r="B92" s="2" t="n"/>
      <c r="I92" s="4" t="n"/>
      <c r="J92" s="4" t="n"/>
      <c r="K92" s="14" t="n"/>
      <c r="N92" s="3" t="n"/>
      <c r="O92" s="3" t="n"/>
      <c r="P92" s="3" t="n"/>
      <c r="T92">
        <f>IF(E92="","",E92*100000+COUNTIFS(tblRegistros[ID],E92,tblRegistros[Data],"&lt;"&amp;B92)+COUNTIFS(tblRegistros[ID],E92,tblRegistros[Data],B92,tblRegistros[Início],"&lt;"&amp;I92)+COUNTIFS($E$5:E92,E92,$B$5:B92,B92,$I$5:I92,I92))</f>
        <v/>
      </c>
    </row>
    <row r="93">
      <c r="B93" s="2" t="n"/>
      <c r="I93" s="4" t="n"/>
      <c r="J93" s="4" t="n"/>
      <c r="K93" s="14" t="n"/>
      <c r="N93" s="3" t="n"/>
      <c r="O93" s="3" t="n"/>
      <c r="P93" s="3" t="n"/>
      <c r="T93">
        <f>IF(E93="","",E93*100000+COUNTIFS(tblRegistros[ID],E93,tblRegistros[Data],"&lt;"&amp;B93)+COUNTIFS(tblRegistros[ID],E93,tblRegistros[Data],B93,tblRegistros[Início],"&lt;"&amp;I93)+COUNTIFS($E$5:E93,E93,$B$5:B93,B93,$I$5:I93,I93))</f>
        <v/>
      </c>
    </row>
    <row r="94">
      <c r="B94" s="2" t="n"/>
      <c r="I94" s="4" t="n"/>
      <c r="J94" s="4" t="n"/>
      <c r="K94" s="14" t="n"/>
      <c r="N94" s="3" t="n"/>
      <c r="O94" s="3" t="n"/>
      <c r="P94" s="3" t="n"/>
      <c r="T94">
        <f>IF(E94="","",E94*100000+COUNTIFS(tblRegistros[ID],E94,tblRegistros[Data],"&lt;"&amp;B94)+COUNTIFS(tblRegistros[ID],E94,tblRegistros[Data],B94,tblRegistros[Início],"&lt;"&amp;I94)+COUNTIFS($E$5:E94,E94,$B$5:B94,B94,$I$5:I94,I94))</f>
        <v/>
      </c>
    </row>
    <row r="95">
      <c r="B95" s="2" t="n"/>
      <c r="I95" s="4" t="n"/>
      <c r="J95" s="4" t="n"/>
      <c r="K95" s="14" t="n"/>
      <c r="N95" s="3" t="n"/>
      <c r="O95" s="3" t="n"/>
      <c r="P95" s="3" t="n"/>
      <c r="T95">
        <f>IF(E95="","",E95*100000+COUNTIFS(tblRegistros[ID],E95,tblRegistros[Data],"&lt;"&amp;B95)+COUNTIFS(tblRegistros[ID],E95,tblRegistros[Data],B95,tblRegistros[Início],"&lt;"&amp;I95)+COUNTIFS($E$5:E95,E95,$B$5:B95,B95,$I$5:I95,I95))</f>
        <v/>
      </c>
    </row>
    <row r="96">
      <c r="B96" s="2" t="n"/>
      <c r="I96" s="4" t="n"/>
      <c r="J96" s="4" t="n"/>
      <c r="K96" s="14" t="n"/>
      <c r="N96" s="3" t="n"/>
      <c r="O96" s="3" t="n"/>
      <c r="P96" s="3" t="n"/>
      <c r="T96">
        <f>IF(E96="","",E96*100000+COUNTIFS(tblRegistros[ID],E96,tblRegistros[Data],"&lt;"&amp;B96)+COUNTIFS(tblRegistros[ID],E96,tblRegistros[Data],B96,tblRegistros[Início],"&lt;"&amp;I96)+COUNTIFS($E$5:E96,E96,$B$5:B96,B96,$I$5:I96,I96))</f>
        <v/>
      </c>
    </row>
    <row r="97">
      <c r="B97" s="2" t="n"/>
      <c r="I97" s="4" t="n"/>
      <c r="J97" s="4" t="n"/>
      <c r="K97" s="14" t="n"/>
      <c r="N97" s="3" t="n"/>
      <c r="O97" s="3" t="n"/>
      <c r="P97" s="3" t="n"/>
      <c r="T97">
        <f>IF(E97="","",E97*100000+COUNTIFS(tblRegistros[ID],E97,tblRegistros[Data],"&lt;"&amp;B97)+COUNTIFS(tblRegistros[ID],E97,tblRegistros[Data],B97,tblRegistros[Início],"&lt;"&amp;I97)+COUNTIFS($E$5:E97,E97,$B$5:B97,B97,$I$5:I97,I97))</f>
        <v/>
      </c>
    </row>
    <row r="98">
      <c r="B98" s="2" t="n"/>
      <c r="I98" s="4" t="n"/>
      <c r="J98" s="4" t="n"/>
      <c r="K98" s="14" t="n"/>
      <c r="N98" s="3" t="n"/>
      <c r="O98" s="3" t="n"/>
      <c r="P98" s="3" t="n"/>
      <c r="T98">
        <f>IF(E98="","",E98*100000+COUNTIFS(tblRegistros[ID],E98,tblRegistros[Data],"&lt;"&amp;B98)+COUNTIFS(tblRegistros[ID],E98,tblRegistros[Data],B98,tblRegistros[Início],"&lt;"&amp;I98)+COUNTIFS($E$5:E98,E98,$B$5:B98,B98,$I$5:I98,I98))</f>
        <v/>
      </c>
    </row>
    <row r="99">
      <c r="B99" s="2" t="n"/>
      <c r="I99" s="4" t="n"/>
      <c r="J99" s="4" t="n"/>
      <c r="K99" s="14" t="n"/>
      <c r="N99" s="3" t="n"/>
      <c r="O99" s="3" t="n"/>
      <c r="P99" s="3" t="n"/>
      <c r="T99">
        <f>IF(E99="","",E99*100000+COUNTIFS(tblRegistros[ID],E99,tblRegistros[Data],"&lt;"&amp;B99)+COUNTIFS(tblRegistros[ID],E99,tblRegistros[Data],B99,tblRegistros[Início],"&lt;"&amp;I99)+COUNTIFS($E$5:E99,E99,$B$5:B99,B99,$I$5:I99,I99))</f>
        <v/>
      </c>
    </row>
    <row r="100">
      <c r="B100" s="2" t="n"/>
      <c r="I100" s="4" t="n"/>
      <c r="J100" s="4" t="n"/>
      <c r="K100" s="14" t="n"/>
      <c r="N100" s="3" t="n"/>
      <c r="O100" s="3" t="n"/>
      <c r="P100" s="3" t="n"/>
      <c r="T100">
        <f>IF(E100="","",E100*100000+COUNTIFS(tblRegistros[ID],E100,tblRegistros[Data],"&lt;"&amp;B100)+COUNTIFS(tblRegistros[ID],E100,tblRegistros[Data],B100,tblRegistros[Início],"&lt;"&amp;I100)+COUNTIFS($E$5:E100,E100,$B$5:B100,B100,$I$5:I100,I100))</f>
        <v/>
      </c>
    </row>
    <row r="101">
      <c r="B101" s="2" t="n"/>
      <c r="I101" s="4" t="n"/>
      <c r="J101" s="4" t="n"/>
      <c r="K101" s="14" t="n"/>
      <c r="N101" s="3" t="n"/>
      <c r="O101" s="3" t="n"/>
      <c r="P101" s="3" t="n"/>
      <c r="T101">
        <f>IF(E101="","",E101*100000+COUNTIFS(tblRegistros[ID],E101,tblRegistros[Data],"&lt;"&amp;B101)+COUNTIFS(tblRegistros[ID],E101,tblRegistros[Data],B101,tblRegistros[Início],"&lt;"&amp;I101)+COUNTIFS($E$5:E101,E101,$B$5:B101,B101,$I$5:I101,I101))</f>
        <v/>
      </c>
    </row>
    <row r="102">
      <c r="B102" s="2" t="n"/>
      <c r="I102" s="4" t="n"/>
      <c r="J102" s="4" t="n"/>
      <c r="K102" s="14" t="n"/>
      <c r="N102" s="3" t="n"/>
      <c r="O102" s="3" t="n"/>
      <c r="P102" s="3" t="n"/>
      <c r="T102">
        <f>IF(E102="","",E102*100000+COUNTIFS(tblRegistros[ID],E102,tblRegistros[Data],"&lt;"&amp;B102)+COUNTIFS(tblRegistros[ID],E102,tblRegistros[Data],B102,tblRegistros[Início],"&lt;"&amp;I102)+COUNTIFS($E$5:E102,E102,$B$5:B102,B102,$I$5:I102,I102))</f>
        <v/>
      </c>
    </row>
    <row r="103">
      <c r="B103" s="2" t="n"/>
      <c r="I103" s="4" t="n"/>
      <c r="J103" s="4" t="n"/>
      <c r="K103" s="14" t="n"/>
      <c r="N103" s="3" t="n"/>
      <c r="O103" s="3" t="n"/>
      <c r="P103" s="3" t="n"/>
      <c r="T103">
        <f>IF(E103="","",E103*100000+COUNTIFS(tblRegistros[ID],E103,tblRegistros[Data],"&lt;"&amp;B103)+COUNTIFS(tblRegistros[ID],E103,tblRegistros[Data],B103,tblRegistros[Início],"&lt;"&amp;I103)+COUNTIFS($E$5:E103,E103,$B$5:B103,B103,$I$5:I103,I103))</f>
        <v/>
      </c>
    </row>
    <row r="104">
      <c r="B104" s="2" t="n"/>
      <c r="I104" s="4" t="n"/>
      <c r="J104" s="4" t="n"/>
      <c r="K104" s="14" t="n"/>
      <c r="N104" s="3" t="n"/>
      <c r="O104" s="3" t="n"/>
      <c r="P104" s="3" t="n"/>
      <c r="T104">
        <f>IF(E104="","",E104*100000+COUNTIFS(tblRegistros[ID],E104,tblRegistros[Data],"&lt;"&amp;B104)+COUNTIFS(tblRegistros[ID],E104,tblRegistros[Data],B104,tblRegistros[Início],"&lt;"&amp;I104)+COUNTIFS($E$5:E104,E104,$B$5:B104,B104,$I$5:I104,I104))</f>
        <v/>
      </c>
    </row>
    <row r="105">
      <c r="B105" s="2" t="n"/>
      <c r="I105" s="4" t="n"/>
      <c r="J105" s="4" t="n"/>
      <c r="K105" s="14" t="n"/>
      <c r="N105" s="3" t="n"/>
      <c r="O105" s="3" t="n"/>
      <c r="P105" s="3" t="n"/>
      <c r="T105">
        <f>IF(E105="","",E105*100000+COUNTIFS(tblRegistros[ID],E105,tblRegistros[Data],"&lt;"&amp;B105)+COUNTIFS(tblRegistros[ID],E105,tblRegistros[Data],B105,tblRegistros[Início],"&lt;"&amp;I105)+COUNTIFS($E$5:E105,E105,$B$5:B105,B105,$I$5:I105,I105))</f>
        <v/>
      </c>
    </row>
    <row r="106">
      <c r="B106" s="2" t="n"/>
      <c r="I106" s="4" t="n"/>
      <c r="J106" s="4" t="n"/>
      <c r="K106" s="14" t="n"/>
      <c r="N106" s="3" t="n"/>
      <c r="O106" s="3" t="n"/>
      <c r="P106" s="3" t="n"/>
      <c r="T106">
        <f>IF(E106="","",E106*100000+COUNTIFS(tblRegistros[ID],E106,tblRegistros[Data],"&lt;"&amp;B106)+COUNTIFS(tblRegistros[ID],E106,tblRegistros[Data],B106,tblRegistros[Início],"&lt;"&amp;I106)+COUNTIFS($E$5:E106,E106,$B$5:B106,B106,$I$5:I106,I106))</f>
        <v/>
      </c>
    </row>
    <row r="107">
      <c r="B107" s="2" t="n"/>
      <c r="I107" s="4" t="n"/>
      <c r="J107" s="4" t="n"/>
      <c r="K107" s="14" t="n"/>
      <c r="N107" s="3" t="n"/>
      <c r="O107" s="3" t="n"/>
      <c r="P107" s="3" t="n"/>
      <c r="T107">
        <f>IF(E107="","",E107*100000+COUNTIFS(tblRegistros[ID],E107,tblRegistros[Data],"&lt;"&amp;B107)+COUNTIFS(tblRegistros[ID],E107,tblRegistros[Data],B107,tblRegistros[Início],"&lt;"&amp;I107)+COUNTIFS($E$5:E107,E107,$B$5:B107,B107,$I$5:I107,I107))</f>
        <v/>
      </c>
    </row>
    <row r="108">
      <c r="B108" s="2" t="n"/>
      <c r="I108" s="4" t="n"/>
      <c r="J108" s="4" t="n"/>
      <c r="K108" s="14" t="n"/>
      <c r="N108" s="3" t="n"/>
      <c r="O108" s="3" t="n"/>
      <c r="P108" s="3" t="n"/>
      <c r="T108">
        <f>IF(E108="","",E108*100000+COUNTIFS(tblRegistros[ID],E108,tblRegistros[Data],"&lt;"&amp;B108)+COUNTIFS(tblRegistros[ID],E108,tblRegistros[Data],B108,tblRegistros[Início],"&lt;"&amp;I108)+COUNTIFS($E$5:E108,E108,$B$5:B108,B108,$I$5:I108,I108))</f>
        <v/>
      </c>
    </row>
    <row r="109">
      <c r="B109" s="2" t="n"/>
      <c r="I109" s="4" t="n"/>
      <c r="J109" s="4" t="n"/>
      <c r="K109" s="14" t="n"/>
      <c r="N109" s="3" t="n"/>
      <c r="O109" s="3" t="n"/>
      <c r="P109" s="3" t="n"/>
      <c r="T109">
        <f>IF(E109="","",E109*100000+COUNTIFS(tblRegistros[ID],E109,tblRegistros[Data],"&lt;"&amp;B109)+COUNTIFS(tblRegistros[ID],E109,tblRegistros[Data],B109,tblRegistros[Início],"&lt;"&amp;I109)+COUNTIFS($E$5:E109,E109,$B$5:B109,B109,$I$5:I109,I109))</f>
        <v/>
      </c>
    </row>
    <row r="110">
      <c r="B110" s="2" t="n"/>
      <c r="I110" s="4" t="n"/>
      <c r="J110" s="4" t="n"/>
      <c r="K110" s="14" t="n"/>
      <c r="N110" s="3" t="n"/>
      <c r="O110" s="3" t="n"/>
      <c r="P110" s="3" t="n"/>
      <c r="T110">
        <f>IF(E110="","",E110*100000+COUNTIFS(tblRegistros[ID],E110,tblRegistros[Data],"&lt;"&amp;B110)+COUNTIFS(tblRegistros[ID],E110,tblRegistros[Data],B110,tblRegistros[Início],"&lt;"&amp;I110)+COUNTIFS($E$5:E110,E110,$B$5:B110,B110,$I$5:I110,I110))</f>
        <v/>
      </c>
    </row>
    <row r="111">
      <c r="B111" s="2" t="n"/>
      <c r="I111" s="4" t="n"/>
      <c r="J111" s="4" t="n"/>
      <c r="K111" s="14" t="n"/>
      <c r="N111" s="3" t="n"/>
      <c r="O111" s="3" t="n"/>
      <c r="P111" s="3" t="n"/>
      <c r="T111">
        <f>IF(E111="","",E111*100000+COUNTIFS(tblRegistros[ID],E111,tblRegistros[Data],"&lt;"&amp;B111)+COUNTIFS(tblRegistros[ID],E111,tblRegistros[Data],B111,tblRegistros[Início],"&lt;"&amp;I111)+COUNTIFS($E$5:E111,E111,$B$5:B111,B111,$I$5:I111,I111))</f>
        <v/>
      </c>
    </row>
    <row r="112">
      <c r="B112" s="2" t="n"/>
      <c r="I112" s="4" t="n"/>
      <c r="J112" s="4" t="n"/>
      <c r="K112" s="14" t="n"/>
      <c r="N112" s="3" t="n"/>
      <c r="O112" s="3" t="n"/>
      <c r="P112" s="3" t="n"/>
      <c r="T112">
        <f>IF(E112="","",E112*100000+COUNTIFS(tblRegistros[ID],E112,tblRegistros[Data],"&lt;"&amp;B112)+COUNTIFS(tblRegistros[ID],E112,tblRegistros[Data],B112,tblRegistros[Início],"&lt;"&amp;I112)+COUNTIFS($E$5:E112,E112,$B$5:B112,B112,$I$5:I112,I112))</f>
        <v/>
      </c>
    </row>
    <row r="113">
      <c r="B113" s="2" t="n"/>
      <c r="I113" s="4" t="n"/>
      <c r="J113" s="4" t="n"/>
      <c r="K113" s="14" t="n"/>
      <c r="N113" s="3" t="n"/>
      <c r="O113" s="3" t="n"/>
      <c r="P113" s="3" t="n"/>
      <c r="T113">
        <f>IF(E113="","",E113*100000+COUNTIFS(tblRegistros[ID],E113,tblRegistros[Data],"&lt;"&amp;B113)+COUNTIFS(tblRegistros[ID],E113,tblRegistros[Data],B113,tblRegistros[Início],"&lt;"&amp;I113)+COUNTIFS($E$5:E113,E113,$B$5:B113,B113,$I$5:I113,I113))</f>
        <v/>
      </c>
    </row>
    <row r="114">
      <c r="B114" s="2" t="n"/>
      <c r="I114" s="4" t="n"/>
      <c r="J114" s="4" t="n"/>
      <c r="K114" s="14" t="n"/>
      <c r="N114" s="3" t="n"/>
      <c r="O114" s="3" t="n"/>
      <c r="P114" s="3" t="n"/>
      <c r="T114">
        <f>IF(E114="","",E114*100000+COUNTIFS(tblRegistros[ID],E114,tblRegistros[Data],"&lt;"&amp;B114)+COUNTIFS(tblRegistros[ID],E114,tblRegistros[Data],B114,tblRegistros[Início],"&lt;"&amp;I114)+COUNTIFS($E$5:E114,E114,$B$5:B114,B114,$I$5:I114,I114))</f>
        <v/>
      </c>
    </row>
    <row r="115">
      <c r="B115" s="2" t="n"/>
      <c r="I115" s="4" t="n"/>
      <c r="J115" s="4" t="n"/>
      <c r="K115" s="14" t="n"/>
      <c r="N115" s="3" t="n"/>
      <c r="O115" s="3" t="n"/>
      <c r="P115" s="3" t="n"/>
      <c r="T115">
        <f>IF(E115="","",E115*100000+COUNTIFS(tblRegistros[ID],E115,tblRegistros[Data],"&lt;"&amp;B115)+COUNTIFS(tblRegistros[ID],E115,tblRegistros[Data],B115,tblRegistros[Início],"&lt;"&amp;I115)+COUNTIFS($E$5:E115,E115,$B$5:B115,B115,$I$5:I115,I115))</f>
        <v/>
      </c>
    </row>
    <row r="116">
      <c r="B116" s="2" t="n"/>
      <c r="I116" s="4" t="n"/>
      <c r="J116" s="4" t="n"/>
      <c r="K116" s="14" t="n"/>
      <c r="N116" s="3" t="n"/>
      <c r="O116" s="3" t="n"/>
      <c r="P116" s="3" t="n"/>
      <c r="T116">
        <f>IF(E116="","",E116*100000+COUNTIFS(tblRegistros[ID],E116,tblRegistros[Data],"&lt;"&amp;B116)+COUNTIFS(tblRegistros[ID],E116,tblRegistros[Data],B116,tblRegistros[Início],"&lt;"&amp;I116)+COUNTIFS($E$5:E116,E116,$B$5:B116,B116,$I$5:I116,I116))</f>
        <v/>
      </c>
    </row>
    <row r="117">
      <c r="B117" s="2" t="n"/>
      <c r="I117" s="4" t="n"/>
      <c r="J117" s="4" t="n"/>
      <c r="K117" s="14" t="n"/>
      <c r="N117" s="3" t="n"/>
      <c r="O117" s="3" t="n"/>
      <c r="P117" s="3" t="n"/>
      <c r="T117">
        <f>IF(E117="","",E117*100000+COUNTIFS(tblRegistros[ID],E117,tblRegistros[Data],"&lt;"&amp;B117)+COUNTIFS(tblRegistros[ID],E117,tblRegistros[Data],B117,tblRegistros[Início],"&lt;"&amp;I117)+COUNTIFS($E$5:E117,E117,$B$5:B117,B117,$I$5:I117,I117))</f>
        <v/>
      </c>
    </row>
    <row r="118">
      <c r="B118" s="2" t="n"/>
      <c r="I118" s="4" t="n"/>
      <c r="J118" s="4" t="n"/>
      <c r="K118" s="14" t="n"/>
      <c r="N118" s="3" t="n"/>
      <c r="O118" s="3" t="n"/>
      <c r="P118" s="3" t="n"/>
      <c r="T118">
        <f>IF(E118="","",E118*100000+COUNTIFS(tblRegistros[ID],E118,tblRegistros[Data],"&lt;"&amp;B118)+COUNTIFS(tblRegistros[ID],E118,tblRegistros[Data],B118,tblRegistros[Início],"&lt;"&amp;I118)+COUNTIFS($E$5:E118,E118,$B$5:B118,B118,$I$5:I118,I118))</f>
        <v/>
      </c>
    </row>
    <row r="119">
      <c r="B119" s="2" t="n"/>
      <c r="I119" s="4" t="n"/>
      <c r="J119" s="4" t="n"/>
      <c r="K119" s="14" t="n"/>
      <c r="N119" s="3" t="n"/>
      <c r="O119" s="3" t="n"/>
      <c r="P119" s="3" t="n"/>
      <c r="T119">
        <f>IF(E119="","",E119*100000+COUNTIFS(tblRegistros[ID],E119,tblRegistros[Data],"&lt;"&amp;B119)+COUNTIFS(tblRegistros[ID],E119,tblRegistros[Data],B119,tblRegistros[Início],"&lt;"&amp;I119)+COUNTIFS($E$5:E119,E119,$B$5:B119,B119,$I$5:I119,I119))</f>
        <v/>
      </c>
    </row>
    <row r="120">
      <c r="B120" s="2" t="n"/>
      <c r="I120" s="4" t="n"/>
      <c r="J120" s="4" t="n"/>
      <c r="K120" s="14" t="n"/>
      <c r="N120" s="3" t="n"/>
      <c r="O120" s="3" t="n"/>
      <c r="P120" s="3" t="n"/>
      <c r="T120">
        <f>IF(E120="","",E120*100000+COUNTIFS(tblRegistros[ID],E120,tblRegistros[Data],"&lt;"&amp;B120)+COUNTIFS(tblRegistros[ID],E120,tblRegistros[Data],B120,tblRegistros[Início],"&lt;"&amp;I120)+COUNTIFS($E$5:E120,E120,$B$5:B120,B120,$I$5:I120,I120))</f>
        <v/>
      </c>
    </row>
    <row r="121">
      <c r="B121" s="2" t="n"/>
      <c r="I121" s="4" t="n"/>
      <c r="J121" s="4" t="n"/>
      <c r="K121" s="14" t="n"/>
      <c r="N121" s="3" t="n"/>
      <c r="O121" s="3" t="n"/>
      <c r="P121" s="3" t="n"/>
      <c r="T121">
        <f>IF(E121="","",E121*100000+COUNTIFS(tblRegistros[ID],E121,tblRegistros[Data],"&lt;"&amp;B121)+COUNTIFS(tblRegistros[ID],E121,tblRegistros[Data],B121,tblRegistros[Início],"&lt;"&amp;I121)+COUNTIFS($E$5:E121,E121,$B$5:B121,B121,$I$5:I121,I121))</f>
        <v/>
      </c>
    </row>
    <row r="122">
      <c r="B122" s="2" t="n"/>
      <c r="I122" s="4" t="n"/>
      <c r="J122" s="4" t="n"/>
      <c r="K122" s="14" t="n"/>
      <c r="N122" s="3" t="n"/>
      <c r="O122" s="3" t="n"/>
      <c r="P122" s="3" t="n"/>
      <c r="T122">
        <f>IF(E122="","",E122*100000+COUNTIFS(tblRegistros[ID],E122,tblRegistros[Data],"&lt;"&amp;B122)+COUNTIFS(tblRegistros[ID],E122,tblRegistros[Data],B122,tblRegistros[Início],"&lt;"&amp;I122)+COUNTIFS($E$5:E122,E122,$B$5:B122,B122,$I$5:I122,I122))</f>
        <v/>
      </c>
    </row>
    <row r="123">
      <c r="B123" s="2" t="n"/>
      <c r="I123" s="4" t="n"/>
      <c r="J123" s="4" t="n"/>
      <c r="K123" s="14" t="n"/>
      <c r="N123" s="3" t="n"/>
      <c r="O123" s="3" t="n"/>
      <c r="P123" s="3" t="n"/>
      <c r="T123">
        <f>IF(E123="","",E123*100000+COUNTIFS(tblRegistros[ID],E123,tblRegistros[Data],"&lt;"&amp;B123)+COUNTIFS(tblRegistros[ID],E123,tblRegistros[Data],B123,tblRegistros[Início],"&lt;"&amp;I123)+COUNTIFS($E$5:E123,E123,$B$5:B123,B123,$I$5:I123,I123))</f>
        <v/>
      </c>
    </row>
    <row r="124">
      <c r="B124" s="2" t="n"/>
      <c r="I124" s="4" t="n"/>
      <c r="J124" s="4" t="n"/>
      <c r="K124" s="14" t="n"/>
      <c r="N124" s="3" t="n"/>
      <c r="O124" s="3" t="n"/>
      <c r="P124" s="3" t="n"/>
      <c r="T124">
        <f>IF(E124="","",E124*100000+COUNTIFS(tblRegistros[ID],E124,tblRegistros[Data],"&lt;"&amp;B124)+COUNTIFS(tblRegistros[ID],E124,tblRegistros[Data],B124,tblRegistros[Início],"&lt;"&amp;I124)+COUNTIFS($E$5:E124,E124,$B$5:B124,B124,$I$5:I124,I124))</f>
        <v/>
      </c>
    </row>
    <row r="125">
      <c r="B125" s="2" t="n"/>
      <c r="I125" s="4" t="n"/>
      <c r="J125" s="4" t="n"/>
      <c r="K125" s="14" t="n"/>
      <c r="N125" s="3" t="n"/>
      <c r="O125" s="3" t="n"/>
      <c r="P125" s="3" t="n"/>
      <c r="T125">
        <f>IF(E125="","",E125*100000+COUNTIFS(tblRegistros[ID],E125,tblRegistros[Data],"&lt;"&amp;B125)+COUNTIFS(tblRegistros[ID],E125,tblRegistros[Data],B125,tblRegistros[Início],"&lt;"&amp;I125)+COUNTIFS($E$5:E125,E125,$B$5:B125,B125,$I$5:I125,I125))</f>
        <v/>
      </c>
    </row>
    <row r="126">
      <c r="B126" s="2" t="n"/>
      <c r="I126" s="4" t="n"/>
      <c r="J126" s="4" t="n"/>
      <c r="K126" s="14" t="n"/>
      <c r="N126" s="3" t="n"/>
      <c r="O126" s="3" t="n"/>
      <c r="P126" s="3" t="n"/>
      <c r="T126">
        <f>IF(E126="","",E126*100000+COUNTIFS(tblRegistros[ID],E126,tblRegistros[Data],"&lt;"&amp;B126)+COUNTIFS(tblRegistros[ID],E126,tblRegistros[Data],B126,tblRegistros[Início],"&lt;"&amp;I126)+COUNTIFS($E$5:E126,E126,$B$5:B126,B126,$I$5:I126,I126))</f>
        <v/>
      </c>
    </row>
    <row r="127">
      <c r="B127" s="2" t="n"/>
      <c r="I127" s="4" t="n"/>
      <c r="J127" s="4" t="n"/>
      <c r="K127" s="14" t="n"/>
      <c r="N127" s="3" t="n"/>
      <c r="O127" s="3" t="n"/>
      <c r="P127" s="3" t="n"/>
      <c r="T127">
        <f>IF(E127="","",E127*100000+COUNTIFS(tblRegistros[ID],E127,tblRegistros[Data],"&lt;"&amp;B127)+COUNTIFS(tblRegistros[ID],E127,tblRegistros[Data],B127,tblRegistros[Início],"&lt;"&amp;I127)+COUNTIFS($E$5:E127,E127,$B$5:B127,B127,$I$5:I127,I127))</f>
        <v/>
      </c>
    </row>
    <row r="128">
      <c r="B128" s="2" t="n"/>
      <c r="I128" s="4" t="n"/>
      <c r="J128" s="4" t="n"/>
      <c r="K128" s="14" t="n"/>
      <c r="N128" s="3" t="n"/>
      <c r="O128" s="3" t="n"/>
      <c r="P128" s="3" t="n"/>
      <c r="T128">
        <f>IF(E128="","",E128*100000+COUNTIFS(tblRegistros[ID],E128,tblRegistros[Data],"&lt;"&amp;B128)+COUNTIFS(tblRegistros[ID],E128,tblRegistros[Data],B128,tblRegistros[Início],"&lt;"&amp;I128)+COUNTIFS($E$5:E128,E128,$B$5:B128,B128,$I$5:I128,I128))</f>
        <v/>
      </c>
    </row>
    <row r="129">
      <c r="B129" s="2" t="n"/>
      <c r="I129" s="4" t="n"/>
      <c r="J129" s="4" t="n"/>
      <c r="K129" s="14" t="n"/>
      <c r="N129" s="3" t="n"/>
      <c r="O129" s="3" t="n"/>
      <c r="P129" s="3" t="n"/>
      <c r="T129">
        <f>IF(E129="","",E129*100000+COUNTIFS(tblRegistros[ID],E129,tblRegistros[Data],"&lt;"&amp;B129)+COUNTIFS(tblRegistros[ID],E129,tblRegistros[Data],B129,tblRegistros[Início],"&lt;"&amp;I129)+COUNTIFS($E$5:E129,E129,$B$5:B129,B129,$I$5:I129,I129))</f>
        <v/>
      </c>
    </row>
    <row r="130">
      <c r="B130" s="2" t="n"/>
      <c r="I130" s="4" t="n"/>
      <c r="J130" s="4" t="n"/>
      <c r="K130" s="14" t="n"/>
      <c r="N130" s="3" t="n"/>
      <c r="O130" s="3" t="n"/>
      <c r="P130" s="3" t="n"/>
      <c r="T130">
        <f>IF(E130="","",E130*100000+COUNTIFS(tblRegistros[ID],E130,tblRegistros[Data],"&lt;"&amp;B130)+COUNTIFS(tblRegistros[ID],E130,tblRegistros[Data],B130,tblRegistros[Início],"&lt;"&amp;I130)+COUNTIFS($E$5:E130,E130,$B$5:B130,B130,$I$5:I130,I130))</f>
        <v/>
      </c>
    </row>
    <row r="131">
      <c r="B131" s="2" t="n"/>
      <c r="I131" s="4" t="n"/>
      <c r="J131" s="4" t="n"/>
      <c r="K131" s="14" t="n"/>
      <c r="N131" s="3" t="n"/>
      <c r="O131" s="3" t="n"/>
      <c r="P131" s="3" t="n"/>
      <c r="T131">
        <f>IF(E131="","",E131*100000+COUNTIFS(tblRegistros[ID],E131,tblRegistros[Data],"&lt;"&amp;B131)+COUNTIFS(tblRegistros[ID],E131,tblRegistros[Data],B131,tblRegistros[Início],"&lt;"&amp;I131)+COUNTIFS($E$5:E131,E131,$B$5:B131,B131,$I$5:I131,I131))</f>
        <v/>
      </c>
    </row>
    <row r="132">
      <c r="B132" s="2" t="n"/>
      <c r="I132" s="4" t="n"/>
      <c r="J132" s="4" t="n"/>
      <c r="K132" s="14" t="n"/>
      <c r="N132" s="3" t="n"/>
      <c r="O132" s="3" t="n"/>
      <c r="P132" s="3" t="n"/>
      <c r="T132">
        <f>IF(E132="","",E132*100000+COUNTIFS(tblRegistros[ID],E132,tblRegistros[Data],"&lt;"&amp;B132)+COUNTIFS(tblRegistros[ID],E132,tblRegistros[Data],B132,tblRegistros[Início],"&lt;"&amp;I132)+COUNTIFS($E$5:E132,E132,$B$5:B132,B132,$I$5:I132,I132))</f>
        <v/>
      </c>
    </row>
    <row r="133">
      <c r="B133" s="2" t="n"/>
      <c r="I133" s="4" t="n"/>
      <c r="J133" s="4" t="n"/>
      <c r="K133" s="14" t="n"/>
      <c r="N133" s="3" t="n"/>
      <c r="O133" s="3" t="n"/>
      <c r="P133" s="3" t="n"/>
      <c r="T133">
        <f>IF(E133="","",E133*100000+COUNTIFS(tblRegistros[ID],E133,tblRegistros[Data],"&lt;"&amp;B133)+COUNTIFS(tblRegistros[ID],E133,tblRegistros[Data],B133,tblRegistros[Início],"&lt;"&amp;I133)+COUNTIFS($E$5:E133,E133,$B$5:B133,B133,$I$5:I133,I133))</f>
        <v/>
      </c>
    </row>
    <row r="134">
      <c r="B134" s="2" t="n"/>
      <c r="I134" s="4" t="n"/>
      <c r="J134" s="4" t="n"/>
      <c r="K134" s="14" t="n"/>
      <c r="N134" s="3" t="n"/>
      <c r="O134" s="3" t="n"/>
      <c r="P134" s="3" t="n"/>
      <c r="T134">
        <f>IF(E134="","",E134*100000+COUNTIFS(tblRegistros[ID],E134,tblRegistros[Data],"&lt;"&amp;B134)+COUNTIFS(tblRegistros[ID],E134,tblRegistros[Data],B134,tblRegistros[Início],"&lt;"&amp;I134)+COUNTIFS($E$5:E134,E134,$B$5:B134,B134,$I$5:I134,I134))</f>
        <v/>
      </c>
    </row>
    <row r="135">
      <c r="B135" s="2" t="n"/>
      <c r="I135" s="4" t="n"/>
      <c r="J135" s="4" t="n"/>
      <c r="K135" s="14" t="n"/>
      <c r="N135" s="3" t="n"/>
      <c r="O135" s="3" t="n"/>
      <c r="P135" s="3" t="n"/>
      <c r="T135">
        <f>IF(E135="","",E135*100000+COUNTIFS(tblRegistros[ID],E135,tblRegistros[Data],"&lt;"&amp;B135)+COUNTIFS(tblRegistros[ID],E135,tblRegistros[Data],B135,tblRegistros[Início],"&lt;"&amp;I135)+COUNTIFS($E$5:E135,E135,$B$5:B135,B135,$I$5:I135,I135))</f>
        <v/>
      </c>
    </row>
    <row r="136">
      <c r="B136" s="2" t="n"/>
      <c r="I136" s="4" t="n"/>
      <c r="J136" s="4" t="n"/>
      <c r="K136" s="14" t="n"/>
      <c r="N136" s="3" t="n"/>
      <c r="O136" s="3" t="n"/>
      <c r="P136" s="3" t="n"/>
      <c r="T136">
        <f>IF(E136="","",E136*100000+COUNTIFS(tblRegistros[ID],E136,tblRegistros[Data],"&lt;"&amp;B136)+COUNTIFS(tblRegistros[ID],E136,tblRegistros[Data],B136,tblRegistros[Início],"&lt;"&amp;I136)+COUNTIFS($E$5:E136,E136,$B$5:B136,B136,$I$5:I136,I136))</f>
        <v/>
      </c>
    </row>
    <row r="137">
      <c r="B137" s="2" t="n"/>
      <c r="I137" s="4" t="n"/>
      <c r="J137" s="4" t="n"/>
      <c r="K137" s="14" t="n"/>
      <c r="N137" s="3" t="n"/>
      <c r="O137" s="3" t="n"/>
      <c r="P137" s="3" t="n"/>
      <c r="T137">
        <f>IF(E137="","",E137*100000+COUNTIFS(tblRegistros[ID],E137,tblRegistros[Data],"&lt;"&amp;B137)+COUNTIFS(tblRegistros[ID],E137,tblRegistros[Data],B137,tblRegistros[Início],"&lt;"&amp;I137)+COUNTIFS($E$5:E137,E137,$B$5:B137,B137,$I$5:I137,I137))</f>
        <v/>
      </c>
    </row>
    <row r="138">
      <c r="B138" s="2" t="n"/>
      <c r="I138" s="4" t="n"/>
      <c r="J138" s="4" t="n"/>
      <c r="K138" s="14" t="n"/>
      <c r="N138" s="3" t="n"/>
      <c r="O138" s="3" t="n"/>
      <c r="P138" s="3" t="n"/>
      <c r="T138">
        <f>IF(E138="","",E138*100000+COUNTIFS(tblRegistros[ID],E138,tblRegistros[Data],"&lt;"&amp;B138)+COUNTIFS(tblRegistros[ID],E138,tblRegistros[Data],B138,tblRegistros[Início],"&lt;"&amp;I138)+COUNTIFS($E$5:E138,E138,$B$5:B138,B138,$I$5:I138,I138))</f>
        <v/>
      </c>
    </row>
    <row r="139">
      <c r="B139" s="2" t="n"/>
      <c r="I139" s="4" t="n"/>
      <c r="J139" s="4" t="n"/>
      <c r="K139" s="14" t="n"/>
      <c r="N139" s="3" t="n"/>
      <c r="O139" s="3" t="n"/>
      <c r="P139" s="3" t="n"/>
      <c r="T139">
        <f>IF(E139="","",E139*100000+COUNTIFS(tblRegistros[ID],E139,tblRegistros[Data],"&lt;"&amp;B139)+COUNTIFS(tblRegistros[ID],E139,tblRegistros[Data],B139,tblRegistros[Início],"&lt;"&amp;I139)+COUNTIFS($E$5:E139,E139,$B$5:B139,B139,$I$5:I139,I139))</f>
        <v/>
      </c>
    </row>
    <row r="140">
      <c r="B140" s="2" t="n"/>
      <c r="I140" s="4" t="n"/>
      <c r="J140" s="4" t="n"/>
      <c r="K140" s="14" t="n"/>
      <c r="N140" s="3" t="n"/>
      <c r="O140" s="3" t="n"/>
      <c r="P140" s="3" t="n"/>
      <c r="T140">
        <f>IF(E140="","",E140*100000+COUNTIFS(tblRegistros[ID],E140,tblRegistros[Data],"&lt;"&amp;B140)+COUNTIFS(tblRegistros[ID],E140,tblRegistros[Data],B140,tblRegistros[Início],"&lt;"&amp;I140)+COUNTIFS($E$5:E140,E140,$B$5:B140,B140,$I$5:I140,I140))</f>
        <v/>
      </c>
    </row>
    <row r="141">
      <c r="B141" s="2" t="n"/>
      <c r="I141" s="4" t="n"/>
      <c r="J141" s="4" t="n"/>
      <c r="K141" s="14" t="n"/>
      <c r="N141" s="3" t="n"/>
      <c r="O141" s="3" t="n"/>
      <c r="P141" s="3" t="n"/>
      <c r="T141">
        <f>IF(E141="","",E141*100000+COUNTIFS(tblRegistros[ID],E141,tblRegistros[Data],"&lt;"&amp;B141)+COUNTIFS(tblRegistros[ID],E141,tblRegistros[Data],B141,tblRegistros[Início],"&lt;"&amp;I141)+COUNTIFS($E$5:E141,E141,$B$5:B141,B141,$I$5:I141,I141))</f>
        <v/>
      </c>
    </row>
    <row r="142">
      <c r="B142" s="2" t="n"/>
      <c r="I142" s="4" t="n"/>
      <c r="J142" s="4" t="n"/>
      <c r="K142" s="14" t="n"/>
      <c r="N142" s="3" t="n"/>
      <c r="O142" s="3" t="n"/>
      <c r="P142" s="3" t="n"/>
      <c r="T142">
        <f>IF(E142="","",E142*100000+COUNTIFS(tblRegistros[ID],E142,tblRegistros[Data],"&lt;"&amp;B142)+COUNTIFS(tblRegistros[ID],E142,tblRegistros[Data],B142,tblRegistros[Início],"&lt;"&amp;I142)+COUNTIFS($E$5:E142,E142,$B$5:B142,B142,$I$5:I142,I142))</f>
        <v/>
      </c>
    </row>
    <row r="143">
      <c r="B143" s="2" t="n"/>
      <c r="I143" s="4" t="n"/>
      <c r="J143" s="4" t="n"/>
      <c r="K143" s="14" t="n"/>
      <c r="N143" s="3" t="n"/>
      <c r="O143" s="3" t="n"/>
      <c r="P143" s="3" t="n"/>
      <c r="T143">
        <f>IF(E143="","",E143*100000+COUNTIFS(tblRegistros[ID],E143,tblRegistros[Data],"&lt;"&amp;B143)+COUNTIFS(tblRegistros[ID],E143,tblRegistros[Data],B143,tblRegistros[Início],"&lt;"&amp;I143)+COUNTIFS($E$5:E143,E143,$B$5:B143,B143,$I$5:I143,I143))</f>
        <v/>
      </c>
    </row>
    <row r="144">
      <c r="B144" s="2" t="n"/>
      <c r="I144" s="4" t="n"/>
      <c r="J144" s="4" t="n"/>
      <c r="K144" s="14" t="n"/>
      <c r="N144" s="3" t="n"/>
      <c r="O144" s="3" t="n"/>
      <c r="P144" s="3" t="n"/>
      <c r="T144">
        <f>IF(E144="","",E144*100000+COUNTIFS(tblRegistros[ID],E144,tblRegistros[Data],"&lt;"&amp;B144)+COUNTIFS(tblRegistros[ID],E144,tblRegistros[Data],B144,tblRegistros[Início],"&lt;"&amp;I144)+COUNTIFS($E$5:E144,E144,$B$5:B144,B144,$I$5:I144,I144))</f>
        <v/>
      </c>
    </row>
    <row r="145">
      <c r="B145" s="2" t="n"/>
      <c r="I145" s="4" t="n"/>
      <c r="J145" s="4" t="n"/>
      <c r="K145" s="14" t="n"/>
      <c r="N145" s="3" t="n"/>
      <c r="O145" s="3" t="n"/>
      <c r="P145" s="3" t="n"/>
      <c r="T145">
        <f>IF(E145="","",E145*100000+COUNTIFS(tblRegistros[ID],E145,tblRegistros[Data],"&lt;"&amp;B145)+COUNTIFS(tblRegistros[ID],E145,tblRegistros[Data],B145,tblRegistros[Início],"&lt;"&amp;I145)+COUNTIFS($E$5:E145,E145,$B$5:B145,B145,$I$5:I145,I145))</f>
        <v/>
      </c>
    </row>
    <row r="146">
      <c r="B146" s="2" t="n"/>
      <c r="I146" s="4" t="n"/>
      <c r="J146" s="4" t="n"/>
      <c r="K146" s="14" t="n"/>
      <c r="N146" s="3" t="n"/>
      <c r="O146" s="3" t="n"/>
      <c r="P146" s="3" t="n"/>
      <c r="T146">
        <f>IF(E146="","",E146*100000+COUNTIFS(tblRegistros[ID],E146,tblRegistros[Data],"&lt;"&amp;B146)+COUNTIFS(tblRegistros[ID],E146,tblRegistros[Data],B146,tblRegistros[Início],"&lt;"&amp;I146)+COUNTIFS($E$5:E146,E146,$B$5:B146,B146,$I$5:I146,I146))</f>
        <v/>
      </c>
    </row>
    <row r="147">
      <c r="B147" s="2" t="n"/>
      <c r="I147" s="4" t="n"/>
      <c r="J147" s="4" t="n"/>
      <c r="K147" s="14" t="n"/>
      <c r="N147" s="3" t="n"/>
      <c r="O147" s="3" t="n"/>
      <c r="P147" s="3" t="n"/>
      <c r="T147">
        <f>IF(E147="","",E147*100000+COUNTIFS(tblRegistros[ID],E147,tblRegistros[Data],"&lt;"&amp;B147)+COUNTIFS(tblRegistros[ID],E147,tblRegistros[Data],B147,tblRegistros[Início],"&lt;"&amp;I147)+COUNTIFS($E$5:E147,E147,$B$5:B147,B147,$I$5:I147,I147))</f>
        <v/>
      </c>
    </row>
    <row r="148">
      <c r="B148" s="2" t="n"/>
      <c r="I148" s="4" t="n"/>
      <c r="J148" s="4" t="n"/>
      <c r="K148" s="14" t="n"/>
      <c r="N148" s="3" t="n"/>
      <c r="O148" s="3" t="n"/>
      <c r="P148" s="3" t="n"/>
      <c r="T148">
        <f>IF(E148="","",E148*100000+COUNTIFS(tblRegistros[ID],E148,tblRegistros[Data],"&lt;"&amp;B148)+COUNTIFS(tblRegistros[ID],E148,tblRegistros[Data],B148,tblRegistros[Início],"&lt;"&amp;I148)+COUNTIFS($E$5:E148,E148,$B$5:B148,B148,$I$5:I148,I148))</f>
        <v/>
      </c>
    </row>
    <row r="149">
      <c r="B149" s="2" t="n"/>
      <c r="I149" s="4" t="n"/>
      <c r="J149" s="4" t="n"/>
      <c r="K149" s="14" t="n"/>
      <c r="N149" s="3" t="n"/>
      <c r="O149" s="3" t="n"/>
      <c r="P149" s="3" t="n"/>
      <c r="T149">
        <f>IF(E149="","",E149*100000+COUNTIFS(tblRegistros[ID],E149,tblRegistros[Data],"&lt;"&amp;B149)+COUNTIFS(tblRegistros[ID],E149,tblRegistros[Data],B149,tblRegistros[Início],"&lt;"&amp;I149)+COUNTIFS($E$5:E149,E149,$B$5:B149,B149,$I$5:I149,I149))</f>
        <v/>
      </c>
    </row>
    <row r="150">
      <c r="B150" s="2" t="n"/>
      <c r="I150" s="4" t="n"/>
      <c r="J150" s="4" t="n"/>
      <c r="K150" s="14" t="n"/>
      <c r="N150" s="3" t="n"/>
      <c r="O150" s="3" t="n"/>
      <c r="P150" s="3" t="n"/>
      <c r="T150">
        <f>IF(E150="","",E150*100000+COUNTIFS(tblRegistros[ID],E150,tblRegistros[Data],"&lt;"&amp;B150)+COUNTIFS(tblRegistros[ID],E150,tblRegistros[Data],B150,tblRegistros[Início],"&lt;"&amp;I150)+COUNTIFS($E$5:E150,E150,$B$5:B150,B150,$I$5:I150,I150))</f>
        <v/>
      </c>
    </row>
    <row r="151">
      <c r="B151" s="2" t="n"/>
      <c r="I151" s="4" t="n"/>
      <c r="J151" s="4" t="n"/>
      <c r="K151" s="14" t="n"/>
      <c r="N151" s="3" t="n"/>
      <c r="O151" s="3" t="n"/>
      <c r="P151" s="3" t="n"/>
      <c r="T151">
        <f>IF(E151="","",E151*100000+COUNTIFS(tblRegistros[ID],E151,tblRegistros[Data],"&lt;"&amp;B151)+COUNTIFS(tblRegistros[ID],E151,tblRegistros[Data],B151,tblRegistros[Início],"&lt;"&amp;I151)+COUNTIFS($E$5:E151,E151,$B$5:B151,B151,$I$5:I151,I151))</f>
        <v/>
      </c>
    </row>
    <row r="152">
      <c r="B152" s="2" t="n"/>
      <c r="I152" s="4" t="n"/>
      <c r="J152" s="4" t="n"/>
      <c r="K152" s="14" t="n"/>
      <c r="N152" s="3" t="n"/>
      <c r="O152" s="3" t="n"/>
      <c r="P152" s="3" t="n"/>
      <c r="T152">
        <f>IF(E152="","",E152*100000+COUNTIFS(tblRegistros[ID],E152,tblRegistros[Data],"&lt;"&amp;B152)+COUNTIFS(tblRegistros[ID],E152,tblRegistros[Data],B152,tblRegistros[Início],"&lt;"&amp;I152)+COUNTIFS($E$5:E152,E152,$B$5:B152,B152,$I$5:I152,I152))</f>
        <v/>
      </c>
    </row>
    <row r="153">
      <c r="B153" s="2" t="n"/>
      <c r="I153" s="4" t="n"/>
      <c r="J153" s="4" t="n"/>
      <c r="K153" s="14" t="n"/>
      <c r="N153" s="3" t="n"/>
      <c r="O153" s="3" t="n"/>
      <c r="P153" s="3" t="n"/>
      <c r="T153">
        <f>IF(E153="","",E153*100000+COUNTIFS(tblRegistros[ID],E153,tblRegistros[Data],"&lt;"&amp;B153)+COUNTIFS(tblRegistros[ID],E153,tblRegistros[Data],B153,tblRegistros[Início],"&lt;"&amp;I153)+COUNTIFS($E$5:E153,E153,$B$5:B153,B153,$I$5:I153,I153))</f>
        <v/>
      </c>
    </row>
    <row r="154">
      <c r="B154" s="2" t="n"/>
      <c r="I154" s="4" t="n"/>
      <c r="J154" s="4" t="n"/>
      <c r="K154" s="14" t="n"/>
      <c r="N154" s="3" t="n"/>
      <c r="O154" s="3" t="n"/>
      <c r="P154" s="3" t="n"/>
      <c r="T154">
        <f>IF(E154="","",E154*100000+COUNTIFS(tblRegistros[ID],E154,tblRegistros[Data],"&lt;"&amp;B154)+COUNTIFS(tblRegistros[ID],E154,tblRegistros[Data],B154,tblRegistros[Início],"&lt;"&amp;I154)+COUNTIFS($E$5:E154,E154,$B$5:B154,B154,$I$5:I154,I154))</f>
        <v/>
      </c>
    </row>
    <row r="155">
      <c r="B155" s="2" t="n"/>
      <c r="I155" s="4" t="n"/>
      <c r="J155" s="4" t="n"/>
      <c r="K155" s="14" t="n"/>
      <c r="N155" s="3" t="n"/>
      <c r="O155" s="3" t="n"/>
      <c r="P155" s="3" t="n"/>
      <c r="T155">
        <f>IF(E155="","",E155*100000+COUNTIFS(tblRegistros[ID],E155,tblRegistros[Data],"&lt;"&amp;B155)+COUNTIFS(tblRegistros[ID],E155,tblRegistros[Data],B155,tblRegistros[Início],"&lt;"&amp;I155)+COUNTIFS($E$5:E155,E155,$B$5:B155,B155,$I$5:I155,I155))</f>
        <v/>
      </c>
    </row>
    <row r="156">
      <c r="B156" s="2" t="n"/>
      <c r="I156" s="4" t="n"/>
      <c r="J156" s="4" t="n"/>
      <c r="K156" s="14" t="n"/>
      <c r="N156" s="3" t="n"/>
      <c r="O156" s="3" t="n"/>
      <c r="P156" s="3" t="n"/>
      <c r="T156">
        <f>IF(E156="","",E156*100000+COUNTIFS(tblRegistros[ID],E156,tblRegistros[Data],"&lt;"&amp;B156)+COUNTIFS(tblRegistros[ID],E156,tblRegistros[Data],B156,tblRegistros[Início],"&lt;"&amp;I156)+COUNTIFS($E$5:E156,E156,$B$5:B156,B156,$I$5:I156,I156))</f>
        <v/>
      </c>
    </row>
    <row r="157">
      <c r="B157" s="2" t="n"/>
      <c r="I157" s="4" t="n"/>
      <c r="J157" s="4" t="n"/>
      <c r="K157" s="14" t="n"/>
      <c r="N157" s="3" t="n"/>
      <c r="O157" s="3" t="n"/>
      <c r="P157" s="3" t="n"/>
      <c r="T157">
        <f>IF(E157="","",E157*100000+COUNTIFS(tblRegistros[ID],E157,tblRegistros[Data],"&lt;"&amp;B157)+COUNTIFS(tblRegistros[ID],E157,tblRegistros[Data],B157,tblRegistros[Início],"&lt;"&amp;I157)+COUNTIFS($E$5:E157,E157,$B$5:B157,B157,$I$5:I157,I157))</f>
        <v/>
      </c>
    </row>
    <row r="158">
      <c r="B158" s="2" t="n"/>
      <c r="I158" s="4" t="n"/>
      <c r="J158" s="4" t="n"/>
      <c r="K158" s="14" t="n"/>
      <c r="N158" s="3" t="n"/>
      <c r="O158" s="3" t="n"/>
      <c r="P158" s="3" t="n"/>
      <c r="T158">
        <f>IF(E158="","",E158*100000+COUNTIFS(tblRegistros[ID],E158,tblRegistros[Data],"&lt;"&amp;B158)+COUNTIFS(tblRegistros[ID],E158,tblRegistros[Data],B158,tblRegistros[Início],"&lt;"&amp;I158)+COUNTIFS($E$5:E158,E158,$B$5:B158,B158,$I$5:I158,I158))</f>
        <v/>
      </c>
    </row>
    <row r="159">
      <c r="B159" s="2" t="n"/>
      <c r="I159" s="4" t="n"/>
      <c r="J159" s="4" t="n"/>
      <c r="K159" s="14" t="n"/>
      <c r="N159" s="3" t="n"/>
      <c r="O159" s="3" t="n"/>
      <c r="P159" s="3" t="n"/>
      <c r="T159">
        <f>IF(E159="","",E159*100000+COUNTIFS(tblRegistros[ID],E159,tblRegistros[Data],"&lt;"&amp;B159)+COUNTIFS(tblRegistros[ID],E159,tblRegistros[Data],B159,tblRegistros[Início],"&lt;"&amp;I159)+COUNTIFS($E$5:E159,E159,$B$5:B159,B159,$I$5:I159,I159))</f>
        <v/>
      </c>
    </row>
    <row r="160">
      <c r="B160" s="2" t="n"/>
      <c r="I160" s="4" t="n"/>
      <c r="J160" s="4" t="n"/>
      <c r="K160" s="14" t="n"/>
      <c r="N160" s="3" t="n"/>
      <c r="O160" s="3" t="n"/>
      <c r="P160" s="3" t="n"/>
      <c r="T160">
        <f>IF(E160="","",E160*100000+COUNTIFS(tblRegistros[ID],E160,tblRegistros[Data],"&lt;"&amp;B160)+COUNTIFS(tblRegistros[ID],E160,tblRegistros[Data],B160,tblRegistros[Início],"&lt;"&amp;I160)+COUNTIFS($E$5:E160,E160,$B$5:B160,B160,$I$5:I160,I160))</f>
        <v/>
      </c>
    </row>
    <row r="161">
      <c r="B161" s="2" t="n"/>
      <c r="I161" s="4" t="n"/>
      <c r="J161" s="4" t="n"/>
      <c r="K161" s="14" t="n"/>
      <c r="N161" s="3" t="n"/>
      <c r="O161" s="3" t="n"/>
      <c r="P161" s="3" t="n"/>
      <c r="T161">
        <f>IF(E161="","",E161*100000+COUNTIFS(tblRegistros[ID],E161,tblRegistros[Data],"&lt;"&amp;B161)+COUNTIFS(tblRegistros[ID],E161,tblRegistros[Data],B161,tblRegistros[Início],"&lt;"&amp;I161)+COUNTIFS($E$5:E161,E161,$B$5:B161,B161,$I$5:I161,I161))</f>
        <v/>
      </c>
    </row>
    <row r="162">
      <c r="B162" s="2" t="n"/>
      <c r="I162" s="4" t="n"/>
      <c r="J162" s="4" t="n"/>
      <c r="K162" s="14" t="n"/>
      <c r="N162" s="3" t="n"/>
      <c r="O162" s="3" t="n"/>
      <c r="P162" s="3" t="n"/>
      <c r="T162">
        <f>IF(E162="","",E162*100000+COUNTIFS(tblRegistros[ID],E162,tblRegistros[Data],"&lt;"&amp;B162)+COUNTIFS(tblRegistros[ID],E162,tblRegistros[Data],B162,tblRegistros[Início],"&lt;"&amp;I162)+COUNTIFS($E$5:E162,E162,$B$5:B162,B162,$I$5:I162,I162))</f>
        <v/>
      </c>
    </row>
    <row r="163">
      <c r="B163" s="2" t="n"/>
      <c r="I163" s="4" t="n"/>
      <c r="J163" s="4" t="n"/>
      <c r="K163" s="14" t="n"/>
      <c r="N163" s="3" t="n"/>
      <c r="O163" s="3" t="n"/>
      <c r="P163" s="3" t="n"/>
      <c r="T163">
        <f>IF(E163="","",E163*100000+COUNTIFS(tblRegistros[ID],E163,tblRegistros[Data],"&lt;"&amp;B163)+COUNTIFS(tblRegistros[ID],E163,tblRegistros[Data],B163,tblRegistros[Início],"&lt;"&amp;I163)+COUNTIFS($E$5:E163,E163,$B$5:B163,B163,$I$5:I163,I163))</f>
        <v/>
      </c>
    </row>
    <row r="164">
      <c r="B164" s="2" t="n"/>
      <c r="I164" s="4" t="n"/>
      <c r="J164" s="4" t="n"/>
      <c r="K164" s="14" t="n"/>
      <c r="N164" s="3" t="n"/>
      <c r="O164" s="3" t="n"/>
      <c r="P164" s="3" t="n"/>
      <c r="T164">
        <f>IF(E164="","",E164*100000+COUNTIFS(tblRegistros[ID],E164,tblRegistros[Data],"&lt;"&amp;B164)+COUNTIFS(tblRegistros[ID],E164,tblRegistros[Data],B164,tblRegistros[Início],"&lt;"&amp;I164)+COUNTIFS($E$5:E164,E164,$B$5:B164,B164,$I$5:I164,I164))</f>
        <v/>
      </c>
    </row>
    <row r="165">
      <c r="B165" s="2" t="n"/>
      <c r="I165" s="4" t="n"/>
      <c r="J165" s="4" t="n"/>
      <c r="K165" s="14" t="n"/>
      <c r="N165" s="3" t="n"/>
      <c r="O165" s="3" t="n"/>
      <c r="P165" s="3" t="n"/>
      <c r="T165">
        <f>IF(E165="","",E165*100000+COUNTIFS(tblRegistros[ID],E165,tblRegistros[Data],"&lt;"&amp;B165)+COUNTIFS(tblRegistros[ID],E165,tblRegistros[Data],B165,tblRegistros[Início],"&lt;"&amp;I165)+COUNTIFS($E$5:E165,E165,$B$5:B165,B165,$I$5:I165,I165))</f>
        <v/>
      </c>
    </row>
    <row r="166">
      <c r="B166" s="2" t="n"/>
      <c r="I166" s="4" t="n"/>
      <c r="J166" s="4" t="n"/>
      <c r="K166" s="14" t="n"/>
      <c r="N166" s="3" t="n"/>
      <c r="O166" s="3" t="n"/>
      <c r="P166" s="3" t="n"/>
      <c r="T166">
        <f>IF(E166="","",E166*100000+COUNTIFS(tblRegistros[ID],E166,tblRegistros[Data],"&lt;"&amp;B166)+COUNTIFS(tblRegistros[ID],E166,tblRegistros[Data],B166,tblRegistros[Início],"&lt;"&amp;I166)+COUNTIFS($E$5:E166,E166,$B$5:B166,B166,$I$5:I166,I166))</f>
        <v/>
      </c>
    </row>
    <row r="167">
      <c r="B167" s="2" t="n"/>
      <c r="I167" s="4" t="n"/>
      <c r="J167" s="4" t="n"/>
      <c r="K167" s="14" t="n"/>
      <c r="N167" s="3" t="n"/>
      <c r="O167" s="3" t="n"/>
      <c r="P167" s="3" t="n"/>
      <c r="T167">
        <f>IF(E167="","",E167*100000+COUNTIFS(tblRegistros[ID],E167,tblRegistros[Data],"&lt;"&amp;B167)+COUNTIFS(tblRegistros[ID],E167,tblRegistros[Data],B167,tblRegistros[Início],"&lt;"&amp;I167)+COUNTIFS($E$5:E167,E167,$B$5:B167,B167,$I$5:I167,I167))</f>
        <v/>
      </c>
    </row>
    <row r="168">
      <c r="B168" s="2" t="n"/>
      <c r="I168" s="4" t="n"/>
      <c r="J168" s="4" t="n"/>
      <c r="K168" s="14" t="n"/>
      <c r="N168" s="3" t="n"/>
      <c r="O168" s="3" t="n"/>
      <c r="P168" s="3" t="n"/>
      <c r="T168">
        <f>IF(E168="","",E168*100000+COUNTIFS(tblRegistros[ID],E168,tblRegistros[Data],"&lt;"&amp;B168)+COUNTIFS(tblRegistros[ID],E168,tblRegistros[Data],B168,tblRegistros[Início],"&lt;"&amp;I168)+COUNTIFS($E$5:E168,E168,$B$5:B168,B168,$I$5:I168,I168))</f>
        <v/>
      </c>
    </row>
    <row r="169">
      <c r="B169" s="2" t="n"/>
      <c r="I169" s="4" t="n"/>
      <c r="J169" s="4" t="n"/>
      <c r="K169" s="14" t="n"/>
      <c r="N169" s="3" t="n"/>
      <c r="O169" s="3" t="n"/>
      <c r="P169" s="3" t="n"/>
      <c r="T169">
        <f>IF(E169="","",E169*100000+COUNTIFS(tblRegistros[ID],E169,tblRegistros[Data],"&lt;"&amp;B169)+COUNTIFS(tblRegistros[ID],E169,tblRegistros[Data],B169,tblRegistros[Início],"&lt;"&amp;I169)+COUNTIFS($E$5:E169,E169,$B$5:B169,B169,$I$5:I169,I169))</f>
        <v/>
      </c>
    </row>
    <row r="170">
      <c r="B170" s="2" t="n"/>
      <c r="I170" s="4" t="n"/>
      <c r="J170" s="4" t="n"/>
      <c r="K170" s="14" t="n"/>
      <c r="N170" s="3" t="n"/>
      <c r="O170" s="3" t="n"/>
      <c r="P170" s="3" t="n"/>
      <c r="T170">
        <f>IF(E170="","",E170*100000+COUNTIFS(tblRegistros[ID],E170,tblRegistros[Data],"&lt;"&amp;B170)+COUNTIFS(tblRegistros[ID],E170,tblRegistros[Data],B170,tblRegistros[Início],"&lt;"&amp;I170)+COUNTIFS($E$5:E170,E170,$B$5:B170,B170,$I$5:I170,I170))</f>
        <v/>
      </c>
    </row>
    <row r="171">
      <c r="B171" s="2" t="n"/>
      <c r="I171" s="4" t="n"/>
      <c r="J171" s="4" t="n"/>
      <c r="K171" s="14" t="n"/>
      <c r="N171" s="3" t="n"/>
      <c r="O171" s="3" t="n"/>
      <c r="P171" s="3" t="n"/>
      <c r="T171">
        <f>IF(E171="","",E171*100000+COUNTIFS(tblRegistros[ID],E171,tblRegistros[Data],"&lt;"&amp;B171)+COUNTIFS(tblRegistros[ID],E171,tblRegistros[Data],B171,tblRegistros[Início],"&lt;"&amp;I171)+COUNTIFS($E$5:E171,E171,$B$5:B171,B171,$I$5:I171,I171))</f>
        <v/>
      </c>
    </row>
    <row r="172">
      <c r="B172" s="2" t="n"/>
      <c r="I172" s="4" t="n"/>
      <c r="J172" s="4" t="n"/>
      <c r="K172" s="14" t="n"/>
      <c r="N172" s="3" t="n"/>
      <c r="O172" s="3" t="n"/>
      <c r="P172" s="3" t="n"/>
      <c r="T172">
        <f>IF(E172="","",E172*100000+COUNTIFS(tblRegistros[ID],E172,tblRegistros[Data],"&lt;"&amp;B172)+COUNTIFS(tblRegistros[ID],E172,tblRegistros[Data],B172,tblRegistros[Início],"&lt;"&amp;I172)+COUNTIFS($E$5:E172,E172,$B$5:B172,B172,$I$5:I172,I172))</f>
        <v/>
      </c>
    </row>
    <row r="173">
      <c r="B173" s="2" t="n"/>
      <c r="I173" s="4" t="n"/>
      <c r="J173" s="4" t="n"/>
      <c r="K173" s="14" t="n"/>
      <c r="N173" s="3" t="n"/>
      <c r="O173" s="3" t="n"/>
      <c r="P173" s="3" t="n"/>
      <c r="T173">
        <f>IF(E173="","",E173*100000+COUNTIFS(tblRegistros[ID],E173,tblRegistros[Data],"&lt;"&amp;B173)+COUNTIFS(tblRegistros[ID],E173,tblRegistros[Data],B173,tblRegistros[Início],"&lt;"&amp;I173)+COUNTIFS($E$5:E173,E173,$B$5:B173,B173,$I$5:I173,I173))</f>
        <v/>
      </c>
    </row>
    <row r="174">
      <c r="B174" s="2" t="n"/>
      <c r="I174" s="4" t="n"/>
      <c r="J174" s="4" t="n"/>
      <c r="K174" s="14" t="n"/>
      <c r="N174" s="3" t="n"/>
      <c r="O174" s="3" t="n"/>
      <c r="P174" s="3" t="n"/>
      <c r="T174">
        <f>IF(E174="","",E174*100000+COUNTIFS(tblRegistros[ID],E174,tblRegistros[Data],"&lt;"&amp;B174)+COUNTIFS(tblRegistros[ID],E174,tblRegistros[Data],B174,tblRegistros[Início],"&lt;"&amp;I174)+COUNTIFS($E$5:E174,E174,$B$5:B174,B174,$I$5:I174,I174))</f>
        <v/>
      </c>
    </row>
    <row r="175">
      <c r="B175" s="2" t="n"/>
      <c r="I175" s="4" t="n"/>
      <c r="J175" s="4" t="n"/>
      <c r="K175" s="14" t="n"/>
      <c r="N175" s="3" t="n"/>
      <c r="O175" s="3" t="n"/>
      <c r="P175" s="3" t="n"/>
      <c r="T175">
        <f>IF(E175="","",E175*100000+COUNTIFS(tblRegistros[ID],E175,tblRegistros[Data],"&lt;"&amp;B175)+COUNTIFS(tblRegistros[ID],E175,tblRegistros[Data],B175,tblRegistros[Início],"&lt;"&amp;I175)+COUNTIFS($E$5:E175,E175,$B$5:B175,B175,$I$5:I175,I175))</f>
        <v/>
      </c>
    </row>
    <row r="176">
      <c r="B176" s="2" t="n"/>
      <c r="I176" s="4" t="n"/>
      <c r="J176" s="4" t="n"/>
      <c r="K176" s="14" t="n"/>
      <c r="N176" s="3" t="n"/>
      <c r="O176" s="3" t="n"/>
      <c r="P176" s="3" t="n"/>
      <c r="T176">
        <f>IF(E176="","",E176*100000+COUNTIFS(tblRegistros[ID],E176,tblRegistros[Data],"&lt;"&amp;B176)+COUNTIFS(tblRegistros[ID],E176,tblRegistros[Data],B176,tblRegistros[Início],"&lt;"&amp;I176)+COUNTIFS($E$5:E176,E176,$B$5:B176,B176,$I$5:I176,I176))</f>
        <v/>
      </c>
    </row>
    <row r="177">
      <c r="B177" s="2" t="n"/>
      <c r="I177" s="4" t="n"/>
      <c r="J177" s="4" t="n"/>
      <c r="K177" s="14" t="n"/>
      <c r="N177" s="3" t="n"/>
      <c r="O177" s="3" t="n"/>
      <c r="P177" s="3" t="n"/>
      <c r="T177">
        <f>IF(E177="","",E177*100000+COUNTIFS(tblRegistros[ID],E177,tblRegistros[Data],"&lt;"&amp;B177)+COUNTIFS(tblRegistros[ID],E177,tblRegistros[Data],B177,tblRegistros[Início],"&lt;"&amp;I177)+COUNTIFS($E$5:E177,E177,$B$5:B177,B177,$I$5:I177,I177))</f>
        <v/>
      </c>
    </row>
    <row r="178">
      <c r="B178" s="2" t="n"/>
      <c r="I178" s="4" t="n"/>
      <c r="J178" s="4" t="n"/>
      <c r="K178" s="14" t="n"/>
      <c r="N178" s="3" t="n"/>
      <c r="O178" s="3" t="n"/>
      <c r="P178" s="3" t="n"/>
      <c r="T178">
        <f>IF(E178="","",E178*100000+COUNTIFS(tblRegistros[ID],E178,tblRegistros[Data],"&lt;"&amp;B178)+COUNTIFS(tblRegistros[ID],E178,tblRegistros[Data],B178,tblRegistros[Início],"&lt;"&amp;I178)+COUNTIFS($E$5:E178,E178,$B$5:B178,B178,$I$5:I178,I178))</f>
        <v/>
      </c>
    </row>
    <row r="179">
      <c r="B179" s="2" t="n"/>
      <c r="I179" s="4" t="n"/>
      <c r="J179" s="4" t="n"/>
      <c r="K179" s="14" t="n"/>
      <c r="N179" s="3" t="n"/>
      <c r="O179" s="3" t="n"/>
      <c r="P179" s="3" t="n"/>
      <c r="T179">
        <f>IF(E179="","",E179*100000+COUNTIFS(tblRegistros[ID],E179,tblRegistros[Data],"&lt;"&amp;B179)+COUNTIFS(tblRegistros[ID],E179,tblRegistros[Data],B179,tblRegistros[Início],"&lt;"&amp;I179)+COUNTIFS($E$5:E179,E179,$B$5:B179,B179,$I$5:I179,I179))</f>
        <v/>
      </c>
    </row>
    <row r="180">
      <c r="B180" s="2" t="n"/>
      <c r="I180" s="4" t="n"/>
      <c r="J180" s="4" t="n"/>
      <c r="K180" s="14" t="n"/>
      <c r="N180" s="3" t="n"/>
      <c r="O180" s="3" t="n"/>
      <c r="P180" s="3" t="n"/>
      <c r="T180">
        <f>IF(E180="","",E180*100000+COUNTIFS(tblRegistros[ID],E180,tblRegistros[Data],"&lt;"&amp;B180)+COUNTIFS(tblRegistros[ID],E180,tblRegistros[Data],B180,tblRegistros[Início],"&lt;"&amp;I180)+COUNTIFS($E$5:E180,E180,$B$5:B180,B180,$I$5:I180,I180))</f>
        <v/>
      </c>
    </row>
    <row r="181">
      <c r="B181" s="2" t="n"/>
      <c r="I181" s="4" t="n"/>
      <c r="J181" s="4" t="n"/>
      <c r="K181" s="14" t="n"/>
      <c r="N181" s="3" t="n"/>
      <c r="O181" s="3" t="n"/>
      <c r="P181" s="3" t="n"/>
      <c r="T181">
        <f>IF(E181="","",E181*100000+COUNTIFS(tblRegistros[ID],E181,tblRegistros[Data],"&lt;"&amp;B181)+COUNTIFS(tblRegistros[ID],E181,tblRegistros[Data],B181,tblRegistros[Início],"&lt;"&amp;I181)+COUNTIFS($E$5:E181,E181,$B$5:B181,B181,$I$5:I181,I181))</f>
        <v/>
      </c>
    </row>
    <row r="182">
      <c r="B182" s="2" t="n"/>
      <c r="I182" s="4" t="n"/>
      <c r="J182" s="4" t="n"/>
      <c r="K182" s="14" t="n"/>
      <c r="N182" s="3" t="n"/>
      <c r="O182" s="3" t="n"/>
      <c r="P182" s="3" t="n"/>
      <c r="T182">
        <f>IF(E182="","",E182*100000+COUNTIFS(tblRegistros[ID],E182,tblRegistros[Data],"&lt;"&amp;B182)+COUNTIFS(tblRegistros[ID],E182,tblRegistros[Data],B182,tblRegistros[Início],"&lt;"&amp;I182)+COUNTIFS($E$5:E182,E182,$B$5:B182,B182,$I$5:I182,I182))</f>
        <v/>
      </c>
    </row>
    <row r="183">
      <c r="B183" s="2" t="n"/>
      <c r="I183" s="4" t="n"/>
      <c r="J183" s="4" t="n"/>
      <c r="K183" s="14" t="n"/>
      <c r="N183" s="3" t="n"/>
      <c r="O183" s="3" t="n"/>
      <c r="P183" s="3" t="n"/>
      <c r="T183">
        <f>IF(E183="","",E183*100000+COUNTIFS(tblRegistros[ID],E183,tblRegistros[Data],"&lt;"&amp;B183)+COUNTIFS(tblRegistros[ID],E183,tblRegistros[Data],B183,tblRegistros[Início],"&lt;"&amp;I183)+COUNTIFS($E$5:E183,E183,$B$5:B183,B183,$I$5:I183,I183))</f>
        <v/>
      </c>
    </row>
    <row r="184">
      <c r="B184" s="2" t="n"/>
      <c r="I184" s="4" t="n"/>
      <c r="J184" s="4" t="n"/>
      <c r="K184" s="14" t="n"/>
      <c r="N184" s="3" t="n"/>
      <c r="O184" s="3" t="n"/>
      <c r="P184" s="3" t="n"/>
      <c r="T184">
        <f>IF(E184="","",E184*100000+COUNTIFS(tblRegistros[ID],E184,tblRegistros[Data],"&lt;"&amp;B184)+COUNTIFS(tblRegistros[ID],E184,tblRegistros[Data],B184,tblRegistros[Início],"&lt;"&amp;I184)+COUNTIFS($E$5:E184,E184,$B$5:B184,B184,$I$5:I184,I184))</f>
        <v/>
      </c>
    </row>
    <row r="185">
      <c r="B185" s="2" t="n"/>
      <c r="I185" s="4" t="n"/>
      <c r="J185" s="4" t="n"/>
      <c r="K185" s="14" t="n"/>
      <c r="N185" s="3" t="n"/>
      <c r="O185" s="3" t="n"/>
      <c r="P185" s="3" t="n"/>
      <c r="T185">
        <f>IF(E185="","",E185*100000+COUNTIFS(tblRegistros[ID],E185,tblRegistros[Data],"&lt;"&amp;B185)+COUNTIFS(tblRegistros[ID],E185,tblRegistros[Data],B185,tblRegistros[Início],"&lt;"&amp;I185)+COUNTIFS($E$5:E185,E185,$B$5:B185,B185,$I$5:I185,I185))</f>
        <v/>
      </c>
    </row>
    <row r="186">
      <c r="B186" s="2" t="n"/>
      <c r="I186" s="4" t="n"/>
      <c r="J186" s="4" t="n"/>
      <c r="K186" s="14" t="n"/>
      <c r="N186" s="3" t="n"/>
      <c r="O186" s="3" t="n"/>
      <c r="P186" s="3" t="n"/>
      <c r="T186">
        <f>IF(E186="","",E186*100000+COUNTIFS(tblRegistros[ID],E186,tblRegistros[Data],"&lt;"&amp;B186)+COUNTIFS(tblRegistros[ID],E186,tblRegistros[Data],B186,tblRegistros[Início],"&lt;"&amp;I186)+COUNTIFS($E$5:E186,E186,$B$5:B186,B186,$I$5:I186,I186))</f>
        <v/>
      </c>
    </row>
    <row r="187">
      <c r="B187" s="2" t="n"/>
      <c r="I187" s="4" t="n"/>
      <c r="J187" s="4" t="n"/>
      <c r="K187" s="14" t="n"/>
      <c r="N187" s="3" t="n"/>
      <c r="O187" s="3" t="n"/>
      <c r="P187" s="3" t="n"/>
      <c r="T187">
        <f>IF(E187="","",E187*100000+COUNTIFS(tblRegistros[ID],E187,tblRegistros[Data],"&lt;"&amp;B187)+COUNTIFS(tblRegistros[ID],E187,tblRegistros[Data],B187,tblRegistros[Início],"&lt;"&amp;I187)+COUNTIFS($E$5:E187,E187,$B$5:B187,B187,$I$5:I187,I187))</f>
        <v/>
      </c>
    </row>
    <row r="188">
      <c r="B188" s="2" t="n"/>
      <c r="I188" s="4" t="n"/>
      <c r="J188" s="4" t="n"/>
      <c r="K188" s="14" t="n"/>
      <c r="N188" s="3" t="n"/>
      <c r="O188" s="3" t="n"/>
      <c r="P188" s="3" t="n"/>
      <c r="T188">
        <f>IF(E188="","",E188*100000+COUNTIFS(tblRegistros[ID],E188,tblRegistros[Data],"&lt;"&amp;B188)+COUNTIFS(tblRegistros[ID],E188,tblRegistros[Data],B188,tblRegistros[Início],"&lt;"&amp;I188)+COUNTIFS($E$5:E188,E188,$B$5:B188,B188,$I$5:I188,I188))</f>
        <v/>
      </c>
    </row>
    <row r="189">
      <c r="B189" s="2" t="n"/>
      <c r="I189" s="4" t="n"/>
      <c r="J189" s="4" t="n"/>
      <c r="K189" s="14" t="n"/>
      <c r="N189" s="3" t="n"/>
      <c r="O189" s="3" t="n"/>
      <c r="P189" s="3" t="n"/>
      <c r="T189">
        <f>IF(E189="","",E189*100000+COUNTIFS(tblRegistros[ID],E189,tblRegistros[Data],"&lt;"&amp;B189)+COUNTIFS(tblRegistros[ID],E189,tblRegistros[Data],B189,tblRegistros[Início],"&lt;"&amp;I189)+COUNTIFS($E$5:E189,E189,$B$5:B189,B189,$I$5:I189,I189))</f>
        <v/>
      </c>
    </row>
    <row r="190">
      <c r="B190" s="2" t="n"/>
      <c r="I190" s="4" t="n"/>
      <c r="J190" s="4" t="n"/>
      <c r="K190" s="14" t="n"/>
      <c r="N190" s="3" t="n"/>
      <c r="O190" s="3" t="n"/>
      <c r="P190" s="3" t="n"/>
      <c r="T190">
        <f>IF(E190="","",E190*100000+COUNTIFS(tblRegistros[ID],E190,tblRegistros[Data],"&lt;"&amp;B190)+COUNTIFS(tblRegistros[ID],E190,tblRegistros[Data],B190,tblRegistros[Início],"&lt;"&amp;I190)+COUNTIFS($E$5:E190,E190,$B$5:B190,B190,$I$5:I190,I190))</f>
        <v/>
      </c>
    </row>
    <row r="191">
      <c r="B191" s="2" t="n"/>
      <c r="I191" s="4" t="n"/>
      <c r="J191" s="4" t="n"/>
      <c r="K191" s="14" t="n"/>
      <c r="N191" s="3" t="n"/>
      <c r="O191" s="3" t="n"/>
      <c r="P191" s="3" t="n"/>
      <c r="T191">
        <f>IF(E191="","",E191*100000+COUNTIFS(tblRegistros[ID],E191,tblRegistros[Data],"&lt;"&amp;B191)+COUNTIFS(tblRegistros[ID],E191,tblRegistros[Data],B191,tblRegistros[Início],"&lt;"&amp;I191)+COUNTIFS($E$5:E191,E191,$B$5:B191,B191,$I$5:I191,I191))</f>
        <v/>
      </c>
    </row>
    <row r="192">
      <c r="B192" s="2" t="n"/>
      <c r="I192" s="4" t="n"/>
      <c r="J192" s="4" t="n"/>
      <c r="K192" s="14" t="n"/>
      <c r="N192" s="3" t="n"/>
      <c r="O192" s="3" t="n"/>
      <c r="P192" s="3" t="n"/>
      <c r="T192">
        <f>IF(E192="","",E192*100000+COUNTIFS(tblRegistros[ID],E192,tblRegistros[Data],"&lt;"&amp;B192)+COUNTIFS(tblRegistros[ID],E192,tblRegistros[Data],B192,tblRegistros[Início],"&lt;"&amp;I192)+COUNTIFS($E$5:E192,E192,$B$5:B192,B192,$I$5:I192,I192))</f>
        <v/>
      </c>
    </row>
    <row r="193">
      <c r="B193" s="2" t="n"/>
      <c r="I193" s="4" t="n"/>
      <c r="J193" s="4" t="n"/>
      <c r="K193" s="14" t="n"/>
      <c r="N193" s="3" t="n"/>
      <c r="O193" s="3" t="n"/>
      <c r="P193" s="3" t="n"/>
      <c r="T193">
        <f>IF(E193="","",E193*100000+COUNTIFS(tblRegistros[ID],E193,tblRegistros[Data],"&lt;"&amp;B193)+COUNTIFS(tblRegistros[ID],E193,tblRegistros[Data],B193,tblRegistros[Início],"&lt;"&amp;I193)+COUNTIFS($E$5:E193,E193,$B$5:B193,B193,$I$5:I193,I193))</f>
        <v/>
      </c>
    </row>
    <row r="194">
      <c r="B194" s="2" t="n"/>
      <c r="I194" s="4" t="n"/>
      <c r="J194" s="4" t="n"/>
      <c r="K194" s="14" t="n"/>
      <c r="N194" s="3" t="n"/>
      <c r="O194" s="3" t="n"/>
      <c r="P194" s="3" t="n"/>
      <c r="T194">
        <f>IF(E194="","",E194*100000+COUNTIFS(tblRegistros[ID],E194,tblRegistros[Data],"&lt;"&amp;B194)+COUNTIFS(tblRegistros[ID],E194,tblRegistros[Data],B194,tblRegistros[Início],"&lt;"&amp;I194)+COUNTIFS($E$5:E194,E194,$B$5:B194,B194,$I$5:I194,I194))</f>
        <v/>
      </c>
    </row>
    <row r="195">
      <c r="B195" s="2" t="n"/>
      <c r="I195" s="4" t="n"/>
      <c r="J195" s="4" t="n"/>
      <c r="K195" s="14" t="n"/>
      <c r="N195" s="3" t="n"/>
      <c r="O195" s="3" t="n"/>
      <c r="P195" s="3" t="n"/>
      <c r="T195">
        <f>IF(E195="","",E195*100000+COUNTIFS(tblRegistros[ID],E195,tblRegistros[Data],"&lt;"&amp;B195)+COUNTIFS(tblRegistros[ID],E195,tblRegistros[Data],B195,tblRegistros[Início],"&lt;"&amp;I195)+COUNTIFS($E$5:E195,E195,$B$5:B195,B195,$I$5:I195,I195))</f>
        <v/>
      </c>
    </row>
    <row r="196">
      <c r="B196" s="2" t="n"/>
      <c r="I196" s="4" t="n"/>
      <c r="J196" s="4" t="n"/>
      <c r="K196" s="14" t="n"/>
      <c r="N196" s="3" t="n"/>
      <c r="O196" s="3" t="n"/>
      <c r="P196" s="3" t="n"/>
      <c r="T196">
        <f>IF(E196="","",E196*100000+COUNTIFS(tblRegistros[ID],E196,tblRegistros[Data],"&lt;"&amp;B196)+COUNTIFS(tblRegistros[ID],E196,tblRegistros[Data],B196,tblRegistros[Início],"&lt;"&amp;I196)+COUNTIFS($E$5:E196,E196,$B$5:B196,B196,$I$5:I196,I196))</f>
        <v/>
      </c>
    </row>
    <row r="197">
      <c r="B197" s="2" t="n"/>
      <c r="I197" s="4" t="n"/>
      <c r="J197" s="4" t="n"/>
      <c r="K197" s="14" t="n"/>
      <c r="N197" s="3" t="n"/>
      <c r="O197" s="3" t="n"/>
      <c r="P197" s="3" t="n"/>
      <c r="T197">
        <f>IF(E197="","",E197*100000+COUNTIFS(tblRegistros[ID],E197,tblRegistros[Data],"&lt;"&amp;B197)+COUNTIFS(tblRegistros[ID],E197,tblRegistros[Data],B197,tblRegistros[Início],"&lt;"&amp;I197)+COUNTIFS($E$5:E197,E197,$B$5:B197,B197,$I$5:I197,I197))</f>
        <v/>
      </c>
    </row>
    <row r="198">
      <c r="B198" s="2" t="n"/>
      <c r="I198" s="4" t="n"/>
      <c r="J198" s="4" t="n"/>
      <c r="K198" s="14" t="n"/>
      <c r="N198" s="3" t="n"/>
      <c r="O198" s="3" t="n"/>
      <c r="P198" s="3" t="n"/>
      <c r="T198">
        <f>IF(E198="","",E198*100000+COUNTIFS(tblRegistros[ID],E198,tblRegistros[Data],"&lt;"&amp;B198)+COUNTIFS(tblRegistros[ID],E198,tblRegistros[Data],B198,tblRegistros[Início],"&lt;"&amp;I198)+COUNTIFS($E$5:E198,E198,$B$5:B198,B198,$I$5:I198,I198))</f>
        <v/>
      </c>
    </row>
    <row r="199">
      <c r="B199" s="2" t="n"/>
      <c r="I199" s="4" t="n"/>
      <c r="J199" s="4" t="n"/>
      <c r="K199" s="14" t="n"/>
      <c r="N199" s="3" t="n"/>
      <c r="O199" s="3" t="n"/>
      <c r="P199" s="3" t="n"/>
      <c r="T199">
        <f>IF(E199="","",E199*100000+COUNTIFS(tblRegistros[ID],E199,tblRegistros[Data],"&lt;"&amp;B199)+COUNTIFS(tblRegistros[ID],E199,tblRegistros[Data],B199,tblRegistros[Início],"&lt;"&amp;I199)+COUNTIFS($E$5:E199,E199,$B$5:B199,B199,$I$5:I199,I199))</f>
        <v/>
      </c>
    </row>
    <row r="200">
      <c r="B200" s="2" t="n"/>
      <c r="I200" s="4" t="n"/>
      <c r="J200" s="4" t="n"/>
      <c r="K200" s="14" t="n"/>
      <c r="N200" s="3" t="n"/>
      <c r="O200" s="3" t="n"/>
      <c r="P200" s="3" t="n"/>
      <c r="T200">
        <f>IF(E200="","",E200*100000+COUNTIFS(tblRegistros[ID],E200,tblRegistros[Data],"&lt;"&amp;B200)+COUNTIFS(tblRegistros[ID],E200,tblRegistros[Data],B200,tblRegistros[Início],"&lt;"&amp;I200)+COUNTIFS($E$5:E200,E200,$B$5:B200,B200,$I$5:I200,I200))</f>
        <v/>
      </c>
    </row>
    <row r="201">
      <c r="B201" s="2" t="n"/>
      <c r="I201" s="4" t="n"/>
      <c r="J201" s="4" t="n"/>
      <c r="K201" s="14" t="n"/>
      <c r="N201" s="3" t="n"/>
      <c r="O201" s="3" t="n"/>
      <c r="P201" s="3" t="n"/>
      <c r="T201">
        <f>IF(E201="","",E201*100000+COUNTIFS(tblRegistros[ID],E201,tblRegistros[Data],"&lt;"&amp;B201)+COUNTIFS(tblRegistros[ID],E201,tblRegistros[Data],B201,tblRegistros[Início],"&lt;"&amp;I201)+COUNTIFS($E$5:E201,E201,$B$5:B201,B201,$I$5:I201,I201))</f>
        <v/>
      </c>
    </row>
    <row r="202">
      <c r="B202" s="2" t="n"/>
      <c r="I202" s="4" t="n"/>
      <c r="J202" s="4" t="n"/>
      <c r="K202" s="14" t="n"/>
      <c r="N202" s="3" t="n"/>
      <c r="O202" s="3" t="n"/>
      <c r="P202" s="3" t="n"/>
      <c r="T202">
        <f>IF(E202="","",E202*100000+COUNTIFS(tblRegistros[ID],E202,tblRegistros[Data],"&lt;"&amp;B202)+COUNTIFS(tblRegistros[ID],E202,tblRegistros[Data],B202,tblRegistros[Início],"&lt;"&amp;I202)+COUNTIFS($E$5:E202,E202,$B$5:B202,B202,$I$5:I202,I202))</f>
        <v/>
      </c>
    </row>
    <row r="203">
      <c r="B203" s="2" t="n"/>
      <c r="I203" s="4" t="n"/>
      <c r="J203" s="4" t="n"/>
      <c r="K203" s="14" t="n"/>
      <c r="N203" s="3" t="n"/>
      <c r="O203" s="3" t="n"/>
      <c r="P203" s="3" t="n"/>
      <c r="T203">
        <f>IF(E203="","",E203*100000+COUNTIFS(tblRegistros[ID],E203,tblRegistros[Data],"&lt;"&amp;B203)+COUNTIFS(tblRegistros[ID],E203,tblRegistros[Data],B203,tblRegistros[Início],"&lt;"&amp;I203)+COUNTIFS($E$5:E203,E203,$B$5:B203,B203,$I$5:I203,I203))</f>
        <v/>
      </c>
    </row>
    <row r="204">
      <c r="B204" s="2" t="n"/>
      <c r="I204" s="4" t="n"/>
      <c r="J204" s="4" t="n"/>
      <c r="K204" s="14" t="n"/>
      <c r="N204" s="3" t="n"/>
      <c r="O204" s="3" t="n"/>
      <c r="P204" s="3" t="n"/>
      <c r="T204">
        <f>IF(E204="","",E204*100000+COUNTIFS(tblRegistros[ID],E204,tblRegistros[Data],"&lt;"&amp;B204)+COUNTIFS(tblRegistros[ID],E204,tblRegistros[Data],B204,tblRegistros[Início],"&lt;"&amp;I204)+COUNTIFS($E$5:E204,E204,$B$5:B204,B204,$I$5:I204,I204))</f>
        <v/>
      </c>
    </row>
    <row r="205">
      <c r="B205" s="2" t="n"/>
      <c r="I205" s="4" t="n"/>
      <c r="J205" s="4" t="n"/>
      <c r="K205" s="14" t="n"/>
      <c r="N205" s="3" t="n"/>
      <c r="O205" s="3" t="n"/>
      <c r="P205" s="3" t="n"/>
      <c r="T205">
        <f>IF(E205="","",E205*100000+COUNTIFS(tblRegistros[ID],E205,tblRegistros[Data],"&lt;"&amp;B205)+COUNTIFS(tblRegistros[ID],E205,tblRegistros[Data],B205,tblRegistros[Início],"&lt;"&amp;I205)+COUNTIFS($E$5:E205,E205,$B$5:B205,B205,$I$5:I205,I205))</f>
        <v/>
      </c>
    </row>
    <row r="206">
      <c r="B206" s="2" t="n"/>
      <c r="I206" s="4" t="n"/>
      <c r="J206" s="4" t="n"/>
      <c r="K206" s="14" t="n"/>
      <c r="N206" s="3" t="n"/>
      <c r="O206" s="3" t="n"/>
      <c r="P206" s="3" t="n"/>
      <c r="T206">
        <f>IF(E206="","",E206*100000+COUNTIFS(tblRegistros[ID],E206,tblRegistros[Data],"&lt;"&amp;B206)+COUNTIFS(tblRegistros[ID],E206,tblRegistros[Data],B206,tblRegistros[Início],"&lt;"&amp;I206)+COUNTIFS($E$5:E206,E206,$B$5:B206,B206,$I$5:I206,I206))</f>
        <v/>
      </c>
    </row>
    <row r="207">
      <c r="B207" s="2" t="n"/>
      <c r="I207" s="4" t="n"/>
      <c r="J207" s="4" t="n"/>
      <c r="K207" s="14" t="n"/>
      <c r="N207" s="3" t="n"/>
      <c r="O207" s="3" t="n"/>
      <c r="P207" s="3" t="n"/>
      <c r="T207">
        <f>IF(E207="","",E207*100000+COUNTIFS(tblRegistros[ID],E207,tblRegistros[Data],"&lt;"&amp;B207)+COUNTIFS(tblRegistros[ID],E207,tblRegistros[Data],B207,tblRegistros[Início],"&lt;"&amp;I207)+COUNTIFS($E$5:E207,E207,$B$5:B207,B207,$I$5:I207,I207))</f>
        <v/>
      </c>
    </row>
    <row r="208">
      <c r="B208" s="2" t="n"/>
      <c r="I208" s="4" t="n"/>
      <c r="J208" s="4" t="n"/>
      <c r="K208" s="14" t="n"/>
      <c r="N208" s="3" t="n"/>
      <c r="O208" s="3" t="n"/>
      <c r="P208" s="3" t="n"/>
      <c r="T208">
        <f>IF(E208="","",E208*100000+COUNTIFS(tblRegistros[ID],E208,tblRegistros[Data],"&lt;"&amp;B208)+COUNTIFS(tblRegistros[ID],E208,tblRegistros[Data],B208,tblRegistros[Início],"&lt;"&amp;I208)+COUNTIFS($E$5:E208,E208,$B$5:B208,B208,$I$5:I208,I208))</f>
        <v/>
      </c>
    </row>
    <row r="209">
      <c r="B209" s="2" t="n"/>
      <c r="I209" s="4" t="n"/>
      <c r="J209" s="4" t="n"/>
      <c r="K209" s="14" t="n"/>
      <c r="N209" s="3" t="n"/>
      <c r="O209" s="3" t="n"/>
      <c r="P209" s="3" t="n"/>
      <c r="T209">
        <f>IF(E209="","",E209*100000+COUNTIFS(tblRegistros[ID],E209,tblRegistros[Data],"&lt;"&amp;B209)+COUNTIFS(tblRegistros[ID],E209,tblRegistros[Data],B209,tblRegistros[Início],"&lt;"&amp;I209)+COUNTIFS($E$5:E209,E209,$B$5:B209,B209,$I$5:I209,I209))</f>
        <v/>
      </c>
    </row>
    <row r="210">
      <c r="B210" s="2" t="n"/>
      <c r="I210" s="4" t="n"/>
      <c r="J210" s="4" t="n"/>
      <c r="K210" s="14" t="n"/>
      <c r="N210" s="3" t="n"/>
      <c r="O210" s="3" t="n"/>
      <c r="P210" s="3" t="n"/>
      <c r="T210">
        <f>IF(E210="","",E210*100000+COUNTIFS(tblRegistros[ID],E210,tblRegistros[Data],"&lt;"&amp;B210)+COUNTIFS(tblRegistros[ID],E210,tblRegistros[Data],B210,tblRegistros[Início],"&lt;"&amp;I210)+COUNTIFS($E$5:E210,E210,$B$5:B210,B210,$I$5:I210,I210))</f>
        <v/>
      </c>
    </row>
    <row r="211">
      <c r="B211" s="2" t="n"/>
      <c r="I211" s="4" t="n"/>
      <c r="J211" s="4" t="n"/>
      <c r="K211" s="14" t="n"/>
      <c r="N211" s="3" t="n"/>
      <c r="O211" s="3" t="n"/>
      <c r="P211" s="3" t="n"/>
      <c r="T211">
        <f>IF(E211="","",E211*100000+COUNTIFS(tblRegistros[ID],E211,tblRegistros[Data],"&lt;"&amp;B211)+COUNTIFS(tblRegistros[ID],E211,tblRegistros[Data],B211,tblRegistros[Início],"&lt;"&amp;I211)+COUNTIFS($E$5:E211,E211,$B$5:B211,B211,$I$5:I211,I211))</f>
        <v/>
      </c>
    </row>
    <row r="212">
      <c r="B212" s="2" t="n"/>
      <c r="I212" s="4" t="n"/>
      <c r="J212" s="4" t="n"/>
      <c r="K212" s="14" t="n"/>
      <c r="N212" s="3" t="n"/>
      <c r="O212" s="3" t="n"/>
      <c r="P212" s="3" t="n"/>
      <c r="T212">
        <f>IF(E212="","",E212*100000+COUNTIFS(tblRegistros[ID],E212,tblRegistros[Data],"&lt;"&amp;B212)+COUNTIFS(tblRegistros[ID],E212,tblRegistros[Data],B212,tblRegistros[Início],"&lt;"&amp;I212)+COUNTIFS($E$5:E212,E212,$B$5:B212,B212,$I$5:I212,I212))</f>
        <v/>
      </c>
    </row>
    <row r="213">
      <c r="B213" s="2" t="n"/>
      <c r="I213" s="4" t="n"/>
      <c r="J213" s="4" t="n"/>
      <c r="K213" s="14" t="n"/>
      <c r="N213" s="3" t="n"/>
      <c r="O213" s="3" t="n"/>
      <c r="P213" s="3" t="n"/>
      <c r="T213">
        <f>IF(E213="","",E213*100000+COUNTIFS(tblRegistros[ID],E213,tblRegistros[Data],"&lt;"&amp;B213)+COUNTIFS(tblRegistros[ID],E213,tblRegistros[Data],B213,tblRegistros[Início],"&lt;"&amp;I213)+COUNTIFS($E$5:E213,E213,$B$5:B213,B213,$I$5:I213,I213))</f>
        <v/>
      </c>
    </row>
    <row r="214">
      <c r="B214" s="2" t="n"/>
      <c r="I214" s="4" t="n"/>
      <c r="J214" s="4" t="n"/>
      <c r="K214" s="14" t="n"/>
      <c r="N214" s="3" t="n"/>
      <c r="O214" s="3" t="n"/>
      <c r="P214" s="3" t="n"/>
      <c r="T214">
        <f>IF(E214="","",E214*100000+COUNTIFS(tblRegistros[ID],E214,tblRegistros[Data],"&lt;"&amp;B214)+COUNTIFS(tblRegistros[ID],E214,tblRegistros[Data],B214,tblRegistros[Início],"&lt;"&amp;I214)+COUNTIFS($E$5:E214,E214,$B$5:B214,B214,$I$5:I214,I214))</f>
        <v/>
      </c>
    </row>
    <row r="215">
      <c r="B215" s="2" t="n"/>
      <c r="I215" s="4" t="n"/>
      <c r="J215" s="4" t="n"/>
      <c r="K215" s="14" t="n"/>
      <c r="N215" s="3" t="n"/>
      <c r="O215" s="3" t="n"/>
      <c r="P215" s="3" t="n"/>
      <c r="T215">
        <f>IF(E215="","",E215*100000+COUNTIFS(tblRegistros[ID],E215,tblRegistros[Data],"&lt;"&amp;B215)+COUNTIFS(tblRegistros[ID],E215,tblRegistros[Data],B215,tblRegistros[Início],"&lt;"&amp;I215)+COUNTIFS($E$5:E215,E215,$B$5:B215,B215,$I$5:I215,I215))</f>
        <v/>
      </c>
    </row>
    <row r="216">
      <c r="B216" s="2" t="n"/>
      <c r="I216" s="4" t="n"/>
      <c r="J216" s="4" t="n"/>
      <c r="K216" s="14" t="n"/>
      <c r="N216" s="3" t="n"/>
      <c r="O216" s="3" t="n"/>
      <c r="P216" s="3" t="n"/>
      <c r="T216">
        <f>IF(E216="","",E216*100000+COUNTIFS(tblRegistros[ID],E216,tblRegistros[Data],"&lt;"&amp;B216)+COUNTIFS(tblRegistros[ID],E216,tblRegistros[Data],B216,tblRegistros[Início],"&lt;"&amp;I216)+COUNTIFS($E$5:E216,E216,$B$5:B216,B216,$I$5:I216,I216))</f>
        <v/>
      </c>
    </row>
    <row r="217">
      <c r="B217" s="2" t="n"/>
      <c r="I217" s="4" t="n"/>
      <c r="J217" s="4" t="n"/>
      <c r="K217" s="14" t="n"/>
      <c r="N217" s="3" t="n"/>
      <c r="O217" s="3" t="n"/>
      <c r="P217" s="3" t="n"/>
      <c r="T217">
        <f>IF(E217="","",E217*100000+COUNTIFS(tblRegistros[ID],E217,tblRegistros[Data],"&lt;"&amp;B217)+COUNTIFS(tblRegistros[ID],E217,tblRegistros[Data],B217,tblRegistros[Início],"&lt;"&amp;I217)+COUNTIFS($E$5:E217,E217,$B$5:B217,B217,$I$5:I217,I217))</f>
        <v/>
      </c>
    </row>
    <row r="218">
      <c r="B218" s="2" t="n"/>
      <c r="I218" s="4" t="n"/>
      <c r="J218" s="4" t="n"/>
      <c r="K218" s="14" t="n"/>
      <c r="N218" s="3" t="n"/>
      <c r="O218" s="3" t="n"/>
      <c r="P218" s="3" t="n"/>
      <c r="T218">
        <f>IF(E218="","",E218*100000+COUNTIFS(tblRegistros[ID],E218,tblRegistros[Data],"&lt;"&amp;B218)+COUNTIFS(tblRegistros[ID],E218,tblRegistros[Data],B218,tblRegistros[Início],"&lt;"&amp;I218)+COUNTIFS($E$5:E218,E218,$B$5:B218,B218,$I$5:I218,I218))</f>
        <v/>
      </c>
    </row>
    <row r="219">
      <c r="B219" s="2" t="n"/>
      <c r="I219" s="4" t="n"/>
      <c r="J219" s="4" t="n"/>
      <c r="K219" s="14" t="n"/>
      <c r="N219" s="3" t="n"/>
      <c r="O219" s="3" t="n"/>
      <c r="P219" s="3" t="n"/>
      <c r="T219">
        <f>IF(E219="","",E219*100000+COUNTIFS(tblRegistros[ID],E219,tblRegistros[Data],"&lt;"&amp;B219)+COUNTIFS(tblRegistros[ID],E219,tblRegistros[Data],B219,tblRegistros[Início],"&lt;"&amp;I219)+COUNTIFS($E$5:E219,E219,$B$5:B219,B219,$I$5:I219,I219))</f>
        <v/>
      </c>
    </row>
    <row r="220">
      <c r="B220" s="2" t="n"/>
      <c r="I220" s="4" t="n"/>
      <c r="J220" s="4" t="n"/>
      <c r="K220" s="14" t="n"/>
      <c r="N220" s="3" t="n"/>
      <c r="O220" s="3" t="n"/>
      <c r="P220" s="3" t="n"/>
      <c r="T220">
        <f>IF(E220="","",E220*100000+COUNTIFS(tblRegistros[ID],E220,tblRegistros[Data],"&lt;"&amp;B220)+COUNTIFS(tblRegistros[ID],E220,tblRegistros[Data],B220,tblRegistros[Início],"&lt;"&amp;I220)+COUNTIFS($E$5:E220,E220,$B$5:B220,B220,$I$5:I220,I220))</f>
        <v/>
      </c>
    </row>
    <row r="221">
      <c r="B221" s="2" t="n"/>
      <c r="I221" s="4" t="n"/>
      <c r="J221" s="4" t="n"/>
      <c r="K221" s="14" t="n"/>
      <c r="N221" s="3" t="n"/>
      <c r="O221" s="3" t="n"/>
      <c r="P221" s="3" t="n"/>
      <c r="T221">
        <f>IF(E221="","",E221*100000+COUNTIFS(tblRegistros[ID],E221,tblRegistros[Data],"&lt;"&amp;B221)+COUNTIFS(tblRegistros[ID],E221,tblRegistros[Data],B221,tblRegistros[Início],"&lt;"&amp;I221)+COUNTIFS($E$5:E221,E221,$B$5:B221,B221,$I$5:I221,I221))</f>
        <v/>
      </c>
    </row>
    <row r="222">
      <c r="B222" s="2" t="n"/>
      <c r="I222" s="4" t="n"/>
      <c r="J222" s="4" t="n"/>
      <c r="K222" s="14" t="n"/>
      <c r="N222" s="3" t="n"/>
      <c r="O222" s="3" t="n"/>
      <c r="P222" s="3" t="n"/>
      <c r="T222">
        <f>IF(E222="","",E222*100000+COUNTIFS(tblRegistros[ID],E222,tblRegistros[Data],"&lt;"&amp;B222)+COUNTIFS(tblRegistros[ID],E222,tblRegistros[Data],B222,tblRegistros[Início],"&lt;"&amp;I222)+COUNTIFS($E$5:E222,E222,$B$5:B222,B222,$I$5:I222,I222))</f>
        <v/>
      </c>
    </row>
    <row r="223">
      <c r="B223" s="2" t="n"/>
      <c r="I223" s="4" t="n"/>
      <c r="J223" s="4" t="n"/>
      <c r="K223" s="14" t="n"/>
      <c r="N223" s="3" t="n"/>
      <c r="O223" s="3" t="n"/>
      <c r="P223" s="3" t="n"/>
      <c r="T223">
        <f>IF(E223="","",E223*100000+COUNTIFS(tblRegistros[ID],E223,tblRegistros[Data],"&lt;"&amp;B223)+COUNTIFS(tblRegistros[ID],E223,tblRegistros[Data],B223,tblRegistros[Início],"&lt;"&amp;I223)+COUNTIFS($E$5:E223,E223,$B$5:B223,B223,$I$5:I223,I223))</f>
        <v/>
      </c>
    </row>
    <row r="224">
      <c r="B224" s="2" t="n"/>
      <c r="I224" s="4" t="n"/>
      <c r="J224" s="4" t="n"/>
      <c r="K224" s="14" t="n"/>
      <c r="N224" s="3" t="n"/>
      <c r="O224" s="3" t="n"/>
      <c r="P224" s="3" t="n"/>
      <c r="T224">
        <f>IF(E224="","",E224*100000+COUNTIFS(tblRegistros[ID],E224,tblRegistros[Data],"&lt;"&amp;B224)+COUNTIFS(tblRegistros[ID],E224,tblRegistros[Data],B224,tblRegistros[Início],"&lt;"&amp;I224)+COUNTIFS($E$5:E224,E224,$B$5:B224,B224,$I$5:I224,I224))</f>
        <v/>
      </c>
    </row>
    <row r="225">
      <c r="B225" s="2" t="n"/>
      <c r="I225" s="4" t="n"/>
      <c r="J225" s="4" t="n"/>
      <c r="K225" s="14" t="n"/>
      <c r="N225" s="3" t="n"/>
      <c r="O225" s="3" t="n"/>
      <c r="P225" s="3" t="n"/>
      <c r="T225">
        <f>IF(E225="","",E225*100000+COUNTIFS(tblRegistros[ID],E225,tblRegistros[Data],"&lt;"&amp;B225)+COUNTIFS(tblRegistros[ID],E225,tblRegistros[Data],B225,tblRegistros[Início],"&lt;"&amp;I225)+COUNTIFS($E$5:E225,E225,$B$5:B225,B225,$I$5:I225,I225))</f>
        <v/>
      </c>
    </row>
    <row r="226">
      <c r="B226" s="2" t="n"/>
      <c r="I226" s="4" t="n"/>
      <c r="J226" s="4" t="n"/>
      <c r="K226" s="14" t="n"/>
      <c r="N226" s="3" t="n"/>
      <c r="O226" s="3" t="n"/>
      <c r="P226" s="3" t="n"/>
      <c r="T226">
        <f>IF(E226="","",E226*100000+COUNTIFS(tblRegistros[ID],E226,tblRegistros[Data],"&lt;"&amp;B226)+COUNTIFS(tblRegistros[ID],E226,tblRegistros[Data],B226,tblRegistros[Início],"&lt;"&amp;I226)+COUNTIFS($E$5:E226,E226,$B$5:B226,B226,$I$5:I226,I226))</f>
        <v/>
      </c>
    </row>
    <row r="227">
      <c r="B227" s="2" t="n"/>
      <c r="I227" s="4" t="n"/>
      <c r="J227" s="4" t="n"/>
      <c r="K227" s="14" t="n"/>
      <c r="N227" s="3" t="n"/>
      <c r="O227" s="3" t="n"/>
      <c r="P227" s="3" t="n"/>
      <c r="T227">
        <f>IF(E227="","",E227*100000+COUNTIFS(tblRegistros[ID],E227,tblRegistros[Data],"&lt;"&amp;B227)+COUNTIFS(tblRegistros[ID],E227,tblRegistros[Data],B227,tblRegistros[Início],"&lt;"&amp;I227)+COUNTIFS($E$5:E227,E227,$B$5:B227,B227,$I$5:I227,I227))</f>
        <v/>
      </c>
    </row>
    <row r="228">
      <c r="B228" s="2" t="n"/>
      <c r="I228" s="4" t="n"/>
      <c r="J228" s="4" t="n"/>
      <c r="K228" s="14" t="n"/>
      <c r="N228" s="3" t="n"/>
      <c r="O228" s="3" t="n"/>
      <c r="P228" s="3" t="n"/>
      <c r="T228">
        <f>IF(E228="","",E228*100000+COUNTIFS(tblRegistros[ID],E228,tblRegistros[Data],"&lt;"&amp;B228)+COUNTIFS(tblRegistros[ID],E228,tblRegistros[Data],B228,tblRegistros[Início],"&lt;"&amp;I228)+COUNTIFS($E$5:E228,E228,$B$5:B228,B228,$I$5:I228,I228))</f>
        <v/>
      </c>
    </row>
    <row r="229">
      <c r="B229" s="2" t="n"/>
      <c r="I229" s="4" t="n"/>
      <c r="J229" s="4" t="n"/>
      <c r="K229" s="14" t="n"/>
      <c r="N229" s="3" t="n"/>
      <c r="O229" s="3" t="n"/>
      <c r="P229" s="3" t="n"/>
      <c r="T229">
        <f>IF(E229="","",E229*100000+COUNTIFS(tblRegistros[ID],E229,tblRegistros[Data],"&lt;"&amp;B229)+COUNTIFS(tblRegistros[ID],E229,tblRegistros[Data],B229,tblRegistros[Início],"&lt;"&amp;I229)+COUNTIFS($E$5:E229,E229,$B$5:B229,B229,$I$5:I229,I229))</f>
        <v/>
      </c>
    </row>
    <row r="230">
      <c r="B230" s="2" t="n"/>
      <c r="I230" s="4" t="n"/>
      <c r="J230" s="4" t="n"/>
      <c r="K230" s="14" t="n"/>
      <c r="N230" s="3" t="n"/>
      <c r="O230" s="3" t="n"/>
      <c r="P230" s="3" t="n"/>
      <c r="T230">
        <f>IF(E230="","",E230*100000+COUNTIFS(tblRegistros[ID],E230,tblRegistros[Data],"&lt;"&amp;B230)+COUNTIFS(tblRegistros[ID],E230,tblRegistros[Data],B230,tblRegistros[Início],"&lt;"&amp;I230)+COUNTIFS($E$5:E230,E230,$B$5:B230,B230,$I$5:I230,I230))</f>
        <v/>
      </c>
    </row>
    <row r="231">
      <c r="B231" s="2" t="n"/>
      <c r="I231" s="4" t="n"/>
      <c r="J231" s="4" t="n"/>
      <c r="K231" s="14" t="n"/>
      <c r="N231" s="3" t="n"/>
      <c r="O231" s="3" t="n"/>
      <c r="P231" s="3" t="n"/>
      <c r="T231">
        <f>IF(E231="","",E231*100000+COUNTIFS(tblRegistros[ID],E231,tblRegistros[Data],"&lt;"&amp;B231)+COUNTIFS(tblRegistros[ID],E231,tblRegistros[Data],B231,tblRegistros[Início],"&lt;"&amp;I231)+COUNTIFS($E$5:E231,E231,$B$5:B231,B231,$I$5:I231,I231))</f>
        <v/>
      </c>
    </row>
    <row r="232">
      <c r="B232" s="2" t="n"/>
      <c r="I232" s="4" t="n"/>
      <c r="J232" s="4" t="n"/>
      <c r="K232" s="14" t="n"/>
      <c r="N232" s="3" t="n"/>
      <c r="O232" s="3" t="n"/>
      <c r="P232" s="3" t="n"/>
      <c r="T232">
        <f>IF(E232="","",E232*100000+COUNTIFS(tblRegistros[ID],E232,tblRegistros[Data],"&lt;"&amp;B232)+COUNTIFS(tblRegistros[ID],E232,tblRegistros[Data],B232,tblRegistros[Início],"&lt;"&amp;I232)+COUNTIFS($E$5:E232,E232,$B$5:B232,B232,$I$5:I232,I232))</f>
        <v/>
      </c>
    </row>
    <row r="233">
      <c r="B233" s="2" t="n"/>
      <c r="I233" s="4" t="n"/>
      <c r="J233" s="4" t="n"/>
      <c r="K233" s="14" t="n"/>
      <c r="N233" s="3" t="n"/>
      <c r="O233" s="3" t="n"/>
      <c r="P233" s="3" t="n"/>
      <c r="T233">
        <f>IF(E233="","",E233*100000+COUNTIFS(tblRegistros[ID],E233,tblRegistros[Data],"&lt;"&amp;B233)+COUNTIFS(tblRegistros[ID],E233,tblRegistros[Data],B233,tblRegistros[Início],"&lt;"&amp;I233)+COUNTIFS($E$5:E233,E233,$B$5:B233,B233,$I$5:I233,I233))</f>
        <v/>
      </c>
    </row>
    <row r="234">
      <c r="B234" s="2" t="n"/>
      <c r="I234" s="4" t="n"/>
      <c r="J234" s="4" t="n"/>
      <c r="K234" s="14" t="n"/>
      <c r="N234" s="3" t="n"/>
      <c r="O234" s="3" t="n"/>
      <c r="P234" s="3" t="n"/>
      <c r="T234">
        <f>IF(E234="","",E234*100000+COUNTIFS(tblRegistros[ID],E234,tblRegistros[Data],"&lt;"&amp;B234)+COUNTIFS(tblRegistros[ID],E234,tblRegistros[Data],B234,tblRegistros[Início],"&lt;"&amp;I234)+COUNTIFS($E$5:E234,E234,$B$5:B234,B234,$I$5:I234,I234))</f>
        <v/>
      </c>
    </row>
    <row r="235">
      <c r="B235" s="2" t="n"/>
      <c r="I235" s="4" t="n"/>
      <c r="J235" s="4" t="n"/>
      <c r="K235" s="14" t="n"/>
      <c r="N235" s="3" t="n"/>
      <c r="O235" s="3" t="n"/>
      <c r="P235" s="3" t="n"/>
      <c r="T235">
        <f>IF(E235="","",E235*100000+COUNTIFS(tblRegistros[ID],E235,tblRegistros[Data],"&lt;"&amp;B235)+COUNTIFS(tblRegistros[ID],E235,tblRegistros[Data],B235,tblRegistros[Início],"&lt;"&amp;I235)+COUNTIFS($E$5:E235,E235,$B$5:B235,B235,$I$5:I235,I235))</f>
        <v/>
      </c>
    </row>
    <row r="236">
      <c r="B236" s="2" t="n"/>
      <c r="I236" s="4" t="n"/>
      <c r="J236" s="4" t="n"/>
      <c r="K236" s="14" t="n"/>
      <c r="N236" s="3" t="n"/>
      <c r="O236" s="3" t="n"/>
      <c r="P236" s="3" t="n"/>
      <c r="T236">
        <f>IF(E236="","",E236*100000+COUNTIFS(tblRegistros[ID],E236,tblRegistros[Data],"&lt;"&amp;B236)+COUNTIFS(tblRegistros[ID],E236,tblRegistros[Data],B236,tblRegistros[Início],"&lt;"&amp;I236)+COUNTIFS($E$5:E236,E236,$B$5:B236,B236,$I$5:I236,I236))</f>
        <v/>
      </c>
    </row>
    <row r="237">
      <c r="B237" s="2" t="n"/>
      <c r="I237" s="4" t="n"/>
      <c r="J237" s="4" t="n"/>
      <c r="K237" s="14" t="n"/>
      <c r="N237" s="3" t="n"/>
      <c r="O237" s="3" t="n"/>
      <c r="P237" s="3" t="n"/>
      <c r="T237">
        <f>IF(E237="","",E237*100000+COUNTIFS(tblRegistros[ID],E237,tblRegistros[Data],"&lt;"&amp;B237)+COUNTIFS(tblRegistros[ID],E237,tblRegistros[Data],B237,tblRegistros[Início],"&lt;"&amp;I237)+COUNTIFS($E$5:E237,E237,$B$5:B237,B237,$I$5:I237,I237))</f>
        <v/>
      </c>
    </row>
    <row r="238">
      <c r="B238" s="2" t="n"/>
      <c r="I238" s="4" t="n"/>
      <c r="J238" s="4" t="n"/>
      <c r="K238" s="14" t="n"/>
      <c r="N238" s="3" t="n"/>
      <c r="O238" s="3" t="n"/>
      <c r="P238" s="3" t="n"/>
      <c r="T238">
        <f>IF(E238="","",E238*100000+COUNTIFS(tblRegistros[ID],E238,tblRegistros[Data],"&lt;"&amp;B238)+COUNTIFS(tblRegistros[ID],E238,tblRegistros[Data],B238,tblRegistros[Início],"&lt;"&amp;I238)+COUNTIFS($E$5:E238,E238,$B$5:B238,B238,$I$5:I238,I238))</f>
        <v/>
      </c>
    </row>
    <row r="239">
      <c r="B239" s="2" t="n"/>
      <c r="I239" s="4" t="n"/>
      <c r="J239" s="4" t="n"/>
      <c r="K239" s="14" t="n"/>
      <c r="N239" s="3" t="n"/>
      <c r="O239" s="3" t="n"/>
      <c r="P239" s="3" t="n"/>
      <c r="T239">
        <f>IF(E239="","",E239*100000+COUNTIFS(tblRegistros[ID],E239,tblRegistros[Data],"&lt;"&amp;B239)+COUNTIFS(tblRegistros[ID],E239,tblRegistros[Data],B239,tblRegistros[Início],"&lt;"&amp;I239)+COUNTIFS($E$5:E239,E239,$B$5:B239,B239,$I$5:I239,I239))</f>
        <v/>
      </c>
    </row>
    <row r="240">
      <c r="B240" s="2" t="n"/>
      <c r="I240" s="4" t="n"/>
      <c r="J240" s="4" t="n"/>
      <c r="K240" s="14" t="n"/>
      <c r="N240" s="3" t="n"/>
      <c r="O240" s="3" t="n"/>
      <c r="P240" s="3" t="n"/>
      <c r="T240">
        <f>IF(E240="","",E240*100000+COUNTIFS(tblRegistros[ID],E240,tblRegistros[Data],"&lt;"&amp;B240)+COUNTIFS(tblRegistros[ID],E240,tblRegistros[Data],B240,tblRegistros[Início],"&lt;"&amp;I240)+COUNTIFS($E$5:E240,E240,$B$5:B240,B240,$I$5:I240,I240))</f>
        <v/>
      </c>
    </row>
    <row r="241">
      <c r="B241" s="2" t="n"/>
      <c r="I241" s="4" t="n"/>
      <c r="J241" s="4" t="n"/>
      <c r="K241" s="14" t="n"/>
      <c r="N241" s="3" t="n"/>
      <c r="O241" s="3" t="n"/>
      <c r="P241" s="3" t="n"/>
      <c r="T241">
        <f>IF(E241="","",E241*100000+COUNTIFS(tblRegistros[ID],E241,tblRegistros[Data],"&lt;"&amp;B241)+COUNTIFS(tblRegistros[ID],E241,tblRegistros[Data],B241,tblRegistros[Início],"&lt;"&amp;I241)+COUNTIFS($E$5:E241,E241,$B$5:B241,B241,$I$5:I241,I241))</f>
        <v/>
      </c>
    </row>
    <row r="242">
      <c r="B242" s="2" t="n"/>
      <c r="I242" s="4" t="n"/>
      <c r="J242" s="4" t="n"/>
      <c r="K242" s="14" t="n"/>
      <c r="N242" s="3" t="n"/>
      <c r="O242" s="3" t="n"/>
      <c r="P242" s="3" t="n"/>
      <c r="T242">
        <f>IF(E242="","",E242*100000+COUNTIFS(tblRegistros[ID],E242,tblRegistros[Data],"&lt;"&amp;B242)+COUNTIFS(tblRegistros[ID],E242,tblRegistros[Data],B242,tblRegistros[Início],"&lt;"&amp;I242)+COUNTIFS($E$5:E242,E242,$B$5:B242,B242,$I$5:I242,I242))</f>
        <v/>
      </c>
    </row>
    <row r="243">
      <c r="B243" s="2" t="n"/>
      <c r="I243" s="4" t="n"/>
      <c r="J243" s="4" t="n"/>
      <c r="K243" s="14" t="n"/>
      <c r="N243" s="3" t="n"/>
      <c r="O243" s="3" t="n"/>
      <c r="P243" s="3" t="n"/>
      <c r="T243">
        <f>IF(E243="","",E243*100000+COUNTIFS(tblRegistros[ID],E243,tblRegistros[Data],"&lt;"&amp;B243)+COUNTIFS(tblRegistros[ID],E243,tblRegistros[Data],B243,tblRegistros[Início],"&lt;"&amp;I243)+COUNTIFS($E$5:E243,E243,$B$5:B243,B243,$I$5:I243,I243))</f>
        <v/>
      </c>
    </row>
    <row r="244">
      <c r="B244" s="2" t="n"/>
      <c r="I244" s="4" t="n"/>
      <c r="J244" s="4" t="n"/>
      <c r="K244" s="14" t="n"/>
      <c r="N244" s="3" t="n"/>
      <c r="O244" s="3" t="n"/>
      <c r="P244" s="3" t="n"/>
      <c r="T244">
        <f>IF(E244="","",E244*100000+COUNTIFS(tblRegistros[ID],E244,tblRegistros[Data],"&lt;"&amp;B244)+COUNTIFS(tblRegistros[ID],E244,tblRegistros[Data],B244,tblRegistros[Início],"&lt;"&amp;I244)+COUNTIFS($E$5:E244,E244,$B$5:B244,B244,$I$5:I244,I244))</f>
        <v/>
      </c>
    </row>
    <row r="245">
      <c r="B245" s="2" t="n"/>
      <c r="I245" s="4" t="n"/>
      <c r="J245" s="4" t="n"/>
      <c r="K245" s="14" t="n"/>
      <c r="N245" s="3" t="n"/>
      <c r="O245" s="3" t="n"/>
      <c r="P245" s="3" t="n"/>
      <c r="T245">
        <f>IF(E245="","",E245*100000+COUNTIFS(tblRegistros[ID],E245,tblRegistros[Data],"&lt;"&amp;B245)+COUNTIFS(tblRegistros[ID],E245,tblRegistros[Data],B245,tblRegistros[Início],"&lt;"&amp;I245)+COUNTIFS($E$5:E245,E245,$B$5:B245,B245,$I$5:I245,I245))</f>
        <v/>
      </c>
    </row>
    <row r="246">
      <c r="B246" s="2" t="n"/>
      <c r="I246" s="4" t="n"/>
      <c r="J246" s="4" t="n"/>
      <c r="K246" s="14" t="n"/>
      <c r="N246" s="3" t="n"/>
      <c r="O246" s="3" t="n"/>
      <c r="P246" s="3" t="n"/>
      <c r="T246">
        <f>IF(E246="","",E246*100000+COUNTIFS(tblRegistros[ID],E246,tblRegistros[Data],"&lt;"&amp;B246)+COUNTIFS(tblRegistros[ID],E246,tblRegistros[Data],B246,tblRegistros[Início],"&lt;"&amp;I246)+COUNTIFS($E$5:E246,E246,$B$5:B246,B246,$I$5:I246,I246))</f>
        <v/>
      </c>
    </row>
    <row r="247">
      <c r="B247" s="2" t="n"/>
      <c r="I247" s="4" t="n"/>
      <c r="J247" s="4" t="n"/>
      <c r="K247" s="14" t="n"/>
      <c r="N247" s="3" t="n"/>
      <c r="O247" s="3" t="n"/>
      <c r="P247" s="3" t="n"/>
      <c r="T247">
        <f>IF(E247="","",E247*100000+COUNTIFS(tblRegistros[ID],E247,tblRegistros[Data],"&lt;"&amp;B247)+COUNTIFS(tblRegistros[ID],E247,tblRegistros[Data],B247,tblRegistros[Início],"&lt;"&amp;I247)+COUNTIFS($E$5:E247,E247,$B$5:B247,B247,$I$5:I247,I247))</f>
        <v/>
      </c>
    </row>
    <row r="248">
      <c r="B248" s="2" t="n"/>
      <c r="I248" s="4" t="n"/>
      <c r="J248" s="4" t="n"/>
      <c r="K248" s="14" t="n"/>
      <c r="N248" s="3" t="n"/>
      <c r="O248" s="3" t="n"/>
      <c r="P248" s="3" t="n"/>
      <c r="T248">
        <f>IF(E248="","",E248*100000+COUNTIFS(tblRegistros[ID],E248,tblRegistros[Data],"&lt;"&amp;B248)+COUNTIFS(tblRegistros[ID],E248,tblRegistros[Data],B248,tblRegistros[Início],"&lt;"&amp;I248)+COUNTIFS($E$5:E248,E248,$B$5:B248,B248,$I$5:I248,I248))</f>
        <v/>
      </c>
    </row>
    <row r="249">
      <c r="B249" s="2" t="n"/>
      <c r="I249" s="4" t="n"/>
      <c r="J249" s="4" t="n"/>
      <c r="K249" s="14" t="n"/>
      <c r="N249" s="3" t="n"/>
      <c r="O249" s="3" t="n"/>
      <c r="P249" s="3" t="n"/>
      <c r="T249">
        <f>IF(E249="","",E249*100000+COUNTIFS(tblRegistros[ID],E249,tblRegistros[Data],"&lt;"&amp;B249)+COUNTIFS(tblRegistros[ID],E249,tblRegistros[Data],B249,tblRegistros[Início],"&lt;"&amp;I249)+COUNTIFS($E$5:E249,E249,$B$5:B249,B249,$I$5:I249,I249))</f>
        <v/>
      </c>
    </row>
    <row r="250">
      <c r="B250" s="2" t="n"/>
      <c r="I250" s="4" t="n"/>
      <c r="J250" s="4" t="n"/>
      <c r="K250" s="14" t="n"/>
      <c r="N250" s="3" t="n"/>
      <c r="O250" s="3" t="n"/>
      <c r="P250" s="3" t="n"/>
      <c r="T250">
        <f>IF(E250="","",E250*100000+COUNTIFS(tblRegistros[ID],E250,tblRegistros[Data],"&lt;"&amp;B250)+COUNTIFS(tblRegistros[ID],E250,tblRegistros[Data],B250,tblRegistros[Início],"&lt;"&amp;I250)+COUNTIFS($E$5:E250,E250,$B$5:B250,B250,$I$5:I250,I250))</f>
        <v/>
      </c>
    </row>
    <row r="251">
      <c r="B251" s="2" t="n"/>
      <c r="I251" s="4" t="n"/>
      <c r="J251" s="4" t="n"/>
      <c r="K251" s="14" t="n"/>
      <c r="N251" s="3" t="n"/>
      <c r="O251" s="3" t="n"/>
      <c r="P251" s="3" t="n"/>
      <c r="T251">
        <f>IF(E251="","",E251*100000+COUNTIFS(tblRegistros[ID],E251,tblRegistros[Data],"&lt;"&amp;B251)+COUNTIFS(tblRegistros[ID],E251,tblRegistros[Data],B251,tblRegistros[Início],"&lt;"&amp;I251)+COUNTIFS($E$5:E251,E251,$B$5:B251,B251,$I$5:I251,I251))</f>
        <v/>
      </c>
    </row>
    <row r="252">
      <c r="B252" s="2" t="n"/>
      <c r="I252" s="4" t="n"/>
      <c r="J252" s="4" t="n"/>
      <c r="K252" s="14" t="n"/>
      <c r="N252" s="3" t="n"/>
      <c r="O252" s="3" t="n"/>
      <c r="P252" s="3" t="n"/>
      <c r="T252">
        <f>IF(E252="","",E252*100000+COUNTIFS(tblRegistros[ID],E252,tblRegistros[Data],"&lt;"&amp;B252)+COUNTIFS(tblRegistros[ID],E252,tblRegistros[Data],B252,tblRegistros[Início],"&lt;"&amp;I252)+COUNTIFS($E$5:E252,E252,$B$5:B252,B252,$I$5:I252,I252))</f>
        <v/>
      </c>
    </row>
    <row r="253">
      <c r="B253" s="2" t="n"/>
      <c r="I253" s="4" t="n"/>
      <c r="J253" s="4" t="n"/>
      <c r="K253" s="14" t="n"/>
      <c r="N253" s="3" t="n"/>
      <c r="O253" s="3" t="n"/>
      <c r="P253" s="3" t="n"/>
      <c r="T253">
        <f>IF(E253="","",E253*100000+COUNTIFS(tblRegistros[ID],E253,tblRegistros[Data],"&lt;"&amp;B253)+COUNTIFS(tblRegistros[ID],E253,tblRegistros[Data],B253,tblRegistros[Início],"&lt;"&amp;I253)+COUNTIFS($E$5:E253,E253,$B$5:B253,B253,$I$5:I253,I253))</f>
        <v/>
      </c>
    </row>
    <row r="254">
      <c r="B254" s="2" t="n"/>
      <c r="I254" s="4" t="n"/>
      <c r="J254" s="4" t="n"/>
      <c r="K254" s="14" t="n"/>
      <c r="N254" s="3" t="n"/>
      <c r="O254" s="3" t="n"/>
      <c r="P254" s="3" t="n"/>
      <c r="T254">
        <f>IF(E254="","",E254*100000+COUNTIFS(tblRegistros[ID],E254,tblRegistros[Data],"&lt;"&amp;B254)+COUNTIFS(tblRegistros[ID],E254,tblRegistros[Data],B254,tblRegistros[Início],"&lt;"&amp;I254)+COUNTIFS($E$5:E254,E254,$B$5:B254,B254,$I$5:I254,I254))</f>
        <v/>
      </c>
    </row>
    <row r="255">
      <c r="B255" s="2" t="n"/>
      <c r="I255" s="4" t="n"/>
      <c r="J255" s="4" t="n"/>
      <c r="K255" s="14" t="n"/>
      <c r="N255" s="3" t="n"/>
      <c r="O255" s="3" t="n"/>
      <c r="P255" s="3" t="n"/>
      <c r="T255">
        <f>IF(E255="","",E255*100000+COUNTIFS(tblRegistros[ID],E255,tblRegistros[Data],"&lt;"&amp;B255)+COUNTIFS(tblRegistros[ID],E255,tblRegistros[Data],B255,tblRegistros[Início],"&lt;"&amp;I255)+COUNTIFS($E$5:E255,E255,$B$5:B255,B255,$I$5:I255,I255))</f>
        <v/>
      </c>
    </row>
    <row r="256">
      <c r="B256" s="2" t="n"/>
      <c r="I256" s="4" t="n"/>
      <c r="J256" s="4" t="n"/>
      <c r="K256" s="14" t="n"/>
      <c r="N256" s="3" t="n"/>
      <c r="O256" s="3" t="n"/>
      <c r="P256" s="3" t="n"/>
      <c r="T256">
        <f>IF(E256="","",E256*100000+COUNTIFS(tblRegistros[ID],E256,tblRegistros[Data],"&lt;"&amp;B256)+COUNTIFS(tblRegistros[ID],E256,tblRegistros[Data],B256,tblRegistros[Início],"&lt;"&amp;I256)+COUNTIFS($E$5:E256,E256,$B$5:B256,B256,$I$5:I256,I256))</f>
        <v/>
      </c>
    </row>
    <row r="257">
      <c r="B257" s="2" t="n"/>
      <c r="I257" s="4" t="n"/>
      <c r="J257" s="4" t="n"/>
      <c r="K257" s="14" t="n"/>
      <c r="N257" s="3" t="n"/>
      <c r="O257" s="3" t="n"/>
      <c r="P257" s="3" t="n"/>
      <c r="T257">
        <f>IF(E257="","",E257*100000+COUNTIFS(tblRegistros[ID],E257,tblRegistros[Data],"&lt;"&amp;B257)+COUNTIFS(tblRegistros[ID],E257,tblRegistros[Data],B257,tblRegistros[Início],"&lt;"&amp;I257)+COUNTIFS($E$5:E257,E257,$B$5:B257,B257,$I$5:I257,I257))</f>
        <v/>
      </c>
    </row>
    <row r="258">
      <c r="B258" s="2" t="n"/>
      <c r="I258" s="4" t="n"/>
      <c r="J258" s="4" t="n"/>
      <c r="K258" s="14" t="n"/>
      <c r="N258" s="3" t="n"/>
      <c r="O258" s="3" t="n"/>
      <c r="P258" s="3" t="n"/>
      <c r="T258">
        <f>IF(E258="","",E258*100000+COUNTIFS(tblRegistros[ID],E258,tblRegistros[Data],"&lt;"&amp;B258)+COUNTIFS(tblRegistros[ID],E258,tblRegistros[Data],B258,tblRegistros[Início],"&lt;"&amp;I258)+COUNTIFS($E$5:E258,E258,$B$5:B258,B258,$I$5:I258,I258))</f>
        <v/>
      </c>
    </row>
    <row r="259">
      <c r="B259" s="2" t="n"/>
      <c r="I259" s="4" t="n"/>
      <c r="J259" s="4" t="n"/>
      <c r="K259" s="14" t="n"/>
      <c r="N259" s="3" t="n"/>
      <c r="O259" s="3" t="n"/>
      <c r="P259" s="3" t="n"/>
      <c r="T259">
        <f>IF(E259="","",E259*100000+COUNTIFS(tblRegistros[ID],E259,tblRegistros[Data],"&lt;"&amp;B259)+COUNTIFS(tblRegistros[ID],E259,tblRegistros[Data],B259,tblRegistros[Início],"&lt;"&amp;I259)+COUNTIFS($E$5:E259,E259,$B$5:B259,B259,$I$5:I259,I259))</f>
        <v/>
      </c>
    </row>
    <row r="260">
      <c r="B260" s="2" t="n"/>
      <c r="I260" s="4" t="n"/>
      <c r="J260" s="4" t="n"/>
      <c r="K260" s="14" t="n"/>
      <c r="N260" s="3" t="n"/>
      <c r="O260" s="3" t="n"/>
      <c r="P260" s="3" t="n"/>
      <c r="T260">
        <f>IF(E260="","",E260*100000+COUNTIFS(tblRegistros[ID],E260,tblRegistros[Data],"&lt;"&amp;B260)+COUNTIFS(tblRegistros[ID],E260,tblRegistros[Data],B260,tblRegistros[Início],"&lt;"&amp;I260)+COUNTIFS($E$5:E260,E260,$B$5:B260,B260,$I$5:I260,I260))</f>
        <v/>
      </c>
    </row>
    <row r="261">
      <c r="B261" s="2" t="n"/>
      <c r="I261" s="4" t="n"/>
      <c r="J261" s="4" t="n"/>
      <c r="K261" s="14" t="n"/>
      <c r="N261" s="3" t="n"/>
      <c r="O261" s="3" t="n"/>
      <c r="P261" s="3" t="n"/>
      <c r="T261">
        <f>IF(E261="","",E261*100000+COUNTIFS(tblRegistros[ID],E261,tblRegistros[Data],"&lt;"&amp;B261)+COUNTIFS(tblRegistros[ID],E261,tblRegistros[Data],B261,tblRegistros[Início],"&lt;"&amp;I261)+COUNTIFS($E$5:E261,E261,$B$5:B261,B261,$I$5:I261,I261))</f>
        <v/>
      </c>
    </row>
    <row r="262">
      <c r="B262" s="2" t="n"/>
      <c r="I262" s="4" t="n"/>
      <c r="J262" s="4" t="n"/>
      <c r="K262" s="14" t="n"/>
      <c r="N262" s="3" t="n"/>
      <c r="O262" s="3" t="n"/>
      <c r="P262" s="3" t="n"/>
      <c r="T262">
        <f>IF(E262="","",E262*100000+COUNTIFS(tblRegistros[ID],E262,tblRegistros[Data],"&lt;"&amp;B262)+COUNTIFS(tblRegistros[ID],E262,tblRegistros[Data],B262,tblRegistros[Início],"&lt;"&amp;I262)+COUNTIFS($E$5:E262,E262,$B$5:B262,B262,$I$5:I262,I262))</f>
        <v/>
      </c>
    </row>
    <row r="263">
      <c r="B263" s="2" t="n"/>
      <c r="I263" s="4" t="n"/>
      <c r="J263" s="4" t="n"/>
      <c r="K263" s="14" t="n"/>
      <c r="N263" s="3" t="n"/>
      <c r="O263" s="3" t="n"/>
      <c r="P263" s="3" t="n"/>
      <c r="T263">
        <f>IF(E263="","",E263*100000+COUNTIFS(tblRegistros[ID],E263,tblRegistros[Data],"&lt;"&amp;B263)+COUNTIFS(tblRegistros[ID],E263,tblRegistros[Data],B263,tblRegistros[Início],"&lt;"&amp;I263)+COUNTIFS($E$5:E263,E263,$B$5:B263,B263,$I$5:I263,I263))</f>
        <v/>
      </c>
    </row>
    <row r="264">
      <c r="B264" s="2" t="n"/>
      <c r="I264" s="4" t="n"/>
      <c r="J264" s="4" t="n"/>
      <c r="K264" s="14" t="n"/>
      <c r="N264" s="3" t="n"/>
      <c r="O264" s="3" t="n"/>
      <c r="P264" s="3" t="n"/>
      <c r="T264">
        <f>IF(E264="","",E264*100000+COUNTIFS(tblRegistros[ID],E264,tblRegistros[Data],"&lt;"&amp;B264)+COUNTIFS(tblRegistros[ID],E264,tblRegistros[Data],B264,tblRegistros[Início],"&lt;"&amp;I264)+COUNTIFS($E$5:E264,E264,$B$5:B264,B264,$I$5:I264,I264))</f>
        <v/>
      </c>
    </row>
    <row r="265">
      <c r="B265" s="2" t="n"/>
      <c r="I265" s="4" t="n"/>
      <c r="J265" s="4" t="n"/>
      <c r="K265" s="14" t="n"/>
      <c r="N265" s="3" t="n"/>
      <c r="O265" s="3" t="n"/>
      <c r="P265" s="3" t="n"/>
      <c r="T265">
        <f>IF(E265="","",E265*100000+COUNTIFS(tblRegistros[ID],E265,tblRegistros[Data],"&lt;"&amp;B265)+COUNTIFS(tblRegistros[ID],E265,tblRegistros[Data],B265,tblRegistros[Início],"&lt;"&amp;I265)+COUNTIFS($E$5:E265,E265,$B$5:B265,B265,$I$5:I265,I265))</f>
        <v/>
      </c>
    </row>
    <row r="266">
      <c r="B266" s="2" t="n"/>
      <c r="I266" s="4" t="n"/>
      <c r="J266" s="4" t="n"/>
      <c r="K266" s="14" t="n"/>
      <c r="N266" s="3" t="n"/>
      <c r="O266" s="3" t="n"/>
      <c r="P266" s="3" t="n"/>
      <c r="T266">
        <f>IF(E266="","",E266*100000+COUNTIFS(tblRegistros[ID],E266,tblRegistros[Data],"&lt;"&amp;B266)+COUNTIFS(tblRegistros[ID],E266,tblRegistros[Data],B266,tblRegistros[Início],"&lt;"&amp;I266)+COUNTIFS($E$5:E266,E266,$B$5:B266,B266,$I$5:I266,I266))</f>
        <v/>
      </c>
    </row>
    <row r="267">
      <c r="B267" s="2" t="n"/>
      <c r="I267" s="4" t="n"/>
      <c r="J267" s="4" t="n"/>
      <c r="K267" s="14" t="n"/>
      <c r="N267" s="3" t="n"/>
      <c r="O267" s="3" t="n"/>
      <c r="P267" s="3" t="n"/>
      <c r="T267">
        <f>IF(E267="","",E267*100000+COUNTIFS(tblRegistros[ID],E267,tblRegistros[Data],"&lt;"&amp;B267)+COUNTIFS(tblRegistros[ID],E267,tblRegistros[Data],B267,tblRegistros[Início],"&lt;"&amp;I267)+COUNTIFS($E$5:E267,E267,$B$5:B267,B267,$I$5:I267,I267))</f>
        <v/>
      </c>
    </row>
    <row r="268">
      <c r="B268" s="2" t="n"/>
      <c r="I268" s="4" t="n"/>
      <c r="J268" s="4" t="n"/>
      <c r="K268" s="14" t="n"/>
      <c r="N268" s="3" t="n"/>
      <c r="O268" s="3" t="n"/>
      <c r="P268" s="3" t="n"/>
      <c r="T268">
        <f>IF(E268="","",E268*100000+COUNTIFS(tblRegistros[ID],E268,tblRegistros[Data],"&lt;"&amp;B268)+COUNTIFS(tblRegistros[ID],E268,tblRegistros[Data],B268,tblRegistros[Início],"&lt;"&amp;I268)+COUNTIFS($E$5:E268,E268,$B$5:B268,B268,$I$5:I268,I268))</f>
        <v/>
      </c>
    </row>
    <row r="269">
      <c r="B269" s="2" t="n"/>
      <c r="I269" s="4" t="n"/>
      <c r="J269" s="4" t="n"/>
      <c r="K269" s="14" t="n"/>
      <c r="N269" s="3" t="n"/>
      <c r="O269" s="3" t="n"/>
      <c r="P269" s="3" t="n"/>
      <c r="T269">
        <f>IF(E269="","",E269*100000+COUNTIFS(tblRegistros[ID],E269,tblRegistros[Data],"&lt;"&amp;B269)+COUNTIFS(tblRegistros[ID],E269,tblRegistros[Data],B269,tblRegistros[Início],"&lt;"&amp;I269)+COUNTIFS($E$5:E269,E269,$B$5:B269,B269,$I$5:I269,I269))</f>
        <v/>
      </c>
    </row>
    <row r="270">
      <c r="B270" s="2" t="n"/>
      <c r="I270" s="4" t="n"/>
      <c r="J270" s="4" t="n"/>
      <c r="K270" s="14" t="n"/>
      <c r="N270" s="3" t="n"/>
      <c r="O270" s="3" t="n"/>
      <c r="P270" s="3" t="n"/>
      <c r="T270">
        <f>IF(E270="","",E270*100000+COUNTIFS(tblRegistros[ID],E270,tblRegistros[Data],"&lt;"&amp;B270)+COUNTIFS(tblRegistros[ID],E270,tblRegistros[Data],B270,tblRegistros[Início],"&lt;"&amp;I270)+COUNTIFS($E$5:E270,E270,$B$5:B270,B270,$I$5:I270,I270))</f>
        <v/>
      </c>
    </row>
    <row r="271">
      <c r="B271" s="2" t="n"/>
      <c r="I271" s="4" t="n"/>
      <c r="J271" s="4" t="n"/>
      <c r="K271" s="14" t="n"/>
      <c r="N271" s="3" t="n"/>
      <c r="O271" s="3" t="n"/>
      <c r="P271" s="3" t="n"/>
      <c r="T271">
        <f>IF(E271="","",E271*100000+COUNTIFS(tblRegistros[ID],E271,tblRegistros[Data],"&lt;"&amp;B271)+COUNTIFS(tblRegistros[ID],E271,tblRegistros[Data],B271,tblRegistros[Início],"&lt;"&amp;I271)+COUNTIFS($E$5:E271,E271,$B$5:B271,B271,$I$5:I271,I271))</f>
        <v/>
      </c>
    </row>
    <row r="272">
      <c r="B272" s="2" t="n"/>
      <c r="I272" s="4" t="n"/>
      <c r="J272" s="4" t="n"/>
      <c r="K272" s="14" t="n"/>
      <c r="N272" s="3" t="n"/>
      <c r="O272" s="3" t="n"/>
      <c r="P272" s="3" t="n"/>
      <c r="T272">
        <f>IF(E272="","",E272*100000+COUNTIFS(tblRegistros[ID],E272,tblRegistros[Data],"&lt;"&amp;B272)+COUNTIFS(tblRegistros[ID],E272,tblRegistros[Data],B272,tblRegistros[Início],"&lt;"&amp;I272)+COUNTIFS($E$5:E272,E272,$B$5:B272,B272,$I$5:I272,I272))</f>
        <v/>
      </c>
    </row>
    <row r="273">
      <c r="B273" s="2" t="n"/>
      <c r="I273" s="4" t="n"/>
      <c r="J273" s="4" t="n"/>
      <c r="K273" s="14" t="n"/>
      <c r="N273" s="3" t="n"/>
      <c r="O273" s="3" t="n"/>
      <c r="P273" s="3" t="n"/>
      <c r="T273">
        <f>IF(E273="","",E273*100000+COUNTIFS(tblRegistros[ID],E273,tblRegistros[Data],"&lt;"&amp;B273)+COUNTIFS(tblRegistros[ID],E273,tblRegistros[Data],B273,tblRegistros[Início],"&lt;"&amp;I273)+COUNTIFS($E$5:E273,E273,$B$5:B273,B273,$I$5:I273,I273))</f>
        <v/>
      </c>
    </row>
    <row r="274">
      <c r="B274" s="2" t="n"/>
      <c r="I274" s="4" t="n"/>
      <c r="J274" s="4" t="n"/>
      <c r="K274" s="14" t="n"/>
      <c r="N274" s="3" t="n"/>
      <c r="O274" s="3" t="n"/>
      <c r="P274" s="3" t="n"/>
      <c r="T274">
        <f>IF(E274="","",E274*100000+COUNTIFS(tblRegistros[ID],E274,tblRegistros[Data],"&lt;"&amp;B274)+COUNTIFS(tblRegistros[ID],E274,tblRegistros[Data],B274,tblRegistros[Início],"&lt;"&amp;I274)+COUNTIFS($E$5:E274,E274,$B$5:B274,B274,$I$5:I274,I274))</f>
        <v/>
      </c>
    </row>
    <row r="275">
      <c r="B275" s="2" t="n"/>
      <c r="I275" s="4" t="n"/>
      <c r="J275" s="4" t="n"/>
      <c r="K275" s="14" t="n"/>
      <c r="N275" s="3" t="n"/>
      <c r="O275" s="3" t="n"/>
      <c r="P275" s="3" t="n"/>
      <c r="T275">
        <f>IF(E275="","",E275*100000+COUNTIFS(tblRegistros[ID],E275,tblRegistros[Data],"&lt;"&amp;B275)+COUNTIFS(tblRegistros[ID],E275,tblRegistros[Data],B275,tblRegistros[Início],"&lt;"&amp;I275)+COUNTIFS($E$5:E275,E275,$B$5:B275,B275,$I$5:I275,I275))</f>
        <v/>
      </c>
    </row>
    <row r="276">
      <c r="B276" s="2" t="n"/>
      <c r="I276" s="4" t="n"/>
      <c r="J276" s="4" t="n"/>
      <c r="K276" s="14" t="n"/>
      <c r="N276" s="3" t="n"/>
      <c r="O276" s="3" t="n"/>
      <c r="P276" s="3" t="n"/>
      <c r="T276">
        <f>IF(E276="","",E276*100000+COUNTIFS(tblRegistros[ID],E276,tblRegistros[Data],"&lt;"&amp;B276)+COUNTIFS(tblRegistros[ID],E276,tblRegistros[Data],B276,tblRegistros[Início],"&lt;"&amp;I276)+COUNTIFS($E$5:E276,E276,$B$5:B276,B276,$I$5:I276,I276))</f>
        <v/>
      </c>
    </row>
    <row r="277">
      <c r="B277" s="2" t="n"/>
      <c r="I277" s="4" t="n"/>
      <c r="J277" s="4" t="n"/>
      <c r="K277" s="14" t="n"/>
      <c r="N277" s="3" t="n"/>
      <c r="O277" s="3" t="n"/>
      <c r="P277" s="3" t="n"/>
      <c r="T277">
        <f>IF(E277="","",E277*100000+COUNTIFS(tblRegistros[ID],E277,tblRegistros[Data],"&lt;"&amp;B277)+COUNTIFS(tblRegistros[ID],E277,tblRegistros[Data],B277,tblRegistros[Início],"&lt;"&amp;I277)+COUNTIFS($E$5:E277,E277,$B$5:B277,B277,$I$5:I277,I277))</f>
        <v/>
      </c>
    </row>
    <row r="278">
      <c r="B278" s="2" t="n"/>
      <c r="I278" s="4" t="n"/>
      <c r="J278" s="4" t="n"/>
      <c r="K278" s="14" t="n"/>
      <c r="N278" s="3" t="n"/>
      <c r="O278" s="3" t="n"/>
      <c r="P278" s="3" t="n"/>
      <c r="T278">
        <f>IF(E278="","",E278*100000+COUNTIFS(tblRegistros[ID],E278,tblRegistros[Data],"&lt;"&amp;B278)+COUNTIFS(tblRegistros[ID],E278,tblRegistros[Data],B278,tblRegistros[Início],"&lt;"&amp;I278)+COUNTIFS($E$5:E278,E278,$B$5:B278,B278,$I$5:I278,I278))</f>
        <v/>
      </c>
    </row>
    <row r="279">
      <c r="B279" s="2" t="n"/>
      <c r="I279" s="4" t="n"/>
      <c r="J279" s="4" t="n"/>
      <c r="K279" s="14" t="n"/>
      <c r="N279" s="3" t="n"/>
      <c r="O279" s="3" t="n"/>
      <c r="P279" s="3" t="n"/>
      <c r="T279">
        <f>IF(E279="","",E279*100000+COUNTIFS(tblRegistros[ID],E279,tblRegistros[Data],"&lt;"&amp;B279)+COUNTIFS(tblRegistros[ID],E279,tblRegistros[Data],B279,tblRegistros[Início],"&lt;"&amp;I279)+COUNTIFS($E$5:E279,E279,$B$5:B279,B279,$I$5:I279,I279))</f>
        <v/>
      </c>
    </row>
    <row r="280">
      <c r="B280" s="2" t="n"/>
      <c r="I280" s="4" t="n"/>
      <c r="J280" s="4" t="n"/>
      <c r="K280" s="14" t="n"/>
      <c r="N280" s="3" t="n"/>
      <c r="O280" s="3" t="n"/>
      <c r="P280" s="3" t="n"/>
      <c r="T280">
        <f>IF(E280="","",E280*100000+COUNTIFS(tblRegistros[ID],E280,tblRegistros[Data],"&lt;"&amp;B280)+COUNTIFS(tblRegistros[ID],E280,tblRegistros[Data],B280,tblRegistros[Início],"&lt;"&amp;I280)+COUNTIFS($E$5:E280,E280,$B$5:B280,B280,$I$5:I280,I280))</f>
        <v/>
      </c>
    </row>
    <row r="281">
      <c r="B281" s="2" t="n"/>
      <c r="I281" s="4" t="n"/>
      <c r="J281" s="4" t="n"/>
      <c r="K281" s="14" t="n"/>
      <c r="N281" s="3" t="n"/>
      <c r="O281" s="3" t="n"/>
      <c r="P281" s="3" t="n"/>
      <c r="T281">
        <f>IF(E281="","",E281*100000+COUNTIFS(tblRegistros[ID],E281,tblRegistros[Data],"&lt;"&amp;B281)+COUNTIFS(tblRegistros[ID],E281,tblRegistros[Data],B281,tblRegistros[Início],"&lt;"&amp;I281)+COUNTIFS($E$5:E281,E281,$B$5:B281,B281,$I$5:I281,I281))</f>
        <v/>
      </c>
    </row>
    <row r="282">
      <c r="B282" s="2" t="n"/>
      <c r="I282" s="4" t="n"/>
      <c r="J282" s="4" t="n"/>
      <c r="K282" s="14" t="n"/>
      <c r="N282" s="3" t="n"/>
      <c r="O282" s="3" t="n"/>
      <c r="P282" s="3" t="n"/>
      <c r="T282">
        <f>IF(E282="","",E282*100000+COUNTIFS(tblRegistros[ID],E282,tblRegistros[Data],"&lt;"&amp;B282)+COUNTIFS(tblRegistros[ID],E282,tblRegistros[Data],B282,tblRegistros[Início],"&lt;"&amp;I282)+COUNTIFS($E$5:E282,E282,$B$5:B282,B282,$I$5:I282,I282))</f>
        <v/>
      </c>
    </row>
    <row r="283">
      <c r="B283" s="2" t="n"/>
      <c r="I283" s="4" t="n"/>
      <c r="J283" s="4" t="n"/>
      <c r="K283" s="14" t="n"/>
      <c r="N283" s="3" t="n"/>
      <c r="O283" s="3" t="n"/>
      <c r="P283" s="3" t="n"/>
      <c r="T283">
        <f>IF(E283="","",E283*100000+COUNTIFS(tblRegistros[ID],E283,tblRegistros[Data],"&lt;"&amp;B283)+COUNTIFS(tblRegistros[ID],E283,tblRegistros[Data],B283,tblRegistros[Início],"&lt;"&amp;I283)+COUNTIFS($E$5:E283,E283,$B$5:B283,B283,$I$5:I283,I283))</f>
        <v/>
      </c>
    </row>
    <row r="284">
      <c r="B284" s="2" t="n"/>
      <c r="I284" s="4" t="n"/>
      <c r="J284" s="4" t="n"/>
      <c r="K284" s="14" t="n"/>
      <c r="N284" s="3" t="n"/>
      <c r="O284" s="3" t="n"/>
      <c r="P284" s="3" t="n"/>
      <c r="T284">
        <f>IF(E284="","",E284*100000+COUNTIFS(tblRegistros[ID],E284,tblRegistros[Data],"&lt;"&amp;B284)+COUNTIFS(tblRegistros[ID],E284,tblRegistros[Data],B284,tblRegistros[Início],"&lt;"&amp;I284)+COUNTIFS($E$5:E284,E284,$B$5:B284,B284,$I$5:I284,I284))</f>
        <v/>
      </c>
    </row>
    <row r="285">
      <c r="B285" s="2" t="n"/>
      <c r="I285" s="4" t="n"/>
      <c r="J285" s="4" t="n"/>
      <c r="K285" s="14" t="n"/>
      <c r="N285" s="3" t="n"/>
      <c r="O285" s="3" t="n"/>
      <c r="P285" s="3" t="n"/>
      <c r="T285">
        <f>IF(E285="","",E285*100000+COUNTIFS(tblRegistros[ID],E285,tblRegistros[Data],"&lt;"&amp;B285)+COUNTIFS(tblRegistros[ID],E285,tblRegistros[Data],B285,tblRegistros[Início],"&lt;"&amp;I285)+COUNTIFS($E$5:E285,E285,$B$5:B285,B285,$I$5:I285,I285))</f>
        <v/>
      </c>
    </row>
    <row r="286">
      <c r="B286" s="2" t="n"/>
      <c r="I286" s="4" t="n"/>
      <c r="J286" s="4" t="n"/>
      <c r="K286" s="14" t="n"/>
      <c r="N286" s="3" t="n"/>
      <c r="O286" s="3" t="n"/>
      <c r="P286" s="3" t="n"/>
      <c r="T286">
        <f>IF(E286="","",E286*100000+COUNTIFS(tblRegistros[ID],E286,tblRegistros[Data],"&lt;"&amp;B286)+COUNTIFS(tblRegistros[ID],E286,tblRegistros[Data],B286,tblRegistros[Início],"&lt;"&amp;I286)+COUNTIFS($E$5:E286,E286,$B$5:B286,B286,$I$5:I286,I286))</f>
        <v/>
      </c>
    </row>
    <row r="287">
      <c r="B287" s="2" t="n"/>
      <c r="I287" s="4" t="n"/>
      <c r="J287" s="4" t="n"/>
      <c r="K287" s="14" t="n"/>
      <c r="N287" s="3" t="n"/>
      <c r="O287" s="3" t="n"/>
      <c r="P287" s="3" t="n"/>
      <c r="T287">
        <f>IF(E287="","",E287*100000+COUNTIFS(tblRegistros[ID],E287,tblRegistros[Data],"&lt;"&amp;B287)+COUNTIFS(tblRegistros[ID],E287,tblRegistros[Data],B287,tblRegistros[Início],"&lt;"&amp;I287)+COUNTIFS($E$5:E287,E287,$B$5:B287,B287,$I$5:I287,I287))</f>
        <v/>
      </c>
    </row>
    <row r="288">
      <c r="B288" s="2" t="n"/>
      <c r="I288" s="4" t="n"/>
      <c r="J288" s="4" t="n"/>
      <c r="K288" s="14" t="n"/>
      <c r="N288" s="3" t="n"/>
      <c r="O288" s="3" t="n"/>
      <c r="P288" s="3" t="n"/>
      <c r="T288">
        <f>IF(E288="","",E288*100000+COUNTIFS(tblRegistros[ID],E288,tblRegistros[Data],"&lt;"&amp;B288)+COUNTIFS(tblRegistros[ID],E288,tblRegistros[Data],B288,tblRegistros[Início],"&lt;"&amp;I288)+COUNTIFS($E$5:E288,E288,$B$5:B288,B288,$I$5:I288,I288))</f>
        <v/>
      </c>
    </row>
    <row r="289">
      <c r="B289" s="2" t="n"/>
      <c r="I289" s="4" t="n"/>
      <c r="J289" s="4" t="n"/>
      <c r="K289" s="14" t="n"/>
      <c r="N289" s="3" t="n"/>
      <c r="O289" s="3" t="n"/>
      <c r="P289" s="3" t="n"/>
      <c r="T289">
        <f>IF(E289="","",E289*100000+COUNTIFS(tblRegistros[ID],E289,tblRegistros[Data],"&lt;"&amp;B289)+COUNTIFS(tblRegistros[ID],E289,tblRegistros[Data],B289,tblRegistros[Início],"&lt;"&amp;I289)+COUNTIFS($E$5:E289,E289,$B$5:B289,B289,$I$5:I289,I289))</f>
        <v/>
      </c>
    </row>
    <row r="290">
      <c r="B290" s="2" t="n"/>
      <c r="I290" s="4" t="n"/>
      <c r="J290" s="4" t="n"/>
      <c r="K290" s="14" t="n"/>
      <c r="N290" s="3" t="n"/>
      <c r="O290" s="3" t="n"/>
      <c r="P290" s="3" t="n"/>
      <c r="T290">
        <f>IF(E290="","",E290*100000+COUNTIFS(tblRegistros[ID],E290,tblRegistros[Data],"&lt;"&amp;B290)+COUNTIFS(tblRegistros[ID],E290,tblRegistros[Data],B290,tblRegistros[Início],"&lt;"&amp;I290)+COUNTIFS($E$5:E290,E290,$B$5:B290,B290,$I$5:I290,I290))</f>
        <v/>
      </c>
    </row>
    <row r="291">
      <c r="B291" s="2" t="n"/>
      <c r="I291" s="4" t="n"/>
      <c r="J291" s="4" t="n"/>
      <c r="K291" s="14" t="n"/>
      <c r="N291" s="3" t="n"/>
      <c r="O291" s="3" t="n"/>
      <c r="P291" s="3" t="n"/>
      <c r="T291">
        <f>IF(E291="","",E291*100000+COUNTIFS(tblRegistros[ID],E291,tblRegistros[Data],"&lt;"&amp;B291)+COUNTIFS(tblRegistros[ID],E291,tblRegistros[Data],B291,tblRegistros[Início],"&lt;"&amp;I291)+COUNTIFS($E$5:E291,E291,$B$5:B291,B291,$I$5:I291,I291))</f>
        <v/>
      </c>
    </row>
    <row r="292">
      <c r="B292" s="2" t="n"/>
      <c r="I292" s="4" t="n"/>
      <c r="J292" s="4" t="n"/>
      <c r="K292" s="14" t="n"/>
      <c r="N292" s="3" t="n"/>
      <c r="O292" s="3" t="n"/>
      <c r="P292" s="3" t="n"/>
      <c r="T292">
        <f>IF(E292="","",E292*100000+COUNTIFS(tblRegistros[ID],E292,tblRegistros[Data],"&lt;"&amp;B292)+COUNTIFS(tblRegistros[ID],E292,tblRegistros[Data],B292,tblRegistros[Início],"&lt;"&amp;I292)+COUNTIFS($E$5:E292,E292,$B$5:B292,B292,$I$5:I292,I292))</f>
        <v/>
      </c>
    </row>
    <row r="293">
      <c r="B293" s="2" t="n"/>
      <c r="I293" s="4" t="n"/>
      <c r="J293" s="4" t="n"/>
      <c r="K293" s="14" t="n"/>
      <c r="N293" s="3" t="n"/>
      <c r="O293" s="3" t="n"/>
      <c r="P293" s="3" t="n"/>
      <c r="T293">
        <f>IF(E293="","",E293*100000+COUNTIFS(tblRegistros[ID],E293,tblRegistros[Data],"&lt;"&amp;B293)+COUNTIFS(tblRegistros[ID],E293,tblRegistros[Data],B293,tblRegistros[Início],"&lt;"&amp;I293)+COUNTIFS($E$5:E293,E293,$B$5:B293,B293,$I$5:I293,I293))</f>
        <v/>
      </c>
    </row>
    <row r="294">
      <c r="B294" s="2" t="n"/>
      <c r="I294" s="4" t="n"/>
      <c r="J294" s="4" t="n"/>
      <c r="K294" s="14" t="n"/>
      <c r="N294" s="3" t="n"/>
      <c r="O294" s="3" t="n"/>
      <c r="P294" s="3" t="n"/>
      <c r="T294">
        <f>IF(E294="","",E294*100000+COUNTIFS(tblRegistros[ID],E294,tblRegistros[Data],"&lt;"&amp;B294)+COUNTIFS(tblRegistros[ID],E294,tblRegistros[Data],B294,tblRegistros[Início],"&lt;"&amp;I294)+COUNTIFS($E$5:E294,E294,$B$5:B294,B294,$I$5:I294,I294))</f>
        <v/>
      </c>
    </row>
    <row r="295">
      <c r="B295" s="2" t="n"/>
      <c r="I295" s="4" t="n"/>
      <c r="J295" s="4" t="n"/>
      <c r="K295" s="14" t="n"/>
      <c r="N295" s="3" t="n"/>
      <c r="O295" s="3" t="n"/>
      <c r="P295" s="3" t="n"/>
      <c r="T295">
        <f>IF(E295="","",E295*100000+COUNTIFS(tblRegistros[ID],E295,tblRegistros[Data],"&lt;"&amp;B295)+COUNTIFS(tblRegistros[ID],E295,tblRegistros[Data],B295,tblRegistros[Início],"&lt;"&amp;I295)+COUNTIFS($E$5:E295,E295,$B$5:B295,B295,$I$5:I295,I295))</f>
        <v/>
      </c>
    </row>
    <row r="296">
      <c r="B296" s="2" t="n"/>
      <c r="I296" s="4" t="n"/>
      <c r="J296" s="4" t="n"/>
      <c r="K296" s="14" t="n"/>
      <c r="N296" s="3" t="n"/>
      <c r="O296" s="3" t="n"/>
      <c r="P296" s="3" t="n"/>
      <c r="T296">
        <f>IF(E296="","",E296*100000+COUNTIFS(tblRegistros[ID],E296,tblRegistros[Data],"&lt;"&amp;B296)+COUNTIFS(tblRegistros[ID],E296,tblRegistros[Data],B296,tblRegistros[Início],"&lt;"&amp;I296)+COUNTIFS($E$5:E296,E296,$B$5:B296,B296,$I$5:I296,I296))</f>
        <v/>
      </c>
    </row>
    <row r="297">
      <c r="B297" s="2" t="n"/>
      <c r="I297" s="4" t="n"/>
      <c r="J297" s="4" t="n"/>
      <c r="K297" s="14" t="n"/>
      <c r="N297" s="3" t="n"/>
      <c r="O297" s="3" t="n"/>
      <c r="P297" s="3" t="n"/>
      <c r="T297">
        <f>IF(E297="","",E297*100000+COUNTIFS(tblRegistros[ID],E297,tblRegistros[Data],"&lt;"&amp;B297)+COUNTIFS(tblRegistros[ID],E297,tblRegistros[Data],B297,tblRegistros[Início],"&lt;"&amp;I297)+COUNTIFS($E$5:E297,E297,$B$5:B297,B297,$I$5:I297,I297))</f>
        <v/>
      </c>
    </row>
    <row r="298">
      <c r="B298" s="2" t="n"/>
      <c r="I298" s="4" t="n"/>
      <c r="J298" s="4" t="n"/>
      <c r="K298" s="14" t="n"/>
      <c r="N298" s="3" t="n"/>
      <c r="O298" s="3" t="n"/>
      <c r="P298" s="3" t="n"/>
      <c r="T298">
        <f>IF(E298="","",E298*100000+COUNTIFS(tblRegistros[ID],E298,tblRegistros[Data],"&lt;"&amp;B298)+COUNTIFS(tblRegistros[ID],E298,tblRegistros[Data],B298,tblRegistros[Início],"&lt;"&amp;I298)+COUNTIFS($E$5:E298,E298,$B$5:B298,B298,$I$5:I298,I298))</f>
        <v/>
      </c>
    </row>
    <row r="299">
      <c r="B299" s="2" t="n"/>
      <c r="I299" s="4" t="n"/>
      <c r="J299" s="4" t="n"/>
      <c r="K299" s="14" t="n"/>
      <c r="N299" s="3" t="n"/>
      <c r="O299" s="3" t="n"/>
      <c r="P299" s="3" t="n"/>
      <c r="T299">
        <f>IF(E299="","",E299*100000+COUNTIFS(tblRegistros[ID],E299,tblRegistros[Data],"&lt;"&amp;B299)+COUNTIFS(tblRegistros[ID],E299,tblRegistros[Data],B299,tblRegistros[Início],"&lt;"&amp;I299)+COUNTIFS($E$5:E299,E299,$B$5:B299,B299,$I$5:I299,I299))</f>
        <v/>
      </c>
    </row>
    <row r="300">
      <c r="B300" s="2" t="n"/>
      <c r="I300" s="4" t="n"/>
      <c r="J300" s="4" t="n"/>
      <c r="K300" s="14" t="n"/>
      <c r="N300" s="3" t="n"/>
      <c r="O300" s="3" t="n"/>
      <c r="P300" s="3" t="n"/>
      <c r="T300">
        <f>IF(E300="","",E300*100000+COUNTIFS(tblRegistros[ID],E300,tblRegistros[Data],"&lt;"&amp;B300)+COUNTIFS(tblRegistros[ID],E300,tblRegistros[Data],B300,tblRegistros[Início],"&lt;"&amp;I300)+COUNTIFS($E$5:E300,E300,$B$5:B300,B300,$I$5:I300,I300))</f>
        <v/>
      </c>
    </row>
    <row r="301">
      <c r="B301" s="2" t="n"/>
      <c r="I301" s="4" t="n"/>
      <c r="J301" s="4" t="n"/>
      <c r="K301" s="14" t="n"/>
      <c r="N301" s="3" t="n"/>
      <c r="O301" s="3" t="n"/>
      <c r="P301" s="3" t="n"/>
      <c r="T301">
        <f>IF(E301="","",E301*100000+COUNTIFS(tblRegistros[ID],E301,tblRegistros[Data],"&lt;"&amp;B301)+COUNTIFS(tblRegistros[ID],E301,tblRegistros[Data],B301,tblRegistros[Início],"&lt;"&amp;I301)+COUNTIFS($E$5:E301,E301,$B$5:B301,B301,$I$5:I301,I301))</f>
        <v/>
      </c>
    </row>
    <row r="302">
      <c r="B302" s="2" t="n"/>
      <c r="I302" s="4" t="n"/>
      <c r="J302" s="4" t="n"/>
      <c r="K302" s="14" t="n"/>
      <c r="N302" s="3" t="n"/>
      <c r="O302" s="3" t="n"/>
      <c r="P302" s="3" t="n"/>
      <c r="T302">
        <f>IF(E302="","",E302*100000+COUNTIFS(tblRegistros[ID],E302,tblRegistros[Data],"&lt;"&amp;B302)+COUNTIFS(tblRegistros[ID],E302,tblRegistros[Data],B302,tblRegistros[Início],"&lt;"&amp;I302)+COUNTIFS($E$5:E302,E302,$B$5:B302,B302,$I$5:I302,I302))</f>
        <v/>
      </c>
    </row>
    <row r="303">
      <c r="B303" s="2" t="n"/>
      <c r="I303" s="4" t="n"/>
      <c r="J303" s="4" t="n"/>
      <c r="K303" s="14" t="n"/>
      <c r="N303" s="3" t="n"/>
      <c r="O303" s="3" t="n"/>
      <c r="P303" s="3" t="n"/>
      <c r="T303">
        <f>IF(E303="","",E303*100000+COUNTIFS(tblRegistros[ID],E303,tblRegistros[Data],"&lt;"&amp;B303)+COUNTIFS(tblRegistros[ID],E303,tblRegistros[Data],B303,tblRegistros[Início],"&lt;"&amp;I303)+COUNTIFS($E$5:E303,E303,$B$5:B303,B303,$I$5:I303,I303))</f>
        <v/>
      </c>
    </row>
    <row r="304">
      <c r="B304" s="2" t="n"/>
      <c r="I304" s="4" t="n"/>
      <c r="J304" s="4" t="n"/>
      <c r="K304" s="14" t="n"/>
      <c r="N304" s="3" t="n"/>
      <c r="O304" s="3" t="n"/>
      <c r="P304" s="3" t="n"/>
      <c r="T304">
        <f>IF(E304="","",E304*100000+COUNTIFS(tblRegistros[ID],E304,tblRegistros[Data],"&lt;"&amp;B304)+COUNTIFS(tblRegistros[ID],E304,tblRegistros[Data],B304,tblRegistros[Início],"&lt;"&amp;I304)+COUNTIFS($E$5:E304,E304,$B$5:B304,B304,$I$5:I304,I304))</f>
        <v/>
      </c>
    </row>
    <row r="305">
      <c r="B305" s="2" t="n"/>
      <c r="I305" s="4" t="n"/>
      <c r="J305" s="4" t="n"/>
      <c r="K305" s="14" t="n"/>
      <c r="N305" s="3" t="n"/>
      <c r="O305" s="3" t="n"/>
      <c r="P305" s="3" t="n"/>
      <c r="T305">
        <f>IF(E305="","",E305*100000+COUNTIFS(tblRegistros[ID],E305,tblRegistros[Data],"&lt;"&amp;B305)+COUNTIFS(tblRegistros[ID],E305,tblRegistros[Data],B305,tblRegistros[Início],"&lt;"&amp;I305)+COUNTIFS($E$5:E305,E305,$B$5:B305,B305,$I$5:I305,I305))</f>
        <v/>
      </c>
    </row>
    <row r="306">
      <c r="B306" s="2" t="n"/>
      <c r="I306" s="4" t="n"/>
      <c r="J306" s="4" t="n"/>
      <c r="K306" s="14" t="n"/>
      <c r="N306" s="3" t="n"/>
      <c r="O306" s="3" t="n"/>
      <c r="P306" s="3" t="n"/>
      <c r="T306">
        <f>IF(E306="","",E306*100000+COUNTIFS(tblRegistros[ID],E306,tblRegistros[Data],"&lt;"&amp;B306)+COUNTIFS(tblRegistros[ID],E306,tblRegistros[Data],B306,tblRegistros[Início],"&lt;"&amp;I306)+COUNTIFS($E$5:E306,E306,$B$5:B306,B306,$I$5:I306,I306))</f>
        <v/>
      </c>
    </row>
    <row r="307">
      <c r="B307" s="2" t="n"/>
      <c r="I307" s="4" t="n"/>
      <c r="J307" s="4" t="n"/>
      <c r="K307" s="14" t="n"/>
      <c r="N307" s="3" t="n"/>
      <c r="O307" s="3" t="n"/>
      <c r="P307" s="3" t="n"/>
      <c r="T307">
        <f>IF(E307="","",E307*100000+COUNTIFS(tblRegistros[ID],E307,tblRegistros[Data],"&lt;"&amp;B307)+COUNTIFS(tblRegistros[ID],E307,tblRegistros[Data],B307,tblRegistros[Início],"&lt;"&amp;I307)+COUNTIFS($E$5:E307,E307,$B$5:B307,B307,$I$5:I307,I307))</f>
        <v/>
      </c>
    </row>
    <row r="308">
      <c r="B308" s="2" t="n"/>
      <c r="I308" s="4" t="n"/>
      <c r="J308" s="4" t="n"/>
      <c r="K308" s="14" t="n"/>
      <c r="N308" s="3" t="n"/>
      <c r="O308" s="3" t="n"/>
      <c r="P308" s="3" t="n"/>
      <c r="T308">
        <f>IF(E308="","",E308*100000+COUNTIFS(tblRegistros[ID],E308,tblRegistros[Data],"&lt;"&amp;B308)+COUNTIFS(tblRegistros[ID],E308,tblRegistros[Data],B308,tblRegistros[Início],"&lt;"&amp;I308)+COUNTIFS($E$5:E308,E308,$B$5:B308,B308,$I$5:I308,I308))</f>
        <v/>
      </c>
    </row>
    <row r="309">
      <c r="B309" s="2" t="n"/>
      <c r="I309" s="4" t="n"/>
      <c r="J309" s="4" t="n"/>
      <c r="K309" s="14" t="n"/>
      <c r="N309" s="3" t="n"/>
      <c r="O309" s="3" t="n"/>
      <c r="P309" s="3" t="n"/>
      <c r="T309">
        <f>IF(E309="","",E309*100000+COUNTIFS(tblRegistros[ID],E309,tblRegistros[Data],"&lt;"&amp;B309)+COUNTIFS(tblRegistros[ID],E309,tblRegistros[Data],B309,tblRegistros[Início],"&lt;"&amp;I309)+COUNTIFS($E$5:E309,E309,$B$5:B309,B309,$I$5:I309,I309))</f>
        <v/>
      </c>
    </row>
    <row r="310">
      <c r="B310" s="2" t="n"/>
      <c r="I310" s="4" t="n"/>
      <c r="J310" s="4" t="n"/>
      <c r="K310" s="14" t="n"/>
      <c r="N310" s="3" t="n"/>
      <c r="O310" s="3" t="n"/>
      <c r="P310" s="3" t="n"/>
      <c r="T310">
        <f>IF(E310="","",E310*100000+COUNTIFS(tblRegistros[ID],E310,tblRegistros[Data],"&lt;"&amp;B310)+COUNTIFS(tblRegistros[ID],E310,tblRegistros[Data],B310,tblRegistros[Início],"&lt;"&amp;I310)+COUNTIFS($E$5:E310,E310,$B$5:B310,B310,$I$5:I310,I310))</f>
        <v/>
      </c>
    </row>
    <row r="311">
      <c r="B311" s="2" t="n"/>
      <c r="I311" s="4" t="n"/>
      <c r="J311" s="4" t="n"/>
      <c r="K311" s="14" t="n"/>
      <c r="N311" s="3" t="n"/>
      <c r="O311" s="3" t="n"/>
      <c r="P311" s="3" t="n"/>
      <c r="T311">
        <f>IF(E311="","",E311*100000+COUNTIFS(tblRegistros[ID],E311,tblRegistros[Data],"&lt;"&amp;B311)+COUNTIFS(tblRegistros[ID],E311,tblRegistros[Data],B311,tblRegistros[Início],"&lt;"&amp;I311)+COUNTIFS($E$5:E311,E311,$B$5:B311,B311,$I$5:I311,I311))</f>
        <v/>
      </c>
    </row>
    <row r="312">
      <c r="B312" s="2" t="n"/>
      <c r="I312" s="4" t="n"/>
      <c r="J312" s="4" t="n"/>
      <c r="K312" s="14" t="n"/>
      <c r="N312" s="3" t="n"/>
      <c r="O312" s="3" t="n"/>
      <c r="P312" s="3" t="n"/>
      <c r="T312">
        <f>IF(E312="","",E312*100000+COUNTIFS(tblRegistros[ID],E312,tblRegistros[Data],"&lt;"&amp;B312)+COUNTIFS(tblRegistros[ID],E312,tblRegistros[Data],B312,tblRegistros[Início],"&lt;"&amp;I312)+COUNTIFS($E$5:E312,E312,$B$5:B312,B312,$I$5:I312,I312))</f>
        <v/>
      </c>
    </row>
    <row r="313">
      <c r="B313" s="2" t="n"/>
      <c r="I313" s="4" t="n"/>
      <c r="J313" s="4" t="n"/>
      <c r="K313" s="14" t="n"/>
      <c r="N313" s="3" t="n"/>
      <c r="O313" s="3" t="n"/>
      <c r="P313" s="3" t="n"/>
      <c r="T313">
        <f>IF(E313="","",E313*100000+COUNTIFS(tblRegistros[ID],E313,tblRegistros[Data],"&lt;"&amp;B313)+COUNTIFS(tblRegistros[ID],E313,tblRegistros[Data],B313,tblRegistros[Início],"&lt;"&amp;I313)+COUNTIFS($E$5:E313,E313,$B$5:B313,B313,$I$5:I313,I313))</f>
        <v/>
      </c>
    </row>
    <row r="314">
      <c r="B314" s="2" t="n"/>
      <c r="I314" s="4" t="n"/>
      <c r="J314" s="4" t="n"/>
      <c r="K314" s="14" t="n"/>
      <c r="N314" s="3" t="n"/>
      <c r="O314" s="3" t="n"/>
      <c r="P314" s="3" t="n"/>
      <c r="T314">
        <f>IF(E314="","",E314*100000+COUNTIFS(tblRegistros[ID],E314,tblRegistros[Data],"&lt;"&amp;B314)+COUNTIFS(tblRegistros[ID],E314,tblRegistros[Data],B314,tblRegistros[Início],"&lt;"&amp;I314)+COUNTIFS($E$5:E314,E314,$B$5:B314,B314,$I$5:I314,I314))</f>
        <v/>
      </c>
    </row>
    <row r="315">
      <c r="B315" s="2" t="n"/>
      <c r="I315" s="4" t="n"/>
      <c r="J315" s="4" t="n"/>
      <c r="K315" s="14" t="n"/>
      <c r="N315" s="3" t="n"/>
      <c r="O315" s="3" t="n"/>
      <c r="P315" s="3" t="n"/>
      <c r="T315">
        <f>IF(E315="","",E315*100000+COUNTIFS(tblRegistros[ID],E315,tblRegistros[Data],"&lt;"&amp;B315)+COUNTIFS(tblRegistros[ID],E315,tblRegistros[Data],B315,tblRegistros[Início],"&lt;"&amp;I315)+COUNTIFS($E$5:E315,E315,$B$5:B315,B315,$I$5:I315,I315))</f>
        <v/>
      </c>
    </row>
    <row r="316">
      <c r="B316" s="2" t="n"/>
      <c r="I316" s="4" t="n"/>
      <c r="J316" s="4" t="n"/>
      <c r="K316" s="14" t="n"/>
      <c r="N316" s="3" t="n"/>
      <c r="O316" s="3" t="n"/>
      <c r="P316" s="3" t="n"/>
      <c r="T316">
        <f>IF(E316="","",E316*100000+COUNTIFS(tblRegistros[ID],E316,tblRegistros[Data],"&lt;"&amp;B316)+COUNTIFS(tblRegistros[ID],E316,tblRegistros[Data],B316,tblRegistros[Início],"&lt;"&amp;I316)+COUNTIFS($E$5:E316,E316,$B$5:B316,B316,$I$5:I316,I316))</f>
        <v/>
      </c>
    </row>
    <row r="317">
      <c r="B317" s="2" t="n"/>
      <c r="I317" s="4" t="n"/>
      <c r="J317" s="4" t="n"/>
      <c r="K317" s="14" t="n"/>
      <c r="N317" s="3" t="n"/>
      <c r="O317" s="3" t="n"/>
      <c r="P317" s="3" t="n"/>
      <c r="T317">
        <f>IF(E317="","",E317*100000+COUNTIFS(tblRegistros[ID],E317,tblRegistros[Data],"&lt;"&amp;B317)+COUNTIFS(tblRegistros[ID],E317,tblRegistros[Data],B317,tblRegistros[Início],"&lt;"&amp;I317)+COUNTIFS($E$5:E317,E317,$B$5:B317,B317,$I$5:I317,I317))</f>
        <v/>
      </c>
    </row>
    <row r="318">
      <c r="B318" s="2" t="n"/>
      <c r="I318" s="4" t="n"/>
      <c r="J318" s="4" t="n"/>
      <c r="K318" s="14" t="n"/>
      <c r="N318" s="3" t="n"/>
      <c r="O318" s="3" t="n"/>
      <c r="P318" s="3" t="n"/>
      <c r="T318">
        <f>IF(E318="","",E318*100000+COUNTIFS(tblRegistros[ID],E318,tblRegistros[Data],"&lt;"&amp;B318)+COUNTIFS(tblRegistros[ID],E318,tblRegistros[Data],B318,tblRegistros[Início],"&lt;"&amp;I318)+COUNTIFS($E$5:E318,E318,$B$5:B318,B318,$I$5:I318,I318))</f>
        <v/>
      </c>
    </row>
    <row r="319">
      <c r="B319" s="2" t="n"/>
      <c r="I319" s="4" t="n"/>
      <c r="J319" s="4" t="n"/>
      <c r="K319" s="14" t="n"/>
      <c r="N319" s="3" t="n"/>
      <c r="O319" s="3" t="n"/>
      <c r="P319" s="3" t="n"/>
      <c r="T319">
        <f>IF(E319="","",E319*100000+COUNTIFS(tblRegistros[ID],E319,tblRegistros[Data],"&lt;"&amp;B319)+COUNTIFS(tblRegistros[ID],E319,tblRegistros[Data],B319,tblRegistros[Início],"&lt;"&amp;I319)+COUNTIFS($E$5:E319,E319,$B$5:B319,B319,$I$5:I319,I319))</f>
        <v/>
      </c>
    </row>
    <row r="320">
      <c r="B320" s="2" t="n"/>
      <c r="I320" s="4" t="n"/>
      <c r="J320" s="4" t="n"/>
      <c r="K320" s="14" t="n"/>
      <c r="N320" s="3" t="n"/>
      <c r="O320" s="3" t="n"/>
      <c r="P320" s="3" t="n"/>
      <c r="T320">
        <f>IF(E320="","",E320*100000+COUNTIFS(tblRegistros[ID],E320,tblRegistros[Data],"&lt;"&amp;B320)+COUNTIFS(tblRegistros[ID],E320,tblRegistros[Data],B320,tblRegistros[Início],"&lt;"&amp;I320)+COUNTIFS($E$5:E320,E320,$B$5:B320,B320,$I$5:I320,I320))</f>
        <v/>
      </c>
    </row>
    <row r="321">
      <c r="B321" s="2" t="n"/>
      <c r="I321" s="4" t="n"/>
      <c r="J321" s="4" t="n"/>
      <c r="K321" s="14" t="n"/>
      <c r="N321" s="3" t="n"/>
      <c r="O321" s="3" t="n"/>
      <c r="P321" s="3" t="n"/>
      <c r="T321">
        <f>IF(E321="","",E321*100000+COUNTIFS(tblRegistros[ID],E321,tblRegistros[Data],"&lt;"&amp;B321)+COUNTIFS(tblRegistros[ID],E321,tblRegistros[Data],B321,tblRegistros[Início],"&lt;"&amp;I321)+COUNTIFS($E$5:E321,E321,$B$5:B321,B321,$I$5:I321,I321))</f>
        <v/>
      </c>
    </row>
    <row r="322">
      <c r="B322" s="2" t="n"/>
      <c r="I322" s="4" t="n"/>
      <c r="J322" s="4" t="n"/>
      <c r="K322" s="14" t="n"/>
      <c r="N322" s="3" t="n"/>
      <c r="O322" s="3" t="n"/>
      <c r="P322" s="3" t="n"/>
      <c r="T322">
        <f>IF(E322="","",E322*100000+COUNTIFS(tblRegistros[ID],E322,tblRegistros[Data],"&lt;"&amp;B322)+COUNTIFS(tblRegistros[ID],E322,tblRegistros[Data],B322,tblRegistros[Início],"&lt;"&amp;I322)+COUNTIFS($E$5:E322,E322,$B$5:B322,B322,$I$5:I322,I322))</f>
        <v/>
      </c>
    </row>
    <row r="323">
      <c r="B323" s="2" t="n"/>
      <c r="I323" s="4" t="n"/>
      <c r="J323" s="4" t="n"/>
      <c r="K323" s="14" t="n"/>
      <c r="N323" s="3" t="n"/>
      <c r="O323" s="3" t="n"/>
      <c r="P323" s="3" t="n"/>
      <c r="T323">
        <f>IF(E323="","",E323*100000+COUNTIFS(tblRegistros[ID],E323,tblRegistros[Data],"&lt;"&amp;B323)+COUNTIFS(tblRegistros[ID],E323,tblRegistros[Data],B323,tblRegistros[Início],"&lt;"&amp;I323)+COUNTIFS($E$5:E323,E323,$B$5:B323,B323,$I$5:I323,I323))</f>
        <v/>
      </c>
    </row>
    <row r="324">
      <c r="B324" s="2" t="n"/>
      <c r="I324" s="4" t="n"/>
      <c r="J324" s="4" t="n"/>
      <c r="K324" s="14" t="n"/>
      <c r="N324" s="3" t="n"/>
      <c r="O324" s="3" t="n"/>
      <c r="P324" s="3" t="n"/>
      <c r="T324">
        <f>IF(E324="","",E324*100000+COUNTIFS(tblRegistros[ID],E324,tblRegistros[Data],"&lt;"&amp;B324)+COUNTIFS(tblRegistros[ID],E324,tblRegistros[Data],B324,tblRegistros[Início],"&lt;"&amp;I324)+COUNTIFS($E$5:E324,E324,$B$5:B324,B324,$I$5:I324,I324))</f>
        <v/>
      </c>
    </row>
    <row r="325">
      <c r="B325" s="2" t="n"/>
      <c r="I325" s="4" t="n"/>
      <c r="J325" s="4" t="n"/>
      <c r="K325" s="14" t="n"/>
      <c r="N325" s="3" t="n"/>
      <c r="O325" s="3" t="n"/>
      <c r="P325" s="3" t="n"/>
      <c r="T325">
        <f>IF(E325="","",E325*100000+COUNTIFS(tblRegistros[ID],E325,tblRegistros[Data],"&lt;"&amp;B325)+COUNTIFS(tblRegistros[ID],E325,tblRegistros[Data],B325,tblRegistros[Início],"&lt;"&amp;I325)+COUNTIFS($E$5:E325,E325,$B$5:B325,B325,$I$5:I325,I325))</f>
        <v/>
      </c>
    </row>
    <row r="326">
      <c r="B326" s="2" t="n"/>
      <c r="I326" s="4" t="n"/>
      <c r="J326" s="4" t="n"/>
      <c r="K326" s="14" t="n"/>
      <c r="N326" s="3" t="n"/>
      <c r="O326" s="3" t="n"/>
      <c r="P326" s="3" t="n"/>
      <c r="T326">
        <f>IF(E326="","",E326*100000+COUNTIFS(tblRegistros[ID],E326,tblRegistros[Data],"&lt;"&amp;B326)+COUNTIFS(tblRegistros[ID],E326,tblRegistros[Data],B326,tblRegistros[Início],"&lt;"&amp;I326)+COUNTIFS($E$5:E326,E326,$B$5:B326,B326,$I$5:I326,I326))</f>
        <v/>
      </c>
    </row>
    <row r="327">
      <c r="B327" s="2" t="n"/>
      <c r="I327" s="4" t="n"/>
      <c r="J327" s="4" t="n"/>
      <c r="K327" s="14" t="n"/>
      <c r="N327" s="3" t="n"/>
      <c r="O327" s="3" t="n"/>
      <c r="P327" s="3" t="n"/>
      <c r="T327">
        <f>IF(E327="","",E327*100000+COUNTIFS(tblRegistros[ID],E327,tblRegistros[Data],"&lt;"&amp;B327)+COUNTIFS(tblRegistros[ID],E327,tblRegistros[Data],B327,tblRegistros[Início],"&lt;"&amp;I327)+COUNTIFS($E$5:E327,E327,$B$5:B327,B327,$I$5:I327,I327))</f>
        <v/>
      </c>
    </row>
    <row r="328">
      <c r="B328" s="2" t="n"/>
      <c r="I328" s="4" t="n"/>
      <c r="J328" s="4" t="n"/>
      <c r="K328" s="14" t="n"/>
      <c r="N328" s="3" t="n"/>
      <c r="O328" s="3" t="n"/>
      <c r="P328" s="3" t="n"/>
      <c r="T328">
        <f>IF(E328="","",E328*100000+COUNTIFS(tblRegistros[ID],E328,tblRegistros[Data],"&lt;"&amp;B328)+COUNTIFS(tblRegistros[ID],E328,tblRegistros[Data],B328,tblRegistros[Início],"&lt;"&amp;I328)+COUNTIFS($E$5:E328,E328,$B$5:B328,B328,$I$5:I328,I328))</f>
        <v/>
      </c>
    </row>
    <row r="329">
      <c r="B329" s="2" t="n"/>
      <c r="I329" s="4" t="n"/>
      <c r="J329" s="4" t="n"/>
      <c r="K329" s="14" t="n"/>
      <c r="N329" s="3" t="n"/>
      <c r="O329" s="3" t="n"/>
      <c r="P329" s="3" t="n"/>
      <c r="T329">
        <f>IF(E329="","",E329*100000+COUNTIFS(tblRegistros[ID],E329,tblRegistros[Data],"&lt;"&amp;B329)+COUNTIFS(tblRegistros[ID],E329,tblRegistros[Data],B329,tblRegistros[Início],"&lt;"&amp;I329)+COUNTIFS($E$5:E329,E329,$B$5:B329,B329,$I$5:I329,I329))</f>
        <v/>
      </c>
    </row>
    <row r="330">
      <c r="B330" s="2" t="n"/>
      <c r="I330" s="4" t="n"/>
      <c r="J330" s="4" t="n"/>
      <c r="K330" s="14" t="n"/>
      <c r="N330" s="3" t="n"/>
      <c r="O330" s="3" t="n"/>
      <c r="P330" s="3" t="n"/>
      <c r="T330">
        <f>IF(E330="","",E330*100000+COUNTIFS(tblRegistros[ID],E330,tblRegistros[Data],"&lt;"&amp;B330)+COUNTIFS(tblRegistros[ID],E330,tblRegistros[Data],B330,tblRegistros[Início],"&lt;"&amp;I330)+COUNTIFS($E$5:E330,E330,$B$5:B330,B330,$I$5:I330,I330))</f>
        <v/>
      </c>
    </row>
    <row r="331">
      <c r="B331" s="2" t="n"/>
      <c r="I331" s="4" t="n"/>
      <c r="J331" s="4" t="n"/>
      <c r="K331" s="14" t="n"/>
      <c r="N331" s="3" t="n"/>
      <c r="O331" s="3" t="n"/>
      <c r="P331" s="3" t="n"/>
      <c r="T331">
        <f>IF(E331="","",E331*100000+COUNTIFS(tblRegistros[ID],E331,tblRegistros[Data],"&lt;"&amp;B331)+COUNTIFS(tblRegistros[ID],E331,tblRegistros[Data],B331,tblRegistros[Início],"&lt;"&amp;I331)+COUNTIFS($E$5:E331,E331,$B$5:B331,B331,$I$5:I331,I331))</f>
        <v/>
      </c>
    </row>
    <row r="332">
      <c r="B332" s="2" t="n"/>
      <c r="I332" s="4" t="n"/>
      <c r="J332" s="4" t="n"/>
      <c r="K332" s="14" t="n"/>
      <c r="N332" s="3" t="n"/>
      <c r="O332" s="3" t="n"/>
      <c r="P332" s="3" t="n"/>
      <c r="T332">
        <f>IF(E332="","",E332*100000+COUNTIFS(tblRegistros[ID],E332,tblRegistros[Data],"&lt;"&amp;B332)+COUNTIFS(tblRegistros[ID],E332,tblRegistros[Data],B332,tblRegistros[Início],"&lt;"&amp;I332)+COUNTIFS($E$5:E332,E332,$B$5:B332,B332,$I$5:I332,I332))</f>
        <v/>
      </c>
    </row>
    <row r="333">
      <c r="B333" s="2" t="n"/>
      <c r="I333" s="4" t="n"/>
      <c r="J333" s="4" t="n"/>
      <c r="K333" s="14" t="n"/>
      <c r="N333" s="3" t="n"/>
      <c r="O333" s="3" t="n"/>
      <c r="P333" s="3" t="n"/>
      <c r="T333">
        <f>IF(E333="","",E333*100000+COUNTIFS(tblRegistros[ID],E333,tblRegistros[Data],"&lt;"&amp;B333)+COUNTIFS(tblRegistros[ID],E333,tblRegistros[Data],B333,tblRegistros[Início],"&lt;"&amp;I333)+COUNTIFS($E$5:E333,E333,$B$5:B333,B333,$I$5:I333,I333))</f>
        <v/>
      </c>
    </row>
    <row r="334">
      <c r="B334" s="2" t="n"/>
      <c r="I334" s="4" t="n"/>
      <c r="J334" s="4" t="n"/>
      <c r="K334" s="14" t="n"/>
      <c r="N334" s="3" t="n"/>
      <c r="O334" s="3" t="n"/>
      <c r="P334" s="3" t="n"/>
      <c r="T334">
        <f>IF(E334="","",E334*100000+COUNTIFS(tblRegistros[ID],E334,tblRegistros[Data],"&lt;"&amp;B334)+COUNTIFS(tblRegistros[ID],E334,tblRegistros[Data],B334,tblRegistros[Início],"&lt;"&amp;I334)+COUNTIFS($E$5:E334,E334,$B$5:B334,B334,$I$5:I334,I334))</f>
        <v/>
      </c>
    </row>
    <row r="335">
      <c r="B335" s="2" t="n"/>
      <c r="I335" s="4" t="n"/>
      <c r="J335" s="4" t="n"/>
      <c r="K335" s="14" t="n"/>
      <c r="N335" s="3" t="n"/>
      <c r="O335" s="3" t="n"/>
      <c r="P335" s="3" t="n"/>
      <c r="T335">
        <f>IF(E335="","",E335*100000+COUNTIFS(tblRegistros[ID],E335,tblRegistros[Data],"&lt;"&amp;B335)+COUNTIFS(tblRegistros[ID],E335,tblRegistros[Data],B335,tblRegistros[Início],"&lt;"&amp;I335)+COUNTIFS($E$5:E335,E335,$B$5:B335,B335,$I$5:I335,I335))</f>
        <v/>
      </c>
    </row>
    <row r="336">
      <c r="B336" s="2" t="n"/>
      <c r="I336" s="4" t="n"/>
      <c r="J336" s="4" t="n"/>
      <c r="K336" s="14" t="n"/>
      <c r="N336" s="3" t="n"/>
      <c r="O336" s="3" t="n"/>
      <c r="P336" s="3" t="n"/>
      <c r="T336">
        <f>IF(E336="","",E336*100000+COUNTIFS(tblRegistros[ID],E336,tblRegistros[Data],"&lt;"&amp;B336)+COUNTIFS(tblRegistros[ID],E336,tblRegistros[Data],B336,tblRegistros[Início],"&lt;"&amp;I336)+COUNTIFS($E$5:E336,E336,$B$5:B336,B336,$I$5:I336,I336))</f>
        <v/>
      </c>
    </row>
    <row r="337">
      <c r="B337" s="2" t="n"/>
      <c r="I337" s="4" t="n"/>
      <c r="J337" s="4" t="n"/>
      <c r="K337" s="14" t="n"/>
      <c r="N337" s="3" t="n"/>
      <c r="O337" s="3" t="n"/>
      <c r="P337" s="3" t="n"/>
      <c r="T337">
        <f>IF(E337="","",E337*100000+COUNTIFS(tblRegistros[ID],E337,tblRegistros[Data],"&lt;"&amp;B337)+COUNTIFS(tblRegistros[ID],E337,tblRegistros[Data],B337,tblRegistros[Início],"&lt;"&amp;I337)+COUNTIFS($E$5:E337,E337,$B$5:B337,B337,$I$5:I337,I337))</f>
        <v/>
      </c>
    </row>
    <row r="338">
      <c r="B338" s="2" t="n"/>
      <c r="I338" s="4" t="n"/>
      <c r="J338" s="4" t="n"/>
      <c r="K338" s="14" t="n"/>
      <c r="N338" s="3" t="n"/>
      <c r="O338" s="3" t="n"/>
      <c r="P338" s="3" t="n"/>
      <c r="T338">
        <f>IF(E338="","",E338*100000+COUNTIFS(tblRegistros[ID],E338,tblRegistros[Data],"&lt;"&amp;B338)+COUNTIFS(tblRegistros[ID],E338,tblRegistros[Data],B338,tblRegistros[Início],"&lt;"&amp;I338)+COUNTIFS($E$5:E338,E338,$B$5:B338,B338,$I$5:I338,I338))</f>
        <v/>
      </c>
    </row>
    <row r="339">
      <c r="B339" s="2" t="n"/>
      <c r="I339" s="4" t="n"/>
      <c r="J339" s="4" t="n"/>
      <c r="K339" s="14" t="n"/>
      <c r="N339" s="3" t="n"/>
      <c r="O339" s="3" t="n"/>
      <c r="P339" s="3" t="n"/>
      <c r="T339">
        <f>IF(E339="","",E339*100000+COUNTIFS(tblRegistros[ID],E339,tblRegistros[Data],"&lt;"&amp;B339)+COUNTIFS(tblRegistros[ID],E339,tblRegistros[Data],B339,tblRegistros[Início],"&lt;"&amp;I339)+COUNTIFS($E$5:E339,E339,$B$5:B339,B339,$I$5:I339,I339))</f>
        <v/>
      </c>
    </row>
    <row r="340">
      <c r="B340" s="2" t="n"/>
      <c r="I340" s="4" t="n"/>
      <c r="J340" s="4" t="n"/>
      <c r="K340" s="14" t="n"/>
      <c r="N340" s="3" t="n"/>
      <c r="O340" s="3" t="n"/>
      <c r="P340" s="3" t="n"/>
      <c r="T340">
        <f>IF(E340="","",E340*100000+COUNTIFS(tblRegistros[ID],E340,tblRegistros[Data],"&lt;"&amp;B340)+COUNTIFS(tblRegistros[ID],E340,tblRegistros[Data],B340,tblRegistros[Início],"&lt;"&amp;I340)+COUNTIFS($E$5:E340,E340,$B$5:B340,B340,$I$5:I340,I340))</f>
        <v/>
      </c>
    </row>
    <row r="341">
      <c r="B341" s="2" t="n"/>
      <c r="I341" s="4" t="n"/>
      <c r="J341" s="4" t="n"/>
      <c r="K341" s="14" t="n"/>
      <c r="N341" s="3" t="n"/>
      <c r="O341" s="3" t="n"/>
      <c r="P341" s="3" t="n"/>
      <c r="T341">
        <f>IF(E341="","",E341*100000+COUNTIFS(tblRegistros[ID],E341,tblRegistros[Data],"&lt;"&amp;B341)+COUNTIFS(tblRegistros[ID],E341,tblRegistros[Data],B341,tblRegistros[Início],"&lt;"&amp;I341)+COUNTIFS($E$5:E341,E341,$B$5:B341,B341,$I$5:I341,I341))</f>
        <v/>
      </c>
    </row>
    <row r="342">
      <c r="B342" s="2" t="n"/>
      <c r="I342" s="4" t="n"/>
      <c r="J342" s="4" t="n"/>
      <c r="K342" s="14" t="n"/>
      <c r="N342" s="3" t="n"/>
      <c r="O342" s="3" t="n"/>
      <c r="P342" s="3" t="n"/>
      <c r="T342">
        <f>IF(E342="","",E342*100000+COUNTIFS(tblRegistros[ID],E342,tblRegistros[Data],"&lt;"&amp;B342)+COUNTIFS(tblRegistros[ID],E342,tblRegistros[Data],B342,tblRegistros[Início],"&lt;"&amp;I342)+COUNTIFS($E$5:E342,E342,$B$5:B342,B342,$I$5:I342,I342))</f>
        <v/>
      </c>
    </row>
    <row r="343">
      <c r="B343" s="2" t="n"/>
      <c r="I343" s="4" t="n"/>
      <c r="J343" s="4" t="n"/>
      <c r="K343" s="14" t="n"/>
      <c r="N343" s="3" t="n"/>
      <c r="O343" s="3" t="n"/>
      <c r="P343" s="3" t="n"/>
      <c r="T343">
        <f>IF(E343="","",E343*100000+COUNTIFS(tblRegistros[ID],E343,tblRegistros[Data],"&lt;"&amp;B343)+COUNTIFS(tblRegistros[ID],E343,tblRegistros[Data],B343,tblRegistros[Início],"&lt;"&amp;I343)+COUNTIFS($E$5:E343,E343,$B$5:B343,B343,$I$5:I343,I343))</f>
        <v/>
      </c>
    </row>
    <row r="344">
      <c r="B344" s="2" t="n"/>
      <c r="I344" s="4" t="n"/>
      <c r="J344" s="4" t="n"/>
      <c r="K344" s="14" t="n"/>
      <c r="N344" s="3" t="n"/>
      <c r="O344" s="3" t="n"/>
      <c r="P344" s="3" t="n"/>
      <c r="T344">
        <f>IF(E344="","",E344*100000+COUNTIFS(tblRegistros[ID],E344,tblRegistros[Data],"&lt;"&amp;B344)+COUNTIFS(tblRegistros[ID],E344,tblRegistros[Data],B344,tblRegistros[Início],"&lt;"&amp;I344)+COUNTIFS($E$5:E344,E344,$B$5:B344,B344,$I$5:I344,I344))</f>
        <v/>
      </c>
    </row>
    <row r="345">
      <c r="B345" s="2" t="n"/>
      <c r="I345" s="4" t="n"/>
      <c r="J345" s="4" t="n"/>
      <c r="K345" s="14" t="n"/>
      <c r="N345" s="3" t="n"/>
      <c r="O345" s="3" t="n"/>
      <c r="P345" s="3" t="n"/>
      <c r="T345">
        <f>IF(E345="","",E345*100000+COUNTIFS(tblRegistros[ID],E345,tblRegistros[Data],"&lt;"&amp;B345)+COUNTIFS(tblRegistros[ID],E345,tblRegistros[Data],B345,tblRegistros[Início],"&lt;"&amp;I345)+COUNTIFS($E$5:E345,E345,$B$5:B345,B345,$I$5:I345,I345))</f>
        <v/>
      </c>
    </row>
    <row r="346">
      <c r="B346" s="2" t="n"/>
      <c r="I346" s="4" t="n"/>
      <c r="J346" s="4" t="n"/>
      <c r="K346" s="14" t="n"/>
      <c r="N346" s="3" t="n"/>
      <c r="O346" s="3" t="n"/>
      <c r="P346" s="3" t="n"/>
      <c r="T346">
        <f>IF(E346="","",E346*100000+COUNTIFS(tblRegistros[ID],E346,tblRegistros[Data],"&lt;"&amp;B346)+COUNTIFS(tblRegistros[ID],E346,tblRegistros[Data],B346,tblRegistros[Início],"&lt;"&amp;I346)+COUNTIFS($E$5:E346,E346,$B$5:B346,B346,$I$5:I346,I346))</f>
        <v/>
      </c>
    </row>
    <row r="347">
      <c r="B347" s="2" t="n"/>
      <c r="I347" s="4" t="n"/>
      <c r="J347" s="4" t="n"/>
      <c r="K347" s="14" t="n"/>
      <c r="N347" s="3" t="n"/>
      <c r="O347" s="3" t="n"/>
      <c r="P347" s="3" t="n"/>
      <c r="T347">
        <f>IF(E347="","",E347*100000+COUNTIFS(tblRegistros[ID],E347,tblRegistros[Data],"&lt;"&amp;B347)+COUNTIFS(tblRegistros[ID],E347,tblRegistros[Data],B347,tblRegistros[Início],"&lt;"&amp;I347)+COUNTIFS($E$5:E347,E347,$B$5:B347,B347,$I$5:I347,I347))</f>
        <v/>
      </c>
    </row>
    <row r="348">
      <c r="B348" s="2" t="n"/>
      <c r="I348" s="4" t="n"/>
      <c r="J348" s="4" t="n"/>
      <c r="K348" s="14" t="n"/>
      <c r="N348" s="3" t="n"/>
      <c r="O348" s="3" t="n"/>
      <c r="P348" s="3" t="n"/>
      <c r="T348">
        <f>IF(E348="","",E348*100000+COUNTIFS(tblRegistros[ID],E348,tblRegistros[Data],"&lt;"&amp;B348)+COUNTIFS(tblRegistros[ID],E348,tblRegistros[Data],B348,tblRegistros[Início],"&lt;"&amp;I348)+COUNTIFS($E$5:E348,E348,$B$5:B348,B348,$I$5:I348,I348))</f>
        <v/>
      </c>
    </row>
    <row r="349">
      <c r="B349" s="2" t="n"/>
      <c r="I349" s="4" t="n"/>
      <c r="J349" s="4" t="n"/>
      <c r="K349" s="14" t="n"/>
      <c r="N349" s="3" t="n"/>
      <c r="O349" s="3" t="n"/>
      <c r="P349" s="3" t="n"/>
      <c r="T349">
        <f>IF(E349="","",E349*100000+COUNTIFS(tblRegistros[ID],E349,tblRegistros[Data],"&lt;"&amp;B349)+COUNTIFS(tblRegistros[ID],E349,tblRegistros[Data],B349,tblRegistros[Início],"&lt;"&amp;I349)+COUNTIFS($E$5:E349,E349,$B$5:B349,B349,$I$5:I349,I349))</f>
        <v/>
      </c>
    </row>
    <row r="350">
      <c r="B350" s="2" t="n"/>
      <c r="I350" s="4" t="n"/>
      <c r="J350" s="4" t="n"/>
      <c r="K350" s="14" t="n"/>
      <c r="N350" s="3" t="n"/>
      <c r="O350" s="3" t="n"/>
      <c r="P350" s="3" t="n"/>
      <c r="T350">
        <f>IF(E350="","",E350*100000+COUNTIFS(tblRegistros[ID],E350,tblRegistros[Data],"&lt;"&amp;B350)+COUNTIFS(tblRegistros[ID],E350,tblRegistros[Data],B350,tblRegistros[Início],"&lt;"&amp;I350)+COUNTIFS($E$5:E350,E350,$B$5:B350,B350,$I$5:I350,I350))</f>
        <v/>
      </c>
    </row>
    <row r="351">
      <c r="B351" s="2" t="n"/>
      <c r="I351" s="4" t="n"/>
      <c r="J351" s="4" t="n"/>
      <c r="K351" s="14" t="n"/>
      <c r="N351" s="3" t="n"/>
      <c r="O351" s="3" t="n"/>
      <c r="P351" s="3" t="n"/>
      <c r="T351">
        <f>IF(E351="","",E351*100000+COUNTIFS(tblRegistros[ID],E351,tblRegistros[Data],"&lt;"&amp;B351)+COUNTIFS(tblRegistros[ID],E351,tblRegistros[Data],B351,tblRegistros[Início],"&lt;"&amp;I351)+COUNTIFS($E$5:E351,E351,$B$5:B351,B351,$I$5:I351,I351))</f>
        <v/>
      </c>
    </row>
    <row r="352">
      <c r="B352" s="2" t="n"/>
      <c r="I352" s="4" t="n"/>
      <c r="J352" s="4" t="n"/>
      <c r="K352" s="14" t="n"/>
      <c r="N352" s="3" t="n"/>
      <c r="O352" s="3" t="n"/>
      <c r="P352" s="3" t="n"/>
      <c r="T352">
        <f>IF(E352="","",E352*100000+COUNTIFS(tblRegistros[ID],E352,tblRegistros[Data],"&lt;"&amp;B352)+COUNTIFS(tblRegistros[ID],E352,tblRegistros[Data],B352,tblRegistros[Início],"&lt;"&amp;I352)+COUNTIFS($E$5:E352,E352,$B$5:B352,B352,$I$5:I352,I352))</f>
        <v/>
      </c>
    </row>
    <row r="353">
      <c r="B353" s="2" t="n"/>
      <c r="I353" s="4" t="n"/>
      <c r="J353" s="4" t="n"/>
      <c r="K353" s="14" t="n"/>
      <c r="N353" s="3" t="n"/>
      <c r="O353" s="3" t="n"/>
      <c r="P353" s="3" t="n"/>
      <c r="T353">
        <f>IF(E353="","",E353*100000+COUNTIFS(tblRegistros[ID],E353,tblRegistros[Data],"&lt;"&amp;B353)+COUNTIFS(tblRegistros[ID],E353,tblRegistros[Data],B353,tblRegistros[Início],"&lt;"&amp;I353)+COUNTIFS($E$5:E353,E353,$B$5:B353,B353,$I$5:I353,I353))</f>
        <v/>
      </c>
    </row>
    <row r="354">
      <c r="B354" s="2" t="n"/>
      <c r="I354" s="4" t="n"/>
      <c r="J354" s="4" t="n"/>
      <c r="K354" s="14" t="n"/>
      <c r="N354" s="3" t="n"/>
      <c r="O354" s="3" t="n"/>
      <c r="P354" s="3" t="n"/>
      <c r="T354">
        <f>IF(E354="","",E354*100000+COUNTIFS(tblRegistros[ID],E354,tblRegistros[Data],"&lt;"&amp;B354)+COUNTIFS(tblRegistros[ID],E354,tblRegistros[Data],B354,tblRegistros[Início],"&lt;"&amp;I354)+COUNTIFS($E$5:E354,E354,$B$5:B354,B354,$I$5:I354,I354))</f>
        <v/>
      </c>
    </row>
    <row r="355">
      <c r="B355" s="2" t="n"/>
      <c r="I355" s="4" t="n"/>
      <c r="J355" s="4" t="n"/>
      <c r="K355" s="14" t="n"/>
      <c r="N355" s="3" t="n"/>
      <c r="O355" s="3" t="n"/>
      <c r="P355" s="3" t="n"/>
      <c r="T355">
        <f>IF(E355="","",E355*100000+COUNTIFS(tblRegistros[ID],E355,tblRegistros[Data],"&lt;"&amp;B355)+COUNTIFS(tblRegistros[ID],E355,tblRegistros[Data],B355,tblRegistros[Início],"&lt;"&amp;I355)+COUNTIFS($E$5:E355,E355,$B$5:B355,B355,$I$5:I355,I355))</f>
        <v/>
      </c>
    </row>
    <row r="356">
      <c r="B356" s="2" t="n"/>
      <c r="I356" s="4" t="n"/>
      <c r="J356" s="4" t="n"/>
      <c r="K356" s="14" t="n"/>
      <c r="N356" s="3" t="n"/>
      <c r="O356" s="3" t="n"/>
      <c r="P356" s="3" t="n"/>
      <c r="T356">
        <f>IF(E356="","",E356*100000+COUNTIFS(tblRegistros[ID],E356,tblRegistros[Data],"&lt;"&amp;B356)+COUNTIFS(tblRegistros[ID],E356,tblRegistros[Data],B356,tblRegistros[Início],"&lt;"&amp;I356)+COUNTIFS($E$5:E356,E356,$B$5:B356,B356,$I$5:I356,I356))</f>
        <v/>
      </c>
    </row>
    <row r="357">
      <c r="B357" s="2" t="n"/>
      <c r="I357" s="4" t="n"/>
      <c r="J357" s="4" t="n"/>
      <c r="K357" s="14" t="n"/>
      <c r="N357" s="3" t="n"/>
      <c r="O357" s="3" t="n"/>
      <c r="P357" s="3" t="n"/>
      <c r="T357">
        <f>IF(E357="","",E357*100000+COUNTIFS(tblRegistros[ID],E357,tblRegistros[Data],"&lt;"&amp;B357)+COUNTIFS(tblRegistros[ID],E357,tblRegistros[Data],B357,tblRegistros[Início],"&lt;"&amp;I357)+COUNTIFS($E$5:E357,E357,$B$5:B357,B357,$I$5:I357,I357))</f>
        <v/>
      </c>
    </row>
    <row r="358">
      <c r="B358" s="2" t="n"/>
      <c r="I358" s="4" t="n"/>
      <c r="J358" s="4" t="n"/>
      <c r="K358" s="14" t="n"/>
      <c r="N358" s="3" t="n"/>
      <c r="O358" s="3" t="n"/>
      <c r="P358" s="3" t="n"/>
      <c r="T358">
        <f>IF(E358="","",E358*100000+COUNTIFS(tblRegistros[ID],E358,tblRegistros[Data],"&lt;"&amp;B358)+COUNTIFS(tblRegistros[ID],E358,tblRegistros[Data],B358,tblRegistros[Início],"&lt;"&amp;I358)+COUNTIFS($E$5:E358,E358,$B$5:B358,B358,$I$5:I358,I358))</f>
        <v/>
      </c>
    </row>
    <row r="359">
      <c r="B359" s="2" t="n"/>
      <c r="I359" s="4" t="n"/>
      <c r="J359" s="4" t="n"/>
      <c r="K359" s="14" t="n"/>
      <c r="N359" s="3" t="n"/>
      <c r="O359" s="3" t="n"/>
      <c r="P359" s="3" t="n"/>
      <c r="T359">
        <f>IF(E359="","",E359*100000+COUNTIFS(tblRegistros[ID],E359,tblRegistros[Data],"&lt;"&amp;B359)+COUNTIFS(tblRegistros[ID],E359,tblRegistros[Data],B359,tblRegistros[Início],"&lt;"&amp;I359)+COUNTIFS($E$5:E359,E359,$B$5:B359,B359,$I$5:I359,I359))</f>
        <v/>
      </c>
    </row>
    <row r="360">
      <c r="B360" s="2" t="n"/>
      <c r="I360" s="4" t="n"/>
      <c r="J360" s="4" t="n"/>
      <c r="K360" s="14" t="n"/>
      <c r="N360" s="3" t="n"/>
      <c r="O360" s="3" t="n"/>
      <c r="P360" s="3" t="n"/>
      <c r="T360">
        <f>IF(E360="","",E360*100000+COUNTIFS(tblRegistros[ID],E360,tblRegistros[Data],"&lt;"&amp;B360)+COUNTIFS(tblRegistros[ID],E360,tblRegistros[Data],B360,tblRegistros[Início],"&lt;"&amp;I360)+COUNTIFS($E$5:E360,E360,$B$5:B360,B360,$I$5:I360,I360))</f>
        <v/>
      </c>
    </row>
    <row r="361">
      <c r="B361" s="2" t="n"/>
      <c r="I361" s="4" t="n"/>
      <c r="J361" s="4" t="n"/>
      <c r="K361" s="14" t="n"/>
      <c r="N361" s="3" t="n"/>
      <c r="O361" s="3" t="n"/>
      <c r="P361" s="3" t="n"/>
      <c r="T361">
        <f>IF(E361="","",E361*100000+COUNTIFS(tblRegistros[ID],E361,tblRegistros[Data],"&lt;"&amp;B361)+COUNTIFS(tblRegistros[ID],E361,tblRegistros[Data],B361,tblRegistros[Início],"&lt;"&amp;I361)+COUNTIFS($E$5:E361,E361,$B$5:B361,B361,$I$5:I361,I361))</f>
        <v/>
      </c>
    </row>
    <row r="362">
      <c r="B362" s="2" t="n"/>
      <c r="I362" s="4" t="n"/>
      <c r="J362" s="4" t="n"/>
      <c r="K362" s="14" t="n"/>
      <c r="N362" s="3" t="n"/>
      <c r="O362" s="3" t="n"/>
      <c r="P362" s="3" t="n"/>
      <c r="T362">
        <f>IF(E362="","",E362*100000+COUNTIFS(tblRegistros[ID],E362,tblRegistros[Data],"&lt;"&amp;B362)+COUNTIFS(tblRegistros[ID],E362,tblRegistros[Data],B362,tblRegistros[Início],"&lt;"&amp;I362)+COUNTIFS($E$5:E362,E362,$B$5:B362,B362,$I$5:I362,I362))</f>
        <v/>
      </c>
    </row>
    <row r="363">
      <c r="B363" s="2" t="n"/>
      <c r="I363" s="4" t="n"/>
      <c r="J363" s="4" t="n"/>
      <c r="K363" s="14" t="n"/>
      <c r="N363" s="3" t="n"/>
      <c r="O363" s="3" t="n"/>
      <c r="P363" s="3" t="n"/>
      <c r="T363">
        <f>IF(E363="","",E363*100000+COUNTIFS(tblRegistros[ID],E363,tblRegistros[Data],"&lt;"&amp;B363)+COUNTIFS(tblRegistros[ID],E363,tblRegistros[Data],B363,tblRegistros[Início],"&lt;"&amp;I363)+COUNTIFS($E$5:E363,E363,$B$5:B363,B363,$I$5:I363,I363))</f>
        <v/>
      </c>
    </row>
    <row r="364">
      <c r="B364" s="2" t="n"/>
      <c r="I364" s="4" t="n"/>
      <c r="J364" s="4" t="n"/>
      <c r="K364" s="14" t="n"/>
      <c r="N364" s="3" t="n"/>
      <c r="O364" s="3" t="n"/>
      <c r="P364" s="3" t="n"/>
      <c r="T364">
        <f>IF(E364="","",E364*100000+COUNTIFS(tblRegistros[ID],E364,tblRegistros[Data],"&lt;"&amp;B364)+COUNTIFS(tblRegistros[ID],E364,tblRegistros[Data],B364,tblRegistros[Início],"&lt;"&amp;I364)+COUNTIFS($E$5:E364,E364,$B$5:B364,B364,$I$5:I364,I364))</f>
        <v/>
      </c>
    </row>
    <row r="365">
      <c r="B365" s="2" t="n"/>
      <c r="I365" s="4" t="n"/>
      <c r="J365" s="4" t="n"/>
      <c r="K365" s="14" t="n"/>
      <c r="N365" s="3" t="n"/>
      <c r="O365" s="3" t="n"/>
      <c r="P365" s="3" t="n"/>
      <c r="T365">
        <f>IF(E365="","",E365*100000+COUNTIFS(tblRegistros[ID],E365,tblRegistros[Data],"&lt;"&amp;B365)+COUNTIFS(tblRegistros[ID],E365,tblRegistros[Data],B365,tblRegistros[Início],"&lt;"&amp;I365)+COUNTIFS($E$5:E365,E365,$B$5:B365,B365,$I$5:I365,I365))</f>
        <v/>
      </c>
    </row>
    <row r="366">
      <c r="B366" s="2" t="n"/>
      <c r="I366" s="4" t="n"/>
      <c r="J366" s="4" t="n"/>
      <c r="K366" s="14" t="n"/>
      <c r="N366" s="3" t="n"/>
      <c r="O366" s="3" t="n"/>
      <c r="P366" s="3" t="n"/>
      <c r="T366">
        <f>IF(E366="","",E366*100000+COUNTIFS(tblRegistros[ID],E366,tblRegistros[Data],"&lt;"&amp;B366)+COUNTIFS(tblRegistros[ID],E366,tblRegistros[Data],B366,tblRegistros[Início],"&lt;"&amp;I366)+COUNTIFS($E$5:E366,E366,$B$5:B366,B366,$I$5:I366,I366))</f>
        <v/>
      </c>
    </row>
    <row r="367">
      <c r="B367" s="2" t="n"/>
      <c r="I367" s="4" t="n"/>
      <c r="J367" s="4" t="n"/>
      <c r="K367" s="14" t="n"/>
      <c r="N367" s="3" t="n"/>
      <c r="O367" s="3" t="n"/>
      <c r="P367" s="3" t="n"/>
      <c r="T367">
        <f>IF(E367="","",E367*100000+COUNTIFS(tblRegistros[ID],E367,tblRegistros[Data],"&lt;"&amp;B367)+COUNTIFS(tblRegistros[ID],E367,tblRegistros[Data],B367,tblRegistros[Início],"&lt;"&amp;I367)+COUNTIFS($E$5:E367,E367,$B$5:B367,B367,$I$5:I367,I367))</f>
        <v/>
      </c>
    </row>
    <row r="368">
      <c r="B368" s="2" t="n"/>
      <c r="I368" s="4" t="n"/>
      <c r="J368" s="4" t="n"/>
      <c r="K368" s="14" t="n"/>
      <c r="N368" s="3" t="n"/>
      <c r="O368" s="3" t="n"/>
      <c r="P368" s="3" t="n"/>
      <c r="T368">
        <f>IF(E368="","",E368*100000+COUNTIFS(tblRegistros[ID],E368,tblRegistros[Data],"&lt;"&amp;B368)+COUNTIFS(tblRegistros[ID],E368,tblRegistros[Data],B368,tblRegistros[Início],"&lt;"&amp;I368)+COUNTIFS($E$5:E368,E368,$B$5:B368,B368,$I$5:I368,I368))</f>
        <v/>
      </c>
    </row>
    <row r="369">
      <c r="B369" s="2" t="n"/>
      <c r="I369" s="4" t="n"/>
      <c r="J369" s="4" t="n"/>
      <c r="K369" s="14" t="n"/>
      <c r="N369" s="3" t="n"/>
      <c r="O369" s="3" t="n"/>
      <c r="P369" s="3" t="n"/>
      <c r="T369">
        <f>IF(E369="","",E369*100000+COUNTIFS(tblRegistros[ID],E369,tblRegistros[Data],"&lt;"&amp;B369)+COUNTIFS(tblRegistros[ID],E369,tblRegistros[Data],B369,tblRegistros[Início],"&lt;"&amp;I369)+COUNTIFS($E$5:E369,E369,$B$5:B369,B369,$I$5:I369,I369))</f>
        <v/>
      </c>
    </row>
    <row r="370">
      <c r="B370" s="2" t="n"/>
      <c r="I370" s="4" t="n"/>
      <c r="J370" s="4" t="n"/>
      <c r="K370" s="14" t="n"/>
      <c r="N370" s="3" t="n"/>
      <c r="O370" s="3" t="n"/>
      <c r="P370" s="3" t="n"/>
      <c r="T370">
        <f>IF(E370="","",E370*100000+COUNTIFS(tblRegistros[ID],E370,tblRegistros[Data],"&lt;"&amp;B370)+COUNTIFS(tblRegistros[ID],E370,tblRegistros[Data],B370,tblRegistros[Início],"&lt;"&amp;I370)+COUNTIFS($E$5:E370,E370,$B$5:B370,B370,$I$5:I370,I370))</f>
        <v/>
      </c>
    </row>
    <row r="371">
      <c r="B371" s="2" t="n"/>
      <c r="I371" s="4" t="n"/>
      <c r="J371" s="4" t="n"/>
      <c r="K371" s="14" t="n"/>
      <c r="N371" s="3" t="n"/>
      <c r="O371" s="3" t="n"/>
      <c r="P371" s="3" t="n"/>
      <c r="T371">
        <f>IF(E371="","",E371*100000+COUNTIFS(tblRegistros[ID],E371,tblRegistros[Data],"&lt;"&amp;B371)+COUNTIFS(tblRegistros[ID],E371,tblRegistros[Data],B371,tblRegistros[Início],"&lt;"&amp;I371)+COUNTIFS($E$5:E371,E371,$B$5:B371,B371,$I$5:I371,I371))</f>
        <v/>
      </c>
    </row>
    <row r="372">
      <c r="B372" s="2" t="n"/>
      <c r="I372" s="4" t="n"/>
      <c r="J372" s="4" t="n"/>
      <c r="K372" s="14" t="n"/>
      <c r="N372" s="3" t="n"/>
      <c r="O372" s="3" t="n"/>
      <c r="P372" s="3" t="n"/>
      <c r="T372">
        <f>IF(E372="","",E372*100000+COUNTIFS(tblRegistros[ID],E372,tblRegistros[Data],"&lt;"&amp;B372)+COUNTIFS(tblRegistros[ID],E372,tblRegistros[Data],B372,tblRegistros[Início],"&lt;"&amp;I372)+COUNTIFS($E$5:E372,E372,$B$5:B372,B372,$I$5:I372,I372))</f>
        <v/>
      </c>
    </row>
    <row r="373">
      <c r="B373" s="2" t="n"/>
      <c r="I373" s="4" t="n"/>
      <c r="J373" s="4" t="n"/>
      <c r="K373" s="14" t="n"/>
      <c r="N373" s="3" t="n"/>
      <c r="O373" s="3" t="n"/>
      <c r="P373" s="3" t="n"/>
      <c r="T373">
        <f>IF(E373="","",E373*100000+COUNTIFS(tblRegistros[ID],E373,tblRegistros[Data],"&lt;"&amp;B373)+COUNTIFS(tblRegistros[ID],E373,tblRegistros[Data],B373,tblRegistros[Início],"&lt;"&amp;I373)+COUNTIFS($E$5:E373,E373,$B$5:B373,B373,$I$5:I373,I373))</f>
        <v/>
      </c>
    </row>
    <row r="374">
      <c r="B374" s="2" t="n"/>
      <c r="I374" s="4" t="n"/>
      <c r="J374" s="4" t="n"/>
      <c r="K374" s="14" t="n"/>
      <c r="N374" s="3" t="n"/>
      <c r="O374" s="3" t="n"/>
      <c r="P374" s="3" t="n"/>
      <c r="T374">
        <f>IF(E374="","",E374*100000+COUNTIFS(tblRegistros[ID],E374,tblRegistros[Data],"&lt;"&amp;B374)+COUNTIFS(tblRegistros[ID],E374,tblRegistros[Data],B374,tblRegistros[Início],"&lt;"&amp;I374)+COUNTIFS($E$5:E374,E374,$B$5:B374,B374,$I$5:I374,I374))</f>
        <v/>
      </c>
    </row>
    <row r="375">
      <c r="B375" s="2" t="n"/>
      <c r="I375" s="4" t="n"/>
      <c r="J375" s="4" t="n"/>
      <c r="K375" s="14" t="n"/>
      <c r="N375" s="3" t="n"/>
      <c r="O375" s="3" t="n"/>
      <c r="P375" s="3" t="n"/>
      <c r="T375">
        <f>IF(E375="","",E375*100000+COUNTIFS(tblRegistros[ID],E375,tblRegistros[Data],"&lt;"&amp;B375)+COUNTIFS(tblRegistros[ID],E375,tblRegistros[Data],B375,tblRegistros[Início],"&lt;"&amp;I375)+COUNTIFS($E$5:E375,E375,$B$5:B375,B375,$I$5:I375,I375))</f>
        <v/>
      </c>
    </row>
    <row r="376">
      <c r="B376" s="2" t="n"/>
      <c r="I376" s="4" t="n"/>
      <c r="J376" s="4" t="n"/>
      <c r="K376" s="14" t="n"/>
      <c r="N376" s="3" t="n"/>
      <c r="O376" s="3" t="n"/>
      <c r="P376" s="3" t="n"/>
      <c r="T376">
        <f>IF(E376="","",E376*100000+COUNTIFS(tblRegistros[ID],E376,tblRegistros[Data],"&lt;"&amp;B376)+COUNTIFS(tblRegistros[ID],E376,tblRegistros[Data],B376,tblRegistros[Início],"&lt;"&amp;I376)+COUNTIFS($E$5:E376,E376,$B$5:B376,B376,$I$5:I376,I376))</f>
        <v/>
      </c>
    </row>
    <row r="377">
      <c r="B377" s="2" t="n"/>
      <c r="I377" s="4" t="n"/>
      <c r="J377" s="4" t="n"/>
      <c r="K377" s="14" t="n"/>
      <c r="N377" s="3" t="n"/>
      <c r="O377" s="3" t="n"/>
      <c r="P377" s="3" t="n"/>
      <c r="T377">
        <f>IF(E377="","",E377*100000+COUNTIFS(tblRegistros[ID],E377,tblRegistros[Data],"&lt;"&amp;B377)+COUNTIFS(tblRegistros[ID],E377,tblRegistros[Data],B377,tblRegistros[Início],"&lt;"&amp;I377)+COUNTIFS($E$5:E377,E377,$B$5:B377,B377,$I$5:I377,I377))</f>
        <v/>
      </c>
    </row>
    <row r="378">
      <c r="B378" s="2" t="n"/>
      <c r="I378" s="4" t="n"/>
      <c r="J378" s="4" t="n"/>
      <c r="K378" s="14" t="n"/>
      <c r="N378" s="3" t="n"/>
      <c r="O378" s="3" t="n"/>
      <c r="P378" s="3" t="n"/>
      <c r="T378">
        <f>IF(E378="","",E378*100000+COUNTIFS(tblRegistros[ID],E378,tblRegistros[Data],"&lt;"&amp;B378)+COUNTIFS(tblRegistros[ID],E378,tblRegistros[Data],B378,tblRegistros[Início],"&lt;"&amp;I378)+COUNTIFS($E$5:E378,E378,$B$5:B378,B378,$I$5:I378,I378))</f>
        <v/>
      </c>
    </row>
    <row r="379">
      <c r="B379" s="2" t="n"/>
      <c r="I379" s="4" t="n"/>
      <c r="J379" s="4" t="n"/>
      <c r="K379" s="14" t="n"/>
      <c r="N379" s="3" t="n"/>
      <c r="O379" s="3" t="n"/>
      <c r="P379" s="3" t="n"/>
      <c r="T379">
        <f>IF(E379="","",E379*100000+COUNTIFS(tblRegistros[ID],E379,tblRegistros[Data],"&lt;"&amp;B379)+COUNTIFS(tblRegistros[ID],E379,tblRegistros[Data],B379,tblRegistros[Início],"&lt;"&amp;I379)+COUNTIFS($E$5:E379,E379,$B$5:B379,B379,$I$5:I379,I379))</f>
        <v/>
      </c>
    </row>
    <row r="380">
      <c r="B380" s="2" t="n"/>
      <c r="I380" s="4" t="n"/>
      <c r="J380" s="4" t="n"/>
      <c r="K380" s="14" t="n"/>
      <c r="N380" s="3" t="n"/>
      <c r="O380" s="3" t="n"/>
      <c r="P380" s="3" t="n"/>
      <c r="T380">
        <f>IF(E380="","",E380*100000+COUNTIFS(tblRegistros[ID],E380,tblRegistros[Data],"&lt;"&amp;B380)+COUNTIFS(tblRegistros[ID],E380,tblRegistros[Data],B380,tblRegistros[Início],"&lt;"&amp;I380)+COUNTIFS($E$5:E380,E380,$B$5:B380,B380,$I$5:I380,I380))</f>
        <v/>
      </c>
    </row>
    <row r="381">
      <c r="B381" s="2" t="n"/>
      <c r="I381" s="4" t="n"/>
      <c r="J381" s="4" t="n"/>
      <c r="K381" s="14" t="n"/>
      <c r="N381" s="3" t="n"/>
      <c r="O381" s="3" t="n"/>
      <c r="P381" s="3" t="n"/>
      <c r="T381">
        <f>IF(E381="","",E381*100000+COUNTIFS(tblRegistros[ID],E381,tblRegistros[Data],"&lt;"&amp;B381)+COUNTIFS(tblRegistros[ID],E381,tblRegistros[Data],B381,tblRegistros[Início],"&lt;"&amp;I381)+COUNTIFS($E$5:E381,E381,$B$5:B381,B381,$I$5:I381,I381))</f>
        <v/>
      </c>
    </row>
    <row r="382">
      <c r="B382" s="2" t="n"/>
      <c r="I382" s="4" t="n"/>
      <c r="J382" s="4" t="n"/>
      <c r="K382" s="14" t="n"/>
      <c r="N382" s="3" t="n"/>
      <c r="O382" s="3" t="n"/>
      <c r="P382" s="3" t="n"/>
      <c r="T382">
        <f>IF(E382="","",E382*100000+COUNTIFS(tblRegistros[ID],E382,tblRegistros[Data],"&lt;"&amp;B382)+COUNTIFS(tblRegistros[ID],E382,tblRegistros[Data],B382,tblRegistros[Início],"&lt;"&amp;I382)+COUNTIFS($E$5:E382,E382,$B$5:B382,B382,$I$5:I382,I382))</f>
        <v/>
      </c>
    </row>
    <row r="383">
      <c r="B383" s="2" t="n"/>
      <c r="I383" s="4" t="n"/>
      <c r="J383" s="4" t="n"/>
      <c r="K383" s="14" t="n"/>
      <c r="N383" s="3" t="n"/>
      <c r="O383" s="3" t="n"/>
      <c r="P383" s="3" t="n"/>
      <c r="T383">
        <f>IF(E383="","",E383*100000+COUNTIFS(tblRegistros[ID],E383,tblRegistros[Data],"&lt;"&amp;B383)+COUNTIFS(tblRegistros[ID],E383,tblRegistros[Data],B383,tblRegistros[Início],"&lt;"&amp;I383)+COUNTIFS($E$5:E383,E383,$B$5:B383,B383,$I$5:I383,I383))</f>
        <v/>
      </c>
    </row>
    <row r="384">
      <c r="B384" s="2" t="n"/>
      <c r="I384" s="4" t="n"/>
      <c r="J384" s="4" t="n"/>
      <c r="K384" s="14" t="n"/>
      <c r="N384" s="3" t="n"/>
      <c r="O384" s="3" t="n"/>
      <c r="P384" s="3" t="n"/>
      <c r="T384">
        <f>IF(E384="","",E384*100000+COUNTIFS(tblRegistros[ID],E384,tblRegistros[Data],"&lt;"&amp;B384)+COUNTIFS(tblRegistros[ID],E384,tblRegistros[Data],B384,tblRegistros[Início],"&lt;"&amp;I384)+COUNTIFS($E$5:E384,E384,$B$5:B384,B384,$I$5:I384,I384))</f>
        <v/>
      </c>
    </row>
    <row r="385">
      <c r="B385" s="2" t="n"/>
      <c r="I385" s="4" t="n"/>
      <c r="J385" s="4" t="n"/>
      <c r="K385" s="14" t="n"/>
      <c r="N385" s="3" t="n"/>
      <c r="O385" s="3" t="n"/>
      <c r="P385" s="3" t="n"/>
      <c r="T385">
        <f>IF(E385="","",E385*100000+COUNTIFS(tblRegistros[ID],E385,tblRegistros[Data],"&lt;"&amp;B385)+COUNTIFS(tblRegistros[ID],E385,tblRegistros[Data],B385,tblRegistros[Início],"&lt;"&amp;I385)+COUNTIFS($E$5:E385,E385,$B$5:B385,B385,$I$5:I385,I385))</f>
        <v/>
      </c>
    </row>
    <row r="386">
      <c r="B386" s="2" t="n"/>
      <c r="I386" s="4" t="n"/>
      <c r="J386" s="4" t="n"/>
      <c r="K386" s="14" t="n"/>
      <c r="N386" s="3" t="n"/>
      <c r="O386" s="3" t="n"/>
      <c r="P386" s="3" t="n"/>
      <c r="T386">
        <f>IF(E386="","",E386*100000+COUNTIFS(tblRegistros[ID],E386,tblRegistros[Data],"&lt;"&amp;B386)+COUNTIFS(tblRegistros[ID],E386,tblRegistros[Data],B386,tblRegistros[Início],"&lt;"&amp;I386)+COUNTIFS($E$5:E386,E386,$B$5:B386,B386,$I$5:I386,I386))</f>
        <v/>
      </c>
    </row>
    <row r="387">
      <c r="B387" s="2" t="n"/>
      <c r="I387" s="4" t="n"/>
      <c r="J387" s="4" t="n"/>
      <c r="K387" s="14" t="n"/>
      <c r="N387" s="3" t="n"/>
      <c r="O387" s="3" t="n"/>
      <c r="P387" s="3" t="n"/>
      <c r="T387">
        <f>IF(E387="","",E387*100000+COUNTIFS(tblRegistros[ID],E387,tblRegistros[Data],"&lt;"&amp;B387)+COUNTIFS(tblRegistros[ID],E387,tblRegistros[Data],B387,tblRegistros[Início],"&lt;"&amp;I387)+COUNTIFS($E$5:E387,E387,$B$5:B387,B387,$I$5:I387,I387))</f>
        <v/>
      </c>
    </row>
    <row r="388">
      <c r="B388" s="2" t="n"/>
      <c r="I388" s="4" t="n"/>
      <c r="J388" s="4" t="n"/>
      <c r="K388" s="14" t="n"/>
      <c r="N388" s="3" t="n"/>
      <c r="O388" s="3" t="n"/>
      <c r="P388" s="3" t="n"/>
      <c r="T388">
        <f>IF(E388="","",E388*100000+COUNTIFS(tblRegistros[ID],E388,tblRegistros[Data],"&lt;"&amp;B388)+COUNTIFS(tblRegistros[ID],E388,tblRegistros[Data],B388,tblRegistros[Início],"&lt;"&amp;I388)+COUNTIFS($E$5:E388,E388,$B$5:B388,B388,$I$5:I388,I388))</f>
        <v/>
      </c>
    </row>
    <row r="389">
      <c r="B389" s="2" t="n"/>
      <c r="I389" s="4" t="n"/>
      <c r="J389" s="4" t="n"/>
      <c r="K389" s="14" t="n"/>
      <c r="N389" s="3" t="n"/>
      <c r="O389" s="3" t="n"/>
      <c r="P389" s="3" t="n"/>
      <c r="T389">
        <f>IF(E389="","",E389*100000+COUNTIFS(tblRegistros[ID],E389,tblRegistros[Data],"&lt;"&amp;B389)+COUNTIFS(tblRegistros[ID],E389,tblRegistros[Data],B389,tblRegistros[Início],"&lt;"&amp;I389)+COUNTIFS($E$5:E389,E389,$B$5:B389,B389,$I$5:I389,I389))</f>
        <v/>
      </c>
    </row>
    <row r="390">
      <c r="B390" s="2" t="n"/>
      <c r="I390" s="4" t="n"/>
      <c r="J390" s="4" t="n"/>
      <c r="K390" s="14" t="n"/>
      <c r="N390" s="3" t="n"/>
      <c r="O390" s="3" t="n"/>
      <c r="P390" s="3" t="n"/>
      <c r="T390">
        <f>IF(E390="","",E390*100000+COUNTIFS(tblRegistros[ID],E390,tblRegistros[Data],"&lt;"&amp;B390)+COUNTIFS(tblRegistros[ID],E390,tblRegistros[Data],B390,tblRegistros[Início],"&lt;"&amp;I390)+COUNTIFS($E$5:E390,E390,$B$5:B390,B390,$I$5:I390,I390))</f>
        <v/>
      </c>
    </row>
    <row r="391">
      <c r="B391" s="2" t="n"/>
      <c r="I391" s="4" t="n"/>
      <c r="J391" s="4" t="n"/>
      <c r="K391" s="14" t="n"/>
      <c r="N391" s="3" t="n"/>
      <c r="O391" s="3" t="n"/>
      <c r="P391" s="3" t="n"/>
      <c r="T391">
        <f>IF(E391="","",E391*100000+COUNTIFS(tblRegistros[ID],E391,tblRegistros[Data],"&lt;"&amp;B391)+COUNTIFS(tblRegistros[ID],E391,tblRegistros[Data],B391,tblRegistros[Início],"&lt;"&amp;I391)+COUNTIFS($E$5:E391,E391,$B$5:B391,B391,$I$5:I391,I391))</f>
        <v/>
      </c>
    </row>
    <row r="392">
      <c r="B392" s="2" t="n"/>
      <c r="I392" s="4" t="n"/>
      <c r="J392" s="4" t="n"/>
      <c r="K392" s="14" t="n"/>
      <c r="N392" s="3" t="n"/>
      <c r="O392" s="3" t="n"/>
      <c r="P392" s="3" t="n"/>
      <c r="T392">
        <f>IF(E392="","",E392*100000+COUNTIFS(tblRegistros[ID],E392,tblRegistros[Data],"&lt;"&amp;B392)+COUNTIFS(tblRegistros[ID],E392,tblRegistros[Data],B392,tblRegistros[Início],"&lt;"&amp;I392)+COUNTIFS($E$5:E392,E392,$B$5:B392,B392,$I$5:I392,I392))</f>
        <v/>
      </c>
    </row>
    <row r="393">
      <c r="B393" s="2" t="n"/>
      <c r="I393" s="4" t="n"/>
      <c r="J393" s="4" t="n"/>
      <c r="K393" s="14" t="n"/>
      <c r="N393" s="3" t="n"/>
      <c r="O393" s="3" t="n"/>
      <c r="P393" s="3" t="n"/>
      <c r="T393">
        <f>IF(E393="","",E393*100000+COUNTIFS(tblRegistros[ID],E393,tblRegistros[Data],"&lt;"&amp;B393)+COUNTIFS(tblRegistros[ID],E393,tblRegistros[Data],B393,tblRegistros[Início],"&lt;"&amp;I393)+COUNTIFS($E$5:E393,E393,$B$5:B393,B393,$I$5:I393,I393))</f>
        <v/>
      </c>
    </row>
    <row r="394">
      <c r="B394" s="2" t="n"/>
      <c r="I394" s="4" t="n"/>
      <c r="J394" s="4" t="n"/>
      <c r="K394" s="14" t="n"/>
      <c r="N394" s="3" t="n"/>
      <c r="O394" s="3" t="n"/>
      <c r="P394" s="3" t="n"/>
      <c r="T394">
        <f>IF(E394="","",E394*100000+COUNTIFS(tblRegistros[ID],E394,tblRegistros[Data],"&lt;"&amp;B394)+COUNTIFS(tblRegistros[ID],E394,tblRegistros[Data],B394,tblRegistros[Início],"&lt;"&amp;I394)+COUNTIFS($E$5:E394,E394,$B$5:B394,B394,$I$5:I394,I394))</f>
        <v/>
      </c>
    </row>
    <row r="395">
      <c r="B395" s="2" t="n"/>
      <c r="I395" s="4" t="n"/>
      <c r="J395" s="4" t="n"/>
      <c r="K395" s="14" t="n"/>
      <c r="N395" s="3" t="n"/>
      <c r="O395" s="3" t="n"/>
      <c r="P395" s="3" t="n"/>
      <c r="T395">
        <f>IF(E395="","",E395*100000+COUNTIFS(tblRegistros[ID],E395,tblRegistros[Data],"&lt;"&amp;B395)+COUNTIFS(tblRegistros[ID],E395,tblRegistros[Data],B395,tblRegistros[Início],"&lt;"&amp;I395)+COUNTIFS($E$5:E395,E395,$B$5:B395,B395,$I$5:I395,I395))</f>
        <v/>
      </c>
    </row>
    <row r="396">
      <c r="B396" s="2" t="n"/>
      <c r="I396" s="4" t="n"/>
      <c r="J396" s="4" t="n"/>
      <c r="K396" s="14" t="n"/>
      <c r="N396" s="3" t="n"/>
      <c r="O396" s="3" t="n"/>
      <c r="P396" s="3" t="n"/>
      <c r="T396">
        <f>IF(E396="","",E396*100000+COUNTIFS(tblRegistros[ID],E396,tblRegistros[Data],"&lt;"&amp;B396)+COUNTIFS(tblRegistros[ID],E396,tblRegistros[Data],B396,tblRegistros[Início],"&lt;"&amp;I396)+COUNTIFS($E$5:E396,E396,$B$5:B396,B396,$I$5:I396,I396))</f>
        <v/>
      </c>
    </row>
    <row r="397">
      <c r="B397" s="2" t="n"/>
      <c r="I397" s="4" t="n"/>
      <c r="J397" s="4" t="n"/>
      <c r="K397" s="14" t="n"/>
      <c r="N397" s="3" t="n"/>
      <c r="O397" s="3" t="n"/>
      <c r="P397" s="3" t="n"/>
      <c r="T397">
        <f>IF(E397="","",E397*100000+COUNTIFS(tblRegistros[ID],E397,tblRegistros[Data],"&lt;"&amp;B397)+COUNTIFS(tblRegistros[ID],E397,tblRegistros[Data],B397,tblRegistros[Início],"&lt;"&amp;I397)+COUNTIFS($E$5:E397,E397,$B$5:B397,B397,$I$5:I397,I397))</f>
        <v/>
      </c>
    </row>
    <row r="398">
      <c r="B398" s="2" t="n"/>
      <c r="I398" s="4" t="n"/>
      <c r="J398" s="4" t="n"/>
      <c r="K398" s="14" t="n"/>
      <c r="N398" s="3" t="n"/>
      <c r="O398" s="3" t="n"/>
      <c r="P398" s="3" t="n"/>
      <c r="T398">
        <f>IF(E398="","",E398*100000+COUNTIFS(tblRegistros[ID],E398,tblRegistros[Data],"&lt;"&amp;B398)+COUNTIFS(tblRegistros[ID],E398,tblRegistros[Data],B398,tblRegistros[Início],"&lt;"&amp;I398)+COUNTIFS($E$5:E398,E398,$B$5:B398,B398,$I$5:I398,I398))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14"/>
  <sheetViews>
    <sheetView showGridLines="0" workbookViewId="0">
      <pane ySplit="4" topLeftCell="A21" activePane="bottomLeft" state="frozen"/>
      <selection pane="bottomLeft" activeCell="B21" sqref="B21"/>
    </sheetView>
  </sheetViews>
  <sheetFormatPr baseColWidth="8" defaultRowHeight="14.25"/>
  <cols>
    <col width="23.875" customWidth="1" min="1" max="1"/>
    <col width="18.875" customWidth="1" min="2" max="2"/>
    <col width="11.625" customWidth="1" min="3" max="3"/>
    <col width="15" customWidth="1" min="4" max="4"/>
    <col width="8.375" customWidth="1" min="5" max="5"/>
    <col width="28.875" customWidth="1" min="6" max="6"/>
    <col width="10.875" customWidth="1" min="7" max="7"/>
    <col width="20.625" customWidth="1" min="8" max="8"/>
    <col width="17.75" customWidth="1" min="9" max="9"/>
    <col width="38.875" customWidth="1" min="10" max="10"/>
    <col width="20.625" customWidth="1" min="11" max="11"/>
    <col width="25.625" customWidth="1" min="12" max="12"/>
    <col width="16.625" customWidth="1" min="13" max="13"/>
  </cols>
  <sheetData>
    <row r="1" ht="24" customHeight="1">
      <c r="A1" s="17" t="inlineStr">
        <is>
          <t>BATIDAS — TRILHA DE AUDITORIA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</row>
    <row r="2" ht="19.5" customHeight="1">
      <c r="A2" s="7" t="inlineStr">
        <is>
          <t>Edite B (data/hora), E (ID), H (projeto), I (atividade) ou L (vínculo do FIM). A coluna A identifica a batida e deve permanecer estável.</t>
        </is>
      </c>
    </row>
    <row r="4" ht="24" customHeight="1">
      <c r="A4" s="5" t="inlineStr">
        <is>
          <t>Batida ID</t>
        </is>
      </c>
      <c r="B4" s="5" t="inlineStr">
        <is>
          <t>Data e hora</t>
        </is>
      </c>
      <c r="C4" s="5" t="inlineStr">
        <is>
          <t>Data</t>
        </is>
      </c>
      <c r="D4" s="5" t="inlineStr">
        <is>
          <t>Dia da semana</t>
        </is>
      </c>
      <c r="E4" s="5" t="inlineStr">
        <is>
          <t>ID</t>
        </is>
      </c>
      <c r="F4" s="5" t="inlineStr">
        <is>
          <t>Pessoa</t>
        </is>
      </c>
      <c r="G4" s="5" t="inlineStr">
        <is>
          <t>Tipo</t>
        </is>
      </c>
      <c r="H4" s="5" t="inlineStr">
        <is>
          <t>Projeto</t>
        </is>
      </c>
      <c r="I4" s="5" t="inlineStr">
        <is>
          <t>Atividade</t>
        </is>
      </c>
      <c r="J4" s="5" t="inlineStr">
        <is>
          <t>Observação</t>
        </is>
      </c>
      <c r="K4" s="5" t="inlineStr">
        <is>
          <t>Origem</t>
        </is>
      </c>
      <c r="L4" s="5" t="inlineStr">
        <is>
          <t>Início vinculado</t>
        </is>
      </c>
      <c r="M4" s="5" t="inlineStr">
        <is>
          <t>Conferência</t>
        </is>
      </c>
    </row>
    <row r="5" hidden="1">
      <c r="A5" t="inlineStr">
        <is>
          <t>B20260928091119-1002</t>
        </is>
      </c>
      <c r="B5" s="21" t="n">
        <v>46293.3828587963</v>
      </c>
      <c r="C5" s="2">
        <f>IF(B5="","",INT(B5))</f>
        <v/>
      </c>
      <c r="D5" t="inlineStr">
        <is>
          <t>SEGUNDA-FEIRA</t>
        </is>
      </c>
      <c r="E5" t="n">
        <v>1002</v>
      </c>
      <c r="F5" t="inlineStr">
        <is>
          <t>Alex de Almeida Mariano</t>
        </is>
      </c>
      <c r="G5" t="inlineStr">
        <is>
          <t>INÍCIO</t>
        </is>
      </c>
      <c r="H5" t="inlineStr">
        <is>
          <t>TOOLKIT</t>
        </is>
      </c>
      <c r="I5" t="inlineStr">
        <is>
          <t>ANÁLISE</t>
        </is>
      </c>
      <c r="J5" t="inlineStr"/>
      <c r="K5" t="inlineStr">
        <is>
          <t>Web HTML</t>
        </is>
      </c>
      <c r="L5" s="9" t="inlineStr"/>
      <c r="M5" t="inlineStr">
        <is>
          <t>INÍCIO</t>
        </is>
      </c>
    </row>
    <row r="6" hidden="1">
      <c r="A6" t="inlineStr">
        <is>
          <t>B20260930081002-1001</t>
        </is>
      </c>
      <c r="B6" s="21" t="n">
        <v>46295.34030092593</v>
      </c>
      <c r="C6" s="2">
        <f>IF(B6="","",INT(B6))</f>
        <v/>
      </c>
      <c r="D6" t="inlineStr">
        <is>
          <t>QUARTA-FEIRA</t>
        </is>
      </c>
      <c r="E6" t="n">
        <v>1001</v>
      </c>
      <c r="F6" t="inlineStr">
        <is>
          <t>Adriana Pereira dos Santos</t>
        </is>
      </c>
      <c r="G6" t="inlineStr">
        <is>
          <t>INÍCIO</t>
        </is>
      </c>
      <c r="H6" t="inlineStr">
        <is>
          <t>BC - CONFIANÇA PIX</t>
        </is>
      </c>
      <c r="I6" t="inlineStr">
        <is>
          <t>SUPERVISÃO</t>
        </is>
      </c>
      <c r="J6" t="inlineStr"/>
      <c r="K6" t="inlineStr">
        <is>
          <t>Web HTML</t>
        </is>
      </c>
      <c r="L6" s="9" t="inlineStr"/>
      <c r="M6" t="inlineStr">
        <is>
          <t>INÍCIO</t>
        </is>
      </c>
    </row>
    <row r="7" hidden="1">
      <c r="A7" t="inlineStr">
        <is>
          <t>B20260930081019-1005</t>
        </is>
      </c>
      <c r="B7" s="21" t="n">
        <v>46295.34049768518</v>
      </c>
      <c r="C7" s="2">
        <f>IF(B7="","",INT(B7))</f>
        <v/>
      </c>
      <c r="D7" t="inlineStr">
        <is>
          <t>QUARTA-FEIRA</t>
        </is>
      </c>
      <c r="E7" t="n">
        <v>1005</v>
      </c>
      <c r="F7" t="inlineStr">
        <is>
          <t>Carolina Fantini Vidigal Diniz Dias</t>
        </is>
      </c>
      <c r="G7" t="inlineStr">
        <is>
          <t>INÍCIO</t>
        </is>
      </c>
      <c r="H7" t="inlineStr">
        <is>
          <t>ESTADUAL - OTEMPO</t>
        </is>
      </c>
      <c r="I7" t="inlineStr">
        <is>
          <t>RECRUTAMENTO</t>
        </is>
      </c>
      <c r="J7" t="inlineStr"/>
      <c r="K7" t="inlineStr">
        <is>
          <t>Web HTML</t>
        </is>
      </c>
      <c r="L7" s="9" t="inlineStr"/>
      <c r="M7" t="inlineStr">
        <is>
          <t>INÍCIO</t>
        </is>
      </c>
    </row>
    <row r="8" hidden="1">
      <c r="A8" t="inlineStr">
        <is>
          <t>B20260930081036-1011</t>
        </is>
      </c>
      <c r="B8" s="21" t="n">
        <v>46295.34069444444</v>
      </c>
      <c r="C8" s="2">
        <f>IF(B8="","",INT(B8))</f>
        <v/>
      </c>
      <c r="D8" t="inlineStr">
        <is>
          <t>QUARTA-FEIRA</t>
        </is>
      </c>
      <c r="E8" t="n">
        <v>1011</v>
      </c>
      <c r="F8" t="inlineStr">
        <is>
          <t>Nathalia Arruda</t>
        </is>
      </c>
      <c r="G8" t="inlineStr">
        <is>
          <t>INÍCIO</t>
        </is>
      </c>
      <c r="H8" t="inlineStr">
        <is>
          <t>BETIM - TRACKING</t>
        </is>
      </c>
      <c r="I8" t="inlineStr">
        <is>
          <t>APOIO OPERACIONAL</t>
        </is>
      </c>
      <c r="J8" t="inlineStr"/>
      <c r="K8" t="inlineStr">
        <is>
          <t>Web HTML</t>
        </is>
      </c>
      <c r="L8" s="9" t="inlineStr"/>
      <c r="M8" t="inlineStr">
        <is>
          <t>INÍCIO</t>
        </is>
      </c>
    </row>
    <row r="9" hidden="1">
      <c r="A9" t="inlineStr">
        <is>
          <t>B20260930082446-1013</t>
        </is>
      </c>
      <c r="B9" s="21" t="n">
        <v>46295.35053240741</v>
      </c>
      <c r="C9" s="2">
        <f>IF(B9="","",INT(B9))</f>
        <v/>
      </c>
      <c r="D9" t="inlineStr">
        <is>
          <t>QUARTA-FEIRA</t>
        </is>
      </c>
      <c r="E9" t="n">
        <v>1013</v>
      </c>
      <c r="F9" t="inlineStr">
        <is>
          <t>Rafaela Maria Resende Lara</t>
        </is>
      </c>
      <c r="G9" t="inlineStr">
        <is>
          <t>INÍCIO</t>
        </is>
      </c>
      <c r="H9" t="inlineStr">
        <is>
          <t>BC - CONFIANÇA PIX</t>
        </is>
      </c>
      <c r="I9" t="inlineStr">
        <is>
          <t>RECRUTAMENTO</t>
        </is>
      </c>
      <c r="J9" t="inlineStr"/>
      <c r="K9" t="inlineStr">
        <is>
          <t>Web HTML</t>
        </is>
      </c>
      <c r="L9" s="9" t="inlineStr"/>
      <c r="M9" t="inlineStr">
        <is>
          <t>INÍCIO</t>
        </is>
      </c>
    </row>
    <row r="10" hidden="1">
      <c r="A10" t="inlineStr">
        <is>
          <t>B20260930082506-1009</t>
        </is>
      </c>
      <c r="B10" s="21" t="n">
        <v>46295.35076388889</v>
      </c>
      <c r="C10" s="2">
        <f>IF(B10="","",INT(B10))</f>
        <v/>
      </c>
      <c r="D10" t="inlineStr">
        <is>
          <t>QUARTA-FEIRA</t>
        </is>
      </c>
      <c r="E10" t="n">
        <v>1009</v>
      </c>
      <c r="F10" t="inlineStr">
        <is>
          <t>Junia Maria Santos</t>
        </is>
      </c>
      <c r="G10" t="inlineStr">
        <is>
          <t>INÍCIO</t>
        </is>
      </c>
      <c r="H10" t="inlineStr">
        <is>
          <t>CAMPANHA</t>
        </is>
      </c>
      <c r="I10" t="inlineStr">
        <is>
          <t>TRANSCRIÇÃO</t>
        </is>
      </c>
      <c r="J10" t="inlineStr"/>
      <c r="K10" t="inlineStr">
        <is>
          <t>Web HTML</t>
        </is>
      </c>
      <c r="L10" s="9" t="inlineStr"/>
      <c r="M10" t="inlineStr">
        <is>
          <t>INÍCIO</t>
        </is>
      </c>
    </row>
    <row r="11" hidden="1">
      <c r="A11" t="inlineStr">
        <is>
          <t>B20260930082523-1001</t>
        </is>
      </c>
      <c r="B11" s="21" t="n">
        <v>46295.35096064815</v>
      </c>
      <c r="C11" s="2">
        <f>IF(B11="","",INT(B11))</f>
        <v/>
      </c>
      <c r="D11" t="inlineStr">
        <is>
          <t>QUARTA-FEIRA</t>
        </is>
      </c>
      <c r="E11" t="n">
        <v>1001</v>
      </c>
      <c r="F11" t="inlineStr">
        <is>
          <t>Adriana Pereira dos Santos</t>
        </is>
      </c>
      <c r="G11" t="inlineStr">
        <is>
          <t>FIM</t>
        </is>
      </c>
      <c r="H11" t="inlineStr">
        <is>
          <t>SICOOB CREDICOM</t>
        </is>
      </c>
      <c r="I11" t="inlineStr">
        <is>
          <t>RELATÓRIO</t>
        </is>
      </c>
      <c r="J11" t="inlineStr"/>
      <c r="K11" t="inlineStr">
        <is>
          <t>Web HTML</t>
        </is>
      </c>
      <c r="L11" s="9" t="inlineStr"/>
      <c r="M11" t="inlineStr">
        <is>
          <t>VINCULADO</t>
        </is>
      </c>
    </row>
    <row r="12" hidden="1">
      <c r="A12" t="inlineStr">
        <is>
          <t>B20260930082542-1004</t>
        </is>
      </c>
      <c r="B12" s="21" t="n">
        <v>46295.35118055555</v>
      </c>
      <c r="C12" s="2">
        <f>IF(B12="","",INT(B12))</f>
        <v/>
      </c>
      <c r="D12" t="inlineStr">
        <is>
          <t>QUARTA-FEIRA</t>
        </is>
      </c>
      <c r="E12" t="n">
        <v>1004</v>
      </c>
      <c r="F12" t="inlineStr">
        <is>
          <t>Angela Bertoli</t>
        </is>
      </c>
      <c r="G12" t="inlineStr">
        <is>
          <t>FIM</t>
        </is>
      </c>
      <c r="H12" t="inlineStr">
        <is>
          <t>BETIM - TRACKING</t>
        </is>
      </c>
      <c r="I12" t="inlineStr">
        <is>
          <t>RELATÓRIO</t>
        </is>
      </c>
      <c r="J12" t="inlineStr"/>
      <c r="K12" t="inlineStr">
        <is>
          <t>Web HTML</t>
        </is>
      </c>
      <c r="L12" s="9" t="inlineStr"/>
      <c r="M12" t="inlineStr">
        <is>
          <t>VINCULADO</t>
        </is>
      </c>
    </row>
    <row r="13" hidden="1">
      <c r="A13" t="inlineStr">
        <is>
          <t>B20260930082556-1011</t>
        </is>
      </c>
      <c r="B13" s="21" t="n">
        <v>46295.35134259259</v>
      </c>
      <c r="C13" s="2">
        <f>IF(B13="","",INT(B13))</f>
        <v/>
      </c>
      <c r="D13" t="inlineStr">
        <is>
          <t>QUARTA-FEIRA</t>
        </is>
      </c>
      <c r="E13" t="n">
        <v>1011</v>
      </c>
      <c r="F13" t="inlineStr">
        <is>
          <t>Nathalia Arruda</t>
        </is>
      </c>
      <c r="G13" t="inlineStr">
        <is>
          <t>FIM</t>
        </is>
      </c>
      <c r="H13" t="inlineStr">
        <is>
          <t>ADMINISTRATIVO</t>
        </is>
      </c>
      <c r="I13" t="inlineStr">
        <is>
          <t>RELATÓRIO</t>
        </is>
      </c>
      <c r="J13" t="inlineStr"/>
      <c r="K13" t="inlineStr">
        <is>
          <t>Web HTML</t>
        </is>
      </c>
      <c r="L13" s="9" t="inlineStr"/>
      <c r="M13" t="inlineStr">
        <is>
          <t>VINCULADO</t>
        </is>
      </c>
    </row>
    <row r="14" hidden="1">
      <c r="A14" t="inlineStr">
        <is>
          <t>B20260930082608-1014</t>
        </is>
      </c>
      <c r="B14" s="21" t="n">
        <v>46295.35148148148</v>
      </c>
      <c r="C14" s="2">
        <f>IF(B14="","",INT(B14))</f>
        <v/>
      </c>
      <c r="D14" t="inlineStr">
        <is>
          <t>QUARTA-FEIRA</t>
        </is>
      </c>
      <c r="E14" t="n">
        <v>1014</v>
      </c>
      <c r="F14" t="inlineStr">
        <is>
          <t>Robert Filipe Orlando de Souza</t>
        </is>
      </c>
      <c r="G14" t="inlineStr">
        <is>
          <t>FIM</t>
        </is>
      </c>
      <c r="H14" t="inlineStr">
        <is>
          <t>BETIM - TRACKING</t>
        </is>
      </c>
      <c r="I14" t="inlineStr">
        <is>
          <t>RELATÓRIO</t>
        </is>
      </c>
      <c r="J14" t="inlineStr"/>
      <c r="K14" t="inlineStr">
        <is>
          <t>Web HTML</t>
        </is>
      </c>
      <c r="L14" s="9" t="inlineStr"/>
      <c r="M14" t="inlineStr">
        <is>
          <t>VINCULADO</t>
        </is>
      </c>
    </row>
    <row r="15" hidden="1">
      <c r="B15" s="21" t="n"/>
      <c r="C15" s="2" t="n"/>
      <c r="L15" s="9" t="n"/>
    </row>
    <row r="16" hidden="1">
      <c r="B16" s="21" t="n"/>
      <c r="C16" s="2" t="n"/>
      <c r="L16" s="9" t="n"/>
    </row>
    <row r="17" hidden="1">
      <c r="B17" s="21" t="n"/>
      <c r="C17" s="2" t="n"/>
      <c r="L17" s="9" t="n"/>
    </row>
    <row r="18" hidden="1">
      <c r="B18" s="21" t="n"/>
      <c r="C18" s="2" t="n"/>
      <c r="L18" s="9" t="n"/>
    </row>
    <row r="19" hidden="1">
      <c r="B19" s="21" t="n"/>
      <c r="C19" s="2" t="n"/>
      <c r="L19" s="9" t="n"/>
    </row>
    <row r="20" hidden="1">
      <c r="B20" s="21" t="n"/>
      <c r="C20" s="2" t="n"/>
      <c r="L20" s="9" t="n"/>
    </row>
    <row r="21">
      <c r="B21" s="21" t="n"/>
      <c r="C21" s="2" t="n"/>
      <c r="L21" s="9" t="n"/>
    </row>
    <row r="22" hidden="1">
      <c r="B22" s="21" t="n"/>
      <c r="C22" s="2" t="n"/>
      <c r="L22" s="9" t="n"/>
    </row>
    <row r="23" hidden="1">
      <c r="B23" s="21" t="n"/>
      <c r="C23" s="2" t="n"/>
      <c r="L23" s="9" t="n"/>
    </row>
    <row r="24" hidden="1">
      <c r="B24" s="21" t="n"/>
      <c r="C24" s="2" t="n"/>
      <c r="L24" s="9" t="n"/>
    </row>
    <row r="25" hidden="1">
      <c r="B25" s="21" t="n"/>
      <c r="C25" s="2" t="n"/>
      <c r="L25" s="9" t="n"/>
    </row>
    <row r="26" hidden="1">
      <c r="B26" s="21" t="n"/>
      <c r="C26" s="2" t="n"/>
      <c r="L26" s="9" t="n"/>
    </row>
    <row r="27" hidden="1">
      <c r="B27" s="21" t="n"/>
      <c r="C27" s="2" t="n"/>
      <c r="L27" s="9" t="n"/>
    </row>
    <row r="28" hidden="1">
      <c r="B28" s="21" t="n"/>
      <c r="C28" s="2" t="n"/>
      <c r="L28" s="9" t="n"/>
    </row>
    <row r="29" hidden="1">
      <c r="B29" s="21" t="n"/>
      <c r="C29" s="2" t="n"/>
      <c r="L29" s="9" t="n"/>
    </row>
    <row r="30" hidden="1">
      <c r="B30" s="21" t="n"/>
      <c r="C30" s="2" t="n"/>
      <c r="L30" s="9" t="n"/>
    </row>
    <row r="31" hidden="1">
      <c r="B31" s="21" t="n"/>
      <c r="C31" s="2" t="n"/>
      <c r="L31" s="9" t="n"/>
    </row>
    <row r="32" hidden="1">
      <c r="B32" s="21" t="n"/>
      <c r="C32" s="2" t="n"/>
      <c r="L32" s="9" t="n"/>
    </row>
    <row r="33" hidden="1">
      <c r="B33" s="21" t="n"/>
      <c r="C33" s="2" t="n"/>
      <c r="L33" s="9" t="n"/>
    </row>
    <row r="34" hidden="1">
      <c r="B34" s="21" t="n"/>
      <c r="C34" s="2" t="n"/>
      <c r="L34" s="9" t="n"/>
    </row>
    <row r="35" hidden="1">
      <c r="B35" s="21" t="n"/>
      <c r="C35" s="2" t="n"/>
      <c r="L35" s="9" t="n"/>
    </row>
    <row r="36" hidden="1">
      <c r="B36" s="21" t="n"/>
      <c r="C36" s="2" t="n"/>
      <c r="L36" s="9" t="n"/>
    </row>
    <row r="37" hidden="1">
      <c r="B37" s="21" t="n"/>
      <c r="C37" s="2" t="n"/>
      <c r="L37" s="9" t="n"/>
    </row>
    <row r="38" hidden="1">
      <c r="B38" s="21" t="n"/>
      <c r="C38" s="2" t="n"/>
      <c r="L38" s="9" t="n"/>
    </row>
    <row r="39" hidden="1">
      <c r="B39" s="21" t="n"/>
      <c r="C39" s="2" t="n"/>
      <c r="L39" s="9" t="n"/>
    </row>
    <row r="40" hidden="1">
      <c r="B40" s="21" t="n"/>
      <c r="C40" s="2" t="n"/>
      <c r="L40" s="9" t="n"/>
    </row>
    <row r="41" hidden="1">
      <c r="B41" s="21" t="n"/>
      <c r="C41" s="2" t="n"/>
      <c r="L41" s="9" t="n"/>
    </row>
    <row r="42" hidden="1">
      <c r="B42" s="21" t="n"/>
      <c r="C42" s="2" t="n"/>
      <c r="L42" s="9" t="n"/>
    </row>
    <row r="43" hidden="1">
      <c r="B43" s="21" t="n"/>
      <c r="C43" s="2" t="n"/>
      <c r="L43" s="9" t="n"/>
    </row>
    <row r="44" hidden="1">
      <c r="B44" s="21" t="n"/>
      <c r="C44" s="2" t="n"/>
      <c r="L44" s="9" t="n"/>
    </row>
    <row r="45" hidden="1">
      <c r="B45" s="21" t="n"/>
      <c r="C45" s="2" t="n"/>
      <c r="L45" s="9" t="n"/>
    </row>
    <row r="46" hidden="1">
      <c r="B46" s="21" t="n"/>
      <c r="C46" s="2" t="n"/>
      <c r="L46" s="9" t="n"/>
    </row>
    <row r="47" hidden="1">
      <c r="B47" s="21" t="n"/>
      <c r="C47" s="2" t="n"/>
      <c r="L47" s="9" t="n"/>
    </row>
    <row r="48" hidden="1">
      <c r="B48" s="21" t="n"/>
      <c r="C48" s="2" t="n"/>
      <c r="L48" s="9" t="n"/>
    </row>
    <row r="49" hidden="1">
      <c r="B49" s="21" t="n"/>
      <c r="C49" s="2" t="n"/>
      <c r="L49" s="9" t="n"/>
    </row>
    <row r="50">
      <c r="B50" s="21" t="n"/>
      <c r="C50" s="2" t="n"/>
      <c r="L50" s="9" t="n"/>
    </row>
    <row r="51" hidden="1">
      <c r="B51" s="21" t="n"/>
      <c r="C51" s="2" t="n"/>
      <c r="L51" s="9" t="n"/>
    </row>
    <row r="52" hidden="1">
      <c r="B52" s="21" t="n"/>
      <c r="C52" s="2" t="n"/>
      <c r="L52" s="9" t="n"/>
    </row>
    <row r="53" hidden="1">
      <c r="B53" s="21" t="n"/>
      <c r="C53" s="2" t="n"/>
      <c r="L53" s="9" t="n"/>
    </row>
    <row r="54" hidden="1">
      <c r="B54" s="21" t="n"/>
      <c r="C54" s="2" t="n"/>
      <c r="L54" s="9" t="n"/>
    </row>
    <row r="55" hidden="1">
      <c r="B55" s="21" t="n"/>
      <c r="C55" s="2" t="n"/>
      <c r="L55" s="9" t="n"/>
    </row>
    <row r="56" hidden="1">
      <c r="B56" s="21" t="n"/>
      <c r="C56" s="2" t="n"/>
      <c r="L56" s="9" t="n"/>
    </row>
    <row r="57" hidden="1">
      <c r="B57" s="21" t="n"/>
      <c r="C57" s="2" t="n"/>
      <c r="L57" s="9" t="n"/>
    </row>
    <row r="58" hidden="1">
      <c r="B58" s="21" t="n"/>
      <c r="C58" s="2" t="n"/>
      <c r="L58" s="9" t="n"/>
    </row>
    <row r="59" hidden="1">
      <c r="B59" s="21" t="n"/>
      <c r="C59" s="2" t="n"/>
      <c r="L59" s="9" t="n"/>
    </row>
    <row r="60" hidden="1">
      <c r="B60" s="21" t="n"/>
      <c r="C60" s="2" t="n"/>
      <c r="L60" s="9" t="n"/>
    </row>
    <row r="61" hidden="1">
      <c r="B61" s="21" t="n"/>
      <c r="C61" s="2" t="n"/>
      <c r="L61" s="9" t="n"/>
    </row>
    <row r="62" hidden="1">
      <c r="B62" s="21" t="n"/>
      <c r="C62" s="2" t="n"/>
      <c r="L62" s="9" t="n"/>
    </row>
    <row r="63" hidden="1">
      <c r="B63" s="21" t="n"/>
      <c r="C63" s="2" t="n"/>
      <c r="L63" s="9" t="n"/>
    </row>
    <row r="64" hidden="1">
      <c r="B64" s="21" t="n"/>
      <c r="C64" s="2" t="n"/>
      <c r="L64" s="9" t="n"/>
    </row>
    <row r="65">
      <c r="B65" s="21" t="n"/>
      <c r="C65" s="2" t="n"/>
      <c r="L65" s="9" t="n"/>
    </row>
    <row r="66" hidden="1">
      <c r="B66" s="21" t="n"/>
      <c r="C66" s="2" t="n"/>
      <c r="L66" s="9" t="n"/>
    </row>
    <row r="67" hidden="1">
      <c r="B67" s="21" t="n"/>
      <c r="C67" s="2" t="n"/>
      <c r="L67" s="9" t="n"/>
    </row>
    <row r="68" hidden="1">
      <c r="B68" s="21" t="n"/>
      <c r="C68" s="2" t="n"/>
      <c r="L68" s="9" t="n"/>
    </row>
    <row r="69" hidden="1">
      <c r="B69" s="21" t="n"/>
      <c r="C69" s="2" t="n"/>
      <c r="L69" s="9" t="n"/>
    </row>
    <row r="70" hidden="1">
      <c r="B70" s="21" t="n"/>
      <c r="C70" s="2" t="n"/>
      <c r="L70" s="9" t="n"/>
    </row>
    <row r="71" hidden="1">
      <c r="B71" s="21" t="n"/>
      <c r="C71" s="2" t="n"/>
      <c r="L71" s="9" t="n"/>
    </row>
    <row r="72" hidden="1">
      <c r="B72" s="21" t="n"/>
      <c r="C72" s="2" t="n"/>
      <c r="L72" s="9" t="n"/>
    </row>
    <row r="73" hidden="1">
      <c r="B73" s="21" t="n"/>
      <c r="C73" s="2" t="n"/>
      <c r="L73" s="9" t="n"/>
    </row>
    <row r="74" hidden="1">
      <c r="B74" s="21" t="n"/>
      <c r="C74" s="2" t="n"/>
      <c r="L74" s="9" t="n"/>
    </row>
    <row r="75" hidden="1">
      <c r="B75" s="21" t="n"/>
      <c r="C75" s="2" t="n"/>
      <c r="L75" s="9" t="n"/>
    </row>
    <row r="76" hidden="1">
      <c r="B76" s="21" t="n"/>
      <c r="C76" s="2" t="n"/>
      <c r="L76" s="9" t="n"/>
    </row>
    <row r="77" hidden="1">
      <c r="B77" s="21" t="n"/>
      <c r="C77" s="2" t="n"/>
      <c r="L77" s="9" t="n"/>
    </row>
    <row r="78" hidden="1">
      <c r="B78" s="21" t="n"/>
      <c r="C78" s="2" t="n"/>
      <c r="L78" s="9" t="n"/>
    </row>
    <row r="79" hidden="1">
      <c r="B79" s="21" t="n"/>
      <c r="C79" s="2" t="n"/>
      <c r="L79" s="9" t="n"/>
    </row>
    <row r="80" hidden="1">
      <c r="B80" s="21" t="n"/>
      <c r="C80" s="2" t="n"/>
      <c r="L80" s="9" t="n"/>
    </row>
    <row r="81" hidden="1">
      <c r="B81" s="21" t="n"/>
      <c r="C81" s="2" t="n"/>
      <c r="L81" s="9" t="n"/>
    </row>
    <row r="82" hidden="1">
      <c r="B82" s="21" t="n"/>
      <c r="C82" s="2" t="n"/>
      <c r="L82" s="9" t="n"/>
    </row>
    <row r="83" hidden="1">
      <c r="B83" s="21" t="n"/>
      <c r="C83" s="2" t="n"/>
      <c r="L83" s="9" t="n"/>
    </row>
    <row r="84" hidden="1">
      <c r="B84" s="21" t="n"/>
      <c r="C84" s="2" t="n"/>
      <c r="L84" s="9" t="n"/>
    </row>
    <row r="85" hidden="1">
      <c r="B85" s="21" t="n"/>
      <c r="C85" s="2" t="n"/>
      <c r="L85" s="9" t="n"/>
    </row>
    <row r="86" hidden="1">
      <c r="B86" s="21" t="n"/>
      <c r="C86" s="2" t="n"/>
      <c r="L86" s="9" t="n"/>
    </row>
    <row r="87" hidden="1">
      <c r="B87" s="21" t="n"/>
      <c r="C87" s="2" t="n"/>
      <c r="L87" s="9" t="n"/>
    </row>
    <row r="88" hidden="1">
      <c r="B88" s="21" t="n"/>
      <c r="C88" s="2" t="n"/>
      <c r="L88" s="9" t="n"/>
    </row>
    <row r="89" hidden="1">
      <c r="B89" s="21" t="n"/>
      <c r="C89" s="2" t="n"/>
      <c r="L89" s="9" t="n"/>
    </row>
    <row r="90" hidden="1">
      <c r="B90" s="21" t="n"/>
      <c r="C90" s="2" t="n"/>
      <c r="L90" s="9" t="n"/>
    </row>
    <row r="91" hidden="1">
      <c r="B91" s="21" t="n"/>
      <c r="C91" s="2" t="n"/>
      <c r="L91" s="9" t="n"/>
    </row>
    <row r="92" hidden="1">
      <c r="B92" s="21" t="n"/>
      <c r="C92" s="2" t="n"/>
      <c r="L92" s="9" t="n"/>
    </row>
    <row r="93" hidden="1">
      <c r="B93" s="21" t="n"/>
      <c r="C93" s="2" t="n"/>
      <c r="L93" s="9" t="n"/>
    </row>
    <row r="94" hidden="1">
      <c r="B94" s="21" t="n"/>
      <c r="C94" s="2" t="n"/>
      <c r="L94" s="9" t="n"/>
    </row>
    <row r="95" hidden="1">
      <c r="B95" s="21" t="n"/>
      <c r="C95" s="2" t="n"/>
      <c r="L95" s="9" t="n"/>
    </row>
    <row r="96" hidden="1">
      <c r="B96" s="21" t="n"/>
      <c r="C96" s="2" t="n"/>
      <c r="L96" s="9" t="n"/>
    </row>
    <row r="97" hidden="1">
      <c r="B97" s="21" t="n"/>
      <c r="C97" s="2" t="n"/>
      <c r="L97" s="9" t="n"/>
    </row>
    <row r="98" hidden="1">
      <c r="B98" s="21" t="n"/>
      <c r="C98" s="2" t="n"/>
      <c r="L98" s="9" t="n"/>
    </row>
    <row r="99" hidden="1">
      <c r="B99" s="21" t="n"/>
      <c r="C99" s="2" t="n"/>
      <c r="L99" s="9" t="n"/>
    </row>
    <row r="100" hidden="1">
      <c r="B100" s="21" t="n"/>
      <c r="C100" s="2" t="n"/>
      <c r="L100" s="9" t="n"/>
    </row>
    <row r="101">
      <c r="B101" s="21" t="n"/>
      <c r="C101" s="2" t="n"/>
      <c r="L101" s="9" t="n"/>
    </row>
    <row r="102" hidden="1">
      <c r="B102" s="21" t="n"/>
      <c r="C102" s="2" t="n"/>
      <c r="L102" s="9" t="n"/>
    </row>
    <row r="103" hidden="1">
      <c r="B103" s="21" t="n"/>
      <c r="C103" s="2" t="n"/>
      <c r="L103" s="9" t="n"/>
    </row>
    <row r="104" hidden="1">
      <c r="B104" s="21" t="n"/>
      <c r="C104" s="2" t="n"/>
      <c r="L104" s="9" t="n"/>
    </row>
    <row r="105" hidden="1">
      <c r="B105" s="21" t="n"/>
      <c r="C105" s="2" t="n"/>
      <c r="L105" s="9" t="n"/>
    </row>
    <row r="106" hidden="1">
      <c r="B106" s="21" t="n"/>
      <c r="C106" s="2" t="n"/>
      <c r="L106" s="9" t="n"/>
    </row>
    <row r="107" hidden="1">
      <c r="B107" s="21" t="n"/>
      <c r="C107" s="2" t="n"/>
      <c r="L107" s="9" t="n"/>
    </row>
    <row r="108" hidden="1">
      <c r="B108" s="21" t="n"/>
      <c r="C108" s="2" t="n"/>
      <c r="L108" s="9" t="n"/>
    </row>
    <row r="109" hidden="1">
      <c r="B109" s="21" t="n"/>
      <c r="C109" s="2" t="n"/>
      <c r="L109" s="9" t="n"/>
    </row>
    <row r="110" hidden="1">
      <c r="B110" s="21" t="n"/>
      <c r="C110" s="2" t="n"/>
      <c r="L110" s="9" t="n"/>
    </row>
    <row r="111" hidden="1">
      <c r="B111" s="21" t="n"/>
      <c r="C111" s="2" t="n"/>
      <c r="L111" s="9" t="n"/>
    </row>
    <row r="112" hidden="1">
      <c r="B112" s="21" t="n"/>
      <c r="C112" s="2" t="n"/>
      <c r="L112" s="9" t="n"/>
    </row>
    <row r="113" hidden="1">
      <c r="B113" s="21" t="n"/>
      <c r="C113" s="2" t="n"/>
      <c r="L113" s="9" t="n"/>
    </row>
    <row r="114" hidden="1">
      <c r="B114" s="21" t="n"/>
      <c r="C114" s="2" t="n"/>
      <c r="L114" s="9" t="n"/>
    </row>
    <row r="115" hidden="1">
      <c r="B115" s="21" t="n"/>
      <c r="C115" s="2" t="n"/>
      <c r="L115" s="9" t="n"/>
    </row>
    <row r="116" hidden="1">
      <c r="B116" s="21" t="n"/>
      <c r="C116" s="2" t="n"/>
      <c r="L116" s="9" t="n"/>
    </row>
    <row r="117" hidden="1">
      <c r="B117" s="21" t="n"/>
      <c r="C117" s="2" t="n"/>
      <c r="L117" s="9" t="n"/>
    </row>
    <row r="118" hidden="1">
      <c r="B118" s="21" t="n"/>
      <c r="C118" s="2" t="n"/>
      <c r="L118" s="9" t="n"/>
    </row>
    <row r="119" hidden="1">
      <c r="B119" s="21" t="n"/>
      <c r="C119" s="2" t="n"/>
      <c r="L119" s="9" t="n"/>
    </row>
    <row r="120" hidden="1">
      <c r="B120" s="21" t="n"/>
      <c r="C120" s="2" t="n"/>
      <c r="L120" s="9" t="n"/>
    </row>
    <row r="121" hidden="1">
      <c r="B121" s="21" t="n"/>
      <c r="C121" s="2" t="n"/>
      <c r="L121" s="9" t="n"/>
    </row>
    <row r="122" hidden="1">
      <c r="B122" s="21" t="n"/>
      <c r="C122" s="2" t="n"/>
      <c r="L122" s="9" t="n"/>
    </row>
    <row r="123">
      <c r="B123" s="21" t="n"/>
      <c r="C123" s="2" t="n"/>
      <c r="L123" s="9" t="n"/>
    </row>
    <row r="124" hidden="1">
      <c r="B124" s="21" t="n"/>
      <c r="C124" s="2" t="n"/>
      <c r="L124" s="9" t="n"/>
    </row>
    <row r="125" hidden="1">
      <c r="B125" s="21" t="n"/>
      <c r="C125" s="2" t="n"/>
      <c r="L125" s="9" t="n"/>
    </row>
    <row r="126" hidden="1">
      <c r="B126" s="21" t="n"/>
      <c r="C126" s="2" t="n"/>
      <c r="L126" s="9" t="n"/>
    </row>
    <row r="127" hidden="1">
      <c r="B127" s="21" t="n"/>
      <c r="C127" s="2" t="n"/>
      <c r="L127" s="9" t="n"/>
    </row>
    <row r="128" hidden="1">
      <c r="B128" s="21" t="n"/>
      <c r="C128" s="2" t="n"/>
      <c r="L128" s="9" t="n"/>
    </row>
    <row r="129" hidden="1">
      <c r="B129" s="21" t="n"/>
      <c r="C129" s="2" t="n"/>
      <c r="L129" s="9" t="n"/>
    </row>
    <row r="130" hidden="1">
      <c r="B130" s="21" t="n"/>
      <c r="C130" s="2" t="n"/>
      <c r="L130" s="9" t="n"/>
    </row>
    <row r="131" hidden="1">
      <c r="B131" s="21" t="n"/>
      <c r="C131" s="2" t="n"/>
      <c r="L131" s="9" t="n"/>
    </row>
    <row r="132" hidden="1">
      <c r="B132" s="21" t="n"/>
      <c r="C132" s="2" t="n"/>
      <c r="L132" s="9" t="n"/>
    </row>
    <row r="133" hidden="1">
      <c r="B133" s="21" t="n"/>
      <c r="C133" s="2" t="n"/>
      <c r="L133" s="9" t="n"/>
    </row>
    <row r="134" hidden="1">
      <c r="B134" s="21" t="n"/>
      <c r="C134" s="2" t="n"/>
      <c r="L134" s="9" t="n"/>
    </row>
    <row r="135" hidden="1">
      <c r="B135" s="21" t="n"/>
      <c r="C135" s="2" t="n"/>
      <c r="L135" s="9" t="n"/>
    </row>
    <row r="136" hidden="1">
      <c r="B136" s="21" t="n"/>
      <c r="C136" s="2" t="n"/>
      <c r="L136" s="9" t="n"/>
    </row>
    <row r="137" hidden="1">
      <c r="B137" s="21" t="n"/>
      <c r="C137" s="2" t="n"/>
      <c r="L137" s="9" t="n"/>
    </row>
    <row r="138" hidden="1">
      <c r="B138" s="21" t="n"/>
      <c r="C138" s="2" t="n"/>
      <c r="L138" s="9" t="n"/>
    </row>
    <row r="139" hidden="1">
      <c r="B139" s="21" t="n"/>
      <c r="C139" s="2" t="n"/>
      <c r="L139" s="9" t="n"/>
    </row>
    <row r="140" hidden="1">
      <c r="B140" s="21" t="n"/>
      <c r="C140" s="2" t="n"/>
      <c r="L140" s="9" t="n"/>
    </row>
    <row r="141" hidden="1">
      <c r="B141" s="21" t="n"/>
      <c r="C141" s="2" t="n"/>
      <c r="L141" s="9" t="n"/>
    </row>
    <row r="142" hidden="1">
      <c r="B142" s="21" t="n"/>
      <c r="C142" s="2" t="n"/>
      <c r="L142" s="9" t="n"/>
    </row>
    <row r="143" hidden="1">
      <c r="B143" s="21" t="n"/>
      <c r="C143" s="2" t="n"/>
      <c r="L143" s="9" t="n"/>
    </row>
    <row r="144" hidden="1">
      <c r="B144" s="21" t="n"/>
      <c r="C144" s="2" t="n"/>
      <c r="L144" s="9" t="n"/>
    </row>
    <row r="145" hidden="1">
      <c r="B145" s="21" t="n"/>
      <c r="C145" s="2" t="n"/>
      <c r="L145" s="9" t="n"/>
    </row>
    <row r="146" hidden="1">
      <c r="B146" s="21" t="n"/>
      <c r="C146" s="2" t="n"/>
      <c r="L146" s="9" t="n"/>
    </row>
    <row r="147" hidden="1">
      <c r="B147" s="21" t="n"/>
      <c r="C147" s="2" t="n"/>
      <c r="L147" s="9" t="n"/>
    </row>
    <row r="148" hidden="1">
      <c r="B148" s="21" t="n"/>
      <c r="C148" s="2" t="n"/>
      <c r="L148" s="9" t="n"/>
    </row>
    <row r="149" hidden="1">
      <c r="B149" s="21" t="n"/>
      <c r="C149" s="2" t="n"/>
      <c r="L149" s="9" t="n"/>
    </row>
    <row r="150" hidden="1">
      <c r="B150" s="21" t="n"/>
      <c r="C150" s="2" t="n"/>
      <c r="L150" s="9" t="n"/>
    </row>
    <row r="151" hidden="1">
      <c r="B151" s="21" t="n"/>
      <c r="C151" s="2" t="n"/>
      <c r="L151" s="9" t="n"/>
    </row>
    <row r="152" hidden="1">
      <c r="B152" s="21" t="n"/>
      <c r="C152" s="2" t="n"/>
      <c r="L152" s="9" t="n"/>
    </row>
    <row r="153" hidden="1">
      <c r="B153" s="21" t="n"/>
      <c r="C153" s="2" t="n"/>
      <c r="L153" s="9" t="n"/>
    </row>
    <row r="154" hidden="1">
      <c r="B154" s="21" t="n"/>
      <c r="C154" s="2" t="n"/>
      <c r="L154" s="9" t="n"/>
    </row>
    <row r="155" hidden="1">
      <c r="B155" s="21" t="n"/>
      <c r="C155" s="2" t="n"/>
      <c r="L155" s="9" t="n"/>
    </row>
    <row r="156" hidden="1">
      <c r="B156" s="21" t="n"/>
      <c r="C156" s="2" t="n"/>
      <c r="L156" s="9" t="n"/>
    </row>
    <row r="157" hidden="1">
      <c r="B157" s="21" t="n"/>
      <c r="C157" s="2" t="n"/>
      <c r="L157" s="9" t="n"/>
    </row>
    <row r="158" hidden="1">
      <c r="B158" s="21" t="n"/>
      <c r="C158" s="2" t="n"/>
      <c r="L158" s="9" t="n"/>
    </row>
    <row r="159">
      <c r="B159" s="21" t="n"/>
      <c r="C159" s="2" t="n"/>
      <c r="L159" s="9" t="n"/>
    </row>
    <row r="160" hidden="1">
      <c r="B160" s="21" t="n"/>
      <c r="C160" s="2" t="n"/>
      <c r="L160" s="9" t="n"/>
    </row>
    <row r="161" hidden="1">
      <c r="B161" s="21" t="n"/>
      <c r="C161" s="2" t="n"/>
      <c r="L161" s="9" t="n"/>
    </row>
    <row r="162" hidden="1">
      <c r="B162" s="21" t="n"/>
      <c r="C162" s="2" t="n"/>
      <c r="L162" s="9" t="n"/>
    </row>
    <row r="163" hidden="1">
      <c r="B163" s="21" t="n"/>
      <c r="C163" s="2" t="n"/>
      <c r="L163" s="9" t="n"/>
    </row>
    <row r="164" hidden="1">
      <c r="B164" s="21" t="n"/>
      <c r="C164" s="2" t="n"/>
      <c r="L164" s="9" t="n"/>
    </row>
    <row r="165" hidden="1">
      <c r="B165" s="21" t="n"/>
      <c r="C165" s="2" t="n"/>
      <c r="L165" s="9" t="n"/>
    </row>
    <row r="166" hidden="1">
      <c r="B166" s="21" t="n"/>
      <c r="C166" s="2" t="n"/>
      <c r="L166" s="9" t="n"/>
    </row>
    <row r="167" hidden="1">
      <c r="B167" s="21" t="n"/>
      <c r="C167" s="2" t="n"/>
      <c r="L167" s="9" t="n"/>
    </row>
    <row r="168" hidden="1">
      <c r="B168" s="21" t="n"/>
      <c r="C168" s="2" t="n"/>
      <c r="L168" s="9" t="n"/>
    </row>
    <row r="169" hidden="1">
      <c r="B169" s="21" t="n"/>
      <c r="C169" s="2" t="n"/>
      <c r="L169" s="9" t="n"/>
    </row>
    <row r="170" hidden="1">
      <c r="B170" s="21" t="n"/>
      <c r="C170" s="2" t="n"/>
      <c r="L170" s="9" t="n"/>
    </row>
    <row r="171" hidden="1">
      <c r="B171" s="21" t="n"/>
      <c r="C171" s="2" t="n"/>
      <c r="L171" s="9" t="n"/>
    </row>
    <row r="172" hidden="1">
      <c r="B172" s="21" t="n"/>
      <c r="C172" s="2" t="n"/>
      <c r="L172" s="9" t="n"/>
    </row>
    <row r="173" hidden="1">
      <c r="B173" s="21" t="n"/>
      <c r="C173" s="2" t="n"/>
      <c r="L173" s="9" t="n"/>
    </row>
    <row r="174" hidden="1">
      <c r="B174" s="21" t="n"/>
      <c r="C174" s="2" t="n"/>
      <c r="L174" s="9" t="n"/>
    </row>
    <row r="175" hidden="1">
      <c r="B175" s="21" t="n"/>
      <c r="C175" s="2" t="n"/>
      <c r="L175" s="9" t="n"/>
    </row>
    <row r="176" hidden="1">
      <c r="B176" s="21" t="n"/>
      <c r="C176" s="2" t="n"/>
      <c r="L176" s="9" t="n"/>
    </row>
    <row r="177" hidden="1">
      <c r="B177" s="21" t="n"/>
      <c r="C177" s="2" t="n"/>
      <c r="L177" s="9" t="n"/>
    </row>
    <row r="178" hidden="1">
      <c r="B178" s="21" t="n"/>
      <c r="C178" s="2" t="n"/>
      <c r="L178" s="9" t="n"/>
    </row>
    <row r="179" hidden="1">
      <c r="B179" s="21" t="n"/>
      <c r="C179" s="2" t="n"/>
      <c r="L179" s="9" t="n"/>
    </row>
    <row r="180" hidden="1">
      <c r="B180" s="21" t="n"/>
      <c r="C180" s="2" t="n"/>
      <c r="L180" s="9" t="n"/>
    </row>
    <row r="181" hidden="1">
      <c r="B181" s="21" t="n"/>
      <c r="C181" s="2" t="n"/>
      <c r="L181" s="9" t="n"/>
    </row>
    <row r="182" hidden="1">
      <c r="B182" s="21" t="n"/>
      <c r="C182" s="2" t="n"/>
      <c r="L182" s="9" t="n"/>
    </row>
    <row r="183" hidden="1">
      <c r="B183" s="21" t="n"/>
      <c r="C183" s="2" t="n"/>
      <c r="L183" s="9" t="n"/>
    </row>
    <row r="184" hidden="1">
      <c r="B184" s="21" t="n"/>
      <c r="C184" s="2" t="n"/>
      <c r="L184" s="9" t="n"/>
    </row>
    <row r="185" hidden="1">
      <c r="B185" s="21" t="n"/>
      <c r="C185" s="2" t="n"/>
      <c r="L185" s="9" t="n"/>
    </row>
    <row r="186" hidden="1">
      <c r="B186" s="21" t="n"/>
      <c r="C186" s="2" t="n"/>
      <c r="L186" s="9" t="n"/>
    </row>
    <row r="187" hidden="1">
      <c r="B187" s="21" t="n"/>
      <c r="C187" s="2" t="n"/>
      <c r="L187" s="9" t="n"/>
    </row>
    <row r="188" hidden="1">
      <c r="B188" s="21" t="n"/>
      <c r="C188" s="2" t="n"/>
      <c r="L188" s="9" t="n"/>
    </row>
    <row r="189" hidden="1">
      <c r="B189" s="21" t="n"/>
      <c r="C189" s="2" t="n"/>
      <c r="L189" s="9" t="n"/>
    </row>
    <row r="190" hidden="1">
      <c r="B190" s="21" t="n"/>
      <c r="C190" s="2" t="n"/>
      <c r="L190" s="9" t="n"/>
    </row>
    <row r="191" hidden="1">
      <c r="B191" s="21" t="n"/>
      <c r="C191" s="2" t="n"/>
      <c r="L191" s="9" t="n"/>
    </row>
    <row r="192" hidden="1">
      <c r="B192" s="21" t="n"/>
      <c r="C192" s="2" t="n"/>
      <c r="L192" s="9" t="n"/>
    </row>
    <row r="193" hidden="1">
      <c r="B193" s="21" t="n"/>
      <c r="C193" s="2" t="n"/>
      <c r="L193" s="9" t="n"/>
    </row>
    <row r="194" hidden="1">
      <c r="B194" s="21" t="n"/>
      <c r="C194" s="2" t="n"/>
      <c r="L194" s="9" t="n"/>
    </row>
    <row r="195" hidden="1">
      <c r="B195" s="21" t="n"/>
      <c r="C195" s="2" t="n"/>
      <c r="L195" s="9" t="n"/>
    </row>
    <row r="196" hidden="1">
      <c r="B196" s="21" t="n"/>
      <c r="C196" s="2" t="n"/>
      <c r="L196" s="9" t="n"/>
    </row>
    <row r="197" hidden="1">
      <c r="B197" s="21" t="n"/>
      <c r="C197" s="2" t="n"/>
      <c r="L197" s="9" t="n"/>
    </row>
    <row r="198" hidden="1">
      <c r="B198" s="21" t="n"/>
      <c r="C198" s="2" t="n"/>
      <c r="L198" s="9" t="n"/>
    </row>
    <row r="199" hidden="1">
      <c r="B199" s="21" t="n"/>
      <c r="C199" s="2" t="n"/>
      <c r="L199" s="9" t="n"/>
    </row>
    <row r="200" hidden="1">
      <c r="B200" s="21" t="n"/>
      <c r="C200" s="2" t="n"/>
      <c r="L200" s="9" t="n"/>
    </row>
    <row r="201">
      <c r="B201" s="21" t="n"/>
      <c r="C201" s="2" t="n"/>
      <c r="L201" s="9" t="n"/>
    </row>
    <row r="202" hidden="1">
      <c r="B202" s="21" t="n"/>
      <c r="C202" s="2" t="n"/>
      <c r="L202" s="9" t="n"/>
    </row>
    <row r="203" hidden="1">
      <c r="B203" s="21" t="n"/>
      <c r="C203" s="2" t="n"/>
      <c r="L203" s="9" t="n"/>
    </row>
    <row r="204" hidden="1">
      <c r="B204" s="21" t="n"/>
      <c r="C204" s="2" t="n"/>
      <c r="L204" s="9" t="n"/>
    </row>
    <row r="205" hidden="1">
      <c r="B205" s="21" t="n"/>
      <c r="C205" s="2" t="n"/>
      <c r="L205" s="9" t="n"/>
    </row>
    <row r="206" hidden="1">
      <c r="B206" s="21" t="n"/>
      <c r="C206" s="2" t="n"/>
      <c r="L206" s="9" t="n"/>
    </row>
    <row r="207" hidden="1">
      <c r="B207" s="21" t="n"/>
      <c r="C207" s="2" t="n"/>
      <c r="L207" s="9" t="n"/>
    </row>
    <row r="208" hidden="1">
      <c r="B208" s="21" t="n"/>
      <c r="C208" s="2" t="n"/>
      <c r="L208" s="9" t="n"/>
    </row>
    <row r="209" hidden="1">
      <c r="B209" s="21" t="n"/>
      <c r="C209" s="2" t="n"/>
      <c r="L209" s="9" t="n"/>
    </row>
    <row r="210" hidden="1">
      <c r="B210" s="21" t="n"/>
      <c r="C210" s="2" t="n"/>
      <c r="L210" s="9" t="n"/>
    </row>
    <row r="211" hidden="1">
      <c r="B211" s="21" t="n"/>
      <c r="C211" s="2" t="n"/>
      <c r="L211" s="9" t="n"/>
    </row>
    <row r="212" hidden="1">
      <c r="B212" s="21" t="n"/>
      <c r="C212" s="2" t="n"/>
      <c r="L212" s="9" t="n"/>
    </row>
    <row r="213" hidden="1">
      <c r="B213" s="21" t="n"/>
      <c r="C213" s="2" t="n"/>
      <c r="L213" s="9" t="n"/>
    </row>
    <row r="214" hidden="1">
      <c r="B214" s="21" t="n"/>
      <c r="C214" s="2" t="n"/>
      <c r="L214" s="9" t="n"/>
    </row>
    <row r="215" hidden="1">
      <c r="B215" s="21" t="n"/>
      <c r="C215" s="2" t="n"/>
      <c r="L215" s="9" t="n"/>
    </row>
    <row r="216" hidden="1">
      <c r="B216" s="21" t="n"/>
      <c r="C216" s="2" t="n"/>
      <c r="L216" s="9" t="n"/>
    </row>
    <row r="217" hidden="1">
      <c r="B217" s="21" t="n"/>
      <c r="C217" s="2" t="n"/>
      <c r="L217" s="9" t="n"/>
    </row>
    <row r="218" hidden="1">
      <c r="B218" s="21" t="n"/>
      <c r="C218" s="2" t="n"/>
      <c r="L218" s="9" t="n"/>
    </row>
    <row r="219" hidden="1">
      <c r="B219" s="21" t="n"/>
      <c r="C219" s="2" t="n"/>
      <c r="L219" s="9" t="n"/>
    </row>
    <row r="220" hidden="1">
      <c r="B220" s="21" t="n"/>
      <c r="C220" s="2" t="n"/>
      <c r="L220" s="9" t="n"/>
    </row>
    <row r="221" hidden="1">
      <c r="B221" s="21" t="n"/>
      <c r="C221" s="2" t="n"/>
      <c r="L221" s="9" t="n"/>
    </row>
    <row r="222" hidden="1">
      <c r="B222" s="21" t="n"/>
      <c r="C222" s="2" t="n"/>
      <c r="L222" s="9" t="n"/>
    </row>
    <row r="223" hidden="1">
      <c r="B223" s="21" t="n"/>
      <c r="C223" s="2" t="n"/>
      <c r="L223" s="9" t="n"/>
    </row>
    <row r="224" hidden="1">
      <c r="B224" s="21" t="n"/>
      <c r="C224" s="2" t="n"/>
      <c r="L224" s="9" t="n"/>
    </row>
    <row r="225">
      <c r="B225" s="21" t="n"/>
      <c r="C225" s="2" t="n"/>
      <c r="L225" s="9" t="n"/>
    </row>
    <row r="226" hidden="1">
      <c r="B226" s="21" t="n"/>
      <c r="C226" s="2" t="n"/>
      <c r="L226" s="9" t="n"/>
    </row>
    <row r="227" hidden="1">
      <c r="B227" s="21" t="n"/>
      <c r="C227" s="2" t="n"/>
      <c r="L227" s="9" t="n"/>
    </row>
    <row r="228" hidden="1">
      <c r="B228" s="21" t="n"/>
      <c r="C228" s="2" t="n"/>
      <c r="L228" s="9" t="n"/>
    </row>
    <row r="229" hidden="1">
      <c r="B229" s="21" t="n"/>
      <c r="C229" s="2" t="n"/>
      <c r="L229" s="9" t="n"/>
    </row>
    <row r="230" hidden="1">
      <c r="B230" s="21" t="n"/>
      <c r="C230" s="2" t="n"/>
      <c r="L230" s="9" t="n"/>
    </row>
    <row r="231" hidden="1">
      <c r="B231" s="21" t="n"/>
      <c r="C231" s="2" t="n"/>
      <c r="L231" s="9" t="n"/>
    </row>
    <row r="232" hidden="1">
      <c r="B232" s="21" t="n"/>
      <c r="C232" s="2" t="n"/>
      <c r="L232" s="9" t="n"/>
    </row>
    <row r="233" hidden="1">
      <c r="B233" s="21" t="n"/>
      <c r="C233" s="2" t="n"/>
      <c r="L233" s="9" t="n"/>
    </row>
    <row r="234" hidden="1">
      <c r="B234" s="21" t="n"/>
      <c r="C234" s="2" t="n"/>
      <c r="L234" s="9" t="n"/>
    </row>
    <row r="235">
      <c r="B235" s="21" t="n"/>
      <c r="C235" s="2" t="n"/>
      <c r="L235" s="9" t="n"/>
    </row>
    <row r="236" hidden="1">
      <c r="B236" s="21" t="n"/>
      <c r="C236" s="2" t="n"/>
      <c r="L236" s="9" t="n"/>
    </row>
    <row r="237" hidden="1">
      <c r="B237" s="21" t="n"/>
      <c r="C237" s="2" t="n"/>
      <c r="L237" s="9" t="n"/>
    </row>
    <row r="238" hidden="1">
      <c r="B238" s="21" t="n"/>
      <c r="C238" s="2" t="n"/>
      <c r="L238" s="9" t="n"/>
    </row>
    <row r="239" hidden="1">
      <c r="B239" s="21" t="n"/>
      <c r="C239" s="2" t="n"/>
      <c r="L239" s="9" t="n"/>
    </row>
    <row r="240" hidden="1">
      <c r="B240" s="21" t="n"/>
      <c r="C240" s="2" t="n"/>
      <c r="L240" s="9" t="n"/>
    </row>
    <row r="241" hidden="1">
      <c r="B241" s="21" t="n"/>
      <c r="C241" s="2" t="n"/>
      <c r="L241" s="9" t="n"/>
    </row>
    <row r="242" hidden="1">
      <c r="B242" s="21" t="n"/>
      <c r="C242" s="2" t="n"/>
      <c r="L242" s="9" t="n"/>
    </row>
    <row r="243" hidden="1">
      <c r="B243" s="21" t="n"/>
      <c r="C243" s="2" t="n"/>
      <c r="L243" s="9" t="n"/>
    </row>
    <row r="244" hidden="1">
      <c r="B244" s="21" t="n"/>
      <c r="C244" s="2" t="n"/>
      <c r="L244" s="9" t="n"/>
    </row>
    <row r="245" hidden="1">
      <c r="B245" s="21" t="n"/>
      <c r="C245" s="2" t="n"/>
      <c r="L245" s="9" t="n"/>
    </row>
    <row r="246" hidden="1">
      <c r="B246" s="21" t="n"/>
      <c r="C246" s="2" t="n"/>
      <c r="L246" s="9" t="n"/>
    </row>
    <row r="247" hidden="1">
      <c r="B247" s="21" t="n"/>
      <c r="C247" s="2" t="n"/>
      <c r="L247" s="9" t="n"/>
    </row>
    <row r="248" hidden="1">
      <c r="B248" s="21" t="n"/>
      <c r="C248" s="2" t="n"/>
      <c r="L248" s="9" t="n"/>
    </row>
    <row r="249" hidden="1">
      <c r="B249" s="21" t="n"/>
      <c r="C249" s="2" t="n"/>
      <c r="L249" s="9" t="n"/>
    </row>
    <row r="250" hidden="1">
      <c r="B250" s="21" t="n"/>
      <c r="C250" s="2" t="n"/>
      <c r="L250" s="9" t="n"/>
    </row>
    <row r="251" hidden="1">
      <c r="B251" s="21" t="n"/>
      <c r="C251" s="2" t="n"/>
      <c r="L251" s="9" t="n"/>
    </row>
    <row r="252" hidden="1">
      <c r="B252" s="21" t="n"/>
      <c r="C252" s="2" t="n"/>
      <c r="L252" s="9" t="n"/>
    </row>
    <row r="253" hidden="1">
      <c r="B253" s="21" t="n"/>
      <c r="C253" s="2" t="n"/>
      <c r="L253" s="9" t="n"/>
    </row>
    <row r="254" hidden="1">
      <c r="B254" s="21" t="n"/>
      <c r="C254" s="2" t="n"/>
      <c r="L254" s="9" t="n"/>
    </row>
    <row r="255" hidden="1">
      <c r="B255" s="21" t="n"/>
      <c r="C255" s="2" t="n"/>
      <c r="L255" s="9" t="n"/>
    </row>
    <row r="256" hidden="1">
      <c r="B256" s="21" t="n"/>
      <c r="C256" s="2" t="n"/>
      <c r="L256" s="9" t="n"/>
    </row>
    <row r="257" hidden="1">
      <c r="B257" s="21" t="n"/>
      <c r="C257" s="2" t="n"/>
      <c r="L257" s="9" t="n"/>
    </row>
    <row r="258" hidden="1">
      <c r="B258" s="21" t="n"/>
      <c r="C258" s="2" t="n"/>
      <c r="L258" s="9" t="n"/>
    </row>
    <row r="259" hidden="1">
      <c r="B259" s="21" t="n"/>
      <c r="C259" s="2" t="n"/>
      <c r="L259" s="9" t="n"/>
    </row>
    <row r="260" hidden="1">
      <c r="B260" s="21" t="n"/>
      <c r="C260" s="2" t="n"/>
      <c r="L260" s="9" t="n"/>
    </row>
    <row r="261" hidden="1">
      <c r="B261" s="21" t="n"/>
      <c r="C261" s="2" t="n"/>
      <c r="L261" s="9" t="n"/>
    </row>
    <row r="262">
      <c r="B262" s="21" t="n"/>
      <c r="C262" s="2" t="n"/>
      <c r="L262" s="9" t="n"/>
    </row>
    <row r="263" hidden="1">
      <c r="B263" s="21" t="n"/>
      <c r="C263" s="2" t="n"/>
      <c r="L263" s="9" t="n"/>
    </row>
    <row r="264" hidden="1">
      <c r="B264" s="21" t="n"/>
      <c r="C264" s="2" t="n"/>
      <c r="L264" s="9" t="n"/>
    </row>
    <row r="265" hidden="1">
      <c r="B265" s="21" t="n"/>
      <c r="C265" s="2" t="n"/>
      <c r="L265" s="9" t="n"/>
    </row>
    <row r="266" hidden="1">
      <c r="B266" s="21" t="n"/>
      <c r="C266" s="2" t="n"/>
      <c r="L266" s="9" t="n"/>
    </row>
    <row r="267" hidden="1">
      <c r="B267" s="21" t="n"/>
      <c r="C267" s="2" t="n"/>
      <c r="L267" s="9" t="n"/>
    </row>
    <row r="268" hidden="1">
      <c r="B268" s="21" t="n"/>
      <c r="C268" s="2" t="n"/>
      <c r="L268" s="9" t="n"/>
    </row>
    <row r="269" hidden="1">
      <c r="B269" s="21" t="n"/>
      <c r="C269" s="2" t="n"/>
      <c r="L269" s="9" t="n"/>
    </row>
    <row r="270" hidden="1">
      <c r="B270" s="21" t="n"/>
      <c r="C270" s="2" t="n"/>
      <c r="L270" s="9" t="n"/>
    </row>
    <row r="271" hidden="1">
      <c r="B271" s="21" t="n"/>
      <c r="C271" s="2" t="n"/>
      <c r="L271" s="9" t="n"/>
    </row>
    <row r="272" hidden="1">
      <c r="B272" s="21" t="n"/>
      <c r="C272" s="2" t="n"/>
      <c r="L272" s="9" t="n"/>
    </row>
    <row r="273" hidden="1">
      <c r="B273" s="21" t="n"/>
      <c r="C273" s="2" t="n"/>
      <c r="L273" s="9" t="n"/>
    </row>
    <row r="274" hidden="1">
      <c r="B274" s="21" t="n"/>
      <c r="C274" s="2" t="n"/>
      <c r="L274" s="9" t="n"/>
    </row>
    <row r="275" hidden="1">
      <c r="B275" s="21" t="n"/>
      <c r="C275" s="2" t="n"/>
      <c r="L275" s="9" t="n"/>
    </row>
    <row r="276">
      <c r="B276" s="21" t="n"/>
      <c r="C276" s="2" t="n"/>
      <c r="L276" s="9" t="n"/>
    </row>
    <row r="277" hidden="1">
      <c r="B277" s="21" t="n"/>
      <c r="C277" s="2" t="n"/>
      <c r="L277" s="9" t="n"/>
    </row>
    <row r="278" hidden="1">
      <c r="B278" s="21" t="n"/>
      <c r="C278" s="2" t="n"/>
      <c r="L278" s="9" t="n"/>
    </row>
    <row r="279" hidden="1">
      <c r="B279" s="21" t="n"/>
      <c r="C279" s="2" t="n"/>
      <c r="L279" s="9" t="n"/>
    </row>
    <row r="280" hidden="1">
      <c r="B280" s="21" t="n"/>
      <c r="C280" s="2" t="n"/>
      <c r="L280" s="9" t="n"/>
    </row>
    <row r="281" hidden="1">
      <c r="B281" s="21" t="n"/>
      <c r="C281" s="2" t="n"/>
      <c r="L281" s="9" t="n"/>
    </row>
    <row r="282" hidden="1">
      <c r="B282" s="21" t="n"/>
      <c r="C282" s="2" t="n"/>
      <c r="L282" s="9" t="n"/>
    </row>
    <row r="283" hidden="1">
      <c r="B283" s="21" t="n"/>
      <c r="C283" s="2" t="n"/>
      <c r="L283" s="9" t="n"/>
    </row>
    <row r="284" hidden="1">
      <c r="B284" s="21" t="n"/>
      <c r="C284" s="2" t="n"/>
      <c r="L284" s="9" t="n"/>
    </row>
    <row r="285" hidden="1">
      <c r="B285" s="21" t="n"/>
      <c r="C285" s="2" t="n"/>
      <c r="L285" s="9" t="n"/>
    </row>
    <row r="286" hidden="1">
      <c r="B286" s="21" t="n"/>
      <c r="C286" s="2" t="n"/>
      <c r="L286" s="9" t="n"/>
    </row>
    <row r="287" hidden="1">
      <c r="B287" s="21" t="n"/>
      <c r="C287" s="2" t="n"/>
      <c r="L287" s="9" t="n"/>
    </row>
    <row r="288" hidden="1">
      <c r="B288" s="21" t="n"/>
      <c r="C288" s="2" t="n"/>
      <c r="L288" s="9" t="n"/>
    </row>
    <row r="289" hidden="1">
      <c r="B289" s="21" t="n"/>
      <c r="C289" s="2" t="n"/>
      <c r="L289" s="9" t="n"/>
    </row>
    <row r="290" hidden="1">
      <c r="B290" s="21" t="n"/>
      <c r="C290" s="2" t="n"/>
      <c r="L290" s="9" t="n"/>
    </row>
    <row r="291" hidden="1">
      <c r="B291" s="21" t="n"/>
      <c r="C291" s="2" t="n"/>
      <c r="L291" s="9" t="n"/>
    </row>
    <row r="292" hidden="1">
      <c r="B292" s="21" t="n"/>
      <c r="C292" s="2" t="n"/>
      <c r="L292" s="9" t="n"/>
    </row>
    <row r="293" hidden="1">
      <c r="B293" s="21" t="n"/>
      <c r="C293" s="2" t="n"/>
      <c r="L293" s="9" t="n"/>
    </row>
    <row r="294" hidden="1">
      <c r="B294" s="21" t="n"/>
      <c r="C294" s="2" t="n"/>
      <c r="L294" s="9" t="n"/>
    </row>
    <row r="295" hidden="1">
      <c r="B295" s="21" t="n"/>
      <c r="C295" s="2" t="n"/>
      <c r="L295" s="9" t="n"/>
    </row>
    <row r="296" hidden="1">
      <c r="B296" s="21" t="n"/>
      <c r="C296" s="2" t="n"/>
      <c r="L296" s="9" t="n"/>
    </row>
    <row r="297" hidden="1">
      <c r="B297" s="21" t="n"/>
      <c r="C297" s="2" t="n"/>
      <c r="L297" s="9" t="n"/>
    </row>
    <row r="298" hidden="1">
      <c r="B298" s="21" t="n"/>
      <c r="C298" s="2" t="n"/>
      <c r="L298" s="9" t="n"/>
    </row>
    <row r="299" hidden="1">
      <c r="B299" s="21" t="n"/>
      <c r="C299" s="2" t="n"/>
      <c r="L299" s="9" t="n"/>
    </row>
    <row r="300" hidden="1">
      <c r="B300" s="21" t="n"/>
      <c r="C300" s="2" t="n"/>
      <c r="L300" s="9" t="n"/>
    </row>
    <row r="301" hidden="1">
      <c r="B301" s="21" t="n"/>
      <c r="C301" s="2" t="n"/>
      <c r="L301" s="9" t="n"/>
    </row>
    <row r="302" hidden="1">
      <c r="B302" s="21" t="n"/>
      <c r="C302" s="2" t="n"/>
      <c r="L302" s="9" t="n"/>
    </row>
    <row r="303" hidden="1">
      <c r="B303" s="21" t="n"/>
      <c r="C303" s="2" t="n"/>
      <c r="L303" s="9" t="n"/>
    </row>
    <row r="304" hidden="1">
      <c r="B304" s="21" t="n"/>
      <c r="C304" s="2" t="n"/>
      <c r="L304" s="9" t="n"/>
    </row>
    <row r="305" hidden="1">
      <c r="B305" s="21" t="n"/>
      <c r="C305" s="2" t="n"/>
      <c r="L305" s="9" t="n"/>
    </row>
    <row r="306">
      <c r="B306" s="21" t="n"/>
      <c r="C306" s="2" t="n"/>
      <c r="L306" s="9" t="n"/>
    </row>
    <row r="307" hidden="1">
      <c r="B307" s="21" t="n"/>
      <c r="C307" s="2" t="n"/>
      <c r="L307" s="9" t="n"/>
    </row>
    <row r="308">
      <c r="B308" s="21" t="n"/>
      <c r="C308" s="2" t="n"/>
      <c r="L308" s="9" t="n"/>
    </row>
    <row r="309" hidden="1">
      <c r="B309" s="21" t="n"/>
      <c r="C309" s="2" t="n"/>
      <c r="L309" s="9" t="n"/>
    </row>
    <row r="310" hidden="1">
      <c r="B310" s="21" t="n"/>
      <c r="C310" s="2" t="n"/>
      <c r="L310" s="9" t="n"/>
    </row>
    <row r="311" hidden="1">
      <c r="B311" s="21" t="n"/>
      <c r="C311" s="2" t="n"/>
      <c r="L311" s="9" t="n"/>
    </row>
    <row r="312" hidden="1">
      <c r="B312" s="21" t="n"/>
      <c r="C312" s="2" t="n"/>
      <c r="L312" s="9" t="n"/>
    </row>
    <row r="313" hidden="1">
      <c r="B313" s="21" t="n"/>
      <c r="C313" s="2" t="n"/>
      <c r="L313" s="9" t="n"/>
    </row>
    <row r="314" hidden="1">
      <c r="B314" s="21" t="n"/>
      <c r="C314" s="2" t="n"/>
      <c r="L314" s="9" t="n"/>
    </row>
    <row r="315" hidden="1">
      <c r="B315" s="21" t="n"/>
      <c r="C315" s="2" t="n"/>
      <c r="L315" s="9" t="n"/>
    </row>
    <row r="316" hidden="1">
      <c r="B316" s="21" t="n"/>
      <c r="C316" s="2" t="n"/>
      <c r="L316" s="9" t="n"/>
    </row>
    <row r="317" hidden="1">
      <c r="B317" s="21" t="n"/>
      <c r="C317" s="2" t="n"/>
      <c r="L317" s="9" t="n"/>
    </row>
    <row r="318" hidden="1">
      <c r="B318" s="21" t="n"/>
      <c r="C318" s="2" t="n"/>
      <c r="L318" s="9" t="n"/>
    </row>
    <row r="319" hidden="1">
      <c r="B319" s="21" t="n"/>
      <c r="C319" s="2" t="n"/>
      <c r="L319" s="9" t="n"/>
    </row>
    <row r="320" hidden="1">
      <c r="B320" s="21" t="n"/>
      <c r="C320" s="2" t="n"/>
      <c r="L320" s="9" t="n"/>
    </row>
    <row r="321" hidden="1">
      <c r="B321" s="21" t="n"/>
      <c r="C321" s="2" t="n"/>
      <c r="L321" s="9" t="n"/>
    </row>
    <row r="322" hidden="1">
      <c r="B322" s="21" t="n"/>
      <c r="C322" s="2" t="n"/>
      <c r="L322" s="9" t="n"/>
    </row>
    <row r="323" hidden="1">
      <c r="B323" s="21" t="n"/>
      <c r="C323" s="2" t="n"/>
      <c r="L323" s="9" t="n"/>
    </row>
    <row r="324" hidden="1">
      <c r="B324" s="21" t="n"/>
      <c r="C324" s="2" t="n"/>
      <c r="L324" s="9" t="n"/>
    </row>
    <row r="325" hidden="1">
      <c r="B325" s="21" t="n"/>
      <c r="C325" s="2" t="n"/>
      <c r="L325" s="9" t="n"/>
    </row>
    <row r="326" hidden="1">
      <c r="B326" s="21" t="n"/>
      <c r="C326" s="2" t="n"/>
      <c r="L326" s="9" t="n"/>
    </row>
    <row r="327" hidden="1">
      <c r="B327" s="21" t="n"/>
      <c r="C327" s="2" t="n"/>
      <c r="L327" s="9" t="n"/>
    </row>
    <row r="328" hidden="1">
      <c r="B328" s="21" t="n"/>
      <c r="C328" s="2" t="n"/>
      <c r="L328" s="9" t="n"/>
    </row>
    <row r="329" hidden="1">
      <c r="B329" s="21" t="n"/>
      <c r="C329" s="2" t="n"/>
      <c r="L329" s="9" t="n"/>
    </row>
    <row r="330" hidden="1">
      <c r="B330" s="21" t="n"/>
      <c r="C330" s="2" t="n"/>
      <c r="L330" s="9" t="n"/>
    </row>
    <row r="331" hidden="1">
      <c r="B331" s="21" t="n"/>
      <c r="C331" s="2" t="n"/>
      <c r="L331" s="9" t="n"/>
    </row>
    <row r="332" hidden="1">
      <c r="B332" s="21" t="n"/>
      <c r="C332" s="2" t="n"/>
      <c r="L332" s="9" t="n"/>
    </row>
    <row r="333" hidden="1">
      <c r="B333" s="21" t="n"/>
      <c r="C333" s="2" t="n"/>
      <c r="L333" s="9" t="n"/>
    </row>
    <row r="334" hidden="1">
      <c r="B334" s="21" t="n"/>
      <c r="C334" s="2" t="n"/>
      <c r="L334" s="9" t="n"/>
    </row>
    <row r="335" hidden="1">
      <c r="B335" s="21" t="n"/>
      <c r="C335" s="2" t="n"/>
      <c r="L335" s="9" t="n"/>
    </row>
    <row r="336" hidden="1">
      <c r="B336" s="21" t="n"/>
      <c r="C336" s="2" t="n"/>
      <c r="L336" s="9" t="n"/>
    </row>
    <row r="337" hidden="1">
      <c r="B337" s="21" t="n"/>
      <c r="C337" s="2" t="n"/>
      <c r="L337" s="9" t="n"/>
    </row>
    <row r="338" hidden="1">
      <c r="B338" s="21" t="n"/>
      <c r="C338" s="2" t="n"/>
      <c r="L338" s="9" t="n"/>
    </row>
    <row r="339" hidden="1">
      <c r="B339" s="21" t="n"/>
      <c r="C339" s="2" t="n"/>
      <c r="L339" s="9" t="n"/>
    </row>
    <row r="340" hidden="1">
      <c r="B340" s="21" t="n"/>
      <c r="C340" s="2" t="n"/>
      <c r="L340" s="9" t="n"/>
    </row>
    <row r="341" hidden="1">
      <c r="B341" s="21" t="n"/>
      <c r="C341" s="2" t="n"/>
      <c r="L341" s="9" t="n"/>
    </row>
    <row r="342" hidden="1">
      <c r="B342" s="21" t="n"/>
      <c r="C342" s="2" t="n"/>
      <c r="L342" s="9" t="n"/>
    </row>
    <row r="343">
      <c r="B343" s="21" t="n"/>
      <c r="C343" s="2" t="n"/>
      <c r="L343" s="9" t="n"/>
    </row>
    <row r="344" hidden="1">
      <c r="B344" s="21" t="n"/>
      <c r="C344" s="2" t="n"/>
      <c r="L344" s="9" t="n"/>
    </row>
    <row r="345" hidden="1">
      <c r="B345" s="21" t="n"/>
      <c r="C345" s="2" t="n"/>
      <c r="L345" s="9" t="n"/>
    </row>
    <row r="346" hidden="1">
      <c r="B346" s="21" t="n"/>
      <c r="C346" s="2" t="n"/>
      <c r="L346" s="9" t="n"/>
    </row>
    <row r="347" hidden="1">
      <c r="B347" s="21" t="n"/>
      <c r="C347" s="2" t="n"/>
      <c r="L347" s="9" t="n"/>
    </row>
    <row r="348">
      <c r="B348" s="21" t="n"/>
      <c r="C348" s="2" t="n"/>
      <c r="L348" s="9" t="n"/>
    </row>
    <row r="349" hidden="1">
      <c r="B349" s="21" t="n"/>
      <c r="C349" s="2" t="n"/>
      <c r="L349" s="9" t="n"/>
    </row>
    <row r="350" hidden="1">
      <c r="B350" s="21" t="n"/>
      <c r="C350" s="2" t="n"/>
      <c r="L350" s="9" t="n"/>
    </row>
    <row r="351" hidden="1">
      <c r="B351" s="21" t="n"/>
      <c r="C351" s="2" t="n"/>
      <c r="L351" s="9" t="n"/>
    </row>
    <row r="352" hidden="1">
      <c r="B352" s="21" t="n"/>
      <c r="C352" s="2" t="n"/>
      <c r="L352" s="9" t="n"/>
    </row>
    <row r="353" hidden="1">
      <c r="B353" s="21" t="n"/>
      <c r="C353" s="2" t="n"/>
      <c r="L353" s="9" t="n"/>
    </row>
    <row r="354" hidden="1">
      <c r="B354" s="21" t="n"/>
      <c r="C354" s="2" t="n"/>
      <c r="L354" s="9" t="n"/>
    </row>
    <row r="355" hidden="1">
      <c r="B355" s="21" t="n"/>
      <c r="C355" s="2" t="n"/>
      <c r="L355" s="9" t="n"/>
    </row>
    <row r="356" hidden="1">
      <c r="B356" s="21" t="n"/>
      <c r="C356" s="2" t="n"/>
      <c r="L356" s="9" t="n"/>
    </row>
    <row r="357" hidden="1">
      <c r="B357" s="21" t="n"/>
      <c r="C357" s="2" t="n"/>
      <c r="L357" s="9" t="n"/>
    </row>
    <row r="358" hidden="1">
      <c r="B358" s="21" t="n"/>
      <c r="C358" s="2" t="n"/>
      <c r="L358" s="9" t="n"/>
    </row>
    <row r="359">
      <c r="B359" s="21" t="n"/>
      <c r="C359" s="2" t="n"/>
      <c r="L359" s="9" t="n"/>
    </row>
    <row r="360" hidden="1">
      <c r="B360" s="21" t="n"/>
      <c r="C360" s="2" t="n"/>
      <c r="L360" s="9" t="n"/>
    </row>
    <row r="361" hidden="1">
      <c r="B361" s="21" t="n"/>
      <c r="C361" s="2" t="n"/>
      <c r="L361" s="9" t="n"/>
    </row>
    <row r="362" hidden="1">
      <c r="B362" s="21" t="n"/>
      <c r="C362" s="2" t="n"/>
      <c r="L362" s="9" t="n"/>
    </row>
    <row r="363" hidden="1">
      <c r="B363" s="21" t="n"/>
      <c r="C363" s="2" t="n"/>
      <c r="L363" s="9" t="n"/>
    </row>
    <row r="364" hidden="1">
      <c r="B364" s="21" t="n"/>
      <c r="C364" s="2" t="n"/>
      <c r="L364" s="9" t="n"/>
    </row>
    <row r="365" hidden="1">
      <c r="B365" s="21" t="n"/>
      <c r="C365" s="2" t="n"/>
      <c r="L365" s="9" t="n"/>
    </row>
    <row r="366" hidden="1">
      <c r="B366" s="21" t="n"/>
      <c r="C366" s="2" t="n"/>
      <c r="L366" s="9" t="n"/>
    </row>
    <row r="367" hidden="1">
      <c r="B367" s="21" t="n"/>
      <c r="C367" s="2" t="n"/>
      <c r="L367" s="9" t="n"/>
    </row>
    <row r="368" hidden="1">
      <c r="B368" s="21" t="n"/>
      <c r="C368" s="2" t="n"/>
      <c r="L368" s="9" t="n"/>
    </row>
    <row r="369">
      <c r="B369" s="21" t="n"/>
      <c r="C369" s="2" t="n"/>
      <c r="L369" s="9" t="n"/>
    </row>
    <row r="370" hidden="1">
      <c r="B370" s="21" t="n"/>
      <c r="C370" s="2" t="n"/>
      <c r="L370" s="9" t="n"/>
    </row>
    <row r="371" hidden="1">
      <c r="B371" s="21" t="n"/>
      <c r="C371" s="2" t="n"/>
      <c r="L371" s="9" t="n"/>
    </row>
    <row r="372" hidden="1">
      <c r="B372" s="21" t="n"/>
      <c r="C372" s="2" t="n"/>
      <c r="L372" s="9" t="n"/>
    </row>
    <row r="373" hidden="1">
      <c r="B373" s="21" t="n"/>
      <c r="C373" s="2" t="n"/>
      <c r="L373" s="9" t="n"/>
    </row>
    <row r="374" hidden="1">
      <c r="B374" s="21" t="n"/>
      <c r="C374" s="2" t="n"/>
      <c r="L374" s="9" t="n"/>
    </row>
    <row r="375" hidden="1">
      <c r="B375" s="21" t="n"/>
      <c r="C375" s="2" t="n"/>
      <c r="L375" s="9" t="n"/>
    </row>
    <row r="376" hidden="1">
      <c r="B376" s="21" t="n"/>
      <c r="C376" s="2" t="n"/>
      <c r="L376" s="9" t="n"/>
    </row>
    <row r="377">
      <c r="B377" s="21" t="n"/>
      <c r="C377" s="2" t="n"/>
      <c r="L377" s="9" t="n"/>
    </row>
    <row r="378" hidden="1">
      <c r="B378" s="21" t="n"/>
      <c r="C378" s="2" t="n"/>
      <c r="L378" s="9" t="n"/>
    </row>
    <row r="379" hidden="1">
      <c r="B379" s="21" t="n"/>
      <c r="C379" s="2" t="n"/>
      <c r="L379" s="9" t="n"/>
    </row>
    <row r="380" hidden="1">
      <c r="B380" s="21" t="n"/>
      <c r="C380" s="2" t="n"/>
      <c r="L380" s="9" t="n"/>
    </row>
    <row r="381" hidden="1">
      <c r="B381" s="21" t="n"/>
      <c r="C381" s="2" t="n"/>
      <c r="L381" s="9" t="n"/>
    </row>
    <row r="382" hidden="1">
      <c r="B382" s="21" t="n"/>
      <c r="C382" s="2" t="n"/>
      <c r="L382" s="9" t="n"/>
    </row>
    <row r="383" hidden="1">
      <c r="B383" s="21" t="n"/>
      <c r="C383" s="2" t="n"/>
      <c r="L383" s="9" t="n"/>
    </row>
    <row r="384" hidden="1">
      <c r="B384" s="21" t="n"/>
      <c r="C384" s="2" t="n"/>
      <c r="L384" s="9" t="n"/>
    </row>
    <row r="385" hidden="1">
      <c r="B385" s="21" t="n"/>
      <c r="C385" s="2" t="n"/>
      <c r="L385" s="9" t="n"/>
    </row>
    <row r="386" hidden="1">
      <c r="B386" s="21" t="n"/>
      <c r="C386" s="2" t="n"/>
      <c r="L386" s="9" t="n"/>
    </row>
    <row r="387" hidden="1">
      <c r="B387" s="21" t="n"/>
      <c r="C387" s="2" t="n"/>
      <c r="L387" s="9" t="n"/>
    </row>
    <row r="388" hidden="1">
      <c r="B388" s="21" t="n"/>
      <c r="C388" s="2" t="n"/>
      <c r="L388" s="9" t="n"/>
    </row>
    <row r="389" hidden="1">
      <c r="B389" s="21" t="n"/>
      <c r="C389" s="2" t="n"/>
      <c r="L389" s="9" t="n"/>
    </row>
    <row r="390" hidden="1">
      <c r="B390" s="21" t="n"/>
      <c r="C390" s="2" t="n"/>
      <c r="L390" s="9" t="n"/>
    </row>
    <row r="391" hidden="1">
      <c r="B391" s="21" t="n"/>
      <c r="C391" s="2" t="n"/>
      <c r="L391" s="9" t="n"/>
    </row>
    <row r="392" hidden="1">
      <c r="B392" s="21" t="n"/>
      <c r="C392" s="2" t="n"/>
      <c r="L392" s="9" t="n"/>
    </row>
    <row r="393" hidden="1">
      <c r="B393" s="21" t="n"/>
      <c r="C393" s="2" t="n"/>
      <c r="L393" s="9" t="n"/>
    </row>
    <row r="394" hidden="1">
      <c r="B394" s="21" t="n"/>
      <c r="C394" s="2" t="n"/>
      <c r="L394" s="9" t="n"/>
    </row>
    <row r="395" hidden="1">
      <c r="B395" s="21" t="n"/>
      <c r="C395" s="2" t="n"/>
      <c r="L395" s="9" t="n"/>
    </row>
    <row r="396" hidden="1">
      <c r="B396" s="21" t="n"/>
      <c r="C396" s="2" t="n"/>
      <c r="L396" s="9" t="n"/>
    </row>
    <row r="397" hidden="1">
      <c r="B397" s="21" t="n"/>
      <c r="C397" s="2" t="n"/>
      <c r="L397" s="9" t="n"/>
    </row>
    <row r="398" hidden="1">
      <c r="B398" s="21" t="n"/>
      <c r="C398" s="2" t="n"/>
      <c r="L398" s="9" t="n"/>
    </row>
    <row r="399" hidden="1">
      <c r="B399" s="21" t="n"/>
      <c r="C399" s="2" t="n"/>
      <c r="L399" s="9" t="n"/>
    </row>
    <row r="400" hidden="1">
      <c r="B400" s="21" t="n"/>
      <c r="C400" s="2" t="n"/>
      <c r="L400" s="9" t="n"/>
    </row>
    <row r="401" hidden="1">
      <c r="B401" s="21" t="n"/>
      <c r="C401" s="2" t="n"/>
      <c r="L401" s="9" t="n"/>
    </row>
    <row r="402" hidden="1">
      <c r="B402" s="21" t="n"/>
      <c r="C402" s="2" t="n"/>
      <c r="L402" s="9" t="n"/>
    </row>
    <row r="403" hidden="1">
      <c r="B403" s="21" t="n"/>
      <c r="C403" s="2" t="n"/>
      <c r="L403" s="9" t="n"/>
    </row>
    <row r="404" hidden="1">
      <c r="B404" s="21" t="n"/>
      <c r="C404" s="2" t="n"/>
      <c r="L404" s="9" t="n"/>
    </row>
    <row r="405" hidden="1">
      <c r="B405" s="21" t="n"/>
      <c r="C405" s="2" t="n"/>
      <c r="L405" s="9" t="n"/>
    </row>
    <row r="406" hidden="1">
      <c r="B406" s="21" t="n"/>
      <c r="C406" s="2" t="n"/>
      <c r="L406" s="9" t="n"/>
    </row>
    <row r="407" hidden="1">
      <c r="B407" s="21" t="n"/>
      <c r="C407" s="2" t="n"/>
      <c r="L407" s="9" t="n"/>
    </row>
    <row r="408" hidden="1">
      <c r="B408" s="21" t="n"/>
      <c r="C408" s="2" t="n"/>
      <c r="L408" s="9" t="n"/>
    </row>
    <row r="409" hidden="1">
      <c r="B409" s="21" t="n"/>
      <c r="C409" s="2" t="n"/>
      <c r="L409" s="9" t="n"/>
    </row>
    <row r="410" hidden="1">
      <c r="B410" s="21" t="n"/>
      <c r="C410" s="2" t="n"/>
      <c r="L410" s="9" t="n"/>
    </row>
    <row r="411" hidden="1">
      <c r="B411" s="21" t="n"/>
      <c r="C411" s="2" t="n"/>
      <c r="L411" s="9" t="n"/>
    </row>
    <row r="412">
      <c r="B412" s="21" t="n"/>
      <c r="C412" s="2" t="n"/>
      <c r="L412" s="9" t="n"/>
    </row>
    <row r="413" hidden="1">
      <c r="B413" s="21" t="n"/>
      <c r="C413" s="2" t="n"/>
      <c r="L413" s="9" t="n"/>
    </row>
    <row r="414" hidden="1">
      <c r="B414" s="21" t="n"/>
      <c r="C414" s="2" t="n"/>
      <c r="L414" s="9" t="n"/>
    </row>
    <row r="415" hidden="1">
      <c r="B415" s="21" t="n"/>
      <c r="C415" s="2" t="n"/>
      <c r="L415" s="9" t="n"/>
    </row>
    <row r="416" hidden="1">
      <c r="B416" s="21" t="n"/>
      <c r="C416" s="2" t="n"/>
      <c r="L416" s="9" t="n"/>
    </row>
    <row r="417" hidden="1">
      <c r="B417" s="21" t="n"/>
      <c r="C417" s="2" t="n"/>
      <c r="L417" s="9" t="n"/>
    </row>
    <row r="418">
      <c r="B418" s="21" t="n"/>
      <c r="C418" s="2" t="n"/>
      <c r="L418" s="9" t="n"/>
    </row>
    <row r="419" hidden="1">
      <c r="B419" s="21" t="n"/>
      <c r="C419" s="2" t="n"/>
      <c r="L419" s="9" t="n"/>
    </row>
    <row r="420" hidden="1">
      <c r="B420" s="21" t="n"/>
      <c r="C420" s="2" t="n"/>
      <c r="L420" s="9" t="n"/>
    </row>
    <row r="421" hidden="1">
      <c r="B421" s="21" t="n"/>
      <c r="C421" s="2" t="n"/>
      <c r="L421" s="9" t="n"/>
    </row>
    <row r="422" hidden="1">
      <c r="B422" s="21" t="n"/>
      <c r="C422" s="2" t="n"/>
      <c r="L422" s="9" t="n"/>
    </row>
    <row r="423" hidden="1">
      <c r="B423" s="21" t="n"/>
      <c r="C423" s="2" t="n"/>
      <c r="L423" s="9" t="n"/>
    </row>
    <row r="424" hidden="1">
      <c r="B424" s="21" t="n"/>
      <c r="C424" s="2" t="n"/>
      <c r="L424" s="9" t="n"/>
    </row>
    <row r="425" hidden="1">
      <c r="B425" s="21" t="n"/>
      <c r="C425" s="2" t="n"/>
      <c r="L425" s="9" t="n"/>
    </row>
    <row r="426" hidden="1">
      <c r="B426" s="21" t="n"/>
      <c r="C426" s="2" t="n"/>
      <c r="L426" s="9" t="n"/>
    </row>
    <row r="427" hidden="1">
      <c r="B427" s="21" t="n"/>
      <c r="C427" s="2" t="n"/>
      <c r="L427" s="9" t="n"/>
    </row>
    <row r="428" hidden="1">
      <c r="B428" s="21" t="n"/>
      <c r="C428" s="2" t="n"/>
      <c r="L428" s="9" t="n"/>
    </row>
    <row r="429" hidden="1">
      <c r="B429" s="21" t="n"/>
      <c r="C429" s="2" t="n"/>
      <c r="L429" s="9" t="n"/>
    </row>
    <row r="430" hidden="1">
      <c r="B430" s="21" t="n"/>
      <c r="C430" s="2" t="n"/>
      <c r="L430" s="9" t="n"/>
    </row>
    <row r="431">
      <c r="B431" s="21" t="n"/>
      <c r="C431" s="2" t="n"/>
      <c r="L431" s="9" t="n"/>
    </row>
    <row r="432" hidden="1">
      <c r="B432" s="21" t="n"/>
      <c r="C432" s="2" t="n"/>
      <c r="L432" s="9" t="n"/>
    </row>
    <row r="433" hidden="1">
      <c r="B433" s="21" t="n"/>
      <c r="C433" s="2" t="n"/>
      <c r="L433" s="9" t="n"/>
    </row>
    <row r="434" hidden="1">
      <c r="B434" s="21" t="n"/>
      <c r="C434" s="2" t="n"/>
      <c r="L434" s="9" t="n"/>
    </row>
    <row r="435" hidden="1">
      <c r="B435" s="21" t="n"/>
      <c r="C435" s="2" t="n"/>
      <c r="L435" s="9" t="n"/>
    </row>
    <row r="436" hidden="1">
      <c r="B436" s="21" t="n"/>
      <c r="C436" s="2" t="n"/>
      <c r="L436" s="9" t="n"/>
    </row>
    <row r="437" hidden="1">
      <c r="B437" s="21" t="n"/>
      <c r="C437" s="2" t="n"/>
      <c r="L437" s="9" t="n"/>
    </row>
    <row r="438" hidden="1">
      <c r="B438" s="21" t="n"/>
      <c r="C438" s="2" t="n"/>
      <c r="L438" s="9" t="n"/>
    </row>
    <row r="439">
      <c r="B439" s="21" t="n"/>
      <c r="C439" s="2" t="n"/>
      <c r="L439" s="9" t="n"/>
    </row>
    <row r="440" hidden="1">
      <c r="B440" s="21" t="n"/>
      <c r="C440" s="2" t="n"/>
      <c r="L440" s="9" t="n"/>
    </row>
    <row r="441" hidden="1">
      <c r="B441" s="21" t="n"/>
      <c r="C441" s="2" t="n"/>
      <c r="L441" s="9" t="n"/>
    </row>
    <row r="442" hidden="1">
      <c r="B442" s="21" t="n"/>
      <c r="C442" s="2" t="n"/>
      <c r="L442" s="9" t="n"/>
    </row>
    <row r="443" hidden="1">
      <c r="B443" s="21" t="n"/>
      <c r="C443" s="2" t="n"/>
      <c r="L443" s="9" t="n"/>
    </row>
    <row r="444" hidden="1">
      <c r="B444" s="21" t="n"/>
      <c r="C444" s="2" t="n"/>
      <c r="L444" s="9" t="n"/>
    </row>
    <row r="445" hidden="1">
      <c r="B445" s="21" t="n"/>
      <c r="C445" s="2" t="n"/>
      <c r="L445" s="9" t="n"/>
    </row>
    <row r="446" hidden="1">
      <c r="B446" s="21" t="n"/>
      <c r="C446" s="2" t="n"/>
      <c r="L446" s="9" t="n"/>
    </row>
    <row r="447">
      <c r="B447" s="21" t="n"/>
      <c r="C447" s="2" t="n"/>
      <c r="L447" s="9" t="n"/>
    </row>
    <row r="448" hidden="1">
      <c r="B448" s="21" t="n"/>
      <c r="C448" s="2" t="n"/>
      <c r="L448" s="9" t="n"/>
    </row>
    <row r="449" hidden="1">
      <c r="B449" s="21" t="n"/>
      <c r="C449" s="2" t="n"/>
      <c r="L449" s="9" t="n"/>
    </row>
    <row r="450" hidden="1">
      <c r="B450" s="21" t="n"/>
      <c r="C450" s="2" t="n"/>
      <c r="L450" s="9" t="n"/>
    </row>
    <row r="451" hidden="1">
      <c r="B451" s="21" t="n"/>
      <c r="C451" s="2" t="n"/>
      <c r="L451" s="9" t="n"/>
    </row>
    <row r="452" hidden="1">
      <c r="B452" s="21" t="n"/>
      <c r="C452" s="2" t="n"/>
      <c r="L452" s="9" t="n"/>
    </row>
    <row r="453" hidden="1">
      <c r="B453" s="21" t="n"/>
      <c r="C453" s="2" t="n"/>
      <c r="L453" s="9" t="n"/>
    </row>
    <row r="454" hidden="1">
      <c r="B454" s="21" t="n"/>
      <c r="C454" s="2" t="n"/>
      <c r="L454" s="9" t="n"/>
    </row>
    <row r="455" hidden="1">
      <c r="B455" s="21" t="n"/>
      <c r="C455" s="2" t="n"/>
      <c r="L455" s="9" t="n"/>
    </row>
    <row r="456" hidden="1">
      <c r="B456" s="21" t="n"/>
      <c r="C456" s="2" t="n"/>
      <c r="L456" s="9" t="n"/>
    </row>
    <row r="457" hidden="1">
      <c r="B457" s="21" t="n"/>
      <c r="C457" s="2" t="n"/>
      <c r="L457" s="9" t="n"/>
    </row>
    <row r="458" hidden="1">
      <c r="B458" s="21" t="n"/>
      <c r="C458" s="2" t="n"/>
      <c r="L458" s="9" t="n"/>
    </row>
    <row r="459" hidden="1">
      <c r="B459" s="21" t="n"/>
      <c r="C459" s="2" t="n"/>
      <c r="L459" s="9" t="n"/>
    </row>
    <row r="460">
      <c r="B460" s="21" t="n"/>
      <c r="C460" s="2" t="n"/>
      <c r="L460" s="9" t="n"/>
    </row>
    <row r="461" hidden="1">
      <c r="B461" s="21" t="n"/>
      <c r="C461" s="2" t="n"/>
      <c r="L461" s="9" t="n"/>
    </row>
    <row r="462" hidden="1">
      <c r="B462" s="21" t="n"/>
      <c r="C462" s="2" t="n"/>
      <c r="L462" s="9" t="n"/>
    </row>
    <row r="463" hidden="1">
      <c r="B463" s="21" t="n"/>
      <c r="C463" s="2" t="n"/>
      <c r="L463" s="9" t="n"/>
    </row>
    <row r="464" hidden="1">
      <c r="B464" s="21" t="n"/>
      <c r="C464" s="2" t="n"/>
      <c r="L464" s="9" t="n"/>
    </row>
    <row r="465" hidden="1">
      <c r="B465" s="21" t="n"/>
      <c r="C465" s="2" t="n"/>
      <c r="L465" s="9" t="n"/>
    </row>
    <row r="466" hidden="1">
      <c r="B466" s="21" t="n"/>
      <c r="C466" s="2" t="n"/>
      <c r="L466" s="9" t="n"/>
    </row>
    <row r="467">
      <c r="B467" s="21" t="n"/>
      <c r="C467" s="2" t="n"/>
      <c r="L467" s="9" t="n"/>
    </row>
    <row r="468" hidden="1">
      <c r="B468" s="21" t="n"/>
      <c r="C468" s="2" t="n"/>
      <c r="L468" s="9" t="n"/>
    </row>
    <row r="469" hidden="1">
      <c r="B469" s="21" t="n"/>
      <c r="C469" s="2" t="n"/>
      <c r="L469" s="9" t="n"/>
    </row>
    <row r="470" hidden="1">
      <c r="B470" s="21" t="n"/>
      <c r="C470" s="2" t="n"/>
      <c r="L470" s="9" t="n"/>
    </row>
    <row r="471" hidden="1">
      <c r="B471" s="21" t="n"/>
      <c r="C471" s="2" t="n"/>
      <c r="L471" s="9" t="n"/>
    </row>
    <row r="472" hidden="1">
      <c r="B472" s="21" t="n"/>
      <c r="C472" s="2" t="n"/>
      <c r="L472" s="9" t="n"/>
    </row>
    <row r="473" hidden="1">
      <c r="B473" s="21" t="n"/>
      <c r="C473" s="2" t="n"/>
      <c r="L473" s="9" t="n"/>
    </row>
    <row r="474" hidden="1">
      <c r="B474" s="21" t="n"/>
      <c r="C474" s="2" t="n"/>
      <c r="L474" s="9" t="n"/>
    </row>
    <row r="475" hidden="1">
      <c r="B475" s="21" t="n"/>
      <c r="C475" s="2" t="n"/>
      <c r="L475" s="9" t="n"/>
    </row>
    <row r="476" hidden="1">
      <c r="B476" s="21" t="n"/>
      <c r="C476" s="2" t="n"/>
      <c r="L476" s="9" t="n"/>
    </row>
    <row r="477" hidden="1">
      <c r="B477" s="21" t="n"/>
      <c r="C477" s="2" t="n"/>
      <c r="L477" s="9" t="n"/>
    </row>
    <row r="478" hidden="1">
      <c r="B478" s="21" t="n"/>
      <c r="C478" s="2" t="n"/>
      <c r="L478" s="9" t="n"/>
    </row>
    <row r="479" hidden="1">
      <c r="B479" s="21" t="n"/>
      <c r="C479" s="2" t="n"/>
      <c r="L479" s="9" t="n"/>
    </row>
    <row r="480">
      <c r="B480" s="21" t="n"/>
      <c r="C480" s="2" t="n"/>
      <c r="L480" s="9" t="n"/>
    </row>
    <row r="481" hidden="1">
      <c r="B481" s="21" t="n"/>
      <c r="C481" s="2" t="n"/>
      <c r="L481" s="9" t="n"/>
    </row>
    <row r="482" hidden="1">
      <c r="B482" s="21" t="n"/>
      <c r="C482" s="2" t="n"/>
      <c r="L482" s="9" t="n"/>
    </row>
    <row r="483" hidden="1">
      <c r="B483" s="21" t="n"/>
      <c r="C483" s="2" t="n"/>
      <c r="L483" s="9" t="n"/>
    </row>
    <row r="484" hidden="1">
      <c r="B484" s="21" t="n"/>
      <c r="C484" s="2" t="n"/>
      <c r="L484" s="9" t="n"/>
    </row>
    <row r="485" hidden="1">
      <c r="B485" s="21" t="n"/>
      <c r="C485" s="2" t="n"/>
      <c r="L485" s="9" t="n"/>
    </row>
    <row r="486" hidden="1">
      <c r="B486" s="21" t="n"/>
      <c r="C486" s="2" t="n"/>
      <c r="L486" s="9" t="n"/>
    </row>
    <row r="487" hidden="1">
      <c r="B487" s="21" t="n"/>
      <c r="C487" s="2" t="n"/>
      <c r="L487" s="9" t="n"/>
    </row>
    <row r="488" hidden="1">
      <c r="B488" s="21" t="n"/>
      <c r="C488" s="2" t="n"/>
      <c r="L488" s="9" t="n"/>
    </row>
    <row r="489" hidden="1">
      <c r="B489" s="21" t="n"/>
      <c r="C489" s="2" t="n"/>
      <c r="L489" s="9" t="n"/>
    </row>
    <row r="490" hidden="1">
      <c r="B490" s="21" t="n"/>
      <c r="C490" s="2" t="n"/>
      <c r="L490" s="9" t="n"/>
    </row>
    <row r="491" hidden="1">
      <c r="B491" s="21" t="n"/>
      <c r="C491" s="2" t="n"/>
      <c r="L491" s="9" t="n"/>
    </row>
    <row r="492" hidden="1">
      <c r="B492" s="21" t="n"/>
      <c r="C492" s="2" t="n"/>
      <c r="L492" s="9" t="n"/>
    </row>
    <row r="493" hidden="1">
      <c r="B493" s="21" t="n"/>
      <c r="C493" s="2" t="n"/>
      <c r="L493" s="9" t="n"/>
    </row>
    <row r="494" hidden="1">
      <c r="B494" s="21" t="n"/>
      <c r="C494" s="2" t="n"/>
      <c r="L494" s="9" t="n"/>
    </row>
    <row r="495">
      <c r="B495" s="21" t="n"/>
      <c r="C495" s="2" t="n"/>
      <c r="L495" s="9" t="n"/>
    </row>
    <row r="496" hidden="1">
      <c r="B496" s="21" t="n"/>
      <c r="C496" s="2" t="n"/>
      <c r="L496" s="9" t="n"/>
    </row>
    <row r="497" hidden="1">
      <c r="B497" s="21" t="n"/>
      <c r="C497" s="2" t="n"/>
      <c r="L497" s="9" t="n"/>
    </row>
    <row r="498" hidden="1">
      <c r="B498" s="21" t="n"/>
      <c r="C498" s="2" t="n"/>
      <c r="L498" s="9" t="n"/>
    </row>
    <row r="499" hidden="1">
      <c r="B499" s="21" t="n"/>
      <c r="C499" s="2" t="n"/>
      <c r="L499" s="9" t="n"/>
    </row>
    <row r="500" hidden="1">
      <c r="B500" s="21" t="n"/>
      <c r="C500" s="2" t="n"/>
      <c r="L500" s="9" t="n"/>
    </row>
    <row r="501" hidden="1">
      <c r="B501" s="21" t="n"/>
      <c r="C501" s="2" t="n"/>
      <c r="L501" s="9" t="n"/>
    </row>
    <row r="502" hidden="1">
      <c r="B502" s="21" t="n"/>
      <c r="C502" s="2" t="n"/>
      <c r="L502" s="9" t="n"/>
    </row>
    <row r="503" hidden="1">
      <c r="B503" s="21" t="n"/>
      <c r="C503" s="2" t="n"/>
      <c r="L503" s="9" t="n"/>
    </row>
    <row r="504" hidden="1">
      <c r="B504" s="21" t="n"/>
      <c r="C504" s="2" t="n"/>
      <c r="L504" s="9" t="n"/>
    </row>
    <row r="505" hidden="1">
      <c r="B505" s="21" t="n"/>
      <c r="C505" s="2" t="n"/>
      <c r="L505" s="9" t="n"/>
    </row>
    <row r="506" hidden="1">
      <c r="B506" s="21" t="n"/>
      <c r="C506" s="2" t="n"/>
      <c r="L506" s="9" t="n"/>
    </row>
    <row r="507" hidden="1">
      <c r="B507" s="21" t="n"/>
      <c r="C507" s="2" t="n"/>
      <c r="L507" s="9" t="n"/>
    </row>
    <row r="508" hidden="1">
      <c r="B508" s="21" t="n"/>
      <c r="C508" s="2" t="n"/>
      <c r="L508" s="9" t="n"/>
    </row>
    <row r="509" hidden="1">
      <c r="B509" s="21" t="n"/>
      <c r="C509" s="2" t="n"/>
      <c r="L509" s="9" t="n"/>
    </row>
    <row r="510" hidden="1">
      <c r="B510" s="21" t="n"/>
      <c r="C510" s="2" t="n"/>
      <c r="L510" s="9" t="n"/>
    </row>
    <row r="511" hidden="1">
      <c r="B511" s="21" t="n"/>
      <c r="C511" s="2" t="n"/>
      <c r="L511" s="9" t="n"/>
    </row>
    <row r="512" hidden="1">
      <c r="B512" s="21" t="n"/>
      <c r="C512" s="2" t="n"/>
      <c r="L512" s="9" t="n"/>
    </row>
    <row r="513" hidden="1">
      <c r="B513" s="21" t="n"/>
      <c r="C513" s="2" t="n"/>
      <c r="L513" s="9" t="n"/>
    </row>
    <row r="514" hidden="1">
      <c r="B514" s="21" t="n"/>
      <c r="C514" s="2" t="n"/>
      <c r="L514" s="9" t="n"/>
    </row>
    <row r="515" hidden="1">
      <c r="B515" s="21" t="n"/>
      <c r="C515" s="2" t="n"/>
      <c r="L515" s="9" t="n"/>
    </row>
    <row r="516" hidden="1">
      <c r="B516" s="21" t="n"/>
      <c r="C516" s="2" t="n"/>
      <c r="L516" s="9" t="n"/>
    </row>
    <row r="517" hidden="1">
      <c r="B517" s="21" t="n"/>
      <c r="C517" s="2" t="n"/>
      <c r="L517" s="9" t="n"/>
    </row>
    <row r="518">
      <c r="B518" s="21" t="n"/>
      <c r="C518" s="2" t="n"/>
      <c r="L518" s="9" t="n"/>
    </row>
    <row r="519" hidden="1">
      <c r="B519" s="21" t="n"/>
      <c r="C519" s="2" t="n"/>
      <c r="L519" s="9" t="n"/>
    </row>
    <row r="520" hidden="1">
      <c r="B520" s="21" t="n"/>
      <c r="C520" s="2" t="n"/>
      <c r="L520" s="9" t="n"/>
    </row>
    <row r="521" hidden="1">
      <c r="B521" s="21" t="n"/>
      <c r="C521" s="2" t="n"/>
      <c r="L521" s="9" t="n"/>
    </row>
    <row r="522" hidden="1">
      <c r="B522" s="21" t="n"/>
      <c r="C522" s="2" t="n"/>
      <c r="L522" s="9" t="n"/>
    </row>
    <row r="523" hidden="1">
      <c r="B523" s="21" t="n"/>
      <c r="C523" s="2" t="n"/>
      <c r="L523" s="9" t="n"/>
    </row>
    <row r="524" hidden="1">
      <c r="B524" s="21" t="n"/>
      <c r="C524" s="2" t="n"/>
      <c r="L524" s="9" t="n"/>
    </row>
    <row r="525" hidden="1">
      <c r="B525" s="21" t="n"/>
      <c r="C525" s="2" t="n"/>
      <c r="L525" s="9" t="n"/>
    </row>
    <row r="526" hidden="1">
      <c r="B526" s="21" t="n"/>
      <c r="C526" s="2" t="n"/>
      <c r="L526" s="9" t="n"/>
    </row>
    <row r="527" hidden="1">
      <c r="B527" s="21" t="n"/>
      <c r="C527" s="2" t="n"/>
      <c r="L527" s="9" t="n"/>
    </row>
    <row r="528" hidden="1">
      <c r="B528" s="21" t="n"/>
      <c r="C528" s="2" t="n"/>
      <c r="L528" s="9" t="n"/>
    </row>
    <row r="529" hidden="1">
      <c r="B529" s="21" t="n"/>
      <c r="C529" s="2" t="n"/>
      <c r="L529" s="9" t="n"/>
    </row>
    <row r="530" hidden="1">
      <c r="B530" s="21" t="n"/>
      <c r="C530" s="2" t="n"/>
      <c r="L530" s="9" t="n"/>
    </row>
    <row r="531" hidden="1">
      <c r="B531" s="21" t="n"/>
      <c r="C531" s="2" t="n"/>
      <c r="L531" s="9" t="n"/>
    </row>
    <row r="532" hidden="1">
      <c r="B532" s="21" t="n"/>
      <c r="C532" s="2" t="n"/>
      <c r="L532" s="9" t="n"/>
    </row>
    <row r="533" hidden="1">
      <c r="B533" s="21" t="n"/>
      <c r="C533" s="2" t="n"/>
      <c r="L533" s="9" t="n"/>
    </row>
    <row r="534" hidden="1">
      <c r="B534" s="21" t="n"/>
      <c r="C534" s="2" t="n"/>
      <c r="L534" s="9" t="n"/>
    </row>
    <row r="535" hidden="1">
      <c r="B535" s="21" t="n"/>
      <c r="C535" s="2" t="n"/>
      <c r="L535" s="9" t="n"/>
    </row>
    <row r="536" hidden="1">
      <c r="B536" s="21" t="n"/>
      <c r="C536" s="2" t="n"/>
      <c r="L536" s="9" t="n"/>
    </row>
    <row r="537" hidden="1">
      <c r="B537" s="21" t="n"/>
      <c r="C537" s="2" t="n"/>
      <c r="L537" s="9" t="n"/>
    </row>
    <row r="538" hidden="1">
      <c r="B538" s="21" t="n"/>
      <c r="C538" s="2" t="n"/>
      <c r="L538" s="9" t="n"/>
    </row>
    <row r="539" hidden="1">
      <c r="B539" s="21" t="n"/>
      <c r="C539" s="2" t="n"/>
      <c r="L539" s="9" t="n"/>
    </row>
    <row r="540" hidden="1">
      <c r="B540" s="21" t="n"/>
      <c r="C540" s="2" t="n"/>
      <c r="L540" s="9" t="n"/>
    </row>
    <row r="541" hidden="1">
      <c r="B541" s="21" t="n"/>
      <c r="C541" s="2" t="n"/>
      <c r="L541" s="9" t="n"/>
    </row>
    <row r="542" hidden="1">
      <c r="B542" s="21" t="n"/>
      <c r="C542" s="2" t="n"/>
      <c r="L542" s="9" t="n"/>
    </row>
    <row r="543" hidden="1">
      <c r="B543" s="21" t="n"/>
      <c r="C543" s="2" t="n"/>
      <c r="L543" s="9" t="n"/>
    </row>
    <row r="544" hidden="1">
      <c r="B544" s="21" t="n"/>
      <c r="C544" s="2" t="n"/>
      <c r="L544" s="9" t="n"/>
    </row>
    <row r="545" hidden="1">
      <c r="B545" s="21" t="n"/>
      <c r="C545" s="2" t="n"/>
      <c r="L545" s="9" t="n"/>
    </row>
    <row r="546">
      <c r="B546" s="21" t="n"/>
      <c r="C546" s="2" t="n"/>
      <c r="L546" s="9" t="n"/>
    </row>
    <row r="547" hidden="1">
      <c r="B547" s="21" t="n"/>
      <c r="C547" s="2" t="n"/>
      <c r="L547" s="9" t="n"/>
    </row>
    <row r="548" hidden="1">
      <c r="B548" s="21" t="n"/>
      <c r="C548" s="2" t="n"/>
      <c r="L548" s="9" t="n"/>
    </row>
    <row r="549" hidden="1">
      <c r="B549" s="21" t="n"/>
      <c r="C549" s="2" t="n"/>
      <c r="L549" s="9" t="n"/>
    </row>
    <row r="550" hidden="1">
      <c r="B550" s="21" t="n"/>
      <c r="C550" s="2" t="n"/>
      <c r="L550" s="9" t="n"/>
    </row>
    <row r="551" hidden="1">
      <c r="B551" s="21" t="n"/>
      <c r="C551" s="2" t="n"/>
      <c r="L551" s="9" t="n"/>
    </row>
    <row r="552" hidden="1">
      <c r="B552" s="21" t="n"/>
      <c r="C552" s="2" t="n"/>
      <c r="L552" s="9" t="n"/>
    </row>
    <row r="553" hidden="1">
      <c r="B553" s="21" t="n"/>
      <c r="C553" s="2" t="n"/>
      <c r="L553" s="9" t="n"/>
    </row>
    <row r="554" hidden="1">
      <c r="B554" s="21" t="n"/>
      <c r="C554" s="2" t="n"/>
      <c r="L554" s="9" t="n"/>
    </row>
    <row r="555" hidden="1">
      <c r="B555" s="21" t="n"/>
      <c r="C555" s="2" t="n"/>
      <c r="L555" s="9" t="n"/>
    </row>
    <row r="556" hidden="1">
      <c r="B556" s="21" t="n"/>
      <c r="C556" s="2" t="n"/>
      <c r="L556" s="9" t="n"/>
    </row>
    <row r="557" hidden="1">
      <c r="B557" s="21" t="n"/>
      <c r="C557" s="2" t="n"/>
      <c r="L557" s="9" t="n"/>
    </row>
    <row r="558" hidden="1">
      <c r="B558" s="21" t="n"/>
      <c r="C558" s="2" t="n"/>
      <c r="L558" s="9" t="n"/>
    </row>
    <row r="559" hidden="1">
      <c r="B559" s="21" t="n"/>
      <c r="C559" s="2" t="n"/>
      <c r="L559" s="9" t="n"/>
    </row>
    <row r="560" hidden="1">
      <c r="B560" s="21" t="n"/>
      <c r="C560" s="2" t="n"/>
      <c r="L560" s="9" t="n"/>
    </row>
    <row r="561">
      <c r="B561" s="21" t="n"/>
      <c r="C561" s="2" t="n"/>
      <c r="L561" s="9" t="n"/>
    </row>
    <row r="562" hidden="1">
      <c r="B562" s="21" t="n"/>
      <c r="C562" s="2" t="n"/>
      <c r="L562" s="9" t="n"/>
    </row>
    <row r="563" hidden="1">
      <c r="B563" s="21" t="n"/>
      <c r="C563" s="2" t="n"/>
      <c r="L563" s="9" t="n"/>
    </row>
    <row r="564" hidden="1">
      <c r="B564" s="21" t="n"/>
      <c r="C564" s="2" t="n"/>
      <c r="L564" s="9" t="n"/>
    </row>
    <row r="565" hidden="1">
      <c r="B565" s="21" t="n"/>
      <c r="C565" s="2" t="n"/>
      <c r="L565" s="9" t="n"/>
    </row>
    <row r="566" hidden="1">
      <c r="B566" s="21" t="n"/>
      <c r="C566" s="2" t="n"/>
      <c r="L566" s="9" t="n"/>
    </row>
    <row r="567" hidden="1">
      <c r="B567" s="21" t="n"/>
      <c r="C567" s="2" t="n"/>
      <c r="L567" s="9" t="n"/>
    </row>
    <row r="568" hidden="1">
      <c r="B568" s="21" t="n"/>
      <c r="C568" s="2" t="n"/>
      <c r="L568" s="9" t="n"/>
    </row>
    <row r="569" hidden="1">
      <c r="B569" s="21" t="n"/>
      <c r="C569" s="2" t="n"/>
      <c r="L569" s="9" t="n"/>
    </row>
    <row r="570">
      <c r="B570" s="21" t="n"/>
      <c r="C570" s="2" t="n"/>
      <c r="L570" s="9" t="n"/>
    </row>
    <row r="571" hidden="1">
      <c r="B571" s="21" t="n"/>
      <c r="C571" s="2" t="n"/>
      <c r="L571" s="9" t="n"/>
    </row>
    <row r="572" hidden="1">
      <c r="B572" s="21" t="n"/>
      <c r="C572" s="2" t="n"/>
      <c r="L572" s="9" t="n"/>
    </row>
    <row r="573" hidden="1">
      <c r="B573" s="21" t="n"/>
      <c r="C573" s="2" t="n"/>
      <c r="L573" s="9" t="n"/>
    </row>
    <row r="574" hidden="1">
      <c r="B574" s="21" t="n"/>
      <c r="C574" s="2" t="n"/>
      <c r="L574" s="9" t="n"/>
    </row>
    <row r="575" hidden="1">
      <c r="B575" s="21" t="n"/>
      <c r="C575" s="2" t="n"/>
      <c r="L575" s="9" t="n"/>
    </row>
    <row r="576" hidden="1">
      <c r="B576" s="21" t="n"/>
      <c r="C576" s="2" t="n"/>
      <c r="L576" s="9" t="n"/>
    </row>
    <row r="577" hidden="1">
      <c r="B577" s="21" t="n"/>
      <c r="C577" s="2" t="n"/>
      <c r="L577" s="9" t="n"/>
    </row>
    <row r="578" hidden="1">
      <c r="B578" s="21" t="n"/>
      <c r="C578" s="2" t="n"/>
      <c r="L578" s="9" t="n"/>
    </row>
    <row r="579" hidden="1">
      <c r="B579" s="21" t="n"/>
      <c r="C579" s="2" t="n"/>
      <c r="L579" s="9" t="n"/>
    </row>
    <row r="580" hidden="1">
      <c r="B580" s="21" t="n"/>
      <c r="C580" s="2" t="n"/>
      <c r="L580" s="9" t="n"/>
    </row>
    <row r="581" hidden="1">
      <c r="B581" s="21" t="n"/>
      <c r="C581" s="2" t="n"/>
      <c r="L581" s="9" t="n"/>
    </row>
    <row r="582" hidden="1">
      <c r="B582" s="21" t="n"/>
      <c r="C582" s="2" t="n"/>
      <c r="L582" s="9" t="n"/>
    </row>
    <row r="583" hidden="1">
      <c r="B583" s="21" t="n"/>
      <c r="C583" s="2" t="n"/>
      <c r="L583" s="9" t="n"/>
    </row>
    <row r="584" hidden="1">
      <c r="B584" s="21" t="n"/>
      <c r="C584" s="2" t="n"/>
      <c r="L584" s="9" t="n"/>
    </row>
    <row r="585" hidden="1">
      <c r="B585" s="21" t="n"/>
      <c r="C585" s="2" t="n"/>
      <c r="L585" s="9" t="n"/>
    </row>
    <row r="586" hidden="1">
      <c r="B586" s="21" t="n"/>
      <c r="C586" s="2" t="n"/>
      <c r="L586" s="9" t="n"/>
    </row>
    <row r="587" hidden="1">
      <c r="B587" s="21" t="n"/>
      <c r="C587" s="2" t="n"/>
      <c r="L587" s="9" t="n"/>
    </row>
    <row r="588" hidden="1">
      <c r="B588" s="21" t="n"/>
      <c r="C588" s="2" t="n"/>
      <c r="L588" s="9" t="n"/>
    </row>
    <row r="589" hidden="1">
      <c r="B589" s="21" t="n"/>
      <c r="C589" s="2" t="n"/>
      <c r="L589" s="9" t="n"/>
    </row>
    <row r="590" hidden="1">
      <c r="B590" s="21" t="n"/>
      <c r="C590" s="2" t="n"/>
      <c r="L590" s="9" t="n"/>
    </row>
    <row r="591" hidden="1">
      <c r="B591" s="21" t="n"/>
      <c r="C591" s="2" t="n"/>
      <c r="L591" s="9" t="n"/>
    </row>
    <row r="592">
      <c r="B592" s="21" t="n"/>
      <c r="C592" s="2" t="n"/>
      <c r="L592" s="9" t="n"/>
    </row>
    <row r="593" hidden="1">
      <c r="B593" s="21" t="n"/>
      <c r="C593" s="2" t="n"/>
      <c r="L593" s="9" t="n"/>
    </row>
    <row r="594" hidden="1">
      <c r="B594" s="21" t="n"/>
      <c r="C594" s="2" t="n"/>
      <c r="L594" s="9" t="n"/>
    </row>
    <row r="595" hidden="1">
      <c r="B595" s="21" t="n"/>
      <c r="C595" s="2" t="n"/>
      <c r="L595" s="9" t="n"/>
    </row>
    <row r="596" hidden="1">
      <c r="B596" s="21" t="n"/>
      <c r="C596" s="2" t="n"/>
      <c r="L596" s="9" t="n"/>
    </row>
    <row r="597" hidden="1">
      <c r="B597" s="21" t="n"/>
      <c r="C597" s="2" t="n"/>
      <c r="L597" s="9" t="n"/>
    </row>
    <row r="598" hidden="1">
      <c r="B598" s="21" t="n"/>
      <c r="C598" s="2" t="n"/>
      <c r="L598" s="9" t="n"/>
    </row>
    <row r="599" hidden="1">
      <c r="B599" s="21" t="n"/>
      <c r="C599" s="2" t="n"/>
      <c r="L599" s="9" t="n"/>
    </row>
    <row r="600" hidden="1">
      <c r="B600" s="21" t="n"/>
      <c r="C600" s="2" t="n"/>
      <c r="L600" s="9" t="n"/>
    </row>
    <row r="601" hidden="1">
      <c r="B601" s="21" t="n"/>
      <c r="C601" s="2" t="n"/>
      <c r="L601" s="9" t="n"/>
    </row>
    <row r="602" hidden="1">
      <c r="B602" s="21" t="n"/>
      <c r="C602" s="2" t="n"/>
      <c r="L602" s="9" t="n"/>
    </row>
    <row r="603" hidden="1">
      <c r="B603" s="21" t="n"/>
      <c r="C603" s="2" t="n"/>
      <c r="L603" s="9" t="n"/>
    </row>
    <row r="604" hidden="1">
      <c r="B604" s="21" t="n"/>
      <c r="C604" s="2" t="n"/>
      <c r="L604" s="9" t="n"/>
    </row>
    <row r="605" hidden="1">
      <c r="B605" s="21" t="n"/>
      <c r="C605" s="2" t="n"/>
      <c r="L605" s="9" t="n"/>
    </row>
    <row r="606" hidden="1">
      <c r="B606" s="21" t="n"/>
      <c r="C606" s="2" t="n"/>
      <c r="L606" s="9" t="n"/>
    </row>
    <row r="607" hidden="1">
      <c r="B607" s="21" t="n"/>
      <c r="C607" s="2" t="n"/>
      <c r="L607" s="9" t="n"/>
    </row>
    <row r="608" hidden="1">
      <c r="B608" s="21" t="n"/>
      <c r="C608" s="2" t="n"/>
      <c r="L608" s="9" t="n"/>
    </row>
    <row r="609" hidden="1">
      <c r="B609" s="21" t="n"/>
      <c r="C609" s="2" t="n"/>
      <c r="L609" s="9" t="n"/>
    </row>
    <row r="610" hidden="1">
      <c r="B610" s="21" t="n"/>
      <c r="C610" s="2" t="n"/>
      <c r="L610" s="9" t="n"/>
    </row>
    <row r="611" hidden="1">
      <c r="B611" s="21" t="n"/>
      <c r="C611" s="2" t="n"/>
      <c r="L611" s="9" t="n"/>
    </row>
    <row r="612">
      <c r="B612" s="21" t="n"/>
      <c r="C612" s="2" t="n"/>
      <c r="L612" s="9" t="n"/>
    </row>
    <row r="613" hidden="1">
      <c r="B613" s="21" t="n"/>
      <c r="C613" s="2" t="n"/>
      <c r="L613" s="9" t="n"/>
    </row>
    <row r="614" hidden="1">
      <c r="B614" s="21" t="n"/>
      <c r="C614" s="2" t="n"/>
      <c r="L614" s="9" t="n"/>
    </row>
    <row r="615" hidden="1">
      <c r="B615" s="21" t="n"/>
      <c r="C615" s="2" t="n"/>
      <c r="L615" s="9" t="n"/>
    </row>
    <row r="616" hidden="1">
      <c r="B616" s="21" t="n"/>
      <c r="C616" s="2" t="n"/>
      <c r="L616" s="9" t="n"/>
    </row>
    <row r="617" hidden="1">
      <c r="B617" s="21" t="n"/>
      <c r="C617" s="2" t="n"/>
      <c r="L617" s="9" t="n"/>
    </row>
    <row r="618" hidden="1">
      <c r="B618" s="21" t="n"/>
      <c r="C618" s="2" t="n"/>
      <c r="L618" s="9" t="n"/>
    </row>
    <row r="619" hidden="1">
      <c r="B619" s="21" t="n"/>
      <c r="C619" s="2" t="n"/>
      <c r="L619" s="9" t="n"/>
    </row>
    <row r="620">
      <c r="B620" s="21" t="n"/>
      <c r="C620" s="2" t="n"/>
      <c r="L620" s="9" t="n"/>
    </row>
    <row r="621" hidden="1">
      <c r="B621" s="21" t="n"/>
      <c r="C621" s="2" t="n"/>
      <c r="L621" s="9" t="n"/>
    </row>
    <row r="622" hidden="1">
      <c r="B622" s="21" t="n"/>
      <c r="C622" s="2" t="n"/>
      <c r="L622" s="9" t="n"/>
    </row>
    <row r="623" hidden="1">
      <c r="B623" s="21" t="n"/>
      <c r="C623" s="2" t="n"/>
      <c r="L623" s="9" t="n"/>
    </row>
    <row r="624" hidden="1">
      <c r="B624" s="21" t="n"/>
      <c r="C624" s="2" t="n"/>
      <c r="L624" s="9" t="n"/>
    </row>
    <row r="625" hidden="1">
      <c r="B625" s="21" t="n"/>
      <c r="C625" s="2" t="n"/>
      <c r="L625" s="9" t="n"/>
    </row>
    <row r="626" hidden="1">
      <c r="B626" s="21" t="n"/>
      <c r="C626" s="2" t="n"/>
      <c r="L626" s="9" t="n"/>
    </row>
    <row r="627" hidden="1">
      <c r="B627" s="21" t="n"/>
      <c r="C627" s="2" t="n"/>
      <c r="L627" s="9" t="n"/>
    </row>
    <row r="628" hidden="1">
      <c r="B628" s="21" t="n"/>
      <c r="C628" s="2" t="n"/>
      <c r="L628" s="9" t="n"/>
    </row>
    <row r="629" hidden="1">
      <c r="B629" s="21" t="n"/>
      <c r="C629" s="2" t="n"/>
      <c r="L629" s="9" t="n"/>
    </row>
    <row r="630" hidden="1">
      <c r="B630" s="21" t="n"/>
      <c r="C630" s="2" t="n"/>
      <c r="L630" s="9" t="n"/>
    </row>
    <row r="631" hidden="1">
      <c r="B631" s="21" t="n"/>
      <c r="C631" s="2" t="n"/>
      <c r="L631" s="9" t="n"/>
    </row>
    <row r="632" hidden="1">
      <c r="B632" s="21" t="n"/>
      <c r="C632" s="2" t="n"/>
      <c r="L632" s="9" t="n"/>
    </row>
    <row r="633" hidden="1">
      <c r="B633" s="21" t="n"/>
      <c r="C633" s="2" t="n"/>
      <c r="L633" s="9" t="n"/>
    </row>
    <row r="634" hidden="1">
      <c r="B634" s="21" t="n"/>
      <c r="C634" s="2" t="n"/>
      <c r="L634" s="9" t="n"/>
    </row>
    <row r="635" hidden="1">
      <c r="B635" s="21" t="n"/>
      <c r="C635" s="2" t="n"/>
      <c r="L635" s="9" t="n"/>
    </row>
    <row r="636" hidden="1">
      <c r="B636" s="21" t="n"/>
      <c r="C636" s="2" t="n"/>
      <c r="L636" s="9" t="n"/>
    </row>
    <row r="637" hidden="1">
      <c r="B637" s="21" t="n"/>
      <c r="C637" s="2" t="n"/>
      <c r="L637" s="9" t="n"/>
    </row>
    <row r="638">
      <c r="B638" s="21" t="n"/>
      <c r="C638" s="2" t="n"/>
      <c r="L638" s="9" t="n"/>
    </row>
    <row r="639" hidden="1">
      <c r="B639" s="21" t="n"/>
      <c r="C639" s="2" t="n"/>
      <c r="L639" s="9" t="n"/>
    </row>
    <row r="640" hidden="1">
      <c r="B640" s="21" t="n"/>
      <c r="C640" s="2" t="n"/>
      <c r="L640" s="9" t="n"/>
    </row>
    <row r="641" hidden="1">
      <c r="B641" s="21" t="n"/>
      <c r="C641" s="2" t="n"/>
      <c r="L641" s="9" t="n"/>
    </row>
    <row r="642" hidden="1">
      <c r="B642" s="21" t="n"/>
      <c r="C642" s="2" t="n"/>
      <c r="L642" s="9" t="n"/>
    </row>
    <row r="643" hidden="1">
      <c r="B643" s="21" t="n"/>
      <c r="C643" s="2" t="n"/>
      <c r="L643" s="9" t="n"/>
    </row>
    <row r="644" hidden="1">
      <c r="B644" s="21" t="n"/>
      <c r="C644" s="2" t="n"/>
      <c r="L644" s="9" t="n"/>
    </row>
    <row r="645" hidden="1">
      <c r="B645" s="21" t="n"/>
      <c r="C645" s="2" t="n"/>
      <c r="L645" s="9" t="n"/>
    </row>
    <row r="646" hidden="1">
      <c r="B646" s="21" t="n"/>
      <c r="C646" s="2" t="n"/>
      <c r="L646" s="9" t="n"/>
    </row>
    <row r="647" hidden="1">
      <c r="B647" s="21" t="n"/>
      <c r="C647" s="2" t="n"/>
      <c r="L647" s="9" t="n"/>
    </row>
    <row r="648" hidden="1">
      <c r="B648" s="21" t="n"/>
      <c r="C648" s="2" t="n"/>
      <c r="L648" s="9" t="n"/>
    </row>
    <row r="649" hidden="1">
      <c r="B649" s="21" t="n"/>
      <c r="C649" s="2" t="n"/>
      <c r="L649" s="9" t="n"/>
    </row>
    <row r="650" hidden="1">
      <c r="B650" s="21" t="n"/>
      <c r="C650" s="2" t="n"/>
      <c r="L650" s="9" t="n"/>
    </row>
    <row r="651" hidden="1">
      <c r="B651" s="21" t="n"/>
      <c r="C651" s="2" t="n"/>
      <c r="L651" s="9" t="n"/>
    </row>
    <row r="652" hidden="1">
      <c r="B652" s="21" t="n"/>
      <c r="C652" s="2" t="n"/>
      <c r="L652" s="9" t="n"/>
    </row>
    <row r="653" hidden="1">
      <c r="B653" s="21" t="n"/>
      <c r="C653" s="2" t="n"/>
      <c r="L653" s="9" t="n"/>
    </row>
    <row r="654" hidden="1">
      <c r="B654" s="21" t="n"/>
      <c r="C654" s="2" t="n"/>
      <c r="L654" s="9" t="n"/>
    </row>
    <row r="655" hidden="1">
      <c r="B655" s="21" t="n"/>
      <c r="C655" s="2" t="n"/>
      <c r="L655" s="9" t="n"/>
    </row>
    <row r="656" hidden="1">
      <c r="B656" s="21" t="n"/>
      <c r="C656" s="2" t="n"/>
      <c r="L656" s="9" t="n"/>
    </row>
    <row r="657" hidden="1">
      <c r="B657" s="21" t="n"/>
      <c r="C657" s="2" t="n"/>
      <c r="L657" s="9" t="n"/>
    </row>
    <row r="658" hidden="1">
      <c r="B658" s="21" t="n"/>
      <c r="C658" s="2" t="n"/>
      <c r="L658" s="9" t="n"/>
    </row>
    <row r="659" hidden="1">
      <c r="B659" s="21" t="n"/>
      <c r="C659" s="2" t="n"/>
      <c r="L659" s="9" t="n"/>
    </row>
    <row r="660" hidden="1">
      <c r="B660" s="21" t="n"/>
      <c r="C660" s="2" t="n"/>
      <c r="L660" s="9" t="n"/>
    </row>
    <row r="661" hidden="1">
      <c r="B661" s="21" t="n"/>
      <c r="C661" s="2" t="n"/>
      <c r="L661" s="9" t="n"/>
    </row>
    <row r="662" hidden="1">
      <c r="B662" s="21" t="n"/>
      <c r="C662" s="2" t="n"/>
      <c r="L662" s="9" t="n"/>
    </row>
    <row r="663" hidden="1">
      <c r="B663" s="21" t="n"/>
      <c r="C663" s="2" t="n"/>
      <c r="L663" s="9" t="n"/>
    </row>
    <row r="664" hidden="1">
      <c r="B664" s="21" t="n"/>
      <c r="C664" s="2" t="n"/>
      <c r="L664" s="9" t="n"/>
    </row>
    <row r="665" hidden="1">
      <c r="B665" s="21" t="n"/>
      <c r="C665" s="2" t="n"/>
      <c r="L665" s="9" t="n"/>
    </row>
    <row r="666" hidden="1">
      <c r="B666" s="21" t="n"/>
      <c r="C666" s="2" t="n"/>
      <c r="L666" s="9" t="n"/>
    </row>
    <row r="667" hidden="1">
      <c r="B667" s="21" t="n"/>
      <c r="C667" s="2" t="n"/>
      <c r="L667" s="9" t="n"/>
    </row>
    <row r="668" hidden="1">
      <c r="B668" s="21" t="n"/>
      <c r="C668" s="2" t="n"/>
      <c r="L668" s="9" t="n"/>
    </row>
    <row r="669">
      <c r="B669" s="21" t="n"/>
      <c r="C669" s="2" t="n"/>
      <c r="L669" s="9" t="n"/>
    </row>
    <row r="670" hidden="1">
      <c r="B670" s="21" t="n"/>
      <c r="C670" s="2" t="n"/>
      <c r="L670" s="9" t="n"/>
    </row>
    <row r="671" hidden="1">
      <c r="B671" s="21" t="n"/>
      <c r="C671" s="2" t="n"/>
      <c r="L671" s="9" t="n"/>
    </row>
    <row r="672" hidden="1">
      <c r="B672" s="21" t="n"/>
      <c r="C672" s="2" t="n"/>
      <c r="L672" s="9" t="n"/>
    </row>
    <row r="673" hidden="1">
      <c r="B673" s="21" t="n"/>
      <c r="C673" s="2" t="n"/>
      <c r="L673" s="9" t="n"/>
    </row>
    <row r="674" hidden="1">
      <c r="B674" s="21" t="n"/>
      <c r="C674" s="2" t="n"/>
      <c r="L674" s="9" t="n"/>
    </row>
    <row r="675">
      <c r="B675" s="21" t="n"/>
      <c r="C675" s="2" t="n"/>
      <c r="L675" s="9" t="n"/>
    </row>
    <row r="676" hidden="1">
      <c r="B676" s="21" t="n"/>
      <c r="C676" s="2" t="n"/>
      <c r="L676" s="9" t="n"/>
    </row>
    <row r="677" hidden="1">
      <c r="B677" s="21" t="n"/>
      <c r="C677" s="2" t="n"/>
      <c r="L677" s="9" t="n"/>
    </row>
    <row r="678" hidden="1">
      <c r="B678" s="21" t="n"/>
      <c r="C678" s="2" t="n"/>
      <c r="L678" s="9" t="n"/>
    </row>
    <row r="679">
      <c r="B679" s="21" t="n"/>
      <c r="C679" s="2" t="n"/>
      <c r="L679" s="9" t="n"/>
    </row>
    <row r="680" hidden="1">
      <c r="B680" s="21" t="n"/>
      <c r="C680" s="2" t="n"/>
      <c r="L680" s="9" t="n"/>
    </row>
    <row r="681">
      <c r="B681" s="21" t="n"/>
      <c r="C681" s="2" t="n"/>
      <c r="L681" s="9" t="n"/>
    </row>
    <row r="682">
      <c r="B682" s="21" t="n"/>
      <c r="C682" s="2" t="n"/>
      <c r="L682" s="9" t="n"/>
    </row>
    <row r="683" hidden="1">
      <c r="B683" s="21" t="n"/>
      <c r="C683" s="2" t="n"/>
      <c r="L683" s="9" t="n"/>
    </row>
    <row r="684" hidden="1">
      <c r="B684" s="21" t="n"/>
      <c r="C684" s="2" t="n"/>
      <c r="L684" s="9" t="n"/>
    </row>
    <row r="685" hidden="1">
      <c r="B685" s="21" t="n"/>
      <c r="C685" s="2" t="n"/>
      <c r="L685" s="9" t="n"/>
    </row>
    <row r="686">
      <c r="B686" s="21" t="n"/>
      <c r="C686" s="2" t="n"/>
      <c r="L686" s="9" t="n"/>
    </row>
    <row r="687" hidden="1">
      <c r="B687" s="21" t="n"/>
      <c r="C687" s="2" t="n"/>
      <c r="L687" s="9" t="n"/>
    </row>
    <row r="688" hidden="1">
      <c r="B688" s="21" t="n"/>
      <c r="C688" s="2" t="n"/>
      <c r="L688" s="9" t="n"/>
    </row>
    <row r="689" hidden="1">
      <c r="B689" s="21" t="n"/>
      <c r="C689" s="2" t="n"/>
      <c r="L689" s="9" t="n"/>
    </row>
    <row r="690" hidden="1">
      <c r="B690" s="21" t="n"/>
      <c r="C690" s="2" t="n"/>
      <c r="L690" s="9" t="n"/>
    </row>
    <row r="691">
      <c r="B691" s="21" t="n"/>
      <c r="C691" s="2" t="n"/>
      <c r="L691" s="9" t="n"/>
    </row>
    <row r="692" hidden="1">
      <c r="B692" s="21" t="n"/>
      <c r="C692" s="2" t="n"/>
      <c r="L692" s="9" t="n"/>
    </row>
    <row r="693" hidden="1">
      <c r="B693" s="21" t="n"/>
      <c r="C693" s="2" t="n"/>
      <c r="L693" s="9" t="n"/>
    </row>
    <row r="694" hidden="1">
      <c r="B694" s="21" t="n"/>
      <c r="C694" s="2" t="n"/>
      <c r="L694" s="9" t="n"/>
    </row>
    <row r="695">
      <c r="B695" s="21" t="n"/>
      <c r="C695" s="2" t="n"/>
      <c r="L695" s="9" t="n"/>
    </row>
    <row r="696" hidden="1">
      <c r="B696" s="21" t="n"/>
      <c r="C696" s="2" t="n"/>
      <c r="L696" s="9" t="n"/>
    </row>
    <row r="697">
      <c r="B697" s="21" t="n"/>
      <c r="C697" s="2" t="n"/>
      <c r="L697" s="9" t="n"/>
    </row>
    <row r="698" hidden="1">
      <c r="B698" s="21" t="n"/>
      <c r="C698" s="2" t="n"/>
      <c r="L698" s="9" t="n"/>
    </row>
    <row r="699" hidden="1">
      <c r="B699" s="21" t="n"/>
      <c r="C699" s="2" t="n"/>
      <c r="L699" s="9" t="n"/>
    </row>
    <row r="700" hidden="1">
      <c r="B700" s="21" t="n"/>
      <c r="C700" s="2" t="n"/>
      <c r="L700" s="9" t="n"/>
    </row>
    <row r="701" hidden="1">
      <c r="B701" s="21" t="n"/>
      <c r="C701" s="2" t="n"/>
      <c r="L701" s="9" t="n"/>
    </row>
    <row r="702" hidden="1">
      <c r="B702" s="21" t="n"/>
      <c r="C702" s="2" t="n"/>
      <c r="L702" s="9" t="n"/>
    </row>
    <row r="703" hidden="1">
      <c r="B703" s="21" t="n"/>
      <c r="C703" s="2" t="n"/>
      <c r="L703" s="9" t="n"/>
    </row>
    <row r="704">
      <c r="B704" s="21" t="n"/>
      <c r="C704" s="2" t="n"/>
      <c r="L704" s="9" t="n"/>
    </row>
    <row r="705" hidden="1">
      <c r="B705" s="21" t="n"/>
      <c r="C705" s="2" t="n"/>
      <c r="L705" s="9" t="n"/>
    </row>
    <row r="706" hidden="1">
      <c r="B706" s="21" t="n"/>
      <c r="C706" s="2" t="n"/>
      <c r="L706" s="9" t="n"/>
    </row>
    <row r="707">
      <c r="B707" s="21" t="n"/>
      <c r="C707" s="2" t="n"/>
      <c r="L707" s="9" t="n"/>
    </row>
    <row r="708" hidden="1">
      <c r="B708" s="21" t="n"/>
      <c r="C708" s="2" t="n"/>
      <c r="L708" s="9" t="n"/>
    </row>
    <row r="709" hidden="1">
      <c r="B709" s="21" t="n"/>
      <c r="C709" s="2" t="n"/>
      <c r="L709" s="9" t="n"/>
    </row>
    <row r="710" hidden="1">
      <c r="B710" s="21" t="n"/>
      <c r="C710" s="2" t="n"/>
      <c r="L710" s="9" t="n"/>
    </row>
    <row r="711">
      <c r="B711" s="21" t="n"/>
      <c r="C711" s="2" t="n"/>
      <c r="L711" s="9" t="n"/>
    </row>
    <row r="712" hidden="1">
      <c r="B712" s="21" t="n"/>
      <c r="C712" s="2" t="n"/>
      <c r="L712" s="9" t="n"/>
    </row>
    <row r="713" hidden="1">
      <c r="B713" s="21" t="n"/>
      <c r="C713" s="2" t="n"/>
      <c r="L713" s="9" t="n"/>
    </row>
    <row r="714">
      <c r="B714" s="21" t="n"/>
      <c r="C714" s="2" t="n"/>
      <c r="L714" s="9" t="n"/>
    </row>
    <row r="715" hidden="1">
      <c r="B715" s="21" t="n"/>
      <c r="C715" s="2" t="n"/>
      <c r="L715" s="9" t="n"/>
    </row>
    <row r="716" hidden="1">
      <c r="B716" s="21" t="n"/>
      <c r="C716" s="2" t="n"/>
      <c r="L716" s="9" t="n"/>
    </row>
    <row r="717" hidden="1">
      <c r="B717" s="21" t="n"/>
      <c r="C717" s="2" t="n"/>
      <c r="L717" s="9" t="n"/>
    </row>
    <row r="718" hidden="1">
      <c r="B718" s="21" t="n"/>
      <c r="C718" s="2" t="n"/>
      <c r="L718" s="9" t="n"/>
    </row>
    <row r="719" hidden="1">
      <c r="B719" s="21" t="n"/>
      <c r="C719" s="2" t="n"/>
      <c r="L719" s="9" t="n"/>
    </row>
    <row r="720">
      <c r="B720" s="21" t="n"/>
      <c r="C720" s="2" t="n"/>
      <c r="L720" s="9" t="n"/>
    </row>
    <row r="721" hidden="1">
      <c r="B721" s="21" t="n"/>
      <c r="C721" s="2" t="n"/>
      <c r="L721" s="9" t="n"/>
    </row>
    <row r="722" hidden="1">
      <c r="B722" s="21" t="n"/>
      <c r="C722" s="2" t="n"/>
      <c r="L722" s="9" t="n"/>
    </row>
    <row r="723">
      <c r="B723" s="21" t="n"/>
      <c r="C723" s="2" t="n"/>
      <c r="L723" s="9" t="n"/>
    </row>
    <row r="724" hidden="1">
      <c r="B724" s="21" t="n"/>
      <c r="C724" s="2" t="n"/>
      <c r="L724" s="9" t="n"/>
    </row>
    <row r="725" hidden="1">
      <c r="B725" s="21" t="n"/>
      <c r="C725" s="2" t="n"/>
      <c r="L725" s="9" t="n"/>
    </row>
    <row r="726" hidden="1">
      <c r="B726" s="21" t="n"/>
      <c r="C726" s="2" t="n"/>
      <c r="L726" s="9" t="n"/>
    </row>
    <row r="727" hidden="1">
      <c r="B727" s="21" t="n"/>
      <c r="C727" s="2" t="n"/>
      <c r="L727" s="9" t="n"/>
    </row>
    <row r="728">
      <c r="B728" s="21" t="n"/>
      <c r="C728" s="2" t="n"/>
      <c r="L728" s="9" t="n"/>
    </row>
    <row r="729">
      <c r="B729" s="21" t="n"/>
      <c r="C729" s="2" t="n"/>
      <c r="L729" s="9" t="n"/>
    </row>
    <row r="730" hidden="1">
      <c r="B730" s="21" t="n"/>
      <c r="C730" s="2" t="n"/>
      <c r="L730" s="9" t="n"/>
    </row>
    <row r="731" hidden="1">
      <c r="B731" s="21" t="n"/>
      <c r="C731" s="2" t="n"/>
      <c r="L731" s="9" t="n"/>
    </row>
    <row r="732" hidden="1">
      <c r="B732" s="21" t="n"/>
      <c r="C732" s="2" t="n"/>
      <c r="L732" s="9" t="n"/>
    </row>
    <row r="733">
      <c r="B733" s="21" t="n"/>
      <c r="C733" s="2" t="n"/>
      <c r="L733" s="9" t="n"/>
    </row>
    <row r="734" hidden="1">
      <c r="B734" s="21" t="n"/>
      <c r="C734" s="2" t="n"/>
      <c r="L734" s="9" t="n"/>
    </row>
    <row r="735" hidden="1">
      <c r="B735" s="21" t="n"/>
      <c r="C735" s="2" t="n"/>
      <c r="L735" s="9" t="n"/>
    </row>
    <row r="736" hidden="1">
      <c r="B736" s="21" t="n"/>
      <c r="C736" s="2" t="n"/>
      <c r="L736" s="9" t="n"/>
    </row>
    <row r="737" hidden="1">
      <c r="B737" s="21" t="n"/>
      <c r="C737" s="2" t="n"/>
      <c r="L737" s="9" t="n"/>
    </row>
    <row r="738" hidden="1">
      <c r="B738" s="21" t="n"/>
      <c r="C738" s="2" t="n"/>
      <c r="L738" s="9" t="n"/>
    </row>
    <row r="739" hidden="1">
      <c r="B739" s="21" t="n"/>
      <c r="C739" s="2" t="n"/>
      <c r="L739" s="9" t="n"/>
    </row>
    <row r="740">
      <c r="B740" s="21" t="n"/>
      <c r="C740" s="2" t="n"/>
      <c r="L740" s="9" t="n"/>
    </row>
    <row r="741" hidden="1">
      <c r="B741" s="21" t="n"/>
      <c r="C741" s="2" t="n"/>
      <c r="L741" s="9" t="n"/>
    </row>
    <row r="742" hidden="1">
      <c r="B742" s="21" t="n"/>
      <c r="C742" s="2" t="n"/>
      <c r="L742" s="9" t="n"/>
    </row>
    <row r="743">
      <c r="B743" s="21" t="n"/>
      <c r="C743" s="2" t="n"/>
      <c r="L743" s="9" t="n"/>
    </row>
    <row r="744" hidden="1">
      <c r="B744" s="21" t="n"/>
      <c r="C744" s="2" t="n"/>
      <c r="L744" s="9" t="n"/>
    </row>
    <row r="745">
      <c r="B745" s="21" t="n"/>
      <c r="C745" s="2" t="n"/>
      <c r="L745" s="9" t="n"/>
    </row>
    <row r="746" hidden="1">
      <c r="B746" s="21" t="n"/>
      <c r="C746" s="2" t="n"/>
      <c r="L746" s="9" t="n"/>
    </row>
    <row r="747" hidden="1">
      <c r="B747" s="21" t="n"/>
      <c r="C747" s="2" t="n"/>
      <c r="L747" s="9" t="n"/>
    </row>
    <row r="748" hidden="1">
      <c r="B748" s="21" t="n"/>
      <c r="C748" s="2" t="n"/>
      <c r="L748" s="9" t="n"/>
    </row>
    <row r="749" hidden="1">
      <c r="B749" s="21" t="n"/>
      <c r="C749" s="2" t="n"/>
      <c r="L749" s="9" t="n"/>
    </row>
    <row r="750" hidden="1">
      <c r="B750" s="21" t="n"/>
      <c r="C750" s="2" t="n"/>
      <c r="L750" s="9" t="n"/>
    </row>
    <row r="751" hidden="1">
      <c r="B751" s="21" t="n"/>
      <c r="C751" s="2" t="n"/>
      <c r="L751" s="9" t="n"/>
    </row>
    <row r="752" hidden="1">
      <c r="B752" s="21" t="n"/>
      <c r="C752" s="2" t="n"/>
      <c r="L752" s="9" t="n"/>
    </row>
    <row r="753" hidden="1">
      <c r="B753" s="21" t="n"/>
      <c r="C753" s="2" t="n"/>
      <c r="L753" s="9" t="n"/>
    </row>
    <row r="754">
      <c r="B754" s="21" t="n"/>
      <c r="C754" s="2" t="n"/>
      <c r="L754" s="9" t="n"/>
    </row>
    <row r="755" hidden="1">
      <c r="B755" s="21" t="n"/>
      <c r="C755" s="2" t="n"/>
      <c r="L755" s="9" t="n"/>
    </row>
    <row r="756" hidden="1">
      <c r="B756" s="21" t="n"/>
      <c r="C756" s="2" t="n"/>
      <c r="L756" s="9" t="n"/>
    </row>
    <row r="757">
      <c r="B757" s="21" t="n"/>
      <c r="C757" s="2" t="n"/>
      <c r="L757" s="9" t="n"/>
    </row>
    <row r="758" hidden="1">
      <c r="B758" s="21" t="n"/>
      <c r="C758" s="2" t="n"/>
      <c r="L758" s="9" t="n"/>
    </row>
    <row r="759" hidden="1">
      <c r="B759" s="21" t="n"/>
      <c r="C759" s="2" t="n"/>
      <c r="L759" s="9" t="n"/>
    </row>
    <row r="760" hidden="1">
      <c r="B760" s="21" t="n"/>
      <c r="C760" s="2" t="n"/>
      <c r="L760" s="9" t="n"/>
    </row>
    <row r="761" hidden="1">
      <c r="B761" s="21" t="n"/>
      <c r="C761" s="2" t="n"/>
      <c r="L761" s="9" t="n"/>
    </row>
    <row r="762" hidden="1">
      <c r="B762" s="21" t="n"/>
      <c r="C762" s="2" t="n"/>
      <c r="L762" s="9" t="n"/>
    </row>
    <row r="763" hidden="1">
      <c r="B763" s="21" t="n"/>
      <c r="C763" s="2" t="n"/>
      <c r="L763" s="9" t="n"/>
    </row>
    <row r="764" hidden="1">
      <c r="B764" s="21" t="n"/>
      <c r="C764" s="2" t="n"/>
      <c r="L764" s="9" t="n"/>
    </row>
    <row r="765" hidden="1">
      <c r="B765" s="21" t="n"/>
      <c r="C765" s="2" t="n"/>
      <c r="L765" s="9" t="n"/>
    </row>
    <row r="766" hidden="1">
      <c r="B766" s="21" t="n"/>
      <c r="C766" s="2" t="n"/>
      <c r="L766" s="9" t="n"/>
    </row>
    <row r="767" hidden="1">
      <c r="B767" s="21" t="n"/>
      <c r="C767" s="2" t="n"/>
      <c r="L767" s="9" t="n"/>
    </row>
    <row r="768">
      <c r="B768" s="21" t="n"/>
      <c r="C768" s="2" t="n"/>
      <c r="L768" s="9" t="n"/>
    </row>
    <row r="769" hidden="1">
      <c r="B769" s="21" t="n"/>
      <c r="C769" s="2" t="n"/>
      <c r="L769" s="9" t="n"/>
    </row>
    <row r="770" hidden="1">
      <c r="B770" s="21" t="n"/>
      <c r="C770" s="2" t="n"/>
      <c r="L770" s="9" t="n"/>
    </row>
    <row r="771">
      <c r="B771" s="21" t="n"/>
      <c r="C771" s="2" t="n"/>
      <c r="L771" s="9" t="n"/>
    </row>
    <row r="772" hidden="1">
      <c r="B772" s="21" t="n"/>
      <c r="C772" s="2" t="n"/>
      <c r="L772" s="9" t="n"/>
    </row>
    <row r="773" hidden="1">
      <c r="B773" s="21" t="n"/>
      <c r="C773" s="2" t="n"/>
      <c r="L773" s="9" t="n"/>
    </row>
    <row r="774" hidden="1">
      <c r="B774" s="21" t="n"/>
      <c r="C774" s="2" t="n"/>
      <c r="L774" s="9" t="n"/>
    </row>
    <row r="775">
      <c r="B775" s="21" t="n"/>
      <c r="C775" s="2" t="n"/>
      <c r="L775" s="9" t="n"/>
    </row>
    <row r="776" hidden="1">
      <c r="B776" s="21" t="n"/>
      <c r="C776" s="2" t="n"/>
      <c r="L776" s="9" t="n"/>
    </row>
    <row r="777" hidden="1">
      <c r="B777" s="21" t="n"/>
      <c r="C777" s="2" t="n"/>
      <c r="L777" s="9" t="n"/>
    </row>
    <row r="778">
      <c r="B778" s="21" t="n"/>
      <c r="C778" s="2" t="n"/>
      <c r="L778" s="9" t="n"/>
    </row>
    <row r="779" hidden="1">
      <c r="B779" s="21" t="n"/>
      <c r="C779" s="2" t="n"/>
      <c r="L779" s="9" t="n"/>
    </row>
    <row r="780" hidden="1">
      <c r="B780" s="21" t="n"/>
      <c r="C780" s="2" t="n"/>
      <c r="L780" s="9" t="n"/>
    </row>
    <row r="781" hidden="1">
      <c r="B781" s="21" t="n"/>
      <c r="C781" s="2" t="n"/>
      <c r="L781" s="9" t="n"/>
    </row>
    <row r="782" hidden="1">
      <c r="B782" s="21" t="n"/>
      <c r="C782" s="2" t="n"/>
      <c r="L782" s="9" t="n"/>
    </row>
    <row r="783" hidden="1">
      <c r="B783" s="21" t="n"/>
      <c r="C783" s="2" t="n"/>
      <c r="L783" s="9" t="n"/>
    </row>
    <row r="784">
      <c r="B784" s="21" t="n"/>
      <c r="C784" s="2" t="n"/>
      <c r="L784" s="9" t="n"/>
    </row>
    <row r="785" hidden="1">
      <c r="B785" s="21" t="n"/>
      <c r="C785" s="2" t="n"/>
      <c r="L785" s="9" t="n"/>
    </row>
    <row r="786">
      <c r="B786" s="21" t="n"/>
      <c r="C786" s="2" t="n"/>
      <c r="L786" s="9" t="n"/>
    </row>
    <row r="787" hidden="1">
      <c r="B787" s="21" t="n"/>
      <c r="C787" s="2" t="n"/>
      <c r="L787" s="9" t="n"/>
    </row>
    <row r="788" hidden="1">
      <c r="B788" s="21" t="n"/>
      <c r="C788" s="2" t="n"/>
      <c r="L788" s="9" t="n"/>
    </row>
    <row r="789" hidden="1">
      <c r="B789" s="21" t="n"/>
      <c r="C789" s="2" t="n"/>
      <c r="L789" s="9" t="n"/>
    </row>
    <row r="790" hidden="1">
      <c r="B790" s="21" t="n"/>
      <c r="C790" s="2" t="n"/>
      <c r="L790" s="9" t="n"/>
    </row>
    <row r="791" hidden="1">
      <c r="B791" s="21" t="n"/>
      <c r="C791" s="2" t="n"/>
      <c r="L791" s="9" t="n"/>
    </row>
    <row r="792">
      <c r="B792" s="21" t="n"/>
      <c r="C792" s="2" t="n"/>
      <c r="L792" s="9" t="n"/>
    </row>
    <row r="793">
      <c r="B793" s="21" t="n"/>
      <c r="C793" s="2" t="n"/>
      <c r="L793" s="9" t="n"/>
    </row>
    <row r="794" hidden="1">
      <c r="B794" s="21" t="n"/>
      <c r="C794" s="2" t="n"/>
      <c r="L794" s="9" t="n"/>
    </row>
    <row r="795" hidden="1">
      <c r="B795" s="21" t="n"/>
      <c r="C795" s="2" t="n"/>
      <c r="L795" s="9" t="n"/>
    </row>
    <row r="796" hidden="1">
      <c r="B796" s="21" t="n"/>
      <c r="C796" s="2" t="n"/>
      <c r="L796" s="9" t="n"/>
    </row>
    <row r="797" hidden="1">
      <c r="B797" s="21" t="n"/>
      <c r="C797" s="2" t="n"/>
      <c r="L797" s="9" t="n"/>
    </row>
    <row r="798" hidden="1">
      <c r="B798" s="21" t="n"/>
      <c r="C798" s="2" t="n"/>
      <c r="L798" s="9" t="n"/>
    </row>
    <row r="799">
      <c r="B799" s="21" t="n"/>
      <c r="C799" s="2" t="n"/>
      <c r="L799" s="9" t="n"/>
    </row>
    <row r="800" hidden="1">
      <c r="B800" s="21" t="n"/>
      <c r="C800" s="2" t="n"/>
      <c r="L800" s="9" t="n"/>
    </row>
    <row r="801" hidden="1">
      <c r="B801" s="21" t="n"/>
      <c r="C801" s="2" t="n"/>
      <c r="L801" s="9" t="n"/>
    </row>
    <row r="802">
      <c r="B802" s="21" t="n"/>
      <c r="C802" s="2" t="n"/>
      <c r="L802" s="9" t="n"/>
    </row>
    <row r="803" hidden="1">
      <c r="B803" s="21" t="n"/>
      <c r="C803" s="2" t="n"/>
      <c r="L803" s="9" t="n"/>
    </row>
    <row r="804" hidden="1">
      <c r="B804" s="21" t="n"/>
      <c r="C804" s="2" t="n"/>
      <c r="L804" s="9" t="n"/>
    </row>
    <row r="805" hidden="1">
      <c r="B805" s="21" t="n"/>
      <c r="C805" s="2" t="n"/>
      <c r="L805" s="9" t="n"/>
    </row>
    <row r="806" hidden="1">
      <c r="B806" s="21" t="n"/>
      <c r="C806" s="2" t="n"/>
      <c r="L806" s="9" t="n"/>
    </row>
    <row r="807">
      <c r="B807" s="21" t="n"/>
      <c r="C807" s="2" t="n"/>
      <c r="L807" s="9" t="n"/>
    </row>
    <row r="808" hidden="1">
      <c r="B808" s="21" t="n"/>
      <c r="C808" s="2" t="n"/>
      <c r="L808" s="9" t="n"/>
    </row>
    <row r="809">
      <c r="B809" s="23" t="n"/>
      <c r="C809" s="2" t="n"/>
      <c r="L809" s="24" t="n"/>
    </row>
    <row r="810" hidden="1">
      <c r="B810" s="23" t="n"/>
      <c r="C810" s="2" t="n"/>
      <c r="L810" s="24" t="n"/>
    </row>
    <row r="811" hidden="1">
      <c r="B811" s="23" t="n"/>
      <c r="C811" s="2" t="n"/>
      <c r="L811" s="24" t="n"/>
    </row>
    <row r="812" hidden="1">
      <c r="B812" s="23" t="n"/>
      <c r="C812" s="2" t="n"/>
      <c r="L812" s="24" t="n"/>
    </row>
    <row r="813">
      <c r="B813" s="21" t="n"/>
      <c r="C813" s="2" t="n"/>
      <c r="L813" s="9" t="n"/>
    </row>
    <row r="814">
      <c r="B814" s="21" t="n"/>
      <c r="C814" s="2" t="n"/>
      <c r="L81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B45353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4.25"/>
  <cols>
    <col width="52.25" customWidth="1" min="1" max="1"/>
    <col width="13.375" customWidth="1" min="2" max="2"/>
  </cols>
  <sheetData>
    <row r="1" ht="24" customHeight="1">
      <c r="A1" s="17" t="inlineStr">
        <is>
          <t>CONFERÊNCIA DE BATIDAS E REGISTROS</t>
        </is>
      </c>
      <c r="B1" s="17" t="n"/>
    </row>
    <row r="3" ht="24" customHeight="1">
      <c r="A3" s="5" t="inlineStr">
        <is>
          <t>Indicador</t>
        </is>
      </c>
      <c r="B3" s="5" t="inlineStr">
        <is>
          <t>Quantidade</t>
        </is>
      </c>
    </row>
    <row r="4">
      <c r="A4" t="inlineStr">
        <is>
          <t>Fins sem vínculo</t>
        </is>
      </c>
      <c r="B4">
        <f>COUNTIF(tblBatidas[Conferência],"SEM VÍNCULO")</f>
        <v/>
      </c>
    </row>
    <row r="5">
      <c r="A5" t="inlineStr">
        <is>
          <t>Vínculos inválidos ou divergentes</t>
        </is>
      </c>
      <c r="B5">
        <f>COUNTIF(tblBatidas[Conferência],"VÍNCULO INVÁLIDO")+COUNTIF(tblBatidas[Conferência],"VÍNCULO DUPLICADO")+COUNTIF(tblBatidas[Conferência],"DIVERGÊNCIA DE PROJETO")+COUNTIF(tblBatidas[Conferência],"DIVERGÊNCIA DE ATIVIDADE")+COUNTIF(tblBatidas[Conferência],"DIVERGÊNCIA DE ID")+COUNTIF(tblBatidas[Conferência],"HORÁRIO INVÁLIDO")</f>
        <v/>
      </c>
    </row>
    <row r="6">
      <c r="A6" t="inlineStr">
        <is>
          <t>Registros a revisar</t>
        </is>
      </c>
      <c r="B6">
        <f>COUNTIF(tblRegistros[Status],"REVISAR")</f>
        <v/>
      </c>
    </row>
    <row r="7">
      <c r="A7" t="inlineStr">
        <is>
          <t>Inícios sem fim</t>
        </is>
      </c>
      <c r="B7">
        <f>COUNTIF(tblRegistros[Status],"EM ABERTO")</f>
        <v/>
      </c>
    </row>
    <row r="9" ht="19.5" customHeight="1">
      <c r="A9" s="7" t="inlineStr">
        <is>
          <t>Em Batidas, filtre SEM VÍNCULO e preencha L com o ID de início.</t>
        </is>
      </c>
    </row>
    <row r="10" ht="19.5" customHeight="1">
      <c r="A10" s="7" t="inlineStr">
        <is>
          <t>Corrija o INÍCIO ou FIM em Batidas; Registros, cartão e relatórios recalculam.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8.375" customWidth="1" min="1" max="1"/>
    <col width="30" customWidth="1" min="2" max="2"/>
    <col width="9.625" customWidth="1" min="3" max="3"/>
    <col width="11.625" customWidth="1" min="4" max="6"/>
    <col width="26.625" customWidth="1" min="7" max="7"/>
    <col width="10.625" customWidth="1" min="8" max="8"/>
  </cols>
  <sheetData>
    <row r="1" ht="24" customHeight="1">
      <c r="A1" s="17" t="inlineStr">
        <is>
          <t>CADASTRO DE PESSOAS</t>
        </is>
      </c>
      <c r="B1" s="17" t="n"/>
      <c r="C1" s="17" t="n"/>
      <c r="D1" s="17" t="n"/>
      <c r="E1" s="17" t="n"/>
      <c r="F1" s="17" t="n"/>
      <c r="G1" s="17" t="n"/>
      <c r="H1" s="17" t="n"/>
    </row>
    <row r="2" ht="19.5" customHeight="1">
      <c r="A2" s="7" t="inlineStr">
        <is>
          <t>Cadastro expansível para até 100 pessoas. Preencha uma linha vazia da tabela, use ID único e status ATIVO.</t>
        </is>
      </c>
    </row>
    <row r="4" ht="24" customHeight="1">
      <c r="A4" s="5" t="inlineStr">
        <is>
          <t>ID</t>
        </is>
      </c>
      <c r="B4" s="5" t="inlineStr">
        <is>
          <t>Pessoa</t>
        </is>
      </c>
      <c r="C4" s="5" t="inlineStr">
        <is>
          <t>Base</t>
        </is>
      </c>
      <c r="D4" s="5" t="inlineStr">
        <is>
          <t>R$/h útil</t>
        </is>
      </c>
      <c r="E4" s="5" t="inlineStr">
        <is>
          <t>R$/h FDS</t>
        </is>
      </c>
      <c r="F4" s="5" t="inlineStr">
        <is>
          <t>R$/diária</t>
        </is>
      </c>
      <c r="G4" s="5" t="inlineStr">
        <is>
          <t>Função/Regra</t>
        </is>
      </c>
      <c r="H4" s="5" t="inlineStr">
        <is>
          <t>Status</t>
        </is>
      </c>
    </row>
    <row r="5">
      <c r="A5" t="n">
        <v>1001</v>
      </c>
      <c r="B5" t="inlineStr">
        <is>
          <t>Adriana Pereira dos Santos</t>
        </is>
      </c>
      <c r="C5" t="inlineStr">
        <is>
          <t>Hora</t>
        </is>
      </c>
      <c r="D5" s="3" t="n">
        <v>17</v>
      </c>
      <c r="E5" s="3" t="n">
        <v>20</v>
      </c>
      <c r="F5" s="3" t="n">
        <v>0</v>
      </c>
      <c r="G5" t="inlineStr">
        <is>
          <t>Supervisão</t>
        </is>
      </c>
      <c r="H5" t="inlineStr">
        <is>
          <t>ATIVO</t>
        </is>
      </c>
    </row>
    <row r="6">
      <c r="A6" t="n">
        <v>1002</v>
      </c>
      <c r="B6" t="inlineStr">
        <is>
          <t>Alex de Almeida Mariano</t>
        </is>
      </c>
      <c r="C6" t="inlineStr">
        <is>
          <t>Hora</t>
        </is>
      </c>
      <c r="D6" s="3" t="n">
        <v>23.5</v>
      </c>
      <c r="E6" s="3" t="n">
        <v>23.5</v>
      </c>
      <c r="F6" s="3" t="n">
        <v>0</v>
      </c>
      <c r="G6" t="inlineStr">
        <is>
          <t>Analista/Revisor</t>
        </is>
      </c>
      <c r="H6" t="inlineStr">
        <is>
          <t>ATIVO</t>
        </is>
      </c>
    </row>
    <row r="7">
      <c r="A7" t="n">
        <v>1003</v>
      </c>
      <c r="B7" t="inlineStr">
        <is>
          <t>Amanda do Carmo Ribeiro</t>
        </is>
      </c>
      <c r="C7" t="inlineStr">
        <is>
          <t>Hora</t>
        </is>
      </c>
      <c r="D7" s="3" t="n">
        <v>23.5</v>
      </c>
      <c r="E7" s="3" t="n">
        <v>23.5</v>
      </c>
      <c r="F7" s="3" t="n">
        <v>0</v>
      </c>
      <c r="G7" t="inlineStr">
        <is>
          <t>Analista de Pesquisa Júnior</t>
        </is>
      </c>
      <c r="H7" t="inlineStr">
        <is>
          <t>ATIVO</t>
        </is>
      </c>
    </row>
    <row r="8">
      <c r="A8" t="n">
        <v>1004</v>
      </c>
      <c r="B8" t="inlineStr">
        <is>
          <t>Angela Bertoli</t>
        </is>
      </c>
      <c r="C8" t="inlineStr">
        <is>
          <t>Hora</t>
        </is>
      </c>
      <c r="D8" s="3" t="n">
        <v>21.5</v>
      </c>
      <c r="E8" s="3" t="n">
        <v>20</v>
      </c>
      <c r="F8" s="3" t="n">
        <v>0</v>
      </c>
      <c r="G8" t="inlineStr">
        <is>
          <t>Coordenação/Supervisão</t>
        </is>
      </c>
      <c r="H8" t="inlineStr">
        <is>
          <t>ATIVO</t>
        </is>
      </c>
    </row>
    <row r="9">
      <c r="A9" t="n">
        <v>1005</v>
      </c>
      <c r="B9" t="inlineStr">
        <is>
          <t>Carolina Fantini Vidigal Diniz Dias</t>
        </is>
      </c>
      <c r="C9" t="inlineStr">
        <is>
          <t>Hora</t>
        </is>
      </c>
      <c r="D9" s="3" t="n">
        <v>13</v>
      </c>
      <c r="E9" s="3" t="n">
        <v>16.5</v>
      </c>
      <c r="F9" s="3" t="n">
        <v>0</v>
      </c>
      <c r="G9" t="inlineStr">
        <is>
          <t>Assistente de Pesquisa</t>
        </is>
      </c>
      <c r="H9" t="inlineStr">
        <is>
          <t>ATIVO</t>
        </is>
      </c>
    </row>
    <row r="10">
      <c r="A10" t="n">
        <v>1006</v>
      </c>
      <c r="B10" t="inlineStr">
        <is>
          <t>Eliane dos Santos Oliveira</t>
        </is>
      </c>
      <c r="C10" t="inlineStr">
        <is>
          <t>Hora</t>
        </is>
      </c>
      <c r="D10" s="3" t="n">
        <v>14</v>
      </c>
      <c r="E10" s="3" t="n">
        <v>17</v>
      </c>
      <c r="F10" s="3" t="n">
        <v>0</v>
      </c>
      <c r="G10" t="inlineStr">
        <is>
          <t>Checagem</t>
        </is>
      </c>
      <c r="H10" t="inlineStr">
        <is>
          <t>ATIVO</t>
        </is>
      </c>
    </row>
    <row r="11">
      <c r="A11" t="n">
        <v>1007</v>
      </c>
      <c r="B11" t="inlineStr">
        <is>
          <t>Fernanda Lopes</t>
        </is>
      </c>
      <c r="C11" t="inlineStr">
        <is>
          <t>Hora</t>
        </is>
      </c>
      <c r="D11" s="3" t="n">
        <v>23.5</v>
      </c>
      <c r="E11" s="3" t="n">
        <v>23.5</v>
      </c>
      <c r="F11" s="3" t="n">
        <v>0</v>
      </c>
      <c r="G11" t="inlineStr">
        <is>
          <t>Assistente de Pesquisa — confirmar taxa</t>
        </is>
      </c>
      <c r="H11" t="inlineStr">
        <is>
          <t>ATIVO</t>
        </is>
      </c>
    </row>
    <row r="12">
      <c r="A12" t="n">
        <v>1008</v>
      </c>
      <c r="B12" t="inlineStr">
        <is>
          <t>Flávia Reis</t>
        </is>
      </c>
      <c r="C12" t="inlineStr">
        <is>
          <t>Hora</t>
        </is>
      </c>
      <c r="D12" s="3" t="n">
        <v>14</v>
      </c>
      <c r="E12" s="3" t="n">
        <v>17</v>
      </c>
      <c r="F12" s="3" t="n">
        <v>0</v>
      </c>
      <c r="G12" t="inlineStr">
        <is>
          <t>Checagem</t>
        </is>
      </c>
      <c r="H12" t="inlineStr">
        <is>
          <t>ATIVO</t>
        </is>
      </c>
    </row>
    <row r="13">
      <c r="A13" t="n">
        <v>1009</v>
      </c>
      <c r="B13" t="inlineStr">
        <is>
          <t>Junia Maria Santos</t>
        </is>
      </c>
      <c r="C13" t="inlineStr">
        <is>
          <t>Hora</t>
        </is>
      </c>
      <c r="D13" s="3" t="n">
        <v>14</v>
      </c>
      <c r="E13" s="3" t="n">
        <v>17</v>
      </c>
      <c r="F13" s="3" t="n">
        <v>0</v>
      </c>
      <c r="G13" t="inlineStr">
        <is>
          <t>Checagem</t>
        </is>
      </c>
      <c r="H13" t="inlineStr">
        <is>
          <t>ATIVO</t>
        </is>
      </c>
    </row>
    <row r="14">
      <c r="A14" t="n">
        <v>1010</v>
      </c>
      <c r="B14" t="inlineStr">
        <is>
          <t>Nataly Tayê</t>
        </is>
      </c>
      <c r="C14" t="inlineStr">
        <is>
          <t>Hora</t>
        </is>
      </c>
      <c r="D14" s="3" t="n">
        <v>14</v>
      </c>
      <c r="E14" s="3" t="n">
        <v>17</v>
      </c>
      <c r="F14" s="3" t="n">
        <v>0</v>
      </c>
      <c r="G14" t="inlineStr">
        <is>
          <t>Checagem</t>
        </is>
      </c>
      <c r="H14" t="inlineStr">
        <is>
          <t>ATIVO</t>
        </is>
      </c>
    </row>
    <row r="15">
      <c r="A15" t="n">
        <v>1011</v>
      </c>
      <c r="B15" t="inlineStr">
        <is>
          <t>Nathalia Arruda</t>
        </is>
      </c>
      <c r="C15" t="inlineStr">
        <is>
          <t>Hora</t>
        </is>
      </c>
      <c r="D15" s="3" t="n">
        <v>23.5</v>
      </c>
      <c r="E15" s="3" t="n">
        <v>23.5</v>
      </c>
      <c r="F15" s="3" t="n">
        <v>0</v>
      </c>
      <c r="G15" t="inlineStr">
        <is>
          <t>Analista</t>
        </is>
      </c>
      <c r="H15" t="inlineStr">
        <is>
          <t>ATIVO</t>
        </is>
      </c>
    </row>
    <row r="16">
      <c r="A16" t="n">
        <v>1012</v>
      </c>
      <c r="B16" t="inlineStr">
        <is>
          <t>Nelma Lucia dos S. B. Brandão</t>
        </is>
      </c>
      <c r="C16" t="inlineStr">
        <is>
          <t>Diária</t>
        </is>
      </c>
      <c r="D16" s="3" t="n">
        <v>0</v>
      </c>
      <c r="E16" s="3" t="n">
        <v>0</v>
      </c>
      <c r="F16" s="3" t="n">
        <v>222.72</v>
      </c>
      <c r="G16" t="inlineStr">
        <is>
          <t>Apoio/Checagem</t>
        </is>
      </c>
      <c r="H16" t="inlineStr">
        <is>
          <t>ATIVO</t>
        </is>
      </c>
    </row>
    <row r="17">
      <c r="A17" t="n">
        <v>1013</v>
      </c>
      <c r="B17" t="inlineStr">
        <is>
          <t>Rafaela Maria Resende Lara</t>
        </is>
      </c>
      <c r="C17" t="inlineStr">
        <is>
          <t>Hora</t>
        </is>
      </c>
      <c r="D17" s="3" t="n">
        <v>23.5</v>
      </c>
      <c r="E17" s="3" t="n">
        <v>23.5</v>
      </c>
      <c r="F17" s="3" t="n">
        <v>0</v>
      </c>
      <c r="G17" t="inlineStr">
        <is>
          <t>Analista</t>
        </is>
      </c>
      <c r="H17" t="inlineStr">
        <is>
          <t>ATIVO</t>
        </is>
      </c>
    </row>
    <row r="18">
      <c r="A18" t="n">
        <v>1014</v>
      </c>
      <c r="B18" t="inlineStr">
        <is>
          <t>Robert Filipe Orlando de Souza</t>
        </is>
      </c>
      <c r="C18" t="inlineStr">
        <is>
          <t>Hora</t>
        </is>
      </c>
      <c r="D18" s="3" t="n">
        <v>21.5</v>
      </c>
      <c r="E18" s="3" t="n">
        <v>21.5</v>
      </c>
      <c r="F18" s="3" t="n">
        <v>0</v>
      </c>
      <c r="G18" t="inlineStr">
        <is>
          <t>Assistente de Pesquisa</t>
        </is>
      </c>
      <c r="H18" t="inlineStr">
        <is>
          <t>ATIVO</t>
        </is>
      </c>
    </row>
    <row r="19">
      <c r="A19" t="n">
        <v>1015</v>
      </c>
      <c r="B19" t="inlineStr">
        <is>
          <t>Vitor Guilherme Miguel Rocha</t>
        </is>
      </c>
      <c r="C19" t="inlineStr">
        <is>
          <t>Hora</t>
        </is>
      </c>
      <c r="D19" s="3" t="n">
        <v>21.5</v>
      </c>
      <c r="E19" s="3" t="n">
        <v>21.5</v>
      </c>
      <c r="F19" s="3" t="n">
        <v>0</v>
      </c>
      <c r="G19" t="inlineStr">
        <is>
          <t>Assistente Financeiro</t>
        </is>
      </c>
      <c r="H19" t="inlineStr">
        <is>
          <t>ATIVO</t>
        </is>
      </c>
    </row>
    <row r="20">
      <c r="A20" t="n">
        <v>1016</v>
      </c>
      <c r="B20" t="inlineStr">
        <is>
          <t>Ana Luisa Nardin</t>
        </is>
      </c>
      <c r="C20" t="inlineStr">
        <is>
          <t>Hora</t>
        </is>
      </c>
      <c r="D20" s="3" t="n">
        <v>23.5</v>
      </c>
      <c r="E20" s="3" t="n">
        <v>23.5</v>
      </c>
      <c r="F20" s="3" t="n">
        <v>0</v>
      </c>
      <c r="G20" t="inlineStr">
        <is>
          <t>Analista</t>
        </is>
      </c>
      <c r="H20" t="inlineStr">
        <is>
          <t>ATIVO</t>
        </is>
      </c>
    </row>
    <row r="21">
      <c r="A21" t="n">
        <v>1017</v>
      </c>
      <c r="B21" t="inlineStr">
        <is>
          <t>Renato Inácio da Silva</t>
        </is>
      </c>
      <c r="C21" t="inlineStr">
        <is>
          <t>Hora</t>
        </is>
      </c>
      <c r="D21" s="3" t="n">
        <v>14</v>
      </c>
      <c r="E21" s="3" t="n">
        <v>17</v>
      </c>
      <c r="F21" s="3" t="n">
        <v>0</v>
      </c>
      <c r="G21" t="inlineStr">
        <is>
          <t>Checagem</t>
        </is>
      </c>
      <c r="H21" t="inlineStr">
        <is>
          <t>ATIVO</t>
        </is>
      </c>
    </row>
    <row r="22">
      <c r="D22" s="3" t="n"/>
      <c r="E22" s="3" t="n"/>
      <c r="F22" s="3" t="n"/>
    </row>
    <row r="23">
      <c r="D23" s="3" t="n"/>
      <c r="E23" s="3" t="n"/>
      <c r="F23" s="3" t="n"/>
    </row>
    <row r="24">
      <c r="D24" s="3" t="n"/>
      <c r="E24" s="3" t="n"/>
      <c r="F24" s="3" t="n"/>
    </row>
    <row r="25">
      <c r="D25" s="3" t="n"/>
      <c r="E25" s="3" t="n"/>
      <c r="F25" s="3" t="n"/>
    </row>
    <row r="26">
      <c r="D26" s="3" t="n"/>
      <c r="E26" s="3" t="n"/>
      <c r="F26" s="3" t="n"/>
    </row>
    <row r="27">
      <c r="D27" s="3" t="n"/>
      <c r="E27" s="3" t="n"/>
      <c r="F27" s="3" t="n"/>
    </row>
    <row r="28">
      <c r="D28" s="3" t="n"/>
      <c r="E28" s="3" t="n"/>
      <c r="F28" s="3" t="n"/>
    </row>
    <row r="29">
      <c r="D29" s="3" t="n"/>
      <c r="E29" s="3" t="n"/>
      <c r="F29" s="3" t="n"/>
    </row>
    <row r="30">
      <c r="D30" s="3" t="n"/>
      <c r="E30" s="3" t="n"/>
      <c r="F30" s="3" t="n"/>
    </row>
    <row r="31">
      <c r="D31" s="3" t="n"/>
      <c r="E31" s="3" t="n"/>
      <c r="F31" s="3" t="n"/>
    </row>
    <row r="32">
      <c r="D32" s="3" t="n"/>
      <c r="E32" s="3" t="n"/>
      <c r="F32" s="3" t="n"/>
    </row>
    <row r="33">
      <c r="D33" s="3" t="n"/>
      <c r="E33" s="3" t="n"/>
      <c r="F33" s="3" t="n"/>
    </row>
    <row r="34">
      <c r="D34" s="3" t="n"/>
      <c r="E34" s="3" t="n"/>
      <c r="F34" s="3" t="n"/>
    </row>
    <row r="35">
      <c r="D35" s="3" t="n"/>
      <c r="E35" s="3" t="n"/>
      <c r="F35" s="3" t="n"/>
    </row>
    <row r="36">
      <c r="D36" s="3" t="n"/>
      <c r="E36" s="3" t="n"/>
      <c r="F36" s="3" t="n"/>
    </row>
    <row r="37">
      <c r="D37" s="3" t="n"/>
      <c r="E37" s="3" t="n"/>
      <c r="F37" s="3" t="n"/>
    </row>
    <row r="38">
      <c r="D38" s="3" t="n"/>
      <c r="E38" s="3" t="n"/>
      <c r="F38" s="3" t="n"/>
    </row>
    <row r="39">
      <c r="D39" s="3" t="n"/>
      <c r="E39" s="3" t="n"/>
      <c r="F39" s="3" t="n"/>
    </row>
    <row r="40">
      <c r="D40" s="3" t="n"/>
      <c r="E40" s="3" t="n"/>
      <c r="F40" s="3" t="n"/>
    </row>
    <row r="41">
      <c r="D41" s="3" t="n"/>
      <c r="E41" s="3" t="n"/>
      <c r="F41" s="3" t="n"/>
    </row>
    <row r="42">
      <c r="D42" s="3" t="n"/>
      <c r="E42" s="3" t="n"/>
      <c r="F42" s="3" t="n"/>
    </row>
    <row r="43">
      <c r="D43" s="3" t="n"/>
      <c r="E43" s="3" t="n"/>
      <c r="F43" s="3" t="n"/>
    </row>
    <row r="44">
      <c r="D44" s="3" t="n"/>
      <c r="E44" s="3" t="n"/>
      <c r="F44" s="3" t="n"/>
    </row>
    <row r="45">
      <c r="D45" s="3" t="n"/>
      <c r="E45" s="3" t="n"/>
      <c r="F45" s="3" t="n"/>
    </row>
    <row r="46">
      <c r="D46" s="3" t="n"/>
      <c r="E46" s="3" t="n"/>
      <c r="F46" s="3" t="n"/>
    </row>
    <row r="47">
      <c r="D47" s="3" t="n"/>
      <c r="E47" s="3" t="n"/>
      <c r="F47" s="3" t="n"/>
    </row>
    <row r="48">
      <c r="D48" s="3" t="n"/>
      <c r="E48" s="3" t="n"/>
      <c r="F48" s="3" t="n"/>
    </row>
    <row r="49">
      <c r="D49" s="3" t="n"/>
      <c r="E49" s="3" t="n"/>
      <c r="F49" s="3" t="n"/>
    </row>
    <row r="50">
      <c r="D50" s="3" t="n"/>
      <c r="E50" s="3" t="n"/>
      <c r="F50" s="3" t="n"/>
    </row>
    <row r="51">
      <c r="D51" s="3" t="n"/>
      <c r="E51" s="3" t="n"/>
      <c r="F51" s="3" t="n"/>
    </row>
    <row r="52">
      <c r="D52" s="3" t="n"/>
      <c r="E52" s="3" t="n"/>
      <c r="F52" s="3" t="n"/>
    </row>
    <row r="53">
      <c r="D53" s="3" t="n"/>
      <c r="E53" s="3" t="n"/>
      <c r="F53" s="3" t="n"/>
    </row>
    <row r="54">
      <c r="D54" s="3" t="n"/>
      <c r="E54" s="3" t="n"/>
      <c r="F54" s="3" t="n"/>
    </row>
    <row r="55">
      <c r="D55" s="3" t="n"/>
      <c r="E55" s="3" t="n"/>
      <c r="F55" s="3" t="n"/>
    </row>
    <row r="56">
      <c r="D56" s="3" t="n"/>
      <c r="E56" s="3" t="n"/>
      <c r="F56" s="3" t="n"/>
    </row>
    <row r="57">
      <c r="D57" s="3" t="n"/>
      <c r="E57" s="3" t="n"/>
      <c r="F57" s="3" t="n"/>
    </row>
    <row r="58">
      <c r="D58" s="3" t="n"/>
      <c r="E58" s="3" t="n"/>
      <c r="F58" s="3" t="n"/>
    </row>
    <row r="59">
      <c r="D59" s="3" t="n"/>
      <c r="E59" s="3" t="n"/>
      <c r="F59" s="3" t="n"/>
    </row>
    <row r="60">
      <c r="D60" s="3" t="n"/>
      <c r="E60" s="3" t="n"/>
      <c r="F60" s="3" t="n"/>
    </row>
    <row r="61">
      <c r="D61" s="3" t="n"/>
      <c r="E61" s="3" t="n"/>
      <c r="F61" s="3" t="n"/>
    </row>
    <row r="62">
      <c r="D62" s="3" t="n"/>
      <c r="E62" s="3" t="n"/>
      <c r="F62" s="3" t="n"/>
    </row>
    <row r="63">
      <c r="D63" s="3" t="n"/>
      <c r="E63" s="3" t="n"/>
      <c r="F63" s="3" t="n"/>
    </row>
    <row r="64">
      <c r="D64" s="3" t="n"/>
      <c r="E64" s="3" t="n"/>
      <c r="F64" s="3" t="n"/>
    </row>
    <row r="65">
      <c r="D65" s="3" t="n"/>
      <c r="E65" s="3" t="n"/>
      <c r="F65" s="3" t="n"/>
    </row>
    <row r="66">
      <c r="D66" s="3" t="n"/>
      <c r="E66" s="3" t="n"/>
      <c r="F66" s="3" t="n"/>
    </row>
    <row r="67">
      <c r="D67" s="3" t="n"/>
      <c r="E67" s="3" t="n"/>
      <c r="F67" s="3" t="n"/>
    </row>
    <row r="68">
      <c r="D68" s="3" t="n"/>
      <c r="E68" s="3" t="n"/>
      <c r="F68" s="3" t="n"/>
    </row>
    <row r="69">
      <c r="D69" s="3" t="n"/>
      <c r="E69" s="3" t="n"/>
      <c r="F69" s="3" t="n"/>
    </row>
    <row r="70">
      <c r="D70" s="3" t="n"/>
      <c r="E70" s="3" t="n"/>
      <c r="F70" s="3" t="n"/>
    </row>
    <row r="71">
      <c r="D71" s="3" t="n"/>
      <c r="E71" s="3" t="n"/>
      <c r="F71" s="3" t="n"/>
    </row>
    <row r="72">
      <c r="D72" s="3" t="n"/>
      <c r="E72" s="3" t="n"/>
      <c r="F72" s="3" t="n"/>
    </row>
    <row r="73">
      <c r="D73" s="3" t="n"/>
      <c r="E73" s="3" t="n"/>
      <c r="F73" s="3" t="n"/>
    </row>
    <row r="74">
      <c r="D74" s="3" t="n"/>
      <c r="E74" s="3" t="n"/>
      <c r="F74" s="3" t="n"/>
    </row>
    <row r="75">
      <c r="D75" s="3" t="n"/>
      <c r="E75" s="3" t="n"/>
      <c r="F75" s="3" t="n"/>
    </row>
    <row r="76">
      <c r="D76" s="3" t="n"/>
      <c r="E76" s="3" t="n"/>
      <c r="F76" s="3" t="n"/>
    </row>
    <row r="77">
      <c r="D77" s="3" t="n"/>
      <c r="E77" s="3" t="n"/>
      <c r="F77" s="3" t="n"/>
    </row>
    <row r="78">
      <c r="D78" s="3" t="n"/>
      <c r="E78" s="3" t="n"/>
      <c r="F78" s="3" t="n"/>
    </row>
    <row r="79">
      <c r="D79" s="3" t="n"/>
      <c r="E79" s="3" t="n"/>
      <c r="F79" s="3" t="n"/>
    </row>
    <row r="80">
      <c r="D80" s="3" t="n"/>
      <c r="E80" s="3" t="n"/>
      <c r="F80" s="3" t="n"/>
    </row>
    <row r="81">
      <c r="D81" s="3" t="n"/>
      <c r="E81" s="3" t="n"/>
      <c r="F81" s="3" t="n"/>
    </row>
    <row r="82">
      <c r="D82" s="3" t="n"/>
      <c r="E82" s="3" t="n"/>
      <c r="F82" s="3" t="n"/>
    </row>
    <row r="83">
      <c r="D83" s="3" t="n"/>
      <c r="E83" s="3" t="n"/>
      <c r="F83" s="3" t="n"/>
    </row>
    <row r="84">
      <c r="D84" s="3" t="n"/>
      <c r="E84" s="3" t="n"/>
      <c r="F84" s="3" t="n"/>
    </row>
    <row r="85">
      <c r="D85" s="3" t="n"/>
      <c r="E85" s="3" t="n"/>
      <c r="F85" s="3" t="n"/>
    </row>
    <row r="86">
      <c r="D86" s="3" t="n"/>
      <c r="E86" s="3" t="n"/>
      <c r="F86" s="3" t="n"/>
    </row>
    <row r="87">
      <c r="D87" s="3" t="n"/>
      <c r="E87" s="3" t="n"/>
      <c r="F87" s="3" t="n"/>
    </row>
    <row r="88">
      <c r="D88" s="3" t="n"/>
      <c r="E88" s="3" t="n"/>
      <c r="F88" s="3" t="n"/>
    </row>
    <row r="89">
      <c r="D89" s="3" t="n"/>
      <c r="E89" s="3" t="n"/>
      <c r="F89" s="3" t="n"/>
    </row>
    <row r="90">
      <c r="D90" s="3" t="n"/>
      <c r="E90" s="3" t="n"/>
      <c r="F90" s="3" t="n"/>
    </row>
    <row r="91">
      <c r="D91" s="3" t="n"/>
      <c r="E91" s="3" t="n"/>
      <c r="F91" s="3" t="n"/>
    </row>
    <row r="92">
      <c r="D92" s="3" t="n"/>
      <c r="E92" s="3" t="n"/>
      <c r="F92" s="3" t="n"/>
    </row>
    <row r="93">
      <c r="D93" s="3" t="n"/>
      <c r="E93" s="3" t="n"/>
      <c r="F93" s="3" t="n"/>
    </row>
    <row r="94">
      <c r="D94" s="3" t="n"/>
      <c r="E94" s="3" t="n"/>
      <c r="F94" s="3" t="n"/>
    </row>
    <row r="95">
      <c r="D95" s="3" t="n"/>
      <c r="E95" s="3" t="n"/>
      <c r="F95" s="3" t="n"/>
    </row>
    <row r="96">
      <c r="D96" s="3" t="n"/>
      <c r="E96" s="3" t="n"/>
      <c r="F96" s="3" t="n"/>
    </row>
    <row r="97">
      <c r="D97" s="3" t="n"/>
      <c r="E97" s="3" t="n"/>
      <c r="F97" s="3" t="n"/>
    </row>
    <row r="98">
      <c r="D98" s="3" t="n"/>
      <c r="E98" s="3" t="n"/>
      <c r="F98" s="3" t="n"/>
    </row>
    <row r="99">
      <c r="D99" s="3" t="n"/>
      <c r="E99" s="3" t="n"/>
      <c r="F99" s="3" t="n"/>
    </row>
    <row r="100">
      <c r="D100" s="3" t="n"/>
      <c r="E100" s="3" t="n"/>
      <c r="F100" s="3" t="n"/>
    </row>
    <row r="101">
      <c r="D101" s="3" t="n"/>
      <c r="E101" s="3" t="n"/>
      <c r="F101" s="3" t="n"/>
    </row>
    <row r="102">
      <c r="D102" s="3" t="n"/>
      <c r="E102" s="3" t="n"/>
      <c r="F102" s="3" t="n"/>
    </row>
    <row r="103">
      <c r="D103" s="3" t="n"/>
      <c r="E103" s="3" t="n"/>
      <c r="F103" s="3" t="n"/>
    </row>
    <row r="104">
      <c r="D104" s="3" t="n"/>
      <c r="E104" s="3" t="n"/>
      <c r="F104" s="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2.25" customWidth="1" min="1" max="1"/>
    <col width="25.625" customWidth="1" min="2" max="2"/>
    <col width="32.25" customWidth="1" min="3" max="3"/>
    <col width="10.625" customWidth="1" min="4" max="4"/>
  </cols>
  <sheetData>
    <row r="1" ht="24" customHeight="1">
      <c r="A1" s="17" t="inlineStr">
        <is>
          <t>CADASTRO PADRONIZADO DE PROJETOS</t>
        </is>
      </c>
      <c r="B1" s="17" t="n"/>
      <c r="C1" s="17" t="n"/>
      <c r="D1" s="17" t="n"/>
    </row>
    <row r="2" ht="19.5" customHeight="1">
      <c r="A2" s="7" t="inlineStr">
        <is>
          <t>Cadastro expansível para até 150 projetos. Código e nome devem ser únicos; use status ATIVO.</t>
        </is>
      </c>
    </row>
    <row r="4" ht="24" customHeight="1">
      <c r="A4" s="5" t="inlineStr">
        <is>
          <t>Código</t>
        </is>
      </c>
      <c r="B4" s="5" t="inlineStr">
        <is>
          <t>Projeto padronizado</t>
        </is>
      </c>
      <c r="C4" s="5" t="inlineStr">
        <is>
          <t>Descrição</t>
        </is>
      </c>
      <c r="D4" s="5" t="inlineStr">
        <is>
          <t>Status</t>
        </is>
      </c>
    </row>
    <row r="5">
      <c r="A5" t="inlineStr">
        <is>
          <t>PRJ-001</t>
        </is>
      </c>
      <c r="B5" t="inlineStr">
        <is>
          <t>BC - CONFIANÇA PIX</t>
        </is>
      </c>
      <c r="C5" t="inlineStr">
        <is>
          <t>Banco Central do Brasil</t>
        </is>
      </c>
      <c r="D5" t="inlineStr">
        <is>
          <t>ATIVO</t>
        </is>
      </c>
    </row>
    <row r="6">
      <c r="A6" t="inlineStr">
        <is>
          <t>PRJ-002</t>
        </is>
      </c>
      <c r="B6" t="inlineStr">
        <is>
          <t>CFI / ACCION</t>
        </is>
      </c>
      <c r="C6" t="inlineStr">
        <is>
          <t>MAP II MSE Demand — São Paulo</t>
        </is>
      </c>
      <c r="D6" t="inlineStr">
        <is>
          <t>ATIVO</t>
        </is>
      </c>
    </row>
    <row r="7">
      <c r="A7" t="inlineStr">
        <is>
          <t>PRJ-003</t>
        </is>
      </c>
      <c r="B7" t="inlineStr">
        <is>
          <t>SICOOB CREDICOM</t>
        </is>
      </c>
      <c r="C7" t="inlineStr">
        <is>
          <t>Tracking de Marca</t>
        </is>
      </c>
      <c r="D7" t="inlineStr">
        <is>
          <t>ATIVO</t>
        </is>
      </c>
    </row>
    <row r="8">
      <c r="A8" t="inlineStr">
        <is>
          <t>PRJ-004</t>
        </is>
      </c>
      <c r="B8" t="inlineStr">
        <is>
          <t>OTEMPO</t>
        </is>
      </c>
      <c r="C8" t="inlineStr">
        <is>
          <t>Imagem, percepção e reputação</t>
        </is>
      </c>
      <c r="D8" t="inlineStr">
        <is>
          <t>ATIVO</t>
        </is>
      </c>
    </row>
    <row r="9">
      <c r="A9" t="inlineStr">
        <is>
          <t>PRJ-005</t>
        </is>
      </c>
      <c r="B9" t="inlineStr">
        <is>
          <t>ESTADUAL - OTEMPO</t>
        </is>
      </c>
      <c r="C9" t="inlineStr">
        <is>
          <t>Pesquisas eleitorais e tracking</t>
        </is>
      </c>
      <c r="D9" t="inlineStr">
        <is>
          <t>ATIVO</t>
        </is>
      </c>
    </row>
    <row r="10">
      <c r="A10" t="inlineStr">
        <is>
          <t>PRJ-006</t>
        </is>
      </c>
      <c r="B10" t="inlineStr">
        <is>
          <t>CDL/BH</t>
        </is>
      </c>
      <c r="C10" t="inlineStr">
        <is>
          <t>Pesquisas de levantamento do comércio</t>
        </is>
      </c>
      <c r="D10" t="inlineStr">
        <is>
          <t>ATIVO</t>
        </is>
      </c>
    </row>
    <row r="11">
      <c r="A11" t="inlineStr">
        <is>
          <t>PRJ-007</t>
        </is>
      </c>
      <c r="B11" t="inlineStr">
        <is>
          <t>TOOLKIT</t>
        </is>
      </c>
      <c r="C11" t="inlineStr">
        <is>
          <t>Projetos Toolkit</t>
        </is>
      </c>
      <c r="D11" t="inlineStr">
        <is>
          <t>ATIVO</t>
        </is>
      </c>
    </row>
    <row r="12">
      <c r="A12" t="inlineStr">
        <is>
          <t>PRJ-008</t>
        </is>
      </c>
      <c r="B12" t="inlineStr">
        <is>
          <t>CAMPANHA</t>
        </is>
      </c>
      <c r="C12" t="inlineStr">
        <is>
          <t>Pesquisa Prof. Luiz Felizardo</t>
        </is>
      </c>
      <c r="D12" t="inlineStr">
        <is>
          <t>ATIVO</t>
        </is>
      </c>
    </row>
    <row r="13">
      <c r="A13" t="inlineStr">
        <is>
          <t>PRJ-009</t>
        </is>
      </c>
      <c r="B13" t="inlineStr">
        <is>
          <t>ADMINISTRATIVO</t>
        </is>
      </c>
      <c r="C13" t="inlineStr">
        <is>
          <t>Atividades administrativas internas</t>
        </is>
      </c>
      <c r="D13" t="inlineStr">
        <is>
          <t>ATIVO</t>
        </is>
      </c>
    </row>
    <row r="14">
      <c r="A14" t="inlineStr">
        <is>
          <t>PRJ-010</t>
        </is>
      </c>
      <c r="B14" t="inlineStr">
        <is>
          <t>OUTROS</t>
        </is>
      </c>
      <c r="C14" t="inlineStr">
        <is>
          <t>Usar apenas após autorização</t>
        </is>
      </c>
      <c r="D14" t="inlineStr">
        <is>
          <t>ATIVO</t>
        </is>
      </c>
    </row>
    <row r="15">
      <c r="A15" t="inlineStr">
        <is>
          <t>PRJ-011</t>
        </is>
      </c>
      <c r="B15" t="inlineStr">
        <is>
          <t>BETIM - TRACKING</t>
        </is>
      </c>
      <c r="C15" t="inlineStr">
        <is>
          <t>pesquisa de levantamento eleitoral VM</t>
        </is>
      </c>
      <c r="D15" t="inlineStr">
        <is>
          <t>ATIVO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2.25" customWidth="1" min="1" max="1"/>
    <col width="26.125" customWidth="1" min="2" max="2"/>
    <col width="36.625" customWidth="1" min="3" max="3"/>
    <col width="10.625" customWidth="1" min="4" max="4"/>
  </cols>
  <sheetData>
    <row r="1" ht="24" customHeight="1">
      <c r="A1" s="17" t="inlineStr">
        <is>
          <t>CADASTRO PADRONIZADO DE ATIVIDADES</t>
        </is>
      </c>
      <c r="B1" s="17" t="n"/>
      <c r="C1" s="17" t="n"/>
      <c r="D1" s="17" t="n"/>
    </row>
    <row r="2" ht="19.5" customHeight="1">
      <c r="A2" s="7" t="inlineStr">
        <is>
          <t>Cadastro expansível para até 200 atividades. Código e nome devem ser únicos; use status ATIVO.</t>
        </is>
      </c>
    </row>
    <row r="4" ht="24" customHeight="1">
      <c r="A4" s="5" t="inlineStr">
        <is>
          <t>Código</t>
        </is>
      </c>
      <c r="B4" s="5" t="inlineStr">
        <is>
          <t>Atividade padronizada</t>
        </is>
      </c>
      <c r="C4" s="5" t="inlineStr">
        <is>
          <t>Descrição</t>
        </is>
      </c>
      <c r="D4" s="5" t="inlineStr">
        <is>
          <t>Status</t>
        </is>
      </c>
    </row>
    <row r="5">
      <c r="A5" t="inlineStr">
        <is>
          <t>ATV-001</t>
        </is>
      </c>
      <c r="B5" t="inlineStr">
        <is>
          <t>SUPERVISÃO</t>
        </is>
      </c>
      <c r="C5" t="inlineStr">
        <is>
          <t>Coordenação e supervisão operacional</t>
        </is>
      </c>
      <c r="D5" t="inlineStr">
        <is>
          <t>ATIVO</t>
        </is>
      </c>
    </row>
    <row r="6">
      <c r="A6" t="inlineStr">
        <is>
          <t>ATV-002</t>
        </is>
      </c>
      <c r="B6" t="inlineStr">
        <is>
          <t>CHECAGEM</t>
        </is>
      </c>
      <c r="C6" t="inlineStr">
        <is>
          <t>Checagem e controle de qualidade</t>
        </is>
      </c>
      <c r="D6" t="inlineStr">
        <is>
          <t>ATIVO</t>
        </is>
      </c>
    </row>
    <row r="7">
      <c r="A7" t="inlineStr">
        <is>
          <t>ATV-003</t>
        </is>
      </c>
      <c r="B7" t="inlineStr">
        <is>
          <t>CODIFICAÇÃO</t>
        </is>
      </c>
      <c r="C7" t="inlineStr">
        <is>
          <t>Codificação de respostas</t>
        </is>
      </c>
      <c r="D7" t="inlineStr">
        <is>
          <t>ATIVO</t>
        </is>
      </c>
    </row>
    <row r="8">
      <c r="A8" t="inlineStr">
        <is>
          <t>ATV-004</t>
        </is>
      </c>
      <c r="B8" t="inlineStr">
        <is>
          <t>ANÁLISE</t>
        </is>
      </c>
      <c r="C8" t="inlineStr">
        <is>
          <t>Análise estatística ou qualitativa</t>
        </is>
      </c>
      <c r="D8" t="inlineStr">
        <is>
          <t>ATIVO</t>
        </is>
      </c>
    </row>
    <row r="9">
      <c r="A9" t="inlineStr">
        <is>
          <t>ATV-005</t>
        </is>
      </c>
      <c r="B9" t="inlineStr">
        <is>
          <t>RECRUTAMENTO</t>
        </is>
      </c>
      <c r="C9" t="inlineStr">
        <is>
          <t>Recrutamento de participantes</t>
        </is>
      </c>
      <c r="D9" t="inlineStr">
        <is>
          <t>ATIVO</t>
        </is>
      </c>
    </row>
    <row r="10">
      <c r="A10" t="inlineStr">
        <is>
          <t>ATV-006</t>
        </is>
      </c>
      <c r="B10" t="inlineStr">
        <is>
          <t>APLICAÇÃO / ENTREVISTA</t>
        </is>
      </c>
      <c r="C10" t="inlineStr">
        <is>
          <t>Aplicação de questionários ou entrevistas</t>
        </is>
      </c>
      <c r="D10" t="inlineStr">
        <is>
          <t>ATIVO</t>
        </is>
      </c>
    </row>
    <row r="11">
      <c r="A11" t="inlineStr">
        <is>
          <t>ATV-007</t>
        </is>
      </c>
      <c r="B11" t="inlineStr">
        <is>
          <t>TRATAMENTO DE DADOS</t>
        </is>
      </c>
      <c r="C11" t="inlineStr">
        <is>
          <t>Limpeza, crítica, harmonização ou ETL</t>
        </is>
      </c>
      <c r="D11" t="inlineStr">
        <is>
          <t>ATIVO</t>
        </is>
      </c>
    </row>
    <row r="12">
      <c r="A12" t="inlineStr">
        <is>
          <t>ATV-008</t>
        </is>
      </c>
      <c r="B12" t="inlineStr">
        <is>
          <t>RELATÓRIO</t>
        </is>
      </c>
      <c r="C12" t="inlineStr">
        <is>
          <t>Redação, revisão ou apresentação de resultados</t>
        </is>
      </c>
      <c r="D12" t="inlineStr">
        <is>
          <t>ATIVO</t>
        </is>
      </c>
    </row>
    <row r="13">
      <c r="A13" t="inlineStr">
        <is>
          <t>ATV-009</t>
        </is>
      </c>
      <c r="B13" t="inlineStr">
        <is>
          <t>ADMINISTRATIVO</t>
        </is>
      </c>
      <c r="C13" t="inlineStr">
        <is>
          <t>Rotinas administrativas e financeiras</t>
        </is>
      </c>
      <c r="D13" t="inlineStr">
        <is>
          <t>ATIVO</t>
        </is>
      </c>
    </row>
    <row r="14">
      <c r="A14" t="inlineStr">
        <is>
          <t>ATV-010</t>
        </is>
      </c>
      <c r="B14" t="inlineStr">
        <is>
          <t>APOIO OPERACIONAL</t>
        </is>
      </c>
      <c r="C14" t="inlineStr">
        <is>
          <t>Apoio geral à operação</t>
        </is>
      </c>
      <c r="D14" t="inlineStr">
        <is>
          <t>ATIVO</t>
        </is>
      </c>
    </row>
    <row r="15">
      <c r="A15" t="inlineStr">
        <is>
          <t>ATV-011</t>
        </is>
      </c>
      <c r="B15" t="inlineStr">
        <is>
          <t>TRANSCRIÇÃO</t>
        </is>
      </c>
      <c r="C15" t="inlineStr">
        <is>
          <t>Transcrição de Entrevistas e Grupos de Discussão</t>
        </is>
      </c>
      <c r="D15" t="inlineStr">
        <is>
          <t>ATIVO</t>
        </is>
      </c>
    </row>
    <row r="16">
      <c r="A16" t="inlineStr">
        <is>
          <t>ATV-012</t>
        </is>
      </c>
      <c r="B16" t="inlineStr">
        <is>
          <t>MODERAÇÃO</t>
        </is>
      </c>
      <c r="C16" t="inlineStr">
        <is>
          <t>Moderação de EP e GD</t>
        </is>
      </c>
      <c r="D16" t="inlineStr">
        <is>
          <t>ATIVO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4.25"/>
  <cols>
    <col width="8" customWidth="1" min="1" max="1"/>
    <col width="94.375" customWidth="1" min="2" max="2"/>
  </cols>
  <sheetData>
    <row r="1" ht="24" customHeight="1">
      <c r="A1" s="17" t="inlineStr">
        <is>
          <t>CONFIGURAÇÃO NO EXCEL DO SHAREPOINT</t>
        </is>
      </c>
      <c r="B1" s="17" t="n"/>
    </row>
    <row r="2" ht="22.5" customHeight="1">
      <c r="A2" t="inlineStr">
        <is>
          <t>1</t>
        </is>
      </c>
      <c r="B2" t="inlineStr">
        <is>
          <t>A aba Batidas é a origem. Corrija a data e hora na coluna B; a data e o dia da semana são calculados.</t>
        </is>
      </c>
    </row>
    <row r="3" ht="22.5" customHeight="1">
      <c r="A3" t="inlineStr">
        <is>
          <t>2</t>
        </is>
      </c>
      <c r="B3" t="inlineStr">
        <is>
          <t>Para vincular um FIM a um INÍCIO, preencha a coluna L da batida de FIM com o ID da batida de INÍCIO.</t>
        </is>
      </c>
    </row>
    <row r="4" ht="22.5" customHeight="1">
      <c r="A4" t="inlineStr">
        <is>
          <t>3</t>
        </is>
      </c>
      <c r="B4" t="inlineStr">
        <is>
          <t>Não altere o Batida ID da coluna A. Corrija o ID da pessoa, projeto ou atividade nas colunas E, H e I.</t>
        </is>
      </c>
    </row>
    <row r="5" ht="22.5" customHeight="1">
      <c r="A5" t="inlineStr">
        <is>
          <t>4</t>
        </is>
      </c>
      <c r="B5" t="inlineStr">
        <is>
          <t>Registros, cartão de ponto, custos e pagamentos se recalculam automaticamente no Excel.</t>
        </is>
      </c>
    </row>
    <row r="6" ht="22.5" customHeight="1">
      <c r="A6" t="inlineStr">
        <is>
          <t>5</t>
        </is>
      </c>
      <c r="B6" t="inlineStr">
        <is>
          <t>Filtre Conferência = SEM VÍNCULO ou VÍNCULO INVÁLIDO em Batidas para resolver pendências.</t>
        </is>
      </c>
    </row>
    <row r="7" ht="22.5" customHeight="1">
      <c r="A7" t="inlineStr">
        <is>
          <t>6</t>
        </is>
      </c>
      <c r="B7" t="inlineStr">
        <is>
          <t>Para novas batidas no SharePoint, substitua o Office Script anterior pelo código da aba Office Script.</t>
        </is>
      </c>
    </row>
    <row r="8" ht="22.5" customHeight="1">
      <c r="A8" t="inlineStr">
        <is>
          <t>7</t>
        </is>
      </c>
      <c r="B8" t="inlineStr">
        <is>
          <t>Em Automatizar &gt; Novo Script, cole o código completo a partir da linha A2.</t>
        </is>
      </c>
    </row>
    <row r="9" ht="22.5" customHeight="1">
      <c r="A9" t="inlineStr">
        <is>
          <t>8</t>
        </is>
      </c>
      <c r="B9" t="inlineStr">
        <is>
          <t>Antes de pagar, revise registros marcados REVISAR na aba Registros.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46"/>
  <sheetViews>
    <sheetView showGridLines="0" workbookViewId="0">
      <selection activeCell="A1" sqref="A1"/>
    </sheetView>
  </sheetViews>
  <sheetFormatPr baseColWidth="8" defaultRowHeight="14.25"/>
  <cols>
    <col width="100" customWidth="1" min="1" max="1"/>
  </cols>
  <sheetData>
    <row r="1" ht="24" customHeight="1">
      <c r="A1" s="17" t="inlineStr">
        <is>
          <t>OFFICE SCRIPT — REGISTRAR PONTO</t>
        </is>
      </c>
    </row>
    <row r="2">
      <c r="A2" s="22" t="inlineStr">
        <is>
          <t>function validarBatida(r: number): string{</t>
        </is>
      </c>
    </row>
    <row r="3">
      <c r="A3" s="22" t="inlineStr">
        <is>
          <t>const m=`MATCH(L${r},tblBatidas[Batida ID],0)`;</t>
        </is>
      </c>
    </row>
    <row r="4">
      <c r="A4" s="22" t="inlineStr">
        <is>
          <t>const start=c=&gt;`INDEX(tblBatidas[${c}],${m})`;</t>
        </is>
      </c>
    </row>
    <row r="5">
      <c r="A5" s="22" t="inlineStr">
        <is>
          <t>let f='"VINCULADO"';</t>
        </is>
      </c>
    </row>
    <row r="6">
      <c r="A6" s="22" t="inlineStr">
        <is>
          <t>f=`IF(OR(B${r}&lt;=${start('Data e hora')},(B${r}-${start('Data e hora')})*24&gt;16),"HORÁRIO INVÁLIDO",${f})`;</t>
        </is>
      </c>
    </row>
    <row r="7">
      <c r="A7" s="22" t="inlineStr">
        <is>
          <t>f=`IF(I${r}&lt;&gt;${start('Atividade')},"DIVERGÊNCIA DE ATIVIDADE",${f})`;</t>
        </is>
      </c>
    </row>
    <row r="8">
      <c r="A8" s="22" t="inlineStr">
        <is>
          <t>f=`IF(H${r}&lt;&gt;${start('Projeto')},"DIVERGÊNCIA DE PROJETO",${f})`;</t>
        </is>
      </c>
    </row>
    <row r="9">
      <c r="A9" s="22" t="inlineStr">
        <is>
          <t>f=`IF(E${r}&lt;&gt;${start('ID')},"DIVERGÊNCIA DE ID",${f})`;</t>
        </is>
      </c>
    </row>
    <row r="10">
      <c r="A10" s="22" t="inlineStr">
        <is>
          <t>f=`IF(COUNTIF(tblBatidas[Início vinculado],L${r})&gt;1,"VÍNCULO DUPLICADO",${f})`;</t>
        </is>
      </c>
    </row>
    <row r="11">
      <c r="A11" s="22" t="inlineStr">
        <is>
          <t>f=`IF(COUNTIF(tblBatidas[Batida ID],L${r})=0,"VÍNCULO INVÁLIDO",${f})`;</t>
        </is>
      </c>
    </row>
    <row r="12">
      <c r="A12" s="22" t="inlineStr">
        <is>
          <t>return `=IF(G${r}="FIM",IF(L${r}="","SEM VÍNCULO",${f}),"INÍCIO")`;</t>
        </is>
      </c>
    </row>
    <row r="13">
      <c r="A13" s="22" t="inlineStr">
        <is>
          <t>}</t>
        </is>
      </c>
    </row>
    <row r="14">
      <c r="A14" s="22" t="inlineStr">
        <is>
          <t>function linkedRow(r: number): string[]{</t>
        </is>
      </c>
    </row>
    <row r="15">
      <c r="A15" s="22" t="inlineStr">
        <is>
          <t>const sid=`\"B\"&amp;MID($A${r},2,99)`,start=`MATCH(${sid},tblBatidas[Batida ID],0)`,end=`MATCH(${sid},tblBatidas[Início vinculado],0)`;</t>
        </is>
      </c>
    </row>
    <row r="16">
      <c r="A16" s="22" t="inlineStr">
        <is>
          <t>const sb=`INDEX(tblBatidas[Data e hora],${start})`,eb=`INDEX(tblBatidas[Data e hora],${end})`,be=`INDEX(tblBatidas[ID],${start})`;</t>
        </is>
      </c>
    </row>
    <row r="17">
      <c r="A17" s="22" t="inlineStr">
        <is>
          <t>const row=[</t>
        </is>
      </c>
    </row>
    <row r="18">
      <c r="A18" s="22" t="inlineStr">
        <is>
          <t>`=IFERROR(INT(${sb}),\"\")`,</t>
        </is>
      </c>
    </row>
    <row r="19">
      <c r="A19" s="22" t="inlineStr">
        <is>
          <t>`=IF(B${r}=\"\",\"\",CHOOSE(WEEKDAY(B${r},2),\"SEGUNDA-FEIRA\",\"TERÇA-FEIRA\",\"QUARTA-FEIRA\",\"QUINTA-FEIRA\",\"SEXTA-FEIRA\",\"SÁBADO\",\"DOMINGO\"))`,</t>
        </is>
      </c>
    </row>
    <row r="20">
      <c r="A20" s="22" t="inlineStr">
        <is>
          <t>`=IF(B${r}=\"\",\"\",IF(WEEKDAY(B${r},2)&gt;5,\"FDS/FERIADO\",\"DIA ÚTIL\"))`,</t>
        </is>
      </c>
    </row>
    <row r="21">
      <c r="A21" s="22" t="inlineStr">
        <is>
          <t>`=IFERROR(${be},\"\")`,</t>
        </is>
      </c>
    </row>
    <row r="22">
      <c r="A22" s="22" t="inlineStr">
        <is>
          <t>`=IFERROR(INDEX(tblPessoas[Pessoa],MATCH(E${r},tblPessoas[ID],0)),\"\")`,</t>
        </is>
      </c>
    </row>
    <row r="23">
      <c r="A23" s="22" t="inlineStr">
        <is>
          <t>`=IFERROR(INDEX(tblBatidas[Projeto],${start}),\"\")`,</t>
        </is>
      </c>
    </row>
    <row r="24">
      <c r="A24" s="22" t="inlineStr">
        <is>
          <t>`=IFERROR(INDEX(tblBatidas[Atividade],${start}),\"\")`,</t>
        </is>
      </c>
    </row>
    <row r="25">
      <c r="A25" s="22" t="inlineStr">
        <is>
          <t>`=IFERROR(MOD(${sb},1),\"\")`,</t>
        </is>
      </c>
    </row>
    <row r="26">
      <c r="A26" s="22" t="inlineStr">
        <is>
          <t>`=IFERROR(MOD(${eb},1),\"\")`,</t>
        </is>
      </c>
    </row>
    <row r="27">
      <c r="A27" s="22" t="inlineStr">
        <is>
          <t>`=IFERROR((${eb}-${sb})*24,\"\")`,</t>
        </is>
      </c>
    </row>
    <row r="28">
      <c r="A28" s="22" t="inlineStr">
        <is>
          <t>`=IFERROR(INDEX(tblBatidas[Observação],${end}),\"\")`,</t>
        </is>
      </c>
    </row>
    <row r="29">
      <c r="A29" s="22" t="inlineStr">
        <is>
          <t>`=IFERROR(INDEX(tblPessoas[Base],MATCH(E${r},tblPessoas[ID],0)),\"\")`,</t>
        </is>
      </c>
    </row>
    <row r="30">
      <c r="A30" s="22" t="inlineStr">
        <is>
          <t>`=IFERROR(IF(D${r}=\"DIA ÚTIL\",INDEX(tblPessoas[R$/h útil],MATCH(E${r},tblPessoas[ID],0)),INDEX(tblPessoas[R$/h FDS],MATCH(E${r},tblPessoas[ID],0))),0)`,</t>
        </is>
      </c>
    </row>
    <row r="31">
      <c r="A31" s="22" t="inlineStr">
        <is>
          <t>`=IFERROR(INDEX(tblPessoas[R$/diária],MATCH(E${r},tblPessoas[ID],0)),0)`,</t>
        </is>
      </c>
    </row>
    <row r="32">
      <c r="A32" s="22" t="inlineStr">
        <is>
          <t>`=IF(Q${r}&lt;&gt;\"CONCLUÍDO\",\"\",IF(M${r}=\"Diária\",O${r}*R${r},K${r}*N${r}))`,</t>
        </is>
      </c>
    </row>
    <row r="33">
      <c r="A33" s="22" t="inlineStr">
        <is>
          <t>`=IF(A${r}=\"\",\"\",IF(COUNTIF(tblBatidas[Início vinculado],${sid})=0,\"EM ABERTO\",IF(OR(COUNTIF(tblBatidas[Início vinculado],${sid})&gt;1,K${r}&lt;0,K${r}&gt;16,INT(${eb})&lt;&gt;B${r},INDEX(tblBatidas[ID],${end})&lt;&gt;E${r},INDEX(tblBatidas[Projeto],${end})&lt;&gt;G${r},INDEX(tblBatidas[Atividade],${end})&lt;&gt;H${r}),\"REVISAR\",\"CONCLUÍDO\")))`,</t>
        </is>
      </c>
    </row>
    <row r="34">
      <c r="A34" s="22" t="inlineStr">
        <is>
          <t>`=IF(Q${r}&lt;&gt;\"CONCLUÍDO\",0,IF(COUNTIFS($E$5:E${r},E${r},$B$5:B${r},B${r},$Q$5:Q${r},\"CONCLUÍDO\")=1,1,0))`,</t>
        </is>
      </c>
    </row>
    <row r="35">
      <c r="A35" s="22" t="inlineStr">
        <is>
          <t>`=IF(B${r}=\"\",\"\",TEXT(B${r},\"yyyy-mm\"))`,</t>
        </is>
      </c>
    </row>
    <row r="36">
      <c r="A36" s="22" t="inlineStr">
        <is>
          <t>`=IF(E${r}=\"\",\"\",E${r}*100000+COUNTIFS(tblRegistros[ID],E${r},tblRegistros[Data],\"&lt;\"&amp;B${r})+COUNTIFS(tblRegistros[ID],E${r},tblRegistros[Data],B${r},tblRegistros[Início],\"&lt;\"&amp;I${r})+COUNTIFS($E$5:E${r},E${r},$B$5:B${r},B${r},$I$5:I${r},I${r}))`</t>
        </is>
      </c>
    </row>
    <row r="37">
      <c r="A37" s="22" t="inlineStr">
        <is>
          <t>];</t>
        </is>
      </c>
    </row>
    <row r="38">
      <c r="A38" s="22" t="inlineStr">
        <is>
          <t>return row;</t>
        </is>
      </c>
    </row>
    <row r="39">
      <c r="A39" s="22" t="inlineStr">
        <is>
          <t>}</t>
        </is>
      </c>
    </row>
    <row r="40">
      <c r="A40" s="22" t="inlineStr">
        <is>
          <t>function main(workbook: ExcelScript.Workbook) {</t>
        </is>
      </c>
    </row>
    <row r="41">
      <c r="A41" s="22" t="inlineStr">
        <is>
          <t>const painel = workbook.getWorksheet("Registrar Ponto");</t>
        </is>
      </c>
    </row>
    <row r="42">
      <c r="A42" s="22" t="inlineStr">
        <is>
          <t>const pessoas = workbook.getWorksheet("Cadastro Pessoas").getTable("tblPessoas");</t>
        </is>
      </c>
    </row>
    <row r="43">
      <c r="A43" s="22" t="inlineStr">
        <is>
          <t>const projetos = workbook.getWorksheet("Cadastro Projetos").getTable("tblProjetos");</t>
        </is>
      </c>
    </row>
    <row r="44">
      <c r="A44" s="22" t="inlineStr">
        <is>
          <t>const atividades = workbook.getWorksheet("Cadastro Atividades").getTable("tblAtividades");</t>
        </is>
      </c>
    </row>
    <row r="45">
      <c r="A45" s="22" t="inlineStr">
        <is>
          <t>const batidas = workbook.getWorksheet("Batidas").getTable("tblBatidas");</t>
        </is>
      </c>
    </row>
    <row r="46">
      <c r="A46" s="22" t="inlineStr">
        <is>
          <t>const registros = workbook.getWorksheet("Registros").getTable("tblRegistros");</t>
        </is>
      </c>
    </row>
    <row r="47">
      <c r="A47" s="22" t="inlineStr">
        <is>
          <t>const id = String(painel.getRange("C6").getValue()).trim();</t>
        </is>
      </c>
    </row>
    <row r="48">
      <c r="A48" s="22" t="inlineStr">
        <is>
          <t>const tipo = String(painel.getRange("C10").getValue()).trim().toUpperCase();</t>
        </is>
      </c>
    </row>
    <row r="49">
      <c r="A49" s="22" t="inlineStr">
        <is>
          <t>const projeto = String(painel.getRange("C12").getValue()).trim();</t>
        </is>
      </c>
    </row>
    <row r="50">
      <c r="A50" s="22" t="inlineStr">
        <is>
          <t>const atividade = String(painel.getRange("C14").getValue()).trim();</t>
        </is>
      </c>
    </row>
    <row r="51">
      <c r="A51" s="22" t="inlineStr">
        <is>
          <t>const observacao = String(painel.getRange("C16").getValue()).trim();</t>
        </is>
      </c>
    </row>
    <row r="52">
      <c r="A52" s="22" t="inlineStr">
        <is>
          <t>if (!id || !["INÍCIO","FIM"].includes(tipo) || !projeto || !atividade) {</t>
        </is>
      </c>
    </row>
    <row r="53">
      <c r="A53" s="22" t="inlineStr">
        <is>
          <t>painel.getRange("C19").setValue("PREENCHA ID, TIPO, PROJETO E ATIVIDADE.");</t>
        </is>
      </c>
    </row>
    <row r="54">
      <c r="A54" s="22" t="inlineStr">
        <is>
          <t>return;</t>
        </is>
      </c>
    </row>
    <row r="55">
      <c r="A55" s="22" t="inlineStr">
        <is>
          <t>}</t>
        </is>
      </c>
    </row>
    <row r="56">
      <c r="A56" s="22" t="inlineStr">
        <is>
          <t>const pRows = pessoas.getRangeBetweenHeaderAndTotal().getValues();</t>
        </is>
      </c>
    </row>
    <row r="57">
      <c r="A57" s="22" t="inlineStr">
        <is>
          <t>const p = pRows.find(r =&gt; String(r[0]).trim() === id &amp;&amp; String(r[7]).toUpperCase() === "ATIVO");</t>
        </is>
      </c>
    </row>
    <row r="58">
      <c r="A58" s="22" t="inlineStr">
        <is>
          <t>if (!p) { painel.getRange("C19").setValue("ID NÃO ENCONTRADO OU INATIVO."); return; }</t>
        </is>
      </c>
    </row>
    <row r="59">
      <c r="A59" s="22" t="inlineStr">
        <is>
          <t>const nome = String(p[1]);</t>
        </is>
      </c>
    </row>
    <row r="60">
      <c r="A60" s="22" t="inlineStr">
        <is>
          <t>const base = String(p[2]);</t>
        </is>
      </c>
    </row>
    <row r="61">
      <c r="A61" s="22" t="inlineStr">
        <is>
          <t>const taxaUtil = Number(p[3]) || 0;</t>
        </is>
      </c>
    </row>
    <row r="62">
      <c r="A62" s="22" t="inlineStr">
        <is>
          <t>const taxaFds = Number(p[4]) || 0;</t>
        </is>
      </c>
    </row>
    <row r="63">
      <c r="A63" s="22" t="inlineStr">
        <is>
          <t>const diaria = Number(p[5]) || 0;</t>
        </is>
      </c>
    </row>
    <row r="64">
      <c r="A64" s="22" t="inlineStr">
        <is>
          <t>const prjOk = projetos.getRangeBetweenHeaderAndTotal().getValues().some(r =&gt; String(r[1]) === projeto &amp;&amp; String(r[3]).toUpperCase() === "ATIVO");</t>
        </is>
      </c>
    </row>
    <row r="65">
      <c r="A65" s="22" t="inlineStr">
        <is>
          <t>const atvOk = atividades.getRangeBetweenHeaderAndTotal().getValues().some(r =&gt; String(r[1]) === atividade &amp;&amp; String(r[3]).toUpperCase() === "ATIVO");</t>
        </is>
      </c>
    </row>
    <row r="66">
      <c r="A66" s="22" t="inlineStr">
        <is>
          <t>if (!prjOk || !atvOk) { painel.getRange("C19").setValue("PROJETO OU ATIVIDADE FORA DO CADASTRO ATIVO."); return; }</t>
        </is>
      </c>
    </row>
    <row r="67">
      <c r="A67" s="22" t="inlineStr">
        <is>
          <t>// Integra novos cadastros aos relatórios de período.</t>
        </is>
      </c>
    </row>
    <row r="68">
      <c r="A68" s="22" t="inlineStr">
        <is>
          <t>const resumoSheet = workbook.getWorksheet("Resumo Pagamentos");</t>
        </is>
      </c>
    </row>
    <row r="69">
      <c r="A69" s="22" t="inlineStr">
        <is>
          <t>const resumoIds = resumoSheet.getRange("A7:A106").getValues();</t>
        </is>
      </c>
    </row>
    <row r="70">
      <c r="A70" s="22" t="inlineStr">
        <is>
          <t>let resumoPos = resumoIds.findIndex(r =&gt; String(r[0]) === id);</t>
        </is>
      </c>
    </row>
    <row r="71">
      <c r="A71" s="22" t="inlineStr">
        <is>
          <t>if (resumoPos &lt; 0) resumoPos = resumoIds.findIndex(r =&gt; String(r[0]).trim() === "");</t>
        </is>
      </c>
    </row>
    <row r="72">
      <c r="A72" s="22" t="inlineStr">
        <is>
          <t>if (resumoPos &lt; 0) { painel.getRange("C19").setValue("LIMITE DE PESSOAS NO RESUMO."); return; }</t>
        </is>
      </c>
    </row>
    <row r="73">
      <c r="A73" s="22" t="inlineStr">
        <is>
          <t>const rr = 7 + resumoPos;</t>
        </is>
      </c>
    </row>
    <row r="74">
      <c r="A74" s="22" t="inlineStr">
        <is>
          <t>if (String(resumoIds[resumoPos][0]).trim() === "") {</t>
        </is>
      </c>
    </row>
    <row r="75">
      <c r="A75" s="22" t="inlineStr">
        <is>
          <t>resumoSheet.getRange("A"+rr+":C"+rr).setValues([[Number(id),nome,base]]);</t>
        </is>
      </c>
    </row>
    <row r="76">
      <c r="A76" s="22" t="inlineStr">
        <is>
          <t>resumoSheet.getRange("H"+rr+":J"+rr).setValues([[taxaUtil,taxaFds,diaria]]);</t>
        </is>
      </c>
    </row>
    <row r="77">
      <c r="A77" s="22" t="inlineStr">
        <is>
          <t>resumoSheet.getRange("L"+rr).setValue(0);</t>
        </is>
      </c>
    </row>
    <row r="78">
      <c r="A78" s="22" t="inlineStr">
        <is>
          <t>const crit = "'Registros'!$E$5:$E$3004,A"+rr+",'Registros'!$B$5:$B$3004,\"&gt;=\"&amp;$B$4,'Registros'!$B$5:$B$3004,\"&lt;\"&amp;($D$4+1),'Registros'!$Q$5:$Q$3004,\"CONCLUÍDO\"";</t>
        </is>
      </c>
    </row>
    <row r="79">
      <c r="A79" s="22" t="inlineStr">
        <is>
          <t>resumoSheet.getRange("D"+rr).setFormula("=SUMIFS('Registros'!$K$5:$K$3004,"+crit+",'Registros'!$D$5:$D$3004,\"DIA ÚTIL\")");</t>
        </is>
      </c>
    </row>
    <row r="80">
      <c r="A80" s="22" t="inlineStr">
        <is>
          <t>resumoSheet.getRange("E"+rr).setFormula("=SUMIFS('Registros'!$K$5:$K$3004,"+crit+",'Registros'!$D$5:$D$3004,\"FDS/FERIADO\")");</t>
        </is>
      </c>
    </row>
    <row r="81">
      <c r="A81" s="22" t="inlineStr">
        <is>
          <t>resumoSheet.getRange("F"+rr).setFormula("=D"+rr+"+E"+rr);</t>
        </is>
      </c>
    </row>
    <row r="82">
      <c r="A82" s="22" t="inlineStr">
        <is>
          <t>resumoSheet.getRange("G"+rr).setFormula("=SUMIFS('Registros'!$R$5:$R$3004,"+crit+")");</t>
        </is>
      </c>
    </row>
    <row r="83">
      <c r="A83" s="22" t="inlineStr">
        <is>
          <t>resumoSheet.getRange("K"+rr).setFormula("=SUMIFS('Registros'!$P$5:$P$3004,"+crit+")");</t>
        </is>
      </c>
    </row>
    <row r="84">
      <c r="A84" s="22" t="inlineStr">
        <is>
          <t>resumoSheet.getRange("M"+rr).setFormula("=K"+rr+"+L"+rr);</t>
        </is>
      </c>
    </row>
    <row r="85">
      <c r="A85" s="22" t="inlineStr">
        <is>
          <t>resumoSheet.getRange("N"+rr).setFormula("=COUNTIFS('Registros'!$E$5:$E$3004,A"+rr+",'Registros'!$B$5:$B$3004,\"&gt;=\"&amp;$B$4,'Registros'!$B$5:$B$3004,\"&lt;\"&amp;($D$4+1),'Registros'!$Q$5:$Q$3004,\"EM ABERTO\")+COUNTIFS('Registros'!$E$5:$E$3004,A"+rr+",'Registros'!$B$5:$B$3004,\"&gt;=\"&amp;$B$4,'Registros'!$B$5:$B$3004,\"&lt;\"&amp;($D$4+1),'Registros'!$Q$5:$Q$3004,\"REVISAR\")");</t>
        </is>
      </c>
    </row>
    <row r="86">
      <c r="A86" s="22" t="inlineStr">
        <is>
          <t>}</t>
        </is>
      </c>
    </row>
    <row r="87">
      <c r="A87" s="22" t="inlineStr">
        <is>
          <t>const custoSheet = workbook.getWorksheet("Custo por Projeto");</t>
        </is>
      </c>
    </row>
    <row r="88">
      <c r="A88" s="22" t="inlineStr">
        <is>
          <t>const custoProjetos = custoSheet.getRange("B7:B156").getValues();</t>
        </is>
      </c>
    </row>
    <row r="89">
      <c r="A89" s="22" t="inlineStr">
        <is>
          <t>let custoPos = custoProjetos.findIndex(r =&gt; String(r[0]) === projeto);</t>
        </is>
      </c>
    </row>
    <row r="90">
      <c r="A90" s="22" t="inlineStr">
        <is>
          <t>if (custoPos &lt; 0) custoPos = custoProjetos.findIndex(r =&gt; String(r[0]).trim() === "");</t>
        </is>
      </c>
    </row>
    <row r="91">
      <c r="A91" s="22" t="inlineStr">
        <is>
          <t>if (custoPos &lt; 0) { painel.getRange("C19").setValue("LIMITE DE PROJETOS NO RESUMO."); return; }</t>
        </is>
      </c>
    </row>
    <row r="92">
      <c r="A92" s="22" t="inlineStr">
        <is>
          <t>const rc = 7 + custoPos;</t>
        </is>
      </c>
    </row>
    <row r="93">
      <c r="A93" s="22" t="inlineStr">
        <is>
          <t>if (String(custoProjetos[custoPos][0]).trim() === "") {</t>
        </is>
      </c>
    </row>
    <row r="94">
      <c r="A94" s="22" t="inlineStr">
        <is>
          <t>const projetoRow = projetos.getRangeBetweenHeaderAndTotal().getValues().find(r =&gt; String(r[1]) === projeto);</t>
        </is>
      </c>
    </row>
    <row r="95">
      <c r="A95" s="22" t="inlineStr">
        <is>
          <t>custoSheet.getRange("A"+rc+":B"+rc).setValues([[String(projetoRow[0]),projeto]]);</t>
        </is>
      </c>
    </row>
    <row r="96">
      <c r="A96" s="22" t="inlineStr">
        <is>
          <t>const critP = "'Registros'!$G$5:$G$3004,B"+rc+",'Registros'!$B$5:$B$3004,\"&gt;=\"&amp;$B$4,'Registros'!$B$5:$B$3004,\"&lt;\"&amp;($D$4+1),'Registros'!$Q$5:$Q$3004,\"CONCLUÍDO\"";</t>
        </is>
      </c>
    </row>
    <row r="97">
      <c r="A97" s="22" t="inlineStr">
        <is>
          <t>custoSheet.getRange("C"+rc).setFormula("=SUMIFS('Registros'!$K$5:$K$3004,"+critP+",'Registros'!$D$5:$D$3004,\"DIA ÚTIL\")");</t>
        </is>
      </c>
    </row>
    <row r="98">
      <c r="A98" s="22" t="inlineStr">
        <is>
          <t>custoSheet.getRange("D"+rc).setFormula("=SUMIFS('Registros'!$K$5:$K$3004,"+critP+",'Registros'!$D$5:$D$3004,\"FDS/FERIADO\")");</t>
        </is>
      </c>
    </row>
    <row r="99">
      <c r="A99" s="22" t="inlineStr">
        <is>
          <t>custoSheet.getRange("E"+rc).setFormula("=C"+rc+"+D"+rc);</t>
        </is>
      </c>
    </row>
    <row r="100">
      <c r="A100" s="22" t="inlineStr">
        <is>
          <t>custoSheet.getRange("F"+rc).setFormula("=COUNTIFS("+critP+")");</t>
        </is>
      </c>
    </row>
    <row r="101">
      <c r="A101" s="22" t="inlineStr">
        <is>
          <t>custoSheet.getRange("G"+rc).setFormula("=IF(F"+rc+"=0,0,ROWS(UNIQUE(FILTER('Registros'!$E$5:$E$3004,('Registros'!$G$5:$G$3004=B"+rc+")*('Registros'!$B$5:$B$3004&gt;=$B$4)*('Registros'!$B$5:$B$3004&lt;=$D$4)*('Registros'!$Q$5:$Q$3004=\"CONCLUÍDO\")))))");</t>
        </is>
      </c>
    </row>
    <row r="102">
      <c r="A102" s="22" t="inlineStr">
        <is>
          <t>custoSheet.getRange("H"+rc).setFormula("=SUMIFS('Registros'!$P$5:$P$3004,"+critP+")");</t>
        </is>
      </c>
    </row>
    <row r="103">
      <c r="A103" s="22" t="inlineStr">
        <is>
          <t>}</t>
        </is>
      </c>
    </row>
    <row r="104">
      <c r="A104" s="22" t="inlineStr">
        <is>
          <t>const agoraUTC = new Date();</t>
        </is>
      </c>
    </row>
    <row r="105">
      <c r="A105" s="22" t="inlineStr">
        <is>
          <t>const agoraBR = new Date(agoraUTC.getTime() - 3 * 60 * 60 * 1000);</t>
        </is>
      </c>
    </row>
    <row r="106">
      <c r="A106" s="22" t="inlineStr">
        <is>
          <t>const serial = (Date.UTC(agoraBR.getUTCFullYear(), agoraBR.getUTCMonth(), agoraBR.getUTCDate(), agoraBR.getUTCHours(), agoraBR.getUTCMinutes(), agoraBR.getUTCSeconds()) - Date.UTC(1899, 11, 30)) / 86400000;</t>
        </is>
      </c>
    </row>
    <row r="107">
      <c r="A107" s="22" t="inlineStr">
        <is>
          <t>const dataSerial = Math.floor(serial);</t>
        </is>
      </c>
    </row>
    <row r="108">
      <c r="A108" s="22" t="inlineStr">
        <is>
          <t>const horaSerial = serial - dataSerial;</t>
        </is>
      </c>
    </row>
    <row r="109">
      <c r="A109" s="22" t="inlineStr">
        <is>
          <t>const dias = ["DOMINGO","SEGUNDA-FEIRA","TERÇA-FEIRA","QUARTA-FEIRA","QUINTA-FEIRA","SEXTA-FEIRA","SÁBADO"];</t>
        </is>
      </c>
    </row>
    <row r="110">
      <c r="A110" s="22" t="inlineStr">
        <is>
          <t>const diaSemana = dias[agoraBR.getUTCDay()];</t>
        </is>
      </c>
    </row>
    <row r="111">
      <c r="A111" s="22" t="inlineStr">
        <is>
          <t>const batidaId = "B" + agoraBR.getUTCFullYear() + String(agoraBR.getUTCMonth()+1).padStart(2,"0") + String(agoraBR.getUTCDate()).padStart(2,"0") + String(agoraBR.getUTCHours()).padStart(2,"0") + String(agoraBR.getUTCMinutes()).padStart(2,"0") + String(agoraBR.getUTCSeconds()).padStart(2,"0") + "-" + id;</t>
        </is>
      </c>
    </row>
    <row r="112">
      <c r="A112" s="22" t="inlineStr">
        <is>
          <t>const rRows = registros.getRangeBetweenHeaderAndTotal().getValues();</t>
        </is>
      </c>
    </row>
    <row r="113">
      <c r="A113" s="22" t="inlineStr">
        <is>
          <t>let aberta = -1;</t>
        </is>
      </c>
    </row>
    <row r="114">
      <c r="A114" s="22" t="inlineStr">
        <is>
          <t>for (let i = rRows.length - 1; i &gt;= 0; i--) {</t>
        </is>
      </c>
    </row>
    <row r="115">
      <c r="A115" s="22" t="inlineStr">
        <is>
          <t>if (String(rRows[i][4]) === id &amp;&amp; Number(rRows[i][1]) === dataSerial &amp;&amp; String(rRows[i][16]).toUpperCase() === "EM ABERTO") { aberta = i; break; }</t>
        </is>
      </c>
    </row>
    <row r="116">
      <c r="A116" s="22" t="inlineStr">
        <is>
          <t>}</t>
        </is>
      </c>
    </row>
    <row r="117">
      <c r="A117" s="22" t="inlineStr">
        <is>
          <t>function adicionarBatida(vinculo: string) {</t>
        </is>
      </c>
    </row>
    <row r="118">
      <c r="A118" s="22" t="inlineStr">
        <is>
          <t>batidas.addRow(-1, [batidaId,serial,"","",Number(id),nome,tipo,projeto,atividade,observacao,"SharePoint / Office Script",vinculo,""]);</t>
        </is>
      </c>
    </row>
    <row r="119">
      <c r="A119" s="22" t="inlineStr">
        <is>
          <t>const br = batidas.getRangeBetweenHeaderAndTotal().getRowCount() + 4;</t>
        </is>
      </c>
    </row>
    <row r="120">
      <c r="A120" s="22" t="inlineStr">
        <is>
          <t>const bs = workbook.getWorksheet("Batidas");</t>
        </is>
      </c>
    </row>
    <row r="121">
      <c r="A121" s="22" t="inlineStr">
        <is>
          <t>bs.getRange("C"+br).setFormula("=INT(B"+br+")");</t>
        </is>
      </c>
    </row>
    <row r="122">
      <c r="A122" s="22" t="inlineStr">
        <is>
          <t>bs.getRange("D"+br).setFormula("=CHOOSE(WEEKDAY(C"+br+",2),\"SEGUNDA-FEIRA\",\"TERÇA-FEIRA\",\"QUARTA-FEIRA\",\"QUINTA-FEIRA\",\"SEXTA-FEIRA\",\"SÁBADO\",\"DOMINGO\")");</t>
        </is>
      </c>
    </row>
    <row r="123">
      <c r="A123" s="22" t="inlineStr">
        <is>
          <t>bs.getRange("M"+br).setFormula(validarBatida(br));</t>
        </is>
      </c>
    </row>
    <row r="124">
      <c r="A124" s="22" t="inlineStr">
        <is>
          <t>}</t>
        </is>
      </c>
    </row>
    <row r="125">
      <c r="A125" s="22" t="inlineStr">
        <is>
          <t>if (tipo === "INÍCIO") {</t>
        </is>
      </c>
    </row>
    <row r="126">
      <c r="A126" s="22" t="inlineStr">
        <is>
          <t>if (aberta &gt;= 0) { painel.getRange("C19").setValue("JÁ EXISTE UM INÍCIO EM ABERTO HOJE."); return; }</t>
        </is>
      </c>
    </row>
    <row r="127">
      <c r="A127" s="22" t="inlineStr">
        <is>
          <t>adicionarBatida("");</t>
        </is>
      </c>
    </row>
    <row r="128">
      <c r="A128" s="22" t="inlineStr">
        <is>
          <t>const regId = "R" + batidaId.substring(1);</t>
        </is>
      </c>
    </row>
    <row r="129">
      <c r="A129" s="22" t="inlineStr">
        <is>
          <t>registros.addRow(-1,[regId,"","","","","","","","","","","","","","","","","","",""]);</t>
        </is>
      </c>
    </row>
    <row r="130">
      <c r="A130" s="22" t="inlineStr">
        <is>
          <t>const nr = registros.getRangeBetweenHeaderAndTotal().getRowCount() + 4;</t>
        </is>
      </c>
    </row>
    <row r="131">
      <c r="A131" s="22" t="inlineStr">
        <is>
          <t>workbook.getWorksheet("Registros").getRange("B"+nr+":T"+nr).setFormulas([linkedRow(nr)]);</t>
        </is>
      </c>
    </row>
    <row r="132">
      <c r="A132" s="22" t="inlineStr">
        <is>
          <t>} else {</t>
        </is>
      </c>
    </row>
    <row r="133">
      <c r="A133" s="22" t="inlineStr">
        <is>
          <t>if (aberta &lt; 0) { painel.getRange("C19").setValue("NÃO HÁ INÍCIO EM ABERTO HOJE PARA ESTE ID."); return; }</t>
        </is>
      </c>
    </row>
    <row r="134">
      <c r="A134" s="22" t="inlineStr">
        <is>
          <t>if (String(rRows[aberta][6]) !== projeto || String(rRows[aberta][7]) !== atividade) { painel.getRange("C19").setValue("PROJETO/ATIVIDADE DIFERENTES DO INÍCIO."); return; }</t>
        </is>
      </c>
    </row>
    <row r="135">
      <c r="A135" t="inlineStr">
        <is>
          <t>const horas = (serial - (Number(rRows[aberta][1]) + Number(rRows[aberta][8]))) * 24;</t>
        </is>
      </c>
    </row>
    <row r="136">
      <c r="A136" t="inlineStr">
        <is>
          <t>if (horas &lt; 0 || horas &gt; 16) { painel.getRange("C19").setValue("INTERVALO INVÁLIDO OU ACIMA DE 16 HORAS."); return; }</t>
        </is>
      </c>
    </row>
    <row r="137">
      <c r="A137" t="inlineStr">
        <is>
          <t>adicionarBatida("B" + String(rRows[aberta][0]).substring(1));</t>
        </is>
      </c>
    </row>
    <row r="138">
      <c r="A138" t="inlineStr">
        <is>
          <t>}</t>
        </is>
      </c>
    </row>
    <row r="139">
      <c r="A139" t="inlineStr">
        <is>
          <t>// Limpa os dados somente após um registro válido.</t>
        </is>
      </c>
    </row>
    <row r="140">
      <c r="A140" t="inlineStr">
        <is>
          <t>painel.getRange("C6").setValue("");</t>
        </is>
      </c>
    </row>
    <row r="141">
      <c r="A141" t="inlineStr">
        <is>
          <t>painel.getRange("C10").setValue("");</t>
        </is>
      </c>
    </row>
    <row r="142">
      <c r="A142" t="inlineStr">
        <is>
          <t>painel.getRange("C12").setValue("");</t>
        </is>
      </c>
    </row>
    <row r="143">
      <c r="A143" t="inlineStr">
        <is>
          <t>painel.getRange("C14").setValue("");</t>
        </is>
      </c>
    </row>
    <row r="144">
      <c r="A144" t="inlineStr">
        <is>
          <t>painel.getRange("C16").setValue("");</t>
        </is>
      </c>
    </row>
    <row r="145">
      <c r="A145" t="inlineStr">
        <is>
          <t>painel.getRange("C19").setValue("REGISTRO REALIZADO COM SUCESSO. PAINEL LIMPO PARA O PRÓXIMO USUÁRIO.");</t>
        </is>
      </c>
    </row>
    <row r="146">
      <c r="A146" t="inlineStr">
        <is>
          <t>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 Mariano</dc:creator>
  <dcterms:created xsi:type="dcterms:W3CDTF">2026-09-24T20:19:30Z</dcterms:created>
  <dcterms:modified xsi:type="dcterms:W3CDTF">2026-09-30T13:52:38Z</dcterms:modified>
  <cp:lastModifiedBy>Alex Mariano</cp:lastModifiedBy>
</cp:coreProperties>
</file>
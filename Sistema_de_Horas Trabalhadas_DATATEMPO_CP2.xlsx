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adacorp.sharepoint.com/sites/CP2-FINANCEIRO/Shared Documents/General/REGISTRO DE PONTO/"/>
    </mc:Choice>
  </mc:AlternateContent>
  <xr:revisionPtr revIDLastSave="0" documentId="8_{CDD777CF-D13B-4640-AF05-CD70325E32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istrar Ponto" sheetId="1" r:id="rId1"/>
    <sheet name="Cadastro Pessoas" sheetId="2" state="hidden" r:id="rId2"/>
    <sheet name="Cadastro Projetos" sheetId="3" state="hidden" r:id="rId3"/>
    <sheet name="Cadastro Atividades" sheetId="4" state="hidden" r:id="rId4"/>
    <sheet name="Batidas" sheetId="5" state="hidden" r:id="rId5"/>
    <sheet name="Registros" sheetId="6" state="hidden" r:id="rId6"/>
    <sheet name="Resumo Pagamentos" sheetId="7" state="hidden" r:id="rId7"/>
    <sheet name="Custo por Projeto" sheetId="8" state="hidden" r:id="rId8"/>
    <sheet name="Configuração" sheetId="9" state="hidden" r:id="rId9"/>
    <sheet name="Office Script" sheetId="10" state="hidden" r:id="rId10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7" l="1"/>
  <c r="K23" i="7"/>
  <c r="M23" i="7" s="1"/>
  <c r="G23" i="7"/>
  <c r="E23" i="7"/>
  <c r="D23" i="7"/>
  <c r="F23" i="7" s="1"/>
  <c r="H21" i="8"/>
  <c r="F21" i="8"/>
  <c r="G21" i="8" s="1" a="1"/>
  <c r="G21" i="8" s="1"/>
  <c r="D21" i="8"/>
  <c r="C21" i="8"/>
  <c r="E21" i="8" s="1"/>
  <c r="H20" i="8"/>
  <c r="F20" i="8"/>
  <c r="G20" i="8" a="1"/>
  <c r="G20" i="8"/>
  <c r="D20" i="8"/>
  <c r="C20" i="8"/>
  <c r="E20" i="8"/>
  <c r="N22" i="7"/>
  <c r="K22" i="7"/>
  <c r="M22" i="7"/>
  <c r="G22" i="7"/>
  <c r="E22" i="7"/>
  <c r="D22" i="7"/>
  <c r="F22" i="7"/>
  <c r="H19" i="8"/>
  <c r="F19" i="8"/>
  <c r="G19" i="8" a="1"/>
  <c r="G19" i="8"/>
  <c r="D19" i="8"/>
  <c r="C19" i="8"/>
  <c r="E19" i="8"/>
  <c r="H18" i="8"/>
  <c r="F18" i="8"/>
  <c r="G18" i="8" a="1"/>
  <c r="G18" i="8"/>
  <c r="D18" i="8"/>
  <c r="C18" i="8"/>
  <c r="E18" i="8"/>
  <c r="H17" i="8"/>
  <c r="F17" i="8"/>
  <c r="G17" i="8" a="1"/>
  <c r="G17" i="8"/>
  <c r="D17" i="8"/>
  <c r="C17" i="8"/>
  <c r="E17" i="8"/>
  <c r="N21" i="7"/>
  <c r="K21" i="7"/>
  <c r="M21" i="7"/>
  <c r="G21" i="7"/>
  <c r="E21" i="7"/>
  <c r="D21" i="7"/>
  <c r="F21" i="7"/>
  <c r="H16" i="8"/>
  <c r="F16" i="8"/>
  <c r="G16" i="8"/>
  <c r="D16" i="8"/>
  <c r="C16" i="8"/>
  <c r="E16" i="8"/>
  <c r="H15" i="8"/>
  <c r="F15" i="8"/>
  <c r="G15" i="8"/>
  <c r="D15" i="8"/>
  <c r="C15" i="8"/>
  <c r="E15" i="8"/>
  <c r="H14" i="8"/>
  <c r="F14" i="8"/>
  <c r="G14" i="8"/>
  <c r="D14" i="8"/>
  <c r="C14" i="8"/>
  <c r="E14" i="8"/>
  <c r="H13" i="8"/>
  <c r="F13" i="8"/>
  <c r="G13" i="8"/>
  <c r="D13" i="8"/>
  <c r="C13" i="8"/>
  <c r="E13" i="8"/>
  <c r="H12" i="8"/>
  <c r="F12" i="8"/>
  <c r="G12" i="8"/>
  <c r="D12" i="8"/>
  <c r="C12" i="8"/>
  <c r="E12" i="8"/>
  <c r="H11" i="8"/>
  <c r="F11" i="8"/>
  <c r="G11" i="8"/>
  <c r="D11" i="8"/>
  <c r="C11" i="8"/>
  <c r="E11" i="8"/>
  <c r="H10" i="8"/>
  <c r="F10" i="8"/>
  <c r="G10" i="8"/>
  <c r="D10" i="8"/>
  <c r="C10" i="8"/>
  <c r="E10" i="8"/>
  <c r="H9" i="8"/>
  <c r="F9" i="8"/>
  <c r="G9" i="8"/>
  <c r="D9" i="8"/>
  <c r="C9" i="8"/>
  <c r="E9" i="8"/>
  <c r="H8" i="8"/>
  <c r="F8" i="8"/>
  <c r="G8" i="8"/>
  <c r="D8" i="8"/>
  <c r="C8" i="8"/>
  <c r="E8" i="8"/>
  <c r="H7" i="8"/>
  <c r="H157" i="8"/>
  <c r="F7" i="8"/>
  <c r="G7" i="8"/>
  <c r="D7" i="8"/>
  <c r="C7" i="8"/>
  <c r="E7" i="8"/>
  <c r="N20" i="7"/>
  <c r="K20" i="7"/>
  <c r="M20" i="7"/>
  <c r="J20" i="7"/>
  <c r="I20" i="7"/>
  <c r="H20" i="7"/>
  <c r="G20" i="7"/>
  <c r="E20" i="7"/>
  <c r="D20" i="7"/>
  <c r="F20" i="7"/>
  <c r="N19" i="7"/>
  <c r="K19" i="7"/>
  <c r="M19" i="7"/>
  <c r="J19" i="7"/>
  <c r="I19" i="7"/>
  <c r="H19" i="7"/>
  <c r="G19" i="7"/>
  <c r="E19" i="7"/>
  <c r="D19" i="7"/>
  <c r="F19" i="7"/>
  <c r="N18" i="7"/>
  <c r="K18" i="7"/>
  <c r="M18" i="7"/>
  <c r="J18" i="7"/>
  <c r="I18" i="7"/>
  <c r="H18" i="7"/>
  <c r="G18" i="7"/>
  <c r="E18" i="7"/>
  <c r="D18" i="7"/>
  <c r="F18" i="7"/>
  <c r="N17" i="7"/>
  <c r="K17" i="7"/>
  <c r="M17" i="7"/>
  <c r="J17" i="7"/>
  <c r="I17" i="7"/>
  <c r="H17" i="7"/>
  <c r="G17" i="7"/>
  <c r="E17" i="7"/>
  <c r="D17" i="7"/>
  <c r="F17" i="7"/>
  <c r="N16" i="7"/>
  <c r="K16" i="7"/>
  <c r="M16" i="7"/>
  <c r="J16" i="7"/>
  <c r="I16" i="7"/>
  <c r="H16" i="7"/>
  <c r="G16" i="7"/>
  <c r="E16" i="7"/>
  <c r="D16" i="7"/>
  <c r="F16" i="7"/>
  <c r="N15" i="7"/>
  <c r="K15" i="7"/>
  <c r="M15" i="7"/>
  <c r="J15" i="7"/>
  <c r="I15" i="7"/>
  <c r="H15" i="7"/>
  <c r="G15" i="7"/>
  <c r="E15" i="7"/>
  <c r="D15" i="7"/>
  <c r="F15" i="7"/>
  <c r="N14" i="7"/>
  <c r="K14" i="7"/>
  <c r="M14" i="7"/>
  <c r="J14" i="7"/>
  <c r="I14" i="7"/>
  <c r="H14" i="7"/>
  <c r="G14" i="7"/>
  <c r="E14" i="7"/>
  <c r="D14" i="7"/>
  <c r="F14" i="7"/>
  <c r="N13" i="7"/>
  <c r="K13" i="7"/>
  <c r="M13" i="7"/>
  <c r="J13" i="7"/>
  <c r="I13" i="7"/>
  <c r="H13" i="7"/>
  <c r="G13" i="7"/>
  <c r="E13" i="7"/>
  <c r="D13" i="7"/>
  <c r="F13" i="7"/>
  <c r="N12" i="7"/>
  <c r="K12" i="7"/>
  <c r="M12" i="7"/>
  <c r="J12" i="7"/>
  <c r="I12" i="7"/>
  <c r="H12" i="7"/>
  <c r="G12" i="7"/>
  <c r="E12" i="7"/>
  <c r="D12" i="7"/>
  <c r="F12" i="7"/>
  <c r="N11" i="7"/>
  <c r="K11" i="7"/>
  <c r="M11" i="7"/>
  <c r="J11" i="7"/>
  <c r="I11" i="7"/>
  <c r="H11" i="7"/>
  <c r="G11" i="7"/>
  <c r="E11" i="7"/>
  <c r="D11" i="7"/>
  <c r="F11" i="7"/>
  <c r="N10" i="7"/>
  <c r="K10" i="7"/>
  <c r="M10" i="7"/>
  <c r="J10" i="7"/>
  <c r="I10" i="7"/>
  <c r="H10" i="7"/>
  <c r="G10" i="7"/>
  <c r="E10" i="7"/>
  <c r="D10" i="7"/>
  <c r="F10" i="7"/>
  <c r="N9" i="7"/>
  <c r="K9" i="7"/>
  <c r="M9" i="7"/>
  <c r="J9" i="7"/>
  <c r="I9" i="7"/>
  <c r="H9" i="7"/>
  <c r="G9" i="7"/>
  <c r="E9" i="7"/>
  <c r="D9" i="7"/>
  <c r="F9" i="7"/>
  <c r="N8" i="7"/>
  <c r="K8" i="7"/>
  <c r="M8" i="7"/>
  <c r="J8" i="7"/>
  <c r="I8" i="7"/>
  <c r="H8" i="7"/>
  <c r="G8" i="7"/>
  <c r="E8" i="7"/>
  <c r="D8" i="7"/>
  <c r="F8" i="7"/>
  <c r="N7" i="7"/>
  <c r="K7" i="7"/>
  <c r="M7" i="7"/>
  <c r="M107" i="7"/>
  <c r="J7" i="7"/>
  <c r="I7" i="7"/>
  <c r="H7" i="7"/>
  <c r="G7" i="7"/>
  <c r="E7" i="7"/>
  <c r="D7" i="7"/>
  <c r="F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<sst xmlns="http://schemas.openxmlformats.org/spreadsheetml/2006/main" count="8903" uniqueCount="1544">
  <si>
    <t>REGISTRO DE PONTO — DATATEMPO/CP2</t>
  </si>
  <si>
    <t>IDENTIFICAÇÃO E LANÇAMENTO</t>
  </si>
  <si>
    <t>Número/ID</t>
  </si>
  <si>
    <t>Pessoa</t>
  </si>
  <si>
    <t>Situação atual</t>
  </si>
  <si>
    <t>Tipo de registro</t>
  </si>
  <si>
    <t>Projeto</t>
  </si>
  <si>
    <t>Atividade</t>
  </si>
  <si>
    <t>Observação</t>
  </si>
  <si>
    <t>RETORNO</t>
  </si>
  <si>
    <t>REGISTRO REALIZADO COM SUCESSO. PAINEL LIMPO PARA O PRÓXIMO USUÁRIO.</t>
  </si>
  <si>
    <t>COMO USAR: selecione o ID, escolha INÍCIO ou FIM, informe o projeto e a atividade padronizados e clique em REGISTRAR. Para encerrar, mantenha o mesmo projeto e a mesma atividade usados no início.</t>
  </si>
  <si>
    <t>CADASTRO DE PESSOAS</t>
  </si>
  <si>
    <t>Cadastro expansível para até 100 pessoas. Preencha uma linha vazia da tabela, use ID único e status ATIVO.</t>
  </si>
  <si>
    <t>ID</t>
  </si>
  <si>
    <t>Base</t>
  </si>
  <si>
    <t>R$/h útil</t>
  </si>
  <si>
    <t>R$/h FDS</t>
  </si>
  <si>
    <t>R$/diária</t>
  </si>
  <si>
    <t>Função/Regra</t>
  </si>
  <si>
    <t>Status</t>
  </si>
  <si>
    <t>Adriana Pereira dos Santos</t>
  </si>
  <si>
    <t>Hora</t>
  </si>
  <si>
    <t>Supervisão</t>
  </si>
  <si>
    <t>ATIVO</t>
  </si>
  <si>
    <t>Alex de Almeida Mariano</t>
  </si>
  <si>
    <t>Analista/Revisor</t>
  </si>
  <si>
    <t>Amanda do Carmo Ribeiro</t>
  </si>
  <si>
    <t>Analista de Pesquisa Júnior</t>
  </si>
  <si>
    <t>Angela Bertoli</t>
  </si>
  <si>
    <t>Coordenação/Supervisão</t>
  </si>
  <si>
    <t>Carolina Fantini Vidigal Diniz Dias</t>
  </si>
  <si>
    <t>Assistente de Pesquisa</t>
  </si>
  <si>
    <t>Eliane dos Santos Oliveira</t>
  </si>
  <si>
    <t>Checagem</t>
  </si>
  <si>
    <t>Fernanda Lopes</t>
  </si>
  <si>
    <t>Assistente de Pesquisa — confirmar taxa</t>
  </si>
  <si>
    <t>Flávia Reis</t>
  </si>
  <si>
    <t>Junia Maria Santos</t>
  </si>
  <si>
    <t>Nataly Tayê</t>
  </si>
  <si>
    <t>Nathalia Arruda</t>
  </si>
  <si>
    <t>Analista</t>
  </si>
  <si>
    <t>Nelma Lucia dos S. B. Brandão</t>
  </si>
  <si>
    <t>Diária</t>
  </si>
  <si>
    <t>Apoio/Checagem</t>
  </si>
  <si>
    <t>Rafaela Maria Resende Lara</t>
  </si>
  <si>
    <t>Robert Filipe Orlando de Souza</t>
  </si>
  <si>
    <t>Vitor Guilherme Miguel Rocha</t>
  </si>
  <si>
    <t>Assistente Financeiro</t>
  </si>
  <si>
    <t>Ana Luisa Nardin</t>
  </si>
  <si>
    <t>Renato Inácio da Silva</t>
  </si>
  <si>
    <t>CADASTRO PADRONIZADO DE PROJETOS</t>
  </si>
  <si>
    <t>Cadastro expansível para até 150 projetos. Código e nome devem ser únicos; use status ATIVO.</t>
  </si>
  <si>
    <t>Código</t>
  </si>
  <si>
    <t>Projeto padronizado</t>
  </si>
  <si>
    <t>Descrição</t>
  </si>
  <si>
    <t>PRJ-001</t>
  </si>
  <si>
    <t>BC - CONFIANÇA PIX</t>
  </si>
  <si>
    <t>Banco Central do Brasil</t>
  </si>
  <si>
    <t>PRJ-002</t>
  </si>
  <si>
    <t>CFI / ACCION</t>
  </si>
  <si>
    <t>MAP II MSE Demand — São Paulo</t>
  </si>
  <si>
    <t>PRJ-003</t>
  </si>
  <si>
    <t>SICOOB CREDICOM</t>
  </si>
  <si>
    <t>Tracking de Marca</t>
  </si>
  <si>
    <t>PRJ-004</t>
  </si>
  <si>
    <t>OTEMPO</t>
  </si>
  <si>
    <t>Imagem, percepção e reputação</t>
  </si>
  <si>
    <t>PRJ-005</t>
  </si>
  <si>
    <t>ESTADUAL - OTEMPO</t>
  </si>
  <si>
    <t>Pesquisas eleitorais e tracking</t>
  </si>
  <si>
    <t>PRJ-006</t>
  </si>
  <si>
    <t>CDL/BH</t>
  </si>
  <si>
    <t>Pesquisas de levantamento do comércio</t>
  </si>
  <si>
    <t>PRJ-007</t>
  </si>
  <si>
    <t>TOOLKIT</t>
  </si>
  <si>
    <t>Projetos Toolkit</t>
  </si>
  <si>
    <t>PRJ-008</t>
  </si>
  <si>
    <t>CAMPANHA</t>
  </si>
  <si>
    <t>Pesquisa Prof. Luiz Felizardo</t>
  </si>
  <si>
    <t>PRJ-009</t>
  </si>
  <si>
    <t>ADMINISTRATIVO</t>
  </si>
  <si>
    <t>Atividades administrativas internas</t>
  </si>
  <si>
    <t>PRJ-010</t>
  </si>
  <si>
    <t>OUTROS</t>
  </si>
  <si>
    <t>Usar apenas após autorização</t>
  </si>
  <si>
    <t>PRJ-011</t>
  </si>
  <si>
    <t>BETIM - TRACKING</t>
  </si>
  <si>
    <t>pesquisa de levantamento eleitoral VM</t>
  </si>
  <si>
    <t>CADASTRO PADRONIZADO DE ATIVIDADES</t>
  </si>
  <si>
    <t>Cadastro expansível para até 200 atividades. Código e nome devem ser únicos; use status ATIVO.</t>
  </si>
  <si>
    <t>Atividade padronizada</t>
  </si>
  <si>
    <t>ATV-001</t>
  </si>
  <si>
    <t>SUPERVISÃO</t>
  </si>
  <si>
    <t>Coordenação e supervisão operacional</t>
  </si>
  <si>
    <t>ATV-002</t>
  </si>
  <si>
    <t>CHECAGEM</t>
  </si>
  <si>
    <t>Checagem e controle de qualidade</t>
  </si>
  <si>
    <t>ATV-003</t>
  </si>
  <si>
    <t>CODIFICAÇÃO</t>
  </si>
  <si>
    <t>Codificação de respostas</t>
  </si>
  <si>
    <t>ATV-004</t>
  </si>
  <si>
    <t>ANÁLISE</t>
  </si>
  <si>
    <t>Análise estatística ou qualitativa</t>
  </si>
  <si>
    <t>ATV-005</t>
  </si>
  <si>
    <t>RECRUTAMENTO</t>
  </si>
  <si>
    <t>Recrutamento de participantes</t>
  </si>
  <si>
    <t>ATV-006</t>
  </si>
  <si>
    <t>APLICAÇÃO / ENTREVISTA</t>
  </si>
  <si>
    <t>Aplicação de questionários ou entrevistas</t>
  </si>
  <si>
    <t>ATV-007</t>
  </si>
  <si>
    <t>TRATAMENTO DE DADOS</t>
  </si>
  <si>
    <t>Limpeza, crítica, harmonização ou ETL</t>
  </si>
  <si>
    <t>ATV-008</t>
  </si>
  <si>
    <t>RELATÓRIO</t>
  </si>
  <si>
    <t>Redação, revisão ou apresentação de resultados</t>
  </si>
  <si>
    <t>ATV-009</t>
  </si>
  <si>
    <t>Rotinas administrativas e financeiras</t>
  </si>
  <si>
    <t>ATV-010</t>
  </si>
  <si>
    <t>APOIO OPERACIONAL</t>
  </si>
  <si>
    <t>Apoio geral à operação</t>
  </si>
  <si>
    <t>ATV-011</t>
  </si>
  <si>
    <t>TRANSCRIÇÃO</t>
  </si>
  <si>
    <t>Transcrição de Entrevistas e Grupos de Discussão</t>
  </si>
  <si>
    <t>ATV-012</t>
  </si>
  <si>
    <t>MODERAÇÃO</t>
  </si>
  <si>
    <t>Moderação de EP e GD</t>
  </si>
  <si>
    <t>BATIDAS — TRILHA DE AUDITORIA</t>
  </si>
  <si>
    <t>Cada clique em REGISTRAR gera uma batida imutável nesta tabela.</t>
  </si>
  <si>
    <t>Batida ID</t>
  </si>
  <si>
    <t>Data e hora</t>
  </si>
  <si>
    <t>Data</t>
  </si>
  <si>
    <t>Dia da semana</t>
  </si>
  <si>
    <t>Tipo</t>
  </si>
  <si>
    <t>Origem</t>
  </si>
  <si>
    <t>B20260825152719-1001</t>
  </si>
  <si>
    <t>TERÇA-FEIRA</t>
  </si>
  <si>
    <t>INÍCIO</t>
  </si>
  <si>
    <t>SharePoint / Office Script</t>
  </si>
  <si>
    <t>B20260825153010-1001</t>
  </si>
  <si>
    <t>FIM</t>
  </si>
  <si>
    <t>supervisão e checagem</t>
  </si>
  <si>
    <t>B20260825161730-1015</t>
  </si>
  <si>
    <t>B20260825161753-1015</t>
  </si>
  <si>
    <t>B20260825161841-1015</t>
  </si>
  <si>
    <t>B20260825161948-1015</t>
  </si>
  <si>
    <t>B20260825162022-1015</t>
  </si>
  <si>
    <t>B20260825162049-1015</t>
  </si>
  <si>
    <t>B20260825162622-1001</t>
  </si>
  <si>
    <t>B20260825162659-1001</t>
  </si>
  <si>
    <t>B20260825170543-1015</t>
  </si>
  <si>
    <t>B20260825175354-1015</t>
  </si>
  <si>
    <t>B20260826075539-1011</t>
  </si>
  <si>
    <t>QUARTA-FEIRA</t>
  </si>
  <si>
    <t>Preparação dos materias para campo</t>
  </si>
  <si>
    <t>B20260826080734-1003</t>
  </si>
  <si>
    <t>B20260826081141-1013</t>
  </si>
  <si>
    <t>B20260826085132-1015</t>
  </si>
  <si>
    <t>B20260826085335-1002</t>
  </si>
  <si>
    <t>B20260826090744-1016</t>
  </si>
  <si>
    <t>B20260826093319-1001</t>
  </si>
  <si>
    <t>ESTOU NA SUPERVISÃO DO SICOOB CREDICOM TAMÉM</t>
  </si>
  <si>
    <t>B20260826095033-1014</t>
  </si>
  <si>
    <t>B20260826102453-1012</t>
  </si>
  <si>
    <t>Finalizei o teste encaminhei as observações</t>
  </si>
  <si>
    <t>B20260826102513-1012</t>
  </si>
  <si>
    <t>B20260826102558-1012</t>
  </si>
  <si>
    <t>B20260826102955-1012</t>
  </si>
  <si>
    <t>B20260826103220-1012</t>
  </si>
  <si>
    <t>B20260826115043-1013</t>
  </si>
  <si>
    <t>B20260826115321-1003</t>
  </si>
  <si>
    <t>B20260826120410-1004</t>
  </si>
  <si>
    <t>Controle das entrevistas por link e  pagamento da bonificação dos médicos</t>
  </si>
  <si>
    <t>B20260826120943-1011</t>
  </si>
  <si>
    <t>ajustes de materiais</t>
  </si>
  <si>
    <t>B20260826123026-1016</t>
  </si>
  <si>
    <t>B20260826123837-1012</t>
  </si>
  <si>
    <t>B20260826123934-1014</t>
  </si>
  <si>
    <t>B20260826124010-1011</t>
  </si>
  <si>
    <t>revisão questionario</t>
  </si>
  <si>
    <t>B20260826124602-1003</t>
  </si>
  <si>
    <t>B20260826124635-1013</t>
  </si>
  <si>
    <t>B20260826130346-1015</t>
  </si>
  <si>
    <t>B20260826132605-1016</t>
  </si>
  <si>
    <t>B20260826133905-1004</t>
  </si>
  <si>
    <t>Codificação e controle dos pix</t>
  </si>
  <si>
    <t>B20260826134239-1012</t>
  </si>
  <si>
    <t>B20260826134356-1014</t>
  </si>
  <si>
    <t>B20260826140218-1015</t>
  </si>
  <si>
    <t>B20260826143112-1001</t>
  </si>
  <si>
    <t>SUPERVISAÕ SICOOB TAMBE´M</t>
  </si>
  <si>
    <t>B20260826150208-1001</t>
  </si>
  <si>
    <t>SUPERVISÃO SICCOB</t>
  </si>
  <si>
    <t>B20260826151516-1006</t>
  </si>
  <si>
    <t>B20260826175038-1015</t>
  </si>
  <si>
    <t>B20260826175932-1002</t>
  </si>
  <si>
    <t>B20260826180108-1013</t>
  </si>
  <si>
    <t>B20260826180239-1003</t>
  </si>
  <si>
    <t>B20260826180305-1014</t>
  </si>
  <si>
    <t>B20260826180407-1011</t>
  </si>
  <si>
    <t>rteste e revisão de questionario</t>
  </si>
  <si>
    <t>B20260826180850-1012</t>
  </si>
  <si>
    <t>B20260826180858-1012</t>
  </si>
  <si>
    <t>B20260826180917-1012</t>
  </si>
  <si>
    <t>B20260826185549-1001</t>
  </si>
  <si>
    <t>SICOOB SUPERVISÃO TAMBÉM</t>
  </si>
  <si>
    <t>B20260826191424-1004</t>
  </si>
  <si>
    <t>Codificação Sicoob e Toolkit</t>
  </si>
  <si>
    <t>B20260826191439-1004</t>
  </si>
  <si>
    <t>B20260826233046-1006</t>
  </si>
  <si>
    <t>checagem toolkit</t>
  </si>
  <si>
    <t>B20260826233229-1006</t>
  </si>
  <si>
    <t>inicio da checagem iniciou as15:15 mas parece que nao resgitrou</t>
  </si>
  <si>
    <t>B20260827080038-1013</t>
  </si>
  <si>
    <t>QUINTA-FEIRA</t>
  </si>
  <si>
    <t>B20260827080506-1003</t>
  </si>
  <si>
    <t>B20260827080943-1002</t>
  </si>
  <si>
    <t>B20260827083241-1001</t>
  </si>
  <si>
    <t>SUPERVISÃO DO SICCOB</t>
  </si>
  <si>
    <t>B20260827085251-1015</t>
  </si>
  <si>
    <t>B20260827085347-1011</t>
  </si>
  <si>
    <t>preparação de materiais</t>
  </si>
  <si>
    <t>B20260827091115-1004</t>
  </si>
  <si>
    <t>Controle dos links e pagamentos  dos médicos</t>
  </si>
  <si>
    <t>B20260827094103-1016</t>
  </si>
  <si>
    <t>B20260827094115-1016</t>
  </si>
  <si>
    <t>B20260827094126-1016</t>
  </si>
  <si>
    <t>B20260827094314-1016</t>
  </si>
  <si>
    <t>B20260827094456-1012</t>
  </si>
  <si>
    <t>B20260827094608-1016</t>
  </si>
  <si>
    <t>B20260827094621-1016</t>
  </si>
  <si>
    <t>B20260827094707-1016</t>
  </si>
  <si>
    <t>B20260827094727-1016</t>
  </si>
  <si>
    <t>B20260827100504-1014</t>
  </si>
  <si>
    <t>B20260827112248-1012</t>
  </si>
  <si>
    <t>B20260827112349-1012</t>
  </si>
  <si>
    <t>Organização e envio de material de campo para entrevistadores e equipe de checagem.</t>
  </si>
  <si>
    <t>B20260827123624-1016</t>
  </si>
  <si>
    <t>B20260827123905-1006</t>
  </si>
  <si>
    <t>iniciando checagem toolkit</t>
  </si>
  <si>
    <t>B20260827124117-1003</t>
  </si>
  <si>
    <t>B20260827124816-1014</t>
  </si>
  <si>
    <t>B20260827125241-1011</t>
  </si>
  <si>
    <t>Revisão de Plano</t>
  </si>
  <si>
    <t>B20260827125531-1015</t>
  </si>
  <si>
    <t>B20260827130147-1012</t>
  </si>
  <si>
    <t>Intervalo para almoço</t>
  </si>
  <si>
    <t>B20260827130950-1004</t>
  </si>
  <si>
    <t>controle dos links e pagamento dos médicos</t>
  </si>
  <si>
    <t>B20260827133731-1003</t>
  </si>
  <si>
    <t>B20260827135002-1016</t>
  </si>
  <si>
    <t>B20260827135430-1015</t>
  </si>
  <si>
    <t>B20260827135528-1014</t>
  </si>
  <si>
    <t>B20260827135651-1011</t>
  </si>
  <si>
    <t>B20260827141731-1012</t>
  </si>
  <si>
    <t>Envio de Material para entrevistadores</t>
  </si>
  <si>
    <t>B20260827150635-1004</t>
  </si>
  <si>
    <t>controle dos links</t>
  </si>
  <si>
    <t>B20260827160139-1001</t>
  </si>
  <si>
    <t>supervisão sicoob credicom</t>
  </si>
  <si>
    <t>B20260827163244-1001</t>
  </si>
  <si>
    <t>B20260827175529-1015</t>
  </si>
  <si>
    <t>B20260827180013-1003</t>
  </si>
  <si>
    <t>B20260827180346-1002</t>
  </si>
  <si>
    <t>B20260827180503-1013</t>
  </si>
  <si>
    <t>Plano de processamento, manual de checagem crítica e codificação e teste de questionário</t>
  </si>
  <si>
    <t>B20260827180712-1016</t>
  </si>
  <si>
    <t>B20260827181147-1014</t>
  </si>
  <si>
    <t>B20260827181249-1001</t>
  </si>
  <si>
    <t>Supervisao toolikit</t>
  </si>
  <si>
    <t>B20260827181451-1001</t>
  </si>
  <si>
    <t>Supervisao toolkit e sicoob</t>
  </si>
  <si>
    <t>B20260827181504-1001</t>
  </si>
  <si>
    <t>B20260827181605-1012</t>
  </si>
  <si>
    <t>B20260827181625-1012</t>
  </si>
  <si>
    <t>B20260827190527-1011</t>
  </si>
  <si>
    <t>Preparando materiais</t>
  </si>
  <si>
    <t>B20260827192051-1011</t>
  </si>
  <si>
    <t>B20260827192648-1006</t>
  </si>
  <si>
    <t>B20260827192740-1006</t>
  </si>
  <si>
    <t>checagm toolkit</t>
  </si>
  <si>
    <t>B20260827195237-1006</t>
  </si>
  <si>
    <t>B20260827201745-1006</t>
  </si>
  <si>
    <t>B20260827201755-1006</t>
  </si>
  <si>
    <t>B20260827201904-1004</t>
  </si>
  <si>
    <t>links e os pix</t>
  </si>
  <si>
    <t>B20260828075856-1003</t>
  </si>
  <si>
    <t>SEXTA-FEIRA</t>
  </si>
  <si>
    <t>Elaboração do manual de checagem, crítica e codificação e do plano de processamento.</t>
  </si>
  <si>
    <t>B20260828081433-1011</t>
  </si>
  <si>
    <t>Produção de questionario e materiais</t>
  </si>
  <si>
    <t>B20260828082230-1013</t>
  </si>
  <si>
    <t>B20260828083311-1001</t>
  </si>
  <si>
    <t>SICOOB SUPERVOISAO TAMBEM</t>
  </si>
  <si>
    <t>B20260828085129-1006</t>
  </si>
  <si>
    <t>B20260828085206-1002</t>
  </si>
  <si>
    <t>B20260828090110-1015</t>
  </si>
  <si>
    <t>B20260828093935-1012</t>
  </si>
  <si>
    <t>Supervisão do projeto Marca o Tempo, supervisão da checagem Toolkit</t>
  </si>
  <si>
    <t>B20260828093948-1012</t>
  </si>
  <si>
    <t>B20260828094103-1012</t>
  </si>
  <si>
    <t>B20260828095204-1014</t>
  </si>
  <si>
    <t>B20260828101846-1016</t>
  </si>
  <si>
    <t>B20260828104043-1006</t>
  </si>
  <si>
    <t>B20260828104211-1006</t>
  </si>
  <si>
    <t>checagem otempo</t>
  </si>
  <si>
    <t>B20260828104720-1014</t>
  </si>
  <si>
    <t>B20260828104739-1014</t>
  </si>
  <si>
    <t>B20260828105155-1013</t>
  </si>
  <si>
    <t>Plano de checagem crítica e codificação</t>
  </si>
  <si>
    <t>B20260828122214-1013</t>
  </si>
  <si>
    <t>B20260828124236-1011</t>
  </si>
  <si>
    <t>Finalização do Plano CCC</t>
  </si>
  <si>
    <t>B20260828124329-1003</t>
  </si>
  <si>
    <t>Manual de checagem, crítica e codificação</t>
  </si>
  <si>
    <t>B20260828124708-1014</t>
  </si>
  <si>
    <t>B20260828130141-1016</t>
  </si>
  <si>
    <t>B20260828130213-1016</t>
  </si>
  <si>
    <t>B20260828130309-1016</t>
  </si>
  <si>
    <t>B20260828130625-1012</t>
  </si>
  <si>
    <t>B20260828131842-1011</t>
  </si>
  <si>
    <t>B20260828132940-1015</t>
  </si>
  <si>
    <t>B20260828134412-1003</t>
  </si>
  <si>
    <t>B20260828135456-1014</t>
  </si>
  <si>
    <t>B20260828140957-1012</t>
  </si>
  <si>
    <t>B20260828141050-1016</t>
  </si>
  <si>
    <t>B20260828142604-1014</t>
  </si>
  <si>
    <t>B20260828142623-1014</t>
  </si>
  <si>
    <t>B20260828143020-1015</t>
  </si>
  <si>
    <t>B20260828143425-1001</t>
  </si>
  <si>
    <t>B20260828151048-1001</t>
  </si>
  <si>
    <t>SUPERVISAO TOOLKIT E SICOOB</t>
  </si>
  <si>
    <t>B20260828154925-1006</t>
  </si>
  <si>
    <t>Checagem Otempo</t>
  </si>
  <si>
    <t>B20260828155657-1014</t>
  </si>
  <si>
    <t>B20260828155736-1014</t>
  </si>
  <si>
    <t>B20260828165818-1006</t>
  </si>
  <si>
    <t>checagem  otempo</t>
  </si>
  <si>
    <t>B20260828175204-1013</t>
  </si>
  <si>
    <t>B20260828175424-1002</t>
  </si>
  <si>
    <t>B20260828175509-1015</t>
  </si>
  <si>
    <t>B20260828180035-1003</t>
  </si>
  <si>
    <t>B20260828180822-1011</t>
  </si>
  <si>
    <t>B20260828180858-1014</t>
  </si>
  <si>
    <t>B20260828182214-1012</t>
  </si>
  <si>
    <t>Supervisão do campo, checagem toolkit, realizeio voltas de 3 entrevistas para Analista Rafaela.</t>
  </si>
  <si>
    <t>B20260828183623-1012</t>
  </si>
  <si>
    <t>B20260828183701-1012</t>
  </si>
  <si>
    <t>B20260828183937-1012</t>
  </si>
  <si>
    <t>B20260828184351-1012</t>
  </si>
  <si>
    <t>B20260828184710-1012</t>
  </si>
  <si>
    <t>B20260828184721-1012</t>
  </si>
  <si>
    <t>B20260828184834-1006</t>
  </si>
  <si>
    <t>checagem do toolkit e do otempo</t>
  </si>
  <si>
    <t>B20260828184921-1001</t>
  </si>
  <si>
    <t>Supervisão sicoob</t>
  </si>
  <si>
    <t>B20260829081715-1001</t>
  </si>
  <si>
    <t>SÁBADO</t>
  </si>
  <si>
    <t>FINALIZACÇÃO TOOLKIT</t>
  </si>
  <si>
    <t>B20260829085913-1006</t>
  </si>
  <si>
    <t>B20260829090929-1012</t>
  </si>
  <si>
    <t>Supervisão/ resolver inconsistêcias toolkit/ checagem para finalizar campo</t>
  </si>
  <si>
    <t>B20260829090932-1012</t>
  </si>
  <si>
    <t>B20260829091240-1012</t>
  </si>
  <si>
    <t>inicio as 7:15, conferência das cotas finalizadas, atendimento a entrevistadores que chamaram para deslocamento para campo, o ponto está travando, ontem encerrei na Cp2, hoje sábado estava constando que não tinha finalizado.</t>
  </si>
  <si>
    <t>B20260829091300-1012</t>
  </si>
  <si>
    <t>B20260829091449-1012</t>
  </si>
  <si>
    <t>B20260829092204-1012</t>
  </si>
  <si>
    <t>B20260829113047-1012</t>
  </si>
  <si>
    <t>B20260829123436-1012</t>
  </si>
  <si>
    <t>B20260829124808-1004</t>
  </si>
  <si>
    <t>codificação e controle dos pix e os links</t>
  </si>
  <si>
    <t>B20260829150557-1004</t>
  </si>
  <si>
    <t>Verificção dos lins e pagamento dos médicos</t>
  </si>
  <si>
    <t>B20260829150623-1004</t>
  </si>
  <si>
    <t>B20260829150846-1006</t>
  </si>
  <si>
    <t>CHECAGEM OTEMPO</t>
  </si>
  <si>
    <t>B20260829161342-1006</t>
  </si>
  <si>
    <t>B20260829175944-1004</t>
  </si>
  <si>
    <t>Sicoob também</t>
  </si>
  <si>
    <t>B20260829180059-1001</t>
  </si>
  <si>
    <t>SUPERVISÃO SICOOB</t>
  </si>
  <si>
    <t>B20260829180413-1006</t>
  </si>
  <si>
    <t>CHRCAGEM OTEMPO</t>
  </si>
  <si>
    <t>B20260830082523-1001</t>
  </si>
  <si>
    <t>DOMINGO</t>
  </si>
  <si>
    <t>B20260830091019-1006</t>
  </si>
  <si>
    <t>Checagem otempo</t>
  </si>
  <si>
    <t>B20260830131708-1006</t>
  </si>
  <si>
    <t>B20260830135122-1006</t>
  </si>
  <si>
    <t>B20260830135900-1001</t>
  </si>
  <si>
    <t>B20260830145938-1001</t>
  </si>
  <si>
    <t>B20260830170639-1006</t>
  </si>
  <si>
    <t>Finalixado a coordenação mas cedo, não ha mais pesquisas e dúvidas da parte dos pesquisadores</t>
  </si>
  <si>
    <t>B20260830171517-1006</t>
  </si>
  <si>
    <t>B20260830171916-1006</t>
  </si>
  <si>
    <t>B20260831081545-1011</t>
  </si>
  <si>
    <t>SEGUNDA-FEIRA</t>
  </si>
  <si>
    <t>Produção de materiais</t>
  </si>
  <si>
    <t>B20260831082308-1002</t>
  </si>
  <si>
    <t>B20260831082726-1013</t>
  </si>
  <si>
    <t>B20260831084144-1003</t>
  </si>
  <si>
    <t>B20260831085345-1015</t>
  </si>
  <si>
    <t>B20260831090239-1006</t>
  </si>
  <si>
    <t>B20260831102715-1014</t>
  </si>
  <si>
    <t>B20260831114511-1013</t>
  </si>
  <si>
    <t>B20260831114905-1016</t>
  </si>
  <si>
    <t>Esqueci de bater o ponto 8h40</t>
  </si>
  <si>
    <t>B20260831114919-1016</t>
  </si>
  <si>
    <t>B20260831115803-1011</t>
  </si>
  <si>
    <t>B20260831123303-1011</t>
  </si>
  <si>
    <t>B20260831123907-1013</t>
  </si>
  <si>
    <t>B20260831125531-1014</t>
  </si>
  <si>
    <t>B20260831125836-1015</t>
  </si>
  <si>
    <t>B20260831135828-1015</t>
  </si>
  <si>
    <t>B20260831140206-1014</t>
  </si>
  <si>
    <t>B20260831141704-1012</t>
  </si>
  <si>
    <t>B20260831152311-1006</t>
  </si>
  <si>
    <t>B20260831162351-1006</t>
  </si>
  <si>
    <t>B20260831170114-1003</t>
  </si>
  <si>
    <t>Plano de processamento e manual de checagem, crítica e codificação</t>
  </si>
  <si>
    <t>B20260831175523-1015</t>
  </si>
  <si>
    <t>B20260831175841-1013</t>
  </si>
  <si>
    <t>B20260831180016-1011</t>
  </si>
  <si>
    <t>B20260831180643-1016</t>
  </si>
  <si>
    <t>B20260831180736-1002</t>
  </si>
  <si>
    <t>B20260831180843-1006</t>
  </si>
  <si>
    <t>checagem Otempo</t>
  </si>
  <si>
    <t>B20260831181202-1001</t>
  </si>
  <si>
    <t>SUPERVISÃO SICOOB CREDICOM</t>
  </si>
  <si>
    <t>B20260831181435-1012</t>
  </si>
  <si>
    <t>B20260831181747-1014</t>
  </si>
  <si>
    <t>B20260901075616-1003</t>
  </si>
  <si>
    <t>B20260901075902-1011</t>
  </si>
  <si>
    <t>B20260901083201-1001</t>
  </si>
  <si>
    <t>Recrutamento Trackung Betim estadual 4,1 e 5</t>
  </si>
  <si>
    <t>B20260901083457-1013</t>
  </si>
  <si>
    <t>Plano de processamento e relatório analítico</t>
  </si>
  <si>
    <t>B20260901084306-1015</t>
  </si>
  <si>
    <t>B20260901085435-1002</t>
  </si>
  <si>
    <t>B20260901090343-1006</t>
  </si>
  <si>
    <t>B20260901092334-1016</t>
  </si>
  <si>
    <t>B20260901092410-1012</t>
  </si>
  <si>
    <t>B20260901093644-1014</t>
  </si>
  <si>
    <t>B20260901114139-1013</t>
  </si>
  <si>
    <t>Plano de processamento</t>
  </si>
  <si>
    <t>B20260901122442-1011</t>
  </si>
  <si>
    <t>B20260901123023-1013</t>
  </si>
  <si>
    <t>B20260901123146-1016</t>
  </si>
  <si>
    <t>B20260901123202-1016</t>
  </si>
  <si>
    <t>B20260901123526-1014</t>
  </si>
  <si>
    <t>B20260901123731-1003</t>
  </si>
  <si>
    <t>B20260901124425-1006</t>
  </si>
  <si>
    <t>B20260901125347-1011</t>
  </si>
  <si>
    <t>B20260901130055-1015</t>
  </si>
  <si>
    <t>B20260901133042-1003</t>
  </si>
  <si>
    <t>B20260901133501-1016</t>
  </si>
  <si>
    <t>B20260901134010-1012</t>
  </si>
  <si>
    <t>B20260901134143-1006</t>
  </si>
  <si>
    <t>B20260901134956-1001</t>
  </si>
  <si>
    <t>Estou realizando recrutamento para estadual rodada 5, e recrutamento tracking betim.</t>
  </si>
  <si>
    <t>B20260901135759-1015</t>
  </si>
  <si>
    <t>B20260901141738-1004</t>
  </si>
  <si>
    <t>Marca o tempo</t>
  </si>
  <si>
    <t>B20260901142131-1001</t>
  </si>
  <si>
    <t>B20260901145826-1014</t>
  </si>
  <si>
    <t>B20260901175718-1014</t>
  </si>
  <si>
    <t>B20260901180015-1015</t>
  </si>
  <si>
    <t>Relatório analítico</t>
  </si>
  <si>
    <t>B20260901180051-1015</t>
  </si>
  <si>
    <t>B20260901180315-1002</t>
  </si>
  <si>
    <t>B20260901180411-1003</t>
  </si>
  <si>
    <t>Elaboração do plano de processamento</t>
  </si>
  <si>
    <t>B20260901180640-1012</t>
  </si>
  <si>
    <t>B20260901180724-1016</t>
  </si>
  <si>
    <t>B20260901181457-1011</t>
  </si>
  <si>
    <t>B20260901181714-1006</t>
  </si>
  <si>
    <t>cchecagem otempo</t>
  </si>
  <si>
    <t>B20260901182701-1001</t>
  </si>
  <si>
    <t>SUPERVISAO SICOOB</t>
  </si>
  <si>
    <t>B20260901191158-1004</t>
  </si>
  <si>
    <t>B20260901204543-1004</t>
  </si>
  <si>
    <t>B20260901221334-1004</t>
  </si>
  <si>
    <t>controle dos links e organiação dos pix dos médicos</t>
  </si>
  <si>
    <t>B20260902075740-1003</t>
  </si>
  <si>
    <t>Elaboração do plano de processamento e do manual de checagem, crítica e codificação</t>
  </si>
  <si>
    <t>B20260902081721-1011</t>
  </si>
  <si>
    <t>B20260902084447-1001</t>
  </si>
  <si>
    <t>Suoervisão tracking, estadual 4.1 estadual 5 recrutamento,planulha e retorno as dúvidas de pesquisadores</t>
  </si>
  <si>
    <t>B20260902085459-1015</t>
  </si>
  <si>
    <t>B20260902090356-1002</t>
  </si>
  <si>
    <t>B20260902091526-1013</t>
  </si>
  <si>
    <t>B20260902092131-1012</t>
  </si>
  <si>
    <t>B20260902092324-1016</t>
  </si>
  <si>
    <t>B20260902092749-1004</t>
  </si>
  <si>
    <t>B20260902094729-1014</t>
  </si>
  <si>
    <t>B20260902120018-1013</t>
  </si>
  <si>
    <t>B20260902122943-1014</t>
  </si>
  <si>
    <t>B20260902123012-1016</t>
  </si>
  <si>
    <t>B20260902123524-1011</t>
  </si>
  <si>
    <t>B20260902123901-1013</t>
  </si>
  <si>
    <t>B20260902124456-1003</t>
  </si>
  <si>
    <t>Elaboração do plano de processamento.</t>
  </si>
  <si>
    <t>B20260902130111-1006</t>
  </si>
  <si>
    <t>checagem OTEMPO</t>
  </si>
  <si>
    <t>B20260902130333-1015</t>
  </si>
  <si>
    <t>B20260902131408-1012</t>
  </si>
  <si>
    <t>B20260902134525-1016</t>
  </si>
  <si>
    <t>Supervisão Tracnkig Betim/ Estadual 4.1 e Estadual 5, recrutamento, material e etc</t>
  </si>
  <si>
    <t>B20260902134831-1001</t>
  </si>
  <si>
    <t>B20260902134938-1003</t>
  </si>
  <si>
    <t>B20260902135938-1015</t>
  </si>
  <si>
    <t>B20260902145916-1004</t>
  </si>
  <si>
    <t>B20260902170605-1006</t>
  </si>
  <si>
    <t>B20260902170832-1004</t>
  </si>
  <si>
    <t>B20260902173353-1001</t>
  </si>
  <si>
    <t>B20260902175514-1014</t>
  </si>
  <si>
    <t>B20260902175810-1012</t>
  </si>
  <si>
    <t>B20260902175825-1003</t>
  </si>
  <si>
    <t>B20260902180030-1013</t>
  </si>
  <si>
    <t>B20260902180218-1016</t>
  </si>
  <si>
    <t>B20260902180427-1015</t>
  </si>
  <si>
    <t>B20260902180459-1011</t>
  </si>
  <si>
    <t>B20260902180718-1002</t>
  </si>
  <si>
    <t>B20260902200541-1004</t>
  </si>
  <si>
    <t>B20260903074015-1002</t>
  </si>
  <si>
    <t>B20260903075838-1011</t>
  </si>
  <si>
    <t>B20260903075938-1003</t>
  </si>
  <si>
    <t>B20260903084239-1013</t>
  </si>
  <si>
    <t>B20260903084720-1015</t>
  </si>
  <si>
    <t>B20260903085746-1012</t>
  </si>
  <si>
    <t>B20260903090054-1004</t>
  </si>
  <si>
    <t>B20260903092259-1016</t>
  </si>
  <si>
    <t>B20260903095151-1014</t>
  </si>
  <si>
    <t>B20260903103924-1001</t>
  </si>
  <si>
    <t>Inicio do expediente 09:18 iniciei com atendimento Angelica, Selma, Simara, Warley</t>
  </si>
  <si>
    <t>B20260903115845-1013</t>
  </si>
  <si>
    <t>B20260903122447-1015</t>
  </si>
  <si>
    <t>B20260903123413-1016</t>
  </si>
  <si>
    <t>B20260903124026-1004</t>
  </si>
  <si>
    <t>B20260903124605-1003</t>
  </si>
  <si>
    <t>Elaboração da estrutura da análise do OTEMPO e do Sicoob Credicom</t>
  </si>
  <si>
    <t>B20260903124847-1014</t>
  </si>
  <si>
    <t>B20260903130243-1013</t>
  </si>
  <si>
    <t>B20260903132059-1016</t>
  </si>
  <si>
    <t>B20260903132328-1015</t>
  </si>
  <si>
    <t>B20260903133506-1003</t>
  </si>
  <si>
    <t>Elaboração da estrutura da análise.</t>
  </si>
  <si>
    <t>B20260903135242-1012</t>
  </si>
  <si>
    <t>B20260903135435-1001</t>
  </si>
  <si>
    <t>Lembrando que estou na supervisão do tracnkig betim, estadual 4.1 e estadual 5</t>
  </si>
  <si>
    <t>B20260903140504-1011</t>
  </si>
  <si>
    <t>B20260903140532-1004</t>
  </si>
  <si>
    <t>B20260903142158-1014</t>
  </si>
  <si>
    <t>B20260903152758-1011</t>
  </si>
  <si>
    <t>B20260903162030-1014</t>
  </si>
  <si>
    <t>B20260903174648-1001</t>
  </si>
  <si>
    <t>Organização material tracking 4.1 e Estadual</t>
  </si>
  <si>
    <t>B20260903174715-1001</t>
  </si>
  <si>
    <t>B20260903175047-1015</t>
  </si>
  <si>
    <t>B20260903175939-1016</t>
  </si>
  <si>
    <t>B20260903180116-1013</t>
  </si>
  <si>
    <t>B20260903180141-1003</t>
  </si>
  <si>
    <t>B20260903180617-1011</t>
  </si>
  <si>
    <t>B20260903180636-1011</t>
  </si>
  <si>
    <t>B20260903180811-1002</t>
  </si>
  <si>
    <t>B20260903211113-1004</t>
  </si>
  <si>
    <t>B20260903211121-1004</t>
  </si>
  <si>
    <t>B20260904080607-1003</t>
  </si>
  <si>
    <t>B20260904082333-1013</t>
  </si>
  <si>
    <t>B20260904085251-1002</t>
  </si>
  <si>
    <t>B20260904085600-1015</t>
  </si>
  <si>
    <t>B20260904085850-1004</t>
  </si>
  <si>
    <t>B20260904090557-1001</t>
  </si>
  <si>
    <t>Supervisão Trankcing Betim/Estadual 4.1 e estadual 4.5</t>
  </si>
  <si>
    <t>B20260904091336-1012</t>
  </si>
  <si>
    <t>Checagem do Marca O Tempo/ apio na organização material projetos politica inicio 08/09</t>
  </si>
  <si>
    <t>B20260904091402-1012</t>
  </si>
  <si>
    <t>B20260904095147-1014</t>
  </si>
  <si>
    <t>B20260904121726-1014</t>
  </si>
  <si>
    <t>B20260904121757-1016</t>
  </si>
  <si>
    <t>B20260904122114-1013</t>
  </si>
  <si>
    <t>B20260904122130-1013</t>
  </si>
  <si>
    <t>B20260904122203-1002</t>
  </si>
  <si>
    <t>B20260904123449-1004</t>
  </si>
  <si>
    <t>B20260904125903-1003</t>
  </si>
  <si>
    <t>B20260904130054-1015</t>
  </si>
  <si>
    <t>B20260904130805-1012</t>
  </si>
  <si>
    <t>Entrega de material para os projetos Minas 4.1 e tracking</t>
  </si>
  <si>
    <t>B20260904132511-1013</t>
  </si>
  <si>
    <t>B20260904134441-1016</t>
  </si>
  <si>
    <t>B20260904134530-1014</t>
  </si>
  <si>
    <t>B20260904135114-1003</t>
  </si>
  <si>
    <t>O início já estava em aberto, posso ter confundido no último ponto antes de sair do almoço e colocado o registro como início, mas era fim.</t>
  </si>
  <si>
    <t>B20260904135935-1015</t>
  </si>
  <si>
    <t>B20260904140704-1002</t>
  </si>
  <si>
    <t>Esqueci de bater o ponto no horário correto de retorno que foi as 13:20</t>
  </si>
  <si>
    <t>B20260904150558-1004</t>
  </si>
  <si>
    <t>B20260904150638-1004</t>
  </si>
  <si>
    <t>B20260904150754-1014</t>
  </si>
  <si>
    <t>B20260904150813-1014</t>
  </si>
  <si>
    <t>B20260904153810-1001</t>
  </si>
  <si>
    <t>B20260904161037-1001</t>
  </si>
  <si>
    <t>B20260904174427-1014</t>
  </si>
  <si>
    <t>B20260904175929-1002</t>
  </si>
  <si>
    <t>B20260904180039-1016</t>
  </si>
  <si>
    <t>B20260904180100-1003</t>
  </si>
  <si>
    <t>B20260904180142-1013</t>
  </si>
  <si>
    <t>B20260904180207-1012</t>
  </si>
  <si>
    <t>B20260904184844-1001</t>
  </si>
  <si>
    <t>Ocorreu várias desistencia no projeto betim e estadual</t>
  </si>
  <si>
    <t>B20260904184918-1001</t>
  </si>
  <si>
    <t>B20260904195222-1004</t>
  </si>
  <si>
    <t>B20260905075600-1013</t>
  </si>
  <si>
    <t>B20260905081213-1003</t>
  </si>
  <si>
    <t>B20260905091040-1001</t>
  </si>
  <si>
    <t>Spervisão da estadual 4.1 estadual 5 e tracnkig betim primeira rodada</t>
  </si>
  <si>
    <t>B20260905092640-1012</t>
  </si>
  <si>
    <t>B20260905122824-1013</t>
  </si>
  <si>
    <t>B20260905123445-1016</t>
  </si>
  <si>
    <t>B20260905130321-1003</t>
  </si>
  <si>
    <t>B20260905131125-1013</t>
  </si>
  <si>
    <t>B20260905131148-1013</t>
  </si>
  <si>
    <t>B20260905131951-1012</t>
  </si>
  <si>
    <t>B20260905141051-1012</t>
  </si>
  <si>
    <t>B20260905143108-1003</t>
  </si>
  <si>
    <t>B20260905152905-1001</t>
  </si>
  <si>
    <t>B20260905160033-1001</t>
  </si>
  <si>
    <t>B20260905180020-1013</t>
  </si>
  <si>
    <t>B20260905180139-1012</t>
  </si>
  <si>
    <t>B20260905180235-1012</t>
  </si>
  <si>
    <t>B20260905184319-1001</t>
  </si>
  <si>
    <t>B20260905184754-1003</t>
  </si>
  <si>
    <t>B20260906081946-1001</t>
  </si>
  <si>
    <t>Supervisão Estadual 4.1 a 5 e Betim primeira rodada</t>
  </si>
  <si>
    <t>B20260906082127-1011</t>
  </si>
  <si>
    <t>passagem de dados</t>
  </si>
  <si>
    <t>B20260906082156-1003</t>
  </si>
  <si>
    <t>B20260906100545-1013</t>
  </si>
  <si>
    <t>B20260906114534-1003</t>
  </si>
  <si>
    <t>B20260906122034-1013</t>
  </si>
  <si>
    <t>B20260906125518-1003</t>
  </si>
  <si>
    <t>B20260906125650-1013</t>
  </si>
  <si>
    <t>B20260906140226-1002</t>
  </si>
  <si>
    <t>B20260906142712-1004</t>
  </si>
  <si>
    <t>B20260906155153-1011</t>
  </si>
  <si>
    <t>B20260906155538-1013</t>
  </si>
  <si>
    <t>B20260906163101-1012</t>
  </si>
  <si>
    <t>B20260906164629-1011</t>
  </si>
  <si>
    <t>B20260906170059-1002</t>
  </si>
  <si>
    <t>B20260906174628-1003</t>
  </si>
  <si>
    <t>B20260906181200-1012</t>
  </si>
  <si>
    <t>B20260906203102-1011</t>
  </si>
  <si>
    <t>B20260906205322-1004</t>
  </si>
  <si>
    <t>B20260907084819-1011</t>
  </si>
  <si>
    <t>B20260907094422-1004</t>
  </si>
  <si>
    <t>B20260907094910-1013</t>
  </si>
  <si>
    <t>B20260907095023-1001</t>
  </si>
  <si>
    <t>Estadual 4.1 a 5 e betim primeira rodada</t>
  </si>
  <si>
    <t>B20260907113842-1012</t>
  </si>
  <si>
    <t>Emissão nota fiscal do Esdras, projeto Toolkit</t>
  </si>
  <si>
    <t>B20260907115538-1003</t>
  </si>
  <si>
    <t>B20260907120040-1013</t>
  </si>
  <si>
    <t>B20260907125316-1004</t>
  </si>
  <si>
    <t>B20260907125823-1002</t>
  </si>
  <si>
    <t>B20260907130045-1003</t>
  </si>
  <si>
    <t>B20260907132926-1011</t>
  </si>
  <si>
    <t>B20260907140200-1011</t>
  </si>
  <si>
    <t>B20260907143616-1004</t>
  </si>
  <si>
    <t>B20260907144248-1013</t>
  </si>
  <si>
    <t>B20260907171052-1001</t>
  </si>
  <si>
    <t>B20260907173933-1001</t>
  </si>
  <si>
    <t>B20260907175532-1002</t>
  </si>
  <si>
    <t>B20260907181855-1003</t>
  </si>
  <si>
    <t>B20260907182312-1001</t>
  </si>
  <si>
    <t>B20260907183204-1011</t>
  </si>
  <si>
    <t>B20260907184124-1013</t>
  </si>
  <si>
    <t>B20260907195519-1004</t>
  </si>
  <si>
    <t>B20260908075452-1011</t>
  </si>
  <si>
    <t>B20260908081803-1003</t>
  </si>
  <si>
    <t>B20260908082959-1002</t>
  </si>
  <si>
    <t>B20260908083808-1015</t>
  </si>
  <si>
    <t>B20260908090417-1006</t>
  </si>
  <si>
    <t>checagem eleiçao estadual 4.1</t>
  </si>
  <si>
    <t>B20260908090639-1016</t>
  </si>
  <si>
    <t>B20260908091114-1012</t>
  </si>
  <si>
    <t>Surpervisão da checagem tracking Betim</t>
  </si>
  <si>
    <t>B20260908092924-1004</t>
  </si>
  <si>
    <t>Codificação e controle dos links</t>
  </si>
  <si>
    <t>B20260908101242-1014</t>
  </si>
  <si>
    <t>B20260908105305-1004</t>
  </si>
  <si>
    <t>B20260908105410-1004</t>
  </si>
  <si>
    <t>Tracking Betim</t>
  </si>
  <si>
    <t>B20260908115918-1003</t>
  </si>
  <si>
    <t>B20260908121012-1004</t>
  </si>
  <si>
    <t>B20260908121046-1004</t>
  </si>
  <si>
    <t>B20260908122540-1011</t>
  </si>
  <si>
    <t>B20260908122635-1002</t>
  </si>
  <si>
    <t>B20260908123237-1016</t>
  </si>
  <si>
    <t>B20260908125147-1012</t>
  </si>
  <si>
    <t>B20260908125402-1015</t>
  </si>
  <si>
    <t>B20260908125725-1011</t>
  </si>
  <si>
    <t>B20260908130001-1014</t>
  </si>
  <si>
    <t>B20260908132435-1003</t>
  </si>
  <si>
    <t>B20260908133211-1002</t>
  </si>
  <si>
    <t>B20260908134657-1016</t>
  </si>
  <si>
    <t>B20260908134821-1012</t>
  </si>
  <si>
    <t>B20260908135250-1015</t>
  </si>
  <si>
    <t>B20260908140315-1014</t>
  </si>
  <si>
    <t>B20260908144643-1004</t>
  </si>
  <si>
    <t>B20260908160446-1001</t>
  </si>
  <si>
    <t>Supervisão de Betim primeira rodada, estadual 4.1 e 5 e sicoob</t>
  </si>
  <si>
    <t>B20260908160500-1001</t>
  </si>
  <si>
    <t>B20260908160558-1001</t>
  </si>
  <si>
    <t>B20260908170428-1001</t>
  </si>
  <si>
    <t>B20260908171613-1006</t>
  </si>
  <si>
    <t>checagem politica betim</t>
  </si>
  <si>
    <t>B20260908174716-1015</t>
  </si>
  <si>
    <t>B20260908175543-1003</t>
  </si>
  <si>
    <t>B20260908175857-1002</t>
  </si>
  <si>
    <t>B20260908180034-1011</t>
  </si>
  <si>
    <t>B20260908181354-1012</t>
  </si>
  <si>
    <t>Inconsistencias do Marca o Tempo/ impressão e entrega de material estadual/ checagem tracking</t>
  </si>
  <si>
    <t>B20260908181524-1014</t>
  </si>
  <si>
    <t>B20260908181818-1016</t>
  </si>
  <si>
    <t>B20260908182055-1006</t>
  </si>
  <si>
    <t>CHECAGEM POLITICA BETIM</t>
  </si>
  <si>
    <t>B20260908183830-1004</t>
  </si>
  <si>
    <t>B20260908194546-1004</t>
  </si>
  <si>
    <t>B20260908213956-1006</t>
  </si>
  <si>
    <t>B20260908214249-1001</t>
  </si>
  <si>
    <t>Primeiro dia do campo betim primeira rodada, dia de viagem da estafual 4.1 e 4.5</t>
  </si>
  <si>
    <t>B20260908221031-1004</t>
  </si>
  <si>
    <t>Tracking  Betim</t>
  </si>
  <si>
    <t>B20260909065456-1001</t>
  </si>
  <si>
    <t>Inicio da estadual 4.1, Betim tracking 1 rodada,estadual 5 recrutamento</t>
  </si>
  <si>
    <t>B20260909074551-1006</t>
  </si>
  <si>
    <t>checagem politicas</t>
  </si>
  <si>
    <t>B20260909075619-1011</t>
  </si>
  <si>
    <t>B20260909080006-1013</t>
  </si>
  <si>
    <t>B20260909083040-1002</t>
  </si>
  <si>
    <t>B20260909083701-1016</t>
  </si>
  <si>
    <t>B20260909091402-1012</t>
  </si>
  <si>
    <t>Apoio na supervisão da checagem Marca o Tempo/ tracking/ estadual</t>
  </si>
  <si>
    <t>B20260909092826-1014</t>
  </si>
  <si>
    <t>Checagem/ tracking/ estadual</t>
  </si>
  <si>
    <t>B20260909093322-1015</t>
  </si>
  <si>
    <t>B20260909094452-1010</t>
  </si>
  <si>
    <t>B20260909102805-1004</t>
  </si>
  <si>
    <t>B20260909110150-1006</t>
  </si>
  <si>
    <t>checagem politica betim e estadual</t>
  </si>
  <si>
    <t>B20260909110223-1006</t>
  </si>
  <si>
    <t>B20260909110255-1006</t>
  </si>
  <si>
    <t>B20260909110302-1006</t>
  </si>
  <si>
    <t>B20260909110313-1006</t>
  </si>
  <si>
    <t>B20260909110329-1006</t>
  </si>
  <si>
    <t>B20260909112709-1013</t>
  </si>
  <si>
    <t>B20260909115810-1013</t>
  </si>
  <si>
    <t>B20260909121800-1011</t>
  </si>
  <si>
    <t>B20260909123432-1003</t>
  </si>
  <si>
    <t>B20260909123507-1014</t>
  </si>
  <si>
    <t>Tracking</t>
  </si>
  <si>
    <t>B20260909124853-1004</t>
  </si>
  <si>
    <t>B20260909125356-1011</t>
  </si>
  <si>
    <t>B20260909125702-1015</t>
  </si>
  <si>
    <t>B20260909130103-1010</t>
  </si>
  <si>
    <t>B20260909130813-1016</t>
  </si>
  <si>
    <t>B20260909132039-1002</t>
  </si>
  <si>
    <t>B20260909132735-1012</t>
  </si>
  <si>
    <t>B20260909132801-1012</t>
  </si>
  <si>
    <t>B20260909133242-1003</t>
  </si>
  <si>
    <t>B20260909134554-1014</t>
  </si>
  <si>
    <t>B20260909135550-1015</t>
  </si>
  <si>
    <t>B20260909141216-1010</t>
  </si>
  <si>
    <t>B20260909141434-1016</t>
  </si>
  <si>
    <t>B20260909141813-1012</t>
  </si>
  <si>
    <t>Auxilo checagem/ fechamento quantitativo de  entrevistas Marca o Tempo para pagamento</t>
  </si>
  <si>
    <t>B20260909144044-1006</t>
  </si>
  <si>
    <t>checagem politica betim estadual</t>
  </si>
  <si>
    <t>B20260909145412-1004</t>
  </si>
  <si>
    <t>B20260909155224-1001</t>
  </si>
  <si>
    <t>Primeiro dia de campo Estadual 4.1, Segundo dia de Betim tracking</t>
  </si>
  <si>
    <t>B20260909162853-1001</t>
  </si>
  <si>
    <t>B20260909173412-1010</t>
  </si>
  <si>
    <t>B20260909175456-1011</t>
  </si>
  <si>
    <t>B20260909180017-1003</t>
  </si>
  <si>
    <t>B20260909180123-1015</t>
  </si>
  <si>
    <t>B20260909180213-1013</t>
  </si>
  <si>
    <t>B20260909180545-1014</t>
  </si>
  <si>
    <t>B20260909180623-1016</t>
  </si>
  <si>
    <t>B20260909181123-1012</t>
  </si>
  <si>
    <t>Encerramento projeto, checagem Minas Estadual</t>
  </si>
  <si>
    <t>B20260909193008-1001</t>
  </si>
  <si>
    <t>B20260909193128-1004</t>
  </si>
  <si>
    <t>TRACKING BETIM</t>
  </si>
  <si>
    <t>B20260909203944-1001</t>
  </si>
  <si>
    <t>B20260909223932-1006</t>
  </si>
  <si>
    <t>B20260909224230-1006</t>
  </si>
  <si>
    <t>CHECAGEM politica</t>
  </si>
  <si>
    <t>B20260909224255-1006</t>
  </si>
  <si>
    <t>B20260910074701-1011</t>
  </si>
  <si>
    <t>B20260910075537-1002</t>
  </si>
  <si>
    <t>B20260910080244-1013</t>
  </si>
  <si>
    <t>B20260910081607-1003</t>
  </si>
  <si>
    <t>B20260910082332-1001</t>
  </si>
  <si>
    <t>B20260910084749-1016</t>
  </si>
  <si>
    <t>B20260910084910-1015</t>
  </si>
  <si>
    <t>B20260910091201-1006</t>
  </si>
  <si>
    <t>B20260910091522-1012</t>
  </si>
  <si>
    <t>B20260910091855-1010</t>
  </si>
  <si>
    <t>B20260910092557-1006</t>
  </si>
  <si>
    <t>checagem estadual politica comecei as 09:00 da manha</t>
  </si>
  <si>
    <t>B20260910092605-1006</t>
  </si>
  <si>
    <t>B20260910095254-1014</t>
  </si>
  <si>
    <t>B20260910100152-1004</t>
  </si>
  <si>
    <t>B20260910115836-1013</t>
  </si>
  <si>
    <t>B20260910120911-1011</t>
  </si>
  <si>
    <t>B20260910121341-1002</t>
  </si>
  <si>
    <t>B20260910122751-1013</t>
  </si>
  <si>
    <t>B20260910124037-1003</t>
  </si>
  <si>
    <t>Elaboração da estrutura da análise</t>
  </si>
  <si>
    <t>B20260910124435-1016</t>
  </si>
  <si>
    <t>B20260910124651-1012</t>
  </si>
  <si>
    <t>B20260910125415-1014</t>
  </si>
  <si>
    <t>B20260910130347-1004</t>
  </si>
  <si>
    <t>B20260910130359-1004</t>
  </si>
  <si>
    <t>B20260910131913-1002</t>
  </si>
  <si>
    <t>B20260910132233-1011</t>
  </si>
  <si>
    <t>B20260910132627-1016</t>
  </si>
  <si>
    <t>B20260910180232-1015</t>
  </si>
  <si>
    <t>B20260910180401-1001</t>
  </si>
  <si>
    <t>B20260910180547-1016</t>
  </si>
  <si>
    <t>B20260910180611-1014</t>
  </si>
  <si>
    <t>B20260910180713-1005</t>
  </si>
  <si>
    <t>B20260910181024-1005</t>
  </si>
  <si>
    <t>B20260910181134-1005</t>
  </si>
  <si>
    <t>B20260910183055-1004</t>
  </si>
  <si>
    <t>B20260910183123-1004</t>
  </si>
  <si>
    <t>B20260910183208-1004</t>
  </si>
  <si>
    <t>B20260910193905-1012</t>
  </si>
  <si>
    <t>B20260910203415-1017</t>
  </si>
  <si>
    <t>B20260910220000-1006</t>
  </si>
  <si>
    <t>B20260910220055-1004</t>
  </si>
  <si>
    <t>Codificaçã da Estadual tb</t>
  </si>
  <si>
    <t>B20260910220100-1004</t>
  </si>
  <si>
    <t>B20260910220103-1004</t>
  </si>
  <si>
    <t>B20260910220107-1004</t>
  </si>
  <si>
    <t>B20260910220314-1001</t>
  </si>
  <si>
    <t>B20260910221413-1010</t>
  </si>
  <si>
    <t>B20260911075125-1002</t>
  </si>
  <si>
    <t>CHECAGEM POLITICA ESTADUAL</t>
  </si>
  <si>
    <t>B20260911080859-1013</t>
  </si>
  <si>
    <t>Educação financeira para Mulheres- BC</t>
  </si>
  <si>
    <t>B20260911081004-1003</t>
  </si>
  <si>
    <t>B20260911081354-1011</t>
  </si>
  <si>
    <t>B20260911082645-1006</t>
  </si>
  <si>
    <t>B20260911082655-1006</t>
  </si>
  <si>
    <t>B20260911082744-1006</t>
  </si>
  <si>
    <t>B20260911084354-1004</t>
  </si>
  <si>
    <t>Controle do links</t>
  </si>
  <si>
    <t>B20260911085045-1015</t>
  </si>
  <si>
    <t>B20260911090632-1012</t>
  </si>
  <si>
    <t>Apoio checagem e entrevistadores em campo</t>
  </si>
  <si>
    <t>B20260911091055-1017</t>
  </si>
  <si>
    <t>B20260911092055-1004</t>
  </si>
  <si>
    <t>B20260911092106-1004</t>
  </si>
  <si>
    <t>B20260911092144-1004</t>
  </si>
  <si>
    <t>Estadual</t>
  </si>
  <si>
    <t>B20260911092147-1004</t>
  </si>
  <si>
    <t>B20260911094405-1004</t>
  </si>
  <si>
    <t>B20260911094412-1014</t>
  </si>
  <si>
    <t>B20260911095447-1016</t>
  </si>
  <si>
    <t>B20260911100646-1005</t>
  </si>
  <si>
    <t>B20260911114714-1013</t>
  </si>
  <si>
    <t>B20260911120742-1002</t>
  </si>
  <si>
    <t>B20260911120809-1013</t>
  </si>
  <si>
    <t>B20260911123546-1011</t>
  </si>
  <si>
    <t>B20260911124225-1003</t>
  </si>
  <si>
    <t>B20260911124536-1014</t>
  </si>
  <si>
    <t>B20260911130213-1012</t>
  </si>
  <si>
    <t>B20260911130320-1010</t>
  </si>
  <si>
    <t>B20260911130441-1004</t>
  </si>
  <si>
    <t>B20260911130542-1002</t>
  </si>
  <si>
    <t>B20260911130637-1004</t>
  </si>
  <si>
    <t>Estadual 4.1</t>
  </si>
  <si>
    <t>B20260911130657-1011</t>
  </si>
  <si>
    <t>B20260911132533-1016</t>
  </si>
  <si>
    <t>B20260911133912-1017</t>
  </si>
  <si>
    <t>B20260911134328-1003</t>
  </si>
  <si>
    <t>B20260911135610-1014</t>
  </si>
  <si>
    <t>B20260911135828-1012</t>
  </si>
  <si>
    <t>B20260911140604-1005</t>
  </si>
  <si>
    <t>B20260911141148-1006</t>
  </si>
  <si>
    <t>B20260911141745-1017</t>
  </si>
  <si>
    <t>B20260911142446-1010</t>
  </si>
  <si>
    <t>B20260911144116-1016</t>
  </si>
  <si>
    <t>B20260911150402-1004</t>
  </si>
  <si>
    <t>B20260911150726-1005</t>
  </si>
  <si>
    <t>B20260911151317-1006</t>
  </si>
  <si>
    <t>checagem politica estadual</t>
  </si>
  <si>
    <t>B20260911155413-1001</t>
  </si>
  <si>
    <t>Supervisão do trackinkg betim e estadual 4.1</t>
  </si>
  <si>
    <t>B20260911164751-1001</t>
  </si>
  <si>
    <t>B20260911175243-1002</t>
  </si>
  <si>
    <t>B20260911175804-1016</t>
  </si>
  <si>
    <t>B20260911175854-1012</t>
  </si>
  <si>
    <t>B20260911175908-1014</t>
  </si>
  <si>
    <t>B20260911175945-1003</t>
  </si>
  <si>
    <t>B20260911180118-1013</t>
  </si>
  <si>
    <t>B20260911180330-1011</t>
  </si>
  <si>
    <t>B20260911183731-1006</t>
  </si>
  <si>
    <t>B20260911192059-1012</t>
  </si>
  <si>
    <t>B20260911194130-1012</t>
  </si>
  <si>
    <t>B20260911200648-1017</t>
  </si>
  <si>
    <t>B20260911205702-1006</t>
  </si>
  <si>
    <t>B20260911210457-1004</t>
  </si>
  <si>
    <t>B20260911214016-1001</t>
  </si>
  <si>
    <t>B20260911231548-1006</t>
  </si>
  <si>
    <t>B20260912082334-1003</t>
  </si>
  <si>
    <t>B20260912082430-1003</t>
  </si>
  <si>
    <t>B20260912091619-1017</t>
  </si>
  <si>
    <t>B20260912104346-1011</t>
  </si>
  <si>
    <t>B20260912120132-1003</t>
  </si>
  <si>
    <t>B20260912131212-1003</t>
  </si>
  <si>
    <t>B20260912131756-1003</t>
  </si>
  <si>
    <t>B20260912184216-1003</t>
  </si>
  <si>
    <t>B20260912190216-1017</t>
  </si>
  <si>
    <t>B20260912190131-1017</t>
  </si>
  <si>
    <t>B20260913080826-1003</t>
  </si>
  <si>
    <t>B20260913105754-1011</t>
  </si>
  <si>
    <t>B20260913114550-1003</t>
  </si>
  <si>
    <t>B20260913133647-1003</t>
  </si>
  <si>
    <t>B20260913145020-1011</t>
  </si>
  <si>
    <t>B20260914080958-1003</t>
  </si>
  <si>
    <t>B20260914081159-1002</t>
  </si>
  <si>
    <t>B20260914081428-1011</t>
  </si>
  <si>
    <t>B20260914083333-1013</t>
  </si>
  <si>
    <t>B20260914093500-1009</t>
  </si>
  <si>
    <t>B20260914115631-1013</t>
  </si>
  <si>
    <t>B20260914115843-1011</t>
  </si>
  <si>
    <t>B20260914120654-1002</t>
  </si>
  <si>
    <t>B20260914124634-1003</t>
  </si>
  <si>
    <t>B20260914124901-1013</t>
  </si>
  <si>
    <t>B20260914125231-1011</t>
  </si>
  <si>
    <t>B20260914130538-1002</t>
  </si>
  <si>
    <t>B20260914135426-1003</t>
  </si>
  <si>
    <t>B20260914175455-1002</t>
  </si>
  <si>
    <t>B20260914175520-1002</t>
  </si>
  <si>
    <t>B20260914175945-1013</t>
  </si>
  <si>
    <t>B20260914180308-1011</t>
  </si>
  <si>
    <t>B20260914183506-1003</t>
  </si>
  <si>
    <t>B20260915075307-1002</t>
  </si>
  <si>
    <t>B20260915080833-1003</t>
  </si>
  <si>
    <t>B20260915081029-1011</t>
  </si>
  <si>
    <t>B20260915090441-1013</t>
  </si>
  <si>
    <t>B20260915115117-1013</t>
  </si>
  <si>
    <t>B20260915120436-1002</t>
  </si>
  <si>
    <t>B20260915121812-1011</t>
  </si>
  <si>
    <t>B20260915123243-1013</t>
  </si>
  <si>
    <t>B20260915123603-1003</t>
  </si>
  <si>
    <t>B20260915130023-1002</t>
  </si>
  <si>
    <t>B20260915140052-1003</t>
  </si>
  <si>
    <t>B20260915175523-1002</t>
  </si>
  <si>
    <t>B20260915180022-1013</t>
  </si>
  <si>
    <t>B20260915180204-1011</t>
  </si>
  <si>
    <t>B20260915191055-1003</t>
  </si>
  <si>
    <t>B20260916075707-1011</t>
  </si>
  <si>
    <t>B20260916080046-1003</t>
  </si>
  <si>
    <t>B20260916084039-1013</t>
  </si>
  <si>
    <t>B20260916084827-1002</t>
  </si>
  <si>
    <t>B20260916115901-1013</t>
  </si>
  <si>
    <t>B20260916115930-1003</t>
  </si>
  <si>
    <t>B20260916120320-1002</t>
  </si>
  <si>
    <t>B20260916122139-1011</t>
  </si>
  <si>
    <t>B20260916125021-1003</t>
  </si>
  <si>
    <t>B20260916125137-1013</t>
  </si>
  <si>
    <t>CDL- Black Friday</t>
  </si>
  <si>
    <t>B20260916125242-1002</t>
  </si>
  <si>
    <t>B20260916125619-1011</t>
  </si>
  <si>
    <t>B20260916175352-1011</t>
  </si>
  <si>
    <t>B20260916175910-1002</t>
  </si>
  <si>
    <t>B20260916180012-1003</t>
  </si>
  <si>
    <t>B20260916180041-1013</t>
  </si>
  <si>
    <t>B20260917075700-1003</t>
  </si>
  <si>
    <t>B20260917080656-1011</t>
  </si>
  <si>
    <t>B20260917082119-1013</t>
  </si>
  <si>
    <t>B20260917083425-1002</t>
  </si>
  <si>
    <t>B20260917120222-1003</t>
  </si>
  <si>
    <t>B20260917120327-1013</t>
  </si>
  <si>
    <t>Educação Financeira para Mulheres</t>
  </si>
  <si>
    <t>B20260917120428-1002</t>
  </si>
  <si>
    <t>B20260917121420-1011</t>
  </si>
  <si>
    <t>B20260917125307-1003</t>
  </si>
  <si>
    <t>B20260917125352-1013</t>
  </si>
  <si>
    <t>Educação financeira para mulheres</t>
  </si>
  <si>
    <t>B20260917125918-1011</t>
  </si>
  <si>
    <t>B20260917131604-1002</t>
  </si>
  <si>
    <t>B20260917175611-1002</t>
  </si>
  <si>
    <t>B20260917180022-1003</t>
  </si>
  <si>
    <t>B20260917180056-1013</t>
  </si>
  <si>
    <t>Educação financeira para Mulheres-BC</t>
  </si>
  <si>
    <t>B20260917203249-1011</t>
  </si>
  <si>
    <t>B20260918072939-1002</t>
  </si>
  <si>
    <t>B20260918080022-1003</t>
  </si>
  <si>
    <t>B20260918080311-1011</t>
  </si>
  <si>
    <t>B20260918082015-1013</t>
  </si>
  <si>
    <t>B20260918120341-1013</t>
  </si>
  <si>
    <t>B20260918120424-1003</t>
  </si>
  <si>
    <t>B20260918121053-1011</t>
  </si>
  <si>
    <t>B20260918121727-1002</t>
  </si>
  <si>
    <t>B20260918125507-1003</t>
  </si>
  <si>
    <t>B20260918125636-1013</t>
  </si>
  <si>
    <t>B20260918131309-1002</t>
  </si>
  <si>
    <t>B20260918132048-1011</t>
  </si>
  <si>
    <t>B20260918170008-1002</t>
  </si>
  <si>
    <t>B20260918180345-1003</t>
  </si>
  <si>
    <t>B20260918183219-1013</t>
  </si>
  <si>
    <t>Educação Financeira para mulheres</t>
  </si>
  <si>
    <t>B20260919082025-1011</t>
  </si>
  <si>
    <t>B20260919092814-1013</t>
  </si>
  <si>
    <t>B20260919120400-1003</t>
  </si>
  <si>
    <t>B20260919121357-1013</t>
  </si>
  <si>
    <t>B20260919123455-1013</t>
  </si>
  <si>
    <t>B20260919125939-1003</t>
  </si>
  <si>
    <t>B20260919141522-1002</t>
  </si>
  <si>
    <t>B20260919142044-1011</t>
  </si>
  <si>
    <t>B20260919153250-1011</t>
  </si>
  <si>
    <t>B20260919161504-1002</t>
  </si>
  <si>
    <t>B20260919162006-1013</t>
  </si>
  <si>
    <t>B20260919164903-1011</t>
  </si>
  <si>
    <t>B20260919175554-1003</t>
  </si>
  <si>
    <t>B20260920075446-1003</t>
  </si>
  <si>
    <t>B20260920120036-1003</t>
  </si>
  <si>
    <t>B20260920120107-1003</t>
  </si>
  <si>
    <t>O ponto de início de hoje de manhã marquei fim sem querer, eu acho.</t>
  </si>
  <si>
    <t>B20260920130507-1003</t>
  </si>
  <si>
    <t>B20260920180242-1003</t>
  </si>
  <si>
    <t>B20260921072332-1003</t>
  </si>
  <si>
    <t>B20260921080648-1011</t>
  </si>
  <si>
    <t>B20260921081637-1002</t>
  </si>
  <si>
    <t>B20260921084705-1013</t>
  </si>
  <si>
    <t>Educação financeira para mulheres- BC</t>
  </si>
  <si>
    <t>B20260921120552-1011</t>
  </si>
  <si>
    <t>B20260921121546-1002</t>
  </si>
  <si>
    <t>B20260921121650-1013</t>
  </si>
  <si>
    <t>B20260921125336-1011</t>
  </si>
  <si>
    <t>B20260921130515-1013</t>
  </si>
  <si>
    <t>B20260921131602-1002</t>
  </si>
  <si>
    <t>B20260921134353-1003</t>
  </si>
  <si>
    <t>B20260921141229-1003</t>
  </si>
  <si>
    <t>B20260921175424-1002</t>
  </si>
  <si>
    <t>B20260921180042-1013</t>
  </si>
  <si>
    <t>Análise de codificação</t>
  </si>
  <si>
    <t>B20260921192407-1003</t>
  </si>
  <si>
    <t>B20260922073111-1013</t>
  </si>
  <si>
    <t>B20260922075759-1003</t>
  </si>
  <si>
    <t>B20260922080902-1011</t>
  </si>
  <si>
    <t>B20260922090635-1002</t>
  </si>
  <si>
    <t>B20260922120531-1013</t>
  </si>
  <si>
    <t>B20260922121622-1002</t>
  </si>
  <si>
    <t>B20260922121803-1011</t>
  </si>
  <si>
    <t>B20260922124158-1003</t>
  </si>
  <si>
    <t>B20260922130307-1011</t>
  </si>
  <si>
    <t>B20260922130406-1013</t>
  </si>
  <si>
    <t>CDL Black Friday</t>
  </si>
  <si>
    <t>B20260922132220-1003</t>
  </si>
  <si>
    <t>B20260922132600-1002</t>
  </si>
  <si>
    <t>B20260922175645-1002</t>
  </si>
  <si>
    <t>B20260922175732-1003</t>
  </si>
  <si>
    <t>B20260922175806-1011</t>
  </si>
  <si>
    <t>B20260922180010-1013</t>
  </si>
  <si>
    <t>B20260923074841-1003</t>
  </si>
  <si>
    <t>B20260923080241-1011</t>
  </si>
  <si>
    <t>B20260923085257-1002</t>
  </si>
  <si>
    <t>B20260923091742-1013</t>
  </si>
  <si>
    <t>B20260923114503-1013</t>
  </si>
  <si>
    <t>B20260923114708-1002</t>
  </si>
  <si>
    <t>B20260923121049-1003</t>
  </si>
  <si>
    <t>B20260923122319-1011</t>
  </si>
  <si>
    <t>B20260923123324-1013</t>
  </si>
  <si>
    <t>B20260923125238-1011</t>
  </si>
  <si>
    <t>B20260923130129-1002</t>
  </si>
  <si>
    <t>B20260923131030-1003</t>
  </si>
  <si>
    <t>B20260923175552-1002</t>
  </si>
  <si>
    <t>B20260923180037-1013</t>
  </si>
  <si>
    <t>B20260923180112-1003</t>
  </si>
  <si>
    <t>B20260923180147-1011</t>
  </si>
  <si>
    <t>B20260924080427-1011</t>
  </si>
  <si>
    <t>B20260924081303-1002</t>
  </si>
  <si>
    <t>B20260924081608-1003</t>
  </si>
  <si>
    <t>B20260924084453-1013</t>
  </si>
  <si>
    <t>B20260924114957-1013</t>
  </si>
  <si>
    <t>B20260924120517-1002</t>
  </si>
  <si>
    <t>B20260924123744-1003</t>
  </si>
  <si>
    <t>B20260924123835-1003</t>
  </si>
  <si>
    <t>B20260924124035-1011</t>
  </si>
  <si>
    <t>B20260924130621-1002</t>
  </si>
  <si>
    <t>B20260924131741-1011</t>
  </si>
  <si>
    <t>B20260924134249-1003</t>
  </si>
  <si>
    <t>B20260924170003-1013</t>
  </si>
  <si>
    <t>B20260924175138-1003</t>
  </si>
  <si>
    <t>B20260924175403-1002</t>
  </si>
  <si>
    <t>B20260924175455-1003</t>
  </si>
  <si>
    <t>B20260924175603-1003</t>
  </si>
  <si>
    <t>B20260924175822-1011</t>
  </si>
  <si>
    <t>B20260925080637-1003</t>
  </si>
  <si>
    <t>B20260925081942-1011</t>
  </si>
  <si>
    <t>B20260925082800-1013</t>
  </si>
  <si>
    <t>B20260925084725-1002</t>
  </si>
  <si>
    <t>B20260925120159-1002</t>
  </si>
  <si>
    <t>B20260925120243-1013</t>
  </si>
  <si>
    <t>B20260925121403-1011</t>
  </si>
  <si>
    <t>B20260925124708-1003</t>
  </si>
  <si>
    <t>B20260925124921-1013</t>
  </si>
  <si>
    <t>B20260925125359-1011</t>
  </si>
  <si>
    <t>B20260925131444-1002</t>
  </si>
  <si>
    <t>B20260925135112-1003</t>
  </si>
  <si>
    <t>B20260925174905-1003</t>
  </si>
  <si>
    <t>B20260925175548-1002</t>
  </si>
  <si>
    <t>B20260925180037-1013</t>
  </si>
  <si>
    <t>B20260925185235-1011</t>
  </si>
  <si>
    <t>B20260926080252-1003</t>
  </si>
  <si>
    <t>B20260926094953-1011</t>
  </si>
  <si>
    <t>B20260926113649-1003</t>
  </si>
  <si>
    <t>B20260926130241-1003</t>
  </si>
  <si>
    <t>B20260926153334-1011</t>
  </si>
  <si>
    <t>B20260926170625-1003</t>
  </si>
  <si>
    <t>B20260926171229-1011</t>
  </si>
  <si>
    <t>esqueci de bater o ponto mais cedo as 16:10</t>
  </si>
  <si>
    <t>B20260926202209-1011</t>
  </si>
  <si>
    <t>B20260927080944-1011</t>
  </si>
  <si>
    <t>B20260927125418-1011</t>
  </si>
  <si>
    <t>B20260927131856-1011</t>
  </si>
  <si>
    <t>B20260927173436-1011</t>
  </si>
  <si>
    <t>B20260928071933-1003</t>
  </si>
  <si>
    <t>B20260928075050-1002</t>
  </si>
  <si>
    <t>B20260928080935-1011</t>
  </si>
  <si>
    <t>B20260928084753-1013</t>
  </si>
  <si>
    <t>DL- Black Friday</t>
  </si>
  <si>
    <t>B20260928113750-1003</t>
  </si>
  <si>
    <t>B20260928115452-1013</t>
  </si>
  <si>
    <t>B20260928120318-1002</t>
  </si>
  <si>
    <t>B20260928121938-1003</t>
  </si>
  <si>
    <t>B20260928124036-1011</t>
  </si>
  <si>
    <t>B20260928124354-1013</t>
  </si>
  <si>
    <t>BC- Educação FInanceira para Mulheres</t>
  </si>
  <si>
    <t>B20260928125927-1002</t>
  </si>
  <si>
    <t>B20260928133206-1011</t>
  </si>
  <si>
    <t>REGISTROS CONSOLIDADOS DE HORAS</t>
  </si>
  <si>
    <t>Cada INÍCIO cria uma linha; o FIM correspondente conclui a mesma linha e calcula horas e valor.</t>
  </si>
  <si>
    <t>Registro ID</t>
  </si>
  <si>
    <t>Tipo de dia</t>
  </si>
  <si>
    <t>Início</t>
  </si>
  <si>
    <t>Fim</t>
  </si>
  <si>
    <t>Horas</t>
  </si>
  <si>
    <t>Taxa aplicada</t>
  </si>
  <si>
    <t>Valor</t>
  </si>
  <si>
    <t>1º do dia</t>
  </si>
  <si>
    <t>Mês</t>
  </si>
  <si>
    <t>R20260825152719-1001</t>
  </si>
  <si>
    <t>DIA ÚTIL</t>
  </si>
  <si>
    <t>CONCLUÍDO</t>
  </si>
  <si>
    <t>2026-08</t>
  </si>
  <si>
    <t>R20260825161730-1015</t>
  </si>
  <si>
    <t>R20260825162622-1001</t>
  </si>
  <si>
    <t>R20260825170543-1015</t>
  </si>
  <si>
    <t>R20260826075539-1011</t>
  </si>
  <si>
    <t>R20260826080734-1003</t>
  </si>
  <si>
    <t>R20260826081141-1013</t>
  </si>
  <si>
    <t>EM ABERTO</t>
  </si>
  <si>
    <t>R20260826085132-1015</t>
  </si>
  <si>
    <t>R20260826085335-1002</t>
  </si>
  <si>
    <t>R20260826090744-1016</t>
  </si>
  <si>
    <t>R20260826093319-1001</t>
  </si>
  <si>
    <t>R20260826095033-1014</t>
  </si>
  <si>
    <t>R20260826103220-1012</t>
  </si>
  <si>
    <t>R20260826120410-1004</t>
  </si>
  <si>
    <t>R20260826124010-1011</t>
  </si>
  <si>
    <t>R20260826132605-1016</t>
  </si>
  <si>
    <t>R20260826134239-1012</t>
  </si>
  <si>
    <t>R20260826134356-1014</t>
  </si>
  <si>
    <t>R20260826140218-1015</t>
  </si>
  <si>
    <t>R20260826150208-1001</t>
  </si>
  <si>
    <t>R20260826151516-1006</t>
  </si>
  <si>
    <t>R20260826233229-1006</t>
  </si>
  <si>
    <t>R20260827080506-1003</t>
  </si>
  <si>
    <t>R20260827080943-1002</t>
  </si>
  <si>
    <t>R20260827083241-1001</t>
  </si>
  <si>
    <t>R20260827085251-1015</t>
  </si>
  <si>
    <t>R20260827085347-1011</t>
  </si>
  <si>
    <t>R20260827091115-1004</t>
  </si>
  <si>
    <t>R20260827094456-1012</t>
  </si>
  <si>
    <t>R20260827100504-1014</t>
  </si>
  <si>
    <t>R20260827112349-1012</t>
  </si>
  <si>
    <t>R20260827135002-1016</t>
  </si>
  <si>
    <t>R20260827135430-1015</t>
  </si>
  <si>
    <t>R20260827135528-1014</t>
  </si>
  <si>
    <t>R20260827141731-1012</t>
  </si>
  <si>
    <t>R20260827150635-1004</t>
  </si>
  <si>
    <t>R20260827163244-1001</t>
  </si>
  <si>
    <t>R20260828075856-1003</t>
  </si>
  <si>
    <t>R20260828083311-1001</t>
  </si>
  <si>
    <t>R20260828085129-1006</t>
  </si>
  <si>
    <t>R20260828085206-1002</t>
  </si>
  <si>
    <t>R20260828090110-1015</t>
  </si>
  <si>
    <t>R20260828095204-1014</t>
  </si>
  <si>
    <t>R20260828101846-1016</t>
  </si>
  <si>
    <t>R20260828104211-1006</t>
  </si>
  <si>
    <t>R20260828104739-1014</t>
  </si>
  <si>
    <t>R20260828134412-1003</t>
  </si>
  <si>
    <t>R20260828135456-1014</t>
  </si>
  <si>
    <t>R20260828142623-1014</t>
  </si>
  <si>
    <t>R20260828143020-1015</t>
  </si>
  <si>
    <t>R20260828151048-1001</t>
  </si>
  <si>
    <t>R20260828155736-1014</t>
  </si>
  <si>
    <t>R20260828165818-1006</t>
  </si>
  <si>
    <t>R20260829081715-1001</t>
  </si>
  <si>
    <t>FDS/FERIADO</t>
  </si>
  <si>
    <t>R20260829085913-1006</t>
  </si>
  <si>
    <t>R20260829124808-1004</t>
  </si>
  <si>
    <t>R20260829150623-1004</t>
  </si>
  <si>
    <t>R20260829161342-1006</t>
  </si>
  <si>
    <t>R20260830082523-1001</t>
  </si>
  <si>
    <t>R20260830091019-1006</t>
  </si>
  <si>
    <t>R20260830135122-1006</t>
  </si>
  <si>
    <t>R20260830145938-1001</t>
  </si>
  <si>
    <t>R20260831082308-1002</t>
  </si>
  <si>
    <t>R20260831084144-1003</t>
  </si>
  <si>
    <t>R20260831085345-1015</t>
  </si>
  <si>
    <t>R20260831090239-1006</t>
  </si>
  <si>
    <t>R20260831102715-1014</t>
  </si>
  <si>
    <t>R20260831135828-1015</t>
  </si>
  <si>
    <t>R20260831140206-1014</t>
  </si>
  <si>
    <t>R20260831162351-1006</t>
  </si>
  <si>
    <t>R20260901075616-1003</t>
  </si>
  <si>
    <t>2026-09</t>
  </si>
  <si>
    <t>R20260901083201-1001</t>
  </si>
  <si>
    <t>R20260901084306-1015</t>
  </si>
  <si>
    <t>R20260901085435-1002</t>
  </si>
  <si>
    <t>R20260901090343-1006</t>
  </si>
  <si>
    <t>R20260901092334-1016</t>
  </si>
  <si>
    <t>R20260901093644-1014</t>
  </si>
  <si>
    <t>R20260901133042-1003</t>
  </si>
  <si>
    <t>R20260901133501-1016</t>
  </si>
  <si>
    <t>R20260901134143-1006</t>
  </si>
  <si>
    <t>R20260901135759-1015</t>
  </si>
  <si>
    <t>R20260901141738-1004</t>
  </si>
  <si>
    <t>R20260901142131-1001</t>
  </si>
  <si>
    <t>R20260901145826-1014</t>
  </si>
  <si>
    <t>R20260901204543-1004</t>
  </si>
  <si>
    <t>R20260902075740-1003</t>
  </si>
  <si>
    <t>R20260902084447-1001</t>
  </si>
  <si>
    <t>R20260902085459-1015</t>
  </si>
  <si>
    <t>R20260902090356-1002</t>
  </si>
  <si>
    <t>R20260902092324-1016</t>
  </si>
  <si>
    <t>R20260902092749-1004</t>
  </si>
  <si>
    <t>R20260902094729-1014</t>
  </si>
  <si>
    <t>R20260902130111-1006</t>
  </si>
  <si>
    <t>R20260902134525-1016</t>
  </si>
  <si>
    <t>R20260902134938-1003</t>
  </si>
  <si>
    <t>R20260902135938-1015</t>
  </si>
  <si>
    <t>R20260902170832-1004</t>
  </si>
  <si>
    <t>R20260903074015-1002</t>
  </si>
  <si>
    <t>R20260903075938-1003</t>
  </si>
  <si>
    <t>R20260903084720-1015</t>
  </si>
  <si>
    <t>R20260903090054-1004</t>
  </si>
  <si>
    <t>R20260903092259-1016</t>
  </si>
  <si>
    <t>R20260903095151-1014</t>
  </si>
  <si>
    <t>R20260903103924-1001</t>
  </si>
  <si>
    <t>R20260903132059-1016</t>
  </si>
  <si>
    <t>R20260903132328-1015</t>
  </si>
  <si>
    <t>R20260903133506-1003</t>
  </si>
  <si>
    <t>R20260903142158-1014</t>
  </si>
  <si>
    <t>R20260904085251-1002</t>
  </si>
  <si>
    <t>R20260904085600-1015</t>
  </si>
  <si>
    <t>R20260904085850-1004</t>
  </si>
  <si>
    <t>R20260904090557-1001</t>
  </si>
  <si>
    <t>R20260904134441-1016</t>
  </si>
  <si>
    <t>R20260904134530-1014</t>
  </si>
  <si>
    <t>R20260904135935-1015</t>
  </si>
  <si>
    <t>R20260904140704-1002</t>
  </si>
  <si>
    <t>R20260904150813-1014</t>
  </si>
  <si>
    <t>R20260904161037-1001</t>
  </si>
  <si>
    <t>R20260905123445-1016</t>
  </si>
  <si>
    <t>R20260905160033-1001</t>
  </si>
  <si>
    <t>R20260906081946-1001</t>
  </si>
  <si>
    <t>R20260906082127-1011</t>
  </si>
  <si>
    <t>R20260906140226-1002</t>
  </si>
  <si>
    <t>R20260906142712-1004</t>
  </si>
  <si>
    <t>R20260906164629-1011</t>
  </si>
  <si>
    <t>R20260907084819-1011</t>
  </si>
  <si>
    <t>R20260907094422-1004</t>
  </si>
  <si>
    <t>R20260907125823-1002</t>
  </si>
  <si>
    <t>R20260907140200-1011</t>
  </si>
  <si>
    <t>R20260907143616-1004</t>
  </si>
  <si>
    <t>R20260907173933-1001</t>
  </si>
  <si>
    <t>R20260908075452-1011</t>
  </si>
  <si>
    <t>R20260908082959-1002</t>
  </si>
  <si>
    <t>R20260908090417-1006</t>
  </si>
  <si>
    <t>R20260908092924-1004</t>
  </si>
  <si>
    <t>R20260908105410-1004</t>
  </si>
  <si>
    <t>R20260908125725-1011</t>
  </si>
  <si>
    <t>R20260908133211-1002</t>
  </si>
  <si>
    <t>R20260908134657-1016</t>
  </si>
  <si>
    <t>R20260908135250-1015</t>
  </si>
  <si>
    <t>R20260908140315-1014</t>
  </si>
  <si>
    <t>R20260908144643-1004</t>
  </si>
  <si>
    <t>R20260908170428-1001</t>
  </si>
  <si>
    <t>R20260908182055-1006</t>
  </si>
  <si>
    <t>R20260908194546-1004</t>
  </si>
  <si>
    <t>R20260909065456-1001</t>
  </si>
  <si>
    <t>R20260909074551-1006</t>
  </si>
  <si>
    <t>R20260909075619-1011</t>
  </si>
  <si>
    <t>R20260909083040-1002</t>
  </si>
  <si>
    <t>R20260909083701-1016</t>
  </si>
  <si>
    <t>R20260909092826-1014</t>
  </si>
  <si>
    <t>R20260909093322-1015</t>
  </si>
  <si>
    <t>R20260909094452-1010</t>
  </si>
  <si>
    <t>R20260909102805-1004</t>
  </si>
  <si>
    <t>R20260909125356-1011</t>
  </si>
  <si>
    <t>R20260909134554-1014</t>
  </si>
  <si>
    <t>R20260909135550-1015</t>
  </si>
  <si>
    <t>R20260909141216-1010</t>
  </si>
  <si>
    <t>R20260909141434-1016</t>
  </si>
  <si>
    <t>R20260909144044-1006</t>
  </si>
  <si>
    <t>R20260909145412-1004</t>
  </si>
  <si>
    <t>R20260909162853-1001</t>
  </si>
  <si>
    <t>R20260910074701-1011</t>
  </si>
  <si>
    <t>R20260910082332-1001</t>
  </si>
  <si>
    <t>R20260910084749-1016</t>
  </si>
  <si>
    <t>R20260910084910-1015</t>
  </si>
  <si>
    <t>R20260910091201-1006</t>
  </si>
  <si>
    <t>R20260910091855-1010</t>
  </si>
  <si>
    <t>R20260910095254-1014</t>
  </si>
  <si>
    <t>R20260910100152-1004</t>
  </si>
  <si>
    <t>R20260910131913-1002</t>
  </si>
  <si>
    <t>R20260910132627-1016</t>
  </si>
  <si>
    <t>R20260910183208-1004</t>
  </si>
  <si>
    <t>R20260911082744-1006</t>
  </si>
  <si>
    <t>R20260911085045-1015</t>
  </si>
  <si>
    <t>R20260911091055-1017</t>
  </si>
  <si>
    <t>R20260911094412-1014</t>
  </si>
  <si>
    <t>R20260911095447-1016</t>
  </si>
  <si>
    <t>R20260911100646-1005</t>
  </si>
  <si>
    <t>R20260911135610-1014</t>
  </si>
  <si>
    <t>R20260911141745-1017</t>
  </si>
  <si>
    <t>R20260911142446-1010</t>
  </si>
  <si>
    <t>R20260911144116-1016</t>
  </si>
  <si>
    <t>R20260911150402-1004</t>
  </si>
  <si>
    <t>R20260911150726-1005</t>
  </si>
  <si>
    <t>R20260911151317-1006</t>
  </si>
  <si>
    <t>R20260911164751-1001</t>
  </si>
  <si>
    <t>R20260911205702-1006</t>
  </si>
  <si>
    <t>R20260912091619-1017</t>
  </si>
  <si>
    <t>R20260914081428-1011</t>
  </si>
  <si>
    <t>R20260914093500-1009</t>
  </si>
  <si>
    <t>R20260914125231-1011</t>
  </si>
  <si>
    <t>R20260915081029-1011</t>
  </si>
  <si>
    <t>R20260916075707-1011</t>
  </si>
  <si>
    <t>R20260917080656-1011</t>
  </si>
  <si>
    <t>R20260917131604-1002</t>
  </si>
  <si>
    <t>R20260918072939-1002</t>
  </si>
  <si>
    <t>R20260918080311-1011</t>
  </si>
  <si>
    <t>R20260918131309-1002</t>
  </si>
  <si>
    <t>R20260918132048-1011</t>
  </si>
  <si>
    <t>R20260919141522-1002</t>
  </si>
  <si>
    <t>R20260921081637-1002</t>
  </si>
  <si>
    <t>R20260921125336-1011</t>
  </si>
  <si>
    <t>R20260921131602-1002</t>
  </si>
  <si>
    <t>R20260922090635-1002</t>
  </si>
  <si>
    <t>R20260922132600-1002</t>
  </si>
  <si>
    <t>R20260923080241-1011</t>
  </si>
  <si>
    <t>R20260923085257-1002</t>
  </si>
  <si>
    <t>R20260923125238-1011</t>
  </si>
  <si>
    <t>R20260923130129-1002</t>
  </si>
  <si>
    <t>R20260924080427-1011</t>
  </si>
  <si>
    <t>R20260924081303-1002</t>
  </si>
  <si>
    <t>R20260924081608-1003</t>
  </si>
  <si>
    <t>R20260924130621-1002</t>
  </si>
  <si>
    <t>R20260924131741-1011</t>
  </si>
  <si>
    <t>R20260924134249-1003</t>
  </si>
  <si>
    <t>R20260925080637-1003</t>
  </si>
  <si>
    <t>R20260925081942-1011</t>
  </si>
  <si>
    <t>R20260925084725-1002</t>
  </si>
  <si>
    <t>R20260925125359-1011</t>
  </si>
  <si>
    <t>R20260925131444-1002</t>
  </si>
  <si>
    <t>R20260925135112-1003</t>
  </si>
  <si>
    <t>R20260926080252-1003</t>
  </si>
  <si>
    <t>R20260926094953-1011</t>
  </si>
  <si>
    <t>R20260926130241-1003</t>
  </si>
  <si>
    <t>R20260926171229-1011</t>
  </si>
  <si>
    <t>R20260927080944-1011</t>
  </si>
  <si>
    <t>R20260927131856-1011</t>
  </si>
  <si>
    <t>R20260928071933-1003</t>
  </si>
  <si>
    <t>R20260928075050-1002</t>
  </si>
  <si>
    <t>R20260928080935-1011</t>
  </si>
  <si>
    <t>R20260928121938-1003</t>
  </si>
  <si>
    <t>R20260928125927-1002</t>
  </si>
  <si>
    <t>R20260928133206-1011</t>
  </si>
  <si>
    <t>RESUMO MENSAL DE PAGAMENTOS</t>
  </si>
  <si>
    <t>Selecione o mês no formato AAAA-MM. Valores vêm automaticamente dos registros concluídos.</t>
  </si>
  <si>
    <t>Mês de apuração</t>
  </si>
  <si>
    <t>Horas úteis</t>
  </si>
  <si>
    <t>Horas FDS</t>
  </si>
  <si>
    <t>Horas totais</t>
  </si>
  <si>
    <t>Dias trabalhados</t>
  </si>
  <si>
    <t>Valor calculado</t>
  </si>
  <si>
    <t>Ajustes</t>
  </si>
  <si>
    <t>TOTAL A PAGAR</t>
  </si>
  <si>
    <t>Pendências</t>
  </si>
  <si>
    <t>TOTAL GERAL</t>
  </si>
  <si>
    <t>CUSTO MENSAL POR PROJETO</t>
  </si>
  <si>
    <t>Horas, pessoas e custos consolidados a partir dos nomes padronizados.</t>
  </si>
  <si>
    <t>Registros</t>
  </si>
  <si>
    <t>Pessoas</t>
  </si>
  <si>
    <t>Custo total</t>
  </si>
  <si>
    <t>BANCO CENTRAL</t>
  </si>
  <si>
    <t>O TEMPO</t>
  </si>
  <si>
    <t>ELEITORAL MG 2026</t>
  </si>
  <si>
    <t>CNI</t>
  </si>
  <si>
    <t>BH SHOPPING</t>
  </si>
  <si>
    <t>TOTAL</t>
  </si>
  <si>
    <t>CONFIGURAÇÃO NO EXCEL DO SHAREPOINT</t>
  </si>
  <si>
    <t>Faça esta configuração uma única vez. Depois, os usuários utilizarão somente a aba Registrar Ponto.</t>
  </si>
  <si>
    <t>PASSO A PASSO</t>
  </si>
  <si>
    <t>1</t>
  </si>
  <si>
    <t>Envie este arquivo para uma biblioteca do SharePoint e abra no Excel para a Web.</t>
  </si>
  <si>
    <t>2</t>
  </si>
  <si>
    <t>Abra a aba Office Script, copie todas as linhas da coluna A a partir de A2.</t>
  </si>
  <si>
    <t>3</t>
  </si>
  <si>
    <t>No menu Automatizar, escolha Novo Script, apague o exemplo e cole o código copiado.</t>
  </si>
  <si>
    <t>4</t>
  </si>
  <si>
    <t>Salve o script com o nome Registrar Ponto DATATEMPO.</t>
  </si>
  <si>
    <t>5</t>
  </si>
  <si>
    <t>No painel do script, escolha Adicionar botão à planilha e posicione-o sobre o quadro laranja da aba Registrar Ponto.</t>
  </si>
  <si>
    <t>6</t>
  </si>
  <si>
    <t>Proteja as abas Batidas, Registros e resumos contra edição manual. Deixe os cadastros sob responsabilidade administrativa.</t>
  </si>
  <si>
    <t>7</t>
  </si>
  <si>
    <t>Compartilhe o arquivo. Cada usuário escolhe seu ID, tipo, projeto e atividade e clica no botão.</t>
  </si>
  <si>
    <t>IMPORTANTE: o botão precisa ser criado no Excel para a Web porque o script fica armazenado no ambiente Microsoft 365, não dentro do arquivo .xlsx. O arquivo já está preparado para receber o botão.</t>
  </si>
  <si>
    <t>PRIVACIDADE: após um INÍCIO ou FIM registrado com sucesso, o painel apaga automaticamente ID, tipo, projeto, atividade e observação. Em caso de erro, os campos permanecem para correção.</t>
  </si>
  <si>
    <t>PLANEJADO PARA 3 ANOS: até 100 pessoas, 150 projetos, 200 atividades e 30.000 jornadas nos resumos. Cadastre sempre dentro das tabelas e mantenha o status ATIVO. A primeira batida da nova pessoa/projeto cria automaticamente a linha correspondente nos resumos.</t>
  </si>
  <si>
    <t>OFFICE SCRIPT — REGISTRAR PONTO</t>
  </si>
  <si>
    <t>function main(workbook: ExcelScript.Workbook) {</t>
  </si>
  <si>
    <t>const painel = workbook.getWorksheet("Registrar Ponto");</t>
  </si>
  <si>
    <t>const pessoas = workbook.getWorksheet("Cadastro Pessoas").getTable("tblPessoas");</t>
  </si>
  <si>
    <t>const projetos = workbook.getWorksheet("Cadastro Projetos").getTable("tblProjetos");</t>
  </si>
  <si>
    <t>const atividades = workbook.getWorksheet("Cadastro Atividades").getTable("tblAtividades");</t>
  </si>
  <si>
    <t>const batidas = workbook.getWorksheet("Batidas").getTable("tblBatidas");</t>
  </si>
  <si>
    <t>const registros = workbook.getWorksheet("Registros").getTable("tblRegistros");</t>
  </si>
  <si>
    <t>const id = String(painel.getRange("C6").getValue()).trim();</t>
  </si>
  <si>
    <t>const tipo = String(painel.getRange("C10").getValue()).trim().toUpperCase();</t>
  </si>
  <si>
    <t>const projeto = String(painel.getRange("C12").getValue()).trim();</t>
  </si>
  <si>
    <t>const atividade = String(painel.getRange("C14").getValue()).trim();</t>
  </si>
  <si>
    <t>const observacao = String(painel.getRange("C16").getValue()).trim();</t>
  </si>
  <si>
    <t>if (!id || !["INÍCIO","FIM"].includes(tipo) || !projeto || !atividade) {</t>
  </si>
  <si>
    <t>painel.getRange("C19").setValue("PREENCHA ID, TIPO, PROJETO E ATIVIDADE.");</t>
  </si>
  <si>
    <t>return;</t>
  </si>
  <si>
    <t>}</t>
  </si>
  <si>
    <t>const pRows = pessoas.getRangeBetweenHeaderAndTotal().getValues();</t>
  </si>
  <si>
    <t>const p = pRows.find(r =&gt; String(r[0]).trim() === id &amp;&amp; String(r[7]).toUpperCase() === "ATIVO");</t>
  </si>
  <si>
    <t>if (!p) { painel.getRange("C19").setValue("ID NÃO ENCONTRADO OU INATIVO."); return; }</t>
  </si>
  <si>
    <t>const nome = String(p[1]);</t>
  </si>
  <si>
    <t>const base = String(p[2]);</t>
  </si>
  <si>
    <t>const taxaUtil = Number(p[3]) || 0;</t>
  </si>
  <si>
    <t>const taxaFds = Number(p[4]) || 0;</t>
  </si>
  <si>
    <t>const diaria = Number(p[5]) || 0;</t>
  </si>
  <si>
    <t>const prjOk = projetos.getRangeBetweenHeaderAndTotal().getValues().some(r =&gt; String(r[1]) === projeto &amp;&amp; String(r[3]).toUpperCase() === "ATIVO");</t>
  </si>
  <si>
    <t>const atvOk = atividades.getRangeBetweenHeaderAndTotal().getValues().some(r =&gt; String(r[1]) === atividade &amp;&amp; String(r[3]).toUpperCase() === "ATIVO");</t>
  </si>
  <si>
    <t>if (!prjOk || !atvOk) { painel.getRange("C19").setValue("PROJETO OU ATIVIDADE FORA DO CADASTRO ATIVO."); return; }</t>
  </si>
  <si>
    <t>// Integra automaticamente novos cadastros aos resumos.</t>
  </si>
  <si>
    <t>const resumoSheet = workbook.getWorksheet("Resumo Pagamentos");</t>
  </si>
  <si>
    <t>const resumoIds = resumoSheet.getRange("A7:A106").getValues();</t>
  </si>
  <si>
    <t>let resumoPos = resumoIds.findIndex(r =&gt; String(r[0]) === id);</t>
  </si>
  <si>
    <t>if (resumoPos &lt; 0) resumoPos = resumoIds.findIndex(r =&gt; String(r[0]).trim() === "");</t>
  </si>
  <si>
    <t>if (resumoPos &lt; 0) { painel.getRange("C19").setValue("LIMITE DE 100 PESSOAS NO RESUMO. PROCURE A ADMINISTRAÇÃO."); return; }</t>
  </si>
  <si>
    <t>const rr = 7 + resumoPos;</t>
  </si>
  <si>
    <t>if (String(resumoIds[resumoPos][0]).trim() === "") {</t>
  </si>
  <si>
    <t>resumoSheet.getRange("A"+rr+":C"+rr).setValues([[Number(id), nome, base]]);</t>
  </si>
  <si>
    <t>resumoSheet.getRange("D"+rr).setFormula('=SUMIFS(\'Registros\'!$K$5:$K$30004,\'Registros\'!$E$5:$E$30004,A'+rr+',\'Registros\'!$D$5:$D$30004,"DIA ÚTIL",\'Registros\'!$S$5:$S$30004,$B$4,\'Registros\'!$Q$5:$Q$30004,"CONCLUÍDO")');</t>
  </si>
  <si>
    <t>resumoSheet.getRange("E"+rr).setFormula('=SUMIFS(\'Registros\'!$K$5:$K$30004,\'Registros\'!$E$5:$E$30004,A'+rr+',\'Registros\'!$D$5:$D$30004,"FDS/FERIADO",\'Registros\'!$S$5:$S$30004,$B$4,\'Registros\'!$Q$5:$Q$30004,"CONCLUÍDO")');</t>
  </si>
  <si>
    <t>resumoSheet.getRange("F"+rr).setFormula("=D"+rr+"+E"+rr);</t>
  </si>
  <si>
    <t>resumoSheet.getRange("G"+rr).setFormula('=SUMIFS(\'Registros\'!$R$5:$R$30004,\'Registros\'!$E$5:$E$30004,A'+rr+',\'Registros\'!$S$5:$S$30004,$B$4,\'Registros\'!$Q$5:$Q$30004,"CONCLUÍDO")');</t>
  </si>
  <si>
    <t>resumoSheet.getRange("H"+rr+":J"+rr).setValues([[taxaUtil,taxaFds,diaria]]);</t>
  </si>
  <si>
    <t>resumoSheet.getRange("K"+rr).setFormula('=SUMIFS(\'Registros\'!$P$5:$P$30004,\'Registros\'!$E$5:$E$30004,A'+rr+',\'Registros\'!$S$5:$S$30004,$B$4,\'Registros\'!$Q$5:$Q$30004,"CONCLUÍDO")');</t>
  </si>
  <si>
    <t>resumoSheet.getRange("L"+rr).setValue(0); resumoSheet.getRange("M"+rr).setFormula("=K"+rr+"+L"+rr);</t>
  </si>
  <si>
    <t>resumoSheet.getRange("N"+rr).setFormula('=COUNTIFS(\'Registros\'!$E$5:$E$30004,A'+rr+',\'Registros\'!$S$5:$S$30004,$B$4,\'Registros\'!$Q$5:$Q$30004,"EM ABERTO")');</t>
  </si>
  <si>
    <t>const custoSheet = workbook.getWorksheet("Custo por Projeto");</t>
  </si>
  <si>
    <t>const custoProjetos = custoSheet.getRange("B7:B156").getValues();</t>
  </si>
  <si>
    <t>let custoPos = custoProjetos.findIndex(r =&gt; String(r[0]) === projeto);</t>
  </si>
  <si>
    <t>if (custoPos &lt; 0) custoPos = custoProjetos.findIndex(r =&gt; String(r[0]).trim() === "");</t>
  </si>
  <si>
    <t>if (custoPos &lt; 0) { painel.getRange("C19").setValue("LIMITE DE 150 PROJETOS NO RESUMO. PROCURE A ADMINISTRAÇÃO."); return; }</t>
  </si>
  <si>
    <t>const rc = 7 + custoPos;</t>
  </si>
  <si>
    <t>if (String(custoProjetos[custoPos][0]).trim() === "") {</t>
  </si>
  <si>
    <t>const projetoRow = projetos.getRangeBetweenHeaderAndTotal().getValues().find(r =&gt; String(r[1]) === projeto);</t>
  </si>
  <si>
    <t>custoSheet.getRange("A"+rc+":B"+rc).setValues([[String(projetoRow[0]),projeto]]);</t>
  </si>
  <si>
    <t>custoSheet.getRange("C"+rc).setFormula('=SUMIFS(\'Registros\'!$K$5:$K$30004,\'Registros\'!$G$5:$G$30004,B'+rc+',\'Registros\'!$D$5:$D$30004,"DIA ÚTIL",\'Registros\'!$S$5:$S$30004,$B$4,\'Registros\'!$Q$5:$Q$30004,"CONCLUÍDO")');</t>
  </si>
  <si>
    <t>custoSheet.getRange("D"+rc).setFormula('=SUMIFS(\'Registros\'!$K$5:$K$30004,\'Registros\'!$G$5:$G$30004,B'+rc+',\'Registros\'!$D$5:$D$30004,"FDS/FERIADO",\'Registros\'!$S$5:$S$30004,$B$4,\'Registros\'!$Q$5:$Q$30004,"CONCLUÍDO")');</t>
  </si>
  <si>
    <t>custoSheet.getRange("E"+rc).setFormula("=C"+rc+"+D"+rc);</t>
  </si>
  <si>
    <t>custoSheet.getRange("F"+rc).setFormula('=COUNTIFS(\'Registros\'!$G$5:$G$30004,B'+rc+',\'Registros\'!$S$5:$S$30004,$B$4,\'Registros\'!$Q$5:$Q$30004,"CONCLUÍDO")');</t>
  </si>
  <si>
    <t>custoSheet.getRange("G"+rc).setFormula('=IF(F'+rc+'=0,0,IFERROR(ROWS(UNIQUE(FILTER(\'Registros\'!$E$5:$E$30004,(\'Registros\'!$G$5:$G$30004=B'+rc+')*(\'Registros\'!$S$5:$S$30004=$B$4)*(\'Registros\'!$Q$5:$Q$30004="CONCLUÍDO")))),0))');</t>
  </si>
  <si>
    <t>custoSheet.getRange("H"+rc).setFormula('=SUMIFS(\'Registros\'!$P$5:$P$30004,\'Registros\'!$G$5:$G$30004,B'+rc+',\'Registros\'!$S$5:$S$30004,$B$4,\'Registros\'!$Q$5:$Q$30004,"CONCLUÍDO")');</t>
  </si>
  <si>
    <t>const agoraUTC = new Date();</t>
  </si>
  <si>
    <t>const agoraBR = new Date(agoraUTC.getTime() - 3 * 60 * 60 * 1000);</t>
  </si>
  <si>
    <t>const serial = (Date.UTC(agoraBR.getUTCFullYear(), agoraBR.getUTCMonth(), agoraBR.getUTCDate(), agoraBR.getUTCHours(), agoraBR.getUTCMinutes(), agoraBR.getUTCSeconds()) - Date.UTC(1899, 11, 30)) / 86400000;</t>
  </si>
  <si>
    <t>const dataSerial = Math.floor(serial);</t>
  </si>
  <si>
    <t>const horaSerial = serial - dataSerial;</t>
  </si>
  <si>
    <t>const dias = ["DOMINGO","SEGUNDA-FEIRA","TERÇA-FEIRA","QUARTA-FEIRA","QUINTA-FEIRA","SEXTA-FEIRA","SÁBADO"];</t>
  </si>
  <si>
    <t>const diaSemana = dias[agoraBR.getUTCDay()];</t>
  </si>
  <si>
    <t>const tipoDia = (agoraBR.getUTCDay() === 0 || agoraBR.getUTCDay() === 6) ? "FDS/FERIADO" : "DIA ÚTIL";</t>
  </si>
  <si>
    <t>const batidaId = "B" + agoraBR.getUTCFullYear() + String(agoraBR.getUTCMonth()+1).padStart(2,"0") + String(agoraBR.getUTCDate()).padStart(2,"0") + String(agoraBR.getUTCHours()).padStart(2,"0") + String(agoraBR.getUTCMinutes()).padStart(2,"0") + String(agoraBR.getUTCSeconds()).padStart(2,"0") + "-" + id;</t>
  </si>
  <si>
    <t>batidas.addRow(-1, [batidaId, serial, dataSerial, diaSemana, Number(id), nome, tipo, projeto, atividade, observacao, "SharePoint / Office Script"]);</t>
  </si>
  <si>
    <t>const rBody = registros.getRangeBetweenHeaderAndTotal();</t>
  </si>
  <si>
    <t>const rRows = rBody.getValues();</t>
  </si>
  <si>
    <t>let aberta = -1;</t>
  </si>
  <si>
    <t>for (let i = rRows.length - 1; i &gt;= 0; i--) {</t>
  </si>
  <si>
    <t>if (String(rRows[i][4]) === id &amp;&amp; String(rRows[i][16]).toUpperCase() === "EM ABERTO") { aberta = i; break; }</t>
  </si>
  <si>
    <t>if (tipo === "INÍCIO") {</t>
  </si>
  <si>
    <t>if (aberta &gt;= 0) { painel.getRange("C19").setValue("JÁ EXISTE UM INÍCIO EM ABERTO. REGISTRE O FIM."); return; }</t>
  </si>
  <si>
    <t>const regId = "R" + batidaId.substring(1);</t>
  </si>
  <si>
    <t>const taxa = tipoDia === "DIA ÚTIL" ? taxaUtil : taxaFds;</t>
  </si>
  <si>
    <t>registros.addRow(-1, [regId, dataSerial, diaSemana, tipoDia, Number(id), nome, projeto, atividade, horaSerial, "", "", "", base, taxa, diaria, "", "EM ABERTO", "", agoraBR.getUTCFullYear() + "-" + String(agoraBR.getUTCMonth()+1).padStart(2,"0")]);</t>
  </si>
  <si>
    <t>painel.getRange("C19").setValue("INÍCIO REGISTRADO ÀS " + String(agoraBR.getUTCHours()).padStart(2,"0") + ":" + String(agoraBR.getUTCMinutes()).padStart(2,"0"));</t>
  </si>
  <si>
    <t>} else {</t>
  </si>
  <si>
    <t>if (aberta &lt; 0) { painel.getRange("C19").setValue("NÃO HÁ INÍCIO EM ABERTO PARA ESTE ID."); return; }</t>
  </si>
  <si>
    <t>if (String(rRows[aberta][6]) !== projeto || String(rRows[aberta][7]) !== atividade) { painel.getRange("C19").setValue("PROJETO/ATIVIDADE DIFERENTES DO INÍCIO EM ABERTO."); return; }</t>
  </si>
  <si>
    <t>const inicio = Number(rRows[aberta][8]);</t>
  </si>
  <si>
    <t>const horas = Math.max(0, (serial - (Number(rRows[aberta][1]) + inicio)) * 24);</t>
  </si>
  <si>
    <t>const primeiroDia = rRows.some((r, i) =&gt; i !== aberta &amp;&amp; String(r[4]) === id &amp;&amp; Number(r[1]) === dataSerial &amp;&amp; String(r[16]).toUpperCase() === "CONCLUÍDO") ? 0 : 1;</t>
  </si>
  <si>
    <t>const valor = base.toUpperCase() === "DIÁRIA" ? diaria * primeiroDia : horas * Number(rRows[aberta][13]);</t>
  </si>
  <si>
    <t>rBody.getCell(aberta, 9).setValue(horaSerial);</t>
  </si>
  <si>
    <t>rBody.getCell(aberta, 10).setValue(horas);</t>
  </si>
  <si>
    <t>rBody.getCell(aberta, 11).setValue(observacao);</t>
  </si>
  <si>
    <t>rBody.getCell(aberta, 15).setValue(valor);</t>
  </si>
  <si>
    <t>rBody.getCell(aberta, 16).setValue("CONCLUÍDO");</t>
  </si>
  <si>
    <t>rBody.getCell(aberta, 17).setValue(primeiroDia);</t>
  </si>
  <si>
    <t>painel.getRange("C19").setValue("FIM REGISTRADO. TOTAL: " + horas.toFixed(2) + " HORAS.");</t>
  </si>
  <si>
    <t>// Limpa os dados somente após um registro válido.</t>
  </si>
  <si>
    <t>painel.getRange("C6").setValue("");</t>
  </si>
  <si>
    <t>painel.getRange("C10").setValue("");</t>
  </si>
  <si>
    <t>painel.getRange("C12").setValue("");</t>
  </si>
  <si>
    <t>painel.getRange("C14").setValue("");</t>
  </si>
  <si>
    <t>painel.getRange("C16").setValue("");</t>
  </si>
  <si>
    <t>painel.getRange("C19").setValue("REGISTRO REALIZADO COM SUCESSO. PAINEL LIMPO PARA O PRÓXIMO USUÁRIO.");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</si>
</sst>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dd/mm/yyyy\ hh:mm:ss"/>
  </numFmts>
  <fonts count="16">
    <font>
      <sz val="11"/>
      <name val="Carlito"/>
    </font>
    <font>
      <b/>
      <sz val="18"/>
      <color rgb="FFFFFFFF"/>
      <name val="Carlito"/>
    </font>
    <font>
      <sz val="10"/>
      <color rgb="FF1F2937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2"/>
      <color rgb="FF1F2937"/>
      <name val="Carlito"/>
    </font>
    <font>
      <b/>
      <sz val="14"/>
      <color rgb="FF17365D"/>
      <name val="Carlito"/>
    </font>
    <font>
      <b/>
      <sz val="12"/>
      <color rgb="FF1F2937"/>
      <name val="Carlito"/>
    </font>
    <font>
      <i/>
      <sz val="11"/>
      <color rgb="FF1F2937"/>
      <name val="Carlito"/>
    </font>
    <font>
      <b/>
      <sz val="11"/>
      <color rgb="FF17365D"/>
      <name val="Carlito"/>
    </font>
    <font>
      <sz val="11"/>
      <color rgb="FF1F2937"/>
      <name val="Carlito"/>
    </font>
    <font>
      <b/>
      <sz val="11"/>
      <color rgb="FF9C5700"/>
      <name val="Carlito"/>
    </font>
    <font>
      <sz val="9"/>
      <color rgb="FF1F2937"/>
      <name val="Consolas"/>
    </font>
    <font>
      <b/>
      <sz val="11"/>
      <color rgb="FF375623"/>
      <name val="Carlito"/>
    </font>
    <font>
      <sz val="12"/>
      <color rgb="FF000000"/>
      <name val="Aptos"/>
      <charset val="1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4B183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DEBF7"/>
      </patternFill>
    </fill>
  </fills>
  <borders count="6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 style="thin">
        <color rgb="FFA9D18E"/>
      </left>
      <right/>
      <top style="thin">
        <color rgb="FFA9D18E"/>
      </top>
      <bottom/>
      <diagonal/>
    </border>
    <border>
      <left/>
      <right/>
      <top style="thin">
        <color rgb="FFA9D18E"/>
      </top>
      <bottom/>
      <diagonal/>
    </border>
    <border>
      <left/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/>
      <top/>
      <bottom style="thin">
        <color rgb="FFA9D18E"/>
      </bottom>
      <diagonal/>
    </border>
    <border>
      <left/>
      <right style="thin">
        <color rgb="FFA9D18E"/>
      </right>
      <top/>
      <bottom style="thin">
        <color rgb="FFA9D18E"/>
      </bottom>
      <diagonal/>
    </border>
    <border>
      <left style="thick">
        <color rgb="FF17365D"/>
      </left>
      <right/>
      <top style="thick">
        <color rgb="FF17365D"/>
      </top>
      <bottom/>
      <diagonal/>
    </border>
    <border>
      <left/>
      <right/>
      <top style="thick">
        <color rgb="FF17365D"/>
      </top>
      <bottom/>
      <diagonal/>
    </border>
    <border>
      <left/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/>
      <top/>
      <bottom/>
      <diagonal/>
    </border>
    <border>
      <left/>
      <right style="thick">
        <color rgb="FF17365D"/>
      </right>
      <top/>
      <bottom/>
      <diagonal/>
    </border>
    <border>
      <left style="thick">
        <color rgb="FF17365D"/>
      </left>
      <right/>
      <top/>
      <bottom style="thick">
        <color rgb="FF17365D"/>
      </bottom>
      <diagonal/>
    </border>
    <border>
      <left/>
      <right/>
      <top/>
      <bottom style="thick">
        <color rgb="FF17365D"/>
      </bottom>
      <diagonal/>
    </border>
    <border>
      <left/>
      <right style="thick">
        <color rgb="FF17365D"/>
      </right>
      <top/>
      <bottom style="thick">
        <color rgb="FF17365D"/>
      </bottom>
      <diagonal/>
    </border>
    <border>
      <left style="medium">
        <color rgb="FFF4B183"/>
      </left>
      <right/>
      <top style="medium">
        <color rgb="FFF4B183"/>
      </top>
      <bottom/>
      <diagonal/>
    </border>
    <border>
      <left/>
      <right/>
      <top style="medium">
        <color rgb="FFF4B183"/>
      </top>
      <bottom/>
      <diagonal/>
    </border>
    <border>
      <left/>
      <right style="medium">
        <color rgb="FFF4B183"/>
      </right>
      <top style="medium">
        <color rgb="FFF4B183"/>
      </top>
      <bottom/>
      <diagonal/>
    </border>
    <border>
      <left style="medium">
        <color rgb="FFF4B183"/>
      </left>
      <right/>
      <top/>
      <bottom style="medium">
        <color rgb="FFF4B183"/>
      </bottom>
      <diagonal/>
    </border>
    <border>
      <left/>
      <right/>
      <top/>
      <bottom style="medium">
        <color rgb="FFF4B183"/>
      </bottom>
      <diagonal/>
    </border>
    <border>
      <left/>
      <right style="medium">
        <color rgb="FFF4B183"/>
      </right>
      <top/>
      <bottom style="medium">
        <color rgb="FFF4B183"/>
      </bottom>
      <diagonal/>
    </border>
    <border>
      <left style="medium">
        <color rgb="FFF4B183"/>
      </left>
      <right style="medium">
        <color rgb="FFF4B183"/>
      </right>
      <top style="medium">
        <color rgb="FFF4B183"/>
      </top>
      <bottom style="medium">
        <color rgb="FFF4B183"/>
      </bottom>
      <diagonal/>
    </border>
    <border>
      <left style="thin">
        <color rgb="FFE7E6E6"/>
      </left>
      <right/>
      <top style="thin">
        <color rgb="FFE7E6E6"/>
      </top>
      <bottom/>
      <diagonal/>
    </border>
    <border>
      <left/>
      <right/>
      <top style="thin">
        <color rgb="FFE7E6E6"/>
      </top>
      <bottom/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medium">
        <color rgb="FFF4B183"/>
      </left>
      <right/>
      <top/>
      <bottom/>
      <diagonal/>
    </border>
    <border>
      <left/>
      <right style="medium">
        <color rgb="FFF4B183"/>
      </right>
      <top/>
      <bottom/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/>
      <right/>
      <top style="medium">
        <color rgb="FF70AD47"/>
      </top>
      <bottom/>
      <diagonal/>
    </border>
    <border>
      <left/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/>
      <top/>
      <bottom/>
      <diagonal/>
    </border>
    <border>
      <left/>
      <right style="medium">
        <color rgb="FF70AD47"/>
      </right>
      <top/>
      <bottom/>
      <diagonal/>
    </border>
    <border>
      <left style="medium">
        <color rgb="FF70AD47"/>
      </left>
      <right/>
      <top/>
      <bottom style="medium">
        <color rgb="FF70AD47"/>
      </bottom>
      <diagonal/>
    </border>
    <border>
      <left/>
      <right/>
      <top/>
      <bottom style="medium">
        <color rgb="FF70AD47"/>
      </bottom>
      <diagonal/>
    </border>
    <border>
      <left/>
      <right style="medium">
        <color rgb="FF70AD47"/>
      </right>
      <top/>
      <bottom style="medium">
        <color rgb="FF70AD47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/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/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121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21" fontId="0" fillId="0" borderId="0" xfId="0" applyNumberFormat="1"/>
    <xf numFmtId="2" fontId="0" fillId="0" borderId="0" xfId="0" applyNumberFormat="1"/>
    <xf numFmtId="0" fontId="12" fillId="6" borderId="0" xfId="0" applyFont="1" applyFill="1" applyAlignment="1">
      <alignment vertical="center" wrapText="1"/>
    </xf>
    <xf numFmtId="0" fontId="12" fillId="6" borderId="0" xfId="0" applyFont="1" applyFill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2" fontId="0" fillId="0" borderId="50" xfId="0" applyNumberFormat="1" applyBorder="1"/>
    <xf numFmtId="2" fontId="0" fillId="0" borderId="53" xfId="0" applyNumberFormat="1" applyBorder="1"/>
    <xf numFmtId="2" fontId="0" fillId="0" borderId="56" xfId="0" applyNumberFormat="1" applyBorder="1"/>
    <xf numFmtId="164" fontId="0" fillId="0" borderId="50" xfId="0" applyNumberFormat="1" applyBorder="1"/>
    <xf numFmtId="164" fontId="0" fillId="0" borderId="53" xfId="0" applyNumberFormat="1" applyBorder="1"/>
    <xf numFmtId="164" fontId="0" fillId="0" borderId="56" xfId="0" applyNumberFormat="1" applyBorder="1"/>
    <xf numFmtId="164" fontId="0" fillId="0" borderId="51" xfId="0" applyNumberFormat="1" applyBorder="1"/>
    <xf numFmtId="164" fontId="0" fillId="0" borderId="54" xfId="0" applyNumberFormat="1" applyBorder="1"/>
    <xf numFmtId="164" fontId="0" fillId="0" borderId="57" xfId="0" applyNumberFormat="1" applyBorder="1"/>
    <xf numFmtId="0" fontId="3" fillId="8" borderId="0" xfId="0" applyFont="1" applyFill="1"/>
    <xf numFmtId="0" fontId="3" fillId="8" borderId="0" xfId="0" applyFont="1" applyFill="1" applyAlignment="1">
      <alignment wrapText="1"/>
    </xf>
    <xf numFmtId="164" fontId="0" fillId="9" borderId="50" xfId="0" applyNumberFormat="1" applyFill="1" applyBorder="1"/>
    <xf numFmtId="164" fontId="0" fillId="9" borderId="53" xfId="0" applyNumberFormat="1" applyFill="1" applyBorder="1"/>
    <xf numFmtId="164" fontId="0" fillId="9" borderId="56" xfId="0" applyNumberFormat="1" applyFill="1" applyBorder="1"/>
    <xf numFmtId="0" fontId="3" fillId="10" borderId="0" xfId="0" applyFont="1" applyFill="1"/>
    <xf numFmtId="1" fontId="0" fillId="0" borderId="0" xfId="0" applyNumberFormat="1" applyAlignment="1">
      <alignment horizontal="center"/>
    </xf>
    <xf numFmtId="0" fontId="1" fillId="10" borderId="0" xfId="0" applyFont="1" applyFill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vertical="center" wrapText="1"/>
    </xf>
    <xf numFmtId="0" fontId="9" fillId="9" borderId="32" xfId="0" applyFont="1" applyFill="1" applyBorder="1"/>
    <xf numFmtId="1" fontId="0" fillId="0" borderId="0" xfId="0" applyNumberFormat="1" applyAlignment="1">
      <alignment horizontal="center" vertical="center"/>
    </xf>
    <xf numFmtId="0" fontId="15" fillId="11" borderId="6" xfId="0" applyFont="1" applyFill="1" applyBorder="1" applyAlignment="1">
      <alignment vertical="center" wrapText="1"/>
    </xf>
    <xf numFmtId="0" fontId="5" fillId="11" borderId="7" xfId="0" applyFont="1" applyFill="1" applyBorder="1" applyAlignment="1">
      <alignment vertical="center" wrapText="1"/>
    </xf>
    <xf numFmtId="0" fontId="5" fillId="11" borderId="8" xfId="0" applyFont="1" applyFill="1" applyBorder="1" applyAlignment="1">
      <alignment vertical="center" wrapText="1"/>
    </xf>
    <xf numFmtId="0" fontId="5" fillId="11" borderId="9" xfId="0" applyFont="1" applyFill="1" applyBorder="1" applyAlignment="1">
      <alignment vertical="center" wrapText="1"/>
    </xf>
    <xf numFmtId="0" fontId="5" fillId="11" borderId="10" xfId="0" applyFont="1" applyFill="1" applyBorder="1" applyAlignment="1">
      <alignment vertical="center" wrapText="1"/>
    </xf>
    <xf numFmtId="0" fontId="5" fillId="11" borderId="11" xfId="0" applyFont="1" applyFill="1" applyBorder="1" applyAlignment="1">
      <alignment vertical="center" wrapText="1"/>
    </xf>
    <xf numFmtId="0" fontId="1" fillId="10" borderId="0" xfId="0" applyFont="1" applyFill="1" applyAlignment="1">
      <alignment vertical="center"/>
    </xf>
    <xf numFmtId="0" fontId="2" fillId="11" borderId="0" xfId="0" applyFont="1" applyFill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14" fillId="11" borderId="4" xfId="0" applyFont="1" applyFill="1" applyBorder="1" applyAlignment="1">
      <alignment vertical="center" wrapText="1"/>
    </xf>
    <xf numFmtId="0" fontId="5" fillId="11" borderId="5" xfId="0" applyFont="1" applyFill="1" applyBorder="1" applyAlignment="1">
      <alignment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vertical="center"/>
    </xf>
    <xf numFmtId="0" fontId="4" fillId="7" borderId="13" xfId="0" applyFont="1" applyFill="1" applyBorder="1" applyAlignment="1">
      <alignment vertical="center"/>
    </xf>
    <xf numFmtId="0" fontId="4" fillId="7" borderId="14" xfId="0" applyFont="1" applyFill="1" applyBorder="1" applyAlignment="1">
      <alignment vertical="center"/>
    </xf>
    <xf numFmtId="0" fontId="4" fillId="7" borderId="15" xfId="0" applyFont="1" applyFill="1" applyBorder="1" applyAlignment="1">
      <alignment vertical="center"/>
    </xf>
    <xf numFmtId="0" fontId="4" fillId="7" borderId="16" xfId="0" applyFont="1" applyFill="1" applyBorder="1" applyAlignment="1">
      <alignment vertical="center"/>
    </xf>
    <xf numFmtId="0" fontId="4" fillId="7" borderId="17" xfId="0" applyFont="1" applyFill="1" applyBorder="1" applyAlignment="1">
      <alignment vertical="center"/>
    </xf>
    <xf numFmtId="0" fontId="3" fillId="10" borderId="0" xfId="0" applyFont="1" applyFill="1" applyAlignment="1">
      <alignment vertical="center"/>
    </xf>
    <xf numFmtId="0" fontId="7" fillId="9" borderId="26" xfId="0" applyFont="1" applyFill="1" applyBorder="1" applyAlignment="1">
      <alignment vertical="center" wrapText="1"/>
    </xf>
    <xf numFmtId="0" fontId="7" fillId="9" borderId="27" xfId="0" applyFont="1" applyFill="1" applyBorder="1" applyAlignment="1">
      <alignment vertical="center" wrapText="1"/>
    </xf>
    <xf numFmtId="0" fontId="7" fillId="9" borderId="28" xfId="0" applyFont="1" applyFill="1" applyBorder="1" applyAlignment="1">
      <alignment vertical="center" wrapText="1"/>
    </xf>
    <xf numFmtId="0" fontId="7" fillId="9" borderId="29" xfId="0" applyFont="1" applyFill="1" applyBorder="1" applyAlignment="1">
      <alignment vertical="center" wrapText="1"/>
    </xf>
    <xf numFmtId="0" fontId="7" fillId="9" borderId="30" xfId="0" applyFont="1" applyFill="1" applyBorder="1" applyAlignment="1">
      <alignment vertical="center" wrapText="1"/>
    </xf>
    <xf numFmtId="0" fontId="7" fillId="9" borderId="31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5" fillId="11" borderId="4" xfId="0" applyFont="1" applyFill="1" applyBorder="1" applyAlignment="1">
      <alignment vertical="center" wrapText="1"/>
    </xf>
    <xf numFmtId="0" fontId="5" fillId="11" borderId="66" xfId="0" applyFont="1" applyFill="1" applyBorder="1" applyAlignment="1">
      <alignment horizontal="left" vertical="center" wrapText="1"/>
    </xf>
    <xf numFmtId="0" fontId="5" fillId="11" borderId="5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10" fillId="5" borderId="33" xfId="0" applyFont="1" applyFill="1" applyBorder="1" applyAlignment="1">
      <alignment vertical="center" wrapText="1"/>
    </xf>
    <xf numFmtId="0" fontId="10" fillId="5" borderId="34" xfId="0" applyFont="1" applyFill="1" applyBorder="1" applyAlignment="1">
      <alignment vertical="center" wrapText="1"/>
    </xf>
    <xf numFmtId="0" fontId="10" fillId="5" borderId="35" xfId="0" applyFont="1" applyFill="1" applyBorder="1" applyAlignment="1">
      <alignment vertical="center" wrapText="1"/>
    </xf>
    <xf numFmtId="0" fontId="10" fillId="5" borderId="36" xfId="0" applyFont="1" applyFill="1" applyBorder="1" applyAlignment="1">
      <alignment vertical="center" wrapText="1"/>
    </xf>
    <xf numFmtId="0" fontId="10" fillId="5" borderId="37" xfId="0" applyFont="1" applyFill="1" applyBorder="1" applyAlignment="1">
      <alignment vertical="center" wrapText="1"/>
    </xf>
    <xf numFmtId="0" fontId="10" fillId="5" borderId="38" xfId="0" applyFont="1" applyFill="1" applyBorder="1" applyAlignment="1">
      <alignment vertical="center" wrapText="1"/>
    </xf>
    <xf numFmtId="0" fontId="10" fillId="6" borderId="33" xfId="0" applyFont="1" applyFill="1" applyBorder="1" applyAlignment="1">
      <alignment vertical="center" wrapText="1"/>
    </xf>
    <xf numFmtId="0" fontId="10" fillId="6" borderId="34" xfId="0" applyFont="1" applyFill="1" applyBorder="1" applyAlignment="1">
      <alignment vertical="center" wrapText="1"/>
    </xf>
    <xf numFmtId="0" fontId="10" fillId="6" borderId="35" xfId="0" applyFont="1" applyFill="1" applyBorder="1" applyAlignment="1">
      <alignment vertical="center" wrapText="1"/>
    </xf>
    <xf numFmtId="0" fontId="10" fillId="6" borderId="36" xfId="0" applyFont="1" applyFill="1" applyBorder="1" applyAlignment="1">
      <alignment vertical="center" wrapText="1"/>
    </xf>
    <xf numFmtId="0" fontId="10" fillId="6" borderId="37" xfId="0" applyFont="1" applyFill="1" applyBorder="1" applyAlignment="1">
      <alignment vertical="center" wrapText="1"/>
    </xf>
    <xf numFmtId="0" fontId="10" fillId="6" borderId="38" xfId="0" applyFont="1" applyFill="1" applyBorder="1" applyAlignment="1">
      <alignment vertical="center" wrapText="1"/>
    </xf>
    <xf numFmtId="0" fontId="11" fillId="9" borderId="26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28" xfId="0" applyFont="1" applyFill="1" applyBorder="1" applyAlignment="1">
      <alignment vertical="center" wrapText="1"/>
    </xf>
    <xf numFmtId="0" fontId="11" fillId="9" borderId="39" xfId="0" applyFont="1" applyFill="1" applyBorder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1" fillId="9" borderId="40" xfId="0" applyFont="1" applyFill="1" applyBorder="1" applyAlignment="1">
      <alignment vertical="center" wrapText="1"/>
    </xf>
    <xf numFmtId="0" fontId="11" fillId="9" borderId="29" xfId="0" applyFont="1" applyFill="1" applyBorder="1" applyAlignment="1">
      <alignment vertical="center" wrapText="1"/>
    </xf>
    <xf numFmtId="0" fontId="11" fillId="9" borderId="30" xfId="0" applyFont="1" applyFill="1" applyBorder="1" applyAlignment="1">
      <alignment vertical="center" wrapText="1"/>
    </xf>
    <xf numFmtId="0" fontId="11" fillId="9" borderId="31" xfId="0" applyFont="1" applyFill="1" applyBorder="1" applyAlignment="1">
      <alignment vertical="center" wrapText="1"/>
    </xf>
    <xf numFmtId="0" fontId="13" fillId="7" borderId="41" xfId="0" applyFont="1" applyFill="1" applyBorder="1" applyAlignment="1">
      <alignment vertical="center" wrapText="1"/>
    </xf>
    <xf numFmtId="0" fontId="13" fillId="7" borderId="42" xfId="0" applyFont="1" applyFill="1" applyBorder="1" applyAlignment="1">
      <alignment vertical="center" wrapText="1"/>
    </xf>
    <xf numFmtId="0" fontId="13" fillId="7" borderId="43" xfId="0" applyFont="1" applyFill="1" applyBorder="1" applyAlignment="1">
      <alignment vertical="center" wrapText="1"/>
    </xf>
    <xf numFmtId="0" fontId="13" fillId="7" borderId="44" xfId="0" applyFont="1" applyFill="1" applyBorder="1" applyAlignment="1">
      <alignment vertical="center" wrapText="1"/>
    </xf>
    <xf numFmtId="0" fontId="13" fillId="7" borderId="0" xfId="0" applyFont="1" applyFill="1" applyAlignment="1">
      <alignment vertical="center" wrapText="1"/>
    </xf>
    <xf numFmtId="0" fontId="13" fillId="7" borderId="45" xfId="0" applyFont="1" applyFill="1" applyBorder="1" applyAlignment="1">
      <alignment vertical="center" wrapText="1"/>
    </xf>
    <xf numFmtId="0" fontId="13" fillId="7" borderId="46" xfId="0" applyFont="1" applyFill="1" applyBorder="1" applyAlignment="1">
      <alignment vertical="center" wrapText="1"/>
    </xf>
    <xf numFmtId="0" fontId="13" fillId="7" borderId="47" xfId="0" applyFont="1" applyFill="1" applyBorder="1" applyAlignment="1">
      <alignment vertical="center" wrapText="1"/>
    </xf>
    <xf numFmtId="0" fontId="13" fillId="7" borderId="48" xfId="0" applyFont="1" applyFill="1" applyBorder="1" applyAlignment="1">
      <alignment vertical="center" wrapText="1"/>
    </xf>
    <xf numFmtId="0" fontId="9" fillId="11" borderId="58" xfId="0" applyFont="1" applyFill="1" applyBorder="1" applyAlignment="1">
      <alignment vertical="center" wrapText="1"/>
    </xf>
    <xf numFmtId="0" fontId="9" fillId="11" borderId="59" xfId="0" applyFont="1" applyFill="1" applyBorder="1" applyAlignment="1">
      <alignment vertical="center" wrapText="1"/>
    </xf>
    <xf numFmtId="0" fontId="9" fillId="11" borderId="60" xfId="0" applyFont="1" applyFill="1" applyBorder="1" applyAlignment="1">
      <alignment vertical="center" wrapText="1"/>
    </xf>
    <xf numFmtId="0" fontId="9" fillId="11" borderId="61" xfId="0" applyFont="1" applyFill="1" applyBorder="1" applyAlignment="1">
      <alignment vertical="center" wrapText="1"/>
    </xf>
    <xf numFmtId="0" fontId="9" fillId="11" borderId="0" xfId="0" applyFont="1" applyFill="1" applyAlignment="1">
      <alignment vertical="center" wrapText="1"/>
    </xf>
    <xf numFmtId="0" fontId="9" fillId="11" borderId="62" xfId="0" applyFont="1" applyFill="1" applyBorder="1" applyAlignment="1">
      <alignment vertical="center" wrapText="1"/>
    </xf>
    <xf numFmtId="0" fontId="9" fillId="11" borderId="63" xfId="0" applyFont="1" applyFill="1" applyBorder="1" applyAlignment="1">
      <alignment vertical="center" wrapText="1"/>
    </xf>
    <xf numFmtId="0" fontId="9" fillId="11" borderId="64" xfId="0" applyFont="1" applyFill="1" applyBorder="1" applyAlignment="1">
      <alignment vertical="center" wrapText="1"/>
    </xf>
    <xf numFmtId="0" fontId="9" fillId="11" borderId="65" xfId="0" applyFont="1" applyFill="1" applyBorder="1" applyAlignment="1">
      <alignment vertical="center" wrapText="1"/>
    </xf>
    <xf numFmtId="0" fontId="3" fillId="10" borderId="0" xfId="0" applyFont="1" applyFill="1" applyAlignment="1"/>
  </cellXfs>
  <cellStyles count="1">
    <cellStyle name="Normal" xfId="0" builtinId="0"/>
  </cellStyles>
  <dxfs count="11"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1273028</xdr:colOff>
      <xdr:row>3</xdr:row>
      <xdr:rowOff>152565</xdr:rowOff>
    </xdr:from>
    <xdr:to>
      <xdr:col>8</xdr:col>
      <xdr:colOff>31371</xdr:colOff>
      <xdr:row>6</xdr:row>
      <xdr:rowOff>157628</xdr:rowOff>
    </xdr:to>
    <xdr:sp macro="" textlink="">
      <xdr:nvSpPr>
        <xdr:cNvPr id="4" name="Retângulo Arredondado 1">
          <a:extLst>
            <a:ext uri="{FF2B5EF4-FFF2-40B4-BE49-F238E27FC236}">
              <a16:creationId xmlns:a16="http://schemas.microsoft.com/office/drawing/2014/main" id="{BD362504-BE3E-431F-9839-99A5B0ED2AE0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YWRhY29ycC1teS5zaGFyZXBvaW50LmNvbS86dTovZy9wZXJzb25hbC9wYXRyaWNpYV9maWd1ZWlyZWRvX2RhdGF0ZW1wb19jb21fYnIvSVFCRWMxZDFfcGpPUVlOYkRQUkRuRGRQQWVtU05MUS0xWkIyeDhrSFRwRzhKTDA&quot;}"/>
            </a:ext>
          </a:extLst>
        </xdr:cNvPr>
        <xdr:cNvSpPr/>
      </xdr:nvSpPr>
      <xdr:spPr>
        <a:xfrm>
          <a:off x="5936773" y="1151939"/>
          <a:ext cx="3633250" cy="738665"/>
        </a:xfrm>
        <a:prstGeom prst="roundRect">
          <a:avLst/>
        </a:prstGeom>
        <a:solidFill>
          <a:srgbClr val="107C41"/>
        </a:solidFill>
        <a:ln w="19050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>
              <a:solidFill>
                <a:schemeClr val="lt1"/>
              </a:solidFill>
              <a:latin typeface="+mn-lt"/>
              <a:ea typeface="+mn-lt"/>
              <a:cs typeface="+mn-lt"/>
            </a:rPr>
            <a:t>Executar REGISTRAR PONTO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essoas" displayName="tblPessoas" ref="A4:H104" totalsRowShown="0">
  <tableColumns count="8">
    <tableColumn id="1" xr3:uid="{00000000-0010-0000-0000-000001000000}" name="ID"/>
    <tableColumn id="2" xr3:uid="{00000000-0010-0000-0000-000002000000}" name="Pessoa"/>
    <tableColumn id="3" xr3:uid="{00000000-0010-0000-0000-000003000000}" name="Base"/>
    <tableColumn id="4" xr3:uid="{00000000-0010-0000-0000-000004000000}" name="R$/h útil"/>
    <tableColumn id="5" xr3:uid="{00000000-0010-0000-0000-000005000000}" name="R$/h FDS"/>
    <tableColumn id="6" xr3:uid="{00000000-0010-0000-0000-000006000000}" name="R$/diária"/>
    <tableColumn id="7" xr3:uid="{00000000-0010-0000-0000-000007000000}" name="Função/Regra"/>
    <tableColumn id="8" xr3:uid="{00000000-0010-0000-0000-000008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jetos" displayName="tblProjetos" ref="A4:D154" totalsRowShown="0">
  <tableColumns count="4">
    <tableColumn id="1" xr3:uid="{00000000-0010-0000-0100-000001000000}" name="Código"/>
    <tableColumn id="2" xr3:uid="{00000000-0010-0000-0100-000002000000}" name="Projeto padronizado"/>
    <tableColumn id="3" xr3:uid="{00000000-0010-0000-0100-000003000000}" name="Descrição"/>
    <tableColumn id="4" xr3:uid="{00000000-0010-0000-0100-000004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tividades" displayName="tblAtividades" ref="A4:D204" totalsRowShown="0">
  <tableColumns count="4">
    <tableColumn id="1" xr3:uid="{00000000-0010-0000-0200-000001000000}" name="Código"/>
    <tableColumn id="2" xr3:uid="{00000000-0010-0000-0200-000002000000}" name="Atividade padronizada"/>
    <tableColumn id="3" xr3:uid="{00000000-0010-0000-0200-000003000000}" name="Descrição"/>
    <tableColumn id="4" xr3:uid="{00000000-0010-0000-0200-000004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atidas" displayName="tblBatidas" ref="A4:K871" totalsRowShown="0">
  <tableColumns count="11">
    <tableColumn id="1" xr3:uid="{00000000-0010-0000-0300-000001000000}" name="Batida ID"/>
    <tableColumn id="2" xr3:uid="{00000000-0010-0000-0300-000002000000}" name="Data e hora"/>
    <tableColumn id="3" xr3:uid="{00000000-0010-0000-0300-000003000000}" name="Data"/>
    <tableColumn id="4" xr3:uid="{00000000-0010-0000-0300-000004000000}" name="Dia da semana"/>
    <tableColumn id="5" xr3:uid="{00000000-0010-0000-0300-000005000000}" name="ID"/>
    <tableColumn id="6" xr3:uid="{00000000-0010-0000-0300-000006000000}" name="Pessoa"/>
    <tableColumn id="7" xr3:uid="{00000000-0010-0000-0300-000007000000}" name="Tipo"/>
    <tableColumn id="8" xr3:uid="{00000000-0010-0000-0300-000008000000}" name="Projeto"/>
    <tableColumn id="9" xr3:uid="{00000000-0010-0000-0300-000009000000}" name="Atividade"/>
    <tableColumn id="10" xr3:uid="{00000000-0010-0000-0300-00000A000000}" name="Observação"/>
    <tableColumn id="11" xr3:uid="{00000000-0010-0000-0300-00000B000000}" name="Ori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gistros" displayName="tblRegistros" ref="A4:S239" totalsRowShown="0">
  <tableColumns count="19">
    <tableColumn id="1" xr3:uid="{00000000-0010-0000-0400-000001000000}" name="Registro ID"/>
    <tableColumn id="2" xr3:uid="{00000000-0010-0000-0400-000002000000}" name="Data"/>
    <tableColumn id="3" xr3:uid="{00000000-0010-0000-0400-000003000000}" name="Dia da semana"/>
    <tableColumn id="4" xr3:uid="{00000000-0010-0000-0400-000004000000}" name="Tipo de dia"/>
    <tableColumn id="5" xr3:uid="{00000000-0010-0000-0400-000005000000}" name="ID"/>
    <tableColumn id="6" xr3:uid="{00000000-0010-0000-0400-000006000000}" name="Pessoa"/>
    <tableColumn id="7" xr3:uid="{00000000-0010-0000-0400-000007000000}" name="Projeto"/>
    <tableColumn id="8" xr3:uid="{00000000-0010-0000-0400-000008000000}" name="Atividade"/>
    <tableColumn id="9" xr3:uid="{00000000-0010-0000-0400-000009000000}" name="Início"/>
    <tableColumn id="10" xr3:uid="{00000000-0010-0000-0400-00000A000000}" name="Fim"/>
    <tableColumn id="11" xr3:uid="{00000000-0010-0000-0400-00000B000000}" name="Horas"/>
    <tableColumn id="12" xr3:uid="{00000000-0010-0000-0400-00000C000000}" name="Observação"/>
    <tableColumn id="13" xr3:uid="{00000000-0010-0000-0400-00000D000000}" name="Base"/>
    <tableColumn id="14" xr3:uid="{00000000-0010-0000-0400-00000E000000}" name="Taxa aplicada"/>
    <tableColumn id="15" xr3:uid="{00000000-0010-0000-0400-00000F000000}" name="Diária"/>
    <tableColumn id="16" xr3:uid="{00000000-0010-0000-0400-000010000000}" name="Valor"/>
    <tableColumn id="17" xr3:uid="{00000000-0010-0000-0400-000011000000}" name="Status"/>
    <tableColumn id="18" xr3:uid="{00000000-0010-0000-0400-000012000000}" name="1º do dia"/>
    <tableColumn id="19" xr3:uid="{00000000-0010-0000-0400-000013000000}" name="Mê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topLeftCell="A10" workbookViewId="0">
      <selection activeCell="C14" sqref="C14:D14"/>
    </sheetView>
  </sheetViews>
  <sheetFormatPr defaultRowHeight="14.1"/>
  <cols>
    <col min="1" max="2" width="14.875" customWidth="1"/>
    <col min="3" max="5" width="18" customWidth="1"/>
    <col min="6" max="8" width="17" customWidth="1"/>
  </cols>
  <sheetData>
    <row r="1" spans="1:8" ht="30" customHeight="1">
      <c r="A1" s="46" t="s">
        <v>0</v>
      </c>
      <c r="B1" s="46"/>
      <c r="C1" s="46"/>
      <c r="D1" s="46"/>
      <c r="E1" s="46"/>
      <c r="F1" s="46"/>
      <c r="G1" s="46"/>
      <c r="H1" s="46"/>
    </row>
    <row r="2" spans="1:8" ht="33.950000000000003" customHeight="1">
      <c r="A2" s="47"/>
      <c r="B2" s="47"/>
      <c r="C2" s="47"/>
      <c r="D2" s="47"/>
      <c r="E2" s="47"/>
      <c r="F2" s="47"/>
      <c r="G2" s="47"/>
      <c r="H2" s="47"/>
    </row>
    <row r="4" spans="1:8">
      <c r="A4" s="48" t="s">
        <v>1</v>
      </c>
      <c r="B4" s="49"/>
      <c r="C4" s="49"/>
      <c r="D4" s="49"/>
      <c r="E4" s="49"/>
      <c r="F4" s="49"/>
      <c r="G4" s="49"/>
      <c r="H4" s="50"/>
    </row>
    <row r="5" spans="1:8">
      <c r="F5" s="54"/>
      <c r="G5" s="55"/>
      <c r="H5" s="56"/>
    </row>
    <row r="6" spans="1:8" ht="27.95" customHeight="1">
      <c r="A6" s="51" t="s">
        <v>2</v>
      </c>
      <c r="B6" s="51"/>
      <c r="C6" s="52"/>
      <c r="D6" s="53"/>
      <c r="F6" s="57"/>
      <c r="G6" s="58"/>
      <c r="H6" s="59"/>
    </row>
    <row r="7" spans="1:8">
      <c r="F7" s="60"/>
      <c r="G7" s="61"/>
      <c r="H7" s="62"/>
    </row>
    <row r="8" spans="1:8" ht="27.95" customHeight="1">
      <c r="A8" s="51" t="s">
        <v>3</v>
      </c>
      <c r="B8" s="51"/>
      <c r="C8" s="63"/>
      <c r="D8" s="64"/>
      <c r="E8" s="64"/>
      <c r="F8" s="64"/>
      <c r="G8" s="64"/>
      <c r="H8" s="65"/>
    </row>
    <row r="9" spans="1:8" ht="27.95" customHeight="1">
      <c r="A9" s="51" t="s">
        <v>4</v>
      </c>
      <c r="B9" s="51"/>
      <c r="C9" s="66"/>
      <c r="D9" s="67"/>
      <c r="E9" s="67"/>
      <c r="F9" s="67"/>
      <c r="G9" s="67"/>
      <c r="H9" s="68"/>
    </row>
    <row r="10" spans="1:8" ht="27.95" customHeight="1">
      <c r="A10" s="51" t="s">
        <v>5</v>
      </c>
      <c r="B10" s="51"/>
      <c r="C10" s="77"/>
      <c r="D10" s="53"/>
    </row>
    <row r="11" spans="1:8" ht="14.25"/>
    <row r="12" spans="1:8" ht="27.95" customHeight="1">
      <c r="A12" s="51" t="s">
        <v>6</v>
      </c>
      <c r="B12" s="51"/>
      <c r="C12" s="78"/>
      <c r="D12" s="78"/>
      <c r="E12" s="79"/>
    </row>
    <row r="13" spans="1:8" ht="14.25"/>
    <row r="14" spans="1:8" ht="27.95" customHeight="1">
      <c r="A14" s="51" t="s">
        <v>7</v>
      </c>
      <c r="B14" s="51"/>
      <c r="C14" s="77"/>
      <c r="D14" s="53"/>
    </row>
    <row r="15" spans="1:8" ht="14.1" customHeight="1"/>
    <row r="16" spans="1:8" ht="24.95" customHeight="1">
      <c r="A16" s="51" t="s">
        <v>8</v>
      </c>
      <c r="B16" s="51"/>
      <c r="C16" s="40"/>
      <c r="D16" s="41"/>
      <c r="E16" s="41"/>
      <c r="F16" s="41"/>
      <c r="G16" s="41"/>
      <c r="H16" s="42"/>
    </row>
    <row r="17" spans="1:8" ht="24.95" customHeight="1">
      <c r="C17" s="43"/>
      <c r="D17" s="44"/>
      <c r="E17" s="44"/>
      <c r="F17" s="44"/>
      <c r="G17" s="44"/>
      <c r="H17" s="45"/>
    </row>
    <row r="18" spans="1:8" ht="14.25"/>
    <row r="19" spans="1:8" ht="15">
      <c r="A19" s="69" t="s">
        <v>9</v>
      </c>
      <c r="B19" s="69"/>
      <c r="C19" s="70" t="s">
        <v>10</v>
      </c>
      <c r="D19" s="71"/>
      <c r="E19" s="71"/>
      <c r="F19" s="71"/>
      <c r="G19" s="71"/>
      <c r="H19" s="72"/>
    </row>
    <row r="20" spans="1:8">
      <c r="C20" s="73"/>
      <c r="D20" s="74"/>
      <c r="E20" s="74"/>
      <c r="F20" s="74"/>
      <c r="G20" s="74"/>
      <c r="H20" s="75"/>
    </row>
    <row r="22" spans="1:8">
      <c r="A22" s="76" t="s">
        <v>11</v>
      </c>
      <c r="B22" s="76"/>
      <c r="C22" s="76"/>
      <c r="D22" s="76"/>
      <c r="E22" s="76"/>
      <c r="F22" s="76"/>
      <c r="G22" s="76"/>
      <c r="H22" s="76"/>
    </row>
    <row r="23" spans="1:8">
      <c r="A23" s="76"/>
      <c r="B23" s="76"/>
      <c r="C23" s="76"/>
      <c r="D23" s="76"/>
      <c r="E23" s="76"/>
      <c r="F23" s="76"/>
      <c r="G23" s="76"/>
      <c r="H23" s="76"/>
    </row>
    <row r="24" spans="1:8">
      <c r="A24" s="76"/>
      <c r="B24" s="76"/>
      <c r="C24" s="76"/>
      <c r="D24" s="76"/>
      <c r="E24" s="76"/>
      <c r="F24" s="76"/>
      <c r="G24" s="76"/>
      <c r="H24" s="76"/>
    </row>
  </sheetData>
  <protectedRanges>
    <protectedRange sqref="C6:D6" name="id"/>
    <protectedRange sqref="C10:D10" name="tipo de registro"/>
    <protectedRange sqref="C12 E12" name="projeto"/>
    <protectedRange sqref="C14:D14" name="atividade"/>
    <protectedRange sqref="C16:H17" name="observação"/>
    <protectedRange sqref="F5:H7" name="registro"/>
  </protectedRanges>
  <mergeCells count="20">
    <mergeCell ref="A22:H24"/>
    <mergeCell ref="C10:D10"/>
    <mergeCell ref="C14:D14"/>
    <mergeCell ref="A14:B14"/>
    <mergeCell ref="A16:B16"/>
    <mergeCell ref="C12:E12"/>
    <mergeCell ref="C9:H9"/>
    <mergeCell ref="A9:B9"/>
    <mergeCell ref="A10:B10"/>
    <mergeCell ref="A12:B12"/>
    <mergeCell ref="A19:B19"/>
    <mergeCell ref="C19:H20"/>
    <mergeCell ref="A1:H1"/>
    <mergeCell ref="A2:H2"/>
    <mergeCell ref="A4:H4"/>
    <mergeCell ref="A6:B6"/>
    <mergeCell ref="A8:B8"/>
    <mergeCell ref="C6:D6"/>
    <mergeCell ref="F5:H7"/>
    <mergeCell ref="C8:H8"/>
  </mergeCells>
  <dataValidations count="1">
    <dataValidation type="list" sqref="C10" xr:uid="{00000000-0002-0000-0000-000001000000}">
      <formula1>"INÍCIO,FIM"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'Cadastro Pessoas'!$A$5:$A$104</xm:f>
          </x14:formula1>
          <xm:sqref>C6</xm:sqref>
        </x14:dataValidation>
        <x14:dataValidation type="list" xr:uid="{00000000-0002-0000-0000-000002000000}">
          <x14:formula1>
            <xm:f>'Cadastro Projetos'!$B$5:$B$154</xm:f>
          </x14:formula1>
          <xm:sqref>C12</xm:sqref>
        </x14:dataValidation>
        <x14:dataValidation type="list" xr:uid="{00000000-0002-0000-0000-000003000000}">
          <x14:formula1>
            <xm:f>'Cadastro Atividades'!$B$5:$B$204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showGridLines="0" workbookViewId="0">
      <selection activeCell="A22" sqref="A22"/>
    </sheetView>
  </sheetViews>
  <sheetFormatPr defaultRowHeight="14.1"/>
  <cols>
    <col min="1" max="1" width="11.75" customWidth="1"/>
    <col min="2" max="2" width="34" customWidth="1"/>
    <col min="3" max="3" width="6.625" customWidth="1"/>
    <col min="4" max="4" width="9.125" customWidth="1"/>
    <col min="5" max="5" width="10" customWidth="1"/>
    <col min="6" max="6" width="9.5" customWidth="1"/>
    <col min="7" max="7" width="30" customWidth="1"/>
    <col min="8" max="8" width="7.625" customWidth="1"/>
  </cols>
  <sheetData>
    <row r="1" spans="1:8" ht="30" customHeight="1">
      <c r="A1" s="46" t="s">
        <v>12</v>
      </c>
      <c r="B1" s="46"/>
      <c r="C1" s="46"/>
      <c r="D1" s="46"/>
      <c r="E1" s="46"/>
      <c r="F1" s="46"/>
      <c r="G1" s="46"/>
      <c r="H1" s="46"/>
    </row>
    <row r="2" spans="1:8" ht="33.950000000000003" customHeight="1">
      <c r="A2" s="47" t="s">
        <v>13</v>
      </c>
      <c r="B2" s="47"/>
      <c r="C2" s="47"/>
      <c r="D2" s="47"/>
      <c r="E2" s="47"/>
      <c r="F2" s="47"/>
      <c r="G2" s="47"/>
      <c r="H2" s="47"/>
    </row>
    <row r="4" spans="1:8">
      <c r="A4" s="35" t="s">
        <v>14</v>
      </c>
      <c r="B4" s="36" t="s">
        <v>3</v>
      </c>
      <c r="C4" s="36" t="s">
        <v>15</v>
      </c>
      <c r="D4" s="36" t="s">
        <v>16</v>
      </c>
      <c r="E4" s="36" t="s">
        <v>17</v>
      </c>
      <c r="F4" s="36" t="s">
        <v>18</v>
      </c>
      <c r="G4" s="36" t="s">
        <v>19</v>
      </c>
      <c r="H4" s="37" t="s">
        <v>20</v>
      </c>
    </row>
    <row r="5" spans="1:8">
      <c r="A5" s="33">
        <v>1001</v>
      </c>
      <c r="B5" t="s">
        <v>21</v>
      </c>
      <c r="C5" t="s">
        <v>22</v>
      </c>
      <c r="D5" s="2">
        <v>17</v>
      </c>
      <c r="E5" s="2">
        <v>20</v>
      </c>
      <c r="F5" s="2">
        <v>0</v>
      </c>
      <c r="G5" t="s">
        <v>23</v>
      </c>
      <c r="H5" t="s">
        <v>24</v>
      </c>
    </row>
    <row r="6" spans="1:8">
      <c r="A6" s="33">
        <v>1002</v>
      </c>
      <c r="B6" t="s">
        <v>25</v>
      </c>
      <c r="C6" t="s">
        <v>22</v>
      </c>
      <c r="D6" s="2">
        <v>23.5</v>
      </c>
      <c r="E6" s="2">
        <v>23.5</v>
      </c>
      <c r="F6" s="2">
        <v>0</v>
      </c>
      <c r="G6" t="s">
        <v>26</v>
      </c>
      <c r="H6" t="s">
        <v>24</v>
      </c>
    </row>
    <row r="7" spans="1:8">
      <c r="A7" s="33">
        <v>1003</v>
      </c>
      <c r="B7" t="s">
        <v>27</v>
      </c>
      <c r="C7" t="s">
        <v>22</v>
      </c>
      <c r="D7" s="2">
        <v>23.5</v>
      </c>
      <c r="E7" s="2">
        <v>23.5</v>
      </c>
      <c r="F7" s="2">
        <v>0</v>
      </c>
      <c r="G7" t="s">
        <v>28</v>
      </c>
      <c r="H7" t="s">
        <v>24</v>
      </c>
    </row>
    <row r="8" spans="1:8">
      <c r="A8" s="33">
        <v>1004</v>
      </c>
      <c r="B8" t="s">
        <v>29</v>
      </c>
      <c r="C8" t="s">
        <v>22</v>
      </c>
      <c r="D8" s="2">
        <v>21.5</v>
      </c>
      <c r="E8" s="2">
        <v>20</v>
      </c>
      <c r="F8" s="2">
        <v>0</v>
      </c>
      <c r="G8" t="s">
        <v>30</v>
      </c>
      <c r="H8" t="s">
        <v>24</v>
      </c>
    </row>
    <row r="9" spans="1:8">
      <c r="A9" s="33">
        <v>1005</v>
      </c>
      <c r="B9" t="s">
        <v>31</v>
      </c>
      <c r="C9" t="s">
        <v>22</v>
      </c>
      <c r="D9" s="2">
        <v>13</v>
      </c>
      <c r="E9" s="2">
        <v>16.5</v>
      </c>
      <c r="F9" s="2">
        <v>0</v>
      </c>
      <c r="G9" t="s">
        <v>32</v>
      </c>
      <c r="H9" t="s">
        <v>24</v>
      </c>
    </row>
    <row r="10" spans="1:8">
      <c r="A10" s="33">
        <v>1006</v>
      </c>
      <c r="B10" t="s">
        <v>33</v>
      </c>
      <c r="C10" t="s">
        <v>22</v>
      </c>
      <c r="D10" s="2">
        <v>14</v>
      </c>
      <c r="E10" s="2">
        <v>17</v>
      </c>
      <c r="F10" s="2">
        <v>0</v>
      </c>
      <c r="G10" t="s">
        <v>34</v>
      </c>
      <c r="H10" t="s">
        <v>24</v>
      </c>
    </row>
    <row r="11" spans="1:8">
      <c r="A11" s="33">
        <v>1007</v>
      </c>
      <c r="B11" t="s">
        <v>35</v>
      </c>
      <c r="C11" t="s">
        <v>22</v>
      </c>
      <c r="D11" s="2">
        <v>23.5</v>
      </c>
      <c r="E11" s="2">
        <v>23.5</v>
      </c>
      <c r="F11" s="2">
        <v>0</v>
      </c>
      <c r="G11" t="s">
        <v>36</v>
      </c>
      <c r="H11" t="s">
        <v>24</v>
      </c>
    </row>
    <row r="12" spans="1:8">
      <c r="A12" s="33">
        <v>1008</v>
      </c>
      <c r="B12" t="s">
        <v>37</v>
      </c>
      <c r="C12" t="s">
        <v>22</v>
      </c>
      <c r="D12" s="2">
        <v>14</v>
      </c>
      <c r="E12" s="2">
        <v>17</v>
      </c>
      <c r="F12" s="2">
        <v>0</v>
      </c>
      <c r="G12" t="s">
        <v>34</v>
      </c>
      <c r="H12" t="s">
        <v>24</v>
      </c>
    </row>
    <row r="13" spans="1:8">
      <c r="A13" s="33">
        <v>1009</v>
      </c>
      <c r="B13" t="s">
        <v>38</v>
      </c>
      <c r="C13" t="s">
        <v>22</v>
      </c>
      <c r="D13" s="2">
        <v>14</v>
      </c>
      <c r="E13" s="2">
        <v>17</v>
      </c>
      <c r="F13" s="2">
        <v>0</v>
      </c>
      <c r="G13" t="s">
        <v>34</v>
      </c>
      <c r="H13" t="s">
        <v>24</v>
      </c>
    </row>
    <row r="14" spans="1:8">
      <c r="A14" s="33">
        <v>1010</v>
      </c>
      <c r="B14" t="s">
        <v>39</v>
      </c>
      <c r="C14" t="s">
        <v>22</v>
      </c>
      <c r="D14" s="2">
        <v>14</v>
      </c>
      <c r="E14" s="2">
        <v>17</v>
      </c>
      <c r="F14" s="2">
        <v>0</v>
      </c>
      <c r="G14" t="s">
        <v>34</v>
      </c>
      <c r="H14" t="s">
        <v>24</v>
      </c>
    </row>
    <row r="15" spans="1:8">
      <c r="A15" s="33">
        <v>1011</v>
      </c>
      <c r="B15" t="s">
        <v>40</v>
      </c>
      <c r="C15" t="s">
        <v>22</v>
      </c>
      <c r="D15" s="2">
        <v>23.5</v>
      </c>
      <c r="E15" s="2">
        <v>23.5</v>
      </c>
      <c r="F15" s="2">
        <v>0</v>
      </c>
      <c r="G15" t="s">
        <v>41</v>
      </c>
      <c r="H15" t="s">
        <v>24</v>
      </c>
    </row>
    <row r="16" spans="1:8">
      <c r="A16" s="33">
        <v>1012</v>
      </c>
      <c r="B16" t="s">
        <v>42</v>
      </c>
      <c r="C16" t="s">
        <v>43</v>
      </c>
      <c r="D16" s="2">
        <v>0</v>
      </c>
      <c r="E16" s="2">
        <v>0</v>
      </c>
      <c r="F16" s="2">
        <v>222.72</v>
      </c>
      <c r="G16" t="s">
        <v>44</v>
      </c>
      <c r="H16" t="s">
        <v>24</v>
      </c>
    </row>
    <row r="17" spans="1:8">
      <c r="A17" s="33">
        <v>1013</v>
      </c>
      <c r="B17" t="s">
        <v>45</v>
      </c>
      <c r="C17" t="s">
        <v>22</v>
      </c>
      <c r="D17" s="2">
        <v>23.5</v>
      </c>
      <c r="E17" s="2">
        <v>23.5</v>
      </c>
      <c r="F17" s="2">
        <v>0</v>
      </c>
      <c r="G17" t="s">
        <v>41</v>
      </c>
      <c r="H17" t="s">
        <v>24</v>
      </c>
    </row>
    <row r="18" spans="1:8">
      <c r="A18" s="33">
        <v>1014</v>
      </c>
      <c r="B18" t="s">
        <v>46</v>
      </c>
      <c r="C18" t="s">
        <v>22</v>
      </c>
      <c r="D18" s="2">
        <v>21.5</v>
      </c>
      <c r="E18" s="2">
        <v>21.5</v>
      </c>
      <c r="F18" s="2">
        <v>0</v>
      </c>
      <c r="G18" t="s">
        <v>32</v>
      </c>
      <c r="H18" t="s">
        <v>24</v>
      </c>
    </row>
    <row r="19" spans="1:8">
      <c r="A19" s="33">
        <v>1015</v>
      </c>
      <c r="B19" t="s">
        <v>47</v>
      </c>
      <c r="C19" t="s">
        <v>22</v>
      </c>
      <c r="D19" s="2">
        <v>21.5</v>
      </c>
      <c r="E19" s="2">
        <v>21.5</v>
      </c>
      <c r="F19" s="2">
        <v>0</v>
      </c>
      <c r="G19" t="s">
        <v>48</v>
      </c>
      <c r="H19" t="s">
        <v>24</v>
      </c>
    </row>
    <row r="20" spans="1:8">
      <c r="A20" s="33">
        <v>1016</v>
      </c>
      <c r="B20" t="s">
        <v>49</v>
      </c>
      <c r="C20" t="s">
        <v>22</v>
      </c>
      <c r="D20" s="2">
        <v>23.5</v>
      </c>
      <c r="E20" s="2">
        <v>23.5</v>
      </c>
      <c r="F20" s="2">
        <v>0</v>
      </c>
      <c r="G20" t="s">
        <v>41</v>
      </c>
      <c r="H20" t="s">
        <v>24</v>
      </c>
    </row>
    <row r="21" spans="1:8">
      <c r="A21" s="39">
        <v>1017</v>
      </c>
      <c r="B21" t="s">
        <v>50</v>
      </c>
      <c r="C21" t="s">
        <v>22</v>
      </c>
      <c r="D21" s="2">
        <v>14</v>
      </c>
      <c r="E21" s="2">
        <v>17</v>
      </c>
      <c r="F21" s="2">
        <v>0</v>
      </c>
      <c r="G21" t="s">
        <v>34</v>
      </c>
      <c r="H21" t="s">
        <v>24</v>
      </c>
    </row>
    <row r="22" spans="1:8">
      <c r="A22" s="1"/>
      <c r="D22" s="2"/>
      <c r="E22" s="2"/>
      <c r="F22" s="2"/>
    </row>
    <row r="23" spans="1:8">
      <c r="A23" s="1"/>
      <c r="D23" s="2"/>
      <c r="E23" s="2"/>
      <c r="F23" s="2"/>
    </row>
    <row r="24" spans="1:8">
      <c r="A24" s="1"/>
      <c r="D24" s="2"/>
      <c r="E24" s="2"/>
      <c r="F24" s="2"/>
    </row>
    <row r="25" spans="1:8">
      <c r="A25" s="1"/>
      <c r="D25" s="2"/>
      <c r="E25" s="2"/>
      <c r="F25" s="2"/>
    </row>
    <row r="26" spans="1:8">
      <c r="A26" s="1"/>
      <c r="D26" s="2"/>
      <c r="E26" s="2"/>
      <c r="F26" s="2"/>
    </row>
    <row r="27" spans="1:8">
      <c r="A27" s="1"/>
      <c r="D27" s="2"/>
      <c r="E27" s="2"/>
      <c r="F27" s="2"/>
    </row>
    <row r="28" spans="1:8">
      <c r="A28" s="1"/>
      <c r="D28" s="2"/>
      <c r="E28" s="2"/>
      <c r="F28" s="2"/>
    </row>
    <row r="29" spans="1:8">
      <c r="A29" s="1"/>
      <c r="D29" s="2"/>
      <c r="E29" s="2"/>
      <c r="F29" s="2"/>
    </row>
    <row r="30" spans="1:8">
      <c r="A30" s="1"/>
      <c r="D30" s="2"/>
      <c r="E30" s="2"/>
      <c r="F30" s="2"/>
    </row>
    <row r="31" spans="1:8">
      <c r="A31" s="1"/>
      <c r="D31" s="2"/>
      <c r="E31" s="2"/>
      <c r="F31" s="2"/>
    </row>
    <row r="32" spans="1:8">
      <c r="A32" s="1"/>
      <c r="D32" s="2"/>
      <c r="E32" s="2"/>
      <c r="F32" s="2"/>
    </row>
    <row r="33" spans="1:6">
      <c r="A33" s="1"/>
      <c r="D33" s="2"/>
      <c r="E33" s="2"/>
      <c r="F33" s="2"/>
    </row>
    <row r="34" spans="1:6">
      <c r="A34" s="1"/>
      <c r="D34" s="2"/>
      <c r="E34" s="2"/>
      <c r="F34" s="2"/>
    </row>
    <row r="35" spans="1:6">
      <c r="A35" s="1"/>
      <c r="D35" s="2"/>
      <c r="E35" s="2"/>
      <c r="F35" s="2"/>
    </row>
    <row r="36" spans="1:6">
      <c r="A36" s="1"/>
      <c r="D36" s="2"/>
      <c r="E36" s="2"/>
      <c r="F36" s="2"/>
    </row>
    <row r="37" spans="1:6">
      <c r="A37" s="1"/>
      <c r="D37" s="2"/>
      <c r="E37" s="2"/>
      <c r="F37" s="2"/>
    </row>
    <row r="38" spans="1:6">
      <c r="A38" s="1"/>
      <c r="D38" s="2"/>
      <c r="E38" s="2"/>
      <c r="F38" s="2"/>
    </row>
    <row r="39" spans="1:6">
      <c r="A39" s="1"/>
      <c r="D39" s="2"/>
      <c r="E39" s="2"/>
      <c r="F39" s="2"/>
    </row>
    <row r="40" spans="1:6">
      <c r="A40" s="1"/>
      <c r="D40" s="2"/>
      <c r="E40" s="2"/>
      <c r="F40" s="2"/>
    </row>
    <row r="41" spans="1:6">
      <c r="A41" s="1"/>
      <c r="D41" s="2"/>
      <c r="E41" s="2"/>
      <c r="F41" s="2"/>
    </row>
    <row r="42" spans="1:6">
      <c r="A42" s="1"/>
      <c r="D42" s="2"/>
      <c r="E42" s="2"/>
      <c r="F42" s="2"/>
    </row>
    <row r="43" spans="1:6">
      <c r="A43" s="1"/>
      <c r="D43" s="2"/>
      <c r="E43" s="2"/>
      <c r="F43" s="2"/>
    </row>
    <row r="44" spans="1:6">
      <c r="A44" s="1"/>
      <c r="D44" s="2"/>
      <c r="E44" s="2"/>
      <c r="F44" s="2"/>
    </row>
    <row r="45" spans="1:6">
      <c r="A45" s="1"/>
      <c r="D45" s="2"/>
      <c r="E45" s="2"/>
      <c r="F45" s="2"/>
    </row>
    <row r="46" spans="1:6">
      <c r="A46" s="1"/>
      <c r="D46" s="2"/>
      <c r="E46" s="2"/>
      <c r="F46" s="2"/>
    </row>
    <row r="47" spans="1:6">
      <c r="A47" s="1"/>
      <c r="D47" s="2"/>
      <c r="E47" s="2"/>
      <c r="F47" s="2"/>
    </row>
    <row r="48" spans="1:6">
      <c r="A48" s="1"/>
      <c r="D48" s="2"/>
      <c r="E48" s="2"/>
      <c r="F48" s="2"/>
    </row>
    <row r="49" spans="1:6">
      <c r="A49" s="1"/>
      <c r="D49" s="2"/>
      <c r="E49" s="2"/>
      <c r="F49" s="2"/>
    </row>
    <row r="50" spans="1:6">
      <c r="A50" s="1"/>
      <c r="D50" s="2"/>
      <c r="E50" s="2"/>
      <c r="F50" s="2"/>
    </row>
    <row r="51" spans="1:6">
      <c r="A51" s="1"/>
      <c r="D51" s="2"/>
      <c r="E51" s="2"/>
      <c r="F51" s="2"/>
    </row>
    <row r="52" spans="1:6">
      <c r="A52" s="1"/>
      <c r="D52" s="2"/>
      <c r="E52" s="2"/>
      <c r="F52" s="2"/>
    </row>
    <row r="53" spans="1:6">
      <c r="A53" s="1"/>
      <c r="D53" s="2"/>
      <c r="E53" s="2"/>
      <c r="F53" s="2"/>
    </row>
    <row r="54" spans="1:6">
      <c r="A54" s="1"/>
      <c r="D54" s="2"/>
      <c r="E54" s="2"/>
      <c r="F54" s="2"/>
    </row>
    <row r="55" spans="1:6">
      <c r="A55" s="1"/>
      <c r="D55" s="2"/>
      <c r="E55" s="2"/>
      <c r="F55" s="2"/>
    </row>
    <row r="56" spans="1:6">
      <c r="A56" s="1"/>
      <c r="D56" s="2"/>
      <c r="E56" s="2"/>
      <c r="F56" s="2"/>
    </row>
    <row r="57" spans="1:6">
      <c r="A57" s="1"/>
      <c r="D57" s="2"/>
      <c r="E57" s="2"/>
      <c r="F57" s="2"/>
    </row>
    <row r="58" spans="1:6">
      <c r="A58" s="1"/>
      <c r="D58" s="2"/>
      <c r="E58" s="2"/>
      <c r="F58" s="2"/>
    </row>
    <row r="59" spans="1:6">
      <c r="A59" s="1"/>
      <c r="D59" s="2"/>
      <c r="E59" s="2"/>
      <c r="F59" s="2"/>
    </row>
    <row r="60" spans="1:6">
      <c r="A60" s="1"/>
      <c r="D60" s="2"/>
      <c r="E60" s="2"/>
      <c r="F60" s="2"/>
    </row>
    <row r="61" spans="1:6">
      <c r="A61" s="1"/>
      <c r="D61" s="2"/>
      <c r="E61" s="2"/>
      <c r="F61" s="2"/>
    </row>
    <row r="62" spans="1:6">
      <c r="A62" s="1"/>
      <c r="D62" s="2"/>
      <c r="E62" s="2"/>
      <c r="F62" s="2"/>
    </row>
    <row r="63" spans="1:6">
      <c r="A63" s="1"/>
      <c r="D63" s="2"/>
      <c r="E63" s="2"/>
      <c r="F63" s="2"/>
    </row>
    <row r="64" spans="1:6">
      <c r="A64" s="1"/>
      <c r="D64" s="2"/>
      <c r="E64" s="2"/>
      <c r="F64" s="2"/>
    </row>
    <row r="65" spans="1:6">
      <c r="A65" s="1"/>
      <c r="D65" s="2"/>
      <c r="E65" s="2"/>
      <c r="F65" s="2"/>
    </row>
    <row r="66" spans="1:6">
      <c r="A66" s="1"/>
      <c r="D66" s="2"/>
      <c r="E66" s="2"/>
      <c r="F66" s="2"/>
    </row>
    <row r="67" spans="1:6">
      <c r="A67" s="1"/>
      <c r="D67" s="2"/>
      <c r="E67" s="2"/>
      <c r="F67" s="2"/>
    </row>
    <row r="68" spans="1:6">
      <c r="A68" s="1"/>
      <c r="D68" s="2"/>
      <c r="E68" s="2"/>
      <c r="F68" s="2"/>
    </row>
    <row r="69" spans="1:6">
      <c r="A69" s="1"/>
      <c r="D69" s="2"/>
      <c r="E69" s="2"/>
      <c r="F69" s="2"/>
    </row>
    <row r="70" spans="1:6">
      <c r="A70" s="1"/>
      <c r="D70" s="2"/>
      <c r="E70" s="2"/>
      <c r="F70" s="2"/>
    </row>
    <row r="71" spans="1:6">
      <c r="A71" s="1"/>
      <c r="D71" s="2"/>
      <c r="E71" s="2"/>
      <c r="F71" s="2"/>
    </row>
    <row r="72" spans="1:6">
      <c r="A72" s="1"/>
      <c r="D72" s="2"/>
      <c r="E72" s="2"/>
      <c r="F72" s="2"/>
    </row>
    <row r="73" spans="1:6">
      <c r="A73" s="1"/>
      <c r="D73" s="2"/>
      <c r="E73" s="2"/>
      <c r="F73" s="2"/>
    </row>
    <row r="74" spans="1:6">
      <c r="A74" s="1"/>
      <c r="D74" s="2"/>
      <c r="E74" s="2"/>
      <c r="F74" s="2"/>
    </row>
    <row r="75" spans="1:6">
      <c r="A75" s="1"/>
      <c r="D75" s="2"/>
      <c r="E75" s="2"/>
      <c r="F75" s="2"/>
    </row>
    <row r="76" spans="1:6">
      <c r="A76" s="1"/>
      <c r="D76" s="2"/>
      <c r="E76" s="2"/>
      <c r="F76" s="2"/>
    </row>
    <row r="77" spans="1:6">
      <c r="A77" s="1"/>
      <c r="D77" s="2"/>
      <c r="E77" s="2"/>
      <c r="F77" s="2"/>
    </row>
    <row r="78" spans="1:6">
      <c r="A78" s="1"/>
      <c r="D78" s="2"/>
      <c r="E78" s="2"/>
      <c r="F78" s="2"/>
    </row>
    <row r="79" spans="1:6">
      <c r="A79" s="1"/>
      <c r="D79" s="2"/>
      <c r="E79" s="2"/>
      <c r="F79" s="2"/>
    </row>
    <row r="80" spans="1:6">
      <c r="A80" s="1"/>
      <c r="D80" s="2"/>
      <c r="E80" s="2"/>
      <c r="F80" s="2"/>
    </row>
    <row r="81" spans="1:6">
      <c r="A81" s="1"/>
      <c r="D81" s="2"/>
      <c r="E81" s="2"/>
      <c r="F81" s="2"/>
    </row>
    <row r="82" spans="1:6">
      <c r="A82" s="1"/>
      <c r="D82" s="2"/>
      <c r="E82" s="2"/>
      <c r="F82" s="2"/>
    </row>
    <row r="83" spans="1:6">
      <c r="A83" s="1"/>
      <c r="D83" s="2"/>
      <c r="E83" s="2"/>
      <c r="F83" s="2"/>
    </row>
    <row r="84" spans="1:6">
      <c r="A84" s="1"/>
      <c r="D84" s="2"/>
      <c r="E84" s="2"/>
      <c r="F84" s="2"/>
    </row>
    <row r="85" spans="1:6">
      <c r="A85" s="1"/>
      <c r="D85" s="2"/>
      <c r="E85" s="2"/>
      <c r="F85" s="2"/>
    </row>
    <row r="86" spans="1:6">
      <c r="A86" s="1"/>
      <c r="D86" s="2"/>
      <c r="E86" s="2"/>
      <c r="F86" s="2"/>
    </row>
    <row r="87" spans="1:6">
      <c r="A87" s="1"/>
      <c r="D87" s="2"/>
      <c r="E87" s="2"/>
      <c r="F87" s="2"/>
    </row>
    <row r="88" spans="1:6">
      <c r="A88" s="1"/>
      <c r="D88" s="2"/>
      <c r="E88" s="2"/>
      <c r="F88" s="2"/>
    </row>
    <row r="89" spans="1:6">
      <c r="A89" s="1"/>
      <c r="D89" s="2"/>
      <c r="E89" s="2"/>
      <c r="F89" s="2"/>
    </row>
    <row r="90" spans="1:6">
      <c r="A90" s="1"/>
      <c r="D90" s="2"/>
      <c r="E90" s="2"/>
      <c r="F90" s="2"/>
    </row>
    <row r="91" spans="1:6">
      <c r="A91" s="1"/>
      <c r="D91" s="2"/>
      <c r="E91" s="2"/>
      <c r="F91" s="2"/>
    </row>
    <row r="92" spans="1:6">
      <c r="A92" s="1"/>
      <c r="D92" s="2"/>
      <c r="E92" s="2"/>
      <c r="F92" s="2"/>
    </row>
    <row r="93" spans="1:6">
      <c r="A93" s="1"/>
      <c r="D93" s="2"/>
      <c r="E93" s="2"/>
      <c r="F93" s="2"/>
    </row>
    <row r="94" spans="1:6">
      <c r="A94" s="1"/>
      <c r="D94" s="2"/>
      <c r="E94" s="2"/>
      <c r="F94" s="2"/>
    </row>
    <row r="95" spans="1:6">
      <c r="A95" s="1"/>
      <c r="D95" s="2"/>
      <c r="E95" s="2"/>
      <c r="F95" s="2"/>
    </row>
    <row r="96" spans="1:6">
      <c r="A96" s="1"/>
      <c r="D96" s="2"/>
      <c r="E96" s="2"/>
      <c r="F96" s="2"/>
    </row>
    <row r="97" spans="1:6">
      <c r="A97" s="1"/>
      <c r="D97" s="2"/>
      <c r="E97" s="2"/>
      <c r="F97" s="2"/>
    </row>
    <row r="98" spans="1:6">
      <c r="A98" s="1"/>
      <c r="D98" s="2"/>
      <c r="E98" s="2"/>
      <c r="F98" s="2"/>
    </row>
    <row r="99" spans="1:6">
      <c r="A99" s="1"/>
      <c r="D99" s="2"/>
      <c r="E99" s="2"/>
      <c r="F99" s="2"/>
    </row>
    <row r="100" spans="1:6">
      <c r="A100" s="1"/>
      <c r="D100" s="2"/>
      <c r="E100" s="2"/>
      <c r="F100" s="2"/>
    </row>
    <row r="101" spans="1:6">
      <c r="A101" s="1"/>
      <c r="D101" s="2"/>
      <c r="E101" s="2"/>
      <c r="F101" s="2"/>
    </row>
    <row r="102" spans="1:6">
      <c r="A102" s="1"/>
      <c r="D102" s="2"/>
      <c r="E102" s="2"/>
      <c r="F102" s="2"/>
    </row>
    <row r="103" spans="1:6">
      <c r="A103" s="1"/>
      <c r="D103" s="2"/>
      <c r="E103" s="2"/>
      <c r="F103" s="2"/>
    </row>
    <row r="104" spans="1:6">
      <c r="A104" s="1"/>
      <c r="D104" s="2"/>
      <c r="E104" s="2"/>
      <c r="F104" s="2"/>
    </row>
  </sheetData>
  <mergeCells count="2">
    <mergeCell ref="A1:H1"/>
    <mergeCell ref="A2:H2"/>
  </mergeCells>
  <conditionalFormatting sqref="A5:A104">
    <cfRule type="duplicateValues" dxfId="10" priority="1"/>
    <cfRule type="duplicateValues" dxfId="9" priority="2"/>
  </conditionalFormatting>
  <dataValidations count="2">
    <dataValidation type="list" sqref="C5:C104" xr:uid="{00000000-0002-0000-0100-000000000000}">
      <formula1>"Hora,Diária"</formula1>
    </dataValidation>
    <dataValidation type="list" sqref="H5:H104" xr:uid="{00000000-0002-0000-0100-000001000000}">
      <formula1>"ATIVO,INATIVO"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workbookViewId="0">
      <selection activeCell="B16" sqref="B16"/>
    </sheetView>
  </sheetViews>
  <sheetFormatPr defaultRowHeight="14.1"/>
  <cols>
    <col min="1" max="1" width="26.25" customWidth="1"/>
    <col min="2" max="2" width="28" customWidth="1"/>
    <col min="3" max="3" width="42" customWidth="1"/>
    <col min="4" max="4" width="7.625" customWidth="1"/>
  </cols>
  <sheetData>
    <row r="1" spans="1:4" ht="30" customHeight="1">
      <c r="A1" s="46" t="s">
        <v>51</v>
      </c>
      <c r="B1" s="46"/>
      <c r="C1" s="46"/>
      <c r="D1" s="46"/>
    </row>
    <row r="2" spans="1:4" ht="33.950000000000003" customHeight="1">
      <c r="A2" s="47" t="s">
        <v>52</v>
      </c>
      <c r="B2" s="47"/>
      <c r="C2" s="47"/>
      <c r="D2" s="47"/>
    </row>
    <row r="4" spans="1:4">
      <c r="A4" s="35" t="s">
        <v>53</v>
      </c>
      <c r="B4" s="36" t="s">
        <v>54</v>
      </c>
      <c r="C4" s="36" t="s">
        <v>55</v>
      </c>
      <c r="D4" s="37" t="s">
        <v>20</v>
      </c>
    </row>
    <row r="5" spans="1:4">
      <c r="A5" t="s">
        <v>56</v>
      </c>
      <c r="B5" t="s">
        <v>57</v>
      </c>
      <c r="C5" t="s">
        <v>58</v>
      </c>
      <c r="D5" t="s">
        <v>24</v>
      </c>
    </row>
    <row r="6" spans="1:4">
      <c r="A6" t="s">
        <v>59</v>
      </c>
      <c r="B6" t="s">
        <v>60</v>
      </c>
      <c r="C6" t="s">
        <v>61</v>
      </c>
      <c r="D6" t="s">
        <v>24</v>
      </c>
    </row>
    <row r="7" spans="1:4">
      <c r="A7" t="s">
        <v>62</v>
      </c>
      <c r="B7" t="s">
        <v>63</v>
      </c>
      <c r="C7" t="s">
        <v>64</v>
      </c>
      <c r="D7" t="s">
        <v>24</v>
      </c>
    </row>
    <row r="8" spans="1:4">
      <c r="A8" t="s">
        <v>65</v>
      </c>
      <c r="B8" t="s">
        <v>66</v>
      </c>
      <c r="C8" t="s">
        <v>67</v>
      </c>
      <c r="D8" t="s">
        <v>24</v>
      </c>
    </row>
    <row r="9" spans="1:4">
      <c r="A9" t="s">
        <v>68</v>
      </c>
      <c r="B9" t="s">
        <v>69</v>
      </c>
      <c r="C9" t="s">
        <v>70</v>
      </c>
      <c r="D9" t="s">
        <v>24</v>
      </c>
    </row>
    <row r="10" spans="1:4">
      <c r="A10" t="s">
        <v>71</v>
      </c>
      <c r="B10" t="s">
        <v>72</v>
      </c>
      <c r="C10" t="s">
        <v>73</v>
      </c>
      <c r="D10" t="s">
        <v>24</v>
      </c>
    </row>
    <row r="11" spans="1:4">
      <c r="A11" t="s">
        <v>74</v>
      </c>
      <c r="B11" t="s">
        <v>75</v>
      </c>
      <c r="C11" t="s">
        <v>76</v>
      </c>
      <c r="D11" t="s">
        <v>24</v>
      </c>
    </row>
    <row r="12" spans="1:4">
      <c r="A12" t="s">
        <v>77</v>
      </c>
      <c r="B12" t="s">
        <v>78</v>
      </c>
      <c r="C12" t="s">
        <v>79</v>
      </c>
      <c r="D12" t="s">
        <v>24</v>
      </c>
    </row>
    <row r="13" spans="1:4">
      <c r="A13" t="s">
        <v>80</v>
      </c>
      <c r="B13" t="s">
        <v>81</v>
      </c>
      <c r="C13" t="s">
        <v>82</v>
      </c>
      <c r="D13" t="s">
        <v>24</v>
      </c>
    </row>
    <row r="14" spans="1:4">
      <c r="A14" t="s">
        <v>83</v>
      </c>
      <c r="B14" t="s">
        <v>84</v>
      </c>
      <c r="C14" t="s">
        <v>85</v>
      </c>
      <c r="D14" t="s">
        <v>24</v>
      </c>
    </row>
    <row r="15" spans="1:4">
      <c r="A15" t="s">
        <v>86</v>
      </c>
      <c r="B15" t="s">
        <v>87</v>
      </c>
      <c r="C15" t="s">
        <v>88</v>
      </c>
      <c r="D15" t="s">
        <v>24</v>
      </c>
    </row>
  </sheetData>
  <mergeCells count="2">
    <mergeCell ref="A1:D1"/>
    <mergeCell ref="A2:D2"/>
  </mergeCells>
  <conditionalFormatting sqref="A5:A154">
    <cfRule type="duplicateValues" dxfId="8" priority="1"/>
    <cfRule type="duplicateValues" dxfId="7" priority="3"/>
  </conditionalFormatting>
  <conditionalFormatting sqref="B5:B154">
    <cfRule type="duplicateValues" dxfId="6" priority="2"/>
    <cfRule type="duplicateValues" dxfId="5" priority="4"/>
  </conditionalFormatting>
  <dataValidations count="1">
    <dataValidation type="list" sqref="D5:D154" xr:uid="{00000000-0002-0000-0200-000000000000}">
      <formula1>"ATIVO,INATIVO"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workbookViewId="0">
      <selection activeCell="D16" sqref="D16"/>
    </sheetView>
  </sheetViews>
  <sheetFormatPr defaultRowHeight="14.1"/>
  <cols>
    <col min="1" max="1" width="28.25" customWidth="1"/>
    <col min="2" max="2" width="30" customWidth="1"/>
    <col min="3" max="3" width="45.125" customWidth="1"/>
    <col min="4" max="4" width="7.625" customWidth="1"/>
  </cols>
  <sheetData>
    <row r="1" spans="1:4" ht="30" customHeight="1">
      <c r="A1" s="46" t="s">
        <v>89</v>
      </c>
      <c r="B1" s="46"/>
      <c r="C1" s="46"/>
      <c r="D1" s="46"/>
    </row>
    <row r="2" spans="1:4" ht="33.950000000000003" customHeight="1">
      <c r="A2" s="47" t="s">
        <v>90</v>
      </c>
      <c r="B2" s="47"/>
      <c r="C2" s="47"/>
      <c r="D2" s="47"/>
    </row>
    <row r="4" spans="1:4">
      <c r="A4" s="35" t="s">
        <v>53</v>
      </c>
      <c r="B4" s="36" t="s">
        <v>91</v>
      </c>
      <c r="C4" s="36" t="s">
        <v>55</v>
      </c>
      <c r="D4" s="37" t="s">
        <v>20</v>
      </c>
    </row>
    <row r="5" spans="1:4">
      <c r="A5" t="s">
        <v>92</v>
      </c>
      <c r="B5" t="s">
        <v>93</v>
      </c>
      <c r="C5" t="s">
        <v>94</v>
      </c>
      <c r="D5" t="s">
        <v>24</v>
      </c>
    </row>
    <row r="6" spans="1:4">
      <c r="A6" t="s">
        <v>95</v>
      </c>
      <c r="B6" t="s">
        <v>96</v>
      </c>
      <c r="C6" t="s">
        <v>97</v>
      </c>
      <c r="D6" t="s">
        <v>24</v>
      </c>
    </row>
    <row r="7" spans="1:4">
      <c r="A7" t="s">
        <v>98</v>
      </c>
      <c r="B7" t="s">
        <v>99</v>
      </c>
      <c r="C7" t="s">
        <v>100</v>
      </c>
      <c r="D7" t="s">
        <v>24</v>
      </c>
    </row>
    <row r="8" spans="1:4">
      <c r="A8" t="s">
        <v>101</v>
      </c>
      <c r="B8" t="s">
        <v>102</v>
      </c>
      <c r="C8" t="s">
        <v>103</v>
      </c>
      <c r="D8" t="s">
        <v>24</v>
      </c>
    </row>
    <row r="9" spans="1:4">
      <c r="A9" t="s">
        <v>104</v>
      </c>
      <c r="B9" t="s">
        <v>105</v>
      </c>
      <c r="C9" t="s">
        <v>106</v>
      </c>
      <c r="D9" t="s">
        <v>24</v>
      </c>
    </row>
    <row r="10" spans="1:4">
      <c r="A10" t="s">
        <v>107</v>
      </c>
      <c r="B10" t="s">
        <v>108</v>
      </c>
      <c r="C10" t="s">
        <v>109</v>
      </c>
      <c r="D10" t="s">
        <v>24</v>
      </c>
    </row>
    <row r="11" spans="1:4">
      <c r="A11" t="s">
        <v>110</v>
      </c>
      <c r="B11" t="s">
        <v>111</v>
      </c>
      <c r="C11" t="s">
        <v>112</v>
      </c>
      <c r="D11" t="s">
        <v>24</v>
      </c>
    </row>
    <row r="12" spans="1:4">
      <c r="A12" t="s">
        <v>113</v>
      </c>
      <c r="B12" t="s">
        <v>114</v>
      </c>
      <c r="C12" t="s">
        <v>115</v>
      </c>
      <c r="D12" t="s">
        <v>24</v>
      </c>
    </row>
    <row r="13" spans="1:4">
      <c r="A13" t="s">
        <v>116</v>
      </c>
      <c r="B13" t="s">
        <v>81</v>
      </c>
      <c r="C13" t="s">
        <v>117</v>
      </c>
      <c r="D13" t="s">
        <v>24</v>
      </c>
    </row>
    <row r="14" spans="1:4">
      <c r="A14" t="s">
        <v>118</v>
      </c>
      <c r="B14" t="s">
        <v>119</v>
      </c>
      <c r="C14" t="s">
        <v>120</v>
      </c>
      <c r="D14" t="s">
        <v>24</v>
      </c>
    </row>
    <row r="15" spans="1:4">
      <c r="A15" t="s">
        <v>121</v>
      </c>
      <c r="B15" t="s">
        <v>122</v>
      </c>
      <c r="C15" t="s">
        <v>123</v>
      </c>
      <c r="D15" t="s">
        <v>24</v>
      </c>
    </row>
    <row r="16" spans="1:4">
      <c r="A16" t="s">
        <v>124</v>
      </c>
      <c r="B16" t="s">
        <v>125</v>
      </c>
      <c r="C16" t="s">
        <v>126</v>
      </c>
      <c r="D16" t="s">
        <v>24</v>
      </c>
    </row>
  </sheetData>
  <mergeCells count="2">
    <mergeCell ref="A1:D1"/>
    <mergeCell ref="A2:D2"/>
  </mergeCells>
  <conditionalFormatting sqref="A5:A204">
    <cfRule type="duplicateValues" dxfId="4" priority="1"/>
    <cfRule type="duplicateValues" dxfId="3" priority="3"/>
  </conditionalFormatting>
  <conditionalFormatting sqref="B5:B204">
    <cfRule type="duplicateValues" dxfId="2" priority="2"/>
    <cfRule type="duplicateValues" dxfId="1" priority="4"/>
  </conditionalFormatting>
  <dataValidations count="1">
    <dataValidation type="list" sqref="D5:D204" xr:uid="{00000000-0002-0000-0300-000000000000}">
      <formula1>"ATIVO,INATIVO"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870"/>
  <sheetViews>
    <sheetView showGridLines="0" workbookViewId="0"/>
  </sheetViews>
  <sheetFormatPr defaultRowHeight="14.1"/>
  <cols>
    <col min="1" max="1" width="22.625" customWidth="1"/>
    <col min="2" max="2" width="18.25" bestFit="1" customWidth="1"/>
    <col min="3" max="3" width="10.5" bestFit="1" customWidth="1"/>
    <col min="4" max="4" width="14.125" customWidth="1"/>
    <col min="5" max="5" width="4.5" customWidth="1"/>
    <col min="6" max="6" width="30" customWidth="1"/>
    <col min="7" max="7" width="6.25" customWidth="1"/>
    <col min="8" max="10" width="25" customWidth="1"/>
    <col min="11" max="11" width="8.5" customWidth="1"/>
  </cols>
  <sheetData>
    <row r="1" spans="1:11" ht="30" customHeight="1">
      <c r="A1" s="46" t="s">
        <v>127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33.950000000000003" customHeight="1">
      <c r="A2" s="47" t="s">
        <v>128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1">
      <c r="A4" s="35" t="s">
        <v>129</v>
      </c>
      <c r="B4" s="36" t="s">
        <v>130</v>
      </c>
      <c r="C4" s="36" t="s">
        <v>131</v>
      </c>
      <c r="D4" s="36" t="s">
        <v>132</v>
      </c>
      <c r="E4" s="36" t="s">
        <v>14</v>
      </c>
      <c r="F4" s="36" t="s">
        <v>3</v>
      </c>
      <c r="G4" s="36" t="s">
        <v>133</v>
      </c>
      <c r="H4" s="36" t="s">
        <v>6</v>
      </c>
      <c r="I4" s="36" t="s">
        <v>7</v>
      </c>
      <c r="J4" s="36" t="s">
        <v>8</v>
      </c>
      <c r="K4" s="37" t="s">
        <v>134</v>
      </c>
    </row>
    <row r="5" spans="1:11">
      <c r="B5" s="3"/>
      <c r="C5" s="4"/>
    </row>
    <row r="6" spans="1:11">
      <c r="A6" t="s">
        <v>135</v>
      </c>
      <c r="B6" s="3">
        <v>46259.643969907411</v>
      </c>
      <c r="C6" s="4">
        <v>46259</v>
      </c>
      <c r="D6" t="s">
        <v>136</v>
      </c>
      <c r="E6">
        <v>1001</v>
      </c>
      <c r="F6" t="s">
        <v>21</v>
      </c>
      <c r="G6" t="s">
        <v>137</v>
      </c>
      <c r="H6" t="s">
        <v>63</v>
      </c>
      <c r="I6" t="s">
        <v>93</v>
      </c>
      <c r="K6" t="s">
        <v>138</v>
      </c>
    </row>
    <row r="7" spans="1:11">
      <c r="A7" t="s">
        <v>139</v>
      </c>
      <c r="B7" s="3">
        <v>46259.645949074074</v>
      </c>
      <c r="C7" s="4">
        <v>46259</v>
      </c>
      <c r="D7" t="s">
        <v>136</v>
      </c>
      <c r="E7">
        <v>1001</v>
      </c>
      <c r="F7" t="s">
        <v>21</v>
      </c>
      <c r="G7" t="s">
        <v>140</v>
      </c>
      <c r="H7" t="s">
        <v>63</v>
      </c>
      <c r="I7" t="s">
        <v>93</v>
      </c>
      <c r="J7" t="s">
        <v>141</v>
      </c>
      <c r="K7" t="s">
        <v>138</v>
      </c>
    </row>
    <row r="8" spans="1:11">
      <c r="A8" t="s">
        <v>142</v>
      </c>
      <c r="B8" s="3">
        <v>46259.678819444445</v>
      </c>
      <c r="C8" s="4">
        <v>46259</v>
      </c>
      <c r="D8" t="s">
        <v>136</v>
      </c>
      <c r="E8">
        <v>1015</v>
      </c>
      <c r="F8" t="s">
        <v>47</v>
      </c>
      <c r="G8" t="s">
        <v>137</v>
      </c>
      <c r="H8" t="s">
        <v>81</v>
      </c>
      <c r="I8" t="s">
        <v>81</v>
      </c>
      <c r="K8" t="s">
        <v>138</v>
      </c>
    </row>
    <row r="9" spans="1:11">
      <c r="A9" t="s">
        <v>143</v>
      </c>
      <c r="B9" s="3">
        <v>46259.679085648146</v>
      </c>
      <c r="C9" s="4">
        <v>46259</v>
      </c>
      <c r="D9" t="s">
        <v>136</v>
      </c>
      <c r="E9">
        <v>1015</v>
      </c>
      <c r="F9" t="s">
        <v>47</v>
      </c>
      <c r="G9" t="s">
        <v>137</v>
      </c>
      <c r="H9" t="s">
        <v>81</v>
      </c>
      <c r="I9" t="s">
        <v>81</v>
      </c>
      <c r="K9" t="s">
        <v>138</v>
      </c>
    </row>
    <row r="10" spans="1:11">
      <c r="A10" t="s">
        <v>144</v>
      </c>
      <c r="B10" s="3">
        <v>46259.6796412037</v>
      </c>
      <c r="C10" s="4">
        <v>46259</v>
      </c>
      <c r="D10" t="s">
        <v>136</v>
      </c>
      <c r="E10">
        <v>1015</v>
      </c>
      <c r="F10" t="s">
        <v>47</v>
      </c>
      <c r="G10" t="s">
        <v>137</v>
      </c>
      <c r="H10" t="s">
        <v>81</v>
      </c>
      <c r="I10" t="s">
        <v>81</v>
      </c>
      <c r="K10" t="s">
        <v>138</v>
      </c>
    </row>
    <row r="11" spans="1:11">
      <c r="A11" t="s">
        <v>145</v>
      </c>
      <c r="B11" s="3">
        <v>46259.68041666667</v>
      </c>
      <c r="C11" s="4">
        <v>46259</v>
      </c>
      <c r="D11" t="s">
        <v>136</v>
      </c>
      <c r="E11">
        <v>1015</v>
      </c>
      <c r="F11" t="s">
        <v>47</v>
      </c>
      <c r="G11" t="s">
        <v>137</v>
      </c>
      <c r="H11" t="s">
        <v>81</v>
      </c>
      <c r="I11" t="s">
        <v>81</v>
      </c>
      <c r="K11" t="s">
        <v>138</v>
      </c>
    </row>
    <row r="12" spans="1:11">
      <c r="A12" t="s">
        <v>146</v>
      </c>
      <c r="B12" s="3">
        <v>46259.680810185186</v>
      </c>
      <c r="C12" s="4">
        <v>46259</v>
      </c>
      <c r="D12" t="s">
        <v>136</v>
      </c>
      <c r="E12">
        <v>1015</v>
      </c>
      <c r="F12" t="s">
        <v>47</v>
      </c>
      <c r="G12" t="s">
        <v>137</v>
      </c>
      <c r="H12" t="s">
        <v>81</v>
      </c>
      <c r="I12" t="s">
        <v>81</v>
      </c>
      <c r="K12" t="s">
        <v>138</v>
      </c>
    </row>
    <row r="13" spans="1:11">
      <c r="A13" t="s">
        <v>147</v>
      </c>
      <c r="B13" s="3">
        <v>46259.681122685186</v>
      </c>
      <c r="C13" s="4">
        <v>46259</v>
      </c>
      <c r="D13" t="s">
        <v>136</v>
      </c>
      <c r="E13">
        <v>1015</v>
      </c>
      <c r="F13" t="s">
        <v>47</v>
      </c>
      <c r="G13" t="s">
        <v>140</v>
      </c>
      <c r="H13" t="s">
        <v>81</v>
      </c>
      <c r="I13" t="s">
        <v>81</v>
      </c>
      <c r="K13" t="s">
        <v>138</v>
      </c>
    </row>
    <row r="14" spans="1:11">
      <c r="A14" t="s">
        <v>148</v>
      </c>
      <c r="B14" s="3">
        <v>46259.684976851851</v>
      </c>
      <c r="C14" s="4">
        <v>46259</v>
      </c>
      <c r="D14" t="s">
        <v>136</v>
      </c>
      <c r="E14">
        <v>1001</v>
      </c>
      <c r="F14" t="s">
        <v>21</v>
      </c>
      <c r="G14" t="s">
        <v>137</v>
      </c>
      <c r="H14" t="s">
        <v>69</v>
      </c>
      <c r="I14" t="s">
        <v>96</v>
      </c>
      <c r="K14" t="s">
        <v>138</v>
      </c>
    </row>
    <row r="15" spans="1:11">
      <c r="A15" t="s">
        <v>149</v>
      </c>
      <c r="B15" s="3">
        <v>46259.68540509259</v>
      </c>
      <c r="C15" s="4">
        <v>46259</v>
      </c>
      <c r="D15" t="s">
        <v>136</v>
      </c>
      <c r="E15">
        <v>1001</v>
      </c>
      <c r="F15" t="s">
        <v>21</v>
      </c>
      <c r="G15" t="s">
        <v>140</v>
      </c>
      <c r="H15" t="s">
        <v>69</v>
      </c>
      <c r="I15" t="s">
        <v>96</v>
      </c>
      <c r="K15" t="s">
        <v>138</v>
      </c>
    </row>
    <row r="16" spans="1:11">
      <c r="A16" t="s">
        <v>150</v>
      </c>
      <c r="B16" s="3">
        <v>46259.71230324074</v>
      </c>
      <c r="C16" s="4">
        <v>46259</v>
      </c>
      <c r="D16" t="s">
        <v>136</v>
      </c>
      <c r="E16">
        <v>1015</v>
      </c>
      <c r="F16" t="s">
        <v>47</v>
      </c>
      <c r="G16" t="s">
        <v>137</v>
      </c>
      <c r="H16" t="s">
        <v>81</v>
      </c>
      <c r="I16" t="s">
        <v>81</v>
      </c>
      <c r="K16" t="s">
        <v>138</v>
      </c>
    </row>
    <row r="17" spans="1:11">
      <c r="A17" t="s">
        <v>151</v>
      </c>
      <c r="B17" s="3">
        <v>46259.745763888888</v>
      </c>
      <c r="C17" s="4">
        <v>46259</v>
      </c>
      <c r="D17" t="s">
        <v>136</v>
      </c>
      <c r="E17">
        <v>1015</v>
      </c>
      <c r="F17" t="s">
        <v>47</v>
      </c>
      <c r="G17" t="s">
        <v>140</v>
      </c>
      <c r="H17" t="s">
        <v>81</v>
      </c>
      <c r="I17" t="s">
        <v>81</v>
      </c>
      <c r="K17" t="s">
        <v>138</v>
      </c>
    </row>
    <row r="18" spans="1:11">
      <c r="A18" t="s">
        <v>152</v>
      </c>
      <c r="B18" s="3">
        <v>46260.330312500002</v>
      </c>
      <c r="C18" s="4">
        <v>46260</v>
      </c>
      <c r="D18" t="s">
        <v>153</v>
      </c>
      <c r="E18">
        <v>1011</v>
      </c>
      <c r="F18" t="s">
        <v>40</v>
      </c>
      <c r="G18" t="s">
        <v>137</v>
      </c>
      <c r="H18" t="s">
        <v>69</v>
      </c>
      <c r="I18" t="s">
        <v>102</v>
      </c>
      <c r="J18" t="s">
        <v>154</v>
      </c>
      <c r="K18" t="s">
        <v>138</v>
      </c>
    </row>
    <row r="19" spans="1:11">
      <c r="A19" t="s">
        <v>155</v>
      </c>
      <c r="B19" s="3">
        <v>46260.338587962964</v>
      </c>
      <c r="C19" s="4">
        <v>46260</v>
      </c>
      <c r="D19" t="s">
        <v>153</v>
      </c>
      <c r="E19">
        <v>1003</v>
      </c>
      <c r="F19" t="s">
        <v>27</v>
      </c>
      <c r="G19" t="s">
        <v>137</v>
      </c>
      <c r="H19" t="s">
        <v>66</v>
      </c>
      <c r="I19" t="s">
        <v>102</v>
      </c>
      <c r="K19" t="s">
        <v>138</v>
      </c>
    </row>
    <row r="20" spans="1:11">
      <c r="A20" t="s">
        <v>156</v>
      </c>
      <c r="B20" s="3">
        <v>46260.341446759259</v>
      </c>
      <c r="C20" s="4">
        <v>46260</v>
      </c>
      <c r="D20" t="s">
        <v>153</v>
      </c>
      <c r="E20">
        <v>1013</v>
      </c>
      <c r="F20" t="s">
        <v>45</v>
      </c>
      <c r="G20" t="s">
        <v>137</v>
      </c>
      <c r="H20" t="s">
        <v>57</v>
      </c>
      <c r="I20" t="s">
        <v>102</v>
      </c>
      <c r="K20" t="s">
        <v>138</v>
      </c>
    </row>
    <row r="21" spans="1:11">
      <c r="A21" t="s">
        <v>157</v>
      </c>
      <c r="B21" s="3">
        <v>46260.369120370371</v>
      </c>
      <c r="C21" s="4">
        <v>46260</v>
      </c>
      <c r="D21" t="s">
        <v>153</v>
      </c>
      <c r="E21">
        <v>1015</v>
      </c>
      <c r="F21" t="s">
        <v>47</v>
      </c>
      <c r="G21" t="s">
        <v>137</v>
      </c>
      <c r="H21" t="s">
        <v>81</v>
      </c>
      <c r="I21" t="s">
        <v>81</v>
      </c>
      <c r="K21" t="s">
        <v>138</v>
      </c>
    </row>
    <row r="22" spans="1:11">
      <c r="A22" t="s">
        <v>158</v>
      </c>
      <c r="B22" s="3">
        <v>46260.37054398148</v>
      </c>
      <c r="C22" s="4">
        <v>46260</v>
      </c>
      <c r="D22" t="s">
        <v>153</v>
      </c>
      <c r="E22">
        <v>1002</v>
      </c>
      <c r="F22" t="s">
        <v>25</v>
      </c>
      <c r="G22" t="s">
        <v>137</v>
      </c>
      <c r="H22" t="s">
        <v>60</v>
      </c>
      <c r="I22" t="s">
        <v>102</v>
      </c>
      <c r="K22" t="s">
        <v>138</v>
      </c>
    </row>
    <row r="23" spans="1:11">
      <c r="A23" t="s">
        <v>159</v>
      </c>
      <c r="B23" s="3">
        <v>46260.380370370367</v>
      </c>
      <c r="C23" s="4">
        <v>46260</v>
      </c>
      <c r="D23" t="s">
        <v>153</v>
      </c>
      <c r="E23">
        <v>1016</v>
      </c>
      <c r="F23" t="s">
        <v>49</v>
      </c>
      <c r="G23" t="s">
        <v>137</v>
      </c>
      <c r="H23" t="s">
        <v>60</v>
      </c>
      <c r="I23" t="s">
        <v>102</v>
      </c>
      <c r="K23" t="s">
        <v>138</v>
      </c>
    </row>
    <row r="24" spans="1:11">
      <c r="A24" t="s">
        <v>160</v>
      </c>
      <c r="B24" s="3">
        <v>46260.398136574076</v>
      </c>
      <c r="C24" s="4">
        <v>46260</v>
      </c>
      <c r="D24" t="s">
        <v>153</v>
      </c>
      <c r="E24">
        <v>1001</v>
      </c>
      <c r="F24" t="s">
        <v>21</v>
      </c>
      <c r="G24" t="s">
        <v>137</v>
      </c>
      <c r="H24" t="s">
        <v>75</v>
      </c>
      <c r="I24" t="s">
        <v>93</v>
      </c>
      <c r="J24" t="s">
        <v>161</v>
      </c>
      <c r="K24" t="s">
        <v>138</v>
      </c>
    </row>
    <row r="25" spans="1:11">
      <c r="A25" t="s">
        <v>162</v>
      </c>
      <c r="B25" s="3">
        <v>46260.410104166665</v>
      </c>
      <c r="C25" s="4">
        <v>46260</v>
      </c>
      <c r="D25" t="s">
        <v>153</v>
      </c>
      <c r="E25">
        <v>1014</v>
      </c>
      <c r="F25" t="s">
        <v>46</v>
      </c>
      <c r="G25" t="s">
        <v>137</v>
      </c>
      <c r="H25" t="s">
        <v>66</v>
      </c>
      <c r="I25" t="s">
        <v>122</v>
      </c>
      <c r="K25" t="s">
        <v>138</v>
      </c>
    </row>
    <row r="26" spans="1:11">
      <c r="A26" t="s">
        <v>163</v>
      </c>
      <c r="B26" s="3">
        <v>46260.433946759258</v>
      </c>
      <c r="C26" s="4">
        <v>46260</v>
      </c>
      <c r="D26" t="s">
        <v>153</v>
      </c>
      <c r="E26">
        <v>1012</v>
      </c>
      <c r="F26" t="s">
        <v>42</v>
      </c>
      <c r="G26" t="s">
        <v>140</v>
      </c>
      <c r="H26" t="s">
        <v>66</v>
      </c>
      <c r="I26" t="s">
        <v>108</v>
      </c>
      <c r="J26" t="s">
        <v>164</v>
      </c>
      <c r="K26" t="s">
        <v>138</v>
      </c>
    </row>
    <row r="27" spans="1:11">
      <c r="A27" t="s">
        <v>165</v>
      </c>
      <c r="B27" s="3">
        <v>46260.434178240743</v>
      </c>
      <c r="C27" s="4">
        <v>46260</v>
      </c>
      <c r="D27" t="s">
        <v>153</v>
      </c>
      <c r="E27">
        <v>1012</v>
      </c>
      <c r="F27" t="s">
        <v>42</v>
      </c>
      <c r="G27" t="s">
        <v>140</v>
      </c>
      <c r="H27" t="s">
        <v>66</v>
      </c>
      <c r="I27" t="s">
        <v>108</v>
      </c>
      <c r="J27" t="s">
        <v>164</v>
      </c>
      <c r="K27" t="s">
        <v>138</v>
      </c>
    </row>
    <row r="28" spans="1:11">
      <c r="A28" t="s">
        <v>166</v>
      </c>
      <c r="B28" s="3">
        <v>46260.434699074074</v>
      </c>
      <c r="C28" s="4">
        <v>46260</v>
      </c>
      <c r="D28" t="s">
        <v>153</v>
      </c>
      <c r="E28">
        <v>1012</v>
      </c>
      <c r="F28" t="s">
        <v>42</v>
      </c>
      <c r="G28" t="s">
        <v>140</v>
      </c>
      <c r="H28" t="s">
        <v>66</v>
      </c>
      <c r="I28" t="s">
        <v>108</v>
      </c>
      <c r="J28" t="s">
        <v>164</v>
      </c>
      <c r="K28" t="s">
        <v>138</v>
      </c>
    </row>
    <row r="29" spans="1:11">
      <c r="A29" t="s">
        <v>167</v>
      </c>
      <c r="B29" s="3">
        <v>46260.437442129631</v>
      </c>
      <c r="C29" s="4">
        <v>46260</v>
      </c>
      <c r="D29" t="s">
        <v>153</v>
      </c>
      <c r="E29">
        <v>1012</v>
      </c>
      <c r="F29" t="s">
        <v>42</v>
      </c>
      <c r="G29" t="s">
        <v>140</v>
      </c>
      <c r="H29" t="s">
        <v>66</v>
      </c>
      <c r="I29" t="s">
        <v>108</v>
      </c>
      <c r="J29" t="s">
        <v>164</v>
      </c>
      <c r="K29" t="s">
        <v>138</v>
      </c>
    </row>
    <row r="30" spans="1:11">
      <c r="A30" t="s">
        <v>168</v>
      </c>
      <c r="B30" s="3">
        <v>46260.439120370371</v>
      </c>
      <c r="C30" s="4">
        <v>46260</v>
      </c>
      <c r="D30" t="s">
        <v>153</v>
      </c>
      <c r="E30">
        <v>1012</v>
      </c>
      <c r="F30" t="s">
        <v>42</v>
      </c>
      <c r="G30" t="s">
        <v>137</v>
      </c>
      <c r="H30" t="s">
        <v>63</v>
      </c>
      <c r="I30" t="s">
        <v>96</v>
      </c>
      <c r="K30" t="s">
        <v>138</v>
      </c>
    </row>
    <row r="31" spans="1:11">
      <c r="A31" t="s">
        <v>169</v>
      </c>
      <c r="B31" s="3">
        <v>46260.49355324074</v>
      </c>
      <c r="C31" s="4">
        <v>46260</v>
      </c>
      <c r="D31" t="s">
        <v>153</v>
      </c>
      <c r="E31">
        <v>1013</v>
      </c>
      <c r="F31" t="s">
        <v>45</v>
      </c>
      <c r="G31" t="s">
        <v>140</v>
      </c>
      <c r="H31" t="s">
        <v>57</v>
      </c>
      <c r="I31" t="s">
        <v>102</v>
      </c>
      <c r="K31" t="s">
        <v>138</v>
      </c>
    </row>
    <row r="32" spans="1:11">
      <c r="A32" t="s">
        <v>170</v>
      </c>
      <c r="B32" s="3">
        <v>46260.495381944442</v>
      </c>
      <c r="C32" s="4">
        <v>46260</v>
      </c>
      <c r="D32" t="s">
        <v>153</v>
      </c>
      <c r="E32">
        <v>1003</v>
      </c>
      <c r="F32" t="s">
        <v>27</v>
      </c>
      <c r="G32" t="s">
        <v>140</v>
      </c>
      <c r="H32" t="s">
        <v>66</v>
      </c>
      <c r="I32" t="s">
        <v>102</v>
      </c>
      <c r="K32" t="s">
        <v>138</v>
      </c>
    </row>
    <row r="33" spans="1:11">
      <c r="A33" t="s">
        <v>171</v>
      </c>
      <c r="B33" s="3">
        <v>46260.502893518518</v>
      </c>
      <c r="C33" s="4">
        <v>46260</v>
      </c>
      <c r="D33" t="s">
        <v>153</v>
      </c>
      <c r="E33">
        <v>1004</v>
      </c>
      <c r="F33" t="s">
        <v>29</v>
      </c>
      <c r="G33" t="s">
        <v>137</v>
      </c>
      <c r="H33" t="s">
        <v>63</v>
      </c>
      <c r="I33" t="s">
        <v>99</v>
      </c>
      <c r="J33" t="s">
        <v>172</v>
      </c>
      <c r="K33" t="s">
        <v>138</v>
      </c>
    </row>
    <row r="34" spans="1:11">
      <c r="A34" t="s">
        <v>173</v>
      </c>
      <c r="B34" s="3">
        <v>46260.506747685184</v>
      </c>
      <c r="C34" s="4">
        <v>46260</v>
      </c>
      <c r="D34" t="s">
        <v>153</v>
      </c>
      <c r="E34">
        <v>1011</v>
      </c>
      <c r="F34" t="s">
        <v>40</v>
      </c>
      <c r="G34" t="s">
        <v>140</v>
      </c>
      <c r="H34" t="s">
        <v>69</v>
      </c>
      <c r="I34" t="s">
        <v>102</v>
      </c>
      <c r="J34" t="s">
        <v>174</v>
      </c>
      <c r="K34" t="s">
        <v>138</v>
      </c>
    </row>
    <row r="35" spans="1:11">
      <c r="A35" t="s">
        <v>175</v>
      </c>
      <c r="B35" s="3">
        <v>46260.521134259259</v>
      </c>
      <c r="C35" s="4">
        <v>46260</v>
      </c>
      <c r="D35" t="s">
        <v>153</v>
      </c>
      <c r="E35">
        <v>1016</v>
      </c>
      <c r="F35" t="s">
        <v>49</v>
      </c>
      <c r="G35" t="s">
        <v>140</v>
      </c>
      <c r="H35" t="s">
        <v>60</v>
      </c>
      <c r="I35" t="s">
        <v>102</v>
      </c>
      <c r="K35" t="s">
        <v>138</v>
      </c>
    </row>
    <row r="36" spans="1:11">
      <c r="A36" t="s">
        <v>176</v>
      </c>
      <c r="B36" s="3">
        <v>46260.526817129627</v>
      </c>
      <c r="C36" s="4">
        <v>46260</v>
      </c>
      <c r="D36" t="s">
        <v>153</v>
      </c>
      <c r="E36">
        <v>1012</v>
      </c>
      <c r="F36" t="s">
        <v>42</v>
      </c>
      <c r="G36" t="s">
        <v>140</v>
      </c>
      <c r="H36" t="s">
        <v>63</v>
      </c>
      <c r="I36" t="s">
        <v>96</v>
      </c>
      <c r="K36" t="s">
        <v>138</v>
      </c>
    </row>
    <row r="37" spans="1:11">
      <c r="A37" t="s">
        <v>177</v>
      </c>
      <c r="B37" s="3">
        <v>46260.52747685185</v>
      </c>
      <c r="C37" s="4">
        <v>46260</v>
      </c>
      <c r="D37" t="s">
        <v>153</v>
      </c>
      <c r="E37">
        <v>1014</v>
      </c>
      <c r="F37" t="s">
        <v>46</v>
      </c>
      <c r="G37" t="s">
        <v>140</v>
      </c>
      <c r="H37" t="s">
        <v>66</v>
      </c>
      <c r="I37" t="s">
        <v>122</v>
      </c>
      <c r="K37" t="s">
        <v>138</v>
      </c>
    </row>
    <row r="38" spans="1:11">
      <c r="A38" t="s">
        <v>178</v>
      </c>
      <c r="B38" s="3">
        <v>46260.52789351852</v>
      </c>
      <c r="C38" s="4">
        <v>46260</v>
      </c>
      <c r="D38" t="s">
        <v>153</v>
      </c>
      <c r="E38">
        <v>1011</v>
      </c>
      <c r="F38" t="s">
        <v>40</v>
      </c>
      <c r="G38" t="s">
        <v>137</v>
      </c>
      <c r="H38" t="s">
        <v>66</v>
      </c>
      <c r="I38" t="s">
        <v>102</v>
      </c>
      <c r="J38" t="s">
        <v>179</v>
      </c>
      <c r="K38" t="s">
        <v>138</v>
      </c>
    </row>
    <row r="39" spans="1:11">
      <c r="A39" t="s">
        <v>180</v>
      </c>
      <c r="B39" s="3">
        <v>46260.531967592593</v>
      </c>
      <c r="C39" s="4">
        <v>46260</v>
      </c>
      <c r="D39" t="s">
        <v>153</v>
      </c>
      <c r="E39">
        <v>1003</v>
      </c>
      <c r="F39" t="s">
        <v>27</v>
      </c>
      <c r="G39" t="s">
        <v>137</v>
      </c>
      <c r="H39" t="s">
        <v>66</v>
      </c>
      <c r="I39" t="s">
        <v>102</v>
      </c>
      <c r="K39" t="s">
        <v>138</v>
      </c>
    </row>
    <row r="40" spans="1:11">
      <c r="A40" t="s">
        <v>181</v>
      </c>
      <c r="B40" s="3">
        <v>46260.532349537039</v>
      </c>
      <c r="C40" s="4">
        <v>46260</v>
      </c>
      <c r="D40" t="s">
        <v>153</v>
      </c>
      <c r="E40">
        <v>1013</v>
      </c>
      <c r="F40" t="s">
        <v>45</v>
      </c>
      <c r="G40" t="s">
        <v>137</v>
      </c>
      <c r="H40" t="s">
        <v>66</v>
      </c>
      <c r="I40" t="s">
        <v>102</v>
      </c>
      <c r="K40" t="s">
        <v>138</v>
      </c>
    </row>
    <row r="41" spans="1:11">
      <c r="A41" t="s">
        <v>182</v>
      </c>
      <c r="B41" s="3">
        <v>46260.544282407405</v>
      </c>
      <c r="C41" s="4">
        <v>46260</v>
      </c>
      <c r="D41" t="s">
        <v>153</v>
      </c>
      <c r="E41">
        <v>1015</v>
      </c>
      <c r="F41" t="s">
        <v>47</v>
      </c>
      <c r="G41" t="s">
        <v>140</v>
      </c>
      <c r="H41" t="s">
        <v>81</v>
      </c>
      <c r="I41" t="s">
        <v>81</v>
      </c>
      <c r="K41" t="s">
        <v>138</v>
      </c>
    </row>
    <row r="42" spans="1:11">
      <c r="A42" t="s">
        <v>183</v>
      </c>
      <c r="B42" s="3">
        <v>46260.55978009259</v>
      </c>
      <c r="C42" s="4">
        <v>46260</v>
      </c>
      <c r="D42" t="s">
        <v>153</v>
      </c>
      <c r="E42">
        <v>1016</v>
      </c>
      <c r="F42" t="s">
        <v>49</v>
      </c>
      <c r="G42" t="s">
        <v>137</v>
      </c>
      <c r="H42" t="s">
        <v>60</v>
      </c>
      <c r="I42" t="s">
        <v>102</v>
      </c>
      <c r="K42" t="s">
        <v>138</v>
      </c>
    </row>
    <row r="43" spans="1:11">
      <c r="A43" t="s">
        <v>184</v>
      </c>
      <c r="B43" s="3">
        <v>46260.568807870368</v>
      </c>
      <c r="C43" s="4">
        <v>46260</v>
      </c>
      <c r="D43" t="s">
        <v>153</v>
      </c>
      <c r="E43">
        <v>1004</v>
      </c>
      <c r="F43" t="s">
        <v>29</v>
      </c>
      <c r="G43" t="s">
        <v>140</v>
      </c>
      <c r="H43" t="s">
        <v>63</v>
      </c>
      <c r="I43" t="s">
        <v>99</v>
      </c>
      <c r="J43" t="s">
        <v>185</v>
      </c>
      <c r="K43" t="s">
        <v>138</v>
      </c>
    </row>
    <row r="44" spans="1:11">
      <c r="A44" t="s">
        <v>186</v>
      </c>
      <c r="B44" s="3">
        <v>46260.571284722224</v>
      </c>
      <c r="C44" s="4">
        <v>46260</v>
      </c>
      <c r="D44" t="s">
        <v>153</v>
      </c>
      <c r="E44">
        <v>1012</v>
      </c>
      <c r="F44" t="s">
        <v>42</v>
      </c>
      <c r="G44" t="s">
        <v>137</v>
      </c>
      <c r="H44" t="s">
        <v>75</v>
      </c>
      <c r="I44" t="s">
        <v>96</v>
      </c>
      <c r="K44" t="s">
        <v>138</v>
      </c>
    </row>
    <row r="45" spans="1:11">
      <c r="A45" t="s">
        <v>187</v>
      </c>
      <c r="B45" s="3">
        <v>46260.572175925925</v>
      </c>
      <c r="C45" s="4">
        <v>46260</v>
      </c>
      <c r="D45" t="s">
        <v>153</v>
      </c>
      <c r="E45">
        <v>1014</v>
      </c>
      <c r="F45" t="s">
        <v>46</v>
      </c>
      <c r="G45" t="s">
        <v>137</v>
      </c>
      <c r="H45" t="s">
        <v>66</v>
      </c>
      <c r="I45" t="s">
        <v>122</v>
      </c>
      <c r="K45" t="s">
        <v>138</v>
      </c>
    </row>
    <row r="46" spans="1:11">
      <c r="A46" t="s">
        <v>188</v>
      </c>
      <c r="B46" s="3">
        <v>46260.584930555553</v>
      </c>
      <c r="C46" s="4">
        <v>46260</v>
      </c>
      <c r="D46" t="s">
        <v>153</v>
      </c>
      <c r="E46">
        <v>1015</v>
      </c>
      <c r="F46" t="s">
        <v>47</v>
      </c>
      <c r="G46" t="s">
        <v>137</v>
      </c>
      <c r="H46" t="s">
        <v>81</v>
      </c>
      <c r="I46" t="s">
        <v>81</v>
      </c>
      <c r="K46" t="s">
        <v>138</v>
      </c>
    </row>
    <row r="47" spans="1:11">
      <c r="A47" t="s">
        <v>189</v>
      </c>
      <c r="B47" s="3">
        <v>46260.605000000003</v>
      </c>
      <c r="C47" s="4">
        <v>46260</v>
      </c>
      <c r="D47" t="s">
        <v>153</v>
      </c>
      <c r="E47">
        <v>1001</v>
      </c>
      <c r="F47" t="s">
        <v>21</v>
      </c>
      <c r="G47" t="s">
        <v>140</v>
      </c>
      <c r="H47" t="s">
        <v>75</v>
      </c>
      <c r="I47" t="s">
        <v>93</v>
      </c>
      <c r="J47" t="s">
        <v>190</v>
      </c>
      <c r="K47" t="s">
        <v>138</v>
      </c>
    </row>
    <row r="48" spans="1:11">
      <c r="A48" t="s">
        <v>191</v>
      </c>
      <c r="B48" s="3">
        <v>46260.626481481479</v>
      </c>
      <c r="C48" s="4">
        <v>46260</v>
      </c>
      <c r="D48" t="s">
        <v>153</v>
      </c>
      <c r="E48">
        <v>1001</v>
      </c>
      <c r="F48" t="s">
        <v>21</v>
      </c>
      <c r="G48" t="s">
        <v>137</v>
      </c>
      <c r="H48" t="s">
        <v>75</v>
      </c>
      <c r="I48" t="s">
        <v>93</v>
      </c>
      <c r="J48" t="s">
        <v>192</v>
      </c>
      <c r="K48" t="s">
        <v>138</v>
      </c>
    </row>
    <row r="49" spans="1:11">
      <c r="A49" t="s">
        <v>193</v>
      </c>
      <c r="B49" s="3">
        <v>46260.635601851849</v>
      </c>
      <c r="C49" s="4">
        <v>46260</v>
      </c>
      <c r="D49" t="s">
        <v>153</v>
      </c>
      <c r="E49">
        <v>1006</v>
      </c>
      <c r="F49" t="s">
        <v>33</v>
      </c>
      <c r="G49" t="s">
        <v>137</v>
      </c>
      <c r="H49" t="s">
        <v>75</v>
      </c>
      <c r="I49" t="s">
        <v>96</v>
      </c>
      <c r="K49" t="s">
        <v>138</v>
      </c>
    </row>
    <row r="50" spans="1:11">
      <c r="A50" t="s">
        <v>194</v>
      </c>
      <c r="B50" s="3">
        <v>46260.743495370371</v>
      </c>
      <c r="C50" s="4">
        <v>46260</v>
      </c>
      <c r="D50" t="s">
        <v>153</v>
      </c>
      <c r="E50">
        <v>1015</v>
      </c>
      <c r="F50" t="s">
        <v>47</v>
      </c>
      <c r="G50" t="s">
        <v>140</v>
      </c>
      <c r="H50" t="s">
        <v>81</v>
      </c>
      <c r="I50" t="s">
        <v>81</v>
      </c>
      <c r="K50" t="s">
        <v>138</v>
      </c>
    </row>
    <row r="51" spans="1:11">
      <c r="A51" t="s">
        <v>195</v>
      </c>
      <c r="B51" s="3">
        <v>46260.749675925923</v>
      </c>
      <c r="C51" s="4">
        <v>46260</v>
      </c>
      <c r="D51" t="s">
        <v>153</v>
      </c>
      <c r="E51">
        <v>1002</v>
      </c>
      <c r="F51" t="s">
        <v>25</v>
      </c>
      <c r="G51" t="s">
        <v>140</v>
      </c>
      <c r="H51" t="s">
        <v>60</v>
      </c>
      <c r="I51" t="s">
        <v>102</v>
      </c>
      <c r="K51" t="s">
        <v>138</v>
      </c>
    </row>
    <row r="52" spans="1:11">
      <c r="A52" t="s">
        <v>196</v>
      </c>
      <c r="B52" s="3">
        <v>46260.750787037039</v>
      </c>
      <c r="C52" s="4">
        <v>46260</v>
      </c>
      <c r="D52" t="s">
        <v>153</v>
      </c>
      <c r="E52">
        <v>1013</v>
      </c>
      <c r="F52" t="s">
        <v>45</v>
      </c>
      <c r="G52" t="s">
        <v>140</v>
      </c>
      <c r="H52" t="s">
        <v>66</v>
      </c>
      <c r="I52" t="s">
        <v>102</v>
      </c>
      <c r="K52" t="s">
        <v>138</v>
      </c>
    </row>
    <row r="53" spans="1:11">
      <c r="A53" t="s">
        <v>197</v>
      </c>
      <c r="B53" s="3">
        <v>46260.751840277779</v>
      </c>
      <c r="C53" s="4">
        <v>46260</v>
      </c>
      <c r="D53" t="s">
        <v>153</v>
      </c>
      <c r="E53">
        <v>1003</v>
      </c>
      <c r="F53" t="s">
        <v>27</v>
      </c>
      <c r="G53" t="s">
        <v>140</v>
      </c>
      <c r="H53" t="s">
        <v>66</v>
      </c>
      <c r="I53" t="s">
        <v>102</v>
      </c>
      <c r="K53" t="s">
        <v>138</v>
      </c>
    </row>
    <row r="54" spans="1:11">
      <c r="A54" t="s">
        <v>198</v>
      </c>
      <c r="B54" s="3">
        <v>46260.752141203702</v>
      </c>
      <c r="C54" s="4">
        <v>46260</v>
      </c>
      <c r="D54" t="s">
        <v>153</v>
      </c>
      <c r="E54">
        <v>1014</v>
      </c>
      <c r="F54" t="s">
        <v>46</v>
      </c>
      <c r="G54" t="s">
        <v>140</v>
      </c>
      <c r="H54" t="s">
        <v>66</v>
      </c>
      <c r="I54" t="s">
        <v>122</v>
      </c>
      <c r="K54" t="s">
        <v>138</v>
      </c>
    </row>
    <row r="55" spans="1:11">
      <c r="A55" t="s">
        <v>199</v>
      </c>
      <c r="B55" s="3">
        <v>46260.752858796295</v>
      </c>
      <c r="C55" s="4">
        <v>46260</v>
      </c>
      <c r="D55" t="s">
        <v>153</v>
      </c>
      <c r="E55">
        <v>1011</v>
      </c>
      <c r="F55" t="s">
        <v>40</v>
      </c>
      <c r="G55" t="s">
        <v>140</v>
      </c>
      <c r="H55" t="s">
        <v>66</v>
      </c>
      <c r="I55" t="s">
        <v>102</v>
      </c>
      <c r="J55" t="s">
        <v>200</v>
      </c>
      <c r="K55" t="s">
        <v>138</v>
      </c>
    </row>
    <row r="56" spans="1:11">
      <c r="A56" t="s">
        <v>201</v>
      </c>
      <c r="B56" s="3">
        <v>46260.75613425926</v>
      </c>
      <c r="C56" s="4">
        <v>46260</v>
      </c>
      <c r="D56" t="s">
        <v>153</v>
      </c>
      <c r="E56">
        <v>1012</v>
      </c>
      <c r="F56" t="s">
        <v>42</v>
      </c>
      <c r="G56" t="s">
        <v>140</v>
      </c>
      <c r="H56" t="s">
        <v>63</v>
      </c>
      <c r="I56" t="s">
        <v>96</v>
      </c>
      <c r="K56" t="s">
        <v>138</v>
      </c>
    </row>
    <row r="57" spans="1:11">
      <c r="A57" t="s">
        <v>202</v>
      </c>
      <c r="B57" s="3">
        <v>46260.756226851852</v>
      </c>
      <c r="C57" s="4">
        <v>46260</v>
      </c>
      <c r="D57" t="s">
        <v>153</v>
      </c>
      <c r="E57">
        <v>1012</v>
      </c>
      <c r="F57" t="s">
        <v>42</v>
      </c>
      <c r="G57" t="s">
        <v>140</v>
      </c>
      <c r="H57" t="s">
        <v>63</v>
      </c>
      <c r="I57" t="s">
        <v>96</v>
      </c>
      <c r="K57" t="s">
        <v>138</v>
      </c>
    </row>
    <row r="58" spans="1:11">
      <c r="A58" t="s">
        <v>203</v>
      </c>
      <c r="B58" s="3">
        <v>46260.75644675926</v>
      </c>
      <c r="C58" s="4">
        <v>46260</v>
      </c>
      <c r="D58" t="s">
        <v>153</v>
      </c>
      <c r="E58">
        <v>1012</v>
      </c>
      <c r="F58" t="s">
        <v>42</v>
      </c>
      <c r="G58" t="s">
        <v>140</v>
      </c>
      <c r="H58" t="s">
        <v>75</v>
      </c>
      <c r="I58" t="s">
        <v>96</v>
      </c>
      <c r="K58" t="s">
        <v>138</v>
      </c>
    </row>
    <row r="59" spans="1:11">
      <c r="A59" t="s">
        <v>204</v>
      </c>
      <c r="B59" s="3">
        <v>46260.788761574076</v>
      </c>
      <c r="C59" s="4">
        <v>46260</v>
      </c>
      <c r="D59" t="s">
        <v>153</v>
      </c>
      <c r="E59">
        <v>1001</v>
      </c>
      <c r="F59" t="s">
        <v>21</v>
      </c>
      <c r="G59" t="s">
        <v>140</v>
      </c>
      <c r="H59" t="s">
        <v>75</v>
      </c>
      <c r="I59" t="s">
        <v>93</v>
      </c>
      <c r="J59" t="s">
        <v>205</v>
      </c>
      <c r="K59" t="s">
        <v>138</v>
      </c>
    </row>
    <row r="60" spans="1:11">
      <c r="A60" t="s">
        <v>206</v>
      </c>
      <c r="B60" s="3">
        <v>46260.801666666666</v>
      </c>
      <c r="C60" s="4">
        <v>46260</v>
      </c>
      <c r="D60" t="s">
        <v>153</v>
      </c>
      <c r="E60">
        <v>1004</v>
      </c>
      <c r="F60" t="s">
        <v>29</v>
      </c>
      <c r="G60" t="s">
        <v>140</v>
      </c>
      <c r="H60" t="s">
        <v>63</v>
      </c>
      <c r="I60" t="s">
        <v>99</v>
      </c>
      <c r="J60" t="s">
        <v>207</v>
      </c>
      <c r="K60" t="s">
        <v>138</v>
      </c>
    </row>
    <row r="61" spans="1:11">
      <c r="A61" t="s">
        <v>208</v>
      </c>
      <c r="B61" s="3">
        <v>46260.801840277774</v>
      </c>
      <c r="C61" s="4">
        <v>46260</v>
      </c>
      <c r="D61" t="s">
        <v>153</v>
      </c>
      <c r="E61">
        <v>1004</v>
      </c>
      <c r="F61" t="s">
        <v>29</v>
      </c>
      <c r="G61" t="s">
        <v>140</v>
      </c>
      <c r="H61" t="s">
        <v>63</v>
      </c>
      <c r="I61" t="s">
        <v>99</v>
      </c>
      <c r="J61" t="s">
        <v>207</v>
      </c>
      <c r="K61" t="s">
        <v>138</v>
      </c>
    </row>
    <row r="62" spans="1:11">
      <c r="A62" t="s">
        <v>209</v>
      </c>
      <c r="B62" s="3">
        <v>46260.979699074072</v>
      </c>
      <c r="C62" s="4">
        <v>46260</v>
      </c>
      <c r="D62" t="s">
        <v>153</v>
      </c>
      <c r="E62">
        <v>1006</v>
      </c>
      <c r="F62" t="s">
        <v>33</v>
      </c>
      <c r="G62" t="s">
        <v>140</v>
      </c>
      <c r="H62" t="s">
        <v>75</v>
      </c>
      <c r="I62" t="s">
        <v>96</v>
      </c>
      <c r="J62" t="s">
        <v>210</v>
      </c>
      <c r="K62" t="s">
        <v>138</v>
      </c>
    </row>
    <row r="63" spans="1:11">
      <c r="A63" t="s">
        <v>211</v>
      </c>
      <c r="B63" s="3">
        <v>46260.980891203704</v>
      </c>
      <c r="C63" s="4">
        <v>46260</v>
      </c>
      <c r="D63" t="s">
        <v>153</v>
      </c>
      <c r="E63">
        <v>1006</v>
      </c>
      <c r="F63" t="s">
        <v>33</v>
      </c>
      <c r="G63" t="s">
        <v>137</v>
      </c>
      <c r="H63" t="s">
        <v>75</v>
      </c>
      <c r="I63" t="s">
        <v>96</v>
      </c>
      <c r="J63" t="s">
        <v>212</v>
      </c>
      <c r="K63" t="s">
        <v>138</v>
      </c>
    </row>
    <row r="64" spans="1:11">
      <c r="A64" t="s">
        <v>213</v>
      </c>
      <c r="B64" s="3">
        <v>46261.333773148152</v>
      </c>
      <c r="C64" s="4">
        <v>46261</v>
      </c>
      <c r="D64" t="s">
        <v>214</v>
      </c>
      <c r="E64">
        <v>1013</v>
      </c>
      <c r="F64" t="s">
        <v>45</v>
      </c>
      <c r="G64" t="s">
        <v>137</v>
      </c>
      <c r="H64" t="s">
        <v>66</v>
      </c>
      <c r="I64" t="s">
        <v>102</v>
      </c>
      <c r="K64" t="s">
        <v>138</v>
      </c>
    </row>
    <row r="65" spans="1:11">
      <c r="A65" t="s">
        <v>215</v>
      </c>
      <c r="B65" s="3">
        <v>46261.336875000001</v>
      </c>
      <c r="C65" s="4">
        <v>46261</v>
      </c>
      <c r="D65" t="s">
        <v>214</v>
      </c>
      <c r="E65">
        <v>1003</v>
      </c>
      <c r="F65" t="s">
        <v>27</v>
      </c>
      <c r="G65" t="s">
        <v>137</v>
      </c>
      <c r="H65" t="s">
        <v>66</v>
      </c>
      <c r="I65" t="s">
        <v>102</v>
      </c>
      <c r="K65" t="s">
        <v>138</v>
      </c>
    </row>
    <row r="66" spans="1:11">
      <c r="A66" t="s">
        <v>216</v>
      </c>
      <c r="B66" s="3">
        <v>46261.340081018519</v>
      </c>
      <c r="C66" s="4">
        <v>46261</v>
      </c>
      <c r="D66" t="s">
        <v>214</v>
      </c>
      <c r="E66">
        <v>1002</v>
      </c>
      <c r="F66" t="s">
        <v>25</v>
      </c>
      <c r="G66" t="s">
        <v>137</v>
      </c>
      <c r="H66" t="s">
        <v>60</v>
      </c>
      <c r="I66" t="s">
        <v>102</v>
      </c>
      <c r="K66" t="s">
        <v>138</v>
      </c>
    </row>
    <row r="67" spans="1:11">
      <c r="A67" t="s">
        <v>217</v>
      </c>
      <c r="B67" s="3">
        <v>46261.356030092589</v>
      </c>
      <c r="C67" s="4">
        <v>46261</v>
      </c>
      <c r="D67" t="s">
        <v>214</v>
      </c>
      <c r="E67">
        <v>1001</v>
      </c>
      <c r="F67" t="s">
        <v>21</v>
      </c>
      <c r="G67" t="s">
        <v>137</v>
      </c>
      <c r="H67" t="s">
        <v>75</v>
      </c>
      <c r="I67" t="s">
        <v>93</v>
      </c>
      <c r="J67" t="s">
        <v>218</v>
      </c>
      <c r="K67" t="s">
        <v>138</v>
      </c>
    </row>
    <row r="68" spans="1:11">
      <c r="A68" t="s">
        <v>219</v>
      </c>
      <c r="B68" s="3">
        <v>46261.370034722226</v>
      </c>
      <c r="C68" s="4">
        <v>46261</v>
      </c>
      <c r="D68" t="s">
        <v>214</v>
      </c>
      <c r="E68">
        <v>1015</v>
      </c>
      <c r="F68" t="s">
        <v>47</v>
      </c>
      <c r="G68" t="s">
        <v>137</v>
      </c>
      <c r="H68" t="s">
        <v>81</v>
      </c>
      <c r="I68" t="s">
        <v>81</v>
      </c>
      <c r="K68" t="s">
        <v>138</v>
      </c>
    </row>
    <row r="69" spans="1:11">
      <c r="A69" t="s">
        <v>220</v>
      </c>
      <c r="B69" s="3">
        <v>46261.370682870373</v>
      </c>
      <c r="C69" s="4">
        <v>46261</v>
      </c>
      <c r="D69" t="s">
        <v>214</v>
      </c>
      <c r="E69">
        <v>1011</v>
      </c>
      <c r="F69" t="s">
        <v>40</v>
      </c>
      <c r="G69" t="s">
        <v>137</v>
      </c>
      <c r="H69" t="s">
        <v>69</v>
      </c>
      <c r="I69" t="s">
        <v>102</v>
      </c>
      <c r="J69" t="s">
        <v>221</v>
      </c>
      <c r="K69" t="s">
        <v>138</v>
      </c>
    </row>
    <row r="70" spans="1:11">
      <c r="A70" t="s">
        <v>222</v>
      </c>
      <c r="B70" s="3">
        <v>46261.3828125</v>
      </c>
      <c r="C70" s="4">
        <v>46261</v>
      </c>
      <c r="D70" t="s">
        <v>214</v>
      </c>
      <c r="E70">
        <v>1004</v>
      </c>
      <c r="F70" t="s">
        <v>29</v>
      </c>
      <c r="G70" t="s">
        <v>137</v>
      </c>
      <c r="H70" t="s">
        <v>63</v>
      </c>
      <c r="I70" t="s">
        <v>99</v>
      </c>
      <c r="J70" t="s">
        <v>223</v>
      </c>
      <c r="K70" t="s">
        <v>138</v>
      </c>
    </row>
    <row r="71" spans="1:11">
      <c r="A71" t="s">
        <v>224</v>
      </c>
      <c r="B71" s="3">
        <v>46261.403506944444</v>
      </c>
      <c r="C71" s="4">
        <v>46261</v>
      </c>
      <c r="D71" t="s">
        <v>214</v>
      </c>
      <c r="E71">
        <v>1016</v>
      </c>
      <c r="F71" t="s">
        <v>49</v>
      </c>
      <c r="G71" t="s">
        <v>137</v>
      </c>
      <c r="H71" t="s">
        <v>60</v>
      </c>
      <c r="I71" t="s">
        <v>102</v>
      </c>
      <c r="K71" t="s">
        <v>138</v>
      </c>
    </row>
    <row r="72" spans="1:11">
      <c r="A72" t="s">
        <v>225</v>
      </c>
      <c r="B72" s="3">
        <v>46261.403645833336</v>
      </c>
      <c r="C72" s="4">
        <v>46261</v>
      </c>
      <c r="D72" t="s">
        <v>214</v>
      </c>
      <c r="E72">
        <v>1016</v>
      </c>
      <c r="F72" t="s">
        <v>49</v>
      </c>
      <c r="G72" t="s">
        <v>137</v>
      </c>
      <c r="H72" t="s">
        <v>60</v>
      </c>
      <c r="I72" t="s">
        <v>102</v>
      </c>
      <c r="K72" t="s">
        <v>138</v>
      </c>
    </row>
    <row r="73" spans="1:11">
      <c r="A73" t="s">
        <v>226</v>
      </c>
      <c r="B73" s="3">
        <v>46261.403773148151</v>
      </c>
      <c r="C73" s="4">
        <v>46261</v>
      </c>
      <c r="D73" t="s">
        <v>214</v>
      </c>
      <c r="E73">
        <v>1016</v>
      </c>
      <c r="F73" t="s">
        <v>49</v>
      </c>
      <c r="G73" t="s">
        <v>137</v>
      </c>
      <c r="H73" t="s">
        <v>60</v>
      </c>
      <c r="I73" t="s">
        <v>102</v>
      </c>
      <c r="K73" t="s">
        <v>138</v>
      </c>
    </row>
    <row r="74" spans="1:11">
      <c r="A74" t="s">
        <v>227</v>
      </c>
      <c r="B74" s="3">
        <v>46261.405023148145</v>
      </c>
      <c r="C74" s="4">
        <v>46261</v>
      </c>
      <c r="D74" t="s">
        <v>214</v>
      </c>
      <c r="E74">
        <v>1016</v>
      </c>
      <c r="F74" t="s">
        <v>49</v>
      </c>
      <c r="G74" t="s">
        <v>137</v>
      </c>
      <c r="H74" t="s">
        <v>60</v>
      </c>
      <c r="I74" t="s">
        <v>102</v>
      </c>
      <c r="K74" t="s">
        <v>138</v>
      </c>
    </row>
    <row r="75" spans="1:11">
      <c r="A75" t="s">
        <v>228</v>
      </c>
      <c r="B75" s="3">
        <v>46261.4062037037</v>
      </c>
      <c r="C75" s="4">
        <v>46261</v>
      </c>
      <c r="D75" t="s">
        <v>214</v>
      </c>
      <c r="E75">
        <v>1012</v>
      </c>
      <c r="F75" t="s">
        <v>42</v>
      </c>
      <c r="G75" t="s">
        <v>137</v>
      </c>
      <c r="H75" t="s">
        <v>63</v>
      </c>
      <c r="I75" t="s">
        <v>96</v>
      </c>
      <c r="K75" t="s">
        <v>138</v>
      </c>
    </row>
    <row r="76" spans="1:11">
      <c r="A76" t="s">
        <v>229</v>
      </c>
      <c r="B76" s="3">
        <v>46261.407037037039</v>
      </c>
      <c r="C76" s="4">
        <v>46261</v>
      </c>
      <c r="D76" t="s">
        <v>214</v>
      </c>
      <c r="E76">
        <v>1016</v>
      </c>
      <c r="F76" t="s">
        <v>49</v>
      </c>
      <c r="G76" t="s">
        <v>137</v>
      </c>
      <c r="H76" t="s">
        <v>60</v>
      </c>
      <c r="I76" t="s">
        <v>102</v>
      </c>
      <c r="K76" t="s">
        <v>138</v>
      </c>
    </row>
    <row r="77" spans="1:11">
      <c r="A77" t="s">
        <v>230</v>
      </c>
      <c r="B77" s="3">
        <v>46261.407187500001</v>
      </c>
      <c r="C77" s="4">
        <v>46261</v>
      </c>
      <c r="D77" t="s">
        <v>214</v>
      </c>
      <c r="E77">
        <v>1016</v>
      </c>
      <c r="F77" t="s">
        <v>49</v>
      </c>
      <c r="G77" t="s">
        <v>137</v>
      </c>
      <c r="H77" t="s">
        <v>60</v>
      </c>
      <c r="I77" t="s">
        <v>102</v>
      </c>
      <c r="K77" t="s">
        <v>138</v>
      </c>
    </row>
    <row r="78" spans="1:11">
      <c r="A78" t="s">
        <v>231</v>
      </c>
      <c r="B78" s="3">
        <v>46261.407719907409</v>
      </c>
      <c r="C78" s="4">
        <v>46261</v>
      </c>
      <c r="D78" t="s">
        <v>214</v>
      </c>
      <c r="E78">
        <v>1016</v>
      </c>
      <c r="F78" t="s">
        <v>49</v>
      </c>
      <c r="G78" t="s">
        <v>137</v>
      </c>
      <c r="H78" t="s">
        <v>60</v>
      </c>
      <c r="I78" t="s">
        <v>102</v>
      </c>
      <c r="K78" t="s">
        <v>138</v>
      </c>
    </row>
    <row r="79" spans="1:11">
      <c r="A79" t="s">
        <v>232</v>
      </c>
      <c r="B79" s="3">
        <v>46261.407951388886</v>
      </c>
      <c r="C79" s="4">
        <v>46261</v>
      </c>
      <c r="D79" t="s">
        <v>214</v>
      </c>
      <c r="E79">
        <v>1016</v>
      </c>
      <c r="F79" t="s">
        <v>49</v>
      </c>
      <c r="G79" t="s">
        <v>137</v>
      </c>
      <c r="H79" t="s">
        <v>60</v>
      </c>
      <c r="I79" t="s">
        <v>102</v>
      </c>
      <c r="K79" t="s">
        <v>138</v>
      </c>
    </row>
    <row r="80" spans="1:11">
      <c r="A80" t="s">
        <v>233</v>
      </c>
      <c r="B80" s="3">
        <v>46261.420185185183</v>
      </c>
      <c r="C80" s="4">
        <v>46261</v>
      </c>
      <c r="D80" t="s">
        <v>214</v>
      </c>
      <c r="E80">
        <v>1014</v>
      </c>
      <c r="F80" t="s">
        <v>46</v>
      </c>
      <c r="G80" t="s">
        <v>137</v>
      </c>
      <c r="H80" t="s">
        <v>66</v>
      </c>
      <c r="I80" t="s">
        <v>122</v>
      </c>
      <c r="K80" t="s">
        <v>138</v>
      </c>
    </row>
    <row r="81" spans="1:11">
      <c r="A81" t="s">
        <v>234</v>
      </c>
      <c r="B81" s="3">
        <v>46261.474166666667</v>
      </c>
      <c r="C81" s="4">
        <v>46261</v>
      </c>
      <c r="D81" t="s">
        <v>214</v>
      </c>
      <c r="E81">
        <v>1012</v>
      </c>
      <c r="F81" t="s">
        <v>42</v>
      </c>
      <c r="G81" t="s">
        <v>140</v>
      </c>
      <c r="H81" t="s">
        <v>63</v>
      </c>
      <c r="I81" t="s">
        <v>96</v>
      </c>
      <c r="K81" t="s">
        <v>138</v>
      </c>
    </row>
    <row r="82" spans="1:11">
      <c r="A82" t="s">
        <v>235</v>
      </c>
      <c r="B82" s="3">
        <v>46261.474872685183</v>
      </c>
      <c r="C82" s="4">
        <v>46261</v>
      </c>
      <c r="D82" t="s">
        <v>214</v>
      </c>
      <c r="E82">
        <v>1012</v>
      </c>
      <c r="F82" t="s">
        <v>42</v>
      </c>
      <c r="G82" t="s">
        <v>137</v>
      </c>
      <c r="H82" t="s">
        <v>66</v>
      </c>
      <c r="I82" t="s">
        <v>119</v>
      </c>
      <c r="J82" t="s">
        <v>236</v>
      </c>
      <c r="K82" t="s">
        <v>138</v>
      </c>
    </row>
    <row r="83" spans="1:11">
      <c r="A83" t="s">
        <v>237</v>
      </c>
      <c r="B83" s="3">
        <v>46261.525277777779</v>
      </c>
      <c r="C83" s="4">
        <v>46261</v>
      </c>
      <c r="D83" t="s">
        <v>214</v>
      </c>
      <c r="E83">
        <v>1016</v>
      </c>
      <c r="F83" t="s">
        <v>49</v>
      </c>
      <c r="G83" t="s">
        <v>140</v>
      </c>
      <c r="H83" t="s">
        <v>60</v>
      </c>
      <c r="I83" t="s">
        <v>102</v>
      </c>
      <c r="K83" t="s">
        <v>138</v>
      </c>
    </row>
    <row r="84" spans="1:11">
      <c r="A84" t="s">
        <v>238</v>
      </c>
      <c r="B84" s="3">
        <v>46261.527141203704</v>
      </c>
      <c r="C84" s="4">
        <v>46261</v>
      </c>
      <c r="D84" t="s">
        <v>214</v>
      </c>
      <c r="E84">
        <v>1006</v>
      </c>
      <c r="F84" t="s">
        <v>33</v>
      </c>
      <c r="G84" t="s">
        <v>137</v>
      </c>
      <c r="H84" t="s">
        <v>75</v>
      </c>
      <c r="I84" t="s">
        <v>96</v>
      </c>
      <c r="J84" t="s">
        <v>239</v>
      </c>
      <c r="K84" t="s">
        <v>138</v>
      </c>
    </row>
    <row r="85" spans="1:11">
      <c r="A85" t="s">
        <v>240</v>
      </c>
      <c r="B85" s="3">
        <v>46261.528668981482</v>
      </c>
      <c r="C85" s="4">
        <v>46261</v>
      </c>
      <c r="D85" t="s">
        <v>214</v>
      </c>
      <c r="E85">
        <v>1003</v>
      </c>
      <c r="F85" t="s">
        <v>27</v>
      </c>
      <c r="G85" t="s">
        <v>140</v>
      </c>
      <c r="H85" t="s">
        <v>63</v>
      </c>
      <c r="I85" t="s">
        <v>102</v>
      </c>
      <c r="K85" t="s">
        <v>138</v>
      </c>
    </row>
    <row r="86" spans="1:11">
      <c r="A86" t="s">
        <v>241</v>
      </c>
      <c r="B86" s="3">
        <v>46261.533518518518</v>
      </c>
      <c r="C86" s="4">
        <v>46261</v>
      </c>
      <c r="D86" t="s">
        <v>214</v>
      </c>
      <c r="E86">
        <v>1014</v>
      </c>
      <c r="F86" t="s">
        <v>46</v>
      </c>
      <c r="G86" t="s">
        <v>140</v>
      </c>
      <c r="H86" t="s">
        <v>66</v>
      </c>
      <c r="I86" t="s">
        <v>122</v>
      </c>
      <c r="K86" t="s">
        <v>138</v>
      </c>
    </row>
    <row r="87" spans="1:11">
      <c r="A87" t="s">
        <v>242</v>
      </c>
      <c r="B87" s="3">
        <v>46261.536585648151</v>
      </c>
      <c r="C87" s="4">
        <v>46261</v>
      </c>
      <c r="D87" t="s">
        <v>214</v>
      </c>
      <c r="E87">
        <v>1011</v>
      </c>
      <c r="F87" t="s">
        <v>40</v>
      </c>
      <c r="G87" t="s">
        <v>140</v>
      </c>
      <c r="H87" t="s">
        <v>66</v>
      </c>
      <c r="I87" t="s">
        <v>102</v>
      </c>
      <c r="J87" t="s">
        <v>243</v>
      </c>
      <c r="K87" t="s">
        <v>138</v>
      </c>
    </row>
    <row r="88" spans="1:11">
      <c r="A88" t="s">
        <v>244</v>
      </c>
      <c r="B88" s="3">
        <v>46261.538553240738</v>
      </c>
      <c r="C88" s="4">
        <v>46261</v>
      </c>
      <c r="D88" t="s">
        <v>214</v>
      </c>
      <c r="E88">
        <v>1015</v>
      </c>
      <c r="F88" t="s">
        <v>47</v>
      </c>
      <c r="G88" t="s">
        <v>140</v>
      </c>
      <c r="H88" t="s">
        <v>81</v>
      </c>
      <c r="I88" t="s">
        <v>81</v>
      </c>
      <c r="K88" t="s">
        <v>138</v>
      </c>
    </row>
    <row r="89" spans="1:11">
      <c r="A89" t="s">
        <v>245</v>
      </c>
      <c r="B89" s="3">
        <v>46261.542905092596</v>
      </c>
      <c r="C89" s="4">
        <v>46261</v>
      </c>
      <c r="D89" t="s">
        <v>214</v>
      </c>
      <c r="E89">
        <v>1012</v>
      </c>
      <c r="F89" t="s">
        <v>42</v>
      </c>
      <c r="G89" t="s">
        <v>140</v>
      </c>
      <c r="H89" t="s">
        <v>66</v>
      </c>
      <c r="I89" t="s">
        <v>119</v>
      </c>
      <c r="J89" t="s">
        <v>246</v>
      </c>
      <c r="K89" t="s">
        <v>138</v>
      </c>
    </row>
    <row r="90" spans="1:11">
      <c r="A90" t="s">
        <v>247</v>
      </c>
      <c r="B90" s="3">
        <v>46261.548495370371</v>
      </c>
      <c r="C90" s="4">
        <v>46261</v>
      </c>
      <c r="D90" t="s">
        <v>214</v>
      </c>
      <c r="E90">
        <v>1004</v>
      </c>
      <c r="F90" t="s">
        <v>29</v>
      </c>
      <c r="G90" t="s">
        <v>140</v>
      </c>
      <c r="H90" t="s">
        <v>63</v>
      </c>
      <c r="I90" t="s">
        <v>99</v>
      </c>
      <c r="J90" t="s">
        <v>248</v>
      </c>
      <c r="K90" t="s">
        <v>138</v>
      </c>
    </row>
    <row r="91" spans="1:11">
      <c r="A91" t="s">
        <v>249</v>
      </c>
      <c r="B91" s="3">
        <v>46261.567719907405</v>
      </c>
      <c r="C91" s="4">
        <v>46261</v>
      </c>
      <c r="D91" t="s">
        <v>214</v>
      </c>
      <c r="E91">
        <v>1003</v>
      </c>
      <c r="F91" t="s">
        <v>27</v>
      </c>
      <c r="G91" t="s">
        <v>137</v>
      </c>
      <c r="H91" t="s">
        <v>66</v>
      </c>
      <c r="I91" t="s">
        <v>102</v>
      </c>
      <c r="K91" t="s">
        <v>138</v>
      </c>
    </row>
    <row r="92" spans="1:11">
      <c r="A92" t="s">
        <v>250</v>
      </c>
      <c r="B92" s="3">
        <v>46261.576412037037</v>
      </c>
      <c r="C92" s="4">
        <v>46261</v>
      </c>
      <c r="D92" t="s">
        <v>214</v>
      </c>
      <c r="E92">
        <v>1016</v>
      </c>
      <c r="F92" t="s">
        <v>49</v>
      </c>
      <c r="G92" t="s">
        <v>137</v>
      </c>
      <c r="H92" t="s">
        <v>60</v>
      </c>
      <c r="I92" t="s">
        <v>102</v>
      </c>
      <c r="K92" t="s">
        <v>138</v>
      </c>
    </row>
    <row r="93" spans="1:11">
      <c r="A93" t="s">
        <v>251</v>
      </c>
      <c r="B93" s="3">
        <v>46261.579513888886</v>
      </c>
      <c r="C93" s="4">
        <v>46261</v>
      </c>
      <c r="D93" t="s">
        <v>214</v>
      </c>
      <c r="E93">
        <v>1015</v>
      </c>
      <c r="F93" t="s">
        <v>47</v>
      </c>
      <c r="G93" t="s">
        <v>137</v>
      </c>
      <c r="H93" t="s">
        <v>81</v>
      </c>
      <c r="I93" t="s">
        <v>81</v>
      </c>
      <c r="K93" t="s">
        <v>138</v>
      </c>
    </row>
    <row r="94" spans="1:11">
      <c r="A94" t="s">
        <v>252</v>
      </c>
      <c r="B94" s="3">
        <v>46261.580185185187</v>
      </c>
      <c r="C94" s="4">
        <v>46261</v>
      </c>
      <c r="D94" t="s">
        <v>214</v>
      </c>
      <c r="E94">
        <v>1014</v>
      </c>
      <c r="F94" t="s">
        <v>46</v>
      </c>
      <c r="G94" t="s">
        <v>137</v>
      </c>
      <c r="H94" t="s">
        <v>66</v>
      </c>
      <c r="I94" t="s">
        <v>122</v>
      </c>
      <c r="K94" t="s">
        <v>138</v>
      </c>
    </row>
    <row r="95" spans="1:11">
      <c r="A95" t="s">
        <v>253</v>
      </c>
      <c r="B95" s="3">
        <v>46261.581145833334</v>
      </c>
      <c r="C95" s="4">
        <v>46261</v>
      </c>
      <c r="D95" t="s">
        <v>214</v>
      </c>
      <c r="E95">
        <v>1011</v>
      </c>
      <c r="F95" t="s">
        <v>40</v>
      </c>
      <c r="G95" t="s">
        <v>137</v>
      </c>
      <c r="H95" t="s">
        <v>66</v>
      </c>
      <c r="I95" t="s">
        <v>102</v>
      </c>
      <c r="K95" t="s">
        <v>138</v>
      </c>
    </row>
    <row r="96" spans="1:11">
      <c r="A96" t="s">
        <v>254</v>
      </c>
      <c r="B96" s="3">
        <v>46261.595497685186</v>
      </c>
      <c r="C96" s="4">
        <v>46261</v>
      </c>
      <c r="D96" t="s">
        <v>214</v>
      </c>
      <c r="E96">
        <v>1012</v>
      </c>
      <c r="F96" t="s">
        <v>42</v>
      </c>
      <c r="G96" t="s">
        <v>137</v>
      </c>
      <c r="H96" t="s">
        <v>66</v>
      </c>
      <c r="I96" t="s">
        <v>119</v>
      </c>
      <c r="J96" t="s">
        <v>255</v>
      </c>
      <c r="K96" t="s">
        <v>138</v>
      </c>
    </row>
    <row r="97" spans="1:11">
      <c r="A97" t="s">
        <v>256</v>
      </c>
      <c r="B97" s="3">
        <v>46261.629571759258</v>
      </c>
      <c r="C97" s="4">
        <v>46261</v>
      </c>
      <c r="D97" t="s">
        <v>214</v>
      </c>
      <c r="E97">
        <v>1004</v>
      </c>
      <c r="F97" t="s">
        <v>29</v>
      </c>
      <c r="G97" t="s">
        <v>137</v>
      </c>
      <c r="H97" t="s">
        <v>63</v>
      </c>
      <c r="I97" t="s">
        <v>99</v>
      </c>
      <c r="J97" t="s">
        <v>257</v>
      </c>
      <c r="K97" t="s">
        <v>138</v>
      </c>
    </row>
    <row r="98" spans="1:11">
      <c r="A98" t="s">
        <v>258</v>
      </c>
      <c r="B98" s="3">
        <v>46261.667812500003</v>
      </c>
      <c r="C98" s="4">
        <v>46261</v>
      </c>
      <c r="D98" t="s">
        <v>214</v>
      </c>
      <c r="E98">
        <v>1001</v>
      </c>
      <c r="F98" t="s">
        <v>21</v>
      </c>
      <c r="G98" t="s">
        <v>140</v>
      </c>
      <c r="H98" t="s">
        <v>75</v>
      </c>
      <c r="I98" t="s">
        <v>93</v>
      </c>
      <c r="J98" t="s">
        <v>259</v>
      </c>
      <c r="K98" t="s">
        <v>138</v>
      </c>
    </row>
    <row r="99" spans="1:11">
      <c r="A99" t="s">
        <v>260</v>
      </c>
      <c r="B99" s="3">
        <v>46261.689398148148</v>
      </c>
      <c r="C99" s="4">
        <v>46261</v>
      </c>
      <c r="D99" t="s">
        <v>214</v>
      </c>
      <c r="E99">
        <v>1001</v>
      </c>
      <c r="F99" t="s">
        <v>21</v>
      </c>
      <c r="G99" t="s">
        <v>137</v>
      </c>
      <c r="H99" t="s">
        <v>75</v>
      </c>
      <c r="I99" t="s">
        <v>93</v>
      </c>
      <c r="K99" t="s">
        <v>138</v>
      </c>
    </row>
    <row r="100" spans="1:11">
      <c r="A100" t="s">
        <v>261</v>
      </c>
      <c r="B100" s="3">
        <v>46261.746863425928</v>
      </c>
      <c r="C100" s="4">
        <v>46261</v>
      </c>
      <c r="D100" t="s">
        <v>214</v>
      </c>
      <c r="E100">
        <v>1015</v>
      </c>
      <c r="F100" t="s">
        <v>47</v>
      </c>
      <c r="G100" t="s">
        <v>140</v>
      </c>
      <c r="H100" t="s">
        <v>81</v>
      </c>
      <c r="I100" t="s">
        <v>81</v>
      </c>
      <c r="K100" t="s">
        <v>138</v>
      </c>
    </row>
    <row r="101" spans="1:11">
      <c r="A101" t="s">
        <v>262</v>
      </c>
      <c r="B101" s="3">
        <v>46261.750150462962</v>
      </c>
      <c r="C101" s="4">
        <v>46261</v>
      </c>
      <c r="D101" t="s">
        <v>214</v>
      </c>
      <c r="E101">
        <v>1003</v>
      </c>
      <c r="F101" t="s">
        <v>27</v>
      </c>
      <c r="G101" t="s">
        <v>140</v>
      </c>
      <c r="H101" t="s">
        <v>66</v>
      </c>
      <c r="I101" t="s">
        <v>102</v>
      </c>
      <c r="K101" t="s">
        <v>138</v>
      </c>
    </row>
    <row r="102" spans="1:11">
      <c r="A102" t="s">
        <v>263</v>
      </c>
      <c r="B102" s="3">
        <v>46261.752615740741</v>
      </c>
      <c r="C102" s="4">
        <v>46261</v>
      </c>
      <c r="D102" t="s">
        <v>214</v>
      </c>
      <c r="E102">
        <v>1002</v>
      </c>
      <c r="F102" t="s">
        <v>25</v>
      </c>
      <c r="G102" t="s">
        <v>140</v>
      </c>
      <c r="H102" t="s">
        <v>60</v>
      </c>
      <c r="I102" t="s">
        <v>102</v>
      </c>
      <c r="K102" t="s">
        <v>138</v>
      </c>
    </row>
    <row r="103" spans="1:11">
      <c r="A103" t="s">
        <v>264</v>
      </c>
      <c r="B103" s="3">
        <v>46261.753506944442</v>
      </c>
      <c r="C103" s="4">
        <v>46261</v>
      </c>
      <c r="D103" t="s">
        <v>214</v>
      </c>
      <c r="E103">
        <v>1013</v>
      </c>
      <c r="F103" t="s">
        <v>45</v>
      </c>
      <c r="G103" t="s">
        <v>140</v>
      </c>
      <c r="H103" t="s">
        <v>66</v>
      </c>
      <c r="I103" t="s">
        <v>102</v>
      </c>
      <c r="J103" t="s">
        <v>265</v>
      </c>
      <c r="K103" t="s">
        <v>138</v>
      </c>
    </row>
    <row r="104" spans="1:11">
      <c r="A104" t="s">
        <v>266</v>
      </c>
      <c r="B104" s="3">
        <v>46261.754999999997</v>
      </c>
      <c r="C104" s="4">
        <v>46261</v>
      </c>
      <c r="D104" t="s">
        <v>214</v>
      </c>
      <c r="E104">
        <v>1016</v>
      </c>
      <c r="F104" t="s">
        <v>49</v>
      </c>
      <c r="G104" t="s">
        <v>140</v>
      </c>
      <c r="H104" t="s">
        <v>60</v>
      </c>
      <c r="I104" t="s">
        <v>102</v>
      </c>
      <c r="K104" t="s">
        <v>138</v>
      </c>
    </row>
    <row r="105" spans="1:11">
      <c r="A105" t="s">
        <v>267</v>
      </c>
      <c r="B105" s="3">
        <v>46261.75818287037</v>
      </c>
      <c r="C105" s="4">
        <v>46261</v>
      </c>
      <c r="D105" t="s">
        <v>214</v>
      </c>
      <c r="E105">
        <v>1014</v>
      </c>
      <c r="F105" t="s">
        <v>46</v>
      </c>
      <c r="G105" t="s">
        <v>140</v>
      </c>
      <c r="H105" t="s">
        <v>66</v>
      </c>
      <c r="I105" t="s">
        <v>122</v>
      </c>
      <c r="K105" t="s">
        <v>138</v>
      </c>
    </row>
    <row r="106" spans="1:11">
      <c r="A106" t="s">
        <v>268</v>
      </c>
      <c r="B106" s="3">
        <v>46261.758900462963</v>
      </c>
      <c r="C106" s="4">
        <v>46261</v>
      </c>
      <c r="D106" t="s">
        <v>214</v>
      </c>
      <c r="E106">
        <v>1001</v>
      </c>
      <c r="F106" t="s">
        <v>21</v>
      </c>
      <c r="G106" t="s">
        <v>140</v>
      </c>
      <c r="H106" t="s">
        <v>75</v>
      </c>
      <c r="I106" t="s">
        <v>93</v>
      </c>
      <c r="J106" t="s">
        <v>269</v>
      </c>
      <c r="K106" t="s">
        <v>138</v>
      </c>
    </row>
    <row r="107" spans="1:11">
      <c r="A107" t="s">
        <v>270</v>
      </c>
      <c r="B107" s="3">
        <v>46261.760312500002</v>
      </c>
      <c r="C107" s="4">
        <v>46261</v>
      </c>
      <c r="D107" t="s">
        <v>214</v>
      </c>
      <c r="E107">
        <v>1001</v>
      </c>
      <c r="F107" t="s">
        <v>21</v>
      </c>
      <c r="G107" t="s">
        <v>140</v>
      </c>
      <c r="H107" t="s">
        <v>75</v>
      </c>
      <c r="I107" t="s">
        <v>93</v>
      </c>
      <c r="J107" t="s">
        <v>271</v>
      </c>
      <c r="K107" t="s">
        <v>138</v>
      </c>
    </row>
    <row r="108" spans="1:11">
      <c r="A108" t="s">
        <v>272</v>
      </c>
      <c r="B108" s="3">
        <v>46261.760462962964</v>
      </c>
      <c r="C108" s="4">
        <v>46261</v>
      </c>
      <c r="D108" t="s">
        <v>214</v>
      </c>
      <c r="E108">
        <v>1001</v>
      </c>
      <c r="F108" t="s">
        <v>21</v>
      </c>
      <c r="G108" t="s">
        <v>140</v>
      </c>
      <c r="H108" t="s">
        <v>75</v>
      </c>
      <c r="I108" t="s">
        <v>93</v>
      </c>
      <c r="J108" t="s">
        <v>271</v>
      </c>
      <c r="K108" t="s">
        <v>138</v>
      </c>
    </row>
    <row r="109" spans="1:11">
      <c r="A109" t="s">
        <v>273</v>
      </c>
      <c r="B109" s="3">
        <v>46261.76116898148</v>
      </c>
      <c r="C109" s="4">
        <v>46261</v>
      </c>
      <c r="D109" t="s">
        <v>214</v>
      </c>
      <c r="E109">
        <v>1012</v>
      </c>
      <c r="F109" t="s">
        <v>42</v>
      </c>
      <c r="G109" t="s">
        <v>140</v>
      </c>
      <c r="H109" t="s">
        <v>66</v>
      </c>
      <c r="I109" t="s">
        <v>93</v>
      </c>
      <c r="K109" t="s">
        <v>138</v>
      </c>
    </row>
    <row r="110" spans="1:11">
      <c r="A110" t="s">
        <v>274</v>
      </c>
      <c r="B110" s="3">
        <v>46261.761400462965</v>
      </c>
      <c r="C110" s="4">
        <v>46261</v>
      </c>
      <c r="D110" t="s">
        <v>214</v>
      </c>
      <c r="E110">
        <v>1012</v>
      </c>
      <c r="F110" t="s">
        <v>42</v>
      </c>
      <c r="G110" t="s">
        <v>140</v>
      </c>
      <c r="H110" t="s">
        <v>66</v>
      </c>
      <c r="I110" t="s">
        <v>93</v>
      </c>
      <c r="K110" t="s">
        <v>138</v>
      </c>
    </row>
    <row r="111" spans="1:11">
      <c r="A111" t="s">
        <v>275</v>
      </c>
      <c r="B111" s="3">
        <v>46261.795451388891</v>
      </c>
      <c r="C111" s="4">
        <v>46261</v>
      </c>
      <c r="D111" t="s">
        <v>214</v>
      </c>
      <c r="E111">
        <v>1011</v>
      </c>
      <c r="F111" t="s">
        <v>40</v>
      </c>
      <c r="G111" t="s">
        <v>140</v>
      </c>
      <c r="H111" t="s">
        <v>66</v>
      </c>
      <c r="I111" t="s">
        <v>102</v>
      </c>
      <c r="J111" t="s">
        <v>276</v>
      </c>
      <c r="K111" t="s">
        <v>138</v>
      </c>
    </row>
    <row r="112" spans="1:11">
      <c r="A112" t="s">
        <v>277</v>
      </c>
      <c r="B112" s="3">
        <v>46261.806145833332</v>
      </c>
      <c r="C112" s="4">
        <v>46261</v>
      </c>
      <c r="D112" t="s">
        <v>214</v>
      </c>
      <c r="E112">
        <v>1011</v>
      </c>
      <c r="F112" t="s">
        <v>40</v>
      </c>
      <c r="G112" t="s">
        <v>140</v>
      </c>
      <c r="H112" t="s">
        <v>66</v>
      </c>
      <c r="I112" t="s">
        <v>102</v>
      </c>
      <c r="J112" t="s">
        <v>276</v>
      </c>
      <c r="K112" t="s">
        <v>138</v>
      </c>
    </row>
    <row r="113" spans="1:11">
      <c r="A113" t="s">
        <v>278</v>
      </c>
      <c r="B113" s="3">
        <v>46261.810277777775</v>
      </c>
      <c r="C113" s="4">
        <v>46261</v>
      </c>
      <c r="D113" t="s">
        <v>214</v>
      </c>
      <c r="E113">
        <v>1006</v>
      </c>
      <c r="F113" t="s">
        <v>33</v>
      </c>
      <c r="G113" t="s">
        <v>140</v>
      </c>
      <c r="H113" t="s">
        <v>75</v>
      </c>
      <c r="I113" t="s">
        <v>96</v>
      </c>
      <c r="J113" t="s">
        <v>210</v>
      </c>
      <c r="K113" t="s">
        <v>138</v>
      </c>
    </row>
    <row r="114" spans="1:11">
      <c r="A114" t="s">
        <v>279</v>
      </c>
      <c r="B114" s="3">
        <v>46261.810879629629</v>
      </c>
      <c r="C114" s="4">
        <v>46261</v>
      </c>
      <c r="D114" t="s">
        <v>214</v>
      </c>
      <c r="E114">
        <v>1006</v>
      </c>
      <c r="F114" t="s">
        <v>33</v>
      </c>
      <c r="G114" t="s">
        <v>140</v>
      </c>
      <c r="H114" t="s">
        <v>75</v>
      </c>
      <c r="I114" t="s">
        <v>96</v>
      </c>
      <c r="J114" t="s">
        <v>280</v>
      </c>
      <c r="K114" t="s">
        <v>138</v>
      </c>
    </row>
    <row r="115" spans="1:11">
      <c r="A115" t="s">
        <v>281</v>
      </c>
      <c r="B115" s="3">
        <v>46261.828206018516</v>
      </c>
      <c r="C115" s="4">
        <v>46261</v>
      </c>
      <c r="D115" t="s">
        <v>214</v>
      </c>
      <c r="E115">
        <v>1006</v>
      </c>
      <c r="F115" t="s">
        <v>33</v>
      </c>
      <c r="G115" t="s">
        <v>140</v>
      </c>
      <c r="H115" t="s">
        <v>75</v>
      </c>
      <c r="I115" t="s">
        <v>96</v>
      </c>
      <c r="J115" t="s">
        <v>280</v>
      </c>
      <c r="K115" t="s">
        <v>138</v>
      </c>
    </row>
    <row r="116" spans="1:11">
      <c r="A116" t="s">
        <v>282</v>
      </c>
      <c r="B116" s="3">
        <v>46261.845659722225</v>
      </c>
      <c r="C116" s="4">
        <v>46261</v>
      </c>
      <c r="D116" t="s">
        <v>214</v>
      </c>
      <c r="E116">
        <v>1006</v>
      </c>
      <c r="F116" t="s">
        <v>33</v>
      </c>
      <c r="G116" t="s">
        <v>140</v>
      </c>
      <c r="H116" t="s">
        <v>75</v>
      </c>
      <c r="I116" t="s">
        <v>96</v>
      </c>
      <c r="J116" t="s">
        <v>280</v>
      </c>
      <c r="K116" t="s">
        <v>138</v>
      </c>
    </row>
    <row r="117" spans="1:11">
      <c r="A117" t="s">
        <v>283</v>
      </c>
      <c r="B117" s="3">
        <v>46261.845775462964</v>
      </c>
      <c r="C117" s="4">
        <v>46261</v>
      </c>
      <c r="D117" t="s">
        <v>214</v>
      </c>
      <c r="E117">
        <v>1006</v>
      </c>
      <c r="F117" t="s">
        <v>33</v>
      </c>
      <c r="G117" t="s">
        <v>140</v>
      </c>
      <c r="H117" t="s">
        <v>75</v>
      </c>
      <c r="I117" t="s">
        <v>96</v>
      </c>
      <c r="J117" t="s">
        <v>280</v>
      </c>
      <c r="K117" t="s">
        <v>138</v>
      </c>
    </row>
    <row r="118" spans="1:11">
      <c r="A118" t="s">
        <v>284</v>
      </c>
      <c r="B118" s="3">
        <v>46261.846574074072</v>
      </c>
      <c r="C118" s="4">
        <v>46261</v>
      </c>
      <c r="D118" t="s">
        <v>214</v>
      </c>
      <c r="E118">
        <v>1004</v>
      </c>
      <c r="F118" t="s">
        <v>29</v>
      </c>
      <c r="G118" t="s">
        <v>140</v>
      </c>
      <c r="H118" t="s">
        <v>63</v>
      </c>
      <c r="I118" t="s">
        <v>99</v>
      </c>
      <c r="J118" t="s">
        <v>285</v>
      </c>
      <c r="K118" t="s">
        <v>138</v>
      </c>
    </row>
    <row r="119" spans="1:11">
      <c r="A119" t="s">
        <v>286</v>
      </c>
      <c r="B119" s="3">
        <v>46262.332592592589</v>
      </c>
      <c r="C119" s="4">
        <v>46262</v>
      </c>
      <c r="D119" t="s">
        <v>287</v>
      </c>
      <c r="E119">
        <v>1003</v>
      </c>
      <c r="F119" t="s">
        <v>27</v>
      </c>
      <c r="G119" t="s">
        <v>137</v>
      </c>
      <c r="H119" t="s">
        <v>66</v>
      </c>
      <c r="I119" t="s">
        <v>102</v>
      </c>
      <c r="J119" t="s">
        <v>288</v>
      </c>
      <c r="K119" t="s">
        <v>138</v>
      </c>
    </row>
    <row r="120" spans="1:11">
      <c r="A120" t="s">
        <v>289</v>
      </c>
      <c r="B120" s="3">
        <v>46262.3434375</v>
      </c>
      <c r="C120" s="4">
        <v>46262</v>
      </c>
      <c r="D120" t="s">
        <v>287</v>
      </c>
      <c r="E120">
        <v>1011</v>
      </c>
      <c r="F120" t="s">
        <v>40</v>
      </c>
      <c r="G120" t="s">
        <v>137</v>
      </c>
      <c r="H120" t="s">
        <v>69</v>
      </c>
      <c r="I120" t="s">
        <v>102</v>
      </c>
      <c r="J120" t="s">
        <v>290</v>
      </c>
      <c r="K120" t="s">
        <v>138</v>
      </c>
    </row>
    <row r="121" spans="1:11">
      <c r="A121" t="s">
        <v>291</v>
      </c>
      <c r="B121" s="3">
        <v>46262.348958333336</v>
      </c>
      <c r="C121" s="4">
        <v>46262</v>
      </c>
      <c r="D121" t="s">
        <v>287</v>
      </c>
      <c r="E121">
        <v>1013</v>
      </c>
      <c r="F121" t="s">
        <v>45</v>
      </c>
      <c r="G121" t="s">
        <v>137</v>
      </c>
      <c r="H121" t="s">
        <v>66</v>
      </c>
      <c r="I121" t="s">
        <v>102</v>
      </c>
      <c r="K121" t="s">
        <v>138</v>
      </c>
    </row>
    <row r="122" spans="1:11">
      <c r="A122" t="s">
        <v>292</v>
      </c>
      <c r="B122" s="3">
        <v>46262.356377314813</v>
      </c>
      <c r="C122" s="4">
        <v>46262</v>
      </c>
      <c r="D122" t="s">
        <v>287</v>
      </c>
      <c r="E122">
        <v>1001</v>
      </c>
      <c r="F122" t="s">
        <v>21</v>
      </c>
      <c r="G122" t="s">
        <v>137</v>
      </c>
      <c r="H122" t="s">
        <v>75</v>
      </c>
      <c r="I122" t="s">
        <v>93</v>
      </c>
      <c r="J122" t="s">
        <v>293</v>
      </c>
      <c r="K122" t="s">
        <v>138</v>
      </c>
    </row>
    <row r="123" spans="1:11">
      <c r="A123" t="s">
        <v>294</v>
      </c>
      <c r="B123" s="3">
        <v>46262.369085648148</v>
      </c>
      <c r="C123" s="4">
        <v>46262</v>
      </c>
      <c r="D123" t="s">
        <v>287</v>
      </c>
      <c r="E123">
        <v>1006</v>
      </c>
      <c r="F123" t="s">
        <v>33</v>
      </c>
      <c r="G123" t="s">
        <v>137</v>
      </c>
      <c r="H123" t="s">
        <v>75</v>
      </c>
      <c r="I123" t="s">
        <v>96</v>
      </c>
      <c r="J123" t="s">
        <v>210</v>
      </c>
      <c r="K123" t="s">
        <v>138</v>
      </c>
    </row>
    <row r="124" spans="1:11">
      <c r="A124" t="s">
        <v>295</v>
      </c>
      <c r="B124" s="3">
        <v>46262.369513888887</v>
      </c>
      <c r="C124" s="4">
        <v>46262</v>
      </c>
      <c r="D124" t="s">
        <v>287</v>
      </c>
      <c r="E124">
        <v>1002</v>
      </c>
      <c r="F124" t="s">
        <v>25</v>
      </c>
      <c r="G124" t="s">
        <v>137</v>
      </c>
      <c r="H124" t="s">
        <v>60</v>
      </c>
      <c r="I124" t="s">
        <v>102</v>
      </c>
      <c r="K124" t="s">
        <v>138</v>
      </c>
    </row>
    <row r="125" spans="1:11">
      <c r="A125" t="s">
        <v>296</v>
      </c>
      <c r="B125" s="3">
        <v>46262.375810185185</v>
      </c>
      <c r="C125" s="4">
        <v>46262</v>
      </c>
      <c r="D125" t="s">
        <v>287</v>
      </c>
      <c r="E125">
        <v>1015</v>
      </c>
      <c r="F125" t="s">
        <v>47</v>
      </c>
      <c r="G125" t="s">
        <v>137</v>
      </c>
      <c r="H125" t="s">
        <v>81</v>
      </c>
      <c r="I125" t="s">
        <v>81</v>
      </c>
      <c r="K125" t="s">
        <v>138</v>
      </c>
    </row>
    <row r="126" spans="1:11">
      <c r="A126" t="s">
        <v>297</v>
      </c>
      <c r="B126" s="3">
        <v>46262.402488425927</v>
      </c>
      <c r="C126" s="4">
        <v>46262</v>
      </c>
      <c r="D126" t="s">
        <v>287</v>
      </c>
      <c r="E126">
        <v>1012</v>
      </c>
      <c r="F126" t="s">
        <v>42</v>
      </c>
      <c r="G126" t="s">
        <v>137</v>
      </c>
      <c r="H126" t="s">
        <v>66</v>
      </c>
      <c r="I126" t="s">
        <v>93</v>
      </c>
      <c r="J126" t="s">
        <v>298</v>
      </c>
      <c r="K126" t="s">
        <v>138</v>
      </c>
    </row>
    <row r="127" spans="1:11">
      <c r="A127" t="s">
        <v>299</v>
      </c>
      <c r="B127" s="3">
        <v>46262.402638888889</v>
      </c>
      <c r="C127" s="4">
        <v>46262</v>
      </c>
      <c r="D127" t="s">
        <v>287</v>
      </c>
      <c r="E127">
        <v>1012</v>
      </c>
      <c r="F127" t="s">
        <v>42</v>
      </c>
      <c r="G127" t="s">
        <v>137</v>
      </c>
      <c r="H127" t="s">
        <v>66</v>
      </c>
      <c r="I127" t="s">
        <v>93</v>
      </c>
      <c r="J127" t="s">
        <v>298</v>
      </c>
      <c r="K127" t="s">
        <v>138</v>
      </c>
    </row>
    <row r="128" spans="1:11">
      <c r="A128" t="s">
        <v>300</v>
      </c>
      <c r="B128" s="3">
        <v>46262.403506944444</v>
      </c>
      <c r="C128" s="4">
        <v>46262</v>
      </c>
      <c r="D128" t="s">
        <v>287</v>
      </c>
      <c r="E128">
        <v>1012</v>
      </c>
      <c r="F128" t="s">
        <v>42</v>
      </c>
      <c r="G128" t="s">
        <v>137</v>
      </c>
      <c r="H128" t="s">
        <v>66</v>
      </c>
      <c r="I128" t="s">
        <v>93</v>
      </c>
      <c r="J128" t="s">
        <v>298</v>
      </c>
      <c r="K128" t="s">
        <v>138</v>
      </c>
    </row>
    <row r="129" spans="1:11">
      <c r="A129" t="s">
        <v>301</v>
      </c>
      <c r="B129" s="3">
        <v>46262.411157407405</v>
      </c>
      <c r="C129" s="4">
        <v>46262</v>
      </c>
      <c r="D129" t="s">
        <v>287</v>
      </c>
      <c r="E129">
        <v>1014</v>
      </c>
      <c r="F129" t="s">
        <v>46</v>
      </c>
      <c r="G129" t="s">
        <v>137</v>
      </c>
      <c r="H129" t="s">
        <v>75</v>
      </c>
      <c r="I129" t="s">
        <v>96</v>
      </c>
      <c r="K129" t="s">
        <v>138</v>
      </c>
    </row>
    <row r="130" spans="1:11">
      <c r="A130" t="s">
        <v>302</v>
      </c>
      <c r="B130" s="3">
        <v>46262.429699074077</v>
      </c>
      <c r="C130" s="4">
        <v>46262</v>
      </c>
      <c r="D130" t="s">
        <v>287</v>
      </c>
      <c r="E130">
        <v>1016</v>
      </c>
      <c r="F130" t="s">
        <v>49</v>
      </c>
      <c r="G130" t="s">
        <v>137</v>
      </c>
      <c r="H130" t="s">
        <v>60</v>
      </c>
      <c r="I130" t="s">
        <v>102</v>
      </c>
      <c r="K130" t="s">
        <v>138</v>
      </c>
    </row>
    <row r="131" spans="1:11">
      <c r="A131" t="s">
        <v>303</v>
      </c>
      <c r="B131" s="3">
        <v>46262.44494212963</v>
      </c>
      <c r="C131" s="4">
        <v>46262</v>
      </c>
      <c r="D131" t="s">
        <v>287</v>
      </c>
      <c r="E131">
        <v>1006</v>
      </c>
      <c r="F131" t="s">
        <v>33</v>
      </c>
      <c r="G131" t="s">
        <v>140</v>
      </c>
      <c r="H131" t="s">
        <v>75</v>
      </c>
      <c r="I131" t="s">
        <v>96</v>
      </c>
      <c r="J131" t="s">
        <v>210</v>
      </c>
      <c r="K131" t="s">
        <v>138</v>
      </c>
    </row>
    <row r="132" spans="1:11">
      <c r="A132" t="s">
        <v>304</v>
      </c>
      <c r="B132" s="3">
        <v>46262.445960648147</v>
      </c>
      <c r="C132" s="4">
        <v>46262</v>
      </c>
      <c r="D132" t="s">
        <v>287</v>
      </c>
      <c r="E132">
        <v>1006</v>
      </c>
      <c r="F132" t="s">
        <v>33</v>
      </c>
      <c r="G132" t="s">
        <v>137</v>
      </c>
      <c r="H132" t="s">
        <v>66</v>
      </c>
      <c r="I132" t="s">
        <v>96</v>
      </c>
      <c r="J132" t="s">
        <v>305</v>
      </c>
      <c r="K132" t="s">
        <v>138</v>
      </c>
    </row>
    <row r="133" spans="1:11">
      <c r="A133" t="s">
        <v>306</v>
      </c>
      <c r="B133" s="3">
        <v>46262.449537037035</v>
      </c>
      <c r="C133" s="4">
        <v>46262</v>
      </c>
      <c r="D133" t="s">
        <v>287</v>
      </c>
      <c r="E133">
        <v>1014</v>
      </c>
      <c r="F133" t="s">
        <v>46</v>
      </c>
      <c r="G133" t="s">
        <v>140</v>
      </c>
      <c r="H133" t="s">
        <v>75</v>
      </c>
      <c r="I133" t="s">
        <v>96</v>
      </c>
      <c r="K133" t="s">
        <v>138</v>
      </c>
    </row>
    <row r="134" spans="1:11">
      <c r="A134" t="s">
        <v>307</v>
      </c>
      <c r="B134" s="3">
        <v>46262.449756944443</v>
      </c>
      <c r="C134" s="4">
        <v>46262</v>
      </c>
      <c r="D134" t="s">
        <v>287</v>
      </c>
      <c r="E134">
        <v>1014</v>
      </c>
      <c r="F134" t="s">
        <v>46</v>
      </c>
      <c r="G134" t="s">
        <v>137</v>
      </c>
      <c r="H134" t="s">
        <v>63</v>
      </c>
      <c r="I134" t="s">
        <v>96</v>
      </c>
      <c r="K134" t="s">
        <v>138</v>
      </c>
    </row>
    <row r="135" spans="1:11">
      <c r="A135" t="s">
        <v>308</v>
      </c>
      <c r="B135" s="3">
        <v>46262.452719907407</v>
      </c>
      <c r="C135" s="4">
        <v>46262</v>
      </c>
      <c r="D135" t="s">
        <v>287</v>
      </c>
      <c r="E135">
        <v>1013</v>
      </c>
      <c r="F135" t="s">
        <v>45</v>
      </c>
      <c r="G135" t="s">
        <v>140</v>
      </c>
      <c r="H135" t="s">
        <v>66</v>
      </c>
      <c r="I135" t="s">
        <v>102</v>
      </c>
      <c r="J135" t="s">
        <v>309</v>
      </c>
      <c r="K135" t="s">
        <v>138</v>
      </c>
    </row>
    <row r="136" spans="1:11">
      <c r="A136" t="s">
        <v>310</v>
      </c>
      <c r="B136" s="3">
        <v>46262.515439814815</v>
      </c>
      <c r="C136" s="4">
        <v>46262</v>
      </c>
      <c r="D136" t="s">
        <v>287</v>
      </c>
      <c r="E136">
        <v>1013</v>
      </c>
      <c r="F136" t="s">
        <v>45</v>
      </c>
      <c r="G136" t="s">
        <v>137</v>
      </c>
      <c r="H136" t="s">
        <v>66</v>
      </c>
      <c r="I136" t="s">
        <v>102</v>
      </c>
      <c r="K136" t="s">
        <v>138</v>
      </c>
    </row>
    <row r="137" spans="1:11">
      <c r="A137" t="s">
        <v>311</v>
      </c>
      <c r="B137" s="3">
        <v>46262.529583333337</v>
      </c>
      <c r="C137" s="4">
        <v>46262</v>
      </c>
      <c r="D137" t="s">
        <v>287</v>
      </c>
      <c r="E137">
        <v>1011</v>
      </c>
      <c r="F137" t="s">
        <v>40</v>
      </c>
      <c r="G137" t="s">
        <v>140</v>
      </c>
      <c r="H137" t="s">
        <v>66</v>
      </c>
      <c r="I137" t="s">
        <v>102</v>
      </c>
      <c r="J137" t="s">
        <v>312</v>
      </c>
      <c r="K137" t="s">
        <v>138</v>
      </c>
    </row>
    <row r="138" spans="1:11">
      <c r="A138" t="s">
        <v>313</v>
      </c>
      <c r="B138" s="3">
        <v>46262.53019675926</v>
      </c>
      <c r="C138" s="4">
        <v>46262</v>
      </c>
      <c r="D138" t="s">
        <v>287</v>
      </c>
      <c r="E138">
        <v>1003</v>
      </c>
      <c r="F138" t="s">
        <v>27</v>
      </c>
      <c r="G138" t="s">
        <v>140</v>
      </c>
      <c r="H138" t="s">
        <v>66</v>
      </c>
      <c r="I138" t="s">
        <v>102</v>
      </c>
      <c r="J138" t="s">
        <v>314</v>
      </c>
      <c r="K138" t="s">
        <v>138</v>
      </c>
    </row>
    <row r="139" spans="1:11">
      <c r="A139" t="s">
        <v>315</v>
      </c>
      <c r="B139" s="3">
        <v>46262.532731481479</v>
      </c>
      <c r="C139" s="4">
        <v>46262</v>
      </c>
      <c r="D139" t="s">
        <v>287</v>
      </c>
      <c r="E139">
        <v>1014</v>
      </c>
      <c r="F139" t="s">
        <v>46</v>
      </c>
      <c r="G139" t="s">
        <v>140</v>
      </c>
      <c r="H139" t="s">
        <v>63</v>
      </c>
      <c r="I139" t="s">
        <v>96</v>
      </c>
      <c r="K139" t="s">
        <v>138</v>
      </c>
    </row>
    <row r="140" spans="1:11">
      <c r="A140" t="s">
        <v>316</v>
      </c>
      <c r="B140" s="3">
        <v>46262.54283564815</v>
      </c>
      <c r="C140" s="4">
        <v>46262</v>
      </c>
      <c r="D140" t="s">
        <v>287</v>
      </c>
      <c r="E140">
        <v>1016</v>
      </c>
      <c r="F140" t="s">
        <v>49</v>
      </c>
      <c r="G140" t="s">
        <v>140</v>
      </c>
      <c r="H140" t="s">
        <v>60</v>
      </c>
      <c r="I140" t="s">
        <v>93</v>
      </c>
      <c r="K140" t="s">
        <v>138</v>
      </c>
    </row>
    <row r="141" spans="1:11">
      <c r="A141" t="s">
        <v>317</v>
      </c>
      <c r="B141" s="3">
        <v>46262.543206018519</v>
      </c>
      <c r="C141" s="4">
        <v>46262</v>
      </c>
      <c r="D141" t="s">
        <v>287</v>
      </c>
      <c r="E141">
        <v>1016</v>
      </c>
      <c r="F141" t="s">
        <v>49</v>
      </c>
      <c r="G141" t="s">
        <v>140</v>
      </c>
      <c r="H141" t="s">
        <v>60</v>
      </c>
      <c r="I141" t="s">
        <v>93</v>
      </c>
      <c r="K141" t="s">
        <v>138</v>
      </c>
    </row>
    <row r="142" spans="1:11">
      <c r="A142" t="s">
        <v>318</v>
      </c>
      <c r="B142" s="3">
        <v>46262.543854166666</v>
      </c>
      <c r="C142" s="4">
        <v>46262</v>
      </c>
      <c r="D142" t="s">
        <v>287</v>
      </c>
      <c r="E142">
        <v>1016</v>
      </c>
      <c r="F142" t="s">
        <v>49</v>
      </c>
      <c r="G142" t="s">
        <v>140</v>
      </c>
      <c r="H142" t="s">
        <v>60</v>
      </c>
      <c r="I142" t="s">
        <v>93</v>
      </c>
      <c r="K142" t="s">
        <v>138</v>
      </c>
    </row>
    <row r="143" spans="1:11">
      <c r="A143" t="s">
        <v>319</v>
      </c>
      <c r="B143" s="3">
        <v>46262.546122685184</v>
      </c>
      <c r="C143" s="4">
        <v>46262</v>
      </c>
      <c r="D143" t="s">
        <v>287</v>
      </c>
      <c r="E143">
        <v>1012</v>
      </c>
      <c r="F143" t="s">
        <v>42</v>
      </c>
      <c r="G143" t="s">
        <v>140</v>
      </c>
      <c r="H143" t="s">
        <v>69</v>
      </c>
      <c r="I143" t="s">
        <v>93</v>
      </c>
      <c r="K143" t="s">
        <v>138</v>
      </c>
    </row>
    <row r="144" spans="1:11">
      <c r="A144" t="s">
        <v>320</v>
      </c>
      <c r="B144" s="3">
        <v>46262.554652777777</v>
      </c>
      <c r="C144" s="4">
        <v>46262</v>
      </c>
      <c r="D144" t="s">
        <v>287</v>
      </c>
      <c r="E144">
        <v>1011</v>
      </c>
      <c r="F144" t="s">
        <v>40</v>
      </c>
      <c r="G144" t="s">
        <v>137</v>
      </c>
      <c r="H144" t="s">
        <v>69</v>
      </c>
      <c r="I144" t="s">
        <v>102</v>
      </c>
      <c r="K144" t="s">
        <v>138</v>
      </c>
    </row>
    <row r="145" spans="1:11">
      <c r="A145" t="s">
        <v>321</v>
      </c>
      <c r="B145" s="3">
        <v>46262.562268518515</v>
      </c>
      <c r="C145" s="4">
        <v>46262</v>
      </c>
      <c r="D145" t="s">
        <v>287</v>
      </c>
      <c r="E145">
        <v>1015</v>
      </c>
      <c r="F145" t="s">
        <v>47</v>
      </c>
      <c r="G145" t="s">
        <v>140</v>
      </c>
      <c r="H145" t="s">
        <v>81</v>
      </c>
      <c r="I145" t="s">
        <v>81</v>
      </c>
      <c r="K145" t="s">
        <v>138</v>
      </c>
    </row>
    <row r="146" spans="1:11">
      <c r="A146" t="s">
        <v>322</v>
      </c>
      <c r="B146" s="3">
        <v>46262.57236111111</v>
      </c>
      <c r="C146" s="4">
        <v>46262</v>
      </c>
      <c r="D146" t="s">
        <v>287</v>
      </c>
      <c r="E146">
        <v>1003</v>
      </c>
      <c r="F146" t="s">
        <v>27</v>
      </c>
      <c r="G146" t="s">
        <v>137</v>
      </c>
      <c r="H146" t="s">
        <v>66</v>
      </c>
      <c r="I146" t="s">
        <v>102</v>
      </c>
      <c r="K146" t="s">
        <v>138</v>
      </c>
    </row>
    <row r="147" spans="1:11">
      <c r="A147" t="s">
        <v>323</v>
      </c>
      <c r="B147" s="3">
        <v>46262.579814814817</v>
      </c>
      <c r="C147" s="4">
        <v>46262</v>
      </c>
      <c r="D147" t="s">
        <v>287</v>
      </c>
      <c r="E147">
        <v>1014</v>
      </c>
      <c r="F147" t="s">
        <v>46</v>
      </c>
      <c r="G147" t="s">
        <v>137</v>
      </c>
      <c r="H147" t="s">
        <v>63</v>
      </c>
      <c r="I147" t="s">
        <v>96</v>
      </c>
      <c r="K147" t="s">
        <v>138</v>
      </c>
    </row>
    <row r="148" spans="1:11">
      <c r="A148" t="s">
        <v>324</v>
      </c>
      <c r="B148" s="3">
        <v>46262.590243055558</v>
      </c>
      <c r="C148" s="4">
        <v>46262</v>
      </c>
      <c r="D148" t="s">
        <v>287</v>
      </c>
      <c r="E148">
        <v>1012</v>
      </c>
      <c r="F148" t="s">
        <v>42</v>
      </c>
      <c r="G148" t="s">
        <v>137</v>
      </c>
      <c r="H148" t="s">
        <v>66</v>
      </c>
      <c r="I148" t="s">
        <v>93</v>
      </c>
      <c r="K148" t="s">
        <v>138</v>
      </c>
    </row>
    <row r="149" spans="1:11">
      <c r="A149" t="s">
        <v>325</v>
      </c>
      <c r="B149" s="3">
        <v>46262.590856481482</v>
      </c>
      <c r="C149" s="4">
        <v>46262</v>
      </c>
      <c r="D149" t="s">
        <v>287</v>
      </c>
      <c r="E149">
        <v>1016</v>
      </c>
      <c r="F149" t="s">
        <v>49</v>
      </c>
      <c r="G149" t="s">
        <v>140</v>
      </c>
      <c r="H149" t="s">
        <v>66</v>
      </c>
      <c r="I149" t="s">
        <v>102</v>
      </c>
      <c r="K149" t="s">
        <v>138</v>
      </c>
    </row>
    <row r="150" spans="1:11">
      <c r="A150" t="s">
        <v>326</v>
      </c>
      <c r="B150" s="3">
        <v>46262.601435185185</v>
      </c>
      <c r="C150" s="4">
        <v>46262</v>
      </c>
      <c r="D150" t="s">
        <v>287</v>
      </c>
      <c r="E150">
        <v>1014</v>
      </c>
      <c r="F150" t="s">
        <v>46</v>
      </c>
      <c r="G150" t="s">
        <v>140</v>
      </c>
      <c r="H150" t="s">
        <v>63</v>
      </c>
      <c r="I150" t="s">
        <v>96</v>
      </c>
      <c r="K150" t="s">
        <v>138</v>
      </c>
    </row>
    <row r="151" spans="1:11">
      <c r="A151" t="s">
        <v>327</v>
      </c>
      <c r="B151" s="3">
        <v>46262.601655092592</v>
      </c>
      <c r="C151" s="4">
        <v>46262</v>
      </c>
      <c r="D151" t="s">
        <v>287</v>
      </c>
      <c r="E151">
        <v>1014</v>
      </c>
      <c r="F151" t="s">
        <v>46</v>
      </c>
      <c r="G151" t="s">
        <v>137</v>
      </c>
      <c r="H151" t="s">
        <v>75</v>
      </c>
      <c r="I151" t="s">
        <v>96</v>
      </c>
      <c r="K151" t="s">
        <v>138</v>
      </c>
    </row>
    <row r="152" spans="1:11">
      <c r="A152" t="s">
        <v>328</v>
      </c>
      <c r="B152" s="3">
        <v>46262.604398148149</v>
      </c>
      <c r="C152" s="4">
        <v>46262</v>
      </c>
      <c r="D152" t="s">
        <v>287</v>
      </c>
      <c r="E152">
        <v>1015</v>
      </c>
      <c r="F152" t="s">
        <v>47</v>
      </c>
      <c r="G152" t="s">
        <v>137</v>
      </c>
      <c r="H152" t="s">
        <v>81</v>
      </c>
      <c r="I152" t="s">
        <v>81</v>
      </c>
      <c r="K152" t="s">
        <v>138</v>
      </c>
    </row>
    <row r="153" spans="1:11">
      <c r="A153" t="s">
        <v>329</v>
      </c>
      <c r="B153" s="3">
        <v>46262.607233796298</v>
      </c>
      <c r="C153" s="4">
        <v>46262</v>
      </c>
      <c r="D153" t="s">
        <v>287</v>
      </c>
      <c r="E153">
        <v>1001</v>
      </c>
      <c r="F153" t="s">
        <v>21</v>
      </c>
      <c r="G153" t="s">
        <v>140</v>
      </c>
      <c r="H153" t="s">
        <v>75</v>
      </c>
      <c r="I153" t="s">
        <v>93</v>
      </c>
      <c r="J153" t="s">
        <v>271</v>
      </c>
      <c r="K153" t="s">
        <v>138</v>
      </c>
    </row>
    <row r="154" spans="1:11">
      <c r="A154" t="s">
        <v>330</v>
      </c>
      <c r="B154" s="3">
        <v>46262.6325</v>
      </c>
      <c r="C154" s="4">
        <v>46262</v>
      </c>
      <c r="D154" t="s">
        <v>287</v>
      </c>
      <c r="E154">
        <v>1001</v>
      </c>
      <c r="F154" t="s">
        <v>21</v>
      </c>
      <c r="G154" t="s">
        <v>137</v>
      </c>
      <c r="H154" t="s">
        <v>75</v>
      </c>
      <c r="I154" t="s">
        <v>93</v>
      </c>
      <c r="J154" t="s">
        <v>331</v>
      </c>
      <c r="K154" t="s">
        <v>138</v>
      </c>
    </row>
    <row r="155" spans="1:11">
      <c r="A155" t="s">
        <v>332</v>
      </c>
      <c r="B155" s="3">
        <v>46262.659317129626</v>
      </c>
      <c r="C155" s="4">
        <v>46262</v>
      </c>
      <c r="D155" t="s">
        <v>287</v>
      </c>
      <c r="E155">
        <v>1006</v>
      </c>
      <c r="F155" t="s">
        <v>33</v>
      </c>
      <c r="G155" t="s">
        <v>140</v>
      </c>
      <c r="H155" t="s">
        <v>66</v>
      </c>
      <c r="I155" t="s">
        <v>96</v>
      </c>
      <c r="J155" t="s">
        <v>333</v>
      </c>
      <c r="K155" t="s">
        <v>138</v>
      </c>
    </row>
    <row r="156" spans="1:11">
      <c r="A156" t="s">
        <v>334</v>
      </c>
      <c r="B156" s="3">
        <v>46262.664548611108</v>
      </c>
      <c r="C156" s="4">
        <v>46262</v>
      </c>
      <c r="D156" t="s">
        <v>287</v>
      </c>
      <c r="E156">
        <v>1014</v>
      </c>
      <c r="F156" t="s">
        <v>46</v>
      </c>
      <c r="G156" t="s">
        <v>140</v>
      </c>
      <c r="H156" t="s">
        <v>75</v>
      </c>
      <c r="I156" t="s">
        <v>96</v>
      </c>
      <c r="K156" t="s">
        <v>138</v>
      </c>
    </row>
    <row r="157" spans="1:11">
      <c r="A157" t="s">
        <v>335</v>
      </c>
      <c r="B157" s="3">
        <v>46262.665000000001</v>
      </c>
      <c r="C157" s="4">
        <v>46262</v>
      </c>
      <c r="D157" t="s">
        <v>287</v>
      </c>
      <c r="E157">
        <v>1014</v>
      </c>
      <c r="F157" t="s">
        <v>46</v>
      </c>
      <c r="G157" t="s">
        <v>137</v>
      </c>
      <c r="H157" t="s">
        <v>63</v>
      </c>
      <c r="I157" t="s">
        <v>96</v>
      </c>
      <c r="K157" t="s">
        <v>138</v>
      </c>
    </row>
    <row r="158" spans="1:11">
      <c r="A158" t="s">
        <v>336</v>
      </c>
      <c r="B158" s="3">
        <v>46262.707152777781</v>
      </c>
      <c r="C158" s="4">
        <v>46262</v>
      </c>
      <c r="D158" t="s">
        <v>287</v>
      </c>
      <c r="E158">
        <v>1006</v>
      </c>
      <c r="F158" t="s">
        <v>33</v>
      </c>
      <c r="G158" t="s">
        <v>137</v>
      </c>
      <c r="H158" t="s">
        <v>66</v>
      </c>
      <c r="I158" t="s">
        <v>96</v>
      </c>
      <c r="J158" t="s">
        <v>337</v>
      </c>
      <c r="K158" t="s">
        <v>138</v>
      </c>
    </row>
    <row r="159" spans="1:11">
      <c r="A159" t="s">
        <v>338</v>
      </c>
      <c r="B159" s="3">
        <v>46262.744490740741</v>
      </c>
      <c r="C159" s="4">
        <v>46262</v>
      </c>
      <c r="D159" t="s">
        <v>287</v>
      </c>
      <c r="E159">
        <v>1013</v>
      </c>
      <c r="F159" t="s">
        <v>45</v>
      </c>
      <c r="G159" t="s">
        <v>140</v>
      </c>
      <c r="H159" t="s">
        <v>66</v>
      </c>
      <c r="I159" t="s">
        <v>102</v>
      </c>
      <c r="K159" t="s">
        <v>138</v>
      </c>
    </row>
    <row r="160" spans="1:11">
      <c r="A160" t="s">
        <v>339</v>
      </c>
      <c r="B160" s="3">
        <v>46262.746111111112</v>
      </c>
      <c r="C160" s="4">
        <v>46262</v>
      </c>
      <c r="D160" t="s">
        <v>287</v>
      </c>
      <c r="E160">
        <v>1002</v>
      </c>
      <c r="F160" t="s">
        <v>25</v>
      </c>
      <c r="G160" t="s">
        <v>140</v>
      </c>
      <c r="H160" t="s">
        <v>60</v>
      </c>
      <c r="I160" t="s">
        <v>102</v>
      </c>
      <c r="K160" t="s">
        <v>138</v>
      </c>
    </row>
    <row r="161" spans="1:11">
      <c r="A161" t="s">
        <v>340</v>
      </c>
      <c r="B161" s="3">
        <v>46262.746631944443</v>
      </c>
      <c r="C161" s="4">
        <v>46262</v>
      </c>
      <c r="D161" t="s">
        <v>287</v>
      </c>
      <c r="E161">
        <v>1015</v>
      </c>
      <c r="F161" t="s">
        <v>47</v>
      </c>
      <c r="G161" t="s">
        <v>140</v>
      </c>
      <c r="H161" t="s">
        <v>81</v>
      </c>
      <c r="I161" t="s">
        <v>81</v>
      </c>
      <c r="K161" t="s">
        <v>138</v>
      </c>
    </row>
    <row r="162" spans="1:11">
      <c r="A162" t="s">
        <v>341</v>
      </c>
      <c r="B162" s="3">
        <v>46262.750405092593</v>
      </c>
      <c r="C162" s="4">
        <v>46262</v>
      </c>
      <c r="D162" t="s">
        <v>287</v>
      </c>
      <c r="E162">
        <v>1003</v>
      </c>
      <c r="F162" t="s">
        <v>27</v>
      </c>
      <c r="G162" t="s">
        <v>140</v>
      </c>
      <c r="H162" t="s">
        <v>66</v>
      </c>
      <c r="I162" t="s">
        <v>102</v>
      </c>
      <c r="K162" t="s">
        <v>138</v>
      </c>
    </row>
    <row r="163" spans="1:11">
      <c r="A163" t="s">
        <v>342</v>
      </c>
      <c r="B163" s="3">
        <v>46262.755810185183</v>
      </c>
      <c r="C163" s="4">
        <v>46262</v>
      </c>
      <c r="D163" t="s">
        <v>287</v>
      </c>
      <c r="E163">
        <v>1011</v>
      </c>
      <c r="F163" t="s">
        <v>40</v>
      </c>
      <c r="G163" t="s">
        <v>140</v>
      </c>
      <c r="H163" t="s">
        <v>66</v>
      </c>
      <c r="I163" t="s">
        <v>102</v>
      </c>
      <c r="K163" t="s">
        <v>138</v>
      </c>
    </row>
    <row r="164" spans="1:11">
      <c r="A164" t="s">
        <v>343</v>
      </c>
      <c r="B164" s="3">
        <v>46262.756226851852</v>
      </c>
      <c r="C164" s="4">
        <v>46262</v>
      </c>
      <c r="D164" t="s">
        <v>287</v>
      </c>
      <c r="E164">
        <v>1014</v>
      </c>
      <c r="F164" t="s">
        <v>46</v>
      </c>
      <c r="G164" t="s">
        <v>140</v>
      </c>
      <c r="H164" t="s">
        <v>63</v>
      </c>
      <c r="I164" t="s">
        <v>96</v>
      </c>
      <c r="K164" t="s">
        <v>138</v>
      </c>
    </row>
    <row r="165" spans="1:11">
      <c r="A165" t="s">
        <v>344</v>
      </c>
      <c r="B165" s="3">
        <v>46262.765439814815</v>
      </c>
      <c r="C165" s="4">
        <v>46262</v>
      </c>
      <c r="D165" t="s">
        <v>287</v>
      </c>
      <c r="E165">
        <v>1012</v>
      </c>
      <c r="F165" t="s">
        <v>42</v>
      </c>
      <c r="G165" t="s">
        <v>140</v>
      </c>
      <c r="H165" t="s">
        <v>69</v>
      </c>
      <c r="I165" t="s">
        <v>93</v>
      </c>
      <c r="J165" t="s">
        <v>345</v>
      </c>
      <c r="K165" t="s">
        <v>138</v>
      </c>
    </row>
    <row r="166" spans="1:11">
      <c r="A166" t="s">
        <v>346</v>
      </c>
      <c r="B166" s="3">
        <v>46262.775266203702</v>
      </c>
      <c r="C166" s="4">
        <v>46262</v>
      </c>
      <c r="D166" t="s">
        <v>287</v>
      </c>
      <c r="E166">
        <v>1012</v>
      </c>
      <c r="F166" t="s">
        <v>42</v>
      </c>
      <c r="G166" t="s">
        <v>140</v>
      </c>
      <c r="H166" t="s">
        <v>69</v>
      </c>
      <c r="I166" t="s">
        <v>93</v>
      </c>
      <c r="J166" t="s">
        <v>345</v>
      </c>
      <c r="K166" t="s">
        <v>138</v>
      </c>
    </row>
    <row r="167" spans="1:11">
      <c r="A167" t="s">
        <v>347</v>
      </c>
      <c r="B167" s="3">
        <v>46262.775706018518</v>
      </c>
      <c r="C167" s="4">
        <v>46262</v>
      </c>
      <c r="D167" t="s">
        <v>287</v>
      </c>
      <c r="E167">
        <v>1012</v>
      </c>
      <c r="F167" t="s">
        <v>42</v>
      </c>
      <c r="G167" t="s">
        <v>140</v>
      </c>
      <c r="H167" t="s">
        <v>69</v>
      </c>
      <c r="I167" t="s">
        <v>93</v>
      </c>
      <c r="J167" t="s">
        <v>345</v>
      </c>
      <c r="K167" t="s">
        <v>138</v>
      </c>
    </row>
    <row r="168" spans="1:11">
      <c r="A168" t="s">
        <v>348</v>
      </c>
      <c r="B168" s="3">
        <v>46262.777511574073</v>
      </c>
      <c r="C168" s="4">
        <v>46262</v>
      </c>
      <c r="D168" t="s">
        <v>287</v>
      </c>
      <c r="E168">
        <v>1012</v>
      </c>
      <c r="F168" t="s">
        <v>42</v>
      </c>
      <c r="G168" t="s">
        <v>140</v>
      </c>
      <c r="H168" t="s">
        <v>69</v>
      </c>
      <c r="I168" t="s">
        <v>93</v>
      </c>
      <c r="J168" t="s">
        <v>345</v>
      </c>
      <c r="K168" t="s">
        <v>138</v>
      </c>
    </row>
    <row r="169" spans="1:11">
      <c r="A169" t="s">
        <v>349</v>
      </c>
      <c r="B169" s="3">
        <v>46262.780451388891</v>
      </c>
      <c r="C169" s="4">
        <v>46262</v>
      </c>
      <c r="D169" t="s">
        <v>287</v>
      </c>
      <c r="E169">
        <v>1012</v>
      </c>
      <c r="F169" t="s">
        <v>42</v>
      </c>
      <c r="G169" t="s">
        <v>140</v>
      </c>
      <c r="H169" t="s">
        <v>69</v>
      </c>
      <c r="I169" t="s">
        <v>93</v>
      </c>
      <c r="J169" t="s">
        <v>345</v>
      </c>
      <c r="K169" t="s">
        <v>138</v>
      </c>
    </row>
    <row r="170" spans="1:11">
      <c r="A170" t="s">
        <v>350</v>
      </c>
      <c r="B170" s="3">
        <v>46262.782754629632</v>
      </c>
      <c r="C170" s="4">
        <v>46262</v>
      </c>
      <c r="D170" t="s">
        <v>287</v>
      </c>
      <c r="E170">
        <v>1012</v>
      </c>
      <c r="F170" t="s">
        <v>42</v>
      </c>
      <c r="G170" t="s">
        <v>140</v>
      </c>
      <c r="H170" t="s">
        <v>69</v>
      </c>
      <c r="I170" t="s">
        <v>93</v>
      </c>
      <c r="J170" t="s">
        <v>345</v>
      </c>
      <c r="K170" t="s">
        <v>138</v>
      </c>
    </row>
    <row r="171" spans="1:11">
      <c r="A171" t="s">
        <v>351</v>
      </c>
      <c r="B171" s="3">
        <v>46262.782881944448</v>
      </c>
      <c r="C171" s="4">
        <v>46262</v>
      </c>
      <c r="D171" t="s">
        <v>287</v>
      </c>
      <c r="E171">
        <v>1012</v>
      </c>
      <c r="F171" t="s">
        <v>42</v>
      </c>
      <c r="G171" t="s">
        <v>140</v>
      </c>
      <c r="H171" t="s">
        <v>69</v>
      </c>
      <c r="I171" t="s">
        <v>93</v>
      </c>
      <c r="J171" t="s">
        <v>345</v>
      </c>
      <c r="K171" t="s">
        <v>138</v>
      </c>
    </row>
    <row r="172" spans="1:11">
      <c r="A172" t="s">
        <v>352</v>
      </c>
      <c r="B172" s="3">
        <v>46262.783726851849</v>
      </c>
      <c r="C172" s="4">
        <v>46262</v>
      </c>
      <c r="D172" t="s">
        <v>287</v>
      </c>
      <c r="E172">
        <v>1006</v>
      </c>
      <c r="F172" t="s">
        <v>33</v>
      </c>
      <c r="G172" t="s">
        <v>140</v>
      </c>
      <c r="H172" t="s">
        <v>66</v>
      </c>
      <c r="I172" t="s">
        <v>96</v>
      </c>
      <c r="J172" t="s">
        <v>353</v>
      </c>
      <c r="K172" t="s">
        <v>138</v>
      </c>
    </row>
    <row r="173" spans="1:11">
      <c r="A173" t="s">
        <v>354</v>
      </c>
      <c r="B173" s="3">
        <v>46262.784270833334</v>
      </c>
      <c r="C173" s="4">
        <v>46262</v>
      </c>
      <c r="D173" t="s">
        <v>287</v>
      </c>
      <c r="E173">
        <v>1001</v>
      </c>
      <c r="F173" t="s">
        <v>21</v>
      </c>
      <c r="G173" t="s">
        <v>140</v>
      </c>
      <c r="H173" t="s">
        <v>75</v>
      </c>
      <c r="I173" t="s">
        <v>93</v>
      </c>
      <c r="J173" t="s">
        <v>355</v>
      </c>
      <c r="K173" t="s">
        <v>138</v>
      </c>
    </row>
    <row r="174" spans="1:11">
      <c r="A174" t="s">
        <v>356</v>
      </c>
      <c r="B174" s="3">
        <v>46263.345312500001</v>
      </c>
      <c r="C174" s="4">
        <v>46263</v>
      </c>
      <c r="D174" t="s">
        <v>357</v>
      </c>
      <c r="E174">
        <v>1001</v>
      </c>
      <c r="F174" t="s">
        <v>21</v>
      </c>
      <c r="G174" t="s">
        <v>137</v>
      </c>
      <c r="H174" t="s">
        <v>63</v>
      </c>
      <c r="I174" t="s">
        <v>93</v>
      </c>
      <c r="J174" t="s">
        <v>358</v>
      </c>
      <c r="K174" t="s">
        <v>138</v>
      </c>
    </row>
    <row r="175" spans="1:11">
      <c r="A175" t="s">
        <v>359</v>
      </c>
      <c r="B175" s="3">
        <v>46263.374456018515</v>
      </c>
      <c r="C175" s="4">
        <v>46263</v>
      </c>
      <c r="D175" t="s">
        <v>357</v>
      </c>
      <c r="E175">
        <v>1006</v>
      </c>
      <c r="F175" t="s">
        <v>33</v>
      </c>
      <c r="G175" t="s">
        <v>137</v>
      </c>
      <c r="H175" t="s">
        <v>66</v>
      </c>
      <c r="I175" t="s">
        <v>96</v>
      </c>
      <c r="J175" t="s">
        <v>305</v>
      </c>
      <c r="K175" t="s">
        <v>138</v>
      </c>
    </row>
    <row r="176" spans="1:11">
      <c r="A176" t="s">
        <v>360</v>
      </c>
      <c r="B176" s="3">
        <v>46263.381585648145</v>
      </c>
      <c r="C176" s="4">
        <v>46263</v>
      </c>
      <c r="D176" t="s">
        <v>357</v>
      </c>
      <c r="E176">
        <v>1012</v>
      </c>
      <c r="F176" t="s">
        <v>42</v>
      </c>
      <c r="G176" t="s">
        <v>140</v>
      </c>
      <c r="H176" t="s">
        <v>66</v>
      </c>
      <c r="I176" t="s">
        <v>93</v>
      </c>
      <c r="J176" t="s">
        <v>361</v>
      </c>
      <c r="K176" t="s">
        <v>138</v>
      </c>
    </row>
    <row r="177" spans="1:11">
      <c r="A177" t="s">
        <v>362</v>
      </c>
      <c r="B177" s="3">
        <v>46263.381620370368</v>
      </c>
      <c r="C177" s="4">
        <v>46263</v>
      </c>
      <c r="D177" t="s">
        <v>357</v>
      </c>
      <c r="E177">
        <v>1012</v>
      </c>
      <c r="F177" t="s">
        <v>42</v>
      </c>
      <c r="G177" t="s">
        <v>140</v>
      </c>
      <c r="H177" t="s">
        <v>66</v>
      </c>
      <c r="I177" t="s">
        <v>93</v>
      </c>
      <c r="J177" t="s">
        <v>361</v>
      </c>
      <c r="K177" t="s">
        <v>138</v>
      </c>
    </row>
    <row r="178" spans="1:11">
      <c r="A178" t="s">
        <v>363</v>
      </c>
      <c r="B178" s="3">
        <v>46263.383796296293</v>
      </c>
      <c r="C178" s="4">
        <v>46263</v>
      </c>
      <c r="D178" t="s">
        <v>357</v>
      </c>
      <c r="E178">
        <v>1012</v>
      </c>
      <c r="F178" t="s">
        <v>42</v>
      </c>
      <c r="G178" t="s">
        <v>137</v>
      </c>
      <c r="H178" t="s">
        <v>66</v>
      </c>
      <c r="I178" t="s">
        <v>93</v>
      </c>
      <c r="J178" t="s">
        <v>364</v>
      </c>
      <c r="K178" t="s">
        <v>138</v>
      </c>
    </row>
    <row r="179" spans="1:11">
      <c r="A179" t="s">
        <v>365</v>
      </c>
      <c r="B179" s="3">
        <v>46263.384027777778</v>
      </c>
      <c r="C179" s="4">
        <v>46263</v>
      </c>
      <c r="D179" t="s">
        <v>357</v>
      </c>
      <c r="E179">
        <v>1012</v>
      </c>
      <c r="F179" t="s">
        <v>42</v>
      </c>
      <c r="G179" t="s">
        <v>137</v>
      </c>
      <c r="H179" t="s">
        <v>66</v>
      </c>
      <c r="I179" t="s">
        <v>93</v>
      </c>
      <c r="J179" t="s">
        <v>364</v>
      </c>
      <c r="K179" t="s">
        <v>138</v>
      </c>
    </row>
    <row r="180" spans="1:11">
      <c r="A180" t="s">
        <v>366</v>
      </c>
      <c r="B180" s="3">
        <v>46263.385289351849</v>
      </c>
      <c r="C180" s="4">
        <v>46263</v>
      </c>
      <c r="D180" t="s">
        <v>357</v>
      </c>
      <c r="E180">
        <v>1012</v>
      </c>
      <c r="F180" t="s">
        <v>42</v>
      </c>
      <c r="G180" t="s">
        <v>137</v>
      </c>
      <c r="H180" t="s">
        <v>66</v>
      </c>
      <c r="I180" t="s">
        <v>93</v>
      </c>
      <c r="J180" t="s">
        <v>364</v>
      </c>
      <c r="K180" t="s">
        <v>138</v>
      </c>
    </row>
    <row r="181" spans="1:11">
      <c r="A181" t="s">
        <v>367</v>
      </c>
      <c r="B181" s="3">
        <v>46263.390324074076</v>
      </c>
      <c r="C181" s="4">
        <v>46263</v>
      </c>
      <c r="D181" t="s">
        <v>357</v>
      </c>
      <c r="E181">
        <v>1012</v>
      </c>
      <c r="F181" t="s">
        <v>42</v>
      </c>
      <c r="G181" t="s">
        <v>137</v>
      </c>
      <c r="H181" t="s">
        <v>66</v>
      </c>
      <c r="I181" t="s">
        <v>93</v>
      </c>
      <c r="J181" t="s">
        <v>364</v>
      </c>
      <c r="K181" t="s">
        <v>138</v>
      </c>
    </row>
    <row r="182" spans="1:11">
      <c r="A182" t="s">
        <v>368</v>
      </c>
      <c r="B182" s="3">
        <v>46263.479710648149</v>
      </c>
      <c r="C182" s="4">
        <v>46263</v>
      </c>
      <c r="D182" t="s">
        <v>357</v>
      </c>
      <c r="E182">
        <v>1012</v>
      </c>
      <c r="F182" t="s">
        <v>42</v>
      </c>
      <c r="G182" t="s">
        <v>137</v>
      </c>
      <c r="H182" t="s">
        <v>66</v>
      </c>
      <c r="I182" t="s">
        <v>93</v>
      </c>
      <c r="J182" t="s">
        <v>364</v>
      </c>
      <c r="K182" t="s">
        <v>138</v>
      </c>
    </row>
    <row r="183" spans="1:11">
      <c r="A183" t="s">
        <v>369</v>
      </c>
      <c r="B183" s="3">
        <v>46263.524027777778</v>
      </c>
      <c r="C183" s="4">
        <v>46263</v>
      </c>
      <c r="D183" t="s">
        <v>357</v>
      </c>
      <c r="E183">
        <v>1012</v>
      </c>
      <c r="F183" t="s">
        <v>42</v>
      </c>
      <c r="G183" t="s">
        <v>137</v>
      </c>
      <c r="H183" t="s">
        <v>66</v>
      </c>
      <c r="I183" t="s">
        <v>93</v>
      </c>
      <c r="J183" t="s">
        <v>364</v>
      </c>
      <c r="K183" t="s">
        <v>138</v>
      </c>
    </row>
    <row r="184" spans="1:11">
      <c r="A184" t="s">
        <v>370</v>
      </c>
      <c r="B184" s="3">
        <v>46263.533425925925</v>
      </c>
      <c r="C184" s="4">
        <v>46263</v>
      </c>
      <c r="D184" t="s">
        <v>357</v>
      </c>
      <c r="E184">
        <v>1004</v>
      </c>
      <c r="F184" t="s">
        <v>29</v>
      </c>
      <c r="G184" t="s">
        <v>137</v>
      </c>
      <c r="H184" t="s">
        <v>63</v>
      </c>
      <c r="I184" t="s">
        <v>99</v>
      </c>
      <c r="J184" t="s">
        <v>371</v>
      </c>
      <c r="K184" t="s">
        <v>138</v>
      </c>
    </row>
    <row r="185" spans="1:11">
      <c r="A185" t="s">
        <v>372</v>
      </c>
      <c r="B185" s="3">
        <v>46263.629131944443</v>
      </c>
      <c r="C185" s="4">
        <v>46263</v>
      </c>
      <c r="D185" t="s">
        <v>357</v>
      </c>
      <c r="E185">
        <v>1004</v>
      </c>
      <c r="F185" t="s">
        <v>29</v>
      </c>
      <c r="G185" t="s">
        <v>140</v>
      </c>
      <c r="H185" t="s">
        <v>63</v>
      </c>
      <c r="I185" t="s">
        <v>99</v>
      </c>
      <c r="J185" t="s">
        <v>373</v>
      </c>
      <c r="K185" t="s">
        <v>138</v>
      </c>
    </row>
    <row r="186" spans="1:11">
      <c r="A186" t="s">
        <v>374</v>
      </c>
      <c r="B186" s="3">
        <v>46263.629432870373</v>
      </c>
      <c r="C186" s="4">
        <v>46263</v>
      </c>
      <c r="D186" t="s">
        <v>357</v>
      </c>
      <c r="E186">
        <v>1004</v>
      </c>
      <c r="F186" t="s">
        <v>29</v>
      </c>
      <c r="G186" t="s">
        <v>137</v>
      </c>
      <c r="H186" t="s">
        <v>75</v>
      </c>
      <c r="I186" t="s">
        <v>99</v>
      </c>
      <c r="K186" t="s">
        <v>138</v>
      </c>
    </row>
    <row r="187" spans="1:11">
      <c r="A187" t="s">
        <v>375</v>
      </c>
      <c r="B187" s="3">
        <v>46263.63108796296</v>
      </c>
      <c r="C187" s="4">
        <v>46263</v>
      </c>
      <c r="D187" t="s">
        <v>357</v>
      </c>
      <c r="E187">
        <v>1006</v>
      </c>
      <c r="F187" t="s">
        <v>33</v>
      </c>
      <c r="G187" t="s">
        <v>140</v>
      </c>
      <c r="H187" t="s">
        <v>66</v>
      </c>
      <c r="I187" t="s">
        <v>96</v>
      </c>
      <c r="J187" t="s">
        <v>376</v>
      </c>
      <c r="K187" t="s">
        <v>138</v>
      </c>
    </row>
    <row r="188" spans="1:11">
      <c r="A188" t="s">
        <v>377</v>
      </c>
      <c r="B188" s="3">
        <v>46263.676180555558</v>
      </c>
      <c r="C188" s="4">
        <v>46263</v>
      </c>
      <c r="D188" t="s">
        <v>357</v>
      </c>
      <c r="E188">
        <v>1006</v>
      </c>
      <c r="F188" t="s">
        <v>33</v>
      </c>
      <c r="G188" t="s">
        <v>137</v>
      </c>
      <c r="H188" t="s">
        <v>66</v>
      </c>
      <c r="I188" t="s">
        <v>96</v>
      </c>
      <c r="J188" t="s">
        <v>376</v>
      </c>
      <c r="K188" t="s">
        <v>138</v>
      </c>
    </row>
    <row r="189" spans="1:11">
      <c r="A189" t="s">
        <v>378</v>
      </c>
      <c r="B189" s="3">
        <v>46263.749814814815</v>
      </c>
      <c r="C189" s="4">
        <v>46263</v>
      </c>
      <c r="D189" t="s">
        <v>357</v>
      </c>
      <c r="E189">
        <v>1004</v>
      </c>
      <c r="F189" t="s">
        <v>29</v>
      </c>
      <c r="G189" t="s">
        <v>140</v>
      </c>
      <c r="H189" t="s">
        <v>75</v>
      </c>
      <c r="I189" t="s">
        <v>99</v>
      </c>
      <c r="J189" t="s">
        <v>379</v>
      </c>
      <c r="K189" t="s">
        <v>138</v>
      </c>
    </row>
    <row r="190" spans="1:11">
      <c r="A190" t="s">
        <v>380</v>
      </c>
      <c r="B190" s="3">
        <v>46263.75068287037</v>
      </c>
      <c r="C190" s="4">
        <v>46263</v>
      </c>
      <c r="D190" t="s">
        <v>357</v>
      </c>
      <c r="E190">
        <v>1001</v>
      </c>
      <c r="F190" t="s">
        <v>21</v>
      </c>
      <c r="G190" t="s">
        <v>140</v>
      </c>
      <c r="H190" t="s">
        <v>63</v>
      </c>
      <c r="I190" t="s">
        <v>93</v>
      </c>
      <c r="J190" t="s">
        <v>381</v>
      </c>
      <c r="K190" t="s">
        <v>138</v>
      </c>
    </row>
    <row r="191" spans="1:11">
      <c r="A191" t="s">
        <v>382</v>
      </c>
      <c r="B191" s="3">
        <v>46263.752928240741</v>
      </c>
      <c r="C191" s="4">
        <v>46263</v>
      </c>
      <c r="D191" t="s">
        <v>357</v>
      </c>
      <c r="E191">
        <v>1006</v>
      </c>
      <c r="F191" t="s">
        <v>33</v>
      </c>
      <c r="G191" t="s">
        <v>140</v>
      </c>
      <c r="H191" t="s">
        <v>66</v>
      </c>
      <c r="I191" t="s">
        <v>96</v>
      </c>
      <c r="J191" t="s">
        <v>383</v>
      </c>
      <c r="K191" t="s">
        <v>138</v>
      </c>
    </row>
    <row r="192" spans="1:11">
      <c r="A192" t="s">
        <v>384</v>
      </c>
      <c r="B192" s="3">
        <v>46264.350960648146</v>
      </c>
      <c r="C192" s="4">
        <v>46264</v>
      </c>
      <c r="D192" t="s">
        <v>385</v>
      </c>
      <c r="E192">
        <v>1001</v>
      </c>
      <c r="F192" t="s">
        <v>21</v>
      </c>
      <c r="G192" t="s">
        <v>137</v>
      </c>
      <c r="H192" t="s">
        <v>63</v>
      </c>
      <c r="I192" t="s">
        <v>93</v>
      </c>
      <c r="K192" t="s">
        <v>138</v>
      </c>
    </row>
    <row r="193" spans="1:11">
      <c r="A193" t="s">
        <v>386</v>
      </c>
      <c r="B193" s="3">
        <v>46264.382164351853</v>
      </c>
      <c r="C193" s="4">
        <v>46264</v>
      </c>
      <c r="D193" t="s">
        <v>385</v>
      </c>
      <c r="E193">
        <v>1006</v>
      </c>
      <c r="F193" t="s">
        <v>33</v>
      </c>
      <c r="G193" t="s">
        <v>137</v>
      </c>
      <c r="H193" t="s">
        <v>66</v>
      </c>
      <c r="I193" t="s">
        <v>96</v>
      </c>
      <c r="J193" t="s">
        <v>387</v>
      </c>
      <c r="K193" t="s">
        <v>138</v>
      </c>
    </row>
    <row r="194" spans="1:11">
      <c r="A194" t="s">
        <v>388</v>
      </c>
      <c r="B194" s="3">
        <v>46264.553564814814</v>
      </c>
      <c r="C194" s="4">
        <v>46264</v>
      </c>
      <c r="D194" t="s">
        <v>385</v>
      </c>
      <c r="E194">
        <v>1006</v>
      </c>
      <c r="F194" t="s">
        <v>33</v>
      </c>
      <c r="G194" t="s">
        <v>140</v>
      </c>
      <c r="H194" t="s">
        <v>66</v>
      </c>
      <c r="I194" t="s">
        <v>96</v>
      </c>
      <c r="J194" t="s">
        <v>305</v>
      </c>
      <c r="K194" t="s">
        <v>138</v>
      </c>
    </row>
    <row r="195" spans="1:11">
      <c r="A195" t="s">
        <v>389</v>
      </c>
      <c r="B195" s="3">
        <v>46264.577337962961</v>
      </c>
      <c r="C195" s="4">
        <v>46264</v>
      </c>
      <c r="D195" t="s">
        <v>385</v>
      </c>
      <c r="E195">
        <v>1006</v>
      </c>
      <c r="F195" t="s">
        <v>33</v>
      </c>
      <c r="G195" t="s">
        <v>137</v>
      </c>
      <c r="H195" t="s">
        <v>66</v>
      </c>
      <c r="I195" t="s">
        <v>96</v>
      </c>
      <c r="J195" t="s">
        <v>387</v>
      </c>
      <c r="K195" t="s">
        <v>138</v>
      </c>
    </row>
    <row r="196" spans="1:11">
      <c r="A196" t="s">
        <v>390</v>
      </c>
      <c r="B196" s="3">
        <v>46264.582638888889</v>
      </c>
      <c r="C196" s="4">
        <v>46264</v>
      </c>
      <c r="D196" t="s">
        <v>385</v>
      </c>
      <c r="E196">
        <v>1001</v>
      </c>
      <c r="F196" t="s">
        <v>21</v>
      </c>
      <c r="G196" t="s">
        <v>140</v>
      </c>
      <c r="H196" t="s">
        <v>63</v>
      </c>
      <c r="I196" t="s">
        <v>93</v>
      </c>
      <c r="K196" t="s">
        <v>138</v>
      </c>
    </row>
    <row r="197" spans="1:11">
      <c r="A197" t="s">
        <v>391</v>
      </c>
      <c r="B197" s="3">
        <v>46264.624745370369</v>
      </c>
      <c r="C197" s="4">
        <v>46264</v>
      </c>
      <c r="D197" t="s">
        <v>385</v>
      </c>
      <c r="E197">
        <v>1001</v>
      </c>
      <c r="F197" t="s">
        <v>21</v>
      </c>
      <c r="G197" t="s">
        <v>137</v>
      </c>
      <c r="H197" t="s">
        <v>63</v>
      </c>
      <c r="I197" t="s">
        <v>93</v>
      </c>
      <c r="K197" t="s">
        <v>138</v>
      </c>
    </row>
    <row r="198" spans="1:11">
      <c r="A198" t="s">
        <v>392</v>
      </c>
      <c r="B198" s="3">
        <v>46264.712951388887</v>
      </c>
      <c r="C198" s="4">
        <v>46264</v>
      </c>
      <c r="D198" t="s">
        <v>385</v>
      </c>
      <c r="E198">
        <v>1006</v>
      </c>
      <c r="F198" t="s">
        <v>33</v>
      </c>
      <c r="G198" t="s">
        <v>140</v>
      </c>
      <c r="H198" t="s">
        <v>66</v>
      </c>
      <c r="I198" t="s">
        <v>93</v>
      </c>
      <c r="J198" t="s">
        <v>393</v>
      </c>
      <c r="K198" t="s">
        <v>138</v>
      </c>
    </row>
    <row r="199" spans="1:11">
      <c r="A199" t="s">
        <v>394</v>
      </c>
      <c r="B199" s="3">
        <v>46264.718946759262</v>
      </c>
      <c r="C199" s="4">
        <v>46264</v>
      </c>
      <c r="D199" t="s">
        <v>385</v>
      </c>
      <c r="E199">
        <v>1006</v>
      </c>
      <c r="F199" t="s">
        <v>33</v>
      </c>
      <c r="G199" t="s">
        <v>140</v>
      </c>
      <c r="H199" t="s">
        <v>66</v>
      </c>
      <c r="I199" t="s">
        <v>93</v>
      </c>
      <c r="J199" t="s">
        <v>393</v>
      </c>
      <c r="K199" t="s">
        <v>138</v>
      </c>
    </row>
    <row r="200" spans="1:11">
      <c r="A200" t="s">
        <v>395</v>
      </c>
      <c r="B200" s="3">
        <v>46264.721712962964</v>
      </c>
      <c r="C200" s="4">
        <v>46264</v>
      </c>
      <c r="D200" t="s">
        <v>385</v>
      </c>
      <c r="E200">
        <v>1006</v>
      </c>
      <c r="F200" t="s">
        <v>33</v>
      </c>
      <c r="G200" t="s">
        <v>140</v>
      </c>
      <c r="H200" t="s">
        <v>66</v>
      </c>
      <c r="I200" t="s">
        <v>96</v>
      </c>
      <c r="J200" t="s">
        <v>376</v>
      </c>
      <c r="K200" t="s">
        <v>138</v>
      </c>
    </row>
    <row r="201" spans="1:11">
      <c r="A201" t="s">
        <v>396</v>
      </c>
      <c r="B201" s="3">
        <v>46265.344270833331</v>
      </c>
      <c r="C201" s="4">
        <v>46265</v>
      </c>
      <c r="D201" t="s">
        <v>397</v>
      </c>
      <c r="E201">
        <v>1011</v>
      </c>
      <c r="F201" t="s">
        <v>40</v>
      </c>
      <c r="G201" t="s">
        <v>137</v>
      </c>
      <c r="H201" t="s">
        <v>69</v>
      </c>
      <c r="I201" t="s">
        <v>102</v>
      </c>
      <c r="J201" t="s">
        <v>398</v>
      </c>
      <c r="K201" t="s">
        <v>138</v>
      </c>
    </row>
    <row r="202" spans="1:11">
      <c r="A202" t="s">
        <v>399</v>
      </c>
      <c r="B202" s="3">
        <v>46265.349398148152</v>
      </c>
      <c r="C202" s="4">
        <v>46265</v>
      </c>
      <c r="D202" t="s">
        <v>397</v>
      </c>
      <c r="E202">
        <v>1002</v>
      </c>
      <c r="F202" t="s">
        <v>25</v>
      </c>
      <c r="G202" t="s">
        <v>137</v>
      </c>
      <c r="H202" t="s">
        <v>60</v>
      </c>
      <c r="I202" t="s">
        <v>102</v>
      </c>
      <c r="K202" t="s">
        <v>138</v>
      </c>
    </row>
    <row r="203" spans="1:11">
      <c r="A203" t="s">
        <v>400</v>
      </c>
      <c r="B203" s="3">
        <v>46265.352384259262</v>
      </c>
      <c r="C203" s="4">
        <v>46265</v>
      </c>
      <c r="D203" t="s">
        <v>397</v>
      </c>
      <c r="E203">
        <v>1013</v>
      </c>
      <c r="F203" t="s">
        <v>45</v>
      </c>
      <c r="G203" t="s">
        <v>137</v>
      </c>
      <c r="H203" t="s">
        <v>75</v>
      </c>
      <c r="I203" t="s">
        <v>102</v>
      </c>
      <c r="K203" t="s">
        <v>138</v>
      </c>
    </row>
    <row r="204" spans="1:11">
      <c r="A204" t="s">
        <v>401</v>
      </c>
      <c r="B204" s="3">
        <v>46265.362314814818</v>
      </c>
      <c r="C204" s="4">
        <v>46265</v>
      </c>
      <c r="D204" t="s">
        <v>397</v>
      </c>
      <c r="E204">
        <v>1003</v>
      </c>
      <c r="F204" t="s">
        <v>27</v>
      </c>
      <c r="G204" t="s">
        <v>137</v>
      </c>
      <c r="H204" t="s">
        <v>66</v>
      </c>
      <c r="I204" t="s">
        <v>102</v>
      </c>
      <c r="K204" t="s">
        <v>138</v>
      </c>
    </row>
    <row r="205" spans="1:11">
      <c r="A205" t="s">
        <v>402</v>
      </c>
      <c r="B205" s="3">
        <v>46265.370659722219</v>
      </c>
      <c r="C205" s="4">
        <v>46265</v>
      </c>
      <c r="D205" t="s">
        <v>397</v>
      </c>
      <c r="E205">
        <v>1015</v>
      </c>
      <c r="F205" t="s">
        <v>47</v>
      </c>
      <c r="G205" t="s">
        <v>137</v>
      </c>
      <c r="H205" t="s">
        <v>81</v>
      </c>
      <c r="I205" t="s">
        <v>81</v>
      </c>
      <c r="K205" t="s">
        <v>138</v>
      </c>
    </row>
    <row r="206" spans="1:11">
      <c r="A206" t="s">
        <v>403</v>
      </c>
      <c r="B206" s="3">
        <v>46265.376840277779</v>
      </c>
      <c r="C206" s="4">
        <v>46265</v>
      </c>
      <c r="D206" t="s">
        <v>397</v>
      </c>
      <c r="E206">
        <v>1006</v>
      </c>
      <c r="F206" t="s">
        <v>33</v>
      </c>
      <c r="G206" t="s">
        <v>137</v>
      </c>
      <c r="H206" t="s">
        <v>66</v>
      </c>
      <c r="I206" t="s">
        <v>96</v>
      </c>
      <c r="J206" t="s">
        <v>305</v>
      </c>
      <c r="K206" t="s">
        <v>138</v>
      </c>
    </row>
    <row r="207" spans="1:11">
      <c r="A207" t="s">
        <v>404</v>
      </c>
      <c r="B207" s="3">
        <v>46265.435590277775</v>
      </c>
      <c r="C207" s="4">
        <v>46265</v>
      </c>
      <c r="D207" t="s">
        <v>397</v>
      </c>
      <c r="E207">
        <v>1014</v>
      </c>
      <c r="F207" t="s">
        <v>46</v>
      </c>
      <c r="G207" t="s">
        <v>137</v>
      </c>
      <c r="H207" t="s">
        <v>63</v>
      </c>
      <c r="I207" t="s">
        <v>96</v>
      </c>
      <c r="K207" t="s">
        <v>138</v>
      </c>
    </row>
    <row r="208" spans="1:11">
      <c r="A208" t="s">
        <v>405</v>
      </c>
      <c r="B208" s="3">
        <v>46265.489710648151</v>
      </c>
      <c r="C208" s="4">
        <v>46265</v>
      </c>
      <c r="D208" t="s">
        <v>397</v>
      </c>
      <c r="E208">
        <v>1013</v>
      </c>
      <c r="F208" t="s">
        <v>45</v>
      </c>
      <c r="G208" t="s">
        <v>140</v>
      </c>
      <c r="H208" t="s">
        <v>75</v>
      </c>
      <c r="I208" t="s">
        <v>102</v>
      </c>
      <c r="K208" t="s">
        <v>138</v>
      </c>
    </row>
    <row r="209" spans="1:11">
      <c r="A209" t="s">
        <v>406</v>
      </c>
      <c r="B209" s="3">
        <v>46265.492418981485</v>
      </c>
      <c r="C209" s="4">
        <v>46265</v>
      </c>
      <c r="D209" t="s">
        <v>397</v>
      </c>
      <c r="E209">
        <v>1016</v>
      </c>
      <c r="F209" t="s">
        <v>49</v>
      </c>
      <c r="G209" t="s">
        <v>137</v>
      </c>
      <c r="H209" t="s">
        <v>60</v>
      </c>
      <c r="I209" t="s">
        <v>102</v>
      </c>
      <c r="J209" t="s">
        <v>407</v>
      </c>
      <c r="K209" t="s">
        <v>138</v>
      </c>
    </row>
    <row r="210" spans="1:11">
      <c r="A210" t="s">
        <v>408</v>
      </c>
      <c r="B210" s="3">
        <v>46265.492581018516</v>
      </c>
      <c r="C210" s="4">
        <v>46265</v>
      </c>
      <c r="D210" t="s">
        <v>397</v>
      </c>
      <c r="E210">
        <v>1016</v>
      </c>
      <c r="F210" t="s">
        <v>49</v>
      </c>
      <c r="G210" t="s">
        <v>137</v>
      </c>
      <c r="H210" t="s">
        <v>60</v>
      </c>
      <c r="I210" t="s">
        <v>102</v>
      </c>
      <c r="J210" t="s">
        <v>407</v>
      </c>
      <c r="K210" t="s">
        <v>138</v>
      </c>
    </row>
    <row r="211" spans="1:11">
      <c r="A211" t="s">
        <v>409</v>
      </c>
      <c r="B211" s="3">
        <v>46265.498645833337</v>
      </c>
      <c r="C211" s="4">
        <v>46265</v>
      </c>
      <c r="D211" t="s">
        <v>397</v>
      </c>
      <c r="E211">
        <v>1011</v>
      </c>
      <c r="F211" t="s">
        <v>40</v>
      </c>
      <c r="G211" t="s">
        <v>140</v>
      </c>
      <c r="H211" t="s">
        <v>66</v>
      </c>
      <c r="I211" t="s">
        <v>102</v>
      </c>
      <c r="K211" t="s">
        <v>138</v>
      </c>
    </row>
    <row r="212" spans="1:11">
      <c r="A212" t="s">
        <v>410</v>
      </c>
      <c r="B212" s="3">
        <v>46265.522951388892</v>
      </c>
      <c r="C212" s="4">
        <v>46265</v>
      </c>
      <c r="D212" t="s">
        <v>397</v>
      </c>
      <c r="E212">
        <v>1011</v>
      </c>
      <c r="F212" t="s">
        <v>40</v>
      </c>
      <c r="G212" t="s">
        <v>137</v>
      </c>
      <c r="H212" t="s">
        <v>66</v>
      </c>
      <c r="I212" t="s">
        <v>102</v>
      </c>
      <c r="K212" t="s">
        <v>138</v>
      </c>
    </row>
    <row r="213" spans="1:11">
      <c r="A213" t="s">
        <v>411</v>
      </c>
      <c r="B213" s="3">
        <v>46265.52716435185</v>
      </c>
      <c r="C213" s="4">
        <v>46265</v>
      </c>
      <c r="D213" t="s">
        <v>397</v>
      </c>
      <c r="E213">
        <v>1013</v>
      </c>
      <c r="F213" t="s">
        <v>45</v>
      </c>
      <c r="G213" t="s">
        <v>137</v>
      </c>
      <c r="H213" t="s">
        <v>75</v>
      </c>
      <c r="I213" t="s">
        <v>102</v>
      </c>
      <c r="K213" t="s">
        <v>138</v>
      </c>
    </row>
    <row r="214" spans="1:11">
      <c r="A214" t="s">
        <v>412</v>
      </c>
      <c r="B214" s="3">
        <v>46265.538553240738</v>
      </c>
      <c r="C214" s="4">
        <v>46265</v>
      </c>
      <c r="D214" t="s">
        <v>397</v>
      </c>
      <c r="E214">
        <v>1014</v>
      </c>
      <c r="F214" t="s">
        <v>46</v>
      </c>
      <c r="G214" t="s">
        <v>140</v>
      </c>
      <c r="H214" t="s">
        <v>63</v>
      </c>
      <c r="I214" t="s">
        <v>96</v>
      </c>
      <c r="K214" t="s">
        <v>138</v>
      </c>
    </row>
    <row r="215" spans="1:11">
      <c r="A215" t="s">
        <v>413</v>
      </c>
      <c r="B215" s="3">
        <v>46265.540694444448</v>
      </c>
      <c r="C215" s="4">
        <v>46265</v>
      </c>
      <c r="D215" t="s">
        <v>397</v>
      </c>
      <c r="E215">
        <v>1015</v>
      </c>
      <c r="F215" t="s">
        <v>47</v>
      </c>
      <c r="G215" t="s">
        <v>140</v>
      </c>
      <c r="H215" t="s">
        <v>81</v>
      </c>
      <c r="I215" t="s">
        <v>81</v>
      </c>
      <c r="K215" t="s">
        <v>138</v>
      </c>
    </row>
    <row r="216" spans="1:11">
      <c r="A216" t="s">
        <v>414</v>
      </c>
      <c r="B216" s="3">
        <v>46265.582268518519</v>
      </c>
      <c r="C216" s="4">
        <v>46265</v>
      </c>
      <c r="D216" t="s">
        <v>397</v>
      </c>
      <c r="E216">
        <v>1015</v>
      </c>
      <c r="F216" t="s">
        <v>47</v>
      </c>
      <c r="G216" t="s">
        <v>137</v>
      </c>
      <c r="H216" t="s">
        <v>81</v>
      </c>
      <c r="I216" t="s">
        <v>81</v>
      </c>
      <c r="K216" t="s">
        <v>138</v>
      </c>
    </row>
    <row r="217" spans="1:11">
      <c r="A217" t="s">
        <v>415</v>
      </c>
      <c r="B217" s="3">
        <v>46265.584791666668</v>
      </c>
      <c r="C217" s="4">
        <v>46265</v>
      </c>
      <c r="D217" t="s">
        <v>397</v>
      </c>
      <c r="E217">
        <v>1014</v>
      </c>
      <c r="F217" t="s">
        <v>46</v>
      </c>
      <c r="G217" t="s">
        <v>137</v>
      </c>
      <c r="H217" t="s">
        <v>63</v>
      </c>
      <c r="I217" t="s">
        <v>96</v>
      </c>
      <c r="K217" t="s">
        <v>138</v>
      </c>
    </row>
    <row r="218" spans="1:11">
      <c r="A218" t="s">
        <v>416</v>
      </c>
      <c r="B218" s="3">
        <v>46265.595185185186</v>
      </c>
      <c r="C218" s="4">
        <v>46265</v>
      </c>
      <c r="D218" t="s">
        <v>397</v>
      </c>
      <c r="E218">
        <v>1012</v>
      </c>
      <c r="F218" t="s">
        <v>42</v>
      </c>
      <c r="G218" t="s">
        <v>137</v>
      </c>
      <c r="H218" t="s">
        <v>66</v>
      </c>
      <c r="I218" t="s">
        <v>93</v>
      </c>
      <c r="K218" t="s">
        <v>138</v>
      </c>
    </row>
    <row r="219" spans="1:11">
      <c r="A219" t="s">
        <v>417</v>
      </c>
      <c r="B219" s="3">
        <v>46265.641099537039</v>
      </c>
      <c r="C219" s="4">
        <v>46265</v>
      </c>
      <c r="D219" t="s">
        <v>397</v>
      </c>
      <c r="E219">
        <v>1006</v>
      </c>
      <c r="F219" t="s">
        <v>33</v>
      </c>
      <c r="G219" t="s">
        <v>140</v>
      </c>
      <c r="H219" t="s">
        <v>66</v>
      </c>
      <c r="I219" t="s">
        <v>96</v>
      </c>
      <c r="J219" t="s">
        <v>305</v>
      </c>
      <c r="K219" t="s">
        <v>138</v>
      </c>
    </row>
    <row r="220" spans="1:11">
      <c r="A220" t="s">
        <v>418</v>
      </c>
      <c r="B220" s="3">
        <v>46265.683229166665</v>
      </c>
      <c r="C220" s="4">
        <v>46265</v>
      </c>
      <c r="D220" t="s">
        <v>397</v>
      </c>
      <c r="E220">
        <v>1006</v>
      </c>
      <c r="F220" t="s">
        <v>33</v>
      </c>
      <c r="G220" t="s">
        <v>137</v>
      </c>
      <c r="H220" t="s">
        <v>66</v>
      </c>
      <c r="I220" t="s">
        <v>96</v>
      </c>
      <c r="J220" t="s">
        <v>305</v>
      </c>
      <c r="K220" t="s">
        <v>138</v>
      </c>
    </row>
    <row r="221" spans="1:11">
      <c r="A221" t="s">
        <v>419</v>
      </c>
      <c r="B221" s="3">
        <v>46265.709189814814</v>
      </c>
      <c r="C221" s="4">
        <v>46265</v>
      </c>
      <c r="D221" t="s">
        <v>397</v>
      </c>
      <c r="E221">
        <v>1003</v>
      </c>
      <c r="F221" t="s">
        <v>27</v>
      </c>
      <c r="G221" t="s">
        <v>140</v>
      </c>
      <c r="H221" t="s">
        <v>66</v>
      </c>
      <c r="I221" t="s">
        <v>102</v>
      </c>
      <c r="J221" t="s">
        <v>420</v>
      </c>
      <c r="K221" t="s">
        <v>138</v>
      </c>
    </row>
    <row r="222" spans="1:11">
      <c r="A222" t="s">
        <v>421</v>
      </c>
      <c r="B222" s="3">
        <v>46265.746793981481</v>
      </c>
      <c r="C222" s="4">
        <v>46265</v>
      </c>
      <c r="D222" t="s">
        <v>397</v>
      </c>
      <c r="E222">
        <v>1015</v>
      </c>
      <c r="F222" t="s">
        <v>47</v>
      </c>
      <c r="G222" t="s">
        <v>140</v>
      </c>
      <c r="H222" t="s">
        <v>81</v>
      </c>
      <c r="I222" t="s">
        <v>81</v>
      </c>
      <c r="K222" t="s">
        <v>138</v>
      </c>
    </row>
    <row r="223" spans="1:11">
      <c r="A223" t="s">
        <v>422</v>
      </c>
      <c r="B223" s="3">
        <v>46265.749085648145</v>
      </c>
      <c r="C223" s="4">
        <v>46265</v>
      </c>
      <c r="D223" t="s">
        <v>397</v>
      </c>
      <c r="E223">
        <v>1013</v>
      </c>
      <c r="F223" t="s">
        <v>45</v>
      </c>
      <c r="G223" t="s">
        <v>140</v>
      </c>
      <c r="H223" t="s">
        <v>66</v>
      </c>
      <c r="I223" t="s">
        <v>102</v>
      </c>
      <c r="K223" t="s">
        <v>138</v>
      </c>
    </row>
    <row r="224" spans="1:11">
      <c r="A224" t="s">
        <v>423</v>
      </c>
      <c r="B224" s="3">
        <v>46265.750185185185</v>
      </c>
      <c r="C224" s="4">
        <v>46265</v>
      </c>
      <c r="D224" t="s">
        <v>397</v>
      </c>
      <c r="E224">
        <v>1011</v>
      </c>
      <c r="F224" t="s">
        <v>40</v>
      </c>
      <c r="G224" t="s">
        <v>140</v>
      </c>
      <c r="H224" t="s">
        <v>66</v>
      </c>
      <c r="I224" t="s">
        <v>102</v>
      </c>
      <c r="K224" t="s">
        <v>138</v>
      </c>
    </row>
    <row r="225" spans="1:11">
      <c r="A225" t="s">
        <v>424</v>
      </c>
      <c r="B225" s="3">
        <v>46265.754664351851</v>
      </c>
      <c r="C225" s="4">
        <v>46265</v>
      </c>
      <c r="D225" t="s">
        <v>397</v>
      </c>
      <c r="E225">
        <v>1016</v>
      </c>
      <c r="F225" t="s">
        <v>49</v>
      </c>
      <c r="G225" t="s">
        <v>140</v>
      </c>
      <c r="H225" t="s">
        <v>60</v>
      </c>
      <c r="I225" t="s">
        <v>102</v>
      </c>
      <c r="K225" t="s">
        <v>138</v>
      </c>
    </row>
    <row r="226" spans="1:11">
      <c r="A226" t="s">
        <v>425</v>
      </c>
      <c r="B226" s="3">
        <v>46265.755277777775</v>
      </c>
      <c r="C226" s="4">
        <v>46265</v>
      </c>
      <c r="D226" t="s">
        <v>397</v>
      </c>
      <c r="E226">
        <v>1002</v>
      </c>
      <c r="F226" t="s">
        <v>25</v>
      </c>
      <c r="G226" t="s">
        <v>140</v>
      </c>
      <c r="H226" t="s">
        <v>60</v>
      </c>
      <c r="I226" t="s">
        <v>102</v>
      </c>
      <c r="K226" t="s">
        <v>138</v>
      </c>
    </row>
    <row r="227" spans="1:11">
      <c r="A227" t="s">
        <v>426</v>
      </c>
      <c r="B227" s="3">
        <v>46265.756053240744</v>
      </c>
      <c r="C227" s="4">
        <v>46265</v>
      </c>
      <c r="D227" t="s">
        <v>397</v>
      </c>
      <c r="E227">
        <v>1006</v>
      </c>
      <c r="F227" t="s">
        <v>33</v>
      </c>
      <c r="G227" t="s">
        <v>140</v>
      </c>
      <c r="H227" t="s">
        <v>66</v>
      </c>
      <c r="I227" t="s">
        <v>96</v>
      </c>
      <c r="J227" t="s">
        <v>427</v>
      </c>
      <c r="K227" t="s">
        <v>138</v>
      </c>
    </row>
    <row r="228" spans="1:11">
      <c r="A228" t="s">
        <v>428</v>
      </c>
      <c r="B228" s="3">
        <v>46265.758356481485</v>
      </c>
      <c r="C228" s="4">
        <v>46265</v>
      </c>
      <c r="D228" t="s">
        <v>397</v>
      </c>
      <c r="E228">
        <v>1001</v>
      </c>
      <c r="F228" t="s">
        <v>21</v>
      </c>
      <c r="G228" t="s">
        <v>140</v>
      </c>
      <c r="H228" t="s">
        <v>63</v>
      </c>
      <c r="I228" t="s">
        <v>93</v>
      </c>
      <c r="J228" t="s">
        <v>429</v>
      </c>
      <c r="K228" t="s">
        <v>138</v>
      </c>
    </row>
    <row r="229" spans="1:11">
      <c r="A229" t="s">
        <v>430</v>
      </c>
      <c r="B229" s="3">
        <v>46265.760127314818</v>
      </c>
      <c r="C229" s="4">
        <v>46265</v>
      </c>
      <c r="D229" t="s">
        <v>397</v>
      </c>
      <c r="E229">
        <v>1012</v>
      </c>
      <c r="F229" t="s">
        <v>42</v>
      </c>
      <c r="G229" t="s">
        <v>140</v>
      </c>
      <c r="H229" t="s">
        <v>66</v>
      </c>
      <c r="I229" t="s">
        <v>93</v>
      </c>
      <c r="K229" t="s">
        <v>138</v>
      </c>
    </row>
    <row r="230" spans="1:11">
      <c r="A230" t="s">
        <v>431</v>
      </c>
      <c r="B230" s="3">
        <v>46265.762349537035</v>
      </c>
      <c r="C230" s="4">
        <v>46265</v>
      </c>
      <c r="D230" t="s">
        <v>397</v>
      </c>
      <c r="E230">
        <v>1014</v>
      </c>
      <c r="F230" t="s">
        <v>46</v>
      </c>
      <c r="G230" t="s">
        <v>140</v>
      </c>
      <c r="H230" t="s">
        <v>63</v>
      </c>
      <c r="I230" t="s">
        <v>96</v>
      </c>
      <c r="K230" t="s">
        <v>138</v>
      </c>
    </row>
    <row r="231" spans="1:11">
      <c r="A231" t="s">
        <v>432</v>
      </c>
      <c r="B231" s="3">
        <v>46266.330740740741</v>
      </c>
      <c r="C231" s="4">
        <v>46266</v>
      </c>
      <c r="D231" t="s">
        <v>136</v>
      </c>
      <c r="E231">
        <v>1003</v>
      </c>
      <c r="F231" t="s">
        <v>27</v>
      </c>
      <c r="G231" t="s">
        <v>137</v>
      </c>
      <c r="H231" t="s">
        <v>66</v>
      </c>
      <c r="I231" t="s">
        <v>102</v>
      </c>
      <c r="J231" t="s">
        <v>420</v>
      </c>
      <c r="K231" t="s">
        <v>138</v>
      </c>
    </row>
    <row r="232" spans="1:11">
      <c r="A232" t="s">
        <v>433</v>
      </c>
      <c r="B232" s="3">
        <v>46266.332662037035</v>
      </c>
      <c r="C232" s="4">
        <v>46266</v>
      </c>
      <c r="D232" t="s">
        <v>136</v>
      </c>
      <c r="E232">
        <v>1011</v>
      </c>
      <c r="F232" t="s">
        <v>40</v>
      </c>
      <c r="G232" t="s">
        <v>137</v>
      </c>
      <c r="H232" t="s">
        <v>66</v>
      </c>
      <c r="I232" t="s">
        <v>102</v>
      </c>
      <c r="K232" t="s">
        <v>138</v>
      </c>
    </row>
    <row r="233" spans="1:11">
      <c r="A233" t="s">
        <v>434</v>
      </c>
      <c r="B233" s="3">
        <v>46266.355567129627</v>
      </c>
      <c r="C233" s="4">
        <v>46266</v>
      </c>
      <c r="D233" t="s">
        <v>136</v>
      </c>
      <c r="E233">
        <v>1001</v>
      </c>
      <c r="F233" t="s">
        <v>21</v>
      </c>
      <c r="G233" t="s">
        <v>137</v>
      </c>
      <c r="H233" t="s">
        <v>63</v>
      </c>
      <c r="I233" t="s">
        <v>93</v>
      </c>
      <c r="J233" t="s">
        <v>435</v>
      </c>
      <c r="K233" t="s">
        <v>138</v>
      </c>
    </row>
    <row r="234" spans="1:11">
      <c r="A234" t="s">
        <v>436</v>
      </c>
      <c r="B234" s="3">
        <v>46266.357604166667</v>
      </c>
      <c r="C234" s="4">
        <v>46266</v>
      </c>
      <c r="D234" t="s">
        <v>136</v>
      </c>
      <c r="E234">
        <v>1013</v>
      </c>
      <c r="F234" t="s">
        <v>45</v>
      </c>
      <c r="G234" t="s">
        <v>137</v>
      </c>
      <c r="H234" t="s">
        <v>66</v>
      </c>
      <c r="I234" t="s">
        <v>102</v>
      </c>
      <c r="J234" t="s">
        <v>437</v>
      </c>
      <c r="K234" t="s">
        <v>138</v>
      </c>
    </row>
    <row r="235" spans="1:11">
      <c r="A235" t="s">
        <v>438</v>
      </c>
      <c r="B235" s="3">
        <v>46266.363263888888</v>
      </c>
      <c r="C235" s="4">
        <v>46266</v>
      </c>
      <c r="D235" t="s">
        <v>136</v>
      </c>
      <c r="E235">
        <v>1015</v>
      </c>
      <c r="F235" t="s">
        <v>47</v>
      </c>
      <c r="G235" t="s">
        <v>137</v>
      </c>
      <c r="H235" t="s">
        <v>81</v>
      </c>
      <c r="I235" t="s">
        <v>81</v>
      </c>
      <c r="K235" t="s">
        <v>138</v>
      </c>
    </row>
    <row r="236" spans="1:11">
      <c r="A236" t="s">
        <v>439</v>
      </c>
      <c r="B236" s="3">
        <v>46266.371238425927</v>
      </c>
      <c r="C236" s="4">
        <v>46266</v>
      </c>
      <c r="D236" t="s">
        <v>136</v>
      </c>
      <c r="E236">
        <v>1002</v>
      </c>
      <c r="F236" t="s">
        <v>25</v>
      </c>
      <c r="G236" t="s">
        <v>137</v>
      </c>
      <c r="H236" t="s">
        <v>60</v>
      </c>
      <c r="I236" t="s">
        <v>102</v>
      </c>
      <c r="K236" t="s">
        <v>138</v>
      </c>
    </row>
    <row r="237" spans="1:11">
      <c r="A237" t="s">
        <v>440</v>
      </c>
      <c r="B237" s="3">
        <v>46266.377581018518</v>
      </c>
      <c r="C237" s="4">
        <v>46266</v>
      </c>
      <c r="D237" t="s">
        <v>136</v>
      </c>
      <c r="E237">
        <v>1006</v>
      </c>
      <c r="F237" t="s">
        <v>33</v>
      </c>
      <c r="G237" t="s">
        <v>137</v>
      </c>
      <c r="H237" t="s">
        <v>66</v>
      </c>
      <c r="I237" t="s">
        <v>96</v>
      </c>
      <c r="J237" t="s">
        <v>305</v>
      </c>
      <c r="K237" t="s">
        <v>138</v>
      </c>
    </row>
    <row r="238" spans="1:11">
      <c r="A238" t="s">
        <v>441</v>
      </c>
      <c r="B238" s="3">
        <v>46266.391365740739</v>
      </c>
      <c r="C238" s="4">
        <v>46266</v>
      </c>
      <c r="D238" t="s">
        <v>136</v>
      </c>
      <c r="E238">
        <v>1016</v>
      </c>
      <c r="F238" t="s">
        <v>49</v>
      </c>
      <c r="G238" t="s">
        <v>137</v>
      </c>
      <c r="H238" t="s">
        <v>60</v>
      </c>
      <c r="I238" t="s">
        <v>102</v>
      </c>
      <c r="K238" t="s">
        <v>138</v>
      </c>
    </row>
    <row r="239" spans="1:11">
      <c r="A239" t="s">
        <v>442</v>
      </c>
      <c r="B239" s="3">
        <v>46266.391782407409</v>
      </c>
      <c r="C239" s="4">
        <v>46266</v>
      </c>
      <c r="D239" t="s">
        <v>136</v>
      </c>
      <c r="E239">
        <v>1012</v>
      </c>
      <c r="F239" t="s">
        <v>42</v>
      </c>
      <c r="G239" t="s">
        <v>137</v>
      </c>
      <c r="H239" t="s">
        <v>66</v>
      </c>
      <c r="I239" t="s">
        <v>93</v>
      </c>
      <c r="K239" t="s">
        <v>138</v>
      </c>
    </row>
    <row r="240" spans="1:11">
      <c r="A240" t="s">
        <v>443</v>
      </c>
      <c r="B240" s="3">
        <v>46266.400509259256</v>
      </c>
      <c r="C240" s="4">
        <v>46266</v>
      </c>
      <c r="D240" t="s">
        <v>136</v>
      </c>
      <c r="E240">
        <v>1014</v>
      </c>
      <c r="F240" t="s">
        <v>46</v>
      </c>
      <c r="G240" t="s">
        <v>137</v>
      </c>
      <c r="H240" t="s">
        <v>63</v>
      </c>
      <c r="I240" t="s">
        <v>96</v>
      </c>
      <c r="K240" t="s">
        <v>138</v>
      </c>
    </row>
    <row r="241" spans="1:11">
      <c r="A241" t="s">
        <v>444</v>
      </c>
      <c r="B241" s="3">
        <v>46266.487256944441</v>
      </c>
      <c r="C241" s="4">
        <v>46266</v>
      </c>
      <c r="D241" t="s">
        <v>136</v>
      </c>
      <c r="E241">
        <v>1013</v>
      </c>
      <c r="F241" t="s">
        <v>45</v>
      </c>
      <c r="G241" t="s">
        <v>140</v>
      </c>
      <c r="H241" t="s">
        <v>66</v>
      </c>
      <c r="I241" t="s">
        <v>102</v>
      </c>
      <c r="J241" t="s">
        <v>445</v>
      </c>
      <c r="K241" t="s">
        <v>138</v>
      </c>
    </row>
    <row r="242" spans="1:11">
      <c r="A242" t="s">
        <v>446</v>
      </c>
      <c r="B242" s="3">
        <v>46266.517152777778</v>
      </c>
      <c r="C242" s="4">
        <v>46266</v>
      </c>
      <c r="D242" t="s">
        <v>136</v>
      </c>
      <c r="E242">
        <v>1011</v>
      </c>
      <c r="F242" t="s">
        <v>40</v>
      </c>
      <c r="G242" t="s">
        <v>140</v>
      </c>
      <c r="H242" t="s">
        <v>66</v>
      </c>
      <c r="I242" t="s">
        <v>102</v>
      </c>
      <c r="K242" t="s">
        <v>138</v>
      </c>
    </row>
    <row r="243" spans="1:11">
      <c r="A243" t="s">
        <v>447</v>
      </c>
      <c r="B243" s="3">
        <v>46266.521099537036</v>
      </c>
      <c r="C243" s="4">
        <v>46266</v>
      </c>
      <c r="D243" t="s">
        <v>136</v>
      </c>
      <c r="E243">
        <v>1013</v>
      </c>
      <c r="F243" t="s">
        <v>45</v>
      </c>
      <c r="G243" t="s">
        <v>137</v>
      </c>
      <c r="H243" t="s">
        <v>66</v>
      </c>
      <c r="I243" t="s">
        <v>102</v>
      </c>
      <c r="J243" t="s">
        <v>437</v>
      </c>
      <c r="K243" t="s">
        <v>138</v>
      </c>
    </row>
    <row r="244" spans="1:11">
      <c r="A244" t="s">
        <v>448</v>
      </c>
      <c r="B244" s="3">
        <v>46266.522060185183</v>
      </c>
      <c r="C244" s="4">
        <v>46266</v>
      </c>
      <c r="D244" t="s">
        <v>136</v>
      </c>
      <c r="E244">
        <v>1016</v>
      </c>
      <c r="F244" t="s">
        <v>49</v>
      </c>
      <c r="G244" t="s">
        <v>140</v>
      </c>
      <c r="H244" t="s">
        <v>60</v>
      </c>
      <c r="I244" t="s">
        <v>93</v>
      </c>
      <c r="K244" t="s">
        <v>138</v>
      </c>
    </row>
    <row r="245" spans="1:11">
      <c r="A245" t="s">
        <v>449</v>
      </c>
      <c r="B245" s="3">
        <v>46266.522245370368</v>
      </c>
      <c r="C245" s="4">
        <v>46266</v>
      </c>
      <c r="D245" t="s">
        <v>136</v>
      </c>
      <c r="E245">
        <v>1016</v>
      </c>
      <c r="F245" t="s">
        <v>49</v>
      </c>
      <c r="G245" t="s">
        <v>140</v>
      </c>
      <c r="H245" t="s">
        <v>60</v>
      </c>
      <c r="I245" t="s">
        <v>102</v>
      </c>
      <c r="K245" t="s">
        <v>138</v>
      </c>
    </row>
    <row r="246" spans="1:11">
      <c r="A246" t="s">
        <v>450</v>
      </c>
      <c r="B246" s="3">
        <v>46266.524606481478</v>
      </c>
      <c r="C246" s="4">
        <v>46266</v>
      </c>
      <c r="D246" t="s">
        <v>136</v>
      </c>
      <c r="E246">
        <v>1014</v>
      </c>
      <c r="F246" t="s">
        <v>46</v>
      </c>
      <c r="G246" t="s">
        <v>140</v>
      </c>
      <c r="H246" t="s">
        <v>63</v>
      </c>
      <c r="I246" t="s">
        <v>96</v>
      </c>
      <c r="K246" t="s">
        <v>138</v>
      </c>
    </row>
    <row r="247" spans="1:11">
      <c r="A247" t="s">
        <v>451</v>
      </c>
      <c r="B247" s="3">
        <v>46266.526053240741</v>
      </c>
      <c r="C247" s="4">
        <v>46266</v>
      </c>
      <c r="D247" t="s">
        <v>136</v>
      </c>
      <c r="E247">
        <v>1003</v>
      </c>
      <c r="F247" t="s">
        <v>27</v>
      </c>
      <c r="G247" t="s">
        <v>140</v>
      </c>
      <c r="H247" t="s">
        <v>66</v>
      </c>
      <c r="I247" t="s">
        <v>102</v>
      </c>
      <c r="J247" t="s">
        <v>445</v>
      </c>
      <c r="K247" t="s">
        <v>138</v>
      </c>
    </row>
    <row r="248" spans="1:11">
      <c r="A248" t="s">
        <v>452</v>
      </c>
      <c r="B248" s="3">
        <v>46266.530844907407</v>
      </c>
      <c r="C248" s="4">
        <v>46266</v>
      </c>
      <c r="D248" t="s">
        <v>136</v>
      </c>
      <c r="E248">
        <v>1006</v>
      </c>
      <c r="F248" t="s">
        <v>33</v>
      </c>
      <c r="G248" t="s">
        <v>140</v>
      </c>
      <c r="H248" t="s">
        <v>66</v>
      </c>
      <c r="I248" t="s">
        <v>96</v>
      </c>
      <c r="J248" t="s">
        <v>427</v>
      </c>
      <c r="K248" t="s">
        <v>138</v>
      </c>
    </row>
    <row r="249" spans="1:11">
      <c r="A249" t="s">
        <v>453</v>
      </c>
      <c r="B249" s="3">
        <v>46266.537349537037</v>
      </c>
      <c r="C249" s="4">
        <v>46266</v>
      </c>
      <c r="D249" t="s">
        <v>136</v>
      </c>
      <c r="E249">
        <v>1011</v>
      </c>
      <c r="F249" t="s">
        <v>40</v>
      </c>
      <c r="G249" t="s">
        <v>137</v>
      </c>
      <c r="H249" t="s">
        <v>66</v>
      </c>
      <c r="I249" t="s">
        <v>102</v>
      </c>
      <c r="K249" t="s">
        <v>138</v>
      </c>
    </row>
    <row r="250" spans="1:11">
      <c r="A250" t="s">
        <v>454</v>
      </c>
      <c r="B250" s="3">
        <v>46266.542303240742</v>
      </c>
      <c r="C250" s="4">
        <v>46266</v>
      </c>
      <c r="D250" t="s">
        <v>136</v>
      </c>
      <c r="E250">
        <v>1015</v>
      </c>
      <c r="F250" t="s">
        <v>47</v>
      </c>
      <c r="G250" t="s">
        <v>140</v>
      </c>
      <c r="H250" t="s">
        <v>81</v>
      </c>
      <c r="I250" t="s">
        <v>81</v>
      </c>
      <c r="K250" t="s">
        <v>138</v>
      </c>
    </row>
    <row r="251" spans="1:11">
      <c r="A251" t="s">
        <v>455</v>
      </c>
      <c r="B251" s="3">
        <v>46266.562986111108</v>
      </c>
      <c r="C251" s="4">
        <v>46266</v>
      </c>
      <c r="D251" t="s">
        <v>136</v>
      </c>
      <c r="E251">
        <v>1003</v>
      </c>
      <c r="F251" t="s">
        <v>27</v>
      </c>
      <c r="G251" t="s">
        <v>137</v>
      </c>
      <c r="H251" t="s">
        <v>66</v>
      </c>
      <c r="I251" t="s">
        <v>102</v>
      </c>
      <c r="J251" t="s">
        <v>445</v>
      </c>
      <c r="K251" t="s">
        <v>138</v>
      </c>
    </row>
    <row r="252" spans="1:11">
      <c r="A252" t="s">
        <v>456</v>
      </c>
      <c r="B252" s="3">
        <v>46266.565983796296</v>
      </c>
      <c r="C252" s="4">
        <v>46266</v>
      </c>
      <c r="D252" t="s">
        <v>136</v>
      </c>
      <c r="E252">
        <v>1016</v>
      </c>
      <c r="F252" t="s">
        <v>49</v>
      </c>
      <c r="G252" t="s">
        <v>137</v>
      </c>
      <c r="H252" t="s">
        <v>60</v>
      </c>
      <c r="I252" t="s">
        <v>102</v>
      </c>
      <c r="K252" t="s">
        <v>138</v>
      </c>
    </row>
    <row r="253" spans="1:11">
      <c r="A253" t="s">
        <v>457</v>
      </c>
      <c r="B253" s="3">
        <v>46266.569560185184</v>
      </c>
      <c r="C253" s="4">
        <v>46266</v>
      </c>
      <c r="D253" t="s">
        <v>136</v>
      </c>
      <c r="E253">
        <v>1012</v>
      </c>
      <c r="F253" t="s">
        <v>42</v>
      </c>
      <c r="G253" t="s">
        <v>137</v>
      </c>
      <c r="H253" t="s">
        <v>66</v>
      </c>
      <c r="I253" t="s">
        <v>93</v>
      </c>
      <c r="K253" t="s">
        <v>138</v>
      </c>
    </row>
    <row r="254" spans="1:11">
      <c r="A254" t="s">
        <v>458</v>
      </c>
      <c r="B254" s="3">
        <v>46266.570636574077</v>
      </c>
      <c r="C254" s="4">
        <v>46266</v>
      </c>
      <c r="D254" t="s">
        <v>136</v>
      </c>
      <c r="E254">
        <v>1006</v>
      </c>
      <c r="F254" t="s">
        <v>33</v>
      </c>
      <c r="G254" t="s">
        <v>137</v>
      </c>
      <c r="H254" t="s">
        <v>66</v>
      </c>
      <c r="I254" t="s">
        <v>96</v>
      </c>
      <c r="J254" t="s">
        <v>427</v>
      </c>
      <c r="K254" t="s">
        <v>138</v>
      </c>
    </row>
    <row r="255" spans="1:11">
      <c r="A255" t="s">
        <v>459</v>
      </c>
      <c r="B255" s="3">
        <v>46266.576342592591</v>
      </c>
      <c r="C255" s="4">
        <v>46266</v>
      </c>
      <c r="D255" t="s">
        <v>136</v>
      </c>
      <c r="E255">
        <v>1001</v>
      </c>
      <c r="F255" t="s">
        <v>21</v>
      </c>
      <c r="G255" t="s">
        <v>140</v>
      </c>
      <c r="H255" t="s">
        <v>63</v>
      </c>
      <c r="I255" t="s">
        <v>93</v>
      </c>
      <c r="J255" t="s">
        <v>460</v>
      </c>
      <c r="K255" t="s">
        <v>138</v>
      </c>
    </row>
    <row r="256" spans="1:11">
      <c r="A256" t="s">
        <v>461</v>
      </c>
      <c r="B256" s="3">
        <v>46266.581932870373</v>
      </c>
      <c r="C256" s="4">
        <v>46266</v>
      </c>
      <c r="D256" t="s">
        <v>136</v>
      </c>
      <c r="E256">
        <v>1015</v>
      </c>
      <c r="F256" t="s">
        <v>47</v>
      </c>
      <c r="G256" t="s">
        <v>137</v>
      </c>
      <c r="H256" t="s">
        <v>81</v>
      </c>
      <c r="I256" t="s">
        <v>81</v>
      </c>
      <c r="K256" t="s">
        <v>138</v>
      </c>
    </row>
    <row r="257" spans="1:11">
      <c r="A257" t="s">
        <v>462</v>
      </c>
      <c r="B257" s="3">
        <v>46266.595578703702</v>
      </c>
      <c r="C257" s="4">
        <v>46266</v>
      </c>
      <c r="D257" t="s">
        <v>136</v>
      </c>
      <c r="E257">
        <v>1004</v>
      </c>
      <c r="F257" t="s">
        <v>29</v>
      </c>
      <c r="G257" t="s">
        <v>137</v>
      </c>
      <c r="H257" t="s">
        <v>66</v>
      </c>
      <c r="I257" t="s">
        <v>99</v>
      </c>
      <c r="J257" t="s">
        <v>463</v>
      </c>
      <c r="K257" t="s">
        <v>138</v>
      </c>
    </row>
    <row r="258" spans="1:11">
      <c r="A258" t="s">
        <v>464</v>
      </c>
      <c r="B258" s="3">
        <v>46266.598275462966</v>
      </c>
      <c r="C258" s="4">
        <v>46266</v>
      </c>
      <c r="D258" t="s">
        <v>136</v>
      </c>
      <c r="E258">
        <v>1001</v>
      </c>
      <c r="F258" t="s">
        <v>21</v>
      </c>
      <c r="G258" t="s">
        <v>137</v>
      </c>
      <c r="H258" t="s">
        <v>63</v>
      </c>
      <c r="I258" t="s">
        <v>93</v>
      </c>
      <c r="K258" t="s">
        <v>138</v>
      </c>
    </row>
    <row r="259" spans="1:11">
      <c r="A259" t="s">
        <v>465</v>
      </c>
      <c r="B259" s="3">
        <v>46266.623912037037</v>
      </c>
      <c r="C259" s="4">
        <v>46266</v>
      </c>
      <c r="D259" t="s">
        <v>136</v>
      </c>
      <c r="E259">
        <v>1014</v>
      </c>
      <c r="F259" t="s">
        <v>46</v>
      </c>
      <c r="G259" t="s">
        <v>137</v>
      </c>
      <c r="H259" t="s">
        <v>63</v>
      </c>
      <c r="I259" t="s">
        <v>96</v>
      </c>
      <c r="K259" t="s">
        <v>138</v>
      </c>
    </row>
    <row r="260" spans="1:11">
      <c r="A260" t="s">
        <v>466</v>
      </c>
      <c r="B260" s="3">
        <v>46266.748124999998</v>
      </c>
      <c r="C260" s="4">
        <v>46266</v>
      </c>
      <c r="D260" t="s">
        <v>136</v>
      </c>
      <c r="E260">
        <v>1014</v>
      </c>
      <c r="F260" t="s">
        <v>46</v>
      </c>
      <c r="G260" t="s">
        <v>140</v>
      </c>
      <c r="H260" t="s">
        <v>63</v>
      </c>
      <c r="I260" t="s">
        <v>96</v>
      </c>
      <c r="K260" t="s">
        <v>138</v>
      </c>
    </row>
    <row r="261" spans="1:11">
      <c r="A261" t="s">
        <v>467</v>
      </c>
      <c r="B261" s="3">
        <v>46266.750173611108</v>
      </c>
      <c r="C261" s="4">
        <v>46266</v>
      </c>
      <c r="D261" t="s">
        <v>136</v>
      </c>
      <c r="E261">
        <v>1015</v>
      </c>
      <c r="F261" t="s">
        <v>47</v>
      </c>
      <c r="G261" t="s">
        <v>140</v>
      </c>
      <c r="H261" t="s">
        <v>81</v>
      </c>
      <c r="I261" t="s">
        <v>81</v>
      </c>
      <c r="J261" t="s">
        <v>468</v>
      </c>
      <c r="K261" t="s">
        <v>138</v>
      </c>
    </row>
    <row r="262" spans="1:11">
      <c r="A262" t="s">
        <v>469</v>
      </c>
      <c r="B262" s="3">
        <v>46266.750590277778</v>
      </c>
      <c r="C262" s="4">
        <v>46266</v>
      </c>
      <c r="D262" t="s">
        <v>136</v>
      </c>
      <c r="E262">
        <v>1015</v>
      </c>
      <c r="F262" t="s">
        <v>47</v>
      </c>
      <c r="G262" t="s">
        <v>140</v>
      </c>
      <c r="H262" t="s">
        <v>81</v>
      </c>
      <c r="I262" t="s">
        <v>81</v>
      </c>
      <c r="K262" t="s">
        <v>138</v>
      </c>
    </row>
    <row r="263" spans="1:11">
      <c r="A263" t="s">
        <v>470</v>
      </c>
      <c r="B263" s="3">
        <v>46266.752256944441</v>
      </c>
      <c r="C263" s="4">
        <v>46266</v>
      </c>
      <c r="D263" t="s">
        <v>136</v>
      </c>
      <c r="E263">
        <v>1002</v>
      </c>
      <c r="F263" t="s">
        <v>25</v>
      </c>
      <c r="G263" t="s">
        <v>140</v>
      </c>
      <c r="H263" t="s">
        <v>60</v>
      </c>
      <c r="I263" t="s">
        <v>102</v>
      </c>
      <c r="K263" t="s">
        <v>138</v>
      </c>
    </row>
    <row r="264" spans="1:11">
      <c r="A264" t="s">
        <v>471</v>
      </c>
      <c r="B264" s="3">
        <v>46266.752905092595</v>
      </c>
      <c r="C264" s="4">
        <v>46266</v>
      </c>
      <c r="D264" t="s">
        <v>136</v>
      </c>
      <c r="E264">
        <v>1003</v>
      </c>
      <c r="F264" t="s">
        <v>27</v>
      </c>
      <c r="G264" t="s">
        <v>140</v>
      </c>
      <c r="H264" t="s">
        <v>66</v>
      </c>
      <c r="I264" t="s">
        <v>102</v>
      </c>
      <c r="J264" t="s">
        <v>472</v>
      </c>
      <c r="K264" t="s">
        <v>138</v>
      </c>
    </row>
    <row r="265" spans="1:11">
      <c r="A265" t="s">
        <v>473</v>
      </c>
      <c r="B265" s="3">
        <v>46266.754629629628</v>
      </c>
      <c r="C265" s="4">
        <v>46266</v>
      </c>
      <c r="D265" t="s">
        <v>136</v>
      </c>
      <c r="E265">
        <v>1012</v>
      </c>
      <c r="F265" t="s">
        <v>42</v>
      </c>
      <c r="G265" t="s">
        <v>140</v>
      </c>
      <c r="H265" t="s">
        <v>66</v>
      </c>
      <c r="I265" t="s">
        <v>93</v>
      </c>
      <c r="K265" t="s">
        <v>138</v>
      </c>
    </row>
    <row r="266" spans="1:11">
      <c r="A266" t="s">
        <v>474</v>
      </c>
      <c r="B266" s="3">
        <v>46266.75513888889</v>
      </c>
      <c r="C266" s="4">
        <v>46266</v>
      </c>
      <c r="D266" t="s">
        <v>136</v>
      </c>
      <c r="E266">
        <v>1016</v>
      </c>
      <c r="F266" t="s">
        <v>49</v>
      </c>
      <c r="G266" t="s">
        <v>140</v>
      </c>
      <c r="H266" t="s">
        <v>60</v>
      </c>
      <c r="I266" t="s">
        <v>102</v>
      </c>
      <c r="K266" t="s">
        <v>138</v>
      </c>
    </row>
    <row r="267" spans="1:11">
      <c r="A267" t="s">
        <v>475</v>
      </c>
      <c r="B267" s="3">
        <v>46266.760381944441</v>
      </c>
      <c r="C267" s="4">
        <v>46266</v>
      </c>
      <c r="D267" t="s">
        <v>136</v>
      </c>
      <c r="E267">
        <v>1011</v>
      </c>
      <c r="F267" t="s">
        <v>40</v>
      </c>
      <c r="G267" t="s">
        <v>140</v>
      </c>
      <c r="H267" t="s">
        <v>84</v>
      </c>
      <c r="I267" t="s">
        <v>102</v>
      </c>
      <c r="K267" t="s">
        <v>138</v>
      </c>
    </row>
    <row r="268" spans="1:11">
      <c r="A268" t="s">
        <v>476</v>
      </c>
      <c r="B268" s="3">
        <v>46266.761967592596</v>
      </c>
      <c r="C268" s="4">
        <v>46266</v>
      </c>
      <c r="D268" t="s">
        <v>136</v>
      </c>
      <c r="E268">
        <v>1006</v>
      </c>
      <c r="F268" t="s">
        <v>33</v>
      </c>
      <c r="G268" t="s">
        <v>140</v>
      </c>
      <c r="H268" t="s">
        <v>66</v>
      </c>
      <c r="I268" t="s">
        <v>96</v>
      </c>
      <c r="J268" t="s">
        <v>477</v>
      </c>
      <c r="K268" t="s">
        <v>138</v>
      </c>
    </row>
    <row r="269" spans="1:11">
      <c r="A269" t="s">
        <v>478</v>
      </c>
      <c r="B269" s="3">
        <v>46266.768761574072</v>
      </c>
      <c r="C269" s="4">
        <v>46266</v>
      </c>
      <c r="D269" t="s">
        <v>136</v>
      </c>
      <c r="E269">
        <v>1001</v>
      </c>
      <c r="F269" t="s">
        <v>21</v>
      </c>
      <c r="G269" t="s">
        <v>140</v>
      </c>
      <c r="H269" t="s">
        <v>63</v>
      </c>
      <c r="I269" t="s">
        <v>93</v>
      </c>
      <c r="J269" t="s">
        <v>479</v>
      </c>
      <c r="K269" t="s">
        <v>138</v>
      </c>
    </row>
    <row r="270" spans="1:11">
      <c r="A270" t="s">
        <v>480</v>
      </c>
      <c r="B270" s="3">
        <v>46266.799976851849</v>
      </c>
      <c r="C270" s="4">
        <v>46266</v>
      </c>
      <c r="D270" t="s">
        <v>136</v>
      </c>
      <c r="E270">
        <v>1004</v>
      </c>
      <c r="F270" t="s">
        <v>29</v>
      </c>
      <c r="G270" t="s">
        <v>140</v>
      </c>
      <c r="H270" t="s">
        <v>66</v>
      </c>
      <c r="I270" t="s">
        <v>99</v>
      </c>
      <c r="K270" t="s">
        <v>138</v>
      </c>
    </row>
    <row r="271" spans="1:11">
      <c r="A271" t="s">
        <v>481</v>
      </c>
      <c r="B271" s="3">
        <v>46266.865081018521</v>
      </c>
      <c r="C271" s="4">
        <v>46266</v>
      </c>
      <c r="D271" t="s">
        <v>136</v>
      </c>
      <c r="E271">
        <v>1004</v>
      </c>
      <c r="F271" t="s">
        <v>29</v>
      </c>
      <c r="G271" t="s">
        <v>137</v>
      </c>
      <c r="H271" t="s">
        <v>63</v>
      </c>
      <c r="I271" t="s">
        <v>99</v>
      </c>
      <c r="J271" t="s">
        <v>257</v>
      </c>
      <c r="K271" t="s">
        <v>138</v>
      </c>
    </row>
    <row r="272" spans="1:11">
      <c r="A272" t="s">
        <v>482</v>
      </c>
      <c r="B272" s="3">
        <v>46266.926087962966</v>
      </c>
      <c r="C272" s="4">
        <v>46266</v>
      </c>
      <c r="D272" t="s">
        <v>136</v>
      </c>
      <c r="E272">
        <v>1004</v>
      </c>
      <c r="F272" t="s">
        <v>29</v>
      </c>
      <c r="G272" t="s">
        <v>140</v>
      </c>
      <c r="H272" t="s">
        <v>63</v>
      </c>
      <c r="I272" t="s">
        <v>99</v>
      </c>
      <c r="J272" t="s">
        <v>483</v>
      </c>
      <c r="K272" t="s">
        <v>138</v>
      </c>
    </row>
    <row r="273" spans="1:11">
      <c r="A273" t="s">
        <v>484</v>
      </c>
      <c r="B273" s="3">
        <v>46267.331712962965</v>
      </c>
      <c r="C273" s="4">
        <v>46267</v>
      </c>
      <c r="D273" t="s">
        <v>153</v>
      </c>
      <c r="E273">
        <v>1003</v>
      </c>
      <c r="F273" t="s">
        <v>27</v>
      </c>
      <c r="G273" t="s">
        <v>137</v>
      </c>
      <c r="H273" t="s">
        <v>66</v>
      </c>
      <c r="I273" t="s">
        <v>102</v>
      </c>
      <c r="J273" t="s">
        <v>485</v>
      </c>
      <c r="K273" t="s">
        <v>138</v>
      </c>
    </row>
    <row r="274" spans="1:11">
      <c r="A274" t="s">
        <v>486</v>
      </c>
      <c r="B274" s="3">
        <v>46267.345381944448</v>
      </c>
      <c r="C274" s="4">
        <v>46267</v>
      </c>
      <c r="D274" t="s">
        <v>153</v>
      </c>
      <c r="E274">
        <v>1011</v>
      </c>
      <c r="F274" t="s">
        <v>40</v>
      </c>
      <c r="G274" t="s">
        <v>137</v>
      </c>
      <c r="H274" t="s">
        <v>69</v>
      </c>
      <c r="I274" t="s">
        <v>102</v>
      </c>
      <c r="K274" t="s">
        <v>138</v>
      </c>
    </row>
    <row r="275" spans="1:11">
      <c r="A275" t="s">
        <v>487</v>
      </c>
      <c r="B275" s="3">
        <v>46267.364432870374</v>
      </c>
      <c r="C275" s="4">
        <v>46267</v>
      </c>
      <c r="D275" t="s">
        <v>153</v>
      </c>
      <c r="E275">
        <v>1001</v>
      </c>
      <c r="F275" t="s">
        <v>21</v>
      </c>
      <c r="G275" t="s">
        <v>137</v>
      </c>
      <c r="H275" t="s">
        <v>63</v>
      </c>
      <c r="I275" t="s">
        <v>93</v>
      </c>
      <c r="J275" t="s">
        <v>488</v>
      </c>
      <c r="K275" t="s">
        <v>138</v>
      </c>
    </row>
    <row r="276" spans="1:11">
      <c r="A276" t="s">
        <v>489</v>
      </c>
      <c r="B276" s="3">
        <v>46267.371516203704</v>
      </c>
      <c r="C276" s="4">
        <v>46267</v>
      </c>
      <c r="D276" t="s">
        <v>153</v>
      </c>
      <c r="E276">
        <v>1015</v>
      </c>
      <c r="F276" t="s">
        <v>47</v>
      </c>
      <c r="G276" t="s">
        <v>137</v>
      </c>
      <c r="H276" t="s">
        <v>81</v>
      </c>
      <c r="I276" t="s">
        <v>81</v>
      </c>
      <c r="K276" t="s">
        <v>138</v>
      </c>
    </row>
    <row r="277" spans="1:11">
      <c r="A277" t="s">
        <v>490</v>
      </c>
      <c r="B277" s="3">
        <v>46267.37773148148</v>
      </c>
      <c r="C277" s="4">
        <v>46267</v>
      </c>
      <c r="D277" t="s">
        <v>153</v>
      </c>
      <c r="E277">
        <v>1002</v>
      </c>
      <c r="F277" t="s">
        <v>25</v>
      </c>
      <c r="G277" t="s">
        <v>137</v>
      </c>
      <c r="H277" t="s">
        <v>60</v>
      </c>
      <c r="I277" t="s">
        <v>102</v>
      </c>
      <c r="K277" t="s">
        <v>138</v>
      </c>
    </row>
    <row r="278" spans="1:11">
      <c r="A278" t="s">
        <v>491</v>
      </c>
      <c r="B278" s="3">
        <v>46267.385717592595</v>
      </c>
      <c r="C278" s="4">
        <v>46267</v>
      </c>
      <c r="D278" t="s">
        <v>153</v>
      </c>
      <c r="E278">
        <v>1013</v>
      </c>
      <c r="F278" t="s">
        <v>45</v>
      </c>
      <c r="G278" t="s">
        <v>137</v>
      </c>
      <c r="H278" t="s">
        <v>66</v>
      </c>
      <c r="I278" t="s">
        <v>102</v>
      </c>
      <c r="K278" t="s">
        <v>138</v>
      </c>
    </row>
    <row r="279" spans="1:11">
      <c r="A279" t="s">
        <v>492</v>
      </c>
      <c r="B279" s="3">
        <v>46267.38994212963</v>
      </c>
      <c r="C279" s="4">
        <v>46267</v>
      </c>
      <c r="D279" t="s">
        <v>153</v>
      </c>
      <c r="E279">
        <v>1012</v>
      </c>
      <c r="F279" t="s">
        <v>42</v>
      </c>
      <c r="G279" t="s">
        <v>137</v>
      </c>
      <c r="H279" t="s">
        <v>66</v>
      </c>
      <c r="I279" t="s">
        <v>93</v>
      </c>
      <c r="K279" t="s">
        <v>138</v>
      </c>
    </row>
    <row r="280" spans="1:11">
      <c r="A280" t="s">
        <v>493</v>
      </c>
      <c r="B280" s="3">
        <v>46267.391250000001</v>
      </c>
      <c r="C280" s="4">
        <v>46267</v>
      </c>
      <c r="D280" t="s">
        <v>153</v>
      </c>
      <c r="E280">
        <v>1016</v>
      </c>
      <c r="F280" t="s">
        <v>49</v>
      </c>
      <c r="G280" t="s">
        <v>137</v>
      </c>
      <c r="H280" t="s">
        <v>60</v>
      </c>
      <c r="I280" t="s">
        <v>102</v>
      </c>
      <c r="K280" t="s">
        <v>138</v>
      </c>
    </row>
    <row r="281" spans="1:11">
      <c r="A281" t="s">
        <v>494</v>
      </c>
      <c r="B281" s="3">
        <v>46267.394317129627</v>
      </c>
      <c r="C281" s="4">
        <v>46267</v>
      </c>
      <c r="D281" t="s">
        <v>153</v>
      </c>
      <c r="E281">
        <v>1004</v>
      </c>
      <c r="F281" t="s">
        <v>29</v>
      </c>
      <c r="G281" t="s">
        <v>137</v>
      </c>
      <c r="H281" t="s">
        <v>66</v>
      </c>
      <c r="I281" t="s">
        <v>99</v>
      </c>
      <c r="K281" t="s">
        <v>138</v>
      </c>
    </row>
    <row r="282" spans="1:11">
      <c r="A282" t="s">
        <v>495</v>
      </c>
      <c r="B282" s="3">
        <v>46267.40797453704</v>
      </c>
      <c r="C282" s="4">
        <v>46267</v>
      </c>
      <c r="D282" t="s">
        <v>153</v>
      </c>
      <c r="E282">
        <v>1014</v>
      </c>
      <c r="F282" t="s">
        <v>46</v>
      </c>
      <c r="G282" t="s">
        <v>137</v>
      </c>
      <c r="H282" t="s">
        <v>63</v>
      </c>
      <c r="I282" t="s">
        <v>96</v>
      </c>
      <c r="K282" t="s">
        <v>138</v>
      </c>
    </row>
    <row r="283" spans="1:11">
      <c r="A283" t="s">
        <v>496</v>
      </c>
      <c r="B283" s="3">
        <v>46267.500208333331</v>
      </c>
      <c r="C283" s="4">
        <v>46267</v>
      </c>
      <c r="D283" t="s">
        <v>153</v>
      </c>
      <c r="E283">
        <v>1013</v>
      </c>
      <c r="F283" t="s">
        <v>45</v>
      </c>
      <c r="G283" t="s">
        <v>140</v>
      </c>
      <c r="H283" t="s">
        <v>66</v>
      </c>
      <c r="I283" t="s">
        <v>102</v>
      </c>
      <c r="K283" t="s">
        <v>138</v>
      </c>
    </row>
    <row r="284" spans="1:11">
      <c r="A284" t="s">
        <v>497</v>
      </c>
      <c r="B284" s="3">
        <v>46267.520636574074</v>
      </c>
      <c r="C284" s="4">
        <v>46267</v>
      </c>
      <c r="D284" t="s">
        <v>153</v>
      </c>
      <c r="E284">
        <v>1014</v>
      </c>
      <c r="F284" t="s">
        <v>46</v>
      </c>
      <c r="G284" t="s">
        <v>140</v>
      </c>
      <c r="H284" t="s">
        <v>63</v>
      </c>
      <c r="I284" t="s">
        <v>96</v>
      </c>
      <c r="K284" t="s">
        <v>138</v>
      </c>
    </row>
    <row r="285" spans="1:11">
      <c r="A285" t="s">
        <v>498</v>
      </c>
      <c r="B285" s="3">
        <v>46267.520972222221</v>
      </c>
      <c r="C285" s="4">
        <v>46267</v>
      </c>
      <c r="D285" t="s">
        <v>153</v>
      </c>
      <c r="E285">
        <v>1016</v>
      </c>
      <c r="F285" t="s">
        <v>49</v>
      </c>
      <c r="G285" t="s">
        <v>140</v>
      </c>
      <c r="H285" t="s">
        <v>60</v>
      </c>
      <c r="I285" t="s">
        <v>102</v>
      </c>
      <c r="K285" t="s">
        <v>138</v>
      </c>
    </row>
    <row r="286" spans="1:11">
      <c r="A286" t="s">
        <v>499</v>
      </c>
      <c r="B286" s="3">
        <v>46267.524583333332</v>
      </c>
      <c r="C286" s="4">
        <v>46267</v>
      </c>
      <c r="D286" t="s">
        <v>153</v>
      </c>
      <c r="E286">
        <v>1011</v>
      </c>
      <c r="F286" t="s">
        <v>40</v>
      </c>
      <c r="G286" t="s">
        <v>140</v>
      </c>
      <c r="H286" t="s">
        <v>66</v>
      </c>
      <c r="I286" t="s">
        <v>102</v>
      </c>
      <c r="K286" t="s">
        <v>138</v>
      </c>
    </row>
    <row r="287" spans="1:11">
      <c r="A287" t="s">
        <v>500</v>
      </c>
      <c r="B287" s="3">
        <v>46267.527094907404</v>
      </c>
      <c r="C287" s="4">
        <v>46267</v>
      </c>
      <c r="D287" t="s">
        <v>153</v>
      </c>
      <c r="E287">
        <v>1013</v>
      </c>
      <c r="F287" t="s">
        <v>45</v>
      </c>
      <c r="G287" t="s">
        <v>137</v>
      </c>
      <c r="H287" t="s">
        <v>66</v>
      </c>
      <c r="I287" t="s">
        <v>102</v>
      </c>
      <c r="K287" t="s">
        <v>138</v>
      </c>
    </row>
    <row r="288" spans="1:11">
      <c r="A288" t="s">
        <v>501</v>
      </c>
      <c r="B288" s="3">
        <v>46267.5312037037</v>
      </c>
      <c r="C288" s="4">
        <v>46267</v>
      </c>
      <c r="D288" t="s">
        <v>153</v>
      </c>
      <c r="E288">
        <v>1003</v>
      </c>
      <c r="F288" t="s">
        <v>27</v>
      </c>
      <c r="G288" t="s">
        <v>140</v>
      </c>
      <c r="H288" t="s">
        <v>66</v>
      </c>
      <c r="I288" t="s">
        <v>102</v>
      </c>
      <c r="J288" t="s">
        <v>502</v>
      </c>
      <c r="K288" t="s">
        <v>138</v>
      </c>
    </row>
    <row r="289" spans="1:11">
      <c r="A289" t="s">
        <v>503</v>
      </c>
      <c r="B289" s="3">
        <v>46267.542488425926</v>
      </c>
      <c r="C289" s="4">
        <v>46267</v>
      </c>
      <c r="D289" t="s">
        <v>153</v>
      </c>
      <c r="E289">
        <v>1006</v>
      </c>
      <c r="F289" t="s">
        <v>33</v>
      </c>
      <c r="G289" t="s">
        <v>137</v>
      </c>
      <c r="H289" t="s">
        <v>66</v>
      </c>
      <c r="I289" t="s">
        <v>96</v>
      </c>
      <c r="J289" t="s">
        <v>504</v>
      </c>
      <c r="K289" t="s">
        <v>138</v>
      </c>
    </row>
    <row r="290" spans="1:11">
      <c r="A290" t="s">
        <v>505</v>
      </c>
      <c r="B290" s="3">
        <v>46267.544131944444</v>
      </c>
      <c r="C290" s="4">
        <v>46267</v>
      </c>
      <c r="D290" t="s">
        <v>153</v>
      </c>
      <c r="E290">
        <v>1015</v>
      </c>
      <c r="F290" t="s">
        <v>47</v>
      </c>
      <c r="G290" t="s">
        <v>140</v>
      </c>
      <c r="H290" t="s">
        <v>81</v>
      </c>
      <c r="I290" t="s">
        <v>81</v>
      </c>
      <c r="K290" t="s">
        <v>138</v>
      </c>
    </row>
    <row r="291" spans="1:11">
      <c r="A291" t="s">
        <v>506</v>
      </c>
      <c r="B291" s="3">
        <v>46267.551481481481</v>
      </c>
      <c r="C291" s="4">
        <v>46267</v>
      </c>
      <c r="D291" t="s">
        <v>153</v>
      </c>
      <c r="E291">
        <v>1012</v>
      </c>
      <c r="F291" t="s">
        <v>42</v>
      </c>
      <c r="G291" t="s">
        <v>140</v>
      </c>
      <c r="H291" t="s">
        <v>66</v>
      </c>
      <c r="I291" t="s">
        <v>96</v>
      </c>
      <c r="K291" t="s">
        <v>138</v>
      </c>
    </row>
    <row r="292" spans="1:11">
      <c r="A292" t="s">
        <v>507</v>
      </c>
      <c r="B292" s="3">
        <v>46267.573206018518</v>
      </c>
      <c r="C292" s="4">
        <v>46267</v>
      </c>
      <c r="D292" t="s">
        <v>153</v>
      </c>
      <c r="E292">
        <v>1016</v>
      </c>
      <c r="F292" t="s">
        <v>49</v>
      </c>
      <c r="G292" t="s">
        <v>137</v>
      </c>
      <c r="H292" t="s">
        <v>60</v>
      </c>
      <c r="I292" t="s">
        <v>102</v>
      </c>
      <c r="J292" t="s">
        <v>508</v>
      </c>
      <c r="K292" t="s">
        <v>138</v>
      </c>
    </row>
    <row r="293" spans="1:11">
      <c r="A293" t="s">
        <v>509</v>
      </c>
      <c r="B293" s="3">
        <v>46267.575358796297</v>
      </c>
      <c r="C293" s="4">
        <v>46267</v>
      </c>
      <c r="D293" t="s">
        <v>153</v>
      </c>
      <c r="E293">
        <v>1001</v>
      </c>
      <c r="F293" t="s">
        <v>21</v>
      </c>
      <c r="G293" t="s">
        <v>137</v>
      </c>
      <c r="H293" t="s">
        <v>63</v>
      </c>
      <c r="I293" t="s">
        <v>93</v>
      </c>
      <c r="K293" t="s">
        <v>138</v>
      </c>
    </row>
    <row r="294" spans="1:11">
      <c r="A294" t="s">
        <v>510</v>
      </c>
      <c r="B294" s="3">
        <v>46267.57613425926</v>
      </c>
      <c r="C294" s="4">
        <v>46267</v>
      </c>
      <c r="D294" t="s">
        <v>153</v>
      </c>
      <c r="E294">
        <v>1003</v>
      </c>
      <c r="F294" t="s">
        <v>27</v>
      </c>
      <c r="G294" t="s">
        <v>137</v>
      </c>
      <c r="H294" t="s">
        <v>66</v>
      </c>
      <c r="I294" t="s">
        <v>102</v>
      </c>
      <c r="K294" t="s">
        <v>138</v>
      </c>
    </row>
    <row r="295" spans="1:11">
      <c r="A295" t="s">
        <v>511</v>
      </c>
      <c r="B295" s="3">
        <v>46267.583078703705</v>
      </c>
      <c r="C295" s="4">
        <v>46267</v>
      </c>
      <c r="D295" t="s">
        <v>153</v>
      </c>
      <c r="E295">
        <v>1015</v>
      </c>
      <c r="F295" t="s">
        <v>47</v>
      </c>
      <c r="G295" t="s">
        <v>137</v>
      </c>
      <c r="H295" t="s">
        <v>81</v>
      </c>
      <c r="I295" t="s">
        <v>81</v>
      </c>
      <c r="K295" t="s">
        <v>138</v>
      </c>
    </row>
    <row r="296" spans="1:11">
      <c r="A296" t="s">
        <v>512</v>
      </c>
      <c r="B296" s="3">
        <v>46267.624490740738</v>
      </c>
      <c r="C296" s="4">
        <v>46267</v>
      </c>
      <c r="D296" t="s">
        <v>153</v>
      </c>
      <c r="E296">
        <v>1004</v>
      </c>
      <c r="F296" t="s">
        <v>29</v>
      </c>
      <c r="G296" t="s">
        <v>140</v>
      </c>
      <c r="H296" t="s">
        <v>66</v>
      </c>
      <c r="I296" t="s">
        <v>99</v>
      </c>
      <c r="K296" t="s">
        <v>138</v>
      </c>
    </row>
    <row r="297" spans="1:11">
      <c r="A297" t="s">
        <v>513</v>
      </c>
      <c r="B297" s="3">
        <v>46267.712557870371</v>
      </c>
      <c r="C297" s="4">
        <v>46267</v>
      </c>
      <c r="D297" t="s">
        <v>153</v>
      </c>
      <c r="E297">
        <v>1006</v>
      </c>
      <c r="F297" t="s">
        <v>33</v>
      </c>
      <c r="G297" t="s">
        <v>140</v>
      </c>
      <c r="H297" t="s">
        <v>66</v>
      </c>
      <c r="I297" t="s">
        <v>96</v>
      </c>
      <c r="J297" t="s">
        <v>504</v>
      </c>
      <c r="K297" t="s">
        <v>138</v>
      </c>
    </row>
    <row r="298" spans="1:11">
      <c r="A298" t="s">
        <v>514</v>
      </c>
      <c r="B298" s="3">
        <v>46267.714259259257</v>
      </c>
      <c r="C298" s="4">
        <v>46267</v>
      </c>
      <c r="D298" t="s">
        <v>153</v>
      </c>
      <c r="E298">
        <v>1004</v>
      </c>
      <c r="F298" t="s">
        <v>29</v>
      </c>
      <c r="G298" t="s">
        <v>137</v>
      </c>
      <c r="H298" t="s">
        <v>66</v>
      </c>
      <c r="I298" t="s">
        <v>99</v>
      </c>
      <c r="K298" t="s">
        <v>138</v>
      </c>
    </row>
    <row r="299" spans="1:11">
      <c r="A299" t="s">
        <v>515</v>
      </c>
      <c r="B299" s="3">
        <v>46267.731863425928</v>
      </c>
      <c r="C299" s="4">
        <v>46267</v>
      </c>
      <c r="D299" t="s">
        <v>153</v>
      </c>
      <c r="E299">
        <v>1001</v>
      </c>
      <c r="F299" t="s">
        <v>21</v>
      </c>
      <c r="G299" t="s">
        <v>140</v>
      </c>
      <c r="H299" t="s">
        <v>63</v>
      </c>
      <c r="I299" t="s">
        <v>93</v>
      </c>
      <c r="K299" t="s">
        <v>138</v>
      </c>
    </row>
    <row r="300" spans="1:11">
      <c r="A300" t="s">
        <v>516</v>
      </c>
      <c r="B300" s="3">
        <v>46267.746689814812</v>
      </c>
      <c r="C300" s="4">
        <v>46267</v>
      </c>
      <c r="D300" t="s">
        <v>153</v>
      </c>
      <c r="E300">
        <v>1014</v>
      </c>
      <c r="F300" t="s">
        <v>46</v>
      </c>
      <c r="G300" t="s">
        <v>140</v>
      </c>
      <c r="H300" t="s">
        <v>63</v>
      </c>
      <c r="I300" t="s">
        <v>96</v>
      </c>
      <c r="K300" t="s">
        <v>138</v>
      </c>
    </row>
    <row r="301" spans="1:11">
      <c r="A301" t="s">
        <v>517</v>
      </c>
      <c r="B301" s="3">
        <v>46267.748726851853</v>
      </c>
      <c r="C301" s="4">
        <v>46267</v>
      </c>
      <c r="D301" t="s">
        <v>153</v>
      </c>
      <c r="E301">
        <v>1012</v>
      </c>
      <c r="F301" t="s">
        <v>42</v>
      </c>
      <c r="G301" t="s">
        <v>140</v>
      </c>
      <c r="H301" t="s">
        <v>66</v>
      </c>
      <c r="I301" t="s">
        <v>102</v>
      </c>
      <c r="J301" t="s">
        <v>445</v>
      </c>
      <c r="K301" t="s">
        <v>138</v>
      </c>
    </row>
    <row r="302" spans="1:11">
      <c r="A302" t="s">
        <v>518</v>
      </c>
      <c r="B302" s="3">
        <v>46267.748900462961</v>
      </c>
      <c r="C302" s="4">
        <v>46267</v>
      </c>
      <c r="D302" t="s">
        <v>153</v>
      </c>
      <c r="E302">
        <v>1003</v>
      </c>
      <c r="F302" t="s">
        <v>27</v>
      </c>
      <c r="G302" t="s">
        <v>140</v>
      </c>
      <c r="H302" t="s">
        <v>66</v>
      </c>
      <c r="I302" t="s">
        <v>102</v>
      </c>
      <c r="K302" t="s">
        <v>138</v>
      </c>
    </row>
    <row r="303" spans="1:11">
      <c r="A303" t="s">
        <v>519</v>
      </c>
      <c r="B303" s="3">
        <v>46267.750347222223</v>
      </c>
      <c r="C303" s="4">
        <v>46267</v>
      </c>
      <c r="D303" t="s">
        <v>153</v>
      </c>
      <c r="E303">
        <v>1013</v>
      </c>
      <c r="F303" t="s">
        <v>45</v>
      </c>
      <c r="G303" t="s">
        <v>140</v>
      </c>
      <c r="H303" t="s">
        <v>66</v>
      </c>
      <c r="I303" t="s">
        <v>102</v>
      </c>
      <c r="K303" t="s">
        <v>138</v>
      </c>
    </row>
    <row r="304" spans="1:11">
      <c r="A304" t="s">
        <v>520</v>
      </c>
      <c r="B304" s="3">
        <v>46267.751597222225</v>
      </c>
      <c r="C304" s="4">
        <v>46267</v>
      </c>
      <c r="D304" t="s">
        <v>153</v>
      </c>
      <c r="E304">
        <v>1016</v>
      </c>
      <c r="F304" t="s">
        <v>49</v>
      </c>
      <c r="G304" t="s">
        <v>140</v>
      </c>
      <c r="H304" t="s">
        <v>60</v>
      </c>
      <c r="I304" t="s">
        <v>102</v>
      </c>
      <c r="K304" t="s">
        <v>138</v>
      </c>
    </row>
    <row r="305" spans="1:11">
      <c r="A305" t="s">
        <v>521</v>
      </c>
      <c r="B305" s="3">
        <v>46267.75309027778</v>
      </c>
      <c r="C305" s="4">
        <v>46267</v>
      </c>
      <c r="D305" t="s">
        <v>153</v>
      </c>
      <c r="E305">
        <v>1015</v>
      </c>
      <c r="F305" t="s">
        <v>47</v>
      </c>
      <c r="G305" t="s">
        <v>140</v>
      </c>
      <c r="H305" t="s">
        <v>81</v>
      </c>
      <c r="I305" t="s">
        <v>81</v>
      </c>
      <c r="K305" t="s">
        <v>138</v>
      </c>
    </row>
    <row r="306" spans="1:11">
      <c r="A306" t="s">
        <v>522</v>
      </c>
      <c r="B306" s="3">
        <v>46267.753460648149</v>
      </c>
      <c r="C306" s="4">
        <v>46267</v>
      </c>
      <c r="D306" t="s">
        <v>153</v>
      </c>
      <c r="E306">
        <v>1011</v>
      </c>
      <c r="F306" t="s">
        <v>40</v>
      </c>
      <c r="G306" t="s">
        <v>140</v>
      </c>
      <c r="H306" t="s">
        <v>66</v>
      </c>
      <c r="I306" t="s">
        <v>102</v>
      </c>
      <c r="K306" t="s">
        <v>138</v>
      </c>
    </row>
    <row r="307" spans="1:11">
      <c r="A307" t="s">
        <v>523</v>
      </c>
      <c r="B307" s="3">
        <v>46267.755069444444</v>
      </c>
      <c r="C307" s="4">
        <v>46267</v>
      </c>
      <c r="D307" t="s">
        <v>153</v>
      </c>
      <c r="E307">
        <v>1002</v>
      </c>
      <c r="F307" t="s">
        <v>25</v>
      </c>
      <c r="G307" t="s">
        <v>140</v>
      </c>
      <c r="H307" t="s">
        <v>60</v>
      </c>
      <c r="I307" t="s">
        <v>102</v>
      </c>
      <c r="K307" t="s">
        <v>138</v>
      </c>
    </row>
    <row r="308" spans="1:11">
      <c r="A308" t="s">
        <v>524</v>
      </c>
      <c r="B308" s="3">
        <v>46267.837280092594</v>
      </c>
      <c r="C308" s="4">
        <v>46267</v>
      </c>
      <c r="D308" t="s">
        <v>153</v>
      </c>
      <c r="E308">
        <v>1004</v>
      </c>
      <c r="F308" t="s">
        <v>29</v>
      </c>
      <c r="G308" t="s">
        <v>140</v>
      </c>
      <c r="H308" t="s">
        <v>66</v>
      </c>
      <c r="I308" t="s">
        <v>99</v>
      </c>
      <c r="K308" t="s">
        <v>138</v>
      </c>
    </row>
    <row r="309" spans="1:11">
      <c r="A309" t="s">
        <v>525</v>
      </c>
      <c r="B309" s="3">
        <v>46268.319618055553</v>
      </c>
      <c r="C309" s="4">
        <v>46268</v>
      </c>
      <c r="D309" t="s">
        <v>214</v>
      </c>
      <c r="E309">
        <v>1002</v>
      </c>
      <c r="F309" t="s">
        <v>25</v>
      </c>
      <c r="G309" t="s">
        <v>137</v>
      </c>
      <c r="H309" t="s">
        <v>60</v>
      </c>
      <c r="I309" t="s">
        <v>102</v>
      </c>
      <c r="K309" t="s">
        <v>138</v>
      </c>
    </row>
    <row r="310" spans="1:11">
      <c r="A310" t="s">
        <v>526</v>
      </c>
      <c r="B310" s="3">
        <v>46268.332384259258</v>
      </c>
      <c r="C310" s="4">
        <v>46268</v>
      </c>
      <c r="D310" t="s">
        <v>214</v>
      </c>
      <c r="E310">
        <v>1011</v>
      </c>
      <c r="F310" t="s">
        <v>40</v>
      </c>
      <c r="G310" t="s">
        <v>137</v>
      </c>
      <c r="H310" t="s">
        <v>66</v>
      </c>
      <c r="I310" t="s">
        <v>102</v>
      </c>
      <c r="K310" t="s">
        <v>138</v>
      </c>
    </row>
    <row r="311" spans="1:11">
      <c r="A311" t="s">
        <v>527</v>
      </c>
      <c r="B311" s="3">
        <v>46268.333078703705</v>
      </c>
      <c r="C311" s="4">
        <v>46268</v>
      </c>
      <c r="D311" t="s">
        <v>214</v>
      </c>
      <c r="E311">
        <v>1003</v>
      </c>
      <c r="F311" t="s">
        <v>27</v>
      </c>
      <c r="G311" t="s">
        <v>137</v>
      </c>
      <c r="H311" t="s">
        <v>66</v>
      </c>
      <c r="I311" t="s">
        <v>102</v>
      </c>
      <c r="J311" t="s">
        <v>472</v>
      </c>
      <c r="K311" t="s">
        <v>138</v>
      </c>
    </row>
    <row r="312" spans="1:11">
      <c r="A312" t="s">
        <v>528</v>
      </c>
      <c r="B312" s="3">
        <v>46268.362951388888</v>
      </c>
      <c r="C312" s="4">
        <v>46268</v>
      </c>
      <c r="D312" t="s">
        <v>214</v>
      </c>
      <c r="E312">
        <v>1013</v>
      </c>
      <c r="F312" t="s">
        <v>45</v>
      </c>
      <c r="G312" t="s">
        <v>137</v>
      </c>
      <c r="H312" t="s">
        <v>66</v>
      </c>
      <c r="I312" t="s">
        <v>102</v>
      </c>
      <c r="K312" t="s">
        <v>138</v>
      </c>
    </row>
    <row r="313" spans="1:11">
      <c r="A313" t="s">
        <v>529</v>
      </c>
      <c r="B313" s="3">
        <v>46268.366203703707</v>
      </c>
      <c r="C313" s="4">
        <v>46268</v>
      </c>
      <c r="D313" t="s">
        <v>214</v>
      </c>
      <c r="E313">
        <v>1015</v>
      </c>
      <c r="F313" t="s">
        <v>47</v>
      </c>
      <c r="G313" t="s">
        <v>137</v>
      </c>
      <c r="H313" t="s">
        <v>81</v>
      </c>
      <c r="I313" t="s">
        <v>81</v>
      </c>
      <c r="K313" t="s">
        <v>138</v>
      </c>
    </row>
    <row r="314" spans="1:11">
      <c r="A314" t="s">
        <v>530</v>
      </c>
      <c r="B314" s="3">
        <v>46268.373449074075</v>
      </c>
      <c r="C314" s="4">
        <v>46268</v>
      </c>
      <c r="D314" t="s">
        <v>214</v>
      </c>
      <c r="E314">
        <v>1012</v>
      </c>
      <c r="F314" t="s">
        <v>42</v>
      </c>
      <c r="G314" t="s">
        <v>137</v>
      </c>
      <c r="H314" t="s">
        <v>66</v>
      </c>
      <c r="I314" t="s">
        <v>93</v>
      </c>
      <c r="K314" t="s">
        <v>138</v>
      </c>
    </row>
    <row r="315" spans="1:11">
      <c r="A315" t="s">
        <v>531</v>
      </c>
      <c r="B315" s="3">
        <v>46268.375625000001</v>
      </c>
      <c r="C315" s="4">
        <v>46268</v>
      </c>
      <c r="D315" t="s">
        <v>214</v>
      </c>
      <c r="E315">
        <v>1004</v>
      </c>
      <c r="F315" t="s">
        <v>29</v>
      </c>
      <c r="G315" t="s">
        <v>137</v>
      </c>
      <c r="H315" t="s">
        <v>66</v>
      </c>
      <c r="I315" t="s">
        <v>99</v>
      </c>
      <c r="K315" t="s">
        <v>138</v>
      </c>
    </row>
    <row r="316" spans="1:11">
      <c r="A316" t="s">
        <v>532</v>
      </c>
      <c r="B316" s="3">
        <v>46268.390960648147</v>
      </c>
      <c r="C316" s="4">
        <v>46268</v>
      </c>
      <c r="D316" t="s">
        <v>214</v>
      </c>
      <c r="E316">
        <v>1016</v>
      </c>
      <c r="F316" t="s">
        <v>49</v>
      </c>
      <c r="G316" t="s">
        <v>137</v>
      </c>
      <c r="H316" t="s">
        <v>60</v>
      </c>
      <c r="I316" t="s">
        <v>102</v>
      </c>
      <c r="K316" t="s">
        <v>138</v>
      </c>
    </row>
    <row r="317" spans="1:11">
      <c r="A317" t="s">
        <v>533</v>
      </c>
      <c r="B317" s="3">
        <v>46268.411006944443</v>
      </c>
      <c r="C317" s="4">
        <v>46268</v>
      </c>
      <c r="D317" t="s">
        <v>214</v>
      </c>
      <c r="E317">
        <v>1014</v>
      </c>
      <c r="F317" t="s">
        <v>46</v>
      </c>
      <c r="G317" t="s">
        <v>137</v>
      </c>
      <c r="H317" t="s">
        <v>63</v>
      </c>
      <c r="I317" t="s">
        <v>96</v>
      </c>
      <c r="K317" t="s">
        <v>138</v>
      </c>
    </row>
    <row r="318" spans="1:11">
      <c r="A318" t="s">
        <v>534</v>
      </c>
      <c r="B318" s="3">
        <v>46268.444027777776</v>
      </c>
      <c r="C318" s="4">
        <v>46268</v>
      </c>
      <c r="D318" t="s">
        <v>214</v>
      </c>
      <c r="E318">
        <v>1001</v>
      </c>
      <c r="F318" t="s">
        <v>21</v>
      </c>
      <c r="G318" t="s">
        <v>137</v>
      </c>
      <c r="H318" t="s">
        <v>63</v>
      </c>
      <c r="I318" t="s">
        <v>93</v>
      </c>
      <c r="J318" t="s">
        <v>535</v>
      </c>
      <c r="K318" t="s">
        <v>138</v>
      </c>
    </row>
    <row r="319" spans="1:11">
      <c r="A319" t="s">
        <v>536</v>
      </c>
      <c r="B319" s="3">
        <v>46268.499131944445</v>
      </c>
      <c r="C319" s="4">
        <v>46268</v>
      </c>
      <c r="D319" t="s">
        <v>214</v>
      </c>
      <c r="E319">
        <v>1013</v>
      </c>
      <c r="F319" t="s">
        <v>45</v>
      </c>
      <c r="G319" t="s">
        <v>140</v>
      </c>
      <c r="H319" t="s">
        <v>66</v>
      </c>
      <c r="I319" t="s">
        <v>102</v>
      </c>
      <c r="K319" t="s">
        <v>138</v>
      </c>
    </row>
    <row r="320" spans="1:11">
      <c r="A320" t="s">
        <v>537</v>
      </c>
      <c r="B320" s="3">
        <v>46268.517210648148</v>
      </c>
      <c r="C320" s="4">
        <v>46268</v>
      </c>
      <c r="D320" t="s">
        <v>214</v>
      </c>
      <c r="E320">
        <v>1015</v>
      </c>
      <c r="F320" t="s">
        <v>47</v>
      </c>
      <c r="G320" t="s">
        <v>140</v>
      </c>
      <c r="H320" t="s">
        <v>81</v>
      </c>
      <c r="I320" t="s">
        <v>81</v>
      </c>
      <c r="K320" t="s">
        <v>138</v>
      </c>
    </row>
    <row r="321" spans="1:11">
      <c r="A321" t="s">
        <v>538</v>
      </c>
      <c r="B321" s="3">
        <v>46268.523761574077</v>
      </c>
      <c r="C321" s="4">
        <v>46268</v>
      </c>
      <c r="D321" t="s">
        <v>214</v>
      </c>
      <c r="E321">
        <v>1016</v>
      </c>
      <c r="F321" t="s">
        <v>49</v>
      </c>
      <c r="G321" t="s">
        <v>140</v>
      </c>
      <c r="H321" t="s">
        <v>60</v>
      </c>
      <c r="I321" t="s">
        <v>102</v>
      </c>
      <c r="K321" t="s">
        <v>138</v>
      </c>
    </row>
    <row r="322" spans="1:11">
      <c r="A322" t="s">
        <v>539</v>
      </c>
      <c r="B322" s="3">
        <v>46268.528078703705</v>
      </c>
      <c r="C322" s="4">
        <v>46268</v>
      </c>
      <c r="D322" t="s">
        <v>214</v>
      </c>
      <c r="E322">
        <v>1004</v>
      </c>
      <c r="F322" t="s">
        <v>29</v>
      </c>
      <c r="G322" t="s">
        <v>140</v>
      </c>
      <c r="H322" t="s">
        <v>66</v>
      </c>
      <c r="I322" t="s">
        <v>99</v>
      </c>
      <c r="K322" t="s">
        <v>138</v>
      </c>
    </row>
    <row r="323" spans="1:11">
      <c r="A323" t="s">
        <v>540</v>
      </c>
      <c r="B323" s="3">
        <v>46268.532002314816</v>
      </c>
      <c r="C323" s="4">
        <v>46268</v>
      </c>
      <c r="D323" t="s">
        <v>214</v>
      </c>
      <c r="E323">
        <v>1003</v>
      </c>
      <c r="F323" t="s">
        <v>27</v>
      </c>
      <c r="G323" t="s">
        <v>140</v>
      </c>
      <c r="H323" t="s">
        <v>66</v>
      </c>
      <c r="I323" t="s">
        <v>102</v>
      </c>
      <c r="J323" t="s">
        <v>541</v>
      </c>
      <c r="K323" t="s">
        <v>138</v>
      </c>
    </row>
    <row r="324" spans="1:11">
      <c r="A324" t="s">
        <v>542</v>
      </c>
      <c r="B324" s="3">
        <v>46268.533877314818</v>
      </c>
      <c r="C324" s="4">
        <v>46268</v>
      </c>
      <c r="D324" t="s">
        <v>214</v>
      </c>
      <c r="E324">
        <v>1014</v>
      </c>
      <c r="F324" t="s">
        <v>46</v>
      </c>
      <c r="G324" t="s">
        <v>140</v>
      </c>
      <c r="H324" t="s">
        <v>63</v>
      </c>
      <c r="I324" t="s">
        <v>96</v>
      </c>
      <c r="K324" t="s">
        <v>138</v>
      </c>
    </row>
    <row r="325" spans="1:11">
      <c r="A325" t="s">
        <v>543</v>
      </c>
      <c r="B325" s="3">
        <v>46268.543553240743</v>
      </c>
      <c r="C325" s="4">
        <v>46268</v>
      </c>
      <c r="D325" t="s">
        <v>214</v>
      </c>
      <c r="E325">
        <v>1013</v>
      </c>
      <c r="F325" t="s">
        <v>45</v>
      </c>
      <c r="G325" t="s">
        <v>137</v>
      </c>
      <c r="H325" t="s">
        <v>66</v>
      </c>
      <c r="I325" t="s">
        <v>102</v>
      </c>
      <c r="K325" t="s">
        <v>138</v>
      </c>
    </row>
    <row r="326" spans="1:11">
      <c r="A326" t="s">
        <v>544</v>
      </c>
      <c r="B326" s="3">
        <v>46268.556238425925</v>
      </c>
      <c r="C326" s="4">
        <v>46268</v>
      </c>
      <c r="D326" t="s">
        <v>214</v>
      </c>
      <c r="E326">
        <v>1016</v>
      </c>
      <c r="F326" t="s">
        <v>49</v>
      </c>
      <c r="G326" t="s">
        <v>137</v>
      </c>
      <c r="H326" t="s">
        <v>60</v>
      </c>
      <c r="I326" t="s">
        <v>102</v>
      </c>
      <c r="K326" t="s">
        <v>138</v>
      </c>
    </row>
    <row r="327" spans="1:11">
      <c r="A327" t="s">
        <v>545</v>
      </c>
      <c r="B327" s="3">
        <v>46268.557962962965</v>
      </c>
      <c r="C327" s="4">
        <v>46268</v>
      </c>
      <c r="D327" t="s">
        <v>214</v>
      </c>
      <c r="E327">
        <v>1015</v>
      </c>
      <c r="F327" t="s">
        <v>47</v>
      </c>
      <c r="G327" t="s">
        <v>137</v>
      </c>
      <c r="H327" t="s">
        <v>81</v>
      </c>
      <c r="I327" t="s">
        <v>81</v>
      </c>
      <c r="K327" t="s">
        <v>138</v>
      </c>
    </row>
    <row r="328" spans="1:11">
      <c r="A328" t="s">
        <v>546</v>
      </c>
      <c r="B328" s="3">
        <v>46268.566041666665</v>
      </c>
      <c r="C328" s="4">
        <v>46268</v>
      </c>
      <c r="D328" t="s">
        <v>214</v>
      </c>
      <c r="E328">
        <v>1003</v>
      </c>
      <c r="F328" t="s">
        <v>27</v>
      </c>
      <c r="G328" t="s">
        <v>137</v>
      </c>
      <c r="H328" t="s">
        <v>63</v>
      </c>
      <c r="I328" t="s">
        <v>102</v>
      </c>
      <c r="J328" t="s">
        <v>547</v>
      </c>
      <c r="K328" t="s">
        <v>138</v>
      </c>
    </row>
    <row r="329" spans="1:11">
      <c r="A329" t="s">
        <v>548</v>
      </c>
      <c r="B329" s="3">
        <v>46268.578263888892</v>
      </c>
      <c r="C329" s="4">
        <v>46268</v>
      </c>
      <c r="D329" t="s">
        <v>214</v>
      </c>
      <c r="E329">
        <v>1012</v>
      </c>
      <c r="F329" t="s">
        <v>42</v>
      </c>
      <c r="G329" t="s">
        <v>137</v>
      </c>
      <c r="H329" t="s">
        <v>66</v>
      </c>
      <c r="I329" t="s">
        <v>93</v>
      </c>
      <c r="K329" t="s">
        <v>138</v>
      </c>
    </row>
    <row r="330" spans="1:11">
      <c r="A330" t="s">
        <v>549</v>
      </c>
      <c r="B330" s="3">
        <v>46268.579571759263</v>
      </c>
      <c r="C330" s="4">
        <v>46268</v>
      </c>
      <c r="D330" t="s">
        <v>214</v>
      </c>
      <c r="E330">
        <v>1001</v>
      </c>
      <c r="F330" t="s">
        <v>21</v>
      </c>
      <c r="G330" t="s">
        <v>140</v>
      </c>
      <c r="H330" t="s">
        <v>63</v>
      </c>
      <c r="I330" t="s">
        <v>93</v>
      </c>
      <c r="J330" t="s">
        <v>550</v>
      </c>
      <c r="K330" t="s">
        <v>138</v>
      </c>
    </row>
    <row r="331" spans="1:11">
      <c r="A331" t="s">
        <v>551</v>
      </c>
      <c r="B331" s="3">
        <v>46268.586851851855</v>
      </c>
      <c r="C331" s="4">
        <v>46268</v>
      </c>
      <c r="D331" t="s">
        <v>214</v>
      </c>
      <c r="E331">
        <v>1011</v>
      </c>
      <c r="F331" t="s">
        <v>40</v>
      </c>
      <c r="G331" t="s">
        <v>140</v>
      </c>
      <c r="H331" t="s">
        <v>66</v>
      </c>
      <c r="I331" t="s">
        <v>102</v>
      </c>
      <c r="K331" t="s">
        <v>138</v>
      </c>
    </row>
    <row r="332" spans="1:11">
      <c r="A332" t="s">
        <v>552</v>
      </c>
      <c r="B332" s="3">
        <v>46268.587175925924</v>
      </c>
      <c r="C332" s="4">
        <v>46268</v>
      </c>
      <c r="D332" t="s">
        <v>214</v>
      </c>
      <c r="E332">
        <v>1004</v>
      </c>
      <c r="F332" t="s">
        <v>29</v>
      </c>
      <c r="G332" t="s">
        <v>140</v>
      </c>
      <c r="H332" t="s">
        <v>66</v>
      </c>
      <c r="I332" t="s">
        <v>99</v>
      </c>
      <c r="K332" t="s">
        <v>138</v>
      </c>
    </row>
    <row r="333" spans="1:11">
      <c r="A333" t="s">
        <v>553</v>
      </c>
      <c r="B333" s="3">
        <v>46268.598587962966</v>
      </c>
      <c r="C333" s="4">
        <v>46268</v>
      </c>
      <c r="D333" t="s">
        <v>214</v>
      </c>
      <c r="E333">
        <v>1014</v>
      </c>
      <c r="F333" t="s">
        <v>46</v>
      </c>
      <c r="G333" t="s">
        <v>137</v>
      </c>
      <c r="H333" t="s">
        <v>63</v>
      </c>
      <c r="I333" t="s">
        <v>96</v>
      </c>
      <c r="K333" t="s">
        <v>138</v>
      </c>
    </row>
    <row r="334" spans="1:11">
      <c r="A334" t="s">
        <v>554</v>
      </c>
      <c r="B334" s="3">
        <v>46268.644421296296</v>
      </c>
      <c r="C334" s="4">
        <v>46268</v>
      </c>
      <c r="D334" t="s">
        <v>214</v>
      </c>
      <c r="E334">
        <v>1011</v>
      </c>
      <c r="F334" t="s">
        <v>40</v>
      </c>
      <c r="G334" t="s">
        <v>137</v>
      </c>
      <c r="H334" t="s">
        <v>66</v>
      </c>
      <c r="I334" t="s">
        <v>102</v>
      </c>
      <c r="K334" t="s">
        <v>138</v>
      </c>
    </row>
    <row r="335" spans="1:11">
      <c r="A335" t="s">
        <v>555</v>
      </c>
      <c r="B335" s="3">
        <v>46268.680902777778</v>
      </c>
      <c r="C335" s="4">
        <v>46268</v>
      </c>
      <c r="D335" t="s">
        <v>214</v>
      </c>
      <c r="E335">
        <v>1014</v>
      </c>
      <c r="F335" t="s">
        <v>46</v>
      </c>
      <c r="G335" t="s">
        <v>137</v>
      </c>
      <c r="H335" t="s">
        <v>63</v>
      </c>
      <c r="I335" t="s">
        <v>96</v>
      </c>
      <c r="K335" t="s">
        <v>138</v>
      </c>
    </row>
    <row r="336" spans="1:11">
      <c r="A336" t="s">
        <v>556</v>
      </c>
      <c r="B336" s="3">
        <v>46268.740833333337</v>
      </c>
      <c r="C336" s="4">
        <v>46268</v>
      </c>
      <c r="D336" t="s">
        <v>214</v>
      </c>
      <c r="E336">
        <v>1001</v>
      </c>
      <c r="F336" t="s">
        <v>21</v>
      </c>
      <c r="G336" t="s">
        <v>140</v>
      </c>
      <c r="H336" t="s">
        <v>63</v>
      </c>
      <c r="I336" t="s">
        <v>93</v>
      </c>
      <c r="J336" t="s">
        <v>557</v>
      </c>
      <c r="K336" t="s">
        <v>138</v>
      </c>
    </row>
    <row r="337" spans="1:11">
      <c r="A337" t="s">
        <v>558</v>
      </c>
      <c r="B337" s="3">
        <v>46268.74114583333</v>
      </c>
      <c r="C337" s="4">
        <v>46268</v>
      </c>
      <c r="D337" t="s">
        <v>214</v>
      </c>
      <c r="E337">
        <v>1001</v>
      </c>
      <c r="F337" t="s">
        <v>21</v>
      </c>
      <c r="G337" t="s">
        <v>140</v>
      </c>
      <c r="H337" t="s">
        <v>63</v>
      </c>
      <c r="I337" t="s">
        <v>93</v>
      </c>
      <c r="J337" t="s">
        <v>557</v>
      </c>
      <c r="K337" t="s">
        <v>138</v>
      </c>
    </row>
    <row r="338" spans="1:11">
      <c r="A338" t="s">
        <v>559</v>
      </c>
      <c r="B338" s="3">
        <v>46268.74359953704</v>
      </c>
      <c r="C338" s="4">
        <v>46268</v>
      </c>
      <c r="D338" t="s">
        <v>214</v>
      </c>
      <c r="E338">
        <v>1015</v>
      </c>
      <c r="F338" t="s">
        <v>47</v>
      </c>
      <c r="G338" t="s">
        <v>140</v>
      </c>
      <c r="H338" t="s">
        <v>81</v>
      </c>
      <c r="I338" t="s">
        <v>81</v>
      </c>
      <c r="K338" t="s">
        <v>138</v>
      </c>
    </row>
    <row r="339" spans="1:11">
      <c r="A339" t="s">
        <v>560</v>
      </c>
      <c r="B339" s="3">
        <v>46268.749756944446</v>
      </c>
      <c r="C339" s="4">
        <v>46268</v>
      </c>
      <c r="D339" t="s">
        <v>214</v>
      </c>
      <c r="E339">
        <v>1016</v>
      </c>
      <c r="F339" t="s">
        <v>49</v>
      </c>
      <c r="G339" t="s">
        <v>140</v>
      </c>
      <c r="H339" t="s">
        <v>60</v>
      </c>
      <c r="I339" t="s">
        <v>93</v>
      </c>
      <c r="K339" t="s">
        <v>138</v>
      </c>
    </row>
    <row r="340" spans="1:11">
      <c r="A340" t="s">
        <v>561</v>
      </c>
      <c r="B340" s="3">
        <v>46268.750879629632</v>
      </c>
      <c r="C340" s="4">
        <v>46268</v>
      </c>
      <c r="D340" t="s">
        <v>214</v>
      </c>
      <c r="E340">
        <v>1013</v>
      </c>
      <c r="F340" t="s">
        <v>45</v>
      </c>
      <c r="G340" t="s">
        <v>140</v>
      </c>
      <c r="H340" t="s">
        <v>66</v>
      </c>
      <c r="I340" t="s">
        <v>102</v>
      </c>
      <c r="K340" t="s">
        <v>138</v>
      </c>
    </row>
    <row r="341" spans="1:11">
      <c r="A341" t="s">
        <v>562</v>
      </c>
      <c r="B341" s="3">
        <v>46268.751168981478</v>
      </c>
      <c r="C341" s="4">
        <v>46268</v>
      </c>
      <c r="D341" t="s">
        <v>214</v>
      </c>
      <c r="E341">
        <v>1003</v>
      </c>
      <c r="F341" t="s">
        <v>27</v>
      </c>
      <c r="G341" t="s">
        <v>140</v>
      </c>
      <c r="H341" t="s">
        <v>66</v>
      </c>
      <c r="I341" t="s">
        <v>102</v>
      </c>
      <c r="K341" t="s">
        <v>138</v>
      </c>
    </row>
    <row r="342" spans="1:11">
      <c r="A342" t="s">
        <v>563</v>
      </c>
      <c r="B342" s="3">
        <v>46268.754363425927</v>
      </c>
      <c r="C342" s="4">
        <v>46268</v>
      </c>
      <c r="D342" t="s">
        <v>214</v>
      </c>
      <c r="E342">
        <v>1011</v>
      </c>
      <c r="F342" t="s">
        <v>40</v>
      </c>
      <c r="G342" t="s">
        <v>140</v>
      </c>
      <c r="H342" t="s">
        <v>69</v>
      </c>
      <c r="I342" t="s">
        <v>102</v>
      </c>
      <c r="K342" t="s">
        <v>138</v>
      </c>
    </row>
    <row r="343" spans="1:11">
      <c r="A343" t="s">
        <v>564</v>
      </c>
      <c r="B343" s="3">
        <v>46268.754583333335</v>
      </c>
      <c r="C343" s="4">
        <v>46268</v>
      </c>
      <c r="D343" t="s">
        <v>214</v>
      </c>
      <c r="E343">
        <v>1011</v>
      </c>
      <c r="F343" t="s">
        <v>40</v>
      </c>
      <c r="G343" t="s">
        <v>140</v>
      </c>
      <c r="H343" t="s">
        <v>69</v>
      </c>
      <c r="I343" t="s">
        <v>102</v>
      </c>
      <c r="K343" t="s">
        <v>138</v>
      </c>
    </row>
    <row r="344" spans="1:11">
      <c r="A344" t="s">
        <v>565</v>
      </c>
      <c r="B344" s="3">
        <v>46268.755682870367</v>
      </c>
      <c r="C344" s="4">
        <v>46268</v>
      </c>
      <c r="D344" t="s">
        <v>214</v>
      </c>
      <c r="E344">
        <v>1002</v>
      </c>
      <c r="F344" t="s">
        <v>25</v>
      </c>
      <c r="G344" t="s">
        <v>140</v>
      </c>
      <c r="H344" t="s">
        <v>60</v>
      </c>
      <c r="I344" t="s">
        <v>102</v>
      </c>
      <c r="K344" t="s">
        <v>138</v>
      </c>
    </row>
    <row r="345" spans="1:11">
      <c r="A345" t="s">
        <v>566</v>
      </c>
      <c r="B345" s="3">
        <v>46268.882789351854</v>
      </c>
      <c r="C345" s="4">
        <v>46268</v>
      </c>
      <c r="D345" t="s">
        <v>214</v>
      </c>
      <c r="E345">
        <v>1004</v>
      </c>
      <c r="F345" t="s">
        <v>29</v>
      </c>
      <c r="G345" t="s">
        <v>140</v>
      </c>
      <c r="H345" t="s">
        <v>66</v>
      </c>
      <c r="I345" t="s">
        <v>99</v>
      </c>
      <c r="K345" t="s">
        <v>138</v>
      </c>
    </row>
    <row r="346" spans="1:11">
      <c r="A346" t="s">
        <v>567</v>
      </c>
      <c r="B346" s="3">
        <v>46268.882881944446</v>
      </c>
      <c r="C346" s="4">
        <v>46268</v>
      </c>
      <c r="D346" t="s">
        <v>214</v>
      </c>
      <c r="E346">
        <v>1004</v>
      </c>
      <c r="F346" t="s">
        <v>29</v>
      </c>
      <c r="G346" t="s">
        <v>140</v>
      </c>
      <c r="H346" t="s">
        <v>66</v>
      </c>
      <c r="I346" t="s">
        <v>99</v>
      </c>
      <c r="K346" t="s">
        <v>138</v>
      </c>
    </row>
    <row r="347" spans="1:11">
      <c r="A347" t="s">
        <v>568</v>
      </c>
      <c r="B347" s="3">
        <v>46269.337581018517</v>
      </c>
      <c r="C347" s="4">
        <v>46269</v>
      </c>
      <c r="D347" t="s">
        <v>287</v>
      </c>
      <c r="E347">
        <v>1003</v>
      </c>
      <c r="F347" t="s">
        <v>27</v>
      </c>
      <c r="G347" t="s">
        <v>137</v>
      </c>
      <c r="H347" t="s">
        <v>66</v>
      </c>
      <c r="I347" t="s">
        <v>102</v>
      </c>
      <c r="K347" t="s">
        <v>138</v>
      </c>
    </row>
    <row r="348" spans="1:11">
      <c r="A348" t="s">
        <v>569</v>
      </c>
      <c r="B348" s="3">
        <v>46269.349687499998</v>
      </c>
      <c r="C348" s="4">
        <v>46269</v>
      </c>
      <c r="D348" t="s">
        <v>287</v>
      </c>
      <c r="E348">
        <v>1013</v>
      </c>
      <c r="F348" t="s">
        <v>45</v>
      </c>
      <c r="G348" t="s">
        <v>137</v>
      </c>
      <c r="H348" t="s">
        <v>66</v>
      </c>
      <c r="I348" t="s">
        <v>102</v>
      </c>
      <c r="K348" t="s">
        <v>138</v>
      </c>
    </row>
    <row r="349" spans="1:11">
      <c r="A349" t="s">
        <v>570</v>
      </c>
      <c r="B349" s="3">
        <v>46269.370034722226</v>
      </c>
      <c r="C349" s="4">
        <v>46269</v>
      </c>
      <c r="D349" t="s">
        <v>287</v>
      </c>
      <c r="E349">
        <v>1002</v>
      </c>
      <c r="F349" t="s">
        <v>25</v>
      </c>
      <c r="G349" t="s">
        <v>137</v>
      </c>
      <c r="H349" t="s">
        <v>60</v>
      </c>
      <c r="I349" t="s">
        <v>102</v>
      </c>
      <c r="K349" t="s">
        <v>138</v>
      </c>
    </row>
    <row r="350" spans="1:11">
      <c r="A350" t="s">
        <v>571</v>
      </c>
      <c r="B350" s="3">
        <v>46269.37222222222</v>
      </c>
      <c r="C350" s="4">
        <v>46269</v>
      </c>
      <c r="D350" t="s">
        <v>287</v>
      </c>
      <c r="E350">
        <v>1015</v>
      </c>
      <c r="F350" t="s">
        <v>47</v>
      </c>
      <c r="G350" t="s">
        <v>137</v>
      </c>
      <c r="H350" t="s">
        <v>81</v>
      </c>
      <c r="I350" t="s">
        <v>81</v>
      </c>
      <c r="K350" t="s">
        <v>138</v>
      </c>
    </row>
    <row r="351" spans="1:11">
      <c r="A351" t="s">
        <v>572</v>
      </c>
      <c r="B351" s="3">
        <v>46269.374189814815</v>
      </c>
      <c r="C351" s="4">
        <v>46269</v>
      </c>
      <c r="D351" t="s">
        <v>287</v>
      </c>
      <c r="E351">
        <v>1004</v>
      </c>
      <c r="F351" t="s">
        <v>29</v>
      </c>
      <c r="G351" t="s">
        <v>137</v>
      </c>
      <c r="H351" t="s">
        <v>66</v>
      </c>
      <c r="I351" t="s">
        <v>99</v>
      </c>
      <c r="K351" t="s">
        <v>138</v>
      </c>
    </row>
    <row r="352" spans="1:11">
      <c r="A352" t="s">
        <v>573</v>
      </c>
      <c r="B352" s="3">
        <v>46269.379131944443</v>
      </c>
      <c r="C352" s="4">
        <v>46269</v>
      </c>
      <c r="D352" t="s">
        <v>287</v>
      </c>
      <c r="E352">
        <v>1001</v>
      </c>
      <c r="F352" t="s">
        <v>21</v>
      </c>
      <c r="G352" t="s">
        <v>137</v>
      </c>
      <c r="H352" t="s">
        <v>63</v>
      </c>
      <c r="I352" t="s">
        <v>93</v>
      </c>
      <c r="J352" t="s">
        <v>574</v>
      </c>
      <c r="K352" t="s">
        <v>138</v>
      </c>
    </row>
    <row r="353" spans="1:11">
      <c r="A353" t="s">
        <v>575</v>
      </c>
      <c r="B353" s="3">
        <v>46269.384444444448</v>
      </c>
      <c r="C353" s="4">
        <v>46269</v>
      </c>
      <c r="D353" t="s">
        <v>287</v>
      </c>
      <c r="E353">
        <v>1012</v>
      </c>
      <c r="F353" t="s">
        <v>42</v>
      </c>
      <c r="G353" t="s">
        <v>137</v>
      </c>
      <c r="H353" t="s">
        <v>66</v>
      </c>
      <c r="I353" t="s">
        <v>93</v>
      </c>
      <c r="J353" t="s">
        <v>576</v>
      </c>
      <c r="K353" t="s">
        <v>138</v>
      </c>
    </row>
    <row r="354" spans="1:11">
      <c r="A354" t="s">
        <v>577</v>
      </c>
      <c r="B354" s="3">
        <v>46269.384745370371</v>
      </c>
      <c r="C354" s="4">
        <v>46269</v>
      </c>
      <c r="D354" t="s">
        <v>287</v>
      </c>
      <c r="E354">
        <v>1012</v>
      </c>
      <c r="F354" t="s">
        <v>42</v>
      </c>
      <c r="G354" t="s">
        <v>137</v>
      </c>
      <c r="H354" t="s">
        <v>66</v>
      </c>
      <c r="I354" t="s">
        <v>93</v>
      </c>
      <c r="J354" t="s">
        <v>576</v>
      </c>
      <c r="K354" t="s">
        <v>138</v>
      </c>
    </row>
    <row r="355" spans="1:11">
      <c r="A355" t="s">
        <v>578</v>
      </c>
      <c r="B355" s="3">
        <v>46269.410960648151</v>
      </c>
      <c r="C355" s="4">
        <v>46269</v>
      </c>
      <c r="D355" t="s">
        <v>287</v>
      </c>
      <c r="E355">
        <v>1014</v>
      </c>
      <c r="F355" t="s">
        <v>46</v>
      </c>
      <c r="G355" t="s">
        <v>137</v>
      </c>
      <c r="H355" t="s">
        <v>63</v>
      </c>
      <c r="I355" t="s">
        <v>96</v>
      </c>
      <c r="K355" t="s">
        <v>138</v>
      </c>
    </row>
    <row r="356" spans="1:11">
      <c r="A356" t="s">
        <v>579</v>
      </c>
      <c r="B356" s="3">
        <v>46269.512106481481</v>
      </c>
      <c r="C356" s="4">
        <v>46269</v>
      </c>
      <c r="D356" t="s">
        <v>287</v>
      </c>
      <c r="E356">
        <v>1014</v>
      </c>
      <c r="F356" t="s">
        <v>46</v>
      </c>
      <c r="G356" t="s">
        <v>140</v>
      </c>
      <c r="H356" t="s">
        <v>63</v>
      </c>
      <c r="I356" t="s">
        <v>96</v>
      </c>
      <c r="K356" t="s">
        <v>138</v>
      </c>
    </row>
    <row r="357" spans="1:11">
      <c r="A357" t="s">
        <v>580</v>
      </c>
      <c r="B357" s="3">
        <v>46269.512465277781</v>
      </c>
      <c r="C357" s="4">
        <v>46269</v>
      </c>
      <c r="D357" t="s">
        <v>287</v>
      </c>
      <c r="E357">
        <v>1016</v>
      </c>
      <c r="F357" t="s">
        <v>49</v>
      </c>
      <c r="G357" t="s">
        <v>140</v>
      </c>
      <c r="H357" t="s">
        <v>60</v>
      </c>
      <c r="I357" t="s">
        <v>102</v>
      </c>
      <c r="K357" t="s">
        <v>138</v>
      </c>
    </row>
    <row r="358" spans="1:11">
      <c r="A358" t="s">
        <v>581</v>
      </c>
      <c r="B358" s="3">
        <v>46269.514745370368</v>
      </c>
      <c r="C358" s="4">
        <v>46269</v>
      </c>
      <c r="D358" t="s">
        <v>287</v>
      </c>
      <c r="E358">
        <v>1013</v>
      </c>
      <c r="F358" t="s">
        <v>45</v>
      </c>
      <c r="G358" t="s">
        <v>140</v>
      </c>
      <c r="H358" t="s">
        <v>60</v>
      </c>
      <c r="I358" t="s">
        <v>102</v>
      </c>
      <c r="K358" t="s">
        <v>138</v>
      </c>
    </row>
    <row r="359" spans="1:11">
      <c r="A359" t="s">
        <v>582</v>
      </c>
      <c r="B359" s="3">
        <v>46269.514930555553</v>
      </c>
      <c r="C359" s="4">
        <v>46269</v>
      </c>
      <c r="D359" t="s">
        <v>287</v>
      </c>
      <c r="E359">
        <v>1013</v>
      </c>
      <c r="F359" t="s">
        <v>45</v>
      </c>
      <c r="G359" t="s">
        <v>140</v>
      </c>
      <c r="H359" t="s">
        <v>66</v>
      </c>
      <c r="I359" t="s">
        <v>102</v>
      </c>
      <c r="K359" t="s">
        <v>138</v>
      </c>
    </row>
    <row r="360" spans="1:11">
      <c r="A360" t="s">
        <v>583</v>
      </c>
      <c r="B360" s="3">
        <v>46269.5153125</v>
      </c>
      <c r="C360" s="4">
        <v>46269</v>
      </c>
      <c r="D360" t="s">
        <v>287</v>
      </c>
      <c r="E360">
        <v>1002</v>
      </c>
      <c r="F360" t="s">
        <v>25</v>
      </c>
      <c r="G360" t="s">
        <v>140</v>
      </c>
      <c r="H360" t="s">
        <v>60</v>
      </c>
      <c r="I360" t="s">
        <v>102</v>
      </c>
      <c r="K360" t="s">
        <v>138</v>
      </c>
    </row>
    <row r="361" spans="1:11">
      <c r="A361" t="s">
        <v>584</v>
      </c>
      <c r="B361" s="3">
        <v>46269.524178240739</v>
      </c>
      <c r="C361" s="4">
        <v>46269</v>
      </c>
      <c r="D361" t="s">
        <v>287</v>
      </c>
      <c r="E361">
        <v>1004</v>
      </c>
      <c r="F361" t="s">
        <v>29</v>
      </c>
      <c r="G361" t="s">
        <v>140</v>
      </c>
      <c r="H361" t="s">
        <v>66</v>
      </c>
      <c r="I361" t="s">
        <v>99</v>
      </c>
      <c r="K361" t="s">
        <v>138</v>
      </c>
    </row>
    <row r="362" spans="1:11">
      <c r="A362" t="s">
        <v>585</v>
      </c>
      <c r="B362" s="3">
        <v>46269.541006944448</v>
      </c>
      <c r="C362" s="4">
        <v>46269</v>
      </c>
      <c r="D362" t="s">
        <v>287</v>
      </c>
      <c r="E362">
        <v>1003</v>
      </c>
      <c r="F362" t="s">
        <v>27</v>
      </c>
      <c r="G362" t="s">
        <v>140</v>
      </c>
      <c r="H362" t="s">
        <v>66</v>
      </c>
      <c r="I362" t="s">
        <v>102</v>
      </c>
      <c r="J362" t="s">
        <v>502</v>
      </c>
      <c r="K362" t="s">
        <v>138</v>
      </c>
    </row>
    <row r="363" spans="1:11">
      <c r="A363" t="s">
        <v>586</v>
      </c>
      <c r="B363" s="3">
        <v>46269.542291666665</v>
      </c>
      <c r="C363" s="4">
        <v>46269</v>
      </c>
      <c r="D363" t="s">
        <v>287</v>
      </c>
      <c r="E363">
        <v>1015</v>
      </c>
      <c r="F363" t="s">
        <v>47</v>
      </c>
      <c r="G363" t="s">
        <v>140</v>
      </c>
      <c r="H363" t="s">
        <v>81</v>
      </c>
      <c r="I363" t="s">
        <v>81</v>
      </c>
      <c r="K363" t="s">
        <v>138</v>
      </c>
    </row>
    <row r="364" spans="1:11">
      <c r="A364" t="s">
        <v>587</v>
      </c>
      <c r="B364" s="3">
        <v>46269.547280092593</v>
      </c>
      <c r="C364" s="4">
        <v>46269</v>
      </c>
      <c r="D364" t="s">
        <v>287</v>
      </c>
      <c r="E364">
        <v>1012</v>
      </c>
      <c r="F364" t="s">
        <v>42</v>
      </c>
      <c r="G364" t="s">
        <v>137</v>
      </c>
      <c r="H364" t="s">
        <v>66</v>
      </c>
      <c r="I364" t="s">
        <v>93</v>
      </c>
      <c r="J364" t="s">
        <v>588</v>
      </c>
      <c r="K364" t="s">
        <v>138</v>
      </c>
    </row>
    <row r="365" spans="1:11">
      <c r="A365" t="s">
        <v>589</v>
      </c>
      <c r="B365" s="3">
        <v>46269.559155092589</v>
      </c>
      <c r="C365" s="4">
        <v>46269</v>
      </c>
      <c r="D365" t="s">
        <v>287</v>
      </c>
      <c r="E365">
        <v>1013</v>
      </c>
      <c r="F365" t="s">
        <v>45</v>
      </c>
      <c r="G365" t="s">
        <v>137</v>
      </c>
      <c r="H365" t="s">
        <v>66</v>
      </c>
      <c r="I365" t="s">
        <v>102</v>
      </c>
      <c r="K365" t="s">
        <v>138</v>
      </c>
    </row>
    <row r="366" spans="1:11">
      <c r="A366" t="s">
        <v>590</v>
      </c>
      <c r="B366" s="3">
        <v>46269.572696759256</v>
      </c>
      <c r="C366" s="4">
        <v>46269</v>
      </c>
      <c r="D366" t="s">
        <v>287</v>
      </c>
      <c r="E366">
        <v>1016</v>
      </c>
      <c r="F366" t="s">
        <v>49</v>
      </c>
      <c r="G366" t="s">
        <v>137</v>
      </c>
      <c r="H366" t="s">
        <v>60</v>
      </c>
      <c r="I366" t="s">
        <v>102</v>
      </c>
      <c r="K366" t="s">
        <v>138</v>
      </c>
    </row>
    <row r="367" spans="1:11">
      <c r="A367" t="s">
        <v>591</v>
      </c>
      <c r="B367" s="3">
        <v>46269.573263888888</v>
      </c>
      <c r="C367" s="4">
        <v>46269</v>
      </c>
      <c r="D367" t="s">
        <v>287</v>
      </c>
      <c r="E367">
        <v>1014</v>
      </c>
      <c r="F367" t="s">
        <v>46</v>
      </c>
      <c r="G367" t="s">
        <v>137</v>
      </c>
      <c r="H367" t="s">
        <v>66</v>
      </c>
      <c r="I367" t="s">
        <v>96</v>
      </c>
      <c r="K367" t="s">
        <v>138</v>
      </c>
    </row>
    <row r="368" spans="1:11">
      <c r="A368" t="s">
        <v>592</v>
      </c>
      <c r="B368" s="3">
        <v>46269.577245370368</v>
      </c>
      <c r="C368" s="4">
        <v>46269</v>
      </c>
      <c r="D368" t="s">
        <v>287</v>
      </c>
      <c r="E368">
        <v>1003</v>
      </c>
      <c r="F368" t="s">
        <v>27</v>
      </c>
      <c r="G368" t="s">
        <v>137</v>
      </c>
      <c r="H368" t="s">
        <v>66</v>
      </c>
      <c r="I368" t="s">
        <v>102</v>
      </c>
      <c r="J368" t="s">
        <v>593</v>
      </c>
      <c r="K368" t="s">
        <v>138</v>
      </c>
    </row>
    <row r="369" spans="1:11">
      <c r="A369" t="s">
        <v>594</v>
      </c>
      <c r="B369" s="3">
        <v>46269.583043981482</v>
      </c>
      <c r="C369" s="4">
        <v>46269</v>
      </c>
      <c r="D369" t="s">
        <v>287</v>
      </c>
      <c r="E369">
        <v>1015</v>
      </c>
      <c r="F369" t="s">
        <v>47</v>
      </c>
      <c r="G369" t="s">
        <v>137</v>
      </c>
      <c r="H369" t="s">
        <v>81</v>
      </c>
      <c r="I369" t="s">
        <v>81</v>
      </c>
      <c r="K369" t="s">
        <v>138</v>
      </c>
    </row>
    <row r="370" spans="1:11">
      <c r="A370" t="s">
        <v>595</v>
      </c>
      <c r="B370" s="3">
        <v>46269.588240740741</v>
      </c>
      <c r="C370" s="4">
        <v>46269</v>
      </c>
      <c r="D370" t="s">
        <v>287</v>
      </c>
      <c r="E370">
        <v>1002</v>
      </c>
      <c r="F370" t="s">
        <v>25</v>
      </c>
      <c r="G370" t="s">
        <v>137</v>
      </c>
      <c r="H370" t="s">
        <v>60</v>
      </c>
      <c r="I370" t="s">
        <v>102</v>
      </c>
      <c r="J370" t="s">
        <v>596</v>
      </c>
      <c r="K370" t="s">
        <v>138</v>
      </c>
    </row>
    <row r="371" spans="1:11">
      <c r="A371" t="s">
        <v>597</v>
      </c>
      <c r="B371" s="3">
        <v>46269.629143518519</v>
      </c>
      <c r="C371" s="4">
        <v>46269</v>
      </c>
      <c r="D371" t="s">
        <v>287</v>
      </c>
      <c r="E371">
        <v>1004</v>
      </c>
      <c r="F371" t="s">
        <v>29</v>
      </c>
      <c r="G371" t="s">
        <v>140</v>
      </c>
      <c r="H371" t="s">
        <v>66</v>
      </c>
      <c r="I371" t="s">
        <v>99</v>
      </c>
      <c r="K371" t="s">
        <v>138</v>
      </c>
    </row>
    <row r="372" spans="1:11">
      <c r="A372" t="s">
        <v>598</v>
      </c>
      <c r="B372" s="3">
        <v>46269.629606481481</v>
      </c>
      <c r="C372" s="4">
        <v>46269</v>
      </c>
      <c r="D372" t="s">
        <v>287</v>
      </c>
      <c r="E372">
        <v>1004</v>
      </c>
      <c r="F372" t="s">
        <v>29</v>
      </c>
      <c r="G372" t="s">
        <v>140</v>
      </c>
      <c r="H372" t="s">
        <v>66</v>
      </c>
      <c r="I372" t="s">
        <v>99</v>
      </c>
      <c r="K372" t="s">
        <v>138</v>
      </c>
    </row>
    <row r="373" spans="1:11">
      <c r="A373" t="s">
        <v>599</v>
      </c>
      <c r="B373" s="3">
        <v>46269.630486111113</v>
      </c>
      <c r="C373" s="4">
        <v>46269</v>
      </c>
      <c r="D373" t="s">
        <v>287</v>
      </c>
      <c r="E373">
        <v>1014</v>
      </c>
      <c r="F373" t="s">
        <v>46</v>
      </c>
      <c r="G373" t="s">
        <v>140</v>
      </c>
      <c r="H373" t="s">
        <v>66</v>
      </c>
      <c r="I373" t="s">
        <v>96</v>
      </c>
      <c r="K373" t="s">
        <v>138</v>
      </c>
    </row>
    <row r="374" spans="1:11">
      <c r="A374" t="s">
        <v>600</v>
      </c>
      <c r="B374" s="3">
        <v>46269.630706018521</v>
      </c>
      <c r="C374" s="4">
        <v>46269</v>
      </c>
      <c r="D374" t="s">
        <v>287</v>
      </c>
      <c r="E374">
        <v>1014</v>
      </c>
      <c r="F374" t="s">
        <v>46</v>
      </c>
      <c r="G374" t="s">
        <v>137</v>
      </c>
      <c r="H374" t="s">
        <v>63</v>
      </c>
      <c r="I374" t="s">
        <v>96</v>
      </c>
      <c r="K374" t="s">
        <v>138</v>
      </c>
    </row>
    <row r="375" spans="1:11">
      <c r="A375" t="s">
        <v>601</v>
      </c>
      <c r="B375" s="3">
        <v>46269.651504629626</v>
      </c>
      <c r="C375" s="4">
        <v>46269</v>
      </c>
      <c r="D375" t="s">
        <v>287</v>
      </c>
      <c r="E375">
        <v>1001</v>
      </c>
      <c r="F375" t="s">
        <v>21</v>
      </c>
      <c r="G375" t="s">
        <v>140</v>
      </c>
      <c r="H375" t="s">
        <v>63</v>
      </c>
      <c r="I375" t="s">
        <v>93</v>
      </c>
      <c r="K375" t="s">
        <v>138</v>
      </c>
    </row>
    <row r="376" spans="1:11">
      <c r="A376" t="s">
        <v>602</v>
      </c>
      <c r="B376" s="3">
        <v>46269.674039351848</v>
      </c>
      <c r="C376" s="4">
        <v>46269</v>
      </c>
      <c r="D376" t="s">
        <v>287</v>
      </c>
      <c r="E376">
        <v>1001</v>
      </c>
      <c r="F376" t="s">
        <v>21</v>
      </c>
      <c r="G376" t="s">
        <v>137</v>
      </c>
      <c r="H376" t="s">
        <v>63</v>
      </c>
      <c r="I376" t="s">
        <v>93</v>
      </c>
      <c r="K376" t="s">
        <v>138</v>
      </c>
    </row>
    <row r="377" spans="1:11">
      <c r="A377" t="s">
        <v>603</v>
      </c>
      <c r="B377" s="3">
        <v>46269.739201388889</v>
      </c>
      <c r="C377" s="4">
        <v>46269</v>
      </c>
      <c r="D377" t="s">
        <v>287</v>
      </c>
      <c r="E377">
        <v>1014</v>
      </c>
      <c r="F377" t="s">
        <v>46</v>
      </c>
      <c r="G377" t="s">
        <v>140</v>
      </c>
      <c r="H377" t="s">
        <v>66</v>
      </c>
      <c r="I377" t="s">
        <v>96</v>
      </c>
      <c r="K377" t="s">
        <v>138</v>
      </c>
    </row>
    <row r="378" spans="1:11">
      <c r="A378" t="s">
        <v>604</v>
      </c>
      <c r="B378" s="3">
        <v>46269.749641203707</v>
      </c>
      <c r="C378" s="4">
        <v>46269</v>
      </c>
      <c r="D378" t="s">
        <v>287</v>
      </c>
      <c r="E378">
        <v>1002</v>
      </c>
      <c r="F378" t="s">
        <v>25</v>
      </c>
      <c r="G378" t="s">
        <v>140</v>
      </c>
      <c r="H378" t="s">
        <v>60</v>
      </c>
      <c r="I378" t="s">
        <v>102</v>
      </c>
      <c r="K378" t="s">
        <v>138</v>
      </c>
    </row>
    <row r="379" spans="1:11">
      <c r="A379" t="s">
        <v>605</v>
      </c>
      <c r="B379" s="3">
        <v>46269.750451388885</v>
      </c>
      <c r="C379" s="4">
        <v>46269</v>
      </c>
      <c r="D379" t="s">
        <v>287</v>
      </c>
      <c r="E379">
        <v>1016</v>
      </c>
      <c r="F379" t="s">
        <v>49</v>
      </c>
      <c r="G379" t="s">
        <v>140</v>
      </c>
      <c r="H379" t="s">
        <v>60</v>
      </c>
      <c r="I379" t="s">
        <v>102</v>
      </c>
      <c r="K379" t="s">
        <v>138</v>
      </c>
    </row>
    <row r="380" spans="1:11">
      <c r="A380" t="s">
        <v>606</v>
      </c>
      <c r="B380" s="3">
        <v>46269.750694444447</v>
      </c>
      <c r="C380" s="4">
        <v>46269</v>
      </c>
      <c r="D380" t="s">
        <v>287</v>
      </c>
      <c r="E380">
        <v>1003</v>
      </c>
      <c r="F380" t="s">
        <v>27</v>
      </c>
      <c r="G380" t="s">
        <v>140</v>
      </c>
      <c r="H380" t="s">
        <v>75</v>
      </c>
      <c r="I380" t="s">
        <v>102</v>
      </c>
      <c r="K380" t="s">
        <v>138</v>
      </c>
    </row>
    <row r="381" spans="1:11">
      <c r="A381" t="s">
        <v>607</v>
      </c>
      <c r="B381" s="3">
        <v>46269.751180555555</v>
      </c>
      <c r="C381" s="4">
        <v>46269</v>
      </c>
      <c r="D381" t="s">
        <v>287</v>
      </c>
      <c r="E381">
        <v>1013</v>
      </c>
      <c r="F381" t="s">
        <v>45</v>
      </c>
      <c r="G381" t="s">
        <v>140</v>
      </c>
      <c r="H381" t="s">
        <v>75</v>
      </c>
      <c r="I381" t="s">
        <v>102</v>
      </c>
      <c r="K381" t="s">
        <v>138</v>
      </c>
    </row>
    <row r="382" spans="1:11">
      <c r="A382" t="s">
        <v>608</v>
      </c>
      <c r="B382" s="3">
        <v>46269.751469907409</v>
      </c>
      <c r="C382" s="4">
        <v>46269</v>
      </c>
      <c r="D382" t="s">
        <v>287</v>
      </c>
      <c r="E382">
        <v>1012</v>
      </c>
      <c r="F382" t="s">
        <v>42</v>
      </c>
      <c r="G382" t="s">
        <v>140</v>
      </c>
      <c r="H382" t="s">
        <v>66</v>
      </c>
      <c r="I382" t="s">
        <v>93</v>
      </c>
      <c r="K382" t="s">
        <v>138</v>
      </c>
    </row>
    <row r="383" spans="1:11">
      <c r="A383" t="s">
        <v>609</v>
      </c>
      <c r="B383" s="3">
        <v>46269.783842592595</v>
      </c>
      <c r="C383" s="4">
        <v>46269</v>
      </c>
      <c r="D383" t="s">
        <v>287</v>
      </c>
      <c r="E383">
        <v>1001</v>
      </c>
      <c r="F383" t="s">
        <v>21</v>
      </c>
      <c r="G383" t="s">
        <v>140</v>
      </c>
      <c r="H383" t="s">
        <v>69</v>
      </c>
      <c r="I383" t="s">
        <v>93</v>
      </c>
      <c r="J383" t="s">
        <v>610</v>
      </c>
      <c r="K383" t="s">
        <v>138</v>
      </c>
    </row>
    <row r="384" spans="1:11">
      <c r="A384" t="s">
        <v>611</v>
      </c>
      <c r="B384" s="3">
        <v>46269.784236111111</v>
      </c>
      <c r="C384" s="4">
        <v>46269</v>
      </c>
      <c r="D384" t="s">
        <v>287</v>
      </c>
      <c r="E384">
        <v>1001</v>
      </c>
      <c r="F384" t="s">
        <v>21</v>
      </c>
      <c r="G384" t="s">
        <v>140</v>
      </c>
      <c r="H384" t="s">
        <v>69</v>
      </c>
      <c r="I384" t="s">
        <v>93</v>
      </c>
      <c r="J384" t="s">
        <v>610</v>
      </c>
      <c r="K384" t="s">
        <v>138</v>
      </c>
    </row>
    <row r="385" spans="1:11">
      <c r="A385" t="s">
        <v>612</v>
      </c>
      <c r="B385" s="3">
        <v>46269.828032407408</v>
      </c>
      <c r="C385" s="4">
        <v>46269</v>
      </c>
      <c r="D385" t="s">
        <v>287</v>
      </c>
      <c r="E385">
        <v>1004</v>
      </c>
      <c r="F385" t="s">
        <v>29</v>
      </c>
      <c r="G385" t="s">
        <v>140</v>
      </c>
      <c r="H385" t="s">
        <v>66</v>
      </c>
      <c r="I385" t="s">
        <v>99</v>
      </c>
      <c r="K385" t="s">
        <v>138</v>
      </c>
    </row>
    <row r="386" spans="1:11">
      <c r="A386" t="s">
        <v>613</v>
      </c>
      <c r="B386" s="3">
        <v>46270.330555555556</v>
      </c>
      <c r="C386" s="4">
        <v>46270</v>
      </c>
      <c r="D386" t="s">
        <v>357</v>
      </c>
      <c r="E386">
        <v>1013</v>
      </c>
      <c r="F386" t="s">
        <v>45</v>
      </c>
      <c r="G386" t="s">
        <v>137</v>
      </c>
      <c r="H386" t="s">
        <v>75</v>
      </c>
      <c r="I386" t="s">
        <v>102</v>
      </c>
      <c r="K386" t="s">
        <v>138</v>
      </c>
    </row>
    <row r="387" spans="1:11">
      <c r="A387" t="s">
        <v>614</v>
      </c>
      <c r="B387" s="3">
        <v>46270.341817129629</v>
      </c>
      <c r="C387" s="4">
        <v>46270</v>
      </c>
      <c r="D387" t="s">
        <v>357</v>
      </c>
      <c r="E387">
        <v>1003</v>
      </c>
      <c r="F387" t="s">
        <v>27</v>
      </c>
      <c r="G387" t="s">
        <v>137</v>
      </c>
      <c r="H387" t="s">
        <v>75</v>
      </c>
      <c r="I387" t="s">
        <v>102</v>
      </c>
      <c r="K387" t="s">
        <v>138</v>
      </c>
    </row>
    <row r="388" spans="1:11">
      <c r="A388" t="s">
        <v>615</v>
      </c>
      <c r="B388" s="3">
        <v>46270.382407407407</v>
      </c>
      <c r="C388" s="4">
        <v>46270</v>
      </c>
      <c r="D388" t="s">
        <v>357</v>
      </c>
      <c r="E388">
        <v>1001</v>
      </c>
      <c r="F388" t="s">
        <v>21</v>
      </c>
      <c r="G388" t="s">
        <v>137</v>
      </c>
      <c r="H388" t="s">
        <v>63</v>
      </c>
      <c r="I388" t="s">
        <v>93</v>
      </c>
      <c r="J388" t="s">
        <v>616</v>
      </c>
      <c r="K388" t="s">
        <v>138</v>
      </c>
    </row>
    <row r="389" spans="1:11">
      <c r="A389" t="s">
        <v>617</v>
      </c>
      <c r="B389" s="3">
        <v>46270.393518518518</v>
      </c>
      <c r="C389" s="4">
        <v>46270</v>
      </c>
      <c r="D389" t="s">
        <v>357</v>
      </c>
      <c r="E389">
        <v>1012</v>
      </c>
      <c r="F389" t="s">
        <v>42</v>
      </c>
      <c r="G389" t="s">
        <v>137</v>
      </c>
      <c r="H389" t="s">
        <v>66</v>
      </c>
      <c r="I389" t="s">
        <v>93</v>
      </c>
      <c r="K389" t="s">
        <v>138</v>
      </c>
    </row>
    <row r="390" spans="1:11">
      <c r="A390" t="s">
        <v>618</v>
      </c>
      <c r="B390" s="3">
        <v>46270.51972222222</v>
      </c>
      <c r="C390" s="4">
        <v>46270</v>
      </c>
      <c r="D390" t="s">
        <v>357</v>
      </c>
      <c r="E390">
        <v>1013</v>
      </c>
      <c r="F390" t="s">
        <v>45</v>
      </c>
      <c r="G390" t="s">
        <v>140</v>
      </c>
      <c r="H390" t="s">
        <v>75</v>
      </c>
      <c r="I390" t="s">
        <v>102</v>
      </c>
      <c r="K390" t="s">
        <v>138</v>
      </c>
    </row>
    <row r="391" spans="1:11">
      <c r="A391" t="s">
        <v>619</v>
      </c>
      <c r="B391" s="3">
        <v>46270.524131944447</v>
      </c>
      <c r="C391" s="4">
        <v>46270</v>
      </c>
      <c r="D391" t="s">
        <v>357</v>
      </c>
      <c r="E391">
        <v>1016</v>
      </c>
      <c r="F391" t="s">
        <v>49</v>
      </c>
      <c r="G391" t="s">
        <v>137</v>
      </c>
      <c r="H391" t="s">
        <v>60</v>
      </c>
      <c r="I391" t="s">
        <v>102</v>
      </c>
      <c r="K391" t="s">
        <v>138</v>
      </c>
    </row>
    <row r="392" spans="1:11">
      <c r="A392" t="s">
        <v>620</v>
      </c>
      <c r="B392" s="3">
        <v>46270.543993055559</v>
      </c>
      <c r="C392" s="4">
        <v>46270</v>
      </c>
      <c r="D392" t="s">
        <v>357</v>
      </c>
      <c r="E392">
        <v>1003</v>
      </c>
      <c r="F392" t="s">
        <v>27</v>
      </c>
      <c r="G392" t="s">
        <v>140</v>
      </c>
      <c r="H392" t="s">
        <v>75</v>
      </c>
      <c r="I392" t="s">
        <v>102</v>
      </c>
      <c r="K392" t="s">
        <v>138</v>
      </c>
    </row>
    <row r="393" spans="1:11">
      <c r="A393" t="s">
        <v>621</v>
      </c>
      <c r="B393" s="3">
        <v>46270.54959490741</v>
      </c>
      <c r="C393" s="4">
        <v>46270</v>
      </c>
      <c r="D393" t="s">
        <v>357</v>
      </c>
      <c r="E393">
        <v>1013</v>
      </c>
      <c r="F393" t="s">
        <v>45</v>
      </c>
      <c r="G393" t="s">
        <v>140</v>
      </c>
      <c r="H393" t="s">
        <v>75</v>
      </c>
      <c r="I393" t="s">
        <v>102</v>
      </c>
      <c r="K393" t="s">
        <v>138</v>
      </c>
    </row>
    <row r="394" spans="1:11">
      <c r="A394" t="s">
        <v>622</v>
      </c>
      <c r="B394" s="3">
        <v>46270.549861111111</v>
      </c>
      <c r="C394" s="4">
        <v>46270</v>
      </c>
      <c r="D394" t="s">
        <v>357</v>
      </c>
      <c r="E394">
        <v>1013</v>
      </c>
      <c r="F394" t="s">
        <v>45</v>
      </c>
      <c r="G394" t="s">
        <v>137</v>
      </c>
      <c r="H394" t="s">
        <v>75</v>
      </c>
      <c r="I394" t="s">
        <v>102</v>
      </c>
      <c r="K394" t="s">
        <v>138</v>
      </c>
    </row>
    <row r="395" spans="1:11">
      <c r="A395" t="s">
        <v>623</v>
      </c>
      <c r="B395" s="3">
        <v>46270.555451388886</v>
      </c>
      <c r="C395" s="4">
        <v>46270</v>
      </c>
      <c r="D395" t="s">
        <v>357</v>
      </c>
      <c r="E395">
        <v>1012</v>
      </c>
      <c r="F395" t="s">
        <v>42</v>
      </c>
      <c r="G395" t="s">
        <v>140</v>
      </c>
      <c r="H395" t="s">
        <v>66</v>
      </c>
      <c r="I395" t="s">
        <v>93</v>
      </c>
      <c r="J395" t="s">
        <v>34</v>
      </c>
      <c r="K395" t="s">
        <v>138</v>
      </c>
    </row>
    <row r="396" spans="1:11">
      <c r="A396" t="s">
        <v>624</v>
      </c>
      <c r="B396" s="3">
        <v>46270.590868055559</v>
      </c>
      <c r="C396" s="4">
        <v>46270</v>
      </c>
      <c r="D396" t="s">
        <v>357</v>
      </c>
      <c r="E396">
        <v>1012</v>
      </c>
      <c r="F396" t="s">
        <v>42</v>
      </c>
      <c r="G396" t="s">
        <v>137</v>
      </c>
      <c r="H396" t="s">
        <v>66</v>
      </c>
      <c r="I396" t="s">
        <v>93</v>
      </c>
      <c r="J396" t="s">
        <v>34</v>
      </c>
      <c r="K396" t="s">
        <v>138</v>
      </c>
    </row>
    <row r="397" spans="1:11">
      <c r="A397" t="s">
        <v>625</v>
      </c>
      <c r="B397" s="3">
        <v>46270.604953703703</v>
      </c>
      <c r="C397" s="4">
        <v>46270</v>
      </c>
      <c r="D397" t="s">
        <v>357</v>
      </c>
      <c r="E397">
        <v>1003</v>
      </c>
      <c r="F397" t="s">
        <v>27</v>
      </c>
      <c r="G397" t="s">
        <v>137</v>
      </c>
      <c r="H397" t="s">
        <v>75</v>
      </c>
      <c r="I397" t="s">
        <v>102</v>
      </c>
      <c r="K397" t="s">
        <v>138</v>
      </c>
    </row>
    <row r="398" spans="1:11">
      <c r="A398" t="s">
        <v>626</v>
      </c>
      <c r="B398" s="3">
        <v>46270.645196759258</v>
      </c>
      <c r="C398" s="4">
        <v>46270</v>
      </c>
      <c r="D398" t="s">
        <v>357</v>
      </c>
      <c r="E398">
        <v>1001</v>
      </c>
      <c r="F398" t="s">
        <v>21</v>
      </c>
      <c r="G398" t="s">
        <v>140</v>
      </c>
      <c r="H398" t="s">
        <v>63</v>
      </c>
      <c r="I398" t="s">
        <v>93</v>
      </c>
      <c r="K398" t="s">
        <v>138</v>
      </c>
    </row>
    <row r="399" spans="1:11">
      <c r="A399" t="s">
        <v>627</v>
      </c>
      <c r="B399" s="3">
        <v>46270.667048611111</v>
      </c>
      <c r="C399" s="4">
        <v>46270</v>
      </c>
      <c r="D399" t="s">
        <v>357</v>
      </c>
      <c r="E399">
        <v>1001</v>
      </c>
      <c r="F399" t="s">
        <v>21</v>
      </c>
      <c r="G399" t="s">
        <v>137</v>
      </c>
      <c r="H399" t="s">
        <v>63</v>
      </c>
      <c r="I399" t="s">
        <v>93</v>
      </c>
      <c r="K399" t="s">
        <v>138</v>
      </c>
    </row>
    <row r="400" spans="1:11">
      <c r="A400" t="s">
        <v>628</v>
      </c>
      <c r="B400" s="3">
        <v>46270.750231481485</v>
      </c>
      <c r="C400" s="4">
        <v>46270</v>
      </c>
      <c r="D400" t="s">
        <v>357</v>
      </c>
      <c r="E400">
        <v>1013</v>
      </c>
      <c r="F400" t="s">
        <v>45</v>
      </c>
      <c r="G400" t="s">
        <v>140</v>
      </c>
      <c r="H400" t="s">
        <v>75</v>
      </c>
      <c r="I400" t="s">
        <v>102</v>
      </c>
      <c r="K400" t="s">
        <v>138</v>
      </c>
    </row>
    <row r="401" spans="1:11">
      <c r="A401" t="s">
        <v>629</v>
      </c>
      <c r="B401" s="3">
        <v>46270.751145833332</v>
      </c>
      <c r="C401" s="4">
        <v>46270</v>
      </c>
      <c r="D401" t="s">
        <v>357</v>
      </c>
      <c r="E401">
        <v>1012</v>
      </c>
      <c r="F401" t="s">
        <v>42</v>
      </c>
      <c r="G401" t="s">
        <v>140</v>
      </c>
      <c r="H401" t="s">
        <v>66</v>
      </c>
      <c r="I401" t="s">
        <v>93</v>
      </c>
      <c r="K401" t="s">
        <v>138</v>
      </c>
    </row>
    <row r="402" spans="1:11">
      <c r="A402" t="s">
        <v>630</v>
      </c>
      <c r="B402" s="3">
        <v>46270.751793981479</v>
      </c>
      <c r="C402" s="4">
        <v>46270</v>
      </c>
      <c r="D402" t="s">
        <v>357</v>
      </c>
      <c r="E402">
        <v>1012</v>
      </c>
      <c r="F402" t="s">
        <v>42</v>
      </c>
      <c r="G402" t="s">
        <v>140</v>
      </c>
      <c r="H402" t="s">
        <v>66</v>
      </c>
      <c r="I402" t="s">
        <v>93</v>
      </c>
      <c r="J402" t="s">
        <v>34</v>
      </c>
      <c r="K402" t="s">
        <v>138</v>
      </c>
    </row>
    <row r="403" spans="1:11">
      <c r="A403" t="s">
        <v>631</v>
      </c>
      <c r="B403" s="3">
        <v>46270.780081018522</v>
      </c>
      <c r="C403" s="4">
        <v>46270</v>
      </c>
      <c r="D403" t="s">
        <v>357</v>
      </c>
      <c r="E403">
        <v>1001</v>
      </c>
      <c r="F403" t="s">
        <v>21</v>
      </c>
      <c r="G403" t="s">
        <v>140</v>
      </c>
      <c r="H403" t="s">
        <v>63</v>
      </c>
      <c r="I403" t="s">
        <v>93</v>
      </c>
      <c r="K403" t="s">
        <v>138</v>
      </c>
    </row>
    <row r="404" spans="1:11">
      <c r="A404" t="s">
        <v>632</v>
      </c>
      <c r="B404" s="3">
        <v>46270.783263888887</v>
      </c>
      <c r="C404" s="4">
        <v>46270</v>
      </c>
      <c r="D404" t="s">
        <v>357</v>
      </c>
      <c r="E404">
        <v>1003</v>
      </c>
      <c r="F404" t="s">
        <v>27</v>
      </c>
      <c r="G404" t="s">
        <v>140</v>
      </c>
      <c r="H404" t="s">
        <v>75</v>
      </c>
      <c r="I404" t="s">
        <v>102</v>
      </c>
      <c r="K404" t="s">
        <v>138</v>
      </c>
    </row>
    <row r="405" spans="1:11">
      <c r="A405" t="s">
        <v>633</v>
      </c>
      <c r="B405" s="3">
        <v>46271.347060185188</v>
      </c>
      <c r="C405" s="4">
        <v>46271</v>
      </c>
      <c r="D405" t="s">
        <v>385</v>
      </c>
      <c r="E405">
        <v>1001</v>
      </c>
      <c r="F405" t="s">
        <v>21</v>
      </c>
      <c r="G405" t="s">
        <v>137</v>
      </c>
      <c r="H405" t="s">
        <v>63</v>
      </c>
      <c r="I405" t="s">
        <v>93</v>
      </c>
      <c r="J405" t="s">
        <v>634</v>
      </c>
      <c r="K405" t="s">
        <v>138</v>
      </c>
    </row>
    <row r="406" spans="1:11">
      <c r="A406" t="s">
        <v>635</v>
      </c>
      <c r="B406" s="3">
        <v>46271.348229166666</v>
      </c>
      <c r="C406" s="4">
        <v>46271</v>
      </c>
      <c r="D406" t="s">
        <v>385</v>
      </c>
      <c r="E406">
        <v>1011</v>
      </c>
      <c r="F406" t="s">
        <v>40</v>
      </c>
      <c r="G406" t="s">
        <v>137</v>
      </c>
      <c r="H406" t="s">
        <v>75</v>
      </c>
      <c r="I406" t="s">
        <v>102</v>
      </c>
      <c r="J406" t="s">
        <v>636</v>
      </c>
      <c r="K406" t="s">
        <v>138</v>
      </c>
    </row>
    <row r="407" spans="1:11">
      <c r="A407" t="s">
        <v>637</v>
      </c>
      <c r="B407" s="3">
        <v>46271.348564814813</v>
      </c>
      <c r="C407" s="4">
        <v>46271</v>
      </c>
      <c r="D407" t="s">
        <v>385</v>
      </c>
      <c r="E407">
        <v>1003</v>
      </c>
      <c r="F407" t="s">
        <v>27</v>
      </c>
      <c r="G407" t="s">
        <v>137</v>
      </c>
      <c r="H407" t="s">
        <v>75</v>
      </c>
      <c r="I407" t="s">
        <v>102</v>
      </c>
      <c r="K407" t="s">
        <v>138</v>
      </c>
    </row>
    <row r="408" spans="1:11">
      <c r="A408" t="s">
        <v>638</v>
      </c>
      <c r="B408" s="3">
        <v>46271.420659722222</v>
      </c>
      <c r="C408" s="4">
        <v>46271</v>
      </c>
      <c r="D408" t="s">
        <v>385</v>
      </c>
      <c r="E408">
        <v>1013</v>
      </c>
      <c r="F408" t="s">
        <v>45</v>
      </c>
      <c r="G408" t="s">
        <v>137</v>
      </c>
      <c r="H408" t="s">
        <v>75</v>
      </c>
      <c r="I408" t="s">
        <v>102</v>
      </c>
      <c r="K408" t="s">
        <v>138</v>
      </c>
    </row>
    <row r="409" spans="1:11">
      <c r="A409" t="s">
        <v>639</v>
      </c>
      <c r="B409" s="3">
        <v>46271.489976851852</v>
      </c>
      <c r="C409" s="4">
        <v>46271</v>
      </c>
      <c r="D409" t="s">
        <v>385</v>
      </c>
      <c r="E409">
        <v>1003</v>
      </c>
      <c r="F409" t="s">
        <v>27</v>
      </c>
      <c r="G409" t="s">
        <v>140</v>
      </c>
      <c r="H409" t="s">
        <v>75</v>
      </c>
      <c r="I409" t="s">
        <v>102</v>
      </c>
      <c r="K409" t="s">
        <v>138</v>
      </c>
    </row>
    <row r="410" spans="1:11">
      <c r="A410" t="s">
        <v>640</v>
      </c>
      <c r="B410" s="3">
        <v>46271.514282407406</v>
      </c>
      <c r="C410" s="4">
        <v>46271</v>
      </c>
      <c r="D410" t="s">
        <v>385</v>
      </c>
      <c r="E410">
        <v>1013</v>
      </c>
      <c r="F410" t="s">
        <v>45</v>
      </c>
      <c r="G410" t="s">
        <v>140</v>
      </c>
      <c r="H410" t="s">
        <v>75</v>
      </c>
      <c r="I410" t="s">
        <v>102</v>
      </c>
      <c r="K410" t="s">
        <v>138</v>
      </c>
    </row>
    <row r="411" spans="1:11">
      <c r="A411" t="s">
        <v>641</v>
      </c>
      <c r="B411" s="3">
        <v>46271.538402777776</v>
      </c>
      <c r="C411" s="4">
        <v>46271</v>
      </c>
      <c r="D411" t="s">
        <v>385</v>
      </c>
      <c r="E411">
        <v>1003</v>
      </c>
      <c r="F411" t="s">
        <v>27</v>
      </c>
      <c r="G411" t="s">
        <v>137</v>
      </c>
      <c r="H411" t="s">
        <v>75</v>
      </c>
      <c r="I411" t="s">
        <v>102</v>
      </c>
      <c r="K411" t="s">
        <v>138</v>
      </c>
    </row>
    <row r="412" spans="1:11">
      <c r="A412" t="s">
        <v>642</v>
      </c>
      <c r="B412" s="3">
        <v>46271.539467592593</v>
      </c>
      <c r="C412" s="4">
        <v>46271</v>
      </c>
      <c r="D412" t="s">
        <v>385</v>
      </c>
      <c r="E412">
        <v>1013</v>
      </c>
      <c r="F412" t="s">
        <v>45</v>
      </c>
      <c r="G412" t="s">
        <v>137</v>
      </c>
      <c r="H412" t="s">
        <v>75</v>
      </c>
      <c r="I412" t="s">
        <v>102</v>
      </c>
      <c r="K412" t="s">
        <v>138</v>
      </c>
    </row>
    <row r="413" spans="1:11">
      <c r="A413" t="s">
        <v>643</v>
      </c>
      <c r="B413" s="3">
        <v>46271.585023148145</v>
      </c>
      <c r="C413" s="4">
        <v>46271</v>
      </c>
      <c r="D413" t="s">
        <v>385</v>
      </c>
      <c r="E413">
        <v>1002</v>
      </c>
      <c r="F413" t="s">
        <v>25</v>
      </c>
      <c r="G413" t="s">
        <v>137</v>
      </c>
      <c r="H413" t="s">
        <v>75</v>
      </c>
      <c r="I413" t="s">
        <v>102</v>
      </c>
      <c r="K413" t="s">
        <v>138</v>
      </c>
    </row>
    <row r="414" spans="1:11">
      <c r="A414" t="s">
        <v>644</v>
      </c>
      <c r="B414" s="3">
        <v>46271.602222222224</v>
      </c>
      <c r="C414" s="4">
        <v>46271</v>
      </c>
      <c r="D414" t="s">
        <v>385</v>
      </c>
      <c r="E414">
        <v>1004</v>
      </c>
      <c r="F414" t="s">
        <v>29</v>
      </c>
      <c r="G414" t="s">
        <v>137</v>
      </c>
      <c r="H414" t="s">
        <v>66</v>
      </c>
      <c r="I414" t="s">
        <v>99</v>
      </c>
      <c r="K414" t="s">
        <v>138</v>
      </c>
    </row>
    <row r="415" spans="1:11">
      <c r="A415" t="s">
        <v>645</v>
      </c>
      <c r="B415" s="3">
        <v>46271.661030092589</v>
      </c>
      <c r="C415" s="4">
        <v>46271</v>
      </c>
      <c r="D415" t="s">
        <v>385</v>
      </c>
      <c r="E415">
        <v>1011</v>
      </c>
      <c r="F415" t="s">
        <v>40</v>
      </c>
      <c r="G415" t="s">
        <v>140</v>
      </c>
      <c r="H415" t="s">
        <v>75</v>
      </c>
      <c r="I415" t="s">
        <v>102</v>
      </c>
      <c r="K415" t="s">
        <v>138</v>
      </c>
    </row>
    <row r="416" spans="1:11">
      <c r="A416" t="s">
        <v>646</v>
      </c>
      <c r="B416" s="3">
        <v>46271.663634259261</v>
      </c>
      <c r="C416" s="4">
        <v>46271</v>
      </c>
      <c r="D416" t="s">
        <v>385</v>
      </c>
      <c r="E416">
        <v>1013</v>
      </c>
      <c r="F416" t="s">
        <v>45</v>
      </c>
      <c r="G416" t="s">
        <v>140</v>
      </c>
      <c r="H416" t="s">
        <v>75</v>
      </c>
      <c r="I416" t="s">
        <v>102</v>
      </c>
      <c r="K416" t="s">
        <v>138</v>
      </c>
    </row>
    <row r="417" spans="1:11">
      <c r="A417" t="s">
        <v>647</v>
      </c>
      <c r="B417" s="3">
        <v>46271.688206018516</v>
      </c>
      <c r="C417" s="4">
        <v>46271</v>
      </c>
      <c r="D417" t="s">
        <v>385</v>
      </c>
      <c r="E417">
        <v>1012</v>
      </c>
      <c r="F417" t="s">
        <v>42</v>
      </c>
      <c r="G417" t="s">
        <v>137</v>
      </c>
      <c r="H417" t="s">
        <v>66</v>
      </c>
      <c r="I417" t="s">
        <v>93</v>
      </c>
      <c r="K417" t="s">
        <v>138</v>
      </c>
    </row>
    <row r="418" spans="1:11">
      <c r="A418" t="s">
        <v>648</v>
      </c>
      <c r="B418" s="3">
        <v>46271.698946759258</v>
      </c>
      <c r="C418" s="4">
        <v>46271</v>
      </c>
      <c r="D418" t="s">
        <v>385</v>
      </c>
      <c r="E418">
        <v>1011</v>
      </c>
      <c r="F418" t="s">
        <v>40</v>
      </c>
      <c r="G418" t="s">
        <v>137</v>
      </c>
      <c r="H418" t="s">
        <v>75</v>
      </c>
      <c r="I418" t="s">
        <v>102</v>
      </c>
      <c r="K418" t="s">
        <v>138</v>
      </c>
    </row>
    <row r="419" spans="1:11">
      <c r="A419" t="s">
        <v>649</v>
      </c>
      <c r="B419" s="3">
        <v>46271.709016203706</v>
      </c>
      <c r="C419" s="4">
        <v>46271</v>
      </c>
      <c r="D419" t="s">
        <v>385</v>
      </c>
      <c r="E419">
        <v>1002</v>
      </c>
      <c r="F419" t="s">
        <v>25</v>
      </c>
      <c r="G419" t="s">
        <v>140</v>
      </c>
      <c r="H419" t="s">
        <v>75</v>
      </c>
      <c r="I419" t="s">
        <v>102</v>
      </c>
      <c r="K419" t="s">
        <v>138</v>
      </c>
    </row>
    <row r="420" spans="1:11">
      <c r="A420" t="s">
        <v>650</v>
      </c>
      <c r="B420" s="3">
        <v>46271.740601851852</v>
      </c>
      <c r="C420" s="4">
        <v>46271</v>
      </c>
      <c r="D420" t="s">
        <v>385</v>
      </c>
      <c r="E420">
        <v>1003</v>
      </c>
      <c r="F420" t="s">
        <v>27</v>
      </c>
      <c r="G420" t="s">
        <v>140</v>
      </c>
      <c r="H420" t="s">
        <v>75</v>
      </c>
      <c r="I420" t="s">
        <v>102</v>
      </c>
      <c r="K420" t="s">
        <v>138</v>
      </c>
    </row>
    <row r="421" spans="1:11">
      <c r="A421" t="s">
        <v>651</v>
      </c>
      <c r="B421" s="3">
        <v>46271.758333333331</v>
      </c>
      <c r="C421" s="4">
        <v>46271</v>
      </c>
      <c r="D421" t="s">
        <v>385</v>
      </c>
      <c r="E421">
        <v>1012</v>
      </c>
      <c r="F421" t="s">
        <v>42</v>
      </c>
      <c r="G421" t="s">
        <v>140</v>
      </c>
      <c r="H421" t="s">
        <v>66</v>
      </c>
      <c r="I421" t="s">
        <v>93</v>
      </c>
      <c r="J421" t="s">
        <v>34</v>
      </c>
      <c r="K421" t="s">
        <v>138</v>
      </c>
    </row>
    <row r="422" spans="1:11">
      <c r="A422" t="s">
        <v>652</v>
      </c>
      <c r="B422" s="3">
        <v>46271.854884259257</v>
      </c>
      <c r="C422" s="4">
        <v>46271</v>
      </c>
      <c r="D422" t="s">
        <v>385</v>
      </c>
      <c r="E422">
        <v>1011</v>
      </c>
      <c r="F422" t="s">
        <v>40</v>
      </c>
      <c r="G422" t="s">
        <v>140</v>
      </c>
      <c r="H422" t="s">
        <v>75</v>
      </c>
      <c r="I422" t="s">
        <v>102</v>
      </c>
      <c r="K422" t="s">
        <v>138</v>
      </c>
    </row>
    <row r="423" spans="1:11">
      <c r="A423" t="s">
        <v>653</v>
      </c>
      <c r="B423" s="3">
        <v>46271.870393518519</v>
      </c>
      <c r="C423" s="4">
        <v>46271</v>
      </c>
      <c r="D423" t="s">
        <v>385</v>
      </c>
      <c r="E423">
        <v>1004</v>
      </c>
      <c r="F423" t="s">
        <v>29</v>
      </c>
      <c r="G423" t="s">
        <v>140</v>
      </c>
      <c r="H423" t="s">
        <v>66</v>
      </c>
      <c r="I423" t="s">
        <v>99</v>
      </c>
      <c r="K423" t="s">
        <v>138</v>
      </c>
    </row>
    <row r="424" spans="1:11">
      <c r="A424" t="s">
        <v>654</v>
      </c>
      <c r="B424" s="3">
        <v>46272.366886574076</v>
      </c>
      <c r="C424" s="4">
        <v>46272</v>
      </c>
      <c r="D424" t="s">
        <v>397</v>
      </c>
      <c r="E424">
        <v>1011</v>
      </c>
      <c r="F424" t="s">
        <v>40</v>
      </c>
      <c r="G424" t="s">
        <v>137</v>
      </c>
      <c r="H424" t="s">
        <v>75</v>
      </c>
      <c r="I424" t="s">
        <v>102</v>
      </c>
      <c r="K424" t="s">
        <v>138</v>
      </c>
    </row>
    <row r="425" spans="1:11">
      <c r="A425" t="s">
        <v>655</v>
      </c>
      <c r="B425" s="3">
        <v>46272.405810185184</v>
      </c>
      <c r="C425" s="4">
        <v>46272</v>
      </c>
      <c r="D425" t="s">
        <v>397</v>
      </c>
      <c r="E425">
        <v>1004</v>
      </c>
      <c r="F425" t="s">
        <v>29</v>
      </c>
      <c r="G425" t="s">
        <v>137</v>
      </c>
      <c r="H425" t="s">
        <v>66</v>
      </c>
      <c r="I425" t="s">
        <v>99</v>
      </c>
      <c r="K425" t="s">
        <v>138</v>
      </c>
    </row>
    <row r="426" spans="1:11">
      <c r="A426" t="s">
        <v>656</v>
      </c>
      <c r="B426" s="3">
        <v>46272.409143518518</v>
      </c>
      <c r="C426" s="4">
        <v>46272</v>
      </c>
      <c r="D426" t="s">
        <v>397</v>
      </c>
      <c r="E426">
        <v>1013</v>
      </c>
      <c r="F426" t="s">
        <v>45</v>
      </c>
      <c r="G426" t="s">
        <v>137</v>
      </c>
      <c r="H426" t="s">
        <v>75</v>
      </c>
      <c r="I426" t="s">
        <v>102</v>
      </c>
      <c r="K426" t="s">
        <v>138</v>
      </c>
    </row>
    <row r="427" spans="1:11">
      <c r="A427" t="s">
        <v>657</v>
      </c>
      <c r="B427" s="3">
        <v>46272.409988425927</v>
      </c>
      <c r="C427" s="4">
        <v>46272</v>
      </c>
      <c r="D427" t="s">
        <v>397</v>
      </c>
      <c r="E427">
        <v>1001</v>
      </c>
      <c r="F427" t="s">
        <v>21</v>
      </c>
      <c r="G427" t="s">
        <v>137</v>
      </c>
      <c r="H427" t="s">
        <v>63</v>
      </c>
      <c r="I427" t="s">
        <v>93</v>
      </c>
      <c r="J427" t="s">
        <v>658</v>
      </c>
      <c r="K427" t="s">
        <v>138</v>
      </c>
    </row>
    <row r="428" spans="1:11">
      <c r="A428" t="s">
        <v>659</v>
      </c>
      <c r="B428" s="3">
        <v>46272.485208333332</v>
      </c>
      <c r="C428" s="4">
        <v>46272</v>
      </c>
      <c r="D428" t="s">
        <v>397</v>
      </c>
      <c r="E428">
        <v>1012</v>
      </c>
      <c r="F428" t="s">
        <v>42</v>
      </c>
      <c r="G428" t="s">
        <v>137</v>
      </c>
      <c r="H428" t="s">
        <v>75</v>
      </c>
      <c r="I428" t="s">
        <v>81</v>
      </c>
      <c r="J428" t="s">
        <v>660</v>
      </c>
      <c r="K428" t="s">
        <v>138</v>
      </c>
    </row>
    <row r="429" spans="1:11">
      <c r="A429" t="s">
        <v>661</v>
      </c>
      <c r="B429" s="3">
        <v>46272.496967592589</v>
      </c>
      <c r="C429" s="4">
        <v>46272</v>
      </c>
      <c r="D429" t="s">
        <v>397</v>
      </c>
      <c r="E429">
        <v>1003</v>
      </c>
      <c r="F429" t="s">
        <v>27</v>
      </c>
      <c r="G429" t="s">
        <v>140</v>
      </c>
      <c r="H429" t="s">
        <v>75</v>
      </c>
      <c r="I429" t="s">
        <v>102</v>
      </c>
      <c r="K429" t="s">
        <v>138</v>
      </c>
    </row>
    <row r="430" spans="1:11">
      <c r="A430" t="s">
        <v>662</v>
      </c>
      <c r="B430" s="3">
        <v>46272.500462962962</v>
      </c>
      <c r="C430" s="4">
        <v>46272</v>
      </c>
      <c r="D430" t="s">
        <v>397</v>
      </c>
      <c r="E430">
        <v>1013</v>
      </c>
      <c r="F430" t="s">
        <v>45</v>
      </c>
      <c r="G430" t="s">
        <v>140</v>
      </c>
      <c r="H430" t="s">
        <v>75</v>
      </c>
      <c r="I430" t="s">
        <v>102</v>
      </c>
      <c r="K430" t="s">
        <v>138</v>
      </c>
    </row>
    <row r="431" spans="1:11">
      <c r="A431" t="s">
        <v>663</v>
      </c>
      <c r="B431" s="3">
        <v>46272.536990740744</v>
      </c>
      <c r="C431" s="4">
        <v>46272</v>
      </c>
      <c r="D431" t="s">
        <v>397</v>
      </c>
      <c r="E431">
        <v>1004</v>
      </c>
      <c r="F431" t="s">
        <v>29</v>
      </c>
      <c r="G431" t="s">
        <v>140</v>
      </c>
      <c r="H431" t="s">
        <v>66</v>
      </c>
      <c r="I431" t="s">
        <v>99</v>
      </c>
      <c r="K431" t="s">
        <v>138</v>
      </c>
    </row>
    <row r="432" spans="1:11">
      <c r="A432" t="s">
        <v>664</v>
      </c>
      <c r="B432" s="3">
        <v>46272.540543981479</v>
      </c>
      <c r="C432" s="4">
        <v>46272</v>
      </c>
      <c r="D432" t="s">
        <v>397</v>
      </c>
      <c r="E432">
        <v>1002</v>
      </c>
      <c r="F432" t="s">
        <v>25</v>
      </c>
      <c r="G432" t="s">
        <v>137</v>
      </c>
      <c r="H432" t="s">
        <v>75</v>
      </c>
      <c r="I432" t="s">
        <v>102</v>
      </c>
      <c r="K432" t="s">
        <v>138</v>
      </c>
    </row>
    <row r="433" spans="1:11">
      <c r="A433" t="s">
        <v>665</v>
      </c>
      <c r="B433" s="3">
        <v>46272.542187500003</v>
      </c>
      <c r="C433" s="4">
        <v>46272</v>
      </c>
      <c r="D433" t="s">
        <v>397</v>
      </c>
      <c r="E433">
        <v>1003</v>
      </c>
      <c r="F433" t="s">
        <v>27</v>
      </c>
      <c r="G433" t="s">
        <v>137</v>
      </c>
      <c r="H433" t="s">
        <v>75</v>
      </c>
      <c r="I433" t="s">
        <v>102</v>
      </c>
      <c r="K433" t="s">
        <v>138</v>
      </c>
    </row>
    <row r="434" spans="1:11">
      <c r="A434" t="s">
        <v>666</v>
      </c>
      <c r="B434" s="3">
        <v>46272.562106481484</v>
      </c>
      <c r="C434" s="4">
        <v>46272</v>
      </c>
      <c r="D434" t="s">
        <v>397</v>
      </c>
      <c r="E434">
        <v>1011</v>
      </c>
      <c r="F434" t="s">
        <v>40</v>
      </c>
      <c r="G434" t="s">
        <v>140</v>
      </c>
      <c r="H434" t="s">
        <v>75</v>
      </c>
      <c r="I434" t="s">
        <v>102</v>
      </c>
      <c r="K434" t="s">
        <v>138</v>
      </c>
    </row>
    <row r="435" spans="1:11">
      <c r="A435" t="s">
        <v>667</v>
      </c>
      <c r="B435" s="3">
        <v>46272.584722222222</v>
      </c>
      <c r="C435" s="4">
        <v>46272</v>
      </c>
      <c r="D435" t="s">
        <v>397</v>
      </c>
      <c r="E435">
        <v>1011</v>
      </c>
      <c r="F435" t="s">
        <v>40</v>
      </c>
      <c r="G435" t="s">
        <v>137</v>
      </c>
      <c r="H435" t="s">
        <v>75</v>
      </c>
      <c r="I435" t="s">
        <v>102</v>
      </c>
      <c r="K435" t="s">
        <v>138</v>
      </c>
    </row>
    <row r="436" spans="1:11">
      <c r="A436" t="s">
        <v>668</v>
      </c>
      <c r="B436" s="3">
        <v>46272.608518518522</v>
      </c>
      <c r="C436" s="4">
        <v>46272</v>
      </c>
      <c r="D436" t="s">
        <v>397</v>
      </c>
      <c r="E436">
        <v>1004</v>
      </c>
      <c r="F436" t="s">
        <v>29</v>
      </c>
      <c r="G436" t="s">
        <v>137</v>
      </c>
      <c r="H436" t="s">
        <v>66</v>
      </c>
      <c r="I436" t="s">
        <v>99</v>
      </c>
      <c r="K436" t="s">
        <v>138</v>
      </c>
    </row>
    <row r="437" spans="1:11">
      <c r="A437" t="s">
        <v>669</v>
      </c>
      <c r="B437" s="3">
        <v>46272.613055555557</v>
      </c>
      <c r="C437" s="4">
        <v>46272</v>
      </c>
      <c r="D437" t="s">
        <v>397</v>
      </c>
      <c r="E437">
        <v>1013</v>
      </c>
      <c r="F437" t="s">
        <v>45</v>
      </c>
      <c r="G437" t="s">
        <v>137</v>
      </c>
      <c r="H437" t="s">
        <v>75</v>
      </c>
      <c r="I437" t="s">
        <v>102</v>
      </c>
      <c r="K437" t="s">
        <v>138</v>
      </c>
    </row>
    <row r="438" spans="1:11">
      <c r="A438" t="s">
        <v>670</v>
      </c>
      <c r="B438" s="3">
        <v>46272.715879629628</v>
      </c>
      <c r="C438" s="4">
        <v>46272</v>
      </c>
      <c r="D438" t="s">
        <v>397</v>
      </c>
      <c r="E438">
        <v>1001</v>
      </c>
      <c r="F438" t="s">
        <v>21</v>
      </c>
      <c r="G438" t="s">
        <v>140</v>
      </c>
      <c r="H438" t="s">
        <v>63</v>
      </c>
      <c r="I438" t="s">
        <v>93</v>
      </c>
      <c r="K438" t="s">
        <v>138</v>
      </c>
    </row>
    <row r="439" spans="1:11">
      <c r="A439" t="s">
        <v>671</v>
      </c>
      <c r="B439" s="3">
        <v>46272.735798611109</v>
      </c>
      <c r="C439" s="4">
        <v>46272</v>
      </c>
      <c r="D439" t="s">
        <v>397</v>
      </c>
      <c r="E439">
        <v>1001</v>
      </c>
      <c r="F439" t="s">
        <v>21</v>
      </c>
      <c r="G439" t="s">
        <v>137</v>
      </c>
      <c r="H439" t="s">
        <v>63</v>
      </c>
      <c r="I439" t="s">
        <v>93</v>
      </c>
      <c r="K439" t="s">
        <v>138</v>
      </c>
    </row>
    <row r="440" spans="1:11">
      <c r="A440" t="s">
        <v>672</v>
      </c>
      <c r="B440" s="3">
        <v>46272.746898148151</v>
      </c>
      <c r="C440" s="4">
        <v>46272</v>
      </c>
      <c r="D440" t="s">
        <v>397</v>
      </c>
      <c r="E440">
        <v>1002</v>
      </c>
      <c r="F440" t="s">
        <v>25</v>
      </c>
      <c r="G440" t="s">
        <v>140</v>
      </c>
      <c r="H440" t="s">
        <v>75</v>
      </c>
      <c r="I440" t="s">
        <v>102</v>
      </c>
      <c r="K440" t="s">
        <v>138</v>
      </c>
    </row>
    <row r="441" spans="1:11">
      <c r="A441" t="s">
        <v>673</v>
      </c>
      <c r="B441" s="3">
        <v>46272.763136574074</v>
      </c>
      <c r="C441" s="4">
        <v>46272</v>
      </c>
      <c r="D441" t="s">
        <v>397</v>
      </c>
      <c r="E441">
        <v>1003</v>
      </c>
      <c r="F441" t="s">
        <v>27</v>
      </c>
      <c r="G441" t="s">
        <v>140</v>
      </c>
      <c r="H441" t="s">
        <v>75</v>
      </c>
      <c r="I441" t="s">
        <v>102</v>
      </c>
      <c r="K441" t="s">
        <v>138</v>
      </c>
    </row>
    <row r="442" spans="1:11">
      <c r="A442" t="s">
        <v>674</v>
      </c>
      <c r="B442" s="3">
        <v>46272.766111111108</v>
      </c>
      <c r="C442" s="4">
        <v>46272</v>
      </c>
      <c r="D442" t="s">
        <v>397</v>
      </c>
      <c r="E442">
        <v>1001</v>
      </c>
      <c r="F442" t="s">
        <v>21</v>
      </c>
      <c r="G442" t="s">
        <v>140</v>
      </c>
      <c r="H442" t="s">
        <v>63</v>
      </c>
      <c r="I442" t="s">
        <v>93</v>
      </c>
      <c r="K442" t="s">
        <v>138</v>
      </c>
    </row>
    <row r="443" spans="1:11">
      <c r="A443" t="s">
        <v>675</v>
      </c>
      <c r="B443" s="3">
        <v>46272.772268518522</v>
      </c>
      <c r="C443" s="4">
        <v>46272</v>
      </c>
      <c r="D443" t="s">
        <v>397</v>
      </c>
      <c r="E443">
        <v>1011</v>
      </c>
      <c r="F443" t="s">
        <v>40</v>
      </c>
      <c r="G443" t="s">
        <v>140</v>
      </c>
      <c r="H443" t="s">
        <v>75</v>
      </c>
      <c r="I443" t="s">
        <v>102</v>
      </c>
      <c r="K443" t="s">
        <v>138</v>
      </c>
    </row>
    <row r="444" spans="1:11">
      <c r="A444" t="s">
        <v>676</v>
      </c>
      <c r="B444" s="3">
        <v>46272.778749999998</v>
      </c>
      <c r="C444" s="4">
        <v>46272</v>
      </c>
      <c r="D444" t="s">
        <v>397</v>
      </c>
      <c r="E444">
        <v>1013</v>
      </c>
      <c r="F444" t="s">
        <v>45</v>
      </c>
      <c r="G444" t="s">
        <v>140</v>
      </c>
      <c r="H444" t="s">
        <v>75</v>
      </c>
      <c r="I444" t="s">
        <v>102</v>
      </c>
      <c r="K444" t="s">
        <v>138</v>
      </c>
    </row>
    <row r="445" spans="1:11">
      <c r="A445" t="s">
        <v>677</v>
      </c>
      <c r="B445" s="3">
        <v>46272.830081018517</v>
      </c>
      <c r="C445" s="4">
        <v>46272</v>
      </c>
      <c r="D445" t="s">
        <v>397</v>
      </c>
      <c r="E445">
        <v>1004</v>
      </c>
      <c r="F445" t="s">
        <v>29</v>
      </c>
      <c r="G445" t="s">
        <v>140</v>
      </c>
      <c r="H445" t="s">
        <v>66</v>
      </c>
      <c r="I445" t="s">
        <v>99</v>
      </c>
      <c r="K445" t="s">
        <v>138</v>
      </c>
    </row>
    <row r="446" spans="1:11">
      <c r="A446" t="s">
        <v>678</v>
      </c>
      <c r="B446" s="3">
        <v>46273.329768518517</v>
      </c>
      <c r="C446" s="4">
        <v>46273</v>
      </c>
      <c r="D446" t="s">
        <v>136</v>
      </c>
      <c r="E446">
        <v>1011</v>
      </c>
      <c r="F446" t="s">
        <v>40</v>
      </c>
      <c r="G446" t="s">
        <v>137</v>
      </c>
      <c r="H446" t="s">
        <v>66</v>
      </c>
      <c r="I446" t="s">
        <v>102</v>
      </c>
      <c r="K446" t="s">
        <v>138</v>
      </c>
    </row>
    <row r="447" spans="1:11">
      <c r="A447" t="s">
        <v>679</v>
      </c>
      <c r="B447" s="3">
        <v>46273.345868055556</v>
      </c>
      <c r="C447" s="4">
        <v>46273</v>
      </c>
      <c r="D447" t="s">
        <v>136</v>
      </c>
      <c r="E447">
        <v>1003</v>
      </c>
      <c r="F447" t="s">
        <v>27</v>
      </c>
      <c r="G447" t="s">
        <v>137</v>
      </c>
      <c r="H447" t="s">
        <v>75</v>
      </c>
      <c r="I447" t="s">
        <v>102</v>
      </c>
      <c r="K447" t="s">
        <v>138</v>
      </c>
    </row>
    <row r="448" spans="1:11">
      <c r="A448" t="s">
        <v>680</v>
      </c>
      <c r="B448" s="3">
        <v>46273.354155092595</v>
      </c>
      <c r="C448" s="4">
        <v>46273</v>
      </c>
      <c r="D448" t="s">
        <v>136</v>
      </c>
      <c r="E448">
        <v>1002</v>
      </c>
      <c r="F448" t="s">
        <v>25</v>
      </c>
      <c r="G448" t="s">
        <v>137</v>
      </c>
      <c r="H448" t="s">
        <v>75</v>
      </c>
      <c r="I448" t="s">
        <v>102</v>
      </c>
      <c r="K448" t="s">
        <v>138</v>
      </c>
    </row>
    <row r="449" spans="1:11">
      <c r="A449" t="s">
        <v>681</v>
      </c>
      <c r="B449" s="3">
        <v>46273.359814814816</v>
      </c>
      <c r="C449" s="4">
        <v>46273</v>
      </c>
      <c r="D449" t="s">
        <v>136</v>
      </c>
      <c r="E449">
        <v>1015</v>
      </c>
      <c r="F449" t="s">
        <v>47</v>
      </c>
      <c r="G449" t="s">
        <v>137</v>
      </c>
      <c r="H449" t="s">
        <v>81</v>
      </c>
      <c r="I449" t="s">
        <v>81</v>
      </c>
      <c r="K449" t="s">
        <v>138</v>
      </c>
    </row>
    <row r="450" spans="1:11">
      <c r="A450" t="s">
        <v>682</v>
      </c>
      <c r="B450" s="3">
        <v>46273.377974537034</v>
      </c>
      <c r="C450" s="4">
        <v>46273</v>
      </c>
      <c r="D450" t="s">
        <v>136</v>
      </c>
      <c r="E450">
        <v>1006</v>
      </c>
      <c r="F450" t="s">
        <v>33</v>
      </c>
      <c r="G450" t="s">
        <v>137</v>
      </c>
      <c r="H450" t="s">
        <v>84</v>
      </c>
      <c r="I450" t="s">
        <v>96</v>
      </c>
      <c r="J450" t="s">
        <v>683</v>
      </c>
      <c r="K450" t="s">
        <v>138</v>
      </c>
    </row>
    <row r="451" spans="1:11">
      <c r="A451" t="s">
        <v>684</v>
      </c>
      <c r="B451" s="3">
        <v>46273.379618055558</v>
      </c>
      <c r="C451" s="4">
        <v>46273</v>
      </c>
      <c r="D451" t="s">
        <v>136</v>
      </c>
      <c r="E451">
        <v>1016</v>
      </c>
      <c r="F451" t="s">
        <v>49</v>
      </c>
      <c r="G451" t="s">
        <v>137</v>
      </c>
      <c r="H451" t="s">
        <v>60</v>
      </c>
      <c r="I451" t="s">
        <v>102</v>
      </c>
      <c r="K451" t="s">
        <v>138</v>
      </c>
    </row>
    <row r="452" spans="1:11">
      <c r="A452" t="s">
        <v>685</v>
      </c>
      <c r="B452" s="3">
        <v>46273.382800925923</v>
      </c>
      <c r="C452" s="4">
        <v>46273</v>
      </c>
      <c r="D452" t="s">
        <v>136</v>
      </c>
      <c r="E452">
        <v>1012</v>
      </c>
      <c r="F452" t="s">
        <v>42</v>
      </c>
      <c r="G452" t="s">
        <v>137</v>
      </c>
      <c r="H452" t="s">
        <v>66</v>
      </c>
      <c r="I452" t="s">
        <v>93</v>
      </c>
      <c r="J452" t="s">
        <v>686</v>
      </c>
      <c r="K452" t="s">
        <v>138</v>
      </c>
    </row>
    <row r="453" spans="1:11">
      <c r="A453" t="s">
        <v>687</v>
      </c>
      <c r="B453" s="3">
        <v>46273.395416666666</v>
      </c>
      <c r="C453" s="4">
        <v>46273</v>
      </c>
      <c r="D453" t="s">
        <v>136</v>
      </c>
      <c r="E453">
        <v>1004</v>
      </c>
      <c r="F453" t="s">
        <v>29</v>
      </c>
      <c r="G453" t="s">
        <v>137</v>
      </c>
      <c r="H453" t="s">
        <v>63</v>
      </c>
      <c r="I453" t="s">
        <v>99</v>
      </c>
      <c r="J453" t="s">
        <v>688</v>
      </c>
      <c r="K453" t="s">
        <v>138</v>
      </c>
    </row>
    <row r="454" spans="1:11">
      <c r="A454" t="s">
        <v>689</v>
      </c>
      <c r="B454" s="3">
        <v>46273.425486111111</v>
      </c>
      <c r="C454" s="4">
        <v>46273</v>
      </c>
      <c r="D454" t="s">
        <v>136</v>
      </c>
      <c r="E454">
        <v>1014</v>
      </c>
      <c r="F454" t="s">
        <v>46</v>
      </c>
      <c r="G454" t="s">
        <v>137</v>
      </c>
      <c r="H454" t="s">
        <v>63</v>
      </c>
      <c r="I454" t="s">
        <v>96</v>
      </c>
      <c r="K454" t="s">
        <v>138</v>
      </c>
    </row>
    <row r="455" spans="1:11">
      <c r="A455" t="s">
        <v>690</v>
      </c>
      <c r="B455" s="3">
        <v>46273.453530092593</v>
      </c>
      <c r="C455" s="4">
        <v>46273</v>
      </c>
      <c r="D455" t="s">
        <v>136</v>
      </c>
      <c r="E455">
        <v>1004</v>
      </c>
      <c r="F455" t="s">
        <v>29</v>
      </c>
      <c r="G455" t="s">
        <v>140</v>
      </c>
      <c r="H455" t="s">
        <v>63</v>
      </c>
      <c r="I455" t="s">
        <v>99</v>
      </c>
      <c r="K455" t="s">
        <v>138</v>
      </c>
    </row>
    <row r="456" spans="1:11">
      <c r="A456" t="s">
        <v>691</v>
      </c>
      <c r="B456" s="3">
        <v>46273.454282407409</v>
      </c>
      <c r="C456" s="4">
        <v>46273</v>
      </c>
      <c r="D456" t="s">
        <v>136</v>
      </c>
      <c r="E456">
        <v>1004</v>
      </c>
      <c r="F456" t="s">
        <v>29</v>
      </c>
      <c r="G456" t="s">
        <v>137</v>
      </c>
      <c r="H456" t="s">
        <v>78</v>
      </c>
      <c r="I456" t="s">
        <v>99</v>
      </c>
      <c r="J456" t="s">
        <v>692</v>
      </c>
      <c r="K456" t="s">
        <v>138</v>
      </c>
    </row>
    <row r="457" spans="1:11">
      <c r="A457" t="s">
        <v>693</v>
      </c>
      <c r="B457" s="3">
        <v>46273.499513888892</v>
      </c>
      <c r="C457" s="4">
        <v>46273</v>
      </c>
      <c r="D457" t="s">
        <v>136</v>
      </c>
      <c r="E457">
        <v>1003</v>
      </c>
      <c r="F457" t="s">
        <v>27</v>
      </c>
      <c r="G457" t="s">
        <v>140</v>
      </c>
      <c r="H457" t="s">
        <v>66</v>
      </c>
      <c r="I457" t="s">
        <v>102</v>
      </c>
      <c r="K457" t="s">
        <v>138</v>
      </c>
    </row>
    <row r="458" spans="1:11">
      <c r="A458" t="s">
        <v>694</v>
      </c>
      <c r="B458" s="3">
        <v>46273.50708333333</v>
      </c>
      <c r="C458" s="4">
        <v>46273</v>
      </c>
      <c r="D458" t="s">
        <v>136</v>
      </c>
      <c r="E458">
        <v>1004</v>
      </c>
      <c r="F458" t="s">
        <v>29</v>
      </c>
      <c r="G458" t="s">
        <v>140</v>
      </c>
      <c r="H458" t="s">
        <v>66</v>
      </c>
      <c r="I458" t="s">
        <v>102</v>
      </c>
      <c r="K458" t="s">
        <v>138</v>
      </c>
    </row>
    <row r="459" spans="1:11">
      <c r="A459" t="s">
        <v>695</v>
      </c>
      <c r="B459" s="3">
        <v>46273.507476851853</v>
      </c>
      <c r="C459" s="4">
        <v>46273</v>
      </c>
      <c r="D459" t="s">
        <v>136</v>
      </c>
      <c r="E459">
        <v>1004</v>
      </c>
      <c r="F459" t="s">
        <v>29</v>
      </c>
      <c r="G459" t="s">
        <v>140</v>
      </c>
      <c r="H459" t="s">
        <v>78</v>
      </c>
      <c r="I459" t="s">
        <v>99</v>
      </c>
      <c r="J459" t="s">
        <v>692</v>
      </c>
      <c r="K459" t="s">
        <v>138</v>
      </c>
    </row>
    <row r="460" spans="1:11">
      <c r="A460" t="s">
        <v>696</v>
      </c>
      <c r="B460" s="3">
        <v>46273.517824074072</v>
      </c>
      <c r="C460" s="4">
        <v>46273</v>
      </c>
      <c r="D460" t="s">
        <v>136</v>
      </c>
      <c r="E460">
        <v>1011</v>
      </c>
      <c r="F460" t="s">
        <v>40</v>
      </c>
      <c r="G460" t="s">
        <v>140</v>
      </c>
      <c r="H460" t="s">
        <v>66</v>
      </c>
      <c r="I460" t="s">
        <v>102</v>
      </c>
      <c r="K460" t="s">
        <v>138</v>
      </c>
    </row>
    <row r="461" spans="1:11">
      <c r="A461" t="s">
        <v>697</v>
      </c>
      <c r="B461" s="3">
        <v>46273.518460648149</v>
      </c>
      <c r="C461" s="4">
        <v>46273</v>
      </c>
      <c r="D461" t="s">
        <v>136</v>
      </c>
      <c r="E461">
        <v>1002</v>
      </c>
      <c r="F461" t="s">
        <v>25</v>
      </c>
      <c r="G461" t="s">
        <v>140</v>
      </c>
      <c r="H461" t="s">
        <v>75</v>
      </c>
      <c r="I461" t="s">
        <v>102</v>
      </c>
      <c r="K461" t="s">
        <v>138</v>
      </c>
    </row>
    <row r="462" spans="1:11">
      <c r="A462" t="s">
        <v>698</v>
      </c>
      <c r="B462" s="3">
        <v>46273.522650462961</v>
      </c>
      <c r="C462" s="4">
        <v>46273</v>
      </c>
      <c r="D462" t="s">
        <v>136</v>
      </c>
      <c r="E462">
        <v>1016</v>
      </c>
      <c r="F462" t="s">
        <v>49</v>
      </c>
      <c r="G462" t="s">
        <v>140</v>
      </c>
      <c r="H462" t="s">
        <v>60</v>
      </c>
      <c r="I462" t="s">
        <v>102</v>
      </c>
      <c r="K462" t="s">
        <v>138</v>
      </c>
    </row>
    <row r="463" spans="1:11">
      <c r="A463" t="s">
        <v>699</v>
      </c>
      <c r="B463" s="3">
        <v>46273.535960648151</v>
      </c>
      <c r="C463" s="4">
        <v>46273</v>
      </c>
      <c r="D463" t="s">
        <v>136</v>
      </c>
      <c r="E463">
        <v>1012</v>
      </c>
      <c r="F463" t="s">
        <v>42</v>
      </c>
      <c r="G463" t="s">
        <v>140</v>
      </c>
      <c r="H463" t="s">
        <v>66</v>
      </c>
      <c r="I463" t="s">
        <v>93</v>
      </c>
      <c r="K463" t="s">
        <v>138</v>
      </c>
    </row>
    <row r="464" spans="1:11">
      <c r="A464" t="s">
        <v>700</v>
      </c>
      <c r="B464" s="3">
        <v>46273.537523148145</v>
      </c>
      <c r="C464" s="4">
        <v>46273</v>
      </c>
      <c r="D464" t="s">
        <v>136</v>
      </c>
      <c r="E464">
        <v>1015</v>
      </c>
      <c r="F464" t="s">
        <v>47</v>
      </c>
      <c r="G464" t="s">
        <v>140</v>
      </c>
      <c r="H464" t="s">
        <v>81</v>
      </c>
      <c r="I464" t="s">
        <v>81</v>
      </c>
      <c r="K464" t="s">
        <v>138</v>
      </c>
    </row>
    <row r="465" spans="1:11">
      <c r="A465" t="s">
        <v>701</v>
      </c>
      <c r="B465" s="3">
        <v>46273.539872685185</v>
      </c>
      <c r="C465" s="4">
        <v>46273</v>
      </c>
      <c r="D465" t="s">
        <v>136</v>
      </c>
      <c r="E465">
        <v>1011</v>
      </c>
      <c r="F465" t="s">
        <v>40</v>
      </c>
      <c r="G465" t="s">
        <v>137</v>
      </c>
      <c r="H465" t="s">
        <v>66</v>
      </c>
      <c r="I465" t="s">
        <v>102</v>
      </c>
      <c r="K465" t="s">
        <v>138</v>
      </c>
    </row>
    <row r="466" spans="1:11">
      <c r="A466" t="s">
        <v>702</v>
      </c>
      <c r="B466" s="3">
        <v>46273.541678240741</v>
      </c>
      <c r="C466" s="4">
        <v>46273</v>
      </c>
      <c r="D466" t="s">
        <v>136</v>
      </c>
      <c r="E466">
        <v>1014</v>
      </c>
      <c r="F466" t="s">
        <v>46</v>
      </c>
      <c r="G466" t="s">
        <v>140</v>
      </c>
      <c r="H466" t="s">
        <v>63</v>
      </c>
      <c r="I466" t="s">
        <v>96</v>
      </c>
      <c r="K466" t="s">
        <v>138</v>
      </c>
    </row>
    <row r="467" spans="1:11">
      <c r="A467" t="s">
        <v>703</v>
      </c>
      <c r="B467" s="3">
        <v>46273.558738425927</v>
      </c>
      <c r="C467" s="4">
        <v>46273</v>
      </c>
      <c r="D467" t="s">
        <v>136</v>
      </c>
      <c r="E467">
        <v>1003</v>
      </c>
      <c r="F467" t="s">
        <v>27</v>
      </c>
      <c r="G467" t="s">
        <v>137</v>
      </c>
      <c r="H467" t="s">
        <v>63</v>
      </c>
      <c r="I467" t="s">
        <v>102</v>
      </c>
      <c r="K467" t="s">
        <v>138</v>
      </c>
    </row>
    <row r="468" spans="1:11">
      <c r="A468" t="s">
        <v>704</v>
      </c>
      <c r="B468" s="3">
        <v>46273.564016203702</v>
      </c>
      <c r="C468" s="4">
        <v>46273</v>
      </c>
      <c r="D468" t="s">
        <v>136</v>
      </c>
      <c r="E468">
        <v>1002</v>
      </c>
      <c r="F468" t="s">
        <v>25</v>
      </c>
      <c r="G468" t="s">
        <v>137</v>
      </c>
      <c r="H468" t="s">
        <v>60</v>
      </c>
      <c r="I468" t="s">
        <v>102</v>
      </c>
      <c r="K468" t="s">
        <v>138</v>
      </c>
    </row>
    <row r="469" spans="1:11">
      <c r="A469" t="s">
        <v>705</v>
      </c>
      <c r="B469" s="3">
        <v>46273.574270833335</v>
      </c>
      <c r="C469" s="4">
        <v>46273</v>
      </c>
      <c r="D469" t="s">
        <v>136</v>
      </c>
      <c r="E469">
        <v>1016</v>
      </c>
      <c r="F469" t="s">
        <v>49</v>
      </c>
      <c r="G469" t="s">
        <v>137</v>
      </c>
      <c r="H469" t="s">
        <v>60</v>
      </c>
      <c r="I469" t="s">
        <v>102</v>
      </c>
      <c r="K469" t="s">
        <v>138</v>
      </c>
    </row>
    <row r="470" spans="1:11">
      <c r="A470" t="s">
        <v>706</v>
      </c>
      <c r="B470" s="3">
        <v>46273.575243055559</v>
      </c>
      <c r="C470" s="4">
        <v>46273</v>
      </c>
      <c r="D470" t="s">
        <v>136</v>
      </c>
      <c r="E470">
        <v>1012</v>
      </c>
      <c r="F470" t="s">
        <v>42</v>
      </c>
      <c r="G470" t="s">
        <v>137</v>
      </c>
      <c r="H470" t="s">
        <v>66</v>
      </c>
      <c r="I470" t="s">
        <v>93</v>
      </c>
      <c r="K470" t="s">
        <v>138</v>
      </c>
    </row>
    <row r="471" spans="1:11">
      <c r="A471" t="s">
        <v>707</v>
      </c>
      <c r="B471" s="3">
        <v>46273.578356481485</v>
      </c>
      <c r="C471" s="4">
        <v>46273</v>
      </c>
      <c r="D471" t="s">
        <v>136</v>
      </c>
      <c r="E471">
        <v>1015</v>
      </c>
      <c r="F471" t="s">
        <v>47</v>
      </c>
      <c r="G471" t="s">
        <v>137</v>
      </c>
      <c r="H471" t="s">
        <v>81</v>
      </c>
      <c r="I471" t="s">
        <v>81</v>
      </c>
      <c r="K471" t="s">
        <v>138</v>
      </c>
    </row>
    <row r="472" spans="1:11">
      <c r="A472" t="s">
        <v>708</v>
      </c>
      <c r="B472" s="3">
        <v>46273.585590277777</v>
      </c>
      <c r="C472" s="4">
        <v>46273</v>
      </c>
      <c r="D472" t="s">
        <v>136</v>
      </c>
      <c r="E472">
        <v>1014</v>
      </c>
      <c r="F472" t="s">
        <v>46</v>
      </c>
      <c r="G472" t="s">
        <v>137</v>
      </c>
      <c r="H472" t="s">
        <v>69</v>
      </c>
      <c r="I472" t="s">
        <v>96</v>
      </c>
      <c r="K472" t="s">
        <v>138</v>
      </c>
    </row>
    <row r="473" spans="1:11">
      <c r="A473" t="s">
        <v>709</v>
      </c>
      <c r="B473" s="3">
        <v>46273.61577546296</v>
      </c>
      <c r="C473" s="4">
        <v>46273</v>
      </c>
      <c r="D473" t="s">
        <v>136</v>
      </c>
      <c r="E473">
        <v>1004</v>
      </c>
      <c r="F473" t="s">
        <v>29</v>
      </c>
      <c r="G473" t="s">
        <v>137</v>
      </c>
      <c r="H473" t="s">
        <v>66</v>
      </c>
      <c r="I473" t="s">
        <v>99</v>
      </c>
      <c r="K473" t="s">
        <v>138</v>
      </c>
    </row>
    <row r="474" spans="1:11">
      <c r="A474" t="s">
        <v>710</v>
      </c>
      <c r="B474" s="3">
        <v>46273.669976851852</v>
      </c>
      <c r="C474" s="4">
        <v>46273</v>
      </c>
      <c r="D474" t="s">
        <v>136</v>
      </c>
      <c r="E474">
        <v>1001</v>
      </c>
      <c r="F474" t="s">
        <v>21</v>
      </c>
      <c r="G474" t="s">
        <v>140</v>
      </c>
      <c r="H474" t="s">
        <v>63</v>
      </c>
      <c r="I474" t="s">
        <v>93</v>
      </c>
      <c r="J474" t="s">
        <v>711</v>
      </c>
      <c r="K474" t="s">
        <v>138</v>
      </c>
    </row>
    <row r="475" spans="1:11">
      <c r="A475" t="s">
        <v>712</v>
      </c>
      <c r="B475" s="3">
        <v>46273.670138888891</v>
      </c>
      <c r="C475" s="4">
        <v>46273</v>
      </c>
      <c r="D475" t="s">
        <v>136</v>
      </c>
      <c r="E475">
        <v>1001</v>
      </c>
      <c r="F475" t="s">
        <v>21</v>
      </c>
      <c r="G475" t="s">
        <v>140</v>
      </c>
      <c r="H475" t="s">
        <v>63</v>
      </c>
      <c r="I475" t="s">
        <v>93</v>
      </c>
      <c r="J475" t="s">
        <v>711</v>
      </c>
      <c r="K475" t="s">
        <v>138</v>
      </c>
    </row>
    <row r="476" spans="1:11">
      <c r="A476" t="s">
        <v>713</v>
      </c>
      <c r="B476" s="3">
        <v>46273.670810185184</v>
      </c>
      <c r="C476" s="4">
        <v>46273</v>
      </c>
      <c r="D476" t="s">
        <v>136</v>
      </c>
      <c r="E476">
        <v>1001</v>
      </c>
      <c r="F476" t="s">
        <v>21</v>
      </c>
      <c r="G476" t="s">
        <v>140</v>
      </c>
      <c r="H476" t="s">
        <v>63</v>
      </c>
      <c r="I476" t="s">
        <v>93</v>
      </c>
      <c r="J476" t="s">
        <v>711</v>
      </c>
      <c r="K476" t="s">
        <v>138</v>
      </c>
    </row>
    <row r="477" spans="1:11">
      <c r="A477" t="s">
        <v>714</v>
      </c>
      <c r="B477" s="3">
        <v>46273.711435185185</v>
      </c>
      <c r="C477" s="4">
        <v>46273</v>
      </c>
      <c r="D477" t="s">
        <v>136</v>
      </c>
      <c r="E477">
        <v>1001</v>
      </c>
      <c r="F477" t="s">
        <v>21</v>
      </c>
      <c r="G477" t="s">
        <v>137</v>
      </c>
      <c r="H477" t="s">
        <v>63</v>
      </c>
      <c r="I477" t="s">
        <v>93</v>
      </c>
      <c r="J477" t="s">
        <v>711</v>
      </c>
      <c r="K477" t="s">
        <v>138</v>
      </c>
    </row>
    <row r="478" spans="1:11">
      <c r="A478" t="s">
        <v>715</v>
      </c>
      <c r="B478" s="3">
        <v>46273.719594907408</v>
      </c>
      <c r="C478" s="4">
        <v>46273</v>
      </c>
      <c r="D478" t="s">
        <v>136</v>
      </c>
      <c r="E478">
        <v>1006</v>
      </c>
      <c r="F478" t="s">
        <v>33</v>
      </c>
      <c r="G478" t="s">
        <v>140</v>
      </c>
      <c r="H478" t="s">
        <v>84</v>
      </c>
      <c r="I478" t="s">
        <v>96</v>
      </c>
      <c r="J478" t="s">
        <v>716</v>
      </c>
      <c r="K478" t="s">
        <v>138</v>
      </c>
    </row>
    <row r="479" spans="1:11">
      <c r="A479" t="s">
        <v>717</v>
      </c>
      <c r="B479" s="3">
        <v>46273.741157407407</v>
      </c>
      <c r="C479" s="4">
        <v>46273</v>
      </c>
      <c r="D479" t="s">
        <v>136</v>
      </c>
      <c r="E479">
        <v>1015</v>
      </c>
      <c r="F479" t="s">
        <v>47</v>
      </c>
      <c r="G479" t="s">
        <v>140</v>
      </c>
      <c r="H479" t="s">
        <v>81</v>
      </c>
      <c r="I479" t="s">
        <v>81</v>
      </c>
      <c r="K479" t="s">
        <v>138</v>
      </c>
    </row>
    <row r="480" spans="1:11">
      <c r="A480" t="s">
        <v>718</v>
      </c>
      <c r="B480" s="3">
        <v>46273.747025462966</v>
      </c>
      <c r="C480" s="4">
        <v>46273</v>
      </c>
      <c r="D480" t="s">
        <v>136</v>
      </c>
      <c r="E480">
        <v>1003</v>
      </c>
      <c r="F480" t="s">
        <v>27</v>
      </c>
      <c r="G480" t="s">
        <v>140</v>
      </c>
      <c r="H480" t="s">
        <v>75</v>
      </c>
      <c r="I480" t="s">
        <v>102</v>
      </c>
      <c r="K480" t="s">
        <v>138</v>
      </c>
    </row>
    <row r="481" spans="1:11">
      <c r="A481" t="s">
        <v>719</v>
      </c>
      <c r="B481" s="3">
        <v>46273.74927083333</v>
      </c>
      <c r="C481" s="4">
        <v>46273</v>
      </c>
      <c r="D481" t="s">
        <v>136</v>
      </c>
      <c r="E481">
        <v>1002</v>
      </c>
      <c r="F481" t="s">
        <v>25</v>
      </c>
      <c r="G481" t="s">
        <v>140</v>
      </c>
      <c r="H481" t="s">
        <v>60</v>
      </c>
      <c r="I481" t="s">
        <v>102</v>
      </c>
      <c r="K481" t="s">
        <v>138</v>
      </c>
    </row>
    <row r="482" spans="1:11">
      <c r="A482" t="s">
        <v>720</v>
      </c>
      <c r="B482" s="3">
        <v>46273.750393518516</v>
      </c>
      <c r="C482" s="4">
        <v>46273</v>
      </c>
      <c r="D482" t="s">
        <v>136</v>
      </c>
      <c r="E482">
        <v>1011</v>
      </c>
      <c r="F482" t="s">
        <v>40</v>
      </c>
      <c r="G482" t="s">
        <v>140</v>
      </c>
      <c r="H482" t="s">
        <v>66</v>
      </c>
      <c r="I482" t="s">
        <v>102</v>
      </c>
      <c r="K482" t="s">
        <v>138</v>
      </c>
    </row>
    <row r="483" spans="1:11">
      <c r="A483" t="s">
        <v>721</v>
      </c>
      <c r="B483" s="3">
        <v>46273.759652777779</v>
      </c>
      <c r="C483" s="4">
        <v>46273</v>
      </c>
      <c r="D483" t="s">
        <v>136</v>
      </c>
      <c r="E483">
        <v>1012</v>
      </c>
      <c r="F483" t="s">
        <v>42</v>
      </c>
      <c r="G483" t="s">
        <v>140</v>
      </c>
      <c r="H483" t="s">
        <v>66</v>
      </c>
      <c r="I483" t="s">
        <v>93</v>
      </c>
      <c r="J483" t="s">
        <v>722</v>
      </c>
      <c r="K483" t="s">
        <v>138</v>
      </c>
    </row>
    <row r="484" spans="1:11">
      <c r="A484" t="s">
        <v>723</v>
      </c>
      <c r="B484" s="3">
        <v>46273.760694444441</v>
      </c>
      <c r="C484" s="4">
        <v>46273</v>
      </c>
      <c r="D484" t="s">
        <v>136</v>
      </c>
      <c r="E484">
        <v>1014</v>
      </c>
      <c r="F484" t="s">
        <v>46</v>
      </c>
      <c r="G484" t="s">
        <v>140</v>
      </c>
      <c r="H484" t="s">
        <v>69</v>
      </c>
      <c r="I484" t="s">
        <v>96</v>
      </c>
      <c r="J484" t="s">
        <v>722</v>
      </c>
      <c r="K484" t="s">
        <v>138</v>
      </c>
    </row>
    <row r="485" spans="1:11">
      <c r="A485" t="s">
        <v>724</v>
      </c>
      <c r="B485" s="3">
        <v>46273.762708333335</v>
      </c>
      <c r="C485" s="4">
        <v>46273</v>
      </c>
      <c r="D485" t="s">
        <v>136</v>
      </c>
      <c r="E485">
        <v>1016</v>
      </c>
      <c r="F485" t="s">
        <v>49</v>
      </c>
      <c r="G485" t="s">
        <v>140</v>
      </c>
      <c r="H485" t="s">
        <v>60</v>
      </c>
      <c r="I485" t="s">
        <v>102</v>
      </c>
      <c r="K485" t="s">
        <v>138</v>
      </c>
    </row>
    <row r="486" spans="1:11">
      <c r="A486" t="s">
        <v>725</v>
      </c>
      <c r="B486" s="3">
        <v>46273.764525462961</v>
      </c>
      <c r="C486" s="4">
        <v>46273</v>
      </c>
      <c r="D486" t="s">
        <v>136</v>
      </c>
      <c r="E486">
        <v>1006</v>
      </c>
      <c r="F486" t="s">
        <v>33</v>
      </c>
      <c r="G486" t="s">
        <v>137</v>
      </c>
      <c r="H486" t="s">
        <v>84</v>
      </c>
      <c r="I486" t="s">
        <v>96</v>
      </c>
      <c r="J486" t="s">
        <v>726</v>
      </c>
      <c r="K486" t="s">
        <v>138</v>
      </c>
    </row>
    <row r="487" spans="1:11">
      <c r="A487" t="s">
        <v>727</v>
      </c>
      <c r="B487" s="3">
        <v>46273.776736111111</v>
      </c>
      <c r="C487" s="4">
        <v>46273</v>
      </c>
      <c r="D487" t="s">
        <v>136</v>
      </c>
      <c r="E487">
        <v>1004</v>
      </c>
      <c r="F487" t="s">
        <v>29</v>
      </c>
      <c r="G487" t="s">
        <v>140</v>
      </c>
      <c r="H487" t="s">
        <v>66</v>
      </c>
      <c r="I487" t="s">
        <v>99</v>
      </c>
      <c r="K487" t="s">
        <v>138</v>
      </c>
    </row>
    <row r="488" spans="1:11">
      <c r="A488" t="s">
        <v>728</v>
      </c>
      <c r="B488" s="3">
        <v>46273.823449074072</v>
      </c>
      <c r="C488" s="4">
        <v>46273</v>
      </c>
      <c r="D488" t="s">
        <v>136</v>
      </c>
      <c r="E488">
        <v>1004</v>
      </c>
      <c r="F488" t="s">
        <v>29</v>
      </c>
      <c r="G488" t="s">
        <v>137</v>
      </c>
      <c r="H488" t="s">
        <v>78</v>
      </c>
      <c r="I488" t="s">
        <v>99</v>
      </c>
      <c r="J488" t="s">
        <v>692</v>
      </c>
      <c r="K488" t="s">
        <v>138</v>
      </c>
    </row>
    <row r="489" spans="1:11">
      <c r="A489" t="s">
        <v>729</v>
      </c>
      <c r="B489" s="3">
        <v>46273.902731481481</v>
      </c>
      <c r="C489" s="4">
        <v>46273</v>
      </c>
      <c r="D489" t="s">
        <v>136</v>
      </c>
      <c r="E489">
        <v>1006</v>
      </c>
      <c r="F489" t="s">
        <v>33</v>
      </c>
      <c r="G489" t="s">
        <v>140</v>
      </c>
      <c r="H489" t="s">
        <v>84</v>
      </c>
      <c r="I489" t="s">
        <v>96</v>
      </c>
      <c r="J489" t="s">
        <v>716</v>
      </c>
      <c r="K489" t="s">
        <v>138</v>
      </c>
    </row>
    <row r="490" spans="1:11">
      <c r="A490" t="s">
        <v>730</v>
      </c>
      <c r="B490" s="3">
        <v>46273.904733796298</v>
      </c>
      <c r="C490" s="4">
        <v>46273</v>
      </c>
      <c r="D490" t="s">
        <v>136</v>
      </c>
      <c r="E490">
        <v>1001</v>
      </c>
      <c r="F490" t="s">
        <v>21</v>
      </c>
      <c r="G490" t="s">
        <v>140</v>
      </c>
      <c r="H490" t="s">
        <v>63</v>
      </c>
      <c r="I490" t="s">
        <v>93</v>
      </c>
      <c r="J490" t="s">
        <v>731</v>
      </c>
      <c r="K490" t="s">
        <v>138</v>
      </c>
    </row>
    <row r="491" spans="1:11">
      <c r="A491" t="s">
        <v>732</v>
      </c>
      <c r="B491" s="3">
        <v>46273.92396990741</v>
      </c>
      <c r="C491" s="4">
        <v>46273</v>
      </c>
      <c r="D491" t="s">
        <v>136</v>
      </c>
      <c r="E491">
        <v>1004</v>
      </c>
      <c r="F491" t="s">
        <v>29</v>
      </c>
      <c r="G491" t="s">
        <v>140</v>
      </c>
      <c r="H491" t="s">
        <v>78</v>
      </c>
      <c r="I491" t="s">
        <v>99</v>
      </c>
      <c r="J491" t="s">
        <v>733</v>
      </c>
      <c r="K491" t="s">
        <v>138</v>
      </c>
    </row>
    <row r="492" spans="1:11">
      <c r="A492" t="s">
        <v>734</v>
      </c>
      <c r="B492" s="3">
        <v>46274.288148148145</v>
      </c>
      <c r="C492" s="4">
        <v>46274</v>
      </c>
      <c r="D492" t="s">
        <v>153</v>
      </c>
      <c r="E492">
        <v>1001</v>
      </c>
      <c r="F492" t="s">
        <v>21</v>
      </c>
      <c r="G492" t="s">
        <v>137</v>
      </c>
      <c r="H492" t="s">
        <v>63</v>
      </c>
      <c r="I492" t="s">
        <v>93</v>
      </c>
      <c r="J492" t="s">
        <v>735</v>
      </c>
      <c r="K492" t="s">
        <v>138</v>
      </c>
    </row>
    <row r="493" spans="1:11">
      <c r="A493" t="s">
        <v>736</v>
      </c>
      <c r="B493" s="3">
        <v>46274.323506944442</v>
      </c>
      <c r="C493" s="4">
        <v>46274</v>
      </c>
      <c r="D493" t="s">
        <v>153</v>
      </c>
      <c r="E493">
        <v>1006</v>
      </c>
      <c r="F493" t="s">
        <v>33</v>
      </c>
      <c r="G493" t="s">
        <v>137</v>
      </c>
      <c r="H493" t="s">
        <v>84</v>
      </c>
      <c r="I493" t="s">
        <v>96</v>
      </c>
      <c r="J493" t="s">
        <v>737</v>
      </c>
      <c r="K493" t="s">
        <v>138</v>
      </c>
    </row>
    <row r="494" spans="1:11">
      <c r="A494" t="s">
        <v>738</v>
      </c>
      <c r="B494" s="3">
        <v>46274.330775462964</v>
      </c>
      <c r="C494" s="4">
        <v>46274</v>
      </c>
      <c r="D494" t="s">
        <v>153</v>
      </c>
      <c r="E494">
        <v>1011</v>
      </c>
      <c r="F494" t="s">
        <v>40</v>
      </c>
      <c r="G494" t="s">
        <v>137</v>
      </c>
      <c r="H494" t="s">
        <v>66</v>
      </c>
      <c r="I494" t="s">
        <v>102</v>
      </c>
      <c r="K494" t="s">
        <v>138</v>
      </c>
    </row>
    <row r="495" spans="1:11">
      <c r="A495" t="s">
        <v>739</v>
      </c>
      <c r="B495" s="3">
        <v>46274.333402777775</v>
      </c>
      <c r="C495" s="4">
        <v>46274</v>
      </c>
      <c r="D495" t="s">
        <v>153</v>
      </c>
      <c r="E495">
        <v>1013</v>
      </c>
      <c r="F495" t="s">
        <v>45</v>
      </c>
      <c r="G495" t="s">
        <v>137</v>
      </c>
      <c r="H495" t="s">
        <v>75</v>
      </c>
      <c r="I495" t="s">
        <v>102</v>
      </c>
      <c r="K495" t="s">
        <v>138</v>
      </c>
    </row>
    <row r="496" spans="1:11">
      <c r="A496" t="s">
        <v>740</v>
      </c>
      <c r="B496" s="3">
        <v>46274.354629629626</v>
      </c>
      <c r="C496" s="4">
        <v>46274</v>
      </c>
      <c r="D496" t="s">
        <v>153</v>
      </c>
      <c r="E496">
        <v>1002</v>
      </c>
      <c r="F496" t="s">
        <v>25</v>
      </c>
      <c r="G496" t="s">
        <v>137</v>
      </c>
      <c r="H496" t="s">
        <v>60</v>
      </c>
      <c r="I496" t="s">
        <v>102</v>
      </c>
      <c r="K496" t="s">
        <v>138</v>
      </c>
    </row>
    <row r="497" spans="1:11">
      <c r="A497" t="s">
        <v>741</v>
      </c>
      <c r="B497" s="3">
        <v>46274.359039351853</v>
      </c>
      <c r="C497" s="4">
        <v>46274</v>
      </c>
      <c r="D497" t="s">
        <v>153</v>
      </c>
      <c r="E497">
        <v>1016</v>
      </c>
      <c r="F497" t="s">
        <v>49</v>
      </c>
      <c r="G497" t="s">
        <v>137</v>
      </c>
      <c r="H497" t="s">
        <v>60</v>
      </c>
      <c r="I497" t="s">
        <v>102</v>
      </c>
      <c r="K497" t="s">
        <v>138</v>
      </c>
    </row>
    <row r="498" spans="1:11">
      <c r="A498" t="s">
        <v>742</v>
      </c>
      <c r="B498" s="3">
        <v>46274.384745370371</v>
      </c>
      <c r="C498" s="4">
        <v>46274</v>
      </c>
      <c r="D498" t="s">
        <v>153</v>
      </c>
      <c r="E498">
        <v>1012</v>
      </c>
      <c r="F498" t="s">
        <v>42</v>
      </c>
      <c r="G498" t="s">
        <v>137</v>
      </c>
      <c r="H498" t="s">
        <v>66</v>
      </c>
      <c r="I498" t="s">
        <v>93</v>
      </c>
      <c r="J498" t="s">
        <v>743</v>
      </c>
      <c r="K498" t="s">
        <v>138</v>
      </c>
    </row>
    <row r="499" spans="1:11">
      <c r="A499" t="s">
        <v>744</v>
      </c>
      <c r="B499" s="3">
        <v>46274.394745370373</v>
      </c>
      <c r="C499" s="4">
        <v>46274</v>
      </c>
      <c r="D499" t="s">
        <v>153</v>
      </c>
      <c r="E499">
        <v>1014</v>
      </c>
      <c r="F499" t="s">
        <v>46</v>
      </c>
      <c r="G499" t="s">
        <v>137</v>
      </c>
      <c r="H499" t="s">
        <v>69</v>
      </c>
      <c r="I499" t="s">
        <v>96</v>
      </c>
      <c r="J499" t="s">
        <v>745</v>
      </c>
      <c r="K499" t="s">
        <v>138</v>
      </c>
    </row>
    <row r="500" spans="1:11" ht="14.25">
      <c r="A500" t="s">
        <v>746</v>
      </c>
      <c r="B500" s="3">
        <v>46274.3981712963</v>
      </c>
      <c r="C500" s="4">
        <v>46274</v>
      </c>
      <c r="D500" t="s">
        <v>153</v>
      </c>
      <c r="E500">
        <v>1015</v>
      </c>
      <c r="F500" t="s">
        <v>47</v>
      </c>
      <c r="G500" t="s">
        <v>137</v>
      </c>
      <c r="H500" t="s">
        <v>81</v>
      </c>
      <c r="I500" t="s">
        <v>81</v>
      </c>
      <c r="K500" t="s">
        <v>138</v>
      </c>
    </row>
    <row r="501" spans="1:11" ht="14.25">
      <c r="A501" t="s">
        <v>747</v>
      </c>
      <c r="B501" s="3">
        <v>46274.406157407408</v>
      </c>
      <c r="C501" s="4">
        <v>46274</v>
      </c>
      <c r="D501" t="s">
        <v>153</v>
      </c>
      <c r="E501">
        <v>1010</v>
      </c>
      <c r="F501" t="s">
        <v>39</v>
      </c>
      <c r="G501" t="s">
        <v>137</v>
      </c>
      <c r="H501" t="s">
        <v>69</v>
      </c>
      <c r="I501" t="s">
        <v>96</v>
      </c>
      <c r="K501" t="s">
        <v>138</v>
      </c>
    </row>
    <row r="502" spans="1:11" ht="14.25">
      <c r="A502" t="s">
        <v>748</v>
      </c>
      <c r="B502" s="3">
        <v>46274.436168981483</v>
      </c>
      <c r="C502" s="4">
        <v>46274</v>
      </c>
      <c r="D502" t="s">
        <v>153</v>
      </c>
      <c r="E502">
        <v>1004</v>
      </c>
      <c r="F502" t="s">
        <v>29</v>
      </c>
      <c r="G502" t="s">
        <v>137</v>
      </c>
      <c r="H502" t="s">
        <v>66</v>
      </c>
      <c r="I502" t="s">
        <v>99</v>
      </c>
      <c r="K502" t="s">
        <v>138</v>
      </c>
    </row>
    <row r="503" spans="1:11" ht="14.25">
      <c r="A503" t="s">
        <v>749</v>
      </c>
      <c r="B503" s="3">
        <v>46274.459606481483</v>
      </c>
      <c r="C503" s="4">
        <v>46274</v>
      </c>
      <c r="D503" t="s">
        <v>153</v>
      </c>
      <c r="E503">
        <v>1006</v>
      </c>
      <c r="F503" t="s">
        <v>33</v>
      </c>
      <c r="G503" t="s">
        <v>140</v>
      </c>
      <c r="H503" t="s">
        <v>87</v>
      </c>
      <c r="I503" t="s">
        <v>96</v>
      </c>
      <c r="J503" t="s">
        <v>750</v>
      </c>
      <c r="K503" t="s">
        <v>138</v>
      </c>
    </row>
    <row r="504" spans="1:11" ht="14.25">
      <c r="A504" t="s">
        <v>751</v>
      </c>
      <c r="B504" s="3">
        <v>46274.459988425922</v>
      </c>
      <c r="C504" s="4">
        <v>46274</v>
      </c>
      <c r="D504" t="s">
        <v>153</v>
      </c>
      <c r="E504">
        <v>1006</v>
      </c>
      <c r="F504" t="s">
        <v>33</v>
      </c>
      <c r="G504" t="s">
        <v>140</v>
      </c>
      <c r="H504" t="s">
        <v>87</v>
      </c>
      <c r="I504" t="s">
        <v>96</v>
      </c>
      <c r="J504" t="s">
        <v>750</v>
      </c>
      <c r="K504" t="s">
        <v>138</v>
      </c>
    </row>
    <row r="505" spans="1:11" ht="14.25">
      <c r="A505" t="s">
        <v>752</v>
      </c>
      <c r="B505" s="3">
        <v>46274.460358796299</v>
      </c>
      <c r="C505" s="4">
        <v>46274</v>
      </c>
      <c r="D505" t="s">
        <v>153</v>
      </c>
      <c r="E505">
        <v>1006</v>
      </c>
      <c r="F505" t="s">
        <v>33</v>
      </c>
      <c r="G505" t="s">
        <v>140</v>
      </c>
      <c r="H505" t="s">
        <v>87</v>
      </c>
      <c r="I505" t="s">
        <v>96</v>
      </c>
      <c r="J505" t="s">
        <v>750</v>
      </c>
      <c r="K505" t="s">
        <v>138</v>
      </c>
    </row>
    <row r="506" spans="1:11" ht="14.25">
      <c r="A506" t="s">
        <v>753</v>
      </c>
      <c r="B506" s="3">
        <v>46274.460439814815</v>
      </c>
      <c r="C506" s="4">
        <v>46274</v>
      </c>
      <c r="D506" t="s">
        <v>153</v>
      </c>
      <c r="E506">
        <v>1006</v>
      </c>
      <c r="F506" t="s">
        <v>33</v>
      </c>
      <c r="G506" t="s">
        <v>140</v>
      </c>
      <c r="H506" t="s">
        <v>87</v>
      </c>
      <c r="I506" t="s">
        <v>96</v>
      </c>
      <c r="J506" t="s">
        <v>750</v>
      </c>
      <c r="K506" t="s">
        <v>138</v>
      </c>
    </row>
    <row r="507" spans="1:11" ht="14.25">
      <c r="A507" t="s">
        <v>754</v>
      </c>
      <c r="B507" s="3">
        <v>46274.46056712963</v>
      </c>
      <c r="C507" s="4">
        <v>46274</v>
      </c>
      <c r="D507" t="s">
        <v>153</v>
      </c>
      <c r="E507">
        <v>1006</v>
      </c>
      <c r="F507" t="s">
        <v>33</v>
      </c>
      <c r="G507" t="s">
        <v>140</v>
      </c>
      <c r="H507" t="s">
        <v>87</v>
      </c>
      <c r="I507" t="s">
        <v>96</v>
      </c>
      <c r="J507" t="s">
        <v>750</v>
      </c>
      <c r="K507" t="s">
        <v>138</v>
      </c>
    </row>
    <row r="508" spans="1:11" ht="14.25">
      <c r="A508" t="s">
        <v>755</v>
      </c>
      <c r="B508" s="3">
        <v>46274.460752314815</v>
      </c>
      <c r="C508" s="4">
        <v>46274</v>
      </c>
      <c r="D508" t="s">
        <v>153</v>
      </c>
      <c r="E508">
        <v>1006</v>
      </c>
      <c r="F508" t="s">
        <v>33</v>
      </c>
      <c r="G508" t="s">
        <v>140</v>
      </c>
      <c r="H508" t="s">
        <v>84</v>
      </c>
      <c r="I508" t="s">
        <v>96</v>
      </c>
      <c r="J508" t="s">
        <v>750</v>
      </c>
      <c r="K508" t="s">
        <v>138</v>
      </c>
    </row>
    <row r="509" spans="1:11" ht="14.25">
      <c r="A509" t="s">
        <v>756</v>
      </c>
      <c r="B509" s="3">
        <v>46274.477187500001</v>
      </c>
      <c r="C509" s="4">
        <v>46274</v>
      </c>
      <c r="D509" t="s">
        <v>153</v>
      </c>
      <c r="E509">
        <v>1013</v>
      </c>
      <c r="F509" t="s">
        <v>45</v>
      </c>
      <c r="G509" t="s">
        <v>140</v>
      </c>
      <c r="H509" t="s">
        <v>75</v>
      </c>
      <c r="I509" t="s">
        <v>102</v>
      </c>
      <c r="K509" t="s">
        <v>138</v>
      </c>
    </row>
    <row r="510" spans="1:11" ht="14.25">
      <c r="A510" t="s">
        <v>757</v>
      </c>
      <c r="B510" s="3">
        <v>46274.498726851853</v>
      </c>
      <c r="C510" s="4">
        <v>46274</v>
      </c>
      <c r="D510" t="s">
        <v>153</v>
      </c>
      <c r="E510">
        <v>1013</v>
      </c>
      <c r="F510" t="s">
        <v>45</v>
      </c>
      <c r="G510" t="s">
        <v>137</v>
      </c>
      <c r="H510" t="s">
        <v>75</v>
      </c>
      <c r="I510" t="s">
        <v>102</v>
      </c>
      <c r="K510" t="s">
        <v>138</v>
      </c>
    </row>
    <row r="511" spans="1:11" ht="14.25">
      <c r="A511" t="s">
        <v>758</v>
      </c>
      <c r="B511" s="3">
        <v>46274.512499999997</v>
      </c>
      <c r="C511" s="4">
        <v>46274</v>
      </c>
      <c r="D511" t="s">
        <v>153</v>
      </c>
      <c r="E511">
        <v>1011</v>
      </c>
      <c r="F511" t="s">
        <v>40</v>
      </c>
      <c r="G511" t="s">
        <v>140</v>
      </c>
      <c r="H511" t="s">
        <v>66</v>
      </c>
      <c r="I511" t="s">
        <v>102</v>
      </c>
      <c r="K511" t="s">
        <v>138</v>
      </c>
    </row>
    <row r="512" spans="1:11" ht="14.25">
      <c r="A512" t="s">
        <v>759</v>
      </c>
      <c r="B512" s="3">
        <v>46274.523981481485</v>
      </c>
      <c r="C512" s="4">
        <v>46274</v>
      </c>
      <c r="D512" t="s">
        <v>153</v>
      </c>
      <c r="E512">
        <v>1003</v>
      </c>
      <c r="F512" t="s">
        <v>27</v>
      </c>
      <c r="G512" t="s">
        <v>140</v>
      </c>
      <c r="H512" t="s">
        <v>66</v>
      </c>
      <c r="I512" t="s">
        <v>102</v>
      </c>
      <c r="K512" t="s">
        <v>138</v>
      </c>
    </row>
    <row r="513" spans="1:11" ht="14.25">
      <c r="A513" t="s">
        <v>760</v>
      </c>
      <c r="B513" s="3">
        <v>46274.524386574078</v>
      </c>
      <c r="C513" s="4">
        <v>46274</v>
      </c>
      <c r="D513" t="s">
        <v>153</v>
      </c>
      <c r="E513">
        <v>1014</v>
      </c>
      <c r="F513" t="s">
        <v>46</v>
      </c>
      <c r="G513" t="s">
        <v>140</v>
      </c>
      <c r="H513" t="s">
        <v>69</v>
      </c>
      <c r="I513" t="s">
        <v>96</v>
      </c>
      <c r="J513" t="s">
        <v>761</v>
      </c>
      <c r="K513" t="s">
        <v>138</v>
      </c>
    </row>
    <row r="514" spans="1:11" ht="14.25">
      <c r="A514" t="s">
        <v>762</v>
      </c>
      <c r="B514" s="3">
        <v>46274.533946759257</v>
      </c>
      <c r="C514" s="4">
        <v>46274</v>
      </c>
      <c r="D514" t="s">
        <v>153</v>
      </c>
      <c r="E514">
        <v>1004</v>
      </c>
      <c r="F514" t="s">
        <v>29</v>
      </c>
      <c r="G514" t="s">
        <v>140</v>
      </c>
      <c r="H514" t="s">
        <v>66</v>
      </c>
      <c r="I514" t="s">
        <v>99</v>
      </c>
      <c r="K514" t="s">
        <v>138</v>
      </c>
    </row>
    <row r="515" spans="1:11" ht="14.25">
      <c r="A515" t="s">
        <v>763</v>
      </c>
      <c r="B515" s="3">
        <v>46274.537453703706</v>
      </c>
      <c r="C515" s="4">
        <v>46274</v>
      </c>
      <c r="D515" t="s">
        <v>153</v>
      </c>
      <c r="E515">
        <v>1011</v>
      </c>
      <c r="F515" t="s">
        <v>40</v>
      </c>
      <c r="G515" t="s">
        <v>137</v>
      </c>
      <c r="H515" t="s">
        <v>66</v>
      </c>
      <c r="I515" t="s">
        <v>102</v>
      </c>
      <c r="K515" t="s">
        <v>138</v>
      </c>
    </row>
    <row r="516" spans="1:11" ht="14.25">
      <c r="A516" t="s">
        <v>764</v>
      </c>
      <c r="B516" s="3">
        <v>46274.539606481485</v>
      </c>
      <c r="C516" s="4">
        <v>46274</v>
      </c>
      <c r="D516" t="s">
        <v>153</v>
      </c>
      <c r="E516">
        <v>1015</v>
      </c>
      <c r="F516" t="s">
        <v>47</v>
      </c>
      <c r="G516" t="s">
        <v>140</v>
      </c>
      <c r="H516" t="s">
        <v>81</v>
      </c>
      <c r="I516" t="s">
        <v>81</v>
      </c>
      <c r="K516" t="s">
        <v>138</v>
      </c>
    </row>
    <row r="517" spans="1:11" ht="14.25">
      <c r="A517" t="s">
        <v>765</v>
      </c>
      <c r="B517" s="3">
        <v>46274.542395833334</v>
      </c>
      <c r="C517" s="4">
        <v>46274</v>
      </c>
      <c r="D517" t="s">
        <v>153</v>
      </c>
      <c r="E517">
        <v>1010</v>
      </c>
      <c r="F517" t="s">
        <v>39</v>
      </c>
      <c r="G517" t="s">
        <v>140</v>
      </c>
      <c r="H517" t="s">
        <v>69</v>
      </c>
      <c r="I517" t="s">
        <v>96</v>
      </c>
      <c r="K517" t="s">
        <v>138</v>
      </c>
    </row>
    <row r="518" spans="1:11" ht="14.25">
      <c r="A518" t="s">
        <v>766</v>
      </c>
      <c r="B518" s="3">
        <v>46274.547372685185</v>
      </c>
      <c r="C518" s="4">
        <v>46274</v>
      </c>
      <c r="D518" t="s">
        <v>153</v>
      </c>
      <c r="E518">
        <v>1016</v>
      </c>
      <c r="F518" t="s">
        <v>49</v>
      </c>
      <c r="G518" t="s">
        <v>140</v>
      </c>
      <c r="H518" t="s">
        <v>60</v>
      </c>
      <c r="I518" t="s">
        <v>102</v>
      </c>
      <c r="K518" t="s">
        <v>138</v>
      </c>
    </row>
    <row r="519" spans="1:11" ht="14.25">
      <c r="A519" t="s">
        <v>767</v>
      </c>
      <c r="B519" s="3">
        <v>46274.556006944447</v>
      </c>
      <c r="C519" s="4">
        <v>46274</v>
      </c>
      <c r="D519" t="s">
        <v>153</v>
      </c>
      <c r="E519">
        <v>1002</v>
      </c>
      <c r="F519" t="s">
        <v>25</v>
      </c>
      <c r="G519" t="s">
        <v>137</v>
      </c>
      <c r="H519" t="s">
        <v>60</v>
      </c>
      <c r="I519" t="s">
        <v>102</v>
      </c>
      <c r="K519" t="s">
        <v>138</v>
      </c>
    </row>
    <row r="520" spans="1:11" ht="14.25">
      <c r="A520" t="s">
        <v>768</v>
      </c>
      <c r="B520" s="3">
        <v>46274.56082175926</v>
      </c>
      <c r="C520" s="4">
        <v>46274</v>
      </c>
      <c r="D520" t="s">
        <v>153</v>
      </c>
      <c r="E520">
        <v>1012</v>
      </c>
      <c r="F520" t="s">
        <v>42</v>
      </c>
      <c r="G520" t="s">
        <v>140</v>
      </c>
      <c r="H520" t="s">
        <v>66</v>
      </c>
      <c r="I520" t="s">
        <v>93</v>
      </c>
      <c r="K520" t="s">
        <v>138</v>
      </c>
    </row>
    <row r="521" spans="1:11" ht="14.25">
      <c r="A521" t="s">
        <v>769</v>
      </c>
      <c r="B521" s="3">
        <v>46274.561122685183</v>
      </c>
      <c r="C521" s="4">
        <v>46274</v>
      </c>
      <c r="D521" t="s">
        <v>153</v>
      </c>
      <c r="E521">
        <v>1012</v>
      </c>
      <c r="F521" t="s">
        <v>42</v>
      </c>
      <c r="G521" t="s">
        <v>140</v>
      </c>
      <c r="H521" t="s">
        <v>66</v>
      </c>
      <c r="I521" t="s">
        <v>93</v>
      </c>
      <c r="K521" t="s">
        <v>138</v>
      </c>
    </row>
    <row r="522" spans="1:11" ht="14.25">
      <c r="A522" t="s">
        <v>770</v>
      </c>
      <c r="B522" s="3">
        <v>46274.564375000002</v>
      </c>
      <c r="C522" s="4">
        <v>46274</v>
      </c>
      <c r="D522" t="s">
        <v>153</v>
      </c>
      <c r="E522">
        <v>1003</v>
      </c>
      <c r="F522" t="s">
        <v>27</v>
      </c>
      <c r="G522" t="s">
        <v>137</v>
      </c>
      <c r="H522" t="s">
        <v>75</v>
      </c>
      <c r="I522" t="s">
        <v>102</v>
      </c>
      <c r="K522" t="s">
        <v>138</v>
      </c>
    </row>
    <row r="523" spans="1:11" ht="14.25">
      <c r="A523" t="s">
        <v>771</v>
      </c>
      <c r="B523" s="3">
        <v>46274.573541666665</v>
      </c>
      <c r="C523" s="4">
        <v>46274</v>
      </c>
      <c r="D523" t="s">
        <v>153</v>
      </c>
      <c r="E523">
        <v>1014</v>
      </c>
      <c r="F523" t="s">
        <v>46</v>
      </c>
      <c r="G523" t="s">
        <v>137</v>
      </c>
      <c r="H523" t="s">
        <v>87</v>
      </c>
      <c r="I523" t="s">
        <v>96</v>
      </c>
      <c r="K523" t="s">
        <v>138</v>
      </c>
    </row>
    <row r="524" spans="1:11" ht="14.25">
      <c r="A524" t="s">
        <v>772</v>
      </c>
      <c r="B524" s="3">
        <v>46274.580439814818</v>
      </c>
      <c r="C524" s="4">
        <v>46274</v>
      </c>
      <c r="D524" t="s">
        <v>153</v>
      </c>
      <c r="E524">
        <v>1015</v>
      </c>
      <c r="F524" t="s">
        <v>47</v>
      </c>
      <c r="G524" t="s">
        <v>137</v>
      </c>
      <c r="H524" t="s">
        <v>81</v>
      </c>
      <c r="I524" t="s">
        <v>81</v>
      </c>
      <c r="K524" t="s">
        <v>138</v>
      </c>
    </row>
    <row r="525" spans="1:11" ht="14.25">
      <c r="A525" t="s">
        <v>773</v>
      </c>
      <c r="B525" s="3">
        <v>46274.591851851852</v>
      </c>
      <c r="C525" s="4">
        <v>46274</v>
      </c>
      <c r="D525" t="s">
        <v>153</v>
      </c>
      <c r="E525">
        <v>1010</v>
      </c>
      <c r="F525" t="s">
        <v>39</v>
      </c>
      <c r="G525" t="s">
        <v>137</v>
      </c>
      <c r="H525" t="s">
        <v>69</v>
      </c>
      <c r="I525" t="s">
        <v>96</v>
      </c>
      <c r="K525" t="s">
        <v>138</v>
      </c>
    </row>
    <row r="526" spans="1:11" ht="14.25">
      <c r="A526" t="s">
        <v>774</v>
      </c>
      <c r="B526" s="3">
        <v>46274.593449074076</v>
      </c>
      <c r="C526" s="4">
        <v>46274</v>
      </c>
      <c r="D526" t="s">
        <v>153</v>
      </c>
      <c r="E526">
        <v>1016</v>
      </c>
      <c r="F526" t="s">
        <v>49</v>
      </c>
      <c r="G526" t="s">
        <v>137</v>
      </c>
      <c r="H526" t="s">
        <v>60</v>
      </c>
      <c r="I526" t="s">
        <v>102</v>
      </c>
      <c r="K526" t="s">
        <v>138</v>
      </c>
    </row>
    <row r="527" spans="1:11" ht="14.25">
      <c r="A527" t="s">
        <v>775</v>
      </c>
      <c r="B527" s="3">
        <v>46274.595983796295</v>
      </c>
      <c r="C527" s="4">
        <v>46274</v>
      </c>
      <c r="D527" t="s">
        <v>153</v>
      </c>
      <c r="E527">
        <v>1012</v>
      </c>
      <c r="F527" t="s">
        <v>42</v>
      </c>
      <c r="G527" t="s">
        <v>137</v>
      </c>
      <c r="H527" t="s">
        <v>69</v>
      </c>
      <c r="I527" t="s">
        <v>96</v>
      </c>
      <c r="J527" t="s">
        <v>776</v>
      </c>
      <c r="K527" t="s">
        <v>138</v>
      </c>
    </row>
    <row r="528" spans="1:11" ht="14.25">
      <c r="A528" t="s">
        <v>777</v>
      </c>
      <c r="B528" s="3">
        <v>46274.611620370371</v>
      </c>
      <c r="C528" s="4">
        <v>46274</v>
      </c>
      <c r="D528" t="s">
        <v>153</v>
      </c>
      <c r="E528">
        <v>1006</v>
      </c>
      <c r="F528" t="s">
        <v>33</v>
      </c>
      <c r="G528" t="s">
        <v>137</v>
      </c>
      <c r="H528" t="s">
        <v>84</v>
      </c>
      <c r="I528" t="s">
        <v>96</v>
      </c>
      <c r="J528" t="s">
        <v>778</v>
      </c>
      <c r="K528" t="s">
        <v>138</v>
      </c>
    </row>
    <row r="529" spans="1:11" ht="14.25">
      <c r="A529" t="s">
        <v>779</v>
      </c>
      <c r="B529" s="3">
        <v>46274.620972222219</v>
      </c>
      <c r="C529" s="4">
        <v>46274</v>
      </c>
      <c r="D529" t="s">
        <v>153</v>
      </c>
      <c r="E529">
        <v>1004</v>
      </c>
      <c r="F529" t="s">
        <v>29</v>
      </c>
      <c r="G529" t="s">
        <v>137</v>
      </c>
      <c r="H529" t="s">
        <v>78</v>
      </c>
      <c r="I529" t="s">
        <v>99</v>
      </c>
      <c r="J529" t="s">
        <v>692</v>
      </c>
      <c r="K529" t="s">
        <v>138</v>
      </c>
    </row>
    <row r="530" spans="1:11" ht="14.25">
      <c r="A530" t="s">
        <v>780</v>
      </c>
      <c r="B530" s="3">
        <v>46274.66138888889</v>
      </c>
      <c r="C530" s="4">
        <v>46274</v>
      </c>
      <c r="D530" t="s">
        <v>153</v>
      </c>
      <c r="E530">
        <v>1001</v>
      </c>
      <c r="F530" t="s">
        <v>21</v>
      </c>
      <c r="G530" t="s">
        <v>140</v>
      </c>
      <c r="H530" t="s">
        <v>63</v>
      </c>
      <c r="I530" t="s">
        <v>93</v>
      </c>
      <c r="J530" t="s">
        <v>781</v>
      </c>
      <c r="K530" t="s">
        <v>138</v>
      </c>
    </row>
    <row r="531" spans="1:11" ht="14.25">
      <c r="A531" t="s">
        <v>782</v>
      </c>
      <c r="B531" s="3">
        <v>46274.686724537038</v>
      </c>
      <c r="C531" s="4">
        <v>46274</v>
      </c>
      <c r="D531" t="s">
        <v>153</v>
      </c>
      <c r="E531">
        <v>1001</v>
      </c>
      <c r="F531" t="s">
        <v>21</v>
      </c>
      <c r="G531" t="s">
        <v>137</v>
      </c>
      <c r="H531" t="s">
        <v>63</v>
      </c>
      <c r="I531" t="s">
        <v>93</v>
      </c>
      <c r="K531" t="s">
        <v>138</v>
      </c>
    </row>
    <row r="532" spans="1:11" ht="14.25">
      <c r="A532" t="s">
        <v>783</v>
      </c>
      <c r="B532" s="3">
        <v>46274.732083333336</v>
      </c>
      <c r="C532" s="4">
        <v>46274</v>
      </c>
      <c r="D532" t="s">
        <v>153</v>
      </c>
      <c r="E532">
        <v>1010</v>
      </c>
      <c r="F532" t="s">
        <v>39</v>
      </c>
      <c r="G532" t="s">
        <v>140</v>
      </c>
      <c r="H532" t="s">
        <v>69</v>
      </c>
      <c r="I532" t="s">
        <v>96</v>
      </c>
      <c r="K532" t="s">
        <v>138</v>
      </c>
    </row>
    <row r="533" spans="1:11" ht="14.25">
      <c r="A533" t="s">
        <v>784</v>
      </c>
      <c r="B533" s="3">
        <v>46274.746481481481</v>
      </c>
      <c r="C533" s="4">
        <v>46274</v>
      </c>
      <c r="D533" t="s">
        <v>153</v>
      </c>
      <c r="E533">
        <v>1011</v>
      </c>
      <c r="F533" t="s">
        <v>40</v>
      </c>
      <c r="G533" t="s">
        <v>140</v>
      </c>
      <c r="H533" t="s">
        <v>66</v>
      </c>
      <c r="I533" t="s">
        <v>102</v>
      </c>
      <c r="K533" t="s">
        <v>138</v>
      </c>
    </row>
    <row r="534" spans="1:11" ht="14.25">
      <c r="A534" t="s">
        <v>785</v>
      </c>
      <c r="B534" s="3">
        <v>46274.750196759262</v>
      </c>
      <c r="C534" s="4">
        <v>46274</v>
      </c>
      <c r="D534" t="s">
        <v>153</v>
      </c>
      <c r="E534">
        <v>1003</v>
      </c>
      <c r="F534" t="s">
        <v>27</v>
      </c>
      <c r="G534" t="s">
        <v>140</v>
      </c>
      <c r="H534" t="s">
        <v>66</v>
      </c>
      <c r="I534" t="s">
        <v>102</v>
      </c>
      <c r="K534" t="s">
        <v>138</v>
      </c>
    </row>
    <row r="535" spans="1:11" ht="14.25">
      <c r="A535" t="s">
        <v>786</v>
      </c>
      <c r="B535" s="3">
        <v>46274.750960648147</v>
      </c>
      <c r="C535" s="4">
        <v>46274</v>
      </c>
      <c r="D535" t="s">
        <v>153</v>
      </c>
      <c r="E535">
        <v>1015</v>
      </c>
      <c r="F535" t="s">
        <v>47</v>
      </c>
      <c r="G535" t="s">
        <v>140</v>
      </c>
      <c r="H535" t="s">
        <v>81</v>
      </c>
      <c r="I535" t="s">
        <v>81</v>
      </c>
      <c r="K535" t="s">
        <v>138</v>
      </c>
    </row>
    <row r="536" spans="1:11" ht="14.25">
      <c r="A536" t="s">
        <v>787</v>
      </c>
      <c r="B536" s="3">
        <v>46274.751539351855</v>
      </c>
      <c r="C536" s="4">
        <v>46274</v>
      </c>
      <c r="D536" t="s">
        <v>153</v>
      </c>
      <c r="E536">
        <v>1013</v>
      </c>
      <c r="F536" t="s">
        <v>45</v>
      </c>
      <c r="G536" t="s">
        <v>140</v>
      </c>
      <c r="H536" t="s">
        <v>75</v>
      </c>
      <c r="I536" t="s">
        <v>102</v>
      </c>
      <c r="K536" t="s">
        <v>138</v>
      </c>
    </row>
    <row r="537" spans="1:11" ht="14.25">
      <c r="A537" t="s">
        <v>788</v>
      </c>
      <c r="B537" s="3">
        <v>46274.753993055558</v>
      </c>
      <c r="C537" s="4">
        <v>46274</v>
      </c>
      <c r="D537" t="s">
        <v>153</v>
      </c>
      <c r="E537">
        <v>1014</v>
      </c>
      <c r="F537" t="s">
        <v>46</v>
      </c>
      <c r="G537" t="s">
        <v>140</v>
      </c>
      <c r="H537" t="s">
        <v>87</v>
      </c>
      <c r="I537" t="s">
        <v>96</v>
      </c>
      <c r="K537" t="s">
        <v>138</v>
      </c>
    </row>
    <row r="538" spans="1:11" ht="14.25">
      <c r="A538" t="s">
        <v>789</v>
      </c>
      <c r="B538" s="3">
        <v>46274.754432870373</v>
      </c>
      <c r="C538" s="4">
        <v>46274</v>
      </c>
      <c r="D538" t="s">
        <v>153</v>
      </c>
      <c r="E538">
        <v>1016</v>
      </c>
      <c r="F538" t="s">
        <v>49</v>
      </c>
      <c r="G538" t="s">
        <v>140</v>
      </c>
      <c r="H538" t="s">
        <v>60</v>
      </c>
      <c r="I538" t="s">
        <v>102</v>
      </c>
      <c r="K538" t="s">
        <v>138</v>
      </c>
    </row>
    <row r="539" spans="1:11" ht="14.25">
      <c r="A539" t="s">
        <v>790</v>
      </c>
      <c r="B539" s="3">
        <v>46274.757905092592</v>
      </c>
      <c r="C539" s="4">
        <v>46274</v>
      </c>
      <c r="D539" t="s">
        <v>153</v>
      </c>
      <c r="E539">
        <v>1012</v>
      </c>
      <c r="F539" t="s">
        <v>42</v>
      </c>
      <c r="G539" t="s">
        <v>140</v>
      </c>
      <c r="H539" t="s">
        <v>66</v>
      </c>
      <c r="I539" t="s">
        <v>93</v>
      </c>
      <c r="J539" t="s">
        <v>791</v>
      </c>
      <c r="K539" t="s">
        <v>138</v>
      </c>
    </row>
    <row r="540" spans="1:11" ht="14.25">
      <c r="A540" t="s">
        <v>792</v>
      </c>
      <c r="B540" s="3">
        <v>46274.812592592592</v>
      </c>
      <c r="C540" s="4">
        <v>46274</v>
      </c>
      <c r="D540" t="s">
        <v>153</v>
      </c>
      <c r="E540">
        <v>1001</v>
      </c>
      <c r="F540" t="s">
        <v>21</v>
      </c>
      <c r="G540" t="s">
        <v>140</v>
      </c>
      <c r="H540" t="s">
        <v>63</v>
      </c>
      <c r="I540" t="s">
        <v>93</v>
      </c>
      <c r="K540" t="s">
        <v>138</v>
      </c>
    </row>
    <row r="541" spans="1:11" ht="14.25">
      <c r="A541" t="s">
        <v>793</v>
      </c>
      <c r="B541" s="3">
        <v>46274.813518518517</v>
      </c>
      <c r="C541" s="4">
        <v>46274</v>
      </c>
      <c r="D541" t="s">
        <v>153</v>
      </c>
      <c r="E541">
        <v>1004</v>
      </c>
      <c r="F541" t="s">
        <v>29</v>
      </c>
      <c r="G541" t="s">
        <v>140</v>
      </c>
      <c r="H541" t="s">
        <v>78</v>
      </c>
      <c r="I541" t="s">
        <v>99</v>
      </c>
      <c r="J541" t="s">
        <v>794</v>
      </c>
      <c r="K541" t="s">
        <v>138</v>
      </c>
    </row>
    <row r="542" spans="1:11" ht="14.25">
      <c r="A542" t="s">
        <v>795</v>
      </c>
      <c r="B542" s="3">
        <v>46274.860925925925</v>
      </c>
      <c r="C542" s="4">
        <v>46274</v>
      </c>
      <c r="D542" t="s">
        <v>153</v>
      </c>
      <c r="E542">
        <v>1001</v>
      </c>
      <c r="F542" t="s">
        <v>21</v>
      </c>
      <c r="G542" t="s">
        <v>140</v>
      </c>
      <c r="H542" t="s">
        <v>63</v>
      </c>
      <c r="I542" t="s">
        <v>96</v>
      </c>
      <c r="K542" t="s">
        <v>138</v>
      </c>
    </row>
    <row r="543" spans="1:11" ht="14.25">
      <c r="A543" t="s">
        <v>796</v>
      </c>
      <c r="B543" s="3">
        <v>46274.944120370368</v>
      </c>
      <c r="C543" s="4">
        <v>46274</v>
      </c>
      <c r="D543" t="s">
        <v>153</v>
      </c>
      <c r="E543">
        <v>1006</v>
      </c>
      <c r="F543" t="s">
        <v>33</v>
      </c>
      <c r="G543" t="s">
        <v>140</v>
      </c>
      <c r="H543" t="s">
        <v>87</v>
      </c>
      <c r="I543" t="s">
        <v>96</v>
      </c>
      <c r="K543" t="s">
        <v>138</v>
      </c>
    </row>
    <row r="544" spans="1:11" ht="14.25">
      <c r="A544" t="s">
        <v>797</v>
      </c>
      <c r="B544" s="3">
        <v>46274.946180555555</v>
      </c>
      <c r="C544" s="4">
        <v>46274</v>
      </c>
      <c r="D544" t="s">
        <v>153</v>
      </c>
      <c r="E544">
        <v>1006</v>
      </c>
      <c r="F544" t="s">
        <v>33</v>
      </c>
      <c r="G544" t="s">
        <v>140</v>
      </c>
      <c r="H544" t="s">
        <v>81</v>
      </c>
      <c r="I544" t="s">
        <v>96</v>
      </c>
      <c r="J544" t="s">
        <v>798</v>
      </c>
      <c r="K544" t="s">
        <v>138</v>
      </c>
    </row>
    <row r="545" spans="1:11" ht="14.25">
      <c r="A545" t="s">
        <v>799</v>
      </c>
      <c r="B545" s="3">
        <v>46274.946469907409</v>
      </c>
      <c r="C545" s="4">
        <v>46274</v>
      </c>
      <c r="D545" t="s">
        <v>153</v>
      </c>
      <c r="E545">
        <v>1006</v>
      </c>
      <c r="F545" t="s">
        <v>33</v>
      </c>
      <c r="G545" t="s">
        <v>140</v>
      </c>
      <c r="H545" t="s">
        <v>84</v>
      </c>
      <c r="I545" t="s">
        <v>96</v>
      </c>
      <c r="J545" t="s">
        <v>798</v>
      </c>
      <c r="K545" t="s">
        <v>138</v>
      </c>
    </row>
    <row r="546" spans="1:11" ht="14.25">
      <c r="A546" t="s">
        <v>800</v>
      </c>
      <c r="B546" s="3">
        <v>46275.324317129627</v>
      </c>
      <c r="C546" s="4">
        <v>46275</v>
      </c>
      <c r="D546" t="s">
        <v>214</v>
      </c>
      <c r="E546">
        <v>1011</v>
      </c>
      <c r="F546" t="s">
        <v>40</v>
      </c>
      <c r="G546" t="s">
        <v>137</v>
      </c>
      <c r="H546" t="s">
        <v>69</v>
      </c>
      <c r="I546" t="s">
        <v>102</v>
      </c>
      <c r="K546" t="s">
        <v>138</v>
      </c>
    </row>
    <row r="547" spans="1:11" ht="14.25">
      <c r="A547" t="s">
        <v>801</v>
      </c>
      <c r="B547" s="3">
        <v>46275.330289351848</v>
      </c>
      <c r="C547" s="4">
        <v>46275</v>
      </c>
      <c r="D547" t="s">
        <v>214</v>
      </c>
      <c r="E547">
        <v>1002</v>
      </c>
      <c r="F547" t="s">
        <v>25</v>
      </c>
      <c r="G547" t="s">
        <v>137</v>
      </c>
      <c r="H547" t="s">
        <v>60</v>
      </c>
      <c r="I547" t="s">
        <v>102</v>
      </c>
      <c r="K547" t="s">
        <v>138</v>
      </c>
    </row>
    <row r="548" spans="1:11" ht="14.25">
      <c r="A548" t="s">
        <v>802</v>
      </c>
      <c r="B548" s="3">
        <v>46275.335231481484</v>
      </c>
      <c r="C548" s="4">
        <v>46275</v>
      </c>
      <c r="D548" t="s">
        <v>214</v>
      </c>
      <c r="E548">
        <v>1013</v>
      </c>
      <c r="F548" t="s">
        <v>45</v>
      </c>
      <c r="G548" t="s">
        <v>137</v>
      </c>
      <c r="H548" t="s">
        <v>75</v>
      </c>
      <c r="I548" t="s">
        <v>102</v>
      </c>
      <c r="K548" t="s">
        <v>138</v>
      </c>
    </row>
    <row r="549" spans="1:11" ht="14.25">
      <c r="A549" t="s">
        <v>803</v>
      </c>
      <c r="B549" s="3">
        <v>46275.344525462962</v>
      </c>
      <c r="C549" s="4">
        <v>46275</v>
      </c>
      <c r="D549" t="s">
        <v>214</v>
      </c>
      <c r="E549">
        <v>1003</v>
      </c>
      <c r="F549" t="s">
        <v>27</v>
      </c>
      <c r="G549" t="s">
        <v>137</v>
      </c>
      <c r="H549" t="s">
        <v>66</v>
      </c>
      <c r="I549" t="s">
        <v>102</v>
      </c>
      <c r="K549" t="s">
        <v>138</v>
      </c>
    </row>
    <row r="550" spans="1:11" ht="14.25">
      <c r="A550" t="s">
        <v>804</v>
      </c>
      <c r="B550" s="3">
        <v>46275.349675925929</v>
      </c>
      <c r="C550" s="4">
        <v>46275</v>
      </c>
      <c r="D550" t="s">
        <v>214</v>
      </c>
      <c r="E550">
        <v>1001</v>
      </c>
      <c r="F550" t="s">
        <v>21</v>
      </c>
      <c r="G550" t="s">
        <v>137</v>
      </c>
      <c r="H550" t="s">
        <v>63</v>
      </c>
      <c r="I550" t="s">
        <v>93</v>
      </c>
      <c r="K550" t="s">
        <v>138</v>
      </c>
    </row>
    <row r="551" spans="1:11" ht="14.25">
      <c r="A551" t="s">
        <v>805</v>
      </c>
      <c r="B551" s="3">
        <v>46275.366539351853</v>
      </c>
      <c r="C551" s="4">
        <v>46275</v>
      </c>
      <c r="D551" t="s">
        <v>214</v>
      </c>
      <c r="E551">
        <v>1016</v>
      </c>
      <c r="F551" t="s">
        <v>49</v>
      </c>
      <c r="G551" t="s">
        <v>137</v>
      </c>
      <c r="H551" t="s">
        <v>60</v>
      </c>
      <c r="I551" t="s">
        <v>102</v>
      </c>
      <c r="K551" t="s">
        <v>138</v>
      </c>
    </row>
    <row r="552" spans="1:11" ht="14.25">
      <c r="A552" t="s">
        <v>806</v>
      </c>
      <c r="B552" s="3">
        <v>46275.367476851854</v>
      </c>
      <c r="C552" s="4">
        <v>46275</v>
      </c>
      <c r="D552" t="s">
        <v>214</v>
      </c>
      <c r="E552">
        <v>1015</v>
      </c>
      <c r="F552" t="s">
        <v>47</v>
      </c>
      <c r="G552" t="s">
        <v>137</v>
      </c>
      <c r="H552" t="s">
        <v>81</v>
      </c>
      <c r="I552" t="s">
        <v>81</v>
      </c>
      <c r="K552" t="s">
        <v>138</v>
      </c>
    </row>
    <row r="553" spans="1:11" ht="14.25">
      <c r="A553" t="s">
        <v>807</v>
      </c>
      <c r="B553" s="3">
        <v>46275.383344907408</v>
      </c>
      <c r="C553" s="4">
        <v>46275</v>
      </c>
      <c r="D553" t="s">
        <v>214</v>
      </c>
      <c r="E553">
        <v>1006</v>
      </c>
      <c r="F553" t="s">
        <v>33</v>
      </c>
      <c r="G553" t="s">
        <v>137</v>
      </c>
      <c r="H553" t="s">
        <v>84</v>
      </c>
      <c r="I553" t="s">
        <v>96</v>
      </c>
      <c r="K553" t="s">
        <v>138</v>
      </c>
    </row>
    <row r="554" spans="1:11" ht="14.25">
      <c r="A554" t="s">
        <v>808</v>
      </c>
      <c r="B554" s="3">
        <v>46275.385671296295</v>
      </c>
      <c r="C554" s="4">
        <v>46275</v>
      </c>
      <c r="D554" t="s">
        <v>214</v>
      </c>
      <c r="E554">
        <v>1012</v>
      </c>
      <c r="F554" t="s">
        <v>42</v>
      </c>
      <c r="G554" t="s">
        <v>137</v>
      </c>
      <c r="H554" t="s">
        <v>69</v>
      </c>
      <c r="I554" t="s">
        <v>96</v>
      </c>
      <c r="K554" t="s">
        <v>138</v>
      </c>
    </row>
    <row r="555" spans="1:11" ht="14.25">
      <c r="A555" t="s">
        <v>809</v>
      </c>
      <c r="B555" s="3">
        <v>46275.388136574074</v>
      </c>
      <c r="C555" s="4">
        <v>46275</v>
      </c>
      <c r="D555" t="s">
        <v>214</v>
      </c>
      <c r="E555">
        <v>1010</v>
      </c>
      <c r="F555" t="s">
        <v>39</v>
      </c>
      <c r="G555" t="s">
        <v>137</v>
      </c>
      <c r="H555" t="s">
        <v>69</v>
      </c>
      <c r="I555" t="s">
        <v>96</v>
      </c>
      <c r="K555" t="s">
        <v>138</v>
      </c>
    </row>
    <row r="556" spans="1:11" ht="14.25">
      <c r="A556" t="s">
        <v>810</v>
      </c>
      <c r="B556" s="3">
        <v>46275.393020833333</v>
      </c>
      <c r="C556" s="4">
        <v>46275</v>
      </c>
      <c r="D556" t="s">
        <v>214</v>
      </c>
      <c r="E556">
        <v>1006</v>
      </c>
      <c r="F556" t="s">
        <v>33</v>
      </c>
      <c r="G556" t="s">
        <v>137</v>
      </c>
      <c r="H556" t="s">
        <v>84</v>
      </c>
      <c r="I556" t="s">
        <v>96</v>
      </c>
      <c r="J556" t="s">
        <v>811</v>
      </c>
      <c r="K556" t="s">
        <v>138</v>
      </c>
    </row>
    <row r="557" spans="1:11" ht="14.25">
      <c r="A557" t="s">
        <v>812</v>
      </c>
      <c r="B557" s="3">
        <v>46275.393113425926</v>
      </c>
      <c r="C557" s="4">
        <v>46275</v>
      </c>
      <c r="D557" t="s">
        <v>214</v>
      </c>
      <c r="E557">
        <v>1006</v>
      </c>
      <c r="F557" t="s">
        <v>33</v>
      </c>
      <c r="G557" t="s">
        <v>137</v>
      </c>
      <c r="H557" t="s">
        <v>84</v>
      </c>
      <c r="I557" t="s">
        <v>96</v>
      </c>
      <c r="J557" t="s">
        <v>811</v>
      </c>
      <c r="K557" t="s">
        <v>138</v>
      </c>
    </row>
    <row r="558" spans="1:11" ht="14.25">
      <c r="A558" t="s">
        <v>813</v>
      </c>
      <c r="B558" s="3">
        <v>46275.411736111113</v>
      </c>
      <c r="C558" s="4">
        <v>46275</v>
      </c>
      <c r="D558" t="s">
        <v>214</v>
      </c>
      <c r="E558">
        <v>1014</v>
      </c>
      <c r="F558" t="s">
        <v>46</v>
      </c>
      <c r="G558" t="s">
        <v>137</v>
      </c>
      <c r="H558" t="s">
        <v>87</v>
      </c>
      <c r="I558" t="s">
        <v>96</v>
      </c>
      <c r="K558" t="s">
        <v>138</v>
      </c>
    </row>
    <row r="559" spans="1:11" ht="14.25">
      <c r="A559" t="s">
        <v>814</v>
      </c>
      <c r="B559" s="3">
        <v>46275.417962962965</v>
      </c>
      <c r="C559" s="4">
        <v>46275</v>
      </c>
      <c r="D559" t="s">
        <v>214</v>
      </c>
      <c r="E559">
        <v>1004</v>
      </c>
      <c r="F559" t="s">
        <v>29</v>
      </c>
      <c r="G559" t="s">
        <v>137</v>
      </c>
      <c r="H559" t="s">
        <v>66</v>
      </c>
      <c r="I559" t="s">
        <v>99</v>
      </c>
      <c r="K559" t="s">
        <v>138</v>
      </c>
    </row>
    <row r="560" spans="1:11" ht="14.25">
      <c r="A560" t="s">
        <v>815</v>
      </c>
      <c r="B560" s="3">
        <v>46275.499027777776</v>
      </c>
      <c r="C560" s="4">
        <v>46275</v>
      </c>
      <c r="D560" t="s">
        <v>214</v>
      </c>
      <c r="E560">
        <v>1013</v>
      </c>
      <c r="F560" t="s">
        <v>45</v>
      </c>
      <c r="G560" t="s">
        <v>140</v>
      </c>
      <c r="H560" t="s">
        <v>75</v>
      </c>
      <c r="I560" t="s">
        <v>102</v>
      </c>
      <c r="K560" t="s">
        <v>138</v>
      </c>
    </row>
    <row r="561" spans="1:11" ht="14.25">
      <c r="A561" t="s">
        <v>816</v>
      </c>
      <c r="B561" s="3">
        <v>46275.506377314814</v>
      </c>
      <c r="C561" s="4">
        <v>46275</v>
      </c>
      <c r="D561" t="s">
        <v>214</v>
      </c>
      <c r="E561">
        <v>1011</v>
      </c>
      <c r="F561" t="s">
        <v>40</v>
      </c>
      <c r="G561" t="s">
        <v>137</v>
      </c>
      <c r="H561" t="s">
        <v>66</v>
      </c>
      <c r="I561" t="s">
        <v>102</v>
      </c>
      <c r="K561" t="s">
        <v>138</v>
      </c>
    </row>
    <row r="562" spans="1:11" ht="14.25">
      <c r="A562" t="s">
        <v>817</v>
      </c>
      <c r="B562" s="3">
        <v>46275.509502314817</v>
      </c>
      <c r="C562" s="4">
        <v>46275</v>
      </c>
      <c r="D562" t="s">
        <v>214</v>
      </c>
      <c r="E562">
        <v>1002</v>
      </c>
      <c r="F562" t="s">
        <v>25</v>
      </c>
      <c r="G562" t="s">
        <v>140</v>
      </c>
      <c r="H562" t="s">
        <v>60</v>
      </c>
      <c r="I562" t="s">
        <v>102</v>
      </c>
      <c r="K562" t="s">
        <v>138</v>
      </c>
    </row>
    <row r="563" spans="1:11" ht="14.25">
      <c r="A563" t="s">
        <v>818</v>
      </c>
      <c r="B563" s="3">
        <v>46275.51934027778</v>
      </c>
      <c r="C563" s="4">
        <v>46275</v>
      </c>
      <c r="D563" t="s">
        <v>214</v>
      </c>
      <c r="E563">
        <v>1013</v>
      </c>
      <c r="F563" t="s">
        <v>45</v>
      </c>
      <c r="G563" t="s">
        <v>137</v>
      </c>
      <c r="H563" t="s">
        <v>75</v>
      </c>
      <c r="I563" t="s">
        <v>102</v>
      </c>
      <c r="K563" t="s">
        <v>138</v>
      </c>
    </row>
    <row r="564" spans="1:11" ht="14.25">
      <c r="A564" t="s">
        <v>819</v>
      </c>
      <c r="B564" s="3">
        <v>46275.52820601852</v>
      </c>
      <c r="C564" s="4">
        <v>46275</v>
      </c>
      <c r="D564" t="s">
        <v>214</v>
      </c>
      <c r="E564">
        <v>1003</v>
      </c>
      <c r="F564" t="s">
        <v>27</v>
      </c>
      <c r="G564" t="s">
        <v>140</v>
      </c>
      <c r="H564" t="s">
        <v>66</v>
      </c>
      <c r="I564" t="s">
        <v>102</v>
      </c>
      <c r="J564" t="s">
        <v>820</v>
      </c>
      <c r="K564" t="s">
        <v>138</v>
      </c>
    </row>
    <row r="565" spans="1:11" ht="14.25">
      <c r="A565" t="s">
        <v>821</v>
      </c>
      <c r="B565" s="3">
        <v>46275.530960648146</v>
      </c>
      <c r="C565" s="4">
        <v>46275</v>
      </c>
      <c r="D565" t="s">
        <v>214</v>
      </c>
      <c r="E565">
        <v>1016</v>
      </c>
      <c r="F565" t="s">
        <v>49</v>
      </c>
      <c r="G565" t="s">
        <v>140</v>
      </c>
      <c r="H565" t="s">
        <v>60</v>
      </c>
      <c r="I565" t="s">
        <v>102</v>
      </c>
      <c r="K565" t="s">
        <v>138</v>
      </c>
    </row>
    <row r="566" spans="1:11" ht="14.25">
      <c r="A566" t="s">
        <v>822</v>
      </c>
      <c r="B566" s="3">
        <v>46275.532534722224</v>
      </c>
      <c r="C566" s="4">
        <v>46275</v>
      </c>
      <c r="D566" t="s">
        <v>214</v>
      </c>
      <c r="E566">
        <v>1012</v>
      </c>
      <c r="F566" t="s">
        <v>42</v>
      </c>
      <c r="G566" t="s">
        <v>140</v>
      </c>
      <c r="H566" t="s">
        <v>69</v>
      </c>
      <c r="I566" t="s">
        <v>96</v>
      </c>
      <c r="K566" t="s">
        <v>138</v>
      </c>
    </row>
    <row r="567" spans="1:11" ht="14.25">
      <c r="A567" t="s">
        <v>823</v>
      </c>
      <c r="B567" s="3">
        <v>46275.537673611114</v>
      </c>
      <c r="C567" s="4">
        <v>46275</v>
      </c>
      <c r="D567" t="s">
        <v>214</v>
      </c>
      <c r="E567">
        <v>1014</v>
      </c>
      <c r="F567" t="s">
        <v>46</v>
      </c>
      <c r="G567" t="s">
        <v>140</v>
      </c>
      <c r="H567" t="s">
        <v>87</v>
      </c>
      <c r="I567" t="s">
        <v>96</v>
      </c>
      <c r="K567" t="s">
        <v>138</v>
      </c>
    </row>
    <row r="568" spans="1:11" ht="14.25">
      <c r="A568" t="s">
        <v>824</v>
      </c>
      <c r="B568" s="3">
        <v>46275.544293981482</v>
      </c>
      <c r="C568" s="4">
        <v>46275</v>
      </c>
      <c r="D568" t="s">
        <v>214</v>
      </c>
      <c r="E568">
        <v>1004</v>
      </c>
      <c r="F568" t="s">
        <v>29</v>
      </c>
      <c r="G568" t="s">
        <v>137</v>
      </c>
      <c r="H568" t="s">
        <v>81</v>
      </c>
      <c r="I568" t="s">
        <v>81</v>
      </c>
      <c r="K568" t="s">
        <v>138</v>
      </c>
    </row>
    <row r="569" spans="1:11" ht="14.25">
      <c r="A569" t="s">
        <v>825</v>
      </c>
      <c r="B569" s="3">
        <v>46275.544432870367</v>
      </c>
      <c r="C569" s="4">
        <v>46275</v>
      </c>
      <c r="D569" t="s">
        <v>214</v>
      </c>
      <c r="E569">
        <v>1004</v>
      </c>
      <c r="F569" t="s">
        <v>29</v>
      </c>
      <c r="G569" t="s">
        <v>137</v>
      </c>
      <c r="H569" t="s">
        <v>81</v>
      </c>
      <c r="I569" t="s">
        <v>81</v>
      </c>
      <c r="K569" t="s">
        <v>138</v>
      </c>
    </row>
    <row r="570" spans="1:11" ht="14.25">
      <c r="A570" t="s">
        <v>825</v>
      </c>
      <c r="B570" s="3">
        <v>46275.544432870367</v>
      </c>
      <c r="C570" s="4">
        <v>46275</v>
      </c>
      <c r="D570" t="s">
        <v>214</v>
      </c>
      <c r="E570">
        <v>1004</v>
      </c>
      <c r="F570" t="s">
        <v>29</v>
      </c>
      <c r="G570" t="s">
        <v>137</v>
      </c>
      <c r="H570" t="s">
        <v>81</v>
      </c>
      <c r="I570" t="s">
        <v>81</v>
      </c>
      <c r="K570" t="s">
        <v>138</v>
      </c>
    </row>
    <row r="571" spans="1:11" ht="14.25">
      <c r="A571" t="s">
        <v>826</v>
      </c>
      <c r="B571" s="3">
        <v>46275.555011574077</v>
      </c>
      <c r="C571" s="4">
        <v>46275</v>
      </c>
      <c r="D571" t="s">
        <v>214</v>
      </c>
      <c r="E571">
        <v>1002</v>
      </c>
      <c r="F571" t="s">
        <v>25</v>
      </c>
      <c r="G571" t="s">
        <v>137</v>
      </c>
      <c r="H571" t="s">
        <v>60</v>
      </c>
      <c r="I571" t="s">
        <v>102</v>
      </c>
      <c r="K571" t="s">
        <v>138</v>
      </c>
    </row>
    <row r="572" spans="1:11" ht="14.25">
      <c r="A572" t="s">
        <v>827</v>
      </c>
      <c r="B572" s="3">
        <v>46275.557326388887</v>
      </c>
      <c r="C572" s="4">
        <v>46275</v>
      </c>
      <c r="D572" t="s">
        <v>214</v>
      </c>
      <c r="E572">
        <v>1011</v>
      </c>
      <c r="F572" t="s">
        <v>40</v>
      </c>
      <c r="G572" t="s">
        <v>137</v>
      </c>
      <c r="H572" t="s">
        <v>66</v>
      </c>
      <c r="I572" t="s">
        <v>102</v>
      </c>
      <c r="K572" t="s">
        <v>138</v>
      </c>
    </row>
    <row r="573" spans="1:11" ht="14.25">
      <c r="A573" t="s">
        <v>828</v>
      </c>
      <c r="B573" s="3">
        <v>46275.560034722221</v>
      </c>
      <c r="C573" s="4">
        <v>46275</v>
      </c>
      <c r="D573" t="s">
        <v>214</v>
      </c>
      <c r="E573">
        <v>1016</v>
      </c>
      <c r="F573" t="s">
        <v>49</v>
      </c>
      <c r="G573" t="s">
        <v>137</v>
      </c>
      <c r="H573" t="s">
        <v>60</v>
      </c>
      <c r="I573" t="s">
        <v>102</v>
      </c>
      <c r="K573" t="s">
        <v>138</v>
      </c>
    </row>
    <row r="574" spans="1:11" ht="14.25">
      <c r="A574" t="s">
        <v>829</v>
      </c>
      <c r="B574" s="3">
        <v>46275.751759259256</v>
      </c>
      <c r="C574" s="4">
        <v>46275</v>
      </c>
      <c r="D574" t="s">
        <v>214</v>
      </c>
      <c r="E574">
        <v>1015</v>
      </c>
      <c r="F574" t="s">
        <v>47</v>
      </c>
      <c r="G574" t="s">
        <v>140</v>
      </c>
      <c r="H574" t="s">
        <v>81</v>
      </c>
      <c r="I574" t="s">
        <v>81</v>
      </c>
      <c r="K574" t="s">
        <v>138</v>
      </c>
    </row>
    <row r="575" spans="1:11" ht="14.25">
      <c r="A575" t="s">
        <v>830</v>
      </c>
      <c r="B575" s="3">
        <v>46275.752789351849</v>
      </c>
      <c r="C575" s="4">
        <v>46275</v>
      </c>
      <c r="D575" t="s">
        <v>214</v>
      </c>
      <c r="E575">
        <v>1001</v>
      </c>
      <c r="F575" t="s">
        <v>21</v>
      </c>
      <c r="G575" t="s">
        <v>140</v>
      </c>
      <c r="H575" t="s">
        <v>63</v>
      </c>
      <c r="I575" t="s">
        <v>93</v>
      </c>
      <c r="K575" t="s">
        <v>138</v>
      </c>
    </row>
    <row r="576" spans="1:11" ht="14.25">
      <c r="A576" t="s">
        <v>831</v>
      </c>
      <c r="B576" s="3">
        <v>46275.754016203704</v>
      </c>
      <c r="C576" s="4">
        <v>46275</v>
      </c>
      <c r="D576" t="s">
        <v>214</v>
      </c>
      <c r="E576">
        <v>1016</v>
      </c>
      <c r="F576" t="s">
        <v>49</v>
      </c>
      <c r="G576" t="s">
        <v>140</v>
      </c>
      <c r="H576" t="s">
        <v>60</v>
      </c>
      <c r="I576" t="s">
        <v>102</v>
      </c>
      <c r="K576" t="s">
        <v>138</v>
      </c>
    </row>
    <row r="577" spans="1:11" ht="14.25">
      <c r="A577" t="s">
        <v>832</v>
      </c>
      <c r="B577" s="3">
        <v>46275.754293981481</v>
      </c>
      <c r="C577" s="4">
        <v>46275</v>
      </c>
      <c r="D577" t="s">
        <v>214</v>
      </c>
      <c r="E577">
        <v>1014</v>
      </c>
      <c r="F577" t="s">
        <v>46</v>
      </c>
      <c r="G577" t="s">
        <v>140</v>
      </c>
      <c r="H577" t="s">
        <v>87</v>
      </c>
      <c r="I577" t="s">
        <v>96</v>
      </c>
      <c r="K577" t="s">
        <v>138</v>
      </c>
    </row>
    <row r="578" spans="1:11" ht="14.25">
      <c r="A578" t="s">
        <v>833</v>
      </c>
      <c r="B578" s="3">
        <v>46275.755011574074</v>
      </c>
      <c r="C578" s="4">
        <v>46275</v>
      </c>
      <c r="D578" t="s">
        <v>214</v>
      </c>
      <c r="E578">
        <v>1005</v>
      </c>
      <c r="F578" t="s">
        <v>31</v>
      </c>
      <c r="G578" t="s">
        <v>140</v>
      </c>
      <c r="H578" t="s">
        <v>75</v>
      </c>
      <c r="I578" t="s">
        <v>102</v>
      </c>
      <c r="K578" t="s">
        <v>138</v>
      </c>
    </row>
    <row r="579" spans="1:11" ht="14.25">
      <c r="A579" t="s">
        <v>834</v>
      </c>
      <c r="B579" s="3">
        <v>46275.757222222222</v>
      </c>
      <c r="C579" s="4">
        <v>46275</v>
      </c>
      <c r="D579" t="s">
        <v>214</v>
      </c>
      <c r="E579">
        <v>1005</v>
      </c>
      <c r="F579" t="s">
        <v>31</v>
      </c>
      <c r="G579" t="s">
        <v>140</v>
      </c>
      <c r="H579" t="s">
        <v>87</v>
      </c>
      <c r="I579" t="s">
        <v>102</v>
      </c>
      <c r="K579" t="s">
        <v>138</v>
      </c>
    </row>
    <row r="580" spans="1:11" ht="14.25">
      <c r="A580" t="s">
        <v>835</v>
      </c>
      <c r="B580" s="3">
        <v>46275.758032407408</v>
      </c>
      <c r="C580" s="4">
        <v>46275</v>
      </c>
      <c r="D580" t="s">
        <v>214</v>
      </c>
      <c r="E580">
        <v>1005</v>
      </c>
      <c r="F580" t="s">
        <v>31</v>
      </c>
      <c r="G580" t="s">
        <v>140</v>
      </c>
      <c r="H580" t="s">
        <v>87</v>
      </c>
      <c r="I580" t="s">
        <v>122</v>
      </c>
      <c r="K580" t="s">
        <v>138</v>
      </c>
    </row>
    <row r="581" spans="1:11" ht="14.25">
      <c r="A581" t="s">
        <v>836</v>
      </c>
      <c r="B581" s="3">
        <v>46275.771469907406</v>
      </c>
      <c r="C581" s="4">
        <v>46275</v>
      </c>
      <c r="D581" t="s">
        <v>214</v>
      </c>
      <c r="E581">
        <v>1004</v>
      </c>
      <c r="F581" t="s">
        <v>29</v>
      </c>
      <c r="G581" t="s">
        <v>140</v>
      </c>
      <c r="H581" t="s">
        <v>87</v>
      </c>
      <c r="I581" t="s">
        <v>122</v>
      </c>
      <c r="K581" t="s">
        <v>138</v>
      </c>
    </row>
    <row r="582" spans="1:11" ht="14.25">
      <c r="A582" t="s">
        <v>837</v>
      </c>
      <c r="B582" s="3">
        <v>46275.771793981483</v>
      </c>
      <c r="C582" s="4">
        <v>46275</v>
      </c>
      <c r="D582" t="s">
        <v>214</v>
      </c>
      <c r="E582">
        <v>1004</v>
      </c>
      <c r="F582" t="s">
        <v>29</v>
      </c>
      <c r="G582" t="s">
        <v>140</v>
      </c>
      <c r="H582" t="s">
        <v>66</v>
      </c>
      <c r="I582" t="s">
        <v>99</v>
      </c>
      <c r="K582" t="s">
        <v>138</v>
      </c>
    </row>
    <row r="583" spans="1:11" ht="14.25">
      <c r="A583" t="s">
        <v>838</v>
      </c>
      <c r="B583" s="3">
        <v>46275.772314814814</v>
      </c>
      <c r="C583" s="4">
        <v>46275</v>
      </c>
      <c r="D583" t="s">
        <v>214</v>
      </c>
      <c r="E583">
        <v>1004</v>
      </c>
      <c r="F583" t="s">
        <v>29</v>
      </c>
      <c r="G583" t="s">
        <v>137</v>
      </c>
      <c r="H583" t="s">
        <v>78</v>
      </c>
      <c r="I583" t="s">
        <v>99</v>
      </c>
      <c r="J583" t="s">
        <v>692</v>
      </c>
      <c r="K583" t="s">
        <v>138</v>
      </c>
    </row>
    <row r="584" spans="1:11" ht="14.25">
      <c r="A584" t="s">
        <v>839</v>
      </c>
      <c r="B584" s="3">
        <v>46275.818807870368</v>
      </c>
      <c r="C584" s="4">
        <v>46275</v>
      </c>
      <c r="D584" t="s">
        <v>214</v>
      </c>
      <c r="E584">
        <v>1012</v>
      </c>
      <c r="F584" t="s">
        <v>42</v>
      </c>
      <c r="G584" t="s">
        <v>140</v>
      </c>
      <c r="H584" t="s">
        <v>69</v>
      </c>
      <c r="I584" t="s">
        <v>96</v>
      </c>
      <c r="K584" t="s">
        <v>138</v>
      </c>
    </row>
    <row r="585" spans="1:11" ht="14.25">
      <c r="A585" t="s">
        <v>840</v>
      </c>
      <c r="B585" s="3">
        <v>46275.857118055559</v>
      </c>
      <c r="C585" s="4">
        <v>46275</v>
      </c>
      <c r="D585" t="s">
        <v>214</v>
      </c>
      <c r="E585">
        <v>1017</v>
      </c>
      <c r="F585" t="s">
        <v>50</v>
      </c>
      <c r="G585" t="s">
        <v>140</v>
      </c>
      <c r="H585" t="s">
        <v>87</v>
      </c>
      <c r="I585" t="s">
        <v>96</v>
      </c>
      <c r="K585" t="s">
        <v>138</v>
      </c>
    </row>
    <row r="586" spans="1:11" ht="14.25">
      <c r="A586" t="s">
        <v>841</v>
      </c>
      <c r="B586" s="3">
        <v>46275.916666666664</v>
      </c>
      <c r="C586" s="4">
        <v>46275</v>
      </c>
      <c r="D586" t="s">
        <v>214</v>
      </c>
      <c r="E586">
        <v>1006</v>
      </c>
      <c r="F586" t="s">
        <v>33</v>
      </c>
      <c r="G586" t="s">
        <v>137</v>
      </c>
      <c r="H586" t="s">
        <v>84</v>
      </c>
      <c r="I586" t="s">
        <v>96</v>
      </c>
      <c r="K586" t="s">
        <v>138</v>
      </c>
    </row>
    <row r="587" spans="1:11" ht="14.25">
      <c r="A587" t="s">
        <v>842</v>
      </c>
      <c r="B587" s="3">
        <v>46275.917303240742</v>
      </c>
      <c r="C587" s="4">
        <v>46275</v>
      </c>
      <c r="D587" t="s">
        <v>214</v>
      </c>
      <c r="E587">
        <v>1004</v>
      </c>
      <c r="F587" t="s">
        <v>29</v>
      </c>
      <c r="G587" t="s">
        <v>140</v>
      </c>
      <c r="H587" t="s">
        <v>87</v>
      </c>
      <c r="I587" t="s">
        <v>99</v>
      </c>
      <c r="J587" t="s">
        <v>843</v>
      </c>
      <c r="K587" t="s">
        <v>138</v>
      </c>
    </row>
    <row r="588" spans="1:11" ht="14.25">
      <c r="A588" t="s">
        <v>844</v>
      </c>
      <c r="B588" s="3">
        <v>46275.917361111111</v>
      </c>
      <c r="C588" s="4">
        <v>46275</v>
      </c>
      <c r="D588" t="s">
        <v>214</v>
      </c>
      <c r="E588">
        <v>1004</v>
      </c>
      <c r="F588" t="s">
        <v>29</v>
      </c>
      <c r="G588" t="s">
        <v>140</v>
      </c>
      <c r="H588" t="s">
        <v>87</v>
      </c>
      <c r="I588" t="s">
        <v>99</v>
      </c>
      <c r="J588" t="s">
        <v>843</v>
      </c>
      <c r="K588" t="s">
        <v>138</v>
      </c>
    </row>
    <row r="589" spans="1:11" ht="14.25">
      <c r="A589" t="s">
        <v>845</v>
      </c>
      <c r="B589" s="3">
        <v>46275.917395833334</v>
      </c>
      <c r="C589" s="4">
        <v>46275</v>
      </c>
      <c r="D589" t="s">
        <v>214</v>
      </c>
      <c r="E589">
        <v>1004</v>
      </c>
      <c r="F589" t="s">
        <v>29</v>
      </c>
      <c r="G589" t="s">
        <v>140</v>
      </c>
      <c r="H589" t="s">
        <v>87</v>
      </c>
      <c r="I589" t="s">
        <v>99</v>
      </c>
      <c r="J589" t="s">
        <v>843</v>
      </c>
      <c r="K589" t="s">
        <v>138</v>
      </c>
    </row>
    <row r="590" spans="1:11" ht="14.25">
      <c r="A590" t="s">
        <v>846</v>
      </c>
      <c r="B590" s="3">
        <v>46275.917442129627</v>
      </c>
      <c r="C590" s="4">
        <v>46275</v>
      </c>
      <c r="D590" t="s">
        <v>214</v>
      </c>
      <c r="E590">
        <v>1004</v>
      </c>
      <c r="F590" t="s">
        <v>29</v>
      </c>
      <c r="G590" t="s">
        <v>140</v>
      </c>
      <c r="H590" t="s">
        <v>87</v>
      </c>
      <c r="I590" t="s">
        <v>99</v>
      </c>
      <c r="J590" t="s">
        <v>843</v>
      </c>
      <c r="K590" t="s">
        <v>138</v>
      </c>
    </row>
    <row r="591" spans="1:11" ht="14.25">
      <c r="A591" t="s">
        <v>847</v>
      </c>
      <c r="B591" s="3">
        <v>46275.918912037036</v>
      </c>
      <c r="C591" s="4">
        <v>46275</v>
      </c>
      <c r="D591" t="s">
        <v>214</v>
      </c>
      <c r="E591">
        <v>1001</v>
      </c>
      <c r="F591" t="s">
        <v>21</v>
      </c>
      <c r="G591" t="s">
        <v>140</v>
      </c>
      <c r="H591" t="s">
        <v>63</v>
      </c>
      <c r="I591" t="s">
        <v>93</v>
      </c>
      <c r="K591" t="s">
        <v>138</v>
      </c>
    </row>
    <row r="592" spans="1:11" ht="14.25">
      <c r="A592" t="s">
        <v>848</v>
      </c>
      <c r="B592" s="3">
        <v>46275.926539351851</v>
      </c>
      <c r="C592" s="4">
        <v>46275</v>
      </c>
      <c r="D592" t="s">
        <v>214</v>
      </c>
      <c r="E592">
        <v>1010</v>
      </c>
      <c r="F592" t="s">
        <v>39</v>
      </c>
      <c r="G592" t="s">
        <v>140</v>
      </c>
      <c r="H592" t="s">
        <v>69</v>
      </c>
      <c r="I592" t="s">
        <v>96</v>
      </c>
      <c r="K592" t="s">
        <v>138</v>
      </c>
    </row>
    <row r="593" spans="1:11" ht="14.25">
      <c r="A593" t="s">
        <v>849</v>
      </c>
      <c r="B593" s="3">
        <v>46276.327372685184</v>
      </c>
      <c r="C593" s="4">
        <v>46276</v>
      </c>
      <c r="D593" t="s">
        <v>287</v>
      </c>
      <c r="E593">
        <v>1002</v>
      </c>
      <c r="F593" t="s">
        <v>25</v>
      </c>
      <c r="G593" t="s">
        <v>137</v>
      </c>
      <c r="H593" t="s">
        <v>75</v>
      </c>
      <c r="I593" t="s">
        <v>102</v>
      </c>
      <c r="J593" t="s">
        <v>850</v>
      </c>
      <c r="K593" t="s">
        <v>138</v>
      </c>
    </row>
    <row r="594" spans="1:11" ht="14.25">
      <c r="A594" t="s">
        <v>851</v>
      </c>
      <c r="B594" s="3">
        <v>46276.339571759258</v>
      </c>
      <c r="C594" s="4">
        <v>46276</v>
      </c>
      <c r="D594" t="s">
        <v>287</v>
      </c>
      <c r="E594">
        <v>1013</v>
      </c>
      <c r="F594" t="s">
        <v>45</v>
      </c>
      <c r="G594" t="s">
        <v>137</v>
      </c>
      <c r="H594" t="s">
        <v>84</v>
      </c>
      <c r="I594" t="s">
        <v>102</v>
      </c>
      <c r="J594" t="s">
        <v>852</v>
      </c>
      <c r="K594" t="s">
        <v>138</v>
      </c>
    </row>
    <row r="595" spans="1:11" ht="14.25">
      <c r="A595" t="s">
        <v>853</v>
      </c>
      <c r="B595" s="3">
        <v>46276.340324074074</v>
      </c>
      <c r="C595" s="4">
        <v>46276</v>
      </c>
      <c r="D595" t="s">
        <v>287</v>
      </c>
      <c r="E595">
        <v>1003</v>
      </c>
      <c r="F595" t="s">
        <v>27</v>
      </c>
      <c r="G595" t="s">
        <v>137</v>
      </c>
      <c r="H595" t="s">
        <v>66</v>
      </c>
      <c r="I595" t="s">
        <v>102</v>
      </c>
      <c r="K595" t="s">
        <v>138</v>
      </c>
    </row>
    <row r="596" spans="1:11" ht="14.25">
      <c r="A596" t="s">
        <v>854</v>
      </c>
      <c r="B596" s="3">
        <v>46276.342986111114</v>
      </c>
      <c r="C596" s="4">
        <v>46276</v>
      </c>
      <c r="D596" t="s">
        <v>287</v>
      </c>
      <c r="E596">
        <v>1011</v>
      </c>
      <c r="F596" t="s">
        <v>40</v>
      </c>
      <c r="G596" t="s">
        <v>137</v>
      </c>
      <c r="H596" t="s">
        <v>66</v>
      </c>
      <c r="I596" t="s">
        <v>102</v>
      </c>
      <c r="K596" t="s">
        <v>138</v>
      </c>
    </row>
    <row r="597" spans="1:11" ht="14.25">
      <c r="A597" t="s">
        <v>855</v>
      </c>
      <c r="B597" s="3">
        <v>46276.351909722223</v>
      </c>
      <c r="C597" s="4">
        <v>46276</v>
      </c>
      <c r="D597" t="s">
        <v>287</v>
      </c>
      <c r="E597">
        <v>1006</v>
      </c>
      <c r="F597" t="s">
        <v>33</v>
      </c>
      <c r="G597" t="s">
        <v>137</v>
      </c>
      <c r="H597" t="s">
        <v>84</v>
      </c>
      <c r="I597" t="s">
        <v>96</v>
      </c>
      <c r="K597" t="s">
        <v>138</v>
      </c>
    </row>
    <row r="598" spans="1:11" ht="14.25">
      <c r="A598" t="s">
        <v>856</v>
      </c>
      <c r="B598" s="3">
        <v>46276.352025462962</v>
      </c>
      <c r="C598" s="4">
        <v>46276</v>
      </c>
      <c r="D598" t="s">
        <v>287</v>
      </c>
      <c r="E598">
        <v>1006</v>
      </c>
      <c r="F598" t="s">
        <v>33</v>
      </c>
      <c r="G598" t="s">
        <v>140</v>
      </c>
      <c r="H598" t="s">
        <v>84</v>
      </c>
      <c r="I598" t="s">
        <v>96</v>
      </c>
      <c r="K598" t="s">
        <v>138</v>
      </c>
    </row>
    <row r="599" spans="1:11" ht="14.25">
      <c r="A599" t="s">
        <v>857</v>
      </c>
      <c r="B599" s="3">
        <v>46276.352592592593</v>
      </c>
      <c r="C599" s="4">
        <v>46276</v>
      </c>
      <c r="D599" t="s">
        <v>287</v>
      </c>
      <c r="E599">
        <v>1006</v>
      </c>
      <c r="F599" t="s">
        <v>33</v>
      </c>
      <c r="G599" t="s">
        <v>137</v>
      </c>
      <c r="H599" t="s">
        <v>84</v>
      </c>
      <c r="I599" t="s">
        <v>96</v>
      </c>
      <c r="K599" t="s">
        <v>138</v>
      </c>
    </row>
    <row r="600" spans="1:11" ht="14.25">
      <c r="A600" t="s">
        <v>858</v>
      </c>
      <c r="B600" s="3">
        <v>46276.363819444443</v>
      </c>
      <c r="C600" s="4">
        <v>46276</v>
      </c>
      <c r="D600" t="s">
        <v>287</v>
      </c>
      <c r="E600">
        <v>1004</v>
      </c>
      <c r="F600" t="s">
        <v>29</v>
      </c>
      <c r="G600" t="s">
        <v>137</v>
      </c>
      <c r="H600" t="s">
        <v>63</v>
      </c>
      <c r="I600" t="s">
        <v>99</v>
      </c>
      <c r="J600" t="s">
        <v>859</v>
      </c>
      <c r="K600" t="s">
        <v>138</v>
      </c>
    </row>
    <row r="601" spans="1:11" ht="14.25">
      <c r="A601" t="s">
        <v>860</v>
      </c>
      <c r="B601" s="3">
        <v>46276.368576388886</v>
      </c>
      <c r="C601" s="4">
        <v>46276</v>
      </c>
      <c r="D601" t="s">
        <v>287</v>
      </c>
      <c r="E601">
        <v>1015</v>
      </c>
      <c r="F601" t="s">
        <v>47</v>
      </c>
      <c r="G601" t="s">
        <v>137</v>
      </c>
      <c r="H601" t="s">
        <v>81</v>
      </c>
      <c r="I601" t="s">
        <v>81</v>
      </c>
      <c r="K601" t="s">
        <v>138</v>
      </c>
    </row>
    <row r="602" spans="1:11" ht="14.25">
      <c r="A602" t="s">
        <v>861</v>
      </c>
      <c r="B602" s="3">
        <v>46276.379537037035</v>
      </c>
      <c r="C602" s="4">
        <v>46276</v>
      </c>
      <c r="D602" t="s">
        <v>287</v>
      </c>
      <c r="E602">
        <v>1012</v>
      </c>
      <c r="F602" t="s">
        <v>42</v>
      </c>
      <c r="G602" t="s">
        <v>137</v>
      </c>
      <c r="H602" t="s">
        <v>69</v>
      </c>
      <c r="I602" t="s">
        <v>93</v>
      </c>
      <c r="J602" t="s">
        <v>862</v>
      </c>
      <c r="K602" t="s">
        <v>138</v>
      </c>
    </row>
    <row r="603" spans="1:11" ht="14.25">
      <c r="A603" t="s">
        <v>863</v>
      </c>
      <c r="B603" s="3">
        <v>46276.382581018515</v>
      </c>
      <c r="C603" s="4">
        <v>46276</v>
      </c>
      <c r="D603" t="s">
        <v>287</v>
      </c>
      <c r="E603">
        <v>1017</v>
      </c>
      <c r="F603" t="s">
        <v>50</v>
      </c>
      <c r="G603" t="s">
        <v>137</v>
      </c>
      <c r="H603" t="s">
        <v>87</v>
      </c>
      <c r="I603" t="s">
        <v>96</v>
      </c>
      <c r="K603" t="s">
        <v>138</v>
      </c>
    </row>
    <row r="604" spans="1:11" ht="14.25">
      <c r="A604" t="s">
        <v>864</v>
      </c>
      <c r="B604" s="3">
        <v>46276.389525462961</v>
      </c>
      <c r="C604" s="4">
        <v>46276</v>
      </c>
      <c r="D604" t="s">
        <v>287</v>
      </c>
      <c r="E604">
        <v>1004</v>
      </c>
      <c r="F604" t="s">
        <v>29</v>
      </c>
      <c r="G604" t="s">
        <v>140</v>
      </c>
      <c r="H604" t="s">
        <v>63</v>
      </c>
      <c r="I604" t="s">
        <v>99</v>
      </c>
      <c r="J604" t="s">
        <v>257</v>
      </c>
      <c r="K604" t="s">
        <v>138</v>
      </c>
    </row>
    <row r="605" spans="1:11" ht="14.25">
      <c r="A605" t="s">
        <v>865</v>
      </c>
      <c r="B605" s="3">
        <v>46276.389652777776</v>
      </c>
      <c r="C605" s="4">
        <v>46276</v>
      </c>
      <c r="D605" t="s">
        <v>287</v>
      </c>
      <c r="E605">
        <v>1004</v>
      </c>
      <c r="F605" t="s">
        <v>29</v>
      </c>
      <c r="G605" t="s">
        <v>140</v>
      </c>
      <c r="H605" t="s">
        <v>63</v>
      </c>
      <c r="I605" t="s">
        <v>99</v>
      </c>
      <c r="J605" t="s">
        <v>257</v>
      </c>
      <c r="K605" t="s">
        <v>138</v>
      </c>
    </row>
    <row r="606" spans="1:11" ht="14.25">
      <c r="A606" t="s">
        <v>866</v>
      </c>
      <c r="B606" s="3">
        <v>46276.390092592592</v>
      </c>
      <c r="C606" s="4">
        <v>46276</v>
      </c>
      <c r="D606" t="s">
        <v>287</v>
      </c>
      <c r="E606">
        <v>1004</v>
      </c>
      <c r="F606" t="s">
        <v>29</v>
      </c>
      <c r="G606" t="s">
        <v>137</v>
      </c>
      <c r="H606" t="s">
        <v>78</v>
      </c>
      <c r="I606" t="s">
        <v>99</v>
      </c>
      <c r="J606" t="s">
        <v>867</v>
      </c>
      <c r="K606" t="s">
        <v>138</v>
      </c>
    </row>
    <row r="607" spans="1:11" ht="14.25">
      <c r="A607" t="s">
        <v>868</v>
      </c>
      <c r="B607" s="3">
        <v>46276.390127314815</v>
      </c>
      <c r="C607" s="4">
        <v>46276</v>
      </c>
      <c r="D607" t="s">
        <v>287</v>
      </c>
      <c r="E607">
        <v>1004</v>
      </c>
      <c r="F607" t="s">
        <v>29</v>
      </c>
      <c r="G607" t="s">
        <v>137</v>
      </c>
      <c r="H607" t="s">
        <v>78</v>
      </c>
      <c r="I607" t="s">
        <v>99</v>
      </c>
      <c r="J607" t="s">
        <v>867</v>
      </c>
      <c r="K607" t="s">
        <v>138</v>
      </c>
    </row>
    <row r="608" spans="1:11" ht="14.25">
      <c r="A608" t="s">
        <v>869</v>
      </c>
      <c r="B608" s="3">
        <v>46276.405613425923</v>
      </c>
      <c r="C608" s="4">
        <v>46276</v>
      </c>
      <c r="D608" t="s">
        <v>287</v>
      </c>
      <c r="E608">
        <v>1004</v>
      </c>
      <c r="F608" t="s">
        <v>29</v>
      </c>
      <c r="G608" t="s">
        <v>137</v>
      </c>
      <c r="H608" t="s">
        <v>87</v>
      </c>
      <c r="I608" t="s">
        <v>96</v>
      </c>
      <c r="K608" t="s">
        <v>138</v>
      </c>
    </row>
    <row r="609" spans="1:11" ht="14.25">
      <c r="A609" t="s">
        <v>870</v>
      </c>
      <c r="B609" s="3">
        <v>46276.405694444446</v>
      </c>
      <c r="C609" s="4">
        <v>46276</v>
      </c>
      <c r="D609" t="s">
        <v>287</v>
      </c>
      <c r="E609">
        <v>1014</v>
      </c>
      <c r="F609" t="s">
        <v>46</v>
      </c>
      <c r="G609" t="s">
        <v>137</v>
      </c>
      <c r="H609" t="s">
        <v>87</v>
      </c>
      <c r="I609" t="s">
        <v>96</v>
      </c>
      <c r="K609" t="s">
        <v>138</v>
      </c>
    </row>
    <row r="610" spans="1:11" ht="14.25">
      <c r="A610" t="s">
        <v>871</v>
      </c>
      <c r="B610" s="3">
        <v>46276.413043981483</v>
      </c>
      <c r="C610" s="4">
        <v>46276</v>
      </c>
      <c r="D610" t="s">
        <v>287</v>
      </c>
      <c r="E610">
        <v>1016</v>
      </c>
      <c r="F610" t="s">
        <v>49</v>
      </c>
      <c r="G610" t="s">
        <v>137</v>
      </c>
      <c r="H610" t="s">
        <v>60</v>
      </c>
      <c r="I610" t="s">
        <v>102</v>
      </c>
      <c r="K610" t="s">
        <v>138</v>
      </c>
    </row>
    <row r="611" spans="1:11" ht="14.25">
      <c r="A611" t="s">
        <v>872</v>
      </c>
      <c r="B611" s="3">
        <v>46276.421365740738</v>
      </c>
      <c r="C611" s="4">
        <v>46276</v>
      </c>
      <c r="D611" t="s">
        <v>287</v>
      </c>
      <c r="E611">
        <v>1005</v>
      </c>
      <c r="F611" t="s">
        <v>31</v>
      </c>
      <c r="G611" t="s">
        <v>137</v>
      </c>
      <c r="H611" t="s">
        <v>87</v>
      </c>
      <c r="I611" t="s">
        <v>96</v>
      </c>
      <c r="K611" t="s">
        <v>138</v>
      </c>
    </row>
    <row r="612" spans="1:11" ht="14.25">
      <c r="A612" t="s">
        <v>873</v>
      </c>
      <c r="B612" s="3">
        <v>46276.49113425926</v>
      </c>
      <c r="C612" s="4">
        <v>46276</v>
      </c>
      <c r="D612" t="s">
        <v>287</v>
      </c>
      <c r="E612">
        <v>1013</v>
      </c>
      <c r="F612" t="s">
        <v>45</v>
      </c>
      <c r="G612" t="s">
        <v>140</v>
      </c>
      <c r="H612" t="s">
        <v>84</v>
      </c>
      <c r="I612" t="s">
        <v>102</v>
      </c>
      <c r="K612" t="s">
        <v>138</v>
      </c>
    </row>
    <row r="613" spans="1:11" ht="14.25">
      <c r="A613" t="s">
        <v>874</v>
      </c>
      <c r="B613" s="3">
        <v>46276.505347222221</v>
      </c>
      <c r="C613" s="4">
        <v>46276</v>
      </c>
      <c r="D613" t="s">
        <v>287</v>
      </c>
      <c r="E613">
        <v>1002</v>
      </c>
      <c r="F613" t="s">
        <v>25</v>
      </c>
      <c r="G613" t="s">
        <v>140</v>
      </c>
      <c r="H613" t="s">
        <v>75</v>
      </c>
      <c r="I613" t="s">
        <v>102</v>
      </c>
      <c r="K613" t="s">
        <v>138</v>
      </c>
    </row>
    <row r="614" spans="1:11" ht="14.25">
      <c r="A614" t="s">
        <v>875</v>
      </c>
      <c r="B614" s="3">
        <v>46276.505659722221</v>
      </c>
      <c r="C614" s="4">
        <v>46276</v>
      </c>
      <c r="D614" t="s">
        <v>287</v>
      </c>
      <c r="E614">
        <v>1013</v>
      </c>
      <c r="F614" t="s">
        <v>45</v>
      </c>
      <c r="G614" t="s">
        <v>137</v>
      </c>
      <c r="H614" t="s">
        <v>75</v>
      </c>
      <c r="I614" t="s">
        <v>102</v>
      </c>
      <c r="K614" t="s">
        <v>138</v>
      </c>
    </row>
    <row r="615" spans="1:11" ht="14.25">
      <c r="A615" t="s">
        <v>876</v>
      </c>
      <c r="B615" s="3">
        <v>46276.524837962963</v>
      </c>
      <c r="C615" s="4">
        <v>46276</v>
      </c>
      <c r="D615" t="s">
        <v>287</v>
      </c>
      <c r="E615">
        <v>1011</v>
      </c>
      <c r="F615" t="s">
        <v>40</v>
      </c>
      <c r="G615" t="s">
        <v>140</v>
      </c>
      <c r="H615" t="s">
        <v>66</v>
      </c>
      <c r="I615" t="s">
        <v>102</v>
      </c>
      <c r="K615" t="s">
        <v>138</v>
      </c>
    </row>
    <row r="616" spans="1:11" ht="14.25">
      <c r="A616" t="s">
        <v>877</v>
      </c>
      <c r="B616" s="3">
        <v>46276.529456018521</v>
      </c>
      <c r="C616" s="4">
        <v>46276</v>
      </c>
      <c r="D616" t="s">
        <v>287</v>
      </c>
      <c r="E616">
        <v>1003</v>
      </c>
      <c r="F616" t="s">
        <v>27</v>
      </c>
      <c r="G616" t="s">
        <v>140</v>
      </c>
      <c r="H616" t="s">
        <v>66</v>
      </c>
      <c r="I616" t="s">
        <v>102</v>
      </c>
      <c r="K616" t="s">
        <v>138</v>
      </c>
    </row>
    <row r="617" spans="1:11" ht="14.25">
      <c r="A617" t="s">
        <v>878</v>
      </c>
      <c r="B617" s="3">
        <v>46276.531666666669</v>
      </c>
      <c r="C617" s="4">
        <v>46276</v>
      </c>
      <c r="D617" t="s">
        <v>287</v>
      </c>
      <c r="E617">
        <v>1014</v>
      </c>
      <c r="F617" t="s">
        <v>46</v>
      </c>
      <c r="G617" t="s">
        <v>140</v>
      </c>
      <c r="H617" t="s">
        <v>87</v>
      </c>
      <c r="I617" t="s">
        <v>96</v>
      </c>
      <c r="K617" t="s">
        <v>138</v>
      </c>
    </row>
    <row r="618" spans="1:11" ht="14.25">
      <c r="A618" t="s">
        <v>879</v>
      </c>
      <c r="B618" s="3">
        <v>46276.543206018519</v>
      </c>
      <c r="C618" s="4">
        <v>46276</v>
      </c>
      <c r="D618" t="s">
        <v>287</v>
      </c>
      <c r="E618">
        <v>1012</v>
      </c>
      <c r="F618" t="s">
        <v>42</v>
      </c>
      <c r="G618" t="s">
        <v>137</v>
      </c>
      <c r="H618" t="s">
        <v>69</v>
      </c>
      <c r="I618" t="s">
        <v>96</v>
      </c>
      <c r="K618" t="s">
        <v>138</v>
      </c>
    </row>
    <row r="619" spans="1:11" ht="14.25">
      <c r="A619" t="s">
        <v>880</v>
      </c>
      <c r="B619" s="3">
        <v>46276.543981481482</v>
      </c>
      <c r="C619" s="4">
        <v>46276</v>
      </c>
      <c r="D619" t="s">
        <v>287</v>
      </c>
      <c r="E619">
        <v>1010</v>
      </c>
      <c r="F619" t="s">
        <v>39</v>
      </c>
      <c r="G619" t="s">
        <v>140</v>
      </c>
      <c r="H619" t="s">
        <v>69</v>
      </c>
      <c r="I619" t="s">
        <v>96</v>
      </c>
      <c r="K619" t="s">
        <v>138</v>
      </c>
    </row>
    <row r="620" spans="1:11" ht="14.25">
      <c r="A620" t="s">
        <v>881</v>
      </c>
      <c r="B620" s="3">
        <v>46276.544918981483</v>
      </c>
      <c r="C620" s="4">
        <v>46276</v>
      </c>
      <c r="D620" t="s">
        <v>287</v>
      </c>
      <c r="E620">
        <v>1004</v>
      </c>
      <c r="F620" t="s">
        <v>29</v>
      </c>
      <c r="G620" t="s">
        <v>140</v>
      </c>
      <c r="H620" t="s">
        <v>69</v>
      </c>
      <c r="I620" t="s">
        <v>96</v>
      </c>
      <c r="K620" t="s">
        <v>138</v>
      </c>
    </row>
    <row r="621" spans="1:11" ht="14.25">
      <c r="A621" t="s">
        <v>882</v>
      </c>
      <c r="B621" s="3">
        <v>46276.545624999999</v>
      </c>
      <c r="C621" s="4">
        <v>46276</v>
      </c>
      <c r="D621" t="s">
        <v>287</v>
      </c>
      <c r="E621">
        <v>1002</v>
      </c>
      <c r="F621" t="s">
        <v>25</v>
      </c>
      <c r="G621" t="s">
        <v>137</v>
      </c>
      <c r="H621" t="s">
        <v>75</v>
      </c>
      <c r="I621" t="s">
        <v>102</v>
      </c>
      <c r="K621" t="s">
        <v>138</v>
      </c>
    </row>
    <row r="622" spans="1:11" ht="14.25">
      <c r="A622" t="s">
        <v>883</v>
      </c>
      <c r="B622" s="3">
        <v>46276.546261574076</v>
      </c>
      <c r="C622" s="4">
        <v>46276</v>
      </c>
      <c r="D622" t="s">
        <v>287</v>
      </c>
      <c r="E622">
        <v>1004</v>
      </c>
      <c r="F622" t="s">
        <v>29</v>
      </c>
      <c r="G622" t="s">
        <v>140</v>
      </c>
      <c r="H622" t="s">
        <v>78</v>
      </c>
      <c r="I622" t="s">
        <v>99</v>
      </c>
      <c r="J622" t="s">
        <v>884</v>
      </c>
      <c r="K622" t="s">
        <v>138</v>
      </c>
    </row>
    <row r="623" spans="1:11" ht="14.25">
      <c r="A623" t="s">
        <v>885</v>
      </c>
      <c r="B623" s="3">
        <v>46276.546493055554</v>
      </c>
      <c r="C623" s="4">
        <v>46276</v>
      </c>
      <c r="D623" t="s">
        <v>287</v>
      </c>
      <c r="E623">
        <v>1011</v>
      </c>
      <c r="F623" t="s">
        <v>40</v>
      </c>
      <c r="G623" t="s">
        <v>137</v>
      </c>
      <c r="H623" t="s">
        <v>66</v>
      </c>
      <c r="I623" t="s">
        <v>102</v>
      </c>
      <c r="K623" t="s">
        <v>138</v>
      </c>
    </row>
    <row r="624" spans="1:11" ht="14.25">
      <c r="A624" t="s">
        <v>886</v>
      </c>
      <c r="B624" s="3">
        <v>46276.55940972222</v>
      </c>
      <c r="C624" s="4">
        <v>46276</v>
      </c>
      <c r="D624" t="s">
        <v>287</v>
      </c>
      <c r="E624">
        <v>1016</v>
      </c>
      <c r="F624" t="s">
        <v>49</v>
      </c>
      <c r="G624" t="s">
        <v>140</v>
      </c>
      <c r="H624" t="s">
        <v>60</v>
      </c>
      <c r="I624" t="s">
        <v>102</v>
      </c>
      <c r="K624" t="s">
        <v>138</v>
      </c>
    </row>
    <row r="625" spans="1:11" ht="14.25">
      <c r="A625" t="s">
        <v>887</v>
      </c>
      <c r="B625" s="3">
        <v>46276.568888888891</v>
      </c>
      <c r="C625" s="4">
        <v>46276</v>
      </c>
      <c r="D625" t="s">
        <v>287</v>
      </c>
      <c r="E625">
        <v>1017</v>
      </c>
      <c r="F625" t="s">
        <v>50</v>
      </c>
      <c r="G625" t="s">
        <v>140</v>
      </c>
      <c r="H625" t="s">
        <v>87</v>
      </c>
      <c r="I625" t="s">
        <v>96</v>
      </c>
      <c r="K625" t="s">
        <v>138</v>
      </c>
    </row>
    <row r="626" spans="1:11" ht="14.25">
      <c r="A626" t="s">
        <v>888</v>
      </c>
      <c r="B626" s="3">
        <v>46276.571851851855</v>
      </c>
      <c r="C626" s="4">
        <v>46276</v>
      </c>
      <c r="D626" t="s">
        <v>287</v>
      </c>
      <c r="E626">
        <v>1003</v>
      </c>
      <c r="F626" t="s">
        <v>27</v>
      </c>
      <c r="G626" t="s">
        <v>137</v>
      </c>
      <c r="H626" t="s">
        <v>66</v>
      </c>
      <c r="I626" t="s">
        <v>102</v>
      </c>
      <c r="K626" t="s">
        <v>138</v>
      </c>
    </row>
    <row r="627" spans="1:11" ht="14.25">
      <c r="A627" t="s">
        <v>889</v>
      </c>
      <c r="B627" s="3">
        <v>46276.580671296295</v>
      </c>
      <c r="C627" s="4">
        <v>46276</v>
      </c>
      <c r="D627" t="s">
        <v>287</v>
      </c>
      <c r="E627">
        <v>1014</v>
      </c>
      <c r="F627" t="s">
        <v>46</v>
      </c>
      <c r="G627" t="s">
        <v>137</v>
      </c>
      <c r="H627" t="s">
        <v>87</v>
      </c>
      <c r="I627" t="s">
        <v>96</v>
      </c>
      <c r="K627" t="s">
        <v>138</v>
      </c>
    </row>
    <row r="628" spans="1:11" ht="14.25">
      <c r="A628" t="s">
        <v>890</v>
      </c>
      <c r="B628" s="3">
        <v>46276.582268518519</v>
      </c>
      <c r="C628" s="4">
        <v>46276</v>
      </c>
      <c r="D628" t="s">
        <v>287</v>
      </c>
      <c r="E628">
        <v>1012</v>
      </c>
      <c r="F628" t="s">
        <v>42</v>
      </c>
      <c r="G628" t="s">
        <v>137</v>
      </c>
      <c r="H628" t="s">
        <v>69</v>
      </c>
      <c r="I628" t="s">
        <v>96</v>
      </c>
      <c r="K628" t="s">
        <v>138</v>
      </c>
    </row>
    <row r="629" spans="1:11" ht="14.25">
      <c r="A629" t="s">
        <v>891</v>
      </c>
      <c r="B629" s="3">
        <v>46276.587546296294</v>
      </c>
      <c r="C629" s="4">
        <v>46276</v>
      </c>
      <c r="D629" t="s">
        <v>287</v>
      </c>
      <c r="E629">
        <v>1005</v>
      </c>
      <c r="F629" t="s">
        <v>31</v>
      </c>
      <c r="G629" t="s">
        <v>140</v>
      </c>
      <c r="H629" t="s">
        <v>87</v>
      </c>
      <c r="I629" t="s">
        <v>96</v>
      </c>
      <c r="K629" t="s">
        <v>138</v>
      </c>
    </row>
    <row r="630" spans="1:11" ht="14.25">
      <c r="A630" t="s">
        <v>892</v>
      </c>
      <c r="B630" s="3">
        <v>46276.591527777775</v>
      </c>
      <c r="C630" s="4">
        <v>46276</v>
      </c>
      <c r="D630" t="s">
        <v>287</v>
      </c>
      <c r="E630">
        <v>1006</v>
      </c>
      <c r="F630" t="s">
        <v>33</v>
      </c>
      <c r="G630" t="s">
        <v>140</v>
      </c>
      <c r="H630" t="s">
        <v>84</v>
      </c>
      <c r="I630" t="s">
        <v>96</v>
      </c>
      <c r="K630" t="s">
        <v>138</v>
      </c>
    </row>
    <row r="631" spans="1:11" ht="14.25">
      <c r="A631" t="s">
        <v>893</v>
      </c>
      <c r="B631" s="3">
        <v>46276.595659722225</v>
      </c>
      <c r="C631" s="4">
        <v>46276</v>
      </c>
      <c r="D631" t="s">
        <v>287</v>
      </c>
      <c r="E631">
        <v>1017</v>
      </c>
      <c r="F631" t="s">
        <v>50</v>
      </c>
      <c r="G631" t="s">
        <v>137</v>
      </c>
      <c r="H631" t="s">
        <v>87</v>
      </c>
      <c r="I631" t="s">
        <v>96</v>
      </c>
      <c r="K631" t="s">
        <v>138</v>
      </c>
    </row>
    <row r="632" spans="1:11" ht="14.25">
      <c r="A632" t="s">
        <v>894</v>
      </c>
      <c r="B632" s="3">
        <v>46276.600532407407</v>
      </c>
      <c r="C632" s="4">
        <v>46276</v>
      </c>
      <c r="D632" t="s">
        <v>287</v>
      </c>
      <c r="E632">
        <v>1010</v>
      </c>
      <c r="F632" t="s">
        <v>39</v>
      </c>
      <c r="G632" t="s">
        <v>137</v>
      </c>
      <c r="H632" t="s">
        <v>69</v>
      </c>
      <c r="I632" t="s">
        <v>96</v>
      </c>
      <c r="K632" t="s">
        <v>138</v>
      </c>
    </row>
    <row r="633" spans="1:11" ht="14.25">
      <c r="A633" t="s">
        <v>895</v>
      </c>
      <c r="B633" s="3">
        <v>46276.611990740741</v>
      </c>
      <c r="C633" s="4">
        <v>46276</v>
      </c>
      <c r="D633" t="s">
        <v>287</v>
      </c>
      <c r="E633">
        <v>1016</v>
      </c>
      <c r="F633" t="s">
        <v>49</v>
      </c>
      <c r="G633" t="s">
        <v>137</v>
      </c>
      <c r="H633" t="s">
        <v>60</v>
      </c>
      <c r="I633" t="s">
        <v>102</v>
      </c>
      <c r="K633" t="s">
        <v>138</v>
      </c>
    </row>
    <row r="634" spans="1:11" ht="14.25">
      <c r="A634" t="s">
        <v>896</v>
      </c>
      <c r="B634" s="3">
        <v>46276.627800925926</v>
      </c>
      <c r="C634" s="4">
        <v>46276</v>
      </c>
      <c r="D634" t="s">
        <v>287</v>
      </c>
      <c r="E634">
        <v>1004</v>
      </c>
      <c r="F634" t="s">
        <v>29</v>
      </c>
      <c r="G634" t="s">
        <v>137</v>
      </c>
      <c r="H634" t="s">
        <v>69</v>
      </c>
      <c r="I634" t="s">
        <v>99</v>
      </c>
      <c r="K634" t="s">
        <v>138</v>
      </c>
    </row>
    <row r="635" spans="1:11" ht="14.25">
      <c r="A635" t="s">
        <v>897</v>
      </c>
      <c r="B635" s="3">
        <v>46276.630162037036</v>
      </c>
      <c r="C635" s="4">
        <v>46276</v>
      </c>
      <c r="D635" t="s">
        <v>287</v>
      </c>
      <c r="E635">
        <v>1005</v>
      </c>
      <c r="F635" t="s">
        <v>31</v>
      </c>
      <c r="G635" t="s">
        <v>137</v>
      </c>
      <c r="H635" t="s">
        <v>87</v>
      </c>
      <c r="I635" t="s">
        <v>96</v>
      </c>
      <c r="K635" t="s">
        <v>138</v>
      </c>
    </row>
    <row r="636" spans="1:11" ht="14.25">
      <c r="A636" t="s">
        <v>898</v>
      </c>
      <c r="B636" s="3">
        <v>46276.63422453704</v>
      </c>
      <c r="C636" s="4">
        <v>46276</v>
      </c>
      <c r="D636" t="s">
        <v>287</v>
      </c>
      <c r="E636">
        <v>1006</v>
      </c>
      <c r="F636" t="s">
        <v>33</v>
      </c>
      <c r="G636" t="s">
        <v>137</v>
      </c>
      <c r="H636" t="s">
        <v>84</v>
      </c>
      <c r="I636" t="s">
        <v>96</v>
      </c>
      <c r="J636" t="s">
        <v>899</v>
      </c>
      <c r="K636" t="s">
        <v>138</v>
      </c>
    </row>
    <row r="637" spans="1:11" ht="14.25">
      <c r="A637" t="s">
        <v>900</v>
      </c>
      <c r="B637" s="3">
        <v>46276.66265046296</v>
      </c>
      <c r="C637" s="4">
        <v>46276</v>
      </c>
      <c r="D637" t="s">
        <v>287</v>
      </c>
      <c r="E637">
        <v>1001</v>
      </c>
      <c r="F637" t="s">
        <v>21</v>
      </c>
      <c r="G637" t="s">
        <v>140</v>
      </c>
      <c r="H637" t="s">
        <v>63</v>
      </c>
      <c r="I637" t="s">
        <v>93</v>
      </c>
      <c r="J637" t="s">
        <v>901</v>
      </c>
      <c r="K637" t="s">
        <v>138</v>
      </c>
    </row>
    <row r="638" spans="1:11" ht="14.25">
      <c r="A638" t="s">
        <v>902</v>
      </c>
      <c r="B638" s="3">
        <v>46276.699895833335</v>
      </c>
      <c r="C638" s="4">
        <v>46276</v>
      </c>
      <c r="D638" t="s">
        <v>287</v>
      </c>
      <c r="E638">
        <v>1001</v>
      </c>
      <c r="F638" t="s">
        <v>21</v>
      </c>
      <c r="G638" t="s">
        <v>137</v>
      </c>
      <c r="H638" t="s">
        <v>63</v>
      </c>
      <c r="I638" t="s">
        <v>93</v>
      </c>
      <c r="J638" t="s">
        <v>901</v>
      </c>
      <c r="K638" t="s">
        <v>138</v>
      </c>
    </row>
    <row r="639" spans="1:11" ht="14.25">
      <c r="A639" t="s">
        <v>903</v>
      </c>
      <c r="B639" s="3">
        <v>46276.744942129626</v>
      </c>
      <c r="C639" s="4">
        <v>46276</v>
      </c>
      <c r="D639" t="s">
        <v>287</v>
      </c>
      <c r="E639">
        <v>1002</v>
      </c>
      <c r="F639" t="s">
        <v>25</v>
      </c>
      <c r="G639" t="s">
        <v>140</v>
      </c>
      <c r="H639" t="s">
        <v>75</v>
      </c>
      <c r="I639" t="s">
        <v>102</v>
      </c>
      <c r="K639" t="s">
        <v>138</v>
      </c>
    </row>
    <row r="640" spans="1:11" ht="14.25">
      <c r="A640" t="s">
        <v>904</v>
      </c>
      <c r="B640" s="3">
        <v>46276.748657407406</v>
      </c>
      <c r="C640" s="4">
        <v>46276</v>
      </c>
      <c r="D640" t="s">
        <v>287</v>
      </c>
      <c r="E640">
        <v>1016</v>
      </c>
      <c r="F640" t="s">
        <v>49</v>
      </c>
      <c r="G640" t="s">
        <v>140</v>
      </c>
      <c r="H640" t="s">
        <v>69</v>
      </c>
      <c r="I640" t="s">
        <v>102</v>
      </c>
      <c r="K640" t="s">
        <v>138</v>
      </c>
    </row>
    <row r="641" spans="1:11" ht="14.25">
      <c r="A641" t="s">
        <v>905</v>
      </c>
      <c r="B641" s="3">
        <v>46276.749236111114</v>
      </c>
      <c r="C641" s="4">
        <v>46276</v>
      </c>
      <c r="D641" t="s">
        <v>287</v>
      </c>
      <c r="E641">
        <v>1012</v>
      </c>
      <c r="F641" t="s">
        <v>42</v>
      </c>
      <c r="G641" t="s">
        <v>140</v>
      </c>
      <c r="H641" t="s">
        <v>69</v>
      </c>
      <c r="I641" t="s">
        <v>96</v>
      </c>
      <c r="K641" t="s">
        <v>138</v>
      </c>
    </row>
    <row r="642" spans="1:11" ht="14.25">
      <c r="A642" t="s">
        <v>906</v>
      </c>
      <c r="B642" s="3">
        <v>46276.749398148146</v>
      </c>
      <c r="C642" s="4">
        <v>46276</v>
      </c>
      <c r="D642" t="s">
        <v>287</v>
      </c>
      <c r="E642">
        <v>1014</v>
      </c>
      <c r="F642" t="s">
        <v>46</v>
      </c>
      <c r="G642" t="s">
        <v>140</v>
      </c>
      <c r="H642" t="s">
        <v>87</v>
      </c>
      <c r="I642" t="s">
        <v>96</v>
      </c>
      <c r="K642" t="s">
        <v>138</v>
      </c>
    </row>
    <row r="643" spans="1:11" ht="14.25">
      <c r="A643" t="s">
        <v>907</v>
      </c>
      <c r="B643" s="3">
        <v>46276.749826388892</v>
      </c>
      <c r="C643" s="4">
        <v>46276</v>
      </c>
      <c r="D643" t="s">
        <v>287</v>
      </c>
      <c r="E643">
        <v>1003</v>
      </c>
      <c r="F643" t="s">
        <v>27</v>
      </c>
      <c r="G643" t="s">
        <v>140</v>
      </c>
      <c r="H643" t="s">
        <v>66</v>
      </c>
      <c r="I643" t="s">
        <v>102</v>
      </c>
      <c r="K643" t="s">
        <v>138</v>
      </c>
    </row>
    <row r="644" spans="1:11" ht="14.25">
      <c r="A644" t="s">
        <v>908</v>
      </c>
      <c r="B644" s="3">
        <v>46276.750902777778</v>
      </c>
      <c r="C644" s="4">
        <v>46276</v>
      </c>
      <c r="D644" t="s">
        <v>287</v>
      </c>
      <c r="E644">
        <v>1013</v>
      </c>
      <c r="F644" t="s">
        <v>45</v>
      </c>
      <c r="G644" t="s">
        <v>140</v>
      </c>
      <c r="H644" t="s">
        <v>75</v>
      </c>
      <c r="I644" t="s">
        <v>102</v>
      </c>
      <c r="K644" t="s">
        <v>138</v>
      </c>
    </row>
    <row r="645" spans="1:11" ht="14.25">
      <c r="A645" t="s">
        <v>909</v>
      </c>
      <c r="B645" s="3">
        <v>46276.752430555556</v>
      </c>
      <c r="C645" s="4">
        <v>46276</v>
      </c>
      <c r="D645" t="s">
        <v>287</v>
      </c>
      <c r="E645">
        <v>1011</v>
      </c>
      <c r="F645" t="s">
        <v>40</v>
      </c>
      <c r="G645" t="s">
        <v>140</v>
      </c>
      <c r="H645" t="s">
        <v>66</v>
      </c>
      <c r="I645" t="s">
        <v>102</v>
      </c>
      <c r="K645" t="s">
        <v>138</v>
      </c>
    </row>
    <row r="646" spans="1:11" ht="14.25">
      <c r="A646" t="s">
        <v>910</v>
      </c>
      <c r="B646" s="3">
        <v>46276.776053240741</v>
      </c>
      <c r="C646" s="4">
        <v>46276</v>
      </c>
      <c r="D646" t="s">
        <v>287</v>
      </c>
      <c r="E646">
        <v>1006</v>
      </c>
      <c r="F646" t="s">
        <v>33</v>
      </c>
      <c r="G646" t="s">
        <v>140</v>
      </c>
      <c r="H646" t="s">
        <v>84</v>
      </c>
      <c r="I646" t="s">
        <v>96</v>
      </c>
      <c r="K646" t="s">
        <v>138</v>
      </c>
    </row>
    <row r="647" spans="1:11" ht="14.25">
      <c r="A647" t="s">
        <v>911</v>
      </c>
      <c r="B647" s="3">
        <v>46276.806238425925</v>
      </c>
      <c r="C647" s="4">
        <v>46276</v>
      </c>
      <c r="D647" t="s">
        <v>287</v>
      </c>
      <c r="E647">
        <v>1012</v>
      </c>
      <c r="F647" t="s">
        <v>42</v>
      </c>
      <c r="G647" t="s">
        <v>137</v>
      </c>
      <c r="H647" t="s">
        <v>87</v>
      </c>
      <c r="I647" t="s">
        <v>96</v>
      </c>
      <c r="K647" t="s">
        <v>138</v>
      </c>
    </row>
    <row r="648" spans="1:11" ht="14.25">
      <c r="A648" t="s">
        <v>912</v>
      </c>
      <c r="B648" s="3">
        <v>46276.820486111108</v>
      </c>
      <c r="C648" s="4">
        <v>46276</v>
      </c>
      <c r="D648" t="s">
        <v>287</v>
      </c>
      <c r="E648">
        <v>1012</v>
      </c>
      <c r="F648" t="s">
        <v>42</v>
      </c>
      <c r="G648" t="s">
        <v>140</v>
      </c>
      <c r="H648" t="s">
        <v>87</v>
      </c>
      <c r="I648" t="s">
        <v>96</v>
      </c>
      <c r="K648" t="s">
        <v>138</v>
      </c>
    </row>
    <row r="649" spans="1:11" ht="14.25">
      <c r="A649" t="s">
        <v>913</v>
      </c>
      <c r="B649" s="3">
        <v>46276.838055555556</v>
      </c>
      <c r="C649" s="4">
        <v>46276</v>
      </c>
      <c r="D649" t="s">
        <v>287</v>
      </c>
      <c r="E649">
        <v>1017</v>
      </c>
      <c r="F649" t="s">
        <v>50</v>
      </c>
      <c r="G649" t="s">
        <v>140</v>
      </c>
      <c r="H649" t="s">
        <v>87</v>
      </c>
      <c r="I649" t="s">
        <v>96</v>
      </c>
      <c r="K649" t="s">
        <v>138</v>
      </c>
    </row>
    <row r="650" spans="1:11" ht="14.25">
      <c r="A650" t="s">
        <v>914</v>
      </c>
      <c r="B650" s="3">
        <v>46276.872939814813</v>
      </c>
      <c r="C650" s="4">
        <v>46276</v>
      </c>
      <c r="D650" t="s">
        <v>287</v>
      </c>
      <c r="E650">
        <v>1006</v>
      </c>
      <c r="F650" t="s">
        <v>33</v>
      </c>
      <c r="G650" t="s">
        <v>137</v>
      </c>
      <c r="H650" t="s">
        <v>84</v>
      </c>
      <c r="I650" t="s">
        <v>96</v>
      </c>
      <c r="K650" t="s">
        <v>138</v>
      </c>
    </row>
    <row r="651" spans="1:11" ht="14.25">
      <c r="A651" t="s">
        <v>915</v>
      </c>
      <c r="B651" s="3">
        <v>46276.878437500003</v>
      </c>
      <c r="C651" s="4">
        <v>46276</v>
      </c>
      <c r="D651" t="s">
        <v>287</v>
      </c>
      <c r="E651">
        <v>1004</v>
      </c>
      <c r="F651" t="s">
        <v>29</v>
      </c>
      <c r="G651" t="s">
        <v>140</v>
      </c>
      <c r="H651" t="s">
        <v>69</v>
      </c>
      <c r="I651" t="s">
        <v>99</v>
      </c>
      <c r="K651" t="s">
        <v>138</v>
      </c>
    </row>
    <row r="652" spans="1:11" ht="14.25">
      <c r="A652" t="s">
        <v>916</v>
      </c>
      <c r="B652" s="3">
        <v>46276.902962962966</v>
      </c>
      <c r="C652" s="4">
        <v>46276</v>
      </c>
      <c r="D652" t="s">
        <v>287</v>
      </c>
      <c r="E652">
        <v>1001</v>
      </c>
      <c r="F652" t="s">
        <v>21</v>
      </c>
      <c r="G652" t="s">
        <v>140</v>
      </c>
      <c r="H652" t="s">
        <v>63</v>
      </c>
      <c r="I652" t="s">
        <v>93</v>
      </c>
      <c r="K652" t="s">
        <v>138</v>
      </c>
    </row>
    <row r="653" spans="1:11" ht="14.25">
      <c r="A653" t="s">
        <v>917</v>
      </c>
      <c r="B653" s="3">
        <v>46276.969305555554</v>
      </c>
      <c r="C653" s="4">
        <v>46276</v>
      </c>
      <c r="D653" t="s">
        <v>287</v>
      </c>
      <c r="E653">
        <v>1006</v>
      </c>
      <c r="F653" t="s">
        <v>33</v>
      </c>
      <c r="G653" t="s">
        <v>140</v>
      </c>
      <c r="H653" t="s">
        <v>84</v>
      </c>
      <c r="I653" t="s">
        <v>96</v>
      </c>
      <c r="K653" t="s">
        <v>138</v>
      </c>
    </row>
    <row r="654" spans="1:11" ht="14.25">
      <c r="A654" t="s">
        <v>918</v>
      </c>
      <c r="B654" s="3">
        <v>46277.349699074075</v>
      </c>
      <c r="C654" s="4">
        <v>46277</v>
      </c>
      <c r="D654" t="s">
        <v>357</v>
      </c>
      <c r="E654">
        <v>1003</v>
      </c>
      <c r="F654" t="s">
        <v>27</v>
      </c>
      <c r="G654" t="s">
        <v>137</v>
      </c>
      <c r="H654" t="s">
        <v>75</v>
      </c>
      <c r="I654" t="s">
        <v>102</v>
      </c>
      <c r="K654" t="s">
        <v>138</v>
      </c>
    </row>
    <row r="655" spans="1:11" ht="14.25">
      <c r="A655" t="s">
        <v>919</v>
      </c>
      <c r="B655" s="3">
        <v>46277.350347222222</v>
      </c>
      <c r="C655" s="4">
        <v>46277</v>
      </c>
      <c r="D655" t="s">
        <v>357</v>
      </c>
      <c r="E655">
        <v>1003</v>
      </c>
      <c r="F655" t="s">
        <v>27</v>
      </c>
      <c r="G655" t="s">
        <v>137</v>
      </c>
      <c r="H655" t="s">
        <v>75</v>
      </c>
      <c r="I655" t="s">
        <v>102</v>
      </c>
      <c r="K655" t="s">
        <v>138</v>
      </c>
    </row>
    <row r="656" spans="1:11" ht="14.25">
      <c r="A656" t="s">
        <v>920</v>
      </c>
      <c r="B656" s="3">
        <v>46277.386331018519</v>
      </c>
      <c r="C656" s="4">
        <v>46277</v>
      </c>
      <c r="D656" t="s">
        <v>357</v>
      </c>
      <c r="E656">
        <v>1017</v>
      </c>
      <c r="F656" t="s">
        <v>50</v>
      </c>
      <c r="G656" t="s">
        <v>137</v>
      </c>
      <c r="H656" t="s">
        <v>87</v>
      </c>
      <c r="I656" t="s">
        <v>96</v>
      </c>
      <c r="K656" t="s">
        <v>138</v>
      </c>
    </row>
    <row r="657" spans="1:11" ht="14.25">
      <c r="A657" t="s">
        <v>921</v>
      </c>
      <c r="B657" s="3">
        <v>46277.447060185186</v>
      </c>
      <c r="C657" s="4">
        <v>46277</v>
      </c>
      <c r="D657" t="s">
        <v>357</v>
      </c>
      <c r="E657">
        <v>1011</v>
      </c>
      <c r="F657" t="s">
        <v>40</v>
      </c>
      <c r="G657" t="s">
        <v>137</v>
      </c>
      <c r="H657" t="s">
        <v>69</v>
      </c>
      <c r="I657" t="s">
        <v>102</v>
      </c>
      <c r="K657" t="s">
        <v>138</v>
      </c>
    </row>
    <row r="658" spans="1:11" ht="14.25">
      <c r="A658" t="s">
        <v>922</v>
      </c>
      <c r="B658" s="3">
        <v>46277.501064814816</v>
      </c>
      <c r="C658" s="4">
        <v>46277</v>
      </c>
      <c r="D658" t="s">
        <v>357</v>
      </c>
      <c r="E658">
        <v>1003</v>
      </c>
      <c r="F658" t="s">
        <v>27</v>
      </c>
      <c r="G658" t="s">
        <v>140</v>
      </c>
      <c r="H658" t="s">
        <v>75</v>
      </c>
      <c r="I658" t="s">
        <v>102</v>
      </c>
      <c r="K658" t="s">
        <v>138</v>
      </c>
    </row>
    <row r="659" spans="1:11" ht="14.25">
      <c r="A659" t="s">
        <v>923</v>
      </c>
      <c r="B659" s="3">
        <v>46277.550138888888</v>
      </c>
      <c r="C659" s="4">
        <v>46277</v>
      </c>
      <c r="D659" t="s">
        <v>357</v>
      </c>
      <c r="E659">
        <v>1003</v>
      </c>
      <c r="F659" t="s">
        <v>27</v>
      </c>
      <c r="G659" t="s">
        <v>140</v>
      </c>
      <c r="H659" t="s">
        <v>75</v>
      </c>
      <c r="I659" t="s">
        <v>102</v>
      </c>
      <c r="K659" t="s">
        <v>138</v>
      </c>
    </row>
    <row r="660" spans="1:11" ht="14.25">
      <c r="A660" t="s">
        <v>924</v>
      </c>
      <c r="B660" s="3">
        <v>46277.554120370369</v>
      </c>
      <c r="C660" s="4">
        <v>46277</v>
      </c>
      <c r="D660" t="s">
        <v>357</v>
      </c>
      <c r="E660">
        <v>1003</v>
      </c>
      <c r="F660" t="s">
        <v>27</v>
      </c>
      <c r="G660" t="s">
        <v>137</v>
      </c>
      <c r="H660" t="s">
        <v>75</v>
      </c>
      <c r="I660" t="s">
        <v>102</v>
      </c>
      <c r="K660" t="s">
        <v>138</v>
      </c>
    </row>
    <row r="661" spans="1:11" ht="14.25">
      <c r="A661" t="s">
        <v>925</v>
      </c>
      <c r="B661" s="3">
        <v>46277.779351851852</v>
      </c>
      <c r="C661" s="4">
        <v>46277</v>
      </c>
      <c r="D661" t="s">
        <v>357</v>
      </c>
      <c r="E661">
        <v>1003</v>
      </c>
      <c r="F661" t="s">
        <v>27</v>
      </c>
      <c r="G661" t="s">
        <v>140</v>
      </c>
      <c r="H661" t="s">
        <v>75</v>
      </c>
      <c r="I661" t="s">
        <v>102</v>
      </c>
      <c r="K661" t="s">
        <v>138</v>
      </c>
    </row>
    <row r="662" spans="1:11" ht="14.25">
      <c r="A662" t="s">
        <v>926</v>
      </c>
      <c r="B662" s="3">
        <v>46277.793240740742</v>
      </c>
      <c r="C662" s="4">
        <v>46277</v>
      </c>
      <c r="D662" t="s">
        <v>357</v>
      </c>
      <c r="E662">
        <v>1017</v>
      </c>
      <c r="F662" t="s">
        <v>50</v>
      </c>
      <c r="G662" t="s">
        <v>140</v>
      </c>
      <c r="H662" t="s">
        <v>69</v>
      </c>
      <c r="I662" t="s">
        <v>102</v>
      </c>
      <c r="K662" t="s">
        <v>138</v>
      </c>
    </row>
    <row r="663" spans="1:11" ht="14.25">
      <c r="A663" t="s">
        <v>927</v>
      </c>
      <c r="B663" s="3">
        <v>46277.792719907404</v>
      </c>
      <c r="C663" s="4">
        <v>46277</v>
      </c>
      <c r="D663" t="s">
        <v>357</v>
      </c>
      <c r="E663">
        <v>1017</v>
      </c>
      <c r="F663" t="s">
        <v>50</v>
      </c>
      <c r="G663" t="s">
        <v>140</v>
      </c>
      <c r="H663" t="s">
        <v>87</v>
      </c>
      <c r="I663" t="s">
        <v>96</v>
      </c>
      <c r="K663" t="s">
        <v>138</v>
      </c>
    </row>
    <row r="664" spans="1:11" ht="14.25">
      <c r="A664" t="s">
        <v>928</v>
      </c>
      <c r="B664" s="3">
        <v>46278.339189814818</v>
      </c>
      <c r="C664" s="4">
        <v>46278</v>
      </c>
      <c r="D664" t="s">
        <v>385</v>
      </c>
      <c r="E664">
        <v>1003</v>
      </c>
      <c r="F664" t="s">
        <v>27</v>
      </c>
      <c r="G664" t="s">
        <v>137</v>
      </c>
      <c r="H664" t="s">
        <v>69</v>
      </c>
      <c r="I664" t="s">
        <v>102</v>
      </c>
      <c r="K664" t="s">
        <v>138</v>
      </c>
    </row>
    <row r="665" spans="1:11" ht="14.25">
      <c r="A665" t="s">
        <v>929</v>
      </c>
      <c r="B665" s="3">
        <v>46278.456875000003</v>
      </c>
      <c r="C665" s="4">
        <v>46278</v>
      </c>
      <c r="D665" t="s">
        <v>385</v>
      </c>
      <c r="E665">
        <v>1011</v>
      </c>
      <c r="F665" t="s">
        <v>40</v>
      </c>
      <c r="G665" t="s">
        <v>137</v>
      </c>
      <c r="H665" t="s">
        <v>69</v>
      </c>
      <c r="I665" t="s">
        <v>102</v>
      </c>
      <c r="K665" t="s">
        <v>138</v>
      </c>
    </row>
    <row r="666" spans="1:11" ht="14.25">
      <c r="A666" t="s">
        <v>930</v>
      </c>
      <c r="B666" s="3">
        <v>46278.490162037036</v>
      </c>
      <c r="C666" s="4">
        <v>46278</v>
      </c>
      <c r="D666" t="s">
        <v>385</v>
      </c>
      <c r="E666">
        <v>1003</v>
      </c>
      <c r="F666" t="s">
        <v>27</v>
      </c>
      <c r="G666" t="s">
        <v>140</v>
      </c>
      <c r="H666" t="s">
        <v>69</v>
      </c>
      <c r="I666" t="s">
        <v>102</v>
      </c>
      <c r="K666" t="s">
        <v>138</v>
      </c>
    </row>
    <row r="667" spans="1:11" ht="14.25">
      <c r="A667" t="s">
        <v>931</v>
      </c>
      <c r="B667" s="3">
        <v>46278.567210648151</v>
      </c>
      <c r="C667" s="4">
        <v>46278</v>
      </c>
      <c r="D667" t="s">
        <v>385</v>
      </c>
      <c r="E667">
        <v>1003</v>
      </c>
      <c r="F667" t="s">
        <v>27</v>
      </c>
      <c r="G667" t="s">
        <v>137</v>
      </c>
      <c r="H667" t="s">
        <v>69</v>
      </c>
      <c r="I667" t="s">
        <v>102</v>
      </c>
      <c r="K667" t="s">
        <v>138</v>
      </c>
    </row>
    <row r="668" spans="1:11" ht="14.25">
      <c r="A668" t="s">
        <v>932</v>
      </c>
      <c r="B668" s="3">
        <v>46278.618287037039</v>
      </c>
      <c r="C668" s="4">
        <v>46278</v>
      </c>
      <c r="D668" t="s">
        <v>385</v>
      </c>
      <c r="E668">
        <v>1011</v>
      </c>
      <c r="F668" t="s">
        <v>40</v>
      </c>
      <c r="G668" t="s">
        <v>140</v>
      </c>
      <c r="H668" t="s">
        <v>69</v>
      </c>
      <c r="I668" t="s">
        <v>102</v>
      </c>
      <c r="K668" t="s">
        <v>138</v>
      </c>
    </row>
    <row r="669" spans="1:11" ht="14.25">
      <c r="A669" t="s">
        <v>933</v>
      </c>
      <c r="B669" s="3">
        <v>46279.340254629627</v>
      </c>
      <c r="C669" s="4">
        <v>46279</v>
      </c>
      <c r="D669" t="s">
        <v>397</v>
      </c>
      <c r="E669">
        <v>1003</v>
      </c>
      <c r="F669" t="s">
        <v>27</v>
      </c>
      <c r="G669" t="s">
        <v>137</v>
      </c>
      <c r="H669" t="s">
        <v>69</v>
      </c>
      <c r="I669" t="s">
        <v>102</v>
      </c>
      <c r="K669" t="s">
        <v>138</v>
      </c>
    </row>
    <row r="670" spans="1:11" ht="14.25">
      <c r="A670" t="s">
        <v>934</v>
      </c>
      <c r="B670" s="3">
        <v>46279.34165509259</v>
      </c>
      <c r="C670" s="4">
        <v>46279</v>
      </c>
      <c r="D670" t="s">
        <v>397</v>
      </c>
      <c r="E670">
        <v>1002</v>
      </c>
      <c r="F670" t="s">
        <v>25</v>
      </c>
      <c r="G670" t="s">
        <v>137</v>
      </c>
      <c r="H670" t="s">
        <v>75</v>
      </c>
      <c r="I670" t="s">
        <v>102</v>
      </c>
      <c r="K670" t="s">
        <v>138</v>
      </c>
    </row>
    <row r="671" spans="1:11" ht="14.25">
      <c r="A671" t="s">
        <v>935</v>
      </c>
      <c r="B671" s="3">
        <v>46279.34337962963</v>
      </c>
      <c r="C671" s="4">
        <v>46279</v>
      </c>
      <c r="D671" t="s">
        <v>397</v>
      </c>
      <c r="E671">
        <v>1011</v>
      </c>
      <c r="F671" t="s">
        <v>40</v>
      </c>
      <c r="G671" t="s">
        <v>137</v>
      </c>
      <c r="H671" t="s">
        <v>69</v>
      </c>
      <c r="I671" t="s">
        <v>102</v>
      </c>
      <c r="K671" t="s">
        <v>138</v>
      </c>
    </row>
    <row r="672" spans="1:11" ht="14.25">
      <c r="A672" t="s">
        <v>936</v>
      </c>
      <c r="B672" s="3">
        <v>46279.356631944444</v>
      </c>
      <c r="C672" s="4">
        <v>46279</v>
      </c>
      <c r="D672" t="s">
        <v>397</v>
      </c>
      <c r="E672">
        <v>1013</v>
      </c>
      <c r="F672" t="s">
        <v>45</v>
      </c>
      <c r="G672" t="s">
        <v>137</v>
      </c>
      <c r="H672" t="s">
        <v>75</v>
      </c>
      <c r="I672" t="s">
        <v>102</v>
      </c>
      <c r="K672" t="s">
        <v>138</v>
      </c>
    </row>
    <row r="673" spans="1:11" ht="14.25">
      <c r="A673" t="s">
        <v>937</v>
      </c>
      <c r="B673" s="3">
        <v>46279.399305555555</v>
      </c>
      <c r="C673" s="4">
        <v>46279</v>
      </c>
      <c r="D673" t="s">
        <v>397</v>
      </c>
      <c r="E673">
        <v>1009</v>
      </c>
      <c r="F673" t="s">
        <v>38</v>
      </c>
      <c r="G673" t="s">
        <v>137</v>
      </c>
      <c r="H673" t="s">
        <v>87</v>
      </c>
      <c r="I673" t="s">
        <v>96</v>
      </c>
      <c r="K673" t="s">
        <v>138</v>
      </c>
    </row>
    <row r="674" spans="1:11" ht="14.25">
      <c r="A674" t="s">
        <v>938</v>
      </c>
      <c r="B674" s="3">
        <v>46279.497581018521</v>
      </c>
      <c r="C674" s="4">
        <v>46279</v>
      </c>
      <c r="D674" t="s">
        <v>397</v>
      </c>
      <c r="E674">
        <v>1013</v>
      </c>
      <c r="F674" t="s">
        <v>45</v>
      </c>
      <c r="G674" t="s">
        <v>140</v>
      </c>
      <c r="H674" t="s">
        <v>75</v>
      </c>
      <c r="I674" t="s">
        <v>102</v>
      </c>
      <c r="K674" t="s">
        <v>138</v>
      </c>
    </row>
    <row r="675" spans="1:11" ht="14.25">
      <c r="A675" t="s">
        <v>939</v>
      </c>
      <c r="B675" s="3">
        <v>46279.499108796299</v>
      </c>
      <c r="C675" s="4">
        <v>46279</v>
      </c>
      <c r="D675" t="s">
        <v>397</v>
      </c>
      <c r="E675">
        <v>1011</v>
      </c>
      <c r="F675" t="s">
        <v>40</v>
      </c>
      <c r="G675" t="s">
        <v>140</v>
      </c>
      <c r="H675" t="s">
        <v>69</v>
      </c>
      <c r="I675" t="s">
        <v>102</v>
      </c>
      <c r="K675" t="s">
        <v>138</v>
      </c>
    </row>
    <row r="676" spans="1:11" ht="14.25">
      <c r="A676" t="s">
        <v>940</v>
      </c>
      <c r="B676" s="3">
        <v>46279.504791666666</v>
      </c>
      <c r="C676" s="4">
        <v>46279</v>
      </c>
      <c r="D676" t="s">
        <v>397</v>
      </c>
      <c r="E676">
        <v>1002</v>
      </c>
      <c r="F676" t="s">
        <v>25</v>
      </c>
      <c r="G676" t="s">
        <v>140</v>
      </c>
      <c r="H676" t="s">
        <v>75</v>
      </c>
      <c r="I676" t="s">
        <v>102</v>
      </c>
      <c r="K676" t="s">
        <v>138</v>
      </c>
    </row>
    <row r="677" spans="1:11" ht="14.25">
      <c r="A677" t="s">
        <v>941</v>
      </c>
      <c r="B677" s="3">
        <v>46279.532337962963</v>
      </c>
      <c r="C677" s="4">
        <v>46279</v>
      </c>
      <c r="D677" t="s">
        <v>397</v>
      </c>
      <c r="E677">
        <v>1003</v>
      </c>
      <c r="F677" t="s">
        <v>27</v>
      </c>
      <c r="G677" t="s">
        <v>140</v>
      </c>
      <c r="H677" t="s">
        <v>66</v>
      </c>
      <c r="I677" t="s">
        <v>102</v>
      </c>
      <c r="K677" t="s">
        <v>138</v>
      </c>
    </row>
    <row r="678" spans="1:11" ht="14.25">
      <c r="A678" t="s">
        <v>942</v>
      </c>
      <c r="B678" s="3">
        <v>46279.534039351849</v>
      </c>
      <c r="C678" s="4">
        <v>46279</v>
      </c>
      <c r="D678" t="s">
        <v>397</v>
      </c>
      <c r="E678">
        <v>1013</v>
      </c>
      <c r="F678" t="s">
        <v>45</v>
      </c>
      <c r="G678" t="s">
        <v>137</v>
      </c>
      <c r="H678" t="s">
        <v>75</v>
      </c>
      <c r="I678" t="s">
        <v>102</v>
      </c>
      <c r="K678" t="s">
        <v>138</v>
      </c>
    </row>
    <row r="679" spans="1:11" ht="14.25">
      <c r="A679" t="s">
        <v>943</v>
      </c>
      <c r="B679" s="3">
        <v>46279.536469907405</v>
      </c>
      <c r="C679" s="4">
        <v>46279</v>
      </c>
      <c r="D679" t="s">
        <v>397</v>
      </c>
      <c r="E679">
        <v>1011</v>
      </c>
      <c r="F679" t="s">
        <v>40</v>
      </c>
      <c r="G679" t="s">
        <v>137</v>
      </c>
      <c r="H679" t="s">
        <v>69</v>
      </c>
      <c r="I679" t="s">
        <v>102</v>
      </c>
      <c r="K679" t="s">
        <v>138</v>
      </c>
    </row>
    <row r="680" spans="1:11" ht="14.25">
      <c r="A680" t="s">
        <v>944</v>
      </c>
      <c r="B680" s="3">
        <v>46279.545578703706</v>
      </c>
      <c r="C680" s="4">
        <v>46279</v>
      </c>
      <c r="D680" t="s">
        <v>397</v>
      </c>
      <c r="E680">
        <v>1002</v>
      </c>
      <c r="F680" t="s">
        <v>25</v>
      </c>
      <c r="G680" t="s">
        <v>137</v>
      </c>
      <c r="H680" t="s">
        <v>75</v>
      </c>
      <c r="I680" t="s">
        <v>102</v>
      </c>
      <c r="K680" t="s">
        <v>138</v>
      </c>
    </row>
    <row r="681" spans="1:11" ht="14.25">
      <c r="A681" t="s">
        <v>945</v>
      </c>
      <c r="B681" s="3">
        <v>46279.579467592594</v>
      </c>
      <c r="C681" s="4">
        <v>46279</v>
      </c>
      <c r="D681" t="s">
        <v>397</v>
      </c>
      <c r="E681">
        <v>1003</v>
      </c>
      <c r="F681" t="s">
        <v>27</v>
      </c>
      <c r="G681" t="s">
        <v>137</v>
      </c>
      <c r="H681" t="s">
        <v>66</v>
      </c>
      <c r="I681" t="s">
        <v>102</v>
      </c>
      <c r="K681" t="s">
        <v>138</v>
      </c>
    </row>
    <row r="682" spans="1:11" ht="14.25">
      <c r="A682" t="s">
        <v>946</v>
      </c>
      <c r="B682" s="3">
        <v>46279.746469907404</v>
      </c>
      <c r="C682" s="4">
        <v>46279</v>
      </c>
      <c r="D682" t="s">
        <v>397</v>
      </c>
      <c r="E682">
        <v>1002</v>
      </c>
      <c r="F682" t="s">
        <v>25</v>
      </c>
      <c r="G682" t="s">
        <v>140</v>
      </c>
      <c r="H682" t="s">
        <v>75</v>
      </c>
      <c r="I682" t="s">
        <v>102</v>
      </c>
      <c r="K682" t="s">
        <v>138</v>
      </c>
    </row>
    <row r="683" spans="1:11" ht="14.25">
      <c r="A683" t="s">
        <v>947</v>
      </c>
      <c r="B683" s="3">
        <v>46279.746759259258</v>
      </c>
      <c r="C683" s="4">
        <v>46279</v>
      </c>
      <c r="D683" t="s">
        <v>397</v>
      </c>
      <c r="E683">
        <v>1002</v>
      </c>
      <c r="F683" t="s">
        <v>25</v>
      </c>
      <c r="G683" t="s">
        <v>140</v>
      </c>
      <c r="H683" t="s">
        <v>75</v>
      </c>
      <c r="I683" t="s">
        <v>102</v>
      </c>
      <c r="K683" t="s">
        <v>138</v>
      </c>
    </row>
    <row r="684" spans="1:11" ht="14.25">
      <c r="A684" t="s">
        <v>948</v>
      </c>
      <c r="B684" s="3">
        <v>46279.749826388892</v>
      </c>
      <c r="C684" s="4">
        <v>46279</v>
      </c>
      <c r="D684" t="s">
        <v>397</v>
      </c>
      <c r="E684">
        <v>1013</v>
      </c>
      <c r="F684" t="s">
        <v>45</v>
      </c>
      <c r="G684" t="s">
        <v>140</v>
      </c>
      <c r="H684" t="s">
        <v>75</v>
      </c>
      <c r="I684" t="s">
        <v>102</v>
      </c>
      <c r="K684" t="s">
        <v>138</v>
      </c>
    </row>
    <row r="685" spans="1:11" ht="14.25">
      <c r="A685" t="s">
        <v>949</v>
      </c>
      <c r="B685" s="3">
        <v>46279.752175925925</v>
      </c>
      <c r="C685" s="4">
        <v>46279</v>
      </c>
      <c r="D685" t="s">
        <v>397</v>
      </c>
      <c r="E685">
        <v>1011</v>
      </c>
      <c r="F685" t="s">
        <v>40</v>
      </c>
      <c r="G685" t="s">
        <v>140</v>
      </c>
      <c r="H685" t="s">
        <v>69</v>
      </c>
      <c r="I685" t="s">
        <v>102</v>
      </c>
      <c r="K685" t="s">
        <v>138</v>
      </c>
    </row>
    <row r="686" spans="1:11" ht="14.25">
      <c r="A686" t="s">
        <v>950</v>
      </c>
      <c r="B686" s="3">
        <v>46279.774375000001</v>
      </c>
      <c r="C686" s="4">
        <v>46279</v>
      </c>
      <c r="D686" t="s">
        <v>397</v>
      </c>
      <c r="E686">
        <v>1003</v>
      </c>
      <c r="F686" t="s">
        <v>27</v>
      </c>
      <c r="G686" t="s">
        <v>140</v>
      </c>
      <c r="H686" t="s">
        <v>66</v>
      </c>
      <c r="I686" t="s">
        <v>102</v>
      </c>
      <c r="K686" t="s">
        <v>138</v>
      </c>
    </row>
    <row r="687" spans="1:11" ht="14.25">
      <c r="A687" t="s">
        <v>951</v>
      </c>
      <c r="B687" s="3">
        <v>46280.328553240739</v>
      </c>
      <c r="C687" s="4">
        <v>46280</v>
      </c>
      <c r="D687" t="s">
        <v>136</v>
      </c>
      <c r="E687">
        <v>1002</v>
      </c>
      <c r="F687" t="s">
        <v>25</v>
      </c>
      <c r="G687" t="s">
        <v>137</v>
      </c>
      <c r="H687" t="s">
        <v>75</v>
      </c>
      <c r="I687" t="s">
        <v>102</v>
      </c>
      <c r="K687" t="s">
        <v>138</v>
      </c>
    </row>
    <row r="688" spans="1:11" ht="14.25">
      <c r="A688" t="s">
        <v>952</v>
      </c>
      <c r="B688" s="3">
        <v>46280.339270833334</v>
      </c>
      <c r="C688" s="4">
        <v>46280</v>
      </c>
      <c r="D688" t="s">
        <v>136</v>
      </c>
      <c r="E688">
        <v>1003</v>
      </c>
      <c r="F688" t="s">
        <v>27</v>
      </c>
      <c r="G688" t="s">
        <v>137</v>
      </c>
      <c r="H688" t="s">
        <v>75</v>
      </c>
      <c r="I688" t="s">
        <v>102</v>
      </c>
      <c r="K688" t="s">
        <v>138</v>
      </c>
    </row>
    <row r="689" spans="1:11" ht="14.25">
      <c r="A689" t="s">
        <v>953</v>
      </c>
      <c r="B689" s="3">
        <v>46280.340613425928</v>
      </c>
      <c r="C689" s="4">
        <v>46280</v>
      </c>
      <c r="D689" t="s">
        <v>136</v>
      </c>
      <c r="E689">
        <v>1011</v>
      </c>
      <c r="F689" t="s">
        <v>40</v>
      </c>
      <c r="G689" t="s">
        <v>137</v>
      </c>
      <c r="H689" t="s">
        <v>66</v>
      </c>
      <c r="I689" t="s">
        <v>102</v>
      </c>
      <c r="K689" t="s">
        <v>138</v>
      </c>
    </row>
    <row r="690" spans="1:11" ht="14.25">
      <c r="A690" t="s">
        <v>954</v>
      </c>
      <c r="B690" s="3">
        <v>46280.378252314818</v>
      </c>
      <c r="C690" s="4">
        <v>46280</v>
      </c>
      <c r="D690" t="s">
        <v>136</v>
      </c>
      <c r="E690">
        <v>1013</v>
      </c>
      <c r="F690" t="s">
        <v>45</v>
      </c>
      <c r="G690" t="s">
        <v>137</v>
      </c>
      <c r="H690" t="s">
        <v>66</v>
      </c>
      <c r="I690" t="s">
        <v>102</v>
      </c>
      <c r="K690" t="s">
        <v>138</v>
      </c>
    </row>
    <row r="691" spans="1:11" ht="14.25">
      <c r="A691" t="s">
        <v>955</v>
      </c>
      <c r="B691" s="3">
        <v>46280.493946759256</v>
      </c>
      <c r="C691" s="4">
        <v>46280</v>
      </c>
      <c r="D691" t="s">
        <v>136</v>
      </c>
      <c r="E691">
        <v>1013</v>
      </c>
      <c r="F691" t="s">
        <v>45</v>
      </c>
      <c r="G691" t="s">
        <v>137</v>
      </c>
      <c r="H691" t="s">
        <v>66</v>
      </c>
      <c r="I691" t="s">
        <v>102</v>
      </c>
      <c r="K691" t="s">
        <v>138</v>
      </c>
    </row>
    <row r="692" spans="1:11" ht="14.25">
      <c r="A692" t="s">
        <v>956</v>
      </c>
      <c r="B692" s="3">
        <v>46280.503194444442</v>
      </c>
      <c r="C692" s="4">
        <v>46280</v>
      </c>
      <c r="D692" t="s">
        <v>136</v>
      </c>
      <c r="E692">
        <v>1002</v>
      </c>
      <c r="F692" t="s">
        <v>25</v>
      </c>
      <c r="G692" t="s">
        <v>140</v>
      </c>
      <c r="H692" t="s">
        <v>75</v>
      </c>
      <c r="I692" t="s">
        <v>102</v>
      </c>
      <c r="K692" t="s">
        <v>138</v>
      </c>
    </row>
    <row r="693" spans="1:11" ht="14.25">
      <c r="A693" t="s">
        <v>957</v>
      </c>
      <c r="B693" s="3">
        <v>46280.512638888889</v>
      </c>
      <c r="C693" s="4">
        <v>46280</v>
      </c>
      <c r="D693" t="s">
        <v>136</v>
      </c>
      <c r="E693">
        <v>1011</v>
      </c>
      <c r="F693" t="s">
        <v>40</v>
      </c>
      <c r="G693" t="s">
        <v>140</v>
      </c>
      <c r="H693" t="s">
        <v>66</v>
      </c>
      <c r="I693" t="s">
        <v>102</v>
      </c>
      <c r="K693" t="s">
        <v>138</v>
      </c>
    </row>
    <row r="694" spans="1:11" ht="14.25">
      <c r="A694" t="s">
        <v>958</v>
      </c>
      <c r="B694" s="3">
        <v>46280.522719907407</v>
      </c>
      <c r="C694" s="4">
        <v>46280</v>
      </c>
      <c r="D694" t="s">
        <v>136</v>
      </c>
      <c r="E694">
        <v>1013</v>
      </c>
      <c r="F694" t="s">
        <v>45</v>
      </c>
      <c r="G694" t="s">
        <v>137</v>
      </c>
      <c r="H694" t="s">
        <v>66</v>
      </c>
      <c r="I694" t="s">
        <v>102</v>
      </c>
      <c r="K694" t="s">
        <v>138</v>
      </c>
    </row>
    <row r="695" spans="1:11" ht="14.25">
      <c r="A695" t="s">
        <v>959</v>
      </c>
      <c r="B695" s="3">
        <v>46280.525034722225</v>
      </c>
      <c r="C695" s="4">
        <v>46280</v>
      </c>
      <c r="D695" t="s">
        <v>136</v>
      </c>
      <c r="E695">
        <v>1003</v>
      </c>
      <c r="F695" t="s">
        <v>27</v>
      </c>
      <c r="G695" t="s">
        <v>140</v>
      </c>
      <c r="H695" t="s">
        <v>75</v>
      </c>
      <c r="I695" t="s">
        <v>102</v>
      </c>
      <c r="K695" t="s">
        <v>138</v>
      </c>
    </row>
    <row r="696" spans="1:11" ht="14.25">
      <c r="A696" t="s">
        <v>960</v>
      </c>
      <c r="B696" s="3">
        <v>46280.541932870372</v>
      </c>
      <c r="C696" s="4">
        <v>46280</v>
      </c>
      <c r="D696" t="s">
        <v>136</v>
      </c>
      <c r="E696">
        <v>1002</v>
      </c>
      <c r="F696" t="s">
        <v>25</v>
      </c>
      <c r="G696" t="s">
        <v>137</v>
      </c>
      <c r="H696" t="s">
        <v>75</v>
      </c>
      <c r="I696" t="s">
        <v>102</v>
      </c>
      <c r="K696" t="s">
        <v>138</v>
      </c>
    </row>
    <row r="697" spans="1:11" ht="14.25">
      <c r="A697" t="s">
        <v>961</v>
      </c>
      <c r="B697" s="3">
        <v>46280.583935185183</v>
      </c>
      <c r="C697" s="4">
        <v>46280</v>
      </c>
      <c r="D697" t="s">
        <v>136</v>
      </c>
      <c r="E697">
        <v>1003</v>
      </c>
      <c r="F697" t="s">
        <v>27</v>
      </c>
      <c r="G697" t="s">
        <v>137</v>
      </c>
      <c r="H697" t="s">
        <v>75</v>
      </c>
      <c r="I697" t="s">
        <v>102</v>
      </c>
      <c r="K697" t="s">
        <v>138</v>
      </c>
    </row>
    <row r="698" spans="1:11" ht="14.25">
      <c r="A698" t="s">
        <v>962</v>
      </c>
      <c r="B698" s="3">
        <v>46280.746793981481</v>
      </c>
      <c r="C698" s="4">
        <v>46280</v>
      </c>
      <c r="D698" t="s">
        <v>136</v>
      </c>
      <c r="E698">
        <v>1002</v>
      </c>
      <c r="F698" t="s">
        <v>25</v>
      </c>
      <c r="G698" t="s">
        <v>140</v>
      </c>
      <c r="H698" t="s">
        <v>75</v>
      </c>
      <c r="I698" t="s">
        <v>102</v>
      </c>
      <c r="K698" t="s">
        <v>138</v>
      </c>
    </row>
    <row r="699" spans="1:11" ht="14.25">
      <c r="A699" t="s">
        <v>963</v>
      </c>
      <c r="B699" s="3">
        <v>46280.750254629631</v>
      </c>
      <c r="C699" s="4">
        <v>46280</v>
      </c>
      <c r="D699" t="s">
        <v>136</v>
      </c>
      <c r="E699">
        <v>1013</v>
      </c>
      <c r="F699" t="s">
        <v>45</v>
      </c>
      <c r="G699" t="s">
        <v>140</v>
      </c>
      <c r="H699" t="s">
        <v>66</v>
      </c>
      <c r="I699" t="s">
        <v>102</v>
      </c>
      <c r="K699" t="s">
        <v>138</v>
      </c>
    </row>
    <row r="700" spans="1:11" ht="14.25">
      <c r="A700" t="s">
        <v>964</v>
      </c>
      <c r="B700" s="3">
        <v>46280.751435185186</v>
      </c>
      <c r="C700" s="4">
        <v>46280</v>
      </c>
      <c r="D700" t="s">
        <v>136</v>
      </c>
      <c r="E700">
        <v>1011</v>
      </c>
      <c r="F700" t="s">
        <v>40</v>
      </c>
      <c r="G700" t="s">
        <v>140</v>
      </c>
      <c r="H700" t="s">
        <v>66</v>
      </c>
      <c r="I700" t="s">
        <v>102</v>
      </c>
      <c r="K700" t="s">
        <v>138</v>
      </c>
    </row>
    <row r="701" spans="1:11" ht="14.25">
      <c r="A701" t="s">
        <v>965</v>
      </c>
      <c r="B701" s="3">
        <v>46280.799247685187</v>
      </c>
      <c r="C701" s="4">
        <v>46280</v>
      </c>
      <c r="D701" t="s">
        <v>136</v>
      </c>
      <c r="E701">
        <v>1003</v>
      </c>
      <c r="F701" t="s">
        <v>27</v>
      </c>
      <c r="G701" t="s">
        <v>140</v>
      </c>
      <c r="H701" t="s">
        <v>75</v>
      </c>
      <c r="I701" t="s">
        <v>102</v>
      </c>
      <c r="K701" t="s">
        <v>138</v>
      </c>
    </row>
    <row r="702" spans="1:11" ht="14.25">
      <c r="A702" t="s">
        <v>966</v>
      </c>
      <c r="B702" s="3">
        <v>46281.331331018519</v>
      </c>
      <c r="C702" s="4">
        <v>46281</v>
      </c>
      <c r="D702" t="s">
        <v>153</v>
      </c>
      <c r="E702">
        <v>1011</v>
      </c>
      <c r="F702" t="s">
        <v>40</v>
      </c>
      <c r="G702" t="s">
        <v>137</v>
      </c>
      <c r="H702" t="s">
        <v>66</v>
      </c>
      <c r="I702" t="s">
        <v>102</v>
      </c>
      <c r="K702" t="s">
        <v>138</v>
      </c>
    </row>
    <row r="703" spans="1:11" ht="14.25">
      <c r="A703" t="s">
        <v>967</v>
      </c>
      <c r="B703" s="3">
        <v>46281.333865740744</v>
      </c>
      <c r="C703" s="4">
        <v>46281</v>
      </c>
      <c r="D703" t="s">
        <v>153</v>
      </c>
      <c r="E703">
        <v>1003</v>
      </c>
      <c r="F703" t="s">
        <v>27</v>
      </c>
      <c r="G703" t="s">
        <v>137</v>
      </c>
      <c r="H703" t="s">
        <v>75</v>
      </c>
      <c r="I703" t="s">
        <v>102</v>
      </c>
      <c r="K703" t="s">
        <v>138</v>
      </c>
    </row>
    <row r="704" spans="1:11" ht="14.25">
      <c r="A704" t="s">
        <v>968</v>
      </c>
      <c r="B704" s="3">
        <v>46281.361562500002</v>
      </c>
      <c r="C704" s="4">
        <v>46281</v>
      </c>
      <c r="D704" t="s">
        <v>153</v>
      </c>
      <c r="E704">
        <v>1013</v>
      </c>
      <c r="F704" t="s">
        <v>45</v>
      </c>
      <c r="G704" t="s">
        <v>137</v>
      </c>
      <c r="H704" t="s">
        <v>66</v>
      </c>
      <c r="I704" t="s">
        <v>102</v>
      </c>
      <c r="K704" t="s">
        <v>138</v>
      </c>
    </row>
    <row r="705" spans="1:11" ht="14.25">
      <c r="A705" t="s">
        <v>969</v>
      </c>
      <c r="B705" s="3">
        <v>46281.366979166669</v>
      </c>
      <c r="C705" s="4">
        <v>46281</v>
      </c>
      <c r="D705" t="s">
        <v>153</v>
      </c>
      <c r="E705">
        <v>1002</v>
      </c>
      <c r="F705" t="s">
        <v>25</v>
      </c>
      <c r="G705" t="s">
        <v>137</v>
      </c>
      <c r="H705" t="s">
        <v>75</v>
      </c>
      <c r="I705" t="s">
        <v>102</v>
      </c>
      <c r="K705" t="s">
        <v>138</v>
      </c>
    </row>
    <row r="706" spans="1:11" ht="14.25">
      <c r="A706" t="s">
        <v>970</v>
      </c>
      <c r="B706" s="3">
        <v>46281.49931712963</v>
      </c>
      <c r="C706" s="4">
        <v>46281</v>
      </c>
      <c r="D706" t="s">
        <v>153</v>
      </c>
      <c r="E706">
        <v>1013</v>
      </c>
      <c r="F706" t="s">
        <v>45</v>
      </c>
      <c r="G706" t="s">
        <v>140</v>
      </c>
      <c r="H706" t="s">
        <v>66</v>
      </c>
      <c r="I706" t="s">
        <v>102</v>
      </c>
      <c r="K706" t="s">
        <v>138</v>
      </c>
    </row>
    <row r="707" spans="1:11" ht="14.25">
      <c r="A707" t="s">
        <v>971</v>
      </c>
      <c r="B707" s="3">
        <v>46281.499652777777</v>
      </c>
      <c r="C707" s="4">
        <v>46281</v>
      </c>
      <c r="D707" t="s">
        <v>153</v>
      </c>
      <c r="E707">
        <v>1003</v>
      </c>
      <c r="F707" t="s">
        <v>27</v>
      </c>
      <c r="G707" t="s">
        <v>140</v>
      </c>
      <c r="H707" t="s">
        <v>75</v>
      </c>
      <c r="I707" t="s">
        <v>102</v>
      </c>
      <c r="K707" t="s">
        <v>138</v>
      </c>
    </row>
    <row r="708" spans="1:11" ht="14.25">
      <c r="A708" t="s">
        <v>972</v>
      </c>
      <c r="B708" s="3">
        <v>46281.502314814818</v>
      </c>
      <c r="C708" s="4">
        <v>46281</v>
      </c>
      <c r="D708" t="s">
        <v>153</v>
      </c>
      <c r="E708">
        <v>1002</v>
      </c>
      <c r="F708" t="s">
        <v>25</v>
      </c>
      <c r="G708" t="s">
        <v>140</v>
      </c>
      <c r="H708" t="s">
        <v>75</v>
      </c>
      <c r="I708" t="s">
        <v>102</v>
      </c>
      <c r="K708" t="s">
        <v>138</v>
      </c>
    </row>
    <row r="709" spans="1:11" ht="14.25">
      <c r="A709" t="s">
        <v>973</v>
      </c>
      <c r="B709" s="3">
        <v>46281.515034722222</v>
      </c>
      <c r="C709" s="4">
        <v>46281</v>
      </c>
      <c r="D709" t="s">
        <v>153</v>
      </c>
      <c r="E709">
        <v>1011</v>
      </c>
      <c r="F709" t="s">
        <v>40</v>
      </c>
      <c r="G709" t="s">
        <v>140</v>
      </c>
      <c r="H709" t="s">
        <v>69</v>
      </c>
      <c r="I709" t="s">
        <v>102</v>
      </c>
      <c r="K709" t="s">
        <v>138</v>
      </c>
    </row>
    <row r="710" spans="1:11" ht="14.25">
      <c r="A710" t="s">
        <v>974</v>
      </c>
      <c r="B710" s="3">
        <v>46281.53496527778</v>
      </c>
      <c r="C710" s="4">
        <v>46281</v>
      </c>
      <c r="D710" t="s">
        <v>153</v>
      </c>
      <c r="E710">
        <v>1003</v>
      </c>
      <c r="F710" t="s">
        <v>27</v>
      </c>
      <c r="G710" t="s">
        <v>140</v>
      </c>
      <c r="H710" t="s">
        <v>75</v>
      </c>
      <c r="I710" t="s">
        <v>102</v>
      </c>
      <c r="K710" t="s">
        <v>138</v>
      </c>
    </row>
    <row r="711" spans="1:11" ht="14.25">
      <c r="A711" t="s">
        <v>975</v>
      </c>
      <c r="B711" s="3">
        <v>46281.535844907405</v>
      </c>
      <c r="C711" s="4">
        <v>46281</v>
      </c>
      <c r="D711" t="s">
        <v>153</v>
      </c>
      <c r="E711">
        <v>1013</v>
      </c>
      <c r="F711" t="s">
        <v>45</v>
      </c>
      <c r="G711" t="s">
        <v>137</v>
      </c>
      <c r="H711" t="s">
        <v>84</v>
      </c>
      <c r="I711" t="s">
        <v>102</v>
      </c>
      <c r="J711" t="s">
        <v>976</v>
      </c>
      <c r="K711" t="s">
        <v>138</v>
      </c>
    </row>
    <row r="712" spans="1:11" ht="14.25">
      <c r="A712" t="s">
        <v>977</v>
      </c>
      <c r="B712" s="3">
        <v>46281.536597222221</v>
      </c>
      <c r="C712" s="4">
        <v>46281</v>
      </c>
      <c r="D712" t="s">
        <v>153</v>
      </c>
      <c r="E712">
        <v>1002</v>
      </c>
      <c r="F712" t="s">
        <v>25</v>
      </c>
      <c r="G712" t="s">
        <v>137</v>
      </c>
      <c r="H712" t="s">
        <v>60</v>
      </c>
      <c r="I712" t="s">
        <v>102</v>
      </c>
      <c r="K712" t="s">
        <v>138</v>
      </c>
    </row>
    <row r="713" spans="1:11" ht="14.25">
      <c r="A713" t="s">
        <v>978</v>
      </c>
      <c r="B713" s="3">
        <v>46281.5391087963</v>
      </c>
      <c r="C713" s="4">
        <v>46281</v>
      </c>
      <c r="D713" t="s">
        <v>153</v>
      </c>
      <c r="E713">
        <v>1011</v>
      </c>
      <c r="F713" t="s">
        <v>40</v>
      </c>
      <c r="G713" t="s">
        <v>137</v>
      </c>
      <c r="H713" t="s">
        <v>66</v>
      </c>
      <c r="I713" t="s">
        <v>102</v>
      </c>
      <c r="K713" t="s">
        <v>138</v>
      </c>
    </row>
    <row r="714" spans="1:11" ht="14.25">
      <c r="A714" t="s">
        <v>979</v>
      </c>
      <c r="B714" s="3">
        <v>46281.745740740742</v>
      </c>
      <c r="C714" s="4">
        <v>46281</v>
      </c>
      <c r="D714" t="s">
        <v>153</v>
      </c>
      <c r="E714">
        <v>1011</v>
      </c>
      <c r="F714" t="s">
        <v>40</v>
      </c>
      <c r="G714" t="s">
        <v>140</v>
      </c>
      <c r="H714" t="s">
        <v>66</v>
      </c>
      <c r="I714" t="s">
        <v>102</v>
      </c>
      <c r="K714" t="s">
        <v>138</v>
      </c>
    </row>
    <row r="715" spans="1:11" ht="14.25">
      <c r="A715" t="s">
        <v>980</v>
      </c>
      <c r="B715" s="3">
        <v>46281.749421296299</v>
      </c>
      <c r="C715" s="4">
        <v>46281</v>
      </c>
      <c r="D715" t="s">
        <v>153</v>
      </c>
      <c r="E715">
        <v>1002</v>
      </c>
      <c r="F715" t="s">
        <v>25</v>
      </c>
      <c r="G715" t="s">
        <v>137</v>
      </c>
      <c r="H715" t="s">
        <v>60</v>
      </c>
      <c r="I715" t="s">
        <v>102</v>
      </c>
      <c r="K715" t="s">
        <v>138</v>
      </c>
    </row>
    <row r="716" spans="1:11" ht="14.25">
      <c r="A716" t="s">
        <v>981</v>
      </c>
      <c r="B716" s="3">
        <v>46281.750138888892</v>
      </c>
      <c r="C716" s="4">
        <v>46281</v>
      </c>
      <c r="D716" t="s">
        <v>153</v>
      </c>
      <c r="E716">
        <v>1003</v>
      </c>
      <c r="F716" t="s">
        <v>27</v>
      </c>
      <c r="G716" t="s">
        <v>140</v>
      </c>
      <c r="H716" t="s">
        <v>75</v>
      </c>
      <c r="I716" t="s">
        <v>102</v>
      </c>
      <c r="K716" t="s">
        <v>138</v>
      </c>
    </row>
    <row r="717" spans="1:11" ht="14.25">
      <c r="A717" t="s">
        <v>982</v>
      </c>
      <c r="B717" s="3">
        <v>46281.750474537039</v>
      </c>
      <c r="C717" s="4">
        <v>46281</v>
      </c>
      <c r="D717" t="s">
        <v>153</v>
      </c>
      <c r="E717">
        <v>1013</v>
      </c>
      <c r="F717" t="s">
        <v>45</v>
      </c>
      <c r="G717" t="s">
        <v>140</v>
      </c>
      <c r="H717" t="s">
        <v>75</v>
      </c>
      <c r="I717" t="s">
        <v>102</v>
      </c>
      <c r="K717" t="s">
        <v>138</v>
      </c>
    </row>
    <row r="718" spans="1:11" ht="14.25">
      <c r="A718" t="s">
        <v>983</v>
      </c>
      <c r="B718" s="3">
        <v>46282.331250000003</v>
      </c>
      <c r="C718" s="4">
        <v>46282</v>
      </c>
      <c r="D718" t="s">
        <v>214</v>
      </c>
      <c r="E718">
        <v>1003</v>
      </c>
      <c r="F718" t="s">
        <v>27</v>
      </c>
      <c r="G718" t="s">
        <v>137</v>
      </c>
      <c r="H718" t="s">
        <v>75</v>
      </c>
      <c r="I718" t="s">
        <v>102</v>
      </c>
      <c r="K718" t="s">
        <v>138</v>
      </c>
    </row>
    <row r="719" spans="1:11" ht="14.25">
      <c r="A719" t="s">
        <v>984</v>
      </c>
      <c r="B719" s="3">
        <v>46282.338148148148</v>
      </c>
      <c r="C719" s="4">
        <v>46282</v>
      </c>
      <c r="D719" t="s">
        <v>214</v>
      </c>
      <c r="E719">
        <v>1011</v>
      </c>
      <c r="F719" t="s">
        <v>40</v>
      </c>
      <c r="G719" t="s">
        <v>137</v>
      </c>
      <c r="H719" t="s">
        <v>66</v>
      </c>
      <c r="I719" t="s">
        <v>102</v>
      </c>
      <c r="K719" t="s">
        <v>138</v>
      </c>
    </row>
    <row r="720" spans="1:11" ht="14.25">
      <c r="A720" t="s">
        <v>985</v>
      </c>
      <c r="B720" s="3">
        <v>46282.348136574074</v>
      </c>
      <c r="C720" s="4">
        <v>46282</v>
      </c>
      <c r="D720" t="s">
        <v>214</v>
      </c>
      <c r="E720">
        <v>1013</v>
      </c>
      <c r="F720" t="s">
        <v>45</v>
      </c>
      <c r="G720" t="s">
        <v>137</v>
      </c>
      <c r="H720" t="s">
        <v>75</v>
      </c>
      <c r="I720" t="s">
        <v>102</v>
      </c>
      <c r="K720" t="s">
        <v>138</v>
      </c>
    </row>
    <row r="721" spans="1:11" ht="14.25">
      <c r="A721" t="s">
        <v>986</v>
      </c>
      <c r="B721" s="3">
        <v>46282.357233796298</v>
      </c>
      <c r="C721" s="4">
        <v>46282</v>
      </c>
      <c r="D721" t="s">
        <v>214</v>
      </c>
      <c r="E721">
        <v>1002</v>
      </c>
      <c r="F721" t="s">
        <v>25</v>
      </c>
      <c r="G721" t="s">
        <v>137</v>
      </c>
      <c r="H721" t="s">
        <v>60</v>
      </c>
      <c r="I721" t="s">
        <v>102</v>
      </c>
      <c r="K721" t="s">
        <v>138</v>
      </c>
    </row>
    <row r="722" spans="1:11" ht="14.25">
      <c r="A722" t="s">
        <v>987</v>
      </c>
      <c r="B722" s="3">
        <v>46282.501643518517</v>
      </c>
      <c r="C722" s="4">
        <v>46282</v>
      </c>
      <c r="D722" t="s">
        <v>214</v>
      </c>
      <c r="E722">
        <v>1003</v>
      </c>
      <c r="F722" t="s">
        <v>27</v>
      </c>
      <c r="G722" t="s">
        <v>140</v>
      </c>
      <c r="H722" t="s">
        <v>66</v>
      </c>
      <c r="I722" t="s">
        <v>102</v>
      </c>
      <c r="K722" t="s">
        <v>138</v>
      </c>
    </row>
    <row r="723" spans="1:11" ht="14.25">
      <c r="A723" t="s">
        <v>988</v>
      </c>
      <c r="B723" s="3">
        <v>46282.502395833333</v>
      </c>
      <c r="C723" s="4">
        <v>46282</v>
      </c>
      <c r="D723" t="s">
        <v>214</v>
      </c>
      <c r="E723">
        <v>1013</v>
      </c>
      <c r="F723" t="s">
        <v>45</v>
      </c>
      <c r="G723" t="s">
        <v>140</v>
      </c>
      <c r="H723" t="s">
        <v>84</v>
      </c>
      <c r="I723" t="s">
        <v>102</v>
      </c>
      <c r="J723" t="s">
        <v>989</v>
      </c>
      <c r="K723" t="s">
        <v>138</v>
      </c>
    </row>
    <row r="724" spans="1:11" ht="14.25">
      <c r="A724" t="s">
        <v>990</v>
      </c>
      <c r="B724" s="3">
        <v>46282.503101851849</v>
      </c>
      <c r="C724" s="4">
        <v>46282</v>
      </c>
      <c r="D724" t="s">
        <v>214</v>
      </c>
      <c r="E724">
        <v>1002</v>
      </c>
      <c r="F724" t="s">
        <v>25</v>
      </c>
      <c r="G724" t="s">
        <v>140</v>
      </c>
      <c r="H724" t="s">
        <v>60</v>
      </c>
      <c r="I724" t="s">
        <v>102</v>
      </c>
      <c r="K724" t="s">
        <v>138</v>
      </c>
    </row>
    <row r="725" spans="1:11" ht="14.25">
      <c r="A725" t="s">
        <v>991</v>
      </c>
      <c r="B725" s="3">
        <v>46282.509953703702</v>
      </c>
      <c r="C725" s="4">
        <v>46282</v>
      </c>
      <c r="D725" t="s">
        <v>214</v>
      </c>
      <c r="E725">
        <v>1011</v>
      </c>
      <c r="F725" t="s">
        <v>40</v>
      </c>
      <c r="G725" t="s">
        <v>140</v>
      </c>
      <c r="H725" t="s">
        <v>87</v>
      </c>
      <c r="I725" t="s">
        <v>102</v>
      </c>
      <c r="K725" t="s">
        <v>138</v>
      </c>
    </row>
    <row r="726" spans="1:11" ht="14.25">
      <c r="A726" t="s">
        <v>992</v>
      </c>
      <c r="B726" s="3">
        <v>46282.536886574075</v>
      </c>
      <c r="C726" s="4">
        <v>46282</v>
      </c>
      <c r="D726" t="s">
        <v>214</v>
      </c>
      <c r="E726">
        <v>1003</v>
      </c>
      <c r="F726" t="s">
        <v>27</v>
      </c>
      <c r="G726" t="s">
        <v>137</v>
      </c>
      <c r="H726" t="s">
        <v>66</v>
      </c>
      <c r="I726" t="s">
        <v>102</v>
      </c>
      <c r="K726" t="s">
        <v>138</v>
      </c>
    </row>
    <row r="727" spans="1:11" ht="14.25">
      <c r="A727" t="s">
        <v>993</v>
      </c>
      <c r="B727" s="3">
        <v>46282.537407407406</v>
      </c>
      <c r="C727" s="4">
        <v>46282</v>
      </c>
      <c r="D727" t="s">
        <v>214</v>
      </c>
      <c r="E727">
        <v>1013</v>
      </c>
      <c r="F727" t="s">
        <v>45</v>
      </c>
      <c r="G727" t="s">
        <v>137</v>
      </c>
      <c r="H727" t="s">
        <v>84</v>
      </c>
      <c r="I727" t="s">
        <v>102</v>
      </c>
      <c r="J727" t="s">
        <v>994</v>
      </c>
      <c r="K727" t="s">
        <v>138</v>
      </c>
    </row>
    <row r="728" spans="1:11" ht="14.25">
      <c r="A728" t="s">
        <v>995</v>
      </c>
      <c r="B728" s="3">
        <v>46282.541180555556</v>
      </c>
      <c r="C728" s="4">
        <v>46282</v>
      </c>
      <c r="D728" t="s">
        <v>214</v>
      </c>
      <c r="E728">
        <v>1011</v>
      </c>
      <c r="F728" t="s">
        <v>40</v>
      </c>
      <c r="G728" t="s">
        <v>137</v>
      </c>
      <c r="H728" t="s">
        <v>66</v>
      </c>
      <c r="I728" t="s">
        <v>102</v>
      </c>
      <c r="J728" t="s">
        <v>994</v>
      </c>
      <c r="K728" t="s">
        <v>138</v>
      </c>
    </row>
    <row r="729" spans="1:11" ht="14.25">
      <c r="A729" t="s">
        <v>996</v>
      </c>
      <c r="B729" s="3">
        <v>46282.552824074075</v>
      </c>
      <c r="C729" s="4">
        <v>46282</v>
      </c>
      <c r="D729" t="s">
        <v>214</v>
      </c>
      <c r="E729">
        <v>1002</v>
      </c>
      <c r="F729" t="s">
        <v>25</v>
      </c>
      <c r="G729" t="s">
        <v>137</v>
      </c>
      <c r="H729" t="s">
        <v>75</v>
      </c>
      <c r="I729" t="s">
        <v>102</v>
      </c>
      <c r="K729" t="s">
        <v>138</v>
      </c>
    </row>
    <row r="730" spans="1:11" ht="14.25">
      <c r="A730" t="s">
        <v>997</v>
      </c>
      <c r="B730" s="3">
        <v>46282.747349537036</v>
      </c>
      <c r="C730" s="4">
        <v>46282</v>
      </c>
      <c r="D730" t="s">
        <v>214</v>
      </c>
      <c r="E730">
        <v>1002</v>
      </c>
      <c r="F730" t="s">
        <v>25</v>
      </c>
      <c r="G730" t="s">
        <v>140</v>
      </c>
      <c r="H730" t="s">
        <v>75</v>
      </c>
      <c r="I730" t="s">
        <v>102</v>
      </c>
      <c r="K730" t="s">
        <v>138</v>
      </c>
    </row>
    <row r="731" spans="1:11" ht="14.25">
      <c r="A731" t="s">
        <v>998</v>
      </c>
      <c r="B731" s="3">
        <v>46282.750254629631</v>
      </c>
      <c r="C731" s="4">
        <v>46282</v>
      </c>
      <c r="D731" t="s">
        <v>214</v>
      </c>
      <c r="E731">
        <v>1003</v>
      </c>
      <c r="F731" t="s">
        <v>27</v>
      </c>
      <c r="G731" t="s">
        <v>140</v>
      </c>
      <c r="H731" t="s">
        <v>66</v>
      </c>
      <c r="I731" t="s">
        <v>102</v>
      </c>
      <c r="K731" t="s">
        <v>138</v>
      </c>
    </row>
    <row r="732" spans="1:11" ht="14.25">
      <c r="A732" t="s">
        <v>999</v>
      </c>
      <c r="B732" s="3">
        <v>46282.750648148147</v>
      </c>
      <c r="C732" s="4">
        <v>46282</v>
      </c>
      <c r="D732" t="s">
        <v>214</v>
      </c>
      <c r="E732">
        <v>1013</v>
      </c>
      <c r="F732" t="s">
        <v>45</v>
      </c>
      <c r="G732" t="s">
        <v>140</v>
      </c>
      <c r="H732" t="s">
        <v>84</v>
      </c>
      <c r="I732" t="s">
        <v>102</v>
      </c>
      <c r="J732" t="s">
        <v>1000</v>
      </c>
      <c r="K732" t="s">
        <v>138</v>
      </c>
    </row>
    <row r="733" spans="1:11" ht="14.25">
      <c r="A733" t="s">
        <v>1001</v>
      </c>
      <c r="B733" s="3">
        <v>46282.856122685182</v>
      </c>
      <c r="C733" s="4">
        <v>46282</v>
      </c>
      <c r="D733" t="s">
        <v>214</v>
      </c>
      <c r="E733">
        <v>1011</v>
      </c>
      <c r="F733" t="s">
        <v>40</v>
      </c>
      <c r="G733" t="s">
        <v>140</v>
      </c>
      <c r="H733" t="s">
        <v>66</v>
      </c>
      <c r="I733" t="s">
        <v>102</v>
      </c>
      <c r="K733" t="s">
        <v>138</v>
      </c>
    </row>
    <row r="734" spans="1:11" ht="14.25">
      <c r="A734" t="s">
        <v>1002</v>
      </c>
      <c r="B734" s="3">
        <v>46283.312256944446</v>
      </c>
      <c r="C734" s="4">
        <v>46283</v>
      </c>
      <c r="D734" t="s">
        <v>287</v>
      </c>
      <c r="E734">
        <v>1002</v>
      </c>
      <c r="F734" t="s">
        <v>25</v>
      </c>
      <c r="G734" t="s">
        <v>137</v>
      </c>
      <c r="H734" t="s">
        <v>75</v>
      </c>
      <c r="I734" t="s">
        <v>102</v>
      </c>
      <c r="K734" t="s">
        <v>138</v>
      </c>
    </row>
    <row r="735" spans="1:11" ht="14.25">
      <c r="A735" t="s">
        <v>1003</v>
      </c>
      <c r="B735" s="3">
        <v>46283.333587962959</v>
      </c>
      <c r="C735" s="4">
        <v>46283</v>
      </c>
      <c r="D735" t="s">
        <v>287</v>
      </c>
      <c r="E735">
        <v>1003</v>
      </c>
      <c r="F735" t="s">
        <v>27</v>
      </c>
      <c r="G735" t="s">
        <v>137</v>
      </c>
      <c r="H735" t="s">
        <v>66</v>
      </c>
      <c r="I735" t="s">
        <v>102</v>
      </c>
      <c r="K735" t="s">
        <v>138</v>
      </c>
    </row>
    <row r="736" spans="1:11" ht="14.25">
      <c r="A736" t="s">
        <v>1004</v>
      </c>
      <c r="B736" s="3">
        <v>46283.335543981484</v>
      </c>
      <c r="C736" s="4">
        <v>46283</v>
      </c>
      <c r="D736" t="s">
        <v>287</v>
      </c>
      <c r="E736">
        <v>1011</v>
      </c>
      <c r="F736" t="s">
        <v>40</v>
      </c>
      <c r="G736" t="s">
        <v>137</v>
      </c>
      <c r="H736" t="s">
        <v>66</v>
      </c>
      <c r="I736" t="s">
        <v>102</v>
      </c>
      <c r="K736" t="s">
        <v>138</v>
      </c>
    </row>
    <row r="737" spans="1:11" ht="14.25">
      <c r="A737" t="s">
        <v>1005</v>
      </c>
      <c r="B737" s="3">
        <v>46283.347395833334</v>
      </c>
      <c r="C737" s="4">
        <v>46283</v>
      </c>
      <c r="D737" t="s">
        <v>287</v>
      </c>
      <c r="E737">
        <v>1013</v>
      </c>
      <c r="F737" t="s">
        <v>45</v>
      </c>
      <c r="G737" t="s">
        <v>137</v>
      </c>
      <c r="H737" t="s">
        <v>84</v>
      </c>
      <c r="I737" t="s">
        <v>102</v>
      </c>
      <c r="J737" t="s">
        <v>994</v>
      </c>
      <c r="K737" t="s">
        <v>138</v>
      </c>
    </row>
    <row r="738" spans="1:11" ht="14.25">
      <c r="A738" t="s">
        <v>1006</v>
      </c>
      <c r="B738" s="3">
        <v>46283.502557870372</v>
      </c>
      <c r="C738" s="4">
        <v>46283</v>
      </c>
      <c r="D738" t="s">
        <v>287</v>
      </c>
      <c r="E738">
        <v>1013</v>
      </c>
      <c r="F738" t="s">
        <v>45</v>
      </c>
      <c r="G738" t="s">
        <v>140</v>
      </c>
      <c r="H738" t="s">
        <v>84</v>
      </c>
      <c r="I738" t="s">
        <v>102</v>
      </c>
      <c r="J738" t="s">
        <v>994</v>
      </c>
      <c r="K738" t="s">
        <v>138</v>
      </c>
    </row>
    <row r="739" spans="1:11" ht="14.25">
      <c r="A739" t="s">
        <v>1007</v>
      </c>
      <c r="B739" s="3">
        <v>46283.503055555557</v>
      </c>
      <c r="C739" s="4">
        <v>46283</v>
      </c>
      <c r="D739" t="s">
        <v>287</v>
      </c>
      <c r="E739">
        <v>1003</v>
      </c>
      <c r="F739" t="s">
        <v>27</v>
      </c>
      <c r="G739" t="s">
        <v>137</v>
      </c>
      <c r="H739" t="s">
        <v>66</v>
      </c>
      <c r="I739" t="s">
        <v>102</v>
      </c>
      <c r="K739" t="s">
        <v>138</v>
      </c>
    </row>
    <row r="740" spans="1:11" ht="14.25">
      <c r="A740" t="s">
        <v>1008</v>
      </c>
      <c r="B740" s="3">
        <v>46283.507557870369</v>
      </c>
      <c r="C740" s="4">
        <v>46283</v>
      </c>
      <c r="D740" t="s">
        <v>287</v>
      </c>
      <c r="E740">
        <v>1011</v>
      </c>
      <c r="F740" t="s">
        <v>40</v>
      </c>
      <c r="G740" t="s">
        <v>140</v>
      </c>
      <c r="H740" t="s">
        <v>66</v>
      </c>
      <c r="I740" t="s">
        <v>102</v>
      </c>
      <c r="K740" t="s">
        <v>138</v>
      </c>
    </row>
    <row r="741" spans="1:11" ht="14.25">
      <c r="A741" t="s">
        <v>1009</v>
      </c>
      <c r="B741" s="3">
        <v>46283.512118055558</v>
      </c>
      <c r="C741" s="4">
        <v>46283</v>
      </c>
      <c r="D741" t="s">
        <v>287</v>
      </c>
      <c r="E741">
        <v>1002</v>
      </c>
      <c r="F741" t="s">
        <v>25</v>
      </c>
      <c r="G741" t="s">
        <v>140</v>
      </c>
      <c r="H741" t="s">
        <v>75</v>
      </c>
      <c r="I741" t="s">
        <v>102</v>
      </c>
      <c r="K741" t="s">
        <v>138</v>
      </c>
    </row>
    <row r="742" spans="1:11" ht="14.25">
      <c r="A742" t="s">
        <v>1010</v>
      </c>
      <c r="B742" s="3">
        <v>46283.538275462961</v>
      </c>
      <c r="C742" s="4">
        <v>46283</v>
      </c>
      <c r="D742" t="s">
        <v>287</v>
      </c>
      <c r="E742">
        <v>1003</v>
      </c>
      <c r="F742" t="s">
        <v>27</v>
      </c>
      <c r="G742" t="s">
        <v>137</v>
      </c>
      <c r="H742" t="s">
        <v>66</v>
      </c>
      <c r="I742" t="s">
        <v>102</v>
      </c>
      <c r="K742" t="s">
        <v>138</v>
      </c>
    </row>
    <row r="743" spans="1:11" ht="14.25">
      <c r="A743" t="s">
        <v>1011</v>
      </c>
      <c r="B743" s="3">
        <v>46283.539305555554</v>
      </c>
      <c r="C743" s="4">
        <v>46283</v>
      </c>
      <c r="D743" t="s">
        <v>287</v>
      </c>
      <c r="E743">
        <v>1013</v>
      </c>
      <c r="F743" t="s">
        <v>45</v>
      </c>
      <c r="G743" t="s">
        <v>137</v>
      </c>
      <c r="H743" t="s">
        <v>84</v>
      </c>
      <c r="I743" t="s">
        <v>102</v>
      </c>
      <c r="J743" t="s">
        <v>1000</v>
      </c>
      <c r="K743" t="s">
        <v>138</v>
      </c>
    </row>
    <row r="744" spans="1:11" ht="14.25">
      <c r="A744" t="s">
        <v>1012</v>
      </c>
      <c r="B744" s="3">
        <v>46283.550798611112</v>
      </c>
      <c r="C744" s="4">
        <v>46283</v>
      </c>
      <c r="D744" t="s">
        <v>287</v>
      </c>
      <c r="E744">
        <v>1002</v>
      </c>
      <c r="F744" t="s">
        <v>25</v>
      </c>
      <c r="G744" t="s">
        <v>137</v>
      </c>
      <c r="H744" t="s">
        <v>60</v>
      </c>
      <c r="I744" t="s">
        <v>102</v>
      </c>
      <c r="K744" t="s">
        <v>138</v>
      </c>
    </row>
    <row r="745" spans="1:11" ht="14.25">
      <c r="A745" t="s">
        <v>1013</v>
      </c>
      <c r="B745" s="3">
        <v>46283.556111111109</v>
      </c>
      <c r="C745" s="4">
        <v>46283</v>
      </c>
      <c r="D745" t="s">
        <v>287</v>
      </c>
      <c r="E745">
        <v>1011</v>
      </c>
      <c r="F745" t="s">
        <v>40</v>
      </c>
      <c r="G745" t="s">
        <v>137</v>
      </c>
      <c r="H745" t="s">
        <v>66</v>
      </c>
      <c r="I745" t="s">
        <v>102</v>
      </c>
      <c r="K745" t="s">
        <v>138</v>
      </c>
    </row>
    <row r="746" spans="1:11" ht="14.25">
      <c r="A746" t="s">
        <v>1014</v>
      </c>
      <c r="B746" s="3">
        <v>46283.708425925928</v>
      </c>
      <c r="C746" s="4">
        <v>46283</v>
      </c>
      <c r="D746" t="s">
        <v>287</v>
      </c>
      <c r="E746">
        <v>1002</v>
      </c>
      <c r="F746" t="s">
        <v>25</v>
      </c>
      <c r="G746" t="s">
        <v>140</v>
      </c>
      <c r="H746" t="s">
        <v>60</v>
      </c>
      <c r="I746" t="s">
        <v>102</v>
      </c>
      <c r="K746" t="s">
        <v>138</v>
      </c>
    </row>
    <row r="747" spans="1:11" ht="14.25">
      <c r="A747" t="s">
        <v>1015</v>
      </c>
      <c r="B747" s="3">
        <v>46283.752604166664</v>
      </c>
      <c r="C747" s="4">
        <v>46283</v>
      </c>
      <c r="D747" t="s">
        <v>287</v>
      </c>
      <c r="E747">
        <v>1003</v>
      </c>
      <c r="F747" t="s">
        <v>27</v>
      </c>
      <c r="G747" t="s">
        <v>140</v>
      </c>
      <c r="H747" t="s">
        <v>66</v>
      </c>
      <c r="I747" t="s">
        <v>102</v>
      </c>
      <c r="K747" t="s">
        <v>138</v>
      </c>
    </row>
    <row r="748" spans="1:11" ht="14.25">
      <c r="A748" t="s">
        <v>1016</v>
      </c>
      <c r="B748" s="3">
        <v>46283.77244212963</v>
      </c>
      <c r="C748" s="4">
        <v>46283</v>
      </c>
      <c r="D748" t="s">
        <v>287</v>
      </c>
      <c r="E748">
        <v>1013</v>
      </c>
      <c r="F748" t="s">
        <v>45</v>
      </c>
      <c r="G748" t="s">
        <v>140</v>
      </c>
      <c r="H748" t="s">
        <v>84</v>
      </c>
      <c r="I748" t="s">
        <v>102</v>
      </c>
      <c r="J748" t="s">
        <v>1017</v>
      </c>
      <c r="K748" t="s">
        <v>138</v>
      </c>
    </row>
    <row r="749" spans="1:11" ht="14.25">
      <c r="A749" t="s">
        <v>1018</v>
      </c>
      <c r="B749" s="3">
        <v>46284.347511574073</v>
      </c>
      <c r="C749" s="4">
        <v>46284</v>
      </c>
      <c r="D749" t="s">
        <v>357</v>
      </c>
      <c r="E749">
        <v>1011</v>
      </c>
      <c r="F749" t="s">
        <v>40</v>
      </c>
      <c r="G749" t="s">
        <v>137</v>
      </c>
      <c r="H749" t="s">
        <v>87</v>
      </c>
      <c r="I749" t="s">
        <v>102</v>
      </c>
      <c r="K749" t="s">
        <v>138</v>
      </c>
    </row>
    <row r="750" spans="1:11" ht="14.25">
      <c r="A750" t="s">
        <v>1019</v>
      </c>
      <c r="B750" s="3">
        <v>46284.394606481481</v>
      </c>
      <c r="C750" s="4">
        <v>46284</v>
      </c>
      <c r="D750" t="s">
        <v>357</v>
      </c>
      <c r="E750">
        <v>1013</v>
      </c>
      <c r="F750" t="s">
        <v>45</v>
      </c>
      <c r="G750" t="s">
        <v>137</v>
      </c>
      <c r="H750" t="s">
        <v>75</v>
      </c>
      <c r="I750" t="s">
        <v>102</v>
      </c>
      <c r="K750" t="s">
        <v>138</v>
      </c>
    </row>
    <row r="751" spans="1:11" ht="14.25">
      <c r="A751" t="s">
        <v>1020</v>
      </c>
      <c r="B751" s="3">
        <v>46284.50277777778</v>
      </c>
      <c r="C751" s="4">
        <v>46284</v>
      </c>
      <c r="D751" t="s">
        <v>357</v>
      </c>
      <c r="E751">
        <v>1003</v>
      </c>
      <c r="F751" t="s">
        <v>27</v>
      </c>
      <c r="G751" t="s">
        <v>140</v>
      </c>
      <c r="H751" t="s">
        <v>75</v>
      </c>
      <c r="I751" t="s">
        <v>102</v>
      </c>
      <c r="K751" t="s">
        <v>138</v>
      </c>
    </row>
    <row r="752" spans="1:11" ht="14.25">
      <c r="A752" t="s">
        <v>1021</v>
      </c>
      <c r="B752" s="3">
        <v>46284.509687500002</v>
      </c>
      <c r="C752" s="4">
        <v>46284</v>
      </c>
      <c r="D752" t="s">
        <v>357</v>
      </c>
      <c r="E752">
        <v>1013</v>
      </c>
      <c r="F752" t="s">
        <v>45</v>
      </c>
      <c r="G752" t="s">
        <v>140</v>
      </c>
      <c r="H752" t="s">
        <v>75</v>
      </c>
      <c r="I752" t="s">
        <v>102</v>
      </c>
      <c r="K752" t="s">
        <v>138</v>
      </c>
    </row>
    <row r="753" spans="1:11" ht="14.25">
      <c r="A753" t="s">
        <v>1022</v>
      </c>
      <c r="B753" s="3">
        <v>46284.524247685185</v>
      </c>
      <c r="C753" s="4">
        <v>46284</v>
      </c>
      <c r="D753" t="s">
        <v>357</v>
      </c>
      <c r="E753">
        <v>1013</v>
      </c>
      <c r="F753" t="s">
        <v>45</v>
      </c>
      <c r="G753" t="s">
        <v>137</v>
      </c>
      <c r="H753" t="s">
        <v>75</v>
      </c>
      <c r="I753" t="s">
        <v>102</v>
      </c>
      <c r="K753" t="s">
        <v>138</v>
      </c>
    </row>
    <row r="754" spans="1:11" ht="14.25">
      <c r="A754" t="s">
        <v>1023</v>
      </c>
      <c r="B754" s="3">
        <v>46284.54142361111</v>
      </c>
      <c r="C754" s="4">
        <v>46284</v>
      </c>
      <c r="D754" t="s">
        <v>357</v>
      </c>
      <c r="E754">
        <v>1003</v>
      </c>
      <c r="F754" t="s">
        <v>27</v>
      </c>
      <c r="G754" t="s">
        <v>137</v>
      </c>
      <c r="H754" t="s">
        <v>75</v>
      </c>
      <c r="I754" t="s">
        <v>102</v>
      </c>
      <c r="K754" t="s">
        <v>138</v>
      </c>
    </row>
    <row r="755" spans="1:11" ht="14.25">
      <c r="A755" t="s">
        <v>1024</v>
      </c>
      <c r="B755" s="3">
        <v>46284.594004629631</v>
      </c>
      <c r="C755" s="4">
        <v>46284</v>
      </c>
      <c r="D755" t="s">
        <v>357</v>
      </c>
      <c r="E755">
        <v>1002</v>
      </c>
      <c r="F755" t="s">
        <v>25</v>
      </c>
      <c r="G755" t="s">
        <v>137</v>
      </c>
      <c r="H755" t="s">
        <v>75</v>
      </c>
      <c r="I755" t="s">
        <v>102</v>
      </c>
      <c r="K755" t="s">
        <v>138</v>
      </c>
    </row>
    <row r="756" spans="1:11" ht="14.25">
      <c r="A756" t="s">
        <v>1025</v>
      </c>
      <c r="B756" s="3">
        <v>46284.597731481481</v>
      </c>
      <c r="C756" s="4">
        <v>46284</v>
      </c>
      <c r="D756" t="s">
        <v>357</v>
      </c>
      <c r="E756">
        <v>1011</v>
      </c>
      <c r="F756" t="s">
        <v>40</v>
      </c>
      <c r="G756" t="s">
        <v>140</v>
      </c>
      <c r="H756" t="s">
        <v>87</v>
      </c>
      <c r="I756" t="s">
        <v>102</v>
      </c>
      <c r="K756" t="s">
        <v>138</v>
      </c>
    </row>
    <row r="757" spans="1:11" ht="14.25">
      <c r="A757" t="s">
        <v>1026</v>
      </c>
      <c r="B757" s="3">
        <v>46284.647800925923</v>
      </c>
      <c r="C757" s="4">
        <v>46284</v>
      </c>
      <c r="D757" t="s">
        <v>357</v>
      </c>
      <c r="E757">
        <v>1011</v>
      </c>
      <c r="F757" t="s">
        <v>40</v>
      </c>
      <c r="G757" t="s">
        <v>137</v>
      </c>
      <c r="H757" t="s">
        <v>87</v>
      </c>
      <c r="I757" t="s">
        <v>102</v>
      </c>
      <c r="K757" t="s">
        <v>138</v>
      </c>
    </row>
    <row r="758" spans="1:11" ht="14.25">
      <c r="A758" t="s">
        <v>1027</v>
      </c>
      <c r="B758" s="3">
        <v>46284.677129629628</v>
      </c>
      <c r="C758" s="4">
        <v>46284</v>
      </c>
      <c r="D758" t="s">
        <v>357</v>
      </c>
      <c r="E758">
        <v>1002</v>
      </c>
      <c r="F758" t="s">
        <v>25</v>
      </c>
      <c r="G758" t="s">
        <v>140</v>
      </c>
      <c r="H758" t="s">
        <v>75</v>
      </c>
      <c r="I758" t="s">
        <v>102</v>
      </c>
      <c r="K758" t="s">
        <v>138</v>
      </c>
    </row>
    <row r="759" spans="1:11" ht="14.25">
      <c r="A759" t="s">
        <v>1028</v>
      </c>
      <c r="B759" s="3">
        <v>46284.680625000001</v>
      </c>
      <c r="C759" s="4">
        <v>46284</v>
      </c>
      <c r="D759" t="s">
        <v>357</v>
      </c>
      <c r="E759">
        <v>1013</v>
      </c>
      <c r="F759" t="s">
        <v>45</v>
      </c>
      <c r="G759" t="s">
        <v>140</v>
      </c>
      <c r="H759" t="s">
        <v>75</v>
      </c>
      <c r="I759" t="s">
        <v>102</v>
      </c>
      <c r="K759" t="s">
        <v>138</v>
      </c>
    </row>
    <row r="760" spans="1:11" ht="14.25">
      <c r="A760" t="s">
        <v>1029</v>
      </c>
      <c r="B760" s="3">
        <v>46284.700729166667</v>
      </c>
      <c r="C760" s="4">
        <v>46284</v>
      </c>
      <c r="D760" t="s">
        <v>357</v>
      </c>
      <c r="E760">
        <v>1011</v>
      </c>
      <c r="F760" t="s">
        <v>40</v>
      </c>
      <c r="G760" t="s">
        <v>140</v>
      </c>
      <c r="H760" t="s">
        <v>87</v>
      </c>
      <c r="I760" t="s">
        <v>102</v>
      </c>
      <c r="K760" t="s">
        <v>138</v>
      </c>
    </row>
    <row r="761" spans="1:11" ht="14.25">
      <c r="A761" t="s">
        <v>1030</v>
      </c>
      <c r="B761" s="3">
        <v>46284.747152777774</v>
      </c>
      <c r="C761" s="4">
        <v>46284</v>
      </c>
      <c r="D761" t="s">
        <v>357</v>
      </c>
      <c r="E761">
        <v>1003</v>
      </c>
      <c r="F761" t="s">
        <v>27</v>
      </c>
      <c r="G761" t="s">
        <v>140</v>
      </c>
      <c r="H761" t="s">
        <v>66</v>
      </c>
      <c r="I761" t="s">
        <v>102</v>
      </c>
      <c r="K761" t="s">
        <v>138</v>
      </c>
    </row>
    <row r="762" spans="1:11" ht="14.25">
      <c r="A762" t="s">
        <v>1031</v>
      </c>
      <c r="B762" s="3">
        <v>46285.329699074071</v>
      </c>
      <c r="C762" s="4">
        <v>46285</v>
      </c>
      <c r="D762" t="s">
        <v>385</v>
      </c>
      <c r="E762">
        <v>1003</v>
      </c>
      <c r="F762" t="s">
        <v>27</v>
      </c>
      <c r="G762" t="s">
        <v>140</v>
      </c>
      <c r="H762" t="s">
        <v>66</v>
      </c>
      <c r="I762" t="s">
        <v>102</v>
      </c>
      <c r="K762" t="s">
        <v>138</v>
      </c>
    </row>
    <row r="763" spans="1:11" ht="14.25">
      <c r="A763" t="s">
        <v>1032</v>
      </c>
      <c r="B763" s="3">
        <v>46285.500416666669</v>
      </c>
      <c r="C763" s="4">
        <v>46285</v>
      </c>
      <c r="D763" t="s">
        <v>385</v>
      </c>
      <c r="E763">
        <v>1003</v>
      </c>
      <c r="F763" t="s">
        <v>27</v>
      </c>
      <c r="G763" t="s">
        <v>140</v>
      </c>
      <c r="H763" t="s">
        <v>66</v>
      </c>
      <c r="I763" t="s">
        <v>102</v>
      </c>
      <c r="K763" t="s">
        <v>138</v>
      </c>
    </row>
    <row r="764" spans="1:11" ht="14.25">
      <c r="A764" t="s">
        <v>1033</v>
      </c>
      <c r="B764" s="3">
        <v>46285.500775462962</v>
      </c>
      <c r="C764" s="4">
        <v>46285</v>
      </c>
      <c r="D764" t="s">
        <v>385</v>
      </c>
      <c r="E764">
        <v>1003</v>
      </c>
      <c r="F764" t="s">
        <v>27</v>
      </c>
      <c r="G764" t="s">
        <v>140</v>
      </c>
      <c r="H764" t="s">
        <v>66</v>
      </c>
      <c r="I764" t="s">
        <v>102</v>
      </c>
      <c r="J764" t="s">
        <v>1034</v>
      </c>
      <c r="K764" t="s">
        <v>138</v>
      </c>
    </row>
    <row r="765" spans="1:11" ht="14.25">
      <c r="A765" t="s">
        <v>1035</v>
      </c>
      <c r="B765" s="3">
        <v>46285.545219907406</v>
      </c>
      <c r="C765" s="4">
        <v>46285</v>
      </c>
      <c r="D765" t="s">
        <v>385</v>
      </c>
      <c r="E765">
        <v>1003</v>
      </c>
      <c r="F765" t="s">
        <v>27</v>
      </c>
      <c r="G765" t="s">
        <v>137</v>
      </c>
      <c r="H765" t="s">
        <v>66</v>
      </c>
      <c r="I765" t="s">
        <v>102</v>
      </c>
      <c r="K765" t="s">
        <v>138</v>
      </c>
    </row>
    <row r="766" spans="1:11" ht="14.25">
      <c r="A766" t="s">
        <v>1036</v>
      </c>
      <c r="B766" s="3">
        <v>46285.751875000002</v>
      </c>
      <c r="C766" s="4">
        <v>46285</v>
      </c>
      <c r="D766" t="s">
        <v>385</v>
      </c>
      <c r="E766">
        <v>1003</v>
      </c>
      <c r="F766" t="s">
        <v>27</v>
      </c>
      <c r="G766" t="s">
        <v>140</v>
      </c>
      <c r="H766" t="s">
        <v>66</v>
      </c>
      <c r="I766" t="s">
        <v>102</v>
      </c>
      <c r="K766" t="s">
        <v>138</v>
      </c>
    </row>
    <row r="767" spans="1:11" ht="14.25">
      <c r="A767" t="s">
        <v>1037</v>
      </c>
      <c r="B767" s="3">
        <v>46286.308009259257</v>
      </c>
      <c r="C767" s="4">
        <v>46286</v>
      </c>
      <c r="D767" t="s">
        <v>397</v>
      </c>
      <c r="E767">
        <v>1003</v>
      </c>
      <c r="F767" t="s">
        <v>27</v>
      </c>
      <c r="G767" t="s">
        <v>137</v>
      </c>
      <c r="H767" t="s">
        <v>66</v>
      </c>
      <c r="I767" t="s">
        <v>102</v>
      </c>
      <c r="K767" t="s">
        <v>138</v>
      </c>
    </row>
    <row r="768" spans="1:11" ht="14.25">
      <c r="A768" t="s">
        <v>1038</v>
      </c>
      <c r="B768" s="3">
        <v>46286.338055555556</v>
      </c>
      <c r="C768" s="4">
        <v>46286</v>
      </c>
      <c r="D768" t="s">
        <v>397</v>
      </c>
      <c r="E768">
        <v>1011</v>
      </c>
      <c r="F768" t="s">
        <v>40</v>
      </c>
      <c r="G768" t="s">
        <v>137</v>
      </c>
      <c r="H768" t="s">
        <v>66</v>
      </c>
      <c r="I768" t="s">
        <v>102</v>
      </c>
      <c r="K768" t="s">
        <v>138</v>
      </c>
    </row>
    <row r="769" spans="1:11" ht="14.25">
      <c r="A769" t="s">
        <v>1039</v>
      </c>
      <c r="B769" s="3">
        <v>46286.344872685186</v>
      </c>
      <c r="C769" s="4">
        <v>46286</v>
      </c>
      <c r="D769" t="s">
        <v>397</v>
      </c>
      <c r="E769">
        <v>1002</v>
      </c>
      <c r="F769" t="s">
        <v>25</v>
      </c>
      <c r="G769" t="s">
        <v>137</v>
      </c>
      <c r="H769" t="s">
        <v>75</v>
      </c>
      <c r="I769" t="s">
        <v>102</v>
      </c>
      <c r="K769" t="s">
        <v>138</v>
      </c>
    </row>
    <row r="770" spans="1:11" ht="14.25">
      <c r="A770" t="s">
        <v>1040</v>
      </c>
      <c r="B770" s="3">
        <v>46286.366030092591</v>
      </c>
      <c r="C770" s="4">
        <v>46286</v>
      </c>
      <c r="D770" t="s">
        <v>397</v>
      </c>
      <c r="E770">
        <v>1013</v>
      </c>
      <c r="F770" t="s">
        <v>45</v>
      </c>
      <c r="G770" t="s">
        <v>137</v>
      </c>
      <c r="H770" t="s">
        <v>84</v>
      </c>
      <c r="I770" t="s">
        <v>102</v>
      </c>
      <c r="J770" t="s">
        <v>1041</v>
      </c>
      <c r="K770" t="s">
        <v>138</v>
      </c>
    </row>
    <row r="771" spans="1:11" ht="14.25">
      <c r="A771" t="s">
        <v>1042</v>
      </c>
      <c r="B771" s="3">
        <v>46286.504074074073</v>
      </c>
      <c r="C771" s="4">
        <v>46286</v>
      </c>
      <c r="D771" t="s">
        <v>397</v>
      </c>
      <c r="E771">
        <v>1011</v>
      </c>
      <c r="F771" t="s">
        <v>40</v>
      </c>
      <c r="G771" t="s">
        <v>140</v>
      </c>
      <c r="H771" t="s">
        <v>66</v>
      </c>
      <c r="I771" t="s">
        <v>102</v>
      </c>
      <c r="K771" t="s">
        <v>138</v>
      </c>
    </row>
    <row r="772" spans="1:11" ht="14.25">
      <c r="A772" t="s">
        <v>1043</v>
      </c>
      <c r="B772" s="3">
        <v>46286.510949074072</v>
      </c>
      <c r="C772" s="4">
        <v>46286</v>
      </c>
      <c r="D772" t="s">
        <v>397</v>
      </c>
      <c r="E772">
        <v>1002</v>
      </c>
      <c r="F772" t="s">
        <v>25</v>
      </c>
      <c r="G772" t="s">
        <v>140</v>
      </c>
      <c r="H772" t="s">
        <v>75</v>
      </c>
      <c r="I772" t="s">
        <v>102</v>
      </c>
      <c r="K772" t="s">
        <v>138</v>
      </c>
    </row>
    <row r="773" spans="1:11" ht="14.25">
      <c r="A773" t="s">
        <v>1044</v>
      </c>
      <c r="B773" s="3">
        <v>46286.511689814812</v>
      </c>
      <c r="C773" s="4">
        <v>46286</v>
      </c>
      <c r="D773" t="s">
        <v>397</v>
      </c>
      <c r="E773">
        <v>1013</v>
      </c>
      <c r="F773" t="s">
        <v>45</v>
      </c>
      <c r="G773" t="s">
        <v>140</v>
      </c>
      <c r="H773" t="s">
        <v>84</v>
      </c>
      <c r="I773" t="s">
        <v>102</v>
      </c>
      <c r="J773" t="s">
        <v>1041</v>
      </c>
      <c r="K773" t="s">
        <v>138</v>
      </c>
    </row>
    <row r="774" spans="1:11" ht="14.25">
      <c r="A774" t="s">
        <v>1045</v>
      </c>
      <c r="B774" s="3">
        <v>46286.537222222221</v>
      </c>
      <c r="C774" s="4">
        <v>46286</v>
      </c>
      <c r="D774" t="s">
        <v>397</v>
      </c>
      <c r="E774">
        <v>1011</v>
      </c>
      <c r="F774" t="s">
        <v>40</v>
      </c>
      <c r="G774" t="s">
        <v>137</v>
      </c>
      <c r="H774" t="s">
        <v>66</v>
      </c>
      <c r="I774" t="s">
        <v>102</v>
      </c>
      <c r="K774" t="s">
        <v>138</v>
      </c>
    </row>
    <row r="775" spans="1:11" ht="14.25">
      <c r="A775" t="s">
        <v>1046</v>
      </c>
      <c r="B775" s="3">
        <v>46286.545312499999</v>
      </c>
      <c r="C775" s="4">
        <v>46286</v>
      </c>
      <c r="D775" t="s">
        <v>397</v>
      </c>
      <c r="E775">
        <v>1013</v>
      </c>
      <c r="F775" t="s">
        <v>45</v>
      </c>
      <c r="G775" t="s">
        <v>137</v>
      </c>
      <c r="H775" t="s">
        <v>84</v>
      </c>
      <c r="I775" t="s">
        <v>102</v>
      </c>
      <c r="J775" t="s">
        <v>1041</v>
      </c>
      <c r="K775" t="s">
        <v>138</v>
      </c>
    </row>
    <row r="776" spans="1:11" ht="14.25">
      <c r="A776" t="s">
        <v>1047</v>
      </c>
      <c r="B776" s="3">
        <v>46286.552800925929</v>
      </c>
      <c r="C776" s="4">
        <v>46286</v>
      </c>
      <c r="D776" t="s">
        <v>397</v>
      </c>
      <c r="E776">
        <v>1002</v>
      </c>
      <c r="F776" t="s">
        <v>25</v>
      </c>
      <c r="G776" t="s">
        <v>137</v>
      </c>
      <c r="H776" t="s">
        <v>66</v>
      </c>
      <c r="I776" t="s">
        <v>102</v>
      </c>
      <c r="K776" t="s">
        <v>138</v>
      </c>
    </row>
    <row r="777" spans="1:11" ht="14.25">
      <c r="A777" t="s">
        <v>1048</v>
      </c>
      <c r="B777" s="3">
        <v>46286.572141203702</v>
      </c>
      <c r="C777" s="4">
        <v>46286</v>
      </c>
      <c r="D777" t="s">
        <v>397</v>
      </c>
      <c r="E777">
        <v>1003</v>
      </c>
      <c r="F777" t="s">
        <v>27</v>
      </c>
      <c r="G777" t="s">
        <v>140</v>
      </c>
      <c r="H777" t="s">
        <v>66</v>
      </c>
      <c r="I777" t="s">
        <v>102</v>
      </c>
      <c r="K777" t="s">
        <v>138</v>
      </c>
    </row>
    <row r="778" spans="1:11" ht="14.25">
      <c r="A778" t="s">
        <v>1049</v>
      </c>
      <c r="B778" s="3">
        <v>46286.592002314814</v>
      </c>
      <c r="C778" s="4">
        <v>46286</v>
      </c>
      <c r="D778" t="s">
        <v>397</v>
      </c>
      <c r="E778">
        <v>1003</v>
      </c>
      <c r="F778" t="s">
        <v>27</v>
      </c>
      <c r="G778" t="s">
        <v>137</v>
      </c>
      <c r="H778" t="s">
        <v>66</v>
      </c>
      <c r="I778" t="s">
        <v>102</v>
      </c>
      <c r="K778" t="s">
        <v>138</v>
      </c>
    </row>
    <row r="779" spans="1:11" ht="14.25">
      <c r="A779" t="s">
        <v>1050</v>
      </c>
      <c r="B779" s="3">
        <v>46286.746111111112</v>
      </c>
      <c r="C779" s="4">
        <v>46286</v>
      </c>
      <c r="D779" t="s">
        <v>397</v>
      </c>
      <c r="E779">
        <v>1002</v>
      </c>
      <c r="F779" t="s">
        <v>25</v>
      </c>
      <c r="G779" t="s">
        <v>140</v>
      </c>
      <c r="H779" t="s">
        <v>66</v>
      </c>
      <c r="I779" t="s">
        <v>102</v>
      </c>
      <c r="K779" t="s">
        <v>138</v>
      </c>
    </row>
    <row r="780" spans="1:11" ht="14.25">
      <c r="A780" t="s">
        <v>1051</v>
      </c>
      <c r="B780" s="3">
        <v>46286.750486111108</v>
      </c>
      <c r="C780" s="4">
        <v>46286</v>
      </c>
      <c r="D780" t="s">
        <v>397</v>
      </c>
      <c r="E780">
        <v>1013</v>
      </c>
      <c r="F780" t="s">
        <v>45</v>
      </c>
      <c r="G780" t="s">
        <v>140</v>
      </c>
      <c r="H780" t="s">
        <v>66</v>
      </c>
      <c r="I780" t="s">
        <v>102</v>
      </c>
      <c r="J780" t="s">
        <v>1052</v>
      </c>
      <c r="K780" t="s">
        <v>138</v>
      </c>
    </row>
    <row r="781" spans="1:11" ht="14.25">
      <c r="A781" t="s">
        <v>1053</v>
      </c>
      <c r="B781" s="3">
        <v>46286.80841435185</v>
      </c>
      <c r="C781" s="4">
        <v>46286</v>
      </c>
      <c r="D781" t="s">
        <v>397</v>
      </c>
      <c r="E781">
        <v>1003</v>
      </c>
      <c r="F781" t="s">
        <v>27</v>
      </c>
      <c r="G781" t="s">
        <v>140</v>
      </c>
      <c r="H781" t="s">
        <v>66</v>
      </c>
      <c r="I781" t="s">
        <v>102</v>
      </c>
      <c r="K781" t="s">
        <v>138</v>
      </c>
    </row>
    <row r="782" spans="1:11" ht="14.25">
      <c r="A782" t="s">
        <v>1054</v>
      </c>
      <c r="B782" s="3">
        <v>46287.313321759262</v>
      </c>
      <c r="C782" s="4">
        <v>46287</v>
      </c>
      <c r="D782" t="s">
        <v>136</v>
      </c>
      <c r="E782">
        <v>1013</v>
      </c>
      <c r="F782" t="s">
        <v>45</v>
      </c>
      <c r="G782" t="s">
        <v>137</v>
      </c>
      <c r="H782" t="s">
        <v>66</v>
      </c>
      <c r="I782" t="s">
        <v>102</v>
      </c>
      <c r="K782" t="s">
        <v>138</v>
      </c>
    </row>
    <row r="783" spans="1:11" ht="14.25">
      <c r="A783" t="s">
        <v>1055</v>
      </c>
      <c r="B783" s="3">
        <v>46287.331932870373</v>
      </c>
      <c r="C783" s="4">
        <v>46287</v>
      </c>
      <c r="D783" t="s">
        <v>136</v>
      </c>
      <c r="E783">
        <v>1003</v>
      </c>
      <c r="F783" t="s">
        <v>27</v>
      </c>
      <c r="G783" t="s">
        <v>137</v>
      </c>
      <c r="H783" t="s">
        <v>66</v>
      </c>
      <c r="I783" t="s">
        <v>102</v>
      </c>
      <c r="K783" t="s">
        <v>138</v>
      </c>
    </row>
    <row r="784" spans="1:11" ht="14.25">
      <c r="A784" t="s">
        <v>1056</v>
      </c>
      <c r="B784" s="3">
        <v>46287.339606481481</v>
      </c>
      <c r="C784" s="4">
        <v>46287</v>
      </c>
      <c r="D784" t="s">
        <v>136</v>
      </c>
      <c r="E784">
        <v>1011</v>
      </c>
      <c r="F784" t="s">
        <v>40</v>
      </c>
      <c r="G784" t="s">
        <v>137</v>
      </c>
      <c r="H784" t="s">
        <v>66</v>
      </c>
      <c r="I784" t="s">
        <v>102</v>
      </c>
      <c r="K784" t="s">
        <v>138</v>
      </c>
    </row>
    <row r="785" spans="1:11" ht="14.25">
      <c r="A785" t="s">
        <v>1057</v>
      </c>
      <c r="B785" s="3">
        <v>46287.379571759258</v>
      </c>
      <c r="C785" s="4">
        <v>46287</v>
      </c>
      <c r="D785" t="s">
        <v>136</v>
      </c>
      <c r="E785">
        <v>1002</v>
      </c>
      <c r="F785" t="s">
        <v>25</v>
      </c>
      <c r="G785" t="s">
        <v>137</v>
      </c>
      <c r="H785" t="s">
        <v>75</v>
      </c>
      <c r="I785" t="s">
        <v>102</v>
      </c>
      <c r="K785" t="s">
        <v>138</v>
      </c>
    </row>
    <row r="786" spans="1:11" ht="14.25">
      <c r="A786" t="s">
        <v>1058</v>
      </c>
      <c r="B786" s="3">
        <v>46287.503831018519</v>
      </c>
      <c r="C786" s="4">
        <v>46287</v>
      </c>
      <c r="D786" t="s">
        <v>136</v>
      </c>
      <c r="E786">
        <v>1013</v>
      </c>
      <c r="F786" t="s">
        <v>45</v>
      </c>
      <c r="G786" t="s">
        <v>140</v>
      </c>
      <c r="H786" t="s">
        <v>66</v>
      </c>
      <c r="I786" t="s">
        <v>102</v>
      </c>
      <c r="K786" t="s">
        <v>138</v>
      </c>
    </row>
    <row r="787" spans="1:11" ht="14.25">
      <c r="A787" t="s">
        <v>1059</v>
      </c>
      <c r="B787" s="3">
        <v>46287.511365740742</v>
      </c>
      <c r="C787" s="4">
        <v>46287</v>
      </c>
      <c r="D787" t="s">
        <v>136</v>
      </c>
      <c r="E787">
        <v>1002</v>
      </c>
      <c r="F787" t="s">
        <v>25</v>
      </c>
      <c r="G787" t="s">
        <v>140</v>
      </c>
      <c r="H787" t="s">
        <v>75</v>
      </c>
      <c r="I787" t="s">
        <v>102</v>
      </c>
      <c r="K787" t="s">
        <v>138</v>
      </c>
    </row>
    <row r="788" spans="1:11" ht="14.25">
      <c r="A788" t="s">
        <v>1060</v>
      </c>
      <c r="B788" s="3">
        <v>46287.51253472222</v>
      </c>
      <c r="C788" s="4">
        <v>46287</v>
      </c>
      <c r="D788" t="s">
        <v>136</v>
      </c>
      <c r="E788">
        <v>1011</v>
      </c>
      <c r="F788" t="s">
        <v>40</v>
      </c>
      <c r="G788" t="s">
        <v>137</v>
      </c>
      <c r="H788" t="s">
        <v>87</v>
      </c>
      <c r="I788" t="s">
        <v>102</v>
      </c>
      <c r="K788" t="s">
        <v>138</v>
      </c>
    </row>
    <row r="789" spans="1:11" ht="14.25">
      <c r="A789" t="s">
        <v>1061</v>
      </c>
      <c r="B789" s="3">
        <v>46287.529143518521</v>
      </c>
      <c r="C789" s="4">
        <v>46287</v>
      </c>
      <c r="D789" t="s">
        <v>136</v>
      </c>
      <c r="E789">
        <v>1003</v>
      </c>
      <c r="F789" t="s">
        <v>27</v>
      </c>
      <c r="G789" t="s">
        <v>140</v>
      </c>
      <c r="H789" t="s">
        <v>66</v>
      </c>
      <c r="I789" t="s">
        <v>102</v>
      </c>
      <c r="K789" t="s">
        <v>138</v>
      </c>
    </row>
    <row r="790" spans="1:11" ht="14.25">
      <c r="A790" t="s">
        <v>1062</v>
      </c>
      <c r="B790" s="3">
        <v>46287.54383101852</v>
      </c>
      <c r="C790" s="4">
        <v>46287</v>
      </c>
      <c r="D790" t="s">
        <v>136</v>
      </c>
      <c r="E790">
        <v>1011</v>
      </c>
      <c r="F790" t="s">
        <v>40</v>
      </c>
      <c r="G790" t="s">
        <v>137</v>
      </c>
      <c r="H790" t="s">
        <v>87</v>
      </c>
      <c r="I790" t="s">
        <v>102</v>
      </c>
      <c r="K790" t="s">
        <v>138</v>
      </c>
    </row>
    <row r="791" spans="1:11" ht="14.25">
      <c r="A791" t="s">
        <v>1063</v>
      </c>
      <c r="B791" s="3">
        <v>46287.54451388889</v>
      </c>
      <c r="C791" s="4">
        <v>46287</v>
      </c>
      <c r="D791" t="s">
        <v>136</v>
      </c>
      <c r="E791">
        <v>1013</v>
      </c>
      <c r="F791" t="s">
        <v>45</v>
      </c>
      <c r="G791" t="s">
        <v>137</v>
      </c>
      <c r="H791" t="s">
        <v>84</v>
      </c>
      <c r="I791" t="s">
        <v>102</v>
      </c>
      <c r="J791" t="s">
        <v>1064</v>
      </c>
      <c r="K791" t="s">
        <v>138</v>
      </c>
    </row>
    <row r="792" spans="1:11" ht="14.25">
      <c r="A792" t="s">
        <v>1065</v>
      </c>
      <c r="B792" s="3">
        <v>46287.557175925926</v>
      </c>
      <c r="C792" s="4">
        <v>46287</v>
      </c>
      <c r="D792" t="s">
        <v>136</v>
      </c>
      <c r="E792">
        <v>1003</v>
      </c>
      <c r="F792" t="s">
        <v>27</v>
      </c>
      <c r="G792" t="s">
        <v>137</v>
      </c>
      <c r="H792" t="s">
        <v>66</v>
      </c>
      <c r="I792" t="s">
        <v>102</v>
      </c>
      <c r="K792" t="s">
        <v>138</v>
      </c>
    </row>
    <row r="793" spans="1:11" ht="14.25">
      <c r="A793" t="s">
        <v>1066</v>
      </c>
      <c r="B793" s="3">
        <v>46287.55972222222</v>
      </c>
      <c r="C793" s="4">
        <v>46287</v>
      </c>
      <c r="D793" t="s">
        <v>136</v>
      </c>
      <c r="E793">
        <v>1002</v>
      </c>
      <c r="F793" t="s">
        <v>25</v>
      </c>
      <c r="G793" t="s">
        <v>137</v>
      </c>
      <c r="H793" t="s">
        <v>75</v>
      </c>
      <c r="I793" t="s">
        <v>102</v>
      </c>
      <c r="K793" t="s">
        <v>138</v>
      </c>
    </row>
    <row r="794" spans="1:11" ht="14.25">
      <c r="A794" t="s">
        <v>1067</v>
      </c>
      <c r="B794" s="3">
        <v>46287.747743055559</v>
      </c>
      <c r="C794" s="4">
        <v>46287</v>
      </c>
      <c r="D794" t="s">
        <v>136</v>
      </c>
      <c r="E794">
        <v>1002</v>
      </c>
      <c r="F794" t="s">
        <v>25</v>
      </c>
      <c r="G794" t="s">
        <v>140</v>
      </c>
      <c r="H794" t="s">
        <v>75</v>
      </c>
      <c r="I794" t="s">
        <v>102</v>
      </c>
      <c r="K794" t="s">
        <v>138</v>
      </c>
    </row>
    <row r="795" spans="1:11" ht="14.25">
      <c r="A795" t="s">
        <v>1068</v>
      </c>
      <c r="B795" s="3">
        <v>46287.748287037037</v>
      </c>
      <c r="C795" s="4">
        <v>46287</v>
      </c>
      <c r="D795" t="s">
        <v>136</v>
      </c>
      <c r="E795">
        <v>1003</v>
      </c>
      <c r="F795" t="s">
        <v>27</v>
      </c>
      <c r="G795" t="s">
        <v>140</v>
      </c>
      <c r="H795" t="s">
        <v>66</v>
      </c>
      <c r="I795" t="s">
        <v>102</v>
      </c>
      <c r="K795" t="s">
        <v>138</v>
      </c>
    </row>
    <row r="796" spans="1:11" ht="14.25">
      <c r="A796" t="s">
        <v>1069</v>
      </c>
      <c r="B796" s="3">
        <v>46287.748680555553</v>
      </c>
      <c r="C796" s="4">
        <v>46287</v>
      </c>
      <c r="D796" t="s">
        <v>136</v>
      </c>
      <c r="E796">
        <v>1011</v>
      </c>
      <c r="F796" t="s">
        <v>40</v>
      </c>
      <c r="G796" t="s">
        <v>140</v>
      </c>
      <c r="H796" t="s">
        <v>66</v>
      </c>
      <c r="I796" t="s">
        <v>102</v>
      </c>
      <c r="K796" t="s">
        <v>138</v>
      </c>
    </row>
    <row r="797" spans="1:11" ht="14.25">
      <c r="A797" t="s">
        <v>1070</v>
      </c>
      <c r="B797" s="3">
        <v>46287.750115740739</v>
      </c>
      <c r="C797" s="4">
        <v>46287</v>
      </c>
      <c r="D797" t="s">
        <v>136</v>
      </c>
      <c r="E797">
        <v>1013</v>
      </c>
      <c r="F797" t="s">
        <v>45</v>
      </c>
      <c r="G797" t="s">
        <v>140</v>
      </c>
      <c r="H797" t="s">
        <v>84</v>
      </c>
      <c r="I797" t="s">
        <v>102</v>
      </c>
      <c r="J797" t="s">
        <v>1064</v>
      </c>
      <c r="K797" t="s">
        <v>138</v>
      </c>
    </row>
    <row r="798" spans="1:11" ht="14.25">
      <c r="A798" t="s">
        <v>1071</v>
      </c>
      <c r="B798" s="3">
        <v>46288.325474537036</v>
      </c>
      <c r="C798" s="4">
        <v>46288</v>
      </c>
      <c r="D798" t="s">
        <v>153</v>
      </c>
      <c r="E798">
        <v>1003</v>
      </c>
      <c r="F798" t="s">
        <v>27</v>
      </c>
      <c r="G798" t="s">
        <v>137</v>
      </c>
      <c r="H798" t="s">
        <v>66</v>
      </c>
      <c r="I798" t="s">
        <v>102</v>
      </c>
      <c r="K798" t="s">
        <v>138</v>
      </c>
    </row>
    <row r="799" spans="1:11" ht="14.25">
      <c r="A799" t="s">
        <v>1072</v>
      </c>
      <c r="B799" s="3">
        <v>46288.335196759261</v>
      </c>
      <c r="C799" s="4">
        <v>46288</v>
      </c>
      <c r="D799" t="s">
        <v>153</v>
      </c>
      <c r="E799">
        <v>1011</v>
      </c>
      <c r="F799" t="s">
        <v>40</v>
      </c>
      <c r="G799" t="s">
        <v>137</v>
      </c>
      <c r="H799" t="s">
        <v>66</v>
      </c>
      <c r="I799" t="s">
        <v>102</v>
      </c>
      <c r="K799" t="s">
        <v>138</v>
      </c>
    </row>
    <row r="800" spans="1:11" ht="14.25">
      <c r="A800" t="s">
        <v>1073</v>
      </c>
      <c r="B800" s="3">
        <v>46288.370104166665</v>
      </c>
      <c r="C800" s="4">
        <v>46288</v>
      </c>
      <c r="D800" t="s">
        <v>153</v>
      </c>
      <c r="E800">
        <v>1002</v>
      </c>
      <c r="F800" t="s">
        <v>25</v>
      </c>
      <c r="G800" t="s">
        <v>137</v>
      </c>
      <c r="H800" t="s">
        <v>60</v>
      </c>
      <c r="I800" t="s">
        <v>102</v>
      </c>
      <c r="K800" t="s">
        <v>138</v>
      </c>
    </row>
    <row r="801" spans="1:11" ht="14.25">
      <c r="A801" t="s">
        <v>1074</v>
      </c>
      <c r="B801" s="3">
        <v>46288.387291666666</v>
      </c>
      <c r="C801" s="4">
        <v>46288</v>
      </c>
      <c r="D801" t="s">
        <v>153</v>
      </c>
      <c r="E801">
        <v>1013</v>
      </c>
      <c r="F801" t="s">
        <v>45</v>
      </c>
      <c r="G801" t="s">
        <v>137</v>
      </c>
      <c r="H801" t="s">
        <v>84</v>
      </c>
      <c r="I801" t="s">
        <v>102</v>
      </c>
      <c r="J801" t="s">
        <v>976</v>
      </c>
      <c r="K801" t="s">
        <v>138</v>
      </c>
    </row>
    <row r="802" spans="1:11" ht="14.25">
      <c r="A802" t="s">
        <v>1075</v>
      </c>
      <c r="B802" s="3">
        <v>46288.489618055559</v>
      </c>
      <c r="C802" s="4">
        <v>46288</v>
      </c>
      <c r="D802" t="s">
        <v>153</v>
      </c>
      <c r="E802">
        <v>1013</v>
      </c>
      <c r="F802" t="s">
        <v>45</v>
      </c>
      <c r="G802" t="s">
        <v>140</v>
      </c>
      <c r="H802" t="s">
        <v>84</v>
      </c>
      <c r="I802" t="s">
        <v>102</v>
      </c>
      <c r="J802" t="s">
        <v>976</v>
      </c>
      <c r="K802" t="s">
        <v>138</v>
      </c>
    </row>
    <row r="803" spans="1:11" ht="14.25">
      <c r="A803" t="s">
        <v>1076</v>
      </c>
      <c r="B803" s="3">
        <v>46288.491064814814</v>
      </c>
      <c r="C803" s="4">
        <v>46288</v>
      </c>
      <c r="D803" t="s">
        <v>153</v>
      </c>
      <c r="E803">
        <v>1002</v>
      </c>
      <c r="F803" t="s">
        <v>25</v>
      </c>
      <c r="G803" t="s">
        <v>140</v>
      </c>
      <c r="H803" t="s">
        <v>60</v>
      </c>
      <c r="I803" t="s">
        <v>102</v>
      </c>
      <c r="K803" t="s">
        <v>138</v>
      </c>
    </row>
    <row r="804" spans="1:11" ht="14.25">
      <c r="A804" t="s">
        <v>1077</v>
      </c>
      <c r="B804" s="3">
        <v>46288.507511574076</v>
      </c>
      <c r="C804" s="4">
        <v>46288</v>
      </c>
      <c r="D804" t="s">
        <v>153</v>
      </c>
      <c r="E804">
        <v>1003</v>
      </c>
      <c r="F804" t="s">
        <v>27</v>
      </c>
      <c r="G804" t="s">
        <v>140</v>
      </c>
      <c r="H804" t="s">
        <v>66</v>
      </c>
      <c r="I804" t="s">
        <v>102</v>
      </c>
      <c r="K804" t="s">
        <v>138</v>
      </c>
    </row>
    <row r="805" spans="1:11" ht="14.25">
      <c r="A805" t="s">
        <v>1078</v>
      </c>
      <c r="B805" s="3">
        <v>46288.516192129631</v>
      </c>
      <c r="C805" s="4">
        <v>46288</v>
      </c>
      <c r="D805" t="s">
        <v>153</v>
      </c>
      <c r="E805">
        <v>1011</v>
      </c>
      <c r="F805" t="s">
        <v>40</v>
      </c>
      <c r="G805" t="s">
        <v>140</v>
      </c>
      <c r="H805" t="s">
        <v>66</v>
      </c>
      <c r="I805" t="s">
        <v>102</v>
      </c>
      <c r="K805" t="s">
        <v>138</v>
      </c>
    </row>
    <row r="806" spans="1:11" ht="14.25">
      <c r="A806" t="s">
        <v>1079</v>
      </c>
      <c r="B806" s="3">
        <v>46288.523194444446</v>
      </c>
      <c r="C806" s="4">
        <v>46288</v>
      </c>
      <c r="D806" t="s">
        <v>153</v>
      </c>
      <c r="E806">
        <v>1013</v>
      </c>
      <c r="F806" t="s">
        <v>45</v>
      </c>
      <c r="G806" t="s">
        <v>137</v>
      </c>
      <c r="H806" t="s">
        <v>84</v>
      </c>
      <c r="I806" t="s">
        <v>102</v>
      </c>
      <c r="J806" t="s">
        <v>976</v>
      </c>
      <c r="K806" t="s">
        <v>138</v>
      </c>
    </row>
    <row r="807" spans="1:11" ht="14.25">
      <c r="A807" t="s">
        <v>1080</v>
      </c>
      <c r="B807" s="3">
        <v>46288.536550925928</v>
      </c>
      <c r="C807" s="4">
        <v>46288</v>
      </c>
      <c r="D807" t="s">
        <v>153</v>
      </c>
      <c r="E807">
        <v>1011</v>
      </c>
      <c r="F807" t="s">
        <v>40</v>
      </c>
      <c r="G807" t="s">
        <v>137</v>
      </c>
      <c r="H807" t="s">
        <v>66</v>
      </c>
      <c r="I807" t="s">
        <v>102</v>
      </c>
      <c r="K807" t="s">
        <v>138</v>
      </c>
    </row>
    <row r="808" spans="1:11" ht="14.25">
      <c r="A808" t="s">
        <v>1081</v>
      </c>
      <c r="B808" s="3">
        <v>46288.542696759258</v>
      </c>
      <c r="C808" s="4">
        <v>46288</v>
      </c>
      <c r="D808" t="s">
        <v>153</v>
      </c>
      <c r="E808">
        <v>1002</v>
      </c>
      <c r="F808" t="s">
        <v>25</v>
      </c>
      <c r="G808" t="s">
        <v>137</v>
      </c>
      <c r="H808" t="s">
        <v>60</v>
      </c>
      <c r="I808" t="s">
        <v>102</v>
      </c>
      <c r="K808" t="s">
        <v>138</v>
      </c>
    </row>
    <row r="809" spans="1:11" ht="14.25">
      <c r="A809" t="s">
        <v>1082</v>
      </c>
      <c r="B809" s="3">
        <v>46288.548958333333</v>
      </c>
      <c r="C809" s="4">
        <v>46288</v>
      </c>
      <c r="D809" t="s">
        <v>153</v>
      </c>
      <c r="E809">
        <v>1003</v>
      </c>
      <c r="F809" t="s">
        <v>27</v>
      </c>
      <c r="G809" t="s">
        <v>140</v>
      </c>
      <c r="H809" t="s">
        <v>63</v>
      </c>
      <c r="I809" t="s">
        <v>102</v>
      </c>
      <c r="K809" t="s">
        <v>138</v>
      </c>
    </row>
    <row r="810" spans="1:11" ht="14.25">
      <c r="A810" t="s">
        <v>1083</v>
      </c>
      <c r="B810" s="3">
        <v>46288.747129629628</v>
      </c>
      <c r="C810" s="4">
        <v>46288</v>
      </c>
      <c r="D810" t="s">
        <v>153</v>
      </c>
      <c r="E810">
        <v>1002</v>
      </c>
      <c r="F810" t="s">
        <v>25</v>
      </c>
      <c r="G810" t="s">
        <v>140</v>
      </c>
      <c r="H810" t="s">
        <v>60</v>
      </c>
      <c r="I810" t="s">
        <v>102</v>
      </c>
      <c r="K810" t="s">
        <v>138</v>
      </c>
    </row>
    <row r="811" spans="1:11" ht="14.25">
      <c r="A811" t="s">
        <v>1084</v>
      </c>
      <c r="B811" s="3">
        <v>46288.750428240739</v>
      </c>
      <c r="C811" s="4">
        <v>46288</v>
      </c>
      <c r="D811" t="s">
        <v>153</v>
      </c>
      <c r="E811">
        <v>1013</v>
      </c>
      <c r="F811" t="s">
        <v>45</v>
      </c>
      <c r="G811" t="s">
        <v>140</v>
      </c>
      <c r="H811" t="s">
        <v>66</v>
      </c>
      <c r="I811" t="s">
        <v>102</v>
      </c>
      <c r="K811" t="s">
        <v>138</v>
      </c>
    </row>
    <row r="812" spans="1:11" ht="14.25">
      <c r="A812" t="s">
        <v>1085</v>
      </c>
      <c r="B812" s="3">
        <v>46288.750833333332</v>
      </c>
      <c r="C812" s="4">
        <v>46288</v>
      </c>
      <c r="D812" t="s">
        <v>153</v>
      </c>
      <c r="E812">
        <v>1003</v>
      </c>
      <c r="F812" t="s">
        <v>27</v>
      </c>
      <c r="G812" t="s">
        <v>140</v>
      </c>
      <c r="H812" t="s">
        <v>63</v>
      </c>
      <c r="I812" t="s">
        <v>102</v>
      </c>
      <c r="K812" t="s">
        <v>138</v>
      </c>
    </row>
    <row r="813" spans="1:11" ht="14.25">
      <c r="A813" t="s">
        <v>1086</v>
      </c>
      <c r="B813" s="3">
        <v>46288.751238425924</v>
      </c>
      <c r="C813" s="4">
        <v>46288</v>
      </c>
      <c r="D813" t="s">
        <v>153</v>
      </c>
      <c r="E813">
        <v>1011</v>
      </c>
      <c r="F813" t="s">
        <v>40</v>
      </c>
      <c r="G813" t="s">
        <v>140</v>
      </c>
      <c r="H813" t="s">
        <v>66</v>
      </c>
      <c r="I813" t="s">
        <v>102</v>
      </c>
      <c r="K813" t="s">
        <v>138</v>
      </c>
    </row>
    <row r="814" spans="1:11" ht="14.25">
      <c r="A814" t="s">
        <v>1087</v>
      </c>
      <c r="B814" s="3">
        <v>46289.336423611108</v>
      </c>
      <c r="C814" s="4">
        <v>46289</v>
      </c>
      <c r="D814" t="s">
        <v>214</v>
      </c>
      <c r="E814">
        <v>1011</v>
      </c>
      <c r="F814" t="s">
        <v>40</v>
      </c>
      <c r="G814" t="s">
        <v>137</v>
      </c>
      <c r="H814" t="s">
        <v>66</v>
      </c>
      <c r="I814" t="s">
        <v>102</v>
      </c>
      <c r="K814" t="s">
        <v>138</v>
      </c>
    </row>
    <row r="815" spans="1:11" ht="14.25">
      <c r="A815" t="s">
        <v>1088</v>
      </c>
      <c r="B815" s="3">
        <v>46289.342395833337</v>
      </c>
      <c r="C815" s="4">
        <v>46289</v>
      </c>
      <c r="D815" t="s">
        <v>214</v>
      </c>
      <c r="E815">
        <v>1002</v>
      </c>
      <c r="F815" t="s">
        <v>25</v>
      </c>
      <c r="G815" t="s">
        <v>137</v>
      </c>
      <c r="H815" t="s">
        <v>75</v>
      </c>
      <c r="I815" t="s">
        <v>102</v>
      </c>
      <c r="K815" t="s">
        <v>138</v>
      </c>
    </row>
    <row r="816" spans="1:11" ht="14.25">
      <c r="A816" t="s">
        <v>1089</v>
      </c>
      <c r="B816" s="3">
        <v>46289.344537037039</v>
      </c>
      <c r="C816" s="4">
        <v>46289</v>
      </c>
      <c r="D816" t="s">
        <v>214</v>
      </c>
      <c r="E816">
        <v>1003</v>
      </c>
      <c r="F816" t="s">
        <v>27</v>
      </c>
      <c r="G816" t="s">
        <v>137</v>
      </c>
      <c r="H816" t="s">
        <v>63</v>
      </c>
      <c r="I816" t="s">
        <v>102</v>
      </c>
      <c r="K816" t="s">
        <v>138</v>
      </c>
    </row>
    <row r="817" spans="1:11" ht="14.25">
      <c r="A817" t="s">
        <v>1090</v>
      </c>
      <c r="B817" s="3">
        <v>46289.364502314813</v>
      </c>
      <c r="C817" s="4">
        <v>46289</v>
      </c>
      <c r="D817" t="s">
        <v>214</v>
      </c>
      <c r="E817">
        <v>1013</v>
      </c>
      <c r="F817" t="s">
        <v>45</v>
      </c>
      <c r="G817" t="s">
        <v>137</v>
      </c>
      <c r="H817" t="s">
        <v>75</v>
      </c>
      <c r="I817" t="s">
        <v>102</v>
      </c>
      <c r="K817" t="s">
        <v>138</v>
      </c>
    </row>
    <row r="818" spans="1:11" ht="14.25">
      <c r="A818" t="s">
        <v>1091</v>
      </c>
      <c r="B818" s="3">
        <v>46289.493020833332</v>
      </c>
      <c r="C818" s="4">
        <v>46289</v>
      </c>
      <c r="D818" t="s">
        <v>214</v>
      </c>
      <c r="E818">
        <v>1013</v>
      </c>
      <c r="F818" t="s">
        <v>45</v>
      </c>
      <c r="G818" t="s">
        <v>140</v>
      </c>
      <c r="H818" t="s">
        <v>75</v>
      </c>
      <c r="I818" t="s">
        <v>102</v>
      </c>
      <c r="K818" t="s">
        <v>138</v>
      </c>
    </row>
    <row r="819" spans="1:11" ht="14.25">
      <c r="A819" t="s">
        <v>1092</v>
      </c>
      <c r="B819" s="3">
        <v>46289.503668981481</v>
      </c>
      <c r="C819" s="4">
        <v>46289</v>
      </c>
      <c r="D819" t="s">
        <v>214</v>
      </c>
      <c r="E819">
        <v>1002</v>
      </c>
      <c r="F819" t="s">
        <v>25</v>
      </c>
      <c r="G819" t="s">
        <v>140</v>
      </c>
      <c r="H819" t="s">
        <v>75</v>
      </c>
      <c r="I819" t="s">
        <v>102</v>
      </c>
      <c r="K819" t="s">
        <v>138</v>
      </c>
    </row>
    <row r="820" spans="1:11" ht="14.25">
      <c r="A820" t="s">
        <v>1093</v>
      </c>
      <c r="B820" s="3">
        <v>46289.526203703703</v>
      </c>
      <c r="C820" s="4">
        <v>46289</v>
      </c>
      <c r="D820" t="s">
        <v>214</v>
      </c>
      <c r="E820">
        <v>1003</v>
      </c>
      <c r="F820" t="s">
        <v>27</v>
      </c>
      <c r="G820" t="s">
        <v>140</v>
      </c>
      <c r="H820" t="s">
        <v>63</v>
      </c>
      <c r="I820" t="s">
        <v>102</v>
      </c>
      <c r="K820" t="s">
        <v>138</v>
      </c>
    </row>
    <row r="821" spans="1:11" ht="14.25">
      <c r="A821" t="s">
        <v>1094</v>
      </c>
      <c r="B821" s="3">
        <v>46289.52679398148</v>
      </c>
      <c r="C821" s="4">
        <v>46289</v>
      </c>
      <c r="D821" t="s">
        <v>214</v>
      </c>
      <c r="E821">
        <v>1003</v>
      </c>
      <c r="F821" t="s">
        <v>27</v>
      </c>
      <c r="G821" t="s">
        <v>140</v>
      </c>
      <c r="H821" t="s">
        <v>63</v>
      </c>
      <c r="I821" t="s">
        <v>102</v>
      </c>
      <c r="K821" t="s">
        <v>138</v>
      </c>
    </row>
    <row r="822" spans="1:11" ht="14.25">
      <c r="A822" t="s">
        <v>1095</v>
      </c>
      <c r="B822" s="3">
        <v>46289.528182870374</v>
      </c>
      <c r="C822" s="4">
        <v>46289</v>
      </c>
      <c r="D822" t="s">
        <v>214</v>
      </c>
      <c r="E822">
        <v>1011</v>
      </c>
      <c r="F822" t="s">
        <v>40</v>
      </c>
      <c r="G822" t="s">
        <v>140</v>
      </c>
      <c r="H822" t="s">
        <v>66</v>
      </c>
      <c r="I822" t="s">
        <v>102</v>
      </c>
      <c r="K822" t="s">
        <v>138</v>
      </c>
    </row>
    <row r="823" spans="1:11" ht="14.25">
      <c r="A823" t="s">
        <v>1096</v>
      </c>
      <c r="B823" s="3">
        <v>46289.546076388891</v>
      </c>
      <c r="C823" s="4">
        <v>46289</v>
      </c>
      <c r="D823" t="s">
        <v>214</v>
      </c>
      <c r="E823">
        <v>1002</v>
      </c>
      <c r="F823" t="s">
        <v>25</v>
      </c>
      <c r="G823" t="s">
        <v>137</v>
      </c>
      <c r="H823" t="s">
        <v>60</v>
      </c>
      <c r="I823" t="s">
        <v>102</v>
      </c>
      <c r="K823" t="s">
        <v>138</v>
      </c>
    </row>
    <row r="824" spans="1:11" ht="14.25">
      <c r="A824" t="s">
        <v>1097</v>
      </c>
      <c r="B824" s="3">
        <v>46289.553946759261</v>
      </c>
      <c r="C824" s="4">
        <v>46289</v>
      </c>
      <c r="D824" t="s">
        <v>214</v>
      </c>
      <c r="E824">
        <v>1011</v>
      </c>
      <c r="F824" t="s">
        <v>40</v>
      </c>
      <c r="G824" t="s">
        <v>137</v>
      </c>
      <c r="H824" t="s">
        <v>66</v>
      </c>
      <c r="I824" t="s">
        <v>102</v>
      </c>
      <c r="K824" t="s">
        <v>138</v>
      </c>
    </row>
    <row r="825" spans="1:11" ht="14.25">
      <c r="A825" t="s">
        <v>1098</v>
      </c>
      <c r="B825" s="3">
        <v>46289.571400462963</v>
      </c>
      <c r="C825" s="4">
        <v>46289</v>
      </c>
      <c r="D825" t="s">
        <v>214</v>
      </c>
      <c r="E825">
        <v>1003</v>
      </c>
      <c r="F825" t="s">
        <v>27</v>
      </c>
      <c r="G825" t="s">
        <v>137</v>
      </c>
      <c r="H825" t="s">
        <v>63</v>
      </c>
      <c r="I825" t="s">
        <v>102</v>
      </c>
      <c r="K825" t="s">
        <v>138</v>
      </c>
    </row>
    <row r="826" spans="1:11" ht="14.25">
      <c r="A826" t="s">
        <v>1099</v>
      </c>
      <c r="B826" s="3">
        <v>46289.708368055559</v>
      </c>
      <c r="C826" s="4">
        <v>46289</v>
      </c>
      <c r="D826" t="s">
        <v>214</v>
      </c>
      <c r="E826">
        <v>1013</v>
      </c>
      <c r="F826" t="s">
        <v>45</v>
      </c>
      <c r="G826" t="s">
        <v>140</v>
      </c>
      <c r="H826" t="s">
        <v>75</v>
      </c>
      <c r="I826" t="s">
        <v>102</v>
      </c>
      <c r="K826" t="s">
        <v>138</v>
      </c>
    </row>
    <row r="827" spans="1:11" ht="14.25">
      <c r="A827" t="s">
        <v>1100</v>
      </c>
      <c r="B827" s="3">
        <v>46289.744189814817</v>
      </c>
      <c r="C827" s="4">
        <v>46289</v>
      </c>
      <c r="D827" t="s">
        <v>214</v>
      </c>
      <c r="E827">
        <v>1003</v>
      </c>
      <c r="F827" t="s">
        <v>27</v>
      </c>
      <c r="G827" t="s">
        <v>140</v>
      </c>
      <c r="H827" t="s">
        <v>63</v>
      </c>
      <c r="I827" t="s">
        <v>102</v>
      </c>
      <c r="K827" t="s">
        <v>138</v>
      </c>
    </row>
    <row r="828" spans="1:11" ht="14.25">
      <c r="A828" t="s">
        <v>1101</v>
      </c>
      <c r="B828" s="3">
        <v>46289.745868055557</v>
      </c>
      <c r="C828" s="4">
        <v>46289</v>
      </c>
      <c r="D828" t="s">
        <v>214</v>
      </c>
      <c r="E828">
        <v>1002</v>
      </c>
      <c r="F828" t="s">
        <v>25</v>
      </c>
      <c r="G828" t="s">
        <v>140</v>
      </c>
      <c r="H828" t="s">
        <v>60</v>
      </c>
      <c r="I828" t="s">
        <v>102</v>
      </c>
      <c r="K828" t="s">
        <v>138</v>
      </c>
    </row>
    <row r="829" spans="1:11" ht="14.25">
      <c r="A829" t="s">
        <v>1102</v>
      </c>
      <c r="B829" s="3">
        <v>46289.746469907404</v>
      </c>
      <c r="C829" s="4">
        <v>46289</v>
      </c>
      <c r="D829" t="s">
        <v>214</v>
      </c>
      <c r="E829">
        <v>1003</v>
      </c>
      <c r="F829" t="s">
        <v>27</v>
      </c>
      <c r="G829" t="s">
        <v>140</v>
      </c>
      <c r="H829" t="s">
        <v>63</v>
      </c>
      <c r="I829" t="s">
        <v>102</v>
      </c>
      <c r="K829" t="s">
        <v>138</v>
      </c>
    </row>
    <row r="830" spans="1:11" ht="14.25">
      <c r="A830" t="s">
        <v>1103</v>
      </c>
      <c r="B830" s="3">
        <v>46289.747256944444</v>
      </c>
      <c r="C830" s="4">
        <v>46289</v>
      </c>
      <c r="D830" t="s">
        <v>214</v>
      </c>
      <c r="E830">
        <v>1003</v>
      </c>
      <c r="F830" t="s">
        <v>27</v>
      </c>
      <c r="G830" t="s">
        <v>140</v>
      </c>
      <c r="H830" t="s">
        <v>63</v>
      </c>
      <c r="I830" t="s">
        <v>102</v>
      </c>
      <c r="K830" t="s">
        <v>138</v>
      </c>
    </row>
    <row r="831" spans="1:11" ht="14.25">
      <c r="A831" t="s">
        <v>1104</v>
      </c>
      <c r="B831" s="3">
        <v>46289.748865740738</v>
      </c>
      <c r="C831" s="4">
        <v>46289</v>
      </c>
      <c r="D831" t="s">
        <v>214</v>
      </c>
      <c r="E831">
        <v>1011</v>
      </c>
      <c r="F831" t="s">
        <v>40</v>
      </c>
      <c r="G831" t="s">
        <v>140</v>
      </c>
      <c r="H831" t="s">
        <v>66</v>
      </c>
      <c r="I831" t="s">
        <v>102</v>
      </c>
      <c r="K831" t="s">
        <v>138</v>
      </c>
    </row>
    <row r="832" spans="1:11" ht="14.25">
      <c r="A832" t="s">
        <v>1105</v>
      </c>
      <c r="B832" s="3">
        <v>46290.33792824074</v>
      </c>
      <c r="C832" s="4">
        <v>46290</v>
      </c>
      <c r="D832" t="s">
        <v>287</v>
      </c>
      <c r="E832">
        <v>1003</v>
      </c>
      <c r="F832" t="s">
        <v>27</v>
      </c>
      <c r="G832" t="s">
        <v>137</v>
      </c>
      <c r="H832" t="s">
        <v>63</v>
      </c>
      <c r="I832" t="s">
        <v>102</v>
      </c>
      <c r="K832" t="s">
        <v>138</v>
      </c>
    </row>
    <row r="833" spans="1:11" ht="14.25">
      <c r="A833" t="s">
        <v>1106</v>
      </c>
      <c r="B833" s="3">
        <v>46290.347013888888</v>
      </c>
      <c r="C833" s="4">
        <v>46290</v>
      </c>
      <c r="D833" t="s">
        <v>287</v>
      </c>
      <c r="E833">
        <v>1011</v>
      </c>
      <c r="F833" t="s">
        <v>40</v>
      </c>
      <c r="G833" t="s">
        <v>137</v>
      </c>
      <c r="H833" t="s">
        <v>87</v>
      </c>
      <c r="I833" t="s">
        <v>102</v>
      </c>
      <c r="K833" t="s">
        <v>138</v>
      </c>
    </row>
    <row r="834" spans="1:11" ht="14.25">
      <c r="A834" t="s">
        <v>1107</v>
      </c>
      <c r="B834" s="3">
        <v>46290.352777777778</v>
      </c>
      <c r="C834" s="4">
        <v>46290</v>
      </c>
      <c r="D834" t="s">
        <v>287</v>
      </c>
      <c r="E834">
        <v>1013</v>
      </c>
      <c r="F834" t="s">
        <v>45</v>
      </c>
      <c r="G834" t="s">
        <v>137</v>
      </c>
      <c r="H834" t="s">
        <v>75</v>
      </c>
      <c r="I834" t="s">
        <v>102</v>
      </c>
      <c r="K834" t="s">
        <v>138</v>
      </c>
    </row>
    <row r="835" spans="1:11" ht="14.25">
      <c r="A835" t="s">
        <v>1108</v>
      </c>
      <c r="B835" s="3">
        <v>46290.366261574076</v>
      </c>
      <c r="C835" s="4">
        <v>46290</v>
      </c>
      <c r="D835" t="s">
        <v>287</v>
      </c>
      <c r="E835">
        <v>1002</v>
      </c>
      <c r="F835" t="s">
        <v>25</v>
      </c>
      <c r="G835" t="s">
        <v>137</v>
      </c>
      <c r="H835" t="s">
        <v>60</v>
      </c>
      <c r="I835" t="s">
        <v>102</v>
      </c>
      <c r="K835" t="s">
        <v>138</v>
      </c>
    </row>
    <row r="836" spans="1:11" ht="14.25">
      <c r="A836" t="s">
        <v>1109</v>
      </c>
      <c r="B836" s="3">
        <v>46290.501377314817</v>
      </c>
      <c r="C836" s="4">
        <v>46290</v>
      </c>
      <c r="D836" t="s">
        <v>287</v>
      </c>
      <c r="E836">
        <v>1002</v>
      </c>
      <c r="F836" t="s">
        <v>25</v>
      </c>
      <c r="G836" t="s">
        <v>140</v>
      </c>
      <c r="H836" t="s">
        <v>60</v>
      </c>
      <c r="I836" t="s">
        <v>102</v>
      </c>
      <c r="K836" t="s">
        <v>138</v>
      </c>
    </row>
    <row r="837" spans="1:11" ht="14.25">
      <c r="A837" t="s">
        <v>1110</v>
      </c>
      <c r="B837" s="3">
        <v>46290.501886574071</v>
      </c>
      <c r="C837" s="4">
        <v>46290</v>
      </c>
      <c r="D837" t="s">
        <v>287</v>
      </c>
      <c r="E837">
        <v>1013</v>
      </c>
      <c r="F837" t="s">
        <v>45</v>
      </c>
      <c r="G837" t="s">
        <v>140</v>
      </c>
      <c r="H837" t="s">
        <v>75</v>
      </c>
      <c r="I837" t="s">
        <v>102</v>
      </c>
      <c r="K837" t="s">
        <v>138</v>
      </c>
    </row>
    <row r="838" spans="1:11" ht="14.25">
      <c r="A838" t="s">
        <v>1111</v>
      </c>
      <c r="B838" s="3">
        <v>46290.509756944448</v>
      </c>
      <c r="C838" s="4">
        <v>46290</v>
      </c>
      <c r="D838" t="s">
        <v>287</v>
      </c>
      <c r="E838">
        <v>1011</v>
      </c>
      <c r="F838" t="s">
        <v>40</v>
      </c>
      <c r="G838" t="s">
        <v>140</v>
      </c>
      <c r="H838" t="s">
        <v>87</v>
      </c>
      <c r="I838" t="s">
        <v>102</v>
      </c>
      <c r="K838" t="s">
        <v>138</v>
      </c>
    </row>
    <row r="839" spans="1:11" ht="14.25">
      <c r="A839" t="s">
        <v>1112</v>
      </c>
      <c r="B839" s="3">
        <v>46290.532731481479</v>
      </c>
      <c r="C839" s="4">
        <v>46290</v>
      </c>
      <c r="D839" t="s">
        <v>287</v>
      </c>
      <c r="E839">
        <v>1003</v>
      </c>
      <c r="F839" t="s">
        <v>27</v>
      </c>
      <c r="G839" t="s">
        <v>140</v>
      </c>
      <c r="H839" t="s">
        <v>63</v>
      </c>
      <c r="I839" t="s">
        <v>102</v>
      </c>
      <c r="K839" t="s">
        <v>138</v>
      </c>
    </row>
    <row r="840" spans="1:11" ht="14.25">
      <c r="A840" t="s">
        <v>1113</v>
      </c>
      <c r="B840" s="3">
        <v>46290.534270833334</v>
      </c>
      <c r="C840" s="4">
        <v>46290</v>
      </c>
      <c r="D840" t="s">
        <v>287</v>
      </c>
      <c r="E840">
        <v>1013</v>
      </c>
      <c r="F840" t="s">
        <v>45</v>
      </c>
      <c r="G840" t="s">
        <v>137</v>
      </c>
      <c r="H840" t="s">
        <v>75</v>
      </c>
      <c r="I840" t="s">
        <v>102</v>
      </c>
      <c r="K840" t="s">
        <v>138</v>
      </c>
    </row>
    <row r="841" spans="1:11" ht="14.25">
      <c r="A841" t="s">
        <v>1114</v>
      </c>
      <c r="B841" s="3">
        <v>46290.537488425929</v>
      </c>
      <c r="C841" s="4">
        <v>46290</v>
      </c>
      <c r="D841" t="s">
        <v>287</v>
      </c>
      <c r="E841">
        <v>1011</v>
      </c>
      <c r="F841" t="s">
        <v>40</v>
      </c>
      <c r="G841" t="s">
        <v>137</v>
      </c>
      <c r="H841" t="s">
        <v>87</v>
      </c>
      <c r="I841" t="s">
        <v>102</v>
      </c>
      <c r="K841" t="s">
        <v>138</v>
      </c>
    </row>
    <row r="842" spans="1:11" ht="14.25">
      <c r="A842" t="s">
        <v>1115</v>
      </c>
      <c r="B842" s="3">
        <v>46290.551898148151</v>
      </c>
      <c r="C842" s="4">
        <v>46290</v>
      </c>
      <c r="D842" t="s">
        <v>287</v>
      </c>
      <c r="E842">
        <v>1002</v>
      </c>
      <c r="F842" t="s">
        <v>25</v>
      </c>
      <c r="G842" t="s">
        <v>137</v>
      </c>
      <c r="H842" t="s">
        <v>75</v>
      </c>
      <c r="I842" t="s">
        <v>102</v>
      </c>
      <c r="K842" t="s">
        <v>138</v>
      </c>
    </row>
    <row r="843" spans="1:11" ht="14.25">
      <c r="A843" t="s">
        <v>1116</v>
      </c>
      <c r="B843" s="3">
        <v>46290.577222222222</v>
      </c>
      <c r="C843" s="4">
        <v>46290</v>
      </c>
      <c r="D843" t="s">
        <v>287</v>
      </c>
      <c r="E843">
        <v>1003</v>
      </c>
      <c r="F843" t="s">
        <v>27</v>
      </c>
      <c r="G843" t="s">
        <v>137</v>
      </c>
      <c r="H843" t="s">
        <v>63</v>
      </c>
      <c r="I843" t="s">
        <v>102</v>
      </c>
      <c r="K843" t="s">
        <v>138</v>
      </c>
    </row>
    <row r="844" spans="1:11" ht="14.25">
      <c r="A844" t="s">
        <v>1117</v>
      </c>
      <c r="B844" s="3">
        <v>46290.742418981485</v>
      </c>
      <c r="C844" s="4">
        <v>46290</v>
      </c>
      <c r="D844" t="s">
        <v>287</v>
      </c>
      <c r="E844">
        <v>1003</v>
      </c>
      <c r="F844" t="s">
        <v>27</v>
      </c>
      <c r="G844" t="s">
        <v>140</v>
      </c>
      <c r="H844" t="s">
        <v>63</v>
      </c>
      <c r="I844" t="s">
        <v>102</v>
      </c>
      <c r="K844" t="s">
        <v>138</v>
      </c>
    </row>
    <row r="845" spans="1:11" ht="14.25">
      <c r="A845" t="s">
        <v>1118</v>
      </c>
      <c r="B845" s="3">
        <v>46290.747083333335</v>
      </c>
      <c r="C845" s="4">
        <v>46290</v>
      </c>
      <c r="D845" t="s">
        <v>287</v>
      </c>
      <c r="E845">
        <v>1002</v>
      </c>
      <c r="F845" t="s">
        <v>25</v>
      </c>
      <c r="G845" t="s">
        <v>140</v>
      </c>
      <c r="H845" t="s">
        <v>75</v>
      </c>
      <c r="I845" t="s">
        <v>102</v>
      </c>
      <c r="K845" t="s">
        <v>138</v>
      </c>
    </row>
    <row r="846" spans="1:11" ht="14.25">
      <c r="A846" t="s">
        <v>1119</v>
      </c>
      <c r="B846" s="3">
        <v>46290.750428240739</v>
      </c>
      <c r="C846" s="4">
        <v>46290</v>
      </c>
      <c r="D846" t="s">
        <v>287</v>
      </c>
      <c r="E846">
        <v>1013</v>
      </c>
      <c r="F846" t="s">
        <v>45</v>
      </c>
      <c r="G846" t="s">
        <v>140</v>
      </c>
      <c r="H846" t="s">
        <v>75</v>
      </c>
      <c r="I846" t="s">
        <v>102</v>
      </c>
      <c r="K846" t="s">
        <v>138</v>
      </c>
    </row>
    <row r="847" spans="1:11" ht="14.25">
      <c r="A847" t="s">
        <v>1120</v>
      </c>
      <c r="B847" s="3">
        <v>46290.786516203705</v>
      </c>
      <c r="C847" s="4">
        <v>46290</v>
      </c>
      <c r="D847" t="s">
        <v>287</v>
      </c>
      <c r="E847">
        <v>1011</v>
      </c>
      <c r="F847" t="s">
        <v>40</v>
      </c>
      <c r="G847" t="s">
        <v>140</v>
      </c>
      <c r="H847" t="s">
        <v>87</v>
      </c>
      <c r="I847" t="s">
        <v>102</v>
      </c>
      <c r="K847" t="s">
        <v>138</v>
      </c>
    </row>
    <row r="848" spans="1:11" ht="14.25">
      <c r="A848" t="s">
        <v>1121</v>
      </c>
      <c r="B848" s="3">
        <v>46291.335324074076</v>
      </c>
      <c r="C848" s="4">
        <v>46291</v>
      </c>
      <c r="D848" t="s">
        <v>357</v>
      </c>
      <c r="E848">
        <v>1003</v>
      </c>
      <c r="F848" t="s">
        <v>27</v>
      </c>
      <c r="G848" t="s">
        <v>137</v>
      </c>
      <c r="H848" t="s">
        <v>75</v>
      </c>
      <c r="I848" t="s">
        <v>102</v>
      </c>
      <c r="K848" t="s">
        <v>138</v>
      </c>
    </row>
    <row r="849" spans="1:11" ht="14.25">
      <c r="A849" t="s">
        <v>1122</v>
      </c>
      <c r="B849" s="3">
        <v>46291.409641203703</v>
      </c>
      <c r="C849" s="4">
        <v>46291</v>
      </c>
      <c r="D849" t="s">
        <v>357</v>
      </c>
      <c r="E849">
        <v>1011</v>
      </c>
      <c r="F849" t="s">
        <v>40</v>
      </c>
      <c r="G849" t="s">
        <v>137</v>
      </c>
      <c r="H849" t="s">
        <v>69</v>
      </c>
      <c r="I849" t="s">
        <v>102</v>
      </c>
      <c r="K849" t="s">
        <v>138</v>
      </c>
    </row>
    <row r="850" spans="1:11" ht="14.25">
      <c r="A850" t="s">
        <v>1123</v>
      </c>
      <c r="B850" s="3">
        <v>46291.483900462961</v>
      </c>
      <c r="C850" s="4">
        <v>46291</v>
      </c>
      <c r="D850" t="s">
        <v>357</v>
      </c>
      <c r="E850">
        <v>1003</v>
      </c>
      <c r="F850" t="s">
        <v>27</v>
      </c>
      <c r="G850" t="s">
        <v>140</v>
      </c>
      <c r="H850" t="s">
        <v>75</v>
      </c>
      <c r="I850" t="s">
        <v>102</v>
      </c>
      <c r="K850" t="s">
        <v>138</v>
      </c>
    </row>
    <row r="851" spans="1:11" ht="14.25">
      <c r="A851" t="s">
        <v>1124</v>
      </c>
      <c r="B851" s="3">
        <v>46291.543530092589</v>
      </c>
      <c r="C851" s="4">
        <v>46291</v>
      </c>
      <c r="D851" t="s">
        <v>357</v>
      </c>
      <c r="E851">
        <v>1003</v>
      </c>
      <c r="F851" t="s">
        <v>27</v>
      </c>
      <c r="G851" t="s">
        <v>137</v>
      </c>
      <c r="H851" t="s">
        <v>75</v>
      </c>
      <c r="I851" t="s">
        <v>102</v>
      </c>
      <c r="K851" t="s">
        <v>138</v>
      </c>
    </row>
    <row r="852" spans="1:11" ht="14.25">
      <c r="A852" t="s">
        <v>1125</v>
      </c>
      <c r="B852" s="3">
        <v>46291.648310185185</v>
      </c>
      <c r="C852" s="4">
        <v>46291</v>
      </c>
      <c r="D852" t="s">
        <v>357</v>
      </c>
      <c r="E852">
        <v>1011</v>
      </c>
      <c r="F852" t="s">
        <v>40</v>
      </c>
      <c r="G852" t="s">
        <v>140</v>
      </c>
      <c r="H852" t="s">
        <v>69</v>
      </c>
      <c r="I852" t="s">
        <v>102</v>
      </c>
      <c r="K852" t="s">
        <v>138</v>
      </c>
    </row>
    <row r="853" spans="1:11" ht="14.25">
      <c r="A853" t="s">
        <v>1126</v>
      </c>
      <c r="B853" s="3">
        <v>46291.712789351855</v>
      </c>
      <c r="C853" s="4">
        <v>46291</v>
      </c>
      <c r="D853" t="s">
        <v>357</v>
      </c>
      <c r="E853">
        <v>1003</v>
      </c>
      <c r="F853" t="s">
        <v>27</v>
      </c>
      <c r="G853" t="s">
        <v>140</v>
      </c>
      <c r="H853" t="s">
        <v>75</v>
      </c>
      <c r="I853" t="s">
        <v>102</v>
      </c>
      <c r="K853" t="s">
        <v>138</v>
      </c>
    </row>
    <row r="854" spans="1:11" ht="14.25">
      <c r="A854" t="s">
        <v>1127</v>
      </c>
      <c r="B854" s="3">
        <v>46291.717002314814</v>
      </c>
      <c r="C854" s="4">
        <v>46291</v>
      </c>
      <c r="D854" t="s">
        <v>357</v>
      </c>
      <c r="E854">
        <v>1011</v>
      </c>
      <c r="F854" t="s">
        <v>40</v>
      </c>
      <c r="G854" t="s">
        <v>137</v>
      </c>
      <c r="H854" t="s">
        <v>69</v>
      </c>
      <c r="I854" t="s">
        <v>102</v>
      </c>
      <c r="J854" t="s">
        <v>1128</v>
      </c>
      <c r="K854" t="s">
        <v>138</v>
      </c>
    </row>
    <row r="855" spans="1:11" ht="14.25">
      <c r="A855" t="s">
        <v>1129</v>
      </c>
      <c r="B855" s="3">
        <v>46291.848715277774</v>
      </c>
      <c r="C855" s="4">
        <v>46291</v>
      </c>
      <c r="D855" t="s">
        <v>357</v>
      </c>
      <c r="E855">
        <v>1011</v>
      </c>
      <c r="F855" t="s">
        <v>40</v>
      </c>
      <c r="G855" t="s">
        <v>140</v>
      </c>
      <c r="H855" t="s">
        <v>69</v>
      </c>
      <c r="I855" t="s">
        <v>102</v>
      </c>
      <c r="K855" t="s">
        <v>138</v>
      </c>
    </row>
    <row r="856" spans="1:11" ht="14.25">
      <c r="A856" t="s">
        <v>1130</v>
      </c>
      <c r="B856" s="3">
        <v>46292.340092592596</v>
      </c>
      <c r="C856" s="4">
        <v>46292</v>
      </c>
      <c r="D856" t="s">
        <v>385</v>
      </c>
      <c r="E856">
        <v>1011</v>
      </c>
      <c r="F856" t="s">
        <v>40</v>
      </c>
      <c r="G856" t="s">
        <v>137</v>
      </c>
      <c r="H856" t="s">
        <v>69</v>
      </c>
      <c r="I856" t="s">
        <v>102</v>
      </c>
      <c r="K856" t="s">
        <v>138</v>
      </c>
    </row>
    <row r="857" spans="1:11" ht="14.25">
      <c r="A857" t="s">
        <v>1131</v>
      </c>
      <c r="B857" s="3">
        <v>46292.537708333337</v>
      </c>
      <c r="C857" s="4">
        <v>46292</v>
      </c>
      <c r="D857" t="s">
        <v>385</v>
      </c>
      <c r="E857">
        <v>1011</v>
      </c>
      <c r="F857" t="s">
        <v>40</v>
      </c>
      <c r="G857" t="s">
        <v>140</v>
      </c>
      <c r="H857" t="s">
        <v>69</v>
      </c>
      <c r="I857" t="s">
        <v>102</v>
      </c>
      <c r="K857" t="s">
        <v>138</v>
      </c>
    </row>
    <row r="858" spans="1:11" ht="14.25">
      <c r="A858" t="s">
        <v>1132</v>
      </c>
      <c r="B858" s="3">
        <v>46292.554814814815</v>
      </c>
      <c r="C858" s="4">
        <v>46292</v>
      </c>
      <c r="D858" t="s">
        <v>385</v>
      </c>
      <c r="E858">
        <v>1011</v>
      </c>
      <c r="F858" t="s">
        <v>40</v>
      </c>
      <c r="G858" t="s">
        <v>137</v>
      </c>
      <c r="H858" t="s">
        <v>69</v>
      </c>
      <c r="I858" t="s">
        <v>102</v>
      </c>
      <c r="K858" t="s">
        <v>138</v>
      </c>
    </row>
    <row r="859" spans="1:11" ht="14.25">
      <c r="A859" t="s">
        <v>1133</v>
      </c>
      <c r="B859" s="3">
        <v>46292.732361111113</v>
      </c>
      <c r="C859" s="4">
        <v>46292</v>
      </c>
      <c r="D859" t="s">
        <v>385</v>
      </c>
      <c r="E859">
        <v>1011</v>
      </c>
      <c r="F859" t="s">
        <v>40</v>
      </c>
      <c r="G859" t="s">
        <v>140</v>
      </c>
      <c r="H859" t="s">
        <v>69</v>
      </c>
      <c r="I859" t="s">
        <v>102</v>
      </c>
      <c r="K859" t="s">
        <v>138</v>
      </c>
    </row>
    <row r="860" spans="1:11" ht="14.25">
      <c r="A860" t="s">
        <v>1134</v>
      </c>
      <c r="B860" s="3">
        <v>46293.305243055554</v>
      </c>
      <c r="C860" s="4">
        <v>46293</v>
      </c>
      <c r="D860" t="s">
        <v>397</v>
      </c>
      <c r="E860">
        <v>1003</v>
      </c>
      <c r="F860" t="s">
        <v>27</v>
      </c>
      <c r="G860" t="s">
        <v>137</v>
      </c>
      <c r="H860" t="s">
        <v>63</v>
      </c>
      <c r="I860" t="s">
        <v>102</v>
      </c>
      <c r="K860" t="s">
        <v>138</v>
      </c>
    </row>
    <row r="861" spans="1:11" ht="14.25">
      <c r="A861" t="s">
        <v>1135</v>
      </c>
      <c r="B861" s="3">
        <v>46293.326967592591</v>
      </c>
      <c r="C861" s="4">
        <v>46293</v>
      </c>
      <c r="D861" t="s">
        <v>397</v>
      </c>
      <c r="E861">
        <v>1002</v>
      </c>
      <c r="F861" t="s">
        <v>25</v>
      </c>
      <c r="G861" t="s">
        <v>137</v>
      </c>
      <c r="H861" t="s">
        <v>75</v>
      </c>
      <c r="I861" t="s">
        <v>102</v>
      </c>
      <c r="K861" t="s">
        <v>138</v>
      </c>
    </row>
    <row r="862" spans="1:11" ht="14.25">
      <c r="A862" t="s">
        <v>1136</v>
      </c>
      <c r="B862" s="3">
        <v>46293.339988425927</v>
      </c>
      <c r="C862" s="4">
        <v>46293</v>
      </c>
      <c r="D862" t="s">
        <v>397</v>
      </c>
      <c r="E862">
        <v>1011</v>
      </c>
      <c r="F862" t="s">
        <v>40</v>
      </c>
      <c r="G862" t="s">
        <v>137</v>
      </c>
      <c r="H862" t="s">
        <v>66</v>
      </c>
      <c r="I862" t="s">
        <v>102</v>
      </c>
      <c r="K862" t="s">
        <v>138</v>
      </c>
    </row>
    <row r="863" spans="1:11" ht="14.25">
      <c r="A863" t="s">
        <v>1137</v>
      </c>
      <c r="B863" s="3">
        <v>46293.366585648146</v>
      </c>
      <c r="C863" s="4">
        <v>46293</v>
      </c>
      <c r="D863" t="s">
        <v>397</v>
      </c>
      <c r="E863">
        <v>1013</v>
      </c>
      <c r="F863" t="s">
        <v>45</v>
      </c>
      <c r="G863" t="s">
        <v>137</v>
      </c>
      <c r="H863" t="s">
        <v>84</v>
      </c>
      <c r="I863" t="s">
        <v>102</v>
      </c>
      <c r="J863" t="s">
        <v>1138</v>
      </c>
      <c r="K863" t="s">
        <v>138</v>
      </c>
    </row>
    <row r="864" spans="1:11" ht="14.25">
      <c r="A864" t="s">
        <v>1139</v>
      </c>
      <c r="B864" s="3">
        <v>46293.484606481485</v>
      </c>
      <c r="C864" s="4">
        <v>46293</v>
      </c>
      <c r="D864" t="s">
        <v>397</v>
      </c>
      <c r="E864">
        <v>1003</v>
      </c>
      <c r="F864" t="s">
        <v>27</v>
      </c>
      <c r="G864" t="s">
        <v>140</v>
      </c>
      <c r="H864" t="s">
        <v>63</v>
      </c>
      <c r="I864" t="s">
        <v>102</v>
      </c>
      <c r="K864" t="s">
        <v>138</v>
      </c>
    </row>
    <row r="865" spans="1:11" ht="14.25">
      <c r="A865" t="s">
        <v>1140</v>
      </c>
      <c r="B865" s="3">
        <v>46293.496435185189</v>
      </c>
      <c r="C865" s="4">
        <v>46293</v>
      </c>
      <c r="D865" t="s">
        <v>397</v>
      </c>
      <c r="E865">
        <v>1013</v>
      </c>
      <c r="F865" t="s">
        <v>45</v>
      </c>
      <c r="G865" t="s">
        <v>140</v>
      </c>
      <c r="H865" t="s">
        <v>84</v>
      </c>
      <c r="I865" t="s">
        <v>102</v>
      </c>
      <c r="J865" t="s">
        <v>976</v>
      </c>
      <c r="K865" t="s">
        <v>138</v>
      </c>
    </row>
    <row r="866" spans="1:11" ht="14.25">
      <c r="A866" t="s">
        <v>1141</v>
      </c>
      <c r="B866" s="3">
        <v>46293.502291666664</v>
      </c>
      <c r="C866" s="4">
        <v>46293</v>
      </c>
      <c r="D866" t="s">
        <v>397</v>
      </c>
      <c r="E866">
        <v>1002</v>
      </c>
      <c r="F866" t="s">
        <v>25</v>
      </c>
      <c r="G866" t="s">
        <v>140</v>
      </c>
      <c r="H866" t="s">
        <v>75</v>
      </c>
      <c r="I866" t="s">
        <v>102</v>
      </c>
      <c r="J866" t="s">
        <v>976</v>
      </c>
      <c r="K866" t="s">
        <v>138</v>
      </c>
    </row>
    <row r="867" spans="1:11" ht="14.25">
      <c r="A867" t="s">
        <v>1142</v>
      </c>
      <c r="B867" s="3">
        <v>46293.51363425926</v>
      </c>
      <c r="C867" s="4">
        <v>46293</v>
      </c>
      <c r="D867" t="s">
        <v>397</v>
      </c>
      <c r="E867">
        <v>1003</v>
      </c>
      <c r="F867" t="s">
        <v>27</v>
      </c>
      <c r="G867" t="s">
        <v>137</v>
      </c>
      <c r="H867" t="s">
        <v>63</v>
      </c>
      <c r="I867" t="s">
        <v>102</v>
      </c>
      <c r="K867" t="s">
        <v>138</v>
      </c>
    </row>
    <row r="868" spans="1:11" ht="14.25">
      <c r="A868" t="s">
        <v>1143</v>
      </c>
      <c r="B868" s="3">
        <v>46293.528194444443</v>
      </c>
      <c r="C868" s="4">
        <v>46293</v>
      </c>
      <c r="D868" t="s">
        <v>397</v>
      </c>
      <c r="E868">
        <v>1011</v>
      </c>
      <c r="F868" t="s">
        <v>40</v>
      </c>
      <c r="G868" t="s">
        <v>140</v>
      </c>
      <c r="H868" t="s">
        <v>66</v>
      </c>
      <c r="I868" t="s">
        <v>102</v>
      </c>
      <c r="K868" t="s">
        <v>138</v>
      </c>
    </row>
    <row r="869" spans="1:11" ht="14.25">
      <c r="A869" t="s">
        <v>1144</v>
      </c>
      <c r="B869" s="3">
        <v>46293.530486111114</v>
      </c>
      <c r="C869" s="4">
        <v>46293</v>
      </c>
      <c r="D869" t="s">
        <v>397</v>
      </c>
      <c r="E869">
        <v>1013</v>
      </c>
      <c r="F869" t="s">
        <v>45</v>
      </c>
      <c r="G869" t="s">
        <v>137</v>
      </c>
      <c r="H869" t="s">
        <v>84</v>
      </c>
      <c r="I869" t="s">
        <v>102</v>
      </c>
      <c r="J869" t="s">
        <v>1145</v>
      </c>
      <c r="K869" t="s">
        <v>138</v>
      </c>
    </row>
    <row r="870" spans="1:11" ht="14.25">
      <c r="A870" t="s">
        <v>1146</v>
      </c>
      <c r="B870" s="3">
        <v>46293.541284722225</v>
      </c>
      <c r="C870" s="4">
        <v>46293</v>
      </c>
      <c r="D870" t="s">
        <v>397</v>
      </c>
      <c r="E870">
        <v>1002</v>
      </c>
      <c r="F870" t="s">
        <v>25</v>
      </c>
      <c r="G870" t="s">
        <v>137</v>
      </c>
      <c r="H870" t="s">
        <v>75</v>
      </c>
      <c r="I870" t="s">
        <v>102</v>
      </c>
      <c r="K870" t="s">
        <v>138</v>
      </c>
    </row>
    <row r="871" spans="1:11" ht="14.25">
      <c r="A871" t="s">
        <v>1147</v>
      </c>
      <c r="B871" s="3">
        <v>46293.563958333332</v>
      </c>
      <c r="C871" s="4">
        <v>46293</v>
      </c>
      <c r="D871" t="s">
        <v>397</v>
      </c>
      <c r="E871">
        <v>1011</v>
      </c>
      <c r="F871" t="s">
        <v>40</v>
      </c>
      <c r="G871" t="s">
        <v>137</v>
      </c>
      <c r="H871" t="s">
        <v>66</v>
      </c>
      <c r="I871" t="s">
        <v>102</v>
      </c>
      <c r="K871" t="s">
        <v>138</v>
      </c>
    </row>
    <row r="872" spans="1:11" ht="14.25">
      <c r="B872" s="3"/>
      <c r="C872" s="4"/>
    </row>
    <row r="873" spans="1:11" ht="14.25">
      <c r="B873" s="3"/>
      <c r="C873" s="4"/>
    </row>
    <row r="874" spans="1:11" ht="14.25">
      <c r="B874" s="3"/>
      <c r="C874" s="4"/>
    </row>
    <row r="875" spans="1:11" ht="14.25">
      <c r="B875" s="3"/>
      <c r="C875" s="4"/>
    </row>
    <row r="876" spans="1:11" ht="14.25">
      <c r="B876" s="3"/>
      <c r="C876" s="4"/>
    </row>
    <row r="877" spans="1:11" ht="14.25">
      <c r="B877" s="3"/>
      <c r="C877" s="4"/>
    </row>
    <row r="878" spans="1:11" ht="14.25">
      <c r="B878" s="3"/>
      <c r="C878" s="4"/>
    </row>
    <row r="879" spans="1:11" ht="14.25">
      <c r="B879" s="3"/>
      <c r="C879" s="4"/>
    </row>
    <row r="880" spans="1:11" ht="14.25">
      <c r="B880" s="3"/>
      <c r="C880" s="4"/>
    </row>
    <row r="881" spans="2:3" ht="14.25">
      <c r="B881" s="3"/>
      <c r="C881" s="4"/>
    </row>
    <row r="882" spans="2:3" ht="14.25">
      <c r="B882" s="3"/>
      <c r="C882" s="4"/>
    </row>
    <row r="883" spans="2:3" ht="14.25">
      <c r="B883" s="3"/>
      <c r="C883" s="4"/>
    </row>
    <row r="884" spans="2:3" ht="14.25">
      <c r="B884" s="3"/>
      <c r="C884" s="4"/>
    </row>
    <row r="885" spans="2:3" ht="14.25">
      <c r="B885" s="3"/>
      <c r="C885" s="4"/>
    </row>
    <row r="886" spans="2:3" ht="14.25">
      <c r="B886" s="3"/>
      <c r="C886" s="4"/>
    </row>
    <row r="887" spans="2:3" ht="14.25">
      <c r="B887" s="3"/>
      <c r="C887" s="4"/>
    </row>
    <row r="888" spans="2:3" ht="14.25">
      <c r="B888" s="3"/>
      <c r="C888" s="4"/>
    </row>
    <row r="889" spans="2:3" ht="14.25">
      <c r="B889" s="3"/>
      <c r="C889" s="4"/>
    </row>
    <row r="890" spans="2:3" ht="14.25">
      <c r="B890" s="3"/>
      <c r="C890" s="4"/>
    </row>
    <row r="891" spans="2:3" ht="14.25">
      <c r="B891" s="3"/>
      <c r="C891" s="4"/>
    </row>
    <row r="892" spans="2:3" ht="14.25">
      <c r="B892" s="3"/>
      <c r="C892" s="4"/>
    </row>
    <row r="893" spans="2:3" ht="14.25">
      <c r="B893" s="3"/>
      <c r="C893" s="4"/>
    </row>
    <row r="894" spans="2:3" ht="14.25">
      <c r="B894" s="3"/>
      <c r="C894" s="4"/>
    </row>
    <row r="895" spans="2:3" ht="14.25">
      <c r="B895" s="3"/>
      <c r="C895" s="4"/>
    </row>
    <row r="896" spans="2:3" ht="14.25">
      <c r="B896" s="3"/>
      <c r="C896" s="4"/>
    </row>
    <row r="897" spans="2:3" ht="14.25">
      <c r="B897" s="3"/>
      <c r="C897" s="4"/>
    </row>
    <row r="898" spans="2:3" ht="14.25">
      <c r="B898" s="3"/>
      <c r="C898" s="4"/>
    </row>
    <row r="899" spans="2:3" ht="14.25">
      <c r="B899" s="3"/>
      <c r="C899" s="4"/>
    </row>
    <row r="900" spans="2:3" ht="14.25">
      <c r="B900" s="3"/>
      <c r="C900" s="4"/>
    </row>
    <row r="901" spans="2:3" ht="14.25">
      <c r="B901" s="3"/>
      <c r="C901" s="4"/>
    </row>
    <row r="902" spans="2:3" ht="14.25">
      <c r="B902" s="3"/>
      <c r="C902" s="4"/>
    </row>
    <row r="903" spans="2:3" ht="14.25">
      <c r="B903" s="3"/>
      <c r="C903" s="4"/>
    </row>
    <row r="904" spans="2:3" ht="14.25">
      <c r="B904" s="3"/>
      <c r="C904" s="4"/>
    </row>
    <row r="905" spans="2:3" ht="14.25">
      <c r="B905" s="3"/>
      <c r="C905" s="4"/>
    </row>
    <row r="906" spans="2:3" ht="14.25">
      <c r="B906" s="3"/>
      <c r="C906" s="4"/>
    </row>
    <row r="907" spans="2:3" ht="14.25">
      <c r="B907" s="3"/>
      <c r="C907" s="4"/>
    </row>
    <row r="908" spans="2:3" ht="14.25">
      <c r="B908" s="3"/>
      <c r="C908" s="4"/>
    </row>
    <row r="909" spans="2:3" ht="14.25">
      <c r="B909" s="3"/>
      <c r="C909" s="4"/>
    </row>
    <row r="910" spans="2:3" ht="14.25">
      <c r="B910" s="3"/>
      <c r="C910" s="4"/>
    </row>
    <row r="911" spans="2:3" ht="14.25">
      <c r="B911" s="3"/>
      <c r="C911" s="4"/>
    </row>
    <row r="912" spans="2:3" ht="14.25">
      <c r="B912" s="3"/>
      <c r="C912" s="4"/>
    </row>
    <row r="913" spans="2:3" ht="14.25">
      <c r="B913" s="3"/>
      <c r="C913" s="4"/>
    </row>
    <row r="914" spans="2:3" ht="14.25">
      <c r="B914" s="3"/>
      <c r="C914" s="4"/>
    </row>
    <row r="915" spans="2:3" ht="14.25">
      <c r="B915" s="3"/>
      <c r="C915" s="4"/>
    </row>
    <row r="916" spans="2:3" ht="14.25">
      <c r="B916" s="3"/>
      <c r="C916" s="4"/>
    </row>
    <row r="917" spans="2:3" ht="14.25">
      <c r="B917" s="3"/>
      <c r="C917" s="4"/>
    </row>
    <row r="918" spans="2:3" ht="14.25">
      <c r="B918" s="3"/>
      <c r="C918" s="4"/>
    </row>
    <row r="919" spans="2:3" ht="14.25">
      <c r="B919" s="3"/>
      <c r="C919" s="4"/>
    </row>
    <row r="920" spans="2:3" ht="14.25">
      <c r="B920" s="3"/>
      <c r="C920" s="4"/>
    </row>
    <row r="921" spans="2:3" ht="14.25">
      <c r="B921" s="3"/>
      <c r="C921" s="4"/>
    </row>
    <row r="922" spans="2:3" ht="14.25">
      <c r="B922" s="3"/>
      <c r="C922" s="4"/>
    </row>
    <row r="923" spans="2:3" ht="14.25">
      <c r="B923" s="3"/>
      <c r="C923" s="4"/>
    </row>
    <row r="924" spans="2:3" ht="14.25">
      <c r="B924" s="3"/>
      <c r="C924" s="4"/>
    </row>
    <row r="925" spans="2:3" ht="14.25">
      <c r="B925" s="3"/>
      <c r="C925" s="4"/>
    </row>
    <row r="926" spans="2:3" ht="14.25">
      <c r="B926" s="3"/>
      <c r="C926" s="4"/>
    </row>
    <row r="927" spans="2:3" ht="14.25">
      <c r="B927" s="3"/>
      <c r="C927" s="4"/>
    </row>
    <row r="928" spans="2:3" ht="14.25">
      <c r="B928" s="3"/>
      <c r="C928" s="4"/>
    </row>
    <row r="929" spans="2:3" ht="14.25">
      <c r="B929" s="3"/>
      <c r="C929" s="4"/>
    </row>
    <row r="930" spans="2:3" ht="14.25">
      <c r="B930" s="3"/>
      <c r="C930" s="4"/>
    </row>
    <row r="931" spans="2:3" ht="14.25">
      <c r="B931" s="3"/>
      <c r="C931" s="4"/>
    </row>
    <row r="932" spans="2:3" ht="14.25">
      <c r="B932" s="3"/>
      <c r="C932" s="4"/>
    </row>
    <row r="933" spans="2:3" ht="14.25">
      <c r="B933" s="3"/>
      <c r="C933" s="4"/>
    </row>
    <row r="934" spans="2:3" ht="14.25">
      <c r="B934" s="3"/>
      <c r="C934" s="4"/>
    </row>
    <row r="935" spans="2:3" ht="14.25">
      <c r="B935" s="3"/>
      <c r="C935" s="4"/>
    </row>
    <row r="936" spans="2:3" ht="14.25">
      <c r="B936" s="3"/>
      <c r="C936" s="4"/>
    </row>
    <row r="937" spans="2:3" ht="14.25">
      <c r="B937" s="3"/>
      <c r="C937" s="4"/>
    </row>
    <row r="938" spans="2:3" ht="14.25">
      <c r="B938" s="3"/>
      <c r="C938" s="4"/>
    </row>
    <row r="939" spans="2:3" ht="14.25">
      <c r="B939" s="3"/>
      <c r="C939" s="4"/>
    </row>
    <row r="940" spans="2:3" ht="14.25">
      <c r="B940" s="3"/>
      <c r="C940" s="4"/>
    </row>
    <row r="941" spans="2:3" ht="14.25">
      <c r="B941" s="3"/>
      <c r="C941" s="4"/>
    </row>
    <row r="942" spans="2:3" ht="14.25">
      <c r="B942" s="3"/>
      <c r="C942" s="4"/>
    </row>
    <row r="943" spans="2:3" ht="14.25">
      <c r="B943" s="3"/>
      <c r="C943" s="4"/>
    </row>
    <row r="944" spans="2:3" ht="14.25">
      <c r="B944" s="3"/>
      <c r="C944" s="4"/>
    </row>
    <row r="945" spans="2:3" ht="14.25">
      <c r="B945" s="3"/>
      <c r="C945" s="4"/>
    </row>
    <row r="946" spans="2:3" ht="14.25">
      <c r="B946" s="3"/>
      <c r="C946" s="4"/>
    </row>
    <row r="947" spans="2:3" ht="14.25">
      <c r="B947" s="3"/>
      <c r="C947" s="4"/>
    </row>
    <row r="948" spans="2:3" ht="14.25">
      <c r="B948" s="3"/>
      <c r="C948" s="4"/>
    </row>
    <row r="949" spans="2:3" ht="14.25">
      <c r="B949" s="3"/>
      <c r="C949" s="4"/>
    </row>
    <row r="950" spans="2:3" ht="14.25">
      <c r="B950" s="3"/>
      <c r="C950" s="4"/>
    </row>
    <row r="951" spans="2:3" ht="14.25">
      <c r="B951" s="3"/>
      <c r="C951" s="4"/>
    </row>
    <row r="952" spans="2:3" ht="14.25">
      <c r="B952" s="3"/>
      <c r="C952" s="4"/>
    </row>
    <row r="953" spans="2:3" ht="14.25">
      <c r="B953" s="3"/>
      <c r="C953" s="4"/>
    </row>
    <row r="954" spans="2:3" ht="14.25">
      <c r="B954" s="3"/>
      <c r="C954" s="4"/>
    </row>
    <row r="955" spans="2:3" ht="14.25">
      <c r="B955" s="3"/>
      <c r="C955" s="4"/>
    </row>
    <row r="956" spans="2:3" ht="14.25">
      <c r="B956" s="3"/>
      <c r="C956" s="4"/>
    </row>
    <row r="957" spans="2:3" ht="14.25">
      <c r="B957" s="3"/>
      <c r="C957" s="4"/>
    </row>
    <row r="958" spans="2:3" ht="14.25">
      <c r="B958" s="3"/>
      <c r="C958" s="4"/>
    </row>
    <row r="959" spans="2:3" ht="14.25">
      <c r="B959" s="3"/>
      <c r="C959" s="4"/>
    </row>
    <row r="960" spans="2:3" ht="14.25">
      <c r="B960" s="3"/>
      <c r="C960" s="4"/>
    </row>
    <row r="961" spans="2:3" ht="14.25">
      <c r="B961" s="3"/>
      <c r="C961" s="4"/>
    </row>
    <row r="962" spans="2:3" ht="14.25">
      <c r="B962" s="3"/>
      <c r="C962" s="4"/>
    </row>
    <row r="963" spans="2:3" ht="14.25">
      <c r="B963" s="3"/>
      <c r="C963" s="4"/>
    </row>
    <row r="964" spans="2:3" ht="14.25">
      <c r="B964" s="3"/>
      <c r="C964" s="4"/>
    </row>
    <row r="965" spans="2:3" ht="14.25">
      <c r="B965" s="3"/>
      <c r="C965" s="4"/>
    </row>
    <row r="966" spans="2:3" ht="14.25">
      <c r="B966" s="3"/>
      <c r="C966" s="4"/>
    </row>
    <row r="967" spans="2:3" ht="14.25">
      <c r="B967" s="3"/>
      <c r="C967" s="4"/>
    </row>
    <row r="968" spans="2:3" ht="14.25">
      <c r="B968" s="3"/>
      <c r="C968" s="4"/>
    </row>
    <row r="969" spans="2:3" ht="14.25">
      <c r="B969" s="3"/>
      <c r="C969" s="4"/>
    </row>
    <row r="970" spans="2:3" ht="14.25">
      <c r="B970" s="3"/>
      <c r="C970" s="4"/>
    </row>
    <row r="971" spans="2:3" ht="14.25">
      <c r="B971" s="3"/>
      <c r="C971" s="4"/>
    </row>
    <row r="972" spans="2:3" ht="14.25">
      <c r="B972" s="3"/>
      <c r="C972" s="4"/>
    </row>
    <row r="973" spans="2:3" ht="14.25">
      <c r="B973" s="3"/>
      <c r="C973" s="4"/>
    </row>
    <row r="974" spans="2:3" ht="14.25">
      <c r="B974" s="3"/>
      <c r="C974" s="4"/>
    </row>
    <row r="975" spans="2:3" ht="14.25">
      <c r="B975" s="3"/>
      <c r="C975" s="4"/>
    </row>
    <row r="976" spans="2:3" ht="14.25">
      <c r="B976" s="3"/>
      <c r="C976" s="4"/>
    </row>
    <row r="977" spans="2:3" ht="14.25">
      <c r="B977" s="3"/>
      <c r="C977" s="4"/>
    </row>
    <row r="978" spans="2:3" ht="14.25">
      <c r="B978" s="3"/>
      <c r="C978" s="4"/>
    </row>
    <row r="979" spans="2:3" ht="14.25">
      <c r="B979" s="3"/>
      <c r="C979" s="4"/>
    </row>
    <row r="980" spans="2:3" ht="14.25">
      <c r="B980" s="3"/>
      <c r="C980" s="4"/>
    </row>
    <row r="981" spans="2:3" ht="14.25">
      <c r="B981" s="3"/>
      <c r="C981" s="4"/>
    </row>
    <row r="982" spans="2:3" ht="14.25">
      <c r="B982" s="3"/>
      <c r="C982" s="4"/>
    </row>
    <row r="983" spans="2:3" ht="14.25">
      <c r="B983" s="3"/>
      <c r="C983" s="4"/>
    </row>
    <row r="984" spans="2:3" ht="14.25">
      <c r="B984" s="3"/>
      <c r="C984" s="4"/>
    </row>
    <row r="985" spans="2:3" ht="14.25">
      <c r="B985" s="3"/>
      <c r="C985" s="4"/>
    </row>
    <row r="986" spans="2:3" ht="14.25">
      <c r="B986" s="3"/>
      <c r="C986" s="4"/>
    </row>
    <row r="987" spans="2:3" ht="14.25">
      <c r="B987" s="3"/>
      <c r="C987" s="4"/>
    </row>
    <row r="988" spans="2:3" ht="14.25">
      <c r="B988" s="3"/>
      <c r="C988" s="4"/>
    </row>
    <row r="989" spans="2:3" ht="14.25">
      <c r="B989" s="3"/>
      <c r="C989" s="4"/>
    </row>
    <row r="990" spans="2:3" ht="14.25">
      <c r="B990" s="3"/>
      <c r="C990" s="4"/>
    </row>
    <row r="991" spans="2:3" ht="14.25">
      <c r="B991" s="3"/>
      <c r="C991" s="4"/>
    </row>
    <row r="992" spans="2:3" ht="14.25">
      <c r="B992" s="3"/>
      <c r="C992" s="4"/>
    </row>
    <row r="993" spans="2:3" ht="14.25">
      <c r="B993" s="3"/>
      <c r="C993" s="4"/>
    </row>
    <row r="994" spans="2:3" ht="14.25">
      <c r="B994" s="3"/>
      <c r="C994" s="4"/>
    </row>
    <row r="995" spans="2:3" ht="14.25">
      <c r="B995" s="3"/>
      <c r="C995" s="4"/>
    </row>
    <row r="996" spans="2:3" ht="14.25">
      <c r="B996" s="3"/>
      <c r="C996" s="4"/>
    </row>
    <row r="997" spans="2:3" ht="14.25">
      <c r="B997" s="3"/>
      <c r="C997" s="4"/>
    </row>
    <row r="998" spans="2:3" ht="14.25">
      <c r="B998" s="3"/>
      <c r="C998" s="4"/>
    </row>
    <row r="999" spans="2:3" ht="14.25">
      <c r="B999" s="3"/>
      <c r="C999" s="4"/>
    </row>
    <row r="1000" spans="2:3" ht="14.25">
      <c r="B1000" s="3"/>
      <c r="C1000" s="4"/>
    </row>
    <row r="1001" spans="2:3" ht="14.25">
      <c r="B1001" s="3"/>
      <c r="C1001" s="4"/>
    </row>
    <row r="1002" spans="2:3" ht="14.25">
      <c r="B1002" s="3"/>
      <c r="C1002" s="4"/>
    </row>
    <row r="1003" spans="2:3" ht="14.25">
      <c r="B1003" s="3"/>
      <c r="C1003" s="4"/>
    </row>
    <row r="1004" spans="2:3" ht="14.25">
      <c r="B1004" s="3"/>
      <c r="C1004" s="4"/>
    </row>
    <row r="1005" spans="2:3" ht="14.25">
      <c r="B1005" s="3"/>
      <c r="C1005" s="4"/>
    </row>
    <row r="1006" spans="2:3" ht="14.25">
      <c r="B1006" s="3"/>
      <c r="C1006" s="4"/>
    </row>
    <row r="1007" spans="2:3" ht="14.25">
      <c r="B1007" s="3"/>
      <c r="C1007" s="4"/>
    </row>
    <row r="1008" spans="2:3" ht="14.25">
      <c r="B1008" s="3"/>
      <c r="C1008" s="4"/>
    </row>
    <row r="1009" spans="2:3" ht="14.25">
      <c r="B1009" s="3"/>
      <c r="C1009" s="4"/>
    </row>
    <row r="1010" spans="2:3" ht="14.25">
      <c r="B1010" s="3"/>
      <c r="C1010" s="4"/>
    </row>
    <row r="1011" spans="2:3" ht="14.25">
      <c r="B1011" s="3"/>
      <c r="C1011" s="4"/>
    </row>
    <row r="1012" spans="2:3" ht="14.25">
      <c r="B1012" s="3"/>
      <c r="C1012" s="4"/>
    </row>
    <row r="1013" spans="2:3" ht="14.25">
      <c r="B1013" s="3"/>
      <c r="C1013" s="4"/>
    </row>
    <row r="1014" spans="2:3" ht="14.25">
      <c r="B1014" s="3"/>
      <c r="C1014" s="4"/>
    </row>
    <row r="1015" spans="2:3" ht="14.25">
      <c r="B1015" s="3"/>
      <c r="C1015" s="4"/>
    </row>
    <row r="1016" spans="2:3" ht="14.25">
      <c r="B1016" s="3"/>
      <c r="C1016" s="4"/>
    </row>
    <row r="1017" spans="2:3" ht="14.25">
      <c r="B1017" s="3"/>
      <c r="C1017" s="4"/>
    </row>
    <row r="1018" spans="2:3" ht="14.25">
      <c r="B1018" s="3"/>
      <c r="C1018" s="4"/>
    </row>
    <row r="1019" spans="2:3" ht="14.25">
      <c r="B1019" s="3"/>
      <c r="C1019" s="4"/>
    </row>
    <row r="1020" spans="2:3" ht="14.25">
      <c r="B1020" s="3"/>
      <c r="C1020" s="4"/>
    </row>
    <row r="1021" spans="2:3" ht="14.25">
      <c r="B1021" s="3"/>
      <c r="C1021" s="4"/>
    </row>
    <row r="1022" spans="2:3" ht="14.25">
      <c r="B1022" s="3"/>
      <c r="C1022" s="4"/>
    </row>
    <row r="1023" spans="2:3" ht="14.25">
      <c r="B1023" s="3"/>
      <c r="C1023" s="4"/>
    </row>
    <row r="1024" spans="2:3" ht="14.25">
      <c r="B1024" s="3"/>
      <c r="C1024" s="4"/>
    </row>
    <row r="1025" spans="2:3" ht="14.25">
      <c r="B1025" s="3"/>
      <c r="C1025" s="4"/>
    </row>
    <row r="1026" spans="2:3" ht="14.25">
      <c r="B1026" s="3"/>
      <c r="C1026" s="4"/>
    </row>
    <row r="1027" spans="2:3" ht="14.25">
      <c r="B1027" s="3"/>
      <c r="C1027" s="4"/>
    </row>
    <row r="1028" spans="2:3" ht="14.25">
      <c r="B1028" s="3"/>
      <c r="C1028" s="4"/>
    </row>
    <row r="1029" spans="2:3" ht="14.25">
      <c r="B1029" s="3"/>
      <c r="C1029" s="4"/>
    </row>
    <row r="1030" spans="2:3" ht="14.25">
      <c r="B1030" s="3"/>
      <c r="C1030" s="4"/>
    </row>
    <row r="1031" spans="2:3" ht="14.25">
      <c r="B1031" s="3"/>
      <c r="C1031" s="4"/>
    </row>
    <row r="1032" spans="2:3" ht="14.25">
      <c r="B1032" s="3"/>
      <c r="C1032" s="4"/>
    </row>
    <row r="1033" spans="2:3" ht="14.25">
      <c r="B1033" s="3"/>
      <c r="C1033" s="4"/>
    </row>
    <row r="1034" spans="2:3" ht="14.25">
      <c r="B1034" s="3"/>
      <c r="C1034" s="4"/>
    </row>
    <row r="1035" spans="2:3" ht="14.25">
      <c r="B1035" s="3"/>
      <c r="C1035" s="4"/>
    </row>
    <row r="1036" spans="2:3" ht="14.25">
      <c r="B1036" s="3"/>
      <c r="C1036" s="4"/>
    </row>
    <row r="1037" spans="2:3" ht="14.25">
      <c r="B1037" s="3"/>
      <c r="C1037" s="4"/>
    </row>
    <row r="1038" spans="2:3" ht="14.25">
      <c r="B1038" s="3"/>
      <c r="C1038" s="4"/>
    </row>
    <row r="1039" spans="2:3" ht="14.25">
      <c r="B1039" s="3"/>
      <c r="C1039" s="4"/>
    </row>
    <row r="1040" spans="2:3" ht="14.25">
      <c r="B1040" s="3"/>
      <c r="C1040" s="4"/>
    </row>
    <row r="1041" spans="2:3" ht="14.25">
      <c r="B1041" s="3"/>
      <c r="C1041" s="4"/>
    </row>
    <row r="1042" spans="2:3" ht="14.25">
      <c r="B1042" s="3"/>
      <c r="C1042" s="4"/>
    </row>
    <row r="1043" spans="2:3" ht="14.25">
      <c r="B1043" s="3"/>
      <c r="C1043" s="4"/>
    </row>
    <row r="1044" spans="2:3" ht="14.25">
      <c r="B1044" s="3"/>
      <c r="C1044" s="4"/>
    </row>
    <row r="1045" spans="2:3" ht="14.25">
      <c r="B1045" s="3"/>
      <c r="C1045" s="4"/>
    </row>
    <row r="1046" spans="2:3" ht="14.25">
      <c r="B1046" s="3"/>
      <c r="C1046" s="4"/>
    </row>
    <row r="1047" spans="2:3" ht="14.25">
      <c r="B1047" s="3"/>
      <c r="C1047" s="4"/>
    </row>
    <row r="1048" spans="2:3" ht="14.25">
      <c r="B1048" s="3"/>
      <c r="C1048" s="4"/>
    </row>
    <row r="1049" spans="2:3" ht="14.25">
      <c r="B1049" s="3"/>
      <c r="C1049" s="4"/>
    </row>
    <row r="1050" spans="2:3" ht="14.25">
      <c r="B1050" s="3"/>
      <c r="C1050" s="4"/>
    </row>
    <row r="1051" spans="2:3" ht="14.25">
      <c r="B1051" s="3"/>
      <c r="C1051" s="4"/>
    </row>
    <row r="1052" spans="2:3" ht="14.25">
      <c r="B1052" s="3"/>
      <c r="C1052" s="4"/>
    </row>
    <row r="1053" spans="2:3" ht="14.25">
      <c r="B1053" s="3"/>
      <c r="C1053" s="4"/>
    </row>
    <row r="1054" spans="2:3" ht="14.25">
      <c r="B1054" s="3"/>
      <c r="C1054" s="4"/>
    </row>
    <row r="1055" spans="2:3" ht="14.25">
      <c r="B1055" s="3"/>
      <c r="C1055" s="4"/>
    </row>
    <row r="1056" spans="2:3" ht="14.25">
      <c r="B1056" s="3"/>
      <c r="C1056" s="4"/>
    </row>
    <row r="1057" spans="2:3" ht="14.25">
      <c r="B1057" s="3"/>
      <c r="C1057" s="4"/>
    </row>
    <row r="1058" spans="2:3" ht="14.25">
      <c r="B1058" s="3"/>
      <c r="C1058" s="4"/>
    </row>
    <row r="1059" spans="2:3" ht="14.25">
      <c r="B1059" s="3"/>
      <c r="C1059" s="4"/>
    </row>
    <row r="1060" spans="2:3" ht="14.25">
      <c r="B1060" s="3"/>
      <c r="C1060" s="4"/>
    </row>
    <row r="1061" spans="2:3" ht="14.25">
      <c r="B1061" s="3"/>
      <c r="C1061" s="4"/>
    </row>
    <row r="1062" spans="2:3" ht="14.25">
      <c r="B1062" s="3"/>
      <c r="C1062" s="4"/>
    </row>
    <row r="1063" spans="2:3" ht="14.25">
      <c r="B1063" s="3"/>
      <c r="C1063" s="4"/>
    </row>
    <row r="1064" spans="2:3" ht="14.25">
      <c r="B1064" s="3"/>
      <c r="C1064" s="4"/>
    </row>
    <row r="1065" spans="2:3" ht="14.25">
      <c r="B1065" s="3"/>
      <c r="C1065" s="4"/>
    </row>
    <row r="1066" spans="2:3" ht="14.25">
      <c r="B1066" s="3"/>
      <c r="C1066" s="4"/>
    </row>
    <row r="1067" spans="2:3" ht="14.25">
      <c r="B1067" s="3"/>
      <c r="C1067" s="4"/>
    </row>
    <row r="1068" spans="2:3" ht="14.25">
      <c r="B1068" s="3"/>
      <c r="C1068" s="4"/>
    </row>
    <row r="1069" spans="2:3" ht="14.25">
      <c r="B1069" s="3"/>
      <c r="C1069" s="4"/>
    </row>
    <row r="1070" spans="2:3" ht="14.25">
      <c r="B1070" s="3"/>
      <c r="C1070" s="4"/>
    </row>
    <row r="1071" spans="2:3" ht="14.25">
      <c r="B1071" s="3"/>
      <c r="C1071" s="4"/>
    </row>
    <row r="1072" spans="2:3" ht="14.25">
      <c r="B1072" s="3"/>
      <c r="C1072" s="4"/>
    </row>
    <row r="1073" spans="2:3" ht="14.25">
      <c r="B1073" s="3"/>
      <c r="C1073" s="4"/>
    </row>
    <row r="1074" spans="2:3" ht="14.25">
      <c r="B1074" s="3"/>
      <c r="C1074" s="4"/>
    </row>
    <row r="1075" spans="2:3" ht="14.25">
      <c r="B1075" s="3"/>
      <c r="C1075" s="4"/>
    </row>
    <row r="1076" spans="2:3" ht="14.25">
      <c r="B1076" s="3"/>
      <c r="C1076" s="4"/>
    </row>
    <row r="1077" spans="2:3" ht="14.25">
      <c r="B1077" s="3"/>
      <c r="C1077" s="4"/>
    </row>
    <row r="1078" spans="2:3" ht="14.25">
      <c r="B1078" s="3"/>
      <c r="C1078" s="4"/>
    </row>
    <row r="1079" spans="2:3" ht="14.25">
      <c r="B1079" s="3"/>
      <c r="C1079" s="4"/>
    </row>
    <row r="1080" spans="2:3" ht="14.25">
      <c r="B1080" s="3"/>
      <c r="C1080" s="4"/>
    </row>
    <row r="1081" spans="2:3" ht="14.25">
      <c r="B1081" s="3"/>
      <c r="C1081" s="4"/>
    </row>
    <row r="1082" spans="2:3" ht="14.25">
      <c r="B1082" s="3"/>
      <c r="C1082" s="4"/>
    </row>
    <row r="1083" spans="2:3" ht="14.25">
      <c r="B1083" s="3"/>
      <c r="C1083" s="4"/>
    </row>
    <row r="1084" spans="2:3" ht="14.25">
      <c r="B1084" s="3"/>
      <c r="C1084" s="4"/>
    </row>
    <row r="1085" spans="2:3" ht="14.25">
      <c r="B1085" s="3"/>
      <c r="C1085" s="4"/>
    </row>
    <row r="1086" spans="2:3" ht="14.25">
      <c r="B1086" s="3"/>
      <c r="C1086" s="4"/>
    </row>
    <row r="1087" spans="2:3" ht="14.25">
      <c r="B1087" s="3"/>
      <c r="C1087" s="4"/>
    </row>
    <row r="1088" spans="2:3" ht="14.25">
      <c r="B1088" s="3"/>
      <c r="C1088" s="4"/>
    </row>
    <row r="1089" spans="2:3" ht="14.25">
      <c r="B1089" s="3"/>
      <c r="C1089" s="4"/>
    </row>
    <row r="1090" spans="2:3" ht="14.25">
      <c r="B1090" s="3"/>
      <c r="C1090" s="4"/>
    </row>
    <row r="1091" spans="2:3" ht="14.25">
      <c r="B1091" s="3"/>
      <c r="C1091" s="4"/>
    </row>
    <row r="1092" spans="2:3" ht="14.25">
      <c r="B1092" s="3"/>
      <c r="C1092" s="4"/>
    </row>
    <row r="1093" spans="2:3" ht="14.25">
      <c r="B1093" s="3"/>
      <c r="C1093" s="4"/>
    </row>
    <row r="1094" spans="2:3" ht="14.25">
      <c r="B1094" s="3"/>
      <c r="C1094" s="4"/>
    </row>
    <row r="1095" spans="2:3" ht="14.25">
      <c r="B1095" s="3"/>
      <c r="C1095" s="4"/>
    </row>
    <row r="1096" spans="2:3" ht="14.25">
      <c r="B1096" s="3"/>
      <c r="C1096" s="4"/>
    </row>
    <row r="1097" spans="2:3" ht="14.25">
      <c r="B1097" s="3"/>
      <c r="C1097" s="4"/>
    </row>
    <row r="1098" spans="2:3" ht="14.25">
      <c r="B1098" s="3"/>
      <c r="C1098" s="4"/>
    </row>
    <row r="1099" spans="2:3" ht="14.25">
      <c r="B1099" s="3"/>
      <c r="C1099" s="4"/>
    </row>
    <row r="1100" spans="2:3" ht="14.25">
      <c r="B1100" s="3"/>
      <c r="C1100" s="4"/>
    </row>
    <row r="1101" spans="2:3" ht="14.25">
      <c r="B1101" s="3"/>
      <c r="C1101" s="4"/>
    </row>
    <row r="1102" spans="2:3" ht="14.25">
      <c r="B1102" s="3"/>
      <c r="C1102" s="4"/>
    </row>
    <row r="1103" spans="2:3" ht="14.25">
      <c r="B1103" s="3"/>
      <c r="C1103" s="4"/>
    </row>
    <row r="1104" spans="2:3" ht="14.25">
      <c r="B1104" s="3"/>
      <c r="C1104" s="4"/>
    </row>
    <row r="1105" spans="2:3" ht="14.25">
      <c r="B1105" s="3"/>
      <c r="C1105" s="4"/>
    </row>
    <row r="1106" spans="2:3" ht="14.25">
      <c r="B1106" s="3"/>
      <c r="C1106" s="4"/>
    </row>
    <row r="1107" spans="2:3" ht="14.25">
      <c r="B1107" s="3"/>
      <c r="C1107" s="4"/>
    </row>
    <row r="1108" spans="2:3" ht="14.25">
      <c r="B1108" s="3"/>
      <c r="C1108" s="4"/>
    </row>
    <row r="1109" spans="2:3" ht="14.25">
      <c r="B1109" s="3"/>
      <c r="C1109" s="4"/>
    </row>
    <row r="1110" spans="2:3" ht="14.25">
      <c r="B1110" s="3"/>
      <c r="C1110" s="4"/>
    </row>
    <row r="1111" spans="2:3" ht="14.25">
      <c r="B1111" s="3"/>
      <c r="C1111" s="4"/>
    </row>
    <row r="1112" spans="2:3" ht="14.25">
      <c r="B1112" s="3"/>
      <c r="C1112" s="4"/>
    </row>
    <row r="1113" spans="2:3" ht="14.25">
      <c r="B1113" s="3"/>
      <c r="C1113" s="4"/>
    </row>
    <row r="1114" spans="2:3" ht="14.25">
      <c r="B1114" s="3"/>
      <c r="C1114" s="4"/>
    </row>
    <row r="1115" spans="2:3" ht="14.25">
      <c r="B1115" s="3"/>
      <c r="C1115" s="4"/>
    </row>
    <row r="1116" spans="2:3" ht="14.25">
      <c r="B1116" s="3"/>
      <c r="C1116" s="4"/>
    </row>
    <row r="1117" spans="2:3" ht="14.25">
      <c r="B1117" s="3"/>
      <c r="C1117" s="4"/>
    </row>
    <row r="1118" spans="2:3" ht="14.25">
      <c r="B1118" s="3"/>
      <c r="C1118" s="4"/>
    </row>
    <row r="1119" spans="2:3" ht="14.25">
      <c r="B1119" s="3"/>
      <c r="C1119" s="4"/>
    </row>
    <row r="1120" spans="2:3" ht="14.25">
      <c r="B1120" s="3"/>
      <c r="C1120" s="4"/>
    </row>
    <row r="1121" spans="2:3" ht="14.25">
      <c r="B1121" s="3"/>
      <c r="C1121" s="4"/>
    </row>
    <row r="1122" spans="2:3" ht="14.25">
      <c r="B1122" s="3"/>
      <c r="C1122" s="4"/>
    </row>
    <row r="1123" spans="2:3" ht="14.25">
      <c r="B1123" s="3"/>
      <c r="C1123" s="4"/>
    </row>
    <row r="1124" spans="2:3" ht="14.25">
      <c r="B1124" s="3"/>
      <c r="C1124" s="4"/>
    </row>
    <row r="1125" spans="2:3" ht="14.25">
      <c r="B1125" s="3"/>
      <c r="C1125" s="4"/>
    </row>
    <row r="1126" spans="2:3" ht="14.25">
      <c r="B1126" s="3"/>
      <c r="C1126" s="4"/>
    </row>
    <row r="1127" spans="2:3" ht="14.25">
      <c r="B1127" s="3"/>
      <c r="C1127" s="4"/>
    </row>
    <row r="1128" spans="2:3" ht="14.25">
      <c r="B1128" s="3"/>
      <c r="C1128" s="4"/>
    </row>
    <row r="1129" spans="2:3" ht="14.25">
      <c r="B1129" s="3"/>
      <c r="C1129" s="4"/>
    </row>
    <row r="1130" spans="2:3" ht="14.25">
      <c r="B1130" s="3"/>
      <c r="C1130" s="4"/>
    </row>
    <row r="1131" spans="2:3" ht="14.25">
      <c r="B1131" s="3"/>
      <c r="C1131" s="4"/>
    </row>
    <row r="1132" spans="2:3" ht="14.25">
      <c r="B1132" s="3"/>
      <c r="C1132" s="4"/>
    </row>
    <row r="1133" spans="2:3" ht="14.25">
      <c r="B1133" s="3"/>
      <c r="C1133" s="4"/>
    </row>
    <row r="1134" spans="2:3" ht="14.25">
      <c r="B1134" s="3"/>
      <c r="C1134" s="4"/>
    </row>
    <row r="1135" spans="2:3" ht="14.25">
      <c r="B1135" s="3"/>
      <c r="C1135" s="4"/>
    </row>
    <row r="1136" spans="2:3" ht="14.25">
      <c r="B1136" s="3"/>
      <c r="C1136" s="4"/>
    </row>
    <row r="1137" spans="2:3" ht="14.25">
      <c r="B1137" s="3"/>
      <c r="C1137" s="4"/>
    </row>
    <row r="1138" spans="2:3" ht="14.25">
      <c r="B1138" s="3"/>
      <c r="C1138" s="4"/>
    </row>
    <row r="1139" spans="2:3" ht="14.25">
      <c r="B1139" s="3"/>
      <c r="C1139" s="4"/>
    </row>
    <row r="1140" spans="2:3" ht="14.25">
      <c r="B1140" s="3"/>
      <c r="C1140" s="4"/>
    </row>
    <row r="1141" spans="2:3" ht="14.25">
      <c r="B1141" s="3"/>
      <c r="C1141" s="4"/>
    </row>
    <row r="1142" spans="2:3" ht="14.25">
      <c r="B1142" s="3"/>
      <c r="C1142" s="4"/>
    </row>
    <row r="1143" spans="2:3" ht="14.25">
      <c r="B1143" s="3"/>
      <c r="C1143" s="4"/>
    </row>
    <row r="1144" spans="2:3" ht="14.25">
      <c r="B1144" s="3"/>
      <c r="C1144" s="4"/>
    </row>
    <row r="1145" spans="2:3" ht="14.25">
      <c r="B1145" s="3"/>
      <c r="C1145" s="4"/>
    </row>
    <row r="1146" spans="2:3" ht="14.25">
      <c r="B1146" s="3"/>
      <c r="C1146" s="4"/>
    </row>
    <row r="1147" spans="2:3" ht="14.25">
      <c r="B1147" s="3"/>
      <c r="C1147" s="4"/>
    </row>
    <row r="1148" spans="2:3" ht="14.25">
      <c r="B1148" s="3"/>
      <c r="C1148" s="4"/>
    </row>
    <row r="1149" spans="2:3" ht="14.25">
      <c r="B1149" s="3"/>
      <c r="C1149" s="4"/>
    </row>
    <row r="1150" spans="2:3" ht="14.25">
      <c r="B1150" s="3"/>
      <c r="C1150" s="4"/>
    </row>
    <row r="1151" spans="2:3" ht="14.25">
      <c r="B1151" s="3"/>
      <c r="C1151" s="4"/>
    </row>
    <row r="1152" spans="2:3" ht="14.25">
      <c r="B1152" s="3"/>
      <c r="C1152" s="4"/>
    </row>
    <row r="1153" spans="2:3" ht="14.25">
      <c r="B1153" s="3"/>
      <c r="C1153" s="4"/>
    </row>
    <row r="1154" spans="2:3" ht="14.25">
      <c r="B1154" s="3"/>
      <c r="C1154" s="4"/>
    </row>
    <row r="1155" spans="2:3" ht="14.25">
      <c r="B1155" s="3"/>
      <c r="C1155" s="4"/>
    </row>
    <row r="1156" spans="2:3" ht="14.25">
      <c r="B1156" s="3"/>
      <c r="C1156" s="4"/>
    </row>
    <row r="1157" spans="2:3" ht="14.25">
      <c r="B1157" s="3"/>
      <c r="C1157" s="4"/>
    </row>
    <row r="1158" spans="2:3" ht="14.25">
      <c r="B1158" s="3"/>
      <c r="C1158" s="4"/>
    </row>
    <row r="1159" spans="2:3" ht="14.25">
      <c r="B1159" s="3"/>
      <c r="C1159" s="4"/>
    </row>
    <row r="1160" spans="2:3" ht="14.25">
      <c r="B1160" s="3"/>
      <c r="C1160" s="4"/>
    </row>
    <row r="1161" spans="2:3" ht="14.25">
      <c r="B1161" s="3"/>
      <c r="C1161" s="4"/>
    </row>
    <row r="1162" spans="2:3" ht="14.25">
      <c r="B1162" s="3"/>
      <c r="C1162" s="4"/>
    </row>
    <row r="1163" spans="2:3" ht="14.25">
      <c r="B1163" s="3"/>
      <c r="C1163" s="4"/>
    </row>
    <row r="1164" spans="2:3" ht="14.25">
      <c r="B1164" s="3"/>
      <c r="C1164" s="4"/>
    </row>
    <row r="1165" spans="2:3" ht="14.25">
      <c r="B1165" s="3"/>
      <c r="C1165" s="4"/>
    </row>
    <row r="1166" spans="2:3" ht="14.25">
      <c r="B1166" s="3"/>
      <c r="C1166" s="4"/>
    </row>
    <row r="1167" spans="2:3" ht="14.25">
      <c r="B1167" s="3"/>
      <c r="C1167" s="4"/>
    </row>
    <row r="1168" spans="2:3" ht="14.25">
      <c r="B1168" s="3"/>
      <c r="C1168" s="4"/>
    </row>
    <row r="1169" spans="2:3" ht="14.25">
      <c r="B1169" s="3"/>
      <c r="C1169" s="4"/>
    </row>
    <row r="1170" spans="2:3" ht="14.25">
      <c r="B1170" s="3"/>
      <c r="C1170" s="4"/>
    </row>
    <row r="1171" spans="2:3" ht="14.25">
      <c r="B1171" s="3"/>
      <c r="C1171" s="4"/>
    </row>
    <row r="1172" spans="2:3" ht="14.25">
      <c r="B1172" s="3"/>
      <c r="C1172" s="4"/>
    </row>
    <row r="1173" spans="2:3" ht="14.25">
      <c r="B1173" s="3"/>
      <c r="C1173" s="4"/>
    </row>
    <row r="1174" spans="2:3" ht="14.25">
      <c r="B1174" s="3"/>
      <c r="C1174" s="4"/>
    </row>
    <row r="1175" spans="2:3" ht="14.25">
      <c r="B1175" s="3"/>
      <c r="C1175" s="4"/>
    </row>
    <row r="1176" spans="2:3" ht="14.25">
      <c r="B1176" s="3"/>
      <c r="C1176" s="4"/>
    </row>
    <row r="1177" spans="2:3" ht="14.25">
      <c r="B1177" s="3"/>
      <c r="C1177" s="4"/>
    </row>
    <row r="1178" spans="2:3" ht="14.25">
      <c r="B1178" s="3"/>
      <c r="C1178" s="4"/>
    </row>
    <row r="1179" spans="2:3" ht="14.25">
      <c r="B1179" s="3"/>
      <c r="C1179" s="4"/>
    </row>
    <row r="1180" spans="2:3" ht="14.25">
      <c r="B1180" s="3"/>
      <c r="C1180" s="4"/>
    </row>
    <row r="1181" spans="2:3" ht="14.25">
      <c r="B1181" s="3"/>
      <c r="C1181" s="4"/>
    </row>
    <row r="1182" spans="2:3" ht="14.25">
      <c r="B1182" s="3"/>
      <c r="C1182" s="4"/>
    </row>
    <row r="1183" spans="2:3" ht="14.25">
      <c r="B1183" s="3"/>
      <c r="C1183" s="4"/>
    </row>
    <row r="1184" spans="2:3" ht="14.25">
      <c r="B1184" s="3"/>
      <c r="C1184" s="4"/>
    </row>
    <row r="1185" spans="2:3" ht="14.25">
      <c r="B1185" s="3"/>
      <c r="C1185" s="4"/>
    </row>
    <row r="1186" spans="2:3" ht="14.25">
      <c r="B1186" s="3"/>
      <c r="C1186" s="4"/>
    </row>
    <row r="1187" spans="2:3" ht="14.25">
      <c r="B1187" s="3"/>
      <c r="C1187" s="4"/>
    </row>
    <row r="1188" spans="2:3" ht="14.25">
      <c r="B1188" s="3"/>
      <c r="C1188" s="4"/>
    </row>
    <row r="1189" spans="2:3" ht="14.25">
      <c r="B1189" s="3"/>
      <c r="C1189" s="4"/>
    </row>
    <row r="1190" spans="2:3" ht="14.25">
      <c r="B1190" s="3"/>
      <c r="C1190" s="4"/>
    </row>
    <row r="1191" spans="2:3" ht="14.25">
      <c r="B1191" s="3"/>
      <c r="C1191" s="4"/>
    </row>
    <row r="1192" spans="2:3" ht="14.25">
      <c r="B1192" s="3"/>
      <c r="C1192" s="4"/>
    </row>
    <row r="1193" spans="2:3" ht="14.25">
      <c r="B1193" s="3"/>
      <c r="C1193" s="4"/>
    </row>
    <row r="1194" spans="2:3" ht="14.25">
      <c r="B1194" s="3"/>
      <c r="C1194" s="4"/>
    </row>
    <row r="1195" spans="2:3" ht="14.25">
      <c r="B1195" s="3"/>
      <c r="C1195" s="4"/>
    </row>
    <row r="1196" spans="2:3" ht="14.25">
      <c r="B1196" s="3"/>
      <c r="C1196" s="4"/>
    </row>
    <row r="1197" spans="2:3" ht="14.25">
      <c r="B1197" s="3"/>
      <c r="C1197" s="4"/>
    </row>
    <row r="1198" spans="2:3" ht="14.25">
      <c r="B1198" s="3"/>
      <c r="C1198" s="4"/>
    </row>
    <row r="1199" spans="2:3" ht="14.25">
      <c r="B1199" s="3"/>
      <c r="C1199" s="4"/>
    </row>
    <row r="1200" spans="2:3" ht="14.25">
      <c r="B1200" s="3"/>
      <c r="C1200" s="4"/>
    </row>
    <row r="1201" spans="2:3" ht="14.25">
      <c r="B1201" s="3"/>
      <c r="C1201" s="4"/>
    </row>
    <row r="1202" spans="2:3" ht="14.25">
      <c r="B1202" s="3"/>
      <c r="C1202" s="4"/>
    </row>
    <row r="1203" spans="2:3" ht="14.25">
      <c r="B1203" s="3"/>
      <c r="C1203" s="4"/>
    </row>
    <row r="1204" spans="2:3" ht="14.25">
      <c r="B1204" s="3"/>
      <c r="C1204" s="4"/>
    </row>
    <row r="1205" spans="2:3" ht="14.25">
      <c r="B1205" s="3"/>
      <c r="C1205" s="4"/>
    </row>
    <row r="1206" spans="2:3" ht="14.25">
      <c r="B1206" s="3"/>
      <c r="C1206" s="4"/>
    </row>
    <row r="1207" spans="2:3" ht="14.25">
      <c r="B1207" s="3"/>
      <c r="C1207" s="4"/>
    </row>
    <row r="1208" spans="2:3" ht="14.25">
      <c r="B1208" s="3"/>
      <c r="C1208" s="4"/>
    </row>
    <row r="1209" spans="2:3" ht="14.25">
      <c r="B1209" s="3"/>
      <c r="C1209" s="4"/>
    </row>
    <row r="1210" spans="2:3" ht="14.25">
      <c r="B1210" s="3"/>
      <c r="C1210" s="4"/>
    </row>
    <row r="1211" spans="2:3" ht="14.25">
      <c r="B1211" s="3"/>
      <c r="C1211" s="4"/>
    </row>
    <row r="1212" spans="2:3" ht="14.25">
      <c r="B1212" s="3"/>
      <c r="C1212" s="4"/>
    </row>
    <row r="1213" spans="2:3" ht="14.25">
      <c r="B1213" s="3"/>
      <c r="C1213" s="4"/>
    </row>
    <row r="1214" spans="2:3" ht="14.25">
      <c r="B1214" s="3"/>
      <c r="C1214" s="4"/>
    </row>
    <row r="1215" spans="2:3" ht="14.25">
      <c r="B1215" s="3"/>
      <c r="C1215" s="4"/>
    </row>
    <row r="1216" spans="2:3" ht="14.25">
      <c r="B1216" s="3"/>
      <c r="C1216" s="4"/>
    </row>
    <row r="1217" spans="2:3" ht="14.25">
      <c r="B1217" s="3"/>
      <c r="C1217" s="4"/>
    </row>
    <row r="1218" spans="2:3" ht="14.25">
      <c r="B1218" s="3"/>
      <c r="C1218" s="4"/>
    </row>
    <row r="1219" spans="2:3" ht="14.25">
      <c r="B1219" s="3"/>
      <c r="C1219" s="4"/>
    </row>
    <row r="1220" spans="2:3" ht="14.25">
      <c r="B1220" s="3"/>
      <c r="C1220" s="4"/>
    </row>
    <row r="1221" spans="2:3" ht="14.25">
      <c r="B1221" s="3"/>
      <c r="C1221" s="4"/>
    </row>
    <row r="1222" spans="2:3" ht="14.25">
      <c r="B1222" s="3"/>
      <c r="C1222" s="4"/>
    </row>
    <row r="1223" spans="2:3" ht="14.25">
      <c r="B1223" s="3"/>
      <c r="C1223" s="4"/>
    </row>
    <row r="1224" spans="2:3" ht="14.25">
      <c r="B1224" s="3"/>
      <c r="C1224" s="4"/>
    </row>
    <row r="1225" spans="2:3" ht="14.25">
      <c r="B1225" s="3"/>
      <c r="C1225" s="4"/>
    </row>
    <row r="1226" spans="2:3" ht="14.25">
      <c r="B1226" s="3"/>
      <c r="C1226" s="4"/>
    </row>
    <row r="1227" spans="2:3" ht="14.25">
      <c r="B1227" s="3"/>
      <c r="C1227" s="4"/>
    </row>
    <row r="1228" spans="2:3" ht="14.25">
      <c r="B1228" s="3"/>
      <c r="C1228" s="4"/>
    </row>
    <row r="1229" spans="2:3" ht="14.25">
      <c r="B1229" s="3"/>
      <c r="C1229" s="4"/>
    </row>
    <row r="1230" spans="2:3" ht="14.25">
      <c r="B1230" s="3"/>
      <c r="C1230" s="4"/>
    </row>
    <row r="1231" spans="2:3" ht="14.25">
      <c r="B1231" s="3"/>
      <c r="C1231" s="4"/>
    </row>
    <row r="1232" spans="2:3" ht="14.25">
      <c r="B1232" s="3"/>
      <c r="C1232" s="4"/>
    </row>
    <row r="1233" spans="2:3" ht="14.25">
      <c r="B1233" s="3"/>
      <c r="C1233" s="4"/>
    </row>
    <row r="1234" spans="2:3" ht="14.25">
      <c r="B1234" s="3"/>
      <c r="C1234" s="4"/>
    </row>
    <row r="1235" spans="2:3" ht="14.25">
      <c r="B1235" s="3"/>
      <c r="C1235" s="4"/>
    </row>
    <row r="1236" spans="2:3" ht="14.25">
      <c r="B1236" s="3"/>
      <c r="C1236" s="4"/>
    </row>
    <row r="1237" spans="2:3" ht="14.25">
      <c r="B1237" s="3"/>
      <c r="C1237" s="4"/>
    </row>
    <row r="1238" spans="2:3" ht="14.25">
      <c r="B1238" s="3"/>
      <c r="C1238" s="4"/>
    </row>
    <row r="1239" spans="2:3" ht="14.25">
      <c r="B1239" s="3"/>
      <c r="C1239" s="4"/>
    </row>
    <row r="1240" spans="2:3" ht="14.25">
      <c r="B1240" s="3"/>
      <c r="C1240" s="4"/>
    </row>
    <row r="1241" spans="2:3" ht="14.25">
      <c r="B1241" s="3"/>
      <c r="C1241" s="4"/>
    </row>
    <row r="1242" spans="2:3" ht="14.25">
      <c r="B1242" s="3"/>
      <c r="C1242" s="4"/>
    </row>
    <row r="1243" spans="2:3" ht="14.25">
      <c r="B1243" s="3"/>
      <c r="C1243" s="4"/>
    </row>
    <row r="1244" spans="2:3" ht="14.25">
      <c r="B1244" s="3"/>
      <c r="C1244" s="4"/>
    </row>
    <row r="1245" spans="2:3" ht="14.25">
      <c r="B1245" s="3"/>
      <c r="C1245" s="4"/>
    </row>
    <row r="1246" spans="2:3" ht="14.25">
      <c r="B1246" s="3"/>
      <c r="C1246" s="4"/>
    </row>
    <row r="1247" spans="2:3" ht="14.25">
      <c r="B1247" s="3"/>
      <c r="C1247" s="4"/>
    </row>
    <row r="1248" spans="2:3" ht="14.25">
      <c r="B1248" s="3"/>
      <c r="C1248" s="4"/>
    </row>
    <row r="1249" spans="2:3" ht="14.25">
      <c r="B1249" s="3"/>
      <c r="C1249" s="4"/>
    </row>
    <row r="1250" spans="2:3" ht="14.25">
      <c r="B1250" s="3"/>
      <c r="C1250" s="4"/>
    </row>
    <row r="1251" spans="2:3" ht="14.25">
      <c r="B1251" s="3"/>
      <c r="C1251" s="4"/>
    </row>
    <row r="1252" spans="2:3" ht="14.25">
      <c r="B1252" s="3"/>
      <c r="C1252" s="4"/>
    </row>
    <row r="1253" spans="2:3" ht="14.25">
      <c r="B1253" s="3"/>
      <c r="C1253" s="4"/>
    </row>
    <row r="1254" spans="2:3" ht="14.25">
      <c r="B1254" s="3"/>
      <c r="C1254" s="4"/>
    </row>
    <row r="1255" spans="2:3" ht="14.25">
      <c r="B1255" s="3"/>
      <c r="C1255" s="4"/>
    </row>
    <row r="1256" spans="2:3" ht="14.25">
      <c r="B1256" s="3"/>
      <c r="C1256" s="4"/>
    </row>
    <row r="1257" spans="2:3" ht="14.25">
      <c r="B1257" s="3"/>
      <c r="C1257" s="4"/>
    </row>
    <row r="1258" spans="2:3" ht="14.25">
      <c r="B1258" s="3"/>
      <c r="C1258" s="4"/>
    </row>
    <row r="1259" spans="2:3" ht="14.25">
      <c r="B1259" s="3"/>
      <c r="C1259" s="4"/>
    </row>
    <row r="1260" spans="2:3" ht="14.25">
      <c r="B1260" s="3"/>
      <c r="C1260" s="4"/>
    </row>
    <row r="1261" spans="2:3" ht="14.25">
      <c r="B1261" s="3"/>
      <c r="C1261" s="4"/>
    </row>
    <row r="1262" spans="2:3" ht="14.25">
      <c r="B1262" s="3"/>
      <c r="C1262" s="4"/>
    </row>
    <row r="1263" spans="2:3" ht="14.25">
      <c r="B1263" s="3"/>
      <c r="C1263" s="4"/>
    </row>
    <row r="1264" spans="2:3" ht="14.25">
      <c r="B1264" s="3"/>
      <c r="C1264" s="4"/>
    </row>
    <row r="1265" spans="2:3" ht="14.25">
      <c r="B1265" s="3"/>
      <c r="C1265" s="4"/>
    </row>
    <row r="1266" spans="2:3" ht="14.25">
      <c r="B1266" s="3"/>
      <c r="C1266" s="4"/>
    </row>
    <row r="1267" spans="2:3" ht="14.25">
      <c r="B1267" s="3"/>
      <c r="C1267" s="4"/>
    </row>
    <row r="1268" spans="2:3" ht="14.25">
      <c r="B1268" s="3"/>
      <c r="C1268" s="4"/>
    </row>
    <row r="1269" spans="2:3" ht="14.25">
      <c r="B1269" s="3"/>
      <c r="C1269" s="4"/>
    </row>
    <row r="1270" spans="2:3" ht="14.25">
      <c r="B1270" s="3"/>
      <c r="C1270" s="4"/>
    </row>
    <row r="1271" spans="2:3" ht="14.25">
      <c r="B1271" s="3"/>
      <c r="C1271" s="4"/>
    </row>
    <row r="1272" spans="2:3" ht="14.25">
      <c r="B1272" s="3"/>
      <c r="C1272" s="4"/>
    </row>
    <row r="1273" spans="2:3" ht="14.25">
      <c r="B1273" s="3"/>
      <c r="C1273" s="4"/>
    </row>
    <row r="1274" spans="2:3" ht="14.25">
      <c r="B1274" s="3"/>
      <c r="C1274" s="4"/>
    </row>
    <row r="1275" spans="2:3" ht="14.25">
      <c r="B1275" s="3"/>
      <c r="C1275" s="4"/>
    </row>
    <row r="1276" spans="2:3" ht="14.25">
      <c r="B1276" s="3"/>
      <c r="C1276" s="4"/>
    </row>
    <row r="1277" spans="2:3" ht="14.25">
      <c r="B1277" s="3"/>
      <c r="C1277" s="4"/>
    </row>
    <row r="1278" spans="2:3" ht="14.25">
      <c r="B1278" s="3"/>
      <c r="C1278" s="4"/>
    </row>
    <row r="1279" spans="2:3" ht="14.25">
      <c r="B1279" s="3"/>
      <c r="C1279" s="4"/>
    </row>
    <row r="1280" spans="2:3" ht="14.25">
      <c r="B1280" s="3"/>
      <c r="C1280" s="4"/>
    </row>
    <row r="1281" spans="2:3" ht="14.25">
      <c r="B1281" s="3"/>
      <c r="C1281" s="4"/>
    </row>
    <row r="1282" spans="2:3" ht="14.25">
      <c r="B1282" s="3"/>
      <c r="C1282" s="4"/>
    </row>
    <row r="1283" spans="2:3" ht="14.25">
      <c r="B1283" s="3"/>
      <c r="C1283" s="4"/>
    </row>
    <row r="1284" spans="2:3" ht="14.25">
      <c r="B1284" s="3"/>
      <c r="C1284" s="4"/>
    </row>
    <row r="1285" spans="2:3" ht="14.25">
      <c r="B1285" s="3"/>
      <c r="C1285" s="4"/>
    </row>
    <row r="1286" spans="2:3" ht="14.25">
      <c r="B1286" s="3"/>
      <c r="C1286" s="4"/>
    </row>
    <row r="1287" spans="2:3" ht="14.25">
      <c r="B1287" s="3"/>
      <c r="C1287" s="4"/>
    </row>
    <row r="1288" spans="2:3" ht="14.25">
      <c r="B1288" s="3"/>
      <c r="C1288" s="4"/>
    </row>
    <row r="1289" spans="2:3" ht="14.25">
      <c r="B1289" s="3"/>
      <c r="C1289" s="4"/>
    </row>
    <row r="1290" spans="2:3" ht="14.25">
      <c r="B1290" s="3"/>
      <c r="C1290" s="4"/>
    </row>
    <row r="1291" spans="2:3" ht="14.25">
      <c r="B1291" s="3"/>
      <c r="C1291" s="4"/>
    </row>
    <row r="1292" spans="2:3" ht="14.25">
      <c r="B1292" s="3"/>
      <c r="C1292" s="4"/>
    </row>
    <row r="1293" spans="2:3" ht="14.25">
      <c r="B1293" s="3"/>
      <c r="C1293" s="4"/>
    </row>
    <row r="1294" spans="2:3" ht="14.25">
      <c r="B1294" s="3"/>
      <c r="C1294" s="4"/>
    </row>
    <row r="1295" spans="2:3" ht="14.25">
      <c r="B1295" s="3"/>
      <c r="C1295" s="4"/>
    </row>
    <row r="1296" spans="2:3" ht="14.25">
      <c r="B1296" s="3"/>
      <c r="C1296" s="4"/>
    </row>
    <row r="1297" spans="2:3" ht="14.25">
      <c r="B1297" s="3"/>
      <c r="C1297" s="4"/>
    </row>
    <row r="1298" spans="2:3" ht="14.25">
      <c r="B1298" s="3"/>
      <c r="C1298" s="4"/>
    </row>
    <row r="1299" spans="2:3" ht="14.25">
      <c r="B1299" s="3"/>
      <c r="C1299" s="4"/>
    </row>
    <row r="1300" spans="2:3" ht="14.25">
      <c r="B1300" s="3"/>
      <c r="C1300" s="4"/>
    </row>
    <row r="1301" spans="2:3" ht="14.25">
      <c r="B1301" s="3"/>
      <c r="C1301" s="4"/>
    </row>
    <row r="1302" spans="2:3" ht="14.25">
      <c r="B1302" s="3"/>
      <c r="C1302" s="4"/>
    </row>
    <row r="1303" spans="2:3" ht="14.25">
      <c r="B1303" s="3"/>
      <c r="C1303" s="4"/>
    </row>
    <row r="1304" spans="2:3" ht="14.25">
      <c r="B1304" s="3"/>
      <c r="C1304" s="4"/>
    </row>
    <row r="1305" spans="2:3" ht="14.25">
      <c r="B1305" s="3"/>
      <c r="C1305" s="4"/>
    </row>
    <row r="1306" spans="2:3" ht="14.25">
      <c r="B1306" s="3"/>
      <c r="C1306" s="4"/>
    </row>
    <row r="1307" spans="2:3" ht="14.25">
      <c r="B1307" s="3"/>
      <c r="C1307" s="4"/>
    </row>
    <row r="1308" spans="2:3" ht="14.25">
      <c r="B1308" s="3"/>
      <c r="C1308" s="4"/>
    </row>
    <row r="1309" spans="2:3" ht="14.25">
      <c r="B1309" s="3"/>
      <c r="C1309" s="4"/>
    </row>
    <row r="1310" spans="2:3" ht="14.25">
      <c r="B1310" s="3"/>
      <c r="C1310" s="4"/>
    </row>
    <row r="1311" spans="2:3" ht="14.25">
      <c r="B1311" s="3"/>
      <c r="C1311" s="4"/>
    </row>
    <row r="1312" spans="2:3" ht="14.25">
      <c r="B1312" s="3"/>
      <c r="C1312" s="4"/>
    </row>
    <row r="1313" spans="2:3" ht="14.25">
      <c r="B1313" s="3"/>
      <c r="C1313" s="4"/>
    </row>
    <row r="1314" spans="2:3" ht="14.25">
      <c r="B1314" s="3"/>
      <c r="C1314" s="4"/>
    </row>
    <row r="1315" spans="2:3" ht="14.25">
      <c r="B1315" s="3"/>
      <c r="C1315" s="4"/>
    </row>
    <row r="1316" spans="2:3" ht="14.25">
      <c r="B1316" s="3"/>
      <c r="C1316" s="4"/>
    </row>
    <row r="1317" spans="2:3" ht="14.25">
      <c r="B1317" s="3"/>
      <c r="C1317" s="4"/>
    </row>
    <row r="1318" spans="2:3" ht="14.25">
      <c r="B1318" s="3"/>
      <c r="C1318" s="4"/>
    </row>
    <row r="1319" spans="2:3" ht="14.25">
      <c r="B1319" s="3"/>
      <c r="C1319" s="4"/>
    </row>
    <row r="1320" spans="2:3" ht="14.25">
      <c r="B1320" s="3"/>
      <c r="C1320" s="4"/>
    </row>
    <row r="1321" spans="2:3" ht="14.25">
      <c r="B1321" s="3"/>
      <c r="C1321" s="4"/>
    </row>
    <row r="1322" spans="2:3" ht="14.25">
      <c r="B1322" s="3"/>
      <c r="C1322" s="4"/>
    </row>
    <row r="1323" spans="2:3" ht="14.25">
      <c r="B1323" s="3"/>
      <c r="C1323" s="4"/>
    </row>
    <row r="1324" spans="2:3" ht="14.25">
      <c r="B1324" s="3"/>
      <c r="C1324" s="4"/>
    </row>
    <row r="1325" spans="2:3" ht="14.25">
      <c r="B1325" s="3"/>
      <c r="C1325" s="4"/>
    </row>
    <row r="1326" spans="2:3" ht="14.25">
      <c r="B1326" s="3"/>
      <c r="C1326" s="4"/>
    </row>
    <row r="1327" spans="2:3" ht="14.25">
      <c r="B1327" s="3"/>
      <c r="C1327" s="4"/>
    </row>
    <row r="1328" spans="2:3" ht="14.25">
      <c r="B1328" s="3"/>
      <c r="C1328" s="4"/>
    </row>
    <row r="1329" spans="2:3" ht="14.25">
      <c r="B1329" s="3"/>
      <c r="C1329" s="4"/>
    </row>
    <row r="1330" spans="2:3" ht="14.25">
      <c r="B1330" s="3"/>
      <c r="C1330" s="4"/>
    </row>
    <row r="1331" spans="2:3" ht="14.25">
      <c r="B1331" s="3"/>
      <c r="C1331" s="4"/>
    </row>
    <row r="1332" spans="2:3" ht="14.25">
      <c r="B1332" s="3"/>
      <c r="C1332" s="4"/>
    </row>
    <row r="1333" spans="2:3" ht="14.25">
      <c r="B1333" s="3"/>
      <c r="C1333" s="4"/>
    </row>
    <row r="1334" spans="2:3" ht="14.25">
      <c r="B1334" s="3"/>
      <c r="C1334" s="4"/>
    </row>
    <row r="1335" spans="2:3" ht="14.25">
      <c r="B1335" s="3"/>
      <c r="C1335" s="4"/>
    </row>
    <row r="1336" spans="2:3" ht="14.25">
      <c r="B1336" s="3"/>
      <c r="C1336" s="4"/>
    </row>
    <row r="1337" spans="2:3" ht="14.25">
      <c r="B1337" s="3"/>
      <c r="C1337" s="4"/>
    </row>
    <row r="1338" spans="2:3" ht="14.25">
      <c r="B1338" s="3"/>
      <c r="C1338" s="4"/>
    </row>
    <row r="1339" spans="2:3" ht="14.25">
      <c r="B1339" s="3"/>
      <c r="C1339" s="4"/>
    </row>
    <row r="1340" spans="2:3" ht="14.25">
      <c r="B1340" s="3"/>
      <c r="C1340" s="4"/>
    </row>
    <row r="1341" spans="2:3" ht="14.25">
      <c r="B1341" s="3"/>
      <c r="C1341" s="4"/>
    </row>
    <row r="1342" spans="2:3" ht="14.25">
      <c r="B1342" s="3"/>
      <c r="C1342" s="4"/>
    </row>
    <row r="1343" spans="2:3" ht="14.25">
      <c r="B1343" s="3"/>
      <c r="C1343" s="4"/>
    </row>
    <row r="1344" spans="2:3" ht="14.25">
      <c r="B1344" s="3"/>
      <c r="C1344" s="4"/>
    </row>
    <row r="1345" spans="2:3" ht="14.25">
      <c r="B1345" s="3"/>
      <c r="C1345" s="4"/>
    </row>
    <row r="1346" spans="2:3" ht="14.25">
      <c r="B1346" s="3"/>
      <c r="C1346" s="4"/>
    </row>
    <row r="1347" spans="2:3" ht="14.25">
      <c r="B1347" s="3"/>
      <c r="C1347" s="4"/>
    </row>
    <row r="1348" spans="2:3" ht="14.25">
      <c r="B1348" s="3"/>
      <c r="C1348" s="4"/>
    </row>
    <row r="1349" spans="2:3" ht="14.25">
      <c r="B1349" s="3"/>
      <c r="C1349" s="4"/>
    </row>
    <row r="1350" spans="2:3" ht="14.25">
      <c r="B1350" s="3"/>
      <c r="C1350" s="4"/>
    </row>
    <row r="1351" spans="2:3" ht="14.25">
      <c r="B1351" s="3"/>
      <c r="C1351" s="4"/>
    </row>
    <row r="1352" spans="2:3" ht="14.25">
      <c r="B1352" s="3"/>
      <c r="C1352" s="4"/>
    </row>
    <row r="1353" spans="2:3" ht="14.25">
      <c r="B1353" s="3"/>
      <c r="C1353" s="4"/>
    </row>
    <row r="1354" spans="2:3" ht="14.25">
      <c r="B1354" s="3"/>
      <c r="C1354" s="4"/>
    </row>
    <row r="1355" spans="2:3" ht="14.25">
      <c r="B1355" s="3"/>
      <c r="C1355" s="4"/>
    </row>
    <row r="1356" spans="2:3" ht="14.25">
      <c r="B1356" s="3"/>
      <c r="C1356" s="4"/>
    </row>
    <row r="1357" spans="2:3" ht="14.25">
      <c r="B1357" s="3"/>
      <c r="C1357" s="4"/>
    </row>
    <row r="1358" spans="2:3" ht="14.25">
      <c r="B1358" s="3"/>
      <c r="C1358" s="4"/>
    </row>
    <row r="1359" spans="2:3" ht="14.25">
      <c r="B1359" s="3"/>
      <c r="C1359" s="4"/>
    </row>
    <row r="1360" spans="2:3" ht="14.25">
      <c r="B1360" s="3"/>
      <c r="C1360" s="4"/>
    </row>
    <row r="1361" spans="2:3" ht="14.25">
      <c r="B1361" s="3"/>
      <c r="C1361" s="4"/>
    </row>
    <row r="1362" spans="2:3" ht="14.25">
      <c r="B1362" s="3"/>
      <c r="C1362" s="4"/>
    </row>
    <row r="1363" spans="2:3" ht="14.25">
      <c r="B1363" s="3"/>
      <c r="C1363" s="4"/>
    </row>
    <row r="1364" spans="2:3" ht="14.25">
      <c r="B1364" s="3"/>
      <c r="C1364" s="4"/>
    </row>
    <row r="1365" spans="2:3" ht="14.25">
      <c r="B1365" s="3"/>
      <c r="C1365" s="4"/>
    </row>
    <row r="1366" spans="2:3" ht="14.25">
      <c r="B1366" s="3"/>
      <c r="C1366" s="4"/>
    </row>
    <row r="1367" spans="2:3" ht="14.25">
      <c r="B1367" s="3"/>
      <c r="C1367" s="4"/>
    </row>
    <row r="1368" spans="2:3" ht="14.25">
      <c r="B1368" s="3"/>
      <c r="C1368" s="4"/>
    </row>
    <row r="1369" spans="2:3" ht="14.25">
      <c r="B1369" s="3"/>
      <c r="C1369" s="4"/>
    </row>
    <row r="1370" spans="2:3" ht="14.25">
      <c r="B1370" s="3"/>
      <c r="C1370" s="4"/>
    </row>
    <row r="1371" spans="2:3" ht="14.25">
      <c r="B1371" s="3"/>
      <c r="C1371" s="4"/>
    </row>
    <row r="1372" spans="2:3" ht="14.25">
      <c r="B1372" s="3"/>
      <c r="C1372" s="4"/>
    </row>
    <row r="1373" spans="2:3" ht="14.25">
      <c r="B1373" s="3"/>
      <c r="C1373" s="4"/>
    </row>
    <row r="1374" spans="2:3" ht="14.25">
      <c r="B1374" s="3"/>
      <c r="C1374" s="4"/>
    </row>
    <row r="1375" spans="2:3" ht="14.25">
      <c r="B1375" s="3"/>
      <c r="C1375" s="4"/>
    </row>
    <row r="1376" spans="2:3" ht="14.25">
      <c r="B1376" s="3"/>
      <c r="C1376" s="4"/>
    </row>
    <row r="1377" spans="2:3" ht="14.25">
      <c r="B1377" s="3"/>
      <c r="C1377" s="4"/>
    </row>
    <row r="1378" spans="2:3" ht="14.25">
      <c r="B1378" s="3"/>
      <c r="C1378" s="4"/>
    </row>
    <row r="1379" spans="2:3" ht="14.25">
      <c r="B1379" s="3"/>
      <c r="C1379" s="4"/>
    </row>
    <row r="1380" spans="2:3" ht="14.25">
      <c r="B1380" s="3"/>
      <c r="C1380" s="4"/>
    </row>
    <row r="1381" spans="2:3" ht="14.25">
      <c r="B1381" s="3"/>
      <c r="C1381" s="4"/>
    </row>
    <row r="1382" spans="2:3" ht="14.25">
      <c r="B1382" s="3"/>
      <c r="C1382" s="4"/>
    </row>
    <row r="1383" spans="2:3" ht="14.25">
      <c r="B1383" s="3"/>
      <c r="C1383" s="4"/>
    </row>
    <row r="1384" spans="2:3" ht="14.25">
      <c r="B1384" s="3"/>
      <c r="C1384" s="4"/>
    </row>
    <row r="1385" spans="2:3" ht="14.25">
      <c r="B1385" s="3"/>
      <c r="C1385" s="4"/>
    </row>
    <row r="1386" spans="2:3" ht="14.25">
      <c r="B1386" s="3"/>
      <c r="C1386" s="4"/>
    </row>
    <row r="1387" spans="2:3" ht="14.25">
      <c r="B1387" s="3"/>
      <c r="C1387" s="4"/>
    </row>
    <row r="1388" spans="2:3" ht="14.25">
      <c r="B1388" s="3"/>
      <c r="C1388" s="4"/>
    </row>
    <row r="1389" spans="2:3" ht="14.25">
      <c r="B1389" s="3"/>
      <c r="C1389" s="4"/>
    </row>
    <row r="1390" spans="2:3" ht="14.25">
      <c r="B1390" s="3"/>
      <c r="C1390" s="4"/>
    </row>
    <row r="1391" spans="2:3" ht="14.25">
      <c r="B1391" s="3"/>
      <c r="C1391" s="4"/>
    </row>
    <row r="1392" spans="2:3" ht="14.25">
      <c r="B1392" s="3"/>
      <c r="C1392" s="4"/>
    </row>
    <row r="1393" spans="2:3" ht="14.25">
      <c r="B1393" s="3"/>
      <c r="C1393" s="4"/>
    </row>
    <row r="1394" spans="2:3" ht="14.25">
      <c r="B1394" s="3"/>
      <c r="C1394" s="4"/>
    </row>
    <row r="1395" spans="2:3" ht="14.25">
      <c r="B1395" s="3"/>
      <c r="C1395" s="4"/>
    </row>
    <row r="1396" spans="2:3" ht="14.25">
      <c r="B1396" s="3"/>
      <c r="C1396" s="4"/>
    </row>
    <row r="1397" spans="2:3" ht="14.25">
      <c r="B1397" s="3"/>
      <c r="C1397" s="4"/>
    </row>
    <row r="1398" spans="2:3" ht="14.25">
      <c r="B1398" s="3"/>
      <c r="C1398" s="4"/>
    </row>
    <row r="1399" spans="2:3" ht="14.25">
      <c r="B1399" s="3"/>
      <c r="C1399" s="4"/>
    </row>
    <row r="1400" spans="2:3" ht="14.25">
      <c r="B1400" s="3"/>
      <c r="C1400" s="4"/>
    </row>
    <row r="1401" spans="2:3" ht="14.25">
      <c r="B1401" s="3"/>
      <c r="C1401" s="4"/>
    </row>
    <row r="1402" spans="2:3" ht="14.25">
      <c r="B1402" s="3"/>
      <c r="C1402" s="4"/>
    </row>
    <row r="1403" spans="2:3" ht="14.25">
      <c r="B1403" s="3"/>
      <c r="C1403" s="4"/>
    </row>
    <row r="1404" spans="2:3" ht="14.25">
      <c r="B1404" s="3"/>
      <c r="C1404" s="4"/>
    </row>
    <row r="1405" spans="2:3" ht="14.25">
      <c r="B1405" s="3"/>
      <c r="C1405" s="4"/>
    </row>
    <row r="1406" spans="2:3" ht="14.25">
      <c r="B1406" s="3"/>
      <c r="C1406" s="4"/>
    </row>
    <row r="1407" spans="2:3" ht="14.25">
      <c r="B1407" s="3"/>
      <c r="C1407" s="4"/>
    </row>
    <row r="1408" spans="2:3" ht="14.25">
      <c r="B1408" s="3"/>
      <c r="C1408" s="4"/>
    </row>
    <row r="1409" spans="2:3" ht="14.25">
      <c r="B1409" s="3"/>
      <c r="C1409" s="4"/>
    </row>
    <row r="1410" spans="2:3" ht="14.25">
      <c r="B1410" s="3"/>
      <c r="C1410" s="4"/>
    </row>
    <row r="1411" spans="2:3" ht="14.25">
      <c r="B1411" s="3"/>
      <c r="C1411" s="4"/>
    </row>
    <row r="1412" spans="2:3" ht="14.25">
      <c r="B1412" s="3"/>
      <c r="C1412" s="4"/>
    </row>
    <row r="1413" spans="2:3" ht="14.25">
      <c r="B1413" s="3"/>
      <c r="C1413" s="4"/>
    </row>
    <row r="1414" spans="2:3" ht="14.25">
      <c r="B1414" s="3"/>
      <c r="C1414" s="4"/>
    </row>
    <row r="1415" spans="2:3" ht="14.25">
      <c r="B1415" s="3"/>
      <c r="C1415" s="4"/>
    </row>
    <row r="1416" spans="2:3" ht="14.25">
      <c r="B1416" s="3"/>
      <c r="C1416" s="4"/>
    </row>
    <row r="1417" spans="2:3" ht="14.25">
      <c r="B1417" s="3"/>
      <c r="C1417" s="4"/>
    </row>
    <row r="1418" spans="2:3" ht="14.25">
      <c r="B1418" s="3"/>
      <c r="C1418" s="4"/>
    </row>
    <row r="1419" spans="2:3" ht="14.25">
      <c r="B1419" s="3"/>
      <c r="C1419" s="4"/>
    </row>
    <row r="1420" spans="2:3" ht="14.25">
      <c r="B1420" s="3"/>
      <c r="C1420" s="4"/>
    </row>
    <row r="1421" spans="2:3" ht="14.25">
      <c r="B1421" s="3"/>
      <c r="C1421" s="4"/>
    </row>
    <row r="1422" spans="2:3" ht="14.25">
      <c r="B1422" s="3"/>
      <c r="C1422" s="4"/>
    </row>
    <row r="1423" spans="2:3" ht="14.25">
      <c r="B1423" s="3"/>
      <c r="C1423" s="4"/>
    </row>
    <row r="1424" spans="2:3" ht="14.25">
      <c r="B1424" s="3"/>
      <c r="C1424" s="4"/>
    </row>
    <row r="1425" spans="2:3" ht="14.25">
      <c r="B1425" s="3"/>
      <c r="C1425" s="4"/>
    </row>
    <row r="1426" spans="2:3" ht="14.25">
      <c r="B1426" s="3"/>
      <c r="C1426" s="4"/>
    </row>
    <row r="1427" spans="2:3" ht="14.25">
      <c r="B1427" s="3"/>
      <c r="C1427" s="4"/>
    </row>
    <row r="1428" spans="2:3" ht="14.25">
      <c r="B1428" s="3"/>
      <c r="C1428" s="4"/>
    </row>
    <row r="1429" spans="2:3" ht="14.25">
      <c r="B1429" s="3"/>
      <c r="C1429" s="4"/>
    </row>
    <row r="1430" spans="2:3" ht="14.25">
      <c r="B1430" s="3"/>
      <c r="C1430" s="4"/>
    </row>
    <row r="1431" spans="2:3" ht="14.25">
      <c r="B1431" s="3"/>
      <c r="C1431" s="4"/>
    </row>
    <row r="1432" spans="2:3" ht="14.25">
      <c r="B1432" s="3"/>
      <c r="C1432" s="4"/>
    </row>
    <row r="1433" spans="2:3" ht="14.25">
      <c r="B1433" s="3"/>
      <c r="C1433" s="4"/>
    </row>
    <row r="1434" spans="2:3" ht="14.25">
      <c r="B1434" s="3"/>
      <c r="C1434" s="4"/>
    </row>
    <row r="1435" spans="2:3" ht="14.25">
      <c r="B1435" s="3"/>
      <c r="C1435" s="4"/>
    </row>
    <row r="1436" spans="2:3" ht="14.25">
      <c r="B1436" s="3"/>
      <c r="C1436" s="4"/>
    </row>
    <row r="1437" spans="2:3" ht="14.25">
      <c r="B1437" s="3"/>
      <c r="C1437" s="4"/>
    </row>
    <row r="1438" spans="2:3" ht="14.25">
      <c r="B1438" s="3"/>
      <c r="C1438" s="4"/>
    </row>
    <row r="1439" spans="2:3" ht="14.25">
      <c r="B1439" s="3"/>
      <c r="C1439" s="4"/>
    </row>
    <row r="1440" spans="2:3" ht="14.25">
      <c r="B1440" s="3"/>
      <c r="C1440" s="4"/>
    </row>
    <row r="1441" spans="2:3" ht="14.25">
      <c r="B1441" s="3"/>
      <c r="C1441" s="4"/>
    </row>
    <row r="1442" spans="2:3" ht="14.25">
      <c r="B1442" s="3"/>
      <c r="C1442" s="4"/>
    </row>
    <row r="1443" spans="2:3" ht="14.25">
      <c r="B1443" s="3"/>
      <c r="C1443" s="4"/>
    </row>
    <row r="1444" spans="2:3" ht="14.25">
      <c r="B1444" s="3"/>
      <c r="C1444" s="4"/>
    </row>
    <row r="1445" spans="2:3" ht="14.25">
      <c r="B1445" s="3"/>
      <c r="C1445" s="4"/>
    </row>
    <row r="1446" spans="2:3" ht="14.25">
      <c r="B1446" s="3"/>
      <c r="C1446" s="4"/>
    </row>
    <row r="1447" spans="2:3" ht="14.25">
      <c r="B1447" s="3"/>
      <c r="C1447" s="4"/>
    </row>
    <row r="1448" spans="2:3" ht="14.25">
      <c r="B1448" s="3"/>
      <c r="C1448" s="4"/>
    </row>
    <row r="1449" spans="2:3" ht="14.25">
      <c r="B1449" s="3"/>
      <c r="C1449" s="4"/>
    </row>
    <row r="1450" spans="2:3" ht="14.25">
      <c r="B1450" s="3"/>
      <c r="C1450" s="4"/>
    </row>
    <row r="1451" spans="2:3" ht="14.25">
      <c r="B1451" s="3"/>
      <c r="C1451" s="4"/>
    </row>
    <row r="1452" spans="2:3" ht="14.25">
      <c r="B1452" s="3"/>
      <c r="C1452" s="4"/>
    </row>
    <row r="1453" spans="2:3" ht="14.25">
      <c r="B1453" s="3"/>
      <c r="C1453" s="4"/>
    </row>
    <row r="1454" spans="2:3" ht="14.25">
      <c r="B1454" s="3"/>
      <c r="C1454" s="4"/>
    </row>
    <row r="1455" spans="2:3" ht="14.25">
      <c r="B1455" s="3"/>
      <c r="C1455" s="4"/>
    </row>
    <row r="1456" spans="2:3" ht="14.25">
      <c r="B1456" s="3"/>
      <c r="C1456" s="4"/>
    </row>
    <row r="1457" spans="2:3" ht="14.25">
      <c r="B1457" s="3"/>
      <c r="C1457" s="4"/>
    </row>
    <row r="1458" spans="2:3" ht="14.25">
      <c r="B1458" s="3"/>
      <c r="C1458" s="4"/>
    </row>
    <row r="1459" spans="2:3" ht="14.25">
      <c r="B1459" s="3"/>
      <c r="C1459" s="4"/>
    </row>
    <row r="1460" spans="2:3" ht="14.25">
      <c r="B1460" s="3"/>
      <c r="C1460" s="4"/>
    </row>
    <row r="1461" spans="2:3" ht="14.25">
      <c r="B1461" s="3"/>
      <c r="C1461" s="4"/>
    </row>
    <row r="1462" spans="2:3" ht="14.25">
      <c r="B1462" s="3"/>
      <c r="C1462" s="4"/>
    </row>
    <row r="1463" spans="2:3" ht="14.25">
      <c r="B1463" s="3"/>
      <c r="C1463" s="4"/>
    </row>
    <row r="1464" spans="2:3" ht="14.25">
      <c r="B1464" s="3"/>
      <c r="C1464" s="4"/>
    </row>
    <row r="1465" spans="2:3" ht="14.25">
      <c r="B1465" s="3"/>
      <c r="C1465" s="4"/>
    </row>
    <row r="1466" spans="2:3" ht="14.25">
      <c r="B1466" s="3"/>
      <c r="C1466" s="4"/>
    </row>
    <row r="1467" spans="2:3" ht="14.25">
      <c r="B1467" s="3"/>
      <c r="C1467" s="4"/>
    </row>
    <row r="1468" spans="2:3" ht="14.25">
      <c r="B1468" s="3"/>
      <c r="C1468" s="4"/>
    </row>
    <row r="1469" spans="2:3" ht="14.25">
      <c r="B1469" s="3"/>
      <c r="C1469" s="4"/>
    </row>
    <row r="1470" spans="2:3" ht="14.25">
      <c r="B1470" s="3"/>
      <c r="C1470" s="4"/>
    </row>
    <row r="1471" spans="2:3" ht="14.25">
      <c r="B1471" s="3"/>
      <c r="C1471" s="4"/>
    </row>
    <row r="1472" spans="2:3" ht="14.25">
      <c r="B1472" s="3"/>
      <c r="C1472" s="4"/>
    </row>
    <row r="1473" spans="2:3" ht="14.25">
      <c r="B1473" s="3"/>
      <c r="C1473" s="4"/>
    </row>
    <row r="1474" spans="2:3" ht="14.25">
      <c r="B1474" s="3"/>
      <c r="C1474" s="4"/>
    </row>
    <row r="1475" spans="2:3" ht="14.25">
      <c r="B1475" s="3"/>
      <c r="C1475" s="4"/>
    </row>
    <row r="1476" spans="2:3" ht="14.25">
      <c r="B1476" s="3"/>
      <c r="C1476" s="4"/>
    </row>
    <row r="1477" spans="2:3" ht="14.25">
      <c r="B1477" s="3"/>
      <c r="C1477" s="4"/>
    </row>
    <row r="1478" spans="2:3" ht="14.25">
      <c r="B1478" s="3"/>
      <c r="C1478" s="4"/>
    </row>
    <row r="1479" spans="2:3" ht="14.25">
      <c r="B1479" s="3"/>
      <c r="C1479" s="4"/>
    </row>
    <row r="1480" spans="2:3" ht="14.25">
      <c r="B1480" s="3"/>
      <c r="C1480" s="4"/>
    </row>
    <row r="1481" spans="2:3" ht="14.25">
      <c r="B1481" s="3"/>
      <c r="C1481" s="4"/>
    </row>
    <row r="1482" spans="2:3" ht="14.25">
      <c r="B1482" s="3"/>
      <c r="C1482" s="4"/>
    </row>
    <row r="1483" spans="2:3" ht="14.25">
      <c r="B1483" s="3"/>
      <c r="C1483" s="4"/>
    </row>
    <row r="1484" spans="2:3" ht="14.25">
      <c r="B1484" s="3"/>
      <c r="C1484" s="4"/>
    </row>
    <row r="1485" spans="2:3" ht="14.25">
      <c r="B1485" s="3"/>
      <c r="C1485" s="4"/>
    </row>
    <row r="1486" spans="2:3" ht="14.25">
      <c r="B1486" s="3"/>
      <c r="C1486" s="4"/>
    </row>
    <row r="1487" spans="2:3" ht="14.25">
      <c r="B1487" s="3"/>
      <c r="C1487" s="4"/>
    </row>
    <row r="1488" spans="2:3" ht="14.25">
      <c r="B1488" s="3"/>
      <c r="C1488" s="4"/>
    </row>
    <row r="1489" spans="2:3" ht="14.25">
      <c r="B1489" s="3"/>
      <c r="C1489" s="4"/>
    </row>
    <row r="1490" spans="2:3" ht="14.25">
      <c r="B1490" s="3"/>
      <c r="C1490" s="4"/>
    </row>
    <row r="1491" spans="2:3" ht="14.25">
      <c r="B1491" s="3"/>
      <c r="C1491" s="4"/>
    </row>
    <row r="1492" spans="2:3" ht="14.25">
      <c r="B1492" s="3"/>
      <c r="C1492" s="4"/>
    </row>
    <row r="1493" spans="2:3" ht="14.25">
      <c r="B1493" s="3"/>
      <c r="C1493" s="4"/>
    </row>
    <row r="1494" spans="2:3" ht="14.25">
      <c r="B1494" s="3"/>
      <c r="C1494" s="4"/>
    </row>
    <row r="1495" spans="2:3" ht="14.25">
      <c r="B1495" s="3"/>
      <c r="C1495" s="4"/>
    </row>
    <row r="1496" spans="2:3" ht="14.25">
      <c r="B1496" s="3"/>
      <c r="C1496" s="4"/>
    </row>
    <row r="1497" spans="2:3" ht="14.25">
      <c r="B1497" s="3"/>
      <c r="C1497" s="4"/>
    </row>
    <row r="1498" spans="2:3" ht="14.25">
      <c r="B1498" s="3"/>
      <c r="C1498" s="4"/>
    </row>
    <row r="1499" spans="2:3" ht="14.25">
      <c r="B1499" s="3"/>
      <c r="C1499" s="4"/>
    </row>
    <row r="1500" spans="2:3" ht="14.25">
      <c r="B1500" s="3"/>
      <c r="C1500" s="4"/>
    </row>
    <row r="1501" spans="2:3" ht="14.25">
      <c r="B1501" s="3"/>
      <c r="C1501" s="4"/>
    </row>
    <row r="1502" spans="2:3" ht="14.25">
      <c r="B1502" s="3"/>
      <c r="C1502" s="4"/>
    </row>
    <row r="1503" spans="2:3" ht="14.25">
      <c r="B1503" s="3"/>
      <c r="C1503" s="4"/>
    </row>
    <row r="1504" spans="2:3" ht="14.25">
      <c r="B1504" s="3"/>
      <c r="C1504" s="4"/>
    </row>
    <row r="1505" spans="2:3" ht="14.25">
      <c r="B1505" s="3"/>
      <c r="C1505" s="4"/>
    </row>
    <row r="1506" spans="2:3" ht="14.25">
      <c r="B1506" s="3"/>
      <c r="C1506" s="4"/>
    </row>
    <row r="1507" spans="2:3" ht="14.25">
      <c r="B1507" s="3"/>
      <c r="C1507" s="4"/>
    </row>
    <row r="1508" spans="2:3" ht="14.25">
      <c r="B1508" s="3"/>
      <c r="C1508" s="4"/>
    </row>
    <row r="1509" spans="2:3" ht="14.25">
      <c r="B1509" s="3"/>
      <c r="C1509" s="4"/>
    </row>
    <row r="1510" spans="2:3" ht="14.25">
      <c r="B1510" s="3"/>
      <c r="C1510" s="4"/>
    </row>
    <row r="1511" spans="2:3" ht="14.25">
      <c r="B1511" s="3"/>
      <c r="C1511" s="4"/>
    </row>
    <row r="1512" spans="2:3" ht="14.25">
      <c r="B1512" s="3"/>
      <c r="C1512" s="4"/>
    </row>
    <row r="1513" spans="2:3" ht="14.25">
      <c r="B1513" s="3"/>
      <c r="C1513" s="4"/>
    </row>
    <row r="1514" spans="2:3" ht="14.25">
      <c r="B1514" s="3"/>
      <c r="C1514" s="4"/>
    </row>
    <row r="1515" spans="2:3" ht="14.25">
      <c r="B1515" s="3"/>
      <c r="C1515" s="4"/>
    </row>
    <row r="1516" spans="2:3" ht="14.25">
      <c r="B1516" s="3"/>
      <c r="C1516" s="4"/>
    </row>
    <row r="1517" spans="2:3" ht="14.25">
      <c r="B1517" s="3"/>
      <c r="C1517" s="4"/>
    </row>
    <row r="1518" spans="2:3" ht="14.25">
      <c r="B1518" s="3"/>
      <c r="C1518" s="4"/>
    </row>
    <row r="1519" spans="2:3" ht="14.25">
      <c r="B1519" s="3"/>
      <c r="C1519" s="4"/>
    </row>
    <row r="1520" spans="2:3" ht="14.25">
      <c r="B1520" s="3"/>
      <c r="C1520" s="4"/>
    </row>
    <row r="1521" spans="2:3" ht="14.25">
      <c r="B1521" s="3"/>
      <c r="C1521" s="4"/>
    </row>
    <row r="1522" spans="2:3" ht="14.25">
      <c r="B1522" s="3"/>
      <c r="C1522" s="4"/>
    </row>
    <row r="1523" spans="2:3" ht="14.25">
      <c r="B1523" s="3"/>
      <c r="C1523" s="4"/>
    </row>
    <row r="1524" spans="2:3" ht="14.25">
      <c r="B1524" s="3"/>
      <c r="C1524" s="4"/>
    </row>
    <row r="1525" spans="2:3" ht="14.25">
      <c r="B1525" s="3"/>
      <c r="C1525" s="4"/>
    </row>
    <row r="1526" spans="2:3" ht="14.25">
      <c r="B1526" s="3"/>
      <c r="C1526" s="4"/>
    </row>
    <row r="1527" spans="2:3" ht="14.25">
      <c r="B1527" s="3"/>
      <c r="C1527" s="4"/>
    </row>
    <row r="1528" spans="2:3" ht="14.25">
      <c r="B1528" s="3"/>
      <c r="C1528" s="4"/>
    </row>
    <row r="1529" spans="2:3" ht="14.25">
      <c r="B1529" s="3"/>
      <c r="C1529" s="4"/>
    </row>
    <row r="1530" spans="2:3" ht="14.25">
      <c r="B1530" s="3"/>
      <c r="C1530" s="4"/>
    </row>
    <row r="1531" spans="2:3" ht="14.25">
      <c r="B1531" s="3"/>
      <c r="C1531" s="4"/>
    </row>
    <row r="1532" spans="2:3" ht="14.25">
      <c r="B1532" s="3"/>
      <c r="C1532" s="4"/>
    </row>
    <row r="1533" spans="2:3" ht="14.25">
      <c r="B1533" s="3"/>
      <c r="C1533" s="4"/>
    </row>
    <row r="1534" spans="2:3" ht="14.25">
      <c r="B1534" s="3"/>
      <c r="C1534" s="4"/>
    </row>
    <row r="1535" spans="2:3" ht="14.25">
      <c r="B1535" s="3"/>
      <c r="C1535" s="4"/>
    </row>
    <row r="1536" spans="2:3" ht="14.25">
      <c r="B1536" s="3"/>
      <c r="C1536" s="4"/>
    </row>
    <row r="1537" spans="2:3" ht="14.25">
      <c r="B1537" s="3"/>
      <c r="C1537" s="4"/>
    </row>
    <row r="1538" spans="2:3" ht="14.25">
      <c r="B1538" s="3"/>
      <c r="C1538" s="4"/>
    </row>
    <row r="1539" spans="2:3" ht="14.25">
      <c r="B1539" s="3"/>
      <c r="C1539" s="4"/>
    </row>
    <row r="1540" spans="2:3" ht="14.25">
      <c r="B1540" s="3"/>
      <c r="C1540" s="4"/>
    </row>
    <row r="1541" spans="2:3" ht="14.25">
      <c r="B1541" s="3"/>
      <c r="C1541" s="4"/>
    </row>
    <row r="1542" spans="2:3" ht="14.25">
      <c r="B1542" s="3"/>
      <c r="C1542" s="4"/>
    </row>
    <row r="1543" spans="2:3" ht="14.25">
      <c r="B1543" s="3"/>
      <c r="C1543" s="4"/>
    </row>
    <row r="1544" spans="2:3" ht="14.25">
      <c r="B1544" s="3"/>
      <c r="C1544" s="4"/>
    </row>
    <row r="1545" spans="2:3" ht="14.25">
      <c r="B1545" s="3"/>
      <c r="C1545" s="4"/>
    </row>
    <row r="1546" spans="2:3" ht="14.25">
      <c r="B1546" s="3"/>
      <c r="C1546" s="4"/>
    </row>
    <row r="1547" spans="2:3" ht="14.25">
      <c r="B1547" s="3"/>
      <c r="C1547" s="4"/>
    </row>
    <row r="1548" spans="2:3" ht="14.25">
      <c r="B1548" s="3"/>
      <c r="C1548" s="4"/>
    </row>
    <row r="1549" spans="2:3" ht="14.25">
      <c r="B1549" s="3"/>
      <c r="C1549" s="4"/>
    </row>
    <row r="1550" spans="2:3" ht="14.25">
      <c r="B1550" s="3"/>
      <c r="C1550" s="4"/>
    </row>
    <row r="1551" spans="2:3" ht="14.25">
      <c r="B1551" s="3"/>
      <c r="C1551" s="4"/>
    </row>
    <row r="1552" spans="2:3" ht="14.25">
      <c r="B1552" s="3"/>
      <c r="C1552" s="4"/>
    </row>
    <row r="1553" spans="2:3" ht="14.25">
      <c r="B1553" s="3"/>
      <c r="C1553" s="4"/>
    </row>
    <row r="1554" spans="2:3" ht="14.25">
      <c r="B1554" s="3"/>
      <c r="C1554" s="4"/>
    </row>
    <row r="1555" spans="2:3" ht="14.25">
      <c r="B1555" s="3"/>
      <c r="C1555" s="4"/>
    </row>
    <row r="1556" spans="2:3" ht="14.25">
      <c r="B1556" s="3"/>
      <c r="C1556" s="4"/>
    </row>
    <row r="1557" spans="2:3" ht="14.25">
      <c r="B1557" s="3"/>
      <c r="C1557" s="4"/>
    </row>
    <row r="1558" spans="2:3" ht="14.25">
      <c r="B1558" s="3"/>
      <c r="C1558" s="4"/>
    </row>
    <row r="1559" spans="2:3" ht="14.25">
      <c r="B1559" s="3"/>
      <c r="C1559" s="4"/>
    </row>
    <row r="1560" spans="2:3" ht="14.25">
      <c r="B1560" s="3"/>
      <c r="C1560" s="4"/>
    </row>
    <row r="1561" spans="2:3" ht="14.25">
      <c r="B1561" s="3"/>
      <c r="C1561" s="4"/>
    </row>
    <row r="1562" spans="2:3" ht="14.25">
      <c r="B1562" s="3"/>
      <c r="C1562" s="4"/>
    </row>
    <row r="1563" spans="2:3" ht="14.25">
      <c r="B1563" s="3"/>
      <c r="C1563" s="4"/>
    </row>
    <row r="1564" spans="2:3" ht="14.25">
      <c r="B1564" s="3"/>
      <c r="C1564" s="4"/>
    </row>
    <row r="1565" spans="2:3" ht="14.25">
      <c r="B1565" s="3"/>
      <c r="C1565" s="4"/>
    </row>
    <row r="1566" spans="2:3" ht="14.25">
      <c r="B1566" s="3"/>
      <c r="C1566" s="4"/>
    </row>
    <row r="1567" spans="2:3" ht="14.25">
      <c r="B1567" s="3"/>
      <c r="C1567" s="4"/>
    </row>
    <row r="1568" spans="2:3" ht="14.25">
      <c r="B1568" s="3"/>
      <c r="C1568" s="4"/>
    </row>
    <row r="1569" spans="2:3" ht="14.25">
      <c r="B1569" s="3"/>
      <c r="C1569" s="4"/>
    </row>
    <row r="1570" spans="2:3" ht="14.25">
      <c r="B1570" s="3"/>
      <c r="C1570" s="4"/>
    </row>
    <row r="1571" spans="2:3" ht="14.25">
      <c r="B1571" s="3"/>
      <c r="C1571" s="4"/>
    </row>
    <row r="1572" spans="2:3" ht="14.25">
      <c r="B1572" s="3"/>
      <c r="C1572" s="4"/>
    </row>
    <row r="1573" spans="2:3" ht="14.25">
      <c r="B1573" s="3"/>
      <c r="C1573" s="4"/>
    </row>
    <row r="1574" spans="2:3" ht="14.25">
      <c r="B1574" s="3"/>
      <c r="C1574" s="4"/>
    </row>
    <row r="1575" spans="2:3" ht="14.25">
      <c r="B1575" s="3"/>
      <c r="C1575" s="4"/>
    </row>
    <row r="1576" spans="2:3" ht="14.25">
      <c r="B1576" s="3"/>
      <c r="C1576" s="4"/>
    </row>
    <row r="1577" spans="2:3" ht="14.25">
      <c r="B1577" s="3"/>
      <c r="C1577" s="4"/>
    </row>
    <row r="1578" spans="2:3" ht="14.25">
      <c r="B1578" s="3"/>
      <c r="C1578" s="4"/>
    </row>
    <row r="1579" spans="2:3" ht="14.25">
      <c r="B1579" s="3"/>
      <c r="C1579" s="4"/>
    </row>
    <row r="1580" spans="2:3" ht="14.25">
      <c r="B1580" s="3"/>
      <c r="C1580" s="4"/>
    </row>
    <row r="1581" spans="2:3" ht="14.25">
      <c r="B1581" s="3"/>
      <c r="C1581" s="4"/>
    </row>
    <row r="1582" spans="2:3" ht="14.25">
      <c r="B1582" s="3"/>
      <c r="C1582" s="4"/>
    </row>
    <row r="1583" spans="2:3" ht="14.25">
      <c r="B1583" s="3"/>
      <c r="C1583" s="4"/>
    </row>
    <row r="1584" spans="2:3" ht="14.25">
      <c r="B1584" s="3"/>
      <c r="C1584" s="4"/>
    </row>
    <row r="1585" spans="2:3" ht="14.25">
      <c r="B1585" s="3"/>
      <c r="C1585" s="4"/>
    </row>
    <row r="1586" spans="2:3" ht="14.25">
      <c r="B1586" s="3"/>
      <c r="C1586" s="4"/>
    </row>
    <row r="1587" spans="2:3" ht="14.25">
      <c r="B1587" s="3"/>
      <c r="C1587" s="4"/>
    </row>
    <row r="1588" spans="2:3" ht="14.25">
      <c r="B1588" s="3"/>
      <c r="C1588" s="4"/>
    </row>
    <row r="1589" spans="2:3" ht="14.25">
      <c r="B1589" s="3"/>
      <c r="C1589" s="4"/>
    </row>
    <row r="1590" spans="2:3" ht="14.25">
      <c r="B1590" s="3"/>
      <c r="C1590" s="4"/>
    </row>
    <row r="1591" spans="2:3" ht="14.25">
      <c r="B1591" s="3"/>
      <c r="C1591" s="4"/>
    </row>
    <row r="1592" spans="2:3" ht="14.25">
      <c r="B1592" s="3"/>
      <c r="C1592" s="4"/>
    </row>
    <row r="1593" spans="2:3" ht="14.25">
      <c r="B1593" s="3"/>
      <c r="C1593" s="4"/>
    </row>
    <row r="1594" spans="2:3" ht="14.25">
      <c r="B1594" s="3"/>
      <c r="C1594" s="4"/>
    </row>
    <row r="1595" spans="2:3" ht="14.25">
      <c r="B1595" s="3"/>
      <c r="C1595" s="4"/>
    </row>
    <row r="1596" spans="2:3" ht="14.25">
      <c r="B1596" s="3"/>
      <c r="C1596" s="4"/>
    </row>
    <row r="1597" spans="2:3" ht="14.25">
      <c r="B1597" s="3"/>
      <c r="C1597" s="4"/>
    </row>
    <row r="1598" spans="2:3" ht="14.25">
      <c r="B1598" s="3"/>
      <c r="C1598" s="4"/>
    </row>
    <row r="1599" spans="2:3" ht="14.25">
      <c r="B1599" s="3"/>
      <c r="C1599" s="4"/>
    </row>
    <row r="1600" spans="2:3" ht="14.25">
      <c r="B1600" s="3"/>
      <c r="C1600" s="4"/>
    </row>
    <row r="1601" spans="2:3" ht="14.25">
      <c r="B1601" s="3"/>
      <c r="C1601" s="4"/>
    </row>
    <row r="1602" spans="2:3" ht="14.25">
      <c r="B1602" s="3"/>
      <c r="C1602" s="4"/>
    </row>
    <row r="1603" spans="2:3" ht="14.25">
      <c r="B1603" s="3"/>
      <c r="C1603" s="4"/>
    </row>
    <row r="1604" spans="2:3" ht="14.25">
      <c r="B1604" s="3"/>
      <c r="C1604" s="4"/>
    </row>
    <row r="1605" spans="2:3" ht="14.25">
      <c r="B1605" s="3"/>
      <c r="C1605" s="4"/>
    </row>
    <row r="1606" spans="2:3" ht="14.25">
      <c r="B1606" s="3"/>
      <c r="C1606" s="4"/>
    </row>
    <row r="1607" spans="2:3" ht="14.25">
      <c r="B1607" s="3"/>
      <c r="C1607" s="4"/>
    </row>
    <row r="1608" spans="2:3" ht="14.25">
      <c r="B1608" s="3"/>
      <c r="C1608" s="4"/>
    </row>
    <row r="1609" spans="2:3" ht="14.25">
      <c r="B1609" s="3"/>
      <c r="C1609" s="4"/>
    </row>
    <row r="1610" spans="2:3" ht="14.25">
      <c r="B1610" s="3"/>
      <c r="C1610" s="4"/>
    </row>
    <row r="1611" spans="2:3" ht="14.25">
      <c r="B1611" s="3"/>
      <c r="C1611" s="4"/>
    </row>
    <row r="1612" spans="2:3" ht="14.25">
      <c r="B1612" s="3"/>
      <c r="C1612" s="4"/>
    </row>
    <row r="1613" spans="2:3" ht="14.25">
      <c r="B1613" s="3"/>
      <c r="C1613" s="4"/>
    </row>
    <row r="1614" spans="2:3" ht="14.25">
      <c r="B1614" s="3"/>
      <c r="C1614" s="4"/>
    </row>
    <row r="1615" spans="2:3" ht="14.25">
      <c r="B1615" s="3"/>
      <c r="C1615" s="4"/>
    </row>
    <row r="1616" spans="2:3" ht="14.25">
      <c r="B1616" s="3"/>
      <c r="C1616" s="4"/>
    </row>
    <row r="1617" spans="2:3" ht="14.25">
      <c r="B1617" s="3"/>
      <c r="C1617" s="4"/>
    </row>
    <row r="1618" spans="2:3" ht="14.25">
      <c r="B1618" s="3"/>
      <c r="C1618" s="4"/>
    </row>
    <row r="1619" spans="2:3" ht="14.25">
      <c r="B1619" s="3"/>
      <c r="C1619" s="4"/>
    </row>
    <row r="1620" spans="2:3" ht="14.25">
      <c r="B1620" s="3"/>
      <c r="C1620" s="4"/>
    </row>
    <row r="1621" spans="2:3" ht="14.25">
      <c r="B1621" s="3"/>
      <c r="C1621" s="4"/>
    </row>
    <row r="1622" spans="2:3" ht="14.25">
      <c r="B1622" s="3"/>
      <c r="C1622" s="4"/>
    </row>
    <row r="1623" spans="2:3" ht="14.25">
      <c r="B1623" s="3"/>
      <c r="C1623" s="4"/>
    </row>
    <row r="1624" spans="2:3" ht="14.25">
      <c r="B1624" s="3"/>
      <c r="C1624" s="4"/>
    </row>
    <row r="1625" spans="2:3" ht="14.25">
      <c r="B1625" s="3"/>
      <c r="C1625" s="4"/>
    </row>
    <row r="1626" spans="2:3" ht="14.25">
      <c r="B1626" s="3"/>
      <c r="C1626" s="4"/>
    </row>
    <row r="1627" spans="2:3" ht="14.25">
      <c r="B1627" s="3"/>
      <c r="C1627" s="4"/>
    </row>
    <row r="1628" spans="2:3" ht="14.25">
      <c r="B1628" s="3"/>
      <c r="C1628" s="4"/>
    </row>
    <row r="1629" spans="2:3" ht="14.25">
      <c r="B1629" s="3"/>
      <c r="C1629" s="4"/>
    </row>
    <row r="1630" spans="2:3" ht="14.25">
      <c r="B1630" s="3"/>
      <c r="C1630" s="4"/>
    </row>
    <row r="1631" spans="2:3" ht="14.25">
      <c r="B1631" s="3"/>
      <c r="C1631" s="4"/>
    </row>
    <row r="1632" spans="2:3" ht="14.25">
      <c r="B1632" s="3"/>
      <c r="C1632" s="4"/>
    </row>
    <row r="1633" spans="2:3" ht="14.25">
      <c r="B1633" s="3"/>
      <c r="C1633" s="4"/>
    </row>
    <row r="1634" spans="2:3" ht="14.25">
      <c r="B1634" s="3"/>
      <c r="C1634" s="4"/>
    </row>
    <row r="1635" spans="2:3" ht="14.25">
      <c r="B1635" s="3"/>
      <c r="C1635" s="4"/>
    </row>
    <row r="1636" spans="2:3" ht="14.25">
      <c r="B1636" s="3"/>
      <c r="C1636" s="4"/>
    </row>
    <row r="1637" spans="2:3" ht="14.25">
      <c r="B1637" s="3"/>
      <c r="C1637" s="4"/>
    </row>
    <row r="1638" spans="2:3" ht="14.25">
      <c r="B1638" s="3"/>
      <c r="C1638" s="4"/>
    </row>
    <row r="1639" spans="2:3" ht="14.25">
      <c r="B1639" s="3"/>
      <c r="C1639" s="4"/>
    </row>
    <row r="1640" spans="2:3" ht="14.25">
      <c r="B1640" s="3"/>
      <c r="C1640" s="4"/>
    </row>
    <row r="1641" spans="2:3" ht="14.25">
      <c r="B1641" s="3"/>
      <c r="C1641" s="4"/>
    </row>
    <row r="1642" spans="2:3" ht="14.25">
      <c r="B1642" s="3"/>
      <c r="C1642" s="4"/>
    </row>
    <row r="1643" spans="2:3" ht="14.25">
      <c r="B1643" s="3"/>
      <c r="C1643" s="4"/>
    </row>
    <row r="1644" spans="2:3" ht="14.25">
      <c r="B1644" s="3"/>
      <c r="C1644" s="4"/>
    </row>
    <row r="1645" spans="2:3" ht="14.25">
      <c r="B1645" s="3"/>
      <c r="C1645" s="4"/>
    </row>
    <row r="1646" spans="2:3" ht="14.25">
      <c r="B1646" s="3"/>
      <c r="C1646" s="4"/>
    </row>
    <row r="1647" spans="2:3" ht="14.25">
      <c r="B1647" s="3"/>
      <c r="C1647" s="4"/>
    </row>
    <row r="1648" spans="2:3" ht="14.25">
      <c r="B1648" s="3"/>
      <c r="C1648" s="4"/>
    </row>
    <row r="1649" spans="2:3" ht="14.25">
      <c r="B1649" s="3"/>
      <c r="C1649" s="4"/>
    </row>
    <row r="1650" spans="2:3" ht="14.25">
      <c r="B1650" s="3"/>
      <c r="C1650" s="4"/>
    </row>
    <row r="1651" spans="2:3" ht="14.25">
      <c r="B1651" s="3"/>
      <c r="C1651" s="4"/>
    </row>
    <row r="1652" spans="2:3" ht="14.25">
      <c r="B1652" s="3"/>
      <c r="C1652" s="4"/>
    </row>
    <row r="1653" spans="2:3" ht="14.25">
      <c r="B1653" s="3"/>
      <c r="C1653" s="4"/>
    </row>
    <row r="1654" spans="2:3" ht="14.25">
      <c r="B1654" s="3"/>
      <c r="C1654" s="4"/>
    </row>
    <row r="1655" spans="2:3" ht="14.25">
      <c r="B1655" s="3"/>
      <c r="C1655" s="4"/>
    </row>
    <row r="1656" spans="2:3" ht="14.25">
      <c r="B1656" s="3"/>
      <c r="C1656" s="4"/>
    </row>
    <row r="1657" spans="2:3" ht="14.25">
      <c r="B1657" s="3"/>
      <c r="C1657" s="4"/>
    </row>
    <row r="1658" spans="2:3" ht="14.25">
      <c r="B1658" s="3"/>
      <c r="C1658" s="4"/>
    </row>
    <row r="1659" spans="2:3" ht="14.25">
      <c r="B1659" s="3"/>
      <c r="C1659" s="4"/>
    </row>
    <row r="1660" spans="2:3" ht="14.25">
      <c r="B1660" s="3"/>
      <c r="C1660" s="4"/>
    </row>
    <row r="1661" spans="2:3" ht="14.25">
      <c r="B1661" s="3"/>
      <c r="C1661" s="4"/>
    </row>
    <row r="1662" spans="2:3" ht="14.25">
      <c r="B1662" s="3"/>
      <c r="C1662" s="4"/>
    </row>
    <row r="1663" spans="2:3" ht="14.25">
      <c r="B1663" s="3"/>
      <c r="C1663" s="4"/>
    </row>
    <row r="1664" spans="2:3" ht="14.25">
      <c r="B1664" s="3"/>
      <c r="C1664" s="4"/>
    </row>
    <row r="1665" spans="2:3" ht="14.25">
      <c r="B1665" s="3"/>
      <c r="C1665" s="4"/>
    </row>
    <row r="1666" spans="2:3" ht="14.25">
      <c r="B1666" s="3"/>
      <c r="C1666" s="4"/>
    </row>
    <row r="1667" spans="2:3" ht="14.25">
      <c r="B1667" s="3"/>
      <c r="C1667" s="4"/>
    </row>
    <row r="1668" spans="2:3" ht="14.25">
      <c r="B1668" s="3"/>
      <c r="C1668" s="4"/>
    </row>
    <row r="1669" spans="2:3" ht="14.25">
      <c r="B1669" s="3"/>
      <c r="C1669" s="4"/>
    </row>
    <row r="1670" spans="2:3" ht="14.25">
      <c r="B1670" s="3"/>
      <c r="C1670" s="4"/>
    </row>
    <row r="1671" spans="2:3" ht="14.25">
      <c r="B1671" s="3"/>
      <c r="C1671" s="4"/>
    </row>
    <row r="1672" spans="2:3" ht="14.25">
      <c r="B1672" s="3"/>
      <c r="C1672" s="4"/>
    </row>
    <row r="1673" spans="2:3" ht="14.25">
      <c r="B1673" s="3"/>
      <c r="C1673" s="4"/>
    </row>
    <row r="1674" spans="2:3" ht="14.25">
      <c r="B1674" s="3"/>
      <c r="C1674" s="4"/>
    </row>
    <row r="1675" spans="2:3" ht="14.25">
      <c r="B1675" s="3"/>
      <c r="C1675" s="4"/>
    </row>
    <row r="1676" spans="2:3" ht="14.25">
      <c r="B1676" s="3"/>
      <c r="C1676" s="4"/>
    </row>
    <row r="1677" spans="2:3" ht="14.25">
      <c r="B1677" s="3"/>
      <c r="C1677" s="4"/>
    </row>
    <row r="1678" spans="2:3" ht="14.25">
      <c r="B1678" s="3"/>
      <c r="C1678" s="4"/>
    </row>
    <row r="1679" spans="2:3" ht="14.25">
      <c r="B1679" s="3"/>
      <c r="C1679" s="4"/>
    </row>
    <row r="1680" spans="2:3" ht="14.25">
      <c r="B1680" s="3"/>
      <c r="C1680" s="4"/>
    </row>
    <row r="1681" spans="2:3" ht="14.25">
      <c r="B1681" s="3"/>
      <c r="C1681" s="4"/>
    </row>
    <row r="1682" spans="2:3" ht="14.25">
      <c r="B1682" s="3"/>
      <c r="C1682" s="4"/>
    </row>
    <row r="1683" spans="2:3" ht="14.25">
      <c r="B1683" s="3"/>
      <c r="C1683" s="4"/>
    </row>
    <row r="1684" spans="2:3" ht="14.25">
      <c r="B1684" s="3"/>
      <c r="C1684" s="4"/>
    </row>
    <row r="1685" spans="2:3" ht="14.25">
      <c r="B1685" s="3"/>
      <c r="C1685" s="4"/>
    </row>
    <row r="1686" spans="2:3" ht="14.25">
      <c r="B1686" s="3"/>
      <c r="C1686" s="4"/>
    </row>
    <row r="1687" spans="2:3" ht="14.25">
      <c r="B1687" s="3"/>
      <c r="C1687" s="4"/>
    </row>
    <row r="1688" spans="2:3" ht="14.25">
      <c r="B1688" s="3"/>
      <c r="C1688" s="4"/>
    </row>
    <row r="1689" spans="2:3" ht="14.25">
      <c r="B1689" s="3"/>
      <c r="C1689" s="4"/>
    </row>
    <row r="1690" spans="2:3" ht="14.25">
      <c r="B1690" s="3"/>
      <c r="C1690" s="4"/>
    </row>
    <row r="1691" spans="2:3" ht="14.25">
      <c r="B1691" s="3"/>
      <c r="C1691" s="4"/>
    </row>
    <row r="1692" spans="2:3" ht="14.25">
      <c r="B1692" s="3"/>
      <c r="C1692" s="4"/>
    </row>
    <row r="1693" spans="2:3" ht="14.25">
      <c r="B1693" s="3"/>
      <c r="C1693" s="4"/>
    </row>
    <row r="1694" spans="2:3" ht="14.25">
      <c r="B1694" s="3"/>
      <c r="C1694" s="4"/>
    </row>
    <row r="1695" spans="2:3" ht="14.25">
      <c r="B1695" s="3"/>
      <c r="C1695" s="4"/>
    </row>
    <row r="1696" spans="2:3" ht="14.25">
      <c r="B1696" s="3"/>
      <c r="C1696" s="4"/>
    </row>
    <row r="1697" spans="2:3" ht="14.25">
      <c r="B1697" s="3"/>
      <c r="C1697" s="4"/>
    </row>
    <row r="1698" spans="2:3" ht="14.25">
      <c r="B1698" s="3"/>
      <c r="C1698" s="4"/>
    </row>
    <row r="1699" spans="2:3" ht="14.25">
      <c r="B1699" s="3"/>
      <c r="C1699" s="4"/>
    </row>
    <row r="1700" spans="2:3" ht="14.25">
      <c r="B1700" s="3"/>
      <c r="C1700" s="4"/>
    </row>
    <row r="1701" spans="2:3" ht="14.25">
      <c r="B1701" s="3"/>
      <c r="C1701" s="4"/>
    </row>
    <row r="1702" spans="2:3" ht="14.25">
      <c r="B1702" s="3"/>
      <c r="C1702" s="4"/>
    </row>
    <row r="1703" spans="2:3" ht="14.25">
      <c r="B1703" s="3"/>
      <c r="C1703" s="4"/>
    </row>
    <row r="1704" spans="2:3" ht="14.25">
      <c r="B1704" s="3"/>
      <c r="C1704" s="4"/>
    </row>
    <row r="1705" spans="2:3" ht="14.25">
      <c r="B1705" s="3"/>
      <c r="C1705" s="4"/>
    </row>
    <row r="1706" spans="2:3" ht="14.25">
      <c r="B1706" s="3"/>
      <c r="C1706" s="4"/>
    </row>
    <row r="1707" spans="2:3" ht="14.25">
      <c r="B1707" s="3"/>
      <c r="C1707" s="4"/>
    </row>
    <row r="1708" spans="2:3" ht="14.25">
      <c r="B1708" s="3"/>
      <c r="C1708" s="4"/>
    </row>
    <row r="1709" spans="2:3" ht="14.25">
      <c r="B1709" s="3"/>
      <c r="C1709" s="4"/>
    </row>
    <row r="1710" spans="2:3" ht="14.25">
      <c r="B1710" s="3"/>
      <c r="C1710" s="4"/>
    </row>
    <row r="1711" spans="2:3" ht="14.25">
      <c r="B1711" s="3"/>
      <c r="C1711" s="4"/>
    </row>
    <row r="1712" spans="2:3" ht="14.25">
      <c r="B1712" s="3"/>
      <c r="C1712" s="4"/>
    </row>
    <row r="1713" spans="2:3" ht="14.25">
      <c r="B1713" s="3"/>
      <c r="C1713" s="4"/>
    </row>
    <row r="1714" spans="2:3" ht="14.25">
      <c r="B1714" s="3"/>
      <c r="C1714" s="4"/>
    </row>
    <row r="1715" spans="2:3" ht="14.25">
      <c r="B1715" s="3"/>
      <c r="C1715" s="4"/>
    </row>
    <row r="1716" spans="2:3" ht="14.25">
      <c r="B1716" s="3"/>
      <c r="C1716" s="4"/>
    </row>
    <row r="1717" spans="2:3" ht="14.25">
      <c r="B1717" s="3"/>
      <c r="C1717" s="4"/>
    </row>
    <row r="1718" spans="2:3" ht="14.25">
      <c r="B1718" s="3"/>
      <c r="C1718" s="4"/>
    </row>
    <row r="1719" spans="2:3" ht="14.25">
      <c r="B1719" s="3"/>
      <c r="C1719" s="4"/>
    </row>
    <row r="1720" spans="2:3" ht="14.25">
      <c r="B1720" s="3"/>
      <c r="C1720" s="4"/>
    </row>
    <row r="1721" spans="2:3" ht="14.25">
      <c r="B1721" s="3"/>
      <c r="C1721" s="4"/>
    </row>
    <row r="1722" spans="2:3" ht="14.25">
      <c r="B1722" s="3"/>
      <c r="C1722" s="4"/>
    </row>
    <row r="1723" spans="2:3" ht="14.25">
      <c r="B1723" s="3"/>
      <c r="C1723" s="4"/>
    </row>
    <row r="1724" spans="2:3" ht="14.25">
      <c r="B1724" s="3"/>
      <c r="C1724" s="4"/>
    </row>
    <row r="1725" spans="2:3" ht="14.25">
      <c r="B1725" s="3"/>
      <c r="C1725" s="4"/>
    </row>
    <row r="1726" spans="2:3" ht="14.25">
      <c r="B1726" s="3"/>
      <c r="C1726" s="4"/>
    </row>
    <row r="1727" spans="2:3" ht="14.25">
      <c r="B1727" s="3"/>
      <c r="C1727" s="4"/>
    </row>
    <row r="1728" spans="2:3" ht="14.25">
      <c r="B1728" s="3"/>
      <c r="C1728" s="4"/>
    </row>
    <row r="1729" spans="2:3" ht="14.25">
      <c r="B1729" s="3"/>
      <c r="C1729" s="4"/>
    </row>
    <row r="1730" spans="2:3" ht="14.25">
      <c r="B1730" s="3"/>
      <c r="C1730" s="4"/>
    </row>
    <row r="1731" spans="2:3" ht="14.25">
      <c r="B1731" s="3"/>
      <c r="C1731" s="4"/>
    </row>
    <row r="1732" spans="2:3" ht="14.25">
      <c r="B1732" s="3"/>
      <c r="C1732" s="4"/>
    </row>
    <row r="1733" spans="2:3" ht="14.25">
      <c r="B1733" s="3"/>
      <c r="C1733" s="4"/>
    </row>
    <row r="1734" spans="2:3" ht="14.25">
      <c r="B1734" s="3"/>
      <c r="C1734" s="4"/>
    </row>
    <row r="1735" spans="2:3" ht="14.25">
      <c r="B1735" s="3"/>
      <c r="C1735" s="4"/>
    </row>
    <row r="1736" spans="2:3" ht="14.25">
      <c r="B1736" s="3"/>
      <c r="C1736" s="4"/>
    </row>
    <row r="1737" spans="2:3" ht="14.25">
      <c r="B1737" s="3"/>
      <c r="C1737" s="4"/>
    </row>
    <row r="1738" spans="2:3" ht="14.25">
      <c r="B1738" s="3"/>
      <c r="C1738" s="4"/>
    </row>
    <row r="1739" spans="2:3" ht="14.25">
      <c r="B1739" s="3"/>
      <c r="C1739" s="4"/>
    </row>
    <row r="1740" spans="2:3" ht="14.25">
      <c r="B1740" s="3"/>
      <c r="C1740" s="4"/>
    </row>
    <row r="1741" spans="2:3" ht="14.25">
      <c r="B1741" s="3"/>
      <c r="C1741" s="4"/>
    </row>
    <row r="1742" spans="2:3" ht="14.25">
      <c r="B1742" s="3"/>
      <c r="C1742" s="4"/>
    </row>
    <row r="1743" spans="2:3" ht="14.25">
      <c r="B1743" s="3"/>
      <c r="C1743" s="4"/>
    </row>
    <row r="1744" spans="2:3" ht="14.25">
      <c r="B1744" s="3"/>
      <c r="C1744" s="4"/>
    </row>
    <row r="1745" spans="2:3" ht="14.25">
      <c r="B1745" s="3"/>
      <c r="C1745" s="4"/>
    </row>
    <row r="1746" spans="2:3" ht="14.25">
      <c r="B1746" s="3"/>
      <c r="C1746" s="4"/>
    </row>
    <row r="1747" spans="2:3" ht="14.25">
      <c r="B1747" s="3"/>
      <c r="C1747" s="4"/>
    </row>
    <row r="1748" spans="2:3" ht="14.25">
      <c r="B1748" s="3"/>
      <c r="C1748" s="4"/>
    </row>
    <row r="1749" spans="2:3" ht="14.25">
      <c r="B1749" s="3"/>
      <c r="C1749" s="4"/>
    </row>
    <row r="1750" spans="2:3" ht="14.25">
      <c r="B1750" s="3"/>
      <c r="C1750" s="4"/>
    </row>
    <row r="1751" spans="2:3" ht="14.25">
      <c r="B1751" s="3"/>
      <c r="C1751" s="4"/>
    </row>
    <row r="1752" spans="2:3" ht="14.25">
      <c r="B1752" s="3"/>
      <c r="C1752" s="4"/>
    </row>
    <row r="1753" spans="2:3" ht="14.25">
      <c r="B1753" s="3"/>
      <c r="C1753" s="4"/>
    </row>
    <row r="1754" spans="2:3" ht="14.25">
      <c r="B1754" s="3"/>
      <c r="C1754" s="4"/>
    </row>
    <row r="1755" spans="2:3" ht="14.25">
      <c r="B1755" s="3"/>
      <c r="C1755" s="4"/>
    </row>
    <row r="1756" spans="2:3" ht="14.25">
      <c r="B1756" s="3"/>
      <c r="C1756" s="4"/>
    </row>
    <row r="1757" spans="2:3" ht="14.25">
      <c r="B1757" s="3"/>
      <c r="C1757" s="4"/>
    </row>
    <row r="1758" spans="2:3" ht="14.25">
      <c r="B1758" s="3"/>
      <c r="C1758" s="4"/>
    </row>
    <row r="1759" spans="2:3" ht="14.25">
      <c r="B1759" s="3"/>
      <c r="C1759" s="4"/>
    </row>
    <row r="1760" spans="2:3" ht="14.25">
      <c r="B1760" s="3"/>
      <c r="C1760" s="4"/>
    </row>
    <row r="1761" spans="2:3" ht="14.25">
      <c r="B1761" s="3"/>
      <c r="C1761" s="4"/>
    </row>
    <row r="1762" spans="2:3" ht="14.25">
      <c r="B1762" s="3"/>
      <c r="C1762" s="4"/>
    </row>
    <row r="1763" spans="2:3" ht="14.25">
      <c r="B1763" s="3"/>
      <c r="C1763" s="4"/>
    </row>
    <row r="1764" spans="2:3" ht="14.25">
      <c r="B1764" s="3"/>
      <c r="C1764" s="4"/>
    </row>
    <row r="1765" spans="2:3" ht="14.25">
      <c r="B1765" s="3"/>
      <c r="C1765" s="4"/>
    </row>
    <row r="1766" spans="2:3" ht="14.25">
      <c r="B1766" s="3"/>
      <c r="C1766" s="4"/>
    </row>
    <row r="1767" spans="2:3" ht="14.25">
      <c r="B1767" s="3"/>
      <c r="C1767" s="4"/>
    </row>
    <row r="1768" spans="2:3" ht="14.25">
      <c r="B1768" s="3"/>
      <c r="C1768" s="4"/>
    </row>
    <row r="1769" spans="2:3" ht="14.25">
      <c r="B1769" s="3"/>
      <c r="C1769" s="4"/>
    </row>
    <row r="1770" spans="2:3" ht="14.25">
      <c r="B1770" s="3"/>
      <c r="C1770" s="4"/>
    </row>
    <row r="1771" spans="2:3" ht="14.25">
      <c r="B1771" s="3"/>
      <c r="C1771" s="4"/>
    </row>
    <row r="1772" spans="2:3" ht="14.25">
      <c r="B1772" s="3"/>
      <c r="C1772" s="4"/>
    </row>
    <row r="1773" spans="2:3" ht="14.25">
      <c r="B1773" s="3"/>
      <c r="C1773" s="4"/>
    </row>
    <row r="1774" spans="2:3" ht="14.25">
      <c r="B1774" s="3"/>
      <c r="C1774" s="4"/>
    </row>
    <row r="1775" spans="2:3" ht="14.25">
      <c r="B1775" s="3"/>
      <c r="C1775" s="4"/>
    </row>
    <row r="1776" spans="2:3" ht="14.25">
      <c r="B1776" s="3"/>
      <c r="C1776" s="4"/>
    </row>
    <row r="1777" spans="2:3" ht="14.25">
      <c r="B1777" s="3"/>
      <c r="C1777" s="4"/>
    </row>
    <row r="1778" spans="2:3" ht="14.25">
      <c r="B1778" s="3"/>
      <c r="C1778" s="4"/>
    </row>
    <row r="1779" spans="2:3" ht="14.25">
      <c r="B1779" s="3"/>
      <c r="C1779" s="4"/>
    </row>
    <row r="1780" spans="2:3" ht="14.25">
      <c r="B1780" s="3"/>
      <c r="C1780" s="4"/>
    </row>
    <row r="1781" spans="2:3" ht="14.25">
      <c r="B1781" s="3"/>
      <c r="C1781" s="4"/>
    </row>
    <row r="1782" spans="2:3" ht="14.25">
      <c r="B1782" s="3"/>
      <c r="C1782" s="4"/>
    </row>
    <row r="1783" spans="2:3" ht="14.25">
      <c r="B1783" s="3"/>
      <c r="C1783" s="4"/>
    </row>
    <row r="1784" spans="2:3" ht="14.25">
      <c r="B1784" s="3"/>
      <c r="C1784" s="4"/>
    </row>
    <row r="1785" spans="2:3" ht="14.25">
      <c r="B1785" s="3"/>
      <c r="C1785" s="4"/>
    </row>
    <row r="1786" spans="2:3" ht="14.25">
      <c r="B1786" s="3"/>
      <c r="C1786" s="4"/>
    </row>
    <row r="1787" spans="2:3" ht="14.25">
      <c r="B1787" s="3"/>
      <c r="C1787" s="4"/>
    </row>
    <row r="1788" spans="2:3" ht="14.25">
      <c r="B1788" s="3"/>
      <c r="C1788" s="4"/>
    </row>
    <row r="1789" spans="2:3" ht="14.25">
      <c r="B1789" s="3"/>
      <c r="C1789" s="4"/>
    </row>
    <row r="1790" spans="2:3" ht="14.25">
      <c r="B1790" s="3"/>
      <c r="C1790" s="4"/>
    </row>
    <row r="1791" spans="2:3" ht="14.25">
      <c r="B1791" s="3"/>
      <c r="C1791" s="4"/>
    </row>
    <row r="1792" spans="2:3" ht="14.25">
      <c r="B1792" s="3"/>
      <c r="C1792" s="4"/>
    </row>
    <row r="1793" spans="2:3" ht="14.25">
      <c r="B1793" s="3"/>
      <c r="C1793" s="4"/>
    </row>
    <row r="1794" spans="2:3" ht="14.25">
      <c r="B1794" s="3"/>
      <c r="C1794" s="4"/>
    </row>
    <row r="1795" spans="2:3" ht="14.25">
      <c r="B1795" s="3"/>
      <c r="C1795" s="4"/>
    </row>
    <row r="1796" spans="2:3" ht="14.25">
      <c r="B1796" s="3"/>
      <c r="C1796" s="4"/>
    </row>
    <row r="1797" spans="2:3" ht="14.25">
      <c r="B1797" s="3"/>
      <c r="C1797" s="4"/>
    </row>
    <row r="1798" spans="2:3" ht="14.25">
      <c r="B1798" s="3"/>
      <c r="C1798" s="4"/>
    </row>
    <row r="1799" spans="2:3" ht="14.25">
      <c r="B1799" s="3"/>
      <c r="C1799" s="4"/>
    </row>
    <row r="1800" spans="2:3" ht="14.25">
      <c r="B1800" s="3"/>
      <c r="C1800" s="4"/>
    </row>
    <row r="1801" spans="2:3" ht="14.25">
      <c r="B1801" s="3"/>
      <c r="C1801" s="4"/>
    </row>
    <row r="1802" spans="2:3" ht="14.25">
      <c r="B1802" s="3"/>
      <c r="C1802" s="4"/>
    </row>
    <row r="1803" spans="2:3" ht="14.25">
      <c r="B1803" s="3"/>
      <c r="C1803" s="4"/>
    </row>
    <row r="1804" spans="2:3" ht="14.25">
      <c r="B1804" s="3"/>
      <c r="C1804" s="4"/>
    </row>
    <row r="1805" spans="2:3" ht="14.25">
      <c r="B1805" s="3"/>
      <c r="C1805" s="4"/>
    </row>
    <row r="1806" spans="2:3" ht="14.25">
      <c r="B1806" s="3"/>
      <c r="C1806" s="4"/>
    </row>
    <row r="1807" spans="2:3" ht="14.25">
      <c r="B1807" s="3"/>
      <c r="C1807" s="4"/>
    </row>
    <row r="1808" spans="2:3" ht="14.25">
      <c r="B1808" s="3"/>
      <c r="C1808" s="4"/>
    </row>
    <row r="1809" spans="2:3" ht="14.25">
      <c r="B1809" s="3"/>
      <c r="C1809" s="4"/>
    </row>
    <row r="1810" spans="2:3" ht="14.25">
      <c r="B1810" s="3"/>
      <c r="C1810" s="4"/>
    </row>
    <row r="1811" spans="2:3" ht="14.25">
      <c r="B1811" s="3"/>
      <c r="C1811" s="4"/>
    </row>
    <row r="1812" spans="2:3" ht="14.25">
      <c r="B1812" s="3"/>
      <c r="C1812" s="4"/>
    </row>
    <row r="1813" spans="2:3" ht="14.25">
      <c r="B1813" s="3"/>
      <c r="C1813" s="4"/>
    </row>
    <row r="1814" spans="2:3" ht="14.25">
      <c r="B1814" s="3"/>
      <c r="C1814" s="4"/>
    </row>
    <row r="1815" spans="2:3" ht="14.25">
      <c r="B1815" s="3"/>
      <c r="C1815" s="4"/>
    </row>
    <row r="1816" spans="2:3" ht="14.25">
      <c r="B1816" s="3"/>
      <c r="C1816" s="4"/>
    </row>
    <row r="1817" spans="2:3" ht="14.25">
      <c r="B1817" s="3"/>
      <c r="C1817" s="4"/>
    </row>
    <row r="1818" spans="2:3" ht="14.25">
      <c r="B1818" s="3"/>
      <c r="C1818" s="4"/>
    </row>
    <row r="1819" spans="2:3" ht="14.25">
      <c r="B1819" s="3"/>
      <c r="C1819" s="4"/>
    </row>
    <row r="1820" spans="2:3" ht="14.25">
      <c r="B1820" s="3"/>
      <c r="C1820" s="4"/>
    </row>
    <row r="1821" spans="2:3" ht="14.25">
      <c r="B1821" s="3"/>
      <c r="C1821" s="4"/>
    </row>
    <row r="1822" spans="2:3" ht="14.25">
      <c r="B1822" s="3"/>
      <c r="C1822" s="4"/>
    </row>
    <row r="1823" spans="2:3" ht="14.25">
      <c r="B1823" s="3"/>
      <c r="C1823" s="4"/>
    </row>
    <row r="1824" spans="2:3" ht="14.25">
      <c r="B1824" s="3"/>
      <c r="C1824" s="4"/>
    </row>
    <row r="1825" spans="2:3" ht="14.25">
      <c r="B1825" s="3"/>
      <c r="C1825" s="4"/>
    </row>
    <row r="1826" spans="2:3" ht="14.25">
      <c r="B1826" s="3"/>
      <c r="C1826" s="4"/>
    </row>
    <row r="1827" spans="2:3" ht="14.25">
      <c r="B1827" s="3"/>
      <c r="C1827" s="4"/>
    </row>
    <row r="1828" spans="2:3" ht="14.25">
      <c r="B1828" s="3"/>
      <c r="C1828" s="4"/>
    </row>
    <row r="1829" spans="2:3" ht="14.25">
      <c r="B1829" s="3"/>
      <c r="C1829" s="4"/>
    </row>
    <row r="1830" spans="2:3" ht="14.25">
      <c r="B1830" s="3"/>
      <c r="C1830" s="4"/>
    </row>
    <row r="1831" spans="2:3" ht="14.25">
      <c r="B1831" s="3"/>
      <c r="C1831" s="4"/>
    </row>
    <row r="1832" spans="2:3" ht="14.25">
      <c r="B1832" s="3"/>
      <c r="C1832" s="4"/>
    </row>
    <row r="1833" spans="2:3" ht="14.25">
      <c r="B1833" s="3"/>
      <c r="C1833" s="4"/>
    </row>
    <row r="1834" spans="2:3" ht="14.25">
      <c r="B1834" s="3"/>
      <c r="C1834" s="4"/>
    </row>
    <row r="1835" spans="2:3" ht="14.25">
      <c r="B1835" s="3"/>
      <c r="C1835" s="4"/>
    </row>
    <row r="1836" spans="2:3" ht="14.25">
      <c r="B1836" s="3"/>
      <c r="C1836" s="4"/>
    </row>
    <row r="1837" spans="2:3" ht="14.25">
      <c r="B1837" s="3"/>
      <c r="C1837" s="4"/>
    </row>
    <row r="1838" spans="2:3" ht="14.25">
      <c r="B1838" s="3"/>
      <c r="C1838" s="4"/>
    </row>
    <row r="1839" spans="2:3" ht="14.25">
      <c r="B1839" s="3"/>
      <c r="C1839" s="4"/>
    </row>
    <row r="1840" spans="2:3" ht="14.25">
      <c r="B1840" s="3"/>
      <c r="C1840" s="4"/>
    </row>
    <row r="1841" spans="2:3" ht="14.25">
      <c r="B1841" s="3"/>
      <c r="C1841" s="4"/>
    </row>
    <row r="1842" spans="2:3" ht="14.25">
      <c r="B1842" s="3"/>
      <c r="C1842" s="4"/>
    </row>
    <row r="1843" spans="2:3" ht="14.25">
      <c r="B1843" s="3"/>
      <c r="C1843" s="4"/>
    </row>
    <row r="1844" spans="2:3" ht="14.25">
      <c r="B1844" s="3"/>
      <c r="C1844" s="4"/>
    </row>
    <row r="1845" spans="2:3" ht="14.25">
      <c r="B1845" s="3"/>
      <c r="C1845" s="4"/>
    </row>
    <row r="1846" spans="2:3" ht="14.25">
      <c r="B1846" s="3"/>
      <c r="C1846" s="4"/>
    </row>
    <row r="1847" spans="2:3" ht="14.25">
      <c r="B1847" s="3"/>
      <c r="C1847" s="4"/>
    </row>
    <row r="1848" spans="2:3" ht="14.25">
      <c r="B1848" s="3"/>
      <c r="C1848" s="4"/>
    </row>
    <row r="1849" spans="2:3" ht="14.25">
      <c r="B1849" s="3"/>
      <c r="C1849" s="4"/>
    </row>
    <row r="1850" spans="2:3" ht="14.25">
      <c r="B1850" s="3"/>
      <c r="C1850" s="4"/>
    </row>
    <row r="1851" spans="2:3" ht="14.25">
      <c r="B1851" s="3"/>
      <c r="C1851" s="4"/>
    </row>
    <row r="1852" spans="2:3" ht="14.25">
      <c r="B1852" s="3"/>
      <c r="C1852" s="4"/>
    </row>
    <row r="1853" spans="2:3" ht="14.25">
      <c r="B1853" s="3"/>
      <c r="C1853" s="4"/>
    </row>
    <row r="1854" spans="2:3" ht="14.25">
      <c r="B1854" s="3"/>
      <c r="C1854" s="4"/>
    </row>
    <row r="1855" spans="2:3" ht="14.25">
      <c r="B1855" s="3"/>
      <c r="C1855" s="4"/>
    </row>
    <row r="1856" spans="2:3" ht="14.25">
      <c r="B1856" s="3"/>
      <c r="C1856" s="4"/>
    </row>
    <row r="1857" spans="2:3" ht="14.25">
      <c r="B1857" s="3"/>
      <c r="C1857" s="4"/>
    </row>
    <row r="1858" spans="2:3" ht="14.25">
      <c r="B1858" s="3"/>
      <c r="C1858" s="4"/>
    </row>
    <row r="1859" spans="2:3" ht="14.25">
      <c r="B1859" s="3"/>
      <c r="C1859" s="4"/>
    </row>
    <row r="1860" spans="2:3" ht="14.25">
      <c r="B1860" s="3"/>
      <c r="C1860" s="4"/>
    </row>
    <row r="1861" spans="2:3" ht="14.25">
      <c r="B1861" s="3"/>
      <c r="C1861" s="4"/>
    </row>
    <row r="1862" spans="2:3" ht="14.25">
      <c r="B1862" s="3"/>
      <c r="C1862" s="4"/>
    </row>
    <row r="1863" spans="2:3" ht="14.25">
      <c r="B1863" s="3"/>
      <c r="C1863" s="4"/>
    </row>
    <row r="1864" spans="2:3" ht="14.25">
      <c r="B1864" s="3"/>
      <c r="C1864" s="4"/>
    </row>
    <row r="1865" spans="2:3" ht="14.25">
      <c r="B1865" s="3"/>
      <c r="C1865" s="4"/>
    </row>
    <row r="1866" spans="2:3" ht="14.25">
      <c r="B1866" s="3"/>
      <c r="C1866" s="4"/>
    </row>
    <row r="1867" spans="2:3" ht="14.25">
      <c r="B1867" s="3"/>
      <c r="C1867" s="4"/>
    </row>
    <row r="1868" spans="2:3" ht="14.25">
      <c r="B1868" s="3"/>
      <c r="C1868" s="4"/>
    </row>
    <row r="1869" spans="2:3" ht="14.25">
      <c r="B1869" s="3"/>
      <c r="C1869" s="4"/>
    </row>
    <row r="1870" spans="2:3" ht="14.25">
      <c r="B1870" s="3"/>
      <c r="C1870" s="4"/>
    </row>
    <row r="1871" spans="2:3" ht="14.25">
      <c r="B1871" s="3"/>
      <c r="C1871" s="4"/>
    </row>
    <row r="1872" spans="2:3" ht="14.25">
      <c r="B1872" s="3"/>
      <c r="C1872" s="4"/>
    </row>
    <row r="1873" spans="2:3" ht="14.25">
      <c r="B1873" s="3"/>
      <c r="C1873" s="4"/>
    </row>
    <row r="1874" spans="2:3" ht="14.25">
      <c r="B1874" s="3"/>
      <c r="C1874" s="4"/>
    </row>
    <row r="1875" spans="2:3" ht="14.25">
      <c r="B1875" s="3"/>
      <c r="C1875" s="4"/>
    </row>
    <row r="1876" spans="2:3" ht="14.25">
      <c r="B1876" s="3"/>
      <c r="C1876" s="4"/>
    </row>
    <row r="1877" spans="2:3" ht="14.25">
      <c r="B1877" s="3"/>
      <c r="C1877" s="4"/>
    </row>
    <row r="1878" spans="2:3" ht="14.25">
      <c r="B1878" s="3"/>
      <c r="C1878" s="4"/>
    </row>
    <row r="1879" spans="2:3" ht="14.25">
      <c r="B1879" s="3"/>
      <c r="C1879" s="4"/>
    </row>
    <row r="1880" spans="2:3" ht="14.25">
      <c r="B1880" s="3"/>
      <c r="C1880" s="4"/>
    </row>
    <row r="1881" spans="2:3" ht="14.25">
      <c r="B1881" s="3"/>
      <c r="C1881" s="4"/>
    </row>
    <row r="1882" spans="2:3" ht="14.25">
      <c r="B1882" s="3"/>
      <c r="C1882" s="4"/>
    </row>
    <row r="1883" spans="2:3" ht="14.25">
      <c r="B1883" s="3"/>
      <c r="C1883" s="4"/>
    </row>
    <row r="1884" spans="2:3" ht="14.25">
      <c r="B1884" s="3"/>
      <c r="C1884" s="4"/>
    </row>
    <row r="1885" spans="2:3" ht="14.25">
      <c r="B1885" s="3"/>
      <c r="C1885" s="4"/>
    </row>
    <row r="1886" spans="2:3" ht="14.25">
      <c r="B1886" s="3"/>
      <c r="C1886" s="4"/>
    </row>
    <row r="1887" spans="2:3" ht="14.25">
      <c r="B1887" s="3"/>
      <c r="C1887" s="4"/>
    </row>
    <row r="1888" spans="2:3" ht="14.25">
      <c r="B1888" s="3"/>
      <c r="C1888" s="4"/>
    </row>
    <row r="1889" spans="2:3" ht="14.25">
      <c r="B1889" s="3"/>
      <c r="C1889" s="4"/>
    </row>
    <row r="1890" spans="2:3" ht="14.25">
      <c r="B1890" s="3"/>
      <c r="C1890" s="4"/>
    </row>
    <row r="1891" spans="2:3" ht="14.25">
      <c r="B1891" s="3"/>
      <c r="C1891" s="4"/>
    </row>
    <row r="1892" spans="2:3" ht="14.25">
      <c r="B1892" s="3"/>
      <c r="C1892" s="4"/>
    </row>
    <row r="1893" spans="2:3" ht="14.25">
      <c r="B1893" s="3"/>
      <c r="C1893" s="4"/>
    </row>
    <row r="1894" spans="2:3" ht="14.25">
      <c r="B1894" s="3"/>
      <c r="C1894" s="4"/>
    </row>
    <row r="1895" spans="2:3" ht="14.25">
      <c r="B1895" s="3"/>
      <c r="C1895" s="4"/>
    </row>
    <row r="1896" spans="2:3" ht="14.25">
      <c r="B1896" s="3"/>
      <c r="C1896" s="4"/>
    </row>
    <row r="1897" spans="2:3" ht="14.25">
      <c r="B1897" s="3"/>
      <c r="C1897" s="4"/>
    </row>
    <row r="1898" spans="2:3" ht="14.25">
      <c r="B1898" s="3"/>
      <c r="C1898" s="4"/>
    </row>
    <row r="1899" spans="2:3" ht="14.25">
      <c r="B1899" s="3"/>
      <c r="C1899" s="4"/>
    </row>
    <row r="1900" spans="2:3" ht="14.25">
      <c r="B1900" s="3"/>
      <c r="C1900" s="4"/>
    </row>
    <row r="1901" spans="2:3" ht="14.25">
      <c r="B1901" s="3"/>
      <c r="C1901" s="4"/>
    </row>
    <row r="1902" spans="2:3" ht="14.25">
      <c r="B1902" s="3"/>
      <c r="C1902" s="4"/>
    </row>
    <row r="1903" spans="2:3" ht="14.25">
      <c r="B1903" s="3"/>
      <c r="C1903" s="4"/>
    </row>
    <row r="1904" spans="2:3" ht="14.25">
      <c r="B1904" s="3"/>
      <c r="C1904" s="4"/>
    </row>
    <row r="1905" spans="2:3" ht="14.25">
      <c r="B1905" s="3"/>
      <c r="C1905" s="4"/>
    </row>
    <row r="1906" spans="2:3" ht="14.25">
      <c r="B1906" s="3"/>
      <c r="C1906" s="4"/>
    </row>
    <row r="1907" spans="2:3" ht="14.25">
      <c r="B1907" s="3"/>
      <c r="C1907" s="4"/>
    </row>
    <row r="1908" spans="2:3" ht="14.25">
      <c r="B1908" s="3"/>
      <c r="C1908" s="4"/>
    </row>
    <row r="1909" spans="2:3" ht="14.25">
      <c r="B1909" s="3"/>
      <c r="C1909" s="4"/>
    </row>
    <row r="1910" spans="2:3" ht="14.25">
      <c r="B1910" s="3"/>
      <c r="C1910" s="4"/>
    </row>
    <row r="1911" spans="2:3" ht="14.25">
      <c r="B1911" s="3"/>
      <c r="C1911" s="4"/>
    </row>
    <row r="1912" spans="2:3" ht="14.25">
      <c r="B1912" s="3"/>
      <c r="C1912" s="4"/>
    </row>
    <row r="1913" spans="2:3" ht="14.25">
      <c r="B1913" s="3"/>
      <c r="C1913" s="4"/>
    </row>
    <row r="1914" spans="2:3" ht="14.25">
      <c r="B1914" s="3"/>
      <c r="C1914" s="4"/>
    </row>
    <row r="1915" spans="2:3" ht="14.25">
      <c r="B1915" s="3"/>
      <c r="C1915" s="4"/>
    </row>
    <row r="1916" spans="2:3" ht="14.25">
      <c r="B1916" s="3"/>
      <c r="C1916" s="4"/>
    </row>
    <row r="1917" spans="2:3" ht="14.25">
      <c r="B1917" s="3"/>
      <c r="C1917" s="4"/>
    </row>
    <row r="1918" spans="2:3" ht="14.25">
      <c r="B1918" s="3"/>
      <c r="C1918" s="4"/>
    </row>
    <row r="1919" spans="2:3" ht="14.25">
      <c r="B1919" s="3"/>
      <c r="C1919" s="4"/>
    </row>
    <row r="1920" spans="2:3" ht="14.25">
      <c r="B1920" s="3"/>
      <c r="C1920" s="4"/>
    </row>
    <row r="1921" spans="2:3" ht="14.25">
      <c r="B1921" s="3"/>
      <c r="C1921" s="4"/>
    </row>
    <row r="1922" spans="2:3" ht="14.25">
      <c r="B1922" s="3"/>
      <c r="C1922" s="4"/>
    </row>
    <row r="1923" spans="2:3" ht="14.25">
      <c r="B1923" s="3"/>
      <c r="C1923" s="4"/>
    </row>
    <row r="1924" spans="2:3" ht="14.25">
      <c r="B1924" s="3"/>
      <c r="C1924" s="4"/>
    </row>
    <row r="1925" spans="2:3" ht="14.25">
      <c r="B1925" s="3"/>
      <c r="C1925" s="4"/>
    </row>
    <row r="1926" spans="2:3" ht="14.25">
      <c r="B1926" s="3"/>
      <c r="C1926" s="4"/>
    </row>
    <row r="1927" spans="2:3" ht="14.25">
      <c r="B1927" s="3"/>
      <c r="C1927" s="4"/>
    </row>
    <row r="1928" spans="2:3" ht="14.25">
      <c r="B1928" s="3"/>
      <c r="C1928" s="4"/>
    </row>
    <row r="1929" spans="2:3" ht="14.25">
      <c r="B1929" s="3"/>
      <c r="C1929" s="4"/>
    </row>
    <row r="1930" spans="2:3" ht="14.25">
      <c r="B1930" s="3"/>
      <c r="C1930" s="4"/>
    </row>
    <row r="1931" spans="2:3" ht="14.25">
      <c r="B1931" s="3"/>
      <c r="C1931" s="4"/>
    </row>
    <row r="1932" spans="2:3" ht="14.25">
      <c r="B1932" s="3"/>
      <c r="C1932" s="4"/>
    </row>
    <row r="1933" spans="2:3" ht="14.25">
      <c r="B1933" s="3"/>
      <c r="C1933" s="4"/>
    </row>
    <row r="1934" spans="2:3" ht="14.25">
      <c r="B1934" s="3"/>
      <c r="C1934" s="4"/>
    </row>
    <row r="1935" spans="2:3" ht="14.25">
      <c r="B1935" s="3"/>
      <c r="C1935" s="4"/>
    </row>
    <row r="1936" spans="2:3" ht="14.25">
      <c r="B1936" s="3"/>
      <c r="C1936" s="4"/>
    </row>
    <row r="1937" spans="2:3" ht="14.25">
      <c r="B1937" s="3"/>
      <c r="C1937" s="4"/>
    </row>
    <row r="1938" spans="2:3" ht="14.25">
      <c r="B1938" s="3"/>
      <c r="C1938" s="4"/>
    </row>
    <row r="1939" spans="2:3" ht="14.25">
      <c r="B1939" s="3"/>
      <c r="C1939" s="4"/>
    </row>
    <row r="1940" spans="2:3" ht="14.25">
      <c r="B1940" s="3"/>
      <c r="C1940" s="4"/>
    </row>
    <row r="1941" spans="2:3" ht="14.25">
      <c r="B1941" s="3"/>
      <c r="C1941" s="4"/>
    </row>
    <row r="1942" spans="2:3" ht="14.25">
      <c r="B1942" s="3"/>
      <c r="C1942" s="4"/>
    </row>
    <row r="1943" spans="2:3" ht="14.25">
      <c r="B1943" s="3"/>
      <c r="C1943" s="4"/>
    </row>
    <row r="1944" spans="2:3" ht="14.25">
      <c r="B1944" s="3"/>
      <c r="C1944" s="4"/>
    </row>
    <row r="1945" spans="2:3" ht="14.25">
      <c r="B1945" s="3"/>
      <c r="C1945" s="4"/>
    </row>
    <row r="1946" spans="2:3" ht="14.25">
      <c r="B1946" s="3"/>
      <c r="C1946" s="4"/>
    </row>
    <row r="1947" spans="2:3" ht="14.25">
      <c r="B1947" s="3"/>
      <c r="C1947" s="4"/>
    </row>
    <row r="1948" spans="2:3" ht="14.25">
      <c r="B1948" s="3"/>
      <c r="C1948" s="4"/>
    </row>
    <row r="1949" spans="2:3" ht="14.25">
      <c r="B1949" s="3"/>
      <c r="C1949" s="4"/>
    </row>
    <row r="1950" spans="2:3" ht="14.25">
      <c r="B1950" s="3"/>
      <c r="C1950" s="4"/>
    </row>
    <row r="1951" spans="2:3" ht="14.25">
      <c r="B1951" s="3"/>
      <c r="C1951" s="4"/>
    </row>
    <row r="1952" spans="2:3" ht="14.25">
      <c r="B1952" s="3"/>
      <c r="C1952" s="4"/>
    </row>
    <row r="1953" spans="2:3" ht="14.25">
      <c r="B1953" s="3"/>
      <c r="C1953" s="4"/>
    </row>
    <row r="1954" spans="2:3" ht="14.25">
      <c r="B1954" s="3"/>
      <c r="C1954" s="4"/>
    </row>
    <row r="1955" spans="2:3" ht="14.25">
      <c r="B1955" s="3"/>
      <c r="C1955" s="4"/>
    </row>
    <row r="1956" spans="2:3" ht="14.25">
      <c r="B1956" s="3"/>
      <c r="C1956" s="4"/>
    </row>
    <row r="1957" spans="2:3" ht="14.25">
      <c r="B1957" s="3"/>
      <c r="C1957" s="4"/>
    </row>
    <row r="1958" spans="2:3" ht="14.25">
      <c r="B1958" s="3"/>
      <c r="C1958" s="4"/>
    </row>
    <row r="1959" spans="2:3" ht="14.25">
      <c r="B1959" s="3"/>
      <c r="C1959" s="4"/>
    </row>
    <row r="1960" spans="2:3" ht="14.25">
      <c r="B1960" s="3"/>
      <c r="C1960" s="4"/>
    </row>
    <row r="1961" spans="2:3" ht="14.25">
      <c r="B1961" s="3"/>
      <c r="C1961" s="4"/>
    </row>
    <row r="1962" spans="2:3" ht="14.25">
      <c r="B1962" s="3"/>
      <c r="C1962" s="4"/>
    </row>
    <row r="1963" spans="2:3" ht="14.25">
      <c r="B1963" s="3"/>
      <c r="C1963" s="4"/>
    </row>
    <row r="1964" spans="2:3" ht="14.25">
      <c r="B1964" s="3"/>
      <c r="C1964" s="4"/>
    </row>
    <row r="1965" spans="2:3" ht="14.25">
      <c r="B1965" s="3"/>
      <c r="C1965" s="4"/>
    </row>
    <row r="1966" spans="2:3" ht="14.25">
      <c r="B1966" s="3"/>
      <c r="C1966" s="4"/>
    </row>
    <row r="1967" spans="2:3" ht="14.25">
      <c r="B1967" s="3"/>
      <c r="C1967" s="4"/>
    </row>
    <row r="1968" spans="2:3" ht="14.25">
      <c r="B1968" s="3"/>
      <c r="C1968" s="4"/>
    </row>
    <row r="1969" spans="2:3" ht="14.25">
      <c r="B1969" s="3"/>
      <c r="C1969" s="4"/>
    </row>
    <row r="1970" spans="2:3" ht="14.25">
      <c r="B1970" s="3"/>
      <c r="C1970" s="4"/>
    </row>
    <row r="1971" spans="2:3" ht="14.25">
      <c r="B1971" s="3"/>
      <c r="C1971" s="4"/>
    </row>
    <row r="1972" spans="2:3" ht="14.25">
      <c r="B1972" s="3"/>
      <c r="C1972" s="4"/>
    </row>
    <row r="1973" spans="2:3" ht="14.25">
      <c r="B1973" s="3"/>
      <c r="C1973" s="4"/>
    </row>
    <row r="1974" spans="2:3" ht="14.25">
      <c r="B1974" s="3"/>
      <c r="C1974" s="4"/>
    </row>
    <row r="1975" spans="2:3" ht="14.25">
      <c r="B1975" s="3"/>
      <c r="C1975" s="4"/>
    </row>
    <row r="1976" spans="2:3" ht="14.25">
      <c r="B1976" s="3"/>
      <c r="C1976" s="4"/>
    </row>
    <row r="1977" spans="2:3" ht="14.25">
      <c r="B1977" s="3"/>
      <c r="C1977" s="4"/>
    </row>
    <row r="1978" spans="2:3" ht="14.25">
      <c r="B1978" s="3"/>
      <c r="C1978" s="4"/>
    </row>
    <row r="1979" spans="2:3" ht="14.25">
      <c r="B1979" s="3"/>
      <c r="C1979" s="4"/>
    </row>
    <row r="1980" spans="2:3" ht="14.25">
      <c r="B1980" s="3"/>
      <c r="C1980" s="4"/>
    </row>
    <row r="1981" spans="2:3" ht="14.25">
      <c r="B1981" s="3"/>
      <c r="C1981" s="4"/>
    </row>
    <row r="1982" spans="2:3" ht="14.25">
      <c r="B1982" s="3"/>
      <c r="C1982" s="4"/>
    </row>
    <row r="1983" spans="2:3" ht="14.25">
      <c r="B1983" s="3"/>
      <c r="C1983" s="4"/>
    </row>
    <row r="1984" spans="2:3" ht="14.25">
      <c r="B1984" s="3"/>
      <c r="C1984" s="4"/>
    </row>
    <row r="1985" spans="2:3" ht="14.25">
      <c r="B1985" s="3"/>
      <c r="C1985" s="4"/>
    </row>
    <row r="1986" spans="2:3" ht="14.25">
      <c r="B1986" s="3"/>
      <c r="C1986" s="4"/>
    </row>
    <row r="1987" spans="2:3" ht="14.25">
      <c r="B1987" s="3"/>
      <c r="C1987" s="4"/>
    </row>
    <row r="1988" spans="2:3" ht="14.25">
      <c r="B1988" s="3"/>
      <c r="C1988" s="4"/>
    </row>
    <row r="1989" spans="2:3" ht="14.25">
      <c r="B1989" s="3"/>
      <c r="C1989" s="4"/>
    </row>
    <row r="1990" spans="2:3" ht="14.25">
      <c r="B1990" s="3"/>
      <c r="C1990" s="4"/>
    </row>
    <row r="1991" spans="2:3" ht="14.25">
      <c r="B1991" s="3"/>
      <c r="C1991" s="4"/>
    </row>
    <row r="1992" spans="2:3" ht="14.25">
      <c r="B1992" s="3"/>
      <c r="C1992" s="4"/>
    </row>
    <row r="1993" spans="2:3" ht="14.25">
      <c r="B1993" s="3"/>
      <c r="C1993" s="4"/>
    </row>
    <row r="1994" spans="2:3" ht="14.25">
      <c r="B1994" s="3"/>
      <c r="C1994" s="4"/>
    </row>
    <row r="1995" spans="2:3" ht="14.25">
      <c r="B1995" s="3"/>
      <c r="C1995" s="4"/>
    </row>
    <row r="1996" spans="2:3" ht="14.25">
      <c r="B1996" s="3"/>
      <c r="C1996" s="4"/>
    </row>
    <row r="1997" spans="2:3" ht="14.25">
      <c r="B1997" s="3"/>
      <c r="C1997" s="4"/>
    </row>
    <row r="1998" spans="2:3" ht="14.25">
      <c r="B1998" s="3"/>
      <c r="C1998" s="4"/>
    </row>
    <row r="1999" spans="2:3" ht="14.25">
      <c r="B1999" s="3"/>
      <c r="C1999" s="4"/>
    </row>
    <row r="2000" spans="2:3" ht="14.25">
      <c r="B2000" s="3"/>
      <c r="C2000" s="4"/>
    </row>
    <row r="2001" spans="2:3" ht="14.25">
      <c r="B2001" s="3"/>
      <c r="C2001" s="4"/>
    </row>
    <row r="2002" spans="2:3" ht="14.25">
      <c r="B2002" s="3"/>
      <c r="C2002" s="4"/>
    </row>
    <row r="2003" spans="2:3" ht="14.25">
      <c r="B2003" s="3"/>
      <c r="C2003" s="4"/>
    </row>
    <row r="2004" spans="2:3" ht="14.25">
      <c r="B2004" s="3"/>
      <c r="C2004" s="4"/>
    </row>
    <row r="2005" spans="2:3" ht="14.25">
      <c r="B2005" s="3"/>
      <c r="C2005" s="4"/>
    </row>
    <row r="2006" spans="2:3" ht="14.25">
      <c r="B2006" s="3"/>
      <c r="C2006" s="4"/>
    </row>
    <row r="2007" spans="2:3" ht="14.25">
      <c r="B2007" s="3"/>
      <c r="C2007" s="4"/>
    </row>
    <row r="2008" spans="2:3" ht="14.25">
      <c r="B2008" s="3"/>
      <c r="C2008" s="4"/>
    </row>
    <row r="2009" spans="2:3" ht="14.25">
      <c r="B2009" s="3"/>
      <c r="C2009" s="4"/>
    </row>
    <row r="2010" spans="2:3" ht="14.25">
      <c r="B2010" s="3"/>
      <c r="C2010" s="4"/>
    </row>
    <row r="2011" spans="2:3" ht="14.25">
      <c r="B2011" s="3"/>
      <c r="C2011" s="4"/>
    </row>
    <row r="2012" spans="2:3" ht="14.25">
      <c r="B2012" s="3"/>
      <c r="C2012" s="4"/>
    </row>
    <row r="2013" spans="2:3" ht="14.25">
      <c r="B2013" s="3"/>
      <c r="C2013" s="4"/>
    </row>
    <row r="2014" spans="2:3" ht="14.25">
      <c r="B2014" s="3"/>
      <c r="C2014" s="4"/>
    </row>
    <row r="2015" spans="2:3" ht="14.25">
      <c r="B2015" s="3"/>
      <c r="C2015" s="4"/>
    </row>
    <row r="2016" spans="2:3" ht="14.25">
      <c r="B2016" s="3"/>
      <c r="C2016" s="4"/>
    </row>
    <row r="2017" spans="2:3" ht="14.25">
      <c r="B2017" s="3"/>
      <c r="C2017" s="4"/>
    </row>
    <row r="2018" spans="2:3" ht="14.25">
      <c r="B2018" s="3"/>
      <c r="C2018" s="4"/>
    </row>
    <row r="2019" spans="2:3" ht="14.25">
      <c r="B2019" s="3"/>
      <c r="C2019" s="4"/>
    </row>
    <row r="2020" spans="2:3" ht="14.25">
      <c r="B2020" s="3"/>
      <c r="C2020" s="4"/>
    </row>
    <row r="2021" spans="2:3" ht="14.25">
      <c r="B2021" s="3"/>
      <c r="C2021" s="4"/>
    </row>
    <row r="2022" spans="2:3" ht="14.25">
      <c r="B2022" s="3"/>
      <c r="C2022" s="4"/>
    </row>
    <row r="2023" spans="2:3" ht="14.25">
      <c r="B2023" s="3"/>
      <c r="C2023" s="4"/>
    </row>
    <row r="2024" spans="2:3" ht="14.25">
      <c r="B2024" s="3"/>
      <c r="C2024" s="4"/>
    </row>
    <row r="2025" spans="2:3" ht="14.25">
      <c r="B2025" s="3"/>
      <c r="C2025" s="4"/>
    </row>
    <row r="2026" spans="2:3" ht="14.25">
      <c r="B2026" s="3"/>
      <c r="C2026" s="4"/>
    </row>
    <row r="2027" spans="2:3" ht="14.25">
      <c r="B2027" s="3"/>
      <c r="C2027" s="4"/>
    </row>
    <row r="2028" spans="2:3" ht="14.25">
      <c r="B2028" s="3"/>
      <c r="C2028" s="4"/>
    </row>
    <row r="2029" spans="2:3" ht="14.25">
      <c r="B2029" s="3"/>
      <c r="C2029" s="4"/>
    </row>
    <row r="2030" spans="2:3" ht="14.25">
      <c r="B2030" s="3"/>
      <c r="C2030" s="4"/>
    </row>
    <row r="2031" spans="2:3" ht="14.25">
      <c r="B2031" s="3"/>
      <c r="C2031" s="4"/>
    </row>
    <row r="2032" spans="2:3" ht="14.25">
      <c r="B2032" s="3"/>
      <c r="C2032" s="4"/>
    </row>
    <row r="2033" spans="2:3" ht="14.25">
      <c r="B2033" s="3"/>
      <c r="C2033" s="4"/>
    </row>
    <row r="2034" spans="2:3" ht="14.25">
      <c r="B2034" s="3"/>
      <c r="C2034" s="4"/>
    </row>
    <row r="2035" spans="2:3" ht="14.25">
      <c r="B2035" s="3"/>
      <c r="C2035" s="4"/>
    </row>
    <row r="2036" spans="2:3" ht="14.25">
      <c r="B2036" s="3"/>
      <c r="C2036" s="4"/>
    </row>
    <row r="2037" spans="2:3" ht="14.25">
      <c r="B2037" s="3"/>
      <c r="C2037" s="4"/>
    </row>
    <row r="2038" spans="2:3" ht="14.25">
      <c r="B2038" s="3"/>
      <c r="C2038" s="4"/>
    </row>
    <row r="2039" spans="2:3" ht="14.25">
      <c r="B2039" s="3"/>
      <c r="C2039" s="4"/>
    </row>
    <row r="2040" spans="2:3" ht="14.25">
      <c r="B2040" s="3"/>
      <c r="C2040" s="4"/>
    </row>
    <row r="2041" spans="2:3" ht="14.25">
      <c r="B2041" s="3"/>
      <c r="C2041" s="4"/>
    </row>
    <row r="2042" spans="2:3" ht="14.25">
      <c r="B2042" s="3"/>
      <c r="C2042" s="4"/>
    </row>
    <row r="2043" spans="2:3" ht="14.25">
      <c r="B2043" s="3"/>
      <c r="C2043" s="4"/>
    </row>
    <row r="2044" spans="2:3" ht="14.25">
      <c r="B2044" s="3"/>
      <c r="C2044" s="4"/>
    </row>
    <row r="2045" spans="2:3" ht="14.25">
      <c r="B2045" s="3"/>
      <c r="C2045" s="4"/>
    </row>
    <row r="2046" spans="2:3" ht="14.25">
      <c r="B2046" s="3"/>
      <c r="C2046" s="4"/>
    </row>
    <row r="2047" spans="2:3" ht="14.25">
      <c r="B2047" s="3"/>
      <c r="C2047" s="4"/>
    </row>
    <row r="2048" spans="2:3" ht="14.25">
      <c r="B2048" s="3"/>
      <c r="C2048" s="4"/>
    </row>
    <row r="2049" spans="2:3" ht="14.25">
      <c r="B2049" s="3"/>
      <c r="C2049" s="4"/>
    </row>
    <row r="2050" spans="2:3" ht="14.25">
      <c r="B2050" s="3"/>
      <c r="C2050" s="4"/>
    </row>
    <row r="2051" spans="2:3" ht="14.25">
      <c r="B2051" s="3"/>
      <c r="C2051" s="4"/>
    </row>
    <row r="2052" spans="2:3" ht="14.25">
      <c r="B2052" s="3"/>
      <c r="C2052" s="4"/>
    </row>
    <row r="2053" spans="2:3" ht="14.25">
      <c r="B2053" s="3"/>
      <c r="C2053" s="4"/>
    </row>
    <row r="2054" spans="2:3" ht="14.25">
      <c r="B2054" s="3"/>
      <c r="C2054" s="4"/>
    </row>
    <row r="2055" spans="2:3" ht="14.25">
      <c r="B2055" s="3"/>
      <c r="C2055" s="4"/>
    </row>
    <row r="2056" spans="2:3" ht="14.25">
      <c r="B2056" s="3"/>
      <c r="C2056" s="4"/>
    </row>
    <row r="2057" spans="2:3" ht="14.25">
      <c r="B2057" s="3"/>
      <c r="C2057" s="4"/>
    </row>
    <row r="2058" spans="2:3" ht="14.25">
      <c r="B2058" s="3"/>
      <c r="C2058" s="4"/>
    </row>
    <row r="2059" spans="2:3" ht="14.25">
      <c r="B2059" s="3"/>
      <c r="C2059" s="4"/>
    </row>
    <row r="2060" spans="2:3" ht="14.25">
      <c r="B2060" s="3"/>
      <c r="C2060" s="4"/>
    </row>
    <row r="2061" spans="2:3" ht="14.25">
      <c r="B2061" s="3"/>
      <c r="C2061" s="4"/>
    </row>
    <row r="2062" spans="2:3" ht="14.25">
      <c r="B2062" s="3"/>
      <c r="C2062" s="4"/>
    </row>
    <row r="2063" spans="2:3" ht="14.25">
      <c r="B2063" s="3"/>
      <c r="C2063" s="4"/>
    </row>
    <row r="2064" spans="2:3" ht="14.25">
      <c r="B2064" s="3"/>
      <c r="C2064" s="4"/>
    </row>
    <row r="2065" spans="2:3" ht="14.25">
      <c r="B2065" s="3"/>
      <c r="C2065" s="4"/>
    </row>
    <row r="2066" spans="2:3" ht="14.25">
      <c r="B2066" s="3"/>
      <c r="C2066" s="4"/>
    </row>
    <row r="2067" spans="2:3" ht="14.25">
      <c r="B2067" s="3"/>
      <c r="C2067" s="4"/>
    </row>
    <row r="2068" spans="2:3" ht="14.25">
      <c r="B2068" s="3"/>
      <c r="C2068" s="4"/>
    </row>
    <row r="2069" spans="2:3" ht="14.25">
      <c r="B2069" s="3"/>
      <c r="C2069" s="4"/>
    </row>
    <row r="2070" spans="2:3" ht="14.25">
      <c r="B2070" s="3"/>
      <c r="C2070" s="4"/>
    </row>
    <row r="2071" spans="2:3" ht="14.25">
      <c r="B2071" s="3"/>
      <c r="C2071" s="4"/>
    </row>
    <row r="2072" spans="2:3" ht="14.25">
      <c r="B2072" s="3"/>
      <c r="C2072" s="4"/>
    </row>
    <row r="2073" spans="2:3" ht="14.25">
      <c r="B2073" s="3"/>
      <c r="C2073" s="4"/>
    </row>
    <row r="2074" spans="2:3" ht="14.25">
      <c r="B2074" s="3"/>
      <c r="C2074" s="4"/>
    </row>
    <row r="2075" spans="2:3" ht="14.25">
      <c r="B2075" s="3"/>
      <c r="C2075" s="4"/>
    </row>
    <row r="2076" spans="2:3" ht="14.25">
      <c r="B2076" s="3"/>
      <c r="C2076" s="4"/>
    </row>
    <row r="2077" spans="2:3" ht="14.25">
      <c r="B2077" s="3"/>
      <c r="C2077" s="4"/>
    </row>
    <row r="2078" spans="2:3" ht="14.25">
      <c r="B2078" s="3"/>
      <c r="C2078" s="4"/>
    </row>
    <row r="2079" spans="2:3" ht="14.25">
      <c r="B2079" s="3"/>
      <c r="C2079" s="4"/>
    </row>
    <row r="2080" spans="2:3" ht="14.25">
      <c r="B2080" s="3"/>
      <c r="C2080" s="4"/>
    </row>
    <row r="2081" spans="2:3" ht="14.25">
      <c r="B2081" s="3"/>
      <c r="C2081" s="4"/>
    </row>
    <row r="2082" spans="2:3" ht="14.25">
      <c r="B2082" s="3"/>
      <c r="C2082" s="4"/>
    </row>
    <row r="2083" spans="2:3" ht="14.25">
      <c r="B2083" s="3"/>
      <c r="C2083" s="4"/>
    </row>
    <row r="2084" spans="2:3" ht="14.25">
      <c r="B2084" s="3"/>
      <c r="C2084" s="4"/>
    </row>
    <row r="2085" spans="2:3" ht="14.25">
      <c r="B2085" s="3"/>
      <c r="C2085" s="4"/>
    </row>
    <row r="2086" spans="2:3" ht="14.25">
      <c r="B2086" s="3"/>
      <c r="C2086" s="4"/>
    </row>
    <row r="2087" spans="2:3" ht="14.25">
      <c r="B2087" s="3"/>
      <c r="C2087" s="4"/>
    </row>
    <row r="2088" spans="2:3" ht="14.25">
      <c r="B2088" s="3"/>
      <c r="C2088" s="4"/>
    </row>
    <row r="2089" spans="2:3" ht="14.25">
      <c r="B2089" s="3"/>
      <c r="C2089" s="4"/>
    </row>
    <row r="2090" spans="2:3" ht="14.25">
      <c r="B2090" s="3"/>
      <c r="C2090" s="4"/>
    </row>
    <row r="2091" spans="2:3" ht="14.25">
      <c r="B2091" s="3"/>
      <c r="C2091" s="4"/>
    </row>
    <row r="2092" spans="2:3" ht="14.25">
      <c r="B2092" s="3"/>
      <c r="C2092" s="4"/>
    </row>
    <row r="2093" spans="2:3" ht="14.25">
      <c r="B2093" s="3"/>
      <c r="C2093" s="4"/>
    </row>
    <row r="2094" spans="2:3" ht="14.25">
      <c r="B2094" s="3"/>
      <c r="C2094" s="4"/>
    </row>
    <row r="2095" spans="2:3" ht="14.25">
      <c r="B2095" s="3"/>
      <c r="C2095" s="4"/>
    </row>
    <row r="2096" spans="2:3" ht="14.25">
      <c r="B2096" s="3"/>
      <c r="C2096" s="4"/>
    </row>
    <row r="2097" spans="2:3" ht="14.25">
      <c r="B2097" s="3"/>
      <c r="C2097" s="4"/>
    </row>
    <row r="2098" spans="2:3" ht="14.25">
      <c r="B2098" s="3"/>
      <c r="C2098" s="4"/>
    </row>
    <row r="2099" spans="2:3" ht="14.25">
      <c r="B2099" s="3"/>
      <c r="C2099" s="4"/>
    </row>
    <row r="2100" spans="2:3" ht="14.25">
      <c r="B2100" s="3"/>
      <c r="C2100" s="4"/>
    </row>
    <row r="2101" spans="2:3" ht="14.25">
      <c r="B2101" s="3"/>
      <c r="C2101" s="4"/>
    </row>
    <row r="2102" spans="2:3" ht="14.25">
      <c r="B2102" s="3"/>
      <c r="C2102" s="4"/>
    </row>
    <row r="2103" spans="2:3" ht="14.25">
      <c r="B2103" s="3"/>
      <c r="C2103" s="4"/>
    </row>
    <row r="2104" spans="2:3" ht="14.25">
      <c r="B2104" s="3"/>
      <c r="C2104" s="4"/>
    </row>
    <row r="2105" spans="2:3" ht="14.25">
      <c r="B2105" s="3"/>
      <c r="C2105" s="4"/>
    </row>
    <row r="2106" spans="2:3" ht="14.25">
      <c r="B2106" s="3"/>
      <c r="C2106" s="4"/>
    </row>
    <row r="2107" spans="2:3" ht="14.25">
      <c r="B2107" s="3"/>
      <c r="C2107" s="4"/>
    </row>
    <row r="2108" spans="2:3" ht="14.25">
      <c r="B2108" s="3"/>
      <c r="C2108" s="4"/>
    </row>
    <row r="2109" spans="2:3" ht="14.25">
      <c r="B2109" s="3"/>
      <c r="C2109" s="4"/>
    </row>
    <row r="2110" spans="2:3" ht="14.25">
      <c r="B2110" s="3"/>
      <c r="C2110" s="4"/>
    </row>
    <row r="2111" spans="2:3" ht="14.25">
      <c r="B2111" s="3"/>
      <c r="C2111" s="4"/>
    </row>
    <row r="2112" spans="2:3" ht="14.25">
      <c r="B2112" s="3"/>
      <c r="C2112" s="4"/>
    </row>
    <row r="2113" spans="2:3" ht="14.25">
      <c r="B2113" s="3"/>
      <c r="C2113" s="4"/>
    </row>
    <row r="2114" spans="2:3" ht="14.25">
      <c r="B2114" s="3"/>
      <c r="C2114" s="4"/>
    </row>
    <row r="2115" spans="2:3" ht="14.25">
      <c r="B2115" s="3"/>
      <c r="C2115" s="4"/>
    </row>
    <row r="2116" spans="2:3" ht="14.25">
      <c r="B2116" s="3"/>
      <c r="C2116" s="4"/>
    </row>
    <row r="2117" spans="2:3" ht="14.25">
      <c r="B2117" s="3"/>
      <c r="C2117" s="4"/>
    </row>
    <row r="2118" spans="2:3" ht="14.25">
      <c r="B2118" s="3"/>
      <c r="C2118" s="4"/>
    </row>
    <row r="2119" spans="2:3" ht="14.25">
      <c r="B2119" s="3"/>
      <c r="C2119" s="4"/>
    </row>
    <row r="2120" spans="2:3" ht="14.25">
      <c r="B2120" s="3"/>
      <c r="C2120" s="4"/>
    </row>
    <row r="2121" spans="2:3" ht="14.25">
      <c r="B2121" s="3"/>
      <c r="C2121" s="4"/>
    </row>
    <row r="2122" spans="2:3" ht="14.25">
      <c r="B2122" s="3"/>
      <c r="C2122" s="4"/>
    </row>
    <row r="2123" spans="2:3" ht="14.25">
      <c r="B2123" s="3"/>
      <c r="C2123" s="4"/>
    </row>
    <row r="2124" spans="2:3" ht="14.25">
      <c r="B2124" s="3"/>
      <c r="C2124" s="4"/>
    </row>
    <row r="2125" spans="2:3" ht="14.25">
      <c r="B2125" s="3"/>
      <c r="C2125" s="4"/>
    </row>
    <row r="2126" spans="2:3" ht="14.25">
      <c r="B2126" s="3"/>
      <c r="C2126" s="4"/>
    </row>
    <row r="2127" spans="2:3" ht="14.25">
      <c r="B2127" s="3"/>
      <c r="C2127" s="4"/>
    </row>
    <row r="2128" spans="2:3" ht="14.25">
      <c r="B2128" s="3"/>
      <c r="C2128" s="4"/>
    </row>
    <row r="2129" spans="2:3" ht="14.25">
      <c r="B2129" s="3"/>
      <c r="C2129" s="4"/>
    </row>
    <row r="2130" spans="2:3" ht="14.25">
      <c r="B2130" s="3"/>
      <c r="C2130" s="4"/>
    </row>
    <row r="2131" spans="2:3" ht="14.25">
      <c r="B2131" s="3"/>
      <c r="C2131" s="4"/>
    </row>
    <row r="2132" spans="2:3" ht="14.25">
      <c r="B2132" s="3"/>
      <c r="C2132" s="4"/>
    </row>
    <row r="2133" spans="2:3" ht="14.25">
      <c r="B2133" s="3"/>
      <c r="C2133" s="4"/>
    </row>
    <row r="2134" spans="2:3" ht="14.25">
      <c r="B2134" s="3"/>
      <c r="C2134" s="4"/>
    </row>
    <row r="2135" spans="2:3" ht="14.25">
      <c r="B2135" s="3"/>
      <c r="C2135" s="4"/>
    </row>
    <row r="2136" spans="2:3" ht="14.25">
      <c r="B2136" s="3"/>
      <c r="C2136" s="4"/>
    </row>
    <row r="2137" spans="2:3" ht="14.25">
      <c r="B2137" s="3"/>
      <c r="C2137" s="4"/>
    </row>
    <row r="2138" spans="2:3" ht="14.25">
      <c r="B2138" s="3"/>
      <c r="C2138" s="4"/>
    </row>
    <row r="2139" spans="2:3" ht="14.25">
      <c r="B2139" s="3"/>
      <c r="C2139" s="4"/>
    </row>
    <row r="2140" spans="2:3" ht="14.25">
      <c r="B2140" s="3"/>
      <c r="C2140" s="4"/>
    </row>
    <row r="2141" spans="2:3" ht="14.25">
      <c r="B2141" s="3"/>
      <c r="C2141" s="4"/>
    </row>
    <row r="2142" spans="2:3" ht="14.25">
      <c r="B2142" s="3"/>
      <c r="C2142" s="4"/>
    </row>
    <row r="2143" spans="2:3" ht="14.25">
      <c r="B2143" s="3"/>
      <c r="C2143" s="4"/>
    </row>
    <row r="2144" spans="2:3" ht="14.25">
      <c r="B2144" s="3"/>
      <c r="C2144" s="4"/>
    </row>
    <row r="2145" spans="2:3" ht="14.25">
      <c r="B2145" s="3"/>
      <c r="C2145" s="4"/>
    </row>
    <row r="2146" spans="2:3" ht="14.25">
      <c r="B2146" s="3"/>
      <c r="C2146" s="4"/>
    </row>
    <row r="2147" spans="2:3" ht="14.25">
      <c r="B2147" s="3"/>
      <c r="C2147" s="4"/>
    </row>
    <row r="2148" spans="2:3" ht="14.25">
      <c r="B2148" s="3"/>
      <c r="C2148" s="4"/>
    </row>
    <row r="2149" spans="2:3" ht="14.25">
      <c r="B2149" s="3"/>
      <c r="C2149" s="4"/>
    </row>
    <row r="2150" spans="2:3" ht="14.25">
      <c r="B2150" s="3"/>
      <c r="C2150" s="4"/>
    </row>
    <row r="2151" spans="2:3" ht="14.25">
      <c r="B2151" s="3"/>
      <c r="C2151" s="4"/>
    </row>
    <row r="2152" spans="2:3" ht="14.25">
      <c r="B2152" s="3"/>
      <c r="C2152" s="4"/>
    </row>
    <row r="2153" spans="2:3" ht="14.25">
      <c r="B2153" s="3"/>
      <c r="C2153" s="4"/>
    </row>
    <row r="2154" spans="2:3" ht="14.25">
      <c r="B2154" s="3"/>
      <c r="C2154" s="4"/>
    </row>
    <row r="2155" spans="2:3" ht="14.25">
      <c r="B2155" s="3"/>
      <c r="C2155" s="4"/>
    </row>
    <row r="2156" spans="2:3" ht="14.25">
      <c r="B2156" s="3"/>
      <c r="C2156" s="4"/>
    </row>
    <row r="2157" spans="2:3" ht="14.25">
      <c r="B2157" s="3"/>
      <c r="C2157" s="4"/>
    </row>
    <row r="2158" spans="2:3" ht="14.25">
      <c r="B2158" s="3"/>
      <c r="C2158" s="4"/>
    </row>
    <row r="2159" spans="2:3" ht="14.25">
      <c r="B2159" s="3"/>
      <c r="C2159" s="4"/>
    </row>
    <row r="2160" spans="2:3" ht="14.25">
      <c r="B2160" s="3"/>
      <c r="C2160" s="4"/>
    </row>
    <row r="2161" spans="2:3" ht="14.25">
      <c r="B2161" s="3"/>
      <c r="C2161" s="4"/>
    </row>
    <row r="2162" spans="2:3" ht="14.25">
      <c r="B2162" s="3"/>
      <c r="C2162" s="4"/>
    </row>
    <row r="2163" spans="2:3" ht="14.25">
      <c r="B2163" s="3"/>
      <c r="C2163" s="4"/>
    </row>
    <row r="2164" spans="2:3" ht="14.25">
      <c r="B2164" s="3"/>
      <c r="C2164" s="4"/>
    </row>
    <row r="2165" spans="2:3" ht="14.25">
      <c r="B2165" s="3"/>
      <c r="C2165" s="4"/>
    </row>
    <row r="2166" spans="2:3" ht="14.25">
      <c r="B2166" s="3"/>
      <c r="C2166" s="4"/>
    </row>
    <row r="2167" spans="2:3" ht="14.25">
      <c r="B2167" s="3"/>
      <c r="C2167" s="4"/>
    </row>
    <row r="2168" spans="2:3" ht="14.25">
      <c r="B2168" s="3"/>
      <c r="C2168" s="4"/>
    </row>
    <row r="2169" spans="2:3" ht="14.25">
      <c r="B2169" s="3"/>
      <c r="C2169" s="4"/>
    </row>
    <row r="2170" spans="2:3" ht="14.25">
      <c r="B2170" s="3"/>
      <c r="C2170" s="4"/>
    </row>
    <row r="2171" spans="2:3" ht="14.25">
      <c r="B2171" s="3"/>
      <c r="C2171" s="4"/>
    </row>
    <row r="2172" spans="2:3" ht="14.25">
      <c r="B2172" s="3"/>
      <c r="C2172" s="4"/>
    </row>
    <row r="2173" spans="2:3" ht="14.25">
      <c r="B2173" s="3"/>
      <c r="C2173" s="4"/>
    </row>
    <row r="2174" spans="2:3" ht="14.25">
      <c r="B2174" s="3"/>
      <c r="C2174" s="4"/>
    </row>
    <row r="2175" spans="2:3" ht="14.25">
      <c r="B2175" s="3"/>
      <c r="C2175" s="4"/>
    </row>
    <row r="2176" spans="2:3" ht="14.25">
      <c r="B2176" s="3"/>
      <c r="C2176" s="4"/>
    </row>
    <row r="2177" spans="2:3" ht="14.25">
      <c r="B2177" s="3"/>
      <c r="C2177" s="4"/>
    </row>
    <row r="2178" spans="2:3" ht="14.25">
      <c r="B2178" s="3"/>
      <c r="C2178" s="4"/>
    </row>
    <row r="2179" spans="2:3" ht="14.25">
      <c r="B2179" s="3"/>
      <c r="C2179" s="4"/>
    </row>
    <row r="2180" spans="2:3" ht="14.25">
      <c r="B2180" s="3"/>
      <c r="C2180" s="4"/>
    </row>
    <row r="2181" spans="2:3" ht="14.25">
      <c r="B2181" s="3"/>
      <c r="C2181" s="4"/>
    </row>
    <row r="2182" spans="2:3" ht="14.25">
      <c r="B2182" s="3"/>
      <c r="C2182" s="4"/>
    </row>
    <row r="2183" spans="2:3" ht="14.25">
      <c r="B2183" s="3"/>
      <c r="C2183" s="4"/>
    </row>
    <row r="2184" spans="2:3" ht="14.25">
      <c r="B2184" s="3"/>
      <c r="C2184" s="4"/>
    </row>
    <row r="2185" spans="2:3" ht="14.25">
      <c r="B2185" s="3"/>
      <c r="C2185" s="4"/>
    </row>
    <row r="2186" spans="2:3" ht="14.25">
      <c r="B2186" s="3"/>
      <c r="C2186" s="4"/>
    </row>
    <row r="2187" spans="2:3" ht="14.25">
      <c r="B2187" s="3"/>
      <c r="C2187" s="4"/>
    </row>
    <row r="2188" spans="2:3" ht="14.25">
      <c r="B2188" s="3"/>
      <c r="C2188" s="4"/>
    </row>
    <row r="2189" spans="2:3" ht="14.25">
      <c r="B2189" s="3"/>
      <c r="C2189" s="4"/>
    </row>
    <row r="2190" spans="2:3" ht="14.25">
      <c r="B2190" s="3"/>
      <c r="C2190" s="4"/>
    </row>
    <row r="2191" spans="2:3" ht="14.25">
      <c r="B2191" s="3"/>
      <c r="C2191" s="4"/>
    </row>
    <row r="2192" spans="2:3" ht="14.25">
      <c r="B2192" s="3"/>
      <c r="C2192" s="4"/>
    </row>
    <row r="2193" spans="2:3" ht="14.25">
      <c r="B2193" s="3"/>
      <c r="C2193" s="4"/>
    </row>
    <row r="2194" spans="2:3" ht="14.25">
      <c r="B2194" s="3"/>
      <c r="C2194" s="4"/>
    </row>
    <row r="2195" spans="2:3" ht="14.25">
      <c r="B2195" s="3"/>
      <c r="C2195" s="4"/>
    </row>
    <row r="2196" spans="2:3" ht="14.25">
      <c r="B2196" s="3"/>
      <c r="C2196" s="4"/>
    </row>
    <row r="2197" spans="2:3" ht="14.25">
      <c r="B2197" s="3"/>
      <c r="C2197" s="4"/>
    </row>
    <row r="2198" spans="2:3" ht="14.25">
      <c r="B2198" s="3"/>
      <c r="C2198" s="4"/>
    </row>
    <row r="2199" spans="2:3" ht="14.25">
      <c r="B2199" s="3"/>
      <c r="C2199" s="4"/>
    </row>
    <row r="2200" spans="2:3" ht="14.25">
      <c r="B2200" s="3"/>
      <c r="C2200" s="4"/>
    </row>
    <row r="2201" spans="2:3" ht="14.25">
      <c r="B2201" s="3"/>
      <c r="C2201" s="4"/>
    </row>
    <row r="2202" spans="2:3" ht="14.25">
      <c r="B2202" s="3"/>
      <c r="C2202" s="4"/>
    </row>
    <row r="2203" spans="2:3" ht="14.25">
      <c r="B2203" s="3"/>
      <c r="C2203" s="4"/>
    </row>
    <row r="2204" spans="2:3" ht="14.25">
      <c r="B2204" s="3"/>
      <c r="C2204" s="4"/>
    </row>
    <row r="2205" spans="2:3" ht="14.25">
      <c r="B2205" s="3"/>
      <c r="C2205" s="4"/>
    </row>
    <row r="2206" spans="2:3" ht="14.25">
      <c r="B2206" s="3"/>
      <c r="C2206" s="4"/>
    </row>
    <row r="2207" spans="2:3" ht="14.25">
      <c r="B2207" s="3"/>
      <c r="C2207" s="4"/>
    </row>
    <row r="2208" spans="2:3" ht="14.25">
      <c r="B2208" s="3"/>
      <c r="C2208" s="4"/>
    </row>
    <row r="2209" spans="2:3" ht="14.25">
      <c r="B2209" s="3"/>
      <c r="C2209" s="4"/>
    </row>
    <row r="2210" spans="2:3" ht="14.25">
      <c r="B2210" s="3"/>
      <c r="C2210" s="4"/>
    </row>
    <row r="2211" spans="2:3" ht="14.25">
      <c r="B2211" s="3"/>
      <c r="C2211" s="4"/>
    </row>
    <row r="2212" spans="2:3" ht="14.25">
      <c r="B2212" s="3"/>
      <c r="C2212" s="4"/>
    </row>
    <row r="2213" spans="2:3" ht="14.25">
      <c r="B2213" s="3"/>
      <c r="C2213" s="4"/>
    </row>
    <row r="2214" spans="2:3" ht="14.25">
      <c r="B2214" s="3"/>
      <c r="C2214" s="4"/>
    </row>
    <row r="2215" spans="2:3" ht="14.25">
      <c r="B2215" s="3"/>
      <c r="C2215" s="4"/>
    </row>
    <row r="2216" spans="2:3" ht="14.25">
      <c r="B2216" s="3"/>
      <c r="C2216" s="4"/>
    </row>
    <row r="2217" spans="2:3" ht="14.25">
      <c r="B2217" s="3"/>
      <c r="C2217" s="4"/>
    </row>
    <row r="2218" spans="2:3" ht="14.25">
      <c r="B2218" s="3"/>
      <c r="C2218" s="4"/>
    </row>
    <row r="2219" spans="2:3" ht="14.25">
      <c r="B2219" s="3"/>
      <c r="C2219" s="4"/>
    </row>
    <row r="2220" spans="2:3" ht="14.25">
      <c r="B2220" s="3"/>
      <c r="C2220" s="4"/>
    </row>
    <row r="2221" spans="2:3" ht="14.25">
      <c r="B2221" s="3"/>
      <c r="C2221" s="4"/>
    </row>
    <row r="2222" spans="2:3" ht="14.25">
      <c r="B2222" s="3"/>
      <c r="C2222" s="4"/>
    </row>
    <row r="2223" spans="2:3" ht="14.25">
      <c r="B2223" s="3"/>
      <c r="C2223" s="4"/>
    </row>
    <row r="2224" spans="2:3" ht="14.25">
      <c r="B2224" s="3"/>
      <c r="C2224" s="4"/>
    </row>
    <row r="2225" spans="2:3" ht="14.25">
      <c r="B2225" s="3"/>
      <c r="C2225" s="4"/>
    </row>
    <row r="2226" spans="2:3" ht="14.25">
      <c r="B2226" s="3"/>
      <c r="C2226" s="4"/>
    </row>
    <row r="2227" spans="2:3" ht="14.25">
      <c r="B2227" s="3"/>
      <c r="C2227" s="4"/>
    </row>
    <row r="2228" spans="2:3" ht="14.25">
      <c r="B2228" s="3"/>
      <c r="C2228" s="4"/>
    </row>
    <row r="2229" spans="2:3" ht="14.25">
      <c r="B2229" s="3"/>
      <c r="C2229" s="4"/>
    </row>
    <row r="2230" spans="2:3" ht="14.25">
      <c r="B2230" s="3"/>
      <c r="C2230" s="4"/>
    </row>
    <row r="2231" spans="2:3" ht="14.25">
      <c r="B2231" s="3"/>
      <c r="C2231" s="4"/>
    </row>
    <row r="2232" spans="2:3" ht="14.25">
      <c r="B2232" s="3"/>
      <c r="C2232" s="4"/>
    </row>
    <row r="2233" spans="2:3" ht="14.25">
      <c r="B2233" s="3"/>
      <c r="C2233" s="4"/>
    </row>
    <row r="2234" spans="2:3" ht="14.25">
      <c r="B2234" s="3"/>
      <c r="C2234" s="4"/>
    </row>
    <row r="2235" spans="2:3" ht="14.25">
      <c r="B2235" s="3"/>
      <c r="C2235" s="4"/>
    </row>
    <row r="2236" spans="2:3" ht="14.25">
      <c r="B2236" s="3"/>
      <c r="C2236" s="4"/>
    </row>
    <row r="2237" spans="2:3" ht="14.25">
      <c r="B2237" s="3"/>
      <c r="C2237" s="4"/>
    </row>
    <row r="2238" spans="2:3" ht="14.25">
      <c r="B2238" s="3"/>
      <c r="C2238" s="4"/>
    </row>
    <row r="2239" spans="2:3" ht="14.25">
      <c r="B2239" s="3"/>
      <c r="C2239" s="4"/>
    </row>
    <row r="2240" spans="2:3" ht="14.25">
      <c r="B2240" s="3"/>
      <c r="C2240" s="4"/>
    </row>
    <row r="2241" spans="2:3" ht="14.25">
      <c r="B2241" s="3"/>
      <c r="C2241" s="4"/>
    </row>
    <row r="2242" spans="2:3" ht="14.25">
      <c r="B2242" s="3"/>
      <c r="C2242" s="4"/>
    </row>
    <row r="2243" spans="2:3" ht="14.25">
      <c r="B2243" s="3"/>
      <c r="C2243" s="4"/>
    </row>
    <row r="2244" spans="2:3" ht="14.25">
      <c r="B2244" s="3"/>
      <c r="C2244" s="4"/>
    </row>
    <row r="2245" spans="2:3" ht="14.25">
      <c r="B2245" s="3"/>
      <c r="C2245" s="4"/>
    </row>
    <row r="2246" spans="2:3" ht="14.25">
      <c r="B2246" s="3"/>
      <c r="C2246" s="4"/>
    </row>
    <row r="2247" spans="2:3" ht="14.25">
      <c r="B2247" s="3"/>
      <c r="C2247" s="4"/>
    </row>
    <row r="2248" spans="2:3" ht="14.25">
      <c r="B2248" s="3"/>
      <c r="C2248" s="4"/>
    </row>
    <row r="2249" spans="2:3" ht="14.25">
      <c r="B2249" s="3"/>
      <c r="C2249" s="4"/>
    </row>
    <row r="2250" spans="2:3" ht="14.25">
      <c r="B2250" s="3"/>
      <c r="C2250" s="4"/>
    </row>
    <row r="2251" spans="2:3" ht="14.25">
      <c r="B2251" s="3"/>
      <c r="C2251" s="4"/>
    </row>
    <row r="2252" spans="2:3" ht="14.25">
      <c r="B2252" s="3"/>
      <c r="C2252" s="4"/>
    </row>
    <row r="2253" spans="2:3" ht="14.25">
      <c r="B2253" s="3"/>
      <c r="C2253" s="4"/>
    </row>
    <row r="2254" spans="2:3" ht="14.25">
      <c r="B2254" s="3"/>
      <c r="C2254" s="4"/>
    </row>
    <row r="2255" spans="2:3" ht="14.25">
      <c r="B2255" s="3"/>
      <c r="C2255" s="4"/>
    </row>
    <row r="2256" spans="2:3" ht="14.25">
      <c r="B2256" s="3"/>
      <c r="C2256" s="4"/>
    </row>
    <row r="2257" spans="2:3" ht="14.25">
      <c r="B2257" s="3"/>
      <c r="C2257" s="4"/>
    </row>
    <row r="2258" spans="2:3" ht="14.25">
      <c r="B2258" s="3"/>
      <c r="C2258" s="4"/>
    </row>
    <row r="2259" spans="2:3" ht="14.25">
      <c r="B2259" s="3"/>
      <c r="C2259" s="4"/>
    </row>
    <row r="2260" spans="2:3" ht="14.25">
      <c r="B2260" s="3"/>
      <c r="C2260" s="4"/>
    </row>
    <row r="2261" spans="2:3" ht="14.25">
      <c r="B2261" s="3"/>
      <c r="C2261" s="4"/>
    </row>
    <row r="2262" spans="2:3" ht="14.25">
      <c r="B2262" s="3"/>
      <c r="C2262" s="4"/>
    </row>
    <row r="2263" spans="2:3" ht="14.25">
      <c r="B2263" s="3"/>
      <c r="C2263" s="4"/>
    </row>
    <row r="2264" spans="2:3" ht="14.25">
      <c r="B2264" s="3"/>
      <c r="C2264" s="4"/>
    </row>
    <row r="2265" spans="2:3" ht="14.25">
      <c r="B2265" s="3"/>
      <c r="C2265" s="4"/>
    </row>
    <row r="2266" spans="2:3" ht="14.25">
      <c r="B2266" s="3"/>
      <c r="C2266" s="4"/>
    </row>
    <row r="2267" spans="2:3" ht="14.25">
      <c r="B2267" s="3"/>
      <c r="C2267" s="4"/>
    </row>
    <row r="2268" spans="2:3" ht="14.25">
      <c r="B2268" s="3"/>
      <c r="C2268" s="4"/>
    </row>
    <row r="2269" spans="2:3" ht="14.25">
      <c r="B2269" s="3"/>
      <c r="C2269" s="4"/>
    </row>
    <row r="2270" spans="2:3" ht="14.25">
      <c r="B2270" s="3"/>
      <c r="C2270" s="4"/>
    </row>
    <row r="2271" spans="2:3" ht="14.25">
      <c r="B2271" s="3"/>
      <c r="C2271" s="4"/>
    </row>
    <row r="2272" spans="2:3" ht="14.25">
      <c r="B2272" s="3"/>
      <c r="C2272" s="4"/>
    </row>
    <row r="2273" spans="2:3" ht="14.25">
      <c r="B2273" s="3"/>
      <c r="C2273" s="4"/>
    </row>
    <row r="2274" spans="2:3" ht="14.25">
      <c r="B2274" s="3"/>
      <c r="C2274" s="4"/>
    </row>
    <row r="2275" spans="2:3" ht="14.25">
      <c r="B2275" s="3"/>
      <c r="C2275" s="4"/>
    </row>
    <row r="2276" spans="2:3" ht="14.25">
      <c r="B2276" s="3"/>
      <c r="C2276" s="4"/>
    </row>
    <row r="2277" spans="2:3" ht="14.25">
      <c r="B2277" s="3"/>
      <c r="C2277" s="4"/>
    </row>
    <row r="2278" spans="2:3" ht="14.25">
      <c r="B2278" s="3"/>
      <c r="C2278" s="4"/>
    </row>
    <row r="2279" spans="2:3" ht="14.25">
      <c r="B2279" s="3"/>
      <c r="C2279" s="4"/>
    </row>
    <row r="2280" spans="2:3" ht="14.25">
      <c r="B2280" s="3"/>
      <c r="C2280" s="4"/>
    </row>
    <row r="2281" spans="2:3" ht="14.25">
      <c r="B2281" s="3"/>
      <c r="C2281" s="4"/>
    </row>
    <row r="2282" spans="2:3" ht="14.25">
      <c r="B2282" s="3"/>
      <c r="C2282" s="4"/>
    </row>
    <row r="2283" spans="2:3" ht="14.25">
      <c r="B2283" s="3"/>
      <c r="C2283" s="4"/>
    </row>
    <row r="2284" spans="2:3" ht="14.25">
      <c r="B2284" s="3"/>
      <c r="C2284" s="4"/>
    </row>
    <row r="2285" spans="2:3" ht="14.25">
      <c r="B2285" s="3"/>
      <c r="C2285" s="4"/>
    </row>
    <row r="2286" spans="2:3" ht="14.25">
      <c r="B2286" s="3"/>
      <c r="C2286" s="4"/>
    </row>
    <row r="2287" spans="2:3" ht="14.25">
      <c r="B2287" s="3"/>
      <c r="C2287" s="4"/>
    </row>
    <row r="2288" spans="2:3" ht="14.25">
      <c r="B2288" s="3"/>
      <c r="C2288" s="4"/>
    </row>
    <row r="2289" spans="2:3" ht="14.25">
      <c r="B2289" s="3"/>
      <c r="C2289" s="4"/>
    </row>
    <row r="2290" spans="2:3" ht="14.25">
      <c r="B2290" s="3"/>
      <c r="C2290" s="4"/>
    </row>
    <row r="2291" spans="2:3" ht="14.25">
      <c r="B2291" s="3"/>
      <c r="C2291" s="4"/>
    </row>
    <row r="2292" spans="2:3" ht="14.25">
      <c r="B2292" s="3"/>
      <c r="C2292" s="4"/>
    </row>
    <row r="2293" spans="2:3" ht="14.25">
      <c r="B2293" s="3"/>
      <c r="C2293" s="4"/>
    </row>
    <row r="2294" spans="2:3" ht="14.25">
      <c r="B2294" s="3"/>
      <c r="C2294" s="4"/>
    </row>
    <row r="2295" spans="2:3" ht="14.25">
      <c r="B2295" s="3"/>
      <c r="C2295" s="4"/>
    </row>
    <row r="2296" spans="2:3" ht="14.25">
      <c r="B2296" s="3"/>
      <c r="C2296" s="4"/>
    </row>
    <row r="2297" spans="2:3" ht="14.25">
      <c r="B2297" s="3"/>
      <c r="C2297" s="4"/>
    </row>
    <row r="2298" spans="2:3" ht="14.25">
      <c r="B2298" s="3"/>
      <c r="C2298" s="4"/>
    </row>
    <row r="2299" spans="2:3" ht="14.25">
      <c r="B2299" s="3"/>
      <c r="C2299" s="4"/>
    </row>
    <row r="2300" spans="2:3" ht="14.25">
      <c r="B2300" s="3"/>
      <c r="C2300" s="4"/>
    </row>
    <row r="2301" spans="2:3" ht="14.25">
      <c r="B2301" s="3"/>
      <c r="C2301" s="4"/>
    </row>
    <row r="2302" spans="2:3" ht="14.25">
      <c r="B2302" s="3"/>
      <c r="C2302" s="4"/>
    </row>
    <row r="2303" spans="2:3" ht="14.25">
      <c r="B2303" s="3"/>
      <c r="C2303" s="4"/>
    </row>
    <row r="2304" spans="2:3" ht="14.25">
      <c r="B2304" s="3"/>
      <c r="C2304" s="4"/>
    </row>
    <row r="2305" spans="2:3" ht="14.25">
      <c r="B2305" s="3"/>
      <c r="C2305" s="4"/>
    </row>
    <row r="2306" spans="2:3" ht="14.25">
      <c r="B2306" s="3"/>
      <c r="C2306" s="4"/>
    </row>
    <row r="2307" spans="2:3" ht="14.25">
      <c r="B2307" s="3"/>
      <c r="C2307" s="4"/>
    </row>
    <row r="2308" spans="2:3" ht="14.25">
      <c r="B2308" s="3"/>
      <c r="C2308" s="4"/>
    </row>
    <row r="2309" spans="2:3" ht="14.25">
      <c r="B2309" s="3"/>
      <c r="C2309" s="4"/>
    </row>
    <row r="2310" spans="2:3" ht="14.25">
      <c r="B2310" s="3"/>
      <c r="C2310" s="4"/>
    </row>
    <row r="2311" spans="2:3" ht="14.25">
      <c r="B2311" s="3"/>
      <c r="C2311" s="4"/>
    </row>
    <row r="2312" spans="2:3" ht="14.25">
      <c r="B2312" s="3"/>
      <c r="C2312" s="4"/>
    </row>
    <row r="2313" spans="2:3" ht="14.25">
      <c r="B2313" s="3"/>
      <c r="C2313" s="4"/>
    </row>
    <row r="2314" spans="2:3" ht="14.25">
      <c r="B2314" s="3"/>
      <c r="C2314" s="4"/>
    </row>
    <row r="2315" spans="2:3" ht="14.25">
      <c r="B2315" s="3"/>
      <c r="C2315" s="4"/>
    </row>
    <row r="2316" spans="2:3" ht="14.25">
      <c r="B2316" s="3"/>
      <c r="C2316" s="4"/>
    </row>
    <row r="2317" spans="2:3" ht="14.25">
      <c r="B2317" s="3"/>
      <c r="C2317" s="4"/>
    </row>
    <row r="2318" spans="2:3" ht="14.25">
      <c r="B2318" s="3"/>
      <c r="C2318" s="4"/>
    </row>
    <row r="2319" spans="2:3" ht="14.25">
      <c r="B2319" s="3"/>
      <c r="C2319" s="4"/>
    </row>
    <row r="2320" spans="2:3" ht="14.25">
      <c r="B2320" s="3"/>
      <c r="C2320" s="4"/>
    </row>
    <row r="2321" spans="2:3" ht="14.25">
      <c r="B2321" s="3"/>
      <c r="C2321" s="4"/>
    </row>
    <row r="2322" spans="2:3" ht="14.25">
      <c r="B2322" s="3"/>
      <c r="C2322" s="4"/>
    </row>
    <row r="2323" spans="2:3" ht="14.25">
      <c r="B2323" s="3"/>
      <c r="C2323" s="4"/>
    </row>
    <row r="2324" spans="2:3" ht="14.25">
      <c r="B2324" s="3"/>
      <c r="C2324" s="4"/>
    </row>
    <row r="2325" spans="2:3" ht="14.25">
      <c r="B2325" s="3"/>
      <c r="C2325" s="4"/>
    </row>
    <row r="2326" spans="2:3" ht="14.25">
      <c r="B2326" s="3"/>
      <c r="C2326" s="4"/>
    </row>
    <row r="2327" spans="2:3" ht="14.25">
      <c r="B2327" s="3"/>
      <c r="C2327" s="4"/>
    </row>
    <row r="2328" spans="2:3" ht="14.25">
      <c r="B2328" s="3"/>
      <c r="C2328" s="4"/>
    </row>
    <row r="2329" spans="2:3" ht="14.25">
      <c r="B2329" s="3"/>
      <c r="C2329" s="4"/>
    </row>
    <row r="2330" spans="2:3" ht="14.25">
      <c r="B2330" s="3"/>
      <c r="C2330" s="4"/>
    </row>
    <row r="2331" spans="2:3" ht="14.25">
      <c r="B2331" s="3"/>
      <c r="C2331" s="4"/>
    </row>
    <row r="2332" spans="2:3" ht="14.25">
      <c r="B2332" s="3"/>
      <c r="C2332" s="4"/>
    </row>
    <row r="2333" spans="2:3" ht="14.25">
      <c r="B2333" s="3"/>
      <c r="C2333" s="4"/>
    </row>
    <row r="2334" spans="2:3" ht="14.25">
      <c r="B2334" s="3"/>
      <c r="C2334" s="4"/>
    </row>
    <row r="2335" spans="2:3" ht="14.25">
      <c r="B2335" s="3"/>
      <c r="C2335" s="4"/>
    </row>
    <row r="2336" spans="2:3" ht="14.25">
      <c r="B2336" s="3"/>
      <c r="C2336" s="4"/>
    </row>
    <row r="2337" spans="2:3" ht="14.25">
      <c r="B2337" s="3"/>
      <c r="C2337" s="4"/>
    </row>
    <row r="2338" spans="2:3" ht="14.25">
      <c r="B2338" s="3"/>
      <c r="C2338" s="4"/>
    </row>
    <row r="2339" spans="2:3" ht="14.25">
      <c r="B2339" s="3"/>
      <c r="C2339" s="4"/>
    </row>
    <row r="2340" spans="2:3" ht="14.25">
      <c r="B2340" s="3"/>
      <c r="C2340" s="4"/>
    </row>
    <row r="2341" spans="2:3" ht="14.25">
      <c r="B2341" s="3"/>
      <c r="C2341" s="4"/>
    </row>
    <row r="2342" spans="2:3" ht="14.25">
      <c r="B2342" s="3"/>
      <c r="C2342" s="4"/>
    </row>
    <row r="2343" spans="2:3" ht="14.25">
      <c r="B2343" s="3"/>
      <c r="C2343" s="4"/>
    </row>
    <row r="2344" spans="2:3" ht="14.25">
      <c r="B2344" s="3"/>
      <c r="C2344" s="4"/>
    </row>
    <row r="2345" spans="2:3" ht="14.25">
      <c r="B2345" s="3"/>
      <c r="C2345" s="4"/>
    </row>
    <row r="2346" spans="2:3" ht="14.25">
      <c r="B2346" s="3"/>
      <c r="C2346" s="4"/>
    </row>
    <row r="2347" spans="2:3" ht="14.25">
      <c r="B2347" s="3"/>
      <c r="C2347" s="4"/>
    </row>
    <row r="2348" spans="2:3" ht="14.25">
      <c r="B2348" s="3"/>
      <c r="C2348" s="4"/>
    </row>
    <row r="2349" spans="2:3" ht="14.25">
      <c r="B2349" s="3"/>
      <c r="C2349" s="4"/>
    </row>
    <row r="2350" spans="2:3" ht="14.25">
      <c r="B2350" s="3"/>
      <c r="C2350" s="4"/>
    </row>
    <row r="2351" spans="2:3" ht="14.25">
      <c r="B2351" s="3"/>
      <c r="C2351" s="4"/>
    </row>
    <row r="2352" spans="2:3" ht="14.25">
      <c r="B2352" s="3"/>
      <c r="C2352" s="4"/>
    </row>
    <row r="2353" spans="2:3" ht="14.25">
      <c r="B2353" s="3"/>
      <c r="C2353" s="4"/>
    </row>
    <row r="2354" spans="2:3" ht="14.25">
      <c r="B2354" s="3"/>
      <c r="C2354" s="4"/>
    </row>
    <row r="2355" spans="2:3" ht="14.25">
      <c r="B2355" s="3"/>
      <c r="C2355" s="4"/>
    </row>
    <row r="2356" spans="2:3" ht="14.25">
      <c r="B2356" s="3"/>
      <c r="C2356" s="4"/>
    </row>
    <row r="2357" spans="2:3" ht="14.25">
      <c r="B2357" s="3"/>
      <c r="C2357" s="4"/>
    </row>
    <row r="2358" spans="2:3" ht="14.25">
      <c r="B2358" s="3"/>
      <c r="C2358" s="4"/>
    </row>
    <row r="2359" spans="2:3" ht="14.25">
      <c r="B2359" s="3"/>
      <c r="C2359" s="4"/>
    </row>
    <row r="2360" spans="2:3" ht="14.25">
      <c r="B2360" s="3"/>
      <c r="C2360" s="4"/>
    </row>
    <row r="2361" spans="2:3" ht="14.25">
      <c r="B2361" s="3"/>
      <c r="C2361" s="4"/>
    </row>
    <row r="2362" spans="2:3" ht="14.25">
      <c r="B2362" s="3"/>
      <c r="C2362" s="4"/>
    </row>
    <row r="2363" spans="2:3" ht="14.25">
      <c r="B2363" s="3"/>
      <c r="C2363" s="4"/>
    </row>
    <row r="2364" spans="2:3" ht="14.25">
      <c r="B2364" s="3"/>
      <c r="C2364" s="4"/>
    </row>
    <row r="2365" spans="2:3" ht="14.25">
      <c r="B2365" s="3"/>
      <c r="C2365" s="4"/>
    </row>
    <row r="2366" spans="2:3" ht="14.25">
      <c r="B2366" s="3"/>
      <c r="C2366" s="4"/>
    </row>
    <row r="2367" spans="2:3" ht="14.25">
      <c r="B2367" s="3"/>
      <c r="C2367" s="4"/>
    </row>
    <row r="2368" spans="2:3" ht="14.25">
      <c r="B2368" s="3"/>
      <c r="C2368" s="4"/>
    </row>
    <row r="2369" spans="2:3" ht="14.25">
      <c r="B2369" s="3"/>
      <c r="C2369" s="4"/>
    </row>
    <row r="2370" spans="2:3" ht="14.25">
      <c r="B2370" s="3"/>
      <c r="C2370" s="4"/>
    </row>
    <row r="2371" spans="2:3" ht="14.25">
      <c r="B2371" s="3"/>
      <c r="C2371" s="4"/>
    </row>
    <row r="2372" spans="2:3" ht="14.25">
      <c r="B2372" s="3"/>
      <c r="C2372" s="4"/>
    </row>
    <row r="2373" spans="2:3" ht="14.25">
      <c r="B2373" s="3"/>
      <c r="C2373" s="4"/>
    </row>
    <row r="2374" spans="2:3" ht="14.25">
      <c r="B2374" s="3"/>
      <c r="C2374" s="4"/>
    </row>
    <row r="2375" spans="2:3" ht="14.25">
      <c r="B2375" s="3"/>
      <c r="C2375" s="4"/>
    </row>
    <row r="2376" spans="2:3" ht="14.25">
      <c r="B2376" s="3"/>
      <c r="C2376" s="4"/>
    </row>
    <row r="2377" spans="2:3" ht="14.25">
      <c r="B2377" s="3"/>
      <c r="C2377" s="4"/>
    </row>
    <row r="2378" spans="2:3" ht="14.25">
      <c r="B2378" s="3"/>
      <c r="C2378" s="4"/>
    </row>
    <row r="2379" spans="2:3" ht="14.25">
      <c r="B2379" s="3"/>
      <c r="C2379" s="4"/>
    </row>
    <row r="2380" spans="2:3" ht="14.25">
      <c r="B2380" s="3"/>
      <c r="C2380" s="4"/>
    </row>
    <row r="2381" spans="2:3" ht="14.25">
      <c r="B2381" s="3"/>
      <c r="C2381" s="4"/>
    </row>
    <row r="2382" spans="2:3" ht="14.25">
      <c r="B2382" s="3"/>
      <c r="C2382" s="4"/>
    </row>
    <row r="2383" spans="2:3" ht="14.25">
      <c r="B2383" s="3"/>
      <c r="C2383" s="4"/>
    </row>
    <row r="2384" spans="2:3" ht="14.25">
      <c r="B2384" s="3"/>
      <c r="C2384" s="4"/>
    </row>
    <row r="2385" spans="2:3" ht="14.25">
      <c r="B2385" s="3"/>
      <c r="C2385" s="4"/>
    </row>
    <row r="2386" spans="2:3" ht="14.25">
      <c r="B2386" s="3"/>
      <c r="C2386" s="4"/>
    </row>
    <row r="2387" spans="2:3" ht="14.25">
      <c r="B2387" s="3"/>
      <c r="C2387" s="4"/>
    </row>
    <row r="2388" spans="2:3" ht="14.25">
      <c r="B2388" s="3"/>
      <c r="C2388" s="4"/>
    </row>
    <row r="2389" spans="2:3" ht="14.25">
      <c r="B2389" s="3"/>
      <c r="C2389" s="4"/>
    </row>
    <row r="2390" spans="2:3" ht="14.25">
      <c r="B2390" s="3"/>
      <c r="C2390" s="4"/>
    </row>
    <row r="2391" spans="2:3" ht="14.25">
      <c r="B2391" s="3"/>
      <c r="C2391" s="4"/>
    </row>
    <row r="2392" spans="2:3" ht="14.25">
      <c r="B2392" s="3"/>
      <c r="C2392" s="4"/>
    </row>
    <row r="2393" spans="2:3" ht="14.25">
      <c r="B2393" s="3"/>
      <c r="C2393" s="4"/>
    </row>
    <row r="2394" spans="2:3" ht="14.25">
      <c r="B2394" s="3"/>
      <c r="C2394" s="4"/>
    </row>
    <row r="2395" spans="2:3" ht="14.25">
      <c r="B2395" s="3"/>
      <c r="C2395" s="4"/>
    </row>
    <row r="2396" spans="2:3" ht="14.25">
      <c r="B2396" s="3"/>
      <c r="C2396" s="4"/>
    </row>
    <row r="2397" spans="2:3" ht="14.25">
      <c r="B2397" s="3"/>
      <c r="C2397" s="4"/>
    </row>
    <row r="2398" spans="2:3" ht="14.25">
      <c r="B2398" s="3"/>
      <c r="C2398" s="4"/>
    </row>
    <row r="2399" spans="2:3" ht="14.25">
      <c r="B2399" s="3"/>
      <c r="C2399" s="4"/>
    </row>
    <row r="2400" spans="2:3" ht="14.25">
      <c r="B2400" s="3"/>
      <c r="C2400" s="4"/>
    </row>
    <row r="2401" spans="2:3" ht="14.25">
      <c r="B2401" s="3"/>
      <c r="C2401" s="4"/>
    </row>
    <row r="2402" spans="2:3" ht="14.25">
      <c r="B2402" s="3"/>
      <c r="C2402" s="4"/>
    </row>
    <row r="2403" spans="2:3" ht="14.25">
      <c r="B2403" s="3"/>
      <c r="C2403" s="4"/>
    </row>
    <row r="2404" spans="2:3" ht="14.25">
      <c r="B2404" s="3"/>
      <c r="C2404" s="4"/>
    </row>
    <row r="2405" spans="2:3" ht="14.25">
      <c r="B2405" s="3"/>
      <c r="C2405" s="4"/>
    </row>
    <row r="2406" spans="2:3" ht="14.25">
      <c r="B2406" s="3"/>
      <c r="C2406" s="4"/>
    </row>
    <row r="2407" spans="2:3" ht="14.25">
      <c r="B2407" s="3"/>
      <c r="C2407" s="4"/>
    </row>
    <row r="2408" spans="2:3" ht="14.25">
      <c r="B2408" s="3"/>
      <c r="C2408" s="4"/>
    </row>
    <row r="2409" spans="2:3" ht="14.25">
      <c r="B2409" s="3"/>
      <c r="C2409" s="4"/>
    </row>
    <row r="2410" spans="2:3" ht="14.25">
      <c r="B2410" s="3"/>
      <c r="C2410" s="4"/>
    </row>
    <row r="2411" spans="2:3" ht="14.25">
      <c r="B2411" s="3"/>
      <c r="C2411" s="4"/>
    </row>
    <row r="2412" spans="2:3" ht="14.25">
      <c r="B2412" s="3"/>
      <c r="C2412" s="4"/>
    </row>
    <row r="2413" spans="2:3" ht="14.25">
      <c r="B2413" s="3"/>
      <c r="C2413" s="4"/>
    </row>
    <row r="2414" spans="2:3" ht="14.25">
      <c r="B2414" s="3"/>
      <c r="C2414" s="4"/>
    </row>
    <row r="2415" spans="2:3" ht="14.25">
      <c r="B2415" s="3"/>
      <c r="C2415" s="4"/>
    </row>
    <row r="2416" spans="2:3" ht="14.25">
      <c r="B2416" s="3"/>
      <c r="C2416" s="4"/>
    </row>
    <row r="2417" spans="2:3" ht="14.25">
      <c r="B2417" s="3"/>
      <c r="C2417" s="4"/>
    </row>
    <row r="2418" spans="2:3" ht="14.25">
      <c r="B2418" s="3"/>
      <c r="C2418" s="4"/>
    </row>
    <row r="2419" spans="2:3" ht="14.25">
      <c r="B2419" s="3"/>
      <c r="C2419" s="4"/>
    </row>
    <row r="2420" spans="2:3" ht="14.25">
      <c r="B2420" s="3"/>
      <c r="C2420" s="4"/>
    </row>
    <row r="2421" spans="2:3" ht="14.25">
      <c r="B2421" s="3"/>
      <c r="C2421" s="4"/>
    </row>
    <row r="2422" spans="2:3" ht="14.25">
      <c r="B2422" s="3"/>
      <c r="C2422" s="4"/>
    </row>
    <row r="2423" spans="2:3" ht="14.25">
      <c r="B2423" s="3"/>
      <c r="C2423" s="4"/>
    </row>
    <row r="2424" spans="2:3" ht="14.25">
      <c r="B2424" s="3"/>
      <c r="C2424" s="4"/>
    </row>
    <row r="2425" spans="2:3" ht="14.25">
      <c r="B2425" s="3"/>
      <c r="C2425" s="4"/>
    </row>
    <row r="2426" spans="2:3" ht="14.25">
      <c r="B2426" s="3"/>
      <c r="C2426" s="4"/>
    </row>
    <row r="2427" spans="2:3" ht="14.25">
      <c r="B2427" s="3"/>
      <c r="C2427" s="4"/>
    </row>
    <row r="2428" spans="2:3" ht="14.25">
      <c r="B2428" s="3"/>
      <c r="C2428" s="4"/>
    </row>
    <row r="2429" spans="2:3" ht="14.25">
      <c r="B2429" s="3"/>
      <c r="C2429" s="4"/>
    </row>
    <row r="2430" spans="2:3" ht="14.25">
      <c r="B2430" s="3"/>
      <c r="C2430" s="4"/>
    </row>
    <row r="2431" spans="2:3" ht="14.25">
      <c r="B2431" s="3"/>
      <c r="C2431" s="4"/>
    </row>
    <row r="2432" spans="2:3" ht="14.25">
      <c r="B2432" s="3"/>
      <c r="C2432" s="4"/>
    </row>
    <row r="2433" spans="2:3" ht="14.25">
      <c r="B2433" s="3"/>
      <c r="C2433" s="4"/>
    </row>
    <row r="2434" spans="2:3" ht="14.25">
      <c r="B2434" s="3"/>
      <c r="C2434" s="4"/>
    </row>
    <row r="2435" spans="2:3" ht="14.25">
      <c r="B2435" s="3"/>
      <c r="C2435" s="4"/>
    </row>
    <row r="2436" spans="2:3" ht="14.25">
      <c r="B2436" s="3"/>
      <c r="C2436" s="4"/>
    </row>
    <row r="2437" spans="2:3" ht="14.25">
      <c r="B2437" s="3"/>
      <c r="C2437" s="4"/>
    </row>
    <row r="2438" spans="2:3" ht="14.25">
      <c r="B2438" s="3"/>
      <c r="C2438" s="4"/>
    </row>
    <row r="2439" spans="2:3" ht="14.25">
      <c r="B2439" s="3"/>
      <c r="C2439" s="4"/>
    </row>
    <row r="2440" spans="2:3" ht="14.25">
      <c r="B2440" s="3"/>
      <c r="C2440" s="4"/>
    </row>
    <row r="2441" spans="2:3" ht="14.25">
      <c r="B2441" s="3"/>
      <c r="C2441" s="4"/>
    </row>
    <row r="2442" spans="2:3" ht="14.25">
      <c r="B2442" s="3"/>
      <c r="C2442" s="4"/>
    </row>
    <row r="2443" spans="2:3" ht="14.25">
      <c r="B2443" s="3"/>
      <c r="C2443" s="4"/>
    </row>
    <row r="2444" spans="2:3" ht="14.25">
      <c r="B2444" s="3"/>
      <c r="C2444" s="4"/>
    </row>
    <row r="2445" spans="2:3" ht="14.25">
      <c r="B2445" s="3"/>
      <c r="C2445" s="4"/>
    </row>
    <row r="2446" spans="2:3" ht="14.25">
      <c r="B2446" s="3"/>
      <c r="C2446" s="4"/>
    </row>
    <row r="2447" spans="2:3" ht="14.25">
      <c r="B2447" s="3"/>
      <c r="C2447" s="4"/>
    </row>
    <row r="2448" spans="2:3" ht="14.25">
      <c r="B2448" s="3"/>
      <c r="C2448" s="4"/>
    </row>
    <row r="2449" spans="2:3" ht="14.25">
      <c r="B2449" s="3"/>
      <c r="C2449" s="4"/>
    </row>
    <row r="2450" spans="2:3" ht="14.25">
      <c r="B2450" s="3"/>
      <c r="C2450" s="4"/>
    </row>
    <row r="2451" spans="2:3" ht="14.25">
      <c r="B2451" s="3"/>
      <c r="C2451" s="4"/>
    </row>
    <row r="2452" spans="2:3" ht="14.25">
      <c r="B2452" s="3"/>
      <c r="C2452" s="4"/>
    </row>
    <row r="2453" spans="2:3" ht="14.25">
      <c r="B2453" s="3"/>
      <c r="C2453" s="4"/>
    </row>
    <row r="2454" spans="2:3" ht="14.25">
      <c r="B2454" s="3"/>
      <c r="C2454" s="4"/>
    </row>
    <row r="2455" spans="2:3" ht="14.25">
      <c r="B2455" s="3"/>
      <c r="C2455" s="4"/>
    </row>
    <row r="2456" spans="2:3" ht="14.25">
      <c r="B2456" s="3"/>
      <c r="C2456" s="4"/>
    </row>
    <row r="2457" spans="2:3" ht="14.25">
      <c r="B2457" s="3"/>
      <c r="C2457" s="4"/>
    </row>
    <row r="2458" spans="2:3" ht="14.25">
      <c r="B2458" s="3"/>
      <c r="C2458" s="4"/>
    </row>
    <row r="2459" spans="2:3" ht="14.25">
      <c r="B2459" s="3"/>
      <c r="C2459" s="4"/>
    </row>
    <row r="2460" spans="2:3" ht="14.25">
      <c r="B2460" s="3"/>
      <c r="C2460" s="4"/>
    </row>
    <row r="2461" spans="2:3" ht="14.25">
      <c r="B2461" s="3"/>
      <c r="C2461" s="4"/>
    </row>
    <row r="2462" spans="2:3" ht="14.25">
      <c r="B2462" s="3"/>
      <c r="C2462" s="4"/>
    </row>
    <row r="2463" spans="2:3" ht="14.25">
      <c r="B2463" s="3"/>
      <c r="C2463" s="4"/>
    </row>
    <row r="2464" spans="2:3" ht="14.25">
      <c r="B2464" s="3"/>
      <c r="C2464" s="4"/>
    </row>
    <row r="2465" spans="2:3" ht="14.25">
      <c r="B2465" s="3"/>
      <c r="C2465" s="4"/>
    </row>
    <row r="2466" spans="2:3" ht="14.25">
      <c r="B2466" s="3"/>
      <c r="C2466" s="4"/>
    </row>
    <row r="2467" spans="2:3" ht="14.25">
      <c r="B2467" s="3"/>
      <c r="C2467" s="4"/>
    </row>
    <row r="2468" spans="2:3" ht="14.25">
      <c r="B2468" s="3"/>
      <c r="C2468" s="4"/>
    </row>
    <row r="2469" spans="2:3" ht="14.25">
      <c r="B2469" s="3"/>
      <c r="C2469" s="4"/>
    </row>
    <row r="2470" spans="2:3" ht="14.25">
      <c r="B2470" s="3"/>
      <c r="C2470" s="4"/>
    </row>
    <row r="2471" spans="2:3" ht="14.25">
      <c r="B2471" s="3"/>
      <c r="C2471" s="4"/>
    </row>
    <row r="2472" spans="2:3" ht="14.25">
      <c r="B2472" s="3"/>
      <c r="C2472" s="4"/>
    </row>
    <row r="2473" spans="2:3" ht="14.25">
      <c r="B2473" s="3"/>
      <c r="C2473" s="4"/>
    </row>
    <row r="2474" spans="2:3" ht="14.25">
      <c r="B2474" s="3"/>
      <c r="C2474" s="4"/>
    </row>
    <row r="2475" spans="2:3" ht="14.25">
      <c r="B2475" s="3"/>
      <c r="C2475" s="4"/>
    </row>
    <row r="2476" spans="2:3" ht="14.25">
      <c r="B2476" s="3"/>
      <c r="C2476" s="4"/>
    </row>
    <row r="2477" spans="2:3" ht="14.25">
      <c r="B2477" s="3"/>
      <c r="C2477" s="4"/>
    </row>
    <row r="2478" spans="2:3" ht="14.25">
      <c r="B2478" s="3"/>
      <c r="C2478" s="4"/>
    </row>
    <row r="2479" spans="2:3" ht="14.25">
      <c r="B2479" s="3"/>
      <c r="C2479" s="4"/>
    </row>
    <row r="2480" spans="2:3" ht="14.25">
      <c r="B2480" s="3"/>
      <c r="C2480" s="4"/>
    </row>
    <row r="2481" spans="2:3" ht="14.25">
      <c r="B2481" s="3"/>
      <c r="C2481" s="4"/>
    </row>
    <row r="2482" spans="2:3" ht="14.25">
      <c r="B2482" s="3"/>
      <c r="C2482" s="4"/>
    </row>
    <row r="2483" spans="2:3" ht="14.25">
      <c r="B2483" s="3"/>
      <c r="C2483" s="4"/>
    </row>
    <row r="2484" spans="2:3" ht="14.25">
      <c r="B2484" s="3"/>
      <c r="C2484" s="4"/>
    </row>
    <row r="2485" spans="2:3" ht="14.25">
      <c r="B2485" s="3"/>
      <c r="C2485" s="4"/>
    </row>
    <row r="2486" spans="2:3" ht="14.25">
      <c r="B2486" s="3"/>
      <c r="C2486" s="4"/>
    </row>
    <row r="2487" spans="2:3" ht="14.25">
      <c r="B2487" s="3"/>
      <c r="C2487" s="4"/>
    </row>
    <row r="2488" spans="2:3" ht="14.25">
      <c r="B2488" s="3"/>
      <c r="C2488" s="4"/>
    </row>
    <row r="2489" spans="2:3" ht="14.25">
      <c r="B2489" s="3"/>
      <c r="C2489" s="4"/>
    </row>
    <row r="2490" spans="2:3" ht="14.25">
      <c r="B2490" s="3"/>
      <c r="C2490" s="4"/>
    </row>
    <row r="2491" spans="2:3" ht="14.25">
      <c r="B2491" s="3"/>
      <c r="C2491" s="4"/>
    </row>
    <row r="2492" spans="2:3" ht="14.25">
      <c r="B2492" s="3"/>
      <c r="C2492" s="4"/>
    </row>
    <row r="2493" spans="2:3" ht="14.25">
      <c r="B2493" s="3"/>
      <c r="C2493" s="4"/>
    </row>
    <row r="2494" spans="2:3" ht="14.25">
      <c r="B2494" s="3"/>
      <c r="C2494" s="4"/>
    </row>
    <row r="2495" spans="2:3" ht="14.25">
      <c r="B2495" s="3"/>
      <c r="C2495" s="4"/>
    </row>
    <row r="2496" spans="2:3" ht="14.25">
      <c r="B2496" s="3"/>
      <c r="C2496" s="4"/>
    </row>
    <row r="2497" spans="2:3" ht="14.25">
      <c r="B2497" s="3"/>
      <c r="C2497" s="4"/>
    </row>
    <row r="2498" spans="2:3" ht="14.25">
      <c r="B2498" s="3"/>
      <c r="C2498" s="4"/>
    </row>
    <row r="2499" spans="2:3" ht="14.25">
      <c r="B2499" s="3"/>
      <c r="C2499" s="4"/>
    </row>
    <row r="2500" spans="2:3" ht="14.25">
      <c r="B2500" s="3"/>
      <c r="C2500" s="4"/>
    </row>
    <row r="2501" spans="2:3" ht="14.25">
      <c r="B2501" s="3"/>
      <c r="C2501" s="4"/>
    </row>
    <row r="2502" spans="2:3" ht="14.25">
      <c r="B2502" s="3"/>
      <c r="C2502" s="4"/>
    </row>
    <row r="2503" spans="2:3" ht="14.25">
      <c r="B2503" s="3"/>
      <c r="C2503" s="4"/>
    </row>
    <row r="2504" spans="2:3" ht="14.25">
      <c r="B2504" s="3"/>
      <c r="C2504" s="4"/>
    </row>
    <row r="2505" spans="2:3" ht="14.25">
      <c r="B2505" s="3"/>
      <c r="C2505" s="4"/>
    </row>
    <row r="2506" spans="2:3" ht="14.25">
      <c r="B2506" s="3"/>
      <c r="C2506" s="4"/>
    </row>
    <row r="2507" spans="2:3" ht="14.25">
      <c r="B2507" s="3"/>
      <c r="C2507" s="4"/>
    </row>
    <row r="2508" spans="2:3" ht="14.25">
      <c r="B2508" s="3"/>
      <c r="C2508" s="4"/>
    </row>
    <row r="2509" spans="2:3" ht="14.25">
      <c r="B2509" s="3"/>
      <c r="C2509" s="4"/>
    </row>
    <row r="2510" spans="2:3" ht="14.25">
      <c r="B2510" s="3"/>
      <c r="C2510" s="4"/>
    </row>
    <row r="2511" spans="2:3" ht="14.25">
      <c r="B2511" s="3"/>
      <c r="C2511" s="4"/>
    </row>
    <row r="2512" spans="2:3" ht="14.25">
      <c r="B2512" s="3"/>
      <c r="C2512" s="4"/>
    </row>
    <row r="2513" spans="2:3" ht="14.25">
      <c r="B2513" s="3"/>
      <c r="C2513" s="4"/>
    </row>
    <row r="2514" spans="2:3" ht="14.25">
      <c r="B2514" s="3"/>
      <c r="C2514" s="4"/>
    </row>
    <row r="2515" spans="2:3" ht="14.25">
      <c r="B2515" s="3"/>
      <c r="C2515" s="4"/>
    </row>
    <row r="2516" spans="2:3" ht="14.25">
      <c r="B2516" s="3"/>
      <c r="C2516" s="4"/>
    </row>
    <row r="2517" spans="2:3" ht="14.25">
      <c r="B2517" s="3"/>
      <c r="C2517" s="4"/>
    </row>
    <row r="2518" spans="2:3" ht="14.25">
      <c r="B2518" s="3"/>
      <c r="C2518" s="4"/>
    </row>
    <row r="2519" spans="2:3" ht="14.25">
      <c r="B2519" s="3"/>
      <c r="C2519" s="4"/>
    </row>
    <row r="2520" spans="2:3" ht="14.25">
      <c r="B2520" s="3"/>
      <c r="C2520" s="4"/>
    </row>
    <row r="2521" spans="2:3" ht="14.25">
      <c r="B2521" s="3"/>
      <c r="C2521" s="4"/>
    </row>
    <row r="2522" spans="2:3" ht="14.25">
      <c r="B2522" s="3"/>
      <c r="C2522" s="4"/>
    </row>
    <row r="2523" spans="2:3" ht="14.25">
      <c r="B2523" s="3"/>
      <c r="C2523" s="4"/>
    </row>
    <row r="2524" spans="2:3" ht="14.25">
      <c r="B2524" s="3"/>
      <c r="C2524" s="4"/>
    </row>
    <row r="2525" spans="2:3" ht="14.25">
      <c r="B2525" s="3"/>
      <c r="C2525" s="4"/>
    </row>
    <row r="2526" spans="2:3" ht="14.25">
      <c r="B2526" s="3"/>
      <c r="C2526" s="4"/>
    </row>
    <row r="2527" spans="2:3" ht="14.25">
      <c r="B2527" s="3"/>
      <c r="C2527" s="4"/>
    </row>
    <row r="2528" spans="2:3" ht="14.25">
      <c r="B2528" s="3"/>
      <c r="C2528" s="4"/>
    </row>
    <row r="2529" spans="2:3" ht="14.25">
      <c r="B2529" s="3"/>
      <c r="C2529" s="4"/>
    </row>
    <row r="2530" spans="2:3" ht="14.25">
      <c r="B2530" s="3"/>
      <c r="C2530" s="4"/>
    </row>
    <row r="2531" spans="2:3" ht="14.25">
      <c r="B2531" s="3"/>
      <c r="C2531" s="4"/>
    </row>
    <row r="2532" spans="2:3" ht="14.25">
      <c r="B2532" s="3"/>
      <c r="C2532" s="4"/>
    </row>
    <row r="2533" spans="2:3" ht="14.25">
      <c r="B2533" s="3"/>
      <c r="C2533" s="4"/>
    </row>
    <row r="2534" spans="2:3" ht="14.25">
      <c r="B2534" s="3"/>
      <c r="C2534" s="4"/>
    </row>
    <row r="2535" spans="2:3" ht="14.25">
      <c r="B2535" s="3"/>
      <c r="C2535" s="4"/>
    </row>
    <row r="2536" spans="2:3" ht="14.25">
      <c r="B2536" s="3"/>
      <c r="C2536" s="4"/>
    </row>
    <row r="2537" spans="2:3" ht="14.25">
      <c r="B2537" s="3"/>
      <c r="C2537" s="4"/>
    </row>
    <row r="2538" spans="2:3" ht="14.25">
      <c r="B2538" s="3"/>
      <c r="C2538" s="4"/>
    </row>
    <row r="2539" spans="2:3" ht="14.25">
      <c r="B2539" s="3"/>
      <c r="C2539" s="4"/>
    </row>
    <row r="2540" spans="2:3" ht="14.25">
      <c r="B2540" s="3"/>
      <c r="C2540" s="4"/>
    </row>
    <row r="2541" spans="2:3" ht="14.25">
      <c r="B2541" s="3"/>
      <c r="C2541" s="4"/>
    </row>
    <row r="2542" spans="2:3" ht="14.25">
      <c r="B2542" s="3"/>
      <c r="C2542" s="4"/>
    </row>
    <row r="2543" spans="2:3" ht="14.25">
      <c r="B2543" s="3"/>
      <c r="C2543" s="4"/>
    </row>
    <row r="2544" spans="2:3" ht="14.25">
      <c r="B2544" s="3"/>
      <c r="C2544" s="4"/>
    </row>
    <row r="2545" spans="2:3" ht="14.25">
      <c r="B2545" s="3"/>
      <c r="C2545" s="4"/>
    </row>
    <row r="2546" spans="2:3" ht="14.25">
      <c r="B2546" s="3"/>
      <c r="C2546" s="4"/>
    </row>
    <row r="2547" spans="2:3" ht="14.25">
      <c r="B2547" s="3"/>
      <c r="C2547" s="4"/>
    </row>
    <row r="2548" spans="2:3" ht="14.25">
      <c r="B2548" s="3"/>
      <c r="C2548" s="4"/>
    </row>
    <row r="2549" spans="2:3" ht="14.25">
      <c r="B2549" s="3"/>
      <c r="C2549" s="4"/>
    </row>
    <row r="2550" spans="2:3" ht="14.25">
      <c r="B2550" s="3"/>
      <c r="C2550" s="4"/>
    </row>
    <row r="2551" spans="2:3" ht="14.25">
      <c r="B2551" s="3"/>
      <c r="C2551" s="4"/>
    </row>
    <row r="2552" spans="2:3" ht="14.25">
      <c r="B2552" s="3"/>
      <c r="C2552" s="4"/>
    </row>
    <row r="2553" spans="2:3" ht="14.25">
      <c r="B2553" s="3"/>
      <c r="C2553" s="4"/>
    </row>
    <row r="2554" spans="2:3" ht="14.25">
      <c r="B2554" s="3"/>
      <c r="C2554" s="4"/>
    </row>
    <row r="2555" spans="2:3" ht="14.25">
      <c r="B2555" s="3"/>
      <c r="C2555" s="4"/>
    </row>
    <row r="2556" spans="2:3" ht="14.25">
      <c r="B2556" s="3"/>
      <c r="C2556" s="4"/>
    </row>
    <row r="2557" spans="2:3" ht="14.25">
      <c r="B2557" s="3"/>
      <c r="C2557" s="4"/>
    </row>
    <row r="2558" spans="2:3" ht="14.25">
      <c r="B2558" s="3"/>
      <c r="C2558" s="4"/>
    </row>
    <row r="2559" spans="2:3" ht="14.25">
      <c r="B2559" s="3"/>
      <c r="C2559" s="4"/>
    </row>
    <row r="2560" spans="2:3" ht="14.25">
      <c r="B2560" s="3"/>
      <c r="C2560" s="4"/>
    </row>
    <row r="2561" spans="2:3" ht="14.25">
      <c r="B2561" s="3"/>
      <c r="C2561" s="4"/>
    </row>
    <row r="2562" spans="2:3" ht="14.25">
      <c r="B2562" s="3"/>
      <c r="C2562" s="4"/>
    </row>
    <row r="2563" spans="2:3" ht="14.25">
      <c r="B2563" s="3"/>
      <c r="C2563" s="4"/>
    </row>
    <row r="2564" spans="2:3" ht="14.25">
      <c r="B2564" s="3"/>
      <c r="C2564" s="4"/>
    </row>
    <row r="2565" spans="2:3" ht="14.25">
      <c r="B2565" s="3"/>
      <c r="C2565" s="4"/>
    </row>
    <row r="2566" spans="2:3" ht="14.25">
      <c r="B2566" s="3"/>
      <c r="C2566" s="4"/>
    </row>
    <row r="2567" spans="2:3" ht="14.25">
      <c r="B2567" s="3"/>
      <c r="C2567" s="4"/>
    </row>
    <row r="2568" spans="2:3" ht="14.25">
      <c r="B2568" s="3"/>
      <c r="C2568" s="4"/>
    </row>
    <row r="2569" spans="2:3" ht="14.25">
      <c r="B2569" s="3"/>
      <c r="C2569" s="4"/>
    </row>
    <row r="2570" spans="2:3" ht="14.25">
      <c r="B2570" s="3"/>
      <c r="C2570" s="4"/>
    </row>
    <row r="2571" spans="2:3" ht="14.25">
      <c r="B2571" s="3"/>
      <c r="C2571" s="4"/>
    </row>
    <row r="2572" spans="2:3" ht="14.25">
      <c r="B2572" s="3"/>
      <c r="C2572" s="4"/>
    </row>
    <row r="2573" spans="2:3" ht="14.25">
      <c r="B2573" s="3"/>
      <c r="C2573" s="4"/>
    </row>
    <row r="2574" spans="2:3" ht="14.25">
      <c r="B2574" s="3"/>
      <c r="C2574" s="4"/>
    </row>
    <row r="2575" spans="2:3" ht="14.25">
      <c r="B2575" s="3"/>
      <c r="C2575" s="4"/>
    </row>
    <row r="2576" spans="2:3" ht="14.25">
      <c r="B2576" s="3"/>
      <c r="C2576" s="4"/>
    </row>
    <row r="2577" spans="2:3" ht="14.25">
      <c r="B2577" s="3"/>
      <c r="C2577" s="4"/>
    </row>
    <row r="2578" spans="2:3" ht="14.25">
      <c r="B2578" s="3"/>
      <c r="C2578" s="4"/>
    </row>
    <row r="2579" spans="2:3" ht="14.25">
      <c r="B2579" s="3"/>
      <c r="C2579" s="4"/>
    </row>
    <row r="2580" spans="2:3" ht="14.25">
      <c r="B2580" s="3"/>
      <c r="C2580" s="4"/>
    </row>
    <row r="2581" spans="2:3" ht="14.25">
      <c r="B2581" s="3"/>
      <c r="C2581" s="4"/>
    </row>
    <row r="2582" spans="2:3" ht="14.25">
      <c r="B2582" s="3"/>
      <c r="C2582" s="4"/>
    </row>
    <row r="2583" spans="2:3" ht="14.25">
      <c r="B2583" s="3"/>
      <c r="C2583" s="4"/>
    </row>
    <row r="2584" spans="2:3" ht="14.25">
      <c r="B2584" s="3"/>
      <c r="C2584" s="4"/>
    </row>
    <row r="2585" spans="2:3" ht="14.25">
      <c r="B2585" s="3"/>
      <c r="C2585" s="4"/>
    </row>
    <row r="2586" spans="2:3" ht="14.25">
      <c r="B2586" s="3"/>
      <c r="C2586" s="4"/>
    </row>
    <row r="2587" spans="2:3" ht="14.25">
      <c r="B2587" s="3"/>
      <c r="C2587" s="4"/>
    </row>
    <row r="2588" spans="2:3" ht="14.25">
      <c r="B2588" s="3"/>
      <c r="C2588" s="4"/>
    </row>
    <row r="2589" spans="2:3" ht="14.25">
      <c r="B2589" s="3"/>
      <c r="C2589" s="4"/>
    </row>
    <row r="2590" spans="2:3" ht="14.25">
      <c r="B2590" s="3"/>
      <c r="C2590" s="4"/>
    </row>
    <row r="2591" spans="2:3" ht="14.25">
      <c r="B2591" s="3"/>
      <c r="C2591" s="4"/>
    </row>
    <row r="2592" spans="2:3" ht="14.25">
      <c r="B2592" s="3"/>
      <c r="C2592" s="4"/>
    </row>
    <row r="2593" spans="2:3" ht="14.25">
      <c r="B2593" s="3"/>
      <c r="C2593" s="4"/>
    </row>
    <row r="2594" spans="2:3" ht="14.25">
      <c r="B2594" s="3"/>
      <c r="C2594" s="4"/>
    </row>
    <row r="2595" spans="2:3" ht="14.25">
      <c r="B2595" s="3"/>
      <c r="C2595" s="4"/>
    </row>
    <row r="2596" spans="2:3" ht="14.25">
      <c r="B2596" s="3"/>
      <c r="C2596" s="4"/>
    </row>
    <row r="2597" spans="2:3" ht="14.25">
      <c r="B2597" s="3"/>
      <c r="C2597" s="4"/>
    </row>
    <row r="2598" spans="2:3" ht="14.25">
      <c r="B2598" s="3"/>
      <c r="C2598" s="4"/>
    </row>
    <row r="2599" spans="2:3" ht="14.25">
      <c r="B2599" s="3"/>
      <c r="C2599" s="4"/>
    </row>
    <row r="2600" spans="2:3" ht="14.25">
      <c r="B2600" s="3"/>
      <c r="C2600" s="4"/>
    </row>
    <row r="2601" spans="2:3" ht="14.25">
      <c r="B2601" s="3"/>
      <c r="C2601" s="4"/>
    </row>
    <row r="2602" spans="2:3" ht="14.25">
      <c r="B2602" s="3"/>
      <c r="C2602" s="4"/>
    </row>
    <row r="2603" spans="2:3" ht="14.25">
      <c r="B2603" s="3"/>
      <c r="C2603" s="4"/>
    </row>
    <row r="2604" spans="2:3" ht="14.25">
      <c r="B2604" s="3"/>
      <c r="C2604" s="4"/>
    </row>
    <row r="2605" spans="2:3" ht="14.25">
      <c r="B2605" s="3"/>
      <c r="C2605" s="4"/>
    </row>
    <row r="2606" spans="2:3" ht="14.25">
      <c r="B2606" s="3"/>
      <c r="C2606" s="4"/>
    </row>
    <row r="2607" spans="2:3" ht="14.25">
      <c r="B2607" s="3"/>
      <c r="C2607" s="4"/>
    </row>
    <row r="2608" spans="2:3" ht="14.25">
      <c r="B2608" s="3"/>
      <c r="C2608" s="4"/>
    </row>
    <row r="2609" spans="2:3" ht="14.25">
      <c r="B2609" s="3"/>
      <c r="C2609" s="4"/>
    </row>
    <row r="2610" spans="2:3" ht="14.25">
      <c r="B2610" s="3"/>
      <c r="C2610" s="4"/>
    </row>
    <row r="2611" spans="2:3" ht="14.25">
      <c r="B2611" s="3"/>
      <c r="C2611" s="4"/>
    </row>
    <row r="2612" spans="2:3" ht="14.25">
      <c r="B2612" s="3"/>
      <c r="C2612" s="4"/>
    </row>
    <row r="2613" spans="2:3" ht="14.25">
      <c r="B2613" s="3"/>
      <c r="C2613" s="4"/>
    </row>
    <row r="2614" spans="2:3" ht="14.25">
      <c r="B2614" s="3"/>
      <c r="C2614" s="4"/>
    </row>
    <row r="2615" spans="2:3" ht="14.25">
      <c r="B2615" s="3"/>
      <c r="C2615" s="4"/>
    </row>
    <row r="2616" spans="2:3" ht="14.25">
      <c r="B2616" s="3"/>
      <c r="C2616" s="4"/>
    </row>
    <row r="2617" spans="2:3" ht="14.25">
      <c r="B2617" s="3"/>
      <c r="C2617" s="4"/>
    </row>
    <row r="2618" spans="2:3" ht="14.25">
      <c r="B2618" s="3"/>
      <c r="C2618" s="4"/>
    </row>
    <row r="2619" spans="2:3" ht="14.25">
      <c r="B2619" s="3"/>
      <c r="C2619" s="4"/>
    </row>
    <row r="2620" spans="2:3" ht="14.25">
      <c r="B2620" s="3"/>
      <c r="C2620" s="4"/>
    </row>
    <row r="2621" spans="2:3" ht="14.25">
      <c r="B2621" s="3"/>
      <c r="C2621" s="4"/>
    </row>
    <row r="2622" spans="2:3" ht="14.25">
      <c r="B2622" s="3"/>
      <c r="C2622" s="4"/>
    </row>
    <row r="2623" spans="2:3" ht="14.25">
      <c r="B2623" s="3"/>
      <c r="C2623" s="4"/>
    </row>
    <row r="2624" spans="2:3" ht="14.25">
      <c r="B2624" s="3"/>
      <c r="C2624" s="4"/>
    </row>
    <row r="2625" spans="2:3" ht="14.25">
      <c r="B2625" s="3"/>
      <c r="C2625" s="4"/>
    </row>
    <row r="2626" spans="2:3" ht="14.25">
      <c r="B2626" s="3"/>
      <c r="C2626" s="4"/>
    </row>
    <row r="2627" spans="2:3" ht="14.25">
      <c r="B2627" s="3"/>
      <c r="C2627" s="4"/>
    </row>
    <row r="2628" spans="2:3" ht="14.25">
      <c r="B2628" s="3"/>
      <c r="C2628" s="4"/>
    </row>
    <row r="2629" spans="2:3" ht="14.25">
      <c r="B2629" s="3"/>
      <c r="C2629" s="4"/>
    </row>
    <row r="2630" spans="2:3" ht="14.25">
      <c r="B2630" s="3"/>
      <c r="C2630" s="4"/>
    </row>
    <row r="2631" spans="2:3" ht="14.25">
      <c r="B2631" s="3"/>
      <c r="C2631" s="4"/>
    </row>
    <row r="2632" spans="2:3" ht="14.25">
      <c r="B2632" s="3"/>
      <c r="C2632" s="4"/>
    </row>
    <row r="2633" spans="2:3" ht="14.25">
      <c r="B2633" s="3"/>
      <c r="C2633" s="4"/>
    </row>
    <row r="2634" spans="2:3" ht="14.25">
      <c r="B2634" s="3"/>
      <c r="C2634" s="4"/>
    </row>
    <row r="2635" spans="2:3" ht="14.25">
      <c r="B2635" s="3"/>
      <c r="C2635" s="4"/>
    </row>
    <row r="2636" spans="2:3" ht="14.25">
      <c r="B2636" s="3"/>
      <c r="C2636" s="4"/>
    </row>
    <row r="2637" spans="2:3" ht="14.25">
      <c r="B2637" s="3"/>
      <c r="C2637" s="4"/>
    </row>
    <row r="2638" spans="2:3" ht="14.25">
      <c r="B2638" s="3"/>
      <c r="C2638" s="4"/>
    </row>
    <row r="2639" spans="2:3" ht="14.25">
      <c r="B2639" s="3"/>
      <c r="C2639" s="4"/>
    </row>
    <row r="2640" spans="2:3" ht="14.25">
      <c r="B2640" s="3"/>
      <c r="C2640" s="4"/>
    </row>
    <row r="2641" spans="2:3" ht="14.25">
      <c r="B2641" s="3"/>
      <c r="C2641" s="4"/>
    </row>
    <row r="2642" spans="2:3" ht="14.25">
      <c r="B2642" s="3"/>
      <c r="C2642" s="4"/>
    </row>
    <row r="2643" spans="2:3" ht="14.25">
      <c r="B2643" s="3"/>
      <c r="C2643" s="4"/>
    </row>
    <row r="2644" spans="2:3" ht="14.25">
      <c r="B2644" s="3"/>
      <c r="C2644" s="4"/>
    </row>
    <row r="2645" spans="2:3" ht="14.25">
      <c r="B2645" s="3"/>
      <c r="C2645" s="4"/>
    </row>
    <row r="2646" spans="2:3" ht="14.25">
      <c r="B2646" s="3"/>
      <c r="C2646" s="4"/>
    </row>
    <row r="2647" spans="2:3" ht="14.25">
      <c r="B2647" s="3"/>
      <c r="C2647" s="4"/>
    </row>
    <row r="2648" spans="2:3" ht="14.25">
      <c r="B2648" s="3"/>
      <c r="C2648" s="4"/>
    </row>
    <row r="2649" spans="2:3" ht="14.25">
      <c r="B2649" s="3"/>
      <c r="C2649" s="4"/>
    </row>
    <row r="2650" spans="2:3" ht="14.25">
      <c r="B2650" s="3"/>
      <c r="C2650" s="4"/>
    </row>
    <row r="2651" spans="2:3" ht="14.25">
      <c r="B2651" s="3"/>
      <c r="C2651" s="4"/>
    </row>
    <row r="2652" spans="2:3" ht="14.25">
      <c r="B2652" s="3"/>
      <c r="C2652" s="4"/>
    </row>
    <row r="2653" spans="2:3" ht="14.25">
      <c r="B2653" s="3"/>
      <c r="C2653" s="4"/>
    </row>
    <row r="2654" spans="2:3" ht="14.25">
      <c r="B2654" s="3"/>
      <c r="C2654" s="4"/>
    </row>
    <row r="2655" spans="2:3" ht="14.25">
      <c r="B2655" s="3"/>
      <c r="C2655" s="4"/>
    </row>
    <row r="2656" spans="2:3" ht="14.25">
      <c r="B2656" s="3"/>
      <c r="C2656" s="4"/>
    </row>
    <row r="2657" spans="2:3" ht="14.25">
      <c r="B2657" s="3"/>
      <c r="C2657" s="4"/>
    </row>
    <row r="2658" spans="2:3" ht="14.25">
      <c r="B2658" s="3"/>
      <c r="C2658" s="4"/>
    </row>
    <row r="2659" spans="2:3" ht="14.25">
      <c r="B2659" s="3"/>
      <c r="C2659" s="4"/>
    </row>
    <row r="2660" spans="2:3" ht="14.25">
      <c r="B2660" s="3"/>
      <c r="C2660" s="4"/>
    </row>
    <row r="2661" spans="2:3" ht="14.25">
      <c r="B2661" s="3"/>
      <c r="C2661" s="4"/>
    </row>
    <row r="2662" spans="2:3" ht="14.25">
      <c r="B2662" s="3"/>
      <c r="C2662" s="4"/>
    </row>
    <row r="2663" spans="2:3" ht="14.25">
      <c r="B2663" s="3"/>
      <c r="C2663" s="4"/>
    </row>
    <row r="2664" spans="2:3" ht="14.25">
      <c r="B2664" s="3"/>
      <c r="C2664" s="4"/>
    </row>
    <row r="2665" spans="2:3" ht="14.25">
      <c r="B2665" s="3"/>
      <c r="C2665" s="4"/>
    </row>
    <row r="2666" spans="2:3" ht="14.25">
      <c r="B2666" s="3"/>
      <c r="C2666" s="4"/>
    </row>
    <row r="2667" spans="2:3" ht="14.25">
      <c r="B2667" s="3"/>
      <c r="C2667" s="4"/>
    </row>
    <row r="2668" spans="2:3" ht="14.25">
      <c r="B2668" s="3"/>
      <c r="C2668" s="4"/>
    </row>
    <row r="2669" spans="2:3" ht="14.25">
      <c r="B2669" s="3"/>
      <c r="C2669" s="4"/>
    </row>
    <row r="2670" spans="2:3" ht="14.25">
      <c r="B2670" s="3"/>
      <c r="C2670" s="4"/>
    </row>
    <row r="2671" spans="2:3" ht="14.25">
      <c r="B2671" s="3"/>
      <c r="C2671" s="4"/>
    </row>
    <row r="2672" spans="2:3" ht="14.25">
      <c r="B2672" s="3"/>
      <c r="C2672" s="4"/>
    </row>
    <row r="2673" spans="2:3" ht="14.25">
      <c r="B2673" s="3"/>
      <c r="C2673" s="4"/>
    </row>
    <row r="2674" spans="2:3" ht="14.25">
      <c r="B2674" s="3"/>
      <c r="C2674" s="4"/>
    </row>
    <row r="2675" spans="2:3" ht="14.25">
      <c r="B2675" s="3"/>
      <c r="C2675" s="4"/>
    </row>
    <row r="2676" spans="2:3" ht="14.25">
      <c r="B2676" s="3"/>
      <c r="C2676" s="4"/>
    </row>
    <row r="2677" spans="2:3" ht="14.25">
      <c r="B2677" s="3"/>
      <c r="C2677" s="4"/>
    </row>
    <row r="2678" spans="2:3" ht="14.25">
      <c r="B2678" s="3"/>
      <c r="C2678" s="4"/>
    </row>
    <row r="2679" spans="2:3" ht="14.25">
      <c r="B2679" s="3"/>
      <c r="C2679" s="4"/>
    </row>
    <row r="2680" spans="2:3" ht="14.25">
      <c r="B2680" s="3"/>
      <c r="C2680" s="4"/>
    </row>
    <row r="2681" spans="2:3" ht="14.25">
      <c r="B2681" s="3"/>
      <c r="C2681" s="4"/>
    </row>
    <row r="2682" spans="2:3" ht="14.25">
      <c r="B2682" s="3"/>
      <c r="C2682" s="4"/>
    </row>
    <row r="2683" spans="2:3" ht="14.25">
      <c r="B2683" s="3"/>
      <c r="C2683" s="4"/>
    </row>
    <row r="2684" spans="2:3" ht="14.25">
      <c r="B2684" s="3"/>
      <c r="C2684" s="4"/>
    </row>
    <row r="2685" spans="2:3" ht="14.25">
      <c r="B2685" s="3"/>
      <c r="C2685" s="4"/>
    </row>
    <row r="2686" spans="2:3" ht="14.25">
      <c r="B2686" s="3"/>
      <c r="C2686" s="4"/>
    </row>
    <row r="2687" spans="2:3" ht="14.25">
      <c r="B2687" s="3"/>
      <c r="C2687" s="4"/>
    </row>
    <row r="2688" spans="2:3" ht="14.25">
      <c r="B2688" s="3"/>
      <c r="C2688" s="4"/>
    </row>
    <row r="2689" spans="2:3" ht="14.25">
      <c r="B2689" s="3"/>
      <c r="C2689" s="4"/>
    </row>
    <row r="2690" spans="2:3" ht="14.25">
      <c r="B2690" s="3"/>
      <c r="C2690" s="4"/>
    </row>
    <row r="2691" spans="2:3" ht="14.25">
      <c r="B2691" s="3"/>
      <c r="C2691" s="4"/>
    </row>
    <row r="2692" spans="2:3" ht="14.25">
      <c r="B2692" s="3"/>
      <c r="C2692" s="4"/>
    </row>
    <row r="2693" spans="2:3" ht="14.25">
      <c r="B2693" s="3"/>
      <c r="C2693" s="4"/>
    </row>
    <row r="2694" spans="2:3" ht="14.25">
      <c r="B2694" s="3"/>
      <c r="C2694" s="4"/>
    </row>
    <row r="2695" spans="2:3" ht="14.25">
      <c r="B2695" s="3"/>
      <c r="C2695" s="4"/>
    </row>
    <row r="2696" spans="2:3" ht="14.25">
      <c r="B2696" s="3"/>
      <c r="C2696" s="4"/>
    </row>
    <row r="2697" spans="2:3" ht="14.25">
      <c r="B2697" s="3"/>
      <c r="C2697" s="4"/>
    </row>
    <row r="2698" spans="2:3" ht="14.25">
      <c r="B2698" s="3"/>
      <c r="C2698" s="4"/>
    </row>
    <row r="2699" spans="2:3" ht="14.25">
      <c r="B2699" s="3"/>
      <c r="C2699" s="4"/>
    </row>
    <row r="2700" spans="2:3" ht="14.25">
      <c r="B2700" s="3"/>
      <c r="C2700" s="4"/>
    </row>
    <row r="2701" spans="2:3" ht="14.25">
      <c r="B2701" s="3"/>
      <c r="C2701" s="4"/>
    </row>
    <row r="2702" spans="2:3" ht="14.25">
      <c r="B2702" s="3"/>
      <c r="C2702" s="4"/>
    </row>
    <row r="2703" spans="2:3" ht="14.25">
      <c r="B2703" s="3"/>
      <c r="C2703" s="4"/>
    </row>
    <row r="2704" spans="2:3" ht="14.25">
      <c r="B2704" s="3"/>
      <c r="C2704" s="4"/>
    </row>
    <row r="2705" spans="2:3" ht="14.25">
      <c r="B2705" s="3"/>
      <c r="C2705" s="4"/>
    </row>
    <row r="2706" spans="2:3" ht="14.25">
      <c r="B2706" s="3"/>
      <c r="C2706" s="4"/>
    </row>
    <row r="2707" spans="2:3" ht="14.25">
      <c r="B2707" s="3"/>
      <c r="C2707" s="4"/>
    </row>
    <row r="2708" spans="2:3" ht="14.25">
      <c r="B2708" s="3"/>
      <c r="C2708" s="4"/>
    </row>
    <row r="2709" spans="2:3" ht="14.25">
      <c r="B2709" s="3"/>
      <c r="C2709" s="4"/>
    </row>
    <row r="2710" spans="2:3" ht="14.25">
      <c r="B2710" s="3"/>
      <c r="C2710" s="4"/>
    </row>
    <row r="2711" spans="2:3" ht="14.25">
      <c r="B2711" s="3"/>
      <c r="C2711" s="4"/>
    </row>
    <row r="2712" spans="2:3" ht="14.25">
      <c r="B2712" s="3"/>
      <c r="C2712" s="4"/>
    </row>
    <row r="2713" spans="2:3" ht="14.25">
      <c r="B2713" s="3"/>
      <c r="C2713" s="4"/>
    </row>
    <row r="2714" spans="2:3" ht="14.25">
      <c r="B2714" s="3"/>
      <c r="C2714" s="4"/>
    </row>
    <row r="2715" spans="2:3" ht="14.25">
      <c r="B2715" s="3"/>
      <c r="C2715" s="4"/>
    </row>
    <row r="2716" spans="2:3" ht="14.25">
      <c r="B2716" s="3"/>
      <c r="C2716" s="4"/>
    </row>
    <row r="2717" spans="2:3" ht="14.25">
      <c r="B2717" s="3"/>
      <c r="C2717" s="4"/>
    </row>
    <row r="2718" spans="2:3" ht="14.25">
      <c r="B2718" s="3"/>
      <c r="C2718" s="4"/>
    </row>
    <row r="2719" spans="2:3" ht="14.25">
      <c r="B2719" s="3"/>
      <c r="C2719" s="4"/>
    </row>
    <row r="2720" spans="2:3" ht="14.25">
      <c r="B2720" s="3"/>
      <c r="C2720" s="4"/>
    </row>
    <row r="2721" spans="2:3" ht="14.25">
      <c r="B2721" s="3"/>
      <c r="C2721" s="4"/>
    </row>
    <row r="2722" spans="2:3" ht="14.25">
      <c r="B2722" s="3"/>
      <c r="C2722" s="4"/>
    </row>
    <row r="2723" spans="2:3" ht="14.25">
      <c r="B2723" s="3"/>
      <c r="C2723" s="4"/>
    </row>
    <row r="2724" spans="2:3" ht="14.25">
      <c r="B2724" s="3"/>
      <c r="C2724" s="4"/>
    </row>
    <row r="2725" spans="2:3" ht="14.25">
      <c r="B2725" s="3"/>
      <c r="C2725" s="4"/>
    </row>
    <row r="2726" spans="2:3" ht="14.25">
      <c r="B2726" s="3"/>
      <c r="C2726" s="4"/>
    </row>
    <row r="2727" spans="2:3" ht="14.25">
      <c r="B2727" s="3"/>
      <c r="C2727" s="4"/>
    </row>
    <row r="2728" spans="2:3" ht="14.25">
      <c r="B2728" s="3"/>
      <c r="C2728" s="4"/>
    </row>
    <row r="2729" spans="2:3" ht="14.25">
      <c r="B2729" s="3"/>
      <c r="C2729" s="4"/>
    </row>
    <row r="2730" spans="2:3" ht="14.25">
      <c r="B2730" s="3"/>
      <c r="C2730" s="4"/>
    </row>
    <row r="2731" spans="2:3" ht="14.25">
      <c r="B2731" s="3"/>
      <c r="C2731" s="4"/>
    </row>
    <row r="2732" spans="2:3" ht="14.25">
      <c r="B2732" s="3"/>
      <c r="C2732" s="4"/>
    </row>
    <row r="2733" spans="2:3" ht="14.25">
      <c r="B2733" s="3"/>
      <c r="C2733" s="4"/>
    </row>
    <row r="2734" spans="2:3" ht="14.25">
      <c r="B2734" s="3"/>
      <c r="C2734" s="4"/>
    </row>
    <row r="2735" spans="2:3" ht="14.25">
      <c r="B2735" s="3"/>
      <c r="C2735" s="4"/>
    </row>
    <row r="2736" spans="2:3" ht="14.25">
      <c r="B2736" s="3"/>
      <c r="C2736" s="4"/>
    </row>
    <row r="2737" spans="2:3" ht="14.25">
      <c r="B2737" s="3"/>
      <c r="C2737" s="4"/>
    </row>
    <row r="2738" spans="2:3" ht="14.25">
      <c r="B2738" s="3"/>
      <c r="C2738" s="4"/>
    </row>
    <row r="2739" spans="2:3" ht="14.25">
      <c r="B2739" s="3"/>
      <c r="C2739" s="4"/>
    </row>
    <row r="2740" spans="2:3" ht="14.25">
      <c r="B2740" s="3"/>
      <c r="C2740" s="4"/>
    </row>
    <row r="2741" spans="2:3" ht="14.25">
      <c r="B2741" s="3"/>
      <c r="C2741" s="4"/>
    </row>
    <row r="2742" spans="2:3" ht="14.25">
      <c r="B2742" s="3"/>
      <c r="C2742" s="4"/>
    </row>
    <row r="2743" spans="2:3" ht="14.25">
      <c r="B2743" s="3"/>
      <c r="C2743" s="4"/>
    </row>
    <row r="2744" spans="2:3" ht="14.25">
      <c r="B2744" s="3"/>
      <c r="C2744" s="4"/>
    </row>
    <row r="2745" spans="2:3" ht="14.25">
      <c r="B2745" s="3"/>
      <c r="C2745" s="4"/>
    </row>
    <row r="2746" spans="2:3" ht="14.25">
      <c r="B2746" s="3"/>
      <c r="C2746" s="4"/>
    </row>
    <row r="2747" spans="2:3" ht="14.25">
      <c r="B2747" s="3"/>
      <c r="C2747" s="4"/>
    </row>
    <row r="2748" spans="2:3" ht="14.25">
      <c r="B2748" s="3"/>
      <c r="C2748" s="4"/>
    </row>
    <row r="2749" spans="2:3" ht="14.25">
      <c r="B2749" s="3"/>
      <c r="C2749" s="4"/>
    </row>
    <row r="2750" spans="2:3" ht="14.25">
      <c r="B2750" s="3"/>
      <c r="C2750" s="4"/>
    </row>
    <row r="2751" spans="2:3" ht="14.25">
      <c r="B2751" s="3"/>
      <c r="C2751" s="4"/>
    </row>
    <row r="2752" spans="2:3" ht="14.25">
      <c r="B2752" s="3"/>
      <c r="C2752" s="4"/>
    </row>
    <row r="2753" spans="2:3" ht="14.25">
      <c r="B2753" s="3"/>
      <c r="C2753" s="4"/>
    </row>
    <row r="2754" spans="2:3" ht="14.25">
      <c r="B2754" s="3"/>
      <c r="C2754" s="4"/>
    </row>
    <row r="2755" spans="2:3" ht="14.25">
      <c r="B2755" s="3"/>
      <c r="C2755" s="4"/>
    </row>
    <row r="2756" spans="2:3" ht="14.25">
      <c r="B2756" s="3"/>
      <c r="C2756" s="4"/>
    </row>
    <row r="2757" spans="2:3" ht="14.25">
      <c r="B2757" s="3"/>
      <c r="C2757" s="4"/>
    </row>
    <row r="2758" spans="2:3" ht="14.25">
      <c r="B2758" s="3"/>
      <c r="C2758" s="4"/>
    </row>
    <row r="2759" spans="2:3" ht="14.25">
      <c r="B2759" s="3"/>
      <c r="C2759" s="4"/>
    </row>
    <row r="2760" spans="2:3" ht="14.25">
      <c r="B2760" s="3"/>
      <c r="C2760" s="4"/>
    </row>
    <row r="2761" spans="2:3" ht="14.25">
      <c r="B2761" s="3"/>
      <c r="C2761" s="4"/>
    </row>
    <row r="2762" spans="2:3" ht="14.25">
      <c r="B2762" s="3"/>
      <c r="C2762" s="4"/>
    </row>
    <row r="2763" spans="2:3" ht="14.25">
      <c r="B2763" s="3"/>
      <c r="C2763" s="4"/>
    </row>
    <row r="2764" spans="2:3" ht="14.25">
      <c r="B2764" s="3"/>
      <c r="C2764" s="4"/>
    </row>
    <row r="2765" spans="2:3" ht="14.25">
      <c r="B2765" s="3"/>
      <c r="C2765" s="4"/>
    </row>
    <row r="2766" spans="2:3" ht="14.25">
      <c r="B2766" s="3"/>
      <c r="C2766" s="4"/>
    </row>
    <row r="2767" spans="2:3" ht="14.25">
      <c r="B2767" s="3"/>
      <c r="C2767" s="4"/>
    </row>
    <row r="2768" spans="2:3" ht="14.25">
      <c r="B2768" s="3"/>
      <c r="C2768" s="4"/>
    </row>
    <row r="2769" spans="2:3" ht="14.25">
      <c r="B2769" s="3"/>
      <c r="C2769" s="4"/>
    </row>
    <row r="2770" spans="2:3" ht="14.25">
      <c r="B2770" s="3"/>
      <c r="C2770" s="4"/>
    </row>
    <row r="2771" spans="2:3" ht="14.25">
      <c r="B2771" s="3"/>
      <c r="C2771" s="4"/>
    </row>
    <row r="2772" spans="2:3" ht="14.25">
      <c r="B2772" s="3"/>
      <c r="C2772" s="4"/>
    </row>
    <row r="2773" spans="2:3" ht="14.25">
      <c r="B2773" s="3"/>
      <c r="C2773" s="4"/>
    </row>
    <row r="2774" spans="2:3" ht="14.25">
      <c r="B2774" s="3"/>
      <c r="C2774" s="4"/>
    </row>
    <row r="2775" spans="2:3" ht="14.25">
      <c r="B2775" s="3"/>
      <c r="C2775" s="4"/>
    </row>
    <row r="2776" spans="2:3" ht="14.25">
      <c r="B2776" s="3"/>
      <c r="C2776" s="4"/>
    </row>
    <row r="2777" spans="2:3" ht="14.25">
      <c r="B2777" s="3"/>
      <c r="C2777" s="4"/>
    </row>
    <row r="2778" spans="2:3" ht="14.25">
      <c r="B2778" s="3"/>
      <c r="C2778" s="4"/>
    </row>
    <row r="2779" spans="2:3" ht="14.25">
      <c r="B2779" s="3"/>
      <c r="C2779" s="4"/>
    </row>
    <row r="2780" spans="2:3" ht="14.25">
      <c r="B2780" s="3"/>
      <c r="C2780" s="4"/>
    </row>
    <row r="2781" spans="2:3" ht="14.25">
      <c r="B2781" s="3"/>
      <c r="C2781" s="4"/>
    </row>
    <row r="2782" spans="2:3" ht="14.25">
      <c r="B2782" s="3"/>
      <c r="C2782" s="4"/>
    </row>
    <row r="2783" spans="2:3" ht="14.25">
      <c r="B2783" s="3"/>
      <c r="C2783" s="4"/>
    </row>
    <row r="2784" spans="2:3" ht="14.25">
      <c r="B2784" s="3"/>
      <c r="C2784" s="4"/>
    </row>
    <row r="2785" spans="2:3" ht="14.25">
      <c r="B2785" s="3"/>
      <c r="C2785" s="4"/>
    </row>
    <row r="2786" spans="2:3" ht="14.25">
      <c r="B2786" s="3"/>
      <c r="C2786" s="4"/>
    </row>
    <row r="2787" spans="2:3" ht="14.25">
      <c r="B2787" s="3"/>
      <c r="C2787" s="4"/>
    </row>
    <row r="2788" spans="2:3" ht="14.25">
      <c r="B2788" s="3"/>
      <c r="C2788" s="4"/>
    </row>
    <row r="2789" spans="2:3" ht="14.25">
      <c r="B2789" s="3"/>
      <c r="C2789" s="4"/>
    </row>
    <row r="2790" spans="2:3" ht="14.25">
      <c r="B2790" s="3"/>
      <c r="C2790" s="4"/>
    </row>
    <row r="2791" spans="2:3" ht="14.25">
      <c r="B2791" s="3"/>
      <c r="C2791" s="4"/>
    </row>
    <row r="2792" spans="2:3" ht="14.25">
      <c r="B2792" s="3"/>
      <c r="C2792" s="4"/>
    </row>
    <row r="2793" spans="2:3" ht="14.25">
      <c r="B2793" s="3"/>
      <c r="C2793" s="4"/>
    </row>
    <row r="2794" spans="2:3" ht="14.25">
      <c r="B2794" s="3"/>
      <c r="C2794" s="4"/>
    </row>
    <row r="2795" spans="2:3" ht="14.25">
      <c r="B2795" s="3"/>
      <c r="C2795" s="4"/>
    </row>
    <row r="2796" spans="2:3" ht="14.25">
      <c r="B2796" s="3"/>
      <c r="C2796" s="4"/>
    </row>
    <row r="2797" spans="2:3" ht="14.25">
      <c r="B2797" s="3"/>
      <c r="C2797" s="4"/>
    </row>
    <row r="2798" spans="2:3" ht="14.25">
      <c r="B2798" s="3"/>
      <c r="C2798" s="4"/>
    </row>
    <row r="2799" spans="2:3" ht="14.25">
      <c r="B2799" s="3"/>
      <c r="C2799" s="4"/>
    </row>
    <row r="2800" spans="2:3" ht="14.25">
      <c r="B2800" s="3"/>
      <c r="C2800" s="4"/>
    </row>
    <row r="2801" spans="2:3" ht="14.25">
      <c r="B2801" s="3"/>
      <c r="C2801" s="4"/>
    </row>
    <row r="2802" spans="2:3" ht="14.25">
      <c r="B2802" s="3"/>
      <c r="C2802" s="4"/>
    </row>
    <row r="2803" spans="2:3" ht="14.25">
      <c r="B2803" s="3"/>
      <c r="C2803" s="4"/>
    </row>
    <row r="2804" spans="2:3" ht="14.25">
      <c r="B2804" s="3"/>
      <c r="C2804" s="4"/>
    </row>
    <row r="2805" spans="2:3" ht="14.25">
      <c r="B2805" s="3"/>
      <c r="C2805" s="4"/>
    </row>
    <row r="2806" spans="2:3" ht="14.25">
      <c r="B2806" s="3"/>
      <c r="C2806" s="4"/>
    </row>
    <row r="2807" spans="2:3" ht="14.25">
      <c r="B2807" s="3"/>
      <c r="C2807" s="4"/>
    </row>
    <row r="2808" spans="2:3" ht="14.25">
      <c r="B2808" s="3"/>
      <c r="C2808" s="4"/>
    </row>
    <row r="2809" spans="2:3" ht="14.25">
      <c r="B2809" s="3"/>
      <c r="C2809" s="4"/>
    </row>
    <row r="2810" spans="2:3" ht="14.25">
      <c r="B2810" s="3"/>
      <c r="C2810" s="4"/>
    </row>
    <row r="2811" spans="2:3" ht="14.25">
      <c r="B2811" s="3"/>
      <c r="C2811" s="4"/>
    </row>
    <row r="2812" spans="2:3" ht="14.25">
      <c r="B2812" s="3"/>
      <c r="C2812" s="4"/>
    </row>
    <row r="2813" spans="2:3" ht="14.25">
      <c r="B2813" s="3"/>
      <c r="C2813" s="4"/>
    </row>
    <row r="2814" spans="2:3" ht="14.25">
      <c r="B2814" s="3"/>
      <c r="C2814" s="4"/>
    </row>
    <row r="2815" spans="2:3" ht="14.25">
      <c r="B2815" s="3"/>
      <c r="C2815" s="4"/>
    </row>
    <row r="2816" spans="2:3" ht="14.25">
      <c r="B2816" s="3"/>
      <c r="C2816" s="4"/>
    </row>
    <row r="2817" spans="2:3" ht="14.25">
      <c r="B2817" s="3"/>
      <c r="C2817" s="4"/>
    </row>
    <row r="2818" spans="2:3" ht="14.25">
      <c r="B2818" s="3"/>
      <c r="C2818" s="4"/>
    </row>
    <row r="2819" spans="2:3" ht="14.25">
      <c r="B2819" s="3"/>
      <c r="C2819" s="4"/>
    </row>
    <row r="2820" spans="2:3" ht="14.25">
      <c r="B2820" s="3"/>
      <c r="C2820" s="4"/>
    </row>
    <row r="2821" spans="2:3" ht="14.25">
      <c r="B2821" s="3"/>
      <c r="C2821" s="4"/>
    </row>
    <row r="2822" spans="2:3" ht="14.25">
      <c r="B2822" s="3"/>
      <c r="C2822" s="4"/>
    </row>
    <row r="2823" spans="2:3" ht="14.25">
      <c r="B2823" s="3"/>
      <c r="C2823" s="4"/>
    </row>
    <row r="2824" spans="2:3" ht="14.25">
      <c r="B2824" s="3"/>
      <c r="C2824" s="4"/>
    </row>
    <row r="2825" spans="2:3" ht="14.25">
      <c r="B2825" s="3"/>
      <c r="C2825" s="4"/>
    </row>
    <row r="2826" spans="2:3" ht="14.25">
      <c r="B2826" s="3"/>
      <c r="C2826" s="4"/>
    </row>
    <row r="2827" spans="2:3" ht="14.25">
      <c r="B2827" s="3"/>
      <c r="C2827" s="4"/>
    </row>
    <row r="2828" spans="2:3" ht="14.25">
      <c r="B2828" s="3"/>
      <c r="C2828" s="4"/>
    </row>
    <row r="2829" spans="2:3" ht="14.25">
      <c r="B2829" s="3"/>
      <c r="C2829" s="4"/>
    </row>
    <row r="2830" spans="2:3" ht="14.25">
      <c r="B2830" s="3"/>
      <c r="C2830" s="4"/>
    </row>
    <row r="2831" spans="2:3" ht="14.25">
      <c r="B2831" s="3"/>
      <c r="C2831" s="4"/>
    </row>
    <row r="2832" spans="2:3" ht="14.25">
      <c r="B2832" s="3"/>
      <c r="C2832" s="4"/>
    </row>
    <row r="2833" spans="2:3" ht="14.25">
      <c r="B2833" s="3"/>
      <c r="C2833" s="4"/>
    </row>
    <row r="2834" spans="2:3" ht="14.25">
      <c r="B2834" s="3"/>
      <c r="C2834" s="4"/>
    </row>
    <row r="2835" spans="2:3" ht="14.25">
      <c r="B2835" s="3"/>
      <c r="C2835" s="4"/>
    </row>
    <row r="2836" spans="2:3" ht="14.25">
      <c r="B2836" s="3"/>
      <c r="C2836" s="4"/>
    </row>
    <row r="2837" spans="2:3" ht="14.25">
      <c r="B2837" s="3"/>
      <c r="C2837" s="4"/>
    </row>
    <row r="2838" spans="2:3" ht="14.25">
      <c r="B2838" s="3"/>
      <c r="C2838" s="4"/>
    </row>
    <row r="2839" spans="2:3" ht="14.25">
      <c r="B2839" s="3"/>
      <c r="C2839" s="4"/>
    </row>
    <row r="2840" spans="2:3" ht="14.25">
      <c r="B2840" s="3"/>
      <c r="C2840" s="4"/>
    </row>
    <row r="2841" spans="2:3" ht="14.25">
      <c r="B2841" s="3"/>
      <c r="C2841" s="4"/>
    </row>
    <row r="2842" spans="2:3" ht="14.25">
      <c r="B2842" s="3"/>
      <c r="C2842" s="4"/>
    </row>
    <row r="2843" spans="2:3" ht="14.25">
      <c r="B2843" s="3"/>
      <c r="C2843" s="4"/>
    </row>
    <row r="2844" spans="2:3" ht="14.25">
      <c r="B2844" s="3"/>
      <c r="C2844" s="4"/>
    </row>
    <row r="2845" spans="2:3" ht="14.25">
      <c r="B2845" s="3"/>
      <c r="C2845" s="4"/>
    </row>
    <row r="2846" spans="2:3" ht="14.25">
      <c r="B2846" s="3"/>
      <c r="C2846" s="4"/>
    </row>
    <row r="2847" spans="2:3" ht="14.25">
      <c r="B2847" s="3"/>
      <c r="C2847" s="4"/>
    </row>
    <row r="2848" spans="2:3" ht="14.25">
      <c r="B2848" s="3"/>
      <c r="C2848" s="4"/>
    </row>
    <row r="2849" spans="2:3" ht="14.25">
      <c r="B2849" s="3"/>
      <c r="C2849" s="4"/>
    </row>
    <row r="2850" spans="2:3" ht="14.25">
      <c r="B2850" s="3"/>
      <c r="C2850" s="4"/>
    </row>
    <row r="2851" spans="2:3" ht="14.25">
      <c r="B2851" s="3"/>
      <c r="C2851" s="4"/>
    </row>
    <row r="2852" spans="2:3" ht="14.25">
      <c r="B2852" s="3"/>
      <c r="C2852" s="4"/>
    </row>
    <row r="2853" spans="2:3" ht="14.25">
      <c r="B2853" s="3"/>
      <c r="C2853" s="4"/>
    </row>
    <row r="2854" spans="2:3" ht="14.25">
      <c r="B2854" s="3"/>
      <c r="C2854" s="4"/>
    </row>
    <row r="2855" spans="2:3" ht="14.25">
      <c r="B2855" s="3"/>
      <c r="C2855" s="4"/>
    </row>
    <row r="2856" spans="2:3" ht="14.25">
      <c r="B2856" s="3"/>
      <c r="C2856" s="4"/>
    </row>
    <row r="2857" spans="2:3" ht="14.25">
      <c r="B2857" s="3"/>
      <c r="C2857" s="4"/>
    </row>
    <row r="2858" spans="2:3" ht="14.25">
      <c r="B2858" s="3"/>
      <c r="C2858" s="4"/>
    </row>
    <row r="2859" spans="2:3" ht="14.25">
      <c r="B2859" s="3"/>
      <c r="C2859" s="4"/>
    </row>
    <row r="2860" spans="2:3" ht="14.25">
      <c r="B2860" s="3"/>
      <c r="C2860" s="4"/>
    </row>
    <row r="2861" spans="2:3" ht="14.25">
      <c r="B2861" s="3"/>
      <c r="C2861" s="4"/>
    </row>
    <row r="2862" spans="2:3" ht="14.25">
      <c r="B2862" s="3"/>
      <c r="C2862" s="4"/>
    </row>
    <row r="2863" spans="2:3" ht="14.25">
      <c r="B2863" s="3"/>
      <c r="C2863" s="4"/>
    </row>
    <row r="2864" spans="2:3" ht="14.25">
      <c r="B2864" s="3"/>
      <c r="C2864" s="4"/>
    </row>
    <row r="2865" spans="2:3" ht="14.25">
      <c r="B2865" s="3"/>
      <c r="C2865" s="4"/>
    </row>
    <row r="2866" spans="2:3" ht="14.25">
      <c r="B2866" s="3"/>
      <c r="C2866" s="4"/>
    </row>
    <row r="2867" spans="2:3" ht="14.25">
      <c r="B2867" s="3"/>
      <c r="C2867" s="4"/>
    </row>
    <row r="2868" spans="2:3" ht="14.25">
      <c r="B2868" s="3"/>
      <c r="C2868" s="4"/>
    </row>
    <row r="2869" spans="2:3" ht="14.25">
      <c r="B2869" s="3"/>
      <c r="C2869" s="4"/>
    </row>
    <row r="2870" spans="2:3" ht="14.25">
      <c r="B2870" s="3"/>
      <c r="C2870" s="4"/>
    </row>
    <row r="2871" spans="2:3" ht="14.25">
      <c r="B2871" s="3"/>
      <c r="C2871" s="4"/>
    </row>
    <row r="2872" spans="2:3" ht="14.25">
      <c r="B2872" s="3"/>
      <c r="C2872" s="4"/>
    </row>
    <row r="2873" spans="2:3" ht="14.25">
      <c r="B2873" s="3"/>
      <c r="C2873" s="4"/>
    </row>
    <row r="2874" spans="2:3" ht="14.25">
      <c r="B2874" s="3"/>
      <c r="C2874" s="4"/>
    </row>
    <row r="2875" spans="2:3" ht="14.25">
      <c r="B2875" s="3"/>
      <c r="C2875" s="4"/>
    </row>
    <row r="2876" spans="2:3" ht="14.25">
      <c r="B2876" s="3"/>
      <c r="C2876" s="4"/>
    </row>
    <row r="2877" spans="2:3" ht="14.25">
      <c r="B2877" s="3"/>
      <c r="C2877" s="4"/>
    </row>
    <row r="2878" spans="2:3" ht="14.25">
      <c r="B2878" s="3"/>
      <c r="C2878" s="4"/>
    </row>
    <row r="2879" spans="2:3" ht="14.25">
      <c r="B2879" s="3"/>
      <c r="C2879" s="4"/>
    </row>
    <row r="2880" spans="2:3" ht="14.25">
      <c r="B2880" s="3"/>
      <c r="C2880" s="4"/>
    </row>
    <row r="2881" spans="2:3" ht="14.25">
      <c r="B2881" s="3"/>
      <c r="C2881" s="4"/>
    </row>
    <row r="2882" spans="2:3" ht="14.25">
      <c r="B2882" s="3"/>
      <c r="C2882" s="4"/>
    </row>
    <row r="2883" spans="2:3" ht="14.25">
      <c r="B2883" s="3"/>
      <c r="C2883" s="4"/>
    </row>
    <row r="2884" spans="2:3" ht="14.25">
      <c r="B2884" s="3"/>
      <c r="C2884" s="4"/>
    </row>
    <row r="2885" spans="2:3" ht="14.25">
      <c r="B2885" s="3"/>
      <c r="C2885" s="4"/>
    </row>
    <row r="2886" spans="2:3" ht="14.25">
      <c r="B2886" s="3"/>
      <c r="C2886" s="4"/>
    </row>
    <row r="2887" spans="2:3" ht="14.25">
      <c r="B2887" s="3"/>
      <c r="C2887" s="4"/>
    </row>
    <row r="2888" spans="2:3" ht="14.25">
      <c r="B2888" s="3"/>
      <c r="C2888" s="4"/>
    </row>
    <row r="2889" spans="2:3" ht="14.25">
      <c r="B2889" s="3"/>
      <c r="C2889" s="4"/>
    </row>
    <row r="2890" spans="2:3" ht="14.25">
      <c r="B2890" s="3"/>
      <c r="C2890" s="4"/>
    </row>
    <row r="2891" spans="2:3" ht="14.25">
      <c r="B2891" s="3"/>
      <c r="C2891" s="4"/>
    </row>
    <row r="2892" spans="2:3" ht="14.25">
      <c r="B2892" s="3"/>
      <c r="C2892" s="4"/>
    </row>
    <row r="2893" spans="2:3" ht="14.25">
      <c r="B2893" s="3"/>
      <c r="C2893" s="4"/>
    </row>
    <row r="2894" spans="2:3" ht="14.25">
      <c r="B2894" s="3"/>
      <c r="C2894" s="4"/>
    </row>
    <row r="2895" spans="2:3" ht="14.25">
      <c r="B2895" s="3"/>
      <c r="C2895" s="4"/>
    </row>
    <row r="2896" spans="2:3" ht="14.25">
      <c r="B2896" s="3"/>
      <c r="C2896" s="4"/>
    </row>
    <row r="2897" spans="2:3" ht="14.25">
      <c r="B2897" s="3"/>
      <c r="C2897" s="4"/>
    </row>
    <row r="2898" spans="2:3" ht="14.25">
      <c r="B2898" s="3"/>
      <c r="C2898" s="4"/>
    </row>
    <row r="2899" spans="2:3" ht="14.25">
      <c r="B2899" s="3"/>
      <c r="C2899" s="4"/>
    </row>
    <row r="2900" spans="2:3" ht="14.25">
      <c r="B2900" s="3"/>
      <c r="C2900" s="4"/>
    </row>
    <row r="2901" spans="2:3" ht="14.25">
      <c r="B2901" s="3"/>
      <c r="C2901" s="4"/>
    </row>
    <row r="2902" spans="2:3" ht="14.25">
      <c r="B2902" s="3"/>
      <c r="C2902" s="4"/>
    </row>
    <row r="2903" spans="2:3" ht="14.25">
      <c r="B2903" s="3"/>
      <c r="C2903" s="4"/>
    </row>
    <row r="2904" spans="2:3" ht="14.25">
      <c r="B2904" s="3"/>
      <c r="C2904" s="4"/>
    </row>
    <row r="2905" spans="2:3" ht="14.25">
      <c r="B2905" s="3"/>
      <c r="C2905" s="4"/>
    </row>
    <row r="2906" spans="2:3" ht="14.25">
      <c r="B2906" s="3"/>
      <c r="C2906" s="4"/>
    </row>
    <row r="2907" spans="2:3" ht="14.25">
      <c r="B2907" s="3"/>
      <c r="C2907" s="4"/>
    </row>
    <row r="2908" spans="2:3" ht="14.25">
      <c r="B2908" s="3"/>
      <c r="C2908" s="4"/>
    </row>
    <row r="2909" spans="2:3" ht="14.25">
      <c r="B2909" s="3"/>
      <c r="C2909" s="4"/>
    </row>
    <row r="2910" spans="2:3" ht="14.25">
      <c r="B2910" s="3"/>
      <c r="C2910" s="4"/>
    </row>
    <row r="2911" spans="2:3" ht="14.25">
      <c r="B2911" s="3"/>
      <c r="C2911" s="4"/>
    </row>
    <row r="2912" spans="2:3" ht="14.25">
      <c r="B2912" s="3"/>
      <c r="C2912" s="4"/>
    </row>
    <row r="2913" spans="2:3" ht="14.25">
      <c r="B2913" s="3"/>
      <c r="C2913" s="4"/>
    </row>
    <row r="2914" spans="2:3" ht="14.25">
      <c r="B2914" s="3"/>
      <c r="C2914" s="4"/>
    </row>
    <row r="2915" spans="2:3" ht="14.25">
      <c r="B2915" s="3"/>
      <c r="C2915" s="4"/>
    </row>
    <row r="2916" spans="2:3" ht="14.25">
      <c r="B2916" s="3"/>
      <c r="C2916" s="4"/>
    </row>
    <row r="2917" spans="2:3" ht="14.25">
      <c r="B2917" s="3"/>
      <c r="C2917" s="4"/>
    </row>
    <row r="2918" spans="2:3" ht="14.25">
      <c r="B2918" s="3"/>
      <c r="C2918" s="4"/>
    </row>
    <row r="2919" spans="2:3" ht="14.25">
      <c r="B2919" s="3"/>
      <c r="C2919" s="4"/>
    </row>
    <row r="2920" spans="2:3" ht="14.25">
      <c r="B2920" s="3"/>
      <c r="C2920" s="4"/>
    </row>
    <row r="2921" spans="2:3" ht="14.25">
      <c r="B2921" s="3"/>
      <c r="C2921" s="4"/>
    </row>
    <row r="2922" spans="2:3" ht="14.25">
      <c r="B2922" s="3"/>
      <c r="C2922" s="4"/>
    </row>
    <row r="2923" spans="2:3" ht="14.25">
      <c r="B2923" s="3"/>
      <c r="C2923" s="4"/>
    </row>
    <row r="2924" spans="2:3" ht="14.25">
      <c r="B2924" s="3"/>
      <c r="C2924" s="4"/>
    </row>
    <row r="2925" spans="2:3" ht="14.25">
      <c r="B2925" s="3"/>
      <c r="C2925" s="4"/>
    </row>
    <row r="2926" spans="2:3" ht="14.25">
      <c r="B2926" s="3"/>
      <c r="C2926" s="4"/>
    </row>
    <row r="2927" spans="2:3" ht="14.25">
      <c r="B2927" s="3"/>
      <c r="C2927" s="4"/>
    </row>
    <row r="2928" spans="2:3" ht="14.25">
      <c r="B2928" s="3"/>
      <c r="C2928" s="4"/>
    </row>
    <row r="2929" spans="2:3" ht="14.25">
      <c r="B2929" s="3"/>
      <c r="C2929" s="4"/>
    </row>
    <row r="2930" spans="2:3" ht="14.25">
      <c r="B2930" s="3"/>
      <c r="C2930" s="4"/>
    </row>
    <row r="2931" spans="2:3" ht="14.25">
      <c r="B2931" s="3"/>
      <c r="C2931" s="4"/>
    </row>
    <row r="2932" spans="2:3" ht="14.25">
      <c r="B2932" s="3"/>
      <c r="C2932" s="4"/>
    </row>
    <row r="2933" spans="2:3" ht="14.25">
      <c r="B2933" s="3"/>
      <c r="C2933" s="4"/>
    </row>
    <row r="2934" spans="2:3" ht="14.25">
      <c r="B2934" s="3"/>
      <c r="C2934" s="4"/>
    </row>
    <row r="2935" spans="2:3" ht="14.25">
      <c r="B2935" s="3"/>
      <c r="C2935" s="4"/>
    </row>
    <row r="2936" spans="2:3" ht="14.25">
      <c r="B2936" s="3"/>
      <c r="C2936" s="4"/>
    </row>
    <row r="2937" spans="2:3" ht="14.25">
      <c r="B2937" s="3"/>
      <c r="C2937" s="4"/>
    </row>
    <row r="2938" spans="2:3" ht="14.25">
      <c r="B2938" s="3"/>
      <c r="C2938" s="4"/>
    </row>
    <row r="2939" spans="2:3" ht="14.25">
      <c r="B2939" s="3"/>
      <c r="C2939" s="4"/>
    </row>
    <row r="2940" spans="2:3" ht="14.25">
      <c r="B2940" s="3"/>
      <c r="C2940" s="4"/>
    </row>
    <row r="2941" spans="2:3" ht="14.25">
      <c r="B2941" s="3"/>
      <c r="C2941" s="4"/>
    </row>
    <row r="2942" spans="2:3" ht="14.25">
      <c r="B2942" s="3"/>
      <c r="C2942" s="4"/>
    </row>
    <row r="2943" spans="2:3" ht="14.25">
      <c r="B2943" s="3"/>
      <c r="C2943" s="4"/>
    </row>
    <row r="2944" spans="2:3" ht="14.25">
      <c r="B2944" s="3"/>
      <c r="C2944" s="4"/>
    </row>
    <row r="2945" spans="2:3" ht="14.25">
      <c r="B2945" s="3"/>
      <c r="C2945" s="4"/>
    </row>
    <row r="2946" spans="2:3" ht="14.25">
      <c r="B2946" s="3"/>
      <c r="C2946" s="4"/>
    </row>
    <row r="2947" spans="2:3" ht="14.25">
      <c r="B2947" s="3"/>
      <c r="C2947" s="4"/>
    </row>
    <row r="2948" spans="2:3" ht="14.25">
      <c r="B2948" s="3"/>
      <c r="C2948" s="4"/>
    </row>
    <row r="2949" spans="2:3" ht="14.25">
      <c r="B2949" s="3"/>
      <c r="C2949" s="4"/>
    </row>
    <row r="2950" spans="2:3" ht="14.25">
      <c r="B2950" s="3"/>
      <c r="C2950" s="4"/>
    </row>
    <row r="2951" spans="2:3" ht="14.25">
      <c r="B2951" s="3"/>
      <c r="C2951" s="4"/>
    </row>
    <row r="2952" spans="2:3" ht="14.25">
      <c r="B2952" s="3"/>
      <c r="C2952" s="4"/>
    </row>
    <row r="2953" spans="2:3" ht="14.25">
      <c r="B2953" s="3"/>
      <c r="C2953" s="4"/>
    </row>
    <row r="2954" spans="2:3" ht="14.25">
      <c r="B2954" s="3"/>
      <c r="C2954" s="4"/>
    </row>
    <row r="2955" spans="2:3" ht="14.25">
      <c r="B2955" s="3"/>
      <c r="C2955" s="4"/>
    </row>
    <row r="2956" spans="2:3" ht="14.25">
      <c r="B2956" s="3"/>
      <c r="C2956" s="4"/>
    </row>
    <row r="2957" spans="2:3" ht="14.25">
      <c r="B2957" s="3"/>
      <c r="C2957" s="4"/>
    </row>
    <row r="2958" spans="2:3" ht="14.25">
      <c r="B2958" s="3"/>
      <c r="C2958" s="4"/>
    </row>
    <row r="2959" spans="2:3" ht="14.25">
      <c r="B2959" s="3"/>
      <c r="C2959" s="4"/>
    </row>
    <row r="2960" spans="2:3" ht="14.25">
      <c r="B2960" s="3"/>
      <c r="C2960" s="4"/>
    </row>
    <row r="2961" spans="2:3" ht="14.25">
      <c r="B2961" s="3"/>
      <c r="C2961" s="4"/>
    </row>
    <row r="2962" spans="2:3" ht="14.25">
      <c r="B2962" s="3"/>
      <c r="C2962" s="4"/>
    </row>
    <row r="2963" spans="2:3" ht="14.25">
      <c r="B2963" s="3"/>
      <c r="C2963" s="4"/>
    </row>
    <row r="2964" spans="2:3" ht="14.25">
      <c r="B2964" s="3"/>
      <c r="C2964" s="4"/>
    </row>
    <row r="2965" spans="2:3" ht="14.25">
      <c r="B2965" s="3"/>
      <c r="C2965" s="4"/>
    </row>
    <row r="2966" spans="2:3" ht="14.25">
      <c r="B2966" s="3"/>
      <c r="C2966" s="4"/>
    </row>
    <row r="2967" spans="2:3" ht="14.25">
      <c r="B2967" s="3"/>
      <c r="C2967" s="4"/>
    </row>
    <row r="2968" spans="2:3" ht="14.25">
      <c r="B2968" s="3"/>
      <c r="C2968" s="4"/>
    </row>
    <row r="2969" spans="2:3" ht="14.25">
      <c r="B2969" s="3"/>
      <c r="C2969" s="4"/>
    </row>
    <row r="2970" spans="2:3" ht="14.25">
      <c r="B2970" s="3"/>
      <c r="C2970" s="4"/>
    </row>
    <row r="2971" spans="2:3" ht="14.25">
      <c r="B2971" s="3"/>
      <c r="C2971" s="4"/>
    </row>
    <row r="2972" spans="2:3" ht="14.25">
      <c r="B2972" s="3"/>
      <c r="C2972" s="4"/>
    </row>
    <row r="2973" spans="2:3" ht="14.25">
      <c r="B2973" s="3"/>
      <c r="C2973" s="4"/>
    </row>
    <row r="2974" spans="2:3" ht="14.25">
      <c r="B2974" s="3"/>
      <c r="C2974" s="4"/>
    </row>
    <row r="2975" spans="2:3" ht="14.25">
      <c r="B2975" s="3"/>
      <c r="C2975" s="4"/>
    </row>
    <row r="2976" spans="2:3" ht="14.25">
      <c r="B2976" s="3"/>
      <c r="C2976" s="4"/>
    </row>
    <row r="2977" spans="2:3" ht="14.25">
      <c r="B2977" s="3"/>
      <c r="C2977" s="4"/>
    </row>
    <row r="2978" spans="2:3" ht="14.25">
      <c r="B2978" s="3"/>
      <c r="C2978" s="4"/>
    </row>
    <row r="2979" spans="2:3" ht="14.25">
      <c r="B2979" s="3"/>
      <c r="C2979" s="4"/>
    </row>
    <row r="2980" spans="2:3" ht="14.25">
      <c r="B2980" s="3"/>
      <c r="C2980" s="4"/>
    </row>
    <row r="2981" spans="2:3" ht="14.25">
      <c r="B2981" s="3"/>
      <c r="C2981" s="4"/>
    </row>
    <row r="2982" spans="2:3" ht="14.25">
      <c r="B2982" s="3"/>
      <c r="C2982" s="4"/>
    </row>
    <row r="2983" spans="2:3" ht="14.25">
      <c r="B2983" s="3"/>
      <c r="C2983" s="4"/>
    </row>
    <row r="2984" spans="2:3" ht="14.25">
      <c r="B2984" s="3"/>
      <c r="C2984" s="4"/>
    </row>
    <row r="2985" spans="2:3" ht="14.25">
      <c r="B2985" s="3"/>
      <c r="C2985" s="4"/>
    </row>
    <row r="2986" spans="2:3" ht="14.25">
      <c r="B2986" s="3"/>
      <c r="C2986" s="4"/>
    </row>
    <row r="2987" spans="2:3" ht="14.25">
      <c r="B2987" s="3"/>
      <c r="C2987" s="4"/>
    </row>
    <row r="2988" spans="2:3" ht="14.25">
      <c r="B2988" s="3"/>
      <c r="C2988" s="4"/>
    </row>
    <row r="2989" spans="2:3" ht="14.25">
      <c r="B2989" s="3"/>
      <c r="C2989" s="4"/>
    </row>
    <row r="2990" spans="2:3" ht="14.25">
      <c r="B2990" s="3"/>
      <c r="C2990" s="4"/>
    </row>
    <row r="2991" spans="2:3" ht="14.25">
      <c r="B2991" s="3"/>
      <c r="C2991" s="4"/>
    </row>
    <row r="2992" spans="2:3" ht="14.25">
      <c r="B2992" s="3"/>
      <c r="C2992" s="4"/>
    </row>
    <row r="2993" spans="2:3" ht="14.25">
      <c r="B2993" s="3"/>
      <c r="C2993" s="4"/>
    </row>
    <row r="2994" spans="2:3" ht="14.25">
      <c r="B2994" s="3"/>
      <c r="C2994" s="4"/>
    </row>
    <row r="2995" spans="2:3" ht="14.25">
      <c r="B2995" s="3"/>
      <c r="C2995" s="4"/>
    </row>
    <row r="2996" spans="2:3" ht="14.25">
      <c r="B2996" s="3"/>
      <c r="C2996" s="4"/>
    </row>
    <row r="2997" spans="2:3" ht="14.25">
      <c r="B2997" s="3"/>
      <c r="C2997" s="4"/>
    </row>
    <row r="2998" spans="2:3" ht="14.25">
      <c r="B2998" s="3"/>
      <c r="C2998" s="4"/>
    </row>
    <row r="2999" spans="2:3" ht="14.25">
      <c r="B2999" s="3"/>
      <c r="C2999" s="4"/>
    </row>
    <row r="3000" spans="2:3" ht="14.25">
      <c r="B3000" s="3"/>
      <c r="C3000" s="4"/>
    </row>
    <row r="3001" spans="2:3" ht="14.25">
      <c r="B3001" s="3"/>
      <c r="C3001" s="4"/>
    </row>
    <row r="3002" spans="2:3" ht="14.25">
      <c r="B3002" s="3"/>
      <c r="C3002" s="4"/>
    </row>
    <row r="3003" spans="2:3" ht="14.25">
      <c r="B3003" s="3"/>
      <c r="C3003" s="4"/>
    </row>
    <row r="3004" spans="2:3" ht="14.25">
      <c r="B3004" s="3"/>
      <c r="C3004" s="4"/>
    </row>
    <row r="3005" spans="2:3" ht="14.25">
      <c r="B3005" s="3"/>
      <c r="C3005" s="4"/>
    </row>
    <row r="3006" spans="2:3" ht="14.25">
      <c r="B3006" s="3"/>
      <c r="C3006" s="4"/>
    </row>
    <row r="3007" spans="2:3" ht="14.25">
      <c r="B3007" s="3"/>
      <c r="C3007" s="4"/>
    </row>
    <row r="3008" spans="2:3" ht="14.25">
      <c r="B3008" s="3"/>
      <c r="C3008" s="4"/>
    </row>
    <row r="3009" spans="2:3" ht="14.25">
      <c r="B3009" s="3"/>
      <c r="C3009" s="4"/>
    </row>
    <row r="3010" spans="2:3" ht="14.25">
      <c r="B3010" s="3"/>
      <c r="C3010" s="4"/>
    </row>
    <row r="3011" spans="2:3" ht="14.25">
      <c r="B3011" s="3"/>
      <c r="C3011" s="4"/>
    </row>
    <row r="3012" spans="2:3" ht="14.25">
      <c r="B3012" s="3"/>
      <c r="C3012" s="4"/>
    </row>
    <row r="3013" spans="2:3" ht="14.25">
      <c r="B3013" s="3"/>
      <c r="C3013" s="4"/>
    </row>
    <row r="3014" spans="2:3" ht="14.25">
      <c r="B3014" s="3"/>
      <c r="C3014" s="4"/>
    </row>
    <row r="3015" spans="2:3" ht="14.25">
      <c r="B3015" s="3"/>
      <c r="C3015" s="4"/>
    </row>
    <row r="3016" spans="2:3" ht="14.25">
      <c r="B3016" s="3"/>
      <c r="C3016" s="4"/>
    </row>
    <row r="3017" spans="2:3" ht="14.25">
      <c r="B3017" s="3"/>
      <c r="C3017" s="4"/>
    </row>
    <row r="3018" spans="2:3" ht="14.25">
      <c r="B3018" s="3"/>
      <c r="C3018" s="4"/>
    </row>
    <row r="3019" spans="2:3" ht="14.25">
      <c r="B3019" s="3"/>
      <c r="C3019" s="4"/>
    </row>
    <row r="3020" spans="2:3" ht="14.25">
      <c r="B3020" s="3"/>
      <c r="C3020" s="4"/>
    </row>
    <row r="3021" spans="2:3" ht="14.25">
      <c r="B3021" s="3"/>
      <c r="C3021" s="4"/>
    </row>
    <row r="3022" spans="2:3" ht="14.25">
      <c r="B3022" s="3"/>
      <c r="C3022" s="4"/>
    </row>
    <row r="3023" spans="2:3" ht="14.25">
      <c r="B3023" s="3"/>
      <c r="C3023" s="4"/>
    </row>
    <row r="3024" spans="2:3" ht="14.25">
      <c r="B3024" s="3"/>
      <c r="C3024" s="4"/>
    </row>
    <row r="3025" spans="2:3" ht="14.25">
      <c r="B3025" s="3"/>
      <c r="C3025" s="4"/>
    </row>
    <row r="3026" spans="2:3" ht="14.25">
      <c r="B3026" s="3"/>
      <c r="C3026" s="4"/>
    </row>
    <row r="3027" spans="2:3" ht="14.25">
      <c r="B3027" s="3"/>
      <c r="C3027" s="4"/>
    </row>
    <row r="3028" spans="2:3" ht="14.25">
      <c r="B3028" s="3"/>
      <c r="C3028" s="4"/>
    </row>
    <row r="3029" spans="2:3" ht="14.25">
      <c r="B3029" s="3"/>
      <c r="C3029" s="4"/>
    </row>
    <row r="3030" spans="2:3" ht="14.25">
      <c r="B3030" s="3"/>
      <c r="C3030" s="4"/>
    </row>
    <row r="3031" spans="2:3" ht="14.25">
      <c r="B3031" s="3"/>
      <c r="C3031" s="4"/>
    </row>
    <row r="3032" spans="2:3" ht="14.25">
      <c r="B3032" s="3"/>
      <c r="C3032" s="4"/>
    </row>
    <row r="3033" spans="2:3" ht="14.25">
      <c r="B3033" s="3"/>
      <c r="C3033" s="4"/>
    </row>
    <row r="3034" spans="2:3" ht="14.25">
      <c r="B3034" s="3"/>
      <c r="C3034" s="4"/>
    </row>
    <row r="3035" spans="2:3" ht="14.25">
      <c r="B3035" s="3"/>
      <c r="C3035" s="4"/>
    </row>
    <row r="3036" spans="2:3" ht="14.25">
      <c r="B3036" s="3"/>
      <c r="C3036" s="4"/>
    </row>
    <row r="3037" spans="2:3" ht="14.25">
      <c r="B3037" s="3"/>
      <c r="C3037" s="4"/>
    </row>
    <row r="3038" spans="2:3" ht="14.25">
      <c r="B3038" s="3"/>
      <c r="C3038" s="4"/>
    </row>
    <row r="3039" spans="2:3" ht="14.25">
      <c r="B3039" s="3"/>
      <c r="C3039" s="4"/>
    </row>
    <row r="3040" spans="2:3" ht="14.25">
      <c r="B3040" s="3"/>
      <c r="C3040" s="4"/>
    </row>
    <row r="3041" spans="2:3" ht="14.25">
      <c r="B3041" s="3"/>
      <c r="C3041" s="4"/>
    </row>
    <row r="3042" spans="2:3" ht="14.25">
      <c r="B3042" s="3"/>
      <c r="C3042" s="4"/>
    </row>
    <row r="3043" spans="2:3" ht="14.25">
      <c r="B3043" s="3"/>
      <c r="C3043" s="4"/>
    </row>
    <row r="3044" spans="2:3" ht="14.25">
      <c r="B3044" s="3"/>
      <c r="C3044" s="4"/>
    </row>
    <row r="3045" spans="2:3" ht="14.25">
      <c r="B3045" s="3"/>
      <c r="C3045" s="4"/>
    </row>
    <row r="3046" spans="2:3" ht="14.25">
      <c r="B3046" s="3"/>
      <c r="C3046" s="4"/>
    </row>
    <row r="3047" spans="2:3" ht="14.25">
      <c r="B3047" s="3"/>
      <c r="C3047" s="4"/>
    </row>
    <row r="3048" spans="2:3" ht="14.25">
      <c r="B3048" s="3"/>
      <c r="C3048" s="4"/>
    </row>
    <row r="3049" spans="2:3" ht="14.25">
      <c r="B3049" s="3"/>
      <c r="C3049" s="4"/>
    </row>
    <row r="3050" spans="2:3" ht="14.25">
      <c r="B3050" s="3"/>
      <c r="C3050" s="4"/>
    </row>
    <row r="3051" spans="2:3" ht="14.25">
      <c r="B3051" s="3"/>
      <c r="C3051" s="4"/>
    </row>
    <row r="3052" spans="2:3" ht="14.25">
      <c r="B3052" s="3"/>
      <c r="C3052" s="4"/>
    </row>
    <row r="3053" spans="2:3" ht="14.25">
      <c r="B3053" s="3"/>
      <c r="C3053" s="4"/>
    </row>
    <row r="3054" spans="2:3" ht="14.25">
      <c r="B3054" s="3"/>
      <c r="C3054" s="4"/>
    </row>
    <row r="3055" spans="2:3" ht="14.25">
      <c r="B3055" s="3"/>
      <c r="C3055" s="4"/>
    </row>
    <row r="3056" spans="2:3" ht="14.25">
      <c r="B3056" s="3"/>
      <c r="C3056" s="4"/>
    </row>
    <row r="3057" spans="2:3" ht="14.25">
      <c r="B3057" s="3"/>
      <c r="C3057" s="4"/>
    </row>
    <row r="3058" spans="2:3" ht="14.25">
      <c r="B3058" s="3"/>
      <c r="C3058" s="4"/>
    </row>
    <row r="3059" spans="2:3" ht="14.25">
      <c r="B3059" s="3"/>
      <c r="C3059" s="4"/>
    </row>
    <row r="3060" spans="2:3" ht="14.25">
      <c r="B3060" s="3"/>
      <c r="C3060" s="4"/>
    </row>
    <row r="3061" spans="2:3" ht="14.25">
      <c r="B3061" s="3"/>
      <c r="C3061" s="4"/>
    </row>
    <row r="3062" spans="2:3" ht="14.25">
      <c r="B3062" s="3"/>
      <c r="C3062" s="4"/>
    </row>
    <row r="3063" spans="2:3" ht="14.25">
      <c r="B3063" s="3"/>
      <c r="C3063" s="4"/>
    </row>
    <row r="3064" spans="2:3" ht="14.25">
      <c r="B3064" s="3"/>
      <c r="C3064" s="4"/>
    </row>
    <row r="3065" spans="2:3" ht="14.25">
      <c r="B3065" s="3"/>
      <c r="C3065" s="4"/>
    </row>
    <row r="3066" spans="2:3" ht="14.25">
      <c r="B3066" s="3"/>
      <c r="C3066" s="4"/>
    </row>
    <row r="3067" spans="2:3" ht="14.25">
      <c r="B3067" s="3"/>
      <c r="C3067" s="4"/>
    </row>
    <row r="3068" spans="2:3" ht="14.25">
      <c r="B3068" s="3"/>
      <c r="C3068" s="4"/>
    </row>
    <row r="3069" spans="2:3" ht="14.25">
      <c r="B3069" s="3"/>
      <c r="C3069" s="4"/>
    </row>
    <row r="3070" spans="2:3" ht="14.25">
      <c r="B3070" s="3"/>
      <c r="C3070" s="4"/>
    </row>
    <row r="3071" spans="2:3" ht="14.25">
      <c r="B3071" s="3"/>
      <c r="C3071" s="4"/>
    </row>
    <row r="3072" spans="2:3" ht="14.25">
      <c r="B3072" s="3"/>
      <c r="C3072" s="4"/>
    </row>
    <row r="3073" spans="2:3" ht="14.25">
      <c r="B3073" s="3"/>
      <c r="C3073" s="4"/>
    </row>
    <row r="3074" spans="2:3" ht="14.25">
      <c r="B3074" s="3"/>
      <c r="C3074" s="4"/>
    </row>
    <row r="3075" spans="2:3" ht="14.25">
      <c r="B3075" s="3"/>
      <c r="C3075" s="4"/>
    </row>
    <row r="3076" spans="2:3" ht="14.25">
      <c r="B3076" s="3"/>
      <c r="C3076" s="4"/>
    </row>
    <row r="3077" spans="2:3" ht="14.25">
      <c r="B3077" s="3"/>
      <c r="C3077" s="4"/>
    </row>
    <row r="3078" spans="2:3" ht="14.25">
      <c r="B3078" s="3"/>
      <c r="C3078" s="4"/>
    </row>
    <row r="3079" spans="2:3" ht="14.25">
      <c r="B3079" s="3"/>
      <c r="C3079" s="4"/>
    </row>
    <row r="3080" spans="2:3" ht="14.25">
      <c r="B3080" s="3"/>
      <c r="C3080" s="4"/>
    </row>
    <row r="3081" spans="2:3" ht="14.25">
      <c r="B3081" s="3"/>
      <c r="C3081" s="4"/>
    </row>
    <row r="3082" spans="2:3" ht="14.25">
      <c r="B3082" s="3"/>
      <c r="C3082" s="4"/>
    </row>
    <row r="3083" spans="2:3" ht="14.25">
      <c r="B3083" s="3"/>
      <c r="C3083" s="4"/>
    </row>
    <row r="3084" spans="2:3" ht="14.25">
      <c r="B3084" s="3"/>
      <c r="C3084" s="4"/>
    </row>
    <row r="3085" spans="2:3" ht="14.25">
      <c r="B3085" s="3"/>
      <c r="C3085" s="4"/>
    </row>
    <row r="3086" spans="2:3" ht="14.25">
      <c r="B3086" s="3"/>
      <c r="C3086" s="4"/>
    </row>
    <row r="3087" spans="2:3" ht="14.25">
      <c r="B3087" s="3"/>
      <c r="C3087" s="4"/>
    </row>
    <row r="3088" spans="2:3" ht="14.25">
      <c r="B3088" s="3"/>
      <c r="C3088" s="4"/>
    </row>
    <row r="3089" spans="2:3" ht="14.25">
      <c r="B3089" s="3"/>
      <c r="C3089" s="4"/>
    </row>
    <row r="3090" spans="2:3" ht="14.25">
      <c r="B3090" s="3"/>
      <c r="C3090" s="4"/>
    </row>
    <row r="3091" spans="2:3" ht="14.25">
      <c r="B3091" s="3"/>
      <c r="C3091" s="4"/>
    </row>
    <row r="3092" spans="2:3" ht="14.25">
      <c r="B3092" s="3"/>
      <c r="C3092" s="4"/>
    </row>
    <row r="3093" spans="2:3" ht="14.25">
      <c r="B3093" s="3"/>
      <c r="C3093" s="4"/>
    </row>
    <row r="3094" spans="2:3" ht="14.25">
      <c r="B3094" s="3"/>
      <c r="C3094" s="4"/>
    </row>
    <row r="3095" spans="2:3" ht="14.25">
      <c r="B3095" s="3"/>
      <c r="C3095" s="4"/>
    </row>
    <row r="3096" spans="2:3" ht="14.25">
      <c r="B3096" s="3"/>
      <c r="C3096" s="4"/>
    </row>
    <row r="3097" spans="2:3" ht="14.25">
      <c r="B3097" s="3"/>
      <c r="C3097" s="4"/>
    </row>
    <row r="3098" spans="2:3" ht="14.25">
      <c r="B3098" s="3"/>
      <c r="C3098" s="4"/>
    </row>
    <row r="3099" spans="2:3" ht="14.25">
      <c r="B3099" s="3"/>
      <c r="C3099" s="4"/>
    </row>
    <row r="3100" spans="2:3" ht="14.25">
      <c r="B3100" s="3"/>
      <c r="C3100" s="4"/>
    </row>
    <row r="3101" spans="2:3" ht="14.25">
      <c r="B3101" s="3"/>
      <c r="C3101" s="4"/>
    </row>
    <row r="3102" spans="2:3" ht="14.25">
      <c r="B3102" s="3"/>
      <c r="C3102" s="4"/>
    </row>
    <row r="3103" spans="2:3" ht="14.25">
      <c r="B3103" s="3"/>
      <c r="C3103" s="4"/>
    </row>
    <row r="3104" spans="2:3" ht="14.25">
      <c r="B3104" s="3"/>
      <c r="C3104" s="4"/>
    </row>
    <row r="3105" spans="2:3" ht="14.25">
      <c r="B3105" s="3"/>
      <c r="C3105" s="4"/>
    </row>
    <row r="3106" spans="2:3" ht="14.25">
      <c r="B3106" s="3"/>
      <c r="C3106" s="4"/>
    </row>
    <row r="3107" spans="2:3" ht="14.25">
      <c r="B3107" s="3"/>
      <c r="C3107" s="4"/>
    </row>
    <row r="3108" spans="2:3" ht="14.25">
      <c r="B3108" s="3"/>
      <c r="C3108" s="4"/>
    </row>
    <row r="3109" spans="2:3" ht="14.25">
      <c r="B3109" s="3"/>
      <c r="C3109" s="4"/>
    </row>
    <row r="3110" spans="2:3" ht="14.25">
      <c r="B3110" s="3"/>
      <c r="C3110" s="4"/>
    </row>
    <row r="3111" spans="2:3" ht="14.25">
      <c r="B3111" s="3"/>
      <c r="C3111" s="4"/>
    </row>
    <row r="3112" spans="2:3" ht="14.25">
      <c r="B3112" s="3"/>
      <c r="C3112" s="4"/>
    </row>
    <row r="3113" spans="2:3" ht="14.25">
      <c r="B3113" s="3"/>
      <c r="C3113" s="4"/>
    </row>
    <row r="3114" spans="2:3" ht="14.25">
      <c r="B3114" s="3"/>
      <c r="C3114" s="4"/>
    </row>
    <row r="3115" spans="2:3" ht="14.25">
      <c r="B3115" s="3"/>
      <c r="C3115" s="4"/>
    </row>
    <row r="3116" spans="2:3" ht="14.25">
      <c r="B3116" s="3"/>
      <c r="C3116" s="4"/>
    </row>
    <row r="3117" spans="2:3" ht="14.25">
      <c r="B3117" s="3"/>
      <c r="C3117" s="4"/>
    </row>
    <row r="3118" spans="2:3" ht="14.25">
      <c r="B3118" s="3"/>
      <c r="C3118" s="4"/>
    </row>
    <row r="3119" spans="2:3" ht="14.25">
      <c r="B3119" s="3"/>
      <c r="C3119" s="4"/>
    </row>
    <row r="3120" spans="2:3" ht="14.25">
      <c r="B3120" s="3"/>
      <c r="C3120" s="4"/>
    </row>
    <row r="3121" spans="2:3" ht="14.25">
      <c r="B3121" s="3"/>
      <c r="C3121" s="4"/>
    </row>
    <row r="3122" spans="2:3" ht="14.25">
      <c r="B3122" s="3"/>
      <c r="C3122" s="4"/>
    </row>
    <row r="3123" spans="2:3" ht="14.25">
      <c r="B3123" s="3"/>
      <c r="C3123" s="4"/>
    </row>
    <row r="3124" spans="2:3" ht="14.25">
      <c r="B3124" s="3"/>
      <c r="C3124" s="4"/>
    </row>
    <row r="3125" spans="2:3" ht="14.25">
      <c r="B3125" s="3"/>
      <c r="C3125" s="4"/>
    </row>
    <row r="3126" spans="2:3" ht="14.25">
      <c r="B3126" s="3"/>
      <c r="C3126" s="4"/>
    </row>
    <row r="3127" spans="2:3" ht="14.25">
      <c r="B3127" s="3"/>
      <c r="C3127" s="4"/>
    </row>
    <row r="3128" spans="2:3" ht="14.25">
      <c r="B3128" s="3"/>
      <c r="C3128" s="4"/>
    </row>
    <row r="3129" spans="2:3" ht="14.25">
      <c r="B3129" s="3"/>
      <c r="C3129" s="4"/>
    </row>
    <row r="3130" spans="2:3" ht="14.25">
      <c r="B3130" s="3"/>
      <c r="C3130" s="4"/>
    </row>
    <row r="3131" spans="2:3" ht="14.25">
      <c r="B3131" s="3"/>
      <c r="C3131" s="4"/>
    </row>
    <row r="3132" spans="2:3" ht="14.25">
      <c r="B3132" s="3"/>
      <c r="C3132" s="4"/>
    </row>
    <row r="3133" spans="2:3" ht="14.25">
      <c r="B3133" s="3"/>
      <c r="C3133" s="4"/>
    </row>
    <row r="3134" spans="2:3" ht="14.25">
      <c r="B3134" s="3"/>
      <c r="C3134" s="4"/>
    </row>
    <row r="3135" spans="2:3" ht="14.25">
      <c r="B3135" s="3"/>
      <c r="C3135" s="4"/>
    </row>
    <row r="3136" spans="2:3" ht="14.25">
      <c r="B3136" s="3"/>
      <c r="C3136" s="4"/>
    </row>
    <row r="3137" spans="2:3" ht="14.25">
      <c r="B3137" s="3"/>
      <c r="C3137" s="4"/>
    </row>
    <row r="3138" spans="2:3" ht="14.25">
      <c r="B3138" s="3"/>
      <c r="C3138" s="4"/>
    </row>
    <row r="3139" spans="2:3" ht="14.25">
      <c r="B3139" s="3"/>
      <c r="C3139" s="4"/>
    </row>
    <row r="3140" spans="2:3" ht="14.25">
      <c r="B3140" s="3"/>
      <c r="C3140" s="4"/>
    </row>
    <row r="3141" spans="2:3" ht="14.25">
      <c r="B3141" s="3"/>
      <c r="C3141" s="4"/>
    </row>
    <row r="3142" spans="2:3" ht="14.25">
      <c r="B3142" s="3"/>
      <c r="C3142" s="4"/>
    </row>
    <row r="3143" spans="2:3" ht="14.25">
      <c r="B3143" s="3"/>
      <c r="C3143" s="4"/>
    </row>
    <row r="3144" spans="2:3" ht="14.25">
      <c r="B3144" s="3"/>
      <c r="C3144" s="4"/>
    </row>
    <row r="3145" spans="2:3" ht="14.25">
      <c r="B3145" s="3"/>
      <c r="C3145" s="4"/>
    </row>
    <row r="3146" spans="2:3" ht="14.25">
      <c r="B3146" s="3"/>
      <c r="C3146" s="4"/>
    </row>
    <row r="3147" spans="2:3" ht="14.25">
      <c r="B3147" s="3"/>
      <c r="C3147" s="4"/>
    </row>
    <row r="3148" spans="2:3" ht="14.25">
      <c r="B3148" s="3"/>
      <c r="C3148" s="4"/>
    </row>
    <row r="3149" spans="2:3" ht="14.25">
      <c r="B3149" s="3"/>
      <c r="C3149" s="4"/>
    </row>
    <row r="3150" spans="2:3" ht="14.25">
      <c r="B3150" s="3"/>
      <c r="C3150" s="4"/>
    </row>
    <row r="3151" spans="2:3" ht="14.25">
      <c r="B3151" s="3"/>
      <c r="C3151" s="4"/>
    </row>
    <row r="3152" spans="2:3" ht="14.25">
      <c r="B3152" s="3"/>
      <c r="C3152" s="4"/>
    </row>
    <row r="3153" spans="2:3" ht="14.25">
      <c r="B3153" s="3"/>
      <c r="C3153" s="4"/>
    </row>
    <row r="3154" spans="2:3" ht="14.25">
      <c r="B3154" s="3"/>
      <c r="C3154" s="4"/>
    </row>
    <row r="3155" spans="2:3" ht="14.25">
      <c r="B3155" s="3"/>
      <c r="C3155" s="4"/>
    </row>
    <row r="3156" spans="2:3" ht="14.25">
      <c r="B3156" s="3"/>
      <c r="C3156" s="4"/>
    </row>
    <row r="3157" spans="2:3" ht="14.25">
      <c r="B3157" s="3"/>
      <c r="C3157" s="4"/>
    </row>
    <row r="3158" spans="2:3" ht="14.25">
      <c r="B3158" s="3"/>
      <c r="C3158" s="4"/>
    </row>
    <row r="3159" spans="2:3" ht="14.25">
      <c r="B3159" s="3"/>
      <c r="C3159" s="4"/>
    </row>
    <row r="3160" spans="2:3" ht="14.25">
      <c r="B3160" s="3"/>
      <c r="C3160" s="4"/>
    </row>
    <row r="3161" spans="2:3" ht="14.25">
      <c r="B3161" s="3"/>
      <c r="C3161" s="4"/>
    </row>
    <row r="3162" spans="2:3" ht="14.25">
      <c r="B3162" s="3"/>
      <c r="C3162" s="4"/>
    </row>
    <row r="3163" spans="2:3" ht="14.25">
      <c r="B3163" s="3"/>
      <c r="C3163" s="4"/>
    </row>
    <row r="3164" spans="2:3" ht="14.25">
      <c r="B3164" s="3"/>
      <c r="C3164" s="4"/>
    </row>
    <row r="3165" spans="2:3" ht="14.25">
      <c r="B3165" s="3"/>
      <c r="C3165" s="4"/>
    </row>
    <row r="3166" spans="2:3" ht="14.25">
      <c r="B3166" s="3"/>
      <c r="C3166" s="4"/>
    </row>
    <row r="3167" spans="2:3" ht="14.25">
      <c r="B3167" s="3"/>
      <c r="C3167" s="4"/>
    </row>
    <row r="3168" spans="2:3" ht="14.25">
      <c r="B3168" s="3"/>
      <c r="C3168" s="4"/>
    </row>
    <row r="3169" spans="2:3" ht="14.25">
      <c r="B3169" s="3"/>
      <c r="C3169" s="4"/>
    </row>
    <row r="3170" spans="2:3" ht="14.25">
      <c r="B3170" s="3"/>
      <c r="C3170" s="4"/>
    </row>
    <row r="3171" spans="2:3" ht="14.25">
      <c r="B3171" s="3"/>
      <c r="C3171" s="4"/>
    </row>
    <row r="3172" spans="2:3" ht="14.25">
      <c r="B3172" s="3"/>
      <c r="C3172" s="4"/>
    </row>
    <row r="3173" spans="2:3" ht="14.25">
      <c r="B3173" s="3"/>
      <c r="C3173" s="4"/>
    </row>
    <row r="3174" spans="2:3" ht="14.25">
      <c r="B3174" s="3"/>
      <c r="C3174" s="4"/>
    </row>
    <row r="3175" spans="2:3" ht="14.25">
      <c r="B3175" s="3"/>
      <c r="C3175" s="4"/>
    </row>
    <row r="3176" spans="2:3" ht="14.25">
      <c r="B3176" s="3"/>
      <c r="C3176" s="4"/>
    </row>
    <row r="3177" spans="2:3" ht="14.25">
      <c r="B3177" s="3"/>
      <c r="C3177" s="4"/>
    </row>
    <row r="3178" spans="2:3" ht="14.25">
      <c r="B3178" s="3"/>
      <c r="C3178" s="4"/>
    </row>
    <row r="3179" spans="2:3" ht="14.25">
      <c r="B3179" s="3"/>
      <c r="C3179" s="4"/>
    </row>
    <row r="3180" spans="2:3" ht="14.25">
      <c r="B3180" s="3"/>
      <c r="C3180" s="4"/>
    </row>
    <row r="3181" spans="2:3" ht="14.25">
      <c r="B3181" s="3"/>
      <c r="C3181" s="4"/>
    </row>
    <row r="3182" spans="2:3" ht="14.25">
      <c r="B3182" s="3"/>
      <c r="C3182" s="4"/>
    </row>
    <row r="3183" spans="2:3" ht="14.25">
      <c r="B3183" s="3"/>
      <c r="C3183" s="4"/>
    </row>
    <row r="3184" spans="2:3" ht="14.25">
      <c r="B3184" s="3"/>
      <c r="C3184" s="4"/>
    </row>
    <row r="3185" spans="2:3" ht="14.25">
      <c r="B3185" s="3"/>
      <c r="C3185" s="4"/>
    </row>
    <row r="3186" spans="2:3" ht="14.25">
      <c r="B3186" s="3"/>
      <c r="C3186" s="4"/>
    </row>
    <row r="3187" spans="2:3" ht="14.25">
      <c r="B3187" s="3"/>
      <c r="C3187" s="4"/>
    </row>
    <row r="3188" spans="2:3" ht="14.25">
      <c r="B3188" s="3"/>
      <c r="C3188" s="4"/>
    </row>
    <row r="3189" spans="2:3" ht="14.25">
      <c r="B3189" s="3"/>
      <c r="C3189" s="4"/>
    </row>
    <row r="3190" spans="2:3" ht="14.25">
      <c r="B3190" s="3"/>
      <c r="C3190" s="4"/>
    </row>
    <row r="3191" spans="2:3" ht="14.25">
      <c r="B3191" s="3"/>
      <c r="C3191" s="4"/>
    </row>
    <row r="3192" spans="2:3" ht="14.25">
      <c r="B3192" s="3"/>
      <c r="C3192" s="4"/>
    </row>
    <row r="3193" spans="2:3" ht="14.25">
      <c r="B3193" s="3"/>
      <c r="C3193" s="4"/>
    </row>
    <row r="3194" spans="2:3" ht="14.25">
      <c r="B3194" s="3"/>
      <c r="C3194" s="4"/>
    </row>
    <row r="3195" spans="2:3" ht="14.25">
      <c r="B3195" s="3"/>
      <c r="C3195" s="4"/>
    </row>
    <row r="3196" spans="2:3" ht="14.25">
      <c r="B3196" s="3"/>
      <c r="C3196" s="4"/>
    </row>
    <row r="3197" spans="2:3" ht="14.25">
      <c r="B3197" s="3"/>
      <c r="C3197" s="4"/>
    </row>
    <row r="3198" spans="2:3" ht="14.25">
      <c r="B3198" s="3"/>
      <c r="C3198" s="4"/>
    </row>
    <row r="3199" spans="2:3" ht="14.25">
      <c r="B3199" s="3"/>
      <c r="C3199" s="4"/>
    </row>
    <row r="3200" spans="2:3" ht="14.25">
      <c r="B3200" s="3"/>
      <c r="C3200" s="4"/>
    </row>
    <row r="3201" spans="2:3" ht="14.25">
      <c r="B3201" s="3"/>
      <c r="C3201" s="4"/>
    </row>
    <row r="3202" spans="2:3" ht="14.25">
      <c r="B3202" s="3"/>
      <c r="C3202" s="4"/>
    </row>
    <row r="3203" spans="2:3" ht="14.25">
      <c r="B3203" s="3"/>
      <c r="C3203" s="4"/>
    </row>
    <row r="3204" spans="2:3" ht="14.25">
      <c r="B3204" s="3"/>
      <c r="C3204" s="4"/>
    </row>
    <row r="3205" spans="2:3" ht="14.25">
      <c r="B3205" s="3"/>
      <c r="C3205" s="4"/>
    </row>
    <row r="3206" spans="2:3" ht="14.25">
      <c r="B3206" s="3"/>
      <c r="C3206" s="4"/>
    </row>
    <row r="3207" spans="2:3" ht="14.25">
      <c r="B3207" s="3"/>
      <c r="C3207" s="4"/>
    </row>
    <row r="3208" spans="2:3" ht="14.25">
      <c r="B3208" s="3"/>
      <c r="C3208" s="4"/>
    </row>
    <row r="3209" spans="2:3" ht="14.25">
      <c r="B3209" s="3"/>
      <c r="C3209" s="4"/>
    </row>
    <row r="3210" spans="2:3" ht="14.25">
      <c r="B3210" s="3"/>
      <c r="C3210" s="4"/>
    </row>
    <row r="3211" spans="2:3" ht="14.25">
      <c r="B3211" s="3"/>
      <c r="C3211" s="4"/>
    </row>
    <row r="3212" spans="2:3" ht="14.25">
      <c r="B3212" s="3"/>
      <c r="C3212" s="4"/>
    </row>
    <row r="3213" spans="2:3" ht="14.25">
      <c r="B3213" s="3"/>
      <c r="C3213" s="4"/>
    </row>
    <row r="3214" spans="2:3" ht="14.25">
      <c r="B3214" s="3"/>
      <c r="C3214" s="4"/>
    </row>
    <row r="3215" spans="2:3" ht="14.25">
      <c r="B3215" s="3"/>
      <c r="C3215" s="4"/>
    </row>
    <row r="3216" spans="2:3" ht="14.25">
      <c r="B3216" s="3"/>
      <c r="C3216" s="4"/>
    </row>
    <row r="3217" spans="2:3" ht="14.25">
      <c r="B3217" s="3"/>
      <c r="C3217" s="4"/>
    </row>
    <row r="3218" spans="2:3" ht="14.25">
      <c r="B3218" s="3"/>
      <c r="C3218" s="4"/>
    </row>
    <row r="3219" spans="2:3" ht="14.25">
      <c r="B3219" s="3"/>
      <c r="C3219" s="4"/>
    </row>
    <row r="3220" spans="2:3" ht="14.25">
      <c r="B3220" s="3"/>
      <c r="C3220" s="4"/>
    </row>
    <row r="3221" spans="2:3" ht="14.25">
      <c r="B3221" s="3"/>
      <c r="C3221" s="4"/>
    </row>
    <row r="3222" spans="2:3" ht="14.25">
      <c r="B3222" s="3"/>
      <c r="C3222" s="4"/>
    </row>
    <row r="3223" spans="2:3" ht="14.25">
      <c r="B3223" s="3"/>
      <c r="C3223" s="4"/>
    </row>
    <row r="3224" spans="2:3" ht="14.25">
      <c r="B3224" s="3"/>
      <c r="C3224" s="4"/>
    </row>
    <row r="3225" spans="2:3" ht="14.25">
      <c r="B3225" s="3"/>
      <c r="C3225" s="4"/>
    </row>
    <row r="3226" spans="2:3" ht="14.25">
      <c r="B3226" s="3"/>
      <c r="C3226" s="4"/>
    </row>
    <row r="3227" spans="2:3" ht="14.25">
      <c r="B3227" s="3"/>
      <c r="C3227" s="4"/>
    </row>
    <row r="3228" spans="2:3" ht="14.25">
      <c r="B3228" s="3"/>
      <c r="C3228" s="4"/>
    </row>
    <row r="3229" spans="2:3" ht="14.25">
      <c r="B3229" s="3"/>
      <c r="C3229" s="4"/>
    </row>
    <row r="3230" spans="2:3" ht="14.25">
      <c r="B3230" s="3"/>
      <c r="C3230" s="4"/>
    </row>
    <row r="3231" spans="2:3" ht="14.25">
      <c r="B3231" s="3"/>
      <c r="C3231" s="4"/>
    </row>
    <row r="3232" spans="2:3" ht="14.25">
      <c r="B3232" s="3"/>
      <c r="C3232" s="4"/>
    </row>
    <row r="3233" spans="2:3" ht="14.25">
      <c r="B3233" s="3"/>
      <c r="C3233" s="4"/>
    </row>
    <row r="3234" spans="2:3" ht="14.25">
      <c r="B3234" s="3"/>
      <c r="C3234" s="4"/>
    </row>
    <row r="3235" spans="2:3" ht="14.25">
      <c r="B3235" s="3"/>
      <c r="C3235" s="4"/>
    </row>
    <row r="3236" spans="2:3" ht="14.25">
      <c r="B3236" s="3"/>
      <c r="C3236" s="4"/>
    </row>
    <row r="3237" spans="2:3" ht="14.25">
      <c r="B3237" s="3"/>
      <c r="C3237" s="4"/>
    </row>
    <row r="3238" spans="2:3" ht="14.25">
      <c r="B3238" s="3"/>
      <c r="C3238" s="4"/>
    </row>
    <row r="3239" spans="2:3" ht="14.25">
      <c r="B3239" s="3"/>
      <c r="C3239" s="4"/>
    </row>
    <row r="3240" spans="2:3" ht="14.25">
      <c r="B3240" s="3"/>
      <c r="C3240" s="4"/>
    </row>
    <row r="3241" spans="2:3" ht="14.25">
      <c r="B3241" s="3"/>
      <c r="C3241" s="4"/>
    </row>
    <row r="3242" spans="2:3" ht="14.25">
      <c r="B3242" s="3"/>
      <c r="C3242" s="4"/>
    </row>
    <row r="3243" spans="2:3" ht="14.25">
      <c r="B3243" s="3"/>
      <c r="C3243" s="4"/>
    </row>
    <row r="3244" spans="2:3" ht="14.25">
      <c r="B3244" s="3"/>
      <c r="C3244" s="4"/>
    </row>
    <row r="3245" spans="2:3" ht="14.25">
      <c r="B3245" s="3"/>
      <c r="C3245" s="4"/>
    </row>
    <row r="3246" spans="2:3" ht="14.25">
      <c r="B3246" s="3"/>
      <c r="C3246" s="4"/>
    </row>
    <row r="3247" spans="2:3" ht="14.25">
      <c r="B3247" s="3"/>
      <c r="C3247" s="4"/>
    </row>
    <row r="3248" spans="2:3" ht="14.25">
      <c r="B3248" s="3"/>
      <c r="C3248" s="4"/>
    </row>
    <row r="3249" spans="2:3" ht="14.25">
      <c r="B3249" s="3"/>
      <c r="C3249" s="4"/>
    </row>
    <row r="3250" spans="2:3" ht="14.25">
      <c r="B3250" s="3"/>
      <c r="C3250" s="4"/>
    </row>
    <row r="3251" spans="2:3" ht="14.25">
      <c r="B3251" s="3"/>
      <c r="C3251" s="4"/>
    </row>
    <row r="3252" spans="2:3" ht="14.25">
      <c r="B3252" s="3"/>
      <c r="C3252" s="4"/>
    </row>
    <row r="3253" spans="2:3" ht="14.25">
      <c r="B3253" s="3"/>
      <c r="C3253" s="4"/>
    </row>
    <row r="3254" spans="2:3" ht="14.25">
      <c r="B3254" s="3"/>
      <c r="C3254" s="4"/>
    </row>
    <row r="3255" spans="2:3" ht="14.25">
      <c r="B3255" s="3"/>
      <c r="C3255" s="4"/>
    </row>
    <row r="3256" spans="2:3" ht="14.25">
      <c r="B3256" s="3"/>
      <c r="C3256" s="4"/>
    </row>
    <row r="3257" spans="2:3" ht="14.25">
      <c r="B3257" s="3"/>
      <c r="C3257" s="4"/>
    </row>
    <row r="3258" spans="2:3" ht="14.25">
      <c r="B3258" s="3"/>
      <c r="C3258" s="4"/>
    </row>
    <row r="3259" spans="2:3" ht="14.25">
      <c r="B3259" s="3"/>
      <c r="C3259" s="4"/>
    </row>
    <row r="3260" spans="2:3" ht="14.25">
      <c r="B3260" s="3"/>
      <c r="C3260" s="4"/>
    </row>
    <row r="3261" spans="2:3" ht="14.25">
      <c r="B3261" s="3"/>
      <c r="C3261" s="4"/>
    </row>
    <row r="3262" spans="2:3" ht="14.25">
      <c r="B3262" s="3"/>
      <c r="C3262" s="4"/>
    </row>
    <row r="3263" spans="2:3" ht="14.25">
      <c r="B3263" s="3"/>
      <c r="C3263" s="4"/>
    </row>
    <row r="3264" spans="2:3" ht="14.25">
      <c r="B3264" s="3"/>
      <c r="C3264" s="4"/>
    </row>
    <row r="3265" spans="2:3" ht="14.25">
      <c r="B3265" s="3"/>
      <c r="C3265" s="4"/>
    </row>
    <row r="3266" spans="2:3" ht="14.25">
      <c r="B3266" s="3"/>
      <c r="C3266" s="4"/>
    </row>
    <row r="3267" spans="2:3" ht="14.25">
      <c r="B3267" s="3"/>
      <c r="C3267" s="4"/>
    </row>
    <row r="3268" spans="2:3" ht="14.25">
      <c r="B3268" s="3"/>
      <c r="C3268" s="4"/>
    </row>
    <row r="3269" spans="2:3" ht="14.25">
      <c r="B3269" s="3"/>
      <c r="C3269" s="4"/>
    </row>
    <row r="3270" spans="2:3" ht="14.25">
      <c r="B3270" s="3"/>
      <c r="C3270" s="4"/>
    </row>
    <row r="3271" spans="2:3" ht="14.25">
      <c r="B3271" s="3"/>
      <c r="C3271" s="4"/>
    </row>
    <row r="3272" spans="2:3" ht="14.25">
      <c r="B3272" s="3"/>
      <c r="C3272" s="4"/>
    </row>
    <row r="3273" spans="2:3" ht="14.25">
      <c r="B3273" s="3"/>
      <c r="C3273" s="4"/>
    </row>
    <row r="3274" spans="2:3" ht="14.25">
      <c r="B3274" s="3"/>
      <c r="C3274" s="4"/>
    </row>
    <row r="3275" spans="2:3" ht="14.25">
      <c r="B3275" s="3"/>
      <c r="C3275" s="4"/>
    </row>
    <row r="3276" spans="2:3" ht="14.25">
      <c r="B3276" s="3"/>
      <c r="C3276" s="4"/>
    </row>
    <row r="3277" spans="2:3" ht="14.25">
      <c r="B3277" s="3"/>
      <c r="C3277" s="4"/>
    </row>
    <row r="3278" spans="2:3" ht="14.25">
      <c r="B3278" s="3"/>
      <c r="C3278" s="4"/>
    </row>
    <row r="3279" spans="2:3" ht="14.25">
      <c r="B3279" s="3"/>
      <c r="C3279" s="4"/>
    </row>
    <row r="3280" spans="2:3" ht="14.25">
      <c r="B3280" s="3"/>
      <c r="C3280" s="4"/>
    </row>
    <row r="3281" spans="2:3" ht="14.25">
      <c r="B3281" s="3"/>
      <c r="C3281" s="4"/>
    </row>
    <row r="3282" spans="2:3" ht="14.25">
      <c r="B3282" s="3"/>
      <c r="C3282" s="4"/>
    </row>
    <row r="3283" spans="2:3" ht="14.25">
      <c r="B3283" s="3"/>
      <c r="C3283" s="4"/>
    </row>
    <row r="3284" spans="2:3" ht="14.25">
      <c r="B3284" s="3"/>
      <c r="C3284" s="4"/>
    </row>
    <row r="3285" spans="2:3" ht="14.25">
      <c r="B3285" s="3"/>
      <c r="C3285" s="4"/>
    </row>
    <row r="3286" spans="2:3" ht="14.25">
      <c r="B3286" s="3"/>
      <c r="C3286" s="4"/>
    </row>
    <row r="3287" spans="2:3" ht="14.25">
      <c r="B3287" s="3"/>
      <c r="C3287" s="4"/>
    </row>
    <row r="3288" spans="2:3" ht="14.25">
      <c r="B3288" s="3"/>
      <c r="C3288" s="4"/>
    </row>
    <row r="3289" spans="2:3" ht="14.25">
      <c r="B3289" s="3"/>
      <c r="C3289" s="4"/>
    </row>
    <row r="3290" spans="2:3" ht="14.25">
      <c r="B3290" s="3"/>
      <c r="C3290" s="4"/>
    </row>
    <row r="3291" spans="2:3" ht="14.25">
      <c r="B3291" s="3"/>
      <c r="C3291" s="4"/>
    </row>
    <row r="3292" spans="2:3" ht="14.25">
      <c r="B3292" s="3"/>
      <c r="C3292" s="4"/>
    </row>
    <row r="3293" spans="2:3" ht="14.25">
      <c r="B3293" s="3"/>
      <c r="C3293" s="4"/>
    </row>
    <row r="3294" spans="2:3" ht="14.25">
      <c r="B3294" s="3"/>
      <c r="C3294" s="4"/>
    </row>
    <row r="3295" spans="2:3" ht="14.25">
      <c r="B3295" s="3"/>
      <c r="C3295" s="4"/>
    </row>
    <row r="3296" spans="2:3" ht="14.25">
      <c r="B3296" s="3"/>
      <c r="C3296" s="4"/>
    </row>
    <row r="3297" spans="2:3" ht="14.25">
      <c r="B3297" s="3"/>
      <c r="C3297" s="4"/>
    </row>
    <row r="3298" spans="2:3" ht="14.25">
      <c r="B3298" s="3"/>
      <c r="C3298" s="4"/>
    </row>
    <row r="3299" spans="2:3" ht="14.25">
      <c r="B3299" s="3"/>
      <c r="C3299" s="4"/>
    </row>
    <row r="3300" spans="2:3" ht="14.25">
      <c r="B3300" s="3"/>
      <c r="C3300" s="4"/>
    </row>
    <row r="3301" spans="2:3" ht="14.25">
      <c r="B3301" s="3"/>
      <c r="C3301" s="4"/>
    </row>
    <row r="3302" spans="2:3" ht="14.25">
      <c r="B3302" s="3"/>
      <c r="C3302" s="4"/>
    </row>
    <row r="3303" spans="2:3" ht="14.25">
      <c r="B3303" s="3"/>
      <c r="C3303" s="4"/>
    </row>
    <row r="3304" spans="2:3" ht="14.25">
      <c r="B3304" s="3"/>
      <c r="C3304" s="4"/>
    </row>
    <row r="3305" spans="2:3" ht="14.25">
      <c r="B3305" s="3"/>
      <c r="C3305" s="4"/>
    </row>
    <row r="3306" spans="2:3" ht="14.25">
      <c r="B3306" s="3"/>
      <c r="C3306" s="4"/>
    </row>
    <row r="3307" spans="2:3" ht="14.25">
      <c r="B3307" s="3"/>
      <c r="C3307" s="4"/>
    </row>
    <row r="3308" spans="2:3" ht="14.25">
      <c r="B3308" s="3"/>
      <c r="C3308" s="4"/>
    </row>
    <row r="3309" spans="2:3" ht="14.25">
      <c r="B3309" s="3"/>
      <c r="C3309" s="4"/>
    </row>
    <row r="3310" spans="2:3" ht="14.25">
      <c r="B3310" s="3"/>
      <c r="C3310" s="4"/>
    </row>
    <row r="3311" spans="2:3" ht="14.25">
      <c r="B3311" s="3"/>
      <c r="C3311" s="4"/>
    </row>
    <row r="3312" spans="2:3" ht="14.25">
      <c r="B3312" s="3"/>
      <c r="C3312" s="4"/>
    </row>
    <row r="3313" spans="2:3" ht="14.25">
      <c r="B3313" s="3"/>
      <c r="C3313" s="4"/>
    </row>
    <row r="3314" spans="2:3" ht="14.25">
      <c r="B3314" s="3"/>
      <c r="C3314" s="4"/>
    </row>
    <row r="3315" spans="2:3" ht="14.25">
      <c r="B3315" s="3"/>
      <c r="C3315" s="4"/>
    </row>
    <row r="3316" spans="2:3" ht="14.25">
      <c r="B3316" s="3"/>
      <c r="C3316" s="4"/>
    </row>
    <row r="3317" spans="2:3" ht="14.25">
      <c r="B3317" s="3"/>
      <c r="C3317" s="4"/>
    </row>
    <row r="3318" spans="2:3" ht="14.25">
      <c r="B3318" s="3"/>
      <c r="C3318" s="4"/>
    </row>
    <row r="3319" spans="2:3" ht="14.25">
      <c r="B3319" s="3"/>
      <c r="C3319" s="4"/>
    </row>
    <row r="3320" spans="2:3" ht="14.25">
      <c r="B3320" s="3"/>
      <c r="C3320" s="4"/>
    </row>
    <row r="3321" spans="2:3" ht="14.25">
      <c r="B3321" s="3"/>
      <c r="C3321" s="4"/>
    </row>
    <row r="3322" spans="2:3" ht="14.25">
      <c r="B3322" s="3"/>
      <c r="C3322" s="4"/>
    </row>
    <row r="3323" spans="2:3" ht="14.25">
      <c r="B3323" s="3"/>
      <c r="C3323" s="4"/>
    </row>
    <row r="3324" spans="2:3" ht="14.25">
      <c r="B3324" s="3"/>
      <c r="C3324" s="4"/>
    </row>
    <row r="3325" spans="2:3" ht="14.25">
      <c r="B3325" s="3"/>
      <c r="C3325" s="4"/>
    </row>
    <row r="3326" spans="2:3" ht="14.25">
      <c r="B3326" s="3"/>
      <c r="C3326" s="4"/>
    </row>
    <row r="3327" spans="2:3" ht="14.25">
      <c r="B3327" s="3"/>
      <c r="C3327" s="4"/>
    </row>
    <row r="3328" spans="2:3" ht="14.25">
      <c r="B3328" s="3"/>
      <c r="C3328" s="4"/>
    </row>
    <row r="3329" spans="2:3" ht="14.25">
      <c r="B3329" s="3"/>
      <c r="C3329" s="4"/>
    </row>
    <row r="3330" spans="2:3" ht="14.25">
      <c r="B3330" s="3"/>
      <c r="C3330" s="4"/>
    </row>
    <row r="3331" spans="2:3" ht="14.25">
      <c r="B3331" s="3"/>
      <c r="C3331" s="4"/>
    </row>
    <row r="3332" spans="2:3" ht="14.25">
      <c r="B3332" s="3"/>
      <c r="C3332" s="4"/>
    </row>
    <row r="3333" spans="2:3" ht="14.25">
      <c r="B3333" s="3"/>
      <c r="C3333" s="4"/>
    </row>
    <row r="3334" spans="2:3" ht="14.25">
      <c r="B3334" s="3"/>
      <c r="C3334" s="4"/>
    </row>
    <row r="3335" spans="2:3" ht="14.25">
      <c r="B3335" s="3"/>
      <c r="C3335" s="4"/>
    </row>
    <row r="3336" spans="2:3" ht="14.25">
      <c r="B3336" s="3"/>
      <c r="C3336" s="4"/>
    </row>
    <row r="3337" spans="2:3" ht="14.25">
      <c r="B3337" s="3"/>
      <c r="C3337" s="4"/>
    </row>
    <row r="3338" spans="2:3" ht="14.25">
      <c r="B3338" s="3"/>
      <c r="C3338" s="4"/>
    </row>
    <row r="3339" spans="2:3" ht="14.25">
      <c r="B3339" s="3"/>
      <c r="C3339" s="4"/>
    </row>
    <row r="3340" spans="2:3" ht="14.25">
      <c r="B3340" s="3"/>
      <c r="C3340" s="4"/>
    </row>
    <row r="3341" spans="2:3" ht="14.25">
      <c r="B3341" s="3"/>
      <c r="C3341" s="4"/>
    </row>
    <row r="3342" spans="2:3" ht="14.25">
      <c r="B3342" s="3"/>
      <c r="C3342" s="4"/>
    </row>
    <row r="3343" spans="2:3" ht="14.25">
      <c r="B3343" s="3"/>
      <c r="C3343" s="4"/>
    </row>
    <row r="3344" spans="2:3" ht="14.25">
      <c r="B3344" s="3"/>
      <c r="C3344" s="4"/>
    </row>
    <row r="3345" spans="2:3" ht="14.25">
      <c r="B3345" s="3"/>
      <c r="C3345" s="4"/>
    </row>
    <row r="3346" spans="2:3" ht="14.25">
      <c r="B3346" s="3"/>
      <c r="C3346" s="4"/>
    </row>
    <row r="3347" spans="2:3" ht="14.25">
      <c r="B3347" s="3"/>
      <c r="C3347" s="4"/>
    </row>
    <row r="3348" spans="2:3" ht="14.25">
      <c r="B3348" s="3"/>
      <c r="C3348" s="4"/>
    </row>
    <row r="3349" spans="2:3" ht="14.25">
      <c r="B3349" s="3"/>
      <c r="C3349" s="4"/>
    </row>
    <row r="3350" spans="2:3" ht="14.25">
      <c r="B3350" s="3"/>
      <c r="C3350" s="4"/>
    </row>
    <row r="3351" spans="2:3" ht="14.25">
      <c r="B3351" s="3"/>
      <c r="C3351" s="4"/>
    </row>
    <row r="3352" spans="2:3" ht="14.25">
      <c r="B3352" s="3"/>
      <c r="C3352" s="4"/>
    </row>
    <row r="3353" spans="2:3" ht="14.25">
      <c r="B3353" s="3"/>
      <c r="C3353" s="4"/>
    </row>
    <row r="3354" spans="2:3" ht="14.25">
      <c r="B3354" s="3"/>
      <c r="C3354" s="4"/>
    </row>
    <row r="3355" spans="2:3" ht="14.25">
      <c r="B3355" s="3"/>
      <c r="C3355" s="4"/>
    </row>
    <row r="3356" spans="2:3" ht="14.25">
      <c r="B3356" s="3"/>
      <c r="C3356" s="4"/>
    </row>
    <row r="3357" spans="2:3" ht="14.25">
      <c r="B3357" s="3"/>
      <c r="C3357" s="4"/>
    </row>
    <row r="3358" spans="2:3" ht="14.25">
      <c r="B3358" s="3"/>
      <c r="C3358" s="4"/>
    </row>
    <row r="3359" spans="2:3" ht="14.25">
      <c r="B3359" s="3"/>
      <c r="C3359" s="4"/>
    </row>
    <row r="3360" spans="2:3" ht="14.25">
      <c r="B3360" s="3"/>
      <c r="C3360" s="4"/>
    </row>
    <row r="3361" spans="2:3" ht="14.25">
      <c r="B3361" s="3"/>
      <c r="C3361" s="4"/>
    </row>
    <row r="3362" spans="2:3" ht="14.25">
      <c r="B3362" s="3"/>
      <c r="C3362" s="4"/>
    </row>
    <row r="3363" spans="2:3" ht="14.25">
      <c r="B3363" s="3"/>
      <c r="C3363" s="4"/>
    </row>
    <row r="3364" spans="2:3" ht="14.25">
      <c r="B3364" s="3"/>
      <c r="C3364" s="4"/>
    </row>
    <row r="3365" spans="2:3" ht="14.25">
      <c r="B3365" s="3"/>
      <c r="C3365" s="4"/>
    </row>
    <row r="3366" spans="2:3" ht="14.25">
      <c r="B3366" s="3"/>
      <c r="C3366" s="4"/>
    </row>
    <row r="3367" spans="2:3" ht="14.25">
      <c r="B3367" s="3"/>
      <c r="C3367" s="4"/>
    </row>
    <row r="3368" spans="2:3" ht="14.25">
      <c r="B3368" s="3"/>
      <c r="C3368" s="4"/>
    </row>
    <row r="3369" spans="2:3" ht="14.25">
      <c r="B3369" s="3"/>
      <c r="C3369" s="4"/>
    </row>
    <row r="3370" spans="2:3" ht="14.25">
      <c r="B3370" s="3"/>
      <c r="C3370" s="4"/>
    </row>
    <row r="3371" spans="2:3" ht="14.25">
      <c r="B3371" s="3"/>
      <c r="C3371" s="4"/>
    </row>
    <row r="3372" spans="2:3" ht="14.25">
      <c r="B3372" s="3"/>
      <c r="C3372" s="4"/>
    </row>
    <row r="3373" spans="2:3" ht="14.25">
      <c r="B3373" s="3"/>
      <c r="C3373" s="4"/>
    </row>
    <row r="3374" spans="2:3" ht="14.25">
      <c r="B3374" s="3"/>
      <c r="C3374" s="4"/>
    </row>
    <row r="3375" spans="2:3" ht="14.25">
      <c r="B3375" s="3"/>
      <c r="C3375" s="4"/>
    </row>
    <row r="3376" spans="2:3" ht="14.25">
      <c r="B3376" s="3"/>
      <c r="C3376" s="4"/>
    </row>
    <row r="3377" spans="2:3" ht="14.25">
      <c r="B3377" s="3"/>
      <c r="C3377" s="4"/>
    </row>
    <row r="3378" spans="2:3" ht="14.25">
      <c r="B3378" s="3"/>
      <c r="C3378" s="4"/>
    </row>
    <row r="3379" spans="2:3" ht="14.25">
      <c r="B3379" s="3"/>
      <c r="C3379" s="4"/>
    </row>
    <row r="3380" spans="2:3" ht="14.25">
      <c r="B3380" s="3"/>
      <c r="C3380" s="4"/>
    </row>
    <row r="3381" spans="2:3" ht="14.25">
      <c r="B3381" s="3"/>
      <c r="C3381" s="4"/>
    </row>
    <row r="3382" spans="2:3" ht="14.25">
      <c r="B3382" s="3"/>
      <c r="C3382" s="4"/>
    </row>
    <row r="3383" spans="2:3" ht="14.25">
      <c r="B3383" s="3"/>
      <c r="C3383" s="4"/>
    </row>
    <row r="3384" spans="2:3" ht="14.25">
      <c r="B3384" s="3"/>
      <c r="C3384" s="4"/>
    </row>
    <row r="3385" spans="2:3" ht="14.25">
      <c r="B3385" s="3"/>
      <c r="C3385" s="4"/>
    </row>
    <row r="3386" spans="2:3" ht="14.25">
      <c r="B3386" s="3"/>
      <c r="C3386" s="4"/>
    </row>
    <row r="3387" spans="2:3" ht="14.25">
      <c r="B3387" s="3"/>
      <c r="C3387" s="4"/>
    </row>
    <row r="3388" spans="2:3" ht="14.25">
      <c r="B3388" s="3"/>
      <c r="C3388" s="4"/>
    </row>
    <row r="3389" spans="2:3" ht="14.25">
      <c r="B3389" s="3"/>
      <c r="C3389" s="4"/>
    </row>
    <row r="3390" spans="2:3" ht="14.25">
      <c r="B3390" s="3"/>
      <c r="C3390" s="4"/>
    </row>
    <row r="3391" spans="2:3" ht="14.25">
      <c r="B3391" s="3"/>
      <c r="C3391" s="4"/>
    </row>
    <row r="3392" spans="2:3" ht="14.25">
      <c r="B3392" s="3"/>
      <c r="C3392" s="4"/>
    </row>
    <row r="3393" spans="2:3" ht="14.25">
      <c r="B3393" s="3"/>
      <c r="C3393" s="4"/>
    </row>
    <row r="3394" spans="2:3" ht="14.25">
      <c r="B3394" s="3"/>
      <c r="C3394" s="4"/>
    </row>
    <row r="3395" spans="2:3" ht="14.25">
      <c r="B3395" s="3"/>
      <c r="C3395" s="4"/>
    </row>
    <row r="3396" spans="2:3" ht="14.25">
      <c r="B3396" s="3"/>
      <c r="C3396" s="4"/>
    </row>
    <row r="3397" spans="2:3" ht="14.25">
      <c r="B3397" s="3"/>
      <c r="C3397" s="4"/>
    </row>
    <row r="3398" spans="2:3" ht="14.25">
      <c r="B3398" s="3"/>
      <c r="C3398" s="4"/>
    </row>
    <row r="3399" spans="2:3" ht="14.25">
      <c r="B3399" s="3"/>
      <c r="C3399" s="4"/>
    </row>
    <row r="3400" spans="2:3" ht="14.25">
      <c r="B3400" s="3"/>
      <c r="C3400" s="4"/>
    </row>
    <row r="3401" spans="2:3" ht="14.25">
      <c r="B3401" s="3"/>
      <c r="C3401" s="4"/>
    </row>
    <row r="3402" spans="2:3" ht="14.25">
      <c r="B3402" s="3"/>
      <c r="C3402" s="4"/>
    </row>
    <row r="3403" spans="2:3" ht="14.25">
      <c r="B3403" s="3"/>
      <c r="C3403" s="4"/>
    </row>
    <row r="3404" spans="2:3" ht="14.25">
      <c r="B3404" s="3"/>
      <c r="C3404" s="4"/>
    </row>
    <row r="3405" spans="2:3" ht="14.25">
      <c r="B3405" s="3"/>
      <c r="C3405" s="4"/>
    </row>
    <row r="3406" spans="2:3" ht="14.25">
      <c r="B3406" s="3"/>
      <c r="C3406" s="4"/>
    </row>
    <row r="3407" spans="2:3" ht="14.25">
      <c r="B3407" s="3"/>
      <c r="C3407" s="4"/>
    </row>
    <row r="3408" spans="2:3" ht="14.25">
      <c r="B3408" s="3"/>
      <c r="C3408" s="4"/>
    </row>
    <row r="3409" spans="2:3" ht="14.25">
      <c r="B3409" s="3"/>
      <c r="C3409" s="4"/>
    </row>
    <row r="3410" spans="2:3" ht="14.25">
      <c r="B3410" s="3"/>
      <c r="C3410" s="4"/>
    </row>
    <row r="3411" spans="2:3" ht="14.25">
      <c r="B3411" s="3"/>
      <c r="C3411" s="4"/>
    </row>
    <row r="3412" spans="2:3" ht="14.25">
      <c r="B3412" s="3"/>
      <c r="C3412" s="4"/>
    </row>
    <row r="3413" spans="2:3" ht="14.25">
      <c r="B3413" s="3"/>
      <c r="C3413" s="4"/>
    </row>
    <row r="3414" spans="2:3" ht="14.25">
      <c r="B3414" s="3"/>
      <c r="C3414" s="4"/>
    </row>
    <row r="3415" spans="2:3" ht="14.25">
      <c r="B3415" s="3"/>
      <c r="C3415" s="4"/>
    </row>
    <row r="3416" spans="2:3" ht="14.25">
      <c r="B3416" s="3"/>
      <c r="C3416" s="4"/>
    </row>
    <row r="3417" spans="2:3" ht="14.25">
      <c r="B3417" s="3"/>
      <c r="C3417" s="4"/>
    </row>
    <row r="3418" spans="2:3" ht="14.25">
      <c r="B3418" s="3"/>
      <c r="C3418" s="4"/>
    </row>
    <row r="3419" spans="2:3" ht="14.25">
      <c r="B3419" s="3"/>
      <c r="C3419" s="4"/>
    </row>
    <row r="3420" spans="2:3" ht="14.25">
      <c r="B3420" s="3"/>
      <c r="C3420" s="4"/>
    </row>
    <row r="3421" spans="2:3" ht="14.25">
      <c r="B3421" s="3"/>
      <c r="C3421" s="4"/>
    </row>
    <row r="3422" spans="2:3" ht="14.25">
      <c r="B3422" s="3"/>
      <c r="C3422" s="4"/>
    </row>
    <row r="3423" spans="2:3" ht="14.25">
      <c r="B3423" s="3"/>
      <c r="C3423" s="4"/>
    </row>
    <row r="3424" spans="2:3" ht="14.25">
      <c r="B3424" s="3"/>
      <c r="C3424" s="4"/>
    </row>
    <row r="3425" spans="2:3" ht="14.25">
      <c r="B3425" s="3"/>
      <c r="C3425" s="4"/>
    </row>
    <row r="3426" spans="2:3" ht="14.25">
      <c r="B3426" s="3"/>
      <c r="C3426" s="4"/>
    </row>
    <row r="3427" spans="2:3" ht="14.25">
      <c r="B3427" s="3"/>
      <c r="C3427" s="4"/>
    </row>
    <row r="3428" spans="2:3" ht="14.25">
      <c r="B3428" s="3"/>
      <c r="C3428" s="4"/>
    </row>
    <row r="3429" spans="2:3" ht="14.25">
      <c r="B3429" s="3"/>
      <c r="C3429" s="4"/>
    </row>
    <row r="3430" spans="2:3" ht="14.25">
      <c r="B3430" s="3"/>
      <c r="C3430" s="4"/>
    </row>
    <row r="3431" spans="2:3" ht="14.25">
      <c r="B3431" s="3"/>
      <c r="C3431" s="4"/>
    </row>
    <row r="3432" spans="2:3" ht="14.25">
      <c r="B3432" s="3"/>
      <c r="C3432" s="4"/>
    </row>
    <row r="3433" spans="2:3" ht="14.25">
      <c r="B3433" s="3"/>
      <c r="C3433" s="4"/>
    </row>
    <row r="3434" spans="2:3" ht="14.25">
      <c r="B3434" s="3"/>
      <c r="C3434" s="4"/>
    </row>
    <row r="3435" spans="2:3" ht="14.25">
      <c r="B3435" s="3"/>
      <c r="C3435" s="4"/>
    </row>
    <row r="3436" spans="2:3" ht="14.25">
      <c r="B3436" s="3"/>
      <c r="C3436" s="4"/>
    </row>
    <row r="3437" spans="2:3" ht="14.25">
      <c r="B3437" s="3"/>
      <c r="C3437" s="4"/>
    </row>
    <row r="3438" spans="2:3" ht="14.25">
      <c r="B3438" s="3"/>
      <c r="C3438" s="4"/>
    </row>
    <row r="3439" spans="2:3" ht="14.25">
      <c r="B3439" s="3"/>
      <c r="C3439" s="4"/>
    </row>
    <row r="3440" spans="2:3" ht="14.25">
      <c r="B3440" s="3"/>
      <c r="C3440" s="4"/>
    </row>
    <row r="3441" spans="2:3" ht="14.25">
      <c r="B3441" s="3"/>
      <c r="C3441" s="4"/>
    </row>
    <row r="3442" spans="2:3" ht="14.25">
      <c r="B3442" s="3"/>
      <c r="C3442" s="4"/>
    </row>
    <row r="3443" spans="2:3" ht="14.25">
      <c r="B3443" s="3"/>
      <c r="C3443" s="4"/>
    </row>
    <row r="3444" spans="2:3" ht="14.25">
      <c r="B3444" s="3"/>
      <c r="C3444" s="4"/>
    </row>
    <row r="3445" spans="2:3" ht="14.25">
      <c r="B3445" s="3"/>
      <c r="C3445" s="4"/>
    </row>
    <row r="3446" spans="2:3" ht="14.25">
      <c r="B3446" s="3"/>
      <c r="C3446" s="4"/>
    </row>
    <row r="3447" spans="2:3" ht="14.25">
      <c r="B3447" s="3"/>
      <c r="C3447" s="4"/>
    </row>
    <row r="3448" spans="2:3" ht="14.25">
      <c r="B3448" s="3"/>
      <c r="C3448" s="4"/>
    </row>
    <row r="3449" spans="2:3" ht="14.25">
      <c r="B3449" s="3"/>
      <c r="C3449" s="4"/>
    </row>
    <row r="3450" spans="2:3" ht="14.25">
      <c r="B3450" s="3"/>
      <c r="C3450" s="4"/>
    </row>
    <row r="3451" spans="2:3" ht="14.25">
      <c r="B3451" s="3"/>
      <c r="C3451" s="4"/>
    </row>
    <row r="3452" spans="2:3" ht="14.25">
      <c r="B3452" s="3"/>
      <c r="C3452" s="4"/>
    </row>
    <row r="3453" spans="2:3" ht="14.25">
      <c r="B3453" s="3"/>
      <c r="C3453" s="4"/>
    </row>
    <row r="3454" spans="2:3" ht="14.25">
      <c r="B3454" s="3"/>
      <c r="C3454" s="4"/>
    </row>
    <row r="3455" spans="2:3" ht="14.25">
      <c r="B3455" s="3"/>
      <c r="C3455" s="4"/>
    </row>
    <row r="3456" spans="2:3" ht="14.25">
      <c r="B3456" s="3"/>
      <c r="C3456" s="4"/>
    </row>
    <row r="3457" spans="2:3" ht="14.25">
      <c r="B3457" s="3"/>
      <c r="C3457" s="4"/>
    </row>
    <row r="3458" spans="2:3" ht="14.25">
      <c r="B3458" s="3"/>
      <c r="C3458" s="4"/>
    </row>
    <row r="3459" spans="2:3" ht="14.25">
      <c r="B3459" s="3"/>
      <c r="C3459" s="4"/>
    </row>
    <row r="3460" spans="2:3" ht="14.25">
      <c r="B3460" s="3"/>
      <c r="C3460" s="4"/>
    </row>
    <row r="3461" spans="2:3" ht="14.25">
      <c r="B3461" s="3"/>
      <c r="C3461" s="4"/>
    </row>
    <row r="3462" spans="2:3" ht="14.25">
      <c r="B3462" s="3"/>
      <c r="C3462" s="4"/>
    </row>
    <row r="3463" spans="2:3" ht="14.25">
      <c r="B3463" s="3"/>
      <c r="C3463" s="4"/>
    </row>
    <row r="3464" spans="2:3" ht="14.25">
      <c r="B3464" s="3"/>
      <c r="C3464" s="4"/>
    </row>
    <row r="3465" spans="2:3" ht="14.25">
      <c r="B3465" s="3"/>
      <c r="C3465" s="4"/>
    </row>
    <row r="3466" spans="2:3" ht="14.25">
      <c r="B3466" s="3"/>
      <c r="C3466" s="4"/>
    </row>
    <row r="3467" spans="2:3" ht="14.25">
      <c r="B3467" s="3"/>
      <c r="C3467" s="4"/>
    </row>
    <row r="3468" spans="2:3" ht="14.25">
      <c r="B3468" s="3"/>
      <c r="C3468" s="4"/>
    </row>
    <row r="3469" spans="2:3" ht="14.25">
      <c r="B3469" s="3"/>
      <c r="C3469" s="4"/>
    </row>
    <row r="3470" spans="2:3" ht="14.25">
      <c r="B3470" s="3"/>
      <c r="C3470" s="4"/>
    </row>
    <row r="3471" spans="2:3" ht="14.25">
      <c r="B3471" s="3"/>
      <c r="C3471" s="4"/>
    </row>
    <row r="3472" spans="2:3" ht="14.25">
      <c r="B3472" s="3"/>
      <c r="C3472" s="4"/>
    </row>
    <row r="3473" spans="2:3" ht="14.25">
      <c r="B3473" s="3"/>
      <c r="C3473" s="4"/>
    </row>
    <row r="3474" spans="2:3" ht="14.25">
      <c r="B3474" s="3"/>
      <c r="C3474" s="4"/>
    </row>
    <row r="3475" spans="2:3" ht="14.25">
      <c r="B3475" s="3"/>
      <c r="C3475" s="4"/>
    </row>
    <row r="3476" spans="2:3" ht="14.25">
      <c r="B3476" s="3"/>
      <c r="C3476" s="4"/>
    </row>
    <row r="3477" spans="2:3" ht="14.25">
      <c r="B3477" s="3"/>
      <c r="C3477" s="4"/>
    </row>
    <row r="3478" spans="2:3" ht="14.25">
      <c r="B3478" s="3"/>
      <c r="C3478" s="4"/>
    </row>
    <row r="3479" spans="2:3" ht="14.25">
      <c r="B3479" s="3"/>
      <c r="C3479" s="4"/>
    </row>
    <row r="3480" spans="2:3" ht="14.25">
      <c r="B3480" s="3"/>
      <c r="C3480" s="4"/>
    </row>
    <row r="3481" spans="2:3" ht="14.25">
      <c r="B3481" s="3"/>
      <c r="C3481" s="4"/>
    </row>
    <row r="3482" spans="2:3" ht="14.25">
      <c r="B3482" s="3"/>
      <c r="C3482" s="4"/>
    </row>
    <row r="3483" spans="2:3" ht="14.25">
      <c r="B3483" s="3"/>
      <c r="C3483" s="4"/>
    </row>
    <row r="3484" spans="2:3" ht="14.25">
      <c r="B3484" s="3"/>
      <c r="C3484" s="4"/>
    </row>
    <row r="3485" spans="2:3" ht="14.25">
      <c r="B3485" s="3"/>
      <c r="C3485" s="4"/>
    </row>
    <row r="3486" spans="2:3" ht="14.25">
      <c r="B3486" s="3"/>
      <c r="C3486" s="4"/>
    </row>
    <row r="3487" spans="2:3" ht="14.25">
      <c r="B3487" s="3"/>
      <c r="C3487" s="4"/>
    </row>
    <row r="3488" spans="2:3" ht="14.25">
      <c r="B3488" s="3"/>
      <c r="C3488" s="4"/>
    </row>
    <row r="3489" spans="2:3" ht="14.25">
      <c r="B3489" s="3"/>
      <c r="C3489" s="4"/>
    </row>
    <row r="3490" spans="2:3" ht="14.25">
      <c r="B3490" s="3"/>
      <c r="C3490" s="4"/>
    </row>
    <row r="3491" spans="2:3" ht="14.25">
      <c r="B3491" s="3"/>
      <c r="C3491" s="4"/>
    </row>
    <row r="3492" spans="2:3" ht="14.25">
      <c r="B3492" s="3"/>
      <c r="C3492" s="4"/>
    </row>
    <row r="3493" spans="2:3" ht="14.25">
      <c r="B3493" s="3"/>
      <c r="C3493" s="4"/>
    </row>
    <row r="3494" spans="2:3" ht="14.25">
      <c r="B3494" s="3"/>
      <c r="C3494" s="4"/>
    </row>
    <row r="3495" spans="2:3" ht="14.25">
      <c r="B3495" s="3"/>
      <c r="C3495" s="4"/>
    </row>
    <row r="3496" spans="2:3" ht="14.25">
      <c r="B3496" s="3"/>
      <c r="C3496" s="4"/>
    </row>
    <row r="3497" spans="2:3" ht="14.25">
      <c r="B3497" s="3"/>
      <c r="C3497" s="4"/>
    </row>
    <row r="3498" spans="2:3" ht="14.25">
      <c r="B3498" s="3"/>
      <c r="C3498" s="4"/>
    </row>
    <row r="3499" spans="2:3" ht="14.25">
      <c r="B3499" s="3"/>
      <c r="C3499" s="4"/>
    </row>
    <row r="3500" spans="2:3" ht="14.25">
      <c r="B3500" s="3"/>
      <c r="C3500" s="4"/>
    </row>
    <row r="3501" spans="2:3" ht="14.25">
      <c r="B3501" s="3"/>
      <c r="C3501" s="4"/>
    </row>
    <row r="3502" spans="2:3" ht="14.25">
      <c r="B3502" s="3"/>
      <c r="C3502" s="4"/>
    </row>
    <row r="3503" spans="2:3" ht="14.25">
      <c r="B3503" s="3"/>
      <c r="C3503" s="4"/>
    </row>
    <row r="3504" spans="2:3" ht="14.25">
      <c r="B3504" s="3"/>
      <c r="C3504" s="4"/>
    </row>
    <row r="3505" spans="2:3" ht="14.25">
      <c r="B3505" s="3"/>
      <c r="C3505" s="4"/>
    </row>
    <row r="3506" spans="2:3" ht="14.25">
      <c r="B3506" s="3"/>
      <c r="C3506" s="4"/>
    </row>
    <row r="3507" spans="2:3" ht="14.25">
      <c r="B3507" s="3"/>
      <c r="C3507" s="4"/>
    </row>
    <row r="3508" spans="2:3" ht="14.25">
      <c r="B3508" s="3"/>
      <c r="C3508" s="4"/>
    </row>
    <row r="3509" spans="2:3" ht="14.25">
      <c r="B3509" s="3"/>
      <c r="C3509" s="4"/>
    </row>
    <row r="3510" spans="2:3" ht="14.25">
      <c r="B3510" s="3"/>
      <c r="C3510" s="4"/>
    </row>
    <row r="3511" spans="2:3" ht="14.25">
      <c r="B3511" s="3"/>
      <c r="C3511" s="4"/>
    </row>
    <row r="3512" spans="2:3" ht="14.25">
      <c r="B3512" s="3"/>
      <c r="C3512" s="4"/>
    </row>
    <row r="3513" spans="2:3" ht="14.25">
      <c r="B3513" s="3"/>
      <c r="C3513" s="4"/>
    </row>
    <row r="3514" spans="2:3" ht="14.25">
      <c r="B3514" s="3"/>
      <c r="C3514" s="4"/>
    </row>
    <row r="3515" spans="2:3" ht="14.25">
      <c r="B3515" s="3"/>
      <c r="C3515" s="4"/>
    </row>
    <row r="3516" spans="2:3" ht="14.25">
      <c r="B3516" s="3"/>
      <c r="C3516" s="4"/>
    </row>
    <row r="3517" spans="2:3" ht="14.25">
      <c r="B3517" s="3"/>
      <c r="C3517" s="4"/>
    </row>
    <row r="3518" spans="2:3" ht="14.25">
      <c r="B3518" s="3"/>
      <c r="C3518" s="4"/>
    </row>
    <row r="3519" spans="2:3" ht="14.25">
      <c r="B3519" s="3"/>
      <c r="C3519" s="4"/>
    </row>
    <row r="3520" spans="2:3" ht="14.25">
      <c r="B3520" s="3"/>
      <c r="C3520" s="4"/>
    </row>
    <row r="3521" spans="2:3" ht="14.25">
      <c r="B3521" s="3"/>
      <c r="C3521" s="4"/>
    </row>
    <row r="3522" spans="2:3" ht="14.25">
      <c r="B3522" s="3"/>
      <c r="C3522" s="4"/>
    </row>
    <row r="3523" spans="2:3" ht="14.25">
      <c r="B3523" s="3"/>
      <c r="C3523" s="4"/>
    </row>
    <row r="3524" spans="2:3" ht="14.25">
      <c r="B3524" s="3"/>
      <c r="C3524" s="4"/>
    </row>
    <row r="3525" spans="2:3" ht="14.25">
      <c r="B3525" s="3"/>
      <c r="C3525" s="4"/>
    </row>
    <row r="3526" spans="2:3" ht="14.25">
      <c r="B3526" s="3"/>
      <c r="C3526" s="4"/>
    </row>
    <row r="3527" spans="2:3" ht="14.25">
      <c r="B3527" s="3"/>
      <c r="C3527" s="4"/>
    </row>
    <row r="3528" spans="2:3" ht="14.25">
      <c r="B3528" s="3"/>
      <c r="C3528" s="4"/>
    </row>
    <row r="3529" spans="2:3" ht="14.25">
      <c r="B3529" s="3"/>
      <c r="C3529" s="4"/>
    </row>
    <row r="3530" spans="2:3" ht="14.25">
      <c r="B3530" s="3"/>
      <c r="C3530" s="4"/>
    </row>
    <row r="3531" spans="2:3" ht="14.25">
      <c r="B3531" s="3"/>
      <c r="C3531" s="4"/>
    </row>
    <row r="3532" spans="2:3" ht="14.25">
      <c r="B3532" s="3"/>
      <c r="C3532" s="4"/>
    </row>
    <row r="3533" spans="2:3" ht="14.25">
      <c r="B3533" s="3"/>
      <c r="C3533" s="4"/>
    </row>
    <row r="3534" spans="2:3" ht="14.25">
      <c r="B3534" s="3"/>
      <c r="C3534" s="4"/>
    </row>
    <row r="3535" spans="2:3" ht="14.25">
      <c r="B3535" s="3"/>
      <c r="C3535" s="4"/>
    </row>
    <row r="3536" spans="2:3" ht="14.25">
      <c r="B3536" s="3"/>
      <c r="C3536" s="4"/>
    </row>
    <row r="3537" spans="2:3" ht="14.25">
      <c r="B3537" s="3"/>
      <c r="C3537" s="4"/>
    </row>
    <row r="3538" spans="2:3" ht="14.25">
      <c r="B3538" s="3"/>
      <c r="C3538" s="4"/>
    </row>
    <row r="3539" spans="2:3" ht="14.25">
      <c r="B3539" s="3"/>
      <c r="C3539" s="4"/>
    </row>
    <row r="3540" spans="2:3" ht="14.25">
      <c r="B3540" s="3"/>
      <c r="C3540" s="4"/>
    </row>
    <row r="3541" spans="2:3" ht="14.25">
      <c r="B3541" s="3"/>
      <c r="C3541" s="4"/>
    </row>
    <row r="3542" spans="2:3" ht="14.25">
      <c r="B3542" s="3"/>
      <c r="C3542" s="4"/>
    </row>
    <row r="3543" spans="2:3" ht="14.25">
      <c r="B3543" s="3"/>
      <c r="C3543" s="4"/>
    </row>
    <row r="3544" spans="2:3" ht="14.25">
      <c r="B3544" s="3"/>
      <c r="C3544" s="4"/>
    </row>
    <row r="3545" spans="2:3" ht="14.25">
      <c r="B3545" s="3"/>
      <c r="C3545" s="4"/>
    </row>
    <row r="3546" spans="2:3" ht="14.25">
      <c r="B3546" s="3"/>
      <c r="C3546" s="4"/>
    </row>
    <row r="3547" spans="2:3" ht="14.25">
      <c r="B3547" s="3"/>
      <c r="C3547" s="4"/>
    </row>
    <row r="3548" spans="2:3" ht="14.25">
      <c r="B3548" s="3"/>
      <c r="C3548" s="4"/>
    </row>
    <row r="3549" spans="2:3" ht="14.25">
      <c r="B3549" s="3"/>
      <c r="C3549" s="4"/>
    </row>
    <row r="3550" spans="2:3" ht="14.25">
      <c r="B3550" s="3"/>
      <c r="C3550" s="4"/>
    </row>
    <row r="3551" spans="2:3" ht="14.25">
      <c r="B3551" s="3"/>
      <c r="C3551" s="4"/>
    </row>
    <row r="3552" spans="2:3" ht="14.25">
      <c r="B3552" s="3"/>
      <c r="C3552" s="4"/>
    </row>
    <row r="3553" spans="2:3" ht="14.25">
      <c r="B3553" s="3"/>
      <c r="C3553" s="4"/>
    </row>
    <row r="3554" spans="2:3" ht="14.25">
      <c r="B3554" s="3"/>
      <c r="C3554" s="4"/>
    </row>
    <row r="3555" spans="2:3" ht="14.25">
      <c r="B3555" s="3"/>
      <c r="C3555" s="4"/>
    </row>
    <row r="3556" spans="2:3" ht="14.25">
      <c r="B3556" s="3"/>
      <c r="C3556" s="4"/>
    </row>
    <row r="3557" spans="2:3" ht="14.25">
      <c r="B3557" s="3"/>
      <c r="C3557" s="4"/>
    </row>
    <row r="3558" spans="2:3" ht="14.25">
      <c r="B3558" s="3"/>
      <c r="C3558" s="4"/>
    </row>
    <row r="3559" spans="2:3" ht="14.25">
      <c r="B3559" s="3"/>
      <c r="C3559" s="4"/>
    </row>
    <row r="3560" spans="2:3" ht="14.25">
      <c r="B3560" s="3"/>
      <c r="C3560" s="4"/>
    </row>
    <row r="3561" spans="2:3" ht="14.25">
      <c r="B3561" s="3"/>
      <c r="C3561" s="4"/>
    </row>
    <row r="3562" spans="2:3" ht="14.25">
      <c r="B3562" s="3"/>
      <c r="C3562" s="4"/>
    </row>
    <row r="3563" spans="2:3" ht="14.25">
      <c r="B3563" s="3"/>
      <c r="C3563" s="4"/>
    </row>
    <row r="3564" spans="2:3" ht="14.25">
      <c r="B3564" s="3"/>
      <c r="C3564" s="4"/>
    </row>
    <row r="3565" spans="2:3" ht="14.25">
      <c r="B3565" s="3"/>
      <c r="C3565" s="4"/>
    </row>
    <row r="3566" spans="2:3" ht="14.25">
      <c r="B3566" s="3"/>
      <c r="C3566" s="4"/>
    </row>
    <row r="3567" spans="2:3" ht="14.25">
      <c r="B3567" s="3"/>
      <c r="C3567" s="4"/>
    </row>
    <row r="3568" spans="2:3" ht="14.25">
      <c r="B3568" s="3"/>
      <c r="C3568" s="4"/>
    </row>
    <row r="3569" spans="2:3" ht="14.25">
      <c r="B3569" s="3"/>
      <c r="C3569" s="4"/>
    </row>
    <row r="3570" spans="2:3" ht="14.25">
      <c r="B3570" s="3"/>
      <c r="C3570" s="4"/>
    </row>
    <row r="3571" spans="2:3" ht="14.25">
      <c r="B3571" s="3"/>
      <c r="C3571" s="4"/>
    </row>
    <row r="3572" spans="2:3" ht="14.25">
      <c r="B3572" s="3"/>
      <c r="C3572" s="4"/>
    </row>
    <row r="3573" spans="2:3" ht="14.25">
      <c r="B3573" s="3"/>
      <c r="C3573" s="4"/>
    </row>
    <row r="3574" spans="2:3" ht="14.25">
      <c r="B3574" s="3"/>
      <c r="C3574" s="4"/>
    </row>
    <row r="3575" spans="2:3" ht="14.25">
      <c r="B3575" s="3"/>
      <c r="C3575" s="4"/>
    </row>
    <row r="3576" spans="2:3" ht="14.25">
      <c r="B3576" s="3"/>
      <c r="C3576" s="4"/>
    </row>
    <row r="3577" spans="2:3" ht="14.25">
      <c r="B3577" s="3"/>
      <c r="C3577" s="4"/>
    </row>
    <row r="3578" spans="2:3" ht="14.25">
      <c r="B3578" s="3"/>
      <c r="C3578" s="4"/>
    </row>
    <row r="3579" spans="2:3" ht="14.25">
      <c r="B3579" s="3"/>
      <c r="C3579" s="4"/>
    </row>
    <row r="3580" spans="2:3" ht="14.25">
      <c r="B3580" s="3"/>
      <c r="C3580" s="4"/>
    </row>
    <row r="3581" spans="2:3" ht="14.25">
      <c r="B3581" s="3"/>
      <c r="C3581" s="4"/>
    </row>
    <row r="3582" spans="2:3" ht="14.25">
      <c r="B3582" s="3"/>
      <c r="C3582" s="4"/>
    </row>
    <row r="3583" spans="2:3" ht="14.25">
      <c r="B3583" s="3"/>
      <c r="C3583" s="4"/>
    </row>
    <row r="3584" spans="2:3" ht="14.25">
      <c r="B3584" s="3"/>
      <c r="C3584" s="4"/>
    </row>
    <row r="3585" spans="2:3" ht="14.25">
      <c r="B3585" s="3"/>
      <c r="C3585" s="4"/>
    </row>
    <row r="3586" spans="2:3" ht="14.25">
      <c r="B3586" s="3"/>
      <c r="C3586" s="4"/>
    </row>
    <row r="3587" spans="2:3" ht="14.25">
      <c r="B3587" s="3"/>
      <c r="C3587" s="4"/>
    </row>
    <row r="3588" spans="2:3" ht="14.25">
      <c r="B3588" s="3"/>
      <c r="C3588" s="4"/>
    </row>
    <row r="3589" spans="2:3" ht="14.25">
      <c r="B3589" s="3"/>
      <c r="C3589" s="4"/>
    </row>
    <row r="3590" spans="2:3" ht="14.25">
      <c r="B3590" s="3"/>
      <c r="C3590" s="4"/>
    </row>
    <row r="3591" spans="2:3" ht="14.25">
      <c r="B3591" s="3"/>
      <c r="C3591" s="4"/>
    </row>
    <row r="3592" spans="2:3" ht="14.25">
      <c r="B3592" s="3"/>
      <c r="C3592" s="4"/>
    </row>
    <row r="3593" spans="2:3" ht="14.25">
      <c r="B3593" s="3"/>
      <c r="C3593" s="4"/>
    </row>
    <row r="3594" spans="2:3" ht="14.25">
      <c r="B3594" s="3"/>
      <c r="C3594" s="4"/>
    </row>
    <row r="3595" spans="2:3" ht="14.25">
      <c r="B3595" s="3"/>
      <c r="C3595" s="4"/>
    </row>
    <row r="3596" spans="2:3" ht="14.25">
      <c r="B3596" s="3"/>
      <c r="C3596" s="4"/>
    </row>
    <row r="3597" spans="2:3" ht="14.25">
      <c r="B3597" s="3"/>
      <c r="C3597" s="4"/>
    </row>
    <row r="3598" spans="2:3" ht="14.25">
      <c r="B3598" s="3"/>
      <c r="C3598" s="4"/>
    </row>
    <row r="3599" spans="2:3" ht="14.25">
      <c r="B3599" s="3"/>
      <c r="C3599" s="4"/>
    </row>
    <row r="3600" spans="2:3" ht="14.25">
      <c r="B3600" s="3"/>
      <c r="C3600" s="4"/>
    </row>
    <row r="3601" spans="2:3" ht="14.25">
      <c r="B3601" s="3"/>
      <c r="C3601" s="4"/>
    </row>
    <row r="3602" spans="2:3" ht="14.25">
      <c r="B3602" s="3"/>
      <c r="C3602" s="4"/>
    </row>
    <row r="3603" spans="2:3" ht="14.25">
      <c r="B3603" s="3"/>
      <c r="C3603" s="4"/>
    </row>
    <row r="3604" spans="2:3" ht="14.25">
      <c r="B3604" s="3"/>
      <c r="C3604" s="4"/>
    </row>
    <row r="3605" spans="2:3" ht="14.25">
      <c r="B3605" s="3"/>
      <c r="C3605" s="4"/>
    </row>
    <row r="3606" spans="2:3" ht="14.25">
      <c r="B3606" s="3"/>
      <c r="C3606" s="4"/>
    </row>
    <row r="3607" spans="2:3" ht="14.25">
      <c r="B3607" s="3"/>
      <c r="C3607" s="4"/>
    </row>
    <row r="3608" spans="2:3" ht="14.25">
      <c r="B3608" s="3"/>
      <c r="C3608" s="4"/>
    </row>
    <row r="3609" spans="2:3" ht="14.25">
      <c r="B3609" s="3"/>
      <c r="C3609" s="4"/>
    </row>
    <row r="3610" spans="2:3" ht="14.25">
      <c r="B3610" s="3"/>
      <c r="C3610" s="4"/>
    </row>
    <row r="3611" spans="2:3" ht="14.25">
      <c r="B3611" s="3"/>
      <c r="C3611" s="4"/>
    </row>
    <row r="3612" spans="2:3" ht="14.25">
      <c r="B3612" s="3"/>
      <c r="C3612" s="4"/>
    </row>
    <row r="3613" spans="2:3" ht="14.25">
      <c r="B3613" s="3"/>
      <c r="C3613" s="4"/>
    </row>
    <row r="3614" spans="2:3" ht="14.25">
      <c r="B3614" s="3"/>
      <c r="C3614" s="4"/>
    </row>
    <row r="3615" spans="2:3" ht="14.25">
      <c r="B3615" s="3"/>
      <c r="C3615" s="4"/>
    </row>
    <row r="3616" spans="2:3" ht="14.25">
      <c r="B3616" s="3"/>
      <c r="C3616" s="4"/>
    </row>
    <row r="3617" spans="2:3" ht="14.25">
      <c r="B3617" s="3"/>
      <c r="C3617" s="4"/>
    </row>
    <row r="3618" spans="2:3" ht="14.25">
      <c r="B3618" s="3"/>
      <c r="C3618" s="4"/>
    </row>
    <row r="3619" spans="2:3" ht="14.25">
      <c r="B3619" s="3"/>
      <c r="C3619" s="4"/>
    </row>
    <row r="3620" spans="2:3" ht="14.25">
      <c r="B3620" s="3"/>
      <c r="C3620" s="4"/>
    </row>
    <row r="3621" spans="2:3" ht="14.25">
      <c r="B3621" s="3"/>
      <c r="C3621" s="4"/>
    </row>
    <row r="3622" spans="2:3" ht="14.25">
      <c r="B3622" s="3"/>
      <c r="C3622" s="4"/>
    </row>
    <row r="3623" spans="2:3" ht="14.25">
      <c r="B3623" s="3"/>
      <c r="C3623" s="4"/>
    </row>
    <row r="3624" spans="2:3" ht="14.25">
      <c r="B3624" s="3"/>
      <c r="C3624" s="4"/>
    </row>
    <row r="3625" spans="2:3" ht="14.25">
      <c r="B3625" s="3"/>
      <c r="C3625" s="4"/>
    </row>
    <row r="3626" spans="2:3" ht="14.25">
      <c r="B3626" s="3"/>
      <c r="C3626" s="4"/>
    </row>
    <row r="3627" spans="2:3" ht="14.25">
      <c r="B3627" s="3"/>
      <c r="C3627" s="4"/>
    </row>
    <row r="3628" spans="2:3" ht="14.25">
      <c r="B3628" s="3"/>
      <c r="C3628" s="4"/>
    </row>
    <row r="3629" spans="2:3" ht="14.25">
      <c r="B3629" s="3"/>
      <c r="C3629" s="4"/>
    </row>
    <row r="3630" spans="2:3" ht="14.25">
      <c r="B3630" s="3"/>
      <c r="C3630" s="4"/>
    </row>
    <row r="3631" spans="2:3" ht="14.25">
      <c r="B3631" s="3"/>
      <c r="C3631" s="4"/>
    </row>
    <row r="3632" spans="2:3" ht="14.25">
      <c r="B3632" s="3"/>
      <c r="C3632" s="4"/>
    </row>
    <row r="3633" spans="2:3" ht="14.25">
      <c r="B3633" s="3"/>
      <c r="C3633" s="4"/>
    </row>
    <row r="3634" spans="2:3" ht="14.25">
      <c r="B3634" s="3"/>
      <c r="C3634" s="4"/>
    </row>
    <row r="3635" spans="2:3" ht="14.25">
      <c r="B3635" s="3"/>
      <c r="C3635" s="4"/>
    </row>
    <row r="3636" spans="2:3" ht="14.25">
      <c r="B3636" s="3"/>
      <c r="C3636" s="4"/>
    </row>
    <row r="3637" spans="2:3" ht="14.25">
      <c r="B3637" s="3"/>
      <c r="C3637" s="4"/>
    </row>
    <row r="3638" spans="2:3" ht="14.25">
      <c r="B3638" s="3"/>
      <c r="C3638" s="4"/>
    </row>
    <row r="3639" spans="2:3" ht="14.25">
      <c r="B3639" s="3"/>
      <c r="C3639" s="4"/>
    </row>
    <row r="3640" spans="2:3" ht="14.25">
      <c r="B3640" s="3"/>
      <c r="C3640" s="4"/>
    </row>
    <row r="3641" spans="2:3" ht="14.25">
      <c r="B3641" s="3"/>
      <c r="C3641" s="4"/>
    </row>
    <row r="3642" spans="2:3" ht="14.25">
      <c r="B3642" s="3"/>
      <c r="C3642" s="4"/>
    </row>
    <row r="3643" spans="2:3" ht="14.25">
      <c r="B3643" s="3"/>
      <c r="C3643" s="4"/>
    </row>
    <row r="3644" spans="2:3" ht="14.25">
      <c r="B3644" s="3"/>
      <c r="C3644" s="4"/>
    </row>
    <row r="3645" spans="2:3" ht="14.25">
      <c r="B3645" s="3"/>
      <c r="C3645" s="4"/>
    </row>
    <row r="3646" spans="2:3" ht="14.25">
      <c r="B3646" s="3"/>
      <c r="C3646" s="4"/>
    </row>
    <row r="3647" spans="2:3" ht="14.25">
      <c r="B3647" s="3"/>
      <c r="C3647" s="4"/>
    </row>
    <row r="3648" spans="2:3" ht="14.25">
      <c r="B3648" s="3"/>
      <c r="C3648" s="4"/>
    </row>
    <row r="3649" spans="2:3" ht="14.25">
      <c r="B3649" s="3"/>
      <c r="C3649" s="4"/>
    </row>
    <row r="3650" spans="2:3" ht="14.25">
      <c r="B3650" s="3"/>
      <c r="C3650" s="4"/>
    </row>
    <row r="3651" spans="2:3" ht="14.25">
      <c r="B3651" s="3"/>
      <c r="C3651" s="4"/>
    </row>
    <row r="3652" spans="2:3" ht="14.25">
      <c r="B3652" s="3"/>
      <c r="C3652" s="4"/>
    </row>
    <row r="3653" spans="2:3" ht="14.25">
      <c r="B3653" s="3"/>
      <c r="C3653" s="4"/>
    </row>
    <row r="3654" spans="2:3" ht="14.25">
      <c r="B3654" s="3"/>
      <c r="C3654" s="4"/>
    </row>
    <row r="3655" spans="2:3" ht="14.25">
      <c r="B3655" s="3"/>
      <c r="C3655" s="4"/>
    </row>
    <row r="3656" spans="2:3" ht="14.25">
      <c r="B3656" s="3"/>
      <c r="C3656" s="4"/>
    </row>
    <row r="3657" spans="2:3" ht="14.25">
      <c r="B3657" s="3"/>
      <c r="C3657" s="4"/>
    </row>
    <row r="3658" spans="2:3" ht="14.25">
      <c r="B3658" s="3"/>
      <c r="C3658" s="4"/>
    </row>
    <row r="3659" spans="2:3" ht="14.25">
      <c r="B3659" s="3"/>
      <c r="C3659" s="4"/>
    </row>
    <row r="3660" spans="2:3" ht="14.25">
      <c r="B3660" s="3"/>
      <c r="C3660" s="4"/>
    </row>
    <row r="3661" spans="2:3" ht="14.25">
      <c r="B3661" s="3"/>
      <c r="C3661" s="4"/>
    </row>
    <row r="3662" spans="2:3" ht="14.25">
      <c r="B3662" s="3"/>
      <c r="C3662" s="4"/>
    </row>
    <row r="3663" spans="2:3" ht="14.25">
      <c r="B3663" s="3"/>
      <c r="C3663" s="4"/>
    </row>
    <row r="3664" spans="2:3" ht="14.25">
      <c r="B3664" s="3"/>
      <c r="C3664" s="4"/>
    </row>
    <row r="3665" spans="2:3" ht="14.25">
      <c r="B3665" s="3"/>
      <c r="C3665" s="4"/>
    </row>
    <row r="3666" spans="2:3" ht="14.25">
      <c r="B3666" s="3"/>
      <c r="C3666" s="4"/>
    </row>
    <row r="3667" spans="2:3" ht="14.25">
      <c r="B3667" s="3"/>
      <c r="C3667" s="4"/>
    </row>
    <row r="3668" spans="2:3" ht="14.25">
      <c r="B3668" s="3"/>
      <c r="C3668" s="4"/>
    </row>
    <row r="3669" spans="2:3" ht="14.25">
      <c r="B3669" s="3"/>
      <c r="C3669" s="4"/>
    </row>
    <row r="3670" spans="2:3" ht="14.25">
      <c r="B3670" s="3"/>
      <c r="C3670" s="4"/>
    </row>
    <row r="3671" spans="2:3" ht="14.25">
      <c r="B3671" s="3"/>
      <c r="C3671" s="4"/>
    </row>
    <row r="3672" spans="2:3" ht="14.25">
      <c r="B3672" s="3"/>
      <c r="C3672" s="4"/>
    </row>
    <row r="3673" spans="2:3" ht="14.25">
      <c r="B3673" s="3"/>
      <c r="C3673" s="4"/>
    </row>
    <row r="3674" spans="2:3" ht="14.25">
      <c r="B3674" s="3"/>
      <c r="C3674" s="4"/>
    </row>
    <row r="3675" spans="2:3" ht="14.25">
      <c r="B3675" s="3"/>
      <c r="C3675" s="4"/>
    </row>
    <row r="3676" spans="2:3" ht="14.25">
      <c r="B3676" s="3"/>
      <c r="C3676" s="4"/>
    </row>
    <row r="3677" spans="2:3" ht="14.25">
      <c r="B3677" s="3"/>
      <c r="C3677" s="4"/>
    </row>
    <row r="3678" spans="2:3" ht="14.25">
      <c r="B3678" s="3"/>
      <c r="C3678" s="4"/>
    </row>
    <row r="3679" spans="2:3" ht="14.25">
      <c r="B3679" s="3"/>
      <c r="C3679" s="4"/>
    </row>
    <row r="3680" spans="2:3" ht="14.25">
      <c r="B3680" s="3"/>
      <c r="C3680" s="4"/>
    </row>
    <row r="3681" spans="2:3" ht="14.25">
      <c r="B3681" s="3"/>
      <c r="C3681" s="4"/>
    </row>
    <row r="3682" spans="2:3" ht="14.25">
      <c r="B3682" s="3"/>
      <c r="C3682" s="4"/>
    </row>
    <row r="3683" spans="2:3" ht="14.25">
      <c r="B3683" s="3"/>
      <c r="C3683" s="4"/>
    </row>
    <row r="3684" spans="2:3" ht="14.25">
      <c r="B3684" s="3"/>
      <c r="C3684" s="4"/>
    </row>
    <row r="3685" spans="2:3" ht="14.25">
      <c r="B3685" s="3"/>
      <c r="C3685" s="4"/>
    </row>
    <row r="3686" spans="2:3" ht="14.25">
      <c r="B3686" s="3"/>
      <c r="C3686" s="4"/>
    </row>
    <row r="3687" spans="2:3" ht="14.25">
      <c r="B3687" s="3"/>
      <c r="C3687" s="4"/>
    </row>
    <row r="3688" spans="2:3" ht="14.25">
      <c r="B3688" s="3"/>
      <c r="C3688" s="4"/>
    </row>
    <row r="3689" spans="2:3" ht="14.25">
      <c r="B3689" s="3"/>
      <c r="C3689" s="4"/>
    </row>
    <row r="3690" spans="2:3" ht="14.25">
      <c r="B3690" s="3"/>
      <c r="C3690" s="4"/>
    </row>
    <row r="3691" spans="2:3" ht="14.25">
      <c r="B3691" s="3"/>
      <c r="C3691" s="4"/>
    </row>
    <row r="3692" spans="2:3" ht="14.25">
      <c r="B3692" s="3"/>
      <c r="C3692" s="4"/>
    </row>
    <row r="3693" spans="2:3" ht="14.25">
      <c r="B3693" s="3"/>
      <c r="C3693" s="4"/>
    </row>
    <row r="3694" spans="2:3" ht="14.25">
      <c r="B3694" s="3"/>
      <c r="C3694" s="4"/>
    </row>
    <row r="3695" spans="2:3" ht="14.25">
      <c r="B3695" s="3"/>
      <c r="C3695" s="4"/>
    </row>
    <row r="3696" spans="2:3" ht="14.25">
      <c r="B3696" s="3"/>
      <c r="C3696" s="4"/>
    </row>
    <row r="3697" spans="2:3" ht="14.25">
      <c r="B3697" s="3"/>
      <c r="C3697" s="4"/>
    </row>
    <row r="3698" spans="2:3" ht="14.25">
      <c r="B3698" s="3"/>
      <c r="C3698" s="4"/>
    </row>
    <row r="3699" spans="2:3" ht="14.25">
      <c r="B3699" s="3"/>
      <c r="C3699" s="4"/>
    </row>
    <row r="3700" spans="2:3" ht="14.25">
      <c r="B3700" s="3"/>
      <c r="C3700" s="4"/>
    </row>
    <row r="3701" spans="2:3" ht="14.25">
      <c r="B3701" s="3"/>
      <c r="C3701" s="4"/>
    </row>
    <row r="3702" spans="2:3" ht="14.25">
      <c r="B3702" s="3"/>
      <c r="C3702" s="4"/>
    </row>
    <row r="3703" spans="2:3" ht="14.25">
      <c r="B3703" s="3"/>
      <c r="C3703" s="4"/>
    </row>
    <row r="3704" spans="2:3" ht="14.25">
      <c r="B3704" s="3"/>
      <c r="C3704" s="4"/>
    </row>
    <row r="3705" spans="2:3" ht="14.25">
      <c r="B3705" s="3"/>
      <c r="C3705" s="4"/>
    </row>
    <row r="3706" spans="2:3" ht="14.25">
      <c r="B3706" s="3"/>
      <c r="C3706" s="4"/>
    </row>
    <row r="3707" spans="2:3" ht="14.25">
      <c r="B3707" s="3"/>
      <c r="C3707" s="4"/>
    </row>
    <row r="3708" spans="2:3" ht="14.25">
      <c r="B3708" s="3"/>
      <c r="C3708" s="4"/>
    </row>
    <row r="3709" spans="2:3" ht="14.25">
      <c r="B3709" s="3"/>
      <c r="C3709" s="4"/>
    </row>
    <row r="3710" spans="2:3" ht="14.25">
      <c r="B3710" s="3"/>
      <c r="C3710" s="4"/>
    </row>
    <row r="3711" spans="2:3" ht="14.25">
      <c r="B3711" s="3"/>
      <c r="C3711" s="4"/>
    </row>
    <row r="3712" spans="2:3" ht="14.25">
      <c r="B3712" s="3"/>
      <c r="C3712" s="4"/>
    </row>
    <row r="3713" spans="2:3" ht="14.25">
      <c r="B3713" s="3"/>
      <c r="C3713" s="4"/>
    </row>
    <row r="3714" spans="2:3" ht="14.25">
      <c r="B3714" s="3"/>
      <c r="C3714" s="4"/>
    </row>
    <row r="3715" spans="2:3" ht="14.25">
      <c r="B3715" s="3"/>
      <c r="C3715" s="4"/>
    </row>
    <row r="3716" spans="2:3" ht="14.25">
      <c r="B3716" s="3"/>
      <c r="C3716" s="4"/>
    </row>
    <row r="3717" spans="2:3" ht="14.25">
      <c r="B3717" s="3"/>
      <c r="C3717" s="4"/>
    </row>
    <row r="3718" spans="2:3" ht="14.25">
      <c r="B3718" s="3"/>
      <c r="C3718" s="4"/>
    </row>
    <row r="3719" spans="2:3" ht="14.25">
      <c r="B3719" s="3"/>
      <c r="C3719" s="4"/>
    </row>
    <row r="3720" spans="2:3" ht="14.25">
      <c r="B3720" s="3"/>
      <c r="C3720" s="4"/>
    </row>
    <row r="3721" spans="2:3" ht="14.25">
      <c r="B3721" s="3"/>
      <c r="C3721" s="4"/>
    </row>
    <row r="3722" spans="2:3" ht="14.25">
      <c r="B3722" s="3"/>
      <c r="C3722" s="4"/>
    </row>
    <row r="3723" spans="2:3" ht="14.25">
      <c r="B3723" s="3"/>
      <c r="C3723" s="4"/>
    </row>
    <row r="3724" spans="2:3" ht="14.25">
      <c r="B3724" s="3"/>
      <c r="C3724" s="4"/>
    </row>
    <row r="3725" spans="2:3" ht="14.25">
      <c r="B3725" s="3"/>
      <c r="C3725" s="4"/>
    </row>
    <row r="3726" spans="2:3" ht="14.25">
      <c r="B3726" s="3"/>
      <c r="C3726" s="4"/>
    </row>
    <row r="3727" spans="2:3" ht="14.25">
      <c r="B3727" s="3"/>
      <c r="C3727" s="4"/>
    </row>
    <row r="3728" spans="2:3" ht="14.25">
      <c r="B3728" s="3"/>
      <c r="C3728" s="4"/>
    </row>
    <row r="3729" spans="2:3" ht="14.25">
      <c r="B3729" s="3"/>
      <c r="C3729" s="4"/>
    </row>
    <row r="3730" spans="2:3" ht="14.25">
      <c r="B3730" s="3"/>
      <c r="C3730" s="4"/>
    </row>
    <row r="3731" spans="2:3" ht="14.25">
      <c r="B3731" s="3"/>
      <c r="C3731" s="4"/>
    </row>
    <row r="3732" spans="2:3" ht="14.25">
      <c r="B3732" s="3"/>
      <c r="C3732" s="4"/>
    </row>
    <row r="3733" spans="2:3" ht="14.25">
      <c r="B3733" s="3"/>
      <c r="C3733" s="4"/>
    </row>
    <row r="3734" spans="2:3" ht="14.25">
      <c r="B3734" s="3"/>
      <c r="C3734" s="4"/>
    </row>
    <row r="3735" spans="2:3" ht="14.25">
      <c r="B3735" s="3"/>
      <c r="C3735" s="4"/>
    </row>
    <row r="3736" spans="2:3" ht="14.25">
      <c r="B3736" s="3"/>
      <c r="C3736" s="4"/>
    </row>
    <row r="3737" spans="2:3" ht="14.25">
      <c r="B3737" s="3"/>
      <c r="C3737" s="4"/>
    </row>
    <row r="3738" spans="2:3" ht="14.25">
      <c r="B3738" s="3"/>
      <c r="C3738" s="4"/>
    </row>
    <row r="3739" spans="2:3" ht="14.25">
      <c r="B3739" s="3"/>
      <c r="C3739" s="4"/>
    </row>
    <row r="3740" spans="2:3" ht="14.25">
      <c r="B3740" s="3"/>
      <c r="C3740" s="4"/>
    </row>
    <row r="3741" spans="2:3" ht="14.25">
      <c r="B3741" s="3"/>
      <c r="C3741" s="4"/>
    </row>
    <row r="3742" spans="2:3" ht="14.25">
      <c r="B3742" s="3"/>
      <c r="C3742" s="4"/>
    </row>
    <row r="3743" spans="2:3" ht="14.25">
      <c r="B3743" s="3"/>
      <c r="C3743" s="4"/>
    </row>
    <row r="3744" spans="2:3" ht="14.25">
      <c r="B3744" s="3"/>
      <c r="C3744" s="4"/>
    </row>
    <row r="3745" spans="2:3" ht="14.25">
      <c r="B3745" s="3"/>
      <c r="C3745" s="4"/>
    </row>
    <row r="3746" spans="2:3" ht="14.25">
      <c r="B3746" s="3"/>
      <c r="C3746" s="4"/>
    </row>
    <row r="3747" spans="2:3" ht="14.25">
      <c r="B3747" s="3"/>
      <c r="C3747" s="4"/>
    </row>
    <row r="3748" spans="2:3" ht="14.25">
      <c r="B3748" s="3"/>
      <c r="C3748" s="4"/>
    </row>
    <row r="3749" spans="2:3" ht="14.25">
      <c r="B3749" s="3"/>
      <c r="C3749" s="4"/>
    </row>
    <row r="3750" spans="2:3" ht="14.25">
      <c r="B3750" s="3"/>
      <c r="C3750" s="4"/>
    </row>
    <row r="3751" spans="2:3" ht="14.25">
      <c r="B3751" s="3"/>
      <c r="C3751" s="4"/>
    </row>
    <row r="3752" spans="2:3" ht="14.25">
      <c r="B3752" s="3"/>
      <c r="C3752" s="4"/>
    </row>
    <row r="3753" spans="2:3" ht="14.25">
      <c r="B3753" s="3"/>
      <c r="C3753" s="4"/>
    </row>
    <row r="3754" spans="2:3" ht="14.25">
      <c r="B3754" s="3"/>
      <c r="C3754" s="4"/>
    </row>
    <row r="3755" spans="2:3" ht="14.25">
      <c r="B3755" s="3"/>
      <c r="C3755" s="4"/>
    </row>
    <row r="3756" spans="2:3" ht="14.25">
      <c r="B3756" s="3"/>
      <c r="C3756" s="4"/>
    </row>
    <row r="3757" spans="2:3" ht="14.25">
      <c r="B3757" s="3"/>
      <c r="C3757" s="4"/>
    </row>
    <row r="3758" spans="2:3" ht="14.25">
      <c r="B3758" s="3"/>
      <c r="C3758" s="4"/>
    </row>
    <row r="3759" spans="2:3" ht="14.25">
      <c r="B3759" s="3"/>
      <c r="C3759" s="4"/>
    </row>
    <row r="3760" spans="2:3" ht="14.25">
      <c r="B3760" s="3"/>
      <c r="C3760" s="4"/>
    </row>
    <row r="3761" spans="2:3" ht="14.25">
      <c r="B3761" s="3"/>
      <c r="C3761" s="4"/>
    </row>
    <row r="3762" spans="2:3" ht="14.25">
      <c r="B3762" s="3"/>
      <c r="C3762" s="4"/>
    </row>
    <row r="3763" spans="2:3" ht="14.25">
      <c r="B3763" s="3"/>
      <c r="C3763" s="4"/>
    </row>
    <row r="3764" spans="2:3" ht="14.25">
      <c r="B3764" s="3"/>
      <c r="C3764" s="4"/>
    </row>
    <row r="3765" spans="2:3" ht="14.25">
      <c r="B3765" s="3"/>
      <c r="C3765" s="4"/>
    </row>
    <row r="3766" spans="2:3" ht="14.25">
      <c r="B3766" s="3"/>
      <c r="C3766" s="4"/>
    </row>
    <row r="3767" spans="2:3" ht="14.25">
      <c r="B3767" s="3"/>
      <c r="C3767" s="4"/>
    </row>
    <row r="3768" spans="2:3" ht="14.25">
      <c r="B3768" s="3"/>
      <c r="C3768" s="4"/>
    </row>
    <row r="3769" spans="2:3" ht="14.25">
      <c r="B3769" s="3"/>
      <c r="C3769" s="4"/>
    </row>
    <row r="3770" spans="2:3" ht="14.25">
      <c r="B3770" s="3"/>
      <c r="C3770" s="4"/>
    </row>
    <row r="3771" spans="2:3" ht="14.25">
      <c r="B3771" s="3"/>
      <c r="C3771" s="4"/>
    </row>
    <row r="3772" spans="2:3" ht="14.25">
      <c r="B3772" s="3"/>
      <c r="C3772" s="4"/>
    </row>
    <row r="3773" spans="2:3" ht="14.25">
      <c r="B3773" s="3"/>
      <c r="C3773" s="4"/>
    </row>
    <row r="3774" spans="2:3" ht="14.25">
      <c r="B3774" s="3"/>
      <c r="C3774" s="4"/>
    </row>
    <row r="3775" spans="2:3" ht="14.25">
      <c r="B3775" s="3"/>
      <c r="C3775" s="4"/>
    </row>
    <row r="3776" spans="2:3" ht="14.25">
      <c r="B3776" s="3"/>
      <c r="C3776" s="4"/>
    </row>
    <row r="3777" spans="2:3" ht="14.25">
      <c r="B3777" s="3"/>
      <c r="C3777" s="4"/>
    </row>
    <row r="3778" spans="2:3" ht="14.25">
      <c r="B3778" s="3"/>
      <c r="C3778" s="4"/>
    </row>
    <row r="3779" spans="2:3" ht="14.25">
      <c r="B3779" s="3"/>
      <c r="C3779" s="4"/>
    </row>
    <row r="3780" spans="2:3" ht="14.25">
      <c r="B3780" s="3"/>
      <c r="C3780" s="4"/>
    </row>
    <row r="3781" spans="2:3" ht="14.25">
      <c r="B3781" s="3"/>
      <c r="C3781" s="4"/>
    </row>
    <row r="3782" spans="2:3" ht="14.25">
      <c r="B3782" s="3"/>
      <c r="C3782" s="4"/>
    </row>
    <row r="3783" spans="2:3" ht="14.25">
      <c r="B3783" s="3"/>
      <c r="C3783" s="4"/>
    </row>
    <row r="3784" spans="2:3" ht="14.25">
      <c r="B3784" s="3"/>
      <c r="C3784" s="4"/>
    </row>
    <row r="3785" spans="2:3" ht="14.25">
      <c r="B3785" s="3"/>
      <c r="C3785" s="4"/>
    </row>
    <row r="3786" spans="2:3" ht="14.25">
      <c r="B3786" s="3"/>
      <c r="C3786" s="4"/>
    </row>
    <row r="3787" spans="2:3" ht="14.25">
      <c r="B3787" s="3"/>
      <c r="C3787" s="4"/>
    </row>
    <row r="3788" spans="2:3" ht="14.25">
      <c r="B3788" s="3"/>
      <c r="C3788" s="4"/>
    </row>
    <row r="3789" spans="2:3" ht="14.25">
      <c r="B3789" s="3"/>
      <c r="C3789" s="4"/>
    </row>
    <row r="3790" spans="2:3" ht="14.25">
      <c r="B3790" s="3"/>
      <c r="C3790" s="4"/>
    </row>
    <row r="3791" spans="2:3" ht="14.25">
      <c r="B3791" s="3"/>
      <c r="C3791" s="4"/>
    </row>
    <row r="3792" spans="2:3" ht="14.25">
      <c r="B3792" s="3"/>
      <c r="C3792" s="4"/>
    </row>
    <row r="3793" spans="2:3" ht="14.25">
      <c r="B3793" s="3"/>
      <c r="C3793" s="4"/>
    </row>
    <row r="3794" spans="2:3" ht="14.25">
      <c r="B3794" s="3"/>
      <c r="C3794" s="4"/>
    </row>
    <row r="3795" spans="2:3" ht="14.25">
      <c r="B3795" s="3"/>
      <c r="C3795" s="4"/>
    </row>
    <row r="3796" spans="2:3" ht="14.25">
      <c r="B3796" s="3"/>
      <c r="C3796" s="4"/>
    </row>
    <row r="3797" spans="2:3" ht="14.25">
      <c r="B3797" s="3"/>
      <c r="C3797" s="4"/>
    </row>
    <row r="3798" spans="2:3" ht="14.25">
      <c r="B3798" s="3"/>
      <c r="C3798" s="4"/>
    </row>
    <row r="3799" spans="2:3" ht="14.25">
      <c r="B3799" s="3"/>
      <c r="C3799" s="4"/>
    </row>
    <row r="3800" spans="2:3" ht="14.25">
      <c r="B3800" s="3"/>
      <c r="C3800" s="4"/>
    </row>
    <row r="3801" spans="2:3" ht="14.25">
      <c r="B3801" s="3"/>
      <c r="C3801" s="4"/>
    </row>
    <row r="3802" spans="2:3" ht="14.25">
      <c r="B3802" s="3"/>
      <c r="C3802" s="4"/>
    </row>
    <row r="3803" spans="2:3" ht="14.25">
      <c r="B3803" s="3"/>
      <c r="C3803" s="4"/>
    </row>
    <row r="3804" spans="2:3" ht="14.25">
      <c r="B3804" s="3"/>
      <c r="C3804" s="4"/>
    </row>
    <row r="3805" spans="2:3" ht="14.25">
      <c r="B3805" s="3"/>
      <c r="C3805" s="4"/>
    </row>
    <row r="3806" spans="2:3" ht="14.25">
      <c r="B3806" s="3"/>
      <c r="C3806" s="4"/>
    </row>
    <row r="3807" spans="2:3" ht="14.25">
      <c r="B3807" s="3"/>
      <c r="C3807" s="4"/>
    </row>
    <row r="3808" spans="2:3" ht="14.25">
      <c r="B3808" s="3"/>
      <c r="C3808" s="4"/>
    </row>
    <row r="3809" spans="2:3" ht="14.25">
      <c r="B3809" s="3"/>
      <c r="C3809" s="4"/>
    </row>
    <row r="3810" spans="2:3" ht="14.25">
      <c r="B3810" s="3"/>
      <c r="C3810" s="4"/>
    </row>
    <row r="3811" spans="2:3" ht="14.25">
      <c r="B3811" s="3"/>
      <c r="C3811" s="4"/>
    </row>
    <row r="3812" spans="2:3" ht="14.25">
      <c r="B3812" s="3"/>
      <c r="C3812" s="4"/>
    </row>
    <row r="3813" spans="2:3" ht="14.25">
      <c r="B3813" s="3"/>
      <c r="C3813" s="4"/>
    </row>
    <row r="3814" spans="2:3" ht="14.25">
      <c r="B3814" s="3"/>
      <c r="C3814" s="4"/>
    </row>
    <row r="3815" spans="2:3" ht="14.25">
      <c r="B3815" s="3"/>
      <c r="C3815" s="4"/>
    </row>
    <row r="3816" spans="2:3" ht="14.25">
      <c r="B3816" s="3"/>
      <c r="C3816" s="4"/>
    </row>
    <row r="3817" spans="2:3" ht="14.25">
      <c r="B3817" s="3"/>
      <c r="C3817" s="4"/>
    </row>
    <row r="3818" spans="2:3" ht="14.25">
      <c r="B3818" s="3"/>
      <c r="C3818" s="4"/>
    </row>
    <row r="3819" spans="2:3" ht="14.25">
      <c r="B3819" s="3"/>
      <c r="C3819" s="4"/>
    </row>
    <row r="3820" spans="2:3" ht="14.25">
      <c r="B3820" s="3"/>
      <c r="C3820" s="4"/>
    </row>
    <row r="3821" spans="2:3" ht="14.25">
      <c r="B3821" s="3"/>
      <c r="C3821" s="4"/>
    </row>
    <row r="3822" spans="2:3" ht="14.25">
      <c r="B3822" s="3"/>
      <c r="C3822" s="4"/>
    </row>
    <row r="3823" spans="2:3" ht="14.25">
      <c r="B3823" s="3"/>
      <c r="C3823" s="4"/>
    </row>
    <row r="3824" spans="2:3" ht="14.25">
      <c r="B3824" s="3"/>
      <c r="C3824" s="4"/>
    </row>
    <row r="3825" spans="2:3" ht="14.25">
      <c r="B3825" s="3"/>
      <c r="C3825" s="4"/>
    </row>
    <row r="3826" spans="2:3" ht="14.25">
      <c r="B3826" s="3"/>
      <c r="C3826" s="4"/>
    </row>
    <row r="3827" spans="2:3" ht="14.25">
      <c r="B3827" s="3"/>
      <c r="C3827" s="4"/>
    </row>
    <row r="3828" spans="2:3" ht="14.25">
      <c r="B3828" s="3"/>
      <c r="C3828" s="4"/>
    </row>
    <row r="3829" spans="2:3" ht="14.25">
      <c r="B3829" s="3"/>
      <c r="C3829" s="4"/>
    </row>
    <row r="3830" spans="2:3" ht="14.25">
      <c r="B3830" s="3"/>
      <c r="C3830" s="4"/>
    </row>
    <row r="3831" spans="2:3" ht="14.25">
      <c r="B3831" s="3"/>
      <c r="C3831" s="4"/>
    </row>
    <row r="3832" spans="2:3" ht="14.25">
      <c r="B3832" s="3"/>
      <c r="C3832" s="4"/>
    </row>
    <row r="3833" spans="2:3" ht="14.25">
      <c r="B3833" s="3"/>
      <c r="C3833" s="4"/>
    </row>
    <row r="3834" spans="2:3" ht="14.25">
      <c r="B3834" s="3"/>
      <c r="C3834" s="4"/>
    </row>
    <row r="3835" spans="2:3" ht="14.25">
      <c r="B3835" s="3"/>
      <c r="C3835" s="4"/>
    </row>
    <row r="3836" spans="2:3" ht="14.25">
      <c r="B3836" s="3"/>
      <c r="C3836" s="4"/>
    </row>
    <row r="3837" spans="2:3" ht="14.25">
      <c r="B3837" s="3"/>
      <c r="C3837" s="4"/>
    </row>
    <row r="3838" spans="2:3" ht="14.25">
      <c r="B3838" s="3"/>
      <c r="C3838" s="4"/>
    </row>
    <row r="3839" spans="2:3" ht="14.25">
      <c r="B3839" s="3"/>
      <c r="C3839" s="4"/>
    </row>
    <row r="3840" spans="2:3" ht="14.25">
      <c r="B3840" s="3"/>
      <c r="C3840" s="4"/>
    </row>
    <row r="3841" spans="2:3" ht="14.25">
      <c r="B3841" s="3"/>
      <c r="C3841" s="4"/>
    </row>
    <row r="3842" spans="2:3" ht="14.25">
      <c r="B3842" s="3"/>
      <c r="C3842" s="4"/>
    </row>
    <row r="3843" spans="2:3" ht="14.25">
      <c r="B3843" s="3"/>
      <c r="C3843" s="4"/>
    </row>
    <row r="3844" spans="2:3" ht="14.25">
      <c r="B3844" s="3"/>
      <c r="C3844" s="4"/>
    </row>
    <row r="3845" spans="2:3" ht="14.25">
      <c r="B3845" s="3"/>
      <c r="C3845" s="4"/>
    </row>
    <row r="3846" spans="2:3" ht="14.25">
      <c r="B3846" s="3"/>
      <c r="C3846" s="4"/>
    </row>
    <row r="3847" spans="2:3" ht="14.25">
      <c r="B3847" s="3"/>
      <c r="C3847" s="4"/>
    </row>
    <row r="3848" spans="2:3" ht="14.25">
      <c r="B3848" s="3"/>
      <c r="C3848" s="4"/>
    </row>
    <row r="3849" spans="2:3" ht="14.25">
      <c r="B3849" s="3"/>
      <c r="C3849" s="4"/>
    </row>
    <row r="3850" spans="2:3" ht="14.25">
      <c r="B3850" s="3"/>
      <c r="C3850" s="4"/>
    </row>
    <row r="3851" spans="2:3" ht="14.25">
      <c r="B3851" s="3"/>
      <c r="C3851" s="4"/>
    </row>
    <row r="3852" spans="2:3" ht="14.25">
      <c r="B3852" s="3"/>
      <c r="C3852" s="4"/>
    </row>
    <row r="3853" spans="2:3" ht="14.25">
      <c r="B3853" s="3"/>
      <c r="C3853" s="4"/>
    </row>
    <row r="3854" spans="2:3" ht="14.25">
      <c r="B3854" s="3"/>
      <c r="C3854" s="4"/>
    </row>
    <row r="3855" spans="2:3" ht="14.25">
      <c r="B3855" s="3"/>
      <c r="C3855" s="4"/>
    </row>
    <row r="3856" spans="2:3" ht="14.25">
      <c r="B3856" s="3"/>
      <c r="C3856" s="4"/>
    </row>
    <row r="3857" spans="2:3" ht="14.25">
      <c r="B3857" s="3"/>
      <c r="C3857" s="4"/>
    </row>
    <row r="3858" spans="2:3" ht="14.25">
      <c r="B3858" s="3"/>
      <c r="C3858" s="4"/>
    </row>
    <row r="3859" spans="2:3" ht="14.25">
      <c r="B3859" s="3"/>
      <c r="C3859" s="4"/>
    </row>
    <row r="3860" spans="2:3" ht="14.25">
      <c r="B3860" s="3"/>
      <c r="C3860" s="4"/>
    </row>
    <row r="3861" spans="2:3" ht="14.25">
      <c r="B3861" s="3"/>
      <c r="C3861" s="4"/>
    </row>
    <row r="3862" spans="2:3" ht="14.25">
      <c r="B3862" s="3"/>
      <c r="C3862" s="4"/>
    </row>
    <row r="3863" spans="2:3" ht="14.25">
      <c r="B3863" s="3"/>
      <c r="C3863" s="4"/>
    </row>
    <row r="3864" spans="2:3" ht="14.25">
      <c r="B3864" s="3"/>
      <c r="C3864" s="4"/>
    </row>
    <row r="3865" spans="2:3" ht="14.25">
      <c r="B3865" s="3"/>
      <c r="C3865" s="4"/>
    </row>
    <row r="3866" spans="2:3" ht="14.25">
      <c r="B3866" s="3"/>
      <c r="C3866" s="4"/>
    </row>
    <row r="3867" spans="2:3" ht="14.25">
      <c r="B3867" s="3"/>
      <c r="C3867" s="4"/>
    </row>
    <row r="3868" spans="2:3" ht="14.25">
      <c r="B3868" s="3"/>
      <c r="C3868" s="4"/>
    </row>
    <row r="3869" spans="2:3" ht="14.25">
      <c r="B3869" s="3"/>
      <c r="C3869" s="4"/>
    </row>
    <row r="3870" spans="2:3" ht="14.25">
      <c r="B3870" s="3"/>
      <c r="C3870" s="4"/>
    </row>
    <row r="3871" spans="2:3" ht="14.25">
      <c r="B3871" s="3"/>
      <c r="C3871" s="4"/>
    </row>
    <row r="3872" spans="2:3" ht="14.25">
      <c r="B3872" s="3"/>
      <c r="C3872" s="4"/>
    </row>
    <row r="3873" spans="2:3" ht="14.25">
      <c r="B3873" s="3"/>
      <c r="C3873" s="4"/>
    </row>
    <row r="3874" spans="2:3" ht="14.25">
      <c r="B3874" s="3"/>
      <c r="C3874" s="4"/>
    </row>
    <row r="3875" spans="2:3" ht="14.25">
      <c r="B3875" s="3"/>
      <c r="C3875" s="4"/>
    </row>
    <row r="3876" spans="2:3" ht="14.25">
      <c r="B3876" s="3"/>
      <c r="C3876" s="4"/>
    </row>
    <row r="3877" spans="2:3" ht="14.25">
      <c r="B3877" s="3"/>
      <c r="C3877" s="4"/>
    </row>
    <row r="3878" spans="2:3" ht="14.25">
      <c r="B3878" s="3"/>
      <c r="C3878" s="4"/>
    </row>
    <row r="3879" spans="2:3" ht="14.25">
      <c r="B3879" s="3"/>
      <c r="C3879" s="4"/>
    </row>
    <row r="3880" spans="2:3" ht="14.25">
      <c r="B3880" s="3"/>
      <c r="C3880" s="4"/>
    </row>
    <row r="3881" spans="2:3" ht="14.25">
      <c r="B3881" s="3"/>
      <c r="C3881" s="4"/>
    </row>
    <row r="3882" spans="2:3" ht="14.25">
      <c r="B3882" s="3"/>
      <c r="C3882" s="4"/>
    </row>
    <row r="3883" spans="2:3" ht="14.25">
      <c r="B3883" s="3"/>
      <c r="C3883" s="4"/>
    </row>
    <row r="3884" spans="2:3" ht="14.25">
      <c r="B3884" s="3"/>
      <c r="C3884" s="4"/>
    </row>
    <row r="3885" spans="2:3" ht="14.25">
      <c r="B3885" s="3"/>
      <c r="C3885" s="4"/>
    </row>
    <row r="3886" spans="2:3" ht="14.25">
      <c r="B3886" s="3"/>
      <c r="C3886" s="4"/>
    </row>
    <row r="3887" spans="2:3" ht="14.25">
      <c r="B3887" s="3"/>
      <c r="C3887" s="4"/>
    </row>
    <row r="3888" spans="2:3" ht="14.25">
      <c r="B3888" s="3"/>
      <c r="C3888" s="4"/>
    </row>
    <row r="3889" spans="2:3" ht="14.25">
      <c r="B3889" s="3"/>
      <c r="C3889" s="4"/>
    </row>
    <row r="3890" spans="2:3" ht="14.25">
      <c r="B3890" s="3"/>
      <c r="C3890" s="4"/>
    </row>
    <row r="3891" spans="2:3" ht="14.25">
      <c r="B3891" s="3"/>
      <c r="C3891" s="4"/>
    </row>
    <row r="3892" spans="2:3" ht="14.25">
      <c r="B3892" s="3"/>
      <c r="C3892" s="4"/>
    </row>
    <row r="3893" spans="2:3" ht="14.25">
      <c r="B3893" s="3"/>
      <c r="C3893" s="4"/>
    </row>
    <row r="3894" spans="2:3" ht="14.25">
      <c r="B3894" s="3"/>
      <c r="C3894" s="4"/>
    </row>
    <row r="3895" spans="2:3" ht="14.25">
      <c r="B3895" s="3"/>
      <c r="C3895" s="4"/>
    </row>
    <row r="3896" spans="2:3" ht="14.25">
      <c r="B3896" s="3"/>
      <c r="C3896" s="4"/>
    </row>
    <row r="3897" spans="2:3" ht="14.25">
      <c r="B3897" s="3"/>
      <c r="C3897" s="4"/>
    </row>
    <row r="3898" spans="2:3" ht="14.25">
      <c r="B3898" s="3"/>
      <c r="C3898" s="4"/>
    </row>
    <row r="3899" spans="2:3" ht="14.25">
      <c r="B3899" s="3"/>
      <c r="C3899" s="4"/>
    </row>
    <row r="3900" spans="2:3" ht="14.25">
      <c r="B3900" s="3"/>
      <c r="C3900" s="4"/>
    </row>
    <row r="3901" spans="2:3" ht="14.25">
      <c r="B3901" s="3"/>
      <c r="C3901" s="4"/>
    </row>
    <row r="3902" spans="2:3" ht="14.25">
      <c r="B3902" s="3"/>
      <c r="C3902" s="4"/>
    </row>
    <row r="3903" spans="2:3" ht="14.25">
      <c r="B3903" s="3"/>
      <c r="C3903" s="4"/>
    </row>
    <row r="3904" spans="2:3" ht="14.25">
      <c r="B3904" s="3"/>
      <c r="C3904" s="4"/>
    </row>
    <row r="3905" spans="2:3" ht="14.25">
      <c r="B3905" s="3"/>
      <c r="C3905" s="4"/>
    </row>
    <row r="3906" spans="2:3" ht="14.25">
      <c r="B3906" s="3"/>
      <c r="C3906" s="4"/>
    </row>
    <row r="3907" spans="2:3" ht="14.25">
      <c r="B3907" s="3"/>
      <c r="C3907" s="4"/>
    </row>
    <row r="3908" spans="2:3" ht="14.25">
      <c r="B3908" s="3"/>
      <c r="C3908" s="4"/>
    </row>
    <row r="3909" spans="2:3" ht="14.25">
      <c r="B3909" s="3"/>
      <c r="C3909" s="4"/>
    </row>
    <row r="3910" spans="2:3" ht="14.25">
      <c r="B3910" s="3"/>
      <c r="C3910" s="4"/>
    </row>
    <row r="3911" spans="2:3" ht="14.25">
      <c r="B3911" s="3"/>
      <c r="C3911" s="4"/>
    </row>
    <row r="3912" spans="2:3" ht="14.25">
      <c r="B3912" s="3"/>
      <c r="C3912" s="4"/>
    </row>
    <row r="3913" spans="2:3" ht="14.25">
      <c r="B3913" s="3"/>
      <c r="C3913" s="4"/>
    </row>
    <row r="3914" spans="2:3" ht="14.25">
      <c r="B3914" s="3"/>
      <c r="C3914" s="4"/>
    </row>
    <row r="3915" spans="2:3" ht="14.25">
      <c r="B3915" s="3"/>
      <c r="C3915" s="4"/>
    </row>
    <row r="3916" spans="2:3" ht="14.25">
      <c r="B3916" s="3"/>
      <c r="C3916" s="4"/>
    </row>
    <row r="3917" spans="2:3" ht="14.25">
      <c r="B3917" s="3"/>
      <c r="C3917" s="4"/>
    </row>
    <row r="3918" spans="2:3" ht="14.25">
      <c r="B3918" s="3"/>
      <c r="C3918" s="4"/>
    </row>
    <row r="3919" spans="2:3" ht="14.25">
      <c r="B3919" s="3"/>
      <c r="C3919" s="4"/>
    </row>
    <row r="3920" spans="2:3" ht="14.25">
      <c r="B3920" s="3"/>
      <c r="C3920" s="4"/>
    </row>
    <row r="3921" spans="2:3" ht="14.25">
      <c r="B3921" s="3"/>
      <c r="C3921" s="4"/>
    </row>
    <row r="3922" spans="2:3" ht="14.25">
      <c r="B3922" s="3"/>
      <c r="C3922" s="4"/>
    </row>
    <row r="3923" spans="2:3" ht="14.25">
      <c r="B3923" s="3"/>
      <c r="C3923" s="4"/>
    </row>
    <row r="3924" spans="2:3" ht="14.25">
      <c r="B3924" s="3"/>
      <c r="C3924" s="4"/>
    </row>
    <row r="3925" spans="2:3" ht="14.25">
      <c r="B3925" s="3"/>
      <c r="C3925" s="4"/>
    </row>
    <row r="3926" spans="2:3" ht="14.25">
      <c r="B3926" s="3"/>
      <c r="C3926" s="4"/>
    </row>
    <row r="3927" spans="2:3" ht="14.25">
      <c r="B3927" s="3"/>
      <c r="C3927" s="4"/>
    </row>
    <row r="3928" spans="2:3" ht="14.25">
      <c r="B3928" s="3"/>
      <c r="C3928" s="4"/>
    </row>
    <row r="3929" spans="2:3" ht="14.25">
      <c r="B3929" s="3"/>
      <c r="C3929" s="4"/>
    </row>
    <row r="3930" spans="2:3" ht="14.25">
      <c r="B3930" s="3"/>
      <c r="C3930" s="4"/>
    </row>
    <row r="3931" spans="2:3" ht="14.25">
      <c r="B3931" s="3"/>
      <c r="C3931" s="4"/>
    </row>
    <row r="3932" spans="2:3" ht="14.25">
      <c r="B3932" s="3"/>
      <c r="C3932" s="4"/>
    </row>
    <row r="3933" spans="2:3" ht="14.25">
      <c r="B3933" s="3"/>
      <c r="C3933" s="4"/>
    </row>
    <row r="3934" spans="2:3" ht="14.25">
      <c r="B3934" s="3"/>
      <c r="C3934" s="4"/>
    </row>
    <row r="3935" spans="2:3" ht="14.25">
      <c r="B3935" s="3"/>
      <c r="C3935" s="4"/>
    </row>
    <row r="3936" spans="2:3" ht="14.25">
      <c r="B3936" s="3"/>
      <c r="C3936" s="4"/>
    </row>
    <row r="3937" spans="2:3" ht="14.25">
      <c r="B3937" s="3"/>
      <c r="C3937" s="4"/>
    </row>
    <row r="3938" spans="2:3" ht="14.25">
      <c r="B3938" s="3"/>
      <c r="C3938" s="4"/>
    </row>
    <row r="3939" spans="2:3" ht="14.25">
      <c r="B3939" s="3"/>
      <c r="C3939" s="4"/>
    </row>
    <row r="3940" spans="2:3" ht="14.25">
      <c r="B3940" s="3"/>
      <c r="C3940" s="4"/>
    </row>
    <row r="3941" spans="2:3" ht="14.25">
      <c r="B3941" s="3"/>
      <c r="C3941" s="4"/>
    </row>
    <row r="3942" spans="2:3" ht="14.25">
      <c r="B3942" s="3"/>
      <c r="C3942" s="4"/>
    </row>
    <row r="3943" spans="2:3" ht="14.25">
      <c r="B3943" s="3"/>
      <c r="C3943" s="4"/>
    </row>
    <row r="3944" spans="2:3" ht="14.25">
      <c r="B3944" s="3"/>
      <c r="C3944" s="4"/>
    </row>
    <row r="3945" spans="2:3" ht="14.25">
      <c r="B3945" s="3"/>
      <c r="C3945" s="4"/>
    </row>
    <row r="3946" spans="2:3" ht="14.25">
      <c r="B3946" s="3"/>
      <c r="C3946" s="4"/>
    </row>
    <row r="3947" spans="2:3" ht="14.25">
      <c r="B3947" s="3"/>
      <c r="C3947" s="4"/>
    </row>
    <row r="3948" spans="2:3" ht="14.25">
      <c r="B3948" s="3"/>
      <c r="C3948" s="4"/>
    </row>
    <row r="3949" spans="2:3" ht="14.25">
      <c r="B3949" s="3"/>
      <c r="C3949" s="4"/>
    </row>
    <row r="3950" spans="2:3" ht="14.25">
      <c r="B3950" s="3"/>
      <c r="C3950" s="4"/>
    </row>
    <row r="3951" spans="2:3" ht="14.25">
      <c r="B3951" s="3"/>
      <c r="C3951" s="4"/>
    </row>
    <row r="3952" spans="2:3" ht="14.25">
      <c r="B3952" s="3"/>
      <c r="C3952" s="4"/>
    </row>
    <row r="3953" spans="2:3" ht="14.25">
      <c r="B3953" s="3"/>
      <c r="C3953" s="4"/>
    </row>
    <row r="3954" spans="2:3" ht="14.25">
      <c r="B3954" s="3"/>
      <c r="C3954" s="4"/>
    </row>
    <row r="3955" spans="2:3" ht="14.25">
      <c r="B3955" s="3"/>
      <c r="C3955" s="4"/>
    </row>
    <row r="3956" spans="2:3" ht="14.25">
      <c r="B3956" s="3"/>
      <c r="C3956" s="4"/>
    </row>
    <row r="3957" spans="2:3" ht="14.25">
      <c r="B3957" s="3"/>
      <c r="C3957" s="4"/>
    </row>
    <row r="3958" spans="2:3" ht="14.25">
      <c r="B3958" s="3"/>
      <c r="C3958" s="4"/>
    </row>
    <row r="3959" spans="2:3" ht="14.25">
      <c r="B3959" s="3"/>
      <c r="C3959" s="4"/>
    </row>
    <row r="3960" spans="2:3" ht="14.25">
      <c r="B3960" s="3"/>
      <c r="C3960" s="4"/>
    </row>
    <row r="3961" spans="2:3" ht="14.25">
      <c r="B3961" s="3"/>
      <c r="C3961" s="4"/>
    </row>
    <row r="3962" spans="2:3" ht="14.25">
      <c r="B3962" s="3"/>
      <c r="C3962" s="4"/>
    </row>
    <row r="3963" spans="2:3" ht="14.25">
      <c r="B3963" s="3"/>
      <c r="C3963" s="4"/>
    </row>
    <row r="3964" spans="2:3" ht="14.25">
      <c r="B3964" s="3"/>
      <c r="C3964" s="4"/>
    </row>
    <row r="3965" spans="2:3" ht="14.25">
      <c r="B3965" s="3"/>
      <c r="C3965" s="4"/>
    </row>
    <row r="3966" spans="2:3" ht="14.25">
      <c r="B3966" s="3"/>
      <c r="C3966" s="4"/>
    </row>
    <row r="3967" spans="2:3" ht="14.25">
      <c r="B3967" s="3"/>
      <c r="C3967" s="4"/>
    </row>
    <row r="3968" spans="2:3" ht="14.25">
      <c r="B3968" s="3"/>
      <c r="C3968" s="4"/>
    </row>
    <row r="3969" spans="2:3" ht="14.25">
      <c r="B3969" s="3"/>
      <c r="C3969" s="4"/>
    </row>
    <row r="3970" spans="2:3" ht="14.25">
      <c r="B3970" s="3"/>
      <c r="C3970" s="4"/>
    </row>
    <row r="3971" spans="2:3" ht="14.25">
      <c r="B3971" s="3"/>
      <c r="C3971" s="4"/>
    </row>
    <row r="3972" spans="2:3" ht="14.25">
      <c r="B3972" s="3"/>
      <c r="C3972" s="4"/>
    </row>
    <row r="3973" spans="2:3" ht="14.25">
      <c r="B3973" s="3"/>
      <c r="C3973" s="4"/>
    </row>
    <row r="3974" spans="2:3" ht="14.25">
      <c r="B3974" s="3"/>
      <c r="C3974" s="4"/>
    </row>
    <row r="3975" spans="2:3" ht="14.25">
      <c r="B3975" s="3"/>
      <c r="C3975" s="4"/>
    </row>
    <row r="3976" spans="2:3" ht="14.25">
      <c r="B3976" s="3"/>
      <c r="C3976" s="4"/>
    </row>
    <row r="3977" spans="2:3" ht="14.25">
      <c r="B3977" s="3"/>
      <c r="C3977" s="4"/>
    </row>
    <row r="3978" spans="2:3" ht="14.25">
      <c r="B3978" s="3"/>
      <c r="C3978" s="4"/>
    </row>
    <row r="3979" spans="2:3" ht="14.25">
      <c r="B3979" s="3"/>
      <c r="C3979" s="4"/>
    </row>
    <row r="3980" spans="2:3" ht="14.25">
      <c r="B3980" s="3"/>
      <c r="C3980" s="4"/>
    </row>
    <row r="3981" spans="2:3" ht="14.25">
      <c r="B3981" s="3"/>
      <c r="C3981" s="4"/>
    </row>
    <row r="3982" spans="2:3" ht="14.25">
      <c r="B3982" s="3"/>
      <c r="C3982" s="4"/>
    </row>
    <row r="3983" spans="2:3" ht="14.25">
      <c r="B3983" s="3"/>
      <c r="C3983" s="4"/>
    </row>
    <row r="3984" spans="2:3" ht="14.25">
      <c r="B3984" s="3"/>
      <c r="C3984" s="4"/>
    </row>
    <row r="3985" spans="2:3" ht="14.25">
      <c r="B3985" s="3"/>
      <c r="C3985" s="4"/>
    </row>
    <row r="3986" spans="2:3" ht="14.25">
      <c r="B3986" s="3"/>
      <c r="C3986" s="4"/>
    </row>
    <row r="3987" spans="2:3" ht="14.25">
      <c r="B3987" s="3"/>
      <c r="C3987" s="4"/>
    </row>
    <row r="3988" spans="2:3" ht="14.25">
      <c r="B3988" s="3"/>
      <c r="C3988" s="4"/>
    </row>
    <row r="3989" spans="2:3" ht="14.25">
      <c r="B3989" s="3"/>
      <c r="C3989" s="4"/>
    </row>
    <row r="3990" spans="2:3" ht="14.25">
      <c r="B3990" s="3"/>
      <c r="C3990" s="4"/>
    </row>
    <row r="3991" spans="2:3" ht="14.25">
      <c r="B3991" s="3"/>
      <c r="C3991" s="4"/>
    </row>
    <row r="3992" spans="2:3" ht="14.25">
      <c r="B3992" s="3"/>
      <c r="C3992" s="4"/>
    </row>
    <row r="3993" spans="2:3" ht="14.25">
      <c r="B3993" s="3"/>
      <c r="C3993" s="4"/>
    </row>
    <row r="3994" spans="2:3" ht="14.25">
      <c r="B3994" s="3"/>
      <c r="C3994" s="4"/>
    </row>
    <row r="3995" spans="2:3" ht="14.25">
      <c r="B3995" s="3"/>
      <c r="C3995" s="4"/>
    </row>
    <row r="3996" spans="2:3" ht="14.25">
      <c r="B3996" s="3"/>
      <c r="C3996" s="4"/>
    </row>
    <row r="3997" spans="2:3" ht="14.25">
      <c r="B3997" s="3"/>
      <c r="C3997" s="4"/>
    </row>
    <row r="3998" spans="2:3" ht="14.25">
      <c r="B3998" s="3"/>
      <c r="C3998" s="4"/>
    </row>
    <row r="3999" spans="2:3" ht="14.25">
      <c r="B3999" s="3"/>
      <c r="C3999" s="4"/>
    </row>
    <row r="4000" spans="2:3" ht="14.25">
      <c r="B4000" s="3"/>
      <c r="C4000" s="4"/>
    </row>
    <row r="4001" spans="2:3" ht="14.25">
      <c r="B4001" s="3"/>
      <c r="C4001" s="4"/>
    </row>
    <row r="4002" spans="2:3" ht="14.25">
      <c r="B4002" s="3"/>
      <c r="C4002" s="4"/>
    </row>
    <row r="4003" spans="2:3" ht="14.25">
      <c r="B4003" s="3"/>
      <c r="C4003" s="4"/>
    </row>
    <row r="4004" spans="2:3" ht="14.25">
      <c r="B4004" s="3"/>
      <c r="C4004" s="4"/>
    </row>
    <row r="4005" spans="2:3" ht="14.25">
      <c r="B4005" s="3"/>
      <c r="C4005" s="4"/>
    </row>
    <row r="4006" spans="2:3" ht="14.25">
      <c r="B4006" s="3"/>
      <c r="C4006" s="4"/>
    </row>
    <row r="4007" spans="2:3" ht="14.25">
      <c r="B4007" s="3"/>
      <c r="C4007" s="4"/>
    </row>
    <row r="4008" spans="2:3" ht="14.25">
      <c r="B4008" s="3"/>
      <c r="C4008" s="4"/>
    </row>
    <row r="4009" spans="2:3" ht="14.25">
      <c r="B4009" s="3"/>
      <c r="C4009" s="4"/>
    </row>
    <row r="4010" spans="2:3" ht="14.25">
      <c r="B4010" s="3"/>
      <c r="C4010" s="4"/>
    </row>
    <row r="4011" spans="2:3" ht="14.25">
      <c r="B4011" s="3"/>
      <c r="C4011" s="4"/>
    </row>
    <row r="4012" spans="2:3" ht="14.25">
      <c r="B4012" s="3"/>
      <c r="C4012" s="4"/>
    </row>
    <row r="4013" spans="2:3" ht="14.25">
      <c r="B4013" s="3"/>
      <c r="C4013" s="4"/>
    </row>
    <row r="4014" spans="2:3" ht="14.25">
      <c r="B4014" s="3"/>
      <c r="C4014" s="4"/>
    </row>
    <row r="4015" spans="2:3" ht="14.25">
      <c r="B4015" s="3"/>
      <c r="C4015" s="4"/>
    </row>
    <row r="4016" spans="2:3" ht="14.25">
      <c r="B4016" s="3"/>
      <c r="C4016" s="4"/>
    </row>
    <row r="4017" spans="2:3" ht="14.25">
      <c r="B4017" s="3"/>
      <c r="C4017" s="4"/>
    </row>
    <row r="4018" spans="2:3" ht="14.25">
      <c r="B4018" s="3"/>
      <c r="C4018" s="4"/>
    </row>
    <row r="4019" spans="2:3" ht="14.25">
      <c r="B4019" s="3"/>
      <c r="C4019" s="4"/>
    </row>
    <row r="4020" spans="2:3" ht="14.25">
      <c r="B4020" s="3"/>
      <c r="C4020" s="4"/>
    </row>
    <row r="4021" spans="2:3" ht="14.25">
      <c r="B4021" s="3"/>
      <c r="C4021" s="4"/>
    </row>
    <row r="4022" spans="2:3" ht="14.25">
      <c r="B4022" s="3"/>
      <c r="C4022" s="4"/>
    </row>
    <row r="4023" spans="2:3" ht="14.25">
      <c r="B4023" s="3"/>
      <c r="C4023" s="4"/>
    </row>
    <row r="4024" spans="2:3" ht="14.25">
      <c r="B4024" s="3"/>
      <c r="C4024" s="4"/>
    </row>
    <row r="4025" spans="2:3" ht="14.25">
      <c r="B4025" s="3"/>
      <c r="C4025" s="4"/>
    </row>
    <row r="4026" spans="2:3" ht="14.25">
      <c r="B4026" s="3"/>
      <c r="C4026" s="4"/>
    </row>
    <row r="4027" spans="2:3" ht="14.25">
      <c r="B4027" s="3"/>
      <c r="C4027" s="4"/>
    </row>
    <row r="4028" spans="2:3" ht="14.25">
      <c r="B4028" s="3"/>
      <c r="C4028" s="4"/>
    </row>
    <row r="4029" spans="2:3" ht="14.25">
      <c r="B4029" s="3"/>
      <c r="C4029" s="4"/>
    </row>
    <row r="4030" spans="2:3" ht="14.25">
      <c r="B4030" s="3"/>
      <c r="C4030" s="4"/>
    </row>
    <row r="4031" spans="2:3" ht="14.25">
      <c r="B4031" s="3"/>
      <c r="C4031" s="4"/>
    </row>
    <row r="4032" spans="2:3" ht="14.25">
      <c r="B4032" s="3"/>
      <c r="C4032" s="4"/>
    </row>
    <row r="4033" spans="2:3" ht="14.25">
      <c r="B4033" s="3"/>
      <c r="C4033" s="4"/>
    </row>
    <row r="4034" spans="2:3" ht="14.25">
      <c r="B4034" s="3"/>
      <c r="C4034" s="4"/>
    </row>
    <row r="4035" spans="2:3" ht="14.25">
      <c r="B4035" s="3"/>
      <c r="C4035" s="4"/>
    </row>
    <row r="4036" spans="2:3" ht="14.25">
      <c r="B4036" s="3"/>
      <c r="C4036" s="4"/>
    </row>
    <row r="4037" spans="2:3" ht="14.25">
      <c r="B4037" s="3"/>
      <c r="C4037" s="4"/>
    </row>
    <row r="4038" spans="2:3" ht="14.25">
      <c r="B4038" s="3"/>
      <c r="C4038" s="4"/>
    </row>
    <row r="4039" spans="2:3" ht="14.25">
      <c r="B4039" s="3"/>
      <c r="C4039" s="4"/>
    </row>
    <row r="4040" spans="2:3" ht="14.25">
      <c r="B4040" s="3"/>
      <c r="C4040" s="4"/>
    </row>
    <row r="4041" spans="2:3" ht="14.25">
      <c r="B4041" s="3"/>
      <c r="C4041" s="4"/>
    </row>
    <row r="4042" spans="2:3" ht="14.25">
      <c r="B4042" s="3"/>
      <c r="C4042" s="4"/>
    </row>
    <row r="4043" spans="2:3" ht="14.25">
      <c r="B4043" s="3"/>
      <c r="C4043" s="4"/>
    </row>
    <row r="4044" spans="2:3" ht="14.25">
      <c r="B4044" s="3"/>
      <c r="C4044" s="4"/>
    </row>
    <row r="4045" spans="2:3" ht="14.25">
      <c r="B4045" s="3"/>
      <c r="C4045" s="4"/>
    </row>
    <row r="4046" spans="2:3" ht="14.25">
      <c r="B4046" s="3"/>
      <c r="C4046" s="4"/>
    </row>
    <row r="4047" spans="2:3" ht="14.25">
      <c r="B4047" s="3"/>
      <c r="C4047" s="4"/>
    </row>
    <row r="4048" spans="2:3" ht="14.25">
      <c r="B4048" s="3"/>
      <c r="C4048" s="4"/>
    </row>
    <row r="4049" spans="2:3" ht="14.25">
      <c r="B4049" s="3"/>
      <c r="C4049" s="4"/>
    </row>
    <row r="4050" spans="2:3" ht="14.25">
      <c r="B4050" s="3"/>
      <c r="C4050" s="4"/>
    </row>
    <row r="4051" spans="2:3" ht="14.25">
      <c r="B4051" s="3"/>
      <c r="C4051" s="4"/>
    </row>
    <row r="4052" spans="2:3" ht="14.25">
      <c r="B4052" s="3"/>
      <c r="C4052" s="4"/>
    </row>
    <row r="4053" spans="2:3" ht="14.25">
      <c r="B4053" s="3"/>
      <c r="C4053" s="4"/>
    </row>
    <row r="4054" spans="2:3" ht="14.25">
      <c r="B4054" s="3"/>
      <c r="C4054" s="4"/>
    </row>
    <row r="4055" spans="2:3" ht="14.25">
      <c r="B4055" s="3"/>
      <c r="C4055" s="4"/>
    </row>
    <row r="4056" spans="2:3" ht="14.25">
      <c r="B4056" s="3"/>
      <c r="C4056" s="4"/>
    </row>
    <row r="4057" spans="2:3" ht="14.25">
      <c r="B4057" s="3"/>
      <c r="C4057" s="4"/>
    </row>
    <row r="4058" spans="2:3" ht="14.25">
      <c r="B4058" s="3"/>
      <c r="C4058" s="4"/>
    </row>
    <row r="4059" spans="2:3" ht="14.25">
      <c r="B4059" s="3"/>
      <c r="C4059" s="4"/>
    </row>
    <row r="4060" spans="2:3" ht="14.25">
      <c r="B4060" s="3"/>
      <c r="C4060" s="4"/>
    </row>
    <row r="4061" spans="2:3" ht="14.25">
      <c r="B4061" s="3"/>
      <c r="C4061" s="4"/>
    </row>
    <row r="4062" spans="2:3" ht="14.25">
      <c r="B4062" s="3"/>
      <c r="C4062" s="4"/>
    </row>
    <row r="4063" spans="2:3" ht="14.25">
      <c r="B4063" s="3"/>
      <c r="C4063" s="4"/>
    </row>
    <row r="4064" spans="2:3" ht="14.25">
      <c r="B4064" s="3"/>
      <c r="C4064" s="4"/>
    </row>
    <row r="4065" spans="2:3" ht="14.25">
      <c r="B4065" s="3"/>
      <c r="C4065" s="4"/>
    </row>
    <row r="4066" spans="2:3" ht="14.25">
      <c r="B4066" s="3"/>
      <c r="C4066" s="4"/>
    </row>
    <row r="4067" spans="2:3" ht="14.25">
      <c r="B4067" s="3"/>
      <c r="C4067" s="4"/>
    </row>
    <row r="4068" spans="2:3" ht="14.25">
      <c r="B4068" s="3"/>
      <c r="C4068" s="4"/>
    </row>
    <row r="4069" spans="2:3" ht="14.25">
      <c r="B4069" s="3"/>
      <c r="C4069" s="4"/>
    </row>
    <row r="4070" spans="2:3" ht="14.25">
      <c r="B4070" s="3"/>
      <c r="C4070" s="4"/>
    </row>
    <row r="4071" spans="2:3" ht="14.25">
      <c r="B4071" s="3"/>
      <c r="C4071" s="4"/>
    </row>
    <row r="4072" spans="2:3" ht="14.25">
      <c r="B4072" s="3"/>
      <c r="C4072" s="4"/>
    </row>
    <row r="4073" spans="2:3" ht="14.25">
      <c r="B4073" s="3"/>
      <c r="C4073" s="4"/>
    </row>
    <row r="4074" spans="2:3" ht="14.25">
      <c r="B4074" s="3"/>
      <c r="C4074" s="4"/>
    </row>
    <row r="4075" spans="2:3" ht="14.25">
      <c r="B4075" s="3"/>
      <c r="C4075" s="4"/>
    </row>
    <row r="4076" spans="2:3" ht="14.25">
      <c r="B4076" s="3"/>
      <c r="C4076" s="4"/>
    </row>
    <row r="4077" spans="2:3" ht="14.25">
      <c r="B4077" s="3"/>
      <c r="C4077" s="4"/>
    </row>
    <row r="4078" spans="2:3" ht="14.25">
      <c r="B4078" s="3"/>
      <c r="C4078" s="4"/>
    </row>
    <row r="4079" spans="2:3" ht="14.25">
      <c r="B4079" s="3"/>
      <c r="C4079" s="4"/>
    </row>
    <row r="4080" spans="2:3" ht="14.25">
      <c r="B4080" s="3"/>
      <c r="C4080" s="4"/>
    </row>
    <row r="4081" spans="2:3" ht="14.25">
      <c r="B4081" s="3"/>
      <c r="C4081" s="4"/>
    </row>
    <row r="4082" spans="2:3" ht="14.25">
      <c r="B4082" s="3"/>
      <c r="C4082" s="4"/>
    </row>
    <row r="4083" spans="2:3" ht="14.25">
      <c r="B4083" s="3"/>
      <c r="C4083" s="4"/>
    </row>
    <row r="4084" spans="2:3" ht="14.25">
      <c r="B4084" s="3"/>
      <c r="C4084" s="4"/>
    </row>
    <row r="4085" spans="2:3" ht="14.25">
      <c r="B4085" s="3"/>
      <c r="C4085" s="4"/>
    </row>
    <row r="4086" spans="2:3" ht="14.25">
      <c r="B4086" s="3"/>
      <c r="C4086" s="4"/>
    </row>
    <row r="4087" spans="2:3" ht="14.25">
      <c r="B4087" s="3"/>
      <c r="C4087" s="4"/>
    </row>
    <row r="4088" spans="2:3" ht="14.25">
      <c r="B4088" s="3"/>
      <c r="C4088" s="4"/>
    </row>
    <row r="4089" spans="2:3" ht="14.25">
      <c r="B4089" s="3"/>
      <c r="C4089" s="4"/>
    </row>
    <row r="4090" spans="2:3" ht="14.25">
      <c r="B4090" s="3"/>
      <c r="C4090" s="4"/>
    </row>
    <row r="4091" spans="2:3" ht="14.25">
      <c r="B4091" s="3"/>
      <c r="C4091" s="4"/>
    </row>
    <row r="4092" spans="2:3" ht="14.25">
      <c r="B4092" s="3"/>
      <c r="C4092" s="4"/>
    </row>
    <row r="4093" spans="2:3" ht="14.25">
      <c r="B4093" s="3"/>
      <c r="C4093" s="4"/>
    </row>
    <row r="4094" spans="2:3" ht="14.25">
      <c r="B4094" s="3"/>
      <c r="C4094" s="4"/>
    </row>
    <row r="4095" spans="2:3" ht="14.25">
      <c r="B4095" s="3"/>
      <c r="C4095" s="4"/>
    </row>
    <row r="4096" spans="2:3" ht="14.25">
      <c r="B4096" s="3"/>
      <c r="C4096" s="4"/>
    </row>
    <row r="4097" spans="2:3" ht="14.25">
      <c r="B4097" s="3"/>
      <c r="C4097" s="4"/>
    </row>
    <row r="4098" spans="2:3" ht="14.25">
      <c r="B4098" s="3"/>
      <c r="C4098" s="4"/>
    </row>
    <row r="4099" spans="2:3" ht="14.25">
      <c r="B4099" s="3"/>
      <c r="C4099" s="4"/>
    </row>
    <row r="4100" spans="2:3" ht="14.25">
      <c r="B4100" s="3"/>
      <c r="C4100" s="4"/>
    </row>
    <row r="4101" spans="2:3" ht="14.25">
      <c r="B4101" s="3"/>
      <c r="C4101" s="4"/>
    </row>
    <row r="4102" spans="2:3" ht="14.25">
      <c r="B4102" s="3"/>
      <c r="C4102" s="4"/>
    </row>
    <row r="4103" spans="2:3" ht="14.25">
      <c r="B4103" s="3"/>
      <c r="C4103" s="4"/>
    </row>
    <row r="4104" spans="2:3" ht="14.25">
      <c r="B4104" s="3"/>
      <c r="C4104" s="4"/>
    </row>
    <row r="4105" spans="2:3" ht="14.25">
      <c r="B4105" s="3"/>
      <c r="C4105" s="4"/>
    </row>
    <row r="4106" spans="2:3" ht="14.25">
      <c r="B4106" s="3"/>
      <c r="C4106" s="4"/>
    </row>
    <row r="4107" spans="2:3" ht="14.25">
      <c r="B4107" s="3"/>
      <c r="C4107" s="4"/>
    </row>
    <row r="4108" spans="2:3" ht="14.25">
      <c r="B4108" s="3"/>
      <c r="C4108" s="4"/>
    </row>
    <row r="4109" spans="2:3" ht="14.25">
      <c r="B4109" s="3"/>
      <c r="C4109" s="4"/>
    </row>
    <row r="4110" spans="2:3" ht="14.25">
      <c r="B4110" s="3"/>
      <c r="C4110" s="4"/>
    </row>
    <row r="4111" spans="2:3" ht="14.25">
      <c r="B4111" s="3"/>
      <c r="C4111" s="4"/>
    </row>
    <row r="4112" spans="2:3" ht="14.25">
      <c r="B4112" s="3"/>
      <c r="C4112" s="4"/>
    </row>
    <row r="4113" spans="2:3" ht="14.25">
      <c r="B4113" s="3"/>
      <c r="C4113" s="4"/>
    </row>
    <row r="4114" spans="2:3" ht="14.25">
      <c r="B4114" s="3"/>
      <c r="C4114" s="4"/>
    </row>
    <row r="4115" spans="2:3" ht="14.25">
      <c r="B4115" s="3"/>
      <c r="C4115" s="4"/>
    </row>
    <row r="4116" spans="2:3" ht="14.25">
      <c r="B4116" s="3"/>
      <c r="C4116" s="4"/>
    </row>
    <row r="4117" spans="2:3" ht="14.25">
      <c r="B4117" s="3"/>
      <c r="C4117" s="4"/>
    </row>
    <row r="4118" spans="2:3" ht="14.25">
      <c r="B4118" s="3"/>
      <c r="C4118" s="4"/>
    </row>
    <row r="4119" spans="2:3" ht="14.25">
      <c r="B4119" s="3"/>
      <c r="C4119" s="4"/>
    </row>
    <row r="4120" spans="2:3" ht="14.25">
      <c r="B4120" s="3"/>
      <c r="C4120" s="4"/>
    </row>
    <row r="4121" spans="2:3" ht="14.25">
      <c r="B4121" s="3"/>
      <c r="C4121" s="4"/>
    </row>
    <row r="4122" spans="2:3" ht="14.25">
      <c r="B4122" s="3"/>
      <c r="C4122" s="4"/>
    </row>
    <row r="4123" spans="2:3" ht="14.25">
      <c r="B4123" s="3"/>
      <c r="C4123" s="4"/>
    </row>
    <row r="4124" spans="2:3" ht="14.25">
      <c r="B4124" s="3"/>
      <c r="C4124" s="4"/>
    </row>
    <row r="4125" spans="2:3" ht="14.25">
      <c r="B4125" s="3"/>
      <c r="C4125" s="4"/>
    </row>
    <row r="4126" spans="2:3" ht="14.25">
      <c r="B4126" s="3"/>
      <c r="C4126" s="4"/>
    </row>
    <row r="4127" spans="2:3" ht="14.25">
      <c r="B4127" s="3"/>
      <c r="C4127" s="4"/>
    </row>
    <row r="4128" spans="2:3" ht="14.25">
      <c r="B4128" s="3"/>
      <c r="C4128" s="4"/>
    </row>
    <row r="4129" spans="2:3" ht="14.25">
      <c r="B4129" s="3"/>
      <c r="C4129" s="4"/>
    </row>
    <row r="4130" spans="2:3" ht="14.25">
      <c r="B4130" s="3"/>
      <c r="C4130" s="4"/>
    </row>
    <row r="4131" spans="2:3" ht="14.25">
      <c r="B4131" s="3"/>
      <c r="C4131" s="4"/>
    </row>
    <row r="4132" spans="2:3" ht="14.25">
      <c r="B4132" s="3"/>
      <c r="C4132" s="4"/>
    </row>
    <row r="4133" spans="2:3" ht="14.25">
      <c r="B4133" s="3"/>
      <c r="C4133" s="4"/>
    </row>
    <row r="4134" spans="2:3" ht="14.25">
      <c r="B4134" s="3"/>
      <c r="C4134" s="4"/>
    </row>
    <row r="4135" spans="2:3" ht="14.25">
      <c r="B4135" s="3"/>
      <c r="C4135" s="4"/>
    </row>
    <row r="4136" spans="2:3" ht="14.25">
      <c r="B4136" s="3"/>
      <c r="C4136" s="4"/>
    </row>
    <row r="4137" spans="2:3" ht="14.25">
      <c r="B4137" s="3"/>
      <c r="C4137" s="4"/>
    </row>
    <row r="4138" spans="2:3" ht="14.25">
      <c r="B4138" s="3"/>
      <c r="C4138" s="4"/>
    </row>
    <row r="4139" spans="2:3" ht="14.25">
      <c r="B4139" s="3"/>
      <c r="C4139" s="4"/>
    </row>
    <row r="4140" spans="2:3" ht="14.25">
      <c r="B4140" s="3"/>
      <c r="C4140" s="4"/>
    </row>
    <row r="4141" spans="2:3" ht="14.25">
      <c r="B4141" s="3"/>
      <c r="C4141" s="4"/>
    </row>
    <row r="4142" spans="2:3" ht="14.25">
      <c r="B4142" s="3"/>
      <c r="C4142" s="4"/>
    </row>
    <row r="4143" spans="2:3" ht="14.25">
      <c r="B4143" s="3"/>
      <c r="C4143" s="4"/>
    </row>
    <row r="4144" spans="2:3" ht="14.25">
      <c r="B4144" s="3"/>
      <c r="C4144" s="4"/>
    </row>
    <row r="4145" spans="2:3" ht="14.25">
      <c r="B4145" s="3"/>
      <c r="C4145" s="4"/>
    </row>
    <row r="4146" spans="2:3" ht="14.25">
      <c r="B4146" s="3"/>
      <c r="C4146" s="4"/>
    </row>
    <row r="4147" spans="2:3" ht="14.25">
      <c r="B4147" s="3"/>
      <c r="C4147" s="4"/>
    </row>
    <row r="4148" spans="2:3" ht="14.25">
      <c r="B4148" s="3"/>
      <c r="C4148" s="4"/>
    </row>
    <row r="4149" spans="2:3" ht="14.25">
      <c r="B4149" s="3"/>
      <c r="C4149" s="4"/>
    </row>
    <row r="4150" spans="2:3" ht="14.25">
      <c r="B4150" s="3"/>
      <c r="C4150" s="4"/>
    </row>
    <row r="4151" spans="2:3" ht="14.25">
      <c r="B4151" s="3"/>
      <c r="C4151" s="4"/>
    </row>
    <row r="4152" spans="2:3" ht="14.25">
      <c r="B4152" s="3"/>
      <c r="C4152" s="4"/>
    </row>
    <row r="4153" spans="2:3" ht="14.25">
      <c r="B4153" s="3"/>
      <c r="C4153" s="4"/>
    </row>
    <row r="4154" spans="2:3" ht="14.25">
      <c r="B4154" s="3"/>
      <c r="C4154" s="4"/>
    </row>
    <row r="4155" spans="2:3" ht="14.25">
      <c r="B4155" s="3"/>
      <c r="C4155" s="4"/>
    </row>
    <row r="4156" spans="2:3" ht="14.25">
      <c r="B4156" s="3"/>
      <c r="C4156" s="4"/>
    </row>
    <row r="4157" spans="2:3" ht="14.25">
      <c r="B4157" s="3"/>
      <c r="C4157" s="4"/>
    </row>
    <row r="4158" spans="2:3" ht="14.25">
      <c r="B4158" s="3"/>
      <c r="C4158" s="4"/>
    </row>
    <row r="4159" spans="2:3" ht="14.25">
      <c r="B4159" s="3"/>
      <c r="C4159" s="4"/>
    </row>
    <row r="4160" spans="2:3" ht="14.25">
      <c r="B4160" s="3"/>
      <c r="C4160" s="4"/>
    </row>
    <row r="4161" spans="2:3" ht="14.25">
      <c r="B4161" s="3"/>
      <c r="C4161" s="4"/>
    </row>
    <row r="4162" spans="2:3" ht="14.25">
      <c r="B4162" s="3"/>
      <c r="C4162" s="4"/>
    </row>
    <row r="4163" spans="2:3" ht="14.25">
      <c r="B4163" s="3"/>
      <c r="C4163" s="4"/>
    </row>
    <row r="4164" spans="2:3" ht="14.25">
      <c r="B4164" s="3"/>
      <c r="C4164" s="4"/>
    </row>
    <row r="4165" spans="2:3" ht="14.25">
      <c r="B4165" s="3"/>
      <c r="C4165" s="4"/>
    </row>
    <row r="4166" spans="2:3" ht="14.25">
      <c r="B4166" s="3"/>
      <c r="C4166" s="4"/>
    </row>
    <row r="4167" spans="2:3" ht="14.25">
      <c r="B4167" s="3"/>
      <c r="C4167" s="4"/>
    </row>
    <row r="4168" spans="2:3" ht="14.25">
      <c r="B4168" s="3"/>
      <c r="C4168" s="4"/>
    </row>
    <row r="4169" spans="2:3" ht="14.25">
      <c r="B4169" s="3"/>
      <c r="C4169" s="4"/>
    </row>
    <row r="4170" spans="2:3" ht="14.25">
      <c r="B4170" s="3"/>
      <c r="C4170" s="4"/>
    </row>
    <row r="4171" spans="2:3" ht="14.25">
      <c r="B4171" s="3"/>
      <c r="C4171" s="4"/>
    </row>
    <row r="4172" spans="2:3" ht="14.25">
      <c r="B4172" s="3"/>
      <c r="C4172" s="4"/>
    </row>
    <row r="4173" spans="2:3" ht="14.25">
      <c r="B4173" s="3"/>
      <c r="C4173" s="4"/>
    </row>
    <row r="4174" spans="2:3" ht="14.25">
      <c r="B4174" s="3"/>
      <c r="C4174" s="4"/>
    </row>
    <row r="4175" spans="2:3" ht="14.25">
      <c r="B4175" s="3"/>
      <c r="C4175" s="4"/>
    </row>
    <row r="4176" spans="2:3" ht="14.25">
      <c r="B4176" s="3"/>
      <c r="C4176" s="4"/>
    </row>
    <row r="4177" spans="2:3" ht="14.25">
      <c r="B4177" s="3"/>
      <c r="C4177" s="4"/>
    </row>
    <row r="4178" spans="2:3" ht="14.25">
      <c r="B4178" s="3"/>
      <c r="C4178" s="4"/>
    </row>
    <row r="4179" spans="2:3" ht="14.25">
      <c r="B4179" s="3"/>
      <c r="C4179" s="4"/>
    </row>
    <row r="4180" spans="2:3" ht="14.25">
      <c r="B4180" s="3"/>
      <c r="C4180" s="4"/>
    </row>
    <row r="4181" spans="2:3" ht="14.25">
      <c r="B4181" s="3"/>
      <c r="C4181" s="4"/>
    </row>
    <row r="4182" spans="2:3" ht="14.25">
      <c r="B4182" s="3"/>
      <c r="C4182" s="4"/>
    </row>
    <row r="4183" spans="2:3" ht="14.25">
      <c r="B4183" s="3"/>
      <c r="C4183" s="4"/>
    </row>
    <row r="4184" spans="2:3" ht="14.25">
      <c r="B4184" s="3"/>
      <c r="C4184" s="4"/>
    </row>
    <row r="4185" spans="2:3" ht="14.25">
      <c r="B4185" s="3"/>
      <c r="C4185" s="4"/>
    </row>
    <row r="4186" spans="2:3" ht="14.25">
      <c r="B4186" s="3"/>
      <c r="C4186" s="4"/>
    </row>
    <row r="4187" spans="2:3" ht="14.25">
      <c r="B4187" s="3"/>
      <c r="C4187" s="4"/>
    </row>
    <row r="4188" spans="2:3" ht="14.25">
      <c r="B4188" s="3"/>
      <c r="C4188" s="4"/>
    </row>
    <row r="4189" spans="2:3" ht="14.25">
      <c r="B4189" s="3"/>
      <c r="C4189" s="4"/>
    </row>
    <row r="4190" spans="2:3" ht="14.25">
      <c r="B4190" s="3"/>
      <c r="C4190" s="4"/>
    </row>
    <row r="4191" spans="2:3" ht="14.25">
      <c r="B4191" s="3"/>
      <c r="C4191" s="4"/>
    </row>
    <row r="4192" spans="2:3" ht="14.25">
      <c r="B4192" s="3"/>
      <c r="C4192" s="4"/>
    </row>
    <row r="4193" spans="2:3" ht="14.25">
      <c r="B4193" s="3"/>
      <c r="C4193" s="4"/>
    </row>
    <row r="4194" spans="2:3" ht="14.25">
      <c r="B4194" s="3"/>
      <c r="C4194" s="4"/>
    </row>
    <row r="4195" spans="2:3" ht="14.25">
      <c r="B4195" s="3"/>
      <c r="C4195" s="4"/>
    </row>
    <row r="4196" spans="2:3" ht="14.25">
      <c r="B4196" s="3"/>
      <c r="C4196" s="4"/>
    </row>
    <row r="4197" spans="2:3" ht="14.25">
      <c r="B4197" s="3"/>
      <c r="C4197" s="4"/>
    </row>
    <row r="4198" spans="2:3" ht="14.25">
      <c r="B4198" s="3"/>
      <c r="C4198" s="4"/>
    </row>
    <row r="4199" spans="2:3" ht="14.25">
      <c r="B4199" s="3"/>
      <c r="C4199" s="4"/>
    </row>
    <row r="4200" spans="2:3" ht="14.25">
      <c r="B4200" s="3"/>
      <c r="C4200" s="4"/>
    </row>
    <row r="4201" spans="2:3" ht="14.25">
      <c r="B4201" s="3"/>
      <c r="C4201" s="4"/>
    </row>
    <row r="4202" spans="2:3" ht="14.25">
      <c r="B4202" s="3"/>
      <c r="C4202" s="4"/>
    </row>
    <row r="4203" spans="2:3" ht="14.25">
      <c r="B4203" s="3"/>
      <c r="C4203" s="4"/>
    </row>
    <row r="4204" spans="2:3" ht="14.25">
      <c r="B4204" s="3"/>
      <c r="C4204" s="4"/>
    </row>
    <row r="4205" spans="2:3" ht="14.25">
      <c r="B4205" s="3"/>
      <c r="C4205" s="4"/>
    </row>
    <row r="4206" spans="2:3" ht="14.25">
      <c r="B4206" s="3"/>
      <c r="C4206" s="4"/>
    </row>
    <row r="4207" spans="2:3" ht="14.25">
      <c r="B4207" s="3"/>
      <c r="C4207" s="4"/>
    </row>
    <row r="4208" spans="2:3" ht="14.25">
      <c r="B4208" s="3"/>
      <c r="C4208" s="4"/>
    </row>
    <row r="4209" spans="2:3" ht="14.25">
      <c r="B4209" s="3"/>
      <c r="C4209" s="4"/>
    </row>
    <row r="4210" spans="2:3" ht="14.25">
      <c r="B4210" s="3"/>
      <c r="C4210" s="4"/>
    </row>
    <row r="4211" spans="2:3" ht="14.25">
      <c r="B4211" s="3"/>
      <c r="C4211" s="4"/>
    </row>
    <row r="4212" spans="2:3" ht="14.25">
      <c r="B4212" s="3"/>
      <c r="C4212" s="4"/>
    </row>
    <row r="4213" spans="2:3" ht="14.25">
      <c r="B4213" s="3"/>
      <c r="C4213" s="4"/>
    </row>
    <row r="4214" spans="2:3" ht="14.25">
      <c r="B4214" s="3"/>
      <c r="C4214" s="4"/>
    </row>
    <row r="4215" spans="2:3" ht="14.25">
      <c r="B4215" s="3"/>
      <c r="C4215" s="4"/>
    </row>
    <row r="4216" spans="2:3" ht="14.25">
      <c r="B4216" s="3"/>
      <c r="C4216" s="4"/>
    </row>
    <row r="4217" spans="2:3" ht="14.25">
      <c r="B4217" s="3"/>
      <c r="C4217" s="4"/>
    </row>
    <row r="4218" spans="2:3" ht="14.25">
      <c r="B4218" s="3"/>
      <c r="C4218" s="4"/>
    </row>
    <row r="4219" spans="2:3" ht="14.25">
      <c r="B4219" s="3"/>
      <c r="C4219" s="4"/>
    </row>
    <row r="4220" spans="2:3" ht="14.25">
      <c r="B4220" s="3"/>
      <c r="C4220" s="4"/>
    </row>
    <row r="4221" spans="2:3" ht="14.25">
      <c r="B4221" s="3"/>
      <c r="C4221" s="4"/>
    </row>
    <row r="4222" spans="2:3" ht="14.25">
      <c r="B4222" s="3"/>
      <c r="C4222" s="4"/>
    </row>
    <row r="4223" spans="2:3" ht="14.25">
      <c r="B4223" s="3"/>
      <c r="C4223" s="4"/>
    </row>
    <row r="4224" spans="2:3" ht="14.25">
      <c r="B4224" s="3"/>
      <c r="C4224" s="4"/>
    </row>
    <row r="4225" spans="2:3" ht="14.25">
      <c r="B4225" s="3"/>
      <c r="C4225" s="4"/>
    </row>
    <row r="4226" spans="2:3" ht="14.25">
      <c r="B4226" s="3"/>
      <c r="C4226" s="4"/>
    </row>
    <row r="4227" spans="2:3" ht="14.25">
      <c r="B4227" s="3"/>
      <c r="C4227" s="4"/>
    </row>
    <row r="4228" spans="2:3" ht="14.25">
      <c r="B4228" s="3"/>
      <c r="C4228" s="4"/>
    </row>
    <row r="4229" spans="2:3" ht="14.25">
      <c r="B4229" s="3"/>
      <c r="C4229" s="4"/>
    </row>
    <row r="4230" spans="2:3" ht="14.25">
      <c r="B4230" s="3"/>
      <c r="C4230" s="4"/>
    </row>
    <row r="4231" spans="2:3" ht="14.25">
      <c r="B4231" s="3"/>
      <c r="C4231" s="4"/>
    </row>
    <row r="4232" spans="2:3" ht="14.25">
      <c r="B4232" s="3"/>
      <c r="C4232" s="4"/>
    </row>
    <row r="4233" spans="2:3" ht="14.25">
      <c r="B4233" s="3"/>
      <c r="C4233" s="4"/>
    </row>
    <row r="4234" spans="2:3" ht="14.25">
      <c r="B4234" s="3"/>
      <c r="C4234" s="4"/>
    </row>
    <row r="4235" spans="2:3" ht="14.25">
      <c r="B4235" s="3"/>
      <c r="C4235" s="4"/>
    </row>
    <row r="4236" spans="2:3" ht="14.25">
      <c r="B4236" s="3"/>
      <c r="C4236" s="4"/>
    </row>
    <row r="4237" spans="2:3" ht="14.25">
      <c r="B4237" s="3"/>
      <c r="C4237" s="4"/>
    </row>
    <row r="4238" spans="2:3" ht="14.25">
      <c r="B4238" s="3"/>
      <c r="C4238" s="4"/>
    </row>
    <row r="4239" spans="2:3" ht="14.25">
      <c r="B4239" s="3"/>
      <c r="C4239" s="4"/>
    </row>
    <row r="4240" spans="2:3" ht="14.25">
      <c r="B4240" s="3"/>
      <c r="C4240" s="4"/>
    </row>
    <row r="4241" spans="2:3" ht="14.25">
      <c r="B4241" s="3"/>
      <c r="C4241" s="4"/>
    </row>
    <row r="4242" spans="2:3" ht="14.25">
      <c r="B4242" s="3"/>
      <c r="C4242" s="4"/>
    </row>
    <row r="4243" spans="2:3" ht="14.25">
      <c r="B4243" s="3"/>
      <c r="C4243" s="4"/>
    </row>
    <row r="4244" spans="2:3" ht="14.25">
      <c r="B4244" s="3"/>
      <c r="C4244" s="4"/>
    </row>
    <row r="4245" spans="2:3" ht="14.25">
      <c r="B4245" s="3"/>
      <c r="C4245" s="4"/>
    </row>
    <row r="4246" spans="2:3" ht="14.25">
      <c r="B4246" s="3"/>
      <c r="C4246" s="4"/>
    </row>
    <row r="4247" spans="2:3" ht="14.25">
      <c r="B4247" s="3"/>
      <c r="C4247" s="4"/>
    </row>
    <row r="4248" spans="2:3" ht="14.25">
      <c r="B4248" s="3"/>
      <c r="C4248" s="4"/>
    </row>
    <row r="4249" spans="2:3" ht="14.25">
      <c r="B4249" s="3"/>
      <c r="C4249" s="4"/>
    </row>
    <row r="4250" spans="2:3" ht="14.25">
      <c r="B4250" s="3"/>
      <c r="C4250" s="4"/>
    </row>
    <row r="4251" spans="2:3" ht="14.25">
      <c r="B4251" s="3"/>
      <c r="C4251" s="4"/>
    </row>
    <row r="4252" spans="2:3" ht="14.25">
      <c r="B4252" s="3"/>
      <c r="C4252" s="4"/>
    </row>
    <row r="4253" spans="2:3" ht="14.25">
      <c r="B4253" s="3"/>
      <c r="C4253" s="4"/>
    </row>
    <row r="4254" spans="2:3" ht="14.25">
      <c r="B4254" s="3"/>
      <c r="C4254" s="4"/>
    </row>
    <row r="4255" spans="2:3" ht="14.25">
      <c r="B4255" s="3"/>
      <c r="C4255" s="4"/>
    </row>
    <row r="4256" spans="2:3" ht="14.25">
      <c r="B4256" s="3"/>
      <c r="C4256" s="4"/>
    </row>
    <row r="4257" spans="2:3" ht="14.25">
      <c r="B4257" s="3"/>
      <c r="C4257" s="4"/>
    </row>
    <row r="4258" spans="2:3" ht="14.25">
      <c r="B4258" s="3"/>
      <c r="C4258" s="4"/>
    </row>
    <row r="4259" spans="2:3" ht="14.25">
      <c r="B4259" s="3"/>
      <c r="C4259" s="4"/>
    </row>
    <row r="4260" spans="2:3" ht="14.25">
      <c r="B4260" s="3"/>
      <c r="C4260" s="4"/>
    </row>
    <row r="4261" spans="2:3" ht="14.25">
      <c r="B4261" s="3"/>
      <c r="C4261" s="4"/>
    </row>
    <row r="4262" spans="2:3" ht="14.25">
      <c r="B4262" s="3"/>
      <c r="C4262" s="4"/>
    </row>
    <row r="4263" spans="2:3" ht="14.25">
      <c r="B4263" s="3"/>
      <c r="C4263" s="4"/>
    </row>
    <row r="4264" spans="2:3" ht="14.25">
      <c r="B4264" s="3"/>
      <c r="C4264" s="4"/>
    </row>
    <row r="4265" spans="2:3" ht="14.25">
      <c r="B4265" s="3"/>
      <c r="C4265" s="4"/>
    </row>
    <row r="4266" spans="2:3" ht="14.25">
      <c r="B4266" s="3"/>
      <c r="C4266" s="4"/>
    </row>
    <row r="4267" spans="2:3" ht="14.25">
      <c r="B4267" s="3"/>
      <c r="C4267" s="4"/>
    </row>
    <row r="4268" spans="2:3" ht="14.25">
      <c r="B4268" s="3"/>
      <c r="C4268" s="4"/>
    </row>
    <row r="4269" spans="2:3" ht="14.25">
      <c r="B4269" s="3"/>
      <c r="C4269" s="4"/>
    </row>
    <row r="4270" spans="2:3" ht="14.25">
      <c r="B4270" s="3"/>
      <c r="C4270" s="4"/>
    </row>
    <row r="4271" spans="2:3" ht="14.25">
      <c r="B4271" s="3"/>
      <c r="C4271" s="4"/>
    </row>
    <row r="4272" spans="2:3" ht="14.25">
      <c r="B4272" s="3"/>
      <c r="C4272" s="4"/>
    </row>
    <row r="4273" spans="2:3" ht="14.25">
      <c r="B4273" s="3"/>
      <c r="C4273" s="4"/>
    </row>
    <row r="4274" spans="2:3" ht="14.25">
      <c r="B4274" s="3"/>
      <c r="C4274" s="4"/>
    </row>
    <row r="4275" spans="2:3" ht="14.25">
      <c r="B4275" s="3"/>
      <c r="C4275" s="4"/>
    </row>
    <row r="4276" spans="2:3" ht="14.25">
      <c r="B4276" s="3"/>
      <c r="C4276" s="4"/>
    </row>
    <row r="4277" spans="2:3" ht="14.25">
      <c r="B4277" s="3"/>
      <c r="C4277" s="4"/>
    </row>
    <row r="4278" spans="2:3" ht="14.25">
      <c r="B4278" s="3"/>
      <c r="C4278" s="4"/>
    </row>
    <row r="4279" spans="2:3" ht="14.25">
      <c r="B4279" s="3"/>
      <c r="C4279" s="4"/>
    </row>
    <row r="4280" spans="2:3" ht="14.25">
      <c r="B4280" s="3"/>
      <c r="C4280" s="4"/>
    </row>
    <row r="4281" spans="2:3" ht="14.25">
      <c r="B4281" s="3"/>
      <c r="C4281" s="4"/>
    </row>
    <row r="4282" spans="2:3" ht="14.25">
      <c r="B4282" s="3"/>
      <c r="C4282" s="4"/>
    </row>
    <row r="4283" spans="2:3" ht="14.25">
      <c r="B4283" s="3"/>
      <c r="C4283" s="4"/>
    </row>
    <row r="4284" spans="2:3" ht="14.25">
      <c r="B4284" s="3"/>
      <c r="C4284" s="4"/>
    </row>
    <row r="4285" spans="2:3" ht="14.25">
      <c r="B4285" s="3"/>
      <c r="C4285" s="4"/>
    </row>
    <row r="4286" spans="2:3" ht="14.25">
      <c r="B4286" s="3"/>
      <c r="C4286" s="4"/>
    </row>
    <row r="4287" spans="2:3" ht="14.25">
      <c r="B4287" s="3"/>
      <c r="C4287" s="4"/>
    </row>
    <row r="4288" spans="2:3" ht="14.25">
      <c r="B4288" s="3"/>
      <c r="C4288" s="4"/>
    </row>
    <row r="4289" spans="2:3" ht="14.25">
      <c r="B4289" s="3"/>
      <c r="C4289" s="4"/>
    </row>
    <row r="4290" spans="2:3" ht="14.25">
      <c r="B4290" s="3"/>
      <c r="C4290" s="4"/>
    </row>
    <row r="4291" spans="2:3" ht="14.25">
      <c r="B4291" s="3"/>
      <c r="C4291" s="4"/>
    </row>
    <row r="4292" spans="2:3" ht="14.25">
      <c r="B4292" s="3"/>
      <c r="C4292" s="4"/>
    </row>
    <row r="4293" spans="2:3" ht="14.25">
      <c r="B4293" s="3"/>
      <c r="C4293" s="4"/>
    </row>
    <row r="4294" spans="2:3" ht="14.25">
      <c r="B4294" s="3"/>
      <c r="C4294" s="4"/>
    </row>
    <row r="4295" spans="2:3" ht="14.25">
      <c r="B4295" s="3"/>
      <c r="C4295" s="4"/>
    </row>
    <row r="4296" spans="2:3" ht="14.25">
      <c r="B4296" s="3"/>
      <c r="C4296" s="4"/>
    </row>
    <row r="4297" spans="2:3" ht="14.25">
      <c r="B4297" s="3"/>
      <c r="C4297" s="4"/>
    </row>
    <row r="4298" spans="2:3" ht="14.25">
      <c r="B4298" s="3"/>
      <c r="C4298" s="4"/>
    </row>
    <row r="4299" spans="2:3" ht="14.25">
      <c r="B4299" s="3"/>
      <c r="C4299" s="4"/>
    </row>
    <row r="4300" spans="2:3" ht="14.25">
      <c r="B4300" s="3"/>
      <c r="C4300" s="4"/>
    </row>
    <row r="4301" spans="2:3" ht="14.25">
      <c r="B4301" s="3"/>
      <c r="C4301" s="4"/>
    </row>
    <row r="4302" spans="2:3" ht="14.25">
      <c r="B4302" s="3"/>
      <c r="C4302" s="4"/>
    </row>
    <row r="4303" spans="2:3" ht="14.25">
      <c r="B4303" s="3"/>
      <c r="C4303" s="4"/>
    </row>
    <row r="4304" spans="2:3" ht="14.25">
      <c r="B4304" s="3"/>
      <c r="C4304" s="4"/>
    </row>
    <row r="4305" spans="2:3" ht="14.25">
      <c r="B4305" s="3"/>
      <c r="C4305" s="4"/>
    </row>
    <row r="4306" spans="2:3" ht="14.25">
      <c r="B4306" s="3"/>
      <c r="C4306" s="4"/>
    </row>
    <row r="4307" spans="2:3" ht="14.25">
      <c r="B4307" s="3"/>
      <c r="C4307" s="4"/>
    </row>
    <row r="4308" spans="2:3" ht="14.25">
      <c r="B4308" s="3"/>
      <c r="C4308" s="4"/>
    </row>
    <row r="4309" spans="2:3" ht="14.25">
      <c r="B4309" s="3"/>
      <c r="C4309" s="4"/>
    </row>
    <row r="4310" spans="2:3" ht="14.25">
      <c r="B4310" s="3"/>
      <c r="C4310" s="4"/>
    </row>
    <row r="4311" spans="2:3" ht="14.25">
      <c r="B4311" s="3"/>
      <c r="C4311" s="4"/>
    </row>
    <row r="4312" spans="2:3" ht="14.25">
      <c r="B4312" s="3"/>
      <c r="C4312" s="4"/>
    </row>
    <row r="4313" spans="2:3" ht="14.25">
      <c r="B4313" s="3"/>
      <c r="C4313" s="4"/>
    </row>
    <row r="4314" spans="2:3" ht="14.25">
      <c r="B4314" s="3"/>
      <c r="C4314" s="4"/>
    </row>
    <row r="4315" spans="2:3" ht="14.25">
      <c r="B4315" s="3"/>
      <c r="C4315" s="4"/>
    </row>
    <row r="4316" spans="2:3" ht="14.25">
      <c r="B4316" s="3"/>
      <c r="C4316" s="4"/>
    </row>
    <row r="4317" spans="2:3" ht="14.25">
      <c r="B4317" s="3"/>
      <c r="C4317" s="4"/>
    </row>
    <row r="4318" spans="2:3" ht="14.25">
      <c r="B4318" s="3"/>
      <c r="C4318" s="4"/>
    </row>
    <row r="4319" spans="2:3" ht="14.25">
      <c r="B4319" s="3"/>
      <c r="C4319" s="4"/>
    </row>
    <row r="4320" spans="2:3" ht="14.25">
      <c r="B4320" s="3"/>
      <c r="C4320" s="4"/>
    </row>
    <row r="4321" spans="2:3" ht="14.25">
      <c r="B4321" s="3"/>
      <c r="C4321" s="4"/>
    </row>
    <row r="4322" spans="2:3" ht="14.25">
      <c r="B4322" s="3"/>
      <c r="C4322" s="4"/>
    </row>
    <row r="4323" spans="2:3" ht="14.25">
      <c r="B4323" s="3"/>
      <c r="C4323" s="4"/>
    </row>
    <row r="4324" spans="2:3" ht="14.25">
      <c r="B4324" s="3"/>
      <c r="C4324" s="4"/>
    </row>
    <row r="4325" spans="2:3" ht="14.25">
      <c r="B4325" s="3"/>
      <c r="C4325" s="4"/>
    </row>
    <row r="4326" spans="2:3" ht="14.25">
      <c r="B4326" s="3"/>
      <c r="C4326" s="4"/>
    </row>
    <row r="4327" spans="2:3" ht="14.25">
      <c r="B4327" s="3"/>
      <c r="C4327" s="4"/>
    </row>
    <row r="4328" spans="2:3" ht="14.25">
      <c r="B4328" s="3"/>
      <c r="C4328" s="4"/>
    </row>
    <row r="4329" spans="2:3" ht="14.25">
      <c r="B4329" s="3"/>
      <c r="C4329" s="4"/>
    </row>
    <row r="4330" spans="2:3" ht="14.25">
      <c r="B4330" s="3"/>
      <c r="C4330" s="4"/>
    </row>
    <row r="4331" spans="2:3" ht="14.25">
      <c r="B4331" s="3"/>
      <c r="C4331" s="4"/>
    </row>
    <row r="4332" spans="2:3" ht="14.25">
      <c r="B4332" s="3"/>
      <c r="C4332" s="4"/>
    </row>
    <row r="4333" spans="2:3" ht="14.25">
      <c r="B4333" s="3"/>
      <c r="C4333" s="4"/>
    </row>
    <row r="4334" spans="2:3" ht="14.25">
      <c r="B4334" s="3"/>
      <c r="C4334" s="4"/>
    </row>
    <row r="4335" spans="2:3" ht="14.25">
      <c r="B4335" s="3"/>
      <c r="C4335" s="4"/>
    </row>
    <row r="4336" spans="2:3" ht="14.25">
      <c r="B4336" s="3"/>
      <c r="C4336" s="4"/>
    </row>
    <row r="4337" spans="2:3" ht="14.25">
      <c r="B4337" s="3"/>
      <c r="C4337" s="4"/>
    </row>
    <row r="4338" spans="2:3" ht="14.25">
      <c r="B4338" s="3"/>
      <c r="C4338" s="4"/>
    </row>
    <row r="4339" spans="2:3" ht="14.25">
      <c r="B4339" s="3"/>
      <c r="C4339" s="4"/>
    </row>
    <row r="4340" spans="2:3" ht="14.25">
      <c r="B4340" s="3"/>
      <c r="C4340" s="4"/>
    </row>
    <row r="4341" spans="2:3" ht="14.25">
      <c r="B4341" s="3"/>
      <c r="C4341" s="4"/>
    </row>
    <row r="4342" spans="2:3" ht="14.25">
      <c r="B4342" s="3"/>
      <c r="C4342" s="4"/>
    </row>
    <row r="4343" spans="2:3" ht="14.25">
      <c r="B4343" s="3"/>
      <c r="C4343" s="4"/>
    </row>
    <row r="4344" spans="2:3" ht="14.25">
      <c r="B4344" s="3"/>
      <c r="C4344" s="4"/>
    </row>
    <row r="4345" spans="2:3" ht="14.25">
      <c r="B4345" s="3"/>
      <c r="C4345" s="4"/>
    </row>
    <row r="4346" spans="2:3" ht="14.25">
      <c r="B4346" s="3"/>
      <c r="C4346" s="4"/>
    </row>
    <row r="4347" spans="2:3" ht="14.25">
      <c r="B4347" s="3"/>
      <c r="C4347" s="4"/>
    </row>
    <row r="4348" spans="2:3" ht="14.25">
      <c r="B4348" s="3"/>
      <c r="C4348" s="4"/>
    </row>
    <row r="4349" spans="2:3" ht="14.25">
      <c r="B4349" s="3"/>
      <c r="C4349" s="4"/>
    </row>
    <row r="4350" spans="2:3" ht="14.25">
      <c r="B4350" s="3"/>
      <c r="C4350" s="4"/>
    </row>
    <row r="4351" spans="2:3" ht="14.25">
      <c r="B4351" s="3"/>
      <c r="C4351" s="4"/>
    </row>
    <row r="4352" spans="2:3" ht="14.25">
      <c r="B4352" s="3"/>
      <c r="C4352" s="4"/>
    </row>
    <row r="4353" spans="2:3" ht="14.25">
      <c r="B4353" s="3"/>
      <c r="C4353" s="4"/>
    </row>
    <row r="4354" spans="2:3" ht="14.25">
      <c r="B4354" s="3"/>
      <c r="C4354" s="4"/>
    </row>
    <row r="4355" spans="2:3" ht="14.25">
      <c r="B4355" s="3"/>
      <c r="C4355" s="4"/>
    </row>
    <row r="4356" spans="2:3" ht="14.25">
      <c r="B4356" s="3"/>
      <c r="C4356" s="4"/>
    </row>
    <row r="4357" spans="2:3" ht="14.25">
      <c r="B4357" s="3"/>
      <c r="C4357" s="4"/>
    </row>
    <row r="4358" spans="2:3" ht="14.25">
      <c r="B4358" s="3"/>
      <c r="C4358" s="4"/>
    </row>
    <row r="4359" spans="2:3" ht="14.25">
      <c r="B4359" s="3"/>
      <c r="C4359" s="4"/>
    </row>
    <row r="4360" spans="2:3" ht="14.25">
      <c r="B4360" s="3"/>
      <c r="C4360" s="4"/>
    </row>
    <row r="4361" spans="2:3" ht="14.25">
      <c r="B4361" s="3"/>
      <c r="C4361" s="4"/>
    </row>
    <row r="4362" spans="2:3" ht="14.25">
      <c r="B4362" s="3"/>
      <c r="C4362" s="4"/>
    </row>
    <row r="4363" spans="2:3" ht="14.25">
      <c r="B4363" s="3"/>
      <c r="C4363" s="4"/>
    </row>
    <row r="4364" spans="2:3" ht="14.25">
      <c r="B4364" s="3"/>
      <c r="C4364" s="4"/>
    </row>
    <row r="4365" spans="2:3" ht="14.25">
      <c r="B4365" s="3"/>
      <c r="C4365" s="4"/>
    </row>
    <row r="4366" spans="2:3" ht="14.25">
      <c r="B4366" s="3"/>
      <c r="C4366" s="4"/>
    </row>
    <row r="4367" spans="2:3" ht="14.25">
      <c r="B4367" s="3"/>
      <c r="C4367" s="4"/>
    </row>
    <row r="4368" spans="2:3" ht="14.25">
      <c r="B4368" s="3"/>
      <c r="C4368" s="4"/>
    </row>
    <row r="4369" spans="2:3" ht="14.25">
      <c r="B4369" s="3"/>
      <c r="C4369" s="4"/>
    </row>
    <row r="4370" spans="2:3" ht="14.25">
      <c r="B4370" s="3"/>
      <c r="C4370" s="4"/>
    </row>
    <row r="4371" spans="2:3" ht="14.25">
      <c r="B4371" s="3"/>
      <c r="C4371" s="4"/>
    </row>
    <row r="4372" spans="2:3" ht="14.25">
      <c r="B4372" s="3"/>
      <c r="C4372" s="4"/>
    </row>
    <row r="4373" spans="2:3" ht="14.25">
      <c r="B4373" s="3"/>
      <c r="C4373" s="4"/>
    </row>
    <row r="4374" spans="2:3" ht="14.25">
      <c r="B4374" s="3"/>
      <c r="C4374" s="4"/>
    </row>
    <row r="4375" spans="2:3" ht="14.25">
      <c r="B4375" s="3"/>
      <c r="C4375" s="4"/>
    </row>
    <row r="4376" spans="2:3" ht="14.25">
      <c r="B4376" s="3"/>
      <c r="C4376" s="4"/>
    </row>
    <row r="4377" spans="2:3" ht="14.25">
      <c r="B4377" s="3"/>
      <c r="C4377" s="4"/>
    </row>
    <row r="4378" spans="2:3" ht="14.25">
      <c r="B4378" s="3"/>
      <c r="C4378" s="4"/>
    </row>
    <row r="4379" spans="2:3" ht="14.25">
      <c r="B4379" s="3"/>
      <c r="C4379" s="4"/>
    </row>
    <row r="4380" spans="2:3" ht="14.25">
      <c r="B4380" s="3"/>
      <c r="C4380" s="4"/>
    </row>
    <row r="4381" spans="2:3" ht="14.25">
      <c r="B4381" s="3"/>
      <c r="C4381" s="4"/>
    </row>
    <row r="4382" spans="2:3" ht="14.25">
      <c r="B4382" s="3"/>
      <c r="C4382" s="4"/>
    </row>
    <row r="4383" spans="2:3" ht="14.25">
      <c r="B4383" s="3"/>
      <c r="C4383" s="4"/>
    </row>
    <row r="4384" spans="2:3" ht="14.25">
      <c r="B4384" s="3"/>
      <c r="C4384" s="4"/>
    </row>
    <row r="4385" spans="2:3" ht="14.25">
      <c r="B4385" s="3"/>
      <c r="C4385" s="4"/>
    </row>
    <row r="4386" spans="2:3" ht="14.25">
      <c r="B4386" s="3"/>
      <c r="C4386" s="4"/>
    </row>
    <row r="4387" spans="2:3" ht="14.25">
      <c r="B4387" s="3"/>
      <c r="C4387" s="4"/>
    </row>
    <row r="4388" spans="2:3" ht="14.25">
      <c r="B4388" s="3"/>
      <c r="C4388" s="4"/>
    </row>
    <row r="4389" spans="2:3" ht="14.25">
      <c r="B4389" s="3"/>
      <c r="C4389" s="4"/>
    </row>
    <row r="4390" spans="2:3" ht="14.25">
      <c r="B4390" s="3"/>
      <c r="C4390" s="4"/>
    </row>
    <row r="4391" spans="2:3" ht="14.25">
      <c r="B4391" s="3"/>
      <c r="C4391" s="4"/>
    </row>
    <row r="4392" spans="2:3" ht="14.25">
      <c r="B4392" s="3"/>
      <c r="C4392" s="4"/>
    </row>
    <row r="4393" spans="2:3" ht="14.25">
      <c r="B4393" s="3"/>
      <c r="C4393" s="4"/>
    </row>
    <row r="4394" spans="2:3" ht="14.25">
      <c r="B4394" s="3"/>
      <c r="C4394" s="4"/>
    </row>
    <row r="4395" spans="2:3" ht="14.25">
      <c r="B4395" s="3"/>
      <c r="C4395" s="4"/>
    </row>
    <row r="4396" spans="2:3" ht="14.25">
      <c r="B4396" s="3"/>
      <c r="C4396" s="4"/>
    </row>
    <row r="4397" spans="2:3" ht="14.25">
      <c r="B4397" s="3"/>
      <c r="C4397" s="4"/>
    </row>
    <row r="4398" spans="2:3" ht="14.25">
      <c r="B4398" s="3"/>
      <c r="C4398" s="4"/>
    </row>
    <row r="4399" spans="2:3" ht="14.25">
      <c r="B4399" s="3"/>
      <c r="C4399" s="4"/>
    </row>
    <row r="4400" spans="2:3" ht="14.25">
      <c r="B4400" s="3"/>
      <c r="C4400" s="4"/>
    </row>
    <row r="4401" spans="2:3" ht="14.25">
      <c r="B4401" s="3"/>
      <c r="C4401" s="4"/>
    </row>
    <row r="4402" spans="2:3" ht="14.25">
      <c r="B4402" s="3"/>
      <c r="C4402" s="4"/>
    </row>
    <row r="4403" spans="2:3" ht="14.25">
      <c r="B4403" s="3"/>
      <c r="C4403" s="4"/>
    </row>
    <row r="4404" spans="2:3" ht="14.25">
      <c r="B4404" s="3"/>
      <c r="C4404" s="4"/>
    </row>
    <row r="4405" spans="2:3" ht="14.25">
      <c r="B4405" s="3"/>
      <c r="C4405" s="4"/>
    </row>
    <row r="4406" spans="2:3" ht="14.25">
      <c r="B4406" s="3"/>
      <c r="C4406" s="4"/>
    </row>
    <row r="4407" spans="2:3" ht="14.25">
      <c r="B4407" s="3"/>
      <c r="C4407" s="4"/>
    </row>
    <row r="4408" spans="2:3" ht="14.25">
      <c r="B4408" s="3"/>
      <c r="C4408" s="4"/>
    </row>
    <row r="4409" spans="2:3" ht="14.25">
      <c r="B4409" s="3"/>
      <c r="C4409" s="4"/>
    </row>
    <row r="4410" spans="2:3" ht="14.25">
      <c r="B4410" s="3"/>
      <c r="C4410" s="4"/>
    </row>
    <row r="4411" spans="2:3" ht="14.25">
      <c r="B4411" s="3"/>
      <c r="C4411" s="4"/>
    </row>
    <row r="4412" spans="2:3" ht="14.25">
      <c r="B4412" s="3"/>
      <c r="C4412" s="4"/>
    </row>
    <row r="4413" spans="2:3" ht="14.25">
      <c r="B4413" s="3"/>
      <c r="C4413" s="4"/>
    </row>
    <row r="4414" spans="2:3" ht="14.25">
      <c r="B4414" s="3"/>
      <c r="C4414" s="4"/>
    </row>
    <row r="4415" spans="2:3" ht="14.25">
      <c r="B4415" s="3"/>
      <c r="C4415" s="4"/>
    </row>
    <row r="4416" spans="2:3" ht="14.25">
      <c r="B4416" s="3"/>
      <c r="C4416" s="4"/>
    </row>
    <row r="4417" spans="2:3" ht="14.25">
      <c r="B4417" s="3"/>
      <c r="C4417" s="4"/>
    </row>
    <row r="4418" spans="2:3" ht="14.25">
      <c r="B4418" s="3"/>
      <c r="C4418" s="4"/>
    </row>
    <row r="4419" spans="2:3" ht="14.25">
      <c r="B4419" s="3"/>
      <c r="C4419" s="4"/>
    </row>
    <row r="4420" spans="2:3" ht="14.25">
      <c r="B4420" s="3"/>
      <c r="C4420" s="4"/>
    </row>
    <row r="4421" spans="2:3" ht="14.25">
      <c r="B4421" s="3"/>
      <c r="C4421" s="4"/>
    </row>
    <row r="4422" spans="2:3" ht="14.25">
      <c r="B4422" s="3"/>
      <c r="C4422" s="4"/>
    </row>
    <row r="4423" spans="2:3" ht="14.25">
      <c r="B4423" s="3"/>
      <c r="C4423" s="4"/>
    </row>
    <row r="4424" spans="2:3" ht="14.25">
      <c r="B4424" s="3"/>
      <c r="C4424" s="4"/>
    </row>
    <row r="4425" spans="2:3" ht="14.25">
      <c r="B4425" s="3"/>
      <c r="C4425" s="4"/>
    </row>
    <row r="4426" spans="2:3" ht="14.25">
      <c r="B4426" s="3"/>
      <c r="C4426" s="4"/>
    </row>
    <row r="4427" spans="2:3" ht="14.25">
      <c r="B4427" s="3"/>
      <c r="C4427" s="4"/>
    </row>
    <row r="4428" spans="2:3" ht="14.25">
      <c r="B4428" s="3"/>
      <c r="C4428" s="4"/>
    </row>
    <row r="4429" spans="2:3" ht="14.25">
      <c r="B4429" s="3"/>
      <c r="C4429" s="4"/>
    </row>
    <row r="4430" spans="2:3" ht="14.25">
      <c r="B4430" s="3"/>
      <c r="C4430" s="4"/>
    </row>
    <row r="4431" spans="2:3" ht="14.25">
      <c r="B4431" s="3"/>
      <c r="C4431" s="4"/>
    </row>
    <row r="4432" spans="2:3" ht="14.25">
      <c r="B4432" s="3"/>
      <c r="C4432" s="4"/>
    </row>
    <row r="4433" spans="2:3" ht="14.25">
      <c r="B4433" s="3"/>
      <c r="C4433" s="4"/>
    </row>
    <row r="4434" spans="2:3" ht="14.25">
      <c r="B4434" s="3"/>
      <c r="C4434" s="4"/>
    </row>
    <row r="4435" spans="2:3" ht="14.25">
      <c r="B4435" s="3"/>
      <c r="C4435" s="4"/>
    </row>
    <row r="4436" spans="2:3" ht="14.25">
      <c r="B4436" s="3"/>
      <c r="C4436" s="4"/>
    </row>
    <row r="4437" spans="2:3" ht="14.25">
      <c r="B4437" s="3"/>
      <c r="C4437" s="4"/>
    </row>
    <row r="4438" spans="2:3" ht="14.25">
      <c r="B4438" s="3"/>
      <c r="C4438" s="4"/>
    </row>
    <row r="4439" spans="2:3" ht="14.25">
      <c r="B4439" s="3"/>
      <c r="C4439" s="4"/>
    </row>
    <row r="4440" spans="2:3" ht="14.25">
      <c r="B4440" s="3"/>
      <c r="C4440" s="4"/>
    </row>
    <row r="4441" spans="2:3" ht="14.25">
      <c r="B4441" s="3"/>
      <c r="C4441" s="4"/>
    </row>
    <row r="4442" spans="2:3" ht="14.25">
      <c r="B4442" s="3"/>
      <c r="C4442" s="4"/>
    </row>
    <row r="4443" spans="2:3" ht="14.25">
      <c r="B4443" s="3"/>
      <c r="C4443" s="4"/>
    </row>
    <row r="4444" spans="2:3" ht="14.25">
      <c r="B4444" s="3"/>
      <c r="C4444" s="4"/>
    </row>
    <row r="4445" spans="2:3" ht="14.25">
      <c r="B4445" s="3"/>
      <c r="C4445" s="4"/>
    </row>
    <row r="4446" spans="2:3" ht="14.25">
      <c r="B4446" s="3"/>
      <c r="C4446" s="4"/>
    </row>
    <row r="4447" spans="2:3" ht="14.25">
      <c r="B4447" s="3"/>
      <c r="C4447" s="4"/>
    </row>
    <row r="4448" spans="2:3" ht="14.25">
      <c r="B4448" s="3"/>
      <c r="C4448" s="4"/>
    </row>
    <row r="4449" spans="2:3" ht="14.25">
      <c r="B4449" s="3"/>
      <c r="C4449" s="4"/>
    </row>
    <row r="4450" spans="2:3" ht="14.25">
      <c r="B4450" s="3"/>
      <c r="C4450" s="4"/>
    </row>
    <row r="4451" spans="2:3" ht="14.25">
      <c r="B4451" s="3"/>
      <c r="C4451" s="4"/>
    </row>
    <row r="4452" spans="2:3" ht="14.25">
      <c r="B4452" s="3"/>
      <c r="C4452" s="4"/>
    </row>
    <row r="4453" spans="2:3" ht="14.25">
      <c r="B4453" s="3"/>
      <c r="C4453" s="4"/>
    </row>
    <row r="4454" spans="2:3" ht="14.25">
      <c r="B4454" s="3"/>
      <c r="C4454" s="4"/>
    </row>
    <row r="4455" spans="2:3" ht="14.25">
      <c r="B4455" s="3"/>
      <c r="C4455" s="4"/>
    </row>
    <row r="4456" spans="2:3" ht="14.25">
      <c r="B4456" s="3"/>
      <c r="C4456" s="4"/>
    </row>
    <row r="4457" spans="2:3" ht="14.25">
      <c r="B4457" s="3"/>
      <c r="C4457" s="4"/>
    </row>
    <row r="4458" spans="2:3" ht="14.25">
      <c r="B4458" s="3"/>
      <c r="C4458" s="4"/>
    </row>
    <row r="4459" spans="2:3" ht="14.25">
      <c r="B4459" s="3"/>
      <c r="C4459" s="4"/>
    </row>
    <row r="4460" spans="2:3" ht="14.25">
      <c r="B4460" s="3"/>
      <c r="C4460" s="4"/>
    </row>
    <row r="4461" spans="2:3" ht="14.25">
      <c r="B4461" s="3"/>
      <c r="C4461" s="4"/>
    </row>
    <row r="4462" spans="2:3" ht="14.25">
      <c r="B4462" s="3"/>
      <c r="C4462" s="4"/>
    </row>
    <row r="4463" spans="2:3" ht="14.25">
      <c r="B4463" s="3"/>
      <c r="C4463" s="4"/>
    </row>
    <row r="4464" spans="2:3" ht="14.25">
      <c r="B4464" s="3"/>
      <c r="C4464" s="4"/>
    </row>
    <row r="4465" spans="2:3" ht="14.25">
      <c r="B4465" s="3"/>
      <c r="C4465" s="4"/>
    </row>
    <row r="4466" spans="2:3" ht="14.25">
      <c r="B4466" s="3"/>
      <c r="C4466" s="4"/>
    </row>
    <row r="4467" spans="2:3" ht="14.25">
      <c r="B4467" s="3"/>
      <c r="C4467" s="4"/>
    </row>
    <row r="4468" spans="2:3" ht="14.25">
      <c r="B4468" s="3"/>
      <c r="C4468" s="4"/>
    </row>
    <row r="4469" spans="2:3" ht="14.25">
      <c r="B4469" s="3"/>
      <c r="C4469" s="4"/>
    </row>
    <row r="4470" spans="2:3" ht="14.25">
      <c r="B4470" s="3"/>
      <c r="C4470" s="4"/>
    </row>
    <row r="4471" spans="2:3" ht="14.25">
      <c r="B4471" s="3"/>
      <c r="C4471" s="4"/>
    </row>
    <row r="4472" spans="2:3" ht="14.25">
      <c r="B4472" s="3"/>
      <c r="C4472" s="4"/>
    </row>
    <row r="4473" spans="2:3" ht="14.25">
      <c r="B4473" s="3"/>
      <c r="C4473" s="4"/>
    </row>
    <row r="4474" spans="2:3" ht="14.25">
      <c r="B4474" s="3"/>
      <c r="C4474" s="4"/>
    </row>
    <row r="4475" spans="2:3" ht="14.25">
      <c r="B4475" s="3"/>
      <c r="C4475" s="4"/>
    </row>
    <row r="4476" spans="2:3" ht="14.25">
      <c r="B4476" s="3"/>
      <c r="C4476" s="4"/>
    </row>
    <row r="4477" spans="2:3" ht="14.25">
      <c r="B4477" s="3"/>
      <c r="C4477" s="4"/>
    </row>
    <row r="4478" spans="2:3" ht="14.25">
      <c r="B4478" s="3"/>
      <c r="C4478" s="4"/>
    </row>
    <row r="4479" spans="2:3" ht="14.25">
      <c r="B4479" s="3"/>
      <c r="C4479" s="4"/>
    </row>
    <row r="4480" spans="2:3" ht="14.25">
      <c r="B4480" s="3"/>
      <c r="C4480" s="4"/>
    </row>
    <row r="4481" spans="2:3" ht="14.25">
      <c r="B4481" s="3"/>
      <c r="C4481" s="4"/>
    </row>
    <row r="4482" spans="2:3" ht="14.25">
      <c r="B4482" s="3"/>
      <c r="C4482" s="4"/>
    </row>
    <row r="4483" spans="2:3" ht="14.25">
      <c r="B4483" s="3"/>
      <c r="C4483" s="4"/>
    </row>
    <row r="4484" spans="2:3" ht="14.25">
      <c r="B4484" s="3"/>
      <c r="C4484" s="4"/>
    </row>
    <row r="4485" spans="2:3" ht="14.25">
      <c r="B4485" s="3"/>
      <c r="C4485" s="4"/>
    </row>
    <row r="4486" spans="2:3" ht="14.25">
      <c r="B4486" s="3"/>
      <c r="C4486" s="4"/>
    </row>
    <row r="4487" spans="2:3" ht="14.25">
      <c r="B4487" s="3"/>
      <c r="C4487" s="4"/>
    </row>
    <row r="4488" spans="2:3" ht="14.25">
      <c r="B4488" s="3"/>
      <c r="C4488" s="4"/>
    </row>
    <row r="4489" spans="2:3" ht="14.25">
      <c r="B4489" s="3"/>
      <c r="C4489" s="4"/>
    </row>
    <row r="4490" spans="2:3" ht="14.25">
      <c r="B4490" s="3"/>
      <c r="C4490" s="4"/>
    </row>
    <row r="4491" spans="2:3" ht="14.25">
      <c r="B4491" s="3"/>
      <c r="C4491" s="4"/>
    </row>
    <row r="4492" spans="2:3" ht="14.25">
      <c r="B4492" s="3"/>
      <c r="C4492" s="4"/>
    </row>
    <row r="4493" spans="2:3" ht="14.25">
      <c r="B4493" s="3"/>
      <c r="C4493" s="4"/>
    </row>
    <row r="4494" spans="2:3" ht="14.25">
      <c r="B4494" s="3"/>
      <c r="C4494" s="4"/>
    </row>
    <row r="4495" spans="2:3" ht="14.25">
      <c r="B4495" s="3"/>
      <c r="C4495" s="4"/>
    </row>
    <row r="4496" spans="2:3" ht="14.25">
      <c r="B4496" s="3"/>
      <c r="C4496" s="4"/>
    </row>
    <row r="4497" spans="2:3" ht="14.25">
      <c r="B4497" s="3"/>
      <c r="C4497" s="4"/>
    </row>
    <row r="4498" spans="2:3" ht="14.25">
      <c r="B4498" s="3"/>
      <c r="C4498" s="4"/>
    </row>
    <row r="4499" spans="2:3" ht="14.25">
      <c r="B4499" s="3"/>
      <c r="C4499" s="4"/>
    </row>
    <row r="4500" spans="2:3" ht="14.25">
      <c r="B4500" s="3"/>
      <c r="C4500" s="4"/>
    </row>
    <row r="4501" spans="2:3" ht="14.25">
      <c r="B4501" s="3"/>
      <c r="C4501" s="4"/>
    </row>
    <row r="4502" spans="2:3" ht="14.25">
      <c r="B4502" s="3"/>
      <c r="C4502" s="4"/>
    </row>
    <row r="4503" spans="2:3" ht="14.25">
      <c r="B4503" s="3"/>
      <c r="C4503" s="4"/>
    </row>
    <row r="4504" spans="2:3" ht="14.25">
      <c r="B4504" s="3"/>
      <c r="C4504" s="4"/>
    </row>
    <row r="4505" spans="2:3" ht="14.25">
      <c r="B4505" s="3"/>
      <c r="C4505" s="4"/>
    </row>
    <row r="4506" spans="2:3" ht="14.25">
      <c r="B4506" s="3"/>
      <c r="C4506" s="4"/>
    </row>
    <row r="4507" spans="2:3" ht="14.25">
      <c r="B4507" s="3"/>
      <c r="C4507" s="4"/>
    </row>
    <row r="4508" spans="2:3" ht="14.25">
      <c r="B4508" s="3"/>
      <c r="C4508" s="4"/>
    </row>
    <row r="4509" spans="2:3" ht="14.25">
      <c r="B4509" s="3"/>
      <c r="C4509" s="4"/>
    </row>
    <row r="4510" spans="2:3" ht="14.25">
      <c r="B4510" s="3"/>
      <c r="C4510" s="4"/>
    </row>
    <row r="4511" spans="2:3" ht="14.25">
      <c r="B4511" s="3"/>
      <c r="C4511" s="4"/>
    </row>
    <row r="4512" spans="2:3" ht="14.25">
      <c r="B4512" s="3"/>
      <c r="C4512" s="4"/>
    </row>
    <row r="4513" spans="2:3" ht="14.25">
      <c r="B4513" s="3"/>
      <c r="C4513" s="4"/>
    </row>
    <row r="4514" spans="2:3" ht="14.25">
      <c r="B4514" s="3"/>
      <c r="C4514" s="4"/>
    </row>
    <row r="4515" spans="2:3" ht="14.25">
      <c r="B4515" s="3"/>
      <c r="C4515" s="4"/>
    </row>
    <row r="4516" spans="2:3" ht="14.25">
      <c r="B4516" s="3"/>
      <c r="C4516" s="4"/>
    </row>
    <row r="4517" spans="2:3" ht="14.25">
      <c r="B4517" s="3"/>
      <c r="C4517" s="4"/>
    </row>
    <row r="4518" spans="2:3" ht="14.25">
      <c r="B4518" s="3"/>
      <c r="C4518" s="4"/>
    </row>
    <row r="4519" spans="2:3" ht="14.25">
      <c r="B4519" s="3"/>
      <c r="C4519" s="4"/>
    </row>
    <row r="4520" spans="2:3" ht="14.25">
      <c r="B4520" s="3"/>
      <c r="C4520" s="4"/>
    </row>
    <row r="4521" spans="2:3" ht="14.25">
      <c r="B4521" s="3"/>
      <c r="C4521" s="4"/>
    </row>
    <row r="4522" spans="2:3" ht="14.25">
      <c r="B4522" s="3"/>
      <c r="C4522" s="4"/>
    </row>
    <row r="4523" spans="2:3" ht="14.25">
      <c r="B4523" s="3"/>
      <c r="C4523" s="4"/>
    </row>
    <row r="4524" spans="2:3" ht="14.25">
      <c r="B4524" s="3"/>
      <c r="C4524" s="4"/>
    </row>
    <row r="4525" spans="2:3" ht="14.25">
      <c r="B4525" s="3"/>
      <c r="C4525" s="4"/>
    </row>
    <row r="4526" spans="2:3" ht="14.25">
      <c r="B4526" s="3"/>
      <c r="C4526" s="4"/>
    </row>
    <row r="4527" spans="2:3" ht="14.25">
      <c r="B4527" s="3"/>
      <c r="C4527" s="4"/>
    </row>
    <row r="4528" spans="2:3" ht="14.25">
      <c r="B4528" s="3"/>
      <c r="C4528" s="4"/>
    </row>
    <row r="4529" spans="2:3" ht="14.25">
      <c r="B4529" s="3"/>
      <c r="C4529" s="4"/>
    </row>
    <row r="4530" spans="2:3" ht="14.25">
      <c r="B4530" s="3"/>
      <c r="C4530" s="4"/>
    </row>
    <row r="4531" spans="2:3" ht="14.25">
      <c r="B4531" s="3"/>
      <c r="C4531" s="4"/>
    </row>
    <row r="4532" spans="2:3" ht="14.25">
      <c r="B4532" s="3"/>
      <c r="C4532" s="4"/>
    </row>
    <row r="4533" spans="2:3" ht="14.25">
      <c r="B4533" s="3"/>
      <c r="C4533" s="4"/>
    </row>
    <row r="4534" spans="2:3" ht="14.25">
      <c r="B4534" s="3"/>
      <c r="C4534" s="4"/>
    </row>
    <row r="4535" spans="2:3" ht="14.25">
      <c r="B4535" s="3"/>
      <c r="C4535" s="4"/>
    </row>
    <row r="4536" spans="2:3" ht="14.25">
      <c r="B4536" s="3"/>
      <c r="C4536" s="4"/>
    </row>
    <row r="4537" spans="2:3" ht="14.25">
      <c r="B4537" s="3"/>
      <c r="C4537" s="4"/>
    </row>
    <row r="4538" spans="2:3" ht="14.25">
      <c r="B4538" s="3"/>
      <c r="C4538" s="4"/>
    </row>
    <row r="4539" spans="2:3" ht="14.25">
      <c r="B4539" s="3"/>
      <c r="C4539" s="4"/>
    </row>
    <row r="4540" spans="2:3" ht="14.25">
      <c r="B4540" s="3"/>
      <c r="C4540" s="4"/>
    </row>
    <row r="4541" spans="2:3" ht="14.25">
      <c r="B4541" s="3"/>
      <c r="C4541" s="4"/>
    </row>
    <row r="4542" spans="2:3" ht="14.25">
      <c r="B4542" s="3"/>
      <c r="C4542" s="4"/>
    </row>
    <row r="4543" spans="2:3" ht="14.25">
      <c r="B4543" s="3"/>
      <c r="C4543" s="4"/>
    </row>
    <row r="4544" spans="2:3" ht="14.25">
      <c r="B4544" s="3"/>
      <c r="C4544" s="4"/>
    </row>
    <row r="4545" spans="2:3" ht="14.25">
      <c r="B4545" s="3"/>
      <c r="C4545" s="4"/>
    </row>
    <row r="4546" spans="2:3" ht="14.25">
      <c r="B4546" s="3"/>
      <c r="C4546" s="4"/>
    </row>
    <row r="4547" spans="2:3" ht="14.25">
      <c r="B4547" s="3"/>
      <c r="C4547" s="4"/>
    </row>
    <row r="4548" spans="2:3" ht="14.25">
      <c r="B4548" s="3"/>
      <c r="C4548" s="4"/>
    </row>
    <row r="4549" spans="2:3" ht="14.25">
      <c r="B4549" s="3"/>
      <c r="C4549" s="4"/>
    </row>
    <row r="4550" spans="2:3" ht="14.25">
      <c r="B4550" s="3"/>
      <c r="C4550" s="4"/>
    </row>
    <row r="4551" spans="2:3" ht="14.25">
      <c r="B4551" s="3"/>
      <c r="C4551" s="4"/>
    </row>
    <row r="4552" spans="2:3" ht="14.25">
      <c r="B4552" s="3"/>
      <c r="C4552" s="4"/>
    </row>
    <row r="4553" spans="2:3" ht="14.25">
      <c r="B4553" s="3"/>
      <c r="C4553" s="4"/>
    </row>
    <row r="4554" spans="2:3" ht="14.25">
      <c r="B4554" s="3"/>
      <c r="C4554" s="4"/>
    </row>
    <row r="4555" spans="2:3" ht="14.25">
      <c r="B4555" s="3"/>
      <c r="C4555" s="4"/>
    </row>
    <row r="4556" spans="2:3" ht="14.25">
      <c r="B4556" s="3"/>
      <c r="C4556" s="4"/>
    </row>
    <row r="4557" spans="2:3" ht="14.25">
      <c r="B4557" s="3"/>
      <c r="C4557" s="4"/>
    </row>
    <row r="4558" spans="2:3" ht="14.25">
      <c r="B4558" s="3"/>
      <c r="C4558" s="4"/>
    </row>
    <row r="4559" spans="2:3" ht="14.25">
      <c r="B4559" s="3"/>
      <c r="C4559" s="4"/>
    </row>
    <row r="4560" spans="2:3" ht="14.25">
      <c r="B4560" s="3"/>
      <c r="C4560" s="4"/>
    </row>
    <row r="4561" spans="2:3" ht="14.25">
      <c r="B4561" s="3"/>
      <c r="C4561" s="4"/>
    </row>
    <row r="4562" spans="2:3" ht="14.25">
      <c r="B4562" s="3"/>
      <c r="C4562" s="4"/>
    </row>
    <row r="4563" spans="2:3" ht="14.25">
      <c r="B4563" s="3"/>
      <c r="C4563" s="4"/>
    </row>
    <row r="4564" spans="2:3" ht="14.25">
      <c r="B4564" s="3"/>
      <c r="C4564" s="4"/>
    </row>
    <row r="4565" spans="2:3" ht="14.25">
      <c r="B4565" s="3"/>
      <c r="C4565" s="4"/>
    </row>
    <row r="4566" spans="2:3" ht="14.25">
      <c r="B4566" s="3"/>
      <c r="C4566" s="4"/>
    </row>
    <row r="4567" spans="2:3" ht="14.25">
      <c r="B4567" s="3"/>
      <c r="C4567" s="4"/>
    </row>
    <row r="4568" spans="2:3" ht="14.25">
      <c r="B4568" s="3"/>
      <c r="C4568" s="4"/>
    </row>
    <row r="4569" spans="2:3" ht="14.25">
      <c r="B4569" s="3"/>
      <c r="C4569" s="4"/>
    </row>
    <row r="4570" spans="2:3" ht="14.25">
      <c r="B4570" s="3"/>
      <c r="C4570" s="4"/>
    </row>
    <row r="4571" spans="2:3" ht="14.25">
      <c r="B4571" s="3"/>
      <c r="C4571" s="4"/>
    </row>
    <row r="4572" spans="2:3" ht="14.25">
      <c r="B4572" s="3"/>
      <c r="C4572" s="4"/>
    </row>
    <row r="4573" spans="2:3" ht="14.25">
      <c r="B4573" s="3"/>
      <c r="C4573" s="4"/>
    </row>
    <row r="4574" spans="2:3" ht="14.25">
      <c r="B4574" s="3"/>
      <c r="C4574" s="4"/>
    </row>
    <row r="4575" spans="2:3" ht="14.25">
      <c r="B4575" s="3"/>
      <c r="C4575" s="4"/>
    </row>
    <row r="4576" spans="2:3" ht="14.25">
      <c r="B4576" s="3"/>
      <c r="C4576" s="4"/>
    </row>
    <row r="4577" spans="2:3" ht="14.25">
      <c r="B4577" s="3"/>
      <c r="C4577" s="4"/>
    </row>
    <row r="4578" spans="2:3" ht="14.25">
      <c r="B4578" s="3"/>
      <c r="C4578" s="4"/>
    </row>
    <row r="4579" spans="2:3" ht="14.25">
      <c r="B4579" s="3"/>
      <c r="C4579" s="4"/>
    </row>
    <row r="4580" spans="2:3" ht="14.25">
      <c r="B4580" s="3"/>
      <c r="C4580" s="4"/>
    </row>
    <row r="4581" spans="2:3" ht="14.25">
      <c r="B4581" s="3"/>
      <c r="C4581" s="4"/>
    </row>
    <row r="4582" spans="2:3" ht="14.25">
      <c r="B4582" s="3"/>
      <c r="C4582" s="4"/>
    </row>
    <row r="4583" spans="2:3" ht="14.25">
      <c r="B4583" s="3"/>
      <c r="C4583" s="4"/>
    </row>
    <row r="4584" spans="2:3" ht="14.25">
      <c r="B4584" s="3"/>
      <c r="C4584" s="4"/>
    </row>
    <row r="4585" spans="2:3" ht="14.25">
      <c r="B4585" s="3"/>
      <c r="C4585" s="4"/>
    </row>
    <row r="4586" spans="2:3" ht="14.25">
      <c r="B4586" s="3"/>
      <c r="C4586" s="4"/>
    </row>
    <row r="4587" spans="2:3" ht="14.25">
      <c r="B4587" s="3"/>
      <c r="C4587" s="4"/>
    </row>
    <row r="4588" spans="2:3" ht="14.25">
      <c r="B4588" s="3"/>
      <c r="C4588" s="4"/>
    </row>
    <row r="4589" spans="2:3" ht="14.25">
      <c r="B4589" s="3"/>
      <c r="C4589" s="4"/>
    </row>
    <row r="4590" spans="2:3" ht="14.25">
      <c r="B4590" s="3"/>
      <c r="C4590" s="4"/>
    </row>
    <row r="4591" spans="2:3" ht="14.25">
      <c r="B4591" s="3"/>
      <c r="C4591" s="4"/>
    </row>
    <row r="4592" spans="2:3" ht="14.25">
      <c r="B4592" s="3"/>
      <c r="C4592" s="4"/>
    </row>
    <row r="4593" spans="2:3" ht="14.25">
      <c r="B4593" s="3"/>
      <c r="C4593" s="4"/>
    </row>
    <row r="4594" spans="2:3" ht="14.25">
      <c r="B4594" s="3"/>
      <c r="C4594" s="4"/>
    </row>
    <row r="4595" spans="2:3" ht="14.25">
      <c r="B4595" s="3"/>
      <c r="C4595" s="4"/>
    </row>
    <row r="4596" spans="2:3" ht="14.25">
      <c r="B4596" s="3"/>
      <c r="C4596" s="4"/>
    </row>
    <row r="4597" spans="2:3" ht="14.25">
      <c r="B4597" s="3"/>
      <c r="C4597" s="4"/>
    </row>
    <row r="4598" spans="2:3" ht="14.25">
      <c r="B4598" s="3"/>
      <c r="C4598" s="4"/>
    </row>
    <row r="4599" spans="2:3" ht="14.25">
      <c r="B4599" s="3"/>
      <c r="C4599" s="4"/>
    </row>
    <row r="4600" spans="2:3" ht="14.25">
      <c r="B4600" s="3"/>
      <c r="C4600" s="4"/>
    </row>
    <row r="4601" spans="2:3" ht="14.25">
      <c r="B4601" s="3"/>
      <c r="C4601" s="4"/>
    </row>
    <row r="4602" spans="2:3" ht="14.25">
      <c r="B4602" s="3"/>
      <c r="C4602" s="4"/>
    </row>
    <row r="4603" spans="2:3" ht="14.25">
      <c r="B4603" s="3"/>
      <c r="C4603" s="4"/>
    </row>
    <row r="4604" spans="2:3" ht="14.25">
      <c r="B4604" s="3"/>
      <c r="C4604" s="4"/>
    </row>
    <row r="4605" spans="2:3" ht="14.25">
      <c r="B4605" s="3"/>
      <c r="C4605" s="4"/>
    </row>
    <row r="4606" spans="2:3" ht="14.25">
      <c r="B4606" s="3"/>
      <c r="C4606" s="4"/>
    </row>
    <row r="4607" spans="2:3" ht="14.25">
      <c r="B4607" s="3"/>
      <c r="C4607" s="4"/>
    </row>
    <row r="4608" spans="2:3" ht="14.25">
      <c r="B4608" s="3"/>
      <c r="C4608" s="4"/>
    </row>
    <row r="4609" spans="2:3" ht="14.25">
      <c r="B4609" s="3"/>
      <c r="C4609" s="4"/>
    </row>
    <row r="4610" spans="2:3" ht="14.25">
      <c r="B4610" s="3"/>
      <c r="C4610" s="4"/>
    </row>
    <row r="4611" spans="2:3" ht="14.25">
      <c r="B4611" s="3"/>
      <c r="C4611" s="4"/>
    </row>
    <row r="4612" spans="2:3" ht="14.25">
      <c r="B4612" s="3"/>
      <c r="C4612" s="4"/>
    </row>
    <row r="4613" spans="2:3" ht="14.25">
      <c r="B4613" s="3"/>
      <c r="C4613" s="4"/>
    </row>
    <row r="4614" spans="2:3" ht="14.25">
      <c r="B4614" s="3"/>
      <c r="C4614" s="4"/>
    </row>
    <row r="4615" spans="2:3" ht="14.25">
      <c r="B4615" s="3"/>
      <c r="C4615" s="4"/>
    </row>
    <row r="4616" spans="2:3" ht="14.25">
      <c r="B4616" s="3"/>
      <c r="C4616" s="4"/>
    </row>
    <row r="4617" spans="2:3" ht="14.25">
      <c r="B4617" s="3"/>
      <c r="C4617" s="4"/>
    </row>
    <row r="4618" spans="2:3" ht="14.25">
      <c r="B4618" s="3"/>
      <c r="C4618" s="4"/>
    </row>
    <row r="4619" spans="2:3" ht="14.25">
      <c r="B4619" s="3"/>
      <c r="C4619" s="4"/>
    </row>
    <row r="4620" spans="2:3" ht="14.25">
      <c r="B4620" s="3"/>
      <c r="C4620" s="4"/>
    </row>
    <row r="4621" spans="2:3" ht="14.25">
      <c r="B4621" s="3"/>
      <c r="C4621" s="4"/>
    </row>
    <row r="4622" spans="2:3" ht="14.25">
      <c r="B4622" s="3"/>
      <c r="C4622" s="4"/>
    </row>
    <row r="4623" spans="2:3" ht="14.25">
      <c r="B4623" s="3"/>
      <c r="C4623" s="4"/>
    </row>
    <row r="4624" spans="2:3" ht="14.25">
      <c r="B4624" s="3"/>
      <c r="C4624" s="4"/>
    </row>
    <row r="4625" spans="2:3" ht="14.25">
      <c r="B4625" s="3"/>
      <c r="C4625" s="4"/>
    </row>
    <row r="4626" spans="2:3" ht="14.25">
      <c r="B4626" s="3"/>
      <c r="C4626" s="4"/>
    </row>
    <row r="4627" spans="2:3" ht="14.25">
      <c r="B4627" s="3"/>
      <c r="C4627" s="4"/>
    </row>
    <row r="4628" spans="2:3" ht="14.25">
      <c r="B4628" s="3"/>
      <c r="C4628" s="4"/>
    </row>
    <row r="4629" spans="2:3" ht="14.25">
      <c r="B4629" s="3"/>
      <c r="C4629" s="4"/>
    </row>
    <row r="4630" spans="2:3" ht="14.25">
      <c r="B4630" s="3"/>
      <c r="C4630" s="4"/>
    </row>
    <row r="4631" spans="2:3" ht="14.25">
      <c r="B4631" s="3"/>
      <c r="C4631" s="4"/>
    </row>
    <row r="4632" spans="2:3" ht="14.25">
      <c r="B4632" s="3"/>
      <c r="C4632" s="4"/>
    </row>
    <row r="4633" spans="2:3" ht="14.25">
      <c r="B4633" s="3"/>
      <c r="C4633" s="4"/>
    </row>
    <row r="4634" spans="2:3" ht="14.25">
      <c r="B4634" s="3"/>
      <c r="C4634" s="4"/>
    </row>
    <row r="4635" spans="2:3" ht="14.25">
      <c r="B4635" s="3"/>
      <c r="C4635" s="4"/>
    </row>
    <row r="4636" spans="2:3" ht="14.25">
      <c r="B4636" s="3"/>
      <c r="C4636" s="4"/>
    </row>
    <row r="4637" spans="2:3" ht="14.25">
      <c r="B4637" s="3"/>
      <c r="C4637" s="4"/>
    </row>
    <row r="4638" spans="2:3" ht="14.25">
      <c r="B4638" s="3"/>
      <c r="C4638" s="4"/>
    </row>
    <row r="4639" spans="2:3" ht="14.25">
      <c r="B4639" s="3"/>
      <c r="C4639" s="4"/>
    </row>
    <row r="4640" spans="2:3" ht="14.25">
      <c r="B4640" s="3"/>
      <c r="C4640" s="4"/>
    </row>
    <row r="4641" spans="2:3" ht="14.25">
      <c r="B4641" s="3"/>
      <c r="C4641" s="4"/>
    </row>
    <row r="4642" spans="2:3" ht="14.25">
      <c r="B4642" s="3"/>
      <c r="C4642" s="4"/>
    </row>
    <row r="4643" spans="2:3" ht="14.25">
      <c r="B4643" s="3"/>
      <c r="C4643" s="4"/>
    </row>
    <row r="4644" spans="2:3" ht="14.25">
      <c r="B4644" s="3"/>
      <c r="C4644" s="4"/>
    </row>
    <row r="4645" spans="2:3" ht="14.25">
      <c r="B4645" s="3"/>
      <c r="C4645" s="4"/>
    </row>
    <row r="4646" spans="2:3" ht="14.25">
      <c r="B4646" s="3"/>
      <c r="C4646" s="4"/>
    </row>
    <row r="4647" spans="2:3" ht="14.25">
      <c r="B4647" s="3"/>
      <c r="C4647" s="4"/>
    </row>
    <row r="4648" spans="2:3" ht="14.25">
      <c r="B4648" s="3"/>
      <c r="C4648" s="4"/>
    </row>
    <row r="4649" spans="2:3" ht="14.25">
      <c r="B4649" s="3"/>
      <c r="C4649" s="4"/>
    </row>
    <row r="4650" spans="2:3" ht="14.25">
      <c r="B4650" s="3"/>
      <c r="C4650" s="4"/>
    </row>
    <row r="4651" spans="2:3" ht="14.25">
      <c r="B4651" s="3"/>
      <c r="C4651" s="4"/>
    </row>
    <row r="4652" spans="2:3" ht="14.25">
      <c r="B4652" s="3"/>
      <c r="C4652" s="4"/>
    </row>
    <row r="4653" spans="2:3" ht="14.25">
      <c r="B4653" s="3"/>
      <c r="C4653" s="4"/>
    </row>
    <row r="4654" spans="2:3" ht="14.25">
      <c r="B4654" s="3"/>
      <c r="C4654" s="4"/>
    </row>
    <row r="4655" spans="2:3" ht="14.25">
      <c r="B4655" s="3"/>
      <c r="C4655" s="4"/>
    </row>
    <row r="4656" spans="2:3" ht="14.25">
      <c r="B4656" s="3"/>
      <c r="C4656" s="4"/>
    </row>
    <row r="4657" spans="2:3" ht="14.25">
      <c r="B4657" s="3"/>
      <c r="C4657" s="4"/>
    </row>
    <row r="4658" spans="2:3" ht="14.25">
      <c r="B4658" s="3"/>
      <c r="C4658" s="4"/>
    </row>
    <row r="4659" spans="2:3" ht="14.25">
      <c r="B4659" s="3"/>
      <c r="C4659" s="4"/>
    </row>
    <row r="4660" spans="2:3" ht="14.25">
      <c r="B4660" s="3"/>
      <c r="C4660" s="4"/>
    </row>
    <row r="4661" spans="2:3" ht="14.25">
      <c r="B4661" s="3"/>
      <c r="C4661" s="4"/>
    </row>
    <row r="4662" spans="2:3" ht="14.25">
      <c r="B4662" s="3"/>
      <c r="C4662" s="4"/>
    </row>
    <row r="4663" spans="2:3" ht="14.25">
      <c r="B4663" s="3"/>
      <c r="C4663" s="4"/>
    </row>
    <row r="4664" spans="2:3" ht="14.25">
      <c r="B4664" s="3"/>
      <c r="C4664" s="4"/>
    </row>
    <row r="4665" spans="2:3" ht="14.25">
      <c r="B4665" s="3"/>
      <c r="C4665" s="4"/>
    </row>
    <row r="4666" spans="2:3" ht="14.25">
      <c r="B4666" s="3"/>
      <c r="C4666" s="4"/>
    </row>
    <row r="4667" spans="2:3" ht="14.25">
      <c r="B4667" s="3"/>
      <c r="C4667" s="4"/>
    </row>
    <row r="4668" spans="2:3" ht="14.25">
      <c r="B4668" s="3"/>
      <c r="C4668" s="4"/>
    </row>
    <row r="4669" spans="2:3" ht="14.25">
      <c r="B4669" s="3"/>
      <c r="C4669" s="4"/>
    </row>
    <row r="4670" spans="2:3" ht="14.25">
      <c r="B4670" s="3"/>
      <c r="C4670" s="4"/>
    </row>
    <row r="4671" spans="2:3" ht="14.25">
      <c r="B4671" s="3"/>
      <c r="C4671" s="4"/>
    </row>
    <row r="4672" spans="2:3" ht="14.25">
      <c r="B4672" s="3"/>
      <c r="C4672" s="4"/>
    </row>
    <row r="4673" spans="2:3" ht="14.25">
      <c r="B4673" s="3"/>
      <c r="C4673" s="4"/>
    </row>
    <row r="4674" spans="2:3" ht="14.25">
      <c r="B4674" s="3"/>
      <c r="C4674" s="4"/>
    </row>
    <row r="4675" spans="2:3" ht="14.25">
      <c r="B4675" s="3"/>
      <c r="C4675" s="4"/>
    </row>
    <row r="4676" spans="2:3" ht="14.25">
      <c r="B4676" s="3"/>
      <c r="C4676" s="4"/>
    </row>
    <row r="4677" spans="2:3" ht="14.25">
      <c r="B4677" s="3"/>
      <c r="C4677" s="4"/>
    </row>
    <row r="4678" spans="2:3" ht="14.25">
      <c r="B4678" s="3"/>
      <c r="C4678" s="4"/>
    </row>
    <row r="4679" spans="2:3" ht="14.25">
      <c r="B4679" s="3"/>
      <c r="C4679" s="4"/>
    </row>
    <row r="4680" spans="2:3" ht="14.25">
      <c r="B4680" s="3"/>
      <c r="C4680" s="4"/>
    </row>
    <row r="4681" spans="2:3" ht="14.25">
      <c r="B4681" s="3"/>
      <c r="C4681" s="4"/>
    </row>
    <row r="4682" spans="2:3" ht="14.25">
      <c r="B4682" s="3"/>
      <c r="C4682" s="4"/>
    </row>
    <row r="4683" spans="2:3" ht="14.25">
      <c r="B4683" s="3"/>
      <c r="C4683" s="4"/>
    </row>
    <row r="4684" spans="2:3" ht="14.25">
      <c r="B4684" s="3"/>
      <c r="C4684" s="4"/>
    </row>
    <row r="4685" spans="2:3" ht="14.25">
      <c r="B4685" s="3"/>
      <c r="C4685" s="4"/>
    </row>
    <row r="4686" spans="2:3" ht="14.25">
      <c r="B4686" s="3"/>
      <c r="C4686" s="4"/>
    </row>
    <row r="4687" spans="2:3" ht="14.25">
      <c r="B4687" s="3"/>
      <c r="C4687" s="4"/>
    </row>
    <row r="4688" spans="2:3" ht="14.25">
      <c r="B4688" s="3"/>
      <c r="C4688" s="4"/>
    </row>
    <row r="4689" spans="2:3" ht="14.25">
      <c r="B4689" s="3"/>
      <c r="C4689" s="4"/>
    </row>
    <row r="4690" spans="2:3" ht="14.25">
      <c r="B4690" s="3"/>
      <c r="C4690" s="4"/>
    </row>
    <row r="4691" spans="2:3" ht="14.25">
      <c r="B4691" s="3"/>
      <c r="C4691" s="4"/>
    </row>
    <row r="4692" spans="2:3" ht="14.25">
      <c r="B4692" s="3"/>
      <c r="C4692" s="4"/>
    </row>
    <row r="4693" spans="2:3" ht="14.25">
      <c r="B4693" s="3"/>
      <c r="C4693" s="4"/>
    </row>
    <row r="4694" spans="2:3" ht="14.25">
      <c r="B4694" s="3"/>
      <c r="C4694" s="4"/>
    </row>
    <row r="4695" spans="2:3" ht="14.25">
      <c r="B4695" s="3"/>
      <c r="C4695" s="4"/>
    </row>
    <row r="4696" spans="2:3" ht="14.25">
      <c r="B4696" s="3"/>
      <c r="C4696" s="4"/>
    </row>
    <row r="4697" spans="2:3" ht="14.25">
      <c r="B4697" s="3"/>
      <c r="C4697" s="4"/>
    </row>
    <row r="4698" spans="2:3" ht="14.25">
      <c r="B4698" s="3"/>
      <c r="C4698" s="4"/>
    </row>
    <row r="4699" spans="2:3" ht="14.25">
      <c r="B4699" s="3"/>
      <c r="C4699" s="4"/>
    </row>
    <row r="4700" spans="2:3" ht="14.25">
      <c r="B4700" s="3"/>
      <c r="C4700" s="4"/>
    </row>
    <row r="4701" spans="2:3" ht="14.25">
      <c r="B4701" s="3"/>
      <c r="C4701" s="4"/>
    </row>
    <row r="4702" spans="2:3" ht="14.25">
      <c r="B4702" s="3"/>
      <c r="C4702" s="4"/>
    </row>
    <row r="4703" spans="2:3" ht="14.25">
      <c r="B4703" s="3"/>
      <c r="C4703" s="4"/>
    </row>
    <row r="4704" spans="2:3" ht="14.25">
      <c r="B4704" s="3"/>
      <c r="C4704" s="4"/>
    </row>
    <row r="4705" spans="2:3" ht="14.25">
      <c r="B4705" s="3"/>
      <c r="C4705" s="4"/>
    </row>
    <row r="4706" spans="2:3" ht="14.25">
      <c r="B4706" s="3"/>
      <c r="C4706" s="4"/>
    </row>
    <row r="4707" spans="2:3" ht="14.25">
      <c r="B4707" s="3"/>
      <c r="C4707" s="4"/>
    </row>
    <row r="4708" spans="2:3" ht="14.25">
      <c r="B4708" s="3"/>
      <c r="C4708" s="4"/>
    </row>
    <row r="4709" spans="2:3" ht="14.25">
      <c r="B4709" s="3"/>
      <c r="C4709" s="4"/>
    </row>
    <row r="4710" spans="2:3" ht="14.25">
      <c r="B4710" s="3"/>
      <c r="C4710" s="4"/>
    </row>
    <row r="4711" spans="2:3" ht="14.25">
      <c r="B4711" s="3"/>
      <c r="C4711" s="4"/>
    </row>
    <row r="4712" spans="2:3" ht="14.25">
      <c r="B4712" s="3"/>
      <c r="C4712" s="4"/>
    </row>
    <row r="4713" spans="2:3" ht="14.25">
      <c r="B4713" s="3"/>
      <c r="C4713" s="4"/>
    </row>
    <row r="4714" spans="2:3" ht="14.25">
      <c r="B4714" s="3"/>
      <c r="C4714" s="4"/>
    </row>
    <row r="4715" spans="2:3" ht="14.25">
      <c r="B4715" s="3"/>
      <c r="C4715" s="4"/>
    </row>
    <row r="4716" spans="2:3" ht="14.25">
      <c r="B4716" s="3"/>
      <c r="C4716" s="4"/>
    </row>
    <row r="4717" spans="2:3" ht="14.25">
      <c r="B4717" s="3"/>
      <c r="C4717" s="4"/>
    </row>
    <row r="4718" spans="2:3" ht="14.25">
      <c r="B4718" s="3"/>
      <c r="C4718" s="4"/>
    </row>
    <row r="4719" spans="2:3" ht="14.25">
      <c r="B4719" s="3"/>
      <c r="C4719" s="4"/>
    </row>
    <row r="4720" spans="2:3" ht="14.25">
      <c r="B4720" s="3"/>
      <c r="C4720" s="4"/>
    </row>
    <row r="4721" spans="2:3" ht="14.25">
      <c r="B4721" s="3"/>
      <c r="C4721" s="4"/>
    </row>
    <row r="4722" spans="2:3" ht="14.25">
      <c r="B4722" s="3"/>
      <c r="C4722" s="4"/>
    </row>
    <row r="4723" spans="2:3" ht="14.25">
      <c r="B4723" s="3"/>
      <c r="C4723" s="4"/>
    </row>
    <row r="4724" spans="2:3" ht="14.25">
      <c r="B4724" s="3"/>
      <c r="C4724" s="4"/>
    </row>
    <row r="4725" spans="2:3" ht="14.25">
      <c r="B4725" s="3"/>
      <c r="C4725" s="4"/>
    </row>
    <row r="4726" spans="2:3" ht="14.25">
      <c r="B4726" s="3"/>
      <c r="C4726" s="4"/>
    </row>
    <row r="4727" spans="2:3" ht="14.25">
      <c r="B4727" s="3"/>
      <c r="C4727" s="4"/>
    </row>
    <row r="4728" spans="2:3" ht="14.25">
      <c r="B4728" s="3"/>
      <c r="C4728" s="4"/>
    </row>
    <row r="4729" spans="2:3" ht="14.25">
      <c r="B4729" s="3"/>
      <c r="C4729" s="4"/>
    </row>
    <row r="4730" spans="2:3" ht="14.25">
      <c r="B4730" s="3"/>
      <c r="C4730" s="4"/>
    </row>
    <row r="4731" spans="2:3" ht="14.25">
      <c r="B4731" s="3"/>
      <c r="C4731" s="4"/>
    </row>
    <row r="4732" spans="2:3" ht="14.25">
      <c r="B4732" s="3"/>
      <c r="C4732" s="4"/>
    </row>
    <row r="4733" spans="2:3" ht="14.25">
      <c r="B4733" s="3"/>
      <c r="C4733" s="4"/>
    </row>
    <row r="4734" spans="2:3" ht="14.25">
      <c r="B4734" s="3"/>
      <c r="C4734" s="4"/>
    </row>
    <row r="4735" spans="2:3" ht="14.25">
      <c r="B4735" s="3"/>
      <c r="C4735" s="4"/>
    </row>
    <row r="4736" spans="2:3" ht="14.25">
      <c r="B4736" s="3"/>
      <c r="C4736" s="4"/>
    </row>
    <row r="4737" spans="2:3" ht="14.25">
      <c r="B4737" s="3"/>
      <c r="C4737" s="4"/>
    </row>
    <row r="4738" spans="2:3" ht="14.25">
      <c r="B4738" s="3"/>
      <c r="C4738" s="4"/>
    </row>
    <row r="4739" spans="2:3" ht="14.25">
      <c r="B4739" s="3"/>
      <c r="C4739" s="4"/>
    </row>
    <row r="4740" spans="2:3" ht="14.25">
      <c r="B4740" s="3"/>
      <c r="C4740" s="4"/>
    </row>
    <row r="4741" spans="2:3" ht="14.25">
      <c r="B4741" s="3"/>
      <c r="C4741" s="4"/>
    </row>
    <row r="4742" spans="2:3" ht="14.25">
      <c r="B4742" s="3"/>
      <c r="C4742" s="4"/>
    </row>
    <row r="4743" spans="2:3" ht="14.25">
      <c r="B4743" s="3"/>
      <c r="C4743" s="4"/>
    </row>
    <row r="4744" spans="2:3" ht="14.25">
      <c r="B4744" s="3"/>
      <c r="C4744" s="4"/>
    </row>
    <row r="4745" spans="2:3" ht="14.25">
      <c r="B4745" s="3"/>
      <c r="C4745" s="4"/>
    </row>
    <row r="4746" spans="2:3" ht="14.25">
      <c r="B4746" s="3"/>
      <c r="C4746" s="4"/>
    </row>
    <row r="4747" spans="2:3" ht="14.25">
      <c r="B4747" s="3"/>
      <c r="C4747" s="4"/>
    </row>
    <row r="4748" spans="2:3" ht="14.25">
      <c r="B4748" s="3"/>
      <c r="C4748" s="4"/>
    </row>
    <row r="4749" spans="2:3" ht="14.25">
      <c r="B4749" s="3"/>
      <c r="C4749" s="4"/>
    </row>
    <row r="4750" spans="2:3" ht="14.25">
      <c r="B4750" s="3"/>
      <c r="C4750" s="4"/>
    </row>
    <row r="4751" spans="2:3" ht="14.25">
      <c r="B4751" s="3"/>
      <c r="C4751" s="4"/>
    </row>
    <row r="4752" spans="2:3" ht="14.25">
      <c r="B4752" s="3"/>
      <c r="C4752" s="4"/>
    </row>
    <row r="4753" spans="2:3" ht="14.25">
      <c r="B4753" s="3"/>
      <c r="C4753" s="4"/>
    </row>
    <row r="4754" spans="2:3" ht="14.25">
      <c r="B4754" s="3"/>
      <c r="C4754" s="4"/>
    </row>
    <row r="4755" spans="2:3" ht="14.25">
      <c r="B4755" s="3"/>
      <c r="C4755" s="4"/>
    </row>
    <row r="4756" spans="2:3" ht="14.25">
      <c r="B4756" s="3"/>
      <c r="C4756" s="4"/>
    </row>
    <row r="4757" spans="2:3" ht="14.25">
      <c r="B4757" s="3"/>
      <c r="C4757" s="4"/>
    </row>
    <row r="4758" spans="2:3" ht="14.25">
      <c r="B4758" s="3"/>
      <c r="C4758" s="4"/>
    </row>
    <row r="4759" spans="2:3" ht="14.25">
      <c r="B4759" s="3"/>
      <c r="C4759" s="4"/>
    </row>
    <row r="4760" spans="2:3" ht="14.25">
      <c r="B4760" s="3"/>
      <c r="C4760" s="4"/>
    </row>
    <row r="4761" spans="2:3" ht="14.25">
      <c r="B4761" s="3"/>
      <c r="C4761" s="4"/>
    </row>
    <row r="4762" spans="2:3" ht="14.25">
      <c r="B4762" s="3"/>
      <c r="C4762" s="4"/>
    </row>
    <row r="4763" spans="2:3" ht="14.25">
      <c r="B4763" s="3"/>
      <c r="C4763" s="4"/>
    </row>
    <row r="4764" spans="2:3" ht="14.25">
      <c r="B4764" s="3"/>
      <c r="C4764" s="4"/>
    </row>
    <row r="4765" spans="2:3" ht="14.25">
      <c r="B4765" s="3"/>
      <c r="C4765" s="4"/>
    </row>
    <row r="4766" spans="2:3" ht="14.25">
      <c r="B4766" s="3"/>
      <c r="C4766" s="4"/>
    </row>
    <row r="4767" spans="2:3" ht="14.25">
      <c r="B4767" s="3"/>
      <c r="C4767" s="4"/>
    </row>
    <row r="4768" spans="2:3" ht="14.25">
      <c r="B4768" s="3"/>
      <c r="C4768" s="4"/>
    </row>
    <row r="4769" spans="2:3" ht="14.25">
      <c r="B4769" s="3"/>
      <c r="C4769" s="4"/>
    </row>
    <row r="4770" spans="2:3" ht="14.25">
      <c r="B4770" s="3"/>
      <c r="C4770" s="4"/>
    </row>
    <row r="4771" spans="2:3" ht="14.25">
      <c r="B4771" s="3"/>
      <c r="C4771" s="4"/>
    </row>
    <row r="4772" spans="2:3" ht="14.25">
      <c r="B4772" s="3"/>
      <c r="C4772" s="4"/>
    </row>
    <row r="4773" spans="2:3" ht="14.25">
      <c r="B4773" s="3"/>
      <c r="C4773" s="4"/>
    </row>
    <row r="4774" spans="2:3" ht="14.25">
      <c r="B4774" s="3"/>
      <c r="C4774" s="4"/>
    </row>
    <row r="4775" spans="2:3" ht="14.25">
      <c r="B4775" s="3"/>
      <c r="C4775" s="4"/>
    </row>
    <row r="4776" spans="2:3" ht="14.25">
      <c r="B4776" s="3"/>
      <c r="C4776" s="4"/>
    </row>
    <row r="4777" spans="2:3" ht="14.25">
      <c r="B4777" s="3"/>
      <c r="C4777" s="4"/>
    </row>
    <row r="4778" spans="2:3" ht="14.25">
      <c r="B4778" s="3"/>
      <c r="C4778" s="4"/>
    </row>
    <row r="4779" spans="2:3" ht="14.25">
      <c r="B4779" s="3"/>
      <c r="C4779" s="4"/>
    </row>
    <row r="4780" spans="2:3" ht="14.25">
      <c r="B4780" s="3"/>
      <c r="C4780" s="4"/>
    </row>
    <row r="4781" spans="2:3" ht="14.25">
      <c r="B4781" s="3"/>
      <c r="C4781" s="4"/>
    </row>
    <row r="4782" spans="2:3" ht="14.25">
      <c r="B4782" s="3"/>
      <c r="C4782" s="4"/>
    </row>
    <row r="4783" spans="2:3" ht="14.25">
      <c r="B4783" s="3"/>
      <c r="C4783" s="4"/>
    </row>
    <row r="4784" spans="2:3" ht="14.25">
      <c r="B4784" s="3"/>
      <c r="C4784" s="4"/>
    </row>
    <row r="4785" spans="2:3" ht="14.25">
      <c r="B4785" s="3"/>
      <c r="C4785" s="4"/>
    </row>
    <row r="4786" spans="2:3" ht="14.25">
      <c r="B4786" s="3"/>
      <c r="C4786" s="4"/>
    </row>
    <row r="4787" spans="2:3" ht="14.25">
      <c r="B4787" s="3"/>
      <c r="C4787" s="4"/>
    </row>
    <row r="4788" spans="2:3" ht="14.25">
      <c r="B4788" s="3"/>
      <c r="C4788" s="4"/>
    </row>
    <row r="4789" spans="2:3" ht="14.25">
      <c r="B4789" s="3"/>
      <c r="C4789" s="4"/>
    </row>
    <row r="4790" spans="2:3" ht="14.25">
      <c r="B4790" s="3"/>
      <c r="C4790" s="4"/>
    </row>
    <row r="4791" spans="2:3" ht="14.25">
      <c r="B4791" s="3"/>
      <c r="C4791" s="4"/>
    </row>
    <row r="4792" spans="2:3" ht="14.25">
      <c r="B4792" s="3"/>
      <c r="C4792" s="4"/>
    </row>
    <row r="4793" spans="2:3" ht="14.25">
      <c r="B4793" s="3"/>
      <c r="C4793" s="4"/>
    </row>
    <row r="4794" spans="2:3" ht="14.25">
      <c r="B4794" s="3"/>
      <c r="C4794" s="4"/>
    </row>
    <row r="4795" spans="2:3" ht="14.25">
      <c r="B4795" s="3"/>
      <c r="C4795" s="4"/>
    </row>
    <row r="4796" spans="2:3" ht="14.25">
      <c r="B4796" s="3"/>
      <c r="C4796" s="4"/>
    </row>
    <row r="4797" spans="2:3" ht="14.25">
      <c r="B4797" s="3"/>
      <c r="C4797" s="4"/>
    </row>
    <row r="4798" spans="2:3" ht="14.25">
      <c r="B4798" s="3"/>
      <c r="C4798" s="4"/>
    </row>
    <row r="4799" spans="2:3" ht="14.25">
      <c r="B4799" s="3"/>
      <c r="C4799" s="4"/>
    </row>
    <row r="4800" spans="2:3" ht="14.25">
      <c r="B4800" s="3"/>
      <c r="C4800" s="4"/>
    </row>
    <row r="4801" spans="2:3" ht="14.25">
      <c r="B4801" s="3"/>
      <c r="C4801" s="4"/>
    </row>
    <row r="4802" spans="2:3" ht="14.25">
      <c r="B4802" s="3"/>
      <c r="C4802" s="4"/>
    </row>
    <row r="4803" spans="2:3" ht="14.25">
      <c r="B4803" s="3"/>
      <c r="C4803" s="4"/>
    </row>
    <row r="4804" spans="2:3" ht="14.25">
      <c r="B4804" s="3"/>
      <c r="C4804" s="4"/>
    </row>
    <row r="4805" spans="2:3" ht="14.25">
      <c r="B4805" s="3"/>
      <c r="C4805" s="4"/>
    </row>
    <row r="4806" spans="2:3" ht="14.25">
      <c r="B4806" s="3"/>
      <c r="C4806" s="4"/>
    </row>
    <row r="4807" spans="2:3" ht="14.25">
      <c r="B4807" s="3"/>
      <c r="C4807" s="4"/>
    </row>
    <row r="4808" spans="2:3" ht="14.25">
      <c r="B4808" s="3"/>
      <c r="C4808" s="4"/>
    </row>
    <row r="4809" spans="2:3" ht="14.25">
      <c r="B4809" s="3"/>
      <c r="C4809" s="4"/>
    </row>
    <row r="4810" spans="2:3" ht="14.25">
      <c r="B4810" s="3"/>
      <c r="C4810" s="4"/>
    </row>
    <row r="4811" spans="2:3" ht="14.25">
      <c r="B4811" s="3"/>
      <c r="C4811" s="4"/>
    </row>
    <row r="4812" spans="2:3" ht="14.25">
      <c r="B4812" s="3"/>
      <c r="C4812" s="4"/>
    </row>
    <row r="4813" spans="2:3" ht="14.25">
      <c r="B4813" s="3"/>
      <c r="C4813" s="4"/>
    </row>
    <row r="4814" spans="2:3" ht="14.25">
      <c r="B4814" s="3"/>
      <c r="C4814" s="4"/>
    </row>
    <row r="4815" spans="2:3" ht="14.25">
      <c r="B4815" s="3"/>
      <c r="C4815" s="4"/>
    </row>
    <row r="4816" spans="2:3" ht="14.25">
      <c r="B4816" s="3"/>
      <c r="C4816" s="4"/>
    </row>
    <row r="4817" spans="2:3" ht="14.25">
      <c r="B4817" s="3"/>
      <c r="C4817" s="4"/>
    </row>
    <row r="4818" spans="2:3" ht="14.25">
      <c r="B4818" s="3"/>
      <c r="C4818" s="4"/>
    </row>
    <row r="4819" spans="2:3" ht="14.25">
      <c r="B4819" s="3"/>
      <c r="C4819" s="4"/>
    </row>
    <row r="4820" spans="2:3" ht="14.25">
      <c r="B4820" s="3"/>
      <c r="C4820" s="4"/>
    </row>
    <row r="4821" spans="2:3" ht="14.25">
      <c r="B4821" s="3"/>
      <c r="C4821" s="4"/>
    </row>
    <row r="4822" spans="2:3" ht="14.25">
      <c r="B4822" s="3"/>
      <c r="C4822" s="4"/>
    </row>
    <row r="4823" spans="2:3" ht="14.25">
      <c r="B4823" s="3"/>
      <c r="C4823" s="4"/>
    </row>
    <row r="4824" spans="2:3" ht="14.25">
      <c r="B4824" s="3"/>
      <c r="C4824" s="4"/>
    </row>
    <row r="4825" spans="2:3" ht="14.25">
      <c r="B4825" s="3"/>
      <c r="C4825" s="4"/>
    </row>
    <row r="4826" spans="2:3" ht="14.25">
      <c r="B4826" s="3"/>
      <c r="C4826" s="4"/>
    </row>
    <row r="4827" spans="2:3" ht="14.25">
      <c r="B4827" s="3"/>
      <c r="C4827" s="4"/>
    </row>
    <row r="4828" spans="2:3" ht="14.25">
      <c r="B4828" s="3"/>
      <c r="C4828" s="4"/>
    </row>
    <row r="4829" spans="2:3" ht="14.25">
      <c r="B4829" s="3"/>
      <c r="C4829" s="4"/>
    </row>
    <row r="4830" spans="2:3" ht="14.25">
      <c r="B4830" s="3"/>
      <c r="C4830" s="4"/>
    </row>
    <row r="4831" spans="2:3" ht="14.25">
      <c r="B4831" s="3"/>
      <c r="C4831" s="4"/>
    </row>
    <row r="4832" spans="2:3" ht="14.25">
      <c r="B4832" s="3"/>
      <c r="C4832" s="4"/>
    </row>
    <row r="4833" spans="2:3" ht="14.25">
      <c r="B4833" s="3"/>
      <c r="C4833" s="4"/>
    </row>
    <row r="4834" spans="2:3" ht="14.25">
      <c r="B4834" s="3"/>
      <c r="C4834" s="4"/>
    </row>
    <row r="4835" spans="2:3" ht="14.25">
      <c r="B4835" s="3"/>
      <c r="C4835" s="4"/>
    </row>
    <row r="4836" spans="2:3" ht="14.25">
      <c r="B4836" s="3"/>
      <c r="C4836" s="4"/>
    </row>
    <row r="4837" spans="2:3" ht="14.25">
      <c r="B4837" s="3"/>
      <c r="C4837" s="4"/>
    </row>
    <row r="4838" spans="2:3" ht="14.25">
      <c r="B4838" s="3"/>
      <c r="C4838" s="4"/>
    </row>
    <row r="4839" spans="2:3" ht="14.25">
      <c r="B4839" s="3"/>
      <c r="C4839" s="4"/>
    </row>
    <row r="4840" spans="2:3" ht="14.25">
      <c r="B4840" s="3"/>
      <c r="C4840" s="4"/>
    </row>
    <row r="4841" spans="2:3" ht="14.25">
      <c r="B4841" s="3"/>
      <c r="C4841" s="4"/>
    </row>
    <row r="4842" spans="2:3" ht="14.25">
      <c r="B4842" s="3"/>
      <c r="C4842" s="4"/>
    </row>
    <row r="4843" spans="2:3" ht="14.25">
      <c r="B4843" s="3"/>
      <c r="C4843" s="4"/>
    </row>
    <row r="4844" spans="2:3" ht="14.25">
      <c r="B4844" s="3"/>
      <c r="C4844" s="4"/>
    </row>
    <row r="4845" spans="2:3" ht="14.25">
      <c r="B4845" s="3"/>
      <c r="C4845" s="4"/>
    </row>
    <row r="4846" spans="2:3" ht="14.25">
      <c r="B4846" s="3"/>
      <c r="C4846" s="4"/>
    </row>
    <row r="4847" spans="2:3" ht="14.25">
      <c r="B4847" s="3"/>
      <c r="C4847" s="4"/>
    </row>
    <row r="4848" spans="2:3" ht="14.25">
      <c r="B4848" s="3"/>
      <c r="C4848" s="4"/>
    </row>
    <row r="4849" spans="2:3" ht="14.25">
      <c r="B4849" s="3"/>
      <c r="C4849" s="4"/>
    </row>
    <row r="4850" spans="2:3" ht="14.25">
      <c r="B4850" s="3"/>
      <c r="C4850" s="4"/>
    </row>
    <row r="4851" spans="2:3" ht="14.25">
      <c r="B4851" s="3"/>
      <c r="C4851" s="4"/>
    </row>
    <row r="4852" spans="2:3" ht="14.25">
      <c r="B4852" s="3"/>
      <c r="C4852" s="4"/>
    </row>
    <row r="4853" spans="2:3" ht="14.25">
      <c r="B4853" s="3"/>
      <c r="C4853" s="4"/>
    </row>
    <row r="4854" spans="2:3" ht="14.25">
      <c r="B4854" s="3"/>
      <c r="C4854" s="4"/>
    </row>
    <row r="4855" spans="2:3" ht="14.25">
      <c r="B4855" s="3"/>
      <c r="C4855" s="4"/>
    </row>
    <row r="4856" spans="2:3" ht="14.25">
      <c r="B4856" s="3"/>
      <c r="C4856" s="4"/>
    </row>
    <row r="4857" spans="2:3" ht="14.25">
      <c r="B4857" s="3"/>
      <c r="C4857" s="4"/>
    </row>
    <row r="4858" spans="2:3" ht="14.25">
      <c r="B4858" s="3"/>
      <c r="C4858" s="4"/>
    </row>
    <row r="4859" spans="2:3" ht="14.25">
      <c r="B4859" s="3"/>
      <c r="C4859" s="4"/>
    </row>
    <row r="4860" spans="2:3" ht="14.25">
      <c r="B4860" s="3"/>
      <c r="C4860" s="4"/>
    </row>
    <row r="4861" spans="2:3" ht="14.25">
      <c r="B4861" s="3"/>
      <c r="C4861" s="4"/>
    </row>
    <row r="4862" spans="2:3" ht="14.25">
      <c r="B4862" s="3"/>
      <c r="C4862" s="4"/>
    </row>
    <row r="4863" spans="2:3" ht="14.25">
      <c r="B4863" s="3"/>
      <c r="C4863" s="4"/>
    </row>
    <row r="4864" spans="2:3" ht="14.25">
      <c r="B4864" s="3"/>
      <c r="C4864" s="4"/>
    </row>
    <row r="4865" spans="2:3" ht="14.25">
      <c r="B4865" s="3"/>
      <c r="C4865" s="4"/>
    </row>
    <row r="4866" spans="2:3" ht="14.25">
      <c r="B4866" s="3"/>
      <c r="C4866" s="4"/>
    </row>
    <row r="4867" spans="2:3" ht="14.25">
      <c r="B4867" s="3"/>
      <c r="C4867" s="4"/>
    </row>
    <row r="4868" spans="2:3" ht="14.25">
      <c r="B4868" s="3"/>
      <c r="C4868" s="4"/>
    </row>
    <row r="4869" spans="2:3" ht="14.25">
      <c r="B4869" s="3"/>
      <c r="C4869" s="4"/>
    </row>
    <row r="4870" spans="2:3" ht="14.25">
      <c r="B4870" s="3"/>
      <c r="C4870" s="4"/>
    </row>
    <row r="4871" spans="2:3" ht="14.25">
      <c r="B4871" s="3"/>
      <c r="C4871" s="4"/>
    </row>
    <row r="4872" spans="2:3" ht="14.25">
      <c r="B4872" s="3"/>
      <c r="C4872" s="4"/>
    </row>
    <row r="4873" spans="2:3" ht="14.25">
      <c r="B4873" s="3"/>
      <c r="C4873" s="4"/>
    </row>
    <row r="4874" spans="2:3" ht="14.25">
      <c r="B4874" s="3"/>
      <c r="C4874" s="4"/>
    </row>
    <row r="4875" spans="2:3" ht="14.25">
      <c r="B4875" s="3"/>
      <c r="C4875" s="4"/>
    </row>
    <row r="4876" spans="2:3" ht="14.25">
      <c r="B4876" s="3"/>
      <c r="C4876" s="4"/>
    </row>
    <row r="4877" spans="2:3" ht="14.25">
      <c r="B4877" s="3"/>
      <c r="C4877" s="4"/>
    </row>
    <row r="4878" spans="2:3" ht="14.25">
      <c r="B4878" s="3"/>
      <c r="C4878" s="4"/>
    </row>
    <row r="4879" spans="2:3" ht="14.25">
      <c r="B4879" s="3"/>
      <c r="C4879" s="4"/>
    </row>
    <row r="4880" spans="2:3" ht="14.25">
      <c r="B4880" s="3"/>
      <c r="C4880" s="4"/>
    </row>
    <row r="4881" spans="2:3" ht="14.25">
      <c r="B4881" s="3"/>
      <c r="C4881" s="4"/>
    </row>
    <row r="4882" spans="2:3" ht="14.25">
      <c r="B4882" s="3"/>
      <c r="C4882" s="4"/>
    </row>
    <row r="4883" spans="2:3" ht="14.25">
      <c r="B4883" s="3"/>
      <c r="C4883" s="4"/>
    </row>
    <row r="4884" spans="2:3" ht="14.25">
      <c r="B4884" s="3"/>
      <c r="C4884" s="4"/>
    </row>
    <row r="4885" spans="2:3" ht="14.25">
      <c r="B4885" s="3"/>
      <c r="C4885" s="4"/>
    </row>
    <row r="4886" spans="2:3" ht="14.25">
      <c r="B4886" s="3"/>
      <c r="C4886" s="4"/>
    </row>
    <row r="4887" spans="2:3" ht="14.25">
      <c r="B4887" s="3"/>
      <c r="C4887" s="4"/>
    </row>
    <row r="4888" spans="2:3" ht="14.25">
      <c r="B4888" s="3"/>
      <c r="C4888" s="4"/>
    </row>
    <row r="4889" spans="2:3" ht="14.25">
      <c r="B4889" s="3"/>
      <c r="C4889" s="4"/>
    </row>
    <row r="4890" spans="2:3" ht="14.25">
      <c r="B4890" s="3"/>
      <c r="C4890" s="4"/>
    </row>
    <row r="4891" spans="2:3" ht="14.25">
      <c r="B4891" s="3"/>
      <c r="C4891" s="4"/>
    </row>
    <row r="4892" spans="2:3" ht="14.25">
      <c r="B4892" s="3"/>
      <c r="C4892" s="4"/>
    </row>
    <row r="4893" spans="2:3" ht="14.25">
      <c r="B4893" s="3"/>
      <c r="C4893" s="4"/>
    </row>
    <row r="4894" spans="2:3" ht="14.25">
      <c r="B4894" s="3"/>
      <c r="C4894" s="4"/>
    </row>
    <row r="4895" spans="2:3" ht="14.25">
      <c r="B4895" s="3"/>
      <c r="C4895" s="4"/>
    </row>
    <row r="4896" spans="2:3" ht="14.25">
      <c r="B4896" s="3"/>
      <c r="C4896" s="4"/>
    </row>
    <row r="4897" spans="2:3" ht="14.25">
      <c r="B4897" s="3"/>
      <c r="C4897" s="4"/>
    </row>
    <row r="4898" spans="2:3" ht="14.25">
      <c r="B4898" s="3"/>
      <c r="C4898" s="4"/>
    </row>
    <row r="4899" spans="2:3" ht="14.25">
      <c r="B4899" s="3"/>
      <c r="C4899" s="4"/>
    </row>
    <row r="4900" spans="2:3" ht="14.25">
      <c r="B4900" s="3"/>
      <c r="C4900" s="4"/>
    </row>
    <row r="4901" spans="2:3" ht="14.25">
      <c r="B4901" s="3"/>
      <c r="C4901" s="4"/>
    </row>
    <row r="4902" spans="2:3" ht="14.25">
      <c r="B4902" s="3"/>
      <c r="C4902" s="4"/>
    </row>
    <row r="4903" spans="2:3" ht="14.25">
      <c r="B4903" s="3"/>
      <c r="C4903" s="4"/>
    </row>
    <row r="4904" spans="2:3" ht="14.25">
      <c r="B4904" s="3"/>
      <c r="C4904" s="4"/>
    </row>
    <row r="4905" spans="2:3" ht="14.25">
      <c r="B4905" s="3"/>
      <c r="C4905" s="4"/>
    </row>
    <row r="4906" spans="2:3" ht="14.25">
      <c r="B4906" s="3"/>
      <c r="C4906" s="4"/>
    </row>
    <row r="4907" spans="2:3" ht="14.25">
      <c r="B4907" s="3"/>
      <c r="C4907" s="4"/>
    </row>
    <row r="4908" spans="2:3" ht="14.25">
      <c r="B4908" s="3"/>
      <c r="C4908" s="4"/>
    </row>
    <row r="4909" spans="2:3" ht="14.25">
      <c r="B4909" s="3"/>
      <c r="C4909" s="4"/>
    </row>
    <row r="4910" spans="2:3" ht="14.25">
      <c r="B4910" s="3"/>
      <c r="C4910" s="4"/>
    </row>
    <row r="4911" spans="2:3" ht="14.25">
      <c r="B4911" s="3"/>
      <c r="C4911" s="4"/>
    </row>
    <row r="4912" spans="2:3" ht="14.25">
      <c r="B4912" s="3"/>
      <c r="C4912" s="4"/>
    </row>
    <row r="4913" spans="2:3" ht="14.25">
      <c r="B4913" s="3"/>
      <c r="C4913" s="4"/>
    </row>
    <row r="4914" spans="2:3" ht="14.25">
      <c r="B4914" s="3"/>
      <c r="C4914" s="4"/>
    </row>
    <row r="4915" spans="2:3" ht="14.25">
      <c r="B4915" s="3"/>
      <c r="C4915" s="4"/>
    </row>
    <row r="4916" spans="2:3" ht="14.25">
      <c r="B4916" s="3"/>
      <c r="C4916" s="4"/>
    </row>
    <row r="4917" spans="2:3" ht="14.25">
      <c r="B4917" s="3"/>
      <c r="C4917" s="4"/>
    </row>
    <row r="4918" spans="2:3" ht="14.25">
      <c r="B4918" s="3"/>
      <c r="C4918" s="4"/>
    </row>
    <row r="4919" spans="2:3" ht="14.25">
      <c r="B4919" s="3"/>
      <c r="C4919" s="4"/>
    </row>
    <row r="4920" spans="2:3" ht="14.25">
      <c r="B4920" s="3"/>
      <c r="C4920" s="4"/>
    </row>
    <row r="4921" spans="2:3" ht="14.25">
      <c r="B4921" s="3"/>
      <c r="C4921" s="4"/>
    </row>
    <row r="4922" spans="2:3" ht="14.25">
      <c r="B4922" s="3"/>
      <c r="C4922" s="4"/>
    </row>
    <row r="4923" spans="2:3" ht="14.25">
      <c r="B4923" s="3"/>
      <c r="C4923" s="4"/>
    </row>
    <row r="4924" spans="2:3" ht="14.25">
      <c r="B4924" s="3"/>
      <c r="C4924" s="4"/>
    </row>
    <row r="4925" spans="2:3" ht="14.25">
      <c r="B4925" s="3"/>
      <c r="C4925" s="4"/>
    </row>
    <row r="4926" spans="2:3" ht="14.25">
      <c r="B4926" s="3"/>
      <c r="C4926" s="4"/>
    </row>
    <row r="4927" spans="2:3" ht="14.25">
      <c r="B4927" s="3"/>
      <c r="C4927" s="4"/>
    </row>
    <row r="4928" spans="2:3" ht="14.25">
      <c r="B4928" s="3"/>
      <c r="C4928" s="4"/>
    </row>
    <row r="4929" spans="2:3" ht="14.25">
      <c r="B4929" s="3"/>
      <c r="C4929" s="4"/>
    </row>
    <row r="4930" spans="2:3" ht="14.25">
      <c r="B4930" s="3"/>
      <c r="C4930" s="4"/>
    </row>
    <row r="4931" spans="2:3" ht="14.25">
      <c r="B4931" s="3"/>
      <c r="C4931" s="4"/>
    </row>
    <row r="4932" spans="2:3" ht="14.25">
      <c r="B4932" s="3"/>
      <c r="C4932" s="4"/>
    </row>
    <row r="4933" spans="2:3" ht="14.25">
      <c r="B4933" s="3"/>
      <c r="C4933" s="4"/>
    </row>
    <row r="4934" spans="2:3" ht="14.25">
      <c r="B4934" s="3"/>
      <c r="C4934" s="4"/>
    </row>
    <row r="4935" spans="2:3" ht="14.25">
      <c r="B4935" s="3"/>
      <c r="C4935" s="4"/>
    </row>
    <row r="4936" spans="2:3" ht="14.25">
      <c r="B4936" s="3"/>
      <c r="C4936" s="4"/>
    </row>
    <row r="4937" spans="2:3" ht="14.25">
      <c r="B4937" s="3"/>
      <c r="C4937" s="4"/>
    </row>
    <row r="4938" spans="2:3" ht="14.25">
      <c r="B4938" s="3"/>
      <c r="C4938" s="4"/>
    </row>
    <row r="4939" spans="2:3" ht="14.25">
      <c r="B4939" s="3"/>
      <c r="C4939" s="4"/>
    </row>
    <row r="4940" spans="2:3" ht="14.25">
      <c r="B4940" s="3"/>
      <c r="C4940" s="4"/>
    </row>
    <row r="4941" spans="2:3" ht="14.25">
      <c r="B4941" s="3"/>
      <c r="C4941" s="4"/>
    </row>
    <row r="4942" spans="2:3" ht="14.25">
      <c r="B4942" s="3"/>
      <c r="C4942" s="4"/>
    </row>
    <row r="4943" spans="2:3" ht="14.25">
      <c r="B4943" s="3"/>
      <c r="C4943" s="4"/>
    </row>
    <row r="4944" spans="2:3" ht="14.25">
      <c r="B4944" s="3"/>
      <c r="C4944" s="4"/>
    </row>
    <row r="4945" spans="2:3" ht="14.25">
      <c r="B4945" s="3"/>
      <c r="C4945" s="4"/>
    </row>
    <row r="4946" spans="2:3" ht="14.25">
      <c r="B4946" s="3"/>
      <c r="C4946" s="4"/>
    </row>
    <row r="4947" spans="2:3" ht="14.25">
      <c r="B4947" s="3"/>
      <c r="C4947" s="4"/>
    </row>
    <row r="4948" spans="2:3" ht="14.25">
      <c r="B4948" s="3"/>
      <c r="C4948" s="4"/>
    </row>
    <row r="4949" spans="2:3" ht="14.25">
      <c r="B4949" s="3"/>
      <c r="C4949" s="4"/>
    </row>
    <row r="4950" spans="2:3" ht="14.25">
      <c r="B4950" s="3"/>
      <c r="C4950" s="4"/>
    </row>
    <row r="4951" spans="2:3" ht="14.25">
      <c r="B4951" s="3"/>
      <c r="C4951" s="4"/>
    </row>
    <row r="4952" spans="2:3" ht="14.25">
      <c r="B4952" s="3"/>
      <c r="C4952" s="4"/>
    </row>
    <row r="4953" spans="2:3" ht="14.25">
      <c r="B4953" s="3"/>
      <c r="C4953" s="4"/>
    </row>
    <row r="4954" spans="2:3" ht="14.25">
      <c r="B4954" s="3"/>
      <c r="C4954" s="4"/>
    </row>
    <row r="4955" spans="2:3" ht="14.25">
      <c r="B4955" s="3"/>
      <c r="C4955" s="4"/>
    </row>
    <row r="4956" spans="2:3" ht="14.25">
      <c r="B4956" s="3"/>
      <c r="C4956" s="4"/>
    </row>
    <row r="4957" spans="2:3" ht="14.25">
      <c r="B4957" s="3"/>
      <c r="C4957" s="4"/>
    </row>
    <row r="4958" spans="2:3" ht="14.25">
      <c r="B4958" s="3"/>
      <c r="C4958" s="4"/>
    </row>
    <row r="4959" spans="2:3" ht="14.25">
      <c r="B4959" s="3"/>
      <c r="C4959" s="4"/>
    </row>
    <row r="4960" spans="2:3" ht="14.25">
      <c r="B4960" s="3"/>
      <c r="C4960" s="4"/>
    </row>
    <row r="4961" spans="2:3" ht="14.25">
      <c r="B4961" s="3"/>
      <c r="C4961" s="4"/>
    </row>
    <row r="4962" spans="2:3" ht="14.25">
      <c r="B4962" s="3"/>
      <c r="C4962" s="4"/>
    </row>
    <row r="4963" spans="2:3" ht="14.25">
      <c r="B4963" s="3"/>
      <c r="C4963" s="4"/>
    </row>
    <row r="4964" spans="2:3" ht="14.25">
      <c r="B4964" s="3"/>
      <c r="C4964" s="4"/>
    </row>
    <row r="4965" spans="2:3" ht="14.25">
      <c r="B4965" s="3"/>
      <c r="C4965" s="4"/>
    </row>
    <row r="4966" spans="2:3" ht="14.25">
      <c r="B4966" s="3"/>
      <c r="C4966" s="4"/>
    </row>
    <row r="4967" spans="2:3" ht="14.25">
      <c r="B4967" s="3"/>
      <c r="C4967" s="4"/>
    </row>
    <row r="4968" spans="2:3" ht="14.25">
      <c r="B4968" s="3"/>
      <c r="C4968" s="4"/>
    </row>
    <row r="4969" spans="2:3" ht="14.25">
      <c r="B4969" s="3"/>
      <c r="C4969" s="4"/>
    </row>
    <row r="4970" spans="2:3" ht="14.25">
      <c r="B4970" s="3"/>
      <c r="C4970" s="4"/>
    </row>
    <row r="4971" spans="2:3" ht="14.25">
      <c r="B4971" s="3"/>
      <c r="C4971" s="4"/>
    </row>
    <row r="4972" spans="2:3" ht="14.25">
      <c r="B4972" s="3"/>
      <c r="C4972" s="4"/>
    </row>
    <row r="4973" spans="2:3" ht="14.25">
      <c r="B4973" s="3"/>
      <c r="C4973" s="4"/>
    </row>
    <row r="4974" spans="2:3" ht="14.25">
      <c r="B4974" s="3"/>
      <c r="C4974" s="4"/>
    </row>
    <row r="4975" spans="2:3" ht="14.25">
      <c r="B4975" s="3"/>
      <c r="C4975" s="4"/>
    </row>
    <row r="4976" spans="2:3" ht="14.25">
      <c r="B4976" s="3"/>
      <c r="C4976" s="4"/>
    </row>
    <row r="4977" spans="2:3" ht="14.25">
      <c r="B4977" s="3"/>
      <c r="C4977" s="4"/>
    </row>
    <row r="4978" spans="2:3" ht="14.25">
      <c r="B4978" s="3"/>
      <c r="C4978" s="4"/>
    </row>
    <row r="4979" spans="2:3" ht="14.25">
      <c r="B4979" s="3"/>
      <c r="C4979" s="4"/>
    </row>
    <row r="4980" spans="2:3" ht="14.25">
      <c r="B4980" s="3"/>
      <c r="C4980" s="4"/>
    </row>
    <row r="4981" spans="2:3" ht="14.25">
      <c r="B4981" s="3"/>
      <c r="C4981" s="4"/>
    </row>
    <row r="4982" spans="2:3" ht="14.25">
      <c r="B4982" s="3"/>
      <c r="C4982" s="4"/>
    </row>
    <row r="4983" spans="2:3" ht="14.25">
      <c r="B4983" s="3"/>
      <c r="C4983" s="4"/>
    </row>
    <row r="4984" spans="2:3" ht="14.25">
      <c r="B4984" s="3"/>
      <c r="C4984" s="4"/>
    </row>
    <row r="4985" spans="2:3" ht="14.25">
      <c r="B4985" s="3"/>
      <c r="C4985" s="4"/>
    </row>
    <row r="4986" spans="2:3" ht="14.25">
      <c r="B4986" s="3"/>
      <c r="C4986" s="4"/>
    </row>
    <row r="4987" spans="2:3" ht="14.25">
      <c r="B4987" s="3"/>
      <c r="C4987" s="4"/>
    </row>
    <row r="4988" spans="2:3" ht="14.25">
      <c r="B4988" s="3"/>
      <c r="C4988" s="4"/>
    </row>
    <row r="4989" spans="2:3" ht="14.25">
      <c r="B4989" s="3"/>
      <c r="C4989" s="4"/>
    </row>
    <row r="4990" spans="2:3" ht="14.25">
      <c r="B4990" s="3"/>
      <c r="C4990" s="4"/>
    </row>
    <row r="4991" spans="2:3" ht="14.25">
      <c r="B4991" s="3"/>
      <c r="C4991" s="4"/>
    </row>
    <row r="4992" spans="2:3" ht="14.25">
      <c r="B4992" s="3"/>
      <c r="C4992" s="4"/>
    </row>
    <row r="4993" spans="2:3" ht="14.25">
      <c r="B4993" s="3"/>
      <c r="C4993" s="4"/>
    </row>
    <row r="4994" spans="2:3" ht="14.25">
      <c r="B4994" s="3"/>
      <c r="C4994" s="4"/>
    </row>
    <row r="4995" spans="2:3" ht="14.25">
      <c r="B4995" s="3"/>
      <c r="C4995" s="4"/>
    </row>
    <row r="4996" spans="2:3" ht="14.25">
      <c r="B4996" s="3"/>
      <c r="C4996" s="4"/>
    </row>
    <row r="4997" spans="2:3" ht="14.25">
      <c r="B4997" s="3"/>
      <c r="C4997" s="4"/>
    </row>
    <row r="4998" spans="2:3" ht="14.25">
      <c r="B4998" s="3"/>
      <c r="C4998" s="4"/>
    </row>
    <row r="4999" spans="2:3" ht="14.25">
      <c r="B4999" s="3"/>
      <c r="C4999" s="4"/>
    </row>
    <row r="5000" spans="2:3" ht="14.25">
      <c r="B5000" s="3"/>
      <c r="C5000" s="4"/>
    </row>
    <row r="5001" spans="2:3" ht="14.25">
      <c r="B5001" s="3"/>
      <c r="C5001" s="4"/>
    </row>
    <row r="5002" spans="2:3" ht="14.25">
      <c r="B5002" s="3"/>
      <c r="C5002" s="4"/>
    </row>
    <row r="5003" spans="2:3" ht="14.25">
      <c r="B5003" s="3"/>
      <c r="C5003" s="4"/>
    </row>
    <row r="5004" spans="2:3" ht="14.25">
      <c r="B5004" s="3"/>
      <c r="C5004" s="4"/>
    </row>
    <row r="5005" spans="2:3" ht="14.25">
      <c r="B5005" s="3"/>
      <c r="C5005" s="4"/>
    </row>
    <row r="5006" spans="2:3" ht="14.25">
      <c r="B5006" s="3"/>
      <c r="C5006" s="4"/>
    </row>
    <row r="5007" spans="2:3" ht="14.25">
      <c r="B5007" s="3"/>
      <c r="C5007" s="4"/>
    </row>
    <row r="5008" spans="2:3" ht="14.25">
      <c r="B5008" s="3"/>
      <c r="C5008" s="4"/>
    </row>
    <row r="5009" spans="2:3" ht="14.25">
      <c r="B5009" s="3"/>
      <c r="C5009" s="4"/>
    </row>
    <row r="5010" spans="2:3" ht="14.25">
      <c r="B5010" s="3"/>
      <c r="C5010" s="4"/>
    </row>
    <row r="5011" spans="2:3" ht="14.25">
      <c r="B5011" s="3"/>
      <c r="C5011" s="4"/>
    </row>
    <row r="5012" spans="2:3" ht="14.25">
      <c r="B5012" s="3"/>
      <c r="C5012" s="4"/>
    </row>
    <row r="5013" spans="2:3" ht="14.25">
      <c r="B5013" s="3"/>
      <c r="C5013" s="4"/>
    </row>
    <row r="5014" spans="2:3" ht="14.25">
      <c r="B5014" s="3"/>
      <c r="C5014" s="4"/>
    </row>
    <row r="5015" spans="2:3" ht="14.25">
      <c r="B5015" s="3"/>
      <c r="C5015" s="4"/>
    </row>
    <row r="5016" spans="2:3" ht="14.25">
      <c r="B5016" s="3"/>
      <c r="C5016" s="4"/>
    </row>
    <row r="5017" spans="2:3" ht="14.25">
      <c r="B5017" s="3"/>
      <c r="C5017" s="4"/>
    </row>
    <row r="5018" spans="2:3" ht="14.25">
      <c r="B5018" s="3"/>
      <c r="C5018" s="4"/>
    </row>
    <row r="5019" spans="2:3" ht="14.25">
      <c r="B5019" s="3"/>
      <c r="C5019" s="4"/>
    </row>
    <row r="5020" spans="2:3" ht="14.25">
      <c r="B5020" s="3"/>
      <c r="C5020" s="4"/>
    </row>
    <row r="5021" spans="2:3" ht="14.25">
      <c r="B5021" s="3"/>
      <c r="C5021" s="4"/>
    </row>
    <row r="5022" spans="2:3" ht="14.25">
      <c r="B5022" s="3"/>
      <c r="C5022" s="4"/>
    </row>
    <row r="5023" spans="2:3" ht="14.25">
      <c r="B5023" s="3"/>
      <c r="C5023" s="4"/>
    </row>
    <row r="5024" spans="2:3" ht="14.25">
      <c r="B5024" s="3"/>
      <c r="C5024" s="4"/>
    </row>
    <row r="5025" spans="2:3" ht="14.25">
      <c r="B5025" s="3"/>
      <c r="C5025" s="4"/>
    </row>
    <row r="5026" spans="2:3" ht="14.25">
      <c r="B5026" s="3"/>
      <c r="C5026" s="4"/>
    </row>
    <row r="5027" spans="2:3" ht="14.25">
      <c r="B5027" s="3"/>
      <c r="C5027" s="4"/>
    </row>
    <row r="5028" spans="2:3" ht="14.25">
      <c r="B5028" s="3"/>
      <c r="C5028" s="4"/>
    </row>
    <row r="5029" spans="2:3" ht="14.25">
      <c r="B5029" s="3"/>
      <c r="C5029" s="4"/>
    </row>
    <row r="5030" spans="2:3" ht="14.25">
      <c r="B5030" s="3"/>
      <c r="C5030" s="4"/>
    </row>
    <row r="5031" spans="2:3" ht="14.25">
      <c r="B5031" s="3"/>
      <c r="C5031" s="4"/>
    </row>
    <row r="5032" spans="2:3" ht="14.25">
      <c r="B5032" s="3"/>
      <c r="C5032" s="4"/>
    </row>
    <row r="5033" spans="2:3" ht="14.25">
      <c r="B5033" s="3"/>
      <c r="C5033" s="4"/>
    </row>
    <row r="5034" spans="2:3" ht="14.25">
      <c r="B5034" s="3"/>
      <c r="C5034" s="4"/>
    </row>
    <row r="5035" spans="2:3" ht="14.25">
      <c r="B5035" s="3"/>
      <c r="C5035" s="4"/>
    </row>
    <row r="5036" spans="2:3" ht="14.25">
      <c r="B5036" s="3"/>
      <c r="C5036" s="4"/>
    </row>
    <row r="5037" spans="2:3" ht="14.25">
      <c r="B5037" s="3"/>
      <c r="C5037" s="4"/>
    </row>
    <row r="5038" spans="2:3" ht="14.25">
      <c r="B5038" s="3"/>
      <c r="C5038" s="4"/>
    </row>
    <row r="5039" spans="2:3" ht="14.25">
      <c r="B5039" s="3"/>
      <c r="C5039" s="4"/>
    </row>
    <row r="5040" spans="2:3" ht="14.25">
      <c r="B5040" s="3"/>
      <c r="C5040" s="4"/>
    </row>
    <row r="5041" spans="2:3" ht="14.25">
      <c r="B5041" s="3"/>
      <c r="C5041" s="4"/>
    </row>
    <row r="5042" spans="2:3" ht="14.25">
      <c r="B5042" s="3"/>
      <c r="C5042" s="4"/>
    </row>
    <row r="5043" spans="2:3" ht="14.25">
      <c r="B5043" s="3"/>
      <c r="C5043" s="4"/>
    </row>
    <row r="5044" spans="2:3" ht="14.25">
      <c r="B5044" s="3"/>
      <c r="C5044" s="4"/>
    </row>
    <row r="5045" spans="2:3" ht="14.25">
      <c r="B5045" s="3"/>
      <c r="C5045" s="4"/>
    </row>
    <row r="5046" spans="2:3" ht="14.25">
      <c r="B5046" s="3"/>
      <c r="C5046" s="4"/>
    </row>
    <row r="5047" spans="2:3" ht="14.25">
      <c r="B5047" s="3"/>
      <c r="C5047" s="4"/>
    </row>
    <row r="5048" spans="2:3" ht="14.25">
      <c r="B5048" s="3"/>
      <c r="C5048" s="4"/>
    </row>
    <row r="5049" spans="2:3" ht="14.25">
      <c r="B5049" s="3"/>
      <c r="C5049" s="4"/>
    </row>
    <row r="5050" spans="2:3" ht="14.25">
      <c r="B5050" s="3"/>
      <c r="C5050" s="4"/>
    </row>
    <row r="5051" spans="2:3" ht="14.25">
      <c r="B5051" s="3"/>
      <c r="C5051" s="4"/>
    </row>
    <row r="5052" spans="2:3" ht="14.25">
      <c r="B5052" s="3"/>
      <c r="C5052" s="4"/>
    </row>
    <row r="5053" spans="2:3" ht="14.25">
      <c r="B5053" s="3"/>
      <c r="C5053" s="4"/>
    </row>
    <row r="5054" spans="2:3" ht="14.25">
      <c r="B5054" s="3"/>
      <c r="C5054" s="4"/>
    </row>
    <row r="5055" spans="2:3" ht="14.25">
      <c r="B5055" s="3"/>
      <c r="C5055" s="4"/>
    </row>
    <row r="5056" spans="2:3" ht="14.25">
      <c r="B5056" s="3"/>
      <c r="C5056" s="4"/>
    </row>
    <row r="5057" spans="2:3" ht="14.25">
      <c r="B5057" s="3"/>
      <c r="C5057" s="4"/>
    </row>
    <row r="5058" spans="2:3" ht="14.25">
      <c r="B5058" s="3"/>
      <c r="C5058" s="4"/>
    </row>
    <row r="5059" spans="2:3" ht="14.25">
      <c r="B5059" s="3"/>
      <c r="C5059" s="4"/>
    </row>
    <row r="5060" spans="2:3" ht="14.25">
      <c r="B5060" s="3"/>
      <c r="C5060" s="4"/>
    </row>
    <row r="5061" spans="2:3" ht="14.25">
      <c r="B5061" s="3"/>
      <c r="C5061" s="4"/>
    </row>
    <row r="5062" spans="2:3" ht="14.25">
      <c r="B5062" s="3"/>
      <c r="C5062" s="4"/>
    </row>
    <row r="5063" spans="2:3" ht="14.25">
      <c r="B5063" s="3"/>
      <c r="C5063" s="4"/>
    </row>
    <row r="5064" spans="2:3" ht="14.25">
      <c r="B5064" s="3"/>
      <c r="C5064" s="4"/>
    </row>
    <row r="5065" spans="2:3" ht="14.25">
      <c r="B5065" s="3"/>
      <c r="C5065" s="4"/>
    </row>
    <row r="5066" spans="2:3" ht="14.25">
      <c r="B5066" s="3"/>
      <c r="C5066" s="4"/>
    </row>
    <row r="5067" spans="2:3" ht="14.25">
      <c r="B5067" s="3"/>
      <c r="C5067" s="4"/>
    </row>
    <row r="5068" spans="2:3" ht="14.25">
      <c r="B5068" s="3"/>
      <c r="C5068" s="4"/>
    </row>
    <row r="5069" spans="2:3" ht="14.25">
      <c r="B5069" s="3"/>
      <c r="C5069" s="4"/>
    </row>
    <row r="5070" spans="2:3" ht="14.25">
      <c r="B5070" s="3"/>
      <c r="C5070" s="4"/>
    </row>
    <row r="5071" spans="2:3" ht="14.25">
      <c r="B5071" s="3"/>
      <c r="C5071" s="4"/>
    </row>
    <row r="5072" spans="2:3" ht="14.25">
      <c r="B5072" s="3"/>
      <c r="C5072" s="4"/>
    </row>
    <row r="5073" spans="2:3" ht="14.25">
      <c r="B5073" s="3"/>
      <c r="C5073" s="4"/>
    </row>
    <row r="5074" spans="2:3" ht="14.25">
      <c r="B5074" s="3"/>
      <c r="C5074" s="4"/>
    </row>
    <row r="5075" spans="2:3" ht="14.25">
      <c r="B5075" s="3"/>
      <c r="C5075" s="4"/>
    </row>
    <row r="5076" spans="2:3" ht="14.25">
      <c r="B5076" s="3"/>
      <c r="C5076" s="4"/>
    </row>
    <row r="5077" spans="2:3" ht="14.25">
      <c r="B5077" s="3"/>
      <c r="C5077" s="4"/>
    </row>
    <row r="5078" spans="2:3" ht="14.25">
      <c r="B5078" s="3"/>
      <c r="C5078" s="4"/>
    </row>
    <row r="5079" spans="2:3" ht="14.25">
      <c r="B5079" s="3"/>
      <c r="C5079" s="4"/>
    </row>
    <row r="5080" spans="2:3" ht="14.25">
      <c r="B5080" s="3"/>
      <c r="C5080" s="4"/>
    </row>
    <row r="5081" spans="2:3" ht="14.25">
      <c r="B5081" s="3"/>
      <c r="C5081" s="4"/>
    </row>
    <row r="5082" spans="2:3" ht="14.25">
      <c r="B5082" s="3"/>
      <c r="C5082" s="4"/>
    </row>
    <row r="5083" spans="2:3" ht="14.25">
      <c r="B5083" s="3"/>
      <c r="C5083" s="4"/>
    </row>
    <row r="5084" spans="2:3" ht="14.25">
      <c r="B5084" s="3"/>
      <c r="C5084" s="4"/>
    </row>
    <row r="5085" spans="2:3" ht="14.25">
      <c r="B5085" s="3"/>
      <c r="C5085" s="4"/>
    </row>
    <row r="5086" spans="2:3" ht="14.25">
      <c r="B5086" s="3"/>
      <c r="C5086" s="4"/>
    </row>
    <row r="5087" spans="2:3" ht="14.25">
      <c r="B5087" s="3"/>
      <c r="C5087" s="4"/>
    </row>
    <row r="5088" spans="2:3" ht="14.25">
      <c r="B5088" s="3"/>
      <c r="C5088" s="4"/>
    </row>
    <row r="5089" spans="2:3" ht="14.25">
      <c r="B5089" s="3"/>
      <c r="C5089" s="4"/>
    </row>
    <row r="5090" spans="2:3" ht="14.25">
      <c r="B5090" s="3"/>
      <c r="C5090" s="4"/>
    </row>
    <row r="5091" spans="2:3" ht="14.25">
      <c r="B5091" s="3"/>
      <c r="C5091" s="4"/>
    </row>
    <row r="5092" spans="2:3" ht="14.25">
      <c r="B5092" s="3"/>
      <c r="C5092" s="4"/>
    </row>
    <row r="5093" spans="2:3" ht="14.25">
      <c r="B5093" s="3"/>
      <c r="C5093" s="4"/>
    </row>
    <row r="5094" spans="2:3" ht="14.25">
      <c r="B5094" s="3"/>
      <c r="C5094" s="4"/>
    </row>
    <row r="5095" spans="2:3" ht="14.25">
      <c r="B5095" s="3"/>
      <c r="C5095" s="4"/>
    </row>
    <row r="5096" spans="2:3" ht="14.25">
      <c r="B5096" s="3"/>
      <c r="C5096" s="4"/>
    </row>
    <row r="5097" spans="2:3" ht="14.25">
      <c r="B5097" s="3"/>
      <c r="C5097" s="4"/>
    </row>
    <row r="5098" spans="2:3" ht="14.25">
      <c r="B5098" s="3"/>
      <c r="C5098" s="4"/>
    </row>
    <row r="5099" spans="2:3" ht="14.25">
      <c r="B5099" s="3"/>
      <c r="C5099" s="4"/>
    </row>
    <row r="5100" spans="2:3" ht="14.25">
      <c r="B5100" s="3"/>
      <c r="C5100" s="4"/>
    </row>
    <row r="5101" spans="2:3" ht="14.25">
      <c r="B5101" s="3"/>
      <c r="C5101" s="4"/>
    </row>
    <row r="5102" spans="2:3" ht="14.25">
      <c r="B5102" s="3"/>
      <c r="C5102" s="4"/>
    </row>
    <row r="5103" spans="2:3" ht="14.25">
      <c r="B5103" s="3"/>
      <c r="C5103" s="4"/>
    </row>
    <row r="5104" spans="2:3" ht="14.25">
      <c r="B5104" s="3"/>
      <c r="C5104" s="4"/>
    </row>
    <row r="5105" spans="2:3" ht="14.25">
      <c r="B5105" s="3"/>
      <c r="C5105" s="4"/>
    </row>
    <row r="5106" spans="2:3" ht="14.25">
      <c r="B5106" s="3"/>
      <c r="C5106" s="4"/>
    </row>
    <row r="5107" spans="2:3" ht="14.25">
      <c r="B5107" s="3"/>
      <c r="C5107" s="4"/>
    </row>
    <row r="5108" spans="2:3" ht="14.25">
      <c r="B5108" s="3"/>
      <c r="C5108" s="4"/>
    </row>
    <row r="5109" spans="2:3" ht="14.25">
      <c r="B5109" s="3"/>
      <c r="C5109" s="4"/>
    </row>
    <row r="5110" spans="2:3" ht="14.25">
      <c r="B5110" s="3"/>
      <c r="C5110" s="4"/>
    </row>
    <row r="5111" spans="2:3" ht="14.25">
      <c r="B5111" s="3"/>
      <c r="C5111" s="4"/>
    </row>
    <row r="5112" spans="2:3" ht="14.25">
      <c r="B5112" s="3"/>
      <c r="C5112" s="4"/>
    </row>
    <row r="5113" spans="2:3" ht="14.25">
      <c r="B5113" s="3"/>
      <c r="C5113" s="4"/>
    </row>
    <row r="5114" spans="2:3" ht="14.25">
      <c r="B5114" s="3"/>
      <c r="C5114" s="4"/>
    </row>
    <row r="5115" spans="2:3" ht="14.25">
      <c r="B5115" s="3"/>
      <c r="C5115" s="4"/>
    </row>
    <row r="5116" spans="2:3" ht="14.25">
      <c r="B5116" s="3"/>
      <c r="C5116" s="4"/>
    </row>
    <row r="5117" spans="2:3" ht="14.25">
      <c r="B5117" s="3"/>
      <c r="C5117" s="4"/>
    </row>
    <row r="5118" spans="2:3" ht="14.25">
      <c r="B5118" s="3"/>
      <c r="C5118" s="4"/>
    </row>
    <row r="5119" spans="2:3" ht="14.25">
      <c r="B5119" s="3"/>
      <c r="C5119" s="4"/>
    </row>
    <row r="5120" spans="2:3" ht="14.25">
      <c r="B5120" s="3"/>
      <c r="C5120" s="4"/>
    </row>
    <row r="5121" spans="2:3" ht="14.25">
      <c r="B5121" s="3"/>
      <c r="C5121" s="4"/>
    </row>
    <row r="5122" spans="2:3" ht="14.25">
      <c r="B5122" s="3"/>
      <c r="C5122" s="4"/>
    </row>
    <row r="5123" spans="2:3" ht="14.25">
      <c r="B5123" s="3"/>
      <c r="C5123" s="4"/>
    </row>
    <row r="5124" spans="2:3" ht="14.25">
      <c r="B5124" s="3"/>
      <c r="C5124" s="4"/>
    </row>
    <row r="5125" spans="2:3" ht="14.25">
      <c r="B5125" s="3"/>
      <c r="C5125" s="4"/>
    </row>
    <row r="5126" spans="2:3" ht="14.25">
      <c r="B5126" s="3"/>
      <c r="C5126" s="4"/>
    </row>
    <row r="5127" spans="2:3" ht="14.25">
      <c r="B5127" s="3"/>
      <c r="C5127" s="4"/>
    </row>
    <row r="5128" spans="2:3" ht="14.25">
      <c r="B5128" s="3"/>
      <c r="C5128" s="4"/>
    </row>
    <row r="5129" spans="2:3" ht="14.25">
      <c r="B5129" s="3"/>
      <c r="C5129" s="4"/>
    </row>
    <row r="5130" spans="2:3" ht="14.25">
      <c r="B5130" s="3"/>
      <c r="C5130" s="4"/>
    </row>
    <row r="5131" spans="2:3" ht="14.25">
      <c r="B5131" s="3"/>
      <c r="C5131" s="4"/>
    </row>
    <row r="5132" spans="2:3" ht="14.25">
      <c r="B5132" s="3"/>
      <c r="C5132" s="4"/>
    </row>
    <row r="5133" spans="2:3" ht="14.25">
      <c r="B5133" s="3"/>
      <c r="C5133" s="4"/>
    </row>
    <row r="5134" spans="2:3" ht="14.25">
      <c r="B5134" s="3"/>
      <c r="C5134" s="4"/>
    </row>
    <row r="5135" spans="2:3" ht="14.25">
      <c r="B5135" s="3"/>
      <c r="C5135" s="4"/>
    </row>
    <row r="5136" spans="2:3" ht="14.25">
      <c r="B5136" s="3"/>
      <c r="C5136" s="4"/>
    </row>
    <row r="5137" spans="2:3" ht="14.25">
      <c r="B5137" s="3"/>
      <c r="C5137" s="4"/>
    </row>
    <row r="5138" spans="2:3" ht="14.25">
      <c r="B5138" s="3"/>
      <c r="C5138" s="4"/>
    </row>
    <row r="5139" spans="2:3" ht="14.25">
      <c r="B5139" s="3"/>
      <c r="C5139" s="4"/>
    </row>
    <row r="5140" spans="2:3" ht="14.25">
      <c r="B5140" s="3"/>
      <c r="C5140" s="4"/>
    </row>
    <row r="5141" spans="2:3" ht="14.25">
      <c r="B5141" s="3"/>
      <c r="C5141" s="4"/>
    </row>
    <row r="5142" spans="2:3" ht="14.25">
      <c r="B5142" s="3"/>
      <c r="C5142" s="4"/>
    </row>
    <row r="5143" spans="2:3" ht="14.25">
      <c r="B5143" s="3"/>
      <c r="C5143" s="4"/>
    </row>
    <row r="5144" spans="2:3" ht="14.25">
      <c r="B5144" s="3"/>
      <c r="C5144" s="4"/>
    </row>
    <row r="5145" spans="2:3" ht="14.25">
      <c r="B5145" s="3"/>
      <c r="C5145" s="4"/>
    </row>
    <row r="5146" spans="2:3" ht="14.25">
      <c r="B5146" s="3"/>
      <c r="C5146" s="4"/>
    </row>
    <row r="5147" spans="2:3" ht="14.25">
      <c r="B5147" s="3"/>
      <c r="C5147" s="4"/>
    </row>
    <row r="5148" spans="2:3" ht="14.25">
      <c r="B5148" s="3"/>
      <c r="C5148" s="4"/>
    </row>
    <row r="5149" spans="2:3" ht="14.25">
      <c r="B5149" s="3"/>
      <c r="C5149" s="4"/>
    </row>
    <row r="5150" spans="2:3" ht="14.25">
      <c r="B5150" s="3"/>
      <c r="C5150" s="4"/>
    </row>
    <row r="5151" spans="2:3" ht="14.25">
      <c r="B5151" s="3"/>
      <c r="C5151" s="4"/>
    </row>
    <row r="5152" spans="2:3" ht="14.25">
      <c r="B5152" s="3"/>
      <c r="C5152" s="4"/>
    </row>
    <row r="5153" spans="2:3" ht="14.25">
      <c r="B5153" s="3"/>
      <c r="C5153" s="4"/>
    </row>
    <row r="5154" spans="2:3" ht="14.25">
      <c r="B5154" s="3"/>
      <c r="C5154" s="4"/>
    </row>
    <row r="5155" spans="2:3" ht="14.25">
      <c r="B5155" s="3"/>
      <c r="C5155" s="4"/>
    </row>
    <row r="5156" spans="2:3" ht="14.25">
      <c r="B5156" s="3"/>
      <c r="C5156" s="4"/>
    </row>
    <row r="5157" spans="2:3" ht="14.25">
      <c r="B5157" s="3"/>
      <c r="C5157" s="4"/>
    </row>
    <row r="5158" spans="2:3" ht="14.25">
      <c r="B5158" s="3"/>
      <c r="C5158" s="4"/>
    </row>
    <row r="5159" spans="2:3" ht="14.25">
      <c r="B5159" s="3"/>
      <c r="C5159" s="4"/>
    </row>
    <row r="5160" spans="2:3" ht="14.25">
      <c r="B5160" s="3"/>
      <c r="C5160" s="4"/>
    </row>
    <row r="5161" spans="2:3" ht="14.25">
      <c r="B5161" s="3"/>
      <c r="C5161" s="4"/>
    </row>
    <row r="5162" spans="2:3" ht="14.25">
      <c r="B5162" s="3"/>
      <c r="C5162" s="4"/>
    </row>
    <row r="5163" spans="2:3" ht="14.25">
      <c r="B5163" s="3"/>
      <c r="C5163" s="4"/>
    </row>
    <row r="5164" spans="2:3" ht="14.25">
      <c r="B5164" s="3"/>
      <c r="C5164" s="4"/>
    </row>
    <row r="5165" spans="2:3" ht="14.25">
      <c r="B5165" s="3"/>
      <c r="C5165" s="4"/>
    </row>
    <row r="5166" spans="2:3" ht="14.25">
      <c r="B5166" s="3"/>
      <c r="C5166" s="4"/>
    </row>
    <row r="5167" spans="2:3" ht="14.25">
      <c r="B5167" s="3"/>
      <c r="C5167" s="4"/>
    </row>
    <row r="5168" spans="2:3" ht="14.25">
      <c r="B5168" s="3"/>
      <c r="C5168" s="4"/>
    </row>
    <row r="5169" spans="2:3" ht="14.25">
      <c r="B5169" s="3"/>
      <c r="C5169" s="4"/>
    </row>
    <row r="5170" spans="2:3" ht="14.25">
      <c r="B5170" s="3"/>
      <c r="C5170" s="4"/>
    </row>
    <row r="5171" spans="2:3" ht="14.25">
      <c r="B5171" s="3"/>
      <c r="C5171" s="4"/>
    </row>
    <row r="5172" spans="2:3" ht="14.25">
      <c r="B5172" s="3"/>
      <c r="C5172" s="4"/>
    </row>
    <row r="5173" spans="2:3" ht="14.25">
      <c r="B5173" s="3"/>
      <c r="C5173" s="4"/>
    </row>
    <row r="5174" spans="2:3" ht="14.25">
      <c r="B5174" s="3"/>
      <c r="C5174" s="4"/>
    </row>
    <row r="5175" spans="2:3" ht="14.25">
      <c r="B5175" s="3"/>
      <c r="C5175" s="4"/>
    </row>
    <row r="5176" spans="2:3" ht="14.25">
      <c r="B5176" s="3"/>
      <c r="C5176" s="4"/>
    </row>
    <row r="5177" spans="2:3" ht="14.25">
      <c r="B5177" s="3"/>
      <c r="C5177" s="4"/>
    </row>
    <row r="5178" spans="2:3" ht="14.25">
      <c r="B5178" s="3"/>
      <c r="C5178" s="4"/>
    </row>
    <row r="5179" spans="2:3" ht="14.25">
      <c r="B5179" s="3"/>
      <c r="C5179" s="4"/>
    </row>
    <row r="5180" spans="2:3" ht="14.25">
      <c r="B5180" s="3"/>
      <c r="C5180" s="4"/>
    </row>
    <row r="5181" spans="2:3" ht="14.25">
      <c r="B5181" s="3"/>
      <c r="C5181" s="4"/>
    </row>
    <row r="5182" spans="2:3" ht="14.25">
      <c r="B5182" s="3"/>
      <c r="C5182" s="4"/>
    </row>
    <row r="5183" spans="2:3" ht="14.25">
      <c r="B5183" s="3"/>
      <c r="C5183" s="4"/>
    </row>
    <row r="5184" spans="2:3" ht="14.25">
      <c r="B5184" s="3"/>
      <c r="C5184" s="4"/>
    </row>
    <row r="5185" spans="2:3" ht="14.25">
      <c r="B5185" s="3"/>
      <c r="C5185" s="4"/>
    </row>
    <row r="5186" spans="2:3" ht="14.25">
      <c r="B5186" s="3"/>
      <c r="C5186" s="4"/>
    </row>
    <row r="5187" spans="2:3" ht="14.25">
      <c r="B5187" s="3"/>
      <c r="C5187" s="4"/>
    </row>
    <row r="5188" spans="2:3" ht="14.25">
      <c r="B5188" s="3"/>
      <c r="C5188" s="4"/>
    </row>
    <row r="5189" spans="2:3" ht="14.25">
      <c r="B5189" s="3"/>
      <c r="C5189" s="4"/>
    </row>
    <row r="5190" spans="2:3" ht="14.25">
      <c r="B5190" s="3"/>
      <c r="C5190" s="4"/>
    </row>
    <row r="5191" spans="2:3" ht="14.25">
      <c r="B5191" s="3"/>
      <c r="C5191" s="4"/>
    </row>
    <row r="5192" spans="2:3" ht="14.25">
      <c r="B5192" s="3"/>
      <c r="C5192" s="4"/>
    </row>
    <row r="5193" spans="2:3" ht="14.25">
      <c r="B5193" s="3"/>
      <c r="C5193" s="4"/>
    </row>
    <row r="5194" spans="2:3" ht="14.25">
      <c r="B5194" s="3"/>
      <c r="C5194" s="4"/>
    </row>
    <row r="5195" spans="2:3" ht="14.25">
      <c r="B5195" s="3"/>
      <c r="C5195" s="4"/>
    </row>
    <row r="5196" spans="2:3" ht="14.25">
      <c r="B5196" s="3"/>
      <c r="C5196" s="4"/>
    </row>
    <row r="5197" spans="2:3" ht="14.25">
      <c r="B5197" s="3"/>
      <c r="C5197" s="4"/>
    </row>
    <row r="5198" spans="2:3" ht="14.25">
      <c r="B5198" s="3"/>
      <c r="C5198" s="4"/>
    </row>
    <row r="5199" spans="2:3" ht="14.25">
      <c r="B5199" s="3"/>
      <c r="C5199" s="4"/>
    </row>
    <row r="5200" spans="2:3" ht="14.25">
      <c r="B5200" s="3"/>
      <c r="C5200" s="4"/>
    </row>
    <row r="5201" spans="2:3" ht="14.25">
      <c r="B5201" s="3"/>
      <c r="C5201" s="4"/>
    </row>
    <row r="5202" spans="2:3" ht="14.25">
      <c r="B5202" s="3"/>
      <c r="C5202" s="4"/>
    </row>
    <row r="5203" spans="2:3" ht="14.25">
      <c r="B5203" s="3"/>
      <c r="C5203" s="4"/>
    </row>
    <row r="5204" spans="2:3" ht="14.25">
      <c r="B5204" s="3"/>
      <c r="C5204" s="4"/>
    </row>
    <row r="5205" spans="2:3" ht="14.25">
      <c r="B5205" s="3"/>
      <c r="C5205" s="4"/>
    </row>
    <row r="5206" spans="2:3" ht="14.25">
      <c r="B5206" s="3"/>
      <c r="C5206" s="4"/>
    </row>
    <row r="5207" spans="2:3" ht="14.25">
      <c r="B5207" s="3"/>
      <c r="C5207" s="4"/>
    </row>
    <row r="5208" spans="2:3" ht="14.25">
      <c r="B5208" s="3"/>
      <c r="C5208" s="4"/>
    </row>
    <row r="5209" spans="2:3" ht="14.25">
      <c r="B5209" s="3"/>
      <c r="C5209" s="4"/>
    </row>
    <row r="5210" spans="2:3" ht="14.25">
      <c r="B5210" s="3"/>
      <c r="C5210" s="4"/>
    </row>
    <row r="5211" spans="2:3" ht="14.25">
      <c r="B5211" s="3"/>
      <c r="C5211" s="4"/>
    </row>
    <row r="5212" spans="2:3" ht="14.25">
      <c r="B5212" s="3"/>
      <c r="C5212" s="4"/>
    </row>
    <row r="5213" spans="2:3" ht="14.25">
      <c r="B5213" s="3"/>
      <c r="C5213" s="4"/>
    </row>
    <row r="5214" spans="2:3" ht="14.25">
      <c r="B5214" s="3"/>
      <c r="C5214" s="4"/>
    </row>
    <row r="5215" spans="2:3" ht="14.25">
      <c r="B5215" s="3"/>
      <c r="C5215" s="4"/>
    </row>
    <row r="5216" spans="2:3" ht="14.25">
      <c r="B5216" s="3"/>
      <c r="C5216" s="4"/>
    </row>
    <row r="5217" spans="2:3" ht="14.25">
      <c r="B5217" s="3"/>
      <c r="C5217" s="4"/>
    </row>
    <row r="5218" spans="2:3" ht="14.25">
      <c r="B5218" s="3"/>
      <c r="C5218" s="4"/>
    </row>
    <row r="5219" spans="2:3" ht="14.25">
      <c r="B5219" s="3"/>
      <c r="C5219" s="4"/>
    </row>
    <row r="5220" spans="2:3" ht="14.25">
      <c r="B5220" s="3"/>
      <c r="C5220" s="4"/>
    </row>
    <row r="5221" spans="2:3" ht="14.25">
      <c r="B5221" s="3"/>
      <c r="C5221" s="4"/>
    </row>
    <row r="5222" spans="2:3" ht="14.25">
      <c r="B5222" s="3"/>
      <c r="C5222" s="4"/>
    </row>
    <row r="5223" spans="2:3" ht="14.25">
      <c r="B5223" s="3"/>
      <c r="C5223" s="4"/>
    </row>
    <row r="5224" spans="2:3" ht="14.25">
      <c r="B5224" s="3"/>
      <c r="C5224" s="4"/>
    </row>
    <row r="5225" spans="2:3" ht="14.25">
      <c r="B5225" s="3"/>
      <c r="C5225" s="4"/>
    </row>
    <row r="5226" spans="2:3" ht="14.25">
      <c r="B5226" s="3"/>
      <c r="C5226" s="4"/>
    </row>
    <row r="5227" spans="2:3" ht="14.25">
      <c r="B5227" s="3"/>
      <c r="C5227" s="4"/>
    </row>
    <row r="5228" spans="2:3" ht="14.25">
      <c r="B5228" s="3"/>
      <c r="C5228" s="4"/>
    </row>
    <row r="5229" spans="2:3" ht="14.25">
      <c r="B5229" s="3"/>
      <c r="C5229" s="4"/>
    </row>
    <row r="5230" spans="2:3" ht="14.25">
      <c r="B5230" s="3"/>
      <c r="C5230" s="4"/>
    </row>
    <row r="5231" spans="2:3" ht="14.25">
      <c r="B5231" s="3"/>
      <c r="C5231" s="4"/>
    </row>
    <row r="5232" spans="2:3" ht="14.25">
      <c r="B5232" s="3"/>
      <c r="C5232" s="4"/>
    </row>
    <row r="5233" spans="2:3" ht="14.25">
      <c r="B5233" s="3"/>
      <c r="C5233" s="4"/>
    </row>
    <row r="5234" spans="2:3" ht="14.25">
      <c r="B5234" s="3"/>
      <c r="C5234" s="4"/>
    </row>
    <row r="5235" spans="2:3" ht="14.25">
      <c r="B5235" s="3"/>
      <c r="C5235" s="4"/>
    </row>
    <row r="5236" spans="2:3" ht="14.25">
      <c r="B5236" s="3"/>
      <c r="C5236" s="4"/>
    </row>
    <row r="5237" spans="2:3" ht="14.25">
      <c r="B5237" s="3"/>
      <c r="C5237" s="4"/>
    </row>
    <row r="5238" spans="2:3" ht="14.25">
      <c r="B5238" s="3"/>
      <c r="C5238" s="4"/>
    </row>
    <row r="5239" spans="2:3" ht="14.25">
      <c r="B5239" s="3"/>
      <c r="C5239" s="4"/>
    </row>
    <row r="5240" spans="2:3" ht="14.25">
      <c r="B5240" s="3"/>
      <c r="C5240" s="4"/>
    </row>
    <row r="5241" spans="2:3" ht="14.25">
      <c r="B5241" s="3"/>
      <c r="C5241" s="4"/>
    </row>
    <row r="5242" spans="2:3" ht="14.25">
      <c r="B5242" s="3"/>
      <c r="C5242" s="4"/>
    </row>
    <row r="5243" spans="2:3" ht="14.25">
      <c r="B5243" s="3"/>
      <c r="C5243" s="4"/>
    </row>
    <row r="5244" spans="2:3" ht="14.25">
      <c r="B5244" s="3"/>
      <c r="C5244" s="4"/>
    </row>
    <row r="5245" spans="2:3" ht="14.25">
      <c r="B5245" s="3"/>
      <c r="C5245" s="4"/>
    </row>
    <row r="5246" spans="2:3" ht="14.25">
      <c r="B5246" s="3"/>
      <c r="C5246" s="4"/>
    </row>
    <row r="5247" spans="2:3" ht="14.25">
      <c r="B5247" s="3"/>
      <c r="C5247" s="4"/>
    </row>
    <row r="5248" spans="2:3" ht="14.25">
      <c r="B5248" s="3"/>
      <c r="C5248" s="4"/>
    </row>
    <row r="5249" spans="2:3" ht="14.25">
      <c r="B5249" s="3"/>
      <c r="C5249" s="4"/>
    </row>
    <row r="5250" spans="2:3" ht="14.25">
      <c r="B5250" s="3"/>
      <c r="C5250" s="4"/>
    </row>
    <row r="5251" spans="2:3" ht="14.25">
      <c r="B5251" s="3"/>
      <c r="C5251" s="4"/>
    </row>
    <row r="5252" spans="2:3" ht="14.25">
      <c r="B5252" s="3"/>
      <c r="C5252" s="4"/>
    </row>
    <row r="5253" spans="2:3" ht="14.25">
      <c r="B5253" s="3"/>
      <c r="C5253" s="4"/>
    </row>
    <row r="5254" spans="2:3" ht="14.25">
      <c r="B5254" s="3"/>
      <c r="C5254" s="4"/>
    </row>
    <row r="5255" spans="2:3" ht="14.25">
      <c r="B5255" s="3"/>
      <c r="C5255" s="4"/>
    </row>
    <row r="5256" spans="2:3" ht="14.25">
      <c r="B5256" s="3"/>
      <c r="C5256" s="4"/>
    </row>
    <row r="5257" spans="2:3" ht="14.25">
      <c r="B5257" s="3"/>
      <c r="C5257" s="4"/>
    </row>
    <row r="5258" spans="2:3" ht="14.25">
      <c r="B5258" s="3"/>
      <c r="C5258" s="4"/>
    </row>
    <row r="5259" spans="2:3" ht="14.25">
      <c r="B5259" s="3"/>
      <c r="C5259" s="4"/>
    </row>
    <row r="5260" spans="2:3" ht="14.25">
      <c r="B5260" s="3"/>
      <c r="C5260" s="4"/>
    </row>
    <row r="5261" spans="2:3" ht="14.25">
      <c r="B5261" s="3"/>
      <c r="C5261" s="4"/>
    </row>
    <row r="5262" spans="2:3" ht="14.25">
      <c r="B5262" s="3"/>
      <c r="C5262" s="4"/>
    </row>
    <row r="5263" spans="2:3" ht="14.25">
      <c r="B5263" s="3"/>
      <c r="C5263" s="4"/>
    </row>
    <row r="5264" spans="2:3" ht="14.25">
      <c r="B5264" s="3"/>
      <c r="C5264" s="4"/>
    </row>
    <row r="5265" spans="2:3" ht="14.25">
      <c r="B5265" s="3"/>
      <c r="C5265" s="4"/>
    </row>
    <row r="5266" spans="2:3" ht="14.25">
      <c r="B5266" s="3"/>
      <c r="C5266" s="4"/>
    </row>
    <row r="5267" spans="2:3" ht="14.25">
      <c r="B5267" s="3"/>
      <c r="C5267" s="4"/>
    </row>
    <row r="5268" spans="2:3" ht="14.25">
      <c r="B5268" s="3"/>
      <c r="C5268" s="4"/>
    </row>
    <row r="5269" spans="2:3" ht="14.25">
      <c r="B5269" s="3"/>
      <c r="C5269" s="4"/>
    </row>
    <row r="5270" spans="2:3" ht="14.25">
      <c r="B5270" s="3"/>
      <c r="C5270" s="4"/>
    </row>
    <row r="5271" spans="2:3" ht="14.25">
      <c r="B5271" s="3"/>
      <c r="C5271" s="4"/>
    </row>
    <row r="5272" spans="2:3" ht="14.25">
      <c r="B5272" s="3"/>
      <c r="C5272" s="4"/>
    </row>
    <row r="5273" spans="2:3" ht="14.25">
      <c r="B5273" s="3"/>
      <c r="C5273" s="4"/>
    </row>
    <row r="5274" spans="2:3" ht="14.25">
      <c r="B5274" s="3"/>
      <c r="C5274" s="4"/>
    </row>
    <row r="5275" spans="2:3" ht="14.25">
      <c r="B5275" s="3"/>
      <c r="C5275" s="4"/>
    </row>
    <row r="5276" spans="2:3" ht="14.25">
      <c r="B5276" s="3"/>
      <c r="C5276" s="4"/>
    </row>
    <row r="5277" spans="2:3" ht="14.25">
      <c r="B5277" s="3"/>
      <c r="C5277" s="4"/>
    </row>
    <row r="5278" spans="2:3" ht="14.25">
      <c r="B5278" s="3"/>
      <c r="C5278" s="4"/>
    </row>
    <row r="5279" spans="2:3" ht="14.25">
      <c r="B5279" s="3"/>
      <c r="C5279" s="4"/>
    </row>
    <row r="5280" spans="2:3" ht="14.25">
      <c r="B5280" s="3"/>
      <c r="C5280" s="4"/>
    </row>
    <row r="5281" spans="2:3" ht="14.25">
      <c r="B5281" s="3"/>
      <c r="C5281" s="4"/>
    </row>
    <row r="5282" spans="2:3" ht="14.25">
      <c r="B5282" s="3"/>
      <c r="C5282" s="4"/>
    </row>
    <row r="5283" spans="2:3" ht="14.25">
      <c r="B5283" s="3"/>
      <c r="C5283" s="4"/>
    </row>
    <row r="5284" spans="2:3" ht="14.25">
      <c r="B5284" s="3"/>
      <c r="C5284" s="4"/>
    </row>
    <row r="5285" spans="2:3" ht="14.25">
      <c r="B5285" s="3"/>
      <c r="C5285" s="4"/>
    </row>
    <row r="5286" spans="2:3" ht="14.25">
      <c r="B5286" s="3"/>
      <c r="C5286" s="4"/>
    </row>
    <row r="5287" spans="2:3" ht="14.25">
      <c r="B5287" s="3"/>
      <c r="C5287" s="4"/>
    </row>
    <row r="5288" spans="2:3" ht="14.25">
      <c r="B5288" s="3"/>
      <c r="C5288" s="4"/>
    </row>
    <row r="5289" spans="2:3" ht="14.25">
      <c r="B5289" s="3"/>
      <c r="C5289" s="4"/>
    </row>
    <row r="5290" spans="2:3" ht="14.25">
      <c r="B5290" s="3"/>
      <c r="C5290" s="4"/>
    </row>
    <row r="5291" spans="2:3" ht="14.25">
      <c r="B5291" s="3"/>
      <c r="C5291" s="4"/>
    </row>
    <row r="5292" spans="2:3" ht="14.25">
      <c r="B5292" s="3"/>
      <c r="C5292" s="4"/>
    </row>
    <row r="5293" spans="2:3" ht="14.25">
      <c r="B5293" s="3"/>
      <c r="C5293" s="4"/>
    </row>
    <row r="5294" spans="2:3" ht="14.25">
      <c r="B5294" s="3"/>
      <c r="C5294" s="4"/>
    </row>
    <row r="5295" spans="2:3" ht="14.25">
      <c r="B5295" s="3"/>
      <c r="C5295" s="4"/>
    </row>
    <row r="5296" spans="2:3" ht="14.25">
      <c r="B5296" s="3"/>
      <c r="C5296" s="4"/>
    </row>
    <row r="5297" spans="2:3" ht="14.25">
      <c r="B5297" s="3"/>
      <c r="C5297" s="4"/>
    </row>
    <row r="5298" spans="2:3" ht="14.25">
      <c r="B5298" s="3"/>
      <c r="C5298" s="4"/>
    </row>
    <row r="5299" spans="2:3" ht="14.25">
      <c r="B5299" s="3"/>
      <c r="C5299" s="4"/>
    </row>
    <row r="5300" spans="2:3" ht="14.25">
      <c r="B5300" s="3"/>
      <c r="C5300" s="4"/>
    </row>
    <row r="5301" spans="2:3" ht="14.25">
      <c r="B5301" s="3"/>
      <c r="C5301" s="4"/>
    </row>
    <row r="5302" spans="2:3" ht="14.25">
      <c r="B5302" s="3"/>
      <c r="C5302" s="4"/>
    </row>
    <row r="5303" spans="2:3" ht="14.25">
      <c r="B5303" s="3"/>
      <c r="C5303" s="4"/>
    </row>
    <row r="5304" spans="2:3" ht="14.25">
      <c r="B5304" s="3"/>
      <c r="C5304" s="4"/>
    </row>
    <row r="5305" spans="2:3" ht="14.25">
      <c r="B5305" s="3"/>
      <c r="C5305" s="4"/>
    </row>
    <row r="5306" spans="2:3" ht="14.25">
      <c r="B5306" s="3"/>
      <c r="C5306" s="4"/>
    </row>
    <row r="5307" spans="2:3" ht="14.25">
      <c r="B5307" s="3"/>
      <c r="C5307" s="4"/>
    </row>
    <row r="5308" spans="2:3" ht="14.25">
      <c r="B5308" s="3"/>
      <c r="C5308" s="4"/>
    </row>
    <row r="5309" spans="2:3" ht="14.25">
      <c r="B5309" s="3"/>
      <c r="C5309" s="4"/>
    </row>
    <row r="5310" spans="2:3" ht="14.25">
      <c r="B5310" s="3"/>
      <c r="C5310" s="4"/>
    </row>
    <row r="5311" spans="2:3" ht="14.25">
      <c r="B5311" s="3"/>
      <c r="C5311" s="4"/>
    </row>
    <row r="5312" spans="2:3" ht="14.25">
      <c r="B5312" s="3"/>
      <c r="C5312" s="4"/>
    </row>
    <row r="5313" spans="2:3" ht="14.25">
      <c r="B5313" s="3"/>
      <c r="C5313" s="4"/>
    </row>
    <row r="5314" spans="2:3" ht="14.25">
      <c r="B5314" s="3"/>
      <c r="C5314" s="4"/>
    </row>
    <row r="5315" spans="2:3" ht="14.25">
      <c r="B5315" s="3"/>
      <c r="C5315" s="4"/>
    </row>
    <row r="5316" spans="2:3" ht="14.25">
      <c r="B5316" s="3"/>
      <c r="C5316" s="4"/>
    </row>
    <row r="5317" spans="2:3" ht="14.25">
      <c r="B5317" s="3"/>
      <c r="C5317" s="4"/>
    </row>
    <row r="5318" spans="2:3" ht="14.25">
      <c r="B5318" s="3"/>
      <c r="C5318" s="4"/>
    </row>
    <row r="5319" spans="2:3" ht="14.25">
      <c r="B5319" s="3"/>
      <c r="C5319" s="4"/>
    </row>
    <row r="5320" spans="2:3" ht="14.25">
      <c r="B5320" s="3"/>
      <c r="C5320" s="4"/>
    </row>
    <row r="5321" spans="2:3" ht="14.25">
      <c r="B5321" s="3"/>
      <c r="C5321" s="4"/>
    </row>
    <row r="5322" spans="2:3" ht="14.25">
      <c r="B5322" s="3"/>
      <c r="C5322" s="4"/>
    </row>
    <row r="5323" spans="2:3" ht="14.25">
      <c r="B5323" s="3"/>
      <c r="C5323" s="4"/>
    </row>
    <row r="5324" spans="2:3" ht="14.25">
      <c r="B5324" s="3"/>
      <c r="C5324" s="4"/>
    </row>
    <row r="5325" spans="2:3" ht="14.25">
      <c r="B5325" s="3"/>
      <c r="C5325" s="4"/>
    </row>
    <row r="5326" spans="2:3" ht="14.25">
      <c r="B5326" s="3"/>
      <c r="C5326" s="4"/>
    </row>
    <row r="5327" spans="2:3" ht="14.25">
      <c r="B5327" s="3"/>
      <c r="C5327" s="4"/>
    </row>
    <row r="5328" spans="2:3" ht="14.25">
      <c r="B5328" s="3"/>
      <c r="C5328" s="4"/>
    </row>
    <row r="5329" spans="2:3" ht="14.25">
      <c r="B5329" s="3"/>
      <c r="C5329" s="4"/>
    </row>
    <row r="5330" spans="2:3" ht="14.25">
      <c r="B5330" s="3"/>
      <c r="C5330" s="4"/>
    </row>
    <row r="5331" spans="2:3" ht="14.25">
      <c r="B5331" s="3"/>
      <c r="C5331" s="4"/>
    </row>
    <row r="5332" spans="2:3" ht="14.25">
      <c r="B5332" s="3"/>
      <c r="C5332" s="4"/>
    </row>
    <row r="5333" spans="2:3" ht="14.25">
      <c r="B5333" s="3"/>
      <c r="C5333" s="4"/>
    </row>
    <row r="5334" spans="2:3" ht="14.25">
      <c r="B5334" s="3"/>
      <c r="C5334" s="4"/>
    </row>
    <row r="5335" spans="2:3" ht="14.25">
      <c r="B5335" s="3"/>
      <c r="C5335" s="4"/>
    </row>
    <row r="5336" spans="2:3" ht="14.25">
      <c r="B5336" s="3"/>
      <c r="C5336" s="4"/>
    </row>
    <row r="5337" spans="2:3" ht="14.25">
      <c r="B5337" s="3"/>
      <c r="C5337" s="4"/>
    </row>
    <row r="5338" spans="2:3" ht="14.25">
      <c r="B5338" s="3"/>
      <c r="C5338" s="4"/>
    </row>
    <row r="5339" spans="2:3" ht="14.25">
      <c r="B5339" s="3"/>
      <c r="C5339" s="4"/>
    </row>
    <row r="5340" spans="2:3" ht="14.25">
      <c r="B5340" s="3"/>
      <c r="C5340" s="4"/>
    </row>
    <row r="5341" spans="2:3" ht="14.25">
      <c r="B5341" s="3"/>
      <c r="C5341" s="4"/>
    </row>
    <row r="5342" spans="2:3" ht="14.25">
      <c r="B5342" s="3"/>
      <c r="C5342" s="4"/>
    </row>
    <row r="5343" spans="2:3" ht="14.25">
      <c r="B5343" s="3"/>
      <c r="C5343" s="4"/>
    </row>
    <row r="5344" spans="2:3" ht="14.25">
      <c r="B5344" s="3"/>
      <c r="C5344" s="4"/>
    </row>
    <row r="5345" spans="2:3" ht="14.25">
      <c r="B5345" s="3"/>
      <c r="C5345" s="4"/>
    </row>
    <row r="5346" spans="2:3" ht="14.25">
      <c r="B5346" s="3"/>
      <c r="C5346" s="4"/>
    </row>
    <row r="5347" spans="2:3" ht="14.25">
      <c r="B5347" s="3"/>
      <c r="C5347" s="4"/>
    </row>
    <row r="5348" spans="2:3" ht="14.25">
      <c r="B5348" s="3"/>
      <c r="C5348" s="4"/>
    </row>
    <row r="5349" spans="2:3" ht="14.25">
      <c r="B5349" s="3"/>
      <c r="C5349" s="4"/>
    </row>
    <row r="5350" spans="2:3" ht="14.25">
      <c r="B5350" s="3"/>
      <c r="C5350" s="4"/>
    </row>
    <row r="5351" spans="2:3" ht="14.25">
      <c r="B5351" s="3"/>
      <c r="C5351" s="4"/>
    </row>
    <row r="5352" spans="2:3" ht="14.25">
      <c r="B5352" s="3"/>
      <c r="C5352" s="4"/>
    </row>
    <row r="5353" spans="2:3" ht="14.25">
      <c r="B5353" s="3"/>
      <c r="C5353" s="4"/>
    </row>
    <row r="5354" spans="2:3" ht="14.25">
      <c r="B5354" s="3"/>
      <c r="C5354" s="4"/>
    </row>
    <row r="5355" spans="2:3" ht="14.25">
      <c r="B5355" s="3"/>
      <c r="C5355" s="4"/>
    </row>
    <row r="5356" spans="2:3" ht="14.25">
      <c r="B5356" s="3"/>
      <c r="C5356" s="4"/>
    </row>
    <row r="5357" spans="2:3" ht="14.25">
      <c r="B5357" s="3"/>
      <c r="C5357" s="4"/>
    </row>
    <row r="5358" spans="2:3" ht="14.25">
      <c r="B5358" s="3"/>
      <c r="C5358" s="4"/>
    </row>
    <row r="5359" spans="2:3" ht="14.25">
      <c r="B5359" s="3"/>
      <c r="C5359" s="4"/>
    </row>
    <row r="5360" spans="2:3" ht="14.25">
      <c r="B5360" s="3"/>
      <c r="C5360" s="4"/>
    </row>
    <row r="5361" spans="2:3" ht="14.25">
      <c r="B5361" s="3"/>
      <c r="C5361" s="4"/>
    </row>
    <row r="5362" spans="2:3" ht="14.25">
      <c r="B5362" s="3"/>
      <c r="C5362" s="4"/>
    </row>
    <row r="5363" spans="2:3" ht="14.25">
      <c r="B5363" s="3"/>
      <c r="C5363" s="4"/>
    </row>
    <row r="5364" spans="2:3" ht="14.25">
      <c r="B5364" s="3"/>
      <c r="C5364" s="4"/>
    </row>
    <row r="5365" spans="2:3" ht="14.25">
      <c r="B5365" s="3"/>
      <c r="C5365" s="4"/>
    </row>
    <row r="5366" spans="2:3" ht="14.25">
      <c r="B5366" s="3"/>
      <c r="C5366" s="4"/>
    </row>
    <row r="5367" spans="2:3" ht="14.25">
      <c r="B5367" s="3"/>
      <c r="C5367" s="4"/>
    </row>
    <row r="5368" spans="2:3" ht="14.25">
      <c r="B5368" s="3"/>
      <c r="C5368" s="4"/>
    </row>
    <row r="5369" spans="2:3" ht="14.25">
      <c r="B5369" s="3"/>
      <c r="C5369" s="4"/>
    </row>
    <row r="5370" spans="2:3" ht="14.25">
      <c r="B5370" s="3"/>
      <c r="C5370" s="4"/>
    </row>
    <row r="5371" spans="2:3" ht="14.25">
      <c r="B5371" s="3"/>
      <c r="C5371" s="4"/>
    </row>
    <row r="5372" spans="2:3" ht="14.25">
      <c r="B5372" s="3"/>
      <c r="C5372" s="4"/>
    </row>
    <row r="5373" spans="2:3" ht="14.25">
      <c r="B5373" s="3"/>
      <c r="C5373" s="4"/>
    </row>
    <row r="5374" spans="2:3" ht="14.25">
      <c r="B5374" s="3"/>
      <c r="C5374" s="4"/>
    </row>
    <row r="5375" spans="2:3" ht="14.25">
      <c r="B5375" s="3"/>
      <c r="C5375" s="4"/>
    </row>
    <row r="5376" spans="2:3" ht="14.25">
      <c r="B5376" s="3"/>
      <c r="C5376" s="4"/>
    </row>
    <row r="5377" spans="2:3" ht="14.25">
      <c r="B5377" s="3"/>
      <c r="C5377" s="4"/>
    </row>
    <row r="5378" spans="2:3" ht="14.25">
      <c r="B5378" s="3"/>
      <c r="C5378" s="4"/>
    </row>
    <row r="5379" spans="2:3" ht="14.25">
      <c r="B5379" s="3"/>
      <c r="C5379" s="4"/>
    </row>
    <row r="5380" spans="2:3" ht="14.25">
      <c r="B5380" s="3"/>
      <c r="C5380" s="4"/>
    </row>
    <row r="5381" spans="2:3" ht="14.25">
      <c r="B5381" s="3"/>
      <c r="C5381" s="4"/>
    </row>
    <row r="5382" spans="2:3" ht="14.25">
      <c r="B5382" s="3"/>
      <c r="C5382" s="4"/>
    </row>
    <row r="5383" spans="2:3" ht="14.25">
      <c r="B5383" s="3"/>
      <c r="C5383" s="4"/>
    </row>
    <row r="5384" spans="2:3" ht="14.25">
      <c r="B5384" s="3"/>
      <c r="C5384" s="4"/>
    </row>
    <row r="5385" spans="2:3" ht="14.25">
      <c r="B5385" s="3"/>
      <c r="C5385" s="4"/>
    </row>
    <row r="5386" spans="2:3" ht="14.25">
      <c r="B5386" s="3"/>
      <c r="C5386" s="4"/>
    </row>
    <row r="5387" spans="2:3" ht="14.25">
      <c r="B5387" s="3"/>
      <c r="C5387" s="4"/>
    </row>
    <row r="5388" spans="2:3" ht="14.25">
      <c r="B5388" s="3"/>
      <c r="C5388" s="4"/>
    </row>
    <row r="5389" spans="2:3" ht="14.25">
      <c r="B5389" s="3"/>
      <c r="C5389" s="4"/>
    </row>
    <row r="5390" spans="2:3" ht="14.25">
      <c r="B5390" s="3"/>
      <c r="C5390" s="4"/>
    </row>
    <row r="5391" spans="2:3" ht="14.25">
      <c r="B5391" s="3"/>
      <c r="C5391" s="4"/>
    </row>
    <row r="5392" spans="2:3" ht="14.25">
      <c r="B5392" s="3"/>
      <c r="C5392" s="4"/>
    </row>
    <row r="5393" spans="2:3" ht="14.25">
      <c r="B5393" s="3"/>
      <c r="C5393" s="4"/>
    </row>
    <row r="5394" spans="2:3" ht="14.25">
      <c r="B5394" s="3"/>
      <c r="C5394" s="4"/>
    </row>
    <row r="5395" spans="2:3" ht="14.25">
      <c r="B5395" s="3"/>
      <c r="C5395" s="4"/>
    </row>
    <row r="5396" spans="2:3" ht="14.25">
      <c r="B5396" s="3"/>
      <c r="C5396" s="4"/>
    </row>
    <row r="5397" spans="2:3" ht="14.25">
      <c r="B5397" s="3"/>
      <c r="C5397" s="4"/>
    </row>
    <row r="5398" spans="2:3" ht="14.25">
      <c r="B5398" s="3"/>
      <c r="C5398" s="4"/>
    </row>
    <row r="5399" spans="2:3" ht="14.25">
      <c r="B5399" s="3"/>
      <c r="C5399" s="4"/>
    </row>
    <row r="5400" spans="2:3" ht="14.25">
      <c r="B5400" s="3"/>
      <c r="C5400" s="4"/>
    </row>
    <row r="5401" spans="2:3" ht="14.25">
      <c r="B5401" s="3"/>
      <c r="C5401" s="4"/>
    </row>
    <row r="5402" spans="2:3" ht="14.25">
      <c r="B5402" s="3"/>
      <c r="C5402" s="4"/>
    </row>
    <row r="5403" spans="2:3" ht="14.25">
      <c r="B5403" s="3"/>
      <c r="C5403" s="4"/>
    </row>
    <row r="5404" spans="2:3" ht="14.25">
      <c r="B5404" s="3"/>
      <c r="C5404" s="4"/>
    </row>
    <row r="5405" spans="2:3" ht="14.25">
      <c r="B5405" s="3"/>
      <c r="C5405" s="4"/>
    </row>
    <row r="5406" spans="2:3" ht="14.25">
      <c r="B5406" s="3"/>
      <c r="C5406" s="4"/>
    </row>
    <row r="5407" spans="2:3" ht="14.25">
      <c r="B5407" s="3"/>
      <c r="C5407" s="4"/>
    </row>
    <row r="5408" spans="2:3" ht="14.25">
      <c r="B5408" s="3"/>
      <c r="C5408" s="4"/>
    </row>
    <row r="5409" spans="2:3" ht="14.25">
      <c r="B5409" s="3"/>
      <c r="C5409" s="4"/>
    </row>
    <row r="5410" spans="2:3" ht="14.25">
      <c r="B5410" s="3"/>
      <c r="C5410" s="4"/>
    </row>
    <row r="5411" spans="2:3" ht="14.25">
      <c r="B5411" s="3"/>
      <c r="C5411" s="4"/>
    </row>
    <row r="5412" spans="2:3" ht="14.25">
      <c r="B5412" s="3"/>
      <c r="C5412" s="4"/>
    </row>
    <row r="5413" spans="2:3" ht="14.25">
      <c r="B5413" s="3"/>
      <c r="C5413" s="4"/>
    </row>
    <row r="5414" spans="2:3" ht="14.25">
      <c r="B5414" s="3"/>
      <c r="C5414" s="4"/>
    </row>
    <row r="5415" spans="2:3" ht="14.25">
      <c r="B5415" s="3"/>
      <c r="C5415" s="4"/>
    </row>
    <row r="5416" spans="2:3" ht="14.25">
      <c r="B5416" s="3"/>
      <c r="C5416" s="4"/>
    </row>
    <row r="5417" spans="2:3" ht="14.25">
      <c r="B5417" s="3"/>
      <c r="C5417" s="4"/>
    </row>
    <row r="5418" spans="2:3" ht="14.25">
      <c r="B5418" s="3"/>
      <c r="C5418" s="4"/>
    </row>
    <row r="5419" spans="2:3" ht="14.25">
      <c r="B5419" s="3"/>
      <c r="C5419" s="4"/>
    </row>
    <row r="5420" spans="2:3" ht="14.25">
      <c r="B5420" s="3"/>
      <c r="C5420" s="4"/>
    </row>
    <row r="5421" spans="2:3" ht="14.25">
      <c r="B5421" s="3"/>
      <c r="C5421" s="4"/>
    </row>
    <row r="5422" spans="2:3" ht="14.25">
      <c r="B5422" s="3"/>
      <c r="C5422" s="4"/>
    </row>
    <row r="5423" spans="2:3" ht="14.25">
      <c r="B5423" s="3"/>
      <c r="C5423" s="4"/>
    </row>
    <row r="5424" spans="2:3" ht="14.25">
      <c r="B5424" s="3"/>
      <c r="C5424" s="4"/>
    </row>
    <row r="5425" spans="2:3" ht="14.25">
      <c r="B5425" s="3"/>
      <c r="C5425" s="4"/>
    </row>
    <row r="5426" spans="2:3" ht="14.25">
      <c r="B5426" s="3"/>
      <c r="C5426" s="4"/>
    </row>
    <row r="5427" spans="2:3" ht="14.25">
      <c r="B5427" s="3"/>
      <c r="C5427" s="4"/>
    </row>
    <row r="5428" spans="2:3" ht="14.25">
      <c r="B5428" s="3"/>
      <c r="C5428" s="4"/>
    </row>
    <row r="5429" spans="2:3" ht="14.25">
      <c r="B5429" s="3"/>
      <c r="C5429" s="4"/>
    </row>
    <row r="5430" spans="2:3" ht="14.25">
      <c r="B5430" s="3"/>
      <c r="C5430" s="4"/>
    </row>
    <row r="5431" spans="2:3" ht="14.25">
      <c r="B5431" s="3"/>
      <c r="C5431" s="4"/>
    </row>
    <row r="5432" spans="2:3" ht="14.25">
      <c r="B5432" s="3"/>
      <c r="C5432" s="4"/>
    </row>
    <row r="5433" spans="2:3" ht="14.25">
      <c r="B5433" s="3"/>
      <c r="C5433" s="4"/>
    </row>
    <row r="5434" spans="2:3" ht="14.25">
      <c r="B5434" s="3"/>
      <c r="C5434" s="4"/>
    </row>
    <row r="5435" spans="2:3" ht="14.25">
      <c r="B5435" s="3"/>
      <c r="C5435" s="4"/>
    </row>
    <row r="5436" spans="2:3" ht="14.25">
      <c r="B5436" s="3"/>
      <c r="C5436" s="4"/>
    </row>
    <row r="5437" spans="2:3" ht="14.25">
      <c r="B5437" s="3"/>
      <c r="C5437" s="4"/>
    </row>
    <row r="5438" spans="2:3" ht="14.25">
      <c r="B5438" s="3"/>
      <c r="C5438" s="4"/>
    </row>
    <row r="5439" spans="2:3" ht="14.25">
      <c r="B5439" s="3"/>
      <c r="C5439" s="4"/>
    </row>
    <row r="5440" spans="2:3" ht="14.25">
      <c r="B5440" s="3"/>
      <c r="C5440" s="4"/>
    </row>
    <row r="5441" spans="2:3" ht="14.25">
      <c r="B5441" s="3"/>
      <c r="C5441" s="4"/>
    </row>
    <row r="5442" spans="2:3" ht="14.25">
      <c r="B5442" s="3"/>
      <c r="C5442" s="4"/>
    </row>
    <row r="5443" spans="2:3" ht="14.25">
      <c r="B5443" s="3"/>
      <c r="C5443" s="4"/>
    </row>
    <row r="5444" spans="2:3" ht="14.25">
      <c r="B5444" s="3"/>
      <c r="C5444" s="4"/>
    </row>
    <row r="5445" spans="2:3" ht="14.25">
      <c r="B5445" s="3"/>
      <c r="C5445" s="4"/>
    </row>
    <row r="5446" spans="2:3" ht="14.25">
      <c r="B5446" s="3"/>
      <c r="C5446" s="4"/>
    </row>
    <row r="5447" spans="2:3" ht="14.25">
      <c r="B5447" s="3"/>
      <c r="C5447" s="4"/>
    </row>
    <row r="5448" spans="2:3" ht="14.25">
      <c r="B5448" s="3"/>
      <c r="C5448" s="4"/>
    </row>
    <row r="5449" spans="2:3" ht="14.25">
      <c r="B5449" s="3"/>
      <c r="C5449" s="4"/>
    </row>
    <row r="5450" spans="2:3" ht="14.25">
      <c r="B5450" s="3"/>
      <c r="C5450" s="4"/>
    </row>
    <row r="5451" spans="2:3" ht="14.25">
      <c r="B5451" s="3"/>
      <c r="C5451" s="4"/>
    </row>
    <row r="5452" spans="2:3" ht="14.25">
      <c r="B5452" s="3"/>
      <c r="C5452" s="4"/>
    </row>
    <row r="5453" spans="2:3" ht="14.25">
      <c r="B5453" s="3"/>
      <c r="C5453" s="4"/>
    </row>
    <row r="5454" spans="2:3" ht="14.25">
      <c r="B5454" s="3"/>
      <c r="C5454" s="4"/>
    </row>
    <row r="5455" spans="2:3" ht="14.25">
      <c r="B5455" s="3"/>
      <c r="C5455" s="4"/>
    </row>
    <row r="5456" spans="2:3" ht="14.25">
      <c r="B5456" s="3"/>
      <c r="C5456" s="4"/>
    </row>
    <row r="5457" spans="2:3" ht="14.25">
      <c r="B5457" s="3"/>
      <c r="C5457" s="4"/>
    </row>
    <row r="5458" spans="2:3" ht="14.25">
      <c r="B5458" s="3"/>
      <c r="C5458" s="4"/>
    </row>
    <row r="5459" spans="2:3" ht="14.25">
      <c r="B5459" s="3"/>
      <c r="C5459" s="4"/>
    </row>
    <row r="5460" spans="2:3" ht="14.25">
      <c r="B5460" s="3"/>
      <c r="C5460" s="4"/>
    </row>
    <row r="5461" spans="2:3" ht="14.25">
      <c r="B5461" s="3"/>
      <c r="C5461" s="4"/>
    </row>
    <row r="5462" spans="2:3" ht="14.25">
      <c r="B5462" s="3"/>
      <c r="C5462" s="4"/>
    </row>
    <row r="5463" spans="2:3" ht="14.25">
      <c r="B5463" s="3"/>
      <c r="C5463" s="4"/>
    </row>
    <row r="5464" spans="2:3" ht="14.25">
      <c r="B5464" s="3"/>
      <c r="C5464" s="4"/>
    </row>
    <row r="5465" spans="2:3" ht="14.25">
      <c r="B5465" s="3"/>
      <c r="C5465" s="4"/>
    </row>
    <row r="5466" spans="2:3" ht="14.25">
      <c r="B5466" s="3"/>
      <c r="C5466" s="4"/>
    </row>
    <row r="5467" spans="2:3" ht="14.25">
      <c r="B5467" s="3"/>
      <c r="C5467" s="4"/>
    </row>
    <row r="5468" spans="2:3" ht="14.25">
      <c r="B5468" s="3"/>
      <c r="C5468" s="4"/>
    </row>
    <row r="5469" spans="2:3" ht="14.25">
      <c r="B5469" s="3"/>
      <c r="C5469" s="4"/>
    </row>
    <row r="5470" spans="2:3" ht="14.25">
      <c r="B5470" s="3"/>
      <c r="C5470" s="4"/>
    </row>
    <row r="5471" spans="2:3" ht="14.25">
      <c r="B5471" s="3"/>
      <c r="C5471" s="4"/>
    </row>
    <row r="5472" spans="2:3" ht="14.25">
      <c r="B5472" s="3"/>
      <c r="C5472" s="4"/>
    </row>
    <row r="5473" spans="2:3" ht="14.25">
      <c r="B5473" s="3"/>
      <c r="C5473" s="4"/>
    </row>
    <row r="5474" spans="2:3" ht="14.25">
      <c r="B5474" s="3"/>
      <c r="C5474" s="4"/>
    </row>
    <row r="5475" spans="2:3" ht="14.25">
      <c r="B5475" s="3"/>
      <c r="C5475" s="4"/>
    </row>
    <row r="5476" spans="2:3" ht="14.25">
      <c r="B5476" s="3"/>
      <c r="C5476" s="4"/>
    </row>
    <row r="5477" spans="2:3" ht="14.25">
      <c r="B5477" s="3"/>
      <c r="C5477" s="4"/>
    </row>
    <row r="5478" spans="2:3" ht="14.25">
      <c r="B5478" s="3"/>
      <c r="C5478" s="4"/>
    </row>
    <row r="5479" spans="2:3" ht="14.25">
      <c r="B5479" s="3"/>
      <c r="C5479" s="4"/>
    </row>
    <row r="5480" spans="2:3" ht="14.25">
      <c r="B5480" s="3"/>
      <c r="C5480" s="4"/>
    </row>
    <row r="5481" spans="2:3" ht="14.25">
      <c r="B5481" s="3"/>
      <c r="C5481" s="4"/>
    </row>
    <row r="5482" spans="2:3" ht="14.25">
      <c r="B5482" s="3"/>
      <c r="C5482" s="4"/>
    </row>
    <row r="5483" spans="2:3" ht="14.25">
      <c r="B5483" s="3"/>
      <c r="C5483" s="4"/>
    </row>
    <row r="5484" spans="2:3" ht="14.25">
      <c r="B5484" s="3"/>
      <c r="C5484" s="4"/>
    </row>
    <row r="5485" spans="2:3" ht="14.25">
      <c r="B5485" s="3"/>
      <c r="C5485" s="4"/>
    </row>
    <row r="5486" spans="2:3" ht="14.25">
      <c r="B5486" s="3"/>
      <c r="C5486" s="4"/>
    </row>
    <row r="5487" spans="2:3" ht="14.25">
      <c r="B5487" s="3"/>
      <c r="C5487" s="4"/>
    </row>
    <row r="5488" spans="2:3" ht="14.25">
      <c r="B5488" s="3"/>
      <c r="C5488" s="4"/>
    </row>
    <row r="5489" spans="2:3" ht="14.25">
      <c r="B5489" s="3"/>
      <c r="C5489" s="4"/>
    </row>
    <row r="5490" spans="2:3" ht="14.25">
      <c r="B5490" s="3"/>
      <c r="C5490" s="4"/>
    </row>
    <row r="5491" spans="2:3" ht="14.25">
      <c r="B5491" s="3"/>
      <c r="C5491" s="4"/>
    </row>
    <row r="5492" spans="2:3" ht="14.25">
      <c r="B5492" s="3"/>
      <c r="C5492" s="4"/>
    </row>
    <row r="5493" spans="2:3" ht="14.25">
      <c r="B5493" s="3"/>
      <c r="C5493" s="4"/>
    </row>
    <row r="5494" spans="2:3" ht="14.25">
      <c r="B5494" s="3"/>
      <c r="C5494" s="4"/>
    </row>
    <row r="5495" spans="2:3" ht="14.25">
      <c r="B5495" s="3"/>
      <c r="C5495" s="4"/>
    </row>
    <row r="5496" spans="2:3" ht="14.25">
      <c r="B5496" s="3"/>
      <c r="C5496" s="4"/>
    </row>
    <row r="5497" spans="2:3" ht="14.25">
      <c r="B5497" s="3"/>
      <c r="C5497" s="4"/>
    </row>
    <row r="5498" spans="2:3" ht="14.25">
      <c r="B5498" s="3"/>
      <c r="C5498" s="4"/>
    </row>
    <row r="5499" spans="2:3" ht="14.25">
      <c r="B5499" s="3"/>
      <c r="C5499" s="4"/>
    </row>
    <row r="5500" spans="2:3" ht="14.25">
      <c r="B5500" s="3"/>
      <c r="C5500" s="4"/>
    </row>
    <row r="5501" spans="2:3" ht="14.25">
      <c r="B5501" s="3"/>
      <c r="C5501" s="4"/>
    </row>
    <row r="5502" spans="2:3" ht="14.25">
      <c r="B5502" s="3"/>
      <c r="C5502" s="4"/>
    </row>
    <row r="5503" spans="2:3" ht="14.25">
      <c r="B5503" s="3"/>
      <c r="C5503" s="4"/>
    </row>
    <row r="5504" spans="2:3" ht="14.25">
      <c r="B5504" s="3"/>
      <c r="C5504" s="4"/>
    </row>
    <row r="5505" spans="2:3" ht="14.25">
      <c r="B5505" s="3"/>
      <c r="C5505" s="4"/>
    </row>
    <row r="5506" spans="2:3" ht="14.25">
      <c r="B5506" s="3"/>
      <c r="C5506" s="4"/>
    </row>
    <row r="5507" spans="2:3" ht="14.25">
      <c r="B5507" s="3"/>
      <c r="C5507" s="4"/>
    </row>
    <row r="5508" spans="2:3" ht="14.25">
      <c r="B5508" s="3"/>
      <c r="C5508" s="4"/>
    </row>
    <row r="5509" spans="2:3" ht="14.25">
      <c r="B5509" s="3"/>
      <c r="C5509" s="4"/>
    </row>
    <row r="5510" spans="2:3" ht="14.25">
      <c r="B5510" s="3"/>
      <c r="C5510" s="4"/>
    </row>
    <row r="5511" spans="2:3" ht="14.25">
      <c r="B5511" s="3"/>
      <c r="C5511" s="4"/>
    </row>
    <row r="5512" spans="2:3" ht="14.25">
      <c r="B5512" s="3"/>
      <c r="C5512" s="4"/>
    </row>
    <row r="5513" spans="2:3" ht="14.25">
      <c r="B5513" s="3"/>
      <c r="C5513" s="4"/>
    </row>
    <row r="5514" spans="2:3" ht="14.25">
      <c r="B5514" s="3"/>
      <c r="C5514" s="4"/>
    </row>
    <row r="5515" spans="2:3" ht="14.25">
      <c r="B5515" s="3"/>
      <c r="C5515" s="4"/>
    </row>
    <row r="5516" spans="2:3" ht="14.25">
      <c r="B5516" s="3"/>
      <c r="C5516" s="4"/>
    </row>
    <row r="5517" spans="2:3" ht="14.25">
      <c r="B5517" s="3"/>
      <c r="C5517" s="4"/>
    </row>
    <row r="5518" spans="2:3" ht="14.25">
      <c r="B5518" s="3"/>
      <c r="C5518" s="4"/>
    </row>
    <row r="5519" spans="2:3" ht="14.25">
      <c r="B5519" s="3"/>
      <c r="C5519" s="4"/>
    </row>
    <row r="5520" spans="2:3" ht="14.25">
      <c r="B5520" s="3"/>
      <c r="C5520" s="4"/>
    </row>
    <row r="5521" spans="2:3" ht="14.25">
      <c r="B5521" s="3"/>
      <c r="C5521" s="4"/>
    </row>
    <row r="5522" spans="2:3" ht="14.25">
      <c r="B5522" s="3"/>
      <c r="C5522" s="4"/>
    </row>
    <row r="5523" spans="2:3" ht="14.25">
      <c r="B5523" s="3"/>
      <c r="C5523" s="4"/>
    </row>
    <row r="5524" spans="2:3" ht="14.25">
      <c r="B5524" s="3"/>
      <c r="C5524" s="4"/>
    </row>
    <row r="5525" spans="2:3" ht="14.25">
      <c r="B5525" s="3"/>
      <c r="C5525" s="4"/>
    </row>
    <row r="5526" spans="2:3" ht="14.25">
      <c r="B5526" s="3"/>
      <c r="C5526" s="4"/>
    </row>
    <row r="5527" spans="2:3" ht="14.25">
      <c r="B5527" s="3"/>
      <c r="C5527" s="4"/>
    </row>
    <row r="5528" spans="2:3" ht="14.25">
      <c r="B5528" s="3"/>
      <c r="C5528" s="4"/>
    </row>
    <row r="5529" spans="2:3" ht="14.25">
      <c r="B5529" s="3"/>
      <c r="C5529" s="4"/>
    </row>
    <row r="5530" spans="2:3" ht="14.25">
      <c r="B5530" s="3"/>
      <c r="C5530" s="4"/>
    </row>
    <row r="5531" spans="2:3" ht="14.25">
      <c r="B5531" s="3"/>
      <c r="C5531" s="4"/>
    </row>
    <row r="5532" spans="2:3" ht="14.25">
      <c r="B5532" s="3"/>
      <c r="C5532" s="4"/>
    </row>
    <row r="5533" spans="2:3" ht="14.25">
      <c r="B5533" s="3"/>
      <c r="C5533" s="4"/>
    </row>
    <row r="5534" spans="2:3" ht="14.25">
      <c r="B5534" s="3"/>
      <c r="C5534" s="4"/>
    </row>
    <row r="5535" spans="2:3" ht="14.25">
      <c r="B5535" s="3"/>
      <c r="C5535" s="4"/>
    </row>
    <row r="5536" spans="2:3" ht="14.25">
      <c r="B5536" s="3"/>
      <c r="C5536" s="4"/>
    </row>
    <row r="5537" spans="2:3" ht="14.25">
      <c r="B5537" s="3"/>
      <c r="C5537" s="4"/>
    </row>
    <row r="5538" spans="2:3" ht="14.25">
      <c r="B5538" s="3"/>
      <c r="C5538" s="4"/>
    </row>
    <row r="5539" spans="2:3" ht="14.25">
      <c r="B5539" s="3"/>
      <c r="C5539" s="4"/>
    </row>
    <row r="5540" spans="2:3" ht="14.25">
      <c r="B5540" s="3"/>
      <c r="C5540" s="4"/>
    </row>
    <row r="5541" spans="2:3" ht="14.25">
      <c r="B5541" s="3"/>
      <c r="C5541" s="4"/>
    </row>
    <row r="5542" spans="2:3" ht="14.25">
      <c r="B5542" s="3"/>
      <c r="C5542" s="4"/>
    </row>
    <row r="5543" spans="2:3" ht="14.25">
      <c r="B5543" s="3"/>
      <c r="C5543" s="4"/>
    </row>
    <row r="5544" spans="2:3" ht="14.25">
      <c r="B5544" s="3"/>
      <c r="C5544" s="4"/>
    </row>
    <row r="5545" spans="2:3" ht="14.25">
      <c r="B5545" s="3"/>
      <c r="C5545" s="4"/>
    </row>
    <row r="5546" spans="2:3" ht="14.25">
      <c r="B5546" s="3"/>
      <c r="C5546" s="4"/>
    </row>
    <row r="5547" spans="2:3" ht="14.25">
      <c r="B5547" s="3"/>
      <c r="C5547" s="4"/>
    </row>
    <row r="5548" spans="2:3" ht="14.25">
      <c r="B5548" s="3"/>
      <c r="C5548" s="4"/>
    </row>
    <row r="5549" spans="2:3" ht="14.25">
      <c r="B5549" s="3"/>
      <c r="C5549" s="4"/>
    </row>
    <row r="5550" spans="2:3" ht="14.25">
      <c r="B5550" s="3"/>
      <c r="C5550" s="4"/>
    </row>
    <row r="5551" spans="2:3" ht="14.25">
      <c r="B5551" s="3"/>
      <c r="C5551" s="4"/>
    </row>
    <row r="5552" spans="2:3" ht="14.25">
      <c r="B5552" s="3"/>
      <c r="C5552" s="4"/>
    </row>
    <row r="5553" spans="2:3" ht="14.25">
      <c r="B5553" s="3"/>
      <c r="C5553" s="4"/>
    </row>
    <row r="5554" spans="2:3" ht="14.25">
      <c r="B5554" s="3"/>
      <c r="C5554" s="4"/>
    </row>
    <row r="5555" spans="2:3" ht="14.25">
      <c r="B5555" s="3"/>
      <c r="C5555" s="4"/>
    </row>
    <row r="5556" spans="2:3" ht="14.25">
      <c r="B5556" s="3"/>
      <c r="C5556" s="4"/>
    </row>
    <row r="5557" spans="2:3" ht="14.25">
      <c r="B5557" s="3"/>
      <c r="C5557" s="4"/>
    </row>
    <row r="5558" spans="2:3" ht="14.25">
      <c r="B5558" s="3"/>
      <c r="C5558" s="4"/>
    </row>
    <row r="5559" spans="2:3" ht="14.25">
      <c r="B5559" s="3"/>
      <c r="C5559" s="4"/>
    </row>
    <row r="5560" spans="2:3" ht="14.25">
      <c r="B5560" s="3"/>
      <c r="C5560" s="4"/>
    </row>
    <row r="5561" spans="2:3" ht="14.25">
      <c r="B5561" s="3"/>
      <c r="C5561" s="4"/>
    </row>
    <row r="5562" spans="2:3" ht="14.25">
      <c r="B5562" s="3"/>
      <c r="C5562" s="4"/>
    </row>
    <row r="5563" spans="2:3" ht="14.25">
      <c r="B5563" s="3"/>
      <c r="C5563" s="4"/>
    </row>
    <row r="5564" spans="2:3" ht="14.25">
      <c r="B5564" s="3"/>
      <c r="C5564" s="4"/>
    </row>
    <row r="5565" spans="2:3" ht="14.25">
      <c r="B5565" s="3"/>
      <c r="C5565" s="4"/>
    </row>
    <row r="5566" spans="2:3" ht="14.25">
      <c r="B5566" s="3"/>
      <c r="C5566" s="4"/>
    </row>
    <row r="5567" spans="2:3" ht="14.25">
      <c r="B5567" s="3"/>
      <c r="C5567" s="4"/>
    </row>
    <row r="5568" spans="2:3" ht="14.25">
      <c r="B5568" s="3"/>
      <c r="C5568" s="4"/>
    </row>
    <row r="5569" spans="2:3" ht="14.25">
      <c r="B5569" s="3"/>
      <c r="C5569" s="4"/>
    </row>
    <row r="5570" spans="2:3" ht="14.25">
      <c r="B5570" s="3"/>
      <c r="C5570" s="4"/>
    </row>
    <row r="5571" spans="2:3" ht="14.25">
      <c r="B5571" s="3"/>
      <c r="C5571" s="4"/>
    </row>
    <row r="5572" spans="2:3" ht="14.25">
      <c r="B5572" s="3"/>
      <c r="C5572" s="4"/>
    </row>
    <row r="5573" spans="2:3" ht="14.25">
      <c r="B5573" s="3"/>
      <c r="C5573" s="4"/>
    </row>
    <row r="5574" spans="2:3" ht="14.25">
      <c r="B5574" s="3"/>
      <c r="C5574" s="4"/>
    </row>
    <row r="5575" spans="2:3" ht="14.25">
      <c r="B5575" s="3"/>
      <c r="C5575" s="4"/>
    </row>
    <row r="5576" spans="2:3" ht="14.25">
      <c r="B5576" s="3"/>
      <c r="C5576" s="4"/>
    </row>
    <row r="5577" spans="2:3" ht="14.25">
      <c r="B5577" s="3"/>
      <c r="C5577" s="4"/>
    </row>
    <row r="5578" spans="2:3" ht="14.25">
      <c r="B5578" s="3"/>
      <c r="C5578" s="4"/>
    </row>
    <row r="5579" spans="2:3" ht="14.25">
      <c r="B5579" s="3"/>
      <c r="C5579" s="4"/>
    </row>
    <row r="5580" spans="2:3" ht="14.25">
      <c r="B5580" s="3"/>
      <c r="C5580" s="4"/>
    </row>
    <row r="5581" spans="2:3" ht="14.25">
      <c r="B5581" s="3"/>
      <c r="C5581" s="4"/>
    </row>
    <row r="5582" spans="2:3" ht="14.25">
      <c r="B5582" s="3"/>
      <c r="C5582" s="4"/>
    </row>
    <row r="5583" spans="2:3" ht="14.25">
      <c r="B5583" s="3"/>
      <c r="C5583" s="4"/>
    </row>
    <row r="5584" spans="2:3" ht="14.25">
      <c r="B5584" s="3"/>
      <c r="C5584" s="4"/>
    </row>
    <row r="5585" spans="2:3" ht="14.25">
      <c r="B5585" s="3"/>
      <c r="C5585" s="4"/>
    </row>
    <row r="5586" spans="2:3" ht="14.25">
      <c r="B5586" s="3"/>
      <c r="C5586" s="4"/>
    </row>
    <row r="5587" spans="2:3" ht="14.25">
      <c r="B5587" s="3"/>
      <c r="C5587" s="4"/>
    </row>
    <row r="5588" spans="2:3" ht="14.25">
      <c r="B5588" s="3"/>
      <c r="C5588" s="4"/>
    </row>
    <row r="5589" spans="2:3" ht="14.25">
      <c r="B5589" s="3"/>
      <c r="C5589" s="4"/>
    </row>
    <row r="5590" spans="2:3" ht="14.25">
      <c r="B5590" s="3"/>
      <c r="C5590" s="4"/>
    </row>
    <row r="5591" spans="2:3" ht="14.25">
      <c r="B5591" s="3"/>
      <c r="C5591" s="4"/>
    </row>
    <row r="5592" spans="2:3" ht="14.25">
      <c r="B5592" s="3"/>
      <c r="C5592" s="4"/>
    </row>
    <row r="5593" spans="2:3" ht="14.25">
      <c r="B5593" s="3"/>
      <c r="C5593" s="4"/>
    </row>
    <row r="5594" spans="2:3" ht="14.25">
      <c r="B5594" s="3"/>
      <c r="C5594" s="4"/>
    </row>
    <row r="5595" spans="2:3" ht="14.25">
      <c r="B5595" s="3"/>
      <c r="C5595" s="4"/>
    </row>
    <row r="5596" spans="2:3" ht="14.25">
      <c r="B5596" s="3"/>
      <c r="C5596" s="4"/>
    </row>
    <row r="5597" spans="2:3" ht="14.25">
      <c r="B5597" s="3"/>
      <c r="C5597" s="4"/>
    </row>
    <row r="5598" spans="2:3" ht="14.25">
      <c r="B5598" s="3"/>
      <c r="C5598" s="4"/>
    </row>
    <row r="5599" spans="2:3" ht="14.25">
      <c r="B5599" s="3"/>
      <c r="C5599" s="4"/>
    </row>
    <row r="5600" spans="2:3" ht="14.25">
      <c r="B5600" s="3"/>
      <c r="C5600" s="4"/>
    </row>
    <row r="5601" spans="2:3" ht="14.25">
      <c r="B5601" s="3"/>
      <c r="C5601" s="4"/>
    </row>
    <row r="5602" spans="2:3" ht="14.25">
      <c r="B5602" s="3"/>
      <c r="C5602" s="4"/>
    </row>
    <row r="5603" spans="2:3" ht="14.25">
      <c r="B5603" s="3"/>
      <c r="C5603" s="4"/>
    </row>
    <row r="5604" spans="2:3" ht="14.25">
      <c r="B5604" s="3"/>
      <c r="C5604" s="4"/>
    </row>
    <row r="5605" spans="2:3" ht="14.25">
      <c r="B5605" s="3"/>
      <c r="C5605" s="4"/>
    </row>
    <row r="5606" spans="2:3" ht="14.25">
      <c r="B5606" s="3"/>
      <c r="C5606" s="4"/>
    </row>
    <row r="5607" spans="2:3" ht="14.25">
      <c r="B5607" s="3"/>
      <c r="C5607" s="4"/>
    </row>
    <row r="5608" spans="2:3" ht="14.25">
      <c r="B5608" s="3"/>
      <c r="C5608" s="4"/>
    </row>
    <row r="5609" spans="2:3" ht="14.25">
      <c r="B5609" s="3"/>
      <c r="C5609" s="4"/>
    </row>
    <row r="5610" spans="2:3" ht="14.25">
      <c r="B5610" s="3"/>
      <c r="C5610" s="4"/>
    </row>
    <row r="5611" spans="2:3" ht="14.25">
      <c r="B5611" s="3"/>
      <c r="C5611" s="4"/>
    </row>
    <row r="5612" spans="2:3" ht="14.25">
      <c r="B5612" s="3"/>
      <c r="C5612" s="4"/>
    </row>
    <row r="5613" spans="2:3" ht="14.25">
      <c r="B5613" s="3"/>
      <c r="C5613" s="4"/>
    </row>
    <row r="5614" spans="2:3" ht="14.25">
      <c r="B5614" s="3"/>
      <c r="C5614" s="4"/>
    </row>
    <row r="5615" spans="2:3" ht="14.25">
      <c r="B5615" s="3"/>
      <c r="C5615" s="4"/>
    </row>
    <row r="5616" spans="2:3" ht="14.25">
      <c r="B5616" s="3"/>
      <c r="C5616" s="4"/>
    </row>
    <row r="5617" spans="2:3" ht="14.25">
      <c r="B5617" s="3"/>
      <c r="C5617" s="4"/>
    </row>
    <row r="5618" spans="2:3" ht="14.25">
      <c r="B5618" s="3"/>
      <c r="C5618" s="4"/>
    </row>
    <row r="5619" spans="2:3" ht="14.25">
      <c r="B5619" s="3"/>
      <c r="C5619" s="4"/>
    </row>
    <row r="5620" spans="2:3" ht="14.25">
      <c r="B5620" s="3"/>
      <c r="C5620" s="4"/>
    </row>
    <row r="5621" spans="2:3" ht="14.25">
      <c r="B5621" s="3"/>
      <c r="C5621" s="4"/>
    </row>
    <row r="5622" spans="2:3" ht="14.25">
      <c r="B5622" s="3"/>
      <c r="C5622" s="4"/>
    </row>
    <row r="5623" spans="2:3" ht="14.25">
      <c r="B5623" s="3"/>
      <c r="C5623" s="4"/>
    </row>
    <row r="5624" spans="2:3" ht="14.25">
      <c r="B5624" s="3"/>
      <c r="C5624" s="4"/>
    </row>
    <row r="5625" spans="2:3" ht="14.25">
      <c r="B5625" s="3"/>
      <c r="C5625" s="4"/>
    </row>
    <row r="5626" spans="2:3" ht="14.25">
      <c r="B5626" s="3"/>
      <c r="C5626" s="4"/>
    </row>
    <row r="5627" spans="2:3" ht="14.25">
      <c r="B5627" s="3"/>
      <c r="C5627" s="4"/>
    </row>
    <row r="5628" spans="2:3" ht="14.25">
      <c r="B5628" s="3"/>
      <c r="C5628" s="4"/>
    </row>
    <row r="5629" spans="2:3" ht="14.25">
      <c r="B5629" s="3"/>
      <c r="C5629" s="4"/>
    </row>
    <row r="5630" spans="2:3" ht="14.25">
      <c r="B5630" s="3"/>
      <c r="C5630" s="4"/>
    </row>
    <row r="5631" spans="2:3" ht="14.25">
      <c r="B5631" s="3"/>
      <c r="C5631" s="4"/>
    </row>
    <row r="5632" spans="2:3" ht="14.25">
      <c r="B5632" s="3"/>
      <c r="C5632" s="4"/>
    </row>
    <row r="5633" spans="2:3" ht="14.25">
      <c r="B5633" s="3"/>
      <c r="C5633" s="4"/>
    </row>
    <row r="5634" spans="2:3" ht="14.25">
      <c r="B5634" s="3"/>
      <c r="C5634" s="4"/>
    </row>
    <row r="5635" spans="2:3" ht="14.25">
      <c r="B5635" s="3"/>
      <c r="C5635" s="4"/>
    </row>
    <row r="5636" spans="2:3" ht="14.25">
      <c r="B5636" s="3"/>
      <c r="C5636" s="4"/>
    </row>
    <row r="5637" spans="2:3" ht="14.25">
      <c r="B5637" s="3"/>
      <c r="C5637" s="4"/>
    </row>
    <row r="5638" spans="2:3" ht="14.25">
      <c r="B5638" s="3"/>
      <c r="C5638" s="4"/>
    </row>
    <row r="5639" spans="2:3" ht="14.25">
      <c r="B5639" s="3"/>
      <c r="C5639" s="4"/>
    </row>
    <row r="5640" spans="2:3" ht="14.25">
      <c r="B5640" s="3"/>
      <c r="C5640" s="4"/>
    </row>
    <row r="5641" spans="2:3" ht="14.25">
      <c r="B5641" s="3"/>
      <c r="C5641" s="4"/>
    </row>
    <row r="5642" spans="2:3" ht="14.25">
      <c r="B5642" s="3"/>
      <c r="C5642" s="4"/>
    </row>
    <row r="5643" spans="2:3" ht="14.25">
      <c r="B5643" s="3"/>
      <c r="C5643" s="4"/>
    </row>
    <row r="5644" spans="2:3" ht="14.25">
      <c r="B5644" s="3"/>
      <c r="C5644" s="4"/>
    </row>
    <row r="5645" spans="2:3" ht="14.25">
      <c r="B5645" s="3"/>
      <c r="C5645" s="4"/>
    </row>
    <row r="5646" spans="2:3" ht="14.25">
      <c r="B5646" s="3"/>
      <c r="C5646" s="4"/>
    </row>
    <row r="5647" spans="2:3" ht="14.25">
      <c r="B5647" s="3"/>
      <c r="C5647" s="4"/>
    </row>
    <row r="5648" spans="2:3" ht="14.25">
      <c r="B5648" s="3"/>
      <c r="C5648" s="4"/>
    </row>
    <row r="5649" spans="2:3" ht="14.25">
      <c r="B5649" s="3"/>
      <c r="C5649" s="4"/>
    </row>
    <row r="5650" spans="2:3" ht="14.25">
      <c r="B5650" s="3"/>
      <c r="C5650" s="4"/>
    </row>
    <row r="5651" spans="2:3" ht="14.25">
      <c r="B5651" s="3"/>
      <c r="C5651" s="4"/>
    </row>
    <row r="5652" spans="2:3" ht="14.25">
      <c r="B5652" s="3"/>
      <c r="C5652" s="4"/>
    </row>
    <row r="5653" spans="2:3" ht="14.25">
      <c r="B5653" s="3"/>
      <c r="C5653" s="4"/>
    </row>
    <row r="5654" spans="2:3" ht="14.25">
      <c r="B5654" s="3"/>
      <c r="C5654" s="4"/>
    </row>
    <row r="5655" spans="2:3" ht="14.25">
      <c r="B5655" s="3"/>
      <c r="C5655" s="4"/>
    </row>
    <row r="5656" spans="2:3" ht="14.25">
      <c r="B5656" s="3"/>
      <c r="C5656" s="4"/>
    </row>
    <row r="5657" spans="2:3" ht="14.25">
      <c r="B5657" s="3"/>
      <c r="C5657" s="4"/>
    </row>
    <row r="5658" spans="2:3" ht="14.25">
      <c r="B5658" s="3"/>
      <c r="C5658" s="4"/>
    </row>
    <row r="5659" spans="2:3" ht="14.25">
      <c r="B5659" s="3"/>
      <c r="C5659" s="4"/>
    </row>
    <row r="5660" spans="2:3" ht="14.25">
      <c r="B5660" s="3"/>
      <c r="C5660" s="4"/>
    </row>
    <row r="5661" spans="2:3" ht="14.25">
      <c r="B5661" s="3"/>
      <c r="C5661" s="4"/>
    </row>
    <row r="5662" spans="2:3" ht="14.25">
      <c r="B5662" s="3"/>
      <c r="C5662" s="4"/>
    </row>
    <row r="5663" spans="2:3" ht="14.25">
      <c r="B5663" s="3"/>
      <c r="C5663" s="4"/>
    </row>
    <row r="5664" spans="2:3" ht="14.25">
      <c r="B5664" s="3"/>
      <c r="C5664" s="4"/>
    </row>
    <row r="5665" spans="2:3" ht="14.25">
      <c r="B5665" s="3"/>
      <c r="C5665" s="4"/>
    </row>
    <row r="5666" spans="2:3" ht="14.25">
      <c r="B5666" s="3"/>
      <c r="C5666" s="4"/>
    </row>
    <row r="5667" spans="2:3" ht="14.25">
      <c r="B5667" s="3"/>
      <c r="C5667" s="4"/>
    </row>
    <row r="5668" spans="2:3" ht="14.25">
      <c r="B5668" s="3"/>
      <c r="C5668" s="4"/>
    </row>
    <row r="5669" spans="2:3" ht="14.25">
      <c r="B5669" s="3"/>
      <c r="C5669" s="4"/>
    </row>
    <row r="5670" spans="2:3" ht="14.25">
      <c r="B5670" s="3"/>
      <c r="C5670" s="4"/>
    </row>
    <row r="5671" spans="2:3" ht="14.25">
      <c r="B5671" s="3"/>
      <c r="C5671" s="4"/>
    </row>
    <row r="5672" spans="2:3" ht="14.25">
      <c r="B5672" s="3"/>
      <c r="C5672" s="4"/>
    </row>
    <row r="5673" spans="2:3" ht="14.25">
      <c r="B5673" s="3"/>
      <c r="C5673" s="4"/>
    </row>
    <row r="5674" spans="2:3" ht="14.25">
      <c r="B5674" s="3"/>
      <c r="C5674" s="4"/>
    </row>
    <row r="5675" spans="2:3" ht="14.25">
      <c r="B5675" s="3"/>
      <c r="C5675" s="4"/>
    </row>
    <row r="5676" spans="2:3" ht="14.25">
      <c r="B5676" s="3"/>
      <c r="C5676" s="4"/>
    </row>
    <row r="5677" spans="2:3" ht="14.25">
      <c r="B5677" s="3"/>
      <c r="C5677" s="4"/>
    </row>
    <row r="5678" spans="2:3" ht="14.25">
      <c r="B5678" s="3"/>
      <c r="C5678" s="4"/>
    </row>
    <row r="5679" spans="2:3" ht="14.25">
      <c r="B5679" s="3"/>
      <c r="C5679" s="4"/>
    </row>
    <row r="5680" spans="2:3" ht="14.25">
      <c r="B5680" s="3"/>
      <c r="C5680" s="4"/>
    </row>
    <row r="5681" spans="2:3" ht="14.25">
      <c r="B5681" s="3"/>
      <c r="C5681" s="4"/>
    </row>
    <row r="5682" spans="2:3" ht="14.25">
      <c r="B5682" s="3"/>
      <c r="C5682" s="4"/>
    </row>
    <row r="5683" spans="2:3" ht="14.25">
      <c r="B5683" s="3"/>
      <c r="C5683" s="4"/>
    </row>
    <row r="5684" spans="2:3" ht="14.25">
      <c r="B5684" s="3"/>
      <c r="C5684" s="4"/>
    </row>
    <row r="5685" spans="2:3" ht="14.25">
      <c r="B5685" s="3"/>
      <c r="C5685" s="4"/>
    </row>
    <row r="5686" spans="2:3" ht="14.25">
      <c r="B5686" s="3"/>
      <c r="C5686" s="4"/>
    </row>
    <row r="5687" spans="2:3" ht="14.25">
      <c r="B5687" s="3"/>
      <c r="C5687" s="4"/>
    </row>
    <row r="5688" spans="2:3" ht="14.25">
      <c r="B5688" s="3"/>
      <c r="C5688" s="4"/>
    </row>
    <row r="5689" spans="2:3" ht="14.25">
      <c r="B5689" s="3"/>
      <c r="C5689" s="4"/>
    </row>
    <row r="5690" spans="2:3" ht="14.25">
      <c r="B5690" s="3"/>
      <c r="C5690" s="4"/>
    </row>
    <row r="5691" spans="2:3" ht="14.25">
      <c r="B5691" s="3"/>
      <c r="C5691" s="4"/>
    </row>
    <row r="5692" spans="2:3" ht="14.25">
      <c r="B5692" s="3"/>
      <c r="C5692" s="4"/>
    </row>
    <row r="5693" spans="2:3" ht="14.25">
      <c r="B5693" s="3"/>
      <c r="C5693" s="4"/>
    </row>
    <row r="5694" spans="2:3" ht="14.25">
      <c r="B5694" s="3"/>
      <c r="C5694" s="4"/>
    </row>
    <row r="5695" spans="2:3" ht="14.25">
      <c r="B5695" s="3"/>
      <c r="C5695" s="4"/>
    </row>
    <row r="5696" spans="2:3" ht="14.25">
      <c r="B5696" s="3"/>
      <c r="C5696" s="4"/>
    </row>
    <row r="5697" spans="2:3" ht="14.25">
      <c r="B5697" s="3"/>
      <c r="C5697" s="4"/>
    </row>
    <row r="5698" spans="2:3" ht="14.25">
      <c r="B5698" s="3"/>
      <c r="C5698" s="4"/>
    </row>
    <row r="5699" spans="2:3" ht="14.25">
      <c r="B5699" s="3"/>
      <c r="C5699" s="4"/>
    </row>
    <row r="5700" spans="2:3" ht="14.25">
      <c r="B5700" s="3"/>
      <c r="C5700" s="4"/>
    </row>
    <row r="5701" spans="2:3" ht="14.25">
      <c r="B5701" s="3"/>
      <c r="C5701" s="4"/>
    </row>
    <row r="5702" spans="2:3" ht="14.25">
      <c r="B5702" s="3"/>
      <c r="C5702" s="4"/>
    </row>
    <row r="5703" spans="2:3" ht="14.25">
      <c r="B5703" s="3"/>
      <c r="C5703" s="4"/>
    </row>
    <row r="5704" spans="2:3" ht="14.25">
      <c r="B5704" s="3"/>
      <c r="C5704" s="4"/>
    </row>
    <row r="5705" spans="2:3" ht="14.25">
      <c r="B5705" s="3"/>
      <c r="C5705" s="4"/>
    </row>
    <row r="5706" spans="2:3" ht="14.25">
      <c r="B5706" s="3"/>
      <c r="C5706" s="4"/>
    </row>
    <row r="5707" spans="2:3" ht="14.25">
      <c r="B5707" s="3"/>
      <c r="C5707" s="4"/>
    </row>
    <row r="5708" spans="2:3" ht="14.25">
      <c r="B5708" s="3"/>
      <c r="C5708" s="4"/>
    </row>
    <row r="5709" spans="2:3" ht="14.25">
      <c r="B5709" s="3"/>
      <c r="C5709" s="4"/>
    </row>
    <row r="5710" spans="2:3" ht="14.25">
      <c r="B5710" s="3"/>
      <c r="C5710" s="4"/>
    </row>
    <row r="5711" spans="2:3" ht="14.25">
      <c r="B5711" s="3"/>
      <c r="C5711" s="4"/>
    </row>
    <row r="5712" spans="2:3" ht="14.25">
      <c r="B5712" s="3"/>
      <c r="C5712" s="4"/>
    </row>
    <row r="5713" spans="2:3" ht="14.25">
      <c r="B5713" s="3"/>
      <c r="C5713" s="4"/>
    </row>
    <row r="5714" spans="2:3" ht="14.25">
      <c r="B5714" s="3"/>
      <c r="C5714" s="4"/>
    </row>
    <row r="5715" spans="2:3" ht="14.25">
      <c r="B5715" s="3"/>
      <c r="C5715" s="4"/>
    </row>
    <row r="5716" spans="2:3" ht="14.25">
      <c r="B5716" s="3"/>
      <c r="C5716" s="4"/>
    </row>
    <row r="5717" spans="2:3" ht="14.25">
      <c r="B5717" s="3"/>
      <c r="C5717" s="4"/>
    </row>
    <row r="5718" spans="2:3" ht="14.25">
      <c r="B5718" s="3"/>
      <c r="C5718" s="4"/>
    </row>
    <row r="5719" spans="2:3" ht="14.25">
      <c r="B5719" s="3"/>
      <c r="C5719" s="4"/>
    </row>
    <row r="5720" spans="2:3" ht="14.25">
      <c r="B5720" s="3"/>
      <c r="C5720" s="4"/>
    </row>
    <row r="5721" spans="2:3" ht="14.25">
      <c r="B5721" s="3"/>
      <c r="C5721" s="4"/>
    </row>
    <row r="5722" spans="2:3" ht="14.25">
      <c r="B5722" s="3"/>
      <c r="C5722" s="4"/>
    </row>
    <row r="5723" spans="2:3" ht="14.25">
      <c r="B5723" s="3"/>
      <c r="C5723" s="4"/>
    </row>
    <row r="5724" spans="2:3" ht="14.25">
      <c r="B5724" s="3"/>
      <c r="C5724" s="4"/>
    </row>
    <row r="5725" spans="2:3" ht="14.25">
      <c r="B5725" s="3"/>
      <c r="C5725" s="4"/>
    </row>
    <row r="5726" spans="2:3" ht="14.25">
      <c r="B5726" s="3"/>
      <c r="C5726" s="4"/>
    </row>
    <row r="5727" spans="2:3" ht="14.25">
      <c r="B5727" s="3"/>
      <c r="C5727" s="4"/>
    </row>
    <row r="5728" spans="2:3" ht="14.25">
      <c r="B5728" s="3"/>
      <c r="C5728" s="4"/>
    </row>
    <row r="5729" spans="2:3" ht="14.25">
      <c r="B5729" s="3"/>
      <c r="C5729" s="4"/>
    </row>
    <row r="5730" spans="2:3" ht="14.25">
      <c r="B5730" s="3"/>
      <c r="C5730" s="4"/>
    </row>
    <row r="5731" spans="2:3" ht="14.25">
      <c r="B5731" s="3"/>
      <c r="C5731" s="4"/>
    </row>
    <row r="5732" spans="2:3" ht="14.25">
      <c r="B5732" s="3"/>
      <c r="C5732" s="4"/>
    </row>
    <row r="5733" spans="2:3" ht="14.25">
      <c r="B5733" s="3"/>
      <c r="C5733" s="4"/>
    </row>
    <row r="5734" spans="2:3" ht="14.25">
      <c r="B5734" s="3"/>
      <c r="C5734" s="4"/>
    </row>
    <row r="5735" spans="2:3" ht="14.25">
      <c r="B5735" s="3"/>
      <c r="C5735" s="4"/>
    </row>
    <row r="5736" spans="2:3" ht="14.25">
      <c r="B5736" s="3"/>
      <c r="C5736" s="4"/>
    </row>
    <row r="5737" spans="2:3" ht="14.25">
      <c r="B5737" s="3"/>
      <c r="C5737" s="4"/>
    </row>
    <row r="5738" spans="2:3" ht="14.25">
      <c r="B5738" s="3"/>
      <c r="C5738" s="4"/>
    </row>
    <row r="5739" spans="2:3" ht="14.25">
      <c r="B5739" s="3"/>
      <c r="C5739" s="4"/>
    </row>
    <row r="5740" spans="2:3" ht="14.25">
      <c r="B5740" s="3"/>
      <c r="C5740" s="4"/>
    </row>
    <row r="5741" spans="2:3" ht="14.25">
      <c r="B5741" s="3"/>
      <c r="C5741" s="4"/>
    </row>
    <row r="5742" spans="2:3" ht="14.25">
      <c r="B5742" s="3"/>
      <c r="C5742" s="4"/>
    </row>
    <row r="5743" spans="2:3" ht="14.25">
      <c r="B5743" s="3"/>
      <c r="C5743" s="4"/>
    </row>
    <row r="5744" spans="2:3" ht="14.25">
      <c r="B5744" s="3"/>
      <c r="C5744" s="4"/>
    </row>
    <row r="5745" spans="2:3" ht="14.25">
      <c r="B5745" s="3"/>
      <c r="C5745" s="4"/>
    </row>
    <row r="5746" spans="2:3" ht="14.25">
      <c r="B5746" s="3"/>
      <c r="C5746" s="4"/>
    </row>
    <row r="5747" spans="2:3" ht="14.25">
      <c r="B5747" s="3"/>
      <c r="C5747" s="4"/>
    </row>
    <row r="5748" spans="2:3" ht="14.25">
      <c r="B5748" s="3"/>
      <c r="C5748" s="4"/>
    </row>
    <row r="5749" spans="2:3" ht="14.25">
      <c r="B5749" s="3"/>
      <c r="C5749" s="4"/>
    </row>
    <row r="5750" spans="2:3" ht="14.25">
      <c r="B5750" s="3"/>
      <c r="C5750" s="4"/>
    </row>
    <row r="5751" spans="2:3" ht="14.25">
      <c r="B5751" s="3"/>
      <c r="C5751" s="4"/>
    </row>
    <row r="5752" spans="2:3" ht="14.25">
      <c r="B5752" s="3"/>
      <c r="C5752" s="4"/>
    </row>
    <row r="5753" spans="2:3" ht="14.25">
      <c r="B5753" s="3"/>
      <c r="C5753" s="4"/>
    </row>
    <row r="5754" spans="2:3" ht="14.25">
      <c r="B5754" s="3"/>
      <c r="C5754" s="4"/>
    </row>
    <row r="5755" spans="2:3" ht="14.25">
      <c r="B5755" s="3"/>
      <c r="C5755" s="4"/>
    </row>
    <row r="5756" spans="2:3" ht="14.25">
      <c r="B5756" s="3"/>
      <c r="C5756" s="4"/>
    </row>
    <row r="5757" spans="2:3" ht="14.25">
      <c r="B5757" s="3"/>
      <c r="C5757" s="4"/>
    </row>
    <row r="5758" spans="2:3" ht="14.25">
      <c r="B5758" s="3"/>
      <c r="C5758" s="4"/>
    </row>
    <row r="5759" spans="2:3" ht="14.25">
      <c r="B5759" s="3"/>
      <c r="C5759" s="4"/>
    </row>
    <row r="5760" spans="2:3" ht="14.25">
      <c r="B5760" s="3"/>
      <c r="C5760" s="4"/>
    </row>
    <row r="5761" spans="2:3" ht="14.25">
      <c r="B5761" s="3"/>
      <c r="C5761" s="4"/>
    </row>
    <row r="5762" spans="2:3" ht="14.25">
      <c r="B5762" s="3"/>
      <c r="C5762" s="4"/>
    </row>
    <row r="5763" spans="2:3" ht="14.25">
      <c r="B5763" s="3"/>
      <c r="C5763" s="4"/>
    </row>
    <row r="5764" spans="2:3" ht="14.25">
      <c r="B5764" s="3"/>
      <c r="C5764" s="4"/>
    </row>
    <row r="5765" spans="2:3" ht="14.25">
      <c r="B5765" s="3"/>
      <c r="C5765" s="4"/>
    </row>
    <row r="5766" spans="2:3" ht="14.25">
      <c r="B5766" s="3"/>
      <c r="C5766" s="4"/>
    </row>
    <row r="5767" spans="2:3" ht="14.25">
      <c r="B5767" s="3"/>
      <c r="C5767" s="4"/>
    </row>
    <row r="5768" spans="2:3" ht="14.25">
      <c r="B5768" s="3"/>
      <c r="C5768" s="4"/>
    </row>
    <row r="5769" spans="2:3" ht="14.25">
      <c r="B5769" s="3"/>
      <c r="C5769" s="4"/>
    </row>
    <row r="5770" spans="2:3" ht="14.25">
      <c r="B5770" s="3"/>
      <c r="C5770" s="4"/>
    </row>
    <row r="5771" spans="2:3" ht="14.25">
      <c r="B5771" s="3"/>
      <c r="C5771" s="4"/>
    </row>
    <row r="5772" spans="2:3" ht="14.25">
      <c r="B5772" s="3"/>
      <c r="C5772" s="4"/>
    </row>
    <row r="5773" spans="2:3" ht="14.25">
      <c r="B5773" s="3"/>
      <c r="C5773" s="4"/>
    </row>
    <row r="5774" spans="2:3" ht="14.25">
      <c r="B5774" s="3"/>
      <c r="C5774" s="4"/>
    </row>
    <row r="5775" spans="2:3" ht="14.25">
      <c r="B5775" s="3"/>
      <c r="C5775" s="4"/>
    </row>
    <row r="5776" spans="2:3" ht="14.25">
      <c r="B5776" s="3"/>
      <c r="C5776" s="4"/>
    </row>
    <row r="5777" spans="2:3" ht="14.25">
      <c r="B5777" s="3"/>
      <c r="C5777" s="4"/>
    </row>
    <row r="5778" spans="2:3" ht="14.25">
      <c r="B5778" s="3"/>
      <c r="C5778" s="4"/>
    </row>
    <row r="5779" spans="2:3" ht="14.25">
      <c r="B5779" s="3"/>
      <c r="C5779" s="4"/>
    </row>
    <row r="5780" spans="2:3" ht="14.25">
      <c r="B5780" s="3"/>
      <c r="C5780" s="4"/>
    </row>
    <row r="5781" spans="2:3" ht="14.25">
      <c r="B5781" s="3"/>
      <c r="C5781" s="4"/>
    </row>
    <row r="5782" spans="2:3" ht="14.25">
      <c r="B5782" s="3"/>
      <c r="C5782" s="4"/>
    </row>
    <row r="5783" spans="2:3" ht="14.25">
      <c r="B5783" s="3"/>
      <c r="C5783" s="4"/>
    </row>
    <row r="5784" spans="2:3" ht="14.25">
      <c r="B5784" s="3"/>
      <c r="C5784" s="4"/>
    </row>
    <row r="5785" spans="2:3" ht="14.25">
      <c r="B5785" s="3"/>
      <c r="C5785" s="4"/>
    </row>
    <row r="5786" spans="2:3" ht="14.25">
      <c r="B5786" s="3"/>
      <c r="C5786" s="4"/>
    </row>
    <row r="5787" spans="2:3" ht="14.25">
      <c r="B5787" s="3"/>
      <c r="C5787" s="4"/>
    </row>
    <row r="5788" spans="2:3" ht="14.25">
      <c r="B5788" s="3"/>
      <c r="C5788" s="4"/>
    </row>
    <row r="5789" spans="2:3" ht="14.25">
      <c r="B5789" s="3"/>
      <c r="C5789" s="4"/>
    </row>
    <row r="5790" spans="2:3" ht="14.25">
      <c r="B5790" s="3"/>
      <c r="C5790" s="4"/>
    </row>
    <row r="5791" spans="2:3" ht="14.25">
      <c r="B5791" s="3"/>
      <c r="C5791" s="4"/>
    </row>
    <row r="5792" spans="2:3" ht="14.25">
      <c r="B5792" s="3"/>
      <c r="C5792" s="4"/>
    </row>
    <row r="5793" spans="2:3" ht="14.25">
      <c r="B5793" s="3"/>
      <c r="C5793" s="4"/>
    </row>
    <row r="5794" spans="2:3" ht="14.25">
      <c r="B5794" s="3"/>
      <c r="C5794" s="4"/>
    </row>
    <row r="5795" spans="2:3" ht="14.25">
      <c r="B5795" s="3"/>
      <c r="C5795" s="4"/>
    </row>
    <row r="5796" spans="2:3" ht="14.25">
      <c r="B5796" s="3"/>
      <c r="C5796" s="4"/>
    </row>
    <row r="5797" spans="2:3" ht="14.25">
      <c r="B5797" s="3"/>
      <c r="C5797" s="4"/>
    </row>
    <row r="5798" spans="2:3" ht="14.25">
      <c r="B5798" s="3"/>
      <c r="C5798" s="4"/>
    </row>
    <row r="5799" spans="2:3" ht="14.25">
      <c r="B5799" s="3"/>
      <c r="C5799" s="4"/>
    </row>
    <row r="5800" spans="2:3" ht="14.25">
      <c r="B5800" s="3"/>
      <c r="C5800" s="4"/>
    </row>
    <row r="5801" spans="2:3" ht="14.25">
      <c r="B5801" s="3"/>
      <c r="C5801" s="4"/>
    </row>
    <row r="5802" spans="2:3" ht="14.25">
      <c r="B5802" s="3"/>
      <c r="C5802" s="4"/>
    </row>
    <row r="5803" spans="2:3" ht="14.25">
      <c r="B5803" s="3"/>
      <c r="C5803" s="4"/>
    </row>
    <row r="5804" spans="2:3" ht="14.25">
      <c r="B5804" s="3"/>
      <c r="C5804" s="4"/>
    </row>
    <row r="5805" spans="2:3" ht="14.25">
      <c r="B5805" s="3"/>
      <c r="C5805" s="4"/>
    </row>
    <row r="5806" spans="2:3" ht="14.25">
      <c r="B5806" s="3"/>
      <c r="C5806" s="4"/>
    </row>
    <row r="5807" spans="2:3" ht="14.25">
      <c r="B5807" s="3"/>
      <c r="C5807" s="4"/>
    </row>
    <row r="5808" spans="2:3" ht="14.25">
      <c r="B5808" s="3"/>
      <c r="C5808" s="4"/>
    </row>
    <row r="5809" spans="2:3" ht="14.25">
      <c r="B5809" s="3"/>
      <c r="C5809" s="4"/>
    </row>
    <row r="5810" spans="2:3" ht="14.25">
      <c r="B5810" s="3"/>
      <c r="C5810" s="4"/>
    </row>
    <row r="5811" spans="2:3" ht="14.25">
      <c r="B5811" s="3"/>
      <c r="C5811" s="4"/>
    </row>
    <row r="5812" spans="2:3" ht="14.25">
      <c r="B5812" s="3"/>
      <c r="C5812" s="4"/>
    </row>
    <row r="5813" spans="2:3" ht="14.25">
      <c r="B5813" s="3"/>
      <c r="C5813" s="4"/>
    </row>
    <row r="5814" spans="2:3" ht="14.25">
      <c r="B5814" s="3"/>
      <c r="C5814" s="4"/>
    </row>
    <row r="5815" spans="2:3" ht="14.25">
      <c r="B5815" s="3"/>
      <c r="C5815" s="4"/>
    </row>
    <row r="5816" spans="2:3" ht="14.25">
      <c r="B5816" s="3"/>
      <c r="C5816" s="4"/>
    </row>
    <row r="5817" spans="2:3" ht="14.25">
      <c r="B5817" s="3"/>
      <c r="C5817" s="4"/>
    </row>
    <row r="5818" spans="2:3" ht="14.25">
      <c r="B5818" s="3"/>
      <c r="C5818" s="4"/>
    </row>
    <row r="5819" spans="2:3" ht="14.25">
      <c r="B5819" s="3"/>
      <c r="C5819" s="4"/>
    </row>
    <row r="5820" spans="2:3" ht="14.25">
      <c r="B5820" s="3"/>
      <c r="C5820" s="4"/>
    </row>
    <row r="5821" spans="2:3" ht="14.25">
      <c r="B5821" s="3"/>
      <c r="C5821" s="4"/>
    </row>
    <row r="5822" spans="2:3" ht="14.25">
      <c r="B5822" s="3"/>
      <c r="C5822" s="4"/>
    </row>
    <row r="5823" spans="2:3" ht="14.25">
      <c r="B5823" s="3"/>
      <c r="C5823" s="4"/>
    </row>
    <row r="5824" spans="2:3" ht="14.25">
      <c r="B5824" s="3"/>
      <c r="C5824" s="4"/>
    </row>
    <row r="5825" spans="2:3" ht="14.25">
      <c r="B5825" s="3"/>
      <c r="C5825" s="4"/>
    </row>
    <row r="5826" spans="2:3" ht="14.25">
      <c r="B5826" s="3"/>
      <c r="C5826" s="4"/>
    </row>
    <row r="5827" spans="2:3" ht="14.25">
      <c r="B5827" s="3"/>
      <c r="C5827" s="4"/>
    </row>
    <row r="5828" spans="2:3" ht="14.25">
      <c r="B5828" s="3"/>
      <c r="C5828" s="4"/>
    </row>
    <row r="5829" spans="2:3" ht="14.25">
      <c r="B5829" s="3"/>
      <c r="C5829" s="4"/>
    </row>
    <row r="5830" spans="2:3" ht="14.25">
      <c r="B5830" s="3"/>
      <c r="C5830" s="4"/>
    </row>
    <row r="5831" spans="2:3" ht="14.25">
      <c r="B5831" s="3"/>
      <c r="C5831" s="4"/>
    </row>
    <row r="5832" spans="2:3" ht="14.25">
      <c r="B5832" s="3"/>
      <c r="C5832" s="4"/>
    </row>
    <row r="5833" spans="2:3" ht="14.25">
      <c r="B5833" s="3"/>
      <c r="C5833" s="4"/>
    </row>
    <row r="5834" spans="2:3" ht="14.25">
      <c r="B5834" s="3"/>
      <c r="C5834" s="4"/>
    </row>
    <row r="5835" spans="2:3" ht="14.25">
      <c r="B5835" s="3"/>
      <c r="C5835" s="4"/>
    </row>
    <row r="5836" spans="2:3" ht="14.25">
      <c r="B5836" s="3"/>
      <c r="C5836" s="4"/>
    </row>
    <row r="5837" spans="2:3" ht="14.25">
      <c r="B5837" s="3"/>
      <c r="C5837" s="4"/>
    </row>
    <row r="5838" spans="2:3" ht="14.25">
      <c r="B5838" s="3"/>
      <c r="C5838" s="4"/>
    </row>
    <row r="5839" spans="2:3" ht="14.25">
      <c r="B5839" s="3"/>
      <c r="C5839" s="4"/>
    </row>
    <row r="5840" spans="2:3" ht="14.25">
      <c r="B5840" s="3"/>
      <c r="C5840" s="4"/>
    </row>
    <row r="5841" spans="2:3" ht="14.25">
      <c r="B5841" s="3"/>
      <c r="C5841" s="4"/>
    </row>
    <row r="5842" spans="2:3" ht="14.25">
      <c r="B5842" s="3"/>
      <c r="C5842" s="4"/>
    </row>
    <row r="5843" spans="2:3" ht="14.25">
      <c r="B5843" s="3"/>
      <c r="C5843" s="4"/>
    </row>
    <row r="5844" spans="2:3" ht="14.25">
      <c r="B5844" s="3"/>
      <c r="C5844" s="4"/>
    </row>
    <row r="5845" spans="2:3" ht="14.25">
      <c r="B5845" s="3"/>
      <c r="C5845" s="4"/>
    </row>
    <row r="5846" spans="2:3" ht="14.25">
      <c r="B5846" s="3"/>
      <c r="C5846" s="4"/>
    </row>
    <row r="5847" spans="2:3" ht="14.25">
      <c r="B5847" s="3"/>
      <c r="C5847" s="4"/>
    </row>
    <row r="5848" spans="2:3" ht="14.25">
      <c r="B5848" s="3"/>
      <c r="C5848" s="4"/>
    </row>
    <row r="5849" spans="2:3" ht="14.25">
      <c r="B5849" s="3"/>
      <c r="C5849" s="4"/>
    </row>
    <row r="5850" spans="2:3" ht="14.25">
      <c r="B5850" s="3"/>
      <c r="C5850" s="4"/>
    </row>
    <row r="5851" spans="2:3" ht="14.25">
      <c r="B5851" s="3"/>
      <c r="C5851" s="4"/>
    </row>
    <row r="5852" spans="2:3" ht="14.25">
      <c r="B5852" s="3"/>
      <c r="C5852" s="4"/>
    </row>
    <row r="5853" spans="2:3" ht="14.25">
      <c r="B5853" s="3"/>
      <c r="C5853" s="4"/>
    </row>
    <row r="5854" spans="2:3" ht="14.25">
      <c r="B5854" s="3"/>
      <c r="C5854" s="4"/>
    </row>
    <row r="5855" spans="2:3" ht="14.25">
      <c r="B5855" s="3"/>
      <c r="C5855" s="4"/>
    </row>
    <row r="5856" spans="2:3" ht="14.25">
      <c r="B5856" s="3"/>
      <c r="C5856" s="4"/>
    </row>
    <row r="5857" spans="2:3" ht="14.25">
      <c r="B5857" s="3"/>
      <c r="C5857" s="4"/>
    </row>
    <row r="5858" spans="2:3" ht="14.25">
      <c r="B5858" s="3"/>
      <c r="C5858" s="4"/>
    </row>
    <row r="5859" spans="2:3" ht="14.25">
      <c r="B5859" s="3"/>
      <c r="C5859" s="4"/>
    </row>
    <row r="5860" spans="2:3" ht="14.25">
      <c r="B5860" s="3"/>
      <c r="C5860" s="4"/>
    </row>
    <row r="5861" spans="2:3" ht="14.25">
      <c r="B5861" s="3"/>
      <c r="C5861" s="4"/>
    </row>
    <row r="5862" spans="2:3" ht="14.25">
      <c r="B5862" s="3"/>
      <c r="C5862" s="4"/>
    </row>
    <row r="5863" spans="2:3" ht="14.25">
      <c r="B5863" s="3"/>
      <c r="C5863" s="4"/>
    </row>
    <row r="5864" spans="2:3" ht="14.25">
      <c r="B5864" s="3"/>
      <c r="C5864" s="4"/>
    </row>
    <row r="5865" spans="2:3" ht="14.25">
      <c r="B5865" s="3"/>
      <c r="C5865" s="4"/>
    </row>
    <row r="5866" spans="2:3" ht="14.25">
      <c r="B5866" s="3"/>
      <c r="C5866" s="4"/>
    </row>
    <row r="5867" spans="2:3" ht="14.25">
      <c r="B5867" s="3"/>
      <c r="C5867" s="4"/>
    </row>
    <row r="5868" spans="2:3" ht="14.25">
      <c r="B5868" s="3"/>
      <c r="C5868" s="4"/>
    </row>
    <row r="5869" spans="2:3" ht="14.25">
      <c r="B5869" s="3"/>
      <c r="C5869" s="4"/>
    </row>
    <row r="5870" spans="2:3" ht="14.25">
      <c r="B5870" s="3"/>
      <c r="C5870" s="4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238"/>
  <sheetViews>
    <sheetView showGridLines="0" workbookViewId="0"/>
  </sheetViews>
  <sheetFormatPr defaultRowHeight="14.1"/>
  <cols>
    <col min="1" max="1" width="23.25" customWidth="1"/>
    <col min="2" max="2" width="10.5" bestFit="1" customWidth="1"/>
    <col min="3" max="3" width="14.125" customWidth="1"/>
    <col min="4" max="4" width="11.375" customWidth="1"/>
    <col min="5" max="5" width="4.5" customWidth="1"/>
    <col min="6" max="8" width="25" customWidth="1"/>
    <col min="9" max="9" width="7" customWidth="1"/>
    <col min="10" max="10" width="7.875" bestFit="1" customWidth="1"/>
    <col min="11" max="11" width="7.375" customWidth="1"/>
    <col min="12" max="12" width="30" customWidth="1"/>
    <col min="13" max="13" width="6.625" customWidth="1"/>
    <col min="14" max="14" width="13.5" customWidth="1"/>
    <col min="15" max="15" width="7.25" customWidth="1"/>
    <col min="16" max="16" width="6.75" customWidth="1"/>
    <col min="17" max="17" width="7.625" customWidth="1"/>
    <col min="18" max="18" width="9.5" customWidth="1"/>
    <col min="19" max="19" width="5.875" customWidth="1"/>
  </cols>
  <sheetData>
    <row r="1" spans="1:19" ht="30" customHeight="1">
      <c r="A1" s="46" t="s">
        <v>1148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33.950000000000003" customHeight="1">
      <c r="A2" s="47" t="s">
        <v>1149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4" spans="1:19">
      <c r="A4" s="35" t="s">
        <v>1150</v>
      </c>
      <c r="B4" s="36" t="s">
        <v>131</v>
      </c>
      <c r="C4" s="36" t="s">
        <v>132</v>
      </c>
      <c r="D4" s="36" t="s">
        <v>1151</v>
      </c>
      <c r="E4" s="36" t="s">
        <v>14</v>
      </c>
      <c r="F4" s="36" t="s">
        <v>3</v>
      </c>
      <c r="G4" s="36" t="s">
        <v>6</v>
      </c>
      <c r="H4" s="36" t="s">
        <v>7</v>
      </c>
      <c r="I4" s="36" t="s">
        <v>1152</v>
      </c>
      <c r="J4" s="36" t="s">
        <v>1153</v>
      </c>
      <c r="K4" s="36" t="s">
        <v>1154</v>
      </c>
      <c r="L4" s="36" t="s">
        <v>8</v>
      </c>
      <c r="M4" s="36" t="s">
        <v>15</v>
      </c>
      <c r="N4" s="36" t="s">
        <v>1155</v>
      </c>
      <c r="O4" s="36" t="s">
        <v>43</v>
      </c>
      <c r="P4" s="36" t="s">
        <v>1156</v>
      </c>
      <c r="Q4" s="36" t="s">
        <v>20</v>
      </c>
      <c r="R4" s="36" t="s">
        <v>1157</v>
      </c>
      <c r="S4" s="37" t="s">
        <v>1158</v>
      </c>
    </row>
    <row r="5" spans="1:19">
      <c r="B5" s="4"/>
      <c r="I5" s="5"/>
      <c r="J5" s="5"/>
      <c r="K5" s="6"/>
      <c r="N5" s="2"/>
      <c r="O5" s="2"/>
      <c r="P5" s="2"/>
    </row>
    <row r="6" spans="1:19">
      <c r="A6" t="s">
        <v>1159</v>
      </c>
      <c r="B6" s="4">
        <v>46259</v>
      </c>
      <c r="C6" t="s">
        <v>136</v>
      </c>
      <c r="D6" t="s">
        <v>1160</v>
      </c>
      <c r="E6">
        <v>1001</v>
      </c>
      <c r="F6" t="s">
        <v>21</v>
      </c>
      <c r="G6" t="s">
        <v>63</v>
      </c>
      <c r="H6" t="s">
        <v>93</v>
      </c>
      <c r="I6" s="5">
        <v>0.64396990741079208</v>
      </c>
      <c r="J6" s="5">
        <v>0.64594907407445135</v>
      </c>
      <c r="K6" s="6">
        <v>4.74999999278225E-2</v>
      </c>
      <c r="L6" t="s">
        <v>141</v>
      </c>
      <c r="M6" t="s">
        <v>22</v>
      </c>
      <c r="N6" s="2">
        <v>17</v>
      </c>
      <c r="O6" s="2">
        <v>0</v>
      </c>
      <c r="P6" s="2">
        <v>0.80749999877298251</v>
      </c>
      <c r="Q6" t="s">
        <v>1161</v>
      </c>
      <c r="R6">
        <v>1</v>
      </c>
      <c r="S6" t="s">
        <v>1162</v>
      </c>
    </row>
    <row r="7" spans="1:19">
      <c r="A7" t="s">
        <v>1163</v>
      </c>
      <c r="B7" s="4">
        <v>46259</v>
      </c>
      <c r="C7" t="s">
        <v>136</v>
      </c>
      <c r="D7" t="s">
        <v>1160</v>
      </c>
      <c r="E7">
        <v>1015</v>
      </c>
      <c r="F7" t="s">
        <v>47</v>
      </c>
      <c r="G7" t="s">
        <v>81</v>
      </c>
      <c r="H7" t="s">
        <v>81</v>
      </c>
      <c r="I7" s="5">
        <v>0.67881944444525288</v>
      </c>
      <c r="J7" s="5">
        <v>0.68112268518598285</v>
      </c>
      <c r="K7" s="6">
        <v>5.5277777777519077E-2</v>
      </c>
      <c r="M7" t="s">
        <v>22</v>
      </c>
      <c r="N7" s="2">
        <v>21.5</v>
      </c>
      <c r="O7" s="2">
        <v>0</v>
      </c>
      <c r="P7" s="2">
        <v>1.1884722222166602</v>
      </c>
      <c r="Q7" t="s">
        <v>1161</v>
      </c>
      <c r="R7">
        <v>1</v>
      </c>
      <c r="S7" t="s">
        <v>1162</v>
      </c>
    </row>
    <row r="8" spans="1:19">
      <c r="A8" t="s">
        <v>1164</v>
      </c>
      <c r="B8" s="4">
        <v>46259</v>
      </c>
      <c r="C8" t="s">
        <v>136</v>
      </c>
      <c r="D8" t="s">
        <v>1160</v>
      </c>
      <c r="E8">
        <v>1001</v>
      </c>
      <c r="F8" t="s">
        <v>21</v>
      </c>
      <c r="G8" t="s">
        <v>69</v>
      </c>
      <c r="H8" t="s">
        <v>96</v>
      </c>
      <c r="I8" s="5">
        <v>0.68497685185138835</v>
      </c>
      <c r="J8" s="5">
        <v>0.68540509259037208</v>
      </c>
      <c r="K8" s="6">
        <v>1.0277777735609561E-2</v>
      </c>
      <c r="M8" t="s">
        <v>22</v>
      </c>
      <c r="N8" s="2">
        <v>17</v>
      </c>
      <c r="O8" s="2">
        <v>0</v>
      </c>
      <c r="P8" s="2">
        <v>0.17472222150536254</v>
      </c>
      <c r="Q8" t="s">
        <v>1161</v>
      </c>
      <c r="R8">
        <v>0</v>
      </c>
      <c r="S8" t="s">
        <v>1162</v>
      </c>
    </row>
    <row r="9" spans="1:19">
      <c r="A9" t="s">
        <v>1165</v>
      </c>
      <c r="B9" s="4">
        <v>46259</v>
      </c>
      <c r="C9" t="s">
        <v>136</v>
      </c>
      <c r="D9" t="s">
        <v>1160</v>
      </c>
      <c r="E9">
        <v>1015</v>
      </c>
      <c r="F9" t="s">
        <v>47</v>
      </c>
      <c r="G9" t="s">
        <v>81</v>
      </c>
      <c r="H9" t="s">
        <v>81</v>
      </c>
      <c r="I9" s="5">
        <v>0.71230324073985685</v>
      </c>
      <c r="J9" s="5">
        <v>0.74576388888817746</v>
      </c>
      <c r="K9" s="6">
        <v>0.80305555555969477</v>
      </c>
      <c r="M9" t="s">
        <v>22</v>
      </c>
      <c r="N9" s="2">
        <v>21.5</v>
      </c>
      <c r="O9" s="2">
        <v>0</v>
      </c>
      <c r="P9" s="2">
        <v>17.265694444533437</v>
      </c>
      <c r="Q9" t="s">
        <v>1161</v>
      </c>
      <c r="R9">
        <v>0</v>
      </c>
      <c r="S9" t="s">
        <v>1162</v>
      </c>
    </row>
    <row r="10" spans="1:19">
      <c r="A10" t="s">
        <v>1166</v>
      </c>
      <c r="B10" s="4">
        <v>46260</v>
      </c>
      <c r="C10" t="s">
        <v>153</v>
      </c>
      <c r="D10" t="s">
        <v>1160</v>
      </c>
      <c r="E10">
        <v>1011</v>
      </c>
      <c r="F10" t="s">
        <v>40</v>
      </c>
      <c r="G10" t="s">
        <v>69</v>
      </c>
      <c r="H10" t="s">
        <v>102</v>
      </c>
      <c r="I10" s="5">
        <v>0.33031250000203727</v>
      </c>
      <c r="J10" s="5">
        <v>0.50674768518365454</v>
      </c>
      <c r="K10" s="6">
        <v>4.2344444443588145</v>
      </c>
      <c r="L10" t="s">
        <v>174</v>
      </c>
      <c r="M10" t="s">
        <v>22</v>
      </c>
      <c r="N10" s="2">
        <v>23.5</v>
      </c>
      <c r="O10" s="2">
        <v>0</v>
      </c>
      <c r="P10" s="2">
        <v>99.509444442432141</v>
      </c>
      <c r="Q10" t="s">
        <v>1161</v>
      </c>
      <c r="R10">
        <v>1</v>
      </c>
      <c r="S10" t="s">
        <v>1162</v>
      </c>
    </row>
    <row r="11" spans="1:19">
      <c r="A11" t="s">
        <v>1167</v>
      </c>
      <c r="B11" s="4">
        <v>46260</v>
      </c>
      <c r="C11" t="s">
        <v>153</v>
      </c>
      <c r="D11" t="s">
        <v>1160</v>
      </c>
      <c r="E11">
        <v>1003</v>
      </c>
      <c r="F11" t="s">
        <v>27</v>
      </c>
      <c r="G11" t="s">
        <v>66</v>
      </c>
      <c r="H11" t="s">
        <v>102</v>
      </c>
      <c r="I11" s="5">
        <v>0.338587962964084</v>
      </c>
      <c r="J11" s="5">
        <v>0.49538194444176042</v>
      </c>
      <c r="K11" s="6">
        <v>3.7630555554642342</v>
      </c>
      <c r="M11" t="s">
        <v>22</v>
      </c>
      <c r="N11" s="2">
        <v>23.5</v>
      </c>
      <c r="O11" s="2">
        <v>0</v>
      </c>
      <c r="P11" s="2">
        <v>88.431805553409504</v>
      </c>
      <c r="Q11" t="s">
        <v>1161</v>
      </c>
      <c r="R11">
        <v>1</v>
      </c>
      <c r="S11" t="s">
        <v>1162</v>
      </c>
    </row>
    <row r="12" spans="1:19">
      <c r="A12" t="s">
        <v>1168</v>
      </c>
      <c r="B12" s="4">
        <v>46260</v>
      </c>
      <c r="C12" t="s">
        <v>153</v>
      </c>
      <c r="D12" t="s">
        <v>1160</v>
      </c>
      <c r="E12">
        <v>1013</v>
      </c>
      <c r="F12" t="s">
        <v>45</v>
      </c>
      <c r="G12" t="s">
        <v>57</v>
      </c>
      <c r="H12" t="s">
        <v>102</v>
      </c>
      <c r="I12" s="5">
        <v>0.34144675925927004</v>
      </c>
      <c r="J12" s="5"/>
      <c r="K12" s="6"/>
      <c r="M12" t="s">
        <v>22</v>
      </c>
      <c r="N12" s="2">
        <v>23.5</v>
      </c>
      <c r="O12" s="2">
        <v>0</v>
      </c>
      <c r="P12" s="2"/>
      <c r="Q12" t="s">
        <v>1169</v>
      </c>
      <c r="S12" t="s">
        <v>1162</v>
      </c>
    </row>
    <row r="13" spans="1:19">
      <c r="A13" t="s">
        <v>1170</v>
      </c>
      <c r="B13" s="4">
        <v>46260</v>
      </c>
      <c r="C13" t="s">
        <v>153</v>
      </c>
      <c r="D13" t="s">
        <v>1160</v>
      </c>
      <c r="E13">
        <v>1015</v>
      </c>
      <c r="F13" t="s">
        <v>47</v>
      </c>
      <c r="G13" t="s">
        <v>81</v>
      </c>
      <c r="H13" t="s">
        <v>81</v>
      </c>
      <c r="I13" s="5">
        <v>0.36912037037109258</v>
      </c>
      <c r="J13" s="5">
        <v>0.54428240740526235</v>
      </c>
      <c r="K13" s="6">
        <v>4.2038888888200745</v>
      </c>
      <c r="M13" t="s">
        <v>22</v>
      </c>
      <c r="N13" s="2">
        <v>21.5</v>
      </c>
      <c r="O13" s="2">
        <v>0</v>
      </c>
      <c r="P13" s="2">
        <v>90.383611109631602</v>
      </c>
      <c r="Q13" t="s">
        <v>1161</v>
      </c>
      <c r="R13">
        <v>1</v>
      </c>
      <c r="S13" t="s">
        <v>1162</v>
      </c>
    </row>
    <row r="14" spans="1:19">
      <c r="A14" t="s">
        <v>1171</v>
      </c>
      <c r="B14" s="4">
        <v>46260</v>
      </c>
      <c r="C14" t="s">
        <v>153</v>
      </c>
      <c r="D14" t="s">
        <v>1160</v>
      </c>
      <c r="E14">
        <v>1002</v>
      </c>
      <c r="F14" t="s">
        <v>25</v>
      </c>
      <c r="G14" t="s">
        <v>60</v>
      </c>
      <c r="H14" t="s">
        <v>102</v>
      </c>
      <c r="I14" s="5">
        <v>0.37054398148029577</v>
      </c>
      <c r="J14" s="5">
        <v>0.74967592592292931</v>
      </c>
      <c r="K14" s="6">
        <v>9.0991666666232049</v>
      </c>
      <c r="M14" t="s">
        <v>22</v>
      </c>
      <c r="N14" s="2">
        <v>23.5</v>
      </c>
      <c r="O14" s="2">
        <v>0</v>
      </c>
      <c r="P14" s="2">
        <v>213.83041666564532</v>
      </c>
      <c r="Q14" t="s">
        <v>1161</v>
      </c>
      <c r="R14">
        <v>1</v>
      </c>
      <c r="S14" t="s">
        <v>1162</v>
      </c>
    </row>
    <row r="15" spans="1:19">
      <c r="A15" t="s">
        <v>1172</v>
      </c>
      <c r="B15" s="4">
        <v>46260</v>
      </c>
      <c r="C15" t="s">
        <v>153</v>
      </c>
      <c r="D15" t="s">
        <v>1160</v>
      </c>
      <c r="E15">
        <v>1016</v>
      </c>
      <c r="F15" t="s">
        <v>49</v>
      </c>
      <c r="G15" t="s">
        <v>60</v>
      </c>
      <c r="H15" t="s">
        <v>102</v>
      </c>
      <c r="I15" s="5">
        <v>0.38037037036701804</v>
      </c>
      <c r="J15" s="5">
        <v>0.52113425925927004</v>
      </c>
      <c r="K15" s="6">
        <v>3.378333333414048</v>
      </c>
      <c r="M15" t="s">
        <v>22</v>
      </c>
      <c r="N15" s="2">
        <v>23.5</v>
      </c>
      <c r="O15" s="2">
        <v>0</v>
      </c>
      <c r="P15" s="2">
        <v>79.390833335230127</v>
      </c>
      <c r="Q15" t="s">
        <v>1161</v>
      </c>
      <c r="R15">
        <v>1</v>
      </c>
      <c r="S15" t="s">
        <v>1162</v>
      </c>
    </row>
    <row r="16" spans="1:19">
      <c r="A16" t="s">
        <v>1173</v>
      </c>
      <c r="B16" s="4">
        <v>46260</v>
      </c>
      <c r="C16" t="s">
        <v>153</v>
      </c>
      <c r="D16" t="s">
        <v>1160</v>
      </c>
      <c r="E16">
        <v>1001</v>
      </c>
      <c r="F16" t="s">
        <v>21</v>
      </c>
      <c r="G16" t="s">
        <v>75</v>
      </c>
      <c r="H16" t="s">
        <v>93</v>
      </c>
      <c r="I16" s="5">
        <v>0.39813657407648861</v>
      </c>
      <c r="J16" s="5">
        <v>0.60500000000320142</v>
      </c>
      <c r="K16" s="6">
        <v>4.9647222222411074</v>
      </c>
      <c r="L16" t="s">
        <v>190</v>
      </c>
      <c r="M16" t="s">
        <v>22</v>
      </c>
      <c r="N16" s="2">
        <v>17</v>
      </c>
      <c r="O16" s="2">
        <v>0</v>
      </c>
      <c r="P16" s="2">
        <v>84.400277778098825</v>
      </c>
      <c r="Q16" t="s">
        <v>1161</v>
      </c>
      <c r="R16">
        <v>1</v>
      </c>
      <c r="S16" t="s">
        <v>1162</v>
      </c>
    </row>
    <row r="17" spans="1:19">
      <c r="A17" t="s">
        <v>1174</v>
      </c>
      <c r="B17" s="4">
        <v>46260</v>
      </c>
      <c r="C17" t="s">
        <v>153</v>
      </c>
      <c r="D17" t="s">
        <v>1160</v>
      </c>
      <c r="E17">
        <v>1014</v>
      </c>
      <c r="F17" t="s">
        <v>46</v>
      </c>
      <c r="G17" t="s">
        <v>66</v>
      </c>
      <c r="H17" t="s">
        <v>122</v>
      </c>
      <c r="I17" s="5">
        <v>0.4101041666654055</v>
      </c>
      <c r="J17" s="5">
        <v>0.52747685185022419</v>
      </c>
      <c r="K17" s="6">
        <v>2.8169444444356486</v>
      </c>
      <c r="M17" t="s">
        <v>22</v>
      </c>
      <c r="N17" s="2">
        <v>21.5</v>
      </c>
      <c r="O17" s="2">
        <v>0</v>
      </c>
      <c r="P17" s="2">
        <v>60.564305555366445</v>
      </c>
      <c r="Q17" t="s">
        <v>1161</v>
      </c>
      <c r="R17">
        <v>1</v>
      </c>
      <c r="S17" t="s">
        <v>1162</v>
      </c>
    </row>
    <row r="18" spans="1:19">
      <c r="A18" t="s">
        <v>1175</v>
      </c>
      <c r="B18" s="4">
        <v>46260</v>
      </c>
      <c r="C18" t="s">
        <v>153</v>
      </c>
      <c r="D18" t="s">
        <v>1160</v>
      </c>
      <c r="E18">
        <v>1012</v>
      </c>
      <c r="F18" t="s">
        <v>42</v>
      </c>
      <c r="G18" t="s">
        <v>63</v>
      </c>
      <c r="H18" t="s">
        <v>96</v>
      </c>
      <c r="I18" s="5">
        <v>0.43912037037080154</v>
      </c>
      <c r="J18" s="5">
        <v>0.52681712962657912</v>
      </c>
      <c r="K18" s="6">
        <v>2.1047222221386619</v>
      </c>
      <c r="M18" t="s">
        <v>43</v>
      </c>
      <c r="N18" s="2">
        <v>0</v>
      </c>
      <c r="O18" s="2">
        <v>222.72</v>
      </c>
      <c r="P18" s="2">
        <v>222.72</v>
      </c>
      <c r="Q18" t="s">
        <v>1161</v>
      </c>
      <c r="R18">
        <v>1</v>
      </c>
      <c r="S18" t="s">
        <v>1162</v>
      </c>
    </row>
    <row r="19" spans="1:19">
      <c r="A19" t="s">
        <v>1176</v>
      </c>
      <c r="B19" s="4">
        <v>46260</v>
      </c>
      <c r="C19" t="s">
        <v>153</v>
      </c>
      <c r="D19" t="s">
        <v>1160</v>
      </c>
      <c r="E19">
        <v>1004</v>
      </c>
      <c r="F19" t="s">
        <v>29</v>
      </c>
      <c r="G19" t="s">
        <v>63</v>
      </c>
      <c r="H19" t="s">
        <v>99</v>
      </c>
      <c r="I19" s="5">
        <v>0.50289351851824904</v>
      </c>
      <c r="J19" s="5">
        <v>0.56880787036789116</v>
      </c>
      <c r="K19" s="6">
        <v>1.5819444443914108</v>
      </c>
      <c r="L19" t="s">
        <v>185</v>
      </c>
      <c r="M19" t="s">
        <v>22</v>
      </c>
      <c r="N19" s="2">
        <v>21.5</v>
      </c>
      <c r="O19" s="2">
        <v>0</v>
      </c>
      <c r="P19" s="2">
        <v>34.011805554415332</v>
      </c>
      <c r="Q19" t="s">
        <v>1161</v>
      </c>
      <c r="R19">
        <v>1</v>
      </c>
      <c r="S19" t="s">
        <v>1162</v>
      </c>
    </row>
    <row r="20" spans="1:19">
      <c r="A20" t="s">
        <v>1177</v>
      </c>
      <c r="B20" s="4">
        <v>46260</v>
      </c>
      <c r="C20" t="s">
        <v>153</v>
      </c>
      <c r="D20" t="s">
        <v>1160</v>
      </c>
      <c r="E20">
        <v>1011</v>
      </c>
      <c r="F20" t="s">
        <v>40</v>
      </c>
      <c r="G20" t="s">
        <v>66</v>
      </c>
      <c r="H20" t="s">
        <v>102</v>
      </c>
      <c r="I20" s="5">
        <v>0.52789351851970423</v>
      </c>
      <c r="J20" s="5">
        <v>0.75285879629518604</v>
      </c>
      <c r="K20" s="6">
        <v>5.3991666666115634</v>
      </c>
      <c r="L20" t="s">
        <v>200</v>
      </c>
      <c r="M20" t="s">
        <v>22</v>
      </c>
      <c r="N20" s="2">
        <v>23.5</v>
      </c>
      <c r="O20" s="2">
        <v>0</v>
      </c>
      <c r="P20" s="2">
        <v>126.88041666537174</v>
      </c>
      <c r="Q20" t="s">
        <v>1161</v>
      </c>
      <c r="R20">
        <v>0</v>
      </c>
      <c r="S20" t="s">
        <v>1162</v>
      </c>
    </row>
    <row r="21" spans="1:19">
      <c r="A21" t="s">
        <v>1178</v>
      </c>
      <c r="B21" s="4">
        <v>46260</v>
      </c>
      <c r="C21" t="s">
        <v>153</v>
      </c>
      <c r="D21" t="s">
        <v>1160</v>
      </c>
      <c r="E21">
        <v>1016</v>
      </c>
      <c r="F21" t="s">
        <v>49</v>
      </c>
      <c r="G21" t="s">
        <v>60</v>
      </c>
      <c r="H21" t="s">
        <v>102</v>
      </c>
      <c r="I21" s="5">
        <v>0.55978009258979</v>
      </c>
      <c r="J21" s="5">
        <v>0.52527777777868323</v>
      </c>
      <c r="K21" s="6">
        <v>23.171944444533437</v>
      </c>
      <c r="M21" t="s">
        <v>22</v>
      </c>
      <c r="N21" s="2">
        <v>23.5</v>
      </c>
      <c r="O21" s="2">
        <v>0</v>
      </c>
      <c r="P21" s="2">
        <v>544.54069444653578</v>
      </c>
      <c r="Q21" t="s">
        <v>1161</v>
      </c>
      <c r="R21">
        <v>1</v>
      </c>
      <c r="S21" t="s">
        <v>1162</v>
      </c>
    </row>
    <row r="22" spans="1:19">
      <c r="A22" t="s">
        <v>1179</v>
      </c>
      <c r="B22" s="4">
        <v>46260</v>
      </c>
      <c r="C22" t="s">
        <v>153</v>
      </c>
      <c r="D22" t="s">
        <v>1160</v>
      </c>
      <c r="E22">
        <v>1012</v>
      </c>
      <c r="F22" t="s">
        <v>42</v>
      </c>
      <c r="G22" t="s">
        <v>75</v>
      </c>
      <c r="H22" t="s">
        <v>96</v>
      </c>
      <c r="I22" s="5">
        <v>0.57128472222393611</v>
      </c>
      <c r="J22" s="5">
        <v>0.75644675926014315</v>
      </c>
      <c r="K22" s="6">
        <v>4.4438888888689689</v>
      </c>
      <c r="M22" t="s">
        <v>43</v>
      </c>
      <c r="N22" s="2">
        <v>0</v>
      </c>
      <c r="O22" s="2">
        <v>222.72</v>
      </c>
      <c r="P22" s="2">
        <v>0</v>
      </c>
      <c r="Q22" t="s">
        <v>1161</v>
      </c>
      <c r="R22">
        <v>0</v>
      </c>
      <c r="S22" t="s">
        <v>1162</v>
      </c>
    </row>
    <row r="23" spans="1:19">
      <c r="A23" t="s">
        <v>1180</v>
      </c>
      <c r="B23" s="4">
        <v>46260</v>
      </c>
      <c r="C23" t="s">
        <v>153</v>
      </c>
      <c r="D23" t="s">
        <v>1160</v>
      </c>
      <c r="E23">
        <v>1014</v>
      </c>
      <c r="F23" t="s">
        <v>46</v>
      </c>
      <c r="G23" t="s">
        <v>66</v>
      </c>
      <c r="H23" t="s">
        <v>122</v>
      </c>
      <c r="I23" s="5">
        <v>0.57217592592496658</v>
      </c>
      <c r="J23" s="5">
        <v>0.75214120370219462</v>
      </c>
      <c r="K23" s="6">
        <v>4.3191666666534729</v>
      </c>
      <c r="M23" t="s">
        <v>22</v>
      </c>
      <c r="N23" s="2">
        <v>21.5</v>
      </c>
      <c r="O23" s="2">
        <v>0</v>
      </c>
      <c r="P23" s="2">
        <v>92.862083333049668</v>
      </c>
      <c r="Q23" t="s">
        <v>1161</v>
      </c>
      <c r="R23">
        <v>0</v>
      </c>
      <c r="S23" t="s">
        <v>1162</v>
      </c>
    </row>
    <row r="24" spans="1:19">
      <c r="A24" t="s">
        <v>1181</v>
      </c>
      <c r="B24" s="4">
        <v>46260</v>
      </c>
      <c r="C24" t="s">
        <v>153</v>
      </c>
      <c r="D24" t="s">
        <v>1160</v>
      </c>
      <c r="E24">
        <v>1015</v>
      </c>
      <c r="F24" t="s">
        <v>47</v>
      </c>
      <c r="G24" t="s">
        <v>81</v>
      </c>
      <c r="H24" t="s">
        <v>81</v>
      </c>
      <c r="I24" s="5">
        <v>0.58493055555300089</v>
      </c>
      <c r="J24" s="5">
        <v>0.7434953703705105</v>
      </c>
      <c r="K24" s="6">
        <v>3.8055555556202307</v>
      </c>
      <c r="M24" t="s">
        <v>22</v>
      </c>
      <c r="N24" s="2">
        <v>21.5</v>
      </c>
      <c r="O24" s="2">
        <v>0</v>
      </c>
      <c r="P24" s="2">
        <v>81.819444445834961</v>
      </c>
      <c r="Q24" t="s">
        <v>1161</v>
      </c>
      <c r="R24">
        <v>0</v>
      </c>
      <c r="S24" t="s">
        <v>1162</v>
      </c>
    </row>
    <row r="25" spans="1:19">
      <c r="A25" t="s">
        <v>1182</v>
      </c>
      <c r="B25" s="4">
        <v>46260</v>
      </c>
      <c r="C25" t="s">
        <v>153</v>
      </c>
      <c r="D25" t="s">
        <v>1160</v>
      </c>
      <c r="E25">
        <v>1001</v>
      </c>
      <c r="F25" t="s">
        <v>21</v>
      </c>
      <c r="G25" t="s">
        <v>75</v>
      </c>
      <c r="H25" t="s">
        <v>93</v>
      </c>
      <c r="I25" s="5">
        <v>0.62648148147854954</v>
      </c>
      <c r="J25" s="5">
        <v>0.78876157407648861</v>
      </c>
      <c r="K25" s="6">
        <v>3.8947222223505378</v>
      </c>
      <c r="L25" t="s">
        <v>205</v>
      </c>
      <c r="M25" t="s">
        <v>22</v>
      </c>
      <c r="N25" s="2">
        <v>17</v>
      </c>
      <c r="O25" s="2">
        <v>0</v>
      </c>
      <c r="P25" s="2">
        <v>66.210277779959142</v>
      </c>
      <c r="Q25" t="s">
        <v>1161</v>
      </c>
      <c r="R25">
        <v>0</v>
      </c>
      <c r="S25" t="s">
        <v>1162</v>
      </c>
    </row>
    <row r="26" spans="1:19">
      <c r="A26" t="s">
        <v>1183</v>
      </c>
      <c r="B26" s="4">
        <v>46260</v>
      </c>
      <c r="C26" t="s">
        <v>153</v>
      </c>
      <c r="D26" t="s">
        <v>1160</v>
      </c>
      <c r="E26">
        <v>1006</v>
      </c>
      <c r="F26" t="s">
        <v>33</v>
      </c>
      <c r="G26" t="s">
        <v>75</v>
      </c>
      <c r="H26" t="s">
        <v>96</v>
      </c>
      <c r="I26" s="5">
        <v>0.63560185184906004</v>
      </c>
      <c r="J26" s="5">
        <v>0.97969907407241408</v>
      </c>
      <c r="K26" s="6">
        <v>8.2583333333604969</v>
      </c>
      <c r="L26" t="s">
        <v>210</v>
      </c>
      <c r="M26" t="s">
        <v>22</v>
      </c>
      <c r="N26" s="2">
        <v>14</v>
      </c>
      <c r="O26" s="2">
        <v>0</v>
      </c>
      <c r="P26" s="2">
        <v>115.61666666704696</v>
      </c>
      <c r="Q26" t="s">
        <v>1161</v>
      </c>
      <c r="R26">
        <v>1</v>
      </c>
      <c r="S26" t="s">
        <v>1162</v>
      </c>
    </row>
    <row r="27" spans="1:19">
      <c r="A27" t="s">
        <v>1184</v>
      </c>
      <c r="B27" s="4">
        <v>46260</v>
      </c>
      <c r="C27" t="s">
        <v>153</v>
      </c>
      <c r="D27" t="s">
        <v>1160</v>
      </c>
      <c r="E27">
        <v>1006</v>
      </c>
      <c r="F27" t="s">
        <v>33</v>
      </c>
      <c r="G27" t="s">
        <v>75</v>
      </c>
      <c r="H27" t="s">
        <v>96</v>
      </c>
      <c r="I27" s="5">
        <v>0.98089120370423188</v>
      </c>
      <c r="J27" s="5">
        <v>0.81027777777489973</v>
      </c>
      <c r="K27" s="6">
        <v>19.905277777696028</v>
      </c>
      <c r="L27" t="s">
        <v>210</v>
      </c>
      <c r="M27" t="s">
        <v>22</v>
      </c>
      <c r="N27" s="2">
        <v>14</v>
      </c>
      <c r="O27" s="2">
        <v>0</v>
      </c>
      <c r="P27" s="2">
        <v>278.6738888877444</v>
      </c>
      <c r="Q27" t="s">
        <v>1161</v>
      </c>
      <c r="R27">
        <v>1</v>
      </c>
      <c r="S27" t="s">
        <v>1162</v>
      </c>
    </row>
    <row r="28" spans="1:19">
      <c r="A28" t="s">
        <v>1185</v>
      </c>
      <c r="B28" s="4">
        <v>46261</v>
      </c>
      <c r="C28" t="s">
        <v>214</v>
      </c>
      <c r="D28" t="s">
        <v>1160</v>
      </c>
      <c r="E28">
        <v>1003</v>
      </c>
      <c r="F28" t="s">
        <v>27</v>
      </c>
      <c r="G28" t="s">
        <v>66</v>
      </c>
      <c r="H28" t="s">
        <v>102</v>
      </c>
      <c r="I28" s="5">
        <v>0.33687500000087311</v>
      </c>
      <c r="J28" s="5">
        <v>0.75015046296175569</v>
      </c>
      <c r="K28" s="6">
        <v>9.9186111110611819</v>
      </c>
      <c r="M28" t="s">
        <v>22</v>
      </c>
      <c r="N28" s="2">
        <v>23.5</v>
      </c>
      <c r="O28" s="2">
        <v>0</v>
      </c>
      <c r="P28" s="2">
        <v>233.08736110993777</v>
      </c>
      <c r="Q28" t="s">
        <v>1161</v>
      </c>
      <c r="R28">
        <v>1</v>
      </c>
      <c r="S28" t="s">
        <v>1162</v>
      </c>
    </row>
    <row r="29" spans="1:19">
      <c r="A29" t="s">
        <v>1186</v>
      </c>
      <c r="B29" s="4">
        <v>46261</v>
      </c>
      <c r="C29" t="s">
        <v>214</v>
      </c>
      <c r="D29" t="s">
        <v>1160</v>
      </c>
      <c r="E29">
        <v>1002</v>
      </c>
      <c r="F29" t="s">
        <v>25</v>
      </c>
      <c r="G29" t="s">
        <v>60</v>
      </c>
      <c r="H29" t="s">
        <v>102</v>
      </c>
      <c r="I29" s="5">
        <v>0.34008101851941319</v>
      </c>
      <c r="J29" s="5">
        <v>0.752615740741021</v>
      </c>
      <c r="K29" s="6">
        <v>9.9008333333185874</v>
      </c>
      <c r="M29" t="s">
        <v>22</v>
      </c>
      <c r="N29" s="2">
        <v>23.5</v>
      </c>
      <c r="O29" s="2">
        <v>0</v>
      </c>
      <c r="P29" s="2">
        <v>232.6695833329868</v>
      </c>
      <c r="Q29" t="s">
        <v>1161</v>
      </c>
      <c r="R29">
        <v>1</v>
      </c>
      <c r="S29" t="s">
        <v>1162</v>
      </c>
    </row>
    <row r="30" spans="1:19">
      <c r="A30" t="s">
        <v>1187</v>
      </c>
      <c r="B30" s="4">
        <v>46261</v>
      </c>
      <c r="C30" t="s">
        <v>214</v>
      </c>
      <c r="D30" t="s">
        <v>1160</v>
      </c>
      <c r="E30">
        <v>1001</v>
      </c>
      <c r="F30" t="s">
        <v>21</v>
      </c>
      <c r="G30" t="s">
        <v>75</v>
      </c>
      <c r="H30" t="s">
        <v>93</v>
      </c>
      <c r="I30" s="5">
        <v>0.35603009258920792</v>
      </c>
      <c r="J30" s="5">
        <v>0.66781250000349246</v>
      </c>
      <c r="K30" s="6">
        <v>7.4827777779428288</v>
      </c>
      <c r="L30" t="s">
        <v>259</v>
      </c>
      <c r="M30" t="s">
        <v>22</v>
      </c>
      <c r="N30" s="2">
        <v>17</v>
      </c>
      <c r="O30" s="2">
        <v>0</v>
      </c>
      <c r="P30" s="2">
        <v>127.20722222502809</v>
      </c>
      <c r="Q30" t="s">
        <v>1161</v>
      </c>
      <c r="R30">
        <v>1</v>
      </c>
      <c r="S30" t="s">
        <v>1162</v>
      </c>
    </row>
    <row r="31" spans="1:19">
      <c r="A31" t="s">
        <v>1188</v>
      </c>
      <c r="B31" s="4">
        <v>46261</v>
      </c>
      <c r="C31" t="s">
        <v>214</v>
      </c>
      <c r="D31" t="s">
        <v>1160</v>
      </c>
      <c r="E31">
        <v>1015</v>
      </c>
      <c r="F31" t="s">
        <v>47</v>
      </c>
      <c r="G31" t="s">
        <v>81</v>
      </c>
      <c r="H31" t="s">
        <v>81</v>
      </c>
      <c r="I31" s="5">
        <v>0.37003472222568234</v>
      </c>
      <c r="J31" s="5">
        <v>0.53855324073811062</v>
      </c>
      <c r="K31" s="6">
        <v>4.0444444442982785</v>
      </c>
      <c r="M31" t="s">
        <v>22</v>
      </c>
      <c r="N31" s="2">
        <v>21.5</v>
      </c>
      <c r="O31" s="2">
        <v>0</v>
      </c>
      <c r="P31" s="2">
        <v>86.955555552412989</v>
      </c>
      <c r="Q31" t="s">
        <v>1161</v>
      </c>
      <c r="R31">
        <v>1</v>
      </c>
      <c r="S31" t="s">
        <v>1162</v>
      </c>
    </row>
    <row r="32" spans="1:19">
      <c r="A32" t="s">
        <v>1189</v>
      </c>
      <c r="B32" s="4">
        <v>46261</v>
      </c>
      <c r="C32" t="s">
        <v>214</v>
      </c>
      <c r="D32" t="s">
        <v>1160</v>
      </c>
      <c r="E32">
        <v>1011</v>
      </c>
      <c r="F32" t="s">
        <v>40</v>
      </c>
      <c r="G32" t="s">
        <v>69</v>
      </c>
      <c r="H32" t="s">
        <v>102</v>
      </c>
      <c r="I32" s="5">
        <v>0.37068287037254777</v>
      </c>
      <c r="J32" s="5">
        <v>0.75436342592729488</v>
      </c>
      <c r="K32" s="6">
        <v>177.20833333331393</v>
      </c>
      <c r="M32" t="s">
        <v>22</v>
      </c>
      <c r="N32" s="2">
        <v>23.5</v>
      </c>
      <c r="O32" s="2">
        <v>0</v>
      </c>
      <c r="P32" s="2">
        <v>4164.3958333328774</v>
      </c>
      <c r="Q32" t="s">
        <v>1161</v>
      </c>
      <c r="R32">
        <v>1</v>
      </c>
      <c r="S32" t="s">
        <v>1162</v>
      </c>
    </row>
    <row r="33" spans="1:19">
      <c r="A33" t="s">
        <v>1190</v>
      </c>
      <c r="B33" s="4">
        <v>46261</v>
      </c>
      <c r="C33" t="s">
        <v>214</v>
      </c>
      <c r="D33" t="s">
        <v>1160</v>
      </c>
      <c r="E33">
        <v>1004</v>
      </c>
      <c r="F33" t="s">
        <v>29</v>
      </c>
      <c r="G33" t="s">
        <v>63</v>
      </c>
      <c r="H33" t="s">
        <v>99</v>
      </c>
      <c r="I33" s="5">
        <v>0.3828125</v>
      </c>
      <c r="J33" s="5">
        <v>0.54849537037080154</v>
      </c>
      <c r="K33" s="6">
        <v>3.9763888888992369</v>
      </c>
      <c r="L33" t="s">
        <v>248</v>
      </c>
      <c r="M33" t="s">
        <v>22</v>
      </c>
      <c r="N33" s="2">
        <v>21.5</v>
      </c>
      <c r="O33" s="2">
        <v>0</v>
      </c>
      <c r="P33" s="2">
        <v>85.492361111333594</v>
      </c>
      <c r="Q33" t="s">
        <v>1161</v>
      </c>
      <c r="R33">
        <v>1</v>
      </c>
      <c r="S33" t="s">
        <v>1162</v>
      </c>
    </row>
    <row r="34" spans="1:19">
      <c r="A34" t="s">
        <v>1191</v>
      </c>
      <c r="B34" s="4">
        <v>46261</v>
      </c>
      <c r="C34" t="s">
        <v>214</v>
      </c>
      <c r="D34" t="s">
        <v>1160</v>
      </c>
      <c r="E34">
        <v>1012</v>
      </c>
      <c r="F34" t="s">
        <v>42</v>
      </c>
      <c r="G34" t="s">
        <v>63</v>
      </c>
      <c r="H34" t="s">
        <v>96</v>
      </c>
      <c r="I34" s="5">
        <v>0.40620370370015735</v>
      </c>
      <c r="J34" s="5">
        <v>0.47416666666686069</v>
      </c>
      <c r="K34" s="6">
        <v>1.6311111112008803</v>
      </c>
      <c r="M34" t="s">
        <v>43</v>
      </c>
      <c r="N34" s="2">
        <v>0</v>
      </c>
      <c r="O34" s="2">
        <v>222.72</v>
      </c>
      <c r="P34" s="2">
        <v>222.72</v>
      </c>
      <c r="Q34" t="s">
        <v>1161</v>
      </c>
      <c r="R34">
        <v>1</v>
      </c>
      <c r="S34" t="s">
        <v>1162</v>
      </c>
    </row>
    <row r="35" spans="1:19">
      <c r="A35" t="s">
        <v>1192</v>
      </c>
      <c r="B35" s="4">
        <v>46261</v>
      </c>
      <c r="C35" t="s">
        <v>214</v>
      </c>
      <c r="D35" t="s">
        <v>1160</v>
      </c>
      <c r="E35">
        <v>1014</v>
      </c>
      <c r="F35" t="s">
        <v>46</v>
      </c>
      <c r="G35" t="s">
        <v>66</v>
      </c>
      <c r="H35" t="s">
        <v>122</v>
      </c>
      <c r="I35" s="5">
        <v>0.42018518518307246</v>
      </c>
      <c r="J35" s="5">
        <v>0.53351851851766696</v>
      </c>
      <c r="K35" s="6">
        <v>2.720000000030268</v>
      </c>
      <c r="M35" t="s">
        <v>22</v>
      </c>
      <c r="N35" s="2">
        <v>21.5</v>
      </c>
      <c r="O35" s="2">
        <v>0</v>
      </c>
      <c r="P35" s="2">
        <v>58.480000000650762</v>
      </c>
      <c r="Q35" t="s">
        <v>1161</v>
      </c>
      <c r="R35">
        <v>1</v>
      </c>
      <c r="S35" t="s">
        <v>1162</v>
      </c>
    </row>
    <row r="36" spans="1:19">
      <c r="A36" t="s">
        <v>1193</v>
      </c>
      <c r="B36" s="4">
        <v>46261</v>
      </c>
      <c r="C36" t="s">
        <v>214</v>
      </c>
      <c r="D36" t="s">
        <v>1160</v>
      </c>
      <c r="E36">
        <v>1012</v>
      </c>
      <c r="F36" t="s">
        <v>42</v>
      </c>
      <c r="G36" t="s">
        <v>66</v>
      </c>
      <c r="H36" t="s">
        <v>119</v>
      </c>
      <c r="I36" s="5">
        <v>0.47487268518307246</v>
      </c>
      <c r="J36" s="5">
        <v>0.54290509259590181</v>
      </c>
      <c r="K36" s="6">
        <v>1.6327777779079042</v>
      </c>
      <c r="L36" t="s">
        <v>246</v>
      </c>
      <c r="M36" t="s">
        <v>43</v>
      </c>
      <c r="N36" s="2">
        <v>0</v>
      </c>
      <c r="O36" s="2">
        <v>222.72</v>
      </c>
      <c r="P36" s="2">
        <v>0</v>
      </c>
      <c r="Q36" t="s">
        <v>1161</v>
      </c>
      <c r="R36">
        <v>0</v>
      </c>
      <c r="S36" t="s">
        <v>1162</v>
      </c>
    </row>
    <row r="37" spans="1:19">
      <c r="A37" t="s">
        <v>1194</v>
      </c>
      <c r="B37" s="4">
        <v>46261</v>
      </c>
      <c r="C37" t="s">
        <v>214</v>
      </c>
      <c r="D37" t="s">
        <v>1160</v>
      </c>
      <c r="E37">
        <v>1016</v>
      </c>
      <c r="F37" t="s">
        <v>49</v>
      </c>
      <c r="G37" t="s">
        <v>60</v>
      </c>
      <c r="H37" t="s">
        <v>102</v>
      </c>
      <c r="I37" s="5">
        <v>0.57641203703678912</v>
      </c>
      <c r="J37" s="5">
        <v>0.75499999999738066</v>
      </c>
      <c r="K37" s="6">
        <v>4.286111111054197</v>
      </c>
      <c r="M37" t="s">
        <v>22</v>
      </c>
      <c r="N37" s="2">
        <v>23.5</v>
      </c>
      <c r="O37" s="2">
        <v>0</v>
      </c>
      <c r="P37" s="2">
        <v>100.72361110977363</v>
      </c>
      <c r="Q37" t="s">
        <v>1161</v>
      </c>
      <c r="R37">
        <v>1</v>
      </c>
      <c r="S37" t="s">
        <v>1162</v>
      </c>
    </row>
    <row r="38" spans="1:19">
      <c r="A38" t="s">
        <v>1195</v>
      </c>
      <c r="B38" s="4">
        <v>46261</v>
      </c>
      <c r="C38" t="s">
        <v>214</v>
      </c>
      <c r="D38" t="s">
        <v>1160</v>
      </c>
      <c r="E38">
        <v>1015</v>
      </c>
      <c r="F38" t="s">
        <v>47</v>
      </c>
      <c r="G38" t="s">
        <v>81</v>
      </c>
      <c r="H38" t="s">
        <v>81</v>
      </c>
      <c r="I38" s="5">
        <v>0.57951388888614019</v>
      </c>
      <c r="J38" s="5">
        <v>0.74686342592758592</v>
      </c>
      <c r="K38" s="6">
        <v>4.0163888889946975</v>
      </c>
      <c r="M38" t="s">
        <v>22</v>
      </c>
      <c r="N38" s="2">
        <v>21.5</v>
      </c>
      <c r="O38" s="2">
        <v>0</v>
      </c>
      <c r="P38" s="2">
        <v>86.352361113385996</v>
      </c>
      <c r="Q38" t="s">
        <v>1161</v>
      </c>
      <c r="R38">
        <v>0</v>
      </c>
      <c r="S38" t="s">
        <v>1162</v>
      </c>
    </row>
    <row r="39" spans="1:19">
      <c r="A39" t="s">
        <v>1196</v>
      </c>
      <c r="B39" s="4">
        <v>46261</v>
      </c>
      <c r="C39" t="s">
        <v>214</v>
      </c>
      <c r="D39" t="s">
        <v>1160</v>
      </c>
      <c r="E39">
        <v>1014</v>
      </c>
      <c r="F39" t="s">
        <v>46</v>
      </c>
      <c r="G39" t="s">
        <v>66</v>
      </c>
      <c r="H39" t="s">
        <v>122</v>
      </c>
      <c r="I39" s="5">
        <v>0.58018518518656492</v>
      </c>
      <c r="J39" s="5">
        <v>0.75818287036963739</v>
      </c>
      <c r="K39" s="6">
        <v>4.2719444443937391</v>
      </c>
      <c r="M39" t="s">
        <v>22</v>
      </c>
      <c r="N39" s="2">
        <v>21.5</v>
      </c>
      <c r="O39" s="2">
        <v>0</v>
      </c>
      <c r="P39" s="2">
        <v>91.846805554465391</v>
      </c>
      <c r="Q39" t="s">
        <v>1161</v>
      </c>
      <c r="R39">
        <v>0</v>
      </c>
      <c r="S39" t="s">
        <v>1162</v>
      </c>
    </row>
    <row r="40" spans="1:19">
      <c r="A40" t="s">
        <v>1197</v>
      </c>
      <c r="B40" s="4">
        <v>46261</v>
      </c>
      <c r="C40" t="s">
        <v>214</v>
      </c>
      <c r="D40" t="s">
        <v>1160</v>
      </c>
      <c r="E40">
        <v>1012</v>
      </c>
      <c r="F40" t="s">
        <v>42</v>
      </c>
      <c r="G40" t="s">
        <v>66</v>
      </c>
      <c r="H40" t="s">
        <v>119</v>
      </c>
      <c r="I40" s="5">
        <v>0.59549768518627388</v>
      </c>
      <c r="J40" s="5"/>
      <c r="K40" s="6"/>
      <c r="M40" t="s">
        <v>43</v>
      </c>
      <c r="N40" s="2">
        <v>0</v>
      </c>
      <c r="O40" s="2">
        <v>222.72</v>
      </c>
      <c r="P40" s="2"/>
      <c r="Q40" t="s">
        <v>1169</v>
      </c>
      <c r="S40" t="s">
        <v>1162</v>
      </c>
    </row>
    <row r="41" spans="1:19">
      <c r="A41" t="s">
        <v>1198</v>
      </c>
      <c r="B41" s="4">
        <v>46261</v>
      </c>
      <c r="C41" t="s">
        <v>214</v>
      </c>
      <c r="D41" t="s">
        <v>1160</v>
      </c>
      <c r="E41">
        <v>1004</v>
      </c>
      <c r="F41" t="s">
        <v>29</v>
      </c>
      <c r="G41" t="s">
        <v>63</v>
      </c>
      <c r="H41" t="s">
        <v>99</v>
      </c>
      <c r="I41" s="5">
        <v>0.62957175925839692</v>
      </c>
      <c r="J41" s="5">
        <v>0.84657407407212304</v>
      </c>
      <c r="K41" s="6">
        <v>5.2080555555294268</v>
      </c>
      <c r="L41" t="s">
        <v>285</v>
      </c>
      <c r="M41" t="s">
        <v>22</v>
      </c>
      <c r="N41" s="2">
        <v>21.5</v>
      </c>
      <c r="O41" s="2">
        <v>0</v>
      </c>
      <c r="P41" s="2">
        <v>111.97319444388268</v>
      </c>
      <c r="Q41" t="s">
        <v>1161</v>
      </c>
      <c r="R41">
        <v>0</v>
      </c>
      <c r="S41" t="s">
        <v>1162</v>
      </c>
    </row>
    <row r="42" spans="1:19">
      <c r="A42" t="s">
        <v>1199</v>
      </c>
      <c r="B42" s="4">
        <v>46261</v>
      </c>
      <c r="C42" t="s">
        <v>214</v>
      </c>
      <c r="D42" t="s">
        <v>1160</v>
      </c>
      <c r="E42">
        <v>1001</v>
      </c>
      <c r="F42" t="s">
        <v>21</v>
      </c>
      <c r="G42" t="s">
        <v>75</v>
      </c>
      <c r="H42" t="s">
        <v>93</v>
      </c>
      <c r="I42" s="5">
        <v>0.68939814814802958</v>
      </c>
      <c r="J42" s="5">
        <v>0.75890046296262881</v>
      </c>
      <c r="K42" s="6">
        <v>1.6680555555503815</v>
      </c>
      <c r="L42" t="s">
        <v>269</v>
      </c>
      <c r="M42" t="s">
        <v>22</v>
      </c>
      <c r="N42" s="2">
        <v>17</v>
      </c>
      <c r="O42" s="2">
        <v>0</v>
      </c>
      <c r="P42" s="2">
        <v>28.356944444356486</v>
      </c>
      <c r="Q42" t="s">
        <v>1161</v>
      </c>
      <c r="R42">
        <v>0</v>
      </c>
      <c r="S42" t="s">
        <v>1162</v>
      </c>
    </row>
    <row r="43" spans="1:19">
      <c r="A43" t="s">
        <v>1200</v>
      </c>
      <c r="B43" s="4">
        <v>46262</v>
      </c>
      <c r="C43" t="s">
        <v>287</v>
      </c>
      <c r="D43" t="s">
        <v>1160</v>
      </c>
      <c r="E43">
        <v>1003</v>
      </c>
      <c r="F43" t="s">
        <v>27</v>
      </c>
      <c r="G43" t="s">
        <v>66</v>
      </c>
      <c r="H43" t="s">
        <v>102</v>
      </c>
      <c r="I43" s="5">
        <v>0.33259259258920792</v>
      </c>
      <c r="J43" s="5">
        <v>0.53019675926043419</v>
      </c>
      <c r="K43" s="6">
        <v>4.7425000001094304</v>
      </c>
      <c r="L43" t="s">
        <v>314</v>
      </c>
      <c r="M43" t="s">
        <v>22</v>
      </c>
      <c r="N43" s="2">
        <v>23.5</v>
      </c>
      <c r="O43" s="2">
        <v>0</v>
      </c>
      <c r="P43" s="2">
        <v>111.44875000257161</v>
      </c>
      <c r="Q43" t="s">
        <v>1161</v>
      </c>
      <c r="R43">
        <v>1</v>
      </c>
      <c r="S43" t="s">
        <v>1162</v>
      </c>
    </row>
    <row r="44" spans="1:19">
      <c r="A44" t="s">
        <v>1201</v>
      </c>
      <c r="B44" s="4">
        <v>46262</v>
      </c>
      <c r="C44" t="s">
        <v>287</v>
      </c>
      <c r="D44" t="s">
        <v>1160</v>
      </c>
      <c r="E44">
        <v>1001</v>
      </c>
      <c r="F44" t="s">
        <v>21</v>
      </c>
      <c r="G44" t="s">
        <v>75</v>
      </c>
      <c r="H44" t="s">
        <v>93</v>
      </c>
      <c r="I44" s="5">
        <v>0.35637731481256196</v>
      </c>
      <c r="J44" s="5">
        <v>0.60723379629780538</v>
      </c>
      <c r="K44" s="6">
        <v>6.0205555556458421</v>
      </c>
      <c r="L44" t="s">
        <v>271</v>
      </c>
      <c r="M44" t="s">
        <v>22</v>
      </c>
      <c r="N44" s="2">
        <v>17</v>
      </c>
      <c r="O44" s="2">
        <v>0</v>
      </c>
      <c r="P44" s="2">
        <v>102.34944444597932</v>
      </c>
      <c r="Q44" t="s">
        <v>1161</v>
      </c>
      <c r="R44">
        <v>1</v>
      </c>
      <c r="S44" t="s">
        <v>1162</v>
      </c>
    </row>
    <row r="45" spans="1:19">
      <c r="A45" t="s">
        <v>1202</v>
      </c>
      <c r="B45" s="4">
        <v>46262</v>
      </c>
      <c r="C45" t="s">
        <v>287</v>
      </c>
      <c r="D45" t="s">
        <v>1160</v>
      </c>
      <c r="E45">
        <v>1006</v>
      </c>
      <c r="F45" t="s">
        <v>33</v>
      </c>
      <c r="G45" t="s">
        <v>75</v>
      </c>
      <c r="H45" t="s">
        <v>96</v>
      </c>
      <c r="I45" s="5">
        <v>0.36908564814802958</v>
      </c>
      <c r="J45" s="5">
        <v>0.44494212963036261</v>
      </c>
      <c r="K45" s="6">
        <v>1.8205555555759929</v>
      </c>
      <c r="L45" t="s">
        <v>210</v>
      </c>
      <c r="M45" t="s">
        <v>22</v>
      </c>
      <c r="N45" s="2">
        <v>14</v>
      </c>
      <c r="O45" s="2">
        <v>0</v>
      </c>
      <c r="P45" s="2">
        <v>25.487777778063901</v>
      </c>
      <c r="Q45" t="s">
        <v>1161</v>
      </c>
      <c r="R45">
        <v>1</v>
      </c>
      <c r="S45" t="s">
        <v>1162</v>
      </c>
    </row>
    <row r="46" spans="1:19">
      <c r="A46" t="s">
        <v>1203</v>
      </c>
      <c r="B46" s="4">
        <v>46262</v>
      </c>
      <c r="C46" t="s">
        <v>287</v>
      </c>
      <c r="D46" t="s">
        <v>1160</v>
      </c>
      <c r="E46">
        <v>1002</v>
      </c>
      <c r="F46" t="s">
        <v>25</v>
      </c>
      <c r="G46" t="s">
        <v>60</v>
      </c>
      <c r="H46" t="s">
        <v>102</v>
      </c>
      <c r="I46" s="5">
        <v>0.36951388888701331</v>
      </c>
      <c r="J46" s="5">
        <v>0.7461111111115315</v>
      </c>
      <c r="K46" s="6">
        <v>9.0383333333884366</v>
      </c>
      <c r="M46" t="s">
        <v>22</v>
      </c>
      <c r="N46" s="2">
        <v>23.5</v>
      </c>
      <c r="O46" s="2">
        <v>0</v>
      </c>
      <c r="P46" s="2">
        <v>212.40083333462826</v>
      </c>
      <c r="Q46" t="s">
        <v>1161</v>
      </c>
      <c r="R46">
        <v>1</v>
      </c>
      <c r="S46" t="s">
        <v>1162</v>
      </c>
    </row>
    <row r="47" spans="1:19">
      <c r="A47" t="s">
        <v>1204</v>
      </c>
      <c r="B47" s="4">
        <v>46262</v>
      </c>
      <c r="C47" t="s">
        <v>287</v>
      </c>
      <c r="D47" t="s">
        <v>1160</v>
      </c>
      <c r="E47">
        <v>1015</v>
      </c>
      <c r="F47" t="s">
        <v>47</v>
      </c>
      <c r="G47" t="s">
        <v>81</v>
      </c>
      <c r="H47" t="s">
        <v>81</v>
      </c>
      <c r="I47" s="5">
        <v>0.37581018518540077</v>
      </c>
      <c r="J47" s="5">
        <v>0.56226851851533866</v>
      </c>
      <c r="K47" s="6">
        <v>4.4749999999185093</v>
      </c>
      <c r="M47" t="s">
        <v>22</v>
      </c>
      <c r="N47" s="2">
        <v>21.5</v>
      </c>
      <c r="O47" s="2">
        <v>0</v>
      </c>
      <c r="P47" s="2">
        <v>96.212499998247949</v>
      </c>
      <c r="Q47" t="s">
        <v>1161</v>
      </c>
      <c r="R47">
        <v>1</v>
      </c>
      <c r="S47" t="s">
        <v>1162</v>
      </c>
    </row>
    <row r="48" spans="1:19">
      <c r="A48" t="s">
        <v>1205</v>
      </c>
      <c r="B48" s="4">
        <v>46262</v>
      </c>
      <c r="C48" t="s">
        <v>287</v>
      </c>
      <c r="D48" t="s">
        <v>1160</v>
      </c>
      <c r="E48">
        <v>1014</v>
      </c>
      <c r="F48" t="s">
        <v>46</v>
      </c>
      <c r="G48" t="s">
        <v>75</v>
      </c>
      <c r="H48" t="s">
        <v>96</v>
      </c>
      <c r="I48" s="5">
        <v>0.41115740740497131</v>
      </c>
      <c r="J48" s="5">
        <v>0.44953703703504289</v>
      </c>
      <c r="K48" s="6">
        <v>0.92111111112171784</v>
      </c>
      <c r="M48" t="s">
        <v>22</v>
      </c>
      <c r="N48" s="2">
        <v>21.5</v>
      </c>
      <c r="O48" s="2">
        <v>0</v>
      </c>
      <c r="P48" s="2">
        <v>19.803888889116934</v>
      </c>
      <c r="Q48" t="s">
        <v>1161</v>
      </c>
      <c r="R48">
        <v>1</v>
      </c>
      <c r="S48" t="s">
        <v>1162</v>
      </c>
    </row>
    <row r="49" spans="1:19">
      <c r="A49" t="s">
        <v>1206</v>
      </c>
      <c r="B49" s="4">
        <v>46262</v>
      </c>
      <c r="C49" t="s">
        <v>287</v>
      </c>
      <c r="D49" t="s">
        <v>1160</v>
      </c>
      <c r="E49">
        <v>1016</v>
      </c>
      <c r="F49" t="s">
        <v>49</v>
      </c>
      <c r="G49" t="s">
        <v>60</v>
      </c>
      <c r="H49" t="s">
        <v>102</v>
      </c>
      <c r="I49" s="5">
        <v>0.42969907407677965</v>
      </c>
      <c r="J49" s="5">
        <v>0.75466435185080627</v>
      </c>
      <c r="K49" s="6">
        <v>79.799166666576639</v>
      </c>
      <c r="M49" t="s">
        <v>22</v>
      </c>
      <c r="N49" s="2">
        <v>23.5</v>
      </c>
      <c r="O49" s="2">
        <v>0</v>
      </c>
      <c r="P49" s="2">
        <v>1875.280416664551</v>
      </c>
      <c r="Q49" t="s">
        <v>1161</v>
      </c>
      <c r="R49">
        <v>1</v>
      </c>
      <c r="S49" t="s">
        <v>1162</v>
      </c>
    </row>
    <row r="50" spans="1:19">
      <c r="A50" t="s">
        <v>1207</v>
      </c>
      <c r="B50" s="4">
        <v>46262</v>
      </c>
      <c r="C50" t="s">
        <v>287</v>
      </c>
      <c r="D50" t="s">
        <v>1160</v>
      </c>
      <c r="E50">
        <v>1006</v>
      </c>
      <c r="F50" t="s">
        <v>33</v>
      </c>
      <c r="G50" t="s">
        <v>66</v>
      </c>
      <c r="H50" t="s">
        <v>96</v>
      </c>
      <c r="I50" s="5">
        <v>0.44596064814686542</v>
      </c>
      <c r="J50" s="5">
        <v>0.65931712962628808</v>
      </c>
      <c r="K50" s="6">
        <v>5.1205555555061437</v>
      </c>
      <c r="L50" t="s">
        <v>333</v>
      </c>
      <c r="M50" t="s">
        <v>22</v>
      </c>
      <c r="N50" s="2">
        <v>14</v>
      </c>
      <c r="O50" s="2">
        <v>0</v>
      </c>
      <c r="P50" s="2">
        <v>71.687777777086012</v>
      </c>
      <c r="Q50" t="s">
        <v>1161</v>
      </c>
      <c r="R50">
        <v>0</v>
      </c>
      <c r="S50" t="s">
        <v>1162</v>
      </c>
    </row>
    <row r="51" spans="1:19">
      <c r="A51" t="s">
        <v>1208</v>
      </c>
      <c r="B51" s="4">
        <v>46262</v>
      </c>
      <c r="C51" t="s">
        <v>287</v>
      </c>
      <c r="D51" t="s">
        <v>1160</v>
      </c>
      <c r="E51">
        <v>1014</v>
      </c>
      <c r="F51" t="s">
        <v>46</v>
      </c>
      <c r="G51" t="s">
        <v>63</v>
      </c>
      <c r="H51" t="s">
        <v>96</v>
      </c>
      <c r="I51" s="5">
        <v>0.44975694444292458</v>
      </c>
      <c r="J51" s="5">
        <v>0.53273148147854954</v>
      </c>
      <c r="K51" s="6">
        <v>1.9913888888549991</v>
      </c>
      <c r="M51" t="s">
        <v>22</v>
      </c>
      <c r="N51" s="2">
        <v>21.5</v>
      </c>
      <c r="O51" s="2">
        <v>0</v>
      </c>
      <c r="P51" s="2">
        <v>42.814861110382481</v>
      </c>
      <c r="Q51" t="s">
        <v>1161</v>
      </c>
      <c r="R51">
        <v>0</v>
      </c>
      <c r="S51" t="s">
        <v>1162</v>
      </c>
    </row>
    <row r="52" spans="1:19">
      <c r="A52" t="s">
        <v>1209</v>
      </c>
      <c r="B52" s="4">
        <v>46262</v>
      </c>
      <c r="C52" t="s">
        <v>287</v>
      </c>
      <c r="D52" t="s">
        <v>1160</v>
      </c>
      <c r="E52">
        <v>1003</v>
      </c>
      <c r="F52" t="s">
        <v>27</v>
      </c>
      <c r="G52" t="s">
        <v>66</v>
      </c>
      <c r="H52" t="s">
        <v>102</v>
      </c>
      <c r="I52" s="5">
        <v>0.57236111110978527</v>
      </c>
      <c r="J52" s="5">
        <v>0.75040509259270038</v>
      </c>
      <c r="K52" s="6">
        <v>4.2730555555899628</v>
      </c>
      <c r="M52" t="s">
        <v>22</v>
      </c>
      <c r="N52" s="2">
        <v>23.5</v>
      </c>
      <c r="O52" s="2">
        <v>0</v>
      </c>
      <c r="P52" s="2">
        <v>100.41680555636412</v>
      </c>
      <c r="Q52" t="s">
        <v>1161</v>
      </c>
      <c r="R52">
        <v>0</v>
      </c>
      <c r="S52" t="s">
        <v>1162</v>
      </c>
    </row>
    <row r="53" spans="1:19">
      <c r="A53" t="s">
        <v>1210</v>
      </c>
      <c r="B53" s="4">
        <v>46262</v>
      </c>
      <c r="C53" t="s">
        <v>287</v>
      </c>
      <c r="D53" t="s">
        <v>1160</v>
      </c>
      <c r="E53">
        <v>1014</v>
      </c>
      <c r="F53" t="s">
        <v>46</v>
      </c>
      <c r="G53" t="s">
        <v>63</v>
      </c>
      <c r="H53" t="s">
        <v>96</v>
      </c>
      <c r="I53" s="5">
        <v>0.57981481481692754</v>
      </c>
      <c r="J53" s="5">
        <v>0.60143518518452765</v>
      </c>
      <c r="K53" s="6">
        <v>0.51888888882240281</v>
      </c>
      <c r="M53" t="s">
        <v>22</v>
      </c>
      <c r="N53" s="2">
        <v>21.5</v>
      </c>
      <c r="O53" s="2">
        <v>0</v>
      </c>
      <c r="P53" s="2">
        <v>11.15611110968166</v>
      </c>
      <c r="Q53" t="s">
        <v>1161</v>
      </c>
      <c r="R53">
        <v>0</v>
      </c>
      <c r="S53" t="s">
        <v>1162</v>
      </c>
    </row>
    <row r="54" spans="1:19">
      <c r="A54" t="s">
        <v>1211</v>
      </c>
      <c r="B54" s="4">
        <v>46262</v>
      </c>
      <c r="C54" t="s">
        <v>287</v>
      </c>
      <c r="D54" t="s">
        <v>1160</v>
      </c>
      <c r="E54">
        <v>1014</v>
      </c>
      <c r="F54" t="s">
        <v>46</v>
      </c>
      <c r="G54" t="s">
        <v>75</v>
      </c>
      <c r="H54" t="s">
        <v>96</v>
      </c>
      <c r="I54" s="5">
        <v>0.60165509259240935</v>
      </c>
      <c r="J54" s="5">
        <v>0.66454861110833008</v>
      </c>
      <c r="K54" s="6">
        <v>1.5094444443820976</v>
      </c>
      <c r="M54" t="s">
        <v>22</v>
      </c>
      <c r="N54" s="2">
        <v>21.5</v>
      </c>
      <c r="O54" s="2">
        <v>0</v>
      </c>
      <c r="P54" s="2">
        <v>32.453055554215098</v>
      </c>
      <c r="Q54" t="s">
        <v>1161</v>
      </c>
      <c r="R54">
        <v>0</v>
      </c>
      <c r="S54" t="s">
        <v>1162</v>
      </c>
    </row>
    <row r="55" spans="1:19">
      <c r="A55" t="s">
        <v>1212</v>
      </c>
      <c r="B55" s="4">
        <v>46262</v>
      </c>
      <c r="C55" t="s">
        <v>287</v>
      </c>
      <c r="D55" t="s">
        <v>1160</v>
      </c>
      <c r="E55">
        <v>1015</v>
      </c>
      <c r="F55" t="s">
        <v>47</v>
      </c>
      <c r="G55" t="s">
        <v>81</v>
      </c>
      <c r="H55" t="s">
        <v>81</v>
      </c>
      <c r="I55" s="5">
        <v>0.60439814814890269</v>
      </c>
      <c r="J55" s="5">
        <v>0.74663194444292458</v>
      </c>
      <c r="K55" s="6">
        <v>3.4136111110565253</v>
      </c>
      <c r="M55" t="s">
        <v>22</v>
      </c>
      <c r="N55" s="2">
        <v>21.5</v>
      </c>
      <c r="O55" s="2">
        <v>0</v>
      </c>
      <c r="P55" s="2">
        <v>73.392638887715293</v>
      </c>
      <c r="Q55" t="s">
        <v>1161</v>
      </c>
      <c r="R55">
        <v>0</v>
      </c>
      <c r="S55" t="s">
        <v>1162</v>
      </c>
    </row>
    <row r="56" spans="1:19">
      <c r="A56" t="s">
        <v>1213</v>
      </c>
      <c r="B56" s="4">
        <v>46262</v>
      </c>
      <c r="C56" t="s">
        <v>287</v>
      </c>
      <c r="D56" t="s">
        <v>1160</v>
      </c>
      <c r="E56">
        <v>1001</v>
      </c>
      <c r="F56" t="s">
        <v>21</v>
      </c>
      <c r="G56" t="s">
        <v>75</v>
      </c>
      <c r="H56" t="s">
        <v>93</v>
      </c>
      <c r="I56" s="5">
        <v>0.63249999999970896</v>
      </c>
      <c r="J56" s="5">
        <v>0.78427083333372138</v>
      </c>
      <c r="K56" s="6">
        <v>3.6425000000162981</v>
      </c>
      <c r="L56" t="s">
        <v>355</v>
      </c>
      <c r="M56" t="s">
        <v>22</v>
      </c>
      <c r="N56" s="2">
        <v>17</v>
      </c>
      <c r="O56" s="2">
        <v>0</v>
      </c>
      <c r="P56" s="2">
        <v>61.922500000277068</v>
      </c>
      <c r="Q56" t="s">
        <v>1161</v>
      </c>
      <c r="R56">
        <v>0</v>
      </c>
      <c r="S56" t="s">
        <v>1162</v>
      </c>
    </row>
    <row r="57" spans="1:19">
      <c r="A57" t="s">
        <v>1214</v>
      </c>
      <c r="B57" s="4">
        <v>46262</v>
      </c>
      <c r="C57" t="s">
        <v>287</v>
      </c>
      <c r="D57" t="s">
        <v>1160</v>
      </c>
      <c r="E57">
        <v>1014</v>
      </c>
      <c r="F57" t="s">
        <v>46</v>
      </c>
      <c r="G57" t="s">
        <v>63</v>
      </c>
      <c r="H57" t="s">
        <v>96</v>
      </c>
      <c r="I57" s="5">
        <v>0.66500000000087311</v>
      </c>
      <c r="J57" s="5">
        <v>0.75622685185226146</v>
      </c>
      <c r="K57" s="6">
        <v>2.1894444444333203</v>
      </c>
      <c r="M57" t="s">
        <v>22</v>
      </c>
      <c r="N57" s="2">
        <v>21.5</v>
      </c>
      <c r="O57" s="2">
        <v>0</v>
      </c>
      <c r="P57" s="2">
        <v>47.073055555316387</v>
      </c>
      <c r="Q57" t="s">
        <v>1161</v>
      </c>
      <c r="R57">
        <v>0</v>
      </c>
      <c r="S57" t="s">
        <v>1162</v>
      </c>
    </row>
    <row r="58" spans="1:19">
      <c r="A58" t="s">
        <v>1215</v>
      </c>
      <c r="B58" s="4">
        <v>46262</v>
      </c>
      <c r="C58" t="s">
        <v>287</v>
      </c>
      <c r="D58" t="s">
        <v>1160</v>
      </c>
      <c r="E58">
        <v>1006</v>
      </c>
      <c r="F58" t="s">
        <v>33</v>
      </c>
      <c r="G58" t="s">
        <v>66</v>
      </c>
      <c r="H58" t="s">
        <v>96</v>
      </c>
      <c r="I58" s="5">
        <v>0.7071527777807205</v>
      </c>
      <c r="J58" s="5">
        <v>0.783726851848769</v>
      </c>
      <c r="K58" s="6">
        <v>1.8377777776331641</v>
      </c>
      <c r="L58" t="s">
        <v>353</v>
      </c>
      <c r="M58" t="s">
        <v>22</v>
      </c>
      <c r="N58" s="2">
        <v>14</v>
      </c>
      <c r="O58" s="2">
        <v>0</v>
      </c>
      <c r="P58" s="2">
        <v>25.728888886864297</v>
      </c>
      <c r="Q58" t="s">
        <v>1161</v>
      </c>
      <c r="R58">
        <v>0</v>
      </c>
      <c r="S58" t="s">
        <v>1162</v>
      </c>
    </row>
    <row r="59" spans="1:19">
      <c r="A59" t="s">
        <v>1216</v>
      </c>
      <c r="B59" s="4">
        <v>46263</v>
      </c>
      <c r="C59" t="s">
        <v>357</v>
      </c>
      <c r="D59" t="s">
        <v>1217</v>
      </c>
      <c r="E59">
        <v>1001</v>
      </c>
      <c r="F59" t="s">
        <v>21</v>
      </c>
      <c r="G59" t="s">
        <v>63</v>
      </c>
      <c r="H59" t="s">
        <v>93</v>
      </c>
      <c r="I59" s="5">
        <v>0.34531250000145519</v>
      </c>
      <c r="J59" s="5">
        <v>0.75068287036992842</v>
      </c>
      <c r="K59" s="6">
        <v>9.7288888888433576</v>
      </c>
      <c r="L59" t="s">
        <v>381</v>
      </c>
      <c r="M59" t="s">
        <v>22</v>
      </c>
      <c r="N59" s="2">
        <v>20</v>
      </c>
      <c r="O59" s="2">
        <v>0</v>
      </c>
      <c r="P59" s="2">
        <v>194.57777777686715</v>
      </c>
      <c r="Q59" t="s">
        <v>1161</v>
      </c>
      <c r="R59">
        <v>1</v>
      </c>
      <c r="S59" t="s">
        <v>1162</v>
      </c>
    </row>
    <row r="60" spans="1:19">
      <c r="A60" t="s">
        <v>1218</v>
      </c>
      <c r="B60" s="4">
        <v>46263</v>
      </c>
      <c r="C60" t="s">
        <v>357</v>
      </c>
      <c r="D60" t="s">
        <v>1217</v>
      </c>
      <c r="E60">
        <v>1006</v>
      </c>
      <c r="F60" t="s">
        <v>33</v>
      </c>
      <c r="G60" t="s">
        <v>66</v>
      </c>
      <c r="H60" t="s">
        <v>96</v>
      </c>
      <c r="I60" s="5">
        <v>0.37445601851504762</v>
      </c>
      <c r="J60" s="5">
        <v>0.63108796296000946</v>
      </c>
      <c r="K60" s="6">
        <v>6.1591666666790843</v>
      </c>
      <c r="L60" t="s">
        <v>376</v>
      </c>
      <c r="M60" t="s">
        <v>22</v>
      </c>
      <c r="N60" s="2">
        <v>17</v>
      </c>
      <c r="O60" s="2">
        <v>0</v>
      </c>
      <c r="P60" s="2">
        <v>104.70583333354443</v>
      </c>
      <c r="Q60" t="s">
        <v>1161</v>
      </c>
      <c r="R60">
        <v>1</v>
      </c>
      <c r="S60" t="s">
        <v>1162</v>
      </c>
    </row>
    <row r="61" spans="1:19">
      <c r="A61" t="s">
        <v>1219</v>
      </c>
      <c r="B61" s="4">
        <v>46263</v>
      </c>
      <c r="C61" t="s">
        <v>357</v>
      </c>
      <c r="D61" t="s">
        <v>1217</v>
      </c>
      <c r="E61">
        <v>1004</v>
      </c>
      <c r="F61" t="s">
        <v>29</v>
      </c>
      <c r="G61" t="s">
        <v>63</v>
      </c>
      <c r="H61" t="s">
        <v>99</v>
      </c>
      <c r="I61" s="5">
        <v>0.53342592592525762</v>
      </c>
      <c r="J61" s="5">
        <v>0.62913194444263354</v>
      </c>
      <c r="K61" s="6">
        <v>2.2969444444170222</v>
      </c>
      <c r="L61" t="s">
        <v>373</v>
      </c>
      <c r="M61" t="s">
        <v>22</v>
      </c>
      <c r="N61" s="2">
        <v>20</v>
      </c>
      <c r="O61" s="2">
        <v>0</v>
      </c>
      <c r="P61" s="2">
        <v>45.938888888340443</v>
      </c>
      <c r="Q61" t="s">
        <v>1161</v>
      </c>
      <c r="R61">
        <v>1</v>
      </c>
      <c r="S61" t="s">
        <v>1162</v>
      </c>
    </row>
    <row r="62" spans="1:19">
      <c r="A62" t="s">
        <v>1220</v>
      </c>
      <c r="B62" s="4">
        <v>46263</v>
      </c>
      <c r="C62" t="s">
        <v>357</v>
      </c>
      <c r="D62" t="s">
        <v>1217</v>
      </c>
      <c r="E62">
        <v>1004</v>
      </c>
      <c r="F62" t="s">
        <v>29</v>
      </c>
      <c r="G62" t="s">
        <v>75</v>
      </c>
      <c r="H62" t="s">
        <v>99</v>
      </c>
      <c r="I62" s="5">
        <v>0.62943287037342088</v>
      </c>
      <c r="J62" s="5">
        <v>0.74981481481518131</v>
      </c>
      <c r="K62" s="6">
        <v>2.8891666666022502</v>
      </c>
      <c r="L62" t="s">
        <v>379</v>
      </c>
      <c r="M62" t="s">
        <v>22</v>
      </c>
      <c r="N62" s="2">
        <v>20</v>
      </c>
      <c r="O62" s="2">
        <v>0</v>
      </c>
      <c r="P62" s="2">
        <v>57.783333332045004</v>
      </c>
      <c r="Q62" t="s">
        <v>1161</v>
      </c>
      <c r="R62">
        <v>0</v>
      </c>
      <c r="S62" t="s">
        <v>1162</v>
      </c>
    </row>
    <row r="63" spans="1:19">
      <c r="A63" t="s">
        <v>1221</v>
      </c>
      <c r="B63" s="4">
        <v>46263</v>
      </c>
      <c r="C63" t="s">
        <v>357</v>
      </c>
      <c r="D63" t="s">
        <v>1217</v>
      </c>
      <c r="E63">
        <v>1006</v>
      </c>
      <c r="F63" t="s">
        <v>33</v>
      </c>
      <c r="G63" t="s">
        <v>66</v>
      </c>
      <c r="H63" t="s">
        <v>96</v>
      </c>
      <c r="I63" s="5">
        <v>0.67618055555794854</v>
      </c>
      <c r="J63" s="5">
        <v>0.75292824074131204</v>
      </c>
      <c r="K63" s="6">
        <v>1.841944444400724</v>
      </c>
      <c r="L63" t="s">
        <v>383</v>
      </c>
      <c r="M63" t="s">
        <v>22</v>
      </c>
      <c r="N63" s="2">
        <v>17</v>
      </c>
      <c r="O63" s="2">
        <v>0</v>
      </c>
      <c r="P63" s="2">
        <v>31.313055554812308</v>
      </c>
      <c r="Q63" t="s">
        <v>1161</v>
      </c>
      <c r="R63">
        <v>0</v>
      </c>
      <c r="S63" t="s">
        <v>1162</v>
      </c>
    </row>
    <row r="64" spans="1:19">
      <c r="A64" t="s">
        <v>1222</v>
      </c>
      <c r="B64" s="4">
        <v>46264</v>
      </c>
      <c r="C64" t="s">
        <v>385</v>
      </c>
      <c r="D64" t="s">
        <v>1217</v>
      </c>
      <c r="E64">
        <v>1001</v>
      </c>
      <c r="F64" t="s">
        <v>21</v>
      </c>
      <c r="G64" t="s">
        <v>63</v>
      </c>
      <c r="H64" t="s">
        <v>93</v>
      </c>
      <c r="I64" s="5">
        <v>0.35096064814570127</v>
      </c>
      <c r="J64" s="5">
        <v>0.58263888888905058</v>
      </c>
      <c r="K64" s="6">
        <v>5.5602777778403834</v>
      </c>
      <c r="M64" t="s">
        <v>22</v>
      </c>
      <c r="N64" s="2">
        <v>20</v>
      </c>
      <c r="O64" s="2">
        <v>0</v>
      </c>
      <c r="P64" s="2">
        <v>111.20555555680767</v>
      </c>
      <c r="Q64" t="s">
        <v>1161</v>
      </c>
      <c r="R64">
        <v>1</v>
      </c>
      <c r="S64" t="s">
        <v>1162</v>
      </c>
    </row>
    <row r="65" spans="1:19">
      <c r="A65" t="s">
        <v>1223</v>
      </c>
      <c r="B65" s="4">
        <v>46264</v>
      </c>
      <c r="C65" t="s">
        <v>385</v>
      </c>
      <c r="D65" t="s">
        <v>1217</v>
      </c>
      <c r="E65">
        <v>1006</v>
      </c>
      <c r="F65" t="s">
        <v>33</v>
      </c>
      <c r="G65" t="s">
        <v>66</v>
      </c>
      <c r="H65" t="s">
        <v>96</v>
      </c>
      <c r="I65" s="5">
        <v>0.38216435185313458</v>
      </c>
      <c r="J65" s="5">
        <v>0.55356481481430819</v>
      </c>
      <c r="K65" s="6">
        <v>4.1136111110681668</v>
      </c>
      <c r="L65" t="s">
        <v>305</v>
      </c>
      <c r="M65" t="s">
        <v>22</v>
      </c>
      <c r="N65" s="2">
        <v>17</v>
      </c>
      <c r="O65" s="2">
        <v>0</v>
      </c>
      <c r="P65" s="2">
        <v>69.931388888158835</v>
      </c>
      <c r="Q65" t="s">
        <v>1161</v>
      </c>
      <c r="R65">
        <v>1</v>
      </c>
      <c r="S65" t="s">
        <v>1162</v>
      </c>
    </row>
    <row r="66" spans="1:19">
      <c r="A66" t="s">
        <v>1224</v>
      </c>
      <c r="B66" s="4">
        <v>46264</v>
      </c>
      <c r="C66" t="s">
        <v>385</v>
      </c>
      <c r="D66" t="s">
        <v>1217</v>
      </c>
      <c r="E66">
        <v>1006</v>
      </c>
      <c r="F66" t="s">
        <v>33</v>
      </c>
      <c r="G66" t="s">
        <v>66</v>
      </c>
      <c r="H66" t="s">
        <v>96</v>
      </c>
      <c r="I66" s="5">
        <v>0.57733796296088258</v>
      </c>
      <c r="J66" s="5">
        <v>0.72171296296437504</v>
      </c>
      <c r="K66" s="6">
        <v>3.465000000083819</v>
      </c>
      <c r="L66" t="s">
        <v>376</v>
      </c>
      <c r="M66" t="s">
        <v>22</v>
      </c>
      <c r="N66" s="2">
        <v>17</v>
      </c>
      <c r="O66" s="2">
        <v>0</v>
      </c>
      <c r="P66" s="2">
        <v>58.905000001424924</v>
      </c>
      <c r="Q66" t="s">
        <v>1161</v>
      </c>
      <c r="R66">
        <v>0</v>
      </c>
      <c r="S66" t="s">
        <v>1162</v>
      </c>
    </row>
    <row r="67" spans="1:19">
      <c r="A67" t="s">
        <v>1225</v>
      </c>
      <c r="B67" s="4">
        <v>46264</v>
      </c>
      <c r="C67" t="s">
        <v>385</v>
      </c>
      <c r="D67" t="s">
        <v>1217</v>
      </c>
      <c r="E67">
        <v>1001</v>
      </c>
      <c r="F67" t="s">
        <v>21</v>
      </c>
      <c r="G67" t="s">
        <v>63</v>
      </c>
      <c r="H67" t="s">
        <v>93</v>
      </c>
      <c r="I67" s="5">
        <v>0.62474537036905531</v>
      </c>
      <c r="J67" s="5">
        <v>0.75835648148495238</v>
      </c>
      <c r="K67" s="6">
        <v>27.20666666678153</v>
      </c>
      <c r="L67" t="s">
        <v>429</v>
      </c>
      <c r="M67" t="s">
        <v>22</v>
      </c>
      <c r="N67" s="2">
        <v>20</v>
      </c>
      <c r="O67" s="2">
        <v>0</v>
      </c>
      <c r="P67" s="2">
        <v>544.1333333356306</v>
      </c>
      <c r="Q67" t="s">
        <v>1161</v>
      </c>
      <c r="R67">
        <v>1</v>
      </c>
      <c r="S67" t="s">
        <v>1162</v>
      </c>
    </row>
    <row r="68" spans="1:19">
      <c r="A68" t="s">
        <v>1226</v>
      </c>
      <c r="B68" s="4">
        <v>46265</v>
      </c>
      <c r="C68" t="s">
        <v>397</v>
      </c>
      <c r="D68" t="s">
        <v>1160</v>
      </c>
      <c r="E68">
        <v>1002</v>
      </c>
      <c r="F68" t="s">
        <v>25</v>
      </c>
      <c r="G68" t="s">
        <v>60</v>
      </c>
      <c r="H68" t="s">
        <v>102</v>
      </c>
      <c r="I68" s="5">
        <v>0.34939814815152204</v>
      </c>
      <c r="J68" s="5">
        <v>0.75527777777460869</v>
      </c>
      <c r="K68" s="6">
        <v>9.7411111109540798</v>
      </c>
      <c r="M68" t="s">
        <v>22</v>
      </c>
      <c r="N68" s="2">
        <v>23.5</v>
      </c>
      <c r="O68" s="2">
        <v>0</v>
      </c>
      <c r="P68" s="2">
        <v>228.91611110742087</v>
      </c>
      <c r="Q68" t="s">
        <v>1161</v>
      </c>
      <c r="R68">
        <v>1</v>
      </c>
      <c r="S68" t="s">
        <v>1162</v>
      </c>
    </row>
    <row r="69" spans="1:19">
      <c r="A69" t="s">
        <v>1227</v>
      </c>
      <c r="B69" s="4">
        <v>46265</v>
      </c>
      <c r="C69" t="s">
        <v>397</v>
      </c>
      <c r="D69" t="s">
        <v>1160</v>
      </c>
      <c r="E69">
        <v>1003</v>
      </c>
      <c r="F69" t="s">
        <v>27</v>
      </c>
      <c r="G69" t="s">
        <v>66</v>
      </c>
      <c r="H69" t="s">
        <v>102</v>
      </c>
      <c r="I69" s="5">
        <v>0.36231481481809169</v>
      </c>
      <c r="J69" s="5">
        <v>0.70918981481372612</v>
      </c>
      <c r="K69" s="6">
        <v>8.3249999998952262</v>
      </c>
      <c r="L69" t="s">
        <v>420</v>
      </c>
      <c r="M69" t="s">
        <v>22</v>
      </c>
      <c r="N69" s="2">
        <v>23.5</v>
      </c>
      <c r="O69" s="2">
        <v>0</v>
      </c>
      <c r="P69" s="2">
        <v>195.63749999753782</v>
      </c>
      <c r="Q69" t="s">
        <v>1161</v>
      </c>
      <c r="R69">
        <v>1</v>
      </c>
      <c r="S69" t="s">
        <v>1162</v>
      </c>
    </row>
    <row r="70" spans="1:19">
      <c r="A70" t="s">
        <v>1228</v>
      </c>
      <c r="B70" s="4">
        <v>46265</v>
      </c>
      <c r="C70" t="s">
        <v>397</v>
      </c>
      <c r="D70" t="s">
        <v>1160</v>
      </c>
      <c r="E70">
        <v>1015</v>
      </c>
      <c r="F70" t="s">
        <v>47</v>
      </c>
      <c r="G70" t="s">
        <v>81</v>
      </c>
      <c r="H70" t="s">
        <v>81</v>
      </c>
      <c r="I70" s="5">
        <v>0.37065972221898846</v>
      </c>
      <c r="J70" s="5">
        <v>0.54069444444758119</v>
      </c>
      <c r="K70" s="6">
        <v>4.0808333334862255</v>
      </c>
      <c r="M70" t="s">
        <v>22</v>
      </c>
      <c r="N70" s="2">
        <v>21.5</v>
      </c>
      <c r="O70" s="2">
        <v>0</v>
      </c>
      <c r="P70" s="2">
        <v>87.737916669953847</v>
      </c>
      <c r="Q70" t="s">
        <v>1161</v>
      </c>
      <c r="R70">
        <v>1</v>
      </c>
      <c r="S70" t="s">
        <v>1162</v>
      </c>
    </row>
    <row r="71" spans="1:19">
      <c r="A71" t="s">
        <v>1229</v>
      </c>
      <c r="B71" s="4">
        <v>46265</v>
      </c>
      <c r="C71" t="s">
        <v>397</v>
      </c>
      <c r="D71" t="s">
        <v>1160</v>
      </c>
      <c r="E71">
        <v>1006</v>
      </c>
      <c r="F71" t="s">
        <v>33</v>
      </c>
      <c r="G71" t="s">
        <v>66</v>
      </c>
      <c r="H71" t="s">
        <v>96</v>
      </c>
      <c r="I71" s="5">
        <v>0.37684027777868323</v>
      </c>
      <c r="J71" s="5">
        <v>0.64109953703882638</v>
      </c>
      <c r="K71" s="6">
        <v>6.3422222222434357</v>
      </c>
      <c r="L71" t="s">
        <v>305</v>
      </c>
      <c r="M71" t="s">
        <v>22</v>
      </c>
      <c r="N71" s="2">
        <v>14</v>
      </c>
      <c r="O71" s="2">
        <v>0</v>
      </c>
      <c r="P71" s="2">
        <v>88.7911111114081</v>
      </c>
      <c r="Q71" t="s">
        <v>1161</v>
      </c>
      <c r="R71">
        <v>1</v>
      </c>
      <c r="S71" t="s">
        <v>1162</v>
      </c>
    </row>
    <row r="72" spans="1:19">
      <c r="A72" t="s">
        <v>1230</v>
      </c>
      <c r="B72" s="4">
        <v>46265</v>
      </c>
      <c r="C72" t="s">
        <v>397</v>
      </c>
      <c r="D72" t="s">
        <v>1160</v>
      </c>
      <c r="E72">
        <v>1014</v>
      </c>
      <c r="F72" t="s">
        <v>46</v>
      </c>
      <c r="G72" t="s">
        <v>63</v>
      </c>
      <c r="H72" t="s">
        <v>96</v>
      </c>
      <c r="I72" s="5">
        <v>0.43559027777519077</v>
      </c>
      <c r="J72" s="5">
        <v>0.53855324073811062</v>
      </c>
      <c r="K72" s="6">
        <v>2.4711111111100763</v>
      </c>
      <c r="M72" t="s">
        <v>22</v>
      </c>
      <c r="N72" s="2">
        <v>21.5</v>
      </c>
      <c r="O72" s="2">
        <v>0</v>
      </c>
      <c r="P72" s="2">
        <v>53.128888888866641</v>
      </c>
      <c r="Q72" t="s">
        <v>1161</v>
      </c>
      <c r="R72">
        <v>1</v>
      </c>
      <c r="S72" t="s">
        <v>1162</v>
      </c>
    </row>
    <row r="73" spans="1:19">
      <c r="A73" t="s">
        <v>1231</v>
      </c>
      <c r="B73" s="4">
        <v>46265</v>
      </c>
      <c r="C73" t="s">
        <v>397</v>
      </c>
      <c r="D73" t="s">
        <v>1160</v>
      </c>
      <c r="E73">
        <v>1015</v>
      </c>
      <c r="F73" t="s">
        <v>47</v>
      </c>
      <c r="G73" t="s">
        <v>81</v>
      </c>
      <c r="H73" t="s">
        <v>81</v>
      </c>
      <c r="I73" s="5">
        <v>0.58226851851941319</v>
      </c>
      <c r="J73" s="5">
        <v>0.74679398148145992</v>
      </c>
      <c r="K73" s="6">
        <v>3.9486111110891216</v>
      </c>
      <c r="M73" t="s">
        <v>22</v>
      </c>
      <c r="N73" s="2">
        <v>21.5</v>
      </c>
      <c r="O73" s="2">
        <v>0</v>
      </c>
      <c r="P73" s="2">
        <v>84.895138888416113</v>
      </c>
      <c r="Q73" t="s">
        <v>1161</v>
      </c>
      <c r="R73">
        <v>0</v>
      </c>
      <c r="S73" t="s">
        <v>1162</v>
      </c>
    </row>
    <row r="74" spans="1:19">
      <c r="A74" t="s">
        <v>1232</v>
      </c>
      <c r="B74" s="4">
        <v>46265</v>
      </c>
      <c r="C74" t="s">
        <v>397</v>
      </c>
      <c r="D74" t="s">
        <v>1160</v>
      </c>
      <c r="E74">
        <v>1014</v>
      </c>
      <c r="F74" t="s">
        <v>46</v>
      </c>
      <c r="G74" t="s">
        <v>63</v>
      </c>
      <c r="H74" t="s">
        <v>96</v>
      </c>
      <c r="I74" s="5">
        <v>0.58479166666802485</v>
      </c>
      <c r="J74" s="5">
        <v>0.76234953703533392</v>
      </c>
      <c r="K74" s="6">
        <v>4.2613888888154179</v>
      </c>
      <c r="M74" t="s">
        <v>22</v>
      </c>
      <c r="N74" s="2">
        <v>21.5</v>
      </c>
      <c r="O74" s="2">
        <v>0</v>
      </c>
      <c r="P74" s="2">
        <v>91.619861109531485</v>
      </c>
      <c r="Q74" t="s">
        <v>1161</v>
      </c>
      <c r="R74">
        <v>0</v>
      </c>
      <c r="S74" t="s">
        <v>1162</v>
      </c>
    </row>
    <row r="75" spans="1:19">
      <c r="A75" t="s">
        <v>1233</v>
      </c>
      <c r="B75" s="4">
        <v>46265</v>
      </c>
      <c r="C75" t="s">
        <v>397</v>
      </c>
      <c r="D75" t="s">
        <v>1160</v>
      </c>
      <c r="E75">
        <v>1006</v>
      </c>
      <c r="F75" t="s">
        <v>33</v>
      </c>
      <c r="G75" t="s">
        <v>66</v>
      </c>
      <c r="H75" t="s">
        <v>96</v>
      </c>
      <c r="I75" s="5">
        <v>0.68322916666511446</v>
      </c>
      <c r="J75" s="5">
        <v>0.75605324074422242</v>
      </c>
      <c r="K75" s="6">
        <v>1.747777777898591</v>
      </c>
      <c r="L75" t="s">
        <v>427</v>
      </c>
      <c r="M75" t="s">
        <v>22</v>
      </c>
      <c r="N75" s="2">
        <v>14</v>
      </c>
      <c r="O75" s="2">
        <v>0</v>
      </c>
      <c r="P75" s="2">
        <v>24.468888890580274</v>
      </c>
      <c r="Q75" t="s">
        <v>1161</v>
      </c>
      <c r="R75">
        <v>0</v>
      </c>
      <c r="S75" t="s">
        <v>1162</v>
      </c>
    </row>
    <row r="76" spans="1:19">
      <c r="A76" t="s">
        <v>1234</v>
      </c>
      <c r="B76" s="4">
        <v>46266</v>
      </c>
      <c r="C76" t="s">
        <v>136</v>
      </c>
      <c r="D76" t="s">
        <v>1160</v>
      </c>
      <c r="E76">
        <v>1003</v>
      </c>
      <c r="F76" t="s">
        <v>27</v>
      </c>
      <c r="G76" t="s">
        <v>66</v>
      </c>
      <c r="H76" t="s">
        <v>102</v>
      </c>
      <c r="I76" s="5">
        <v>0.330740740741021</v>
      </c>
      <c r="J76" s="5">
        <v>0.526053240741021</v>
      </c>
      <c r="K76" s="6">
        <v>4.6875</v>
      </c>
      <c r="L76" t="s">
        <v>445</v>
      </c>
      <c r="M76" t="s">
        <v>22</v>
      </c>
      <c r="N76" s="2">
        <v>23.5</v>
      </c>
      <c r="O76" s="2">
        <v>0</v>
      </c>
      <c r="P76" s="2">
        <v>110.15625</v>
      </c>
      <c r="Q76" t="s">
        <v>1161</v>
      </c>
      <c r="R76">
        <v>1</v>
      </c>
      <c r="S76" t="s">
        <v>1235</v>
      </c>
    </row>
    <row r="77" spans="1:19">
      <c r="A77" t="s">
        <v>1236</v>
      </c>
      <c r="B77" s="4">
        <v>46266</v>
      </c>
      <c r="C77" t="s">
        <v>136</v>
      </c>
      <c r="D77" t="s">
        <v>1160</v>
      </c>
      <c r="E77">
        <v>1001</v>
      </c>
      <c r="F77" t="s">
        <v>21</v>
      </c>
      <c r="G77" t="s">
        <v>63</v>
      </c>
      <c r="H77" t="s">
        <v>93</v>
      </c>
      <c r="I77" s="5">
        <v>0.35556712962716119</v>
      </c>
      <c r="J77" s="5">
        <v>0.57634259259066312</v>
      </c>
      <c r="K77" s="6">
        <v>5.2986111111240461</v>
      </c>
      <c r="L77" t="s">
        <v>460</v>
      </c>
      <c r="M77" t="s">
        <v>22</v>
      </c>
      <c r="N77" s="2">
        <v>17</v>
      </c>
      <c r="O77" s="2">
        <v>0</v>
      </c>
      <c r="P77" s="2">
        <v>90.076388889108784</v>
      </c>
      <c r="Q77" t="s">
        <v>1161</v>
      </c>
      <c r="R77">
        <v>1</v>
      </c>
      <c r="S77" t="s">
        <v>1235</v>
      </c>
    </row>
    <row r="78" spans="1:19">
      <c r="A78" t="s">
        <v>1237</v>
      </c>
      <c r="B78" s="4">
        <v>46266</v>
      </c>
      <c r="C78" t="s">
        <v>136</v>
      </c>
      <c r="D78" t="s">
        <v>1160</v>
      </c>
      <c r="E78">
        <v>1015</v>
      </c>
      <c r="F78" t="s">
        <v>47</v>
      </c>
      <c r="G78" t="s">
        <v>81</v>
      </c>
      <c r="H78" t="s">
        <v>81</v>
      </c>
      <c r="I78" s="5">
        <v>0.3632638888884685</v>
      </c>
      <c r="J78" s="5">
        <v>0.54230324074160308</v>
      </c>
      <c r="K78" s="6">
        <v>4.2969444444752298</v>
      </c>
      <c r="M78" t="s">
        <v>22</v>
      </c>
      <c r="N78" s="2">
        <v>21.5</v>
      </c>
      <c r="O78" s="2">
        <v>0</v>
      </c>
      <c r="P78" s="2">
        <v>92.384305556217441</v>
      </c>
      <c r="Q78" t="s">
        <v>1161</v>
      </c>
      <c r="R78">
        <v>1</v>
      </c>
      <c r="S78" t="s">
        <v>1235</v>
      </c>
    </row>
    <row r="79" spans="1:19">
      <c r="A79" t="s">
        <v>1238</v>
      </c>
      <c r="B79" s="4">
        <v>46266</v>
      </c>
      <c r="C79" t="s">
        <v>136</v>
      </c>
      <c r="D79" t="s">
        <v>1160</v>
      </c>
      <c r="E79">
        <v>1002</v>
      </c>
      <c r="F79" t="s">
        <v>25</v>
      </c>
      <c r="G79" t="s">
        <v>60</v>
      </c>
      <c r="H79" t="s">
        <v>102</v>
      </c>
      <c r="I79" s="5">
        <v>0.37123842592700385</v>
      </c>
      <c r="J79" s="5">
        <v>0.75225694444088731</v>
      </c>
      <c r="K79" s="6">
        <v>9.1444444443332031</v>
      </c>
      <c r="M79" t="s">
        <v>22</v>
      </c>
      <c r="N79" s="2">
        <v>23.5</v>
      </c>
      <c r="O79" s="2">
        <v>0</v>
      </c>
      <c r="P79" s="2">
        <v>214.89444444183027</v>
      </c>
      <c r="Q79" t="s">
        <v>1161</v>
      </c>
      <c r="R79">
        <v>1</v>
      </c>
      <c r="S79" t="s">
        <v>1235</v>
      </c>
    </row>
    <row r="80" spans="1:19">
      <c r="A80" t="s">
        <v>1239</v>
      </c>
      <c r="B80" s="4">
        <v>46266</v>
      </c>
      <c r="C80" t="s">
        <v>136</v>
      </c>
      <c r="D80" t="s">
        <v>1160</v>
      </c>
      <c r="E80">
        <v>1006</v>
      </c>
      <c r="F80" t="s">
        <v>33</v>
      </c>
      <c r="G80" t="s">
        <v>66</v>
      </c>
      <c r="H80" t="s">
        <v>96</v>
      </c>
      <c r="I80" s="5">
        <v>0.377581018517958</v>
      </c>
      <c r="J80" s="5">
        <v>0.53084490740729962</v>
      </c>
      <c r="K80" s="6">
        <v>3.6783333333441988</v>
      </c>
      <c r="L80" t="s">
        <v>427</v>
      </c>
      <c r="M80" t="s">
        <v>22</v>
      </c>
      <c r="N80" s="2">
        <v>14</v>
      </c>
      <c r="O80" s="2">
        <v>0</v>
      </c>
      <c r="P80" s="2">
        <v>51.496666666818783</v>
      </c>
      <c r="Q80" t="s">
        <v>1161</v>
      </c>
      <c r="R80">
        <v>1</v>
      </c>
      <c r="S80" t="s">
        <v>1235</v>
      </c>
    </row>
    <row r="81" spans="1:19">
      <c r="A81" t="s">
        <v>1240</v>
      </c>
      <c r="B81" s="4">
        <v>46266</v>
      </c>
      <c r="C81" t="s">
        <v>136</v>
      </c>
      <c r="D81" t="s">
        <v>1160</v>
      </c>
      <c r="E81">
        <v>1016</v>
      </c>
      <c r="F81" t="s">
        <v>49</v>
      </c>
      <c r="G81" t="s">
        <v>60</v>
      </c>
      <c r="H81" t="s">
        <v>102</v>
      </c>
      <c r="I81" s="5">
        <v>0.39136574073927477</v>
      </c>
      <c r="J81" s="5">
        <v>0.52224537036818219</v>
      </c>
      <c r="K81" s="6">
        <v>3.1411111110937782</v>
      </c>
      <c r="M81" t="s">
        <v>22</v>
      </c>
      <c r="N81" s="2">
        <v>23.5</v>
      </c>
      <c r="O81" s="2">
        <v>0</v>
      </c>
      <c r="P81" s="2">
        <v>73.816111110703787</v>
      </c>
      <c r="Q81" t="s">
        <v>1161</v>
      </c>
      <c r="R81">
        <v>1</v>
      </c>
      <c r="S81" t="s">
        <v>1235</v>
      </c>
    </row>
    <row r="82" spans="1:19">
      <c r="A82" t="s">
        <v>1241</v>
      </c>
      <c r="B82" s="4">
        <v>46266</v>
      </c>
      <c r="C82" t="s">
        <v>136</v>
      </c>
      <c r="D82" t="s">
        <v>1160</v>
      </c>
      <c r="E82">
        <v>1014</v>
      </c>
      <c r="F82" t="s">
        <v>46</v>
      </c>
      <c r="G82" t="s">
        <v>63</v>
      </c>
      <c r="H82" t="s">
        <v>96</v>
      </c>
      <c r="I82" s="5">
        <v>0.40050925925606862</v>
      </c>
      <c r="J82" s="5">
        <v>0.5246064814782585</v>
      </c>
      <c r="K82" s="6">
        <v>2.9783333333325572</v>
      </c>
      <c r="M82" t="s">
        <v>22</v>
      </c>
      <c r="N82" s="2">
        <v>21.5</v>
      </c>
      <c r="O82" s="2">
        <v>0</v>
      </c>
      <c r="P82" s="2">
        <v>64.03416666664998</v>
      </c>
      <c r="Q82" t="s">
        <v>1161</v>
      </c>
      <c r="R82">
        <v>1</v>
      </c>
      <c r="S82" t="s">
        <v>1235</v>
      </c>
    </row>
    <row r="83" spans="1:19">
      <c r="A83" t="s">
        <v>1242</v>
      </c>
      <c r="B83" s="4">
        <v>46266</v>
      </c>
      <c r="C83" t="s">
        <v>136</v>
      </c>
      <c r="D83" t="s">
        <v>1160</v>
      </c>
      <c r="E83">
        <v>1003</v>
      </c>
      <c r="F83" t="s">
        <v>27</v>
      </c>
      <c r="G83" t="s">
        <v>66</v>
      </c>
      <c r="H83" t="s">
        <v>102</v>
      </c>
      <c r="I83" s="5">
        <v>0.56298611110833008</v>
      </c>
      <c r="J83" s="5">
        <v>0.75290509259502869</v>
      </c>
      <c r="K83" s="6">
        <v>4.5580555556807667</v>
      </c>
      <c r="L83" t="s">
        <v>472</v>
      </c>
      <c r="M83" t="s">
        <v>22</v>
      </c>
      <c r="N83" s="2">
        <v>23.5</v>
      </c>
      <c r="O83" s="2">
        <v>0</v>
      </c>
      <c r="P83" s="2">
        <v>107.11430555849802</v>
      </c>
      <c r="Q83" t="s">
        <v>1161</v>
      </c>
      <c r="R83">
        <v>0</v>
      </c>
      <c r="S83" t="s">
        <v>1235</v>
      </c>
    </row>
    <row r="84" spans="1:19">
      <c r="A84" t="s">
        <v>1243</v>
      </c>
      <c r="B84" s="4">
        <v>46266</v>
      </c>
      <c r="C84" t="s">
        <v>136</v>
      </c>
      <c r="D84" t="s">
        <v>1160</v>
      </c>
      <c r="E84">
        <v>1016</v>
      </c>
      <c r="F84" t="s">
        <v>49</v>
      </c>
      <c r="G84" t="s">
        <v>60</v>
      </c>
      <c r="H84" t="s">
        <v>102</v>
      </c>
      <c r="I84" s="5">
        <v>0.56598379629576812</v>
      </c>
      <c r="J84" s="5">
        <v>0.75513888888963265</v>
      </c>
      <c r="K84" s="6">
        <v>4.5397222222527489</v>
      </c>
      <c r="M84" t="s">
        <v>22</v>
      </c>
      <c r="N84" s="2">
        <v>23.5</v>
      </c>
      <c r="O84" s="2">
        <v>0</v>
      </c>
      <c r="P84" s="2">
        <v>106.6834722229396</v>
      </c>
      <c r="Q84" t="s">
        <v>1161</v>
      </c>
      <c r="R84">
        <v>0</v>
      </c>
      <c r="S84" t="s">
        <v>1235</v>
      </c>
    </row>
    <row r="85" spans="1:19">
      <c r="A85" t="s">
        <v>1244</v>
      </c>
      <c r="B85" s="4">
        <v>46266</v>
      </c>
      <c r="C85" t="s">
        <v>136</v>
      </c>
      <c r="D85" t="s">
        <v>1160</v>
      </c>
      <c r="E85">
        <v>1006</v>
      </c>
      <c r="F85" t="s">
        <v>33</v>
      </c>
      <c r="G85" t="s">
        <v>66</v>
      </c>
      <c r="H85" t="s">
        <v>96</v>
      </c>
      <c r="I85" s="5">
        <v>0.57063657407707069</v>
      </c>
      <c r="J85" s="5">
        <v>0.76196759259619284</v>
      </c>
      <c r="K85" s="6">
        <v>4.5919444444589317</v>
      </c>
      <c r="L85" t="s">
        <v>477</v>
      </c>
      <c r="M85" t="s">
        <v>22</v>
      </c>
      <c r="N85" s="2">
        <v>14</v>
      </c>
      <c r="O85" s="2">
        <v>0</v>
      </c>
      <c r="P85" s="2">
        <v>64.287222222425044</v>
      </c>
      <c r="Q85" t="s">
        <v>1161</v>
      </c>
      <c r="R85">
        <v>0</v>
      </c>
      <c r="S85" t="s">
        <v>1235</v>
      </c>
    </row>
    <row r="86" spans="1:19">
      <c r="A86" t="s">
        <v>1245</v>
      </c>
      <c r="B86" s="4">
        <v>46266</v>
      </c>
      <c r="C86" t="s">
        <v>136</v>
      </c>
      <c r="D86" t="s">
        <v>1160</v>
      </c>
      <c r="E86">
        <v>1015</v>
      </c>
      <c r="F86" t="s">
        <v>47</v>
      </c>
      <c r="G86" t="s">
        <v>81</v>
      </c>
      <c r="H86" t="s">
        <v>81</v>
      </c>
      <c r="I86" s="5">
        <v>0.58193287037283881</v>
      </c>
      <c r="J86" s="5">
        <v>0.75017361110803904</v>
      </c>
      <c r="K86" s="6">
        <v>4.0377777776448056</v>
      </c>
      <c r="L86" t="s">
        <v>468</v>
      </c>
      <c r="M86" t="s">
        <v>22</v>
      </c>
      <c r="N86" s="2">
        <v>21.5</v>
      </c>
      <c r="O86" s="2">
        <v>0</v>
      </c>
      <c r="P86" s="2">
        <v>86.812222219363321</v>
      </c>
      <c r="Q86" t="s">
        <v>1161</v>
      </c>
      <c r="R86">
        <v>0</v>
      </c>
      <c r="S86" t="s">
        <v>1235</v>
      </c>
    </row>
    <row r="87" spans="1:19">
      <c r="A87" t="s">
        <v>1246</v>
      </c>
      <c r="B87" s="4">
        <v>46266</v>
      </c>
      <c r="C87" t="s">
        <v>136</v>
      </c>
      <c r="D87" t="s">
        <v>1160</v>
      </c>
      <c r="E87">
        <v>1004</v>
      </c>
      <c r="F87" t="s">
        <v>29</v>
      </c>
      <c r="G87" t="s">
        <v>66</v>
      </c>
      <c r="H87" t="s">
        <v>99</v>
      </c>
      <c r="I87" s="5">
        <v>0.59557870370190358</v>
      </c>
      <c r="J87" s="5">
        <v>0.79997685184935108</v>
      </c>
      <c r="K87" s="6">
        <v>4.90555555553874</v>
      </c>
      <c r="M87" t="s">
        <v>22</v>
      </c>
      <c r="N87" s="2">
        <v>21.5</v>
      </c>
      <c r="O87" s="2">
        <v>0</v>
      </c>
      <c r="P87" s="2">
        <v>105.46944444408291</v>
      </c>
      <c r="Q87" t="s">
        <v>1161</v>
      </c>
      <c r="R87">
        <v>1</v>
      </c>
      <c r="S87" t="s">
        <v>1235</v>
      </c>
    </row>
    <row r="88" spans="1:19">
      <c r="A88" t="s">
        <v>1247</v>
      </c>
      <c r="B88" s="4">
        <v>46266</v>
      </c>
      <c r="C88" t="s">
        <v>136</v>
      </c>
      <c r="D88" t="s">
        <v>1160</v>
      </c>
      <c r="E88">
        <v>1001</v>
      </c>
      <c r="F88" t="s">
        <v>21</v>
      </c>
      <c r="G88" t="s">
        <v>63</v>
      </c>
      <c r="H88" t="s">
        <v>93</v>
      </c>
      <c r="I88" s="5">
        <v>0.59827546296583023</v>
      </c>
      <c r="J88" s="5">
        <v>0.76876157407241408</v>
      </c>
      <c r="K88" s="6">
        <v>4.0916666665580124</v>
      </c>
      <c r="L88" t="s">
        <v>479</v>
      </c>
      <c r="M88" t="s">
        <v>22</v>
      </c>
      <c r="N88" s="2">
        <v>17</v>
      </c>
      <c r="O88" s="2">
        <v>0</v>
      </c>
      <c r="P88" s="2">
        <v>69.55833333148621</v>
      </c>
      <c r="Q88" t="s">
        <v>1161</v>
      </c>
      <c r="R88">
        <v>0</v>
      </c>
      <c r="S88" t="s">
        <v>1235</v>
      </c>
    </row>
    <row r="89" spans="1:19">
      <c r="A89" t="s">
        <v>1248</v>
      </c>
      <c r="B89" s="4">
        <v>46266</v>
      </c>
      <c r="C89" t="s">
        <v>136</v>
      </c>
      <c r="D89" t="s">
        <v>1160</v>
      </c>
      <c r="E89">
        <v>1014</v>
      </c>
      <c r="F89" t="s">
        <v>46</v>
      </c>
      <c r="G89" t="s">
        <v>63</v>
      </c>
      <c r="H89" t="s">
        <v>96</v>
      </c>
      <c r="I89" s="5">
        <v>0.62391203703737119</v>
      </c>
      <c r="J89" s="5">
        <v>0.74812499999825377</v>
      </c>
      <c r="K89" s="6">
        <v>2.9811111110611819</v>
      </c>
      <c r="M89" t="s">
        <v>22</v>
      </c>
      <c r="N89" s="2">
        <v>21.5</v>
      </c>
      <c r="O89" s="2">
        <v>0</v>
      </c>
      <c r="P89" s="2">
        <v>64.09388888781541</v>
      </c>
      <c r="Q89" t="s">
        <v>1161</v>
      </c>
      <c r="R89">
        <v>0</v>
      </c>
      <c r="S89" t="s">
        <v>1235</v>
      </c>
    </row>
    <row r="90" spans="1:19">
      <c r="A90" t="s">
        <v>1249</v>
      </c>
      <c r="B90" s="4">
        <v>46266</v>
      </c>
      <c r="C90" t="s">
        <v>136</v>
      </c>
      <c r="D90" t="s">
        <v>1160</v>
      </c>
      <c r="E90">
        <v>1004</v>
      </c>
      <c r="F90" t="s">
        <v>29</v>
      </c>
      <c r="G90" t="s">
        <v>63</v>
      </c>
      <c r="H90" t="s">
        <v>99</v>
      </c>
      <c r="I90" s="5">
        <v>0.86508101852086838</v>
      </c>
      <c r="J90" s="5">
        <v>0.92608796296553919</v>
      </c>
      <c r="K90" s="6">
        <v>1.4641666666720994</v>
      </c>
      <c r="L90" t="s">
        <v>483</v>
      </c>
      <c r="M90" t="s">
        <v>22</v>
      </c>
      <c r="N90" s="2">
        <v>21.5</v>
      </c>
      <c r="O90" s="2">
        <v>0</v>
      </c>
      <c r="P90" s="2">
        <v>31.479583333450137</v>
      </c>
      <c r="Q90" t="s">
        <v>1161</v>
      </c>
      <c r="R90">
        <v>0</v>
      </c>
      <c r="S90" t="s">
        <v>1235</v>
      </c>
    </row>
    <row r="91" spans="1:19">
      <c r="A91" t="s">
        <v>1250</v>
      </c>
      <c r="B91" s="4">
        <v>46267</v>
      </c>
      <c r="C91" t="s">
        <v>153</v>
      </c>
      <c r="D91" t="s">
        <v>1160</v>
      </c>
      <c r="E91">
        <v>1003</v>
      </c>
      <c r="F91" t="s">
        <v>27</v>
      </c>
      <c r="G91" t="s">
        <v>66</v>
      </c>
      <c r="H91" t="s">
        <v>102</v>
      </c>
      <c r="I91" s="5">
        <v>0.33171296296495711</v>
      </c>
      <c r="J91" s="5">
        <v>0.53120370370015735</v>
      </c>
      <c r="K91" s="6">
        <v>4.7877777776448056</v>
      </c>
      <c r="L91" t="s">
        <v>502</v>
      </c>
      <c r="M91" t="s">
        <v>22</v>
      </c>
      <c r="N91" s="2">
        <v>23.5</v>
      </c>
      <c r="O91" s="2">
        <v>0</v>
      </c>
      <c r="P91" s="2">
        <v>112.51277777465293</v>
      </c>
      <c r="Q91" t="s">
        <v>1161</v>
      </c>
      <c r="R91">
        <v>1</v>
      </c>
      <c r="S91" t="s">
        <v>1235</v>
      </c>
    </row>
    <row r="92" spans="1:19">
      <c r="A92" t="s">
        <v>1251</v>
      </c>
      <c r="B92" s="4">
        <v>46267</v>
      </c>
      <c r="C92" t="s">
        <v>153</v>
      </c>
      <c r="D92" t="s">
        <v>1160</v>
      </c>
      <c r="E92">
        <v>1001</v>
      </c>
      <c r="F92" t="s">
        <v>21</v>
      </c>
      <c r="G92" t="s">
        <v>63</v>
      </c>
      <c r="H92" t="s">
        <v>93</v>
      </c>
      <c r="I92" s="5">
        <v>0.36443287037400296</v>
      </c>
      <c r="J92" s="5">
        <v>0.731863425928168</v>
      </c>
      <c r="K92" s="6">
        <v>8.8183333332999609</v>
      </c>
      <c r="M92" t="s">
        <v>22</v>
      </c>
      <c r="N92" s="2">
        <v>17</v>
      </c>
      <c r="O92" s="2">
        <v>0</v>
      </c>
      <c r="P92" s="2">
        <v>149.91166666609934</v>
      </c>
      <c r="Q92" t="s">
        <v>1161</v>
      </c>
      <c r="R92">
        <v>1</v>
      </c>
      <c r="S92" t="s">
        <v>1235</v>
      </c>
    </row>
    <row r="93" spans="1:19">
      <c r="A93" t="s">
        <v>1252</v>
      </c>
      <c r="B93" s="4">
        <v>46267</v>
      </c>
      <c r="C93" t="s">
        <v>153</v>
      </c>
      <c r="D93" t="s">
        <v>1160</v>
      </c>
      <c r="E93">
        <v>1015</v>
      </c>
      <c r="F93" t="s">
        <v>47</v>
      </c>
      <c r="G93" t="s">
        <v>81</v>
      </c>
      <c r="H93" t="s">
        <v>81</v>
      </c>
      <c r="I93" s="5">
        <v>0.37151620370423188</v>
      </c>
      <c r="J93" s="5">
        <v>0.54413194444350665</v>
      </c>
      <c r="K93" s="6">
        <v>4.1427777777425945</v>
      </c>
      <c r="M93" t="s">
        <v>22</v>
      </c>
      <c r="N93" s="2">
        <v>21.5</v>
      </c>
      <c r="O93" s="2">
        <v>0</v>
      </c>
      <c r="P93" s="2">
        <v>89.069722221465781</v>
      </c>
      <c r="Q93" t="s">
        <v>1161</v>
      </c>
      <c r="R93">
        <v>1</v>
      </c>
      <c r="S93" t="s">
        <v>1235</v>
      </c>
    </row>
    <row r="94" spans="1:19">
      <c r="A94" t="s">
        <v>1253</v>
      </c>
      <c r="B94" s="4">
        <v>46267</v>
      </c>
      <c r="C94" t="s">
        <v>153</v>
      </c>
      <c r="D94" t="s">
        <v>1160</v>
      </c>
      <c r="E94">
        <v>1002</v>
      </c>
      <c r="F94" t="s">
        <v>25</v>
      </c>
      <c r="G94" t="s">
        <v>60</v>
      </c>
      <c r="H94" t="s">
        <v>102</v>
      </c>
      <c r="I94" s="5">
        <v>0.37773148147971369</v>
      </c>
      <c r="J94" s="5">
        <v>0.75506944444350665</v>
      </c>
      <c r="K94" s="6">
        <v>9.0561111111310311</v>
      </c>
      <c r="M94" t="s">
        <v>22</v>
      </c>
      <c r="N94" s="2">
        <v>23.5</v>
      </c>
      <c r="O94" s="2">
        <v>0</v>
      </c>
      <c r="P94" s="2">
        <v>212.81861111157923</v>
      </c>
      <c r="Q94" t="s">
        <v>1161</v>
      </c>
      <c r="R94">
        <v>1</v>
      </c>
      <c r="S94" t="s">
        <v>1235</v>
      </c>
    </row>
    <row r="95" spans="1:19">
      <c r="A95" t="s">
        <v>1254</v>
      </c>
      <c r="B95" s="4">
        <v>46267</v>
      </c>
      <c r="C95" t="s">
        <v>153</v>
      </c>
      <c r="D95" t="s">
        <v>1160</v>
      </c>
      <c r="E95">
        <v>1016</v>
      </c>
      <c r="F95" t="s">
        <v>49</v>
      </c>
      <c r="G95" t="s">
        <v>60</v>
      </c>
      <c r="H95" t="s">
        <v>102</v>
      </c>
      <c r="I95" s="5">
        <v>0.39125000000058208</v>
      </c>
      <c r="J95" s="5">
        <v>0.52097222222073469</v>
      </c>
      <c r="K95" s="6">
        <v>3.1133333332836628</v>
      </c>
      <c r="M95" t="s">
        <v>22</v>
      </c>
      <c r="N95" s="2">
        <v>23.5</v>
      </c>
      <c r="O95" s="2">
        <v>0</v>
      </c>
      <c r="P95" s="2">
        <v>73.163333332166076</v>
      </c>
      <c r="Q95" t="s">
        <v>1161</v>
      </c>
      <c r="R95">
        <v>1</v>
      </c>
      <c r="S95" t="s">
        <v>1235</v>
      </c>
    </row>
    <row r="96" spans="1:19">
      <c r="A96" t="s">
        <v>1255</v>
      </c>
      <c r="B96" s="4">
        <v>46267</v>
      </c>
      <c r="C96" t="s">
        <v>153</v>
      </c>
      <c r="D96" t="s">
        <v>1160</v>
      </c>
      <c r="E96">
        <v>1004</v>
      </c>
      <c r="F96" t="s">
        <v>29</v>
      </c>
      <c r="G96" t="s">
        <v>66</v>
      </c>
      <c r="H96" t="s">
        <v>99</v>
      </c>
      <c r="I96" s="5">
        <v>0.39431712962687016</v>
      </c>
      <c r="J96" s="5">
        <v>0.62449074073811062</v>
      </c>
      <c r="K96" s="6">
        <v>5.5241666666697711</v>
      </c>
      <c r="M96" t="s">
        <v>22</v>
      </c>
      <c r="N96" s="2">
        <v>21.5</v>
      </c>
      <c r="O96" s="2">
        <v>0</v>
      </c>
      <c r="P96" s="2">
        <v>118.76958333340008</v>
      </c>
      <c r="Q96" t="s">
        <v>1161</v>
      </c>
      <c r="R96">
        <v>1</v>
      </c>
      <c r="S96" t="s">
        <v>1235</v>
      </c>
    </row>
    <row r="97" spans="1:19">
      <c r="A97" t="s">
        <v>1256</v>
      </c>
      <c r="B97" s="4">
        <v>46267</v>
      </c>
      <c r="C97" t="s">
        <v>153</v>
      </c>
      <c r="D97" t="s">
        <v>1160</v>
      </c>
      <c r="E97">
        <v>1014</v>
      </c>
      <c r="F97" t="s">
        <v>46</v>
      </c>
      <c r="G97" t="s">
        <v>63</v>
      </c>
      <c r="H97" t="s">
        <v>96</v>
      </c>
      <c r="I97" s="5">
        <v>0.40797453703999054</v>
      </c>
      <c r="J97" s="5">
        <v>0.52063657407416031</v>
      </c>
      <c r="K97" s="6">
        <v>2.7038888888200745</v>
      </c>
      <c r="M97" t="s">
        <v>22</v>
      </c>
      <c r="N97" s="2">
        <v>21.5</v>
      </c>
      <c r="O97" s="2">
        <v>0</v>
      </c>
      <c r="P97" s="2">
        <v>58.133611109631602</v>
      </c>
      <c r="Q97" t="s">
        <v>1161</v>
      </c>
      <c r="R97">
        <v>1</v>
      </c>
      <c r="S97" t="s">
        <v>1235</v>
      </c>
    </row>
    <row r="98" spans="1:19">
      <c r="A98" t="s">
        <v>1257</v>
      </c>
      <c r="B98" s="4">
        <v>46267</v>
      </c>
      <c r="C98" t="s">
        <v>153</v>
      </c>
      <c r="D98" t="s">
        <v>1160</v>
      </c>
      <c r="E98">
        <v>1006</v>
      </c>
      <c r="F98" t="s">
        <v>33</v>
      </c>
      <c r="G98" t="s">
        <v>66</v>
      </c>
      <c r="H98" t="s">
        <v>96</v>
      </c>
      <c r="I98" s="5">
        <v>0.54248842592642177</v>
      </c>
      <c r="J98" s="5">
        <v>0.71255787037080154</v>
      </c>
      <c r="K98" s="6">
        <v>4.0816666666651145</v>
      </c>
      <c r="L98" t="s">
        <v>504</v>
      </c>
      <c r="M98" t="s">
        <v>22</v>
      </c>
      <c r="N98" s="2">
        <v>14</v>
      </c>
      <c r="O98" s="2">
        <v>0</v>
      </c>
      <c r="P98" s="2">
        <v>57.143333333311602</v>
      </c>
      <c r="Q98" t="s">
        <v>1161</v>
      </c>
      <c r="R98">
        <v>1</v>
      </c>
      <c r="S98" t="s">
        <v>1235</v>
      </c>
    </row>
    <row r="99" spans="1:19">
      <c r="A99" t="s">
        <v>1258</v>
      </c>
      <c r="B99" s="4">
        <v>46267</v>
      </c>
      <c r="C99" t="s">
        <v>153</v>
      </c>
      <c r="D99" t="s">
        <v>1160</v>
      </c>
      <c r="E99">
        <v>1016</v>
      </c>
      <c r="F99" t="s">
        <v>49</v>
      </c>
      <c r="G99" t="s">
        <v>60</v>
      </c>
      <c r="H99" t="s">
        <v>102</v>
      </c>
      <c r="I99" s="5">
        <v>0.57320601851824904</v>
      </c>
      <c r="J99" s="5">
        <v>0.75159722222451819</v>
      </c>
      <c r="K99" s="6">
        <v>4.2813888889504597</v>
      </c>
      <c r="M99" t="s">
        <v>22</v>
      </c>
      <c r="N99" s="2">
        <v>23.5</v>
      </c>
      <c r="O99" s="2">
        <v>0</v>
      </c>
      <c r="P99" s="2">
        <v>100.6126388903358</v>
      </c>
      <c r="Q99" t="s">
        <v>1161</v>
      </c>
      <c r="R99">
        <v>0</v>
      </c>
      <c r="S99" t="s">
        <v>1235</v>
      </c>
    </row>
    <row r="100" spans="1:19">
      <c r="A100" t="s">
        <v>1259</v>
      </c>
      <c r="B100" s="4">
        <v>46267</v>
      </c>
      <c r="C100" t="s">
        <v>153</v>
      </c>
      <c r="D100" t="s">
        <v>1160</v>
      </c>
      <c r="E100">
        <v>1003</v>
      </c>
      <c r="F100" t="s">
        <v>27</v>
      </c>
      <c r="G100" t="s">
        <v>66</v>
      </c>
      <c r="H100" t="s">
        <v>102</v>
      </c>
      <c r="I100" s="5">
        <v>0.57613425925956108</v>
      </c>
      <c r="J100" s="5">
        <v>0.74890046296059154</v>
      </c>
      <c r="K100" s="6">
        <v>4.1463888888247311</v>
      </c>
      <c r="M100" t="s">
        <v>22</v>
      </c>
      <c r="N100" s="2">
        <v>23.5</v>
      </c>
      <c r="O100" s="2">
        <v>0</v>
      </c>
      <c r="P100" s="2">
        <v>97.440138887381181</v>
      </c>
      <c r="Q100" t="s">
        <v>1161</v>
      </c>
      <c r="R100">
        <v>0</v>
      </c>
      <c r="S100" t="s">
        <v>1235</v>
      </c>
    </row>
    <row r="101" spans="1:19">
      <c r="A101" t="s">
        <v>1260</v>
      </c>
      <c r="B101" s="4">
        <v>46267</v>
      </c>
      <c r="C101" t="s">
        <v>153</v>
      </c>
      <c r="D101" t="s">
        <v>1160</v>
      </c>
      <c r="E101">
        <v>1015</v>
      </c>
      <c r="F101" t="s">
        <v>47</v>
      </c>
      <c r="G101" t="s">
        <v>81</v>
      </c>
      <c r="H101" t="s">
        <v>81</v>
      </c>
      <c r="I101" s="5">
        <v>0.58307870370481396</v>
      </c>
      <c r="J101" s="5">
        <v>0.75309027777984738</v>
      </c>
      <c r="K101" s="6">
        <v>4.0802777778008021</v>
      </c>
      <c r="M101" t="s">
        <v>22</v>
      </c>
      <c r="N101" s="2">
        <v>21.5</v>
      </c>
      <c r="O101" s="2">
        <v>0</v>
      </c>
      <c r="P101" s="2">
        <v>87.725972222717246</v>
      </c>
      <c r="Q101" t="s">
        <v>1161</v>
      </c>
      <c r="R101">
        <v>0</v>
      </c>
      <c r="S101" t="s">
        <v>1235</v>
      </c>
    </row>
    <row r="102" spans="1:19">
      <c r="A102" t="s">
        <v>1261</v>
      </c>
      <c r="B102" s="4">
        <v>46267</v>
      </c>
      <c r="C102" t="s">
        <v>153</v>
      </c>
      <c r="D102" t="s">
        <v>1160</v>
      </c>
      <c r="E102">
        <v>1004</v>
      </c>
      <c r="F102" t="s">
        <v>29</v>
      </c>
      <c r="G102" t="s">
        <v>66</v>
      </c>
      <c r="H102" t="s">
        <v>99</v>
      </c>
      <c r="I102" s="5">
        <v>0.71425925925723277</v>
      </c>
      <c r="J102" s="5">
        <v>0.8372800925935735</v>
      </c>
      <c r="K102" s="6">
        <v>2.9525000000721775</v>
      </c>
      <c r="M102" t="s">
        <v>22</v>
      </c>
      <c r="N102" s="2">
        <v>21.5</v>
      </c>
      <c r="O102" s="2">
        <v>0</v>
      </c>
      <c r="P102" s="2">
        <v>63.478750001551816</v>
      </c>
      <c r="Q102" t="s">
        <v>1161</v>
      </c>
      <c r="R102">
        <v>0</v>
      </c>
      <c r="S102" t="s">
        <v>1235</v>
      </c>
    </row>
    <row r="103" spans="1:19">
      <c r="A103" t="s">
        <v>1262</v>
      </c>
      <c r="B103" s="4">
        <v>46268</v>
      </c>
      <c r="C103" t="s">
        <v>214</v>
      </c>
      <c r="D103" t="s">
        <v>1160</v>
      </c>
      <c r="E103">
        <v>1002</v>
      </c>
      <c r="F103" t="s">
        <v>25</v>
      </c>
      <c r="G103" t="s">
        <v>60</v>
      </c>
      <c r="H103" t="s">
        <v>102</v>
      </c>
      <c r="I103" s="5">
        <v>0.31961805555329192</v>
      </c>
      <c r="J103" s="5">
        <v>0.75568287036730908</v>
      </c>
      <c r="K103" s="6">
        <v>10.465555555536412</v>
      </c>
      <c r="M103" t="s">
        <v>22</v>
      </c>
      <c r="N103" s="2">
        <v>23.5</v>
      </c>
      <c r="O103" s="2">
        <v>0</v>
      </c>
      <c r="P103" s="2">
        <v>245.94055555510568</v>
      </c>
      <c r="Q103" t="s">
        <v>1161</v>
      </c>
      <c r="R103">
        <v>1</v>
      </c>
      <c r="S103" t="s">
        <v>1235</v>
      </c>
    </row>
    <row r="104" spans="1:19">
      <c r="A104" t="s">
        <v>1263</v>
      </c>
      <c r="B104" s="4">
        <v>46268</v>
      </c>
      <c r="C104" t="s">
        <v>214</v>
      </c>
      <c r="D104" t="s">
        <v>1160</v>
      </c>
      <c r="E104">
        <v>1003</v>
      </c>
      <c r="F104" t="s">
        <v>27</v>
      </c>
      <c r="G104" t="s">
        <v>66</v>
      </c>
      <c r="H104" t="s">
        <v>102</v>
      </c>
      <c r="I104" s="5">
        <v>0.33307870370481396</v>
      </c>
      <c r="J104" s="5">
        <v>0.53200231481605442</v>
      </c>
      <c r="K104" s="6">
        <v>4.7741666666697711</v>
      </c>
      <c r="L104" t="s">
        <v>541</v>
      </c>
      <c r="M104" t="s">
        <v>22</v>
      </c>
      <c r="N104" s="2">
        <v>23.5</v>
      </c>
      <c r="O104" s="2">
        <v>0</v>
      </c>
      <c r="P104" s="2">
        <v>112.19291666673962</v>
      </c>
      <c r="Q104" t="s">
        <v>1161</v>
      </c>
      <c r="R104">
        <v>1</v>
      </c>
      <c r="S104" t="s">
        <v>1235</v>
      </c>
    </row>
    <row r="105" spans="1:19">
      <c r="A105" t="s">
        <v>1264</v>
      </c>
      <c r="B105" s="4">
        <v>46268</v>
      </c>
      <c r="C105" t="s">
        <v>214</v>
      </c>
      <c r="D105" t="s">
        <v>1160</v>
      </c>
      <c r="E105">
        <v>1015</v>
      </c>
      <c r="F105" t="s">
        <v>47</v>
      </c>
      <c r="G105" t="s">
        <v>81</v>
      </c>
      <c r="H105" t="s">
        <v>81</v>
      </c>
      <c r="I105" s="5">
        <v>0.36620370370656019</v>
      </c>
      <c r="J105" s="5">
        <v>0.51721064814773854</v>
      </c>
      <c r="K105" s="6">
        <v>3.6241666665882803</v>
      </c>
      <c r="M105" t="s">
        <v>22</v>
      </c>
      <c r="N105" s="2">
        <v>21.5</v>
      </c>
      <c r="O105" s="2">
        <v>0</v>
      </c>
      <c r="P105" s="2">
        <v>77.919583331648028</v>
      </c>
      <c r="Q105" t="s">
        <v>1161</v>
      </c>
      <c r="R105">
        <v>1</v>
      </c>
      <c r="S105" t="s">
        <v>1235</v>
      </c>
    </row>
    <row r="106" spans="1:19">
      <c r="A106" t="s">
        <v>1265</v>
      </c>
      <c r="B106" s="4">
        <v>46268</v>
      </c>
      <c r="C106" t="s">
        <v>214</v>
      </c>
      <c r="D106" t="s">
        <v>1160</v>
      </c>
      <c r="E106">
        <v>1004</v>
      </c>
      <c r="F106" t="s">
        <v>29</v>
      </c>
      <c r="G106" t="s">
        <v>66</v>
      </c>
      <c r="H106" t="s">
        <v>99</v>
      </c>
      <c r="I106" s="5">
        <v>0.37562500000058208</v>
      </c>
      <c r="J106" s="5">
        <v>0.52807870370452292</v>
      </c>
      <c r="K106" s="6">
        <v>3.6588888888945803</v>
      </c>
      <c r="M106" t="s">
        <v>22</v>
      </c>
      <c r="N106" s="2">
        <v>21.5</v>
      </c>
      <c r="O106" s="2">
        <v>0</v>
      </c>
      <c r="P106" s="2">
        <v>78.666111111233477</v>
      </c>
      <c r="Q106" t="s">
        <v>1161</v>
      </c>
      <c r="R106">
        <v>1</v>
      </c>
      <c r="S106" t="s">
        <v>1235</v>
      </c>
    </row>
    <row r="107" spans="1:19">
      <c r="A107" t="s">
        <v>1266</v>
      </c>
      <c r="B107" s="4">
        <v>46268</v>
      </c>
      <c r="C107" t="s">
        <v>214</v>
      </c>
      <c r="D107" t="s">
        <v>1160</v>
      </c>
      <c r="E107">
        <v>1016</v>
      </c>
      <c r="F107" t="s">
        <v>49</v>
      </c>
      <c r="G107" t="s">
        <v>60</v>
      </c>
      <c r="H107" t="s">
        <v>102</v>
      </c>
      <c r="I107" s="5">
        <v>0.39096064814657439</v>
      </c>
      <c r="J107" s="5">
        <v>0.52376157407707069</v>
      </c>
      <c r="K107" s="6">
        <v>3.1872222223319113</v>
      </c>
      <c r="M107" t="s">
        <v>22</v>
      </c>
      <c r="N107" s="2">
        <v>23.5</v>
      </c>
      <c r="O107" s="2">
        <v>0</v>
      </c>
      <c r="P107" s="2">
        <v>74.899722224799916</v>
      </c>
      <c r="Q107" t="s">
        <v>1161</v>
      </c>
      <c r="R107">
        <v>1</v>
      </c>
      <c r="S107" t="s">
        <v>1235</v>
      </c>
    </row>
    <row r="108" spans="1:19">
      <c r="A108" t="s">
        <v>1267</v>
      </c>
      <c r="B108" s="4">
        <v>46268</v>
      </c>
      <c r="C108" t="s">
        <v>214</v>
      </c>
      <c r="D108" t="s">
        <v>1160</v>
      </c>
      <c r="E108">
        <v>1014</v>
      </c>
      <c r="F108" t="s">
        <v>46</v>
      </c>
      <c r="G108" t="s">
        <v>63</v>
      </c>
      <c r="H108" t="s">
        <v>96</v>
      </c>
      <c r="I108" s="5">
        <v>0.41100694444321562</v>
      </c>
      <c r="J108" s="5">
        <v>0.53387731481780065</v>
      </c>
      <c r="K108" s="6">
        <v>2.9488888889900409</v>
      </c>
      <c r="M108" t="s">
        <v>22</v>
      </c>
      <c r="N108" s="2">
        <v>21.5</v>
      </c>
      <c r="O108" s="2">
        <v>0</v>
      </c>
      <c r="P108" s="2">
        <v>63.401111113285879</v>
      </c>
      <c r="Q108" t="s">
        <v>1161</v>
      </c>
      <c r="R108">
        <v>1</v>
      </c>
      <c r="S108" t="s">
        <v>1235</v>
      </c>
    </row>
    <row r="109" spans="1:19">
      <c r="A109" t="s">
        <v>1268</v>
      </c>
      <c r="B109" s="4">
        <v>46268</v>
      </c>
      <c r="C109" t="s">
        <v>214</v>
      </c>
      <c r="D109" t="s">
        <v>1160</v>
      </c>
      <c r="E109">
        <v>1001</v>
      </c>
      <c r="F109" t="s">
        <v>21</v>
      </c>
      <c r="G109" t="s">
        <v>63</v>
      </c>
      <c r="H109" t="s">
        <v>93</v>
      </c>
      <c r="I109" s="5">
        <v>0.44402777777577285</v>
      </c>
      <c r="J109" s="5">
        <v>0.5795717592627625</v>
      </c>
      <c r="K109" s="6">
        <v>3.2530555556877516</v>
      </c>
      <c r="L109" t="s">
        <v>550</v>
      </c>
      <c r="M109" t="s">
        <v>22</v>
      </c>
      <c r="N109" s="2">
        <v>17</v>
      </c>
      <c r="O109" s="2">
        <v>0</v>
      </c>
      <c r="P109" s="2">
        <v>55.301944446691778</v>
      </c>
      <c r="Q109" t="s">
        <v>1161</v>
      </c>
      <c r="R109">
        <v>1</v>
      </c>
      <c r="S109" t="s">
        <v>1235</v>
      </c>
    </row>
    <row r="110" spans="1:19">
      <c r="A110" t="s">
        <v>1269</v>
      </c>
      <c r="B110" s="4">
        <v>46268</v>
      </c>
      <c r="C110" t="s">
        <v>214</v>
      </c>
      <c r="D110" t="s">
        <v>1160</v>
      </c>
      <c r="E110">
        <v>1016</v>
      </c>
      <c r="F110" t="s">
        <v>49</v>
      </c>
      <c r="G110" t="s">
        <v>60</v>
      </c>
      <c r="H110" t="s">
        <v>102</v>
      </c>
      <c r="I110" s="5">
        <v>0.55623842592467554</v>
      </c>
      <c r="J110" s="5">
        <v>0.51246527778130258</v>
      </c>
      <c r="K110" s="6">
        <v>22.949444444559049</v>
      </c>
      <c r="M110" t="s">
        <v>22</v>
      </c>
      <c r="N110" s="2">
        <v>23.5</v>
      </c>
      <c r="O110" s="2">
        <v>0</v>
      </c>
      <c r="P110" s="2">
        <v>539.31194444713765</v>
      </c>
      <c r="Q110" t="s">
        <v>1161</v>
      </c>
      <c r="R110">
        <v>1</v>
      </c>
      <c r="S110" t="s">
        <v>1235</v>
      </c>
    </row>
    <row r="111" spans="1:19">
      <c r="A111" t="s">
        <v>1270</v>
      </c>
      <c r="B111" s="4">
        <v>46268</v>
      </c>
      <c r="C111" t="s">
        <v>214</v>
      </c>
      <c r="D111" t="s">
        <v>1160</v>
      </c>
      <c r="E111">
        <v>1015</v>
      </c>
      <c r="F111" t="s">
        <v>47</v>
      </c>
      <c r="G111" t="s">
        <v>81</v>
      </c>
      <c r="H111" t="s">
        <v>81</v>
      </c>
      <c r="I111" s="5">
        <v>0.55796296296466608</v>
      </c>
      <c r="J111" s="5">
        <v>0.7435995370396995</v>
      </c>
      <c r="K111" s="6">
        <v>4.4552777778008021</v>
      </c>
      <c r="M111" t="s">
        <v>22</v>
      </c>
      <c r="N111" s="2">
        <v>21.5</v>
      </c>
      <c r="O111" s="2">
        <v>0</v>
      </c>
      <c r="P111" s="2">
        <v>95.788472222717246</v>
      </c>
      <c r="Q111" t="s">
        <v>1161</v>
      </c>
      <c r="R111">
        <v>0</v>
      </c>
      <c r="S111" t="s">
        <v>1235</v>
      </c>
    </row>
    <row r="112" spans="1:19">
      <c r="A112" t="s">
        <v>1271</v>
      </c>
      <c r="B112" s="4">
        <v>46268</v>
      </c>
      <c r="C112" t="s">
        <v>214</v>
      </c>
      <c r="D112" t="s">
        <v>1160</v>
      </c>
      <c r="E112">
        <v>1003</v>
      </c>
      <c r="F112" t="s">
        <v>27</v>
      </c>
      <c r="G112" t="s">
        <v>63</v>
      </c>
      <c r="H112" t="s">
        <v>102</v>
      </c>
      <c r="I112" s="5">
        <v>0.56604166666511446</v>
      </c>
      <c r="J112" s="5">
        <v>0.54895833333284827</v>
      </c>
      <c r="K112" s="6">
        <v>479.59000000002561</v>
      </c>
      <c r="M112" t="s">
        <v>22</v>
      </c>
      <c r="N112" s="2">
        <v>23.5</v>
      </c>
      <c r="O112" s="2">
        <v>0</v>
      </c>
      <c r="P112" s="2">
        <v>11270.365000000602</v>
      </c>
      <c r="Q112" t="s">
        <v>1161</v>
      </c>
      <c r="R112">
        <v>1</v>
      </c>
      <c r="S112" t="s">
        <v>1235</v>
      </c>
    </row>
    <row r="113" spans="1:19">
      <c r="A113" t="s">
        <v>1272</v>
      </c>
      <c r="B113" s="4">
        <v>46268</v>
      </c>
      <c r="C113" t="s">
        <v>214</v>
      </c>
      <c r="D113" t="s">
        <v>1160</v>
      </c>
      <c r="E113">
        <v>1014</v>
      </c>
      <c r="F113" t="s">
        <v>46</v>
      </c>
      <c r="G113" t="s">
        <v>63</v>
      </c>
      <c r="H113" t="s">
        <v>96</v>
      </c>
      <c r="I113" s="5">
        <v>0.59858796296612127</v>
      </c>
      <c r="J113" s="5">
        <v>0.51210648148116888</v>
      </c>
      <c r="K113" s="6">
        <v>21.924444444361143</v>
      </c>
      <c r="M113" t="s">
        <v>22</v>
      </c>
      <c r="N113" s="2">
        <v>21.5</v>
      </c>
      <c r="O113" s="2">
        <v>0</v>
      </c>
      <c r="P113" s="2">
        <v>471.37555555376457</v>
      </c>
      <c r="Q113" t="s">
        <v>1161</v>
      </c>
      <c r="R113">
        <v>1</v>
      </c>
      <c r="S113" t="s">
        <v>1235</v>
      </c>
    </row>
    <row r="114" spans="1:19">
      <c r="A114" t="s">
        <v>1273</v>
      </c>
      <c r="B114" s="4">
        <v>46269</v>
      </c>
      <c r="C114" t="s">
        <v>287</v>
      </c>
      <c r="D114" t="s">
        <v>1160</v>
      </c>
      <c r="E114">
        <v>1002</v>
      </c>
      <c r="F114" t="s">
        <v>25</v>
      </c>
      <c r="G114" t="s">
        <v>60</v>
      </c>
      <c r="H114" t="s">
        <v>102</v>
      </c>
      <c r="I114" s="5">
        <v>0.37003472222568234</v>
      </c>
      <c r="J114" s="5">
        <v>0.51531249999970896</v>
      </c>
      <c r="K114" s="6">
        <v>3.4866666665766388</v>
      </c>
      <c r="M114" t="s">
        <v>22</v>
      </c>
      <c r="N114" s="2">
        <v>23.5</v>
      </c>
      <c r="O114" s="2">
        <v>0</v>
      </c>
      <c r="P114" s="2">
        <v>81.936666664551012</v>
      </c>
      <c r="Q114" t="s">
        <v>1161</v>
      </c>
      <c r="R114">
        <v>1</v>
      </c>
      <c r="S114" t="s">
        <v>1235</v>
      </c>
    </row>
    <row r="115" spans="1:19">
      <c r="A115" t="s">
        <v>1274</v>
      </c>
      <c r="B115" s="4">
        <v>46269</v>
      </c>
      <c r="C115" t="s">
        <v>287</v>
      </c>
      <c r="D115" t="s">
        <v>1160</v>
      </c>
      <c r="E115">
        <v>1015</v>
      </c>
      <c r="F115" t="s">
        <v>47</v>
      </c>
      <c r="G115" t="s">
        <v>81</v>
      </c>
      <c r="H115" t="s">
        <v>81</v>
      </c>
      <c r="I115" s="5">
        <v>0.37222222222044365</v>
      </c>
      <c r="J115" s="5">
        <v>0.54229166666482342</v>
      </c>
      <c r="K115" s="6">
        <v>4.0816666666651145</v>
      </c>
      <c r="M115" t="s">
        <v>22</v>
      </c>
      <c r="N115" s="2">
        <v>21.5</v>
      </c>
      <c r="O115" s="2">
        <v>0</v>
      </c>
      <c r="P115" s="2">
        <v>87.755833333299961</v>
      </c>
      <c r="Q115" t="s">
        <v>1161</v>
      </c>
      <c r="R115">
        <v>1</v>
      </c>
      <c r="S115" t="s">
        <v>1235</v>
      </c>
    </row>
    <row r="116" spans="1:19">
      <c r="A116" t="s">
        <v>1275</v>
      </c>
      <c r="B116" s="4">
        <v>46269</v>
      </c>
      <c r="C116" t="s">
        <v>287</v>
      </c>
      <c r="D116" t="s">
        <v>1160</v>
      </c>
      <c r="E116">
        <v>1004</v>
      </c>
      <c r="F116" t="s">
        <v>29</v>
      </c>
      <c r="G116" t="s">
        <v>66</v>
      </c>
      <c r="H116" t="s">
        <v>99</v>
      </c>
      <c r="I116" s="5">
        <v>0.37418981481459923</v>
      </c>
      <c r="J116" s="5">
        <v>0.52417824073927477</v>
      </c>
      <c r="K116" s="6">
        <v>3.5997222221922129</v>
      </c>
      <c r="M116" t="s">
        <v>22</v>
      </c>
      <c r="N116" s="2">
        <v>21.5</v>
      </c>
      <c r="O116" s="2">
        <v>0</v>
      </c>
      <c r="P116" s="2">
        <v>77.394027777132578</v>
      </c>
      <c r="Q116" t="s">
        <v>1161</v>
      </c>
      <c r="R116">
        <v>1</v>
      </c>
      <c r="S116" t="s">
        <v>1235</v>
      </c>
    </row>
    <row r="117" spans="1:19">
      <c r="A117" t="s">
        <v>1276</v>
      </c>
      <c r="B117" s="4">
        <v>46269</v>
      </c>
      <c r="C117" t="s">
        <v>287</v>
      </c>
      <c r="D117" t="s">
        <v>1160</v>
      </c>
      <c r="E117">
        <v>1001</v>
      </c>
      <c r="F117" t="s">
        <v>21</v>
      </c>
      <c r="G117" t="s">
        <v>63</v>
      </c>
      <c r="H117" t="s">
        <v>93</v>
      </c>
      <c r="I117" s="5">
        <v>0.37913194444263354</v>
      </c>
      <c r="J117" s="5">
        <v>0.65150462962628808</v>
      </c>
      <c r="K117" s="6">
        <v>6.5369444444077089</v>
      </c>
      <c r="M117" t="s">
        <v>22</v>
      </c>
      <c r="N117" s="2">
        <v>17</v>
      </c>
      <c r="O117" s="2">
        <v>0</v>
      </c>
      <c r="P117" s="2">
        <v>111.12805555493105</v>
      </c>
      <c r="Q117" t="s">
        <v>1161</v>
      </c>
      <c r="R117">
        <v>1</v>
      </c>
      <c r="S117" t="s">
        <v>1235</v>
      </c>
    </row>
    <row r="118" spans="1:19">
      <c r="A118" t="s">
        <v>1277</v>
      </c>
      <c r="B118" s="4">
        <v>46269</v>
      </c>
      <c r="C118" t="s">
        <v>287</v>
      </c>
      <c r="D118" t="s">
        <v>1160</v>
      </c>
      <c r="E118">
        <v>1016</v>
      </c>
      <c r="F118" t="s">
        <v>49</v>
      </c>
      <c r="G118" t="s">
        <v>60</v>
      </c>
      <c r="H118" t="s">
        <v>102</v>
      </c>
      <c r="I118" s="5">
        <v>0.57269675925635966</v>
      </c>
      <c r="J118" s="5">
        <v>0.75045138888526708</v>
      </c>
      <c r="K118" s="6">
        <v>4.2661111110937782</v>
      </c>
      <c r="M118" t="s">
        <v>22</v>
      </c>
      <c r="N118" s="2">
        <v>23.5</v>
      </c>
      <c r="O118" s="2">
        <v>0</v>
      </c>
      <c r="P118" s="2">
        <v>100.25361111070379</v>
      </c>
      <c r="Q118" t="s">
        <v>1161</v>
      </c>
      <c r="R118">
        <v>1</v>
      </c>
      <c r="S118" t="s">
        <v>1235</v>
      </c>
    </row>
    <row r="119" spans="1:19">
      <c r="A119" t="s">
        <v>1278</v>
      </c>
      <c r="B119" s="4">
        <v>46269</v>
      </c>
      <c r="C119" t="s">
        <v>287</v>
      </c>
      <c r="D119" t="s">
        <v>1160</v>
      </c>
      <c r="E119">
        <v>1014</v>
      </c>
      <c r="F119" t="s">
        <v>46</v>
      </c>
      <c r="G119" t="s">
        <v>66</v>
      </c>
      <c r="H119" t="s">
        <v>96</v>
      </c>
      <c r="I119" s="5">
        <v>0.57326388888759539</v>
      </c>
      <c r="J119" s="5">
        <v>0.63048611111298669</v>
      </c>
      <c r="K119" s="6">
        <v>1.3733333334093913</v>
      </c>
      <c r="M119" t="s">
        <v>22</v>
      </c>
      <c r="N119" s="2">
        <v>21.5</v>
      </c>
      <c r="O119" s="2">
        <v>0</v>
      </c>
      <c r="P119" s="2">
        <v>29.526666668301914</v>
      </c>
      <c r="Q119" t="s">
        <v>1161</v>
      </c>
      <c r="R119">
        <v>1</v>
      </c>
      <c r="S119" t="s">
        <v>1235</v>
      </c>
    </row>
    <row r="120" spans="1:19">
      <c r="A120" t="s">
        <v>1279</v>
      </c>
      <c r="B120" s="4">
        <v>46269</v>
      </c>
      <c r="C120" t="s">
        <v>287</v>
      </c>
      <c r="D120" t="s">
        <v>1160</v>
      </c>
      <c r="E120">
        <v>1015</v>
      </c>
      <c r="F120" t="s">
        <v>47</v>
      </c>
      <c r="G120" t="s">
        <v>81</v>
      </c>
      <c r="H120" t="s">
        <v>81</v>
      </c>
      <c r="I120" s="5">
        <v>0.58304398148175096</v>
      </c>
      <c r="J120" s="5">
        <v>0.53752314814482816</v>
      </c>
      <c r="K120" s="6">
        <v>94.907499999913853</v>
      </c>
      <c r="M120" t="s">
        <v>22</v>
      </c>
      <c r="N120" s="2">
        <v>21.5</v>
      </c>
      <c r="O120" s="2">
        <v>0</v>
      </c>
      <c r="P120" s="2">
        <v>2040.5112499981478</v>
      </c>
      <c r="Q120" t="s">
        <v>1161</v>
      </c>
      <c r="R120">
        <v>1</v>
      </c>
      <c r="S120" t="s">
        <v>1235</v>
      </c>
    </row>
    <row r="121" spans="1:19">
      <c r="A121" t="s">
        <v>1280</v>
      </c>
      <c r="B121" s="4">
        <v>46269</v>
      </c>
      <c r="C121" t="s">
        <v>287</v>
      </c>
      <c r="D121" t="s">
        <v>1160</v>
      </c>
      <c r="E121">
        <v>1002</v>
      </c>
      <c r="F121" t="s">
        <v>25</v>
      </c>
      <c r="G121" t="s">
        <v>60</v>
      </c>
      <c r="H121" t="s">
        <v>102</v>
      </c>
      <c r="I121" s="5">
        <v>0.58824074074072996</v>
      </c>
      <c r="J121" s="5">
        <v>0.74964120370714227</v>
      </c>
      <c r="K121" s="6">
        <v>3.8736111111938953</v>
      </c>
      <c r="M121" t="s">
        <v>22</v>
      </c>
      <c r="N121" s="2">
        <v>23.5</v>
      </c>
      <c r="O121" s="2">
        <v>0</v>
      </c>
      <c r="P121" s="2">
        <v>91.02986111305654</v>
      </c>
      <c r="Q121" t="s">
        <v>1161</v>
      </c>
      <c r="R121">
        <v>0</v>
      </c>
      <c r="S121" t="s">
        <v>1235</v>
      </c>
    </row>
    <row r="122" spans="1:19">
      <c r="A122" t="s">
        <v>1281</v>
      </c>
      <c r="B122" s="4">
        <v>46269</v>
      </c>
      <c r="C122" t="s">
        <v>287</v>
      </c>
      <c r="D122" t="s">
        <v>1160</v>
      </c>
      <c r="E122">
        <v>1014</v>
      </c>
      <c r="F122" t="s">
        <v>46</v>
      </c>
      <c r="G122" t="s">
        <v>63</v>
      </c>
      <c r="H122" t="s">
        <v>96</v>
      </c>
      <c r="I122" s="5">
        <v>0.63070601852086838</v>
      </c>
      <c r="J122" s="5">
        <v>0.541678240741021</v>
      </c>
      <c r="K122" s="6">
        <v>93.863333333283663</v>
      </c>
      <c r="M122" t="s">
        <v>22</v>
      </c>
      <c r="N122" s="2">
        <v>21.5</v>
      </c>
      <c r="O122" s="2">
        <v>0</v>
      </c>
      <c r="P122" s="2">
        <v>2018.0616666655988</v>
      </c>
      <c r="Q122" t="s">
        <v>1161</v>
      </c>
      <c r="R122">
        <v>1</v>
      </c>
      <c r="S122" t="s">
        <v>1235</v>
      </c>
    </row>
    <row r="123" spans="1:19">
      <c r="A123" t="s">
        <v>1282</v>
      </c>
      <c r="B123" s="4">
        <v>46269</v>
      </c>
      <c r="C123" t="s">
        <v>287</v>
      </c>
      <c r="D123" t="s">
        <v>1160</v>
      </c>
      <c r="E123">
        <v>1001</v>
      </c>
      <c r="F123" t="s">
        <v>21</v>
      </c>
      <c r="G123" t="s">
        <v>63</v>
      </c>
      <c r="H123" t="s">
        <v>93</v>
      </c>
      <c r="I123" s="5">
        <v>0.67403935184847796</v>
      </c>
      <c r="J123" s="5">
        <v>0.64519675925839692</v>
      </c>
      <c r="K123" s="6">
        <v>23.307777777838055</v>
      </c>
      <c r="M123" t="s">
        <v>22</v>
      </c>
      <c r="N123" s="2">
        <v>17</v>
      </c>
      <c r="O123" s="2">
        <v>0</v>
      </c>
      <c r="P123" s="2">
        <v>396.23222222324694</v>
      </c>
      <c r="Q123" t="s">
        <v>1161</v>
      </c>
      <c r="R123">
        <v>1</v>
      </c>
      <c r="S123" t="s">
        <v>1235</v>
      </c>
    </row>
    <row r="124" spans="1:19">
      <c r="A124" t="s">
        <v>1283</v>
      </c>
      <c r="B124" s="4">
        <v>46270</v>
      </c>
      <c r="C124" t="s">
        <v>357</v>
      </c>
      <c r="D124" t="s">
        <v>1217</v>
      </c>
      <c r="E124">
        <v>1016</v>
      </c>
      <c r="F124" t="s">
        <v>49</v>
      </c>
      <c r="G124" t="s">
        <v>60</v>
      </c>
      <c r="H124" t="s">
        <v>102</v>
      </c>
      <c r="I124" s="5">
        <v>0.52413194444670808</v>
      </c>
      <c r="J124" s="5">
        <v>0.52265046296088258</v>
      </c>
      <c r="K124" s="6">
        <v>71.964444444340188</v>
      </c>
      <c r="M124" t="s">
        <v>22</v>
      </c>
      <c r="N124" s="2">
        <v>23.5</v>
      </c>
      <c r="O124" s="2">
        <v>0</v>
      </c>
      <c r="P124" s="2">
        <v>1691.1644444419944</v>
      </c>
      <c r="Q124" t="s">
        <v>1161</v>
      </c>
      <c r="R124">
        <v>1</v>
      </c>
      <c r="S124" t="s">
        <v>1235</v>
      </c>
    </row>
    <row r="125" spans="1:19">
      <c r="A125" t="s">
        <v>1284</v>
      </c>
      <c r="B125" s="4">
        <v>46270</v>
      </c>
      <c r="C125" t="s">
        <v>357</v>
      </c>
      <c r="D125" t="s">
        <v>1217</v>
      </c>
      <c r="E125">
        <v>1001</v>
      </c>
      <c r="F125" t="s">
        <v>21</v>
      </c>
      <c r="G125" t="s">
        <v>63</v>
      </c>
      <c r="H125" t="s">
        <v>93</v>
      </c>
      <c r="I125" s="5">
        <v>0.66704861111065838</v>
      </c>
      <c r="J125" s="5">
        <v>0.7800810185217415</v>
      </c>
      <c r="K125" s="6">
        <v>2.7127777778659947</v>
      </c>
      <c r="M125" t="s">
        <v>22</v>
      </c>
      <c r="N125" s="2">
        <v>20</v>
      </c>
      <c r="O125" s="2">
        <v>0</v>
      </c>
      <c r="P125" s="2">
        <v>54.255555557319894</v>
      </c>
      <c r="Q125" t="s">
        <v>1161</v>
      </c>
      <c r="R125">
        <v>1</v>
      </c>
      <c r="S125" t="s">
        <v>1235</v>
      </c>
    </row>
    <row r="126" spans="1:19">
      <c r="A126" t="s">
        <v>1285</v>
      </c>
      <c r="B126" s="4">
        <v>46271</v>
      </c>
      <c r="C126" t="s">
        <v>385</v>
      </c>
      <c r="D126" t="s">
        <v>1217</v>
      </c>
      <c r="E126">
        <v>1001</v>
      </c>
      <c r="F126" t="s">
        <v>21</v>
      </c>
      <c r="G126" t="s">
        <v>63</v>
      </c>
      <c r="H126" t="s">
        <v>93</v>
      </c>
      <c r="I126" s="5">
        <v>0.34706018518772908</v>
      </c>
      <c r="J126" s="5">
        <v>0.71587962962803431</v>
      </c>
      <c r="K126" s="6">
        <v>32.851666666567326</v>
      </c>
      <c r="M126" t="s">
        <v>22</v>
      </c>
      <c r="N126" s="2">
        <v>20</v>
      </c>
      <c r="O126" s="2">
        <v>0</v>
      </c>
      <c r="P126" s="2">
        <v>657.03333333134651</v>
      </c>
      <c r="Q126" t="s">
        <v>1161</v>
      </c>
      <c r="R126">
        <v>1</v>
      </c>
      <c r="S126" t="s">
        <v>1235</v>
      </c>
    </row>
    <row r="127" spans="1:19">
      <c r="A127" t="s">
        <v>1286</v>
      </c>
      <c r="B127" s="4">
        <v>46271</v>
      </c>
      <c r="C127" t="s">
        <v>385</v>
      </c>
      <c r="D127" t="s">
        <v>1217</v>
      </c>
      <c r="E127">
        <v>1011</v>
      </c>
      <c r="F127" t="s">
        <v>40</v>
      </c>
      <c r="G127" t="s">
        <v>75</v>
      </c>
      <c r="H127" t="s">
        <v>102</v>
      </c>
      <c r="I127" s="5">
        <v>0.34822916666598758</v>
      </c>
      <c r="J127" s="5">
        <v>0.66103009258949896</v>
      </c>
      <c r="K127" s="6">
        <v>7.5072222221642733</v>
      </c>
      <c r="M127" t="s">
        <v>22</v>
      </c>
      <c r="N127" s="2">
        <v>23.5</v>
      </c>
      <c r="O127" s="2">
        <v>0</v>
      </c>
      <c r="P127" s="2">
        <v>176.41972222086042</v>
      </c>
      <c r="Q127" t="s">
        <v>1161</v>
      </c>
      <c r="R127">
        <v>1</v>
      </c>
      <c r="S127" t="s">
        <v>1235</v>
      </c>
    </row>
    <row r="128" spans="1:19">
      <c r="A128" t="s">
        <v>1287</v>
      </c>
      <c r="B128" s="4">
        <v>46271</v>
      </c>
      <c r="C128" t="s">
        <v>385</v>
      </c>
      <c r="D128" t="s">
        <v>1217</v>
      </c>
      <c r="E128">
        <v>1002</v>
      </c>
      <c r="F128" t="s">
        <v>25</v>
      </c>
      <c r="G128" t="s">
        <v>75</v>
      </c>
      <c r="H128" t="s">
        <v>102</v>
      </c>
      <c r="I128" s="5">
        <v>0.58502314814541023</v>
      </c>
      <c r="J128" s="5">
        <v>0.70901620370568708</v>
      </c>
      <c r="K128" s="6">
        <v>2.9758333334466442</v>
      </c>
      <c r="M128" t="s">
        <v>22</v>
      </c>
      <c r="N128" s="2">
        <v>23.5</v>
      </c>
      <c r="O128" s="2">
        <v>0</v>
      </c>
      <c r="P128" s="2">
        <v>69.93208333599614</v>
      </c>
      <c r="Q128" t="s">
        <v>1161</v>
      </c>
      <c r="R128">
        <v>1</v>
      </c>
      <c r="S128" t="s">
        <v>1235</v>
      </c>
    </row>
    <row r="129" spans="1:19">
      <c r="A129" t="s">
        <v>1288</v>
      </c>
      <c r="B129" s="4">
        <v>46271</v>
      </c>
      <c r="C129" t="s">
        <v>385</v>
      </c>
      <c r="D129" t="s">
        <v>1217</v>
      </c>
      <c r="E129">
        <v>1004</v>
      </c>
      <c r="F129" t="s">
        <v>29</v>
      </c>
      <c r="G129" t="s">
        <v>66</v>
      </c>
      <c r="H129" t="s">
        <v>99</v>
      </c>
      <c r="I129" s="5">
        <v>0.60222222222364508</v>
      </c>
      <c r="J129" s="5">
        <v>0.87039351851854008</v>
      </c>
      <c r="K129" s="6">
        <v>6.43611111107748</v>
      </c>
      <c r="M129" t="s">
        <v>22</v>
      </c>
      <c r="N129" s="2">
        <v>20</v>
      </c>
      <c r="O129" s="2">
        <v>0</v>
      </c>
      <c r="P129" s="2">
        <v>128.7222222215496</v>
      </c>
      <c r="Q129" t="s">
        <v>1161</v>
      </c>
      <c r="R129">
        <v>1</v>
      </c>
      <c r="S129" t="s">
        <v>1235</v>
      </c>
    </row>
    <row r="130" spans="1:19">
      <c r="A130" t="s">
        <v>1289</v>
      </c>
      <c r="B130" s="4">
        <v>46271</v>
      </c>
      <c r="C130" t="s">
        <v>385</v>
      </c>
      <c r="D130" t="s">
        <v>1217</v>
      </c>
      <c r="E130">
        <v>1011</v>
      </c>
      <c r="F130" t="s">
        <v>40</v>
      </c>
      <c r="G130" t="s">
        <v>75</v>
      </c>
      <c r="H130" t="s">
        <v>102</v>
      </c>
      <c r="I130" s="5">
        <v>0.69894675925752381</v>
      </c>
      <c r="J130" s="5">
        <v>0.85488425925723277</v>
      </c>
      <c r="K130" s="6">
        <v>3.7424999999930151</v>
      </c>
      <c r="M130" t="s">
        <v>22</v>
      </c>
      <c r="N130" s="2">
        <v>23.5</v>
      </c>
      <c r="O130" s="2">
        <v>0</v>
      </c>
      <c r="P130" s="2">
        <v>87.948749999835854</v>
      </c>
      <c r="Q130" t="s">
        <v>1161</v>
      </c>
      <c r="R130">
        <v>0</v>
      </c>
      <c r="S130" t="s">
        <v>1235</v>
      </c>
    </row>
    <row r="131" spans="1:19">
      <c r="A131" t="s">
        <v>1290</v>
      </c>
      <c r="B131" s="4">
        <v>46272</v>
      </c>
      <c r="C131" t="s">
        <v>397</v>
      </c>
      <c r="D131" t="s">
        <v>1160</v>
      </c>
      <c r="E131">
        <v>1011</v>
      </c>
      <c r="F131" t="s">
        <v>40</v>
      </c>
      <c r="G131" t="s">
        <v>75</v>
      </c>
      <c r="H131" t="s">
        <v>102</v>
      </c>
      <c r="I131" s="5">
        <v>0.36688657407648861</v>
      </c>
      <c r="J131" s="5">
        <v>0.56210648148407927</v>
      </c>
      <c r="K131" s="6">
        <v>4.6852777777821757</v>
      </c>
      <c r="M131" t="s">
        <v>22</v>
      </c>
      <c r="N131" s="2">
        <v>23.5</v>
      </c>
      <c r="O131" s="2">
        <v>0</v>
      </c>
      <c r="P131" s="2">
        <v>110.10402777788113</v>
      </c>
      <c r="Q131" t="s">
        <v>1161</v>
      </c>
      <c r="R131">
        <v>1</v>
      </c>
      <c r="S131" t="s">
        <v>1235</v>
      </c>
    </row>
    <row r="132" spans="1:19">
      <c r="A132" t="s">
        <v>1291</v>
      </c>
      <c r="B132" s="4">
        <v>46272</v>
      </c>
      <c r="C132" t="s">
        <v>397</v>
      </c>
      <c r="D132" t="s">
        <v>1160</v>
      </c>
      <c r="E132">
        <v>1004</v>
      </c>
      <c r="F132" t="s">
        <v>29</v>
      </c>
      <c r="G132" t="s">
        <v>66</v>
      </c>
      <c r="H132" t="s">
        <v>99</v>
      </c>
      <c r="I132" s="5">
        <v>0.40581018518423662</v>
      </c>
      <c r="J132" s="5">
        <v>0.53699074074393138</v>
      </c>
      <c r="K132" s="6">
        <v>3.1483333334326744</v>
      </c>
      <c r="M132" t="s">
        <v>22</v>
      </c>
      <c r="N132" s="2">
        <v>21.5</v>
      </c>
      <c r="O132" s="2">
        <v>0</v>
      </c>
      <c r="P132" s="2">
        <v>67.6891666688025</v>
      </c>
      <c r="Q132" t="s">
        <v>1161</v>
      </c>
      <c r="R132">
        <v>1</v>
      </c>
      <c r="S132" t="s">
        <v>1235</v>
      </c>
    </row>
    <row r="133" spans="1:19">
      <c r="A133" t="s">
        <v>1292</v>
      </c>
      <c r="B133" s="4">
        <v>46272</v>
      </c>
      <c r="C133" t="s">
        <v>397</v>
      </c>
      <c r="D133" t="s">
        <v>1160</v>
      </c>
      <c r="E133">
        <v>1002</v>
      </c>
      <c r="F133" t="s">
        <v>25</v>
      </c>
      <c r="G133" t="s">
        <v>75</v>
      </c>
      <c r="H133" t="s">
        <v>102</v>
      </c>
      <c r="I133" s="5">
        <v>0.54054398147854954</v>
      </c>
      <c r="J133" s="5">
        <v>0.74689814815064892</v>
      </c>
      <c r="K133" s="6">
        <v>4.9525000001303852</v>
      </c>
      <c r="M133" t="s">
        <v>22</v>
      </c>
      <c r="N133" s="2">
        <v>23.5</v>
      </c>
      <c r="O133" s="2">
        <v>0</v>
      </c>
      <c r="P133" s="2">
        <v>116.38375000306405</v>
      </c>
      <c r="Q133" t="s">
        <v>1161</v>
      </c>
      <c r="R133">
        <v>1</v>
      </c>
      <c r="S133" t="s">
        <v>1235</v>
      </c>
    </row>
    <row r="134" spans="1:19">
      <c r="A134" t="s">
        <v>1293</v>
      </c>
      <c r="B134" s="4">
        <v>46272</v>
      </c>
      <c r="C134" t="s">
        <v>397</v>
      </c>
      <c r="D134" t="s">
        <v>1160</v>
      </c>
      <c r="E134">
        <v>1011</v>
      </c>
      <c r="F134" t="s">
        <v>40</v>
      </c>
      <c r="G134" t="s">
        <v>75</v>
      </c>
      <c r="H134" t="s">
        <v>102</v>
      </c>
      <c r="I134" s="5">
        <v>0.58472222222189885</v>
      </c>
      <c r="J134" s="5">
        <v>0.7722685185217415</v>
      </c>
      <c r="K134" s="6">
        <v>4.5011111111962236</v>
      </c>
      <c r="M134" t="s">
        <v>22</v>
      </c>
      <c r="N134" s="2">
        <v>23.5</v>
      </c>
      <c r="O134" s="2">
        <v>0</v>
      </c>
      <c r="P134" s="2">
        <v>105.77611111311126</v>
      </c>
      <c r="Q134" t="s">
        <v>1161</v>
      </c>
      <c r="R134">
        <v>0</v>
      </c>
      <c r="S134" t="s">
        <v>1235</v>
      </c>
    </row>
    <row r="135" spans="1:19">
      <c r="A135" t="s">
        <v>1294</v>
      </c>
      <c r="B135" s="4">
        <v>46272</v>
      </c>
      <c r="C135" t="s">
        <v>397</v>
      </c>
      <c r="D135" t="s">
        <v>1160</v>
      </c>
      <c r="E135">
        <v>1004</v>
      </c>
      <c r="F135" t="s">
        <v>29</v>
      </c>
      <c r="G135" t="s">
        <v>66</v>
      </c>
      <c r="H135" t="s">
        <v>99</v>
      </c>
      <c r="I135" s="5">
        <v>0.60851851852203254</v>
      </c>
      <c r="J135" s="5">
        <v>0.83008101851737592</v>
      </c>
      <c r="K135" s="6">
        <v>5.3174999998882413</v>
      </c>
      <c r="M135" t="s">
        <v>22</v>
      </c>
      <c r="N135" s="2">
        <v>21.5</v>
      </c>
      <c r="O135" s="2">
        <v>0</v>
      </c>
      <c r="P135" s="2">
        <v>114.32624999759719</v>
      </c>
      <c r="Q135" t="s">
        <v>1161</v>
      </c>
      <c r="R135">
        <v>0</v>
      </c>
      <c r="S135" t="s">
        <v>1235</v>
      </c>
    </row>
    <row r="136" spans="1:19">
      <c r="A136" t="s">
        <v>1295</v>
      </c>
      <c r="B136" s="4">
        <v>46272</v>
      </c>
      <c r="C136" t="s">
        <v>397</v>
      </c>
      <c r="D136" t="s">
        <v>1160</v>
      </c>
      <c r="E136">
        <v>1001</v>
      </c>
      <c r="F136" t="s">
        <v>21</v>
      </c>
      <c r="G136" t="s">
        <v>63</v>
      </c>
      <c r="H136" t="s">
        <v>93</v>
      </c>
      <c r="I136" s="5">
        <v>0.73579861110920319</v>
      </c>
      <c r="J136" s="5">
        <v>0.76611111110833008</v>
      </c>
      <c r="K136" s="6">
        <v>0.72749999997904524</v>
      </c>
      <c r="M136" t="s">
        <v>22</v>
      </c>
      <c r="N136" s="2">
        <v>17</v>
      </c>
      <c r="O136" s="2">
        <v>0</v>
      </c>
      <c r="P136" s="2">
        <v>12.367499999643769</v>
      </c>
      <c r="Q136" t="s">
        <v>1161</v>
      </c>
      <c r="R136">
        <v>1</v>
      </c>
      <c r="S136" t="s">
        <v>1235</v>
      </c>
    </row>
    <row r="137" spans="1:19">
      <c r="A137" t="s">
        <v>1296</v>
      </c>
      <c r="B137" s="4">
        <v>46273</v>
      </c>
      <c r="C137" t="s">
        <v>136</v>
      </c>
      <c r="D137" t="s">
        <v>1160</v>
      </c>
      <c r="E137">
        <v>1011</v>
      </c>
      <c r="F137" t="s">
        <v>40</v>
      </c>
      <c r="G137" t="s">
        <v>66</v>
      </c>
      <c r="H137" t="s">
        <v>102</v>
      </c>
      <c r="I137" s="5">
        <v>0.32976851851708489</v>
      </c>
      <c r="J137" s="5">
        <v>0.51782407407154096</v>
      </c>
      <c r="K137" s="6">
        <v>4.5133333333069459</v>
      </c>
      <c r="M137" t="s">
        <v>22</v>
      </c>
      <c r="N137" s="2">
        <v>23.5</v>
      </c>
      <c r="O137" s="2">
        <v>0</v>
      </c>
      <c r="P137" s="2">
        <v>106.06333333271323</v>
      </c>
      <c r="Q137" t="s">
        <v>1161</v>
      </c>
      <c r="R137">
        <v>1</v>
      </c>
      <c r="S137" t="s">
        <v>1235</v>
      </c>
    </row>
    <row r="138" spans="1:19">
      <c r="A138" t="s">
        <v>1297</v>
      </c>
      <c r="B138" s="4">
        <v>46273</v>
      </c>
      <c r="C138" t="s">
        <v>136</v>
      </c>
      <c r="D138" t="s">
        <v>1160</v>
      </c>
      <c r="E138">
        <v>1002</v>
      </c>
      <c r="F138" t="s">
        <v>25</v>
      </c>
      <c r="G138" t="s">
        <v>75</v>
      </c>
      <c r="H138" t="s">
        <v>102</v>
      </c>
      <c r="I138" s="5">
        <v>0.35415509259473765</v>
      </c>
      <c r="J138" s="5">
        <v>0.51846064814890269</v>
      </c>
      <c r="K138" s="6">
        <v>3.9433333332999609</v>
      </c>
      <c r="M138" t="s">
        <v>22</v>
      </c>
      <c r="N138" s="2">
        <v>23.5</v>
      </c>
      <c r="O138" s="2">
        <v>0</v>
      </c>
      <c r="P138" s="2">
        <v>92.668333332549082</v>
      </c>
      <c r="Q138" t="s">
        <v>1161</v>
      </c>
      <c r="R138">
        <v>1</v>
      </c>
      <c r="S138" t="s">
        <v>1235</v>
      </c>
    </row>
    <row r="139" spans="1:19">
      <c r="A139" t="s">
        <v>1298</v>
      </c>
      <c r="B139" s="4">
        <v>46273</v>
      </c>
      <c r="C139" t="s">
        <v>136</v>
      </c>
      <c r="D139" t="s">
        <v>1160</v>
      </c>
      <c r="E139">
        <v>1006</v>
      </c>
      <c r="F139" t="s">
        <v>33</v>
      </c>
      <c r="G139" t="s">
        <v>84</v>
      </c>
      <c r="H139" t="s">
        <v>96</v>
      </c>
      <c r="I139" s="5">
        <v>0.37797453703387873</v>
      </c>
      <c r="J139" s="5">
        <v>0.71959490740846377</v>
      </c>
      <c r="K139" s="6">
        <v>8.1988888889900409</v>
      </c>
      <c r="L139" t="s">
        <v>716</v>
      </c>
      <c r="M139" t="s">
        <v>22</v>
      </c>
      <c r="N139" s="2">
        <v>14</v>
      </c>
      <c r="O139" s="2">
        <v>0</v>
      </c>
      <c r="P139" s="2">
        <v>114.78444444586057</v>
      </c>
      <c r="Q139" t="s">
        <v>1161</v>
      </c>
      <c r="R139">
        <v>1</v>
      </c>
      <c r="S139" t="s">
        <v>1235</v>
      </c>
    </row>
    <row r="140" spans="1:19">
      <c r="A140" t="s">
        <v>1299</v>
      </c>
      <c r="B140" s="4">
        <v>46273</v>
      </c>
      <c r="C140" t="s">
        <v>136</v>
      </c>
      <c r="D140" t="s">
        <v>1160</v>
      </c>
      <c r="E140">
        <v>1004</v>
      </c>
      <c r="F140" t="s">
        <v>29</v>
      </c>
      <c r="G140" t="s">
        <v>63</v>
      </c>
      <c r="H140" t="s">
        <v>99</v>
      </c>
      <c r="I140" s="5">
        <v>0.39541666666627862</v>
      </c>
      <c r="J140" s="5">
        <v>0.45353009259270038</v>
      </c>
      <c r="K140" s="6">
        <v>1.3947222222341225</v>
      </c>
      <c r="M140" t="s">
        <v>22</v>
      </c>
      <c r="N140" s="2">
        <v>21.5</v>
      </c>
      <c r="O140" s="2">
        <v>0</v>
      </c>
      <c r="P140" s="2">
        <v>29.986527778033633</v>
      </c>
      <c r="Q140" t="s">
        <v>1161</v>
      </c>
      <c r="R140">
        <v>1</v>
      </c>
      <c r="S140" t="s">
        <v>1235</v>
      </c>
    </row>
    <row r="141" spans="1:19">
      <c r="A141" t="s">
        <v>1300</v>
      </c>
      <c r="B141" s="4">
        <v>46273</v>
      </c>
      <c r="C141" t="s">
        <v>136</v>
      </c>
      <c r="D141" t="s">
        <v>1160</v>
      </c>
      <c r="E141">
        <v>1004</v>
      </c>
      <c r="F141" t="s">
        <v>29</v>
      </c>
      <c r="G141" t="s">
        <v>78</v>
      </c>
      <c r="H141" t="s">
        <v>99</v>
      </c>
      <c r="I141" s="5">
        <v>0.45428240740875481</v>
      </c>
      <c r="J141" s="5">
        <v>0.50747685185342561</v>
      </c>
      <c r="K141" s="6">
        <v>1.2766666666720994</v>
      </c>
      <c r="L141" t="s">
        <v>692</v>
      </c>
      <c r="M141" t="s">
        <v>22</v>
      </c>
      <c r="N141" s="2">
        <v>21.5</v>
      </c>
      <c r="O141" s="2">
        <v>0</v>
      </c>
      <c r="P141" s="2">
        <v>27.448333333450137</v>
      </c>
      <c r="Q141" t="s">
        <v>1161</v>
      </c>
      <c r="R141">
        <v>0</v>
      </c>
      <c r="S141" t="s">
        <v>1235</v>
      </c>
    </row>
    <row r="142" spans="1:19">
      <c r="A142" t="s">
        <v>1301</v>
      </c>
      <c r="B142" s="4">
        <v>46273</v>
      </c>
      <c r="C142" t="s">
        <v>136</v>
      </c>
      <c r="D142" t="s">
        <v>1160</v>
      </c>
      <c r="E142">
        <v>1011</v>
      </c>
      <c r="F142" t="s">
        <v>40</v>
      </c>
      <c r="G142" t="s">
        <v>66</v>
      </c>
      <c r="H142" t="s">
        <v>102</v>
      </c>
      <c r="I142" s="5">
        <v>0.53987268518540077</v>
      </c>
      <c r="J142" s="5">
        <v>0.75039351851592073</v>
      </c>
      <c r="K142" s="6">
        <v>5.0524999999324791</v>
      </c>
      <c r="M142" t="s">
        <v>22</v>
      </c>
      <c r="N142" s="2">
        <v>23.5</v>
      </c>
      <c r="O142" s="2">
        <v>0</v>
      </c>
      <c r="P142" s="2">
        <v>118.73374999841326</v>
      </c>
      <c r="Q142" t="s">
        <v>1161</v>
      </c>
      <c r="R142">
        <v>0</v>
      </c>
      <c r="S142" t="s">
        <v>1235</v>
      </c>
    </row>
    <row r="143" spans="1:19">
      <c r="A143" t="s">
        <v>1302</v>
      </c>
      <c r="B143" s="4">
        <v>46273</v>
      </c>
      <c r="C143" t="s">
        <v>136</v>
      </c>
      <c r="D143" t="s">
        <v>1160</v>
      </c>
      <c r="E143">
        <v>1002</v>
      </c>
      <c r="F143" t="s">
        <v>25</v>
      </c>
      <c r="G143" t="s">
        <v>60</v>
      </c>
      <c r="H143" t="s">
        <v>102</v>
      </c>
      <c r="I143" s="5">
        <v>0.56401620370161254</v>
      </c>
      <c r="J143" s="5">
        <v>0.74927083333022892</v>
      </c>
      <c r="K143" s="6">
        <v>4.4461111110867932</v>
      </c>
      <c r="M143" t="s">
        <v>22</v>
      </c>
      <c r="N143" s="2">
        <v>23.5</v>
      </c>
      <c r="O143" s="2">
        <v>0</v>
      </c>
      <c r="P143" s="2">
        <v>104.48361111053964</v>
      </c>
      <c r="Q143" t="s">
        <v>1161</v>
      </c>
      <c r="R143">
        <v>0</v>
      </c>
      <c r="S143" t="s">
        <v>1235</v>
      </c>
    </row>
    <row r="144" spans="1:19">
      <c r="A144" t="s">
        <v>1303</v>
      </c>
      <c r="B144" s="4">
        <v>46273</v>
      </c>
      <c r="C144" t="s">
        <v>136</v>
      </c>
      <c r="D144" t="s">
        <v>1160</v>
      </c>
      <c r="E144">
        <v>1016</v>
      </c>
      <c r="F144" t="s">
        <v>49</v>
      </c>
      <c r="G144" t="s">
        <v>60</v>
      </c>
      <c r="H144" t="s">
        <v>102</v>
      </c>
      <c r="I144" s="5">
        <v>0.5742708333345945</v>
      </c>
      <c r="J144" s="5">
        <v>0.76270833333546761</v>
      </c>
      <c r="K144" s="6">
        <v>4.5225000000209548</v>
      </c>
      <c r="M144" t="s">
        <v>22</v>
      </c>
      <c r="N144" s="2">
        <v>23.5</v>
      </c>
      <c r="O144" s="2">
        <v>0</v>
      </c>
      <c r="P144" s="2">
        <v>106.27875000049244</v>
      </c>
      <c r="Q144" t="s">
        <v>1161</v>
      </c>
      <c r="R144">
        <v>1</v>
      </c>
      <c r="S144" t="s">
        <v>1235</v>
      </c>
    </row>
    <row r="145" spans="1:19">
      <c r="A145" t="s">
        <v>1304</v>
      </c>
      <c r="B145" s="4">
        <v>46273</v>
      </c>
      <c r="C145" t="s">
        <v>136</v>
      </c>
      <c r="D145" t="s">
        <v>1160</v>
      </c>
      <c r="E145">
        <v>1015</v>
      </c>
      <c r="F145" t="s">
        <v>47</v>
      </c>
      <c r="G145" t="s">
        <v>81</v>
      </c>
      <c r="H145" t="s">
        <v>81</v>
      </c>
      <c r="I145" s="5">
        <v>0.57835648148466134</v>
      </c>
      <c r="J145" s="5">
        <v>0.74115740740671754</v>
      </c>
      <c r="K145" s="6">
        <v>3.9072222221293487</v>
      </c>
      <c r="M145" t="s">
        <v>22</v>
      </c>
      <c r="N145" s="2">
        <v>21.5</v>
      </c>
      <c r="O145" s="2">
        <v>0</v>
      </c>
      <c r="P145" s="2">
        <v>84.005277775780996</v>
      </c>
      <c r="Q145" t="s">
        <v>1161</v>
      </c>
      <c r="R145">
        <v>1</v>
      </c>
      <c r="S145" t="s">
        <v>1235</v>
      </c>
    </row>
    <row r="146" spans="1:19">
      <c r="A146" t="s">
        <v>1305</v>
      </c>
      <c r="B146" s="4">
        <v>46273</v>
      </c>
      <c r="C146" t="s">
        <v>136</v>
      </c>
      <c r="D146" t="s">
        <v>1160</v>
      </c>
      <c r="E146">
        <v>1014</v>
      </c>
      <c r="F146" t="s">
        <v>46</v>
      </c>
      <c r="G146" t="s">
        <v>69</v>
      </c>
      <c r="H146" t="s">
        <v>96</v>
      </c>
      <c r="I146" s="5">
        <v>0.58559027777664596</v>
      </c>
      <c r="J146" s="5">
        <v>0.76069444444146939</v>
      </c>
      <c r="K146" s="6">
        <v>4.2024999999557622</v>
      </c>
      <c r="L146" t="s">
        <v>722</v>
      </c>
      <c r="M146" t="s">
        <v>22</v>
      </c>
      <c r="N146" s="2">
        <v>21.5</v>
      </c>
      <c r="O146" s="2">
        <v>0</v>
      </c>
      <c r="P146" s="2">
        <v>90.353749999048887</v>
      </c>
      <c r="Q146" t="s">
        <v>1161</v>
      </c>
      <c r="R146">
        <v>1</v>
      </c>
      <c r="S146" t="s">
        <v>1235</v>
      </c>
    </row>
    <row r="147" spans="1:19">
      <c r="A147" t="s">
        <v>1306</v>
      </c>
      <c r="B147" s="4">
        <v>46273</v>
      </c>
      <c r="C147" t="s">
        <v>136</v>
      </c>
      <c r="D147" t="s">
        <v>1160</v>
      </c>
      <c r="E147">
        <v>1004</v>
      </c>
      <c r="F147" t="s">
        <v>29</v>
      </c>
      <c r="G147" t="s">
        <v>66</v>
      </c>
      <c r="H147" t="s">
        <v>99</v>
      </c>
      <c r="I147" s="5">
        <v>0.6157754629603005</v>
      </c>
      <c r="J147" s="5">
        <v>0.77673611111094942</v>
      </c>
      <c r="K147" s="6">
        <v>3.8630555556155741</v>
      </c>
      <c r="M147" t="s">
        <v>22</v>
      </c>
      <c r="N147" s="2">
        <v>21.5</v>
      </c>
      <c r="O147" s="2">
        <v>0</v>
      </c>
      <c r="P147" s="2">
        <v>83.055694445734844</v>
      </c>
      <c r="Q147" t="s">
        <v>1161</v>
      </c>
      <c r="R147">
        <v>0</v>
      </c>
      <c r="S147" t="s">
        <v>1235</v>
      </c>
    </row>
    <row r="148" spans="1:19">
      <c r="A148" t="s">
        <v>1307</v>
      </c>
      <c r="B148" s="4">
        <v>46273</v>
      </c>
      <c r="C148" t="s">
        <v>136</v>
      </c>
      <c r="D148" t="s">
        <v>1160</v>
      </c>
      <c r="E148">
        <v>1001</v>
      </c>
      <c r="F148" t="s">
        <v>21</v>
      </c>
      <c r="G148" t="s">
        <v>63</v>
      </c>
      <c r="H148" t="s">
        <v>93</v>
      </c>
      <c r="I148" s="5">
        <v>0.71143518518510973</v>
      </c>
      <c r="J148" s="5">
        <v>0.90473379629838746</v>
      </c>
      <c r="K148" s="6">
        <v>4.6391666667186655</v>
      </c>
      <c r="L148" t="s">
        <v>731</v>
      </c>
      <c r="M148" t="s">
        <v>22</v>
      </c>
      <c r="N148" s="2">
        <v>17</v>
      </c>
      <c r="O148" s="2">
        <v>0</v>
      </c>
      <c r="P148" s="2">
        <v>78.865833334217314</v>
      </c>
      <c r="Q148" t="s">
        <v>1161</v>
      </c>
      <c r="R148">
        <v>1</v>
      </c>
      <c r="S148" t="s">
        <v>1235</v>
      </c>
    </row>
    <row r="149" spans="1:19">
      <c r="A149" t="s">
        <v>1308</v>
      </c>
      <c r="B149" s="4">
        <v>46273</v>
      </c>
      <c r="C149" t="s">
        <v>136</v>
      </c>
      <c r="D149" t="s">
        <v>1160</v>
      </c>
      <c r="E149">
        <v>1006</v>
      </c>
      <c r="F149" t="s">
        <v>33</v>
      </c>
      <c r="G149" t="s">
        <v>84</v>
      </c>
      <c r="H149" t="s">
        <v>96</v>
      </c>
      <c r="I149" s="5">
        <v>0.76452546296059154</v>
      </c>
      <c r="J149" s="5">
        <v>0.90273148148116888</v>
      </c>
      <c r="K149" s="6">
        <v>3.3169444444938563</v>
      </c>
      <c r="L149" t="s">
        <v>716</v>
      </c>
      <c r="M149" t="s">
        <v>22</v>
      </c>
      <c r="N149" s="2">
        <v>14</v>
      </c>
      <c r="O149" s="2">
        <v>0</v>
      </c>
      <c r="P149" s="2">
        <v>46.437222222913988</v>
      </c>
      <c r="Q149" t="s">
        <v>1161</v>
      </c>
      <c r="R149">
        <v>0</v>
      </c>
      <c r="S149" t="s">
        <v>1235</v>
      </c>
    </row>
    <row r="150" spans="1:19">
      <c r="A150" t="s">
        <v>1309</v>
      </c>
      <c r="B150" s="4">
        <v>46273</v>
      </c>
      <c r="C150" t="s">
        <v>136</v>
      </c>
      <c r="D150" t="s">
        <v>1160</v>
      </c>
      <c r="E150">
        <v>1004</v>
      </c>
      <c r="F150" t="s">
        <v>29</v>
      </c>
      <c r="G150" t="s">
        <v>78</v>
      </c>
      <c r="H150" t="s">
        <v>99</v>
      </c>
      <c r="I150" s="5">
        <v>0.82344907407241408</v>
      </c>
      <c r="J150" s="5">
        <v>0.92396990740962792</v>
      </c>
      <c r="K150" s="6">
        <v>2.4125000000931323</v>
      </c>
      <c r="L150" t="s">
        <v>733</v>
      </c>
      <c r="M150" t="s">
        <v>22</v>
      </c>
      <c r="N150" s="2">
        <v>21.5</v>
      </c>
      <c r="O150" s="2">
        <v>0</v>
      </c>
      <c r="P150" s="2">
        <v>51.868750002002344</v>
      </c>
      <c r="Q150" t="s">
        <v>1161</v>
      </c>
      <c r="R150">
        <v>0</v>
      </c>
      <c r="S150" t="s">
        <v>1235</v>
      </c>
    </row>
    <row r="151" spans="1:19">
      <c r="A151" t="s">
        <v>1310</v>
      </c>
      <c r="B151" s="4">
        <v>46274</v>
      </c>
      <c r="C151" t="s">
        <v>153</v>
      </c>
      <c r="D151" t="s">
        <v>1160</v>
      </c>
      <c r="E151">
        <v>1001</v>
      </c>
      <c r="F151" t="s">
        <v>21</v>
      </c>
      <c r="G151" t="s">
        <v>63</v>
      </c>
      <c r="H151" t="s">
        <v>93</v>
      </c>
      <c r="I151" s="5">
        <v>0.28814814814541023</v>
      </c>
      <c r="J151" s="5">
        <v>0.66138888888963265</v>
      </c>
      <c r="K151" s="6">
        <v>8.9577777778613381</v>
      </c>
      <c r="L151" t="s">
        <v>781</v>
      </c>
      <c r="M151" t="s">
        <v>22</v>
      </c>
      <c r="N151" s="2">
        <v>17</v>
      </c>
      <c r="O151" s="2">
        <v>0</v>
      </c>
      <c r="P151" s="2">
        <v>152.28222222364275</v>
      </c>
      <c r="Q151" t="s">
        <v>1161</v>
      </c>
      <c r="R151">
        <v>1</v>
      </c>
      <c r="S151" t="s">
        <v>1235</v>
      </c>
    </row>
    <row r="152" spans="1:19">
      <c r="A152" t="s">
        <v>1311</v>
      </c>
      <c r="B152" s="4">
        <v>46274</v>
      </c>
      <c r="C152" t="s">
        <v>153</v>
      </c>
      <c r="D152" t="s">
        <v>1160</v>
      </c>
      <c r="E152">
        <v>1006</v>
      </c>
      <c r="F152" t="s">
        <v>33</v>
      </c>
      <c r="G152" t="s">
        <v>84</v>
      </c>
      <c r="H152" t="s">
        <v>96</v>
      </c>
      <c r="I152" s="5">
        <v>0.32350694444176042</v>
      </c>
      <c r="J152" s="5">
        <v>0.46075231481518131</v>
      </c>
      <c r="K152" s="6">
        <v>3.2938888889621012</v>
      </c>
      <c r="L152" t="s">
        <v>750</v>
      </c>
      <c r="M152" t="s">
        <v>22</v>
      </c>
      <c r="N152" s="2">
        <v>14</v>
      </c>
      <c r="O152" s="2">
        <v>0</v>
      </c>
      <c r="P152" s="2">
        <v>46.114444445469417</v>
      </c>
      <c r="Q152" t="s">
        <v>1161</v>
      </c>
      <c r="R152">
        <v>1</v>
      </c>
      <c r="S152" t="s">
        <v>1235</v>
      </c>
    </row>
    <row r="153" spans="1:19">
      <c r="A153" t="s">
        <v>1312</v>
      </c>
      <c r="B153" s="4">
        <v>46274</v>
      </c>
      <c r="C153" t="s">
        <v>153</v>
      </c>
      <c r="D153" t="s">
        <v>1160</v>
      </c>
      <c r="E153">
        <v>1011</v>
      </c>
      <c r="F153" t="s">
        <v>40</v>
      </c>
      <c r="G153" t="s">
        <v>66</v>
      </c>
      <c r="H153" t="s">
        <v>102</v>
      </c>
      <c r="I153" s="5">
        <v>0.330775462964084</v>
      </c>
      <c r="J153" s="5">
        <v>0.51249999999708962</v>
      </c>
      <c r="K153" s="6">
        <v>4.3613888887921348</v>
      </c>
      <c r="M153" t="s">
        <v>22</v>
      </c>
      <c r="N153" s="2">
        <v>23.5</v>
      </c>
      <c r="O153" s="2">
        <v>0</v>
      </c>
      <c r="P153" s="2">
        <v>102.49263888661517</v>
      </c>
      <c r="Q153" t="s">
        <v>1161</v>
      </c>
      <c r="R153">
        <v>1</v>
      </c>
      <c r="S153" t="s">
        <v>1235</v>
      </c>
    </row>
    <row r="154" spans="1:19">
      <c r="A154" t="s">
        <v>1313</v>
      </c>
      <c r="B154" s="4">
        <v>46274</v>
      </c>
      <c r="C154" t="s">
        <v>153</v>
      </c>
      <c r="D154" t="s">
        <v>1160</v>
      </c>
      <c r="E154">
        <v>1002</v>
      </c>
      <c r="F154" t="s">
        <v>25</v>
      </c>
      <c r="G154" t="s">
        <v>60</v>
      </c>
      <c r="H154" t="s">
        <v>102</v>
      </c>
      <c r="I154" s="5">
        <v>0.35462962962628808</v>
      </c>
      <c r="J154" s="5">
        <v>0.50950231481692754</v>
      </c>
      <c r="K154" s="6">
        <v>27.716944444575347</v>
      </c>
      <c r="M154" t="s">
        <v>22</v>
      </c>
      <c r="N154" s="2">
        <v>23.5</v>
      </c>
      <c r="O154" s="2">
        <v>0</v>
      </c>
      <c r="P154" s="2">
        <v>651.34819444752065</v>
      </c>
      <c r="Q154" t="s">
        <v>1161</v>
      </c>
      <c r="R154">
        <v>1</v>
      </c>
      <c r="S154" t="s">
        <v>1235</v>
      </c>
    </row>
    <row r="155" spans="1:19">
      <c r="A155" t="s">
        <v>1314</v>
      </c>
      <c r="B155" s="4">
        <v>46274</v>
      </c>
      <c r="C155" t="s">
        <v>153</v>
      </c>
      <c r="D155" t="s">
        <v>1160</v>
      </c>
      <c r="E155">
        <v>1016</v>
      </c>
      <c r="F155" t="s">
        <v>49</v>
      </c>
      <c r="G155" t="s">
        <v>60</v>
      </c>
      <c r="H155" t="s">
        <v>102</v>
      </c>
      <c r="I155" s="5">
        <v>0.35903935185342561</v>
      </c>
      <c r="J155" s="5">
        <v>0.54737268518510973</v>
      </c>
      <c r="K155" s="6">
        <v>4.5199999999604188</v>
      </c>
      <c r="M155" t="s">
        <v>22</v>
      </c>
      <c r="N155" s="2">
        <v>23.5</v>
      </c>
      <c r="O155" s="2">
        <v>0</v>
      </c>
      <c r="P155" s="2">
        <v>106.21999999906984</v>
      </c>
      <c r="Q155" t="s">
        <v>1161</v>
      </c>
      <c r="R155">
        <v>1</v>
      </c>
      <c r="S155" t="s">
        <v>1235</v>
      </c>
    </row>
    <row r="156" spans="1:19">
      <c r="A156" t="s">
        <v>1315</v>
      </c>
      <c r="B156" s="4">
        <v>46274</v>
      </c>
      <c r="C156" t="s">
        <v>153</v>
      </c>
      <c r="D156" t="s">
        <v>1160</v>
      </c>
      <c r="E156">
        <v>1014</v>
      </c>
      <c r="F156" t="s">
        <v>46</v>
      </c>
      <c r="G156" t="s">
        <v>69</v>
      </c>
      <c r="H156" t="s">
        <v>96</v>
      </c>
      <c r="I156" s="5">
        <v>0.39474537037312984</v>
      </c>
      <c r="J156" s="5">
        <v>0.52438657407765277</v>
      </c>
      <c r="K156" s="6">
        <v>3.1113888889085501</v>
      </c>
      <c r="L156" t="s">
        <v>761</v>
      </c>
      <c r="M156" t="s">
        <v>22</v>
      </c>
      <c r="N156" s="2">
        <v>21.5</v>
      </c>
      <c r="O156" s="2">
        <v>0</v>
      </c>
      <c r="P156" s="2">
        <v>66.894861111533828</v>
      </c>
      <c r="Q156" t="s">
        <v>1161</v>
      </c>
      <c r="R156">
        <v>1</v>
      </c>
      <c r="S156" t="s">
        <v>1235</v>
      </c>
    </row>
    <row r="157" spans="1:19">
      <c r="A157" t="s">
        <v>1316</v>
      </c>
      <c r="B157" s="4">
        <v>46274</v>
      </c>
      <c r="C157" t="s">
        <v>153</v>
      </c>
      <c r="D157" t="s">
        <v>1160</v>
      </c>
      <c r="E157">
        <v>1015</v>
      </c>
      <c r="F157" t="s">
        <v>47</v>
      </c>
      <c r="G157" t="s">
        <v>81</v>
      </c>
      <c r="H157" t="s">
        <v>81</v>
      </c>
      <c r="I157" s="5">
        <v>0.39817129629955161</v>
      </c>
      <c r="J157" s="5">
        <v>0.53960648148495238</v>
      </c>
      <c r="K157" s="6">
        <v>3.3944444444496185</v>
      </c>
      <c r="M157" t="s">
        <v>22</v>
      </c>
      <c r="N157" s="2">
        <v>21.5</v>
      </c>
      <c r="O157" s="2">
        <v>0</v>
      </c>
      <c r="P157" s="2">
        <v>72.980555555666797</v>
      </c>
      <c r="Q157" t="s">
        <v>1161</v>
      </c>
      <c r="R157">
        <v>1</v>
      </c>
      <c r="S157" t="s">
        <v>1235</v>
      </c>
    </row>
    <row r="158" spans="1:19" ht="14.25">
      <c r="A158" t="s">
        <v>1317</v>
      </c>
      <c r="B158" s="4">
        <v>46274</v>
      </c>
      <c r="C158" t="s">
        <v>153</v>
      </c>
      <c r="D158" t="s">
        <v>1160</v>
      </c>
      <c r="E158">
        <v>1010</v>
      </c>
      <c r="F158" t="s">
        <v>39</v>
      </c>
      <c r="G158" t="s">
        <v>69</v>
      </c>
      <c r="H158" t="s">
        <v>96</v>
      </c>
      <c r="I158" s="5">
        <v>0.40615740740759065</v>
      </c>
      <c r="J158" s="5">
        <v>0.54239583333401242</v>
      </c>
      <c r="K158" s="6">
        <v>3.2697222222341225</v>
      </c>
      <c r="M158" t="s">
        <v>22</v>
      </c>
      <c r="N158" s="2">
        <v>14</v>
      </c>
      <c r="O158" s="2">
        <v>0</v>
      </c>
      <c r="P158" s="2">
        <v>45.776111111277714</v>
      </c>
      <c r="Q158" t="s">
        <v>1161</v>
      </c>
      <c r="R158">
        <v>1</v>
      </c>
      <c r="S158" t="s">
        <v>1235</v>
      </c>
    </row>
    <row r="159" spans="1:19" ht="14.25">
      <c r="A159" t="s">
        <v>1318</v>
      </c>
      <c r="B159" s="4">
        <v>46274</v>
      </c>
      <c r="C159" t="s">
        <v>153</v>
      </c>
      <c r="D159" t="s">
        <v>1160</v>
      </c>
      <c r="E159">
        <v>1004</v>
      </c>
      <c r="F159" t="s">
        <v>29</v>
      </c>
      <c r="G159" t="s">
        <v>66</v>
      </c>
      <c r="H159" t="s">
        <v>99</v>
      </c>
      <c r="I159" s="5">
        <v>0.43616898148320615</v>
      </c>
      <c r="J159" s="5">
        <v>0.53394675925665069</v>
      </c>
      <c r="K159" s="6">
        <v>2.346666666562669</v>
      </c>
      <c r="M159" t="s">
        <v>22</v>
      </c>
      <c r="N159" s="2">
        <v>21.5</v>
      </c>
      <c r="O159" s="2">
        <v>0</v>
      </c>
      <c r="P159" s="2">
        <v>50.453333331097383</v>
      </c>
      <c r="Q159" t="s">
        <v>1161</v>
      </c>
      <c r="R159">
        <v>1</v>
      </c>
      <c r="S159" t="s">
        <v>1235</v>
      </c>
    </row>
    <row r="160" spans="1:19" ht="14.25">
      <c r="A160" t="s">
        <v>1319</v>
      </c>
      <c r="B160" s="4">
        <v>46274</v>
      </c>
      <c r="C160" t="s">
        <v>153</v>
      </c>
      <c r="D160" t="s">
        <v>1160</v>
      </c>
      <c r="E160">
        <v>1011</v>
      </c>
      <c r="F160" t="s">
        <v>40</v>
      </c>
      <c r="G160" t="s">
        <v>66</v>
      </c>
      <c r="H160" t="s">
        <v>102</v>
      </c>
      <c r="I160" s="5">
        <v>0.53745370370597811</v>
      </c>
      <c r="J160" s="5">
        <v>0.74648148148116888</v>
      </c>
      <c r="K160" s="6">
        <v>5.0166666666045785</v>
      </c>
      <c r="M160" t="s">
        <v>22</v>
      </c>
      <c r="N160" s="2">
        <v>23.5</v>
      </c>
      <c r="O160" s="2">
        <v>0</v>
      </c>
      <c r="P160" s="2">
        <v>117.89166666520759</v>
      </c>
      <c r="Q160" t="s">
        <v>1161</v>
      </c>
      <c r="R160">
        <v>0</v>
      </c>
      <c r="S160" t="s">
        <v>1235</v>
      </c>
    </row>
    <row r="161" spans="1:19" ht="14.25">
      <c r="A161" t="s">
        <v>1320</v>
      </c>
      <c r="B161" s="4">
        <v>46274</v>
      </c>
      <c r="C161" t="s">
        <v>153</v>
      </c>
      <c r="D161" t="s">
        <v>1160</v>
      </c>
      <c r="E161">
        <v>1014</v>
      </c>
      <c r="F161" t="s">
        <v>46</v>
      </c>
      <c r="G161" t="s">
        <v>87</v>
      </c>
      <c r="H161" t="s">
        <v>96</v>
      </c>
      <c r="I161" s="5">
        <v>0.57354166666482342</v>
      </c>
      <c r="J161" s="5">
        <v>0.7539930555576575</v>
      </c>
      <c r="K161" s="6">
        <v>4.3308333334280178</v>
      </c>
      <c r="M161" t="s">
        <v>22</v>
      </c>
      <c r="N161" s="2">
        <v>21.5</v>
      </c>
      <c r="O161" s="2">
        <v>0</v>
      </c>
      <c r="P161" s="2">
        <v>93.112916668702383</v>
      </c>
      <c r="Q161" t="s">
        <v>1161</v>
      </c>
      <c r="R161">
        <v>0</v>
      </c>
      <c r="S161" t="s">
        <v>1235</v>
      </c>
    </row>
    <row r="162" spans="1:19" ht="14.25">
      <c r="A162" t="s">
        <v>1321</v>
      </c>
      <c r="B162" s="4">
        <v>46274</v>
      </c>
      <c r="C162" t="s">
        <v>153</v>
      </c>
      <c r="D162" t="s">
        <v>1160</v>
      </c>
      <c r="E162">
        <v>1015</v>
      </c>
      <c r="F162" t="s">
        <v>47</v>
      </c>
      <c r="G162" t="s">
        <v>81</v>
      </c>
      <c r="H162" t="s">
        <v>81</v>
      </c>
      <c r="I162" s="5">
        <v>0.58043981481750961</v>
      </c>
      <c r="J162" s="5">
        <v>0.75096064814715646</v>
      </c>
      <c r="K162" s="6">
        <v>4.0924999999115244</v>
      </c>
      <c r="M162" t="s">
        <v>22</v>
      </c>
      <c r="N162" s="2">
        <v>21.5</v>
      </c>
      <c r="O162" s="2">
        <v>0</v>
      </c>
      <c r="P162" s="2">
        <v>87.988749998097774</v>
      </c>
      <c r="Q162" t="s">
        <v>1161</v>
      </c>
      <c r="R162">
        <v>0</v>
      </c>
      <c r="S162" t="s">
        <v>1235</v>
      </c>
    </row>
    <row r="163" spans="1:19" ht="14.25">
      <c r="A163" t="s">
        <v>1322</v>
      </c>
      <c r="B163" s="4">
        <v>46274</v>
      </c>
      <c r="C163" t="s">
        <v>153</v>
      </c>
      <c r="D163" t="s">
        <v>1160</v>
      </c>
      <c r="E163">
        <v>1010</v>
      </c>
      <c r="F163" t="s">
        <v>39</v>
      </c>
      <c r="G163" t="s">
        <v>69</v>
      </c>
      <c r="H163" t="s">
        <v>96</v>
      </c>
      <c r="I163" s="5">
        <v>0.59185185185197042</v>
      </c>
      <c r="J163" s="5">
        <v>0.73208333333604969</v>
      </c>
      <c r="K163" s="6">
        <v>3.3655555556179024</v>
      </c>
      <c r="M163" t="s">
        <v>22</v>
      </c>
      <c r="N163" s="2">
        <v>14</v>
      </c>
      <c r="O163" s="2">
        <v>0</v>
      </c>
      <c r="P163" s="2">
        <v>47.117777778650634</v>
      </c>
      <c r="Q163" t="s">
        <v>1161</v>
      </c>
      <c r="R163">
        <v>0</v>
      </c>
      <c r="S163" t="s">
        <v>1235</v>
      </c>
    </row>
    <row r="164" spans="1:19" ht="14.25">
      <c r="A164" t="s">
        <v>1323</v>
      </c>
      <c r="B164" s="4">
        <v>46274</v>
      </c>
      <c r="C164" t="s">
        <v>153</v>
      </c>
      <c r="D164" t="s">
        <v>1160</v>
      </c>
      <c r="E164">
        <v>1016</v>
      </c>
      <c r="F164" t="s">
        <v>49</v>
      </c>
      <c r="G164" t="s">
        <v>60</v>
      </c>
      <c r="H164" t="s">
        <v>102</v>
      </c>
      <c r="I164" s="5">
        <v>0.59344907407648861</v>
      </c>
      <c r="J164" s="5">
        <v>0.75443287037342088</v>
      </c>
      <c r="K164" s="6">
        <v>3.8636111111263745</v>
      </c>
      <c r="M164" t="s">
        <v>22</v>
      </c>
      <c r="N164" s="2">
        <v>23.5</v>
      </c>
      <c r="O164" s="2">
        <v>0</v>
      </c>
      <c r="P164" s="2">
        <v>90.7948611114698</v>
      </c>
      <c r="Q164" t="s">
        <v>1161</v>
      </c>
      <c r="R164">
        <v>0</v>
      </c>
      <c r="S164" t="s">
        <v>1235</v>
      </c>
    </row>
    <row r="165" spans="1:19" ht="14.25">
      <c r="A165" t="s">
        <v>1324</v>
      </c>
      <c r="B165" s="4">
        <v>46274</v>
      </c>
      <c r="C165" t="s">
        <v>153</v>
      </c>
      <c r="D165" t="s">
        <v>1160</v>
      </c>
      <c r="E165">
        <v>1006</v>
      </c>
      <c r="F165" t="s">
        <v>33</v>
      </c>
      <c r="G165" t="s">
        <v>84</v>
      </c>
      <c r="H165" t="s">
        <v>96</v>
      </c>
      <c r="I165" s="5">
        <v>0.61162037037138361</v>
      </c>
      <c r="J165" s="5">
        <v>0.94646990740875481</v>
      </c>
      <c r="K165" s="6">
        <v>8.0363888888969086</v>
      </c>
      <c r="L165" t="s">
        <v>798</v>
      </c>
      <c r="M165" t="s">
        <v>22</v>
      </c>
      <c r="N165" s="2">
        <v>14</v>
      </c>
      <c r="O165" s="2">
        <v>0</v>
      </c>
      <c r="P165" s="2">
        <v>112.50944444455672</v>
      </c>
      <c r="Q165" t="s">
        <v>1161</v>
      </c>
      <c r="R165">
        <v>0</v>
      </c>
      <c r="S165" t="s">
        <v>1235</v>
      </c>
    </row>
    <row r="166" spans="1:19" ht="14.25">
      <c r="A166" t="s">
        <v>1325</v>
      </c>
      <c r="B166" s="4">
        <v>46274</v>
      </c>
      <c r="C166" t="s">
        <v>153</v>
      </c>
      <c r="D166" t="s">
        <v>1160</v>
      </c>
      <c r="E166">
        <v>1004</v>
      </c>
      <c r="F166" t="s">
        <v>29</v>
      </c>
      <c r="G166" t="s">
        <v>78</v>
      </c>
      <c r="H166" t="s">
        <v>99</v>
      </c>
      <c r="I166" s="5">
        <v>0.6209722222192795</v>
      </c>
      <c r="J166" s="5">
        <v>0.81351851851650281</v>
      </c>
      <c r="K166" s="6">
        <v>4.6211111111333594</v>
      </c>
      <c r="L166" t="s">
        <v>794</v>
      </c>
      <c r="M166" t="s">
        <v>22</v>
      </c>
      <c r="N166" s="2">
        <v>21.5</v>
      </c>
      <c r="O166" s="2">
        <v>0</v>
      </c>
      <c r="P166" s="2">
        <v>99.353888889367227</v>
      </c>
      <c r="Q166" t="s">
        <v>1161</v>
      </c>
      <c r="R166">
        <v>0</v>
      </c>
      <c r="S166" t="s">
        <v>1235</v>
      </c>
    </row>
    <row r="167" spans="1:19" ht="14.25">
      <c r="A167" t="s">
        <v>1326</v>
      </c>
      <c r="B167" s="4">
        <v>46274</v>
      </c>
      <c r="C167" t="s">
        <v>153</v>
      </c>
      <c r="D167" t="s">
        <v>1160</v>
      </c>
      <c r="E167">
        <v>1001</v>
      </c>
      <c r="F167" t="s">
        <v>21</v>
      </c>
      <c r="G167" t="s">
        <v>63</v>
      </c>
      <c r="H167" t="s">
        <v>93</v>
      </c>
      <c r="I167" s="5">
        <v>0.68672453703766223</v>
      </c>
      <c r="J167" s="5">
        <v>0.81259259259240935</v>
      </c>
      <c r="K167" s="6">
        <v>3.0208333333139308</v>
      </c>
      <c r="M167" t="s">
        <v>22</v>
      </c>
      <c r="N167" s="2">
        <v>17</v>
      </c>
      <c r="O167" s="2">
        <v>0</v>
      </c>
      <c r="P167" s="2">
        <v>51.354166666336823</v>
      </c>
      <c r="Q167" t="s">
        <v>1161</v>
      </c>
      <c r="R167">
        <v>0</v>
      </c>
      <c r="S167" t="s">
        <v>1235</v>
      </c>
    </row>
    <row r="168" spans="1:19" ht="14.25">
      <c r="A168" t="s">
        <v>1327</v>
      </c>
      <c r="B168" s="4">
        <v>46275</v>
      </c>
      <c r="C168" t="s">
        <v>214</v>
      </c>
      <c r="D168" t="s">
        <v>1160</v>
      </c>
      <c r="E168">
        <v>1011</v>
      </c>
      <c r="F168" t="s">
        <v>40</v>
      </c>
      <c r="G168" t="s">
        <v>69</v>
      </c>
      <c r="H168" t="s">
        <v>102</v>
      </c>
      <c r="I168" s="5">
        <v>0.32431712962716119</v>
      </c>
      <c r="J168" s="5">
        <v>0.61828703703940846</v>
      </c>
      <c r="K168" s="6">
        <v>79.055277777893934</v>
      </c>
      <c r="M168" t="s">
        <v>22</v>
      </c>
      <c r="N168" s="2">
        <v>23.5</v>
      </c>
      <c r="O168" s="2">
        <v>0</v>
      </c>
      <c r="P168" s="2">
        <v>1857.7990277805075</v>
      </c>
      <c r="Q168" t="s">
        <v>1161</v>
      </c>
      <c r="R168">
        <v>1</v>
      </c>
      <c r="S168" t="s">
        <v>1235</v>
      </c>
    </row>
    <row r="169" spans="1:19" ht="14.25">
      <c r="A169" t="s">
        <v>1328</v>
      </c>
      <c r="B169" s="4">
        <v>46275</v>
      </c>
      <c r="C169" t="s">
        <v>214</v>
      </c>
      <c r="D169" t="s">
        <v>1160</v>
      </c>
      <c r="E169">
        <v>1001</v>
      </c>
      <c r="F169" t="s">
        <v>21</v>
      </c>
      <c r="G169" t="s">
        <v>63</v>
      </c>
      <c r="H169" t="s">
        <v>93</v>
      </c>
      <c r="I169" s="5">
        <v>0.34967592592875008</v>
      </c>
      <c r="J169" s="5">
        <v>0.75278935184906004</v>
      </c>
      <c r="K169" s="6">
        <v>9.6747222220874391</v>
      </c>
      <c r="M169" t="s">
        <v>22</v>
      </c>
      <c r="N169" s="2">
        <v>17</v>
      </c>
      <c r="O169" s="2">
        <v>0</v>
      </c>
      <c r="P169" s="2">
        <v>164.47027777548647</v>
      </c>
      <c r="Q169" t="s">
        <v>1161</v>
      </c>
      <c r="R169">
        <v>1</v>
      </c>
      <c r="S169" t="s">
        <v>1235</v>
      </c>
    </row>
    <row r="170" spans="1:19" ht="14.25">
      <c r="A170" t="s">
        <v>1329</v>
      </c>
      <c r="B170" s="4">
        <v>46275</v>
      </c>
      <c r="C170" t="s">
        <v>214</v>
      </c>
      <c r="D170" t="s">
        <v>1160</v>
      </c>
      <c r="E170">
        <v>1016</v>
      </c>
      <c r="F170" t="s">
        <v>49</v>
      </c>
      <c r="G170" t="s">
        <v>60</v>
      </c>
      <c r="H170" t="s">
        <v>102</v>
      </c>
      <c r="I170" s="5">
        <v>0.36653935185313458</v>
      </c>
      <c r="J170" s="5">
        <v>0.53096064814599231</v>
      </c>
      <c r="K170" s="6">
        <v>3.9461111110285856</v>
      </c>
      <c r="M170" t="s">
        <v>22</v>
      </c>
      <c r="N170" s="2">
        <v>23.5</v>
      </c>
      <c r="O170" s="2">
        <v>0</v>
      </c>
      <c r="P170" s="2">
        <v>92.733611109171761</v>
      </c>
      <c r="Q170" t="s">
        <v>1161</v>
      </c>
      <c r="R170">
        <v>1</v>
      </c>
      <c r="S170" t="s">
        <v>1235</v>
      </c>
    </row>
    <row r="171" spans="1:19" ht="14.25">
      <c r="A171" t="s">
        <v>1330</v>
      </c>
      <c r="B171" s="4">
        <v>46275</v>
      </c>
      <c r="C171" t="s">
        <v>214</v>
      </c>
      <c r="D171" t="s">
        <v>1160</v>
      </c>
      <c r="E171">
        <v>1015</v>
      </c>
      <c r="F171" t="s">
        <v>47</v>
      </c>
      <c r="G171" t="s">
        <v>81</v>
      </c>
      <c r="H171" t="s">
        <v>81</v>
      </c>
      <c r="I171" s="5">
        <v>0.36747685185400769</v>
      </c>
      <c r="J171" s="5">
        <v>0.75175925925577758</v>
      </c>
      <c r="K171" s="6">
        <v>9.2227777776424773</v>
      </c>
      <c r="M171" t="s">
        <v>22</v>
      </c>
      <c r="N171" s="2">
        <v>21.5</v>
      </c>
      <c r="O171" s="2">
        <v>0</v>
      </c>
      <c r="P171" s="2">
        <v>198.28972221931326</v>
      </c>
      <c r="Q171" t="s">
        <v>1161</v>
      </c>
      <c r="R171">
        <v>1</v>
      </c>
      <c r="S171" t="s">
        <v>1235</v>
      </c>
    </row>
    <row r="172" spans="1:19" ht="14.25">
      <c r="A172" t="s">
        <v>1331</v>
      </c>
      <c r="B172" s="4">
        <v>46275</v>
      </c>
      <c r="C172" t="s">
        <v>214</v>
      </c>
      <c r="D172" t="s">
        <v>1160</v>
      </c>
      <c r="E172">
        <v>1006</v>
      </c>
      <c r="F172" t="s">
        <v>33</v>
      </c>
      <c r="G172" t="s">
        <v>84</v>
      </c>
      <c r="H172" t="s">
        <v>96</v>
      </c>
      <c r="I172" s="5">
        <v>0.38334490740817273</v>
      </c>
      <c r="J172" s="5">
        <v>0.35202546296204673</v>
      </c>
      <c r="K172" s="6">
        <v>23.248333333292976</v>
      </c>
      <c r="M172" t="s">
        <v>22</v>
      </c>
      <c r="N172" s="2">
        <v>14</v>
      </c>
      <c r="O172" s="2">
        <v>0</v>
      </c>
      <c r="P172" s="2">
        <v>325.47666666610166</v>
      </c>
      <c r="Q172" t="s">
        <v>1161</v>
      </c>
      <c r="R172">
        <v>1</v>
      </c>
      <c r="S172" t="s">
        <v>1235</v>
      </c>
    </row>
    <row r="173" spans="1:19" ht="14.25">
      <c r="A173" t="s">
        <v>1332</v>
      </c>
      <c r="B173" s="4">
        <v>46275</v>
      </c>
      <c r="C173" t="s">
        <v>214</v>
      </c>
      <c r="D173" t="s">
        <v>1160</v>
      </c>
      <c r="E173">
        <v>1010</v>
      </c>
      <c r="F173" t="s">
        <v>39</v>
      </c>
      <c r="G173" t="s">
        <v>69</v>
      </c>
      <c r="H173" t="s">
        <v>96</v>
      </c>
      <c r="I173" s="5">
        <v>0.38813657407445135</v>
      </c>
      <c r="J173" s="5">
        <v>0.92653935185080627</v>
      </c>
      <c r="K173" s="6">
        <v>12.921666666632518</v>
      </c>
      <c r="M173" t="s">
        <v>22</v>
      </c>
      <c r="N173" s="2">
        <v>14</v>
      </c>
      <c r="O173" s="2">
        <v>0</v>
      </c>
      <c r="P173" s="2">
        <v>180.90333333285525</v>
      </c>
      <c r="Q173" t="s">
        <v>1161</v>
      </c>
      <c r="R173">
        <v>1</v>
      </c>
      <c r="S173" t="s">
        <v>1235</v>
      </c>
    </row>
    <row r="174" spans="1:19" ht="14.25">
      <c r="A174" t="s">
        <v>1333</v>
      </c>
      <c r="B174" s="4">
        <v>46275</v>
      </c>
      <c r="C174" t="s">
        <v>214</v>
      </c>
      <c r="D174" t="s">
        <v>1160</v>
      </c>
      <c r="E174">
        <v>1014</v>
      </c>
      <c r="F174" t="s">
        <v>46</v>
      </c>
      <c r="G174" t="s">
        <v>87</v>
      </c>
      <c r="H174" t="s">
        <v>96</v>
      </c>
      <c r="I174" s="5">
        <v>0.41173611111298669</v>
      </c>
      <c r="J174" s="5">
        <v>0.53767361111385981</v>
      </c>
      <c r="K174" s="6">
        <v>3.0225000000209548</v>
      </c>
      <c r="M174" t="s">
        <v>22</v>
      </c>
      <c r="N174" s="2">
        <v>21.5</v>
      </c>
      <c r="O174" s="2">
        <v>0</v>
      </c>
      <c r="P174" s="2">
        <v>64.983750000450527</v>
      </c>
      <c r="Q174" t="s">
        <v>1161</v>
      </c>
      <c r="R174">
        <v>1</v>
      </c>
      <c r="S174" t="s">
        <v>1235</v>
      </c>
    </row>
    <row r="175" spans="1:19" ht="14.25">
      <c r="A175" t="s">
        <v>1334</v>
      </c>
      <c r="B175" s="4">
        <v>46275</v>
      </c>
      <c r="C175" t="s">
        <v>214</v>
      </c>
      <c r="D175" t="s">
        <v>1160</v>
      </c>
      <c r="E175">
        <v>1004</v>
      </c>
      <c r="F175" t="s">
        <v>29</v>
      </c>
      <c r="G175" t="s">
        <v>66</v>
      </c>
      <c r="H175" t="s">
        <v>99</v>
      </c>
      <c r="I175" s="5">
        <v>0.41796296296524815</v>
      </c>
      <c r="J175" s="5">
        <v>0.77179398148291511</v>
      </c>
      <c r="K175" s="6">
        <v>8.4919444444240071</v>
      </c>
      <c r="M175" t="s">
        <v>22</v>
      </c>
      <c r="N175" s="2">
        <v>21.5</v>
      </c>
      <c r="O175" s="2">
        <v>0</v>
      </c>
      <c r="P175" s="2">
        <v>182.57680555511615</v>
      </c>
      <c r="Q175" t="s">
        <v>1161</v>
      </c>
      <c r="R175">
        <v>1</v>
      </c>
      <c r="S175" t="s">
        <v>1235</v>
      </c>
    </row>
    <row r="176" spans="1:19" ht="14.25">
      <c r="A176" t="s">
        <v>1335</v>
      </c>
      <c r="B176" s="4">
        <v>46275</v>
      </c>
      <c r="C176" t="s">
        <v>214</v>
      </c>
      <c r="D176" t="s">
        <v>1160</v>
      </c>
      <c r="E176">
        <v>1002</v>
      </c>
      <c r="F176" t="s">
        <v>25</v>
      </c>
      <c r="G176" t="s">
        <v>60</v>
      </c>
      <c r="H176" t="s">
        <v>102</v>
      </c>
      <c r="I176" s="5">
        <v>0.55501157407707069</v>
      </c>
      <c r="J176" s="5">
        <v>0.50310185184935108</v>
      </c>
      <c r="K176" s="6">
        <v>166.75416666653473</v>
      </c>
      <c r="M176" t="s">
        <v>22</v>
      </c>
      <c r="N176" s="2">
        <v>23.5</v>
      </c>
      <c r="O176" s="2">
        <v>0</v>
      </c>
      <c r="P176" s="2">
        <v>3918.7229166635661</v>
      </c>
      <c r="Q176" t="s">
        <v>1161</v>
      </c>
      <c r="R176">
        <v>1</v>
      </c>
      <c r="S176" t="s">
        <v>1235</v>
      </c>
    </row>
    <row r="177" spans="1:19" ht="14.25">
      <c r="A177" t="s">
        <v>1336</v>
      </c>
      <c r="B177" s="4">
        <v>46275</v>
      </c>
      <c r="C177" t="s">
        <v>214</v>
      </c>
      <c r="D177" t="s">
        <v>1160</v>
      </c>
      <c r="E177">
        <v>1016</v>
      </c>
      <c r="F177" t="s">
        <v>49</v>
      </c>
      <c r="G177" t="s">
        <v>60</v>
      </c>
      <c r="H177" t="s">
        <v>102</v>
      </c>
      <c r="I177" s="5">
        <v>0.56003472222073469</v>
      </c>
      <c r="J177" s="5">
        <v>0.75401620370394085</v>
      </c>
      <c r="K177" s="6">
        <v>4.6555555555969477</v>
      </c>
      <c r="M177" t="s">
        <v>22</v>
      </c>
      <c r="N177" s="2">
        <v>23.5</v>
      </c>
      <c r="O177" s="2">
        <v>0</v>
      </c>
      <c r="P177" s="2">
        <v>109.40555555652827</v>
      </c>
      <c r="Q177" t="s">
        <v>1161</v>
      </c>
      <c r="R177">
        <v>0</v>
      </c>
      <c r="S177" t="s">
        <v>1235</v>
      </c>
    </row>
    <row r="178" spans="1:19" ht="14.25">
      <c r="A178" t="s">
        <v>1337</v>
      </c>
      <c r="B178" s="4">
        <v>46275</v>
      </c>
      <c r="C178" t="s">
        <v>214</v>
      </c>
      <c r="D178" t="s">
        <v>1160</v>
      </c>
      <c r="E178">
        <v>1004</v>
      </c>
      <c r="F178" t="s">
        <v>29</v>
      </c>
      <c r="G178" t="s">
        <v>78</v>
      </c>
      <c r="H178" t="s">
        <v>99</v>
      </c>
      <c r="I178" s="5">
        <v>0.77231481481430819</v>
      </c>
      <c r="J178" s="5">
        <v>0.54626157407619758</v>
      </c>
      <c r="K178" s="6">
        <v>18.574722222285345</v>
      </c>
      <c r="L178" t="s">
        <v>884</v>
      </c>
      <c r="M178" t="s">
        <v>22</v>
      </c>
      <c r="N178" s="2">
        <v>21.5</v>
      </c>
      <c r="O178" s="2">
        <v>0</v>
      </c>
      <c r="P178" s="2">
        <v>399.35652777913492</v>
      </c>
      <c r="Q178" t="s">
        <v>1161</v>
      </c>
      <c r="R178">
        <v>1</v>
      </c>
      <c r="S178" t="s">
        <v>1235</v>
      </c>
    </row>
    <row r="179" spans="1:19" ht="14.25">
      <c r="A179" t="s">
        <v>1338</v>
      </c>
      <c r="B179" s="4">
        <v>46276</v>
      </c>
      <c r="C179" t="s">
        <v>287</v>
      </c>
      <c r="D179" t="s">
        <v>1160</v>
      </c>
      <c r="E179">
        <v>1006</v>
      </c>
      <c r="F179" t="s">
        <v>33</v>
      </c>
      <c r="G179" t="s">
        <v>84</v>
      </c>
      <c r="H179" t="s">
        <v>96</v>
      </c>
      <c r="I179" s="5">
        <v>0.35259259259328246</v>
      </c>
      <c r="J179" s="5">
        <v>0.59152777777489973</v>
      </c>
      <c r="K179" s="6">
        <v>5.7344444443588145</v>
      </c>
      <c r="M179" t="s">
        <v>22</v>
      </c>
      <c r="N179" s="2">
        <v>14</v>
      </c>
      <c r="O179" s="2">
        <v>0</v>
      </c>
      <c r="P179" s="2">
        <v>80.282222221023403</v>
      </c>
      <c r="Q179" t="s">
        <v>1161</v>
      </c>
      <c r="R179">
        <v>1</v>
      </c>
      <c r="S179" t="s">
        <v>1235</v>
      </c>
    </row>
    <row r="180" spans="1:19" ht="14.25">
      <c r="A180" t="s">
        <v>1339</v>
      </c>
      <c r="B180" s="4">
        <v>46276</v>
      </c>
      <c r="C180" t="s">
        <v>287</v>
      </c>
      <c r="D180" t="s">
        <v>1160</v>
      </c>
      <c r="E180">
        <v>1015</v>
      </c>
      <c r="F180" t="s">
        <v>47</v>
      </c>
      <c r="G180" t="s">
        <v>81</v>
      </c>
      <c r="H180" t="s">
        <v>81</v>
      </c>
      <c r="I180" s="5">
        <v>0.36857638888614019</v>
      </c>
      <c r="J180" s="5"/>
      <c r="K180" s="6"/>
      <c r="M180" t="s">
        <v>22</v>
      </c>
      <c r="N180" s="2">
        <v>21.5</v>
      </c>
      <c r="O180" s="2">
        <v>0</v>
      </c>
      <c r="P180" s="2"/>
      <c r="Q180" t="s">
        <v>1169</v>
      </c>
      <c r="S180" t="s">
        <v>1235</v>
      </c>
    </row>
    <row r="181" spans="1:19" ht="14.25">
      <c r="A181" t="s">
        <v>1340</v>
      </c>
      <c r="B181" s="4">
        <v>46276</v>
      </c>
      <c r="C181" t="s">
        <v>287</v>
      </c>
      <c r="D181" t="s">
        <v>1160</v>
      </c>
      <c r="E181">
        <v>1017</v>
      </c>
      <c r="F181" t="s">
        <v>50</v>
      </c>
      <c r="G181" t="s">
        <v>87</v>
      </c>
      <c r="H181" t="s">
        <v>96</v>
      </c>
      <c r="I181" s="5">
        <v>0.38258101851533866</v>
      </c>
      <c r="J181" s="5">
        <v>0.56888888889079681</v>
      </c>
      <c r="K181" s="6">
        <v>4.4713888890109956</v>
      </c>
      <c r="M181" t="s">
        <v>22</v>
      </c>
      <c r="N181" s="2">
        <v>14</v>
      </c>
      <c r="O181" s="2">
        <v>0</v>
      </c>
      <c r="P181" s="2">
        <v>62.599444446153939</v>
      </c>
      <c r="Q181" t="s">
        <v>1161</v>
      </c>
      <c r="R181">
        <v>1</v>
      </c>
      <c r="S181" t="s">
        <v>1235</v>
      </c>
    </row>
    <row r="182" spans="1:19" ht="14.25">
      <c r="A182" t="s">
        <v>1341</v>
      </c>
      <c r="B182" s="4">
        <v>46276</v>
      </c>
      <c r="C182" t="s">
        <v>287</v>
      </c>
      <c r="D182" t="s">
        <v>1160</v>
      </c>
      <c r="E182">
        <v>1014</v>
      </c>
      <c r="F182" t="s">
        <v>46</v>
      </c>
      <c r="G182" t="s">
        <v>87</v>
      </c>
      <c r="H182" t="s">
        <v>96</v>
      </c>
      <c r="I182" s="5">
        <v>0.40569444444554392</v>
      </c>
      <c r="J182" s="5">
        <v>0.53166666666948004</v>
      </c>
      <c r="K182" s="6">
        <v>3.0233333333744667</v>
      </c>
      <c r="M182" t="s">
        <v>22</v>
      </c>
      <c r="N182" s="2">
        <v>21.5</v>
      </c>
      <c r="O182" s="2">
        <v>0</v>
      </c>
      <c r="P182" s="2">
        <v>65.001666667551035</v>
      </c>
      <c r="Q182" t="s">
        <v>1161</v>
      </c>
      <c r="R182">
        <v>1</v>
      </c>
      <c r="S182" t="s">
        <v>1235</v>
      </c>
    </row>
    <row r="183" spans="1:19" ht="14.25">
      <c r="A183" t="s">
        <v>1342</v>
      </c>
      <c r="B183" s="4">
        <v>46276</v>
      </c>
      <c r="C183" t="s">
        <v>287</v>
      </c>
      <c r="D183" t="s">
        <v>1160</v>
      </c>
      <c r="E183">
        <v>1016</v>
      </c>
      <c r="F183" t="s">
        <v>49</v>
      </c>
      <c r="G183" t="s">
        <v>60</v>
      </c>
      <c r="H183" t="s">
        <v>102</v>
      </c>
      <c r="I183" s="5">
        <v>0.41304398148349719</v>
      </c>
      <c r="J183" s="5">
        <v>0.55940972222015262</v>
      </c>
      <c r="K183" s="6">
        <v>3.5127777776797302</v>
      </c>
      <c r="M183" t="s">
        <v>22</v>
      </c>
      <c r="N183" s="2">
        <v>23.5</v>
      </c>
      <c r="O183" s="2">
        <v>0</v>
      </c>
      <c r="P183" s="2">
        <v>82.55027777547366</v>
      </c>
      <c r="Q183" t="s">
        <v>1161</v>
      </c>
      <c r="R183">
        <v>1</v>
      </c>
      <c r="S183" t="s">
        <v>1235</v>
      </c>
    </row>
    <row r="184" spans="1:19" ht="14.25">
      <c r="A184" t="s">
        <v>1343</v>
      </c>
      <c r="B184" s="4">
        <v>46276</v>
      </c>
      <c r="C184" t="s">
        <v>287</v>
      </c>
      <c r="D184" t="s">
        <v>1160</v>
      </c>
      <c r="E184">
        <v>1005</v>
      </c>
      <c r="F184" t="s">
        <v>31</v>
      </c>
      <c r="G184" t="s">
        <v>87</v>
      </c>
      <c r="H184" t="s">
        <v>96</v>
      </c>
      <c r="I184" s="5">
        <v>0.42136574073811062</v>
      </c>
      <c r="J184" s="5">
        <v>0.58754629629402189</v>
      </c>
      <c r="K184" s="6">
        <v>3.9883333333418705</v>
      </c>
      <c r="M184" t="s">
        <v>22</v>
      </c>
      <c r="N184" s="2">
        <v>13</v>
      </c>
      <c r="O184" s="2">
        <v>0</v>
      </c>
      <c r="P184" s="2">
        <v>51.848333333444316</v>
      </c>
      <c r="Q184" t="s">
        <v>1161</v>
      </c>
      <c r="R184">
        <v>1</v>
      </c>
      <c r="S184" t="s">
        <v>1235</v>
      </c>
    </row>
    <row r="185" spans="1:19" ht="14.25">
      <c r="A185" t="s">
        <v>1344</v>
      </c>
      <c r="B185" s="4">
        <v>46276</v>
      </c>
      <c r="C185" t="s">
        <v>287</v>
      </c>
      <c r="D185" t="s">
        <v>1160</v>
      </c>
      <c r="E185">
        <v>1014</v>
      </c>
      <c r="F185" t="s">
        <v>46</v>
      </c>
      <c r="G185" t="s">
        <v>87</v>
      </c>
      <c r="H185" t="s">
        <v>96</v>
      </c>
      <c r="I185" s="5">
        <v>0.580671296294895</v>
      </c>
      <c r="J185" s="5">
        <v>0.74939814814570127</v>
      </c>
      <c r="K185" s="6">
        <v>4.0494444444193505</v>
      </c>
      <c r="M185" t="s">
        <v>22</v>
      </c>
      <c r="N185" s="2">
        <v>21.5</v>
      </c>
      <c r="O185" s="2">
        <v>0</v>
      </c>
      <c r="P185" s="2">
        <v>87.063055555016035</v>
      </c>
      <c r="Q185" t="s">
        <v>1161</v>
      </c>
      <c r="R185">
        <v>0</v>
      </c>
      <c r="S185" t="s">
        <v>1235</v>
      </c>
    </row>
    <row r="186" spans="1:19" ht="14.25">
      <c r="A186" t="s">
        <v>1345</v>
      </c>
      <c r="B186" s="4">
        <v>46276</v>
      </c>
      <c r="C186" t="s">
        <v>287</v>
      </c>
      <c r="D186" t="s">
        <v>1160</v>
      </c>
      <c r="E186">
        <v>1017</v>
      </c>
      <c r="F186" t="s">
        <v>50</v>
      </c>
      <c r="G186" t="s">
        <v>87</v>
      </c>
      <c r="H186" t="s">
        <v>96</v>
      </c>
      <c r="I186" s="5">
        <v>0.59565972222480923</v>
      </c>
      <c r="J186" s="5">
        <v>0.83805555555591127</v>
      </c>
      <c r="K186" s="6">
        <v>5.817499999946449</v>
      </c>
      <c r="M186" t="s">
        <v>22</v>
      </c>
      <c r="N186" s="2">
        <v>14</v>
      </c>
      <c r="O186" s="2">
        <v>0</v>
      </c>
      <c r="P186" s="2">
        <v>81.444999999250285</v>
      </c>
      <c r="Q186" t="s">
        <v>1161</v>
      </c>
      <c r="R186">
        <v>0</v>
      </c>
      <c r="S186" t="s">
        <v>1235</v>
      </c>
    </row>
    <row r="187" spans="1:19" ht="14.25">
      <c r="A187" t="s">
        <v>1346</v>
      </c>
      <c r="B187" s="4">
        <v>46276</v>
      </c>
      <c r="C187" t="s">
        <v>287</v>
      </c>
      <c r="D187" t="s">
        <v>1160</v>
      </c>
      <c r="E187">
        <v>1010</v>
      </c>
      <c r="F187" t="s">
        <v>39</v>
      </c>
      <c r="G187" t="s">
        <v>69</v>
      </c>
      <c r="H187" t="s">
        <v>96</v>
      </c>
      <c r="I187" s="5">
        <v>0.60053240740671754</v>
      </c>
      <c r="J187" s="5"/>
      <c r="K187" s="6"/>
      <c r="M187" t="s">
        <v>22</v>
      </c>
      <c r="N187" s="2">
        <v>14</v>
      </c>
      <c r="O187" s="2">
        <v>0</v>
      </c>
      <c r="P187" s="2"/>
      <c r="Q187" t="s">
        <v>1169</v>
      </c>
      <c r="S187" t="s">
        <v>1235</v>
      </c>
    </row>
    <row r="188" spans="1:19" ht="14.25">
      <c r="A188" t="s">
        <v>1347</v>
      </c>
      <c r="B188" s="4">
        <v>46276</v>
      </c>
      <c r="C188" t="s">
        <v>287</v>
      </c>
      <c r="D188" t="s">
        <v>1160</v>
      </c>
      <c r="E188">
        <v>1016</v>
      </c>
      <c r="F188" t="s">
        <v>49</v>
      </c>
      <c r="G188" t="s">
        <v>60</v>
      </c>
      <c r="H188" t="s">
        <v>102</v>
      </c>
      <c r="I188" s="5">
        <v>0.611990740741021</v>
      </c>
      <c r="J188" s="5"/>
      <c r="K188" s="6"/>
      <c r="M188" t="s">
        <v>22</v>
      </c>
      <c r="N188" s="2">
        <v>23.5</v>
      </c>
      <c r="O188" s="2">
        <v>0</v>
      </c>
      <c r="P188" s="2"/>
      <c r="Q188" t="s">
        <v>1169</v>
      </c>
      <c r="S188" t="s">
        <v>1235</v>
      </c>
    </row>
    <row r="189" spans="1:19" ht="14.25">
      <c r="A189" t="s">
        <v>1348</v>
      </c>
      <c r="B189" s="4">
        <v>46276</v>
      </c>
      <c r="C189" t="s">
        <v>287</v>
      </c>
      <c r="D189" t="s">
        <v>1160</v>
      </c>
      <c r="E189">
        <v>1004</v>
      </c>
      <c r="F189" t="s">
        <v>29</v>
      </c>
      <c r="G189" t="s">
        <v>69</v>
      </c>
      <c r="H189" t="s">
        <v>99</v>
      </c>
      <c r="I189" s="5">
        <v>0.62780092592583969</v>
      </c>
      <c r="J189" s="5">
        <v>0.87843750000320142</v>
      </c>
      <c r="K189" s="6">
        <v>6.0152777778566815</v>
      </c>
      <c r="M189" t="s">
        <v>22</v>
      </c>
      <c r="N189" s="2">
        <v>21.5</v>
      </c>
      <c r="O189" s="2">
        <v>0</v>
      </c>
      <c r="P189" s="2">
        <v>129.32847222391865</v>
      </c>
      <c r="Q189" t="s">
        <v>1161</v>
      </c>
      <c r="R189">
        <v>1</v>
      </c>
      <c r="S189" t="s">
        <v>1235</v>
      </c>
    </row>
    <row r="190" spans="1:19" ht="14.25">
      <c r="A190" t="s">
        <v>1349</v>
      </c>
      <c r="B190" s="4">
        <v>46276</v>
      </c>
      <c r="C190" t="s">
        <v>287</v>
      </c>
      <c r="D190" t="s">
        <v>1160</v>
      </c>
      <c r="E190">
        <v>1005</v>
      </c>
      <c r="F190" t="s">
        <v>31</v>
      </c>
      <c r="G190" t="s">
        <v>87</v>
      </c>
      <c r="H190" t="s">
        <v>96</v>
      </c>
      <c r="I190" s="5">
        <v>0.630162037035916</v>
      </c>
      <c r="J190" s="5"/>
      <c r="K190" s="6"/>
      <c r="M190" t="s">
        <v>22</v>
      </c>
      <c r="N190" s="2">
        <v>13</v>
      </c>
      <c r="O190" s="2">
        <v>0</v>
      </c>
      <c r="P190" s="2"/>
      <c r="Q190" t="s">
        <v>1169</v>
      </c>
      <c r="S190" t="s">
        <v>1235</v>
      </c>
    </row>
    <row r="191" spans="1:19" ht="14.25">
      <c r="A191" t="s">
        <v>1350</v>
      </c>
      <c r="B191" s="4">
        <v>46276</v>
      </c>
      <c r="C191" t="s">
        <v>287</v>
      </c>
      <c r="D191" t="s">
        <v>1160</v>
      </c>
      <c r="E191">
        <v>1006</v>
      </c>
      <c r="F191" t="s">
        <v>33</v>
      </c>
      <c r="G191" t="s">
        <v>84</v>
      </c>
      <c r="H191" t="s">
        <v>96</v>
      </c>
      <c r="I191" s="5">
        <v>0.6342245370396995</v>
      </c>
      <c r="J191" s="5">
        <v>0.776053240741021</v>
      </c>
      <c r="K191" s="6">
        <v>3.403888888831716</v>
      </c>
      <c r="M191" t="s">
        <v>22</v>
      </c>
      <c r="N191" s="2">
        <v>14</v>
      </c>
      <c r="O191" s="2">
        <v>0</v>
      </c>
      <c r="P191" s="2">
        <v>47.654444443644024</v>
      </c>
      <c r="Q191" t="s">
        <v>1161</v>
      </c>
      <c r="R191">
        <v>0</v>
      </c>
      <c r="S191" t="s">
        <v>1235</v>
      </c>
    </row>
    <row r="192" spans="1:19" ht="14.25">
      <c r="A192" t="s">
        <v>1351</v>
      </c>
      <c r="B192" s="4">
        <v>46276</v>
      </c>
      <c r="C192" t="s">
        <v>287</v>
      </c>
      <c r="D192" t="s">
        <v>1160</v>
      </c>
      <c r="E192">
        <v>1001</v>
      </c>
      <c r="F192" t="s">
        <v>21</v>
      </c>
      <c r="G192" t="s">
        <v>63</v>
      </c>
      <c r="H192" t="s">
        <v>93</v>
      </c>
      <c r="I192" s="5">
        <v>0.69989583333517658</v>
      </c>
      <c r="J192" s="5">
        <v>0.90296296296583023</v>
      </c>
      <c r="K192" s="6">
        <v>4.8736111111356877</v>
      </c>
      <c r="M192" t="s">
        <v>22</v>
      </c>
      <c r="N192" s="2">
        <v>17</v>
      </c>
      <c r="O192" s="2">
        <v>0</v>
      </c>
      <c r="P192" s="2">
        <v>82.851388889306691</v>
      </c>
      <c r="Q192" t="s">
        <v>1161</v>
      </c>
      <c r="R192">
        <v>1</v>
      </c>
      <c r="S192" t="s">
        <v>1235</v>
      </c>
    </row>
    <row r="193" spans="1:19" ht="14.25">
      <c r="A193" t="s">
        <v>1352</v>
      </c>
      <c r="B193" s="4">
        <v>46276</v>
      </c>
      <c r="C193" t="s">
        <v>287</v>
      </c>
      <c r="D193" t="s">
        <v>1160</v>
      </c>
      <c r="E193">
        <v>1006</v>
      </c>
      <c r="F193" t="s">
        <v>33</v>
      </c>
      <c r="G193" t="s">
        <v>84</v>
      </c>
      <c r="H193" t="s">
        <v>96</v>
      </c>
      <c r="I193" s="5">
        <v>0.87293981481343508</v>
      </c>
      <c r="J193" s="5">
        <v>0.96930555555445608</v>
      </c>
      <c r="K193" s="6">
        <v>2.312777777784504</v>
      </c>
      <c r="M193" t="s">
        <v>22</v>
      </c>
      <c r="N193" s="2">
        <v>14</v>
      </c>
      <c r="O193" s="2">
        <v>0</v>
      </c>
      <c r="P193" s="2">
        <v>32.378888888983056</v>
      </c>
      <c r="Q193" t="s">
        <v>1161</v>
      </c>
      <c r="R193">
        <v>0</v>
      </c>
      <c r="S193" t="s">
        <v>1235</v>
      </c>
    </row>
    <row r="194" spans="1:19" ht="14.25">
      <c r="A194" t="s">
        <v>1353</v>
      </c>
      <c r="B194" s="4">
        <v>46277</v>
      </c>
      <c r="C194" t="s">
        <v>357</v>
      </c>
      <c r="D194" t="s">
        <v>1217</v>
      </c>
      <c r="E194">
        <v>1017</v>
      </c>
      <c r="F194" t="s">
        <v>50</v>
      </c>
      <c r="G194" t="s">
        <v>87</v>
      </c>
      <c r="H194" t="s">
        <v>96</v>
      </c>
      <c r="I194" s="5">
        <v>0.38633101851883112</v>
      </c>
      <c r="J194" s="5">
        <v>0.79271990740380716</v>
      </c>
      <c r="K194" s="6">
        <v>9.753333333239425</v>
      </c>
      <c r="M194" t="s">
        <v>22</v>
      </c>
      <c r="N194" s="2">
        <v>17</v>
      </c>
      <c r="O194" s="2">
        <v>0</v>
      </c>
      <c r="P194" s="2">
        <v>165.80666666507022</v>
      </c>
      <c r="Q194" t="s">
        <v>1161</v>
      </c>
      <c r="R194">
        <v>1</v>
      </c>
      <c r="S194" t="s">
        <v>1235</v>
      </c>
    </row>
    <row r="195" spans="1:19" ht="14.25">
      <c r="A195" t="s">
        <v>1354</v>
      </c>
      <c r="B195" s="4">
        <v>46279</v>
      </c>
      <c r="C195" t="s">
        <v>397</v>
      </c>
      <c r="D195" t="s">
        <v>1160</v>
      </c>
      <c r="E195">
        <v>1011</v>
      </c>
      <c r="F195" t="s">
        <v>40</v>
      </c>
      <c r="G195" t="s">
        <v>69</v>
      </c>
      <c r="H195" t="s">
        <v>102</v>
      </c>
      <c r="I195" s="5">
        <v>0.34337962963036261</v>
      </c>
      <c r="J195" s="5">
        <v>0.49910879629896954</v>
      </c>
      <c r="K195" s="6">
        <v>3.7375000000465661</v>
      </c>
      <c r="M195" t="s">
        <v>22</v>
      </c>
      <c r="N195" s="2">
        <v>23.5</v>
      </c>
      <c r="O195" s="2">
        <v>0</v>
      </c>
      <c r="P195" s="2">
        <v>87.831250001094304</v>
      </c>
      <c r="Q195" t="s">
        <v>1161</v>
      </c>
      <c r="R195">
        <v>1</v>
      </c>
      <c r="S195" t="s">
        <v>1235</v>
      </c>
    </row>
    <row r="196" spans="1:19" ht="14.25">
      <c r="A196" t="s">
        <v>1355</v>
      </c>
      <c r="B196" s="4">
        <v>46279</v>
      </c>
      <c r="C196" t="s">
        <v>397</v>
      </c>
      <c r="D196" t="s">
        <v>1160</v>
      </c>
      <c r="E196">
        <v>1009</v>
      </c>
      <c r="F196" t="s">
        <v>38</v>
      </c>
      <c r="G196" t="s">
        <v>87</v>
      </c>
      <c r="H196" t="s">
        <v>96</v>
      </c>
      <c r="I196" s="5">
        <v>0.39930555555474712</v>
      </c>
      <c r="J196" s="5"/>
      <c r="K196" s="6"/>
      <c r="M196" t="s">
        <v>22</v>
      </c>
      <c r="N196" s="2">
        <v>14</v>
      </c>
      <c r="O196" s="2">
        <v>0</v>
      </c>
      <c r="P196" s="2"/>
      <c r="Q196" t="s">
        <v>1169</v>
      </c>
      <c r="S196" t="s">
        <v>1235</v>
      </c>
    </row>
    <row r="197" spans="1:19" ht="14.25">
      <c r="A197" t="s">
        <v>1356</v>
      </c>
      <c r="B197" s="4">
        <v>46279</v>
      </c>
      <c r="C197" t="s">
        <v>397</v>
      </c>
      <c r="D197" t="s">
        <v>1160</v>
      </c>
      <c r="E197">
        <v>1011</v>
      </c>
      <c r="F197" t="s">
        <v>40</v>
      </c>
      <c r="G197" t="s">
        <v>69</v>
      </c>
      <c r="H197" t="s">
        <v>102</v>
      </c>
      <c r="I197" s="5">
        <v>0.53646990740526235</v>
      </c>
      <c r="J197" s="5">
        <v>0.75217592592525762</v>
      </c>
      <c r="K197" s="6">
        <v>5.1769444444798864</v>
      </c>
      <c r="M197" t="s">
        <v>22</v>
      </c>
      <c r="N197" s="2">
        <v>23.5</v>
      </c>
      <c r="O197" s="2">
        <v>0</v>
      </c>
      <c r="P197" s="2">
        <v>121.65819444527733</v>
      </c>
      <c r="Q197" t="s">
        <v>1161</v>
      </c>
      <c r="R197">
        <v>0</v>
      </c>
      <c r="S197" t="s">
        <v>1235</v>
      </c>
    </row>
    <row r="198" spans="1:19" ht="14.25">
      <c r="A198" t="s">
        <v>1357</v>
      </c>
      <c r="B198" s="4">
        <v>46280</v>
      </c>
      <c r="C198" t="s">
        <v>136</v>
      </c>
      <c r="D198" t="s">
        <v>1160</v>
      </c>
      <c r="E198">
        <v>1011</v>
      </c>
      <c r="F198" t="s">
        <v>40</v>
      </c>
      <c r="G198" t="s">
        <v>66</v>
      </c>
      <c r="H198" t="s">
        <v>102</v>
      </c>
      <c r="I198" s="5">
        <v>0.34061342592758592</v>
      </c>
      <c r="J198" s="5">
        <v>0.51263888888934162</v>
      </c>
      <c r="K198" s="6">
        <v>4.1286111110821366</v>
      </c>
      <c r="M198" t="s">
        <v>22</v>
      </c>
      <c r="N198" s="2">
        <v>23.5</v>
      </c>
      <c r="O198" s="2">
        <v>0</v>
      </c>
      <c r="P198" s="2">
        <v>97.022361110430211</v>
      </c>
      <c r="Q198" t="s">
        <v>1161</v>
      </c>
      <c r="R198">
        <v>1</v>
      </c>
      <c r="S198" t="s">
        <v>1235</v>
      </c>
    </row>
    <row r="199" spans="1:19" ht="14.25">
      <c r="A199" t="s">
        <v>1358</v>
      </c>
      <c r="B199" s="4">
        <v>46281</v>
      </c>
      <c r="C199" t="s">
        <v>153</v>
      </c>
      <c r="D199" t="s">
        <v>1160</v>
      </c>
      <c r="E199">
        <v>1011</v>
      </c>
      <c r="F199" t="s">
        <v>40</v>
      </c>
      <c r="G199" t="s">
        <v>66</v>
      </c>
      <c r="H199" t="s">
        <v>102</v>
      </c>
      <c r="I199" s="5">
        <v>0.33133101851854008</v>
      </c>
      <c r="J199" s="5">
        <v>0.74574074074189411</v>
      </c>
      <c r="K199" s="6">
        <v>9.9458333333604969</v>
      </c>
      <c r="M199" t="s">
        <v>22</v>
      </c>
      <c r="N199" s="2">
        <v>23.5</v>
      </c>
      <c r="O199" s="2">
        <v>0</v>
      </c>
      <c r="P199" s="2">
        <v>233.72708333397168</v>
      </c>
      <c r="Q199" t="s">
        <v>1161</v>
      </c>
      <c r="R199">
        <v>1</v>
      </c>
      <c r="S199" t="s">
        <v>1235</v>
      </c>
    </row>
    <row r="200" spans="1:19" ht="14.25">
      <c r="A200" t="s">
        <v>1359</v>
      </c>
      <c r="B200" s="4">
        <v>46282</v>
      </c>
      <c r="C200" t="s">
        <v>214</v>
      </c>
      <c r="D200" t="s">
        <v>1160</v>
      </c>
      <c r="E200">
        <v>1011</v>
      </c>
      <c r="F200" t="s">
        <v>40</v>
      </c>
      <c r="G200" t="s">
        <v>66</v>
      </c>
      <c r="H200" t="s">
        <v>102</v>
      </c>
      <c r="I200" s="5">
        <v>0.33814814814832062</v>
      </c>
      <c r="J200" s="5">
        <v>0.85612268518161727</v>
      </c>
      <c r="K200" s="6">
        <v>12.43138888879912</v>
      </c>
      <c r="M200" t="s">
        <v>22</v>
      </c>
      <c r="N200" s="2">
        <v>23.5</v>
      </c>
      <c r="O200" s="2">
        <v>0</v>
      </c>
      <c r="P200" s="2">
        <v>292.13763888677931</v>
      </c>
      <c r="Q200" t="s">
        <v>1161</v>
      </c>
      <c r="R200">
        <v>1</v>
      </c>
      <c r="S200" t="s">
        <v>1235</v>
      </c>
    </row>
    <row r="201" spans="1:19" ht="14.25">
      <c r="A201" t="s">
        <v>1360</v>
      </c>
      <c r="B201" s="4">
        <v>46282</v>
      </c>
      <c r="C201" t="s">
        <v>214</v>
      </c>
      <c r="D201" t="s">
        <v>1160</v>
      </c>
      <c r="E201">
        <v>1002</v>
      </c>
      <c r="F201" t="s">
        <v>25</v>
      </c>
      <c r="G201" t="s">
        <v>75</v>
      </c>
      <c r="H201" t="s">
        <v>102</v>
      </c>
      <c r="I201" s="5">
        <v>0.55282407407503342</v>
      </c>
      <c r="J201" s="5">
        <v>0.747349537035916</v>
      </c>
      <c r="K201" s="6">
        <v>4.6686111110611819</v>
      </c>
      <c r="M201" t="s">
        <v>22</v>
      </c>
      <c r="N201" s="2">
        <v>23.5</v>
      </c>
      <c r="O201" s="2">
        <v>0</v>
      </c>
      <c r="P201" s="2">
        <v>109.71236110993777</v>
      </c>
      <c r="Q201" t="s">
        <v>1161</v>
      </c>
      <c r="R201">
        <v>1</v>
      </c>
      <c r="S201" t="s">
        <v>1235</v>
      </c>
    </row>
    <row r="202" spans="1:19" ht="14.25">
      <c r="A202" t="s">
        <v>1361</v>
      </c>
      <c r="B202" s="4">
        <v>46283</v>
      </c>
      <c r="C202" t="s">
        <v>287</v>
      </c>
      <c r="D202" t="s">
        <v>1160</v>
      </c>
      <c r="E202">
        <v>1002</v>
      </c>
      <c r="F202" t="s">
        <v>25</v>
      </c>
      <c r="G202" t="s">
        <v>75</v>
      </c>
      <c r="H202" t="s">
        <v>102</v>
      </c>
      <c r="I202" s="5">
        <v>0.31225694444583496</v>
      </c>
      <c r="J202" s="5">
        <v>0.51211805555794854</v>
      </c>
      <c r="K202" s="6">
        <v>4.7966666666907258</v>
      </c>
      <c r="M202" t="s">
        <v>22</v>
      </c>
      <c r="N202" s="2">
        <v>23.5</v>
      </c>
      <c r="O202" s="2">
        <v>0</v>
      </c>
      <c r="P202" s="2">
        <v>112.72166666723206</v>
      </c>
      <c r="Q202" t="s">
        <v>1161</v>
      </c>
      <c r="R202">
        <v>1</v>
      </c>
      <c r="S202" t="s">
        <v>1235</v>
      </c>
    </row>
    <row r="203" spans="1:19" ht="14.25">
      <c r="A203" t="s">
        <v>1362</v>
      </c>
      <c r="B203" s="4">
        <v>46283</v>
      </c>
      <c r="C203" t="s">
        <v>287</v>
      </c>
      <c r="D203" t="s">
        <v>1160</v>
      </c>
      <c r="E203">
        <v>1011</v>
      </c>
      <c r="F203" t="s">
        <v>40</v>
      </c>
      <c r="G203" t="s">
        <v>66</v>
      </c>
      <c r="H203" t="s">
        <v>102</v>
      </c>
      <c r="I203" s="5">
        <v>0.33554398148407927</v>
      </c>
      <c r="J203" s="5">
        <v>0.50755787036905531</v>
      </c>
      <c r="K203" s="6">
        <v>4.128333333239425</v>
      </c>
      <c r="M203" t="s">
        <v>22</v>
      </c>
      <c r="N203" s="2">
        <v>23.5</v>
      </c>
      <c r="O203" s="2">
        <v>0</v>
      </c>
      <c r="P203" s="2">
        <v>97.015833331126487</v>
      </c>
      <c r="Q203" t="s">
        <v>1161</v>
      </c>
      <c r="R203">
        <v>1</v>
      </c>
      <c r="S203" t="s">
        <v>1235</v>
      </c>
    </row>
    <row r="204" spans="1:19" ht="14.25">
      <c r="A204" t="s">
        <v>1363</v>
      </c>
      <c r="B204" s="4">
        <v>46283</v>
      </c>
      <c r="C204" t="s">
        <v>287</v>
      </c>
      <c r="D204" t="s">
        <v>1160</v>
      </c>
      <c r="E204">
        <v>1002</v>
      </c>
      <c r="F204" t="s">
        <v>25</v>
      </c>
      <c r="G204" t="s">
        <v>60</v>
      </c>
      <c r="H204" t="s">
        <v>102</v>
      </c>
      <c r="I204" s="5">
        <v>0.5507986111115315</v>
      </c>
      <c r="J204" s="5">
        <v>0.708425925928168</v>
      </c>
      <c r="K204" s="6">
        <v>3.783055555599276</v>
      </c>
      <c r="M204" t="s">
        <v>22</v>
      </c>
      <c r="N204" s="2">
        <v>23.5</v>
      </c>
      <c r="O204" s="2">
        <v>0</v>
      </c>
      <c r="P204" s="2">
        <v>88.901805556582985</v>
      </c>
      <c r="Q204" t="s">
        <v>1161</v>
      </c>
      <c r="R204">
        <v>0</v>
      </c>
      <c r="S204" t="s">
        <v>1235</v>
      </c>
    </row>
    <row r="205" spans="1:19" ht="14.25">
      <c r="A205" t="s">
        <v>1364</v>
      </c>
      <c r="B205" s="4">
        <v>46283</v>
      </c>
      <c r="C205" t="s">
        <v>287</v>
      </c>
      <c r="D205" t="s">
        <v>1160</v>
      </c>
      <c r="E205">
        <v>1011</v>
      </c>
      <c r="F205" t="s">
        <v>40</v>
      </c>
      <c r="G205" t="s">
        <v>66</v>
      </c>
      <c r="H205" t="s">
        <v>102</v>
      </c>
      <c r="I205" s="5">
        <v>0.55611111110920319</v>
      </c>
      <c r="J205" s="5">
        <v>0.50407407407328719</v>
      </c>
      <c r="K205" s="6">
        <v>70.751111111138016</v>
      </c>
      <c r="M205" t="s">
        <v>22</v>
      </c>
      <c r="N205" s="2">
        <v>23.5</v>
      </c>
      <c r="O205" s="2">
        <v>0</v>
      </c>
      <c r="P205" s="2">
        <v>1662.6511111117434</v>
      </c>
      <c r="Q205" t="s">
        <v>1161</v>
      </c>
      <c r="R205">
        <v>1</v>
      </c>
      <c r="S205" t="s">
        <v>1235</v>
      </c>
    </row>
    <row r="206" spans="1:19" ht="14.25">
      <c r="A206" t="s">
        <v>1365</v>
      </c>
      <c r="B206" s="4">
        <v>46284</v>
      </c>
      <c r="C206" t="s">
        <v>357</v>
      </c>
      <c r="D206" t="s">
        <v>1217</v>
      </c>
      <c r="E206">
        <v>1002</v>
      </c>
      <c r="F206" t="s">
        <v>25</v>
      </c>
      <c r="G206" t="s">
        <v>75</v>
      </c>
      <c r="H206" t="s">
        <v>102</v>
      </c>
      <c r="I206" s="5">
        <v>0.59400462963094469</v>
      </c>
      <c r="J206" s="5">
        <v>0.67712962962832535</v>
      </c>
      <c r="K206" s="6">
        <v>1.9949999999371357</v>
      </c>
      <c r="M206" t="s">
        <v>22</v>
      </c>
      <c r="N206" s="2">
        <v>23.5</v>
      </c>
      <c r="O206" s="2">
        <v>0</v>
      </c>
      <c r="P206" s="2">
        <v>46.88249999852269</v>
      </c>
      <c r="Q206" t="s">
        <v>1161</v>
      </c>
      <c r="R206">
        <v>1</v>
      </c>
      <c r="S206" t="s">
        <v>1235</v>
      </c>
    </row>
    <row r="207" spans="1:19" ht="14.25">
      <c r="A207" t="s">
        <v>1366</v>
      </c>
      <c r="B207" s="4">
        <v>46286</v>
      </c>
      <c r="C207" t="s">
        <v>397</v>
      </c>
      <c r="D207" t="s">
        <v>1160</v>
      </c>
      <c r="E207">
        <v>1002</v>
      </c>
      <c r="F207" t="s">
        <v>25</v>
      </c>
      <c r="G207" t="s">
        <v>75</v>
      </c>
      <c r="H207" t="s">
        <v>102</v>
      </c>
      <c r="I207" s="5">
        <v>0.34487268518569181</v>
      </c>
      <c r="J207" s="5">
        <v>0.51094907407241408</v>
      </c>
      <c r="K207" s="6">
        <v>3.9858333332813345</v>
      </c>
      <c r="M207" t="s">
        <v>22</v>
      </c>
      <c r="N207" s="2">
        <v>23.5</v>
      </c>
      <c r="O207" s="2">
        <v>0</v>
      </c>
      <c r="P207" s="2">
        <v>93.667083332111361</v>
      </c>
      <c r="Q207" t="s">
        <v>1161</v>
      </c>
      <c r="R207">
        <v>1</v>
      </c>
      <c r="S207" t="s">
        <v>1235</v>
      </c>
    </row>
    <row r="208" spans="1:19" ht="14.25">
      <c r="A208" t="s">
        <v>1367</v>
      </c>
      <c r="B208" s="4">
        <v>46286</v>
      </c>
      <c r="C208" t="s">
        <v>397</v>
      </c>
      <c r="D208" t="s">
        <v>1160</v>
      </c>
      <c r="E208">
        <v>1011</v>
      </c>
      <c r="F208" t="s">
        <v>40</v>
      </c>
      <c r="G208" t="s">
        <v>66</v>
      </c>
      <c r="H208" t="s">
        <v>102</v>
      </c>
      <c r="I208" s="5">
        <v>0.53722222222131677</v>
      </c>
      <c r="J208" s="5">
        <v>0.74868055555270985</v>
      </c>
      <c r="K208" s="6">
        <v>29.074999999953434</v>
      </c>
      <c r="M208" t="s">
        <v>22</v>
      </c>
      <c r="N208" s="2">
        <v>23.5</v>
      </c>
      <c r="O208" s="2">
        <v>0</v>
      </c>
      <c r="P208" s="2">
        <v>683.2624999989057</v>
      </c>
      <c r="Q208" t="s">
        <v>1161</v>
      </c>
      <c r="R208">
        <v>1</v>
      </c>
      <c r="S208" t="s">
        <v>1235</v>
      </c>
    </row>
    <row r="209" spans="1:19" ht="14.25">
      <c r="A209" t="s">
        <v>1368</v>
      </c>
      <c r="B209" s="4">
        <v>46286</v>
      </c>
      <c r="C209" t="s">
        <v>397</v>
      </c>
      <c r="D209" t="s">
        <v>1160</v>
      </c>
      <c r="E209">
        <v>1002</v>
      </c>
      <c r="F209" t="s">
        <v>25</v>
      </c>
      <c r="G209" t="s">
        <v>66</v>
      </c>
      <c r="H209" t="s">
        <v>102</v>
      </c>
      <c r="I209" s="5">
        <v>0.55280092592875008</v>
      </c>
      <c r="J209" s="5">
        <v>0.7461111111115315</v>
      </c>
      <c r="K209" s="6">
        <v>4.6394444443867542</v>
      </c>
      <c r="M209" t="s">
        <v>22</v>
      </c>
      <c r="N209" s="2">
        <v>23.5</v>
      </c>
      <c r="O209" s="2">
        <v>0</v>
      </c>
      <c r="P209" s="2">
        <v>109.02694444308872</v>
      </c>
      <c r="Q209" t="s">
        <v>1161</v>
      </c>
      <c r="R209">
        <v>0</v>
      </c>
      <c r="S209" t="s">
        <v>1235</v>
      </c>
    </row>
    <row r="210" spans="1:19" ht="14.25">
      <c r="A210" t="s">
        <v>1369</v>
      </c>
      <c r="B210" s="4">
        <v>46287</v>
      </c>
      <c r="C210" t="s">
        <v>136</v>
      </c>
      <c r="D210" t="s">
        <v>1160</v>
      </c>
      <c r="E210">
        <v>1002</v>
      </c>
      <c r="F210" t="s">
        <v>25</v>
      </c>
      <c r="G210" t="s">
        <v>75</v>
      </c>
      <c r="H210" t="s">
        <v>102</v>
      </c>
      <c r="I210" s="5">
        <v>0.37957175925839692</v>
      </c>
      <c r="J210" s="5">
        <v>0.51136574074189411</v>
      </c>
      <c r="K210" s="6">
        <v>3.1630555556039326</v>
      </c>
      <c r="M210" t="s">
        <v>22</v>
      </c>
      <c r="N210" s="2">
        <v>23.5</v>
      </c>
      <c r="O210" s="2">
        <v>0</v>
      </c>
      <c r="P210" s="2">
        <v>74.331805556692416</v>
      </c>
      <c r="Q210" t="s">
        <v>1161</v>
      </c>
      <c r="R210">
        <v>1</v>
      </c>
      <c r="S210" t="s">
        <v>1235</v>
      </c>
    </row>
    <row r="211" spans="1:19" ht="14.25">
      <c r="A211" t="s">
        <v>1370</v>
      </c>
      <c r="B211" s="4">
        <v>46287</v>
      </c>
      <c r="C211" t="s">
        <v>136</v>
      </c>
      <c r="D211" t="s">
        <v>1160</v>
      </c>
      <c r="E211">
        <v>1002</v>
      </c>
      <c r="F211" t="s">
        <v>25</v>
      </c>
      <c r="G211" t="s">
        <v>75</v>
      </c>
      <c r="H211" t="s">
        <v>102</v>
      </c>
      <c r="I211" s="5">
        <v>0.55972222222044365</v>
      </c>
      <c r="J211" s="5">
        <v>0.74774305555911269</v>
      </c>
      <c r="K211" s="6">
        <v>4.5125000001280569</v>
      </c>
      <c r="M211" t="s">
        <v>22</v>
      </c>
      <c r="N211" s="2">
        <v>23.5</v>
      </c>
      <c r="O211" s="2">
        <v>0</v>
      </c>
      <c r="P211" s="2">
        <v>106.04375000300934</v>
      </c>
      <c r="Q211" t="s">
        <v>1161</v>
      </c>
      <c r="R211">
        <v>0</v>
      </c>
      <c r="S211" t="s">
        <v>1235</v>
      </c>
    </row>
    <row r="212" spans="1:19" ht="14.25">
      <c r="A212" t="s">
        <v>1371</v>
      </c>
      <c r="B212" s="4">
        <v>46288</v>
      </c>
      <c r="C212" t="s">
        <v>153</v>
      </c>
      <c r="D212" t="s">
        <v>1160</v>
      </c>
      <c r="E212">
        <v>1011</v>
      </c>
      <c r="F212" t="s">
        <v>40</v>
      </c>
      <c r="G212" t="s">
        <v>66</v>
      </c>
      <c r="H212" t="s">
        <v>102</v>
      </c>
      <c r="I212" s="5">
        <v>0.33519675926072523</v>
      </c>
      <c r="J212" s="5">
        <v>0.51619212963123573</v>
      </c>
      <c r="K212" s="6">
        <v>4.343888888892252</v>
      </c>
      <c r="M212" t="s">
        <v>22</v>
      </c>
      <c r="N212" s="2">
        <v>23.5</v>
      </c>
      <c r="O212" s="2">
        <v>0</v>
      </c>
      <c r="P212" s="2">
        <v>102.08138888896792</v>
      </c>
      <c r="Q212" t="s">
        <v>1161</v>
      </c>
      <c r="R212">
        <v>1</v>
      </c>
      <c r="S212" t="s">
        <v>1235</v>
      </c>
    </row>
    <row r="213" spans="1:19" ht="14.25">
      <c r="A213" t="s">
        <v>1372</v>
      </c>
      <c r="B213" s="4">
        <v>46288</v>
      </c>
      <c r="C213" t="s">
        <v>153</v>
      </c>
      <c r="D213" t="s">
        <v>1160</v>
      </c>
      <c r="E213">
        <v>1002</v>
      </c>
      <c r="F213" t="s">
        <v>25</v>
      </c>
      <c r="G213" t="s">
        <v>60</v>
      </c>
      <c r="H213" t="s">
        <v>102</v>
      </c>
      <c r="I213" s="5">
        <v>0.37010416666453239</v>
      </c>
      <c r="J213" s="5">
        <v>0.49106481481430819</v>
      </c>
      <c r="K213" s="6">
        <v>2.9030555555946194</v>
      </c>
      <c r="M213" t="s">
        <v>22</v>
      </c>
      <c r="N213" s="2">
        <v>23.5</v>
      </c>
      <c r="O213" s="2">
        <v>0</v>
      </c>
      <c r="P213" s="2">
        <v>68.221805556473555</v>
      </c>
      <c r="Q213" t="s">
        <v>1161</v>
      </c>
      <c r="R213">
        <v>1</v>
      </c>
      <c r="S213" t="s">
        <v>1235</v>
      </c>
    </row>
    <row r="214" spans="1:19" ht="14.25">
      <c r="A214" t="s">
        <v>1373</v>
      </c>
      <c r="B214" s="4">
        <v>46288</v>
      </c>
      <c r="C214" t="s">
        <v>153</v>
      </c>
      <c r="D214" t="s">
        <v>1160</v>
      </c>
      <c r="E214">
        <v>1011</v>
      </c>
      <c r="F214" t="s">
        <v>40</v>
      </c>
      <c r="G214" t="s">
        <v>66</v>
      </c>
      <c r="H214" t="s">
        <v>102</v>
      </c>
      <c r="I214" s="5">
        <v>0.536550925928168</v>
      </c>
      <c r="J214" s="5">
        <v>0.7512384259243845</v>
      </c>
      <c r="K214" s="6">
        <v>5.152499999909196</v>
      </c>
      <c r="M214" t="s">
        <v>22</v>
      </c>
      <c r="N214" s="2">
        <v>23.5</v>
      </c>
      <c r="O214" s="2">
        <v>0</v>
      </c>
      <c r="P214" s="2">
        <v>121.08374999786611</v>
      </c>
      <c r="Q214" t="s">
        <v>1161</v>
      </c>
      <c r="R214">
        <v>0</v>
      </c>
      <c r="S214" t="s">
        <v>1235</v>
      </c>
    </row>
    <row r="215" spans="1:19" ht="14.25">
      <c r="A215" t="s">
        <v>1374</v>
      </c>
      <c r="B215" s="4">
        <v>46288</v>
      </c>
      <c r="C215" t="s">
        <v>153</v>
      </c>
      <c r="D215" t="s">
        <v>1160</v>
      </c>
      <c r="E215">
        <v>1002</v>
      </c>
      <c r="F215" t="s">
        <v>25</v>
      </c>
      <c r="G215" t="s">
        <v>60</v>
      </c>
      <c r="H215" t="s">
        <v>102</v>
      </c>
      <c r="I215" s="5">
        <v>0.54269675925752381</v>
      </c>
      <c r="J215" s="5">
        <v>0.74712962962803431</v>
      </c>
      <c r="K215" s="6">
        <v>4.906388888892252</v>
      </c>
      <c r="M215" t="s">
        <v>22</v>
      </c>
      <c r="N215" s="2">
        <v>23.5</v>
      </c>
      <c r="O215" s="2">
        <v>0</v>
      </c>
      <c r="P215" s="2">
        <v>115.30013888896792</v>
      </c>
      <c r="Q215" t="s">
        <v>1161</v>
      </c>
      <c r="R215">
        <v>0</v>
      </c>
      <c r="S215" t="s">
        <v>1235</v>
      </c>
    </row>
    <row r="216" spans="1:19" ht="14.25">
      <c r="A216" t="s">
        <v>1375</v>
      </c>
      <c r="B216" s="4">
        <v>46289</v>
      </c>
      <c r="C216" t="s">
        <v>214</v>
      </c>
      <c r="D216" t="s">
        <v>1160</v>
      </c>
      <c r="E216">
        <v>1011</v>
      </c>
      <c r="F216" t="s">
        <v>40</v>
      </c>
      <c r="G216" t="s">
        <v>66</v>
      </c>
      <c r="H216" t="s">
        <v>102</v>
      </c>
      <c r="I216" s="5">
        <v>0.33642361110833008</v>
      </c>
      <c r="J216" s="5">
        <v>0.52818287037371192</v>
      </c>
      <c r="K216" s="6">
        <v>4.6022222223691642</v>
      </c>
      <c r="M216" t="s">
        <v>22</v>
      </c>
      <c r="N216" s="2">
        <v>23.5</v>
      </c>
      <c r="O216" s="2">
        <v>0</v>
      </c>
      <c r="P216" s="2">
        <v>108.15222222567536</v>
      </c>
      <c r="Q216" t="s">
        <v>1161</v>
      </c>
      <c r="R216">
        <v>1</v>
      </c>
      <c r="S216" t="s">
        <v>1235</v>
      </c>
    </row>
    <row r="217" spans="1:19" ht="14.25">
      <c r="A217" t="s">
        <v>1376</v>
      </c>
      <c r="B217" s="4">
        <v>46289</v>
      </c>
      <c r="C217" t="s">
        <v>214</v>
      </c>
      <c r="D217" t="s">
        <v>1160</v>
      </c>
      <c r="E217">
        <v>1002</v>
      </c>
      <c r="F217" t="s">
        <v>25</v>
      </c>
      <c r="G217" t="s">
        <v>75</v>
      </c>
      <c r="H217" t="s">
        <v>102</v>
      </c>
      <c r="I217" s="5">
        <v>0.34239583333692281</v>
      </c>
      <c r="J217" s="5">
        <v>0.50366898148058681</v>
      </c>
      <c r="K217" s="6">
        <v>3.8705555554479361</v>
      </c>
      <c r="M217" t="s">
        <v>22</v>
      </c>
      <c r="N217" s="2">
        <v>23.5</v>
      </c>
      <c r="O217" s="2">
        <v>0</v>
      </c>
      <c r="P217" s="2">
        <v>90.958055553026497</v>
      </c>
      <c r="Q217" t="s">
        <v>1161</v>
      </c>
      <c r="R217">
        <v>1</v>
      </c>
      <c r="S217" t="s">
        <v>1235</v>
      </c>
    </row>
    <row r="218" spans="1:19" ht="14.25">
      <c r="A218" t="s">
        <v>1377</v>
      </c>
      <c r="B218" s="4">
        <v>46289</v>
      </c>
      <c r="C218" t="s">
        <v>214</v>
      </c>
      <c r="D218" t="s">
        <v>1160</v>
      </c>
      <c r="E218">
        <v>1003</v>
      </c>
      <c r="F218" t="s">
        <v>27</v>
      </c>
      <c r="G218" t="s">
        <v>63</v>
      </c>
      <c r="H218" t="s">
        <v>102</v>
      </c>
      <c r="I218" s="5">
        <v>0.34453703703911742</v>
      </c>
      <c r="J218" s="5">
        <v>0.52620370370277669</v>
      </c>
      <c r="K218" s="6">
        <v>4.3599999999278225</v>
      </c>
      <c r="M218" t="s">
        <v>22</v>
      </c>
      <c r="N218" s="2">
        <v>23.5</v>
      </c>
      <c r="O218" s="2">
        <v>0</v>
      </c>
      <c r="P218" s="2">
        <v>102.45999999830383</v>
      </c>
      <c r="Q218" t="s">
        <v>1161</v>
      </c>
      <c r="R218">
        <v>1</v>
      </c>
      <c r="S218" t="s">
        <v>1235</v>
      </c>
    </row>
    <row r="219" spans="1:19" ht="14.25">
      <c r="A219" t="s">
        <v>1378</v>
      </c>
      <c r="B219" s="4">
        <v>46289</v>
      </c>
      <c r="C219" t="s">
        <v>214</v>
      </c>
      <c r="D219" t="s">
        <v>1160</v>
      </c>
      <c r="E219">
        <v>1002</v>
      </c>
      <c r="F219" t="s">
        <v>25</v>
      </c>
      <c r="G219" t="s">
        <v>60</v>
      </c>
      <c r="H219" t="s">
        <v>102</v>
      </c>
      <c r="I219" s="5">
        <v>0.54607638889137888</v>
      </c>
      <c r="J219" s="5">
        <v>0.74586805555736646</v>
      </c>
      <c r="K219" s="6">
        <v>4.7949999999837019</v>
      </c>
      <c r="M219" t="s">
        <v>22</v>
      </c>
      <c r="N219" s="2">
        <v>23.5</v>
      </c>
      <c r="O219" s="2">
        <v>0</v>
      </c>
      <c r="P219" s="2">
        <v>112.68249999961699</v>
      </c>
      <c r="Q219" t="s">
        <v>1161</v>
      </c>
      <c r="R219">
        <v>0</v>
      </c>
      <c r="S219" t="s">
        <v>1235</v>
      </c>
    </row>
    <row r="220" spans="1:19" ht="14.25">
      <c r="A220" t="s">
        <v>1379</v>
      </c>
      <c r="B220" s="4">
        <v>46289</v>
      </c>
      <c r="C220" t="s">
        <v>214</v>
      </c>
      <c r="D220" t="s">
        <v>1160</v>
      </c>
      <c r="E220">
        <v>1011</v>
      </c>
      <c r="F220" t="s">
        <v>40</v>
      </c>
      <c r="G220" t="s">
        <v>66</v>
      </c>
      <c r="H220" t="s">
        <v>102</v>
      </c>
      <c r="I220" s="5">
        <v>0.55394675926072523</v>
      </c>
      <c r="J220" s="5">
        <v>0.74886574073752854</v>
      </c>
      <c r="K220" s="6">
        <v>4.6780555554432794</v>
      </c>
      <c r="M220" t="s">
        <v>22</v>
      </c>
      <c r="N220" s="2">
        <v>23.5</v>
      </c>
      <c r="O220" s="2">
        <v>0</v>
      </c>
      <c r="P220" s="2">
        <v>109.93430555291707</v>
      </c>
      <c r="Q220" t="s">
        <v>1161</v>
      </c>
      <c r="R220">
        <v>0</v>
      </c>
      <c r="S220" t="s">
        <v>1235</v>
      </c>
    </row>
    <row r="221" spans="1:19" ht="14.25">
      <c r="A221" t="s">
        <v>1380</v>
      </c>
      <c r="B221" s="4">
        <v>46289</v>
      </c>
      <c r="C221" t="s">
        <v>214</v>
      </c>
      <c r="D221" t="s">
        <v>1160</v>
      </c>
      <c r="E221">
        <v>1003</v>
      </c>
      <c r="F221" t="s">
        <v>27</v>
      </c>
      <c r="G221" t="s">
        <v>63</v>
      </c>
      <c r="H221" t="s">
        <v>102</v>
      </c>
      <c r="I221" s="5">
        <v>0.57140046296262881</v>
      </c>
      <c r="J221" s="5">
        <v>0.74418981481721858</v>
      </c>
      <c r="K221" s="6">
        <v>4.1469444445101544</v>
      </c>
      <c r="M221" t="s">
        <v>22</v>
      </c>
      <c r="N221" s="2">
        <v>23.5</v>
      </c>
      <c r="O221" s="2">
        <v>0</v>
      </c>
      <c r="P221" s="2">
        <v>97.453194445988629</v>
      </c>
      <c r="Q221" t="s">
        <v>1161</v>
      </c>
      <c r="R221">
        <v>0</v>
      </c>
      <c r="S221" t="s">
        <v>1235</v>
      </c>
    </row>
    <row r="222" spans="1:19" ht="14.25">
      <c r="A222" t="s">
        <v>1381</v>
      </c>
      <c r="B222" s="4">
        <v>46290</v>
      </c>
      <c r="C222" t="s">
        <v>287</v>
      </c>
      <c r="D222" t="s">
        <v>1160</v>
      </c>
      <c r="E222">
        <v>1003</v>
      </c>
      <c r="F222" t="s">
        <v>27</v>
      </c>
      <c r="G222" t="s">
        <v>63</v>
      </c>
      <c r="H222" t="s">
        <v>102</v>
      </c>
      <c r="I222" s="5">
        <v>0.33792824074043892</v>
      </c>
      <c r="J222" s="5">
        <v>0.53273148147854954</v>
      </c>
      <c r="K222" s="6">
        <v>4.6752777777146548</v>
      </c>
      <c r="M222" t="s">
        <v>22</v>
      </c>
      <c r="N222" s="2">
        <v>23.5</v>
      </c>
      <c r="O222" s="2">
        <v>0</v>
      </c>
      <c r="P222" s="2">
        <v>109.86902777629439</v>
      </c>
      <c r="Q222" t="s">
        <v>1161</v>
      </c>
      <c r="R222">
        <v>1</v>
      </c>
      <c r="S222" t="s">
        <v>1235</v>
      </c>
    </row>
    <row r="223" spans="1:19" ht="14.25">
      <c r="A223" t="s">
        <v>1382</v>
      </c>
      <c r="B223" s="4">
        <v>46290</v>
      </c>
      <c r="C223" t="s">
        <v>287</v>
      </c>
      <c r="D223" t="s">
        <v>1160</v>
      </c>
      <c r="E223">
        <v>1011</v>
      </c>
      <c r="F223" t="s">
        <v>40</v>
      </c>
      <c r="G223" t="s">
        <v>87</v>
      </c>
      <c r="H223" t="s">
        <v>102</v>
      </c>
      <c r="I223" s="5">
        <v>0.34701388888788642</v>
      </c>
      <c r="J223" s="5">
        <v>0.50975694444787223</v>
      </c>
      <c r="K223" s="6">
        <v>3.9058333334396593</v>
      </c>
      <c r="M223" t="s">
        <v>22</v>
      </c>
      <c r="N223" s="2">
        <v>23.5</v>
      </c>
      <c r="O223" s="2">
        <v>0</v>
      </c>
      <c r="P223" s="2">
        <v>91.787083335831994</v>
      </c>
      <c r="Q223" t="s">
        <v>1161</v>
      </c>
      <c r="R223">
        <v>1</v>
      </c>
      <c r="S223" t="s">
        <v>1235</v>
      </c>
    </row>
    <row r="224" spans="1:19" ht="14.25">
      <c r="A224" t="s">
        <v>1383</v>
      </c>
      <c r="B224" s="4">
        <v>46290</v>
      </c>
      <c r="C224" t="s">
        <v>287</v>
      </c>
      <c r="D224" t="s">
        <v>1160</v>
      </c>
      <c r="E224">
        <v>1002</v>
      </c>
      <c r="F224" t="s">
        <v>25</v>
      </c>
      <c r="G224" t="s">
        <v>60</v>
      </c>
      <c r="H224" t="s">
        <v>102</v>
      </c>
      <c r="I224" s="5">
        <v>0.36626157407590654</v>
      </c>
      <c r="J224" s="5">
        <v>0.5013773148166365</v>
      </c>
      <c r="K224" s="6">
        <v>3.2427777777775191</v>
      </c>
      <c r="M224" t="s">
        <v>22</v>
      </c>
      <c r="N224" s="2">
        <v>23.5</v>
      </c>
      <c r="O224" s="2">
        <v>0</v>
      </c>
      <c r="P224" s="2">
        <v>76.205277777771698</v>
      </c>
      <c r="Q224" t="s">
        <v>1161</v>
      </c>
      <c r="R224">
        <v>1</v>
      </c>
      <c r="S224" t="s">
        <v>1235</v>
      </c>
    </row>
    <row r="225" spans="1:19" ht="14.25">
      <c r="A225" t="s">
        <v>1384</v>
      </c>
      <c r="B225" s="4">
        <v>46290</v>
      </c>
      <c r="C225" t="s">
        <v>287</v>
      </c>
      <c r="D225" t="s">
        <v>1160</v>
      </c>
      <c r="E225">
        <v>1011</v>
      </c>
      <c r="F225" t="s">
        <v>40</v>
      </c>
      <c r="G225" t="s">
        <v>87</v>
      </c>
      <c r="H225" t="s">
        <v>102</v>
      </c>
      <c r="I225" s="5">
        <v>0.53748842592904111</v>
      </c>
      <c r="J225" s="5">
        <v>0.786516203705105</v>
      </c>
      <c r="K225" s="6">
        <v>5.9766666666255333</v>
      </c>
      <c r="M225" t="s">
        <v>22</v>
      </c>
      <c r="N225" s="2">
        <v>23.5</v>
      </c>
      <c r="O225" s="2">
        <v>0</v>
      </c>
      <c r="P225" s="2">
        <v>140.45166666570003</v>
      </c>
      <c r="Q225" t="s">
        <v>1161</v>
      </c>
      <c r="R225">
        <v>0</v>
      </c>
      <c r="S225" t="s">
        <v>1235</v>
      </c>
    </row>
    <row r="226" spans="1:19" ht="14.25">
      <c r="A226" t="s">
        <v>1385</v>
      </c>
      <c r="B226" s="4">
        <v>46290</v>
      </c>
      <c r="C226" t="s">
        <v>287</v>
      </c>
      <c r="D226" t="s">
        <v>1160</v>
      </c>
      <c r="E226">
        <v>1002</v>
      </c>
      <c r="F226" t="s">
        <v>25</v>
      </c>
      <c r="G226" t="s">
        <v>75</v>
      </c>
      <c r="H226" t="s">
        <v>102</v>
      </c>
      <c r="I226" s="5">
        <v>0.55189814815093996</v>
      </c>
      <c r="J226" s="5">
        <v>0.74708333333546761</v>
      </c>
      <c r="K226" s="6">
        <v>4.6844444444286637</v>
      </c>
      <c r="M226" t="s">
        <v>22</v>
      </c>
      <c r="N226" s="2">
        <v>23.5</v>
      </c>
      <c r="O226" s="2">
        <v>0</v>
      </c>
      <c r="P226" s="2">
        <v>110.0844444440736</v>
      </c>
      <c r="Q226" t="s">
        <v>1161</v>
      </c>
      <c r="R226">
        <v>0</v>
      </c>
      <c r="S226" t="s">
        <v>1235</v>
      </c>
    </row>
    <row r="227" spans="1:19" ht="14.25">
      <c r="A227" t="s">
        <v>1386</v>
      </c>
      <c r="B227" s="4">
        <v>46290</v>
      </c>
      <c r="C227" t="s">
        <v>287</v>
      </c>
      <c r="D227" t="s">
        <v>1160</v>
      </c>
      <c r="E227">
        <v>1003</v>
      </c>
      <c r="F227" t="s">
        <v>27</v>
      </c>
      <c r="G227" t="s">
        <v>63</v>
      </c>
      <c r="H227" t="s">
        <v>102</v>
      </c>
      <c r="I227" s="5">
        <v>0.57722222222218988</v>
      </c>
      <c r="J227" s="5">
        <v>0.74241898148466134</v>
      </c>
      <c r="K227" s="6">
        <v>3.964722222299315</v>
      </c>
      <c r="M227" t="s">
        <v>22</v>
      </c>
      <c r="N227" s="2">
        <v>23.5</v>
      </c>
      <c r="O227" s="2">
        <v>0</v>
      </c>
      <c r="P227" s="2">
        <v>93.170972224033903</v>
      </c>
      <c r="Q227" t="s">
        <v>1161</v>
      </c>
      <c r="R227">
        <v>0</v>
      </c>
      <c r="S227" t="s">
        <v>1235</v>
      </c>
    </row>
    <row r="228" spans="1:19" ht="14.25">
      <c r="A228" t="s">
        <v>1387</v>
      </c>
      <c r="B228" s="4">
        <v>46291</v>
      </c>
      <c r="C228" t="s">
        <v>357</v>
      </c>
      <c r="D228" t="s">
        <v>1217</v>
      </c>
      <c r="E228">
        <v>1003</v>
      </c>
      <c r="F228" t="s">
        <v>27</v>
      </c>
      <c r="G228" t="s">
        <v>75</v>
      </c>
      <c r="H228" t="s">
        <v>102</v>
      </c>
      <c r="I228" s="5">
        <v>0.33532407407619758</v>
      </c>
      <c r="J228" s="5">
        <v>0.48390046296117362</v>
      </c>
      <c r="K228" s="6">
        <v>3.565833333239425</v>
      </c>
      <c r="M228" t="s">
        <v>22</v>
      </c>
      <c r="N228" s="2">
        <v>23.5</v>
      </c>
      <c r="O228" s="2">
        <v>0</v>
      </c>
      <c r="P228" s="2">
        <v>83.797083331126487</v>
      </c>
      <c r="Q228" t="s">
        <v>1161</v>
      </c>
      <c r="R228">
        <v>1</v>
      </c>
      <c r="S228" t="s">
        <v>1235</v>
      </c>
    </row>
    <row r="229" spans="1:19" ht="14.25">
      <c r="A229" t="s">
        <v>1388</v>
      </c>
      <c r="B229" s="4">
        <v>46291</v>
      </c>
      <c r="C229" t="s">
        <v>357</v>
      </c>
      <c r="D229" t="s">
        <v>1217</v>
      </c>
      <c r="E229">
        <v>1011</v>
      </c>
      <c r="F229" t="s">
        <v>40</v>
      </c>
      <c r="G229" t="s">
        <v>69</v>
      </c>
      <c r="H229" t="s">
        <v>102</v>
      </c>
      <c r="I229" s="5">
        <v>0.40964120370335877</v>
      </c>
      <c r="J229" s="5">
        <v>0.64831018518452765</v>
      </c>
      <c r="K229" s="6">
        <v>5.7280555555480532</v>
      </c>
      <c r="M229" t="s">
        <v>22</v>
      </c>
      <c r="N229" s="2">
        <v>23.5</v>
      </c>
      <c r="O229" s="2">
        <v>0</v>
      </c>
      <c r="P229" s="2">
        <v>134.60930555537925</v>
      </c>
      <c r="Q229" t="s">
        <v>1161</v>
      </c>
      <c r="R229">
        <v>1</v>
      </c>
      <c r="S229" t="s">
        <v>1235</v>
      </c>
    </row>
    <row r="230" spans="1:19" ht="14.25">
      <c r="A230" t="s">
        <v>1389</v>
      </c>
      <c r="B230" s="4">
        <v>46291</v>
      </c>
      <c r="C230" t="s">
        <v>357</v>
      </c>
      <c r="D230" t="s">
        <v>1217</v>
      </c>
      <c r="E230">
        <v>1003</v>
      </c>
      <c r="F230" t="s">
        <v>27</v>
      </c>
      <c r="G230" t="s">
        <v>75</v>
      </c>
      <c r="H230" t="s">
        <v>102</v>
      </c>
      <c r="I230" s="5">
        <v>0.54353009258920792</v>
      </c>
      <c r="J230" s="5">
        <v>0.71278935185546288</v>
      </c>
      <c r="K230" s="6">
        <v>4.062222222390119</v>
      </c>
      <c r="M230" t="s">
        <v>22</v>
      </c>
      <c r="N230" s="2">
        <v>23.5</v>
      </c>
      <c r="O230" s="2">
        <v>0</v>
      </c>
      <c r="P230" s="2">
        <v>95.462222226167796</v>
      </c>
      <c r="Q230" t="s">
        <v>1161</v>
      </c>
      <c r="R230">
        <v>0</v>
      </c>
      <c r="S230" t="s">
        <v>1235</v>
      </c>
    </row>
    <row r="231" spans="1:19" ht="14.25">
      <c r="A231" t="s">
        <v>1390</v>
      </c>
      <c r="B231" s="4">
        <v>46291</v>
      </c>
      <c r="C231" t="s">
        <v>357</v>
      </c>
      <c r="D231" t="s">
        <v>1217</v>
      </c>
      <c r="E231">
        <v>1011</v>
      </c>
      <c r="F231" t="s">
        <v>40</v>
      </c>
      <c r="G231" t="s">
        <v>69</v>
      </c>
      <c r="H231" t="s">
        <v>102</v>
      </c>
      <c r="I231" s="5">
        <v>0.71700231481372612</v>
      </c>
      <c r="J231" s="5">
        <v>0.84871527777431766</v>
      </c>
      <c r="K231" s="6">
        <v>3.161111111054197</v>
      </c>
      <c r="M231" t="s">
        <v>22</v>
      </c>
      <c r="N231" s="2">
        <v>23.5</v>
      </c>
      <c r="O231" s="2">
        <v>0</v>
      </c>
      <c r="P231" s="2">
        <v>74.286111109773628</v>
      </c>
      <c r="Q231" t="s">
        <v>1161</v>
      </c>
      <c r="R231">
        <v>0</v>
      </c>
      <c r="S231" t="s">
        <v>1235</v>
      </c>
    </row>
    <row r="232" spans="1:19" ht="14.25">
      <c r="A232" t="s">
        <v>1391</v>
      </c>
      <c r="B232" s="4">
        <v>46292</v>
      </c>
      <c r="C232" t="s">
        <v>385</v>
      </c>
      <c r="D232" t="s">
        <v>1217</v>
      </c>
      <c r="E232">
        <v>1011</v>
      </c>
      <c r="F232" t="s">
        <v>40</v>
      </c>
      <c r="G232" t="s">
        <v>69</v>
      </c>
      <c r="H232" t="s">
        <v>102</v>
      </c>
      <c r="I232" s="5">
        <v>0.34009259259619284</v>
      </c>
      <c r="J232" s="5">
        <v>0.53770833333692281</v>
      </c>
      <c r="K232" s="6">
        <v>4.7427777777775191</v>
      </c>
      <c r="M232" t="s">
        <v>22</v>
      </c>
      <c r="N232" s="2">
        <v>23.5</v>
      </c>
      <c r="O232" s="2">
        <v>0</v>
      </c>
      <c r="P232" s="2">
        <v>111.4552777777717</v>
      </c>
      <c r="Q232" t="s">
        <v>1161</v>
      </c>
      <c r="R232">
        <v>1</v>
      </c>
      <c r="S232" t="s">
        <v>1235</v>
      </c>
    </row>
    <row r="233" spans="1:19" ht="14.25">
      <c r="A233" t="s">
        <v>1392</v>
      </c>
      <c r="B233" s="4">
        <v>46292</v>
      </c>
      <c r="C233" t="s">
        <v>385</v>
      </c>
      <c r="D233" t="s">
        <v>1217</v>
      </c>
      <c r="E233">
        <v>1011</v>
      </c>
      <c r="F233" t="s">
        <v>40</v>
      </c>
      <c r="G233" t="s">
        <v>69</v>
      </c>
      <c r="H233" t="s">
        <v>102</v>
      </c>
      <c r="I233" s="5">
        <v>0.55481481481547235</v>
      </c>
      <c r="J233" s="5">
        <v>0.73236111111327773</v>
      </c>
      <c r="K233" s="6">
        <v>4.2611111111473292</v>
      </c>
      <c r="M233" t="s">
        <v>22</v>
      </c>
      <c r="N233" s="2">
        <v>23.5</v>
      </c>
      <c r="O233" s="2">
        <v>0</v>
      </c>
      <c r="P233" s="2">
        <v>100.13611111196224</v>
      </c>
      <c r="Q233" t="s">
        <v>1161</v>
      </c>
      <c r="R233">
        <v>0</v>
      </c>
      <c r="S233" t="s">
        <v>1235</v>
      </c>
    </row>
    <row r="234" spans="1:19" ht="14.25">
      <c r="A234" t="s">
        <v>1393</v>
      </c>
      <c r="B234" s="4">
        <v>46293</v>
      </c>
      <c r="C234" t="s">
        <v>397</v>
      </c>
      <c r="D234" t="s">
        <v>1160</v>
      </c>
      <c r="E234">
        <v>1003</v>
      </c>
      <c r="F234" t="s">
        <v>27</v>
      </c>
      <c r="G234" t="s">
        <v>63</v>
      </c>
      <c r="H234" t="s">
        <v>102</v>
      </c>
      <c r="I234" s="5">
        <v>0.30524305555445608</v>
      </c>
      <c r="J234" s="5">
        <v>0.48460648148466134</v>
      </c>
      <c r="K234" s="6">
        <v>4.3047222223249264</v>
      </c>
      <c r="M234" t="s">
        <v>22</v>
      </c>
      <c r="N234" s="2">
        <v>23.5</v>
      </c>
      <c r="O234" s="2">
        <v>0</v>
      </c>
      <c r="P234" s="2">
        <v>101.16097222463577</v>
      </c>
      <c r="Q234" t="s">
        <v>1161</v>
      </c>
      <c r="R234">
        <v>1</v>
      </c>
      <c r="S234" t="s">
        <v>1235</v>
      </c>
    </row>
    <row r="235" spans="1:19" ht="14.25">
      <c r="A235" t="s">
        <v>1394</v>
      </c>
      <c r="B235" s="4">
        <v>46293</v>
      </c>
      <c r="C235" t="s">
        <v>397</v>
      </c>
      <c r="D235" t="s">
        <v>1160</v>
      </c>
      <c r="E235">
        <v>1002</v>
      </c>
      <c r="F235" t="s">
        <v>25</v>
      </c>
      <c r="G235" t="s">
        <v>75</v>
      </c>
      <c r="H235" t="s">
        <v>102</v>
      </c>
      <c r="I235" s="5">
        <v>0.32696759259124519</v>
      </c>
      <c r="J235" s="5">
        <v>0.50229166666395031</v>
      </c>
      <c r="K235" s="6">
        <v>4.2077777777449228</v>
      </c>
      <c r="L235" t="s">
        <v>976</v>
      </c>
      <c r="M235" t="s">
        <v>22</v>
      </c>
      <c r="N235" s="2">
        <v>23.5</v>
      </c>
      <c r="O235" s="2">
        <v>0</v>
      </c>
      <c r="P235" s="2">
        <v>98.882777777005685</v>
      </c>
      <c r="Q235" t="s">
        <v>1161</v>
      </c>
      <c r="R235">
        <v>1</v>
      </c>
      <c r="S235" t="s">
        <v>1235</v>
      </c>
    </row>
    <row r="236" spans="1:19" ht="14.25">
      <c r="A236" t="s">
        <v>1395</v>
      </c>
      <c r="B236" s="4">
        <v>46293</v>
      </c>
      <c r="C236" t="s">
        <v>397</v>
      </c>
      <c r="D236" t="s">
        <v>1160</v>
      </c>
      <c r="E236">
        <v>1011</v>
      </c>
      <c r="F236" t="s">
        <v>40</v>
      </c>
      <c r="G236" t="s">
        <v>66</v>
      </c>
      <c r="H236" t="s">
        <v>102</v>
      </c>
      <c r="I236" s="5">
        <v>0.33998842592700385</v>
      </c>
      <c r="J236" s="5">
        <v>0.52819444444321562</v>
      </c>
      <c r="K236" s="6">
        <v>4.5169444443890825</v>
      </c>
      <c r="M236" t="s">
        <v>22</v>
      </c>
      <c r="N236" s="2">
        <v>23.5</v>
      </c>
      <c r="O236" s="2">
        <v>0</v>
      </c>
      <c r="P236" s="2">
        <v>106.14819444314344</v>
      </c>
      <c r="Q236" t="s">
        <v>1161</v>
      </c>
      <c r="R236">
        <v>1</v>
      </c>
      <c r="S236" t="s">
        <v>1235</v>
      </c>
    </row>
    <row r="237" spans="1:19" ht="14.25">
      <c r="A237" t="s">
        <v>1396</v>
      </c>
      <c r="B237" s="4">
        <v>46293</v>
      </c>
      <c r="C237" t="s">
        <v>397</v>
      </c>
      <c r="D237" t="s">
        <v>1160</v>
      </c>
      <c r="E237">
        <v>1003</v>
      </c>
      <c r="F237" t="s">
        <v>27</v>
      </c>
      <c r="G237" t="s">
        <v>63</v>
      </c>
      <c r="H237" t="s">
        <v>102</v>
      </c>
      <c r="I237" s="5">
        <v>0.51363425925956108</v>
      </c>
      <c r="J237" s="5"/>
      <c r="K237" s="6"/>
      <c r="M237" t="s">
        <v>22</v>
      </c>
      <c r="N237" s="2">
        <v>23.5</v>
      </c>
      <c r="O237" s="2">
        <v>0</v>
      </c>
      <c r="P237" s="2"/>
      <c r="Q237" t="s">
        <v>1169</v>
      </c>
      <c r="S237" t="s">
        <v>1235</v>
      </c>
    </row>
    <row r="238" spans="1:19" ht="14.25">
      <c r="A238" t="s">
        <v>1397</v>
      </c>
      <c r="B238" s="4">
        <v>46293</v>
      </c>
      <c r="C238" t="s">
        <v>397</v>
      </c>
      <c r="D238" t="s">
        <v>1160</v>
      </c>
      <c r="E238">
        <v>1002</v>
      </c>
      <c r="F238" t="s">
        <v>25</v>
      </c>
      <c r="G238" t="s">
        <v>75</v>
      </c>
      <c r="H238" t="s">
        <v>102</v>
      </c>
      <c r="I238" s="5">
        <v>0.54128472222510027</v>
      </c>
      <c r="J238" s="5"/>
      <c r="K238" s="6"/>
      <c r="M238" t="s">
        <v>22</v>
      </c>
      <c r="N238" s="2">
        <v>23.5</v>
      </c>
      <c r="O238" s="2">
        <v>0</v>
      </c>
      <c r="P238" s="2"/>
      <c r="Q238" t="s">
        <v>1169</v>
      </c>
      <c r="S238" t="s">
        <v>1235</v>
      </c>
    </row>
    <row r="239" spans="1:19" ht="14.25">
      <c r="A239" t="s">
        <v>1398</v>
      </c>
      <c r="B239" s="4">
        <v>46293</v>
      </c>
      <c r="C239" t="s">
        <v>397</v>
      </c>
      <c r="D239" t="s">
        <v>1160</v>
      </c>
      <c r="E239">
        <v>1011</v>
      </c>
      <c r="F239" t="s">
        <v>40</v>
      </c>
      <c r="G239" t="s">
        <v>66</v>
      </c>
      <c r="H239" t="s">
        <v>102</v>
      </c>
      <c r="I239" s="5">
        <v>0.56395833333226619</v>
      </c>
      <c r="J239" s="5"/>
      <c r="K239" s="6"/>
      <c r="M239" t="s">
        <v>22</v>
      </c>
      <c r="N239" s="2">
        <v>23.5</v>
      </c>
      <c r="O239" s="2">
        <v>0</v>
      </c>
      <c r="P239" s="2"/>
      <c r="Q239" t="s">
        <v>1169</v>
      </c>
      <c r="S239" t="s">
        <v>1235</v>
      </c>
    </row>
    <row r="240" spans="1:19" ht="14.25">
      <c r="B240" s="4"/>
      <c r="I240" s="5"/>
      <c r="J240" s="5"/>
      <c r="K240" s="6"/>
      <c r="N240" s="2"/>
      <c r="O240" s="2"/>
      <c r="P240" s="2"/>
    </row>
    <row r="241" spans="2:16" ht="14.25">
      <c r="B241" s="4"/>
      <c r="I241" s="5"/>
      <c r="J241" s="5"/>
      <c r="K241" s="6"/>
      <c r="N241" s="2"/>
      <c r="O241" s="2"/>
      <c r="P241" s="2"/>
    </row>
    <row r="242" spans="2:16" ht="14.25">
      <c r="B242" s="4"/>
      <c r="I242" s="5"/>
      <c r="J242" s="5"/>
      <c r="K242" s="6"/>
      <c r="N242" s="2"/>
      <c r="O242" s="2"/>
      <c r="P242" s="2"/>
    </row>
    <row r="243" spans="2:16" ht="14.25">
      <c r="B243" s="4"/>
      <c r="I243" s="5"/>
      <c r="J243" s="5"/>
      <c r="K243" s="6"/>
      <c r="N243" s="2"/>
      <c r="O243" s="2"/>
      <c r="P243" s="2"/>
    </row>
    <row r="244" spans="2:16" ht="14.25">
      <c r="B244" s="4"/>
      <c r="I244" s="5"/>
      <c r="J244" s="5"/>
      <c r="K244" s="6"/>
      <c r="N244" s="2"/>
      <c r="O244" s="2"/>
      <c r="P244" s="2"/>
    </row>
    <row r="245" spans="2:16" ht="14.25">
      <c r="B245" s="4"/>
      <c r="I245" s="5"/>
      <c r="J245" s="5"/>
      <c r="K245" s="6"/>
      <c r="N245" s="2"/>
      <c r="O245" s="2"/>
      <c r="P245" s="2"/>
    </row>
    <row r="246" spans="2:16" ht="14.25">
      <c r="B246" s="4"/>
      <c r="I246" s="5"/>
      <c r="J246" s="5"/>
      <c r="K246" s="6"/>
      <c r="N246" s="2"/>
      <c r="O246" s="2"/>
      <c r="P246" s="2"/>
    </row>
    <row r="247" spans="2:16" ht="14.25">
      <c r="B247" s="4"/>
      <c r="I247" s="5"/>
      <c r="J247" s="5"/>
      <c r="K247" s="6"/>
      <c r="N247" s="2"/>
      <c r="O247" s="2"/>
      <c r="P247" s="2"/>
    </row>
    <row r="248" spans="2:16" ht="14.25">
      <c r="B248" s="4"/>
      <c r="I248" s="5"/>
      <c r="J248" s="5"/>
      <c r="K248" s="6"/>
      <c r="N248" s="2"/>
      <c r="O248" s="2"/>
      <c r="P248" s="2"/>
    </row>
    <row r="249" spans="2:16" ht="14.25">
      <c r="B249" s="4"/>
      <c r="I249" s="5"/>
      <c r="J249" s="5"/>
      <c r="K249" s="6"/>
      <c r="N249" s="2"/>
      <c r="O249" s="2"/>
      <c r="P249" s="2"/>
    </row>
    <row r="250" spans="2:16" ht="14.25">
      <c r="B250" s="4"/>
      <c r="I250" s="5"/>
      <c r="J250" s="5"/>
      <c r="K250" s="6"/>
      <c r="N250" s="2"/>
      <c r="O250" s="2"/>
      <c r="P250" s="2"/>
    </row>
    <row r="251" spans="2:16" ht="14.25">
      <c r="B251" s="4"/>
      <c r="I251" s="5"/>
      <c r="J251" s="5"/>
      <c r="K251" s="6"/>
      <c r="N251" s="2"/>
      <c r="O251" s="2"/>
      <c r="P251" s="2"/>
    </row>
    <row r="252" spans="2:16" ht="14.25">
      <c r="B252" s="4"/>
      <c r="I252" s="5"/>
      <c r="J252" s="5"/>
      <c r="K252" s="6"/>
      <c r="N252" s="2"/>
      <c r="O252" s="2"/>
      <c r="P252" s="2"/>
    </row>
    <row r="253" spans="2:16" ht="14.25">
      <c r="B253" s="4"/>
      <c r="I253" s="5"/>
      <c r="J253" s="5"/>
      <c r="K253" s="6"/>
      <c r="N253" s="2"/>
      <c r="O253" s="2"/>
      <c r="P253" s="2"/>
    </row>
    <row r="254" spans="2:16" ht="14.25">
      <c r="B254" s="4"/>
      <c r="I254" s="5"/>
      <c r="J254" s="5"/>
      <c r="K254" s="6"/>
      <c r="N254" s="2"/>
      <c r="O254" s="2"/>
      <c r="P254" s="2"/>
    </row>
    <row r="255" spans="2:16" ht="14.25">
      <c r="B255" s="4"/>
      <c r="I255" s="5"/>
      <c r="J255" s="5"/>
      <c r="K255" s="6"/>
      <c r="N255" s="2"/>
      <c r="O255" s="2"/>
      <c r="P255" s="2"/>
    </row>
    <row r="256" spans="2:16" ht="14.25">
      <c r="B256" s="4"/>
      <c r="I256" s="5"/>
      <c r="J256" s="5"/>
      <c r="K256" s="6"/>
      <c r="N256" s="2"/>
      <c r="O256" s="2"/>
      <c r="P256" s="2"/>
    </row>
    <row r="257" spans="2:16" ht="14.25">
      <c r="B257" s="4"/>
      <c r="I257" s="5"/>
      <c r="J257" s="5"/>
      <c r="K257" s="6"/>
      <c r="N257" s="2"/>
      <c r="O257" s="2"/>
      <c r="P257" s="2"/>
    </row>
    <row r="258" spans="2:16" ht="14.25">
      <c r="B258" s="4"/>
      <c r="I258" s="5"/>
      <c r="J258" s="5"/>
      <c r="K258" s="6"/>
      <c r="N258" s="2"/>
      <c r="O258" s="2"/>
      <c r="P258" s="2"/>
    </row>
    <row r="259" spans="2:16" ht="14.25">
      <c r="B259" s="4"/>
      <c r="I259" s="5"/>
      <c r="J259" s="5"/>
      <c r="K259" s="6"/>
      <c r="N259" s="2"/>
      <c r="O259" s="2"/>
      <c r="P259" s="2"/>
    </row>
    <row r="260" spans="2:16" ht="14.25">
      <c r="B260" s="4"/>
      <c r="I260" s="5"/>
      <c r="J260" s="5"/>
      <c r="K260" s="6"/>
      <c r="N260" s="2"/>
      <c r="O260" s="2"/>
      <c r="P260" s="2"/>
    </row>
    <row r="261" spans="2:16" ht="14.25">
      <c r="B261" s="4"/>
      <c r="I261" s="5"/>
      <c r="J261" s="5"/>
      <c r="K261" s="6"/>
      <c r="N261" s="2"/>
      <c r="O261" s="2"/>
      <c r="P261" s="2"/>
    </row>
    <row r="262" spans="2:16" ht="14.25">
      <c r="B262" s="4"/>
      <c r="I262" s="5"/>
      <c r="J262" s="5"/>
      <c r="K262" s="6"/>
      <c r="N262" s="2"/>
      <c r="O262" s="2"/>
      <c r="P262" s="2"/>
    </row>
    <row r="263" spans="2:16" ht="14.25">
      <c r="B263" s="4"/>
      <c r="I263" s="5"/>
      <c r="J263" s="5"/>
      <c r="K263" s="6"/>
      <c r="N263" s="2"/>
      <c r="O263" s="2"/>
      <c r="P263" s="2"/>
    </row>
    <row r="264" spans="2:16" ht="14.25">
      <c r="B264" s="4"/>
      <c r="I264" s="5"/>
      <c r="J264" s="5"/>
      <c r="K264" s="6"/>
      <c r="N264" s="2"/>
      <c r="O264" s="2"/>
      <c r="P264" s="2"/>
    </row>
    <row r="265" spans="2:16" ht="14.25">
      <c r="B265" s="4"/>
      <c r="I265" s="5"/>
      <c r="J265" s="5"/>
      <c r="K265" s="6"/>
      <c r="N265" s="2"/>
      <c r="O265" s="2"/>
      <c r="P265" s="2"/>
    </row>
    <row r="266" spans="2:16" ht="14.25">
      <c r="B266" s="4"/>
      <c r="I266" s="5"/>
      <c r="J266" s="5"/>
      <c r="K266" s="6"/>
      <c r="N266" s="2"/>
      <c r="O266" s="2"/>
      <c r="P266" s="2"/>
    </row>
    <row r="267" spans="2:16" ht="14.25">
      <c r="B267" s="4"/>
      <c r="I267" s="5"/>
      <c r="J267" s="5"/>
      <c r="K267" s="6"/>
      <c r="N267" s="2"/>
      <c r="O267" s="2"/>
      <c r="P267" s="2"/>
    </row>
    <row r="268" spans="2:16" ht="14.25">
      <c r="B268" s="4"/>
      <c r="I268" s="5"/>
      <c r="J268" s="5"/>
      <c r="K268" s="6"/>
      <c r="N268" s="2"/>
      <c r="O268" s="2"/>
      <c r="P268" s="2"/>
    </row>
    <row r="269" spans="2:16" ht="14.25">
      <c r="B269" s="4"/>
      <c r="I269" s="5"/>
      <c r="J269" s="5"/>
      <c r="K269" s="6"/>
      <c r="N269" s="2"/>
      <c r="O269" s="2"/>
      <c r="P269" s="2"/>
    </row>
    <row r="270" spans="2:16" ht="14.25">
      <c r="B270" s="4"/>
      <c r="I270" s="5"/>
      <c r="J270" s="5"/>
      <c r="K270" s="6"/>
      <c r="N270" s="2"/>
      <c r="O270" s="2"/>
      <c r="P270" s="2"/>
    </row>
    <row r="271" spans="2:16" ht="14.25">
      <c r="B271" s="4"/>
      <c r="I271" s="5"/>
      <c r="J271" s="5"/>
      <c r="K271" s="6"/>
      <c r="N271" s="2"/>
      <c r="O271" s="2"/>
      <c r="P271" s="2"/>
    </row>
    <row r="272" spans="2:16" ht="14.25">
      <c r="B272" s="4"/>
      <c r="I272" s="5"/>
      <c r="J272" s="5"/>
      <c r="K272" s="6"/>
      <c r="N272" s="2"/>
      <c r="O272" s="2"/>
      <c r="P272" s="2"/>
    </row>
    <row r="273" spans="2:16" ht="14.25">
      <c r="B273" s="4"/>
      <c r="I273" s="5"/>
      <c r="J273" s="5"/>
      <c r="K273" s="6"/>
      <c r="N273" s="2"/>
      <c r="O273" s="2"/>
      <c r="P273" s="2"/>
    </row>
    <row r="274" spans="2:16" ht="14.25">
      <c r="B274" s="4"/>
      <c r="I274" s="5"/>
      <c r="J274" s="5"/>
      <c r="K274" s="6"/>
      <c r="N274" s="2"/>
      <c r="O274" s="2"/>
      <c r="P274" s="2"/>
    </row>
    <row r="275" spans="2:16" ht="14.25">
      <c r="B275" s="4"/>
      <c r="I275" s="5"/>
      <c r="J275" s="5"/>
      <c r="K275" s="6"/>
      <c r="N275" s="2"/>
      <c r="O275" s="2"/>
      <c r="P275" s="2"/>
    </row>
    <row r="276" spans="2:16" ht="14.25">
      <c r="B276" s="4"/>
      <c r="I276" s="5"/>
      <c r="J276" s="5"/>
      <c r="K276" s="6"/>
      <c r="N276" s="2"/>
      <c r="O276" s="2"/>
      <c r="P276" s="2"/>
    </row>
    <row r="277" spans="2:16" ht="14.25">
      <c r="B277" s="4"/>
      <c r="I277" s="5"/>
      <c r="J277" s="5"/>
      <c r="K277" s="6"/>
      <c r="N277" s="2"/>
      <c r="O277" s="2"/>
      <c r="P277" s="2"/>
    </row>
    <row r="278" spans="2:16" ht="14.25">
      <c r="B278" s="4"/>
      <c r="I278" s="5"/>
      <c r="J278" s="5"/>
      <c r="K278" s="6"/>
      <c r="N278" s="2"/>
      <c r="O278" s="2"/>
      <c r="P278" s="2"/>
    </row>
    <row r="279" spans="2:16" ht="14.25">
      <c r="B279" s="4"/>
      <c r="I279" s="5"/>
      <c r="J279" s="5"/>
      <c r="K279" s="6"/>
      <c r="N279" s="2"/>
      <c r="O279" s="2"/>
      <c r="P279" s="2"/>
    </row>
    <row r="280" spans="2:16" ht="14.25">
      <c r="B280" s="4"/>
      <c r="I280" s="5"/>
      <c r="J280" s="5"/>
      <c r="K280" s="6"/>
      <c r="N280" s="2"/>
      <c r="O280" s="2"/>
      <c r="P280" s="2"/>
    </row>
    <row r="281" spans="2:16" ht="14.25">
      <c r="B281" s="4"/>
      <c r="I281" s="5"/>
      <c r="J281" s="5"/>
      <c r="K281" s="6"/>
      <c r="N281" s="2"/>
      <c r="O281" s="2"/>
      <c r="P281" s="2"/>
    </row>
    <row r="282" spans="2:16" ht="14.25">
      <c r="B282" s="4"/>
      <c r="I282" s="5"/>
      <c r="J282" s="5"/>
      <c r="K282" s="6"/>
      <c r="N282" s="2"/>
      <c r="O282" s="2"/>
      <c r="P282" s="2"/>
    </row>
    <row r="283" spans="2:16" ht="14.25">
      <c r="B283" s="4"/>
      <c r="I283" s="5"/>
      <c r="J283" s="5"/>
      <c r="K283" s="6"/>
      <c r="N283" s="2"/>
      <c r="O283" s="2"/>
      <c r="P283" s="2"/>
    </row>
    <row r="284" spans="2:16" ht="14.25">
      <c r="B284" s="4"/>
      <c r="I284" s="5"/>
      <c r="J284" s="5"/>
      <c r="K284" s="6"/>
      <c r="N284" s="2"/>
      <c r="O284" s="2"/>
      <c r="P284" s="2"/>
    </row>
    <row r="285" spans="2:16" ht="14.25">
      <c r="B285" s="4"/>
      <c r="I285" s="5"/>
      <c r="J285" s="5"/>
      <c r="K285" s="6"/>
      <c r="N285" s="2"/>
      <c r="O285" s="2"/>
      <c r="P285" s="2"/>
    </row>
    <row r="286" spans="2:16" ht="14.25">
      <c r="B286" s="4"/>
      <c r="I286" s="5"/>
      <c r="J286" s="5"/>
      <c r="K286" s="6"/>
      <c r="N286" s="2"/>
      <c r="O286" s="2"/>
      <c r="P286" s="2"/>
    </row>
    <row r="287" spans="2:16" ht="14.25">
      <c r="B287" s="4"/>
      <c r="I287" s="5"/>
      <c r="J287" s="5"/>
      <c r="K287" s="6"/>
      <c r="N287" s="2"/>
      <c r="O287" s="2"/>
      <c r="P287" s="2"/>
    </row>
    <row r="288" spans="2:16" ht="14.25">
      <c r="B288" s="4"/>
      <c r="I288" s="5"/>
      <c r="J288" s="5"/>
      <c r="K288" s="6"/>
      <c r="N288" s="2"/>
      <c r="O288" s="2"/>
      <c r="P288" s="2"/>
    </row>
    <row r="289" spans="2:16" ht="14.25">
      <c r="B289" s="4"/>
      <c r="I289" s="5"/>
      <c r="J289" s="5"/>
      <c r="K289" s="6"/>
      <c r="N289" s="2"/>
      <c r="O289" s="2"/>
      <c r="P289" s="2"/>
    </row>
    <row r="290" spans="2:16" ht="14.25">
      <c r="B290" s="4"/>
      <c r="I290" s="5"/>
      <c r="J290" s="5"/>
      <c r="K290" s="6"/>
      <c r="N290" s="2"/>
      <c r="O290" s="2"/>
      <c r="P290" s="2"/>
    </row>
    <row r="291" spans="2:16" ht="14.25">
      <c r="B291" s="4"/>
      <c r="I291" s="5"/>
      <c r="J291" s="5"/>
      <c r="K291" s="6"/>
      <c r="N291" s="2"/>
      <c r="O291" s="2"/>
      <c r="P291" s="2"/>
    </row>
    <row r="292" spans="2:16" ht="14.25">
      <c r="B292" s="4"/>
      <c r="I292" s="5"/>
      <c r="J292" s="5"/>
      <c r="K292" s="6"/>
      <c r="N292" s="2"/>
      <c r="O292" s="2"/>
      <c r="P292" s="2"/>
    </row>
    <row r="293" spans="2:16" ht="14.25">
      <c r="B293" s="4"/>
      <c r="I293" s="5"/>
      <c r="J293" s="5"/>
      <c r="K293" s="6"/>
      <c r="N293" s="2"/>
      <c r="O293" s="2"/>
      <c r="P293" s="2"/>
    </row>
    <row r="294" spans="2:16" ht="14.25">
      <c r="B294" s="4"/>
      <c r="I294" s="5"/>
      <c r="J294" s="5"/>
      <c r="K294" s="6"/>
      <c r="N294" s="2"/>
      <c r="O294" s="2"/>
      <c r="P294" s="2"/>
    </row>
    <row r="295" spans="2:16" ht="14.25">
      <c r="B295" s="4"/>
      <c r="I295" s="5"/>
      <c r="J295" s="5"/>
      <c r="K295" s="6"/>
      <c r="N295" s="2"/>
      <c r="O295" s="2"/>
      <c r="P295" s="2"/>
    </row>
    <row r="296" spans="2:16" ht="14.25">
      <c r="B296" s="4"/>
      <c r="I296" s="5"/>
      <c r="J296" s="5"/>
      <c r="K296" s="6"/>
      <c r="N296" s="2"/>
      <c r="O296" s="2"/>
      <c r="P296" s="2"/>
    </row>
    <row r="297" spans="2:16" ht="14.25">
      <c r="B297" s="4"/>
      <c r="I297" s="5"/>
      <c r="J297" s="5"/>
      <c r="K297" s="6"/>
      <c r="N297" s="2"/>
      <c r="O297" s="2"/>
      <c r="P297" s="2"/>
    </row>
    <row r="298" spans="2:16" ht="14.25">
      <c r="B298" s="4"/>
      <c r="I298" s="5"/>
      <c r="J298" s="5"/>
      <c r="K298" s="6"/>
      <c r="N298" s="2"/>
      <c r="O298" s="2"/>
      <c r="P298" s="2"/>
    </row>
    <row r="299" spans="2:16" ht="14.25">
      <c r="B299" s="4"/>
      <c r="I299" s="5"/>
      <c r="J299" s="5"/>
      <c r="K299" s="6"/>
      <c r="N299" s="2"/>
      <c r="O299" s="2"/>
      <c r="P299" s="2"/>
    </row>
    <row r="300" spans="2:16" ht="14.25">
      <c r="B300" s="4"/>
      <c r="I300" s="5"/>
      <c r="J300" s="5"/>
      <c r="K300" s="6"/>
      <c r="N300" s="2"/>
      <c r="O300" s="2"/>
      <c r="P300" s="2"/>
    </row>
    <row r="301" spans="2:16" ht="14.25">
      <c r="B301" s="4"/>
      <c r="I301" s="5"/>
      <c r="J301" s="5"/>
      <c r="K301" s="6"/>
      <c r="N301" s="2"/>
      <c r="O301" s="2"/>
      <c r="P301" s="2"/>
    </row>
    <row r="302" spans="2:16" ht="14.25">
      <c r="B302" s="4"/>
      <c r="I302" s="5"/>
      <c r="J302" s="5"/>
      <c r="K302" s="6"/>
      <c r="N302" s="2"/>
      <c r="O302" s="2"/>
      <c r="P302" s="2"/>
    </row>
    <row r="303" spans="2:16" ht="14.25">
      <c r="B303" s="4"/>
      <c r="I303" s="5"/>
      <c r="J303" s="5"/>
      <c r="K303" s="6"/>
      <c r="N303" s="2"/>
      <c r="O303" s="2"/>
      <c r="P303" s="2"/>
    </row>
    <row r="304" spans="2:16" ht="14.25">
      <c r="B304" s="4"/>
      <c r="I304" s="5"/>
      <c r="J304" s="5"/>
      <c r="K304" s="6"/>
      <c r="N304" s="2"/>
      <c r="O304" s="2"/>
      <c r="P304" s="2"/>
    </row>
    <row r="305" spans="2:16" ht="14.25">
      <c r="B305" s="4"/>
      <c r="I305" s="5"/>
      <c r="J305" s="5"/>
      <c r="K305" s="6"/>
      <c r="N305" s="2"/>
      <c r="O305" s="2"/>
      <c r="P305" s="2"/>
    </row>
    <row r="306" spans="2:16" ht="14.25">
      <c r="B306" s="4"/>
      <c r="I306" s="5"/>
      <c r="J306" s="5"/>
      <c r="K306" s="6"/>
      <c r="N306" s="2"/>
      <c r="O306" s="2"/>
      <c r="P306" s="2"/>
    </row>
    <row r="307" spans="2:16" ht="14.25">
      <c r="B307" s="4"/>
      <c r="I307" s="5"/>
      <c r="J307" s="5"/>
      <c r="K307" s="6"/>
      <c r="N307" s="2"/>
      <c r="O307" s="2"/>
      <c r="P307" s="2"/>
    </row>
    <row r="308" spans="2:16" ht="14.25">
      <c r="B308" s="4"/>
      <c r="I308" s="5"/>
      <c r="J308" s="5"/>
      <c r="K308" s="6"/>
      <c r="N308" s="2"/>
      <c r="O308" s="2"/>
      <c r="P308" s="2"/>
    </row>
    <row r="309" spans="2:16" ht="14.25">
      <c r="B309" s="4"/>
      <c r="I309" s="5"/>
      <c r="J309" s="5"/>
      <c r="K309" s="6"/>
      <c r="N309" s="2"/>
      <c r="O309" s="2"/>
      <c r="P309" s="2"/>
    </row>
    <row r="310" spans="2:16" ht="14.25">
      <c r="B310" s="4"/>
      <c r="I310" s="5"/>
      <c r="J310" s="5"/>
      <c r="K310" s="6"/>
      <c r="N310" s="2"/>
      <c r="O310" s="2"/>
      <c r="P310" s="2"/>
    </row>
    <row r="311" spans="2:16" ht="14.25">
      <c r="B311" s="4"/>
      <c r="I311" s="5"/>
      <c r="J311" s="5"/>
      <c r="K311" s="6"/>
      <c r="N311" s="2"/>
      <c r="O311" s="2"/>
      <c r="P311" s="2"/>
    </row>
    <row r="312" spans="2:16" ht="14.25">
      <c r="B312" s="4"/>
      <c r="I312" s="5"/>
      <c r="J312" s="5"/>
      <c r="K312" s="6"/>
      <c r="N312" s="2"/>
      <c r="O312" s="2"/>
      <c r="P312" s="2"/>
    </row>
    <row r="313" spans="2:16" ht="14.25">
      <c r="B313" s="4"/>
      <c r="I313" s="5"/>
      <c r="J313" s="5"/>
      <c r="K313" s="6"/>
      <c r="N313" s="2"/>
      <c r="O313" s="2"/>
      <c r="P313" s="2"/>
    </row>
    <row r="314" spans="2:16" ht="14.25">
      <c r="B314" s="4"/>
      <c r="I314" s="5"/>
      <c r="J314" s="5"/>
      <c r="K314" s="6"/>
      <c r="N314" s="2"/>
      <c r="O314" s="2"/>
      <c r="P314" s="2"/>
    </row>
    <row r="315" spans="2:16" ht="14.25">
      <c r="B315" s="4"/>
      <c r="I315" s="5"/>
      <c r="J315" s="5"/>
      <c r="K315" s="6"/>
      <c r="N315" s="2"/>
      <c r="O315" s="2"/>
      <c r="P315" s="2"/>
    </row>
    <row r="316" spans="2:16" ht="14.25">
      <c r="B316" s="4"/>
      <c r="I316" s="5"/>
      <c r="J316" s="5"/>
      <c r="K316" s="6"/>
      <c r="N316" s="2"/>
      <c r="O316" s="2"/>
      <c r="P316" s="2"/>
    </row>
    <row r="317" spans="2:16" ht="14.25">
      <c r="B317" s="4"/>
      <c r="I317" s="5"/>
      <c r="J317" s="5"/>
      <c r="K317" s="6"/>
      <c r="N317" s="2"/>
      <c r="O317" s="2"/>
      <c r="P317" s="2"/>
    </row>
    <row r="318" spans="2:16" ht="14.25">
      <c r="B318" s="4"/>
      <c r="I318" s="5"/>
      <c r="J318" s="5"/>
      <c r="K318" s="6"/>
      <c r="N318" s="2"/>
      <c r="O318" s="2"/>
      <c r="P318" s="2"/>
    </row>
    <row r="319" spans="2:16" ht="14.25">
      <c r="B319" s="4"/>
      <c r="I319" s="5"/>
      <c r="J319" s="5"/>
      <c r="K319" s="6"/>
      <c r="N319" s="2"/>
      <c r="O319" s="2"/>
      <c r="P319" s="2"/>
    </row>
    <row r="320" spans="2:16" ht="14.25">
      <c r="B320" s="4"/>
      <c r="I320" s="5"/>
      <c r="J320" s="5"/>
      <c r="K320" s="6"/>
      <c r="N320" s="2"/>
      <c r="O320" s="2"/>
      <c r="P320" s="2"/>
    </row>
    <row r="321" spans="2:16" ht="14.25">
      <c r="B321" s="4"/>
      <c r="I321" s="5"/>
      <c r="J321" s="5"/>
      <c r="K321" s="6"/>
      <c r="N321" s="2"/>
      <c r="O321" s="2"/>
      <c r="P321" s="2"/>
    </row>
    <row r="322" spans="2:16" ht="14.25">
      <c r="B322" s="4"/>
      <c r="I322" s="5"/>
      <c r="J322" s="5"/>
      <c r="K322" s="6"/>
      <c r="N322" s="2"/>
      <c r="O322" s="2"/>
      <c r="P322" s="2"/>
    </row>
    <row r="323" spans="2:16" ht="14.25">
      <c r="B323" s="4"/>
      <c r="I323" s="5"/>
      <c r="J323" s="5"/>
      <c r="K323" s="6"/>
      <c r="N323" s="2"/>
      <c r="O323" s="2"/>
      <c r="P323" s="2"/>
    </row>
    <row r="324" spans="2:16" ht="14.25">
      <c r="B324" s="4"/>
      <c r="I324" s="5"/>
      <c r="J324" s="5"/>
      <c r="K324" s="6"/>
      <c r="N324" s="2"/>
      <c r="O324" s="2"/>
      <c r="P324" s="2"/>
    </row>
    <row r="325" spans="2:16" ht="14.25">
      <c r="B325" s="4"/>
      <c r="I325" s="5"/>
      <c r="J325" s="5"/>
      <c r="K325" s="6"/>
      <c r="N325" s="2"/>
      <c r="O325" s="2"/>
      <c r="P325" s="2"/>
    </row>
    <row r="326" spans="2:16" ht="14.25">
      <c r="B326" s="4"/>
      <c r="I326" s="5"/>
      <c r="J326" s="5"/>
      <c r="K326" s="6"/>
      <c r="N326" s="2"/>
      <c r="O326" s="2"/>
      <c r="P326" s="2"/>
    </row>
    <row r="327" spans="2:16" ht="14.25">
      <c r="B327" s="4"/>
      <c r="I327" s="5"/>
      <c r="J327" s="5"/>
      <c r="K327" s="6"/>
      <c r="N327" s="2"/>
      <c r="O327" s="2"/>
      <c r="P327" s="2"/>
    </row>
    <row r="328" spans="2:16" ht="14.25">
      <c r="B328" s="4"/>
      <c r="I328" s="5"/>
      <c r="J328" s="5"/>
      <c r="K328" s="6"/>
      <c r="N328" s="2"/>
      <c r="O328" s="2"/>
      <c r="P328" s="2"/>
    </row>
    <row r="329" spans="2:16" ht="14.25">
      <c r="B329" s="4"/>
      <c r="I329" s="5"/>
      <c r="J329" s="5"/>
      <c r="K329" s="6"/>
      <c r="N329" s="2"/>
      <c r="O329" s="2"/>
      <c r="P329" s="2"/>
    </row>
    <row r="330" spans="2:16" ht="14.25">
      <c r="B330" s="4"/>
      <c r="I330" s="5"/>
      <c r="J330" s="5"/>
      <c r="K330" s="6"/>
      <c r="N330" s="2"/>
      <c r="O330" s="2"/>
      <c r="P330" s="2"/>
    </row>
    <row r="331" spans="2:16" ht="14.25">
      <c r="B331" s="4"/>
      <c r="I331" s="5"/>
      <c r="J331" s="5"/>
      <c r="K331" s="6"/>
      <c r="N331" s="2"/>
      <c r="O331" s="2"/>
      <c r="P331" s="2"/>
    </row>
    <row r="332" spans="2:16" ht="14.25">
      <c r="B332" s="4"/>
      <c r="I332" s="5"/>
      <c r="J332" s="5"/>
      <c r="K332" s="6"/>
      <c r="N332" s="2"/>
      <c r="O332" s="2"/>
      <c r="P332" s="2"/>
    </row>
    <row r="333" spans="2:16" ht="14.25">
      <c r="B333" s="4"/>
      <c r="I333" s="5"/>
      <c r="J333" s="5"/>
      <c r="K333" s="6"/>
      <c r="N333" s="2"/>
      <c r="O333" s="2"/>
      <c r="P333" s="2"/>
    </row>
    <row r="334" spans="2:16" ht="14.25">
      <c r="B334" s="4"/>
      <c r="I334" s="5"/>
      <c r="J334" s="5"/>
      <c r="K334" s="6"/>
      <c r="N334" s="2"/>
      <c r="O334" s="2"/>
      <c r="P334" s="2"/>
    </row>
    <row r="335" spans="2:16" ht="14.25">
      <c r="B335" s="4"/>
      <c r="I335" s="5"/>
      <c r="J335" s="5"/>
      <c r="K335" s="6"/>
      <c r="N335" s="2"/>
      <c r="O335" s="2"/>
      <c r="P335" s="2"/>
    </row>
    <row r="336" spans="2:16" ht="14.25">
      <c r="B336" s="4"/>
      <c r="I336" s="5"/>
      <c r="J336" s="5"/>
      <c r="K336" s="6"/>
      <c r="N336" s="2"/>
      <c r="O336" s="2"/>
      <c r="P336" s="2"/>
    </row>
    <row r="337" spans="2:16" ht="14.25">
      <c r="B337" s="4"/>
      <c r="I337" s="5"/>
      <c r="J337" s="5"/>
      <c r="K337" s="6"/>
      <c r="N337" s="2"/>
      <c r="O337" s="2"/>
      <c r="P337" s="2"/>
    </row>
    <row r="338" spans="2:16" ht="14.25">
      <c r="B338" s="4"/>
      <c r="I338" s="5"/>
      <c r="J338" s="5"/>
      <c r="K338" s="6"/>
      <c r="N338" s="2"/>
      <c r="O338" s="2"/>
      <c r="P338" s="2"/>
    </row>
    <row r="339" spans="2:16" ht="14.25">
      <c r="B339" s="4"/>
      <c r="I339" s="5"/>
      <c r="J339" s="5"/>
      <c r="K339" s="6"/>
      <c r="N339" s="2"/>
      <c r="O339" s="2"/>
      <c r="P339" s="2"/>
    </row>
    <row r="340" spans="2:16" ht="14.25">
      <c r="B340" s="4"/>
      <c r="I340" s="5"/>
      <c r="J340" s="5"/>
      <c r="K340" s="6"/>
      <c r="N340" s="2"/>
      <c r="O340" s="2"/>
      <c r="P340" s="2"/>
    </row>
    <row r="341" spans="2:16" ht="14.25">
      <c r="B341" s="4"/>
      <c r="I341" s="5"/>
      <c r="J341" s="5"/>
      <c r="K341" s="6"/>
      <c r="N341" s="2"/>
      <c r="O341" s="2"/>
      <c r="P341" s="2"/>
    </row>
    <row r="342" spans="2:16" ht="14.25">
      <c r="B342" s="4"/>
      <c r="I342" s="5"/>
      <c r="J342" s="5"/>
      <c r="K342" s="6"/>
      <c r="N342" s="2"/>
      <c r="O342" s="2"/>
      <c r="P342" s="2"/>
    </row>
    <row r="343" spans="2:16" ht="14.25">
      <c r="B343" s="4"/>
      <c r="I343" s="5"/>
      <c r="J343" s="5"/>
      <c r="K343" s="6"/>
      <c r="N343" s="2"/>
      <c r="O343" s="2"/>
      <c r="P343" s="2"/>
    </row>
    <row r="344" spans="2:16" ht="14.25">
      <c r="B344" s="4"/>
      <c r="I344" s="5"/>
      <c r="J344" s="5"/>
      <c r="K344" s="6"/>
      <c r="N344" s="2"/>
      <c r="O344" s="2"/>
      <c r="P344" s="2"/>
    </row>
    <row r="345" spans="2:16" ht="14.25">
      <c r="B345" s="4"/>
      <c r="I345" s="5"/>
      <c r="J345" s="5"/>
      <c r="K345" s="6"/>
      <c r="N345" s="2"/>
      <c r="O345" s="2"/>
      <c r="P345" s="2"/>
    </row>
    <row r="346" spans="2:16" ht="14.25">
      <c r="B346" s="4"/>
      <c r="I346" s="5"/>
      <c r="J346" s="5"/>
      <c r="K346" s="6"/>
      <c r="N346" s="2"/>
      <c r="O346" s="2"/>
      <c r="P346" s="2"/>
    </row>
    <row r="347" spans="2:16" ht="14.25">
      <c r="B347" s="4"/>
      <c r="I347" s="5"/>
      <c r="J347" s="5"/>
      <c r="K347" s="6"/>
      <c r="N347" s="2"/>
      <c r="O347" s="2"/>
      <c r="P347" s="2"/>
    </row>
    <row r="348" spans="2:16" ht="14.25">
      <c r="B348" s="4"/>
      <c r="I348" s="5"/>
      <c r="J348" s="5"/>
      <c r="K348" s="6"/>
      <c r="N348" s="2"/>
      <c r="O348" s="2"/>
      <c r="P348" s="2"/>
    </row>
    <row r="349" spans="2:16" ht="14.25">
      <c r="B349" s="4"/>
      <c r="I349" s="5"/>
      <c r="J349" s="5"/>
      <c r="K349" s="6"/>
      <c r="N349" s="2"/>
      <c r="O349" s="2"/>
      <c r="P349" s="2"/>
    </row>
    <row r="350" spans="2:16" ht="14.25">
      <c r="B350" s="4"/>
      <c r="I350" s="5"/>
      <c r="J350" s="5"/>
      <c r="K350" s="6"/>
      <c r="N350" s="2"/>
      <c r="O350" s="2"/>
      <c r="P350" s="2"/>
    </row>
    <row r="351" spans="2:16" ht="14.25">
      <c r="B351" s="4"/>
      <c r="I351" s="5"/>
      <c r="J351" s="5"/>
      <c r="K351" s="6"/>
      <c r="N351" s="2"/>
      <c r="O351" s="2"/>
      <c r="P351" s="2"/>
    </row>
    <row r="352" spans="2:16" ht="14.25">
      <c r="B352" s="4"/>
      <c r="I352" s="5"/>
      <c r="J352" s="5"/>
      <c r="K352" s="6"/>
      <c r="N352" s="2"/>
      <c r="O352" s="2"/>
      <c r="P352" s="2"/>
    </row>
    <row r="353" spans="2:16" ht="14.25">
      <c r="B353" s="4"/>
      <c r="I353" s="5"/>
      <c r="J353" s="5"/>
      <c r="K353" s="6"/>
      <c r="N353" s="2"/>
      <c r="O353" s="2"/>
      <c r="P353" s="2"/>
    </row>
    <row r="354" spans="2:16" ht="14.25">
      <c r="B354" s="4"/>
      <c r="I354" s="5"/>
      <c r="J354" s="5"/>
      <c r="K354" s="6"/>
      <c r="N354" s="2"/>
      <c r="O354" s="2"/>
      <c r="P354" s="2"/>
    </row>
    <row r="355" spans="2:16" ht="14.25">
      <c r="B355" s="4"/>
      <c r="I355" s="5"/>
      <c r="J355" s="5"/>
      <c r="K355" s="6"/>
      <c r="N355" s="2"/>
      <c r="O355" s="2"/>
      <c r="P355" s="2"/>
    </row>
    <row r="356" spans="2:16" ht="14.25">
      <c r="B356" s="4"/>
      <c r="I356" s="5"/>
      <c r="J356" s="5"/>
      <c r="K356" s="6"/>
      <c r="N356" s="2"/>
      <c r="O356" s="2"/>
      <c r="P356" s="2"/>
    </row>
    <row r="357" spans="2:16" ht="14.25">
      <c r="B357" s="4"/>
      <c r="I357" s="5"/>
      <c r="J357" s="5"/>
      <c r="K357" s="6"/>
      <c r="N357" s="2"/>
      <c r="O357" s="2"/>
      <c r="P357" s="2"/>
    </row>
    <row r="358" spans="2:16" ht="14.25">
      <c r="B358" s="4"/>
      <c r="I358" s="5"/>
      <c r="J358" s="5"/>
      <c r="K358" s="6"/>
      <c r="N358" s="2"/>
      <c r="O358" s="2"/>
      <c r="P358" s="2"/>
    </row>
    <row r="359" spans="2:16" ht="14.25">
      <c r="B359" s="4"/>
      <c r="I359" s="5"/>
      <c r="J359" s="5"/>
      <c r="K359" s="6"/>
      <c r="N359" s="2"/>
      <c r="O359" s="2"/>
      <c r="P359" s="2"/>
    </row>
    <row r="360" spans="2:16" ht="14.25">
      <c r="B360" s="4"/>
      <c r="I360" s="5"/>
      <c r="J360" s="5"/>
      <c r="K360" s="6"/>
      <c r="N360" s="2"/>
      <c r="O360" s="2"/>
      <c r="P360" s="2"/>
    </row>
    <row r="361" spans="2:16" ht="14.25">
      <c r="B361" s="4"/>
      <c r="I361" s="5"/>
      <c r="J361" s="5"/>
      <c r="K361" s="6"/>
      <c r="N361" s="2"/>
      <c r="O361" s="2"/>
      <c r="P361" s="2"/>
    </row>
    <row r="362" spans="2:16" ht="14.25">
      <c r="B362" s="4"/>
      <c r="I362" s="5"/>
      <c r="J362" s="5"/>
      <c r="K362" s="6"/>
      <c r="N362" s="2"/>
      <c r="O362" s="2"/>
      <c r="P362" s="2"/>
    </row>
    <row r="363" spans="2:16" ht="14.25">
      <c r="B363" s="4"/>
      <c r="I363" s="5"/>
      <c r="J363" s="5"/>
      <c r="K363" s="6"/>
      <c r="N363" s="2"/>
      <c r="O363" s="2"/>
      <c r="P363" s="2"/>
    </row>
    <row r="364" spans="2:16" ht="14.25">
      <c r="B364" s="4"/>
      <c r="I364" s="5"/>
      <c r="J364" s="5"/>
      <c r="K364" s="6"/>
      <c r="N364" s="2"/>
      <c r="O364" s="2"/>
      <c r="P364" s="2"/>
    </row>
    <row r="365" spans="2:16" ht="14.25">
      <c r="B365" s="4"/>
      <c r="I365" s="5"/>
      <c r="J365" s="5"/>
      <c r="K365" s="6"/>
      <c r="N365" s="2"/>
      <c r="O365" s="2"/>
      <c r="P365" s="2"/>
    </row>
    <row r="366" spans="2:16" ht="14.25">
      <c r="B366" s="4"/>
      <c r="I366" s="5"/>
      <c r="J366" s="5"/>
      <c r="K366" s="6"/>
      <c r="N366" s="2"/>
      <c r="O366" s="2"/>
      <c r="P366" s="2"/>
    </row>
    <row r="367" spans="2:16" ht="14.25">
      <c r="B367" s="4"/>
      <c r="I367" s="5"/>
      <c r="J367" s="5"/>
      <c r="K367" s="6"/>
      <c r="N367" s="2"/>
      <c r="O367" s="2"/>
      <c r="P367" s="2"/>
    </row>
    <row r="368" spans="2:16" ht="14.25">
      <c r="B368" s="4"/>
      <c r="I368" s="5"/>
      <c r="J368" s="5"/>
      <c r="K368" s="6"/>
      <c r="N368" s="2"/>
      <c r="O368" s="2"/>
      <c r="P368" s="2"/>
    </row>
    <row r="369" spans="2:16" ht="14.25">
      <c r="B369" s="4"/>
      <c r="I369" s="5"/>
      <c r="J369" s="5"/>
      <c r="K369" s="6"/>
      <c r="N369" s="2"/>
      <c r="O369" s="2"/>
      <c r="P369" s="2"/>
    </row>
    <row r="370" spans="2:16" ht="14.25">
      <c r="B370" s="4"/>
      <c r="I370" s="5"/>
      <c r="J370" s="5"/>
      <c r="K370" s="6"/>
      <c r="N370" s="2"/>
      <c r="O370" s="2"/>
      <c r="P370" s="2"/>
    </row>
    <row r="371" spans="2:16" ht="14.25">
      <c r="B371" s="4"/>
      <c r="I371" s="5"/>
      <c r="J371" s="5"/>
      <c r="K371" s="6"/>
      <c r="N371" s="2"/>
      <c r="O371" s="2"/>
      <c r="P371" s="2"/>
    </row>
    <row r="372" spans="2:16" ht="14.25">
      <c r="B372" s="4"/>
      <c r="I372" s="5"/>
      <c r="J372" s="5"/>
      <c r="K372" s="6"/>
      <c r="N372" s="2"/>
      <c r="O372" s="2"/>
      <c r="P372" s="2"/>
    </row>
    <row r="373" spans="2:16" ht="14.25">
      <c r="B373" s="4"/>
      <c r="I373" s="5"/>
      <c r="J373" s="5"/>
      <c r="K373" s="6"/>
      <c r="N373" s="2"/>
      <c r="O373" s="2"/>
      <c r="P373" s="2"/>
    </row>
    <row r="374" spans="2:16" ht="14.25">
      <c r="B374" s="4"/>
      <c r="I374" s="5"/>
      <c r="J374" s="5"/>
      <c r="K374" s="6"/>
      <c r="N374" s="2"/>
      <c r="O374" s="2"/>
      <c r="P374" s="2"/>
    </row>
    <row r="375" spans="2:16" ht="14.25">
      <c r="B375" s="4"/>
      <c r="I375" s="5"/>
      <c r="J375" s="5"/>
      <c r="K375" s="6"/>
      <c r="N375" s="2"/>
      <c r="O375" s="2"/>
      <c r="P375" s="2"/>
    </row>
    <row r="376" spans="2:16" ht="14.25">
      <c r="B376" s="4"/>
      <c r="I376" s="5"/>
      <c r="J376" s="5"/>
      <c r="K376" s="6"/>
      <c r="N376" s="2"/>
      <c r="O376" s="2"/>
      <c r="P376" s="2"/>
    </row>
    <row r="377" spans="2:16" ht="14.25">
      <c r="B377" s="4"/>
      <c r="I377" s="5"/>
      <c r="J377" s="5"/>
      <c r="K377" s="6"/>
      <c r="N377" s="2"/>
      <c r="O377" s="2"/>
      <c r="P377" s="2"/>
    </row>
    <row r="378" spans="2:16" ht="14.25">
      <c r="B378" s="4"/>
      <c r="I378" s="5"/>
      <c r="J378" s="5"/>
      <c r="K378" s="6"/>
      <c r="N378" s="2"/>
      <c r="O378" s="2"/>
      <c r="P378" s="2"/>
    </row>
    <row r="379" spans="2:16" ht="14.25">
      <c r="B379" s="4"/>
      <c r="I379" s="5"/>
      <c r="J379" s="5"/>
      <c r="K379" s="6"/>
      <c r="N379" s="2"/>
      <c r="O379" s="2"/>
      <c r="P379" s="2"/>
    </row>
    <row r="380" spans="2:16" ht="14.25">
      <c r="B380" s="4"/>
      <c r="I380" s="5"/>
      <c r="J380" s="5"/>
      <c r="K380" s="6"/>
      <c r="N380" s="2"/>
      <c r="O380" s="2"/>
      <c r="P380" s="2"/>
    </row>
    <row r="381" spans="2:16" ht="14.25">
      <c r="B381" s="4"/>
      <c r="I381" s="5"/>
      <c r="J381" s="5"/>
      <c r="K381" s="6"/>
      <c r="N381" s="2"/>
      <c r="O381" s="2"/>
      <c r="P381" s="2"/>
    </row>
    <row r="382" spans="2:16" ht="14.25">
      <c r="B382" s="4"/>
      <c r="I382" s="5"/>
      <c r="J382" s="5"/>
      <c r="K382" s="6"/>
      <c r="N382" s="2"/>
      <c r="O382" s="2"/>
      <c r="P382" s="2"/>
    </row>
    <row r="383" spans="2:16" ht="14.25">
      <c r="B383" s="4"/>
      <c r="I383" s="5"/>
      <c r="J383" s="5"/>
      <c r="K383" s="6"/>
      <c r="N383" s="2"/>
      <c r="O383" s="2"/>
      <c r="P383" s="2"/>
    </row>
    <row r="384" spans="2:16" ht="14.25">
      <c r="B384" s="4"/>
      <c r="I384" s="5"/>
      <c r="J384" s="5"/>
      <c r="K384" s="6"/>
      <c r="N384" s="2"/>
      <c r="O384" s="2"/>
      <c r="P384" s="2"/>
    </row>
    <row r="385" spans="2:16" ht="14.25">
      <c r="B385" s="4"/>
      <c r="I385" s="5"/>
      <c r="J385" s="5"/>
      <c r="K385" s="6"/>
      <c r="N385" s="2"/>
      <c r="O385" s="2"/>
      <c r="P385" s="2"/>
    </row>
    <row r="386" spans="2:16" ht="14.25">
      <c r="B386" s="4"/>
      <c r="I386" s="5"/>
      <c r="J386" s="5"/>
      <c r="K386" s="6"/>
      <c r="N386" s="2"/>
      <c r="O386" s="2"/>
      <c r="P386" s="2"/>
    </row>
    <row r="387" spans="2:16" ht="14.25">
      <c r="B387" s="4"/>
      <c r="I387" s="5"/>
      <c r="J387" s="5"/>
      <c r="K387" s="6"/>
      <c r="N387" s="2"/>
      <c r="O387" s="2"/>
      <c r="P387" s="2"/>
    </row>
    <row r="388" spans="2:16" ht="14.25">
      <c r="B388" s="4"/>
      <c r="I388" s="5"/>
      <c r="J388" s="5"/>
      <c r="K388" s="6"/>
      <c r="N388" s="2"/>
      <c r="O388" s="2"/>
      <c r="P388" s="2"/>
    </row>
    <row r="389" spans="2:16" ht="14.25">
      <c r="B389" s="4"/>
      <c r="I389" s="5"/>
      <c r="J389" s="5"/>
      <c r="K389" s="6"/>
      <c r="N389" s="2"/>
      <c r="O389" s="2"/>
      <c r="P389" s="2"/>
    </row>
    <row r="390" spans="2:16" ht="14.25">
      <c r="B390" s="4"/>
      <c r="I390" s="5"/>
      <c r="J390" s="5"/>
      <c r="K390" s="6"/>
      <c r="N390" s="2"/>
      <c r="O390" s="2"/>
      <c r="P390" s="2"/>
    </row>
    <row r="391" spans="2:16" ht="14.25">
      <c r="B391" s="4"/>
      <c r="I391" s="5"/>
      <c r="J391" s="5"/>
      <c r="K391" s="6"/>
      <c r="N391" s="2"/>
      <c r="O391" s="2"/>
      <c r="P391" s="2"/>
    </row>
    <row r="392" spans="2:16" ht="14.25">
      <c r="B392" s="4"/>
      <c r="I392" s="5"/>
      <c r="J392" s="5"/>
      <c r="K392" s="6"/>
      <c r="N392" s="2"/>
      <c r="O392" s="2"/>
      <c r="P392" s="2"/>
    </row>
    <row r="393" spans="2:16" ht="14.25">
      <c r="B393" s="4"/>
      <c r="I393" s="5"/>
      <c r="J393" s="5"/>
      <c r="K393" s="6"/>
      <c r="N393" s="2"/>
      <c r="O393" s="2"/>
      <c r="P393" s="2"/>
    </row>
    <row r="394" spans="2:16" ht="14.25">
      <c r="B394" s="4"/>
      <c r="I394" s="5"/>
      <c r="J394" s="5"/>
      <c r="K394" s="6"/>
      <c r="N394" s="2"/>
      <c r="O394" s="2"/>
      <c r="P394" s="2"/>
    </row>
    <row r="395" spans="2:16" ht="14.25">
      <c r="B395" s="4"/>
      <c r="I395" s="5"/>
      <c r="J395" s="5"/>
      <c r="K395" s="6"/>
      <c r="N395" s="2"/>
      <c r="O395" s="2"/>
      <c r="P395" s="2"/>
    </row>
    <row r="396" spans="2:16" ht="14.25">
      <c r="B396" s="4"/>
      <c r="I396" s="5"/>
      <c r="J396" s="5"/>
      <c r="K396" s="6"/>
      <c r="N396" s="2"/>
      <c r="O396" s="2"/>
      <c r="P396" s="2"/>
    </row>
    <row r="397" spans="2:16" ht="14.25">
      <c r="B397" s="4"/>
      <c r="I397" s="5"/>
      <c r="J397" s="5"/>
      <c r="K397" s="6"/>
      <c r="N397" s="2"/>
      <c r="O397" s="2"/>
      <c r="P397" s="2"/>
    </row>
    <row r="398" spans="2:16" ht="14.25">
      <c r="B398" s="4"/>
      <c r="I398" s="5"/>
      <c r="J398" s="5"/>
      <c r="K398" s="6"/>
      <c r="N398" s="2"/>
      <c r="O398" s="2"/>
      <c r="P398" s="2"/>
    </row>
    <row r="399" spans="2:16" ht="14.25">
      <c r="B399" s="4"/>
      <c r="I399" s="5"/>
      <c r="J399" s="5"/>
      <c r="K399" s="6"/>
      <c r="N399" s="2"/>
      <c r="O399" s="2"/>
      <c r="P399" s="2"/>
    </row>
    <row r="400" spans="2:16" ht="14.25">
      <c r="B400" s="4"/>
      <c r="I400" s="5"/>
      <c r="J400" s="5"/>
      <c r="K400" s="6"/>
      <c r="N400" s="2"/>
      <c r="O400" s="2"/>
      <c r="P400" s="2"/>
    </row>
    <row r="401" spans="2:16" ht="14.25">
      <c r="B401" s="4"/>
      <c r="I401" s="5"/>
      <c r="J401" s="5"/>
      <c r="K401" s="6"/>
      <c r="N401" s="2"/>
      <c r="O401" s="2"/>
      <c r="P401" s="2"/>
    </row>
    <row r="402" spans="2:16" ht="14.25">
      <c r="B402" s="4"/>
      <c r="I402" s="5"/>
      <c r="J402" s="5"/>
      <c r="K402" s="6"/>
      <c r="N402" s="2"/>
      <c r="O402" s="2"/>
      <c r="P402" s="2"/>
    </row>
    <row r="403" spans="2:16" ht="14.25">
      <c r="B403" s="4"/>
      <c r="I403" s="5"/>
      <c r="J403" s="5"/>
      <c r="K403" s="6"/>
      <c r="N403" s="2"/>
      <c r="O403" s="2"/>
      <c r="P403" s="2"/>
    </row>
    <row r="404" spans="2:16" ht="14.25">
      <c r="B404" s="4"/>
      <c r="I404" s="5"/>
      <c r="J404" s="5"/>
      <c r="K404" s="6"/>
      <c r="N404" s="2"/>
      <c r="O404" s="2"/>
      <c r="P404" s="2"/>
    </row>
    <row r="405" spans="2:16" ht="14.25">
      <c r="B405" s="4"/>
      <c r="I405" s="5"/>
      <c r="J405" s="5"/>
      <c r="K405" s="6"/>
      <c r="N405" s="2"/>
      <c r="O405" s="2"/>
      <c r="P405" s="2"/>
    </row>
    <row r="406" spans="2:16" ht="14.25">
      <c r="B406" s="4"/>
      <c r="I406" s="5"/>
      <c r="J406" s="5"/>
      <c r="K406" s="6"/>
      <c r="N406" s="2"/>
      <c r="O406" s="2"/>
      <c r="P406" s="2"/>
    </row>
    <row r="407" spans="2:16" ht="14.25">
      <c r="B407" s="4"/>
      <c r="I407" s="5"/>
      <c r="J407" s="5"/>
      <c r="K407" s="6"/>
      <c r="N407" s="2"/>
      <c r="O407" s="2"/>
      <c r="P407" s="2"/>
    </row>
    <row r="408" spans="2:16" ht="14.25">
      <c r="B408" s="4"/>
      <c r="I408" s="5"/>
      <c r="J408" s="5"/>
      <c r="K408" s="6"/>
      <c r="N408" s="2"/>
      <c r="O408" s="2"/>
      <c r="P408" s="2"/>
    </row>
    <row r="409" spans="2:16" ht="14.25">
      <c r="B409" s="4"/>
      <c r="I409" s="5"/>
      <c r="J409" s="5"/>
      <c r="K409" s="6"/>
      <c r="N409" s="2"/>
      <c r="O409" s="2"/>
      <c r="P409" s="2"/>
    </row>
    <row r="410" spans="2:16" ht="14.25">
      <c r="B410" s="4"/>
      <c r="I410" s="5"/>
      <c r="J410" s="5"/>
      <c r="K410" s="6"/>
      <c r="N410" s="2"/>
      <c r="O410" s="2"/>
      <c r="P410" s="2"/>
    </row>
    <row r="411" spans="2:16" ht="14.25">
      <c r="B411" s="4"/>
      <c r="I411" s="5"/>
      <c r="J411" s="5"/>
      <c r="K411" s="6"/>
      <c r="N411" s="2"/>
      <c r="O411" s="2"/>
      <c r="P411" s="2"/>
    </row>
    <row r="412" spans="2:16" ht="14.25">
      <c r="B412" s="4"/>
      <c r="I412" s="5"/>
      <c r="J412" s="5"/>
      <c r="K412" s="6"/>
      <c r="N412" s="2"/>
      <c r="O412" s="2"/>
      <c r="P412" s="2"/>
    </row>
    <row r="413" spans="2:16" ht="14.25">
      <c r="B413" s="4"/>
      <c r="I413" s="5"/>
      <c r="J413" s="5"/>
      <c r="K413" s="6"/>
      <c r="N413" s="2"/>
      <c r="O413" s="2"/>
      <c r="P413" s="2"/>
    </row>
    <row r="414" spans="2:16" ht="14.25">
      <c r="B414" s="4"/>
      <c r="I414" s="5"/>
      <c r="J414" s="5"/>
      <c r="K414" s="6"/>
      <c r="N414" s="2"/>
      <c r="O414" s="2"/>
      <c r="P414" s="2"/>
    </row>
    <row r="415" spans="2:16" ht="14.25">
      <c r="B415" s="4"/>
      <c r="I415" s="5"/>
      <c r="J415" s="5"/>
      <c r="K415" s="6"/>
      <c r="N415" s="2"/>
      <c r="O415" s="2"/>
      <c r="P415" s="2"/>
    </row>
    <row r="416" spans="2:16" ht="14.25">
      <c r="B416" s="4"/>
      <c r="I416" s="5"/>
      <c r="J416" s="5"/>
      <c r="K416" s="6"/>
      <c r="N416" s="2"/>
      <c r="O416" s="2"/>
      <c r="P416" s="2"/>
    </row>
    <row r="417" spans="2:16" ht="14.25">
      <c r="B417" s="4"/>
      <c r="I417" s="5"/>
      <c r="J417" s="5"/>
      <c r="K417" s="6"/>
      <c r="N417" s="2"/>
      <c r="O417" s="2"/>
      <c r="P417" s="2"/>
    </row>
    <row r="418" spans="2:16" ht="14.25">
      <c r="B418" s="4"/>
      <c r="I418" s="5"/>
      <c r="J418" s="5"/>
      <c r="K418" s="6"/>
      <c r="N418" s="2"/>
      <c r="O418" s="2"/>
      <c r="P418" s="2"/>
    </row>
    <row r="419" spans="2:16" ht="14.25">
      <c r="B419" s="4"/>
      <c r="I419" s="5"/>
      <c r="J419" s="5"/>
      <c r="K419" s="6"/>
      <c r="N419" s="2"/>
      <c r="O419" s="2"/>
      <c r="P419" s="2"/>
    </row>
    <row r="420" spans="2:16" ht="14.25">
      <c r="B420" s="4"/>
      <c r="I420" s="5"/>
      <c r="J420" s="5"/>
      <c r="K420" s="6"/>
      <c r="N420" s="2"/>
      <c r="O420" s="2"/>
      <c r="P420" s="2"/>
    </row>
    <row r="421" spans="2:16" ht="14.25">
      <c r="B421" s="4"/>
      <c r="I421" s="5"/>
      <c r="J421" s="5"/>
      <c r="K421" s="6"/>
      <c r="N421" s="2"/>
      <c r="O421" s="2"/>
      <c r="P421" s="2"/>
    </row>
    <row r="422" spans="2:16" ht="14.25">
      <c r="B422" s="4"/>
      <c r="I422" s="5"/>
      <c r="J422" s="5"/>
      <c r="K422" s="6"/>
      <c r="N422" s="2"/>
      <c r="O422" s="2"/>
      <c r="P422" s="2"/>
    </row>
    <row r="423" spans="2:16" ht="14.25">
      <c r="B423" s="4"/>
      <c r="I423" s="5"/>
      <c r="J423" s="5"/>
      <c r="K423" s="6"/>
      <c r="N423" s="2"/>
      <c r="O423" s="2"/>
      <c r="P423" s="2"/>
    </row>
    <row r="424" spans="2:16" ht="14.25">
      <c r="B424" s="4"/>
      <c r="I424" s="5"/>
      <c r="J424" s="5"/>
      <c r="K424" s="6"/>
      <c r="N424" s="2"/>
      <c r="O424" s="2"/>
      <c r="P424" s="2"/>
    </row>
    <row r="425" spans="2:16" ht="14.25">
      <c r="B425" s="4"/>
      <c r="I425" s="5"/>
      <c r="J425" s="5"/>
      <c r="K425" s="6"/>
      <c r="N425" s="2"/>
      <c r="O425" s="2"/>
      <c r="P425" s="2"/>
    </row>
    <row r="426" spans="2:16" ht="14.25">
      <c r="B426" s="4"/>
      <c r="I426" s="5"/>
      <c r="J426" s="5"/>
      <c r="K426" s="6"/>
      <c r="N426" s="2"/>
      <c r="O426" s="2"/>
      <c r="P426" s="2"/>
    </row>
    <row r="427" spans="2:16" ht="14.25">
      <c r="B427" s="4"/>
      <c r="I427" s="5"/>
      <c r="J427" s="5"/>
      <c r="K427" s="6"/>
      <c r="N427" s="2"/>
      <c r="O427" s="2"/>
      <c r="P427" s="2"/>
    </row>
    <row r="428" spans="2:16" ht="14.25">
      <c r="B428" s="4"/>
      <c r="I428" s="5"/>
      <c r="J428" s="5"/>
      <c r="K428" s="6"/>
      <c r="N428" s="2"/>
      <c r="O428" s="2"/>
      <c r="P428" s="2"/>
    </row>
    <row r="429" spans="2:16" ht="14.25">
      <c r="B429" s="4"/>
      <c r="I429" s="5"/>
      <c r="J429" s="5"/>
      <c r="K429" s="6"/>
      <c r="N429" s="2"/>
      <c r="O429" s="2"/>
      <c r="P429" s="2"/>
    </row>
    <row r="430" spans="2:16" ht="14.25">
      <c r="B430" s="4"/>
      <c r="I430" s="5"/>
      <c r="J430" s="5"/>
      <c r="K430" s="6"/>
      <c r="N430" s="2"/>
      <c r="O430" s="2"/>
      <c r="P430" s="2"/>
    </row>
    <row r="431" spans="2:16" ht="14.25">
      <c r="B431" s="4"/>
      <c r="I431" s="5"/>
      <c r="J431" s="5"/>
      <c r="K431" s="6"/>
      <c r="N431" s="2"/>
      <c r="O431" s="2"/>
      <c r="P431" s="2"/>
    </row>
    <row r="432" spans="2:16" ht="14.25">
      <c r="B432" s="4"/>
      <c r="I432" s="5"/>
      <c r="J432" s="5"/>
      <c r="K432" s="6"/>
      <c r="N432" s="2"/>
      <c r="O432" s="2"/>
      <c r="P432" s="2"/>
    </row>
    <row r="433" spans="2:16" ht="14.25">
      <c r="B433" s="4"/>
      <c r="I433" s="5"/>
      <c r="J433" s="5"/>
      <c r="K433" s="6"/>
      <c r="N433" s="2"/>
      <c r="O433" s="2"/>
      <c r="P433" s="2"/>
    </row>
    <row r="434" spans="2:16" ht="14.25">
      <c r="B434" s="4"/>
      <c r="I434" s="5"/>
      <c r="J434" s="5"/>
      <c r="K434" s="6"/>
      <c r="N434" s="2"/>
      <c r="O434" s="2"/>
      <c r="P434" s="2"/>
    </row>
    <row r="435" spans="2:16" ht="14.25">
      <c r="B435" s="4"/>
      <c r="I435" s="5"/>
      <c r="J435" s="5"/>
      <c r="K435" s="6"/>
      <c r="N435" s="2"/>
      <c r="O435" s="2"/>
      <c r="P435" s="2"/>
    </row>
    <row r="436" spans="2:16" ht="14.25">
      <c r="B436" s="4"/>
      <c r="I436" s="5"/>
      <c r="J436" s="5"/>
      <c r="K436" s="6"/>
      <c r="N436" s="2"/>
      <c r="O436" s="2"/>
      <c r="P436" s="2"/>
    </row>
    <row r="437" spans="2:16" ht="14.25">
      <c r="B437" s="4"/>
      <c r="I437" s="5"/>
      <c r="J437" s="5"/>
      <c r="K437" s="6"/>
      <c r="N437" s="2"/>
      <c r="O437" s="2"/>
      <c r="P437" s="2"/>
    </row>
    <row r="438" spans="2:16" ht="14.25">
      <c r="B438" s="4"/>
      <c r="I438" s="5"/>
      <c r="J438" s="5"/>
      <c r="K438" s="6"/>
      <c r="N438" s="2"/>
      <c r="O438" s="2"/>
      <c r="P438" s="2"/>
    </row>
    <row r="439" spans="2:16" ht="14.25">
      <c r="B439" s="4"/>
      <c r="I439" s="5"/>
      <c r="J439" s="5"/>
      <c r="K439" s="6"/>
      <c r="N439" s="2"/>
      <c r="O439" s="2"/>
      <c r="P439" s="2"/>
    </row>
    <row r="440" spans="2:16" ht="14.25">
      <c r="B440" s="4"/>
      <c r="I440" s="5"/>
      <c r="J440" s="5"/>
      <c r="K440" s="6"/>
      <c r="N440" s="2"/>
      <c r="O440" s="2"/>
      <c r="P440" s="2"/>
    </row>
    <row r="441" spans="2:16" ht="14.25">
      <c r="B441" s="4"/>
      <c r="I441" s="5"/>
      <c r="J441" s="5"/>
      <c r="K441" s="6"/>
      <c r="N441" s="2"/>
      <c r="O441" s="2"/>
      <c r="P441" s="2"/>
    </row>
    <row r="442" spans="2:16" ht="14.25">
      <c r="B442" s="4"/>
      <c r="I442" s="5"/>
      <c r="J442" s="5"/>
      <c r="K442" s="6"/>
      <c r="N442" s="2"/>
      <c r="O442" s="2"/>
      <c r="P442" s="2"/>
    </row>
    <row r="443" spans="2:16" ht="14.25">
      <c r="B443" s="4"/>
      <c r="I443" s="5"/>
      <c r="J443" s="5"/>
      <c r="K443" s="6"/>
      <c r="N443" s="2"/>
      <c r="O443" s="2"/>
      <c r="P443" s="2"/>
    </row>
    <row r="444" spans="2:16" ht="14.25">
      <c r="B444" s="4"/>
      <c r="I444" s="5"/>
      <c r="J444" s="5"/>
      <c r="K444" s="6"/>
      <c r="N444" s="2"/>
      <c r="O444" s="2"/>
      <c r="P444" s="2"/>
    </row>
    <row r="445" spans="2:16" ht="14.25">
      <c r="B445" s="4"/>
      <c r="I445" s="5"/>
      <c r="J445" s="5"/>
      <c r="K445" s="6"/>
      <c r="N445" s="2"/>
      <c r="O445" s="2"/>
      <c r="P445" s="2"/>
    </row>
    <row r="446" spans="2:16" ht="14.25">
      <c r="B446" s="4"/>
      <c r="I446" s="5"/>
      <c r="J446" s="5"/>
      <c r="K446" s="6"/>
      <c r="N446" s="2"/>
      <c r="O446" s="2"/>
      <c r="P446" s="2"/>
    </row>
    <row r="447" spans="2:16" ht="14.25">
      <c r="B447" s="4"/>
      <c r="I447" s="5"/>
      <c r="J447" s="5"/>
      <c r="K447" s="6"/>
      <c r="N447" s="2"/>
      <c r="O447" s="2"/>
      <c r="P447" s="2"/>
    </row>
    <row r="448" spans="2:16" ht="14.25">
      <c r="B448" s="4"/>
      <c r="I448" s="5"/>
      <c r="J448" s="5"/>
      <c r="K448" s="6"/>
      <c r="N448" s="2"/>
      <c r="O448" s="2"/>
      <c r="P448" s="2"/>
    </row>
    <row r="449" spans="2:16" ht="14.25">
      <c r="B449" s="4"/>
      <c r="I449" s="5"/>
      <c r="J449" s="5"/>
      <c r="K449" s="6"/>
      <c r="N449" s="2"/>
      <c r="O449" s="2"/>
      <c r="P449" s="2"/>
    </row>
    <row r="450" spans="2:16" ht="14.25">
      <c r="B450" s="4"/>
      <c r="I450" s="5"/>
      <c r="J450" s="5"/>
      <c r="K450" s="6"/>
      <c r="N450" s="2"/>
      <c r="O450" s="2"/>
      <c r="P450" s="2"/>
    </row>
    <row r="451" spans="2:16" ht="14.25">
      <c r="B451" s="4"/>
      <c r="I451" s="5"/>
      <c r="J451" s="5"/>
      <c r="K451" s="6"/>
      <c r="N451" s="2"/>
      <c r="O451" s="2"/>
      <c r="P451" s="2"/>
    </row>
    <row r="452" spans="2:16" ht="14.25">
      <c r="B452" s="4"/>
      <c r="I452" s="5"/>
      <c r="J452" s="5"/>
      <c r="K452" s="6"/>
      <c r="N452" s="2"/>
      <c r="O452" s="2"/>
      <c r="P452" s="2"/>
    </row>
    <row r="453" spans="2:16" ht="14.25">
      <c r="B453" s="4"/>
      <c r="I453" s="5"/>
      <c r="J453" s="5"/>
      <c r="K453" s="6"/>
      <c r="N453" s="2"/>
      <c r="O453" s="2"/>
      <c r="P453" s="2"/>
    </row>
    <row r="454" spans="2:16" ht="14.25">
      <c r="B454" s="4"/>
      <c r="I454" s="5"/>
      <c r="J454" s="5"/>
      <c r="K454" s="6"/>
      <c r="N454" s="2"/>
      <c r="O454" s="2"/>
      <c r="P454" s="2"/>
    </row>
    <row r="455" spans="2:16" ht="14.25">
      <c r="B455" s="4"/>
      <c r="I455" s="5"/>
      <c r="J455" s="5"/>
      <c r="K455" s="6"/>
      <c r="N455" s="2"/>
      <c r="O455" s="2"/>
      <c r="P455" s="2"/>
    </row>
    <row r="456" spans="2:16" ht="14.25">
      <c r="B456" s="4"/>
      <c r="I456" s="5"/>
      <c r="J456" s="5"/>
      <c r="K456" s="6"/>
      <c r="N456" s="2"/>
      <c r="O456" s="2"/>
      <c r="P456" s="2"/>
    </row>
    <row r="457" spans="2:16" ht="14.25">
      <c r="B457" s="4"/>
      <c r="I457" s="5"/>
      <c r="J457" s="5"/>
      <c r="K457" s="6"/>
      <c r="N457" s="2"/>
      <c r="O457" s="2"/>
      <c r="P457" s="2"/>
    </row>
    <row r="458" spans="2:16" ht="14.25">
      <c r="B458" s="4"/>
      <c r="I458" s="5"/>
      <c r="J458" s="5"/>
      <c r="K458" s="6"/>
      <c r="N458" s="2"/>
      <c r="O458" s="2"/>
      <c r="P458" s="2"/>
    </row>
    <row r="459" spans="2:16" ht="14.25">
      <c r="B459" s="4"/>
      <c r="I459" s="5"/>
      <c r="J459" s="5"/>
      <c r="K459" s="6"/>
      <c r="N459" s="2"/>
      <c r="O459" s="2"/>
      <c r="P459" s="2"/>
    </row>
    <row r="460" spans="2:16" ht="14.25">
      <c r="B460" s="4"/>
      <c r="I460" s="5"/>
      <c r="J460" s="5"/>
      <c r="K460" s="6"/>
      <c r="N460" s="2"/>
      <c r="O460" s="2"/>
      <c r="P460" s="2"/>
    </row>
    <row r="461" spans="2:16" ht="14.25">
      <c r="B461" s="4"/>
      <c r="I461" s="5"/>
      <c r="J461" s="5"/>
      <c r="K461" s="6"/>
      <c r="N461" s="2"/>
      <c r="O461" s="2"/>
      <c r="P461" s="2"/>
    </row>
    <row r="462" spans="2:16" ht="14.25">
      <c r="B462" s="4"/>
      <c r="I462" s="5"/>
      <c r="J462" s="5"/>
      <c r="K462" s="6"/>
      <c r="N462" s="2"/>
      <c r="O462" s="2"/>
      <c r="P462" s="2"/>
    </row>
    <row r="463" spans="2:16" ht="14.25">
      <c r="B463" s="4"/>
      <c r="I463" s="5"/>
      <c r="J463" s="5"/>
      <c r="K463" s="6"/>
      <c r="N463" s="2"/>
      <c r="O463" s="2"/>
      <c r="P463" s="2"/>
    </row>
    <row r="464" spans="2:16" ht="14.25">
      <c r="B464" s="4"/>
      <c r="I464" s="5"/>
      <c r="J464" s="5"/>
      <c r="K464" s="6"/>
      <c r="N464" s="2"/>
      <c r="O464" s="2"/>
      <c r="P464" s="2"/>
    </row>
    <row r="465" spans="2:16" ht="14.25">
      <c r="B465" s="4"/>
      <c r="I465" s="5"/>
      <c r="J465" s="5"/>
      <c r="K465" s="6"/>
      <c r="N465" s="2"/>
      <c r="O465" s="2"/>
      <c r="P465" s="2"/>
    </row>
    <row r="466" spans="2:16" ht="14.25">
      <c r="B466" s="4"/>
      <c r="I466" s="5"/>
      <c r="J466" s="5"/>
      <c r="K466" s="6"/>
      <c r="N466" s="2"/>
      <c r="O466" s="2"/>
      <c r="P466" s="2"/>
    </row>
    <row r="467" spans="2:16" ht="14.25">
      <c r="B467" s="4"/>
      <c r="I467" s="5"/>
      <c r="J467" s="5"/>
      <c r="K467" s="6"/>
      <c r="N467" s="2"/>
      <c r="O467" s="2"/>
      <c r="P467" s="2"/>
    </row>
    <row r="468" spans="2:16" ht="14.25">
      <c r="B468" s="4"/>
      <c r="I468" s="5"/>
      <c r="J468" s="5"/>
      <c r="K468" s="6"/>
      <c r="N468" s="2"/>
      <c r="O468" s="2"/>
      <c r="P468" s="2"/>
    </row>
    <row r="469" spans="2:16" ht="14.25">
      <c r="B469" s="4"/>
      <c r="I469" s="5"/>
      <c r="J469" s="5"/>
      <c r="K469" s="6"/>
      <c r="N469" s="2"/>
      <c r="O469" s="2"/>
      <c r="P469" s="2"/>
    </row>
    <row r="470" spans="2:16" ht="14.25">
      <c r="B470" s="4"/>
      <c r="I470" s="5"/>
      <c r="J470" s="5"/>
      <c r="K470" s="6"/>
      <c r="N470" s="2"/>
      <c r="O470" s="2"/>
      <c r="P470" s="2"/>
    </row>
    <row r="471" spans="2:16" ht="14.25">
      <c r="B471" s="4"/>
      <c r="I471" s="5"/>
      <c r="J471" s="5"/>
      <c r="K471" s="6"/>
      <c r="N471" s="2"/>
      <c r="O471" s="2"/>
      <c r="P471" s="2"/>
    </row>
    <row r="472" spans="2:16" ht="14.25">
      <c r="B472" s="4"/>
      <c r="I472" s="5"/>
      <c r="J472" s="5"/>
      <c r="K472" s="6"/>
      <c r="N472" s="2"/>
      <c r="O472" s="2"/>
      <c r="P472" s="2"/>
    </row>
    <row r="473" spans="2:16" ht="14.25">
      <c r="B473" s="4"/>
      <c r="I473" s="5"/>
      <c r="J473" s="5"/>
      <c r="K473" s="6"/>
      <c r="N473" s="2"/>
      <c r="O473" s="2"/>
      <c r="P473" s="2"/>
    </row>
    <row r="474" spans="2:16" ht="14.25">
      <c r="B474" s="4"/>
      <c r="I474" s="5"/>
      <c r="J474" s="5"/>
      <c r="K474" s="6"/>
      <c r="N474" s="2"/>
      <c r="O474" s="2"/>
      <c r="P474" s="2"/>
    </row>
    <row r="475" spans="2:16" ht="14.25">
      <c r="B475" s="4"/>
      <c r="I475" s="5"/>
      <c r="J475" s="5"/>
      <c r="K475" s="6"/>
      <c r="N475" s="2"/>
      <c r="O475" s="2"/>
      <c r="P475" s="2"/>
    </row>
    <row r="476" spans="2:16" ht="14.25">
      <c r="B476" s="4"/>
      <c r="I476" s="5"/>
      <c r="J476" s="5"/>
      <c r="K476" s="6"/>
      <c r="N476" s="2"/>
      <c r="O476" s="2"/>
      <c r="P476" s="2"/>
    </row>
    <row r="477" spans="2:16" ht="14.25">
      <c r="B477" s="4"/>
      <c r="I477" s="5"/>
      <c r="J477" s="5"/>
      <c r="K477" s="6"/>
      <c r="N477" s="2"/>
      <c r="O477" s="2"/>
      <c r="P477" s="2"/>
    </row>
    <row r="478" spans="2:16" ht="14.25">
      <c r="B478" s="4"/>
      <c r="I478" s="5"/>
      <c r="J478" s="5"/>
      <c r="K478" s="6"/>
      <c r="N478" s="2"/>
      <c r="O478" s="2"/>
      <c r="P478" s="2"/>
    </row>
    <row r="479" spans="2:16" ht="14.25">
      <c r="B479" s="4"/>
      <c r="I479" s="5"/>
      <c r="J479" s="5"/>
      <c r="K479" s="6"/>
      <c r="N479" s="2"/>
      <c r="O479" s="2"/>
      <c r="P479" s="2"/>
    </row>
    <row r="480" spans="2:16" ht="14.25">
      <c r="B480" s="4"/>
      <c r="I480" s="5"/>
      <c r="J480" s="5"/>
      <c r="K480" s="6"/>
      <c r="N480" s="2"/>
      <c r="O480" s="2"/>
      <c r="P480" s="2"/>
    </row>
    <row r="481" spans="2:16" ht="14.25">
      <c r="B481" s="4"/>
      <c r="I481" s="5"/>
      <c r="J481" s="5"/>
      <c r="K481" s="6"/>
      <c r="N481" s="2"/>
      <c r="O481" s="2"/>
      <c r="P481" s="2"/>
    </row>
    <row r="482" spans="2:16" ht="14.25">
      <c r="B482" s="4"/>
      <c r="I482" s="5"/>
      <c r="J482" s="5"/>
      <c r="K482" s="6"/>
      <c r="N482" s="2"/>
      <c r="O482" s="2"/>
      <c r="P482" s="2"/>
    </row>
    <row r="483" spans="2:16" ht="14.25">
      <c r="B483" s="4"/>
      <c r="I483" s="5"/>
      <c r="J483" s="5"/>
      <c r="K483" s="6"/>
      <c r="N483" s="2"/>
      <c r="O483" s="2"/>
      <c r="P483" s="2"/>
    </row>
    <row r="484" spans="2:16" ht="14.25">
      <c r="B484" s="4"/>
      <c r="I484" s="5"/>
      <c r="J484" s="5"/>
      <c r="K484" s="6"/>
      <c r="N484" s="2"/>
      <c r="O484" s="2"/>
      <c r="P484" s="2"/>
    </row>
    <row r="485" spans="2:16" ht="14.25">
      <c r="B485" s="4"/>
      <c r="I485" s="5"/>
      <c r="J485" s="5"/>
      <c r="K485" s="6"/>
      <c r="N485" s="2"/>
      <c r="O485" s="2"/>
      <c r="P485" s="2"/>
    </row>
    <row r="486" spans="2:16" ht="14.25">
      <c r="B486" s="4"/>
      <c r="I486" s="5"/>
      <c r="J486" s="5"/>
      <c r="K486" s="6"/>
      <c r="N486" s="2"/>
      <c r="O486" s="2"/>
      <c r="P486" s="2"/>
    </row>
    <row r="487" spans="2:16" ht="14.25">
      <c r="B487" s="4"/>
      <c r="I487" s="5"/>
      <c r="J487" s="5"/>
      <c r="K487" s="6"/>
      <c r="N487" s="2"/>
      <c r="O487" s="2"/>
      <c r="P487" s="2"/>
    </row>
    <row r="488" spans="2:16" ht="14.25">
      <c r="B488" s="4"/>
      <c r="I488" s="5"/>
      <c r="J488" s="5"/>
      <c r="K488" s="6"/>
      <c r="N488" s="2"/>
      <c r="O488" s="2"/>
      <c r="P488" s="2"/>
    </row>
    <row r="489" spans="2:16" ht="14.25">
      <c r="B489" s="4"/>
      <c r="I489" s="5"/>
      <c r="J489" s="5"/>
      <c r="K489" s="6"/>
      <c r="N489" s="2"/>
      <c r="O489" s="2"/>
      <c r="P489" s="2"/>
    </row>
    <row r="490" spans="2:16" ht="14.25">
      <c r="B490" s="4"/>
      <c r="I490" s="5"/>
      <c r="J490" s="5"/>
      <c r="K490" s="6"/>
      <c r="N490" s="2"/>
      <c r="O490" s="2"/>
      <c r="P490" s="2"/>
    </row>
    <row r="491" spans="2:16" ht="14.25">
      <c r="B491" s="4"/>
      <c r="I491" s="5"/>
      <c r="J491" s="5"/>
      <c r="K491" s="6"/>
      <c r="N491" s="2"/>
      <c r="O491" s="2"/>
      <c r="P491" s="2"/>
    </row>
    <row r="492" spans="2:16" ht="14.25">
      <c r="B492" s="4"/>
      <c r="I492" s="5"/>
      <c r="J492" s="5"/>
      <c r="K492" s="6"/>
      <c r="N492" s="2"/>
      <c r="O492" s="2"/>
      <c r="P492" s="2"/>
    </row>
    <row r="493" spans="2:16" ht="14.25">
      <c r="B493" s="4"/>
      <c r="I493" s="5"/>
      <c r="J493" s="5"/>
      <c r="K493" s="6"/>
      <c r="N493" s="2"/>
      <c r="O493" s="2"/>
      <c r="P493" s="2"/>
    </row>
    <row r="494" spans="2:16" ht="14.25">
      <c r="B494" s="4"/>
      <c r="I494" s="5"/>
      <c r="J494" s="5"/>
      <c r="K494" s="6"/>
      <c r="N494" s="2"/>
      <c r="O494" s="2"/>
      <c r="P494" s="2"/>
    </row>
    <row r="495" spans="2:16" ht="14.25">
      <c r="B495" s="4"/>
      <c r="I495" s="5"/>
      <c r="J495" s="5"/>
      <c r="K495" s="6"/>
      <c r="N495" s="2"/>
      <c r="O495" s="2"/>
      <c r="P495" s="2"/>
    </row>
    <row r="496" spans="2:16" ht="14.25">
      <c r="B496" s="4"/>
      <c r="I496" s="5"/>
      <c r="J496" s="5"/>
      <c r="K496" s="6"/>
      <c r="N496" s="2"/>
      <c r="O496" s="2"/>
      <c r="P496" s="2"/>
    </row>
    <row r="497" spans="2:16" ht="14.25">
      <c r="B497" s="4"/>
      <c r="I497" s="5"/>
      <c r="J497" s="5"/>
      <c r="K497" s="6"/>
      <c r="N497" s="2"/>
      <c r="O497" s="2"/>
      <c r="P497" s="2"/>
    </row>
    <row r="498" spans="2:16" ht="14.25">
      <c r="B498" s="4"/>
      <c r="I498" s="5"/>
      <c r="J498" s="5"/>
      <c r="K498" s="6"/>
      <c r="N498" s="2"/>
      <c r="O498" s="2"/>
      <c r="P498" s="2"/>
    </row>
    <row r="499" spans="2:16" ht="14.25">
      <c r="B499" s="4"/>
      <c r="I499" s="5"/>
      <c r="J499" s="5"/>
      <c r="K499" s="6"/>
      <c r="N499" s="2"/>
      <c r="O499" s="2"/>
      <c r="P499" s="2"/>
    </row>
    <row r="500" spans="2:16" ht="14.25">
      <c r="B500" s="4"/>
      <c r="I500" s="5"/>
      <c r="J500" s="5"/>
      <c r="K500" s="6"/>
      <c r="N500" s="2"/>
      <c r="O500" s="2"/>
      <c r="P500" s="2"/>
    </row>
    <row r="501" spans="2:16" ht="14.25">
      <c r="B501" s="4"/>
      <c r="I501" s="5"/>
      <c r="J501" s="5"/>
      <c r="K501" s="6"/>
      <c r="N501" s="2"/>
      <c r="O501" s="2"/>
      <c r="P501" s="2"/>
    </row>
    <row r="502" spans="2:16" ht="14.25">
      <c r="B502" s="4"/>
      <c r="I502" s="5"/>
      <c r="J502" s="5"/>
      <c r="K502" s="6"/>
      <c r="N502" s="2"/>
      <c r="O502" s="2"/>
      <c r="P502" s="2"/>
    </row>
    <row r="503" spans="2:16" ht="14.25">
      <c r="B503" s="4"/>
      <c r="I503" s="5"/>
      <c r="J503" s="5"/>
      <c r="K503" s="6"/>
      <c r="N503" s="2"/>
      <c r="O503" s="2"/>
      <c r="P503" s="2"/>
    </row>
    <row r="504" spans="2:16" ht="14.25">
      <c r="B504" s="4"/>
      <c r="I504" s="5"/>
      <c r="J504" s="5"/>
      <c r="K504" s="6"/>
      <c r="N504" s="2"/>
      <c r="O504" s="2"/>
      <c r="P504" s="2"/>
    </row>
    <row r="505" spans="2:16" ht="14.25">
      <c r="B505" s="4"/>
      <c r="I505" s="5"/>
      <c r="J505" s="5"/>
      <c r="K505" s="6"/>
      <c r="N505" s="2"/>
      <c r="O505" s="2"/>
      <c r="P505" s="2"/>
    </row>
    <row r="506" spans="2:16" ht="14.25">
      <c r="B506" s="4"/>
      <c r="I506" s="5"/>
      <c r="J506" s="5"/>
      <c r="K506" s="6"/>
      <c r="N506" s="2"/>
      <c r="O506" s="2"/>
      <c r="P506" s="2"/>
    </row>
    <row r="507" spans="2:16" ht="14.25">
      <c r="B507" s="4"/>
      <c r="I507" s="5"/>
      <c r="J507" s="5"/>
      <c r="K507" s="6"/>
      <c r="N507" s="2"/>
      <c r="O507" s="2"/>
      <c r="P507" s="2"/>
    </row>
    <row r="508" spans="2:16" ht="14.25">
      <c r="B508" s="4"/>
      <c r="I508" s="5"/>
      <c r="J508" s="5"/>
      <c r="K508" s="6"/>
      <c r="N508" s="2"/>
      <c r="O508" s="2"/>
      <c r="P508" s="2"/>
    </row>
    <row r="509" spans="2:16" ht="14.25">
      <c r="B509" s="4"/>
      <c r="I509" s="5"/>
      <c r="J509" s="5"/>
      <c r="K509" s="6"/>
      <c r="N509" s="2"/>
      <c r="O509" s="2"/>
      <c r="P509" s="2"/>
    </row>
    <row r="510" spans="2:16" ht="14.25">
      <c r="B510" s="4"/>
      <c r="I510" s="5"/>
      <c r="J510" s="5"/>
      <c r="K510" s="6"/>
      <c r="N510" s="2"/>
      <c r="O510" s="2"/>
      <c r="P510" s="2"/>
    </row>
    <row r="511" spans="2:16" ht="14.25">
      <c r="B511" s="4"/>
      <c r="I511" s="5"/>
      <c r="J511" s="5"/>
      <c r="K511" s="6"/>
      <c r="N511" s="2"/>
      <c r="O511" s="2"/>
      <c r="P511" s="2"/>
    </row>
    <row r="512" spans="2:16" ht="14.25">
      <c r="B512" s="4"/>
      <c r="I512" s="5"/>
      <c r="J512" s="5"/>
      <c r="K512" s="6"/>
      <c r="N512" s="2"/>
      <c r="O512" s="2"/>
      <c r="P512" s="2"/>
    </row>
    <row r="513" spans="2:16" ht="14.25">
      <c r="B513" s="4"/>
      <c r="I513" s="5"/>
      <c r="J513" s="5"/>
      <c r="K513" s="6"/>
      <c r="N513" s="2"/>
      <c r="O513" s="2"/>
      <c r="P513" s="2"/>
    </row>
    <row r="514" spans="2:16" ht="14.25">
      <c r="B514" s="4"/>
      <c r="I514" s="5"/>
      <c r="J514" s="5"/>
      <c r="K514" s="6"/>
      <c r="N514" s="2"/>
      <c r="O514" s="2"/>
      <c r="P514" s="2"/>
    </row>
    <row r="515" spans="2:16" ht="14.25">
      <c r="B515" s="4"/>
      <c r="I515" s="5"/>
      <c r="J515" s="5"/>
      <c r="K515" s="6"/>
      <c r="N515" s="2"/>
      <c r="O515" s="2"/>
      <c r="P515" s="2"/>
    </row>
    <row r="516" spans="2:16" ht="14.25">
      <c r="B516" s="4"/>
      <c r="I516" s="5"/>
      <c r="J516" s="5"/>
      <c r="K516" s="6"/>
      <c r="N516" s="2"/>
      <c r="O516" s="2"/>
      <c r="P516" s="2"/>
    </row>
    <row r="517" spans="2:16" ht="14.25">
      <c r="B517" s="4"/>
      <c r="I517" s="5"/>
      <c r="J517" s="5"/>
      <c r="K517" s="6"/>
      <c r="N517" s="2"/>
      <c r="O517" s="2"/>
      <c r="P517" s="2"/>
    </row>
    <row r="518" spans="2:16" ht="14.25">
      <c r="B518" s="4"/>
      <c r="I518" s="5"/>
      <c r="J518" s="5"/>
      <c r="K518" s="6"/>
      <c r="N518" s="2"/>
      <c r="O518" s="2"/>
      <c r="P518" s="2"/>
    </row>
    <row r="519" spans="2:16" ht="14.25">
      <c r="B519" s="4"/>
      <c r="I519" s="5"/>
      <c r="J519" s="5"/>
      <c r="K519" s="6"/>
      <c r="N519" s="2"/>
      <c r="O519" s="2"/>
      <c r="P519" s="2"/>
    </row>
    <row r="520" spans="2:16" ht="14.25">
      <c r="B520" s="4"/>
      <c r="I520" s="5"/>
      <c r="J520" s="5"/>
      <c r="K520" s="6"/>
      <c r="N520" s="2"/>
      <c r="O520" s="2"/>
      <c r="P520" s="2"/>
    </row>
    <row r="521" spans="2:16" ht="14.25">
      <c r="B521" s="4"/>
      <c r="I521" s="5"/>
      <c r="J521" s="5"/>
      <c r="K521" s="6"/>
      <c r="N521" s="2"/>
      <c r="O521" s="2"/>
      <c r="P521" s="2"/>
    </row>
    <row r="522" spans="2:16" ht="14.25">
      <c r="B522" s="4"/>
      <c r="I522" s="5"/>
      <c r="J522" s="5"/>
      <c r="K522" s="6"/>
      <c r="N522" s="2"/>
      <c r="O522" s="2"/>
      <c r="P522" s="2"/>
    </row>
    <row r="523" spans="2:16" ht="14.25">
      <c r="B523" s="4"/>
      <c r="I523" s="5"/>
      <c r="J523" s="5"/>
      <c r="K523" s="6"/>
      <c r="N523" s="2"/>
      <c r="O523" s="2"/>
      <c r="P523" s="2"/>
    </row>
    <row r="524" spans="2:16" ht="14.25">
      <c r="B524" s="4"/>
      <c r="I524" s="5"/>
      <c r="J524" s="5"/>
      <c r="K524" s="6"/>
      <c r="N524" s="2"/>
      <c r="O524" s="2"/>
      <c r="P524" s="2"/>
    </row>
    <row r="525" spans="2:16" ht="14.25">
      <c r="B525" s="4"/>
      <c r="I525" s="5"/>
      <c r="J525" s="5"/>
      <c r="K525" s="6"/>
      <c r="N525" s="2"/>
      <c r="O525" s="2"/>
      <c r="P525" s="2"/>
    </row>
    <row r="526" spans="2:16" ht="14.25">
      <c r="B526" s="4"/>
      <c r="I526" s="5"/>
      <c r="J526" s="5"/>
      <c r="K526" s="6"/>
      <c r="N526" s="2"/>
      <c r="O526" s="2"/>
      <c r="P526" s="2"/>
    </row>
    <row r="527" spans="2:16" ht="14.25">
      <c r="B527" s="4"/>
      <c r="I527" s="5"/>
      <c r="J527" s="5"/>
      <c r="K527" s="6"/>
      <c r="N527" s="2"/>
      <c r="O527" s="2"/>
      <c r="P527" s="2"/>
    </row>
    <row r="528" spans="2:16" ht="14.25">
      <c r="B528" s="4"/>
      <c r="I528" s="5"/>
      <c r="J528" s="5"/>
      <c r="K528" s="6"/>
      <c r="N528" s="2"/>
      <c r="O528" s="2"/>
      <c r="P528" s="2"/>
    </row>
    <row r="529" spans="2:16" ht="14.25">
      <c r="B529" s="4"/>
      <c r="I529" s="5"/>
      <c r="J529" s="5"/>
      <c r="K529" s="6"/>
      <c r="N529" s="2"/>
      <c r="O529" s="2"/>
      <c r="P529" s="2"/>
    </row>
    <row r="530" spans="2:16" ht="14.25">
      <c r="B530" s="4"/>
      <c r="I530" s="5"/>
      <c r="J530" s="5"/>
      <c r="K530" s="6"/>
      <c r="N530" s="2"/>
      <c r="O530" s="2"/>
      <c r="P530" s="2"/>
    </row>
    <row r="531" spans="2:16" ht="14.25">
      <c r="B531" s="4"/>
      <c r="I531" s="5"/>
      <c r="J531" s="5"/>
      <c r="K531" s="6"/>
      <c r="N531" s="2"/>
      <c r="O531" s="2"/>
      <c r="P531" s="2"/>
    </row>
    <row r="532" spans="2:16" ht="14.25">
      <c r="B532" s="4"/>
      <c r="I532" s="5"/>
      <c r="J532" s="5"/>
      <c r="K532" s="6"/>
      <c r="N532" s="2"/>
      <c r="O532" s="2"/>
      <c r="P532" s="2"/>
    </row>
    <row r="533" spans="2:16" ht="14.25">
      <c r="B533" s="4"/>
      <c r="I533" s="5"/>
      <c r="J533" s="5"/>
      <c r="K533" s="6"/>
      <c r="N533" s="2"/>
      <c r="O533" s="2"/>
      <c r="P533" s="2"/>
    </row>
    <row r="534" spans="2:16" ht="14.25">
      <c r="B534" s="4"/>
      <c r="I534" s="5"/>
      <c r="J534" s="5"/>
      <c r="K534" s="6"/>
      <c r="N534" s="2"/>
      <c r="O534" s="2"/>
      <c r="P534" s="2"/>
    </row>
    <row r="535" spans="2:16" ht="14.25">
      <c r="B535" s="4"/>
      <c r="I535" s="5"/>
      <c r="J535" s="5"/>
      <c r="K535" s="6"/>
      <c r="N535" s="2"/>
      <c r="O535" s="2"/>
      <c r="P535" s="2"/>
    </row>
    <row r="536" spans="2:16" ht="14.25">
      <c r="B536" s="4"/>
      <c r="I536" s="5"/>
      <c r="J536" s="5"/>
      <c r="K536" s="6"/>
      <c r="N536" s="2"/>
      <c r="O536" s="2"/>
      <c r="P536" s="2"/>
    </row>
    <row r="537" spans="2:16" ht="14.25">
      <c r="B537" s="4"/>
      <c r="I537" s="5"/>
      <c r="J537" s="5"/>
      <c r="K537" s="6"/>
      <c r="N537" s="2"/>
      <c r="O537" s="2"/>
      <c r="P537" s="2"/>
    </row>
    <row r="538" spans="2:16" ht="14.25">
      <c r="B538" s="4"/>
      <c r="I538" s="5"/>
      <c r="J538" s="5"/>
      <c r="K538" s="6"/>
      <c r="N538" s="2"/>
      <c r="O538" s="2"/>
      <c r="P538" s="2"/>
    </row>
    <row r="539" spans="2:16" ht="14.25">
      <c r="B539" s="4"/>
      <c r="I539" s="5"/>
      <c r="J539" s="5"/>
      <c r="K539" s="6"/>
      <c r="N539" s="2"/>
      <c r="O539" s="2"/>
      <c r="P539" s="2"/>
    </row>
    <row r="540" spans="2:16" ht="14.25">
      <c r="B540" s="4"/>
      <c r="I540" s="5"/>
      <c r="J540" s="5"/>
      <c r="K540" s="6"/>
      <c r="N540" s="2"/>
      <c r="O540" s="2"/>
      <c r="P540" s="2"/>
    </row>
    <row r="541" spans="2:16" ht="14.25">
      <c r="B541" s="4"/>
      <c r="I541" s="5"/>
      <c r="J541" s="5"/>
      <c r="K541" s="6"/>
      <c r="N541" s="2"/>
      <c r="O541" s="2"/>
      <c r="P541" s="2"/>
    </row>
    <row r="542" spans="2:16" ht="14.25">
      <c r="B542" s="4"/>
      <c r="I542" s="5"/>
      <c r="J542" s="5"/>
      <c r="K542" s="6"/>
      <c r="N542" s="2"/>
      <c r="O542" s="2"/>
      <c r="P542" s="2"/>
    </row>
    <row r="543" spans="2:16" ht="14.25">
      <c r="B543" s="4"/>
      <c r="I543" s="5"/>
      <c r="J543" s="5"/>
      <c r="K543" s="6"/>
      <c r="N543" s="2"/>
      <c r="O543" s="2"/>
      <c r="P543" s="2"/>
    </row>
    <row r="544" spans="2:16" ht="14.25">
      <c r="B544" s="4"/>
      <c r="I544" s="5"/>
      <c r="J544" s="5"/>
      <c r="K544" s="6"/>
      <c r="N544" s="2"/>
      <c r="O544" s="2"/>
      <c r="P544" s="2"/>
    </row>
    <row r="545" spans="2:16" ht="14.25">
      <c r="B545" s="4"/>
      <c r="I545" s="5"/>
      <c r="J545" s="5"/>
      <c r="K545" s="6"/>
      <c r="N545" s="2"/>
      <c r="O545" s="2"/>
      <c r="P545" s="2"/>
    </row>
    <row r="546" spans="2:16" ht="14.25">
      <c r="B546" s="4"/>
      <c r="I546" s="5"/>
      <c r="J546" s="5"/>
      <c r="K546" s="6"/>
      <c r="N546" s="2"/>
      <c r="O546" s="2"/>
      <c r="P546" s="2"/>
    </row>
    <row r="547" spans="2:16" ht="14.25">
      <c r="B547" s="4"/>
      <c r="I547" s="5"/>
      <c r="J547" s="5"/>
      <c r="K547" s="6"/>
      <c r="N547" s="2"/>
      <c r="O547" s="2"/>
      <c r="P547" s="2"/>
    </row>
    <row r="548" spans="2:16" ht="14.25">
      <c r="B548" s="4"/>
      <c r="I548" s="5"/>
      <c r="J548" s="5"/>
      <c r="K548" s="6"/>
      <c r="N548" s="2"/>
      <c r="O548" s="2"/>
      <c r="P548" s="2"/>
    </row>
    <row r="549" spans="2:16" ht="14.25">
      <c r="B549" s="4"/>
      <c r="I549" s="5"/>
      <c r="J549" s="5"/>
      <c r="K549" s="6"/>
      <c r="N549" s="2"/>
      <c r="O549" s="2"/>
      <c r="P549" s="2"/>
    </row>
    <row r="550" spans="2:16" ht="14.25">
      <c r="B550" s="4"/>
      <c r="I550" s="5"/>
      <c r="J550" s="5"/>
      <c r="K550" s="6"/>
      <c r="N550" s="2"/>
      <c r="O550" s="2"/>
      <c r="P550" s="2"/>
    </row>
    <row r="551" spans="2:16" ht="14.25">
      <c r="B551" s="4"/>
      <c r="I551" s="5"/>
      <c r="J551" s="5"/>
      <c r="K551" s="6"/>
      <c r="N551" s="2"/>
      <c r="O551" s="2"/>
      <c r="P551" s="2"/>
    </row>
    <row r="552" spans="2:16" ht="14.25">
      <c r="B552" s="4"/>
      <c r="I552" s="5"/>
      <c r="J552" s="5"/>
      <c r="K552" s="6"/>
      <c r="N552" s="2"/>
      <c r="O552" s="2"/>
      <c r="P552" s="2"/>
    </row>
    <row r="553" spans="2:16" ht="14.25">
      <c r="B553" s="4"/>
      <c r="I553" s="5"/>
      <c r="J553" s="5"/>
      <c r="K553" s="6"/>
      <c r="N553" s="2"/>
      <c r="O553" s="2"/>
      <c r="P553" s="2"/>
    </row>
    <row r="554" spans="2:16" ht="14.25">
      <c r="B554" s="4"/>
      <c r="I554" s="5"/>
      <c r="J554" s="5"/>
      <c r="K554" s="6"/>
      <c r="N554" s="2"/>
      <c r="O554" s="2"/>
      <c r="P554" s="2"/>
    </row>
    <row r="555" spans="2:16" ht="14.25">
      <c r="B555" s="4"/>
      <c r="I555" s="5"/>
      <c r="J555" s="5"/>
      <c r="K555" s="6"/>
      <c r="N555" s="2"/>
      <c r="O555" s="2"/>
      <c r="P555" s="2"/>
    </row>
    <row r="556" spans="2:16" ht="14.25">
      <c r="B556" s="4"/>
      <c r="I556" s="5"/>
      <c r="J556" s="5"/>
      <c r="K556" s="6"/>
      <c r="N556" s="2"/>
      <c r="O556" s="2"/>
      <c r="P556" s="2"/>
    </row>
    <row r="557" spans="2:16" ht="14.25">
      <c r="B557" s="4"/>
      <c r="I557" s="5"/>
      <c r="J557" s="5"/>
      <c r="K557" s="6"/>
      <c r="N557" s="2"/>
      <c r="O557" s="2"/>
      <c r="P557" s="2"/>
    </row>
    <row r="558" spans="2:16" ht="14.25">
      <c r="B558" s="4"/>
      <c r="I558" s="5"/>
      <c r="J558" s="5"/>
      <c r="K558" s="6"/>
      <c r="N558" s="2"/>
      <c r="O558" s="2"/>
      <c r="P558" s="2"/>
    </row>
    <row r="559" spans="2:16" ht="14.25">
      <c r="B559" s="4"/>
      <c r="I559" s="5"/>
      <c r="J559" s="5"/>
      <c r="K559" s="6"/>
      <c r="N559" s="2"/>
      <c r="O559" s="2"/>
      <c r="P559" s="2"/>
    </row>
    <row r="560" spans="2:16" ht="14.25">
      <c r="B560" s="4"/>
      <c r="I560" s="5"/>
      <c r="J560" s="5"/>
      <c r="K560" s="6"/>
      <c r="N560" s="2"/>
      <c r="O560" s="2"/>
      <c r="P560" s="2"/>
    </row>
    <row r="561" spans="2:16" ht="14.25">
      <c r="B561" s="4"/>
      <c r="I561" s="5"/>
      <c r="J561" s="5"/>
      <c r="K561" s="6"/>
      <c r="N561" s="2"/>
      <c r="O561" s="2"/>
      <c r="P561" s="2"/>
    </row>
    <row r="562" spans="2:16" ht="14.25">
      <c r="B562" s="4"/>
      <c r="I562" s="5"/>
      <c r="J562" s="5"/>
      <c r="K562" s="6"/>
      <c r="N562" s="2"/>
      <c r="O562" s="2"/>
      <c r="P562" s="2"/>
    </row>
    <row r="563" spans="2:16" ht="14.25">
      <c r="B563" s="4"/>
      <c r="I563" s="5"/>
      <c r="J563" s="5"/>
      <c r="K563" s="6"/>
      <c r="N563" s="2"/>
      <c r="O563" s="2"/>
      <c r="P563" s="2"/>
    </row>
    <row r="564" spans="2:16" ht="14.25">
      <c r="B564" s="4"/>
      <c r="I564" s="5"/>
      <c r="J564" s="5"/>
      <c r="K564" s="6"/>
      <c r="N564" s="2"/>
      <c r="O564" s="2"/>
      <c r="P564" s="2"/>
    </row>
    <row r="565" spans="2:16" ht="14.25">
      <c r="B565" s="4"/>
      <c r="I565" s="5"/>
      <c r="J565" s="5"/>
      <c r="K565" s="6"/>
      <c r="N565" s="2"/>
      <c r="O565" s="2"/>
      <c r="P565" s="2"/>
    </row>
    <row r="566" spans="2:16" ht="14.25">
      <c r="B566" s="4"/>
      <c r="I566" s="5"/>
      <c r="J566" s="5"/>
      <c r="K566" s="6"/>
      <c r="N566" s="2"/>
      <c r="O566" s="2"/>
      <c r="P566" s="2"/>
    </row>
    <row r="567" spans="2:16" ht="14.25">
      <c r="B567" s="4"/>
      <c r="I567" s="5"/>
      <c r="J567" s="5"/>
      <c r="K567" s="6"/>
      <c r="N567" s="2"/>
      <c r="O567" s="2"/>
      <c r="P567" s="2"/>
    </row>
    <row r="568" spans="2:16" ht="14.25">
      <c r="B568" s="4"/>
      <c r="I568" s="5"/>
      <c r="J568" s="5"/>
      <c r="K568" s="6"/>
      <c r="N568" s="2"/>
      <c r="O568" s="2"/>
      <c r="P568" s="2"/>
    </row>
    <row r="569" spans="2:16" ht="14.25">
      <c r="B569" s="4"/>
      <c r="I569" s="5"/>
      <c r="J569" s="5"/>
      <c r="K569" s="6"/>
      <c r="N569" s="2"/>
      <c r="O569" s="2"/>
      <c r="P569" s="2"/>
    </row>
    <row r="570" spans="2:16" ht="14.25">
      <c r="B570" s="4"/>
      <c r="I570" s="5"/>
      <c r="J570" s="5"/>
      <c r="K570" s="6"/>
      <c r="N570" s="2"/>
      <c r="O570" s="2"/>
      <c r="P570" s="2"/>
    </row>
    <row r="571" spans="2:16" ht="14.25">
      <c r="B571" s="4"/>
      <c r="I571" s="5"/>
      <c r="J571" s="5"/>
      <c r="K571" s="6"/>
      <c r="N571" s="2"/>
      <c r="O571" s="2"/>
      <c r="P571" s="2"/>
    </row>
    <row r="572" spans="2:16" ht="14.25">
      <c r="B572" s="4"/>
      <c r="I572" s="5"/>
      <c r="J572" s="5"/>
      <c r="K572" s="6"/>
      <c r="N572" s="2"/>
      <c r="O572" s="2"/>
      <c r="P572" s="2"/>
    </row>
    <row r="573" spans="2:16" ht="14.25">
      <c r="B573" s="4"/>
      <c r="I573" s="5"/>
      <c r="J573" s="5"/>
      <c r="K573" s="6"/>
      <c r="N573" s="2"/>
      <c r="O573" s="2"/>
      <c r="P573" s="2"/>
    </row>
    <row r="574" spans="2:16" ht="14.25">
      <c r="B574" s="4"/>
      <c r="I574" s="5"/>
      <c r="J574" s="5"/>
      <c r="K574" s="6"/>
      <c r="N574" s="2"/>
      <c r="O574" s="2"/>
      <c r="P574" s="2"/>
    </row>
    <row r="575" spans="2:16" ht="14.25">
      <c r="B575" s="4"/>
      <c r="I575" s="5"/>
      <c r="J575" s="5"/>
      <c r="K575" s="6"/>
      <c r="N575" s="2"/>
      <c r="O575" s="2"/>
      <c r="P575" s="2"/>
    </row>
    <row r="576" spans="2:16" ht="14.25">
      <c r="B576" s="4"/>
      <c r="I576" s="5"/>
      <c r="J576" s="5"/>
      <c r="K576" s="6"/>
      <c r="N576" s="2"/>
      <c r="O576" s="2"/>
      <c r="P576" s="2"/>
    </row>
    <row r="577" spans="2:16" ht="14.25">
      <c r="B577" s="4"/>
      <c r="I577" s="5"/>
      <c r="J577" s="5"/>
      <c r="K577" s="6"/>
      <c r="N577" s="2"/>
      <c r="O577" s="2"/>
      <c r="P577" s="2"/>
    </row>
    <row r="578" spans="2:16" ht="14.25">
      <c r="B578" s="4"/>
      <c r="I578" s="5"/>
      <c r="J578" s="5"/>
      <c r="K578" s="6"/>
      <c r="N578" s="2"/>
      <c r="O578" s="2"/>
      <c r="P578" s="2"/>
    </row>
    <row r="579" spans="2:16" ht="14.25">
      <c r="B579" s="4"/>
      <c r="I579" s="5"/>
      <c r="J579" s="5"/>
      <c r="K579" s="6"/>
      <c r="N579" s="2"/>
      <c r="O579" s="2"/>
      <c r="P579" s="2"/>
    </row>
    <row r="580" spans="2:16" ht="14.25">
      <c r="B580" s="4"/>
      <c r="I580" s="5"/>
      <c r="J580" s="5"/>
      <c r="K580" s="6"/>
      <c r="N580" s="2"/>
      <c r="O580" s="2"/>
      <c r="P580" s="2"/>
    </row>
    <row r="581" spans="2:16" ht="14.25">
      <c r="B581" s="4"/>
      <c r="I581" s="5"/>
      <c r="J581" s="5"/>
      <c r="K581" s="6"/>
      <c r="N581" s="2"/>
      <c r="O581" s="2"/>
      <c r="P581" s="2"/>
    </row>
    <row r="582" spans="2:16" ht="14.25">
      <c r="B582" s="4"/>
      <c r="I582" s="5"/>
      <c r="J582" s="5"/>
      <c r="K582" s="6"/>
      <c r="N582" s="2"/>
      <c r="O582" s="2"/>
      <c r="P582" s="2"/>
    </row>
    <row r="583" spans="2:16" ht="14.25">
      <c r="B583" s="4"/>
      <c r="I583" s="5"/>
      <c r="J583" s="5"/>
      <c r="K583" s="6"/>
      <c r="N583" s="2"/>
      <c r="O583" s="2"/>
      <c r="P583" s="2"/>
    </row>
    <row r="584" spans="2:16" ht="14.25">
      <c r="B584" s="4"/>
      <c r="I584" s="5"/>
      <c r="J584" s="5"/>
      <c r="K584" s="6"/>
      <c r="N584" s="2"/>
      <c r="O584" s="2"/>
      <c r="P584" s="2"/>
    </row>
    <row r="585" spans="2:16" ht="14.25">
      <c r="B585" s="4"/>
      <c r="I585" s="5"/>
      <c r="J585" s="5"/>
      <c r="K585" s="6"/>
      <c r="N585" s="2"/>
      <c r="O585" s="2"/>
      <c r="P585" s="2"/>
    </row>
    <row r="586" spans="2:16" ht="14.25">
      <c r="B586" s="4"/>
      <c r="I586" s="5"/>
      <c r="J586" s="5"/>
      <c r="K586" s="6"/>
      <c r="N586" s="2"/>
      <c r="O586" s="2"/>
      <c r="P586" s="2"/>
    </row>
    <row r="587" spans="2:16" ht="14.25">
      <c r="B587" s="4"/>
      <c r="I587" s="5"/>
      <c r="J587" s="5"/>
      <c r="K587" s="6"/>
      <c r="N587" s="2"/>
      <c r="O587" s="2"/>
      <c r="P587" s="2"/>
    </row>
    <row r="588" spans="2:16" ht="14.25">
      <c r="B588" s="4"/>
      <c r="I588" s="5"/>
      <c r="J588" s="5"/>
      <c r="K588" s="6"/>
      <c r="N588" s="2"/>
      <c r="O588" s="2"/>
      <c r="P588" s="2"/>
    </row>
    <row r="589" spans="2:16" ht="14.25">
      <c r="B589" s="4"/>
      <c r="I589" s="5"/>
      <c r="J589" s="5"/>
      <c r="K589" s="6"/>
      <c r="N589" s="2"/>
      <c r="O589" s="2"/>
      <c r="P589" s="2"/>
    </row>
    <row r="590" spans="2:16" ht="14.25">
      <c r="B590" s="4"/>
      <c r="I590" s="5"/>
      <c r="J590" s="5"/>
      <c r="K590" s="6"/>
      <c r="N590" s="2"/>
      <c r="O590" s="2"/>
      <c r="P590" s="2"/>
    </row>
    <row r="591" spans="2:16" ht="14.25">
      <c r="B591" s="4"/>
      <c r="I591" s="5"/>
      <c r="J591" s="5"/>
      <c r="K591" s="6"/>
      <c r="N591" s="2"/>
      <c r="O591" s="2"/>
      <c r="P591" s="2"/>
    </row>
    <row r="592" spans="2:16" ht="14.25">
      <c r="B592" s="4"/>
      <c r="I592" s="5"/>
      <c r="J592" s="5"/>
      <c r="K592" s="6"/>
      <c r="N592" s="2"/>
      <c r="O592" s="2"/>
      <c r="P592" s="2"/>
    </row>
    <row r="593" spans="2:16" ht="14.25">
      <c r="B593" s="4"/>
      <c r="I593" s="5"/>
      <c r="J593" s="5"/>
      <c r="K593" s="6"/>
      <c r="N593" s="2"/>
      <c r="O593" s="2"/>
      <c r="P593" s="2"/>
    </row>
    <row r="594" spans="2:16" ht="14.25">
      <c r="B594" s="4"/>
      <c r="I594" s="5"/>
      <c r="J594" s="5"/>
      <c r="K594" s="6"/>
      <c r="N594" s="2"/>
      <c r="O594" s="2"/>
      <c r="P594" s="2"/>
    </row>
    <row r="595" spans="2:16" ht="14.25">
      <c r="B595" s="4"/>
      <c r="I595" s="5"/>
      <c r="J595" s="5"/>
      <c r="K595" s="6"/>
      <c r="N595" s="2"/>
      <c r="O595" s="2"/>
      <c r="P595" s="2"/>
    </row>
    <row r="596" spans="2:16" ht="14.25">
      <c r="B596" s="4"/>
      <c r="I596" s="5"/>
      <c r="J596" s="5"/>
      <c r="K596" s="6"/>
      <c r="N596" s="2"/>
      <c r="O596" s="2"/>
      <c r="P596" s="2"/>
    </row>
    <row r="597" spans="2:16" ht="14.25">
      <c r="B597" s="4"/>
      <c r="I597" s="5"/>
      <c r="J597" s="5"/>
      <c r="K597" s="6"/>
      <c r="N597" s="2"/>
      <c r="O597" s="2"/>
      <c r="P597" s="2"/>
    </row>
    <row r="598" spans="2:16" ht="14.25">
      <c r="B598" s="4"/>
      <c r="I598" s="5"/>
      <c r="J598" s="5"/>
      <c r="K598" s="6"/>
      <c r="N598" s="2"/>
      <c r="O598" s="2"/>
      <c r="P598" s="2"/>
    </row>
    <row r="599" spans="2:16" ht="14.25">
      <c r="B599" s="4"/>
      <c r="I599" s="5"/>
      <c r="J599" s="5"/>
      <c r="K599" s="6"/>
      <c r="N599" s="2"/>
      <c r="O599" s="2"/>
      <c r="P599" s="2"/>
    </row>
    <row r="600" spans="2:16" ht="14.25">
      <c r="B600" s="4"/>
      <c r="I600" s="5"/>
      <c r="J600" s="5"/>
      <c r="K600" s="6"/>
      <c r="N600" s="2"/>
      <c r="O600" s="2"/>
      <c r="P600" s="2"/>
    </row>
    <row r="601" spans="2:16" ht="14.25">
      <c r="B601" s="4"/>
      <c r="I601" s="5"/>
      <c r="J601" s="5"/>
      <c r="K601" s="6"/>
      <c r="N601" s="2"/>
      <c r="O601" s="2"/>
      <c r="P601" s="2"/>
    </row>
    <row r="602" spans="2:16" ht="14.25">
      <c r="B602" s="4"/>
      <c r="I602" s="5"/>
      <c r="J602" s="5"/>
      <c r="K602" s="6"/>
      <c r="N602" s="2"/>
      <c r="O602" s="2"/>
      <c r="P602" s="2"/>
    </row>
    <row r="603" spans="2:16" ht="14.25">
      <c r="B603" s="4"/>
      <c r="I603" s="5"/>
      <c r="J603" s="5"/>
      <c r="K603" s="6"/>
      <c r="N603" s="2"/>
      <c r="O603" s="2"/>
      <c r="P603" s="2"/>
    </row>
    <row r="604" spans="2:16" ht="14.25">
      <c r="B604" s="4"/>
      <c r="I604" s="5"/>
      <c r="J604" s="5"/>
      <c r="K604" s="6"/>
      <c r="N604" s="2"/>
      <c r="O604" s="2"/>
      <c r="P604" s="2"/>
    </row>
    <row r="605" spans="2:16" ht="14.25">
      <c r="B605" s="4"/>
      <c r="I605" s="5"/>
      <c r="J605" s="5"/>
      <c r="K605" s="6"/>
      <c r="N605" s="2"/>
      <c r="O605" s="2"/>
      <c r="P605" s="2"/>
    </row>
    <row r="606" spans="2:16" ht="14.25">
      <c r="B606" s="4"/>
      <c r="I606" s="5"/>
      <c r="J606" s="5"/>
      <c r="K606" s="6"/>
      <c r="N606" s="2"/>
      <c r="O606" s="2"/>
      <c r="P606" s="2"/>
    </row>
    <row r="607" spans="2:16" ht="14.25">
      <c r="B607" s="4"/>
      <c r="I607" s="5"/>
      <c r="J607" s="5"/>
      <c r="K607" s="6"/>
      <c r="N607" s="2"/>
      <c r="O607" s="2"/>
      <c r="P607" s="2"/>
    </row>
    <row r="608" spans="2:16" ht="14.25">
      <c r="B608" s="4"/>
      <c r="I608" s="5"/>
      <c r="J608" s="5"/>
      <c r="K608" s="6"/>
      <c r="N608" s="2"/>
      <c r="O608" s="2"/>
      <c r="P608" s="2"/>
    </row>
    <row r="609" spans="2:16" ht="14.25">
      <c r="B609" s="4"/>
      <c r="I609" s="5"/>
      <c r="J609" s="5"/>
      <c r="K609" s="6"/>
      <c r="N609" s="2"/>
      <c r="O609" s="2"/>
      <c r="P609" s="2"/>
    </row>
    <row r="610" spans="2:16" ht="14.25">
      <c r="B610" s="4"/>
      <c r="I610" s="5"/>
      <c r="J610" s="5"/>
      <c r="K610" s="6"/>
      <c r="N610" s="2"/>
      <c r="O610" s="2"/>
      <c r="P610" s="2"/>
    </row>
    <row r="611" spans="2:16" ht="14.25">
      <c r="B611" s="4"/>
      <c r="I611" s="5"/>
      <c r="J611" s="5"/>
      <c r="K611" s="6"/>
      <c r="N611" s="2"/>
      <c r="O611" s="2"/>
      <c r="P611" s="2"/>
    </row>
    <row r="612" spans="2:16" ht="14.25">
      <c r="B612" s="4"/>
      <c r="I612" s="5"/>
      <c r="J612" s="5"/>
      <c r="K612" s="6"/>
      <c r="N612" s="2"/>
      <c r="O612" s="2"/>
      <c r="P612" s="2"/>
    </row>
    <row r="613" spans="2:16" ht="14.25">
      <c r="B613" s="4"/>
      <c r="I613" s="5"/>
      <c r="J613" s="5"/>
      <c r="K613" s="6"/>
      <c r="N613" s="2"/>
      <c r="O613" s="2"/>
      <c r="P613" s="2"/>
    </row>
    <row r="614" spans="2:16" ht="14.25">
      <c r="B614" s="4"/>
      <c r="I614" s="5"/>
      <c r="J614" s="5"/>
      <c r="K614" s="6"/>
      <c r="N614" s="2"/>
      <c r="O614" s="2"/>
      <c r="P614" s="2"/>
    </row>
    <row r="615" spans="2:16" ht="14.25">
      <c r="B615" s="4"/>
      <c r="I615" s="5"/>
      <c r="J615" s="5"/>
      <c r="K615" s="6"/>
      <c r="N615" s="2"/>
      <c r="O615" s="2"/>
      <c r="P615" s="2"/>
    </row>
    <row r="616" spans="2:16" ht="14.25">
      <c r="B616" s="4"/>
      <c r="I616" s="5"/>
      <c r="J616" s="5"/>
      <c r="K616" s="6"/>
      <c r="N616" s="2"/>
      <c r="O616" s="2"/>
      <c r="P616" s="2"/>
    </row>
    <row r="617" spans="2:16" ht="14.25">
      <c r="B617" s="4"/>
      <c r="I617" s="5"/>
      <c r="J617" s="5"/>
      <c r="K617" s="6"/>
      <c r="N617" s="2"/>
      <c r="O617" s="2"/>
      <c r="P617" s="2"/>
    </row>
    <row r="618" spans="2:16" ht="14.25">
      <c r="B618" s="4"/>
      <c r="I618" s="5"/>
      <c r="J618" s="5"/>
      <c r="K618" s="6"/>
      <c r="N618" s="2"/>
      <c r="O618" s="2"/>
      <c r="P618" s="2"/>
    </row>
    <row r="619" spans="2:16" ht="14.25">
      <c r="B619" s="4"/>
      <c r="I619" s="5"/>
      <c r="J619" s="5"/>
      <c r="K619" s="6"/>
      <c r="N619" s="2"/>
      <c r="O619" s="2"/>
      <c r="P619" s="2"/>
    </row>
    <row r="620" spans="2:16" ht="14.25">
      <c r="B620" s="4"/>
      <c r="I620" s="5"/>
      <c r="J620" s="5"/>
      <c r="K620" s="6"/>
      <c r="N620" s="2"/>
      <c r="O620" s="2"/>
      <c r="P620" s="2"/>
    </row>
    <row r="621" spans="2:16" ht="14.25">
      <c r="B621" s="4"/>
      <c r="I621" s="5"/>
      <c r="J621" s="5"/>
      <c r="K621" s="6"/>
      <c r="N621" s="2"/>
      <c r="O621" s="2"/>
      <c r="P621" s="2"/>
    </row>
    <row r="622" spans="2:16" ht="14.25">
      <c r="B622" s="4"/>
      <c r="I622" s="5"/>
      <c r="J622" s="5"/>
      <c r="K622" s="6"/>
      <c r="N622" s="2"/>
      <c r="O622" s="2"/>
      <c r="P622" s="2"/>
    </row>
    <row r="623" spans="2:16" ht="14.25">
      <c r="B623" s="4"/>
      <c r="I623" s="5"/>
      <c r="J623" s="5"/>
      <c r="K623" s="6"/>
      <c r="N623" s="2"/>
      <c r="O623" s="2"/>
      <c r="P623" s="2"/>
    </row>
    <row r="624" spans="2:16" ht="14.25">
      <c r="B624" s="4"/>
      <c r="I624" s="5"/>
      <c r="J624" s="5"/>
      <c r="K624" s="6"/>
      <c r="N624" s="2"/>
      <c r="O624" s="2"/>
      <c r="P624" s="2"/>
    </row>
    <row r="625" spans="2:16" ht="14.25">
      <c r="B625" s="4"/>
      <c r="I625" s="5"/>
      <c r="J625" s="5"/>
      <c r="K625" s="6"/>
      <c r="N625" s="2"/>
      <c r="O625" s="2"/>
      <c r="P625" s="2"/>
    </row>
    <row r="626" spans="2:16" ht="14.25">
      <c r="B626" s="4"/>
      <c r="I626" s="5"/>
      <c r="J626" s="5"/>
      <c r="K626" s="6"/>
      <c r="N626" s="2"/>
      <c r="O626" s="2"/>
      <c r="P626" s="2"/>
    </row>
    <row r="627" spans="2:16" ht="14.25">
      <c r="B627" s="4"/>
      <c r="I627" s="5"/>
      <c r="J627" s="5"/>
      <c r="K627" s="6"/>
      <c r="N627" s="2"/>
      <c r="O627" s="2"/>
      <c r="P627" s="2"/>
    </row>
    <row r="628" spans="2:16" ht="14.25">
      <c r="B628" s="4"/>
      <c r="I628" s="5"/>
      <c r="J628" s="5"/>
      <c r="K628" s="6"/>
      <c r="N628" s="2"/>
      <c r="O628" s="2"/>
      <c r="P628" s="2"/>
    </row>
    <row r="629" spans="2:16" ht="14.25">
      <c r="B629" s="4"/>
      <c r="I629" s="5"/>
      <c r="J629" s="5"/>
      <c r="K629" s="6"/>
      <c r="N629" s="2"/>
      <c r="O629" s="2"/>
      <c r="P629" s="2"/>
    </row>
    <row r="630" spans="2:16" ht="14.25">
      <c r="B630" s="4"/>
      <c r="I630" s="5"/>
      <c r="J630" s="5"/>
      <c r="K630" s="6"/>
      <c r="N630" s="2"/>
      <c r="O630" s="2"/>
      <c r="P630" s="2"/>
    </row>
    <row r="631" spans="2:16" ht="14.25">
      <c r="B631" s="4"/>
      <c r="I631" s="5"/>
      <c r="J631" s="5"/>
      <c r="K631" s="6"/>
      <c r="N631" s="2"/>
      <c r="O631" s="2"/>
      <c r="P631" s="2"/>
    </row>
    <row r="632" spans="2:16" ht="14.25">
      <c r="B632" s="4"/>
      <c r="I632" s="5"/>
      <c r="J632" s="5"/>
      <c r="K632" s="6"/>
      <c r="N632" s="2"/>
      <c r="O632" s="2"/>
      <c r="P632" s="2"/>
    </row>
    <row r="633" spans="2:16" ht="14.25">
      <c r="B633" s="4"/>
      <c r="I633" s="5"/>
      <c r="J633" s="5"/>
      <c r="K633" s="6"/>
      <c r="N633" s="2"/>
      <c r="O633" s="2"/>
      <c r="P633" s="2"/>
    </row>
    <row r="634" spans="2:16" ht="14.25">
      <c r="B634" s="4"/>
      <c r="I634" s="5"/>
      <c r="J634" s="5"/>
      <c r="K634" s="6"/>
      <c r="N634" s="2"/>
      <c r="O634" s="2"/>
      <c r="P634" s="2"/>
    </row>
    <row r="635" spans="2:16" ht="14.25">
      <c r="B635" s="4"/>
      <c r="I635" s="5"/>
      <c r="J635" s="5"/>
      <c r="K635" s="6"/>
      <c r="N635" s="2"/>
      <c r="O635" s="2"/>
      <c r="P635" s="2"/>
    </row>
    <row r="636" spans="2:16" ht="14.25">
      <c r="B636" s="4"/>
      <c r="I636" s="5"/>
      <c r="J636" s="5"/>
      <c r="K636" s="6"/>
      <c r="N636" s="2"/>
      <c r="O636" s="2"/>
      <c r="P636" s="2"/>
    </row>
    <row r="637" spans="2:16" ht="14.25">
      <c r="B637" s="4"/>
      <c r="I637" s="5"/>
      <c r="J637" s="5"/>
      <c r="K637" s="6"/>
      <c r="N637" s="2"/>
      <c r="O637" s="2"/>
      <c r="P637" s="2"/>
    </row>
    <row r="638" spans="2:16" ht="14.25">
      <c r="B638" s="4"/>
      <c r="I638" s="5"/>
      <c r="J638" s="5"/>
      <c r="K638" s="6"/>
      <c r="N638" s="2"/>
      <c r="O638" s="2"/>
      <c r="P638" s="2"/>
    </row>
    <row r="639" spans="2:16" ht="14.25">
      <c r="B639" s="4"/>
      <c r="I639" s="5"/>
      <c r="J639" s="5"/>
      <c r="K639" s="6"/>
      <c r="N639" s="2"/>
      <c r="O639" s="2"/>
      <c r="P639" s="2"/>
    </row>
    <row r="640" spans="2:16" ht="14.25">
      <c r="B640" s="4"/>
      <c r="I640" s="5"/>
      <c r="J640" s="5"/>
      <c r="K640" s="6"/>
      <c r="N640" s="2"/>
      <c r="O640" s="2"/>
      <c r="P640" s="2"/>
    </row>
    <row r="641" spans="2:16" ht="14.25">
      <c r="B641" s="4"/>
      <c r="I641" s="5"/>
      <c r="J641" s="5"/>
      <c r="K641" s="6"/>
      <c r="N641" s="2"/>
      <c r="O641" s="2"/>
      <c r="P641" s="2"/>
    </row>
    <row r="642" spans="2:16" ht="14.25">
      <c r="B642" s="4"/>
      <c r="I642" s="5"/>
      <c r="J642" s="5"/>
      <c r="K642" s="6"/>
      <c r="N642" s="2"/>
      <c r="O642" s="2"/>
      <c r="P642" s="2"/>
    </row>
    <row r="643" spans="2:16" ht="14.25">
      <c r="B643" s="4"/>
      <c r="I643" s="5"/>
      <c r="J643" s="5"/>
      <c r="K643" s="6"/>
      <c r="N643" s="2"/>
      <c r="O643" s="2"/>
      <c r="P643" s="2"/>
    </row>
    <row r="644" spans="2:16" ht="14.25">
      <c r="B644" s="4"/>
      <c r="I644" s="5"/>
      <c r="J644" s="5"/>
      <c r="K644" s="6"/>
      <c r="N644" s="2"/>
      <c r="O644" s="2"/>
      <c r="P644" s="2"/>
    </row>
    <row r="645" spans="2:16" ht="14.25">
      <c r="B645" s="4"/>
      <c r="I645" s="5"/>
      <c r="J645" s="5"/>
      <c r="K645" s="6"/>
      <c r="N645" s="2"/>
      <c r="O645" s="2"/>
      <c r="P645" s="2"/>
    </row>
    <row r="646" spans="2:16" ht="14.25">
      <c r="B646" s="4"/>
      <c r="I646" s="5"/>
      <c r="J646" s="5"/>
      <c r="K646" s="6"/>
      <c r="N646" s="2"/>
      <c r="O646" s="2"/>
      <c r="P646" s="2"/>
    </row>
    <row r="647" spans="2:16" ht="14.25">
      <c r="B647" s="4"/>
      <c r="I647" s="5"/>
      <c r="J647" s="5"/>
      <c r="K647" s="6"/>
      <c r="N647" s="2"/>
      <c r="O647" s="2"/>
      <c r="P647" s="2"/>
    </row>
    <row r="648" spans="2:16" ht="14.25">
      <c r="B648" s="4"/>
      <c r="I648" s="5"/>
      <c r="J648" s="5"/>
      <c r="K648" s="6"/>
      <c r="N648" s="2"/>
      <c r="O648" s="2"/>
      <c r="P648" s="2"/>
    </row>
    <row r="649" spans="2:16" ht="14.25">
      <c r="B649" s="4"/>
      <c r="I649" s="5"/>
      <c r="J649" s="5"/>
      <c r="K649" s="6"/>
      <c r="N649" s="2"/>
      <c r="O649" s="2"/>
      <c r="P649" s="2"/>
    </row>
    <row r="650" spans="2:16" ht="14.25">
      <c r="B650" s="4"/>
      <c r="I650" s="5"/>
      <c r="J650" s="5"/>
      <c r="K650" s="6"/>
      <c r="N650" s="2"/>
      <c r="O650" s="2"/>
      <c r="P650" s="2"/>
    </row>
    <row r="651" spans="2:16" ht="14.25">
      <c r="B651" s="4"/>
      <c r="I651" s="5"/>
      <c r="J651" s="5"/>
      <c r="K651" s="6"/>
      <c r="N651" s="2"/>
      <c r="O651" s="2"/>
      <c r="P651" s="2"/>
    </row>
    <row r="652" spans="2:16" ht="14.25">
      <c r="B652" s="4"/>
      <c r="I652" s="5"/>
      <c r="J652" s="5"/>
      <c r="K652" s="6"/>
      <c r="N652" s="2"/>
      <c r="O652" s="2"/>
      <c r="P652" s="2"/>
    </row>
    <row r="653" spans="2:16" ht="14.25">
      <c r="B653" s="4"/>
      <c r="I653" s="5"/>
      <c r="J653" s="5"/>
      <c r="K653" s="6"/>
      <c r="N653" s="2"/>
      <c r="O653" s="2"/>
      <c r="P653" s="2"/>
    </row>
    <row r="654" spans="2:16" ht="14.25">
      <c r="B654" s="4"/>
      <c r="I654" s="5"/>
      <c r="J654" s="5"/>
      <c r="K654" s="6"/>
      <c r="N654" s="2"/>
      <c r="O654" s="2"/>
      <c r="P654" s="2"/>
    </row>
    <row r="655" spans="2:16" ht="14.25">
      <c r="B655" s="4"/>
      <c r="I655" s="5"/>
      <c r="J655" s="5"/>
      <c r="K655" s="6"/>
      <c r="N655" s="2"/>
      <c r="O655" s="2"/>
      <c r="P655" s="2"/>
    </row>
    <row r="656" spans="2:16" ht="14.25">
      <c r="B656" s="4"/>
      <c r="I656" s="5"/>
      <c r="J656" s="5"/>
      <c r="K656" s="6"/>
      <c r="N656" s="2"/>
      <c r="O656" s="2"/>
      <c r="P656" s="2"/>
    </row>
    <row r="657" spans="2:16" ht="14.25">
      <c r="B657" s="4"/>
      <c r="I657" s="5"/>
      <c r="J657" s="5"/>
      <c r="K657" s="6"/>
      <c r="N657" s="2"/>
      <c r="O657" s="2"/>
      <c r="P657" s="2"/>
    </row>
    <row r="658" spans="2:16" ht="14.25">
      <c r="B658" s="4"/>
      <c r="I658" s="5"/>
      <c r="J658" s="5"/>
      <c r="K658" s="6"/>
      <c r="N658" s="2"/>
      <c r="O658" s="2"/>
      <c r="P658" s="2"/>
    </row>
    <row r="659" spans="2:16" ht="14.25">
      <c r="B659" s="4"/>
      <c r="I659" s="5"/>
      <c r="J659" s="5"/>
      <c r="K659" s="6"/>
      <c r="N659" s="2"/>
      <c r="O659" s="2"/>
      <c r="P659" s="2"/>
    </row>
    <row r="660" spans="2:16" ht="14.25">
      <c r="B660" s="4"/>
      <c r="I660" s="5"/>
      <c r="J660" s="5"/>
      <c r="K660" s="6"/>
      <c r="N660" s="2"/>
      <c r="O660" s="2"/>
      <c r="P660" s="2"/>
    </row>
    <row r="661" spans="2:16" ht="14.25">
      <c r="B661" s="4"/>
      <c r="I661" s="5"/>
      <c r="J661" s="5"/>
      <c r="K661" s="6"/>
      <c r="N661" s="2"/>
      <c r="O661" s="2"/>
      <c r="P661" s="2"/>
    </row>
    <row r="662" spans="2:16" ht="14.25">
      <c r="B662" s="4"/>
      <c r="I662" s="5"/>
      <c r="J662" s="5"/>
      <c r="K662" s="6"/>
      <c r="N662" s="2"/>
      <c r="O662" s="2"/>
      <c r="P662" s="2"/>
    </row>
    <row r="663" spans="2:16" ht="14.25">
      <c r="B663" s="4"/>
      <c r="I663" s="5"/>
      <c r="J663" s="5"/>
      <c r="K663" s="6"/>
      <c r="N663" s="2"/>
      <c r="O663" s="2"/>
      <c r="P663" s="2"/>
    </row>
    <row r="664" spans="2:16" ht="14.25">
      <c r="B664" s="4"/>
      <c r="I664" s="5"/>
      <c r="J664" s="5"/>
      <c r="K664" s="6"/>
      <c r="N664" s="2"/>
      <c r="O664" s="2"/>
      <c r="P664" s="2"/>
    </row>
    <row r="665" spans="2:16" ht="14.25">
      <c r="B665" s="4"/>
      <c r="I665" s="5"/>
      <c r="J665" s="5"/>
      <c r="K665" s="6"/>
      <c r="N665" s="2"/>
      <c r="O665" s="2"/>
      <c r="P665" s="2"/>
    </row>
    <row r="666" spans="2:16" ht="14.25">
      <c r="B666" s="4"/>
      <c r="I666" s="5"/>
      <c r="J666" s="5"/>
      <c r="K666" s="6"/>
      <c r="N666" s="2"/>
      <c r="O666" s="2"/>
      <c r="P666" s="2"/>
    </row>
    <row r="667" spans="2:16" ht="14.25">
      <c r="B667" s="4"/>
      <c r="I667" s="5"/>
      <c r="J667" s="5"/>
      <c r="K667" s="6"/>
      <c r="N667" s="2"/>
      <c r="O667" s="2"/>
      <c r="P667" s="2"/>
    </row>
    <row r="668" spans="2:16" ht="14.25">
      <c r="B668" s="4"/>
      <c r="I668" s="5"/>
      <c r="J668" s="5"/>
      <c r="K668" s="6"/>
      <c r="N668" s="2"/>
      <c r="O668" s="2"/>
      <c r="P668" s="2"/>
    </row>
    <row r="669" spans="2:16" ht="14.25">
      <c r="B669" s="4"/>
      <c r="I669" s="5"/>
      <c r="J669" s="5"/>
      <c r="K669" s="6"/>
      <c r="N669" s="2"/>
      <c r="O669" s="2"/>
      <c r="P669" s="2"/>
    </row>
    <row r="670" spans="2:16" ht="14.25">
      <c r="B670" s="4"/>
      <c r="I670" s="5"/>
      <c r="J670" s="5"/>
      <c r="K670" s="6"/>
      <c r="N670" s="2"/>
      <c r="O670" s="2"/>
      <c r="P670" s="2"/>
    </row>
    <row r="671" spans="2:16" ht="14.25">
      <c r="B671" s="4"/>
      <c r="I671" s="5"/>
      <c r="J671" s="5"/>
      <c r="K671" s="6"/>
      <c r="N671" s="2"/>
      <c r="O671" s="2"/>
      <c r="P671" s="2"/>
    </row>
    <row r="672" spans="2:16" ht="14.25">
      <c r="B672" s="4"/>
      <c r="I672" s="5"/>
      <c r="J672" s="5"/>
      <c r="K672" s="6"/>
      <c r="N672" s="2"/>
      <c r="O672" s="2"/>
      <c r="P672" s="2"/>
    </row>
    <row r="673" spans="2:16" ht="14.25">
      <c r="B673" s="4"/>
      <c r="I673" s="5"/>
      <c r="J673" s="5"/>
      <c r="K673" s="6"/>
      <c r="N673" s="2"/>
      <c r="O673" s="2"/>
      <c r="P673" s="2"/>
    </row>
    <row r="674" spans="2:16" ht="14.25">
      <c r="B674" s="4"/>
      <c r="I674" s="5"/>
      <c r="J674" s="5"/>
      <c r="K674" s="6"/>
      <c r="N674" s="2"/>
      <c r="O674" s="2"/>
      <c r="P674" s="2"/>
    </row>
    <row r="675" spans="2:16" ht="14.25">
      <c r="B675" s="4"/>
      <c r="I675" s="5"/>
      <c r="J675" s="5"/>
      <c r="K675" s="6"/>
      <c r="N675" s="2"/>
      <c r="O675" s="2"/>
      <c r="P675" s="2"/>
    </row>
    <row r="676" spans="2:16" ht="14.25">
      <c r="B676" s="4"/>
      <c r="I676" s="5"/>
      <c r="J676" s="5"/>
      <c r="K676" s="6"/>
      <c r="N676" s="2"/>
      <c r="O676" s="2"/>
      <c r="P676" s="2"/>
    </row>
    <row r="677" spans="2:16" ht="14.25">
      <c r="B677" s="4"/>
      <c r="I677" s="5"/>
      <c r="J677" s="5"/>
      <c r="K677" s="6"/>
      <c r="N677" s="2"/>
      <c r="O677" s="2"/>
      <c r="P677" s="2"/>
    </row>
    <row r="678" spans="2:16" ht="14.25">
      <c r="B678" s="4"/>
      <c r="I678" s="5"/>
      <c r="J678" s="5"/>
      <c r="K678" s="6"/>
      <c r="N678" s="2"/>
      <c r="O678" s="2"/>
      <c r="P678" s="2"/>
    </row>
    <row r="679" spans="2:16" ht="14.25">
      <c r="B679" s="4"/>
      <c r="I679" s="5"/>
      <c r="J679" s="5"/>
      <c r="K679" s="6"/>
      <c r="N679" s="2"/>
      <c r="O679" s="2"/>
      <c r="P679" s="2"/>
    </row>
    <row r="680" spans="2:16" ht="14.25">
      <c r="B680" s="4"/>
      <c r="I680" s="5"/>
      <c r="J680" s="5"/>
      <c r="K680" s="6"/>
      <c r="N680" s="2"/>
      <c r="O680" s="2"/>
      <c r="P680" s="2"/>
    </row>
    <row r="681" spans="2:16" ht="14.25">
      <c r="B681" s="4"/>
      <c r="I681" s="5"/>
      <c r="J681" s="5"/>
      <c r="K681" s="6"/>
      <c r="N681" s="2"/>
      <c r="O681" s="2"/>
      <c r="P681" s="2"/>
    </row>
    <row r="682" spans="2:16" ht="14.25">
      <c r="B682" s="4"/>
      <c r="I682" s="5"/>
      <c r="J682" s="5"/>
      <c r="K682" s="6"/>
      <c r="N682" s="2"/>
      <c r="O682" s="2"/>
      <c r="P682" s="2"/>
    </row>
    <row r="683" spans="2:16" ht="14.25">
      <c r="B683" s="4"/>
      <c r="I683" s="5"/>
      <c r="J683" s="5"/>
      <c r="K683" s="6"/>
      <c r="N683" s="2"/>
      <c r="O683" s="2"/>
      <c r="P683" s="2"/>
    </row>
    <row r="684" spans="2:16" ht="14.25">
      <c r="B684" s="4"/>
      <c r="I684" s="5"/>
      <c r="J684" s="5"/>
      <c r="K684" s="6"/>
      <c r="N684" s="2"/>
      <c r="O684" s="2"/>
      <c r="P684" s="2"/>
    </row>
    <row r="685" spans="2:16" ht="14.25">
      <c r="B685" s="4"/>
      <c r="I685" s="5"/>
      <c r="J685" s="5"/>
      <c r="K685" s="6"/>
      <c r="N685" s="2"/>
      <c r="O685" s="2"/>
      <c r="P685" s="2"/>
    </row>
    <row r="686" spans="2:16" ht="14.25">
      <c r="B686" s="4"/>
      <c r="I686" s="5"/>
      <c r="J686" s="5"/>
      <c r="K686" s="6"/>
      <c r="N686" s="2"/>
      <c r="O686" s="2"/>
      <c r="P686" s="2"/>
    </row>
    <row r="687" spans="2:16" ht="14.25">
      <c r="B687" s="4"/>
      <c r="I687" s="5"/>
      <c r="J687" s="5"/>
      <c r="K687" s="6"/>
      <c r="N687" s="2"/>
      <c r="O687" s="2"/>
      <c r="P687" s="2"/>
    </row>
    <row r="688" spans="2:16" ht="14.25">
      <c r="B688" s="4"/>
      <c r="I688" s="5"/>
      <c r="J688" s="5"/>
      <c r="K688" s="6"/>
      <c r="N688" s="2"/>
      <c r="O688" s="2"/>
      <c r="P688" s="2"/>
    </row>
    <row r="689" spans="2:16" ht="14.25">
      <c r="B689" s="4"/>
      <c r="I689" s="5"/>
      <c r="J689" s="5"/>
      <c r="K689" s="6"/>
      <c r="N689" s="2"/>
      <c r="O689" s="2"/>
      <c r="P689" s="2"/>
    </row>
    <row r="690" spans="2:16" ht="14.25">
      <c r="B690" s="4"/>
      <c r="I690" s="5"/>
      <c r="J690" s="5"/>
      <c r="K690" s="6"/>
      <c r="N690" s="2"/>
      <c r="O690" s="2"/>
      <c r="P690" s="2"/>
    </row>
    <row r="691" spans="2:16" ht="14.25">
      <c r="B691" s="4"/>
      <c r="I691" s="5"/>
      <c r="J691" s="5"/>
      <c r="K691" s="6"/>
      <c r="N691" s="2"/>
      <c r="O691" s="2"/>
      <c r="P691" s="2"/>
    </row>
    <row r="692" spans="2:16" ht="14.25">
      <c r="B692" s="4"/>
      <c r="I692" s="5"/>
      <c r="J692" s="5"/>
      <c r="K692" s="6"/>
      <c r="N692" s="2"/>
      <c r="O692" s="2"/>
      <c r="P692" s="2"/>
    </row>
    <row r="693" spans="2:16" ht="14.25">
      <c r="B693" s="4"/>
      <c r="I693" s="5"/>
      <c r="J693" s="5"/>
      <c r="K693" s="6"/>
      <c r="N693" s="2"/>
      <c r="O693" s="2"/>
      <c r="P693" s="2"/>
    </row>
    <row r="694" spans="2:16" ht="14.25">
      <c r="B694" s="4"/>
      <c r="I694" s="5"/>
      <c r="J694" s="5"/>
      <c r="K694" s="6"/>
      <c r="N694" s="2"/>
      <c r="O694" s="2"/>
      <c r="P694" s="2"/>
    </row>
    <row r="695" spans="2:16" ht="14.25">
      <c r="B695" s="4"/>
      <c r="I695" s="5"/>
      <c r="J695" s="5"/>
      <c r="K695" s="6"/>
      <c r="N695" s="2"/>
      <c r="O695" s="2"/>
      <c r="P695" s="2"/>
    </row>
    <row r="696" spans="2:16" ht="14.25">
      <c r="B696" s="4"/>
      <c r="I696" s="5"/>
      <c r="J696" s="5"/>
      <c r="K696" s="6"/>
      <c r="N696" s="2"/>
      <c r="O696" s="2"/>
      <c r="P696" s="2"/>
    </row>
    <row r="697" spans="2:16" ht="14.25">
      <c r="B697" s="4"/>
      <c r="I697" s="5"/>
      <c r="J697" s="5"/>
      <c r="K697" s="6"/>
      <c r="N697" s="2"/>
      <c r="O697" s="2"/>
      <c r="P697" s="2"/>
    </row>
    <row r="698" spans="2:16" ht="14.25">
      <c r="B698" s="4"/>
      <c r="I698" s="5"/>
      <c r="J698" s="5"/>
      <c r="K698" s="6"/>
      <c r="N698" s="2"/>
      <c r="O698" s="2"/>
      <c r="P698" s="2"/>
    </row>
    <row r="699" spans="2:16" ht="14.25">
      <c r="B699" s="4"/>
      <c r="I699" s="5"/>
      <c r="J699" s="5"/>
      <c r="K699" s="6"/>
      <c r="N699" s="2"/>
      <c r="O699" s="2"/>
      <c r="P699" s="2"/>
    </row>
    <row r="700" spans="2:16" ht="14.25">
      <c r="B700" s="4"/>
      <c r="I700" s="5"/>
      <c r="J700" s="5"/>
      <c r="K700" s="6"/>
      <c r="N700" s="2"/>
      <c r="O700" s="2"/>
      <c r="P700" s="2"/>
    </row>
    <row r="701" spans="2:16" ht="14.25">
      <c r="B701" s="4"/>
      <c r="I701" s="5"/>
      <c r="J701" s="5"/>
      <c r="K701" s="6"/>
      <c r="N701" s="2"/>
      <c r="O701" s="2"/>
      <c r="P701" s="2"/>
    </row>
    <row r="702" spans="2:16" ht="14.25">
      <c r="B702" s="4"/>
      <c r="I702" s="5"/>
      <c r="J702" s="5"/>
      <c r="K702" s="6"/>
      <c r="N702" s="2"/>
      <c r="O702" s="2"/>
      <c r="P702" s="2"/>
    </row>
    <row r="703" spans="2:16" ht="14.25">
      <c r="B703" s="4"/>
      <c r="I703" s="5"/>
      <c r="J703" s="5"/>
      <c r="K703" s="6"/>
      <c r="N703" s="2"/>
      <c r="O703" s="2"/>
      <c r="P703" s="2"/>
    </row>
    <row r="704" spans="2:16" ht="14.25">
      <c r="B704" s="4"/>
      <c r="I704" s="5"/>
      <c r="J704" s="5"/>
      <c r="K704" s="6"/>
      <c r="N704" s="2"/>
      <c r="O704" s="2"/>
      <c r="P704" s="2"/>
    </row>
    <row r="705" spans="2:16" ht="14.25">
      <c r="B705" s="4"/>
      <c r="I705" s="5"/>
      <c r="J705" s="5"/>
      <c r="K705" s="6"/>
      <c r="N705" s="2"/>
      <c r="O705" s="2"/>
      <c r="P705" s="2"/>
    </row>
    <row r="706" spans="2:16" ht="14.25">
      <c r="B706" s="4"/>
      <c r="I706" s="5"/>
      <c r="J706" s="5"/>
      <c r="K706" s="6"/>
      <c r="N706" s="2"/>
      <c r="O706" s="2"/>
      <c r="P706" s="2"/>
    </row>
    <row r="707" spans="2:16" ht="14.25">
      <c r="B707" s="4"/>
      <c r="I707" s="5"/>
      <c r="J707" s="5"/>
      <c r="K707" s="6"/>
      <c r="N707" s="2"/>
      <c r="O707" s="2"/>
      <c r="P707" s="2"/>
    </row>
    <row r="708" spans="2:16" ht="14.25">
      <c r="B708" s="4"/>
      <c r="I708" s="5"/>
      <c r="J708" s="5"/>
      <c r="K708" s="6"/>
      <c r="N708" s="2"/>
      <c r="O708" s="2"/>
      <c r="P708" s="2"/>
    </row>
    <row r="709" spans="2:16" ht="14.25">
      <c r="B709" s="4"/>
      <c r="I709" s="5"/>
      <c r="J709" s="5"/>
      <c r="K709" s="6"/>
      <c r="N709" s="2"/>
      <c r="O709" s="2"/>
      <c r="P709" s="2"/>
    </row>
    <row r="710" spans="2:16" ht="14.25">
      <c r="B710" s="4"/>
      <c r="I710" s="5"/>
      <c r="J710" s="5"/>
      <c r="K710" s="6"/>
      <c r="N710" s="2"/>
      <c r="O710" s="2"/>
      <c r="P710" s="2"/>
    </row>
    <row r="711" spans="2:16" ht="14.25">
      <c r="B711" s="4"/>
      <c r="I711" s="5"/>
      <c r="J711" s="5"/>
      <c r="K711" s="6"/>
      <c r="N711" s="2"/>
      <c r="O711" s="2"/>
      <c r="P711" s="2"/>
    </row>
    <row r="712" spans="2:16" ht="14.25">
      <c r="B712" s="4"/>
      <c r="I712" s="5"/>
      <c r="J712" s="5"/>
      <c r="K712" s="6"/>
      <c r="N712" s="2"/>
      <c r="O712" s="2"/>
      <c r="P712" s="2"/>
    </row>
    <row r="713" spans="2:16" ht="14.25">
      <c r="B713" s="4"/>
      <c r="I713" s="5"/>
      <c r="J713" s="5"/>
      <c r="K713" s="6"/>
      <c r="N713" s="2"/>
      <c r="O713" s="2"/>
      <c r="P713" s="2"/>
    </row>
    <row r="714" spans="2:16" ht="14.25">
      <c r="B714" s="4"/>
      <c r="I714" s="5"/>
      <c r="J714" s="5"/>
      <c r="K714" s="6"/>
      <c r="N714" s="2"/>
      <c r="O714" s="2"/>
      <c r="P714" s="2"/>
    </row>
    <row r="715" spans="2:16" ht="14.25">
      <c r="B715" s="4"/>
      <c r="I715" s="5"/>
      <c r="J715" s="5"/>
      <c r="K715" s="6"/>
      <c r="N715" s="2"/>
      <c r="O715" s="2"/>
      <c r="P715" s="2"/>
    </row>
    <row r="716" spans="2:16" ht="14.25">
      <c r="B716" s="4"/>
      <c r="I716" s="5"/>
      <c r="J716" s="5"/>
      <c r="K716" s="6"/>
      <c r="N716" s="2"/>
      <c r="O716" s="2"/>
      <c r="P716" s="2"/>
    </row>
    <row r="717" spans="2:16" ht="14.25">
      <c r="B717" s="4"/>
      <c r="I717" s="5"/>
      <c r="J717" s="5"/>
      <c r="K717" s="6"/>
      <c r="N717" s="2"/>
      <c r="O717" s="2"/>
      <c r="P717" s="2"/>
    </row>
    <row r="718" spans="2:16" ht="14.25">
      <c r="B718" s="4"/>
      <c r="I718" s="5"/>
      <c r="J718" s="5"/>
      <c r="K718" s="6"/>
      <c r="N718" s="2"/>
      <c r="O718" s="2"/>
      <c r="P718" s="2"/>
    </row>
    <row r="719" spans="2:16" ht="14.25">
      <c r="B719" s="4"/>
      <c r="I719" s="5"/>
      <c r="J719" s="5"/>
      <c r="K719" s="6"/>
      <c r="N719" s="2"/>
      <c r="O719" s="2"/>
      <c r="P719" s="2"/>
    </row>
    <row r="720" spans="2:16" ht="14.25">
      <c r="B720" s="4"/>
      <c r="I720" s="5"/>
      <c r="J720" s="5"/>
      <c r="K720" s="6"/>
      <c r="N720" s="2"/>
      <c r="O720" s="2"/>
      <c r="P720" s="2"/>
    </row>
    <row r="721" spans="2:16" ht="14.25">
      <c r="B721" s="4"/>
      <c r="I721" s="5"/>
      <c r="J721" s="5"/>
      <c r="K721" s="6"/>
      <c r="N721" s="2"/>
      <c r="O721" s="2"/>
      <c r="P721" s="2"/>
    </row>
    <row r="722" spans="2:16" ht="14.25">
      <c r="B722" s="4"/>
      <c r="I722" s="5"/>
      <c r="J722" s="5"/>
      <c r="K722" s="6"/>
      <c r="N722" s="2"/>
      <c r="O722" s="2"/>
      <c r="P722" s="2"/>
    </row>
    <row r="723" spans="2:16" ht="14.25">
      <c r="B723" s="4"/>
      <c r="I723" s="5"/>
      <c r="J723" s="5"/>
      <c r="K723" s="6"/>
      <c r="N723" s="2"/>
      <c r="O723" s="2"/>
      <c r="P723" s="2"/>
    </row>
    <row r="724" spans="2:16" ht="14.25">
      <c r="B724" s="4"/>
      <c r="I724" s="5"/>
      <c r="J724" s="5"/>
      <c r="K724" s="6"/>
      <c r="N724" s="2"/>
      <c r="O724" s="2"/>
      <c r="P724" s="2"/>
    </row>
    <row r="725" spans="2:16" ht="14.25">
      <c r="B725" s="4"/>
      <c r="I725" s="5"/>
      <c r="J725" s="5"/>
      <c r="K725" s="6"/>
      <c r="N725" s="2"/>
      <c r="O725" s="2"/>
      <c r="P725" s="2"/>
    </row>
    <row r="726" spans="2:16" ht="14.25">
      <c r="B726" s="4"/>
      <c r="I726" s="5"/>
      <c r="J726" s="5"/>
      <c r="K726" s="6"/>
      <c r="N726" s="2"/>
      <c r="O726" s="2"/>
      <c r="P726" s="2"/>
    </row>
    <row r="727" spans="2:16" ht="14.25">
      <c r="B727" s="4"/>
      <c r="I727" s="5"/>
      <c r="J727" s="5"/>
      <c r="K727" s="6"/>
      <c r="N727" s="2"/>
      <c r="O727" s="2"/>
      <c r="P727" s="2"/>
    </row>
    <row r="728" spans="2:16" ht="14.25">
      <c r="B728" s="4"/>
      <c r="I728" s="5"/>
      <c r="J728" s="5"/>
      <c r="K728" s="6"/>
      <c r="N728" s="2"/>
      <c r="O728" s="2"/>
      <c r="P728" s="2"/>
    </row>
    <row r="729" spans="2:16" ht="14.25">
      <c r="B729" s="4"/>
      <c r="I729" s="5"/>
      <c r="J729" s="5"/>
      <c r="K729" s="6"/>
      <c r="N729" s="2"/>
      <c r="O729" s="2"/>
      <c r="P729" s="2"/>
    </row>
    <row r="730" spans="2:16" ht="14.25">
      <c r="B730" s="4"/>
      <c r="I730" s="5"/>
      <c r="J730" s="5"/>
      <c r="K730" s="6"/>
      <c r="N730" s="2"/>
      <c r="O730" s="2"/>
      <c r="P730" s="2"/>
    </row>
    <row r="731" spans="2:16" ht="14.25">
      <c r="B731" s="4"/>
      <c r="I731" s="5"/>
      <c r="J731" s="5"/>
      <c r="K731" s="6"/>
      <c r="N731" s="2"/>
      <c r="O731" s="2"/>
      <c r="P731" s="2"/>
    </row>
    <row r="732" spans="2:16" ht="14.25">
      <c r="B732" s="4"/>
      <c r="I732" s="5"/>
      <c r="J732" s="5"/>
      <c r="K732" s="6"/>
      <c r="N732" s="2"/>
      <c r="O732" s="2"/>
      <c r="P732" s="2"/>
    </row>
    <row r="733" spans="2:16" ht="14.25">
      <c r="B733" s="4"/>
      <c r="I733" s="5"/>
      <c r="J733" s="5"/>
      <c r="K733" s="6"/>
      <c r="N733" s="2"/>
      <c r="O733" s="2"/>
      <c r="P733" s="2"/>
    </row>
    <row r="734" spans="2:16" ht="14.25">
      <c r="B734" s="4"/>
      <c r="I734" s="5"/>
      <c r="J734" s="5"/>
      <c r="K734" s="6"/>
      <c r="N734" s="2"/>
      <c r="O734" s="2"/>
      <c r="P734" s="2"/>
    </row>
    <row r="735" spans="2:16" ht="14.25">
      <c r="B735" s="4"/>
      <c r="I735" s="5"/>
      <c r="J735" s="5"/>
      <c r="K735" s="6"/>
      <c r="N735" s="2"/>
      <c r="O735" s="2"/>
      <c r="P735" s="2"/>
    </row>
    <row r="736" spans="2:16" ht="14.25">
      <c r="B736" s="4"/>
      <c r="I736" s="5"/>
      <c r="J736" s="5"/>
      <c r="K736" s="6"/>
      <c r="N736" s="2"/>
      <c r="O736" s="2"/>
      <c r="P736" s="2"/>
    </row>
    <row r="737" spans="2:16" ht="14.25">
      <c r="B737" s="4"/>
      <c r="I737" s="5"/>
      <c r="J737" s="5"/>
      <c r="K737" s="6"/>
      <c r="N737" s="2"/>
      <c r="O737" s="2"/>
      <c r="P737" s="2"/>
    </row>
    <row r="738" spans="2:16" ht="14.25">
      <c r="B738" s="4"/>
      <c r="I738" s="5"/>
      <c r="J738" s="5"/>
      <c r="K738" s="6"/>
      <c r="N738" s="2"/>
      <c r="O738" s="2"/>
      <c r="P738" s="2"/>
    </row>
    <row r="739" spans="2:16" ht="14.25">
      <c r="B739" s="4"/>
      <c r="I739" s="5"/>
      <c r="J739" s="5"/>
      <c r="K739" s="6"/>
      <c r="N739" s="2"/>
      <c r="O739" s="2"/>
      <c r="P739" s="2"/>
    </row>
    <row r="740" spans="2:16" ht="14.25">
      <c r="B740" s="4"/>
      <c r="I740" s="5"/>
      <c r="J740" s="5"/>
      <c r="K740" s="6"/>
      <c r="N740" s="2"/>
      <c r="O740" s="2"/>
      <c r="P740" s="2"/>
    </row>
    <row r="741" spans="2:16" ht="14.25">
      <c r="B741" s="4"/>
      <c r="I741" s="5"/>
      <c r="J741" s="5"/>
      <c r="K741" s="6"/>
      <c r="N741" s="2"/>
      <c r="O741" s="2"/>
      <c r="P741" s="2"/>
    </row>
    <row r="742" spans="2:16" ht="14.25">
      <c r="B742" s="4"/>
      <c r="I742" s="5"/>
      <c r="J742" s="5"/>
      <c r="K742" s="6"/>
      <c r="N742" s="2"/>
      <c r="O742" s="2"/>
      <c r="P742" s="2"/>
    </row>
    <row r="743" spans="2:16" ht="14.25">
      <c r="B743" s="4"/>
      <c r="I743" s="5"/>
      <c r="J743" s="5"/>
      <c r="K743" s="6"/>
      <c r="N743" s="2"/>
      <c r="O743" s="2"/>
      <c r="P743" s="2"/>
    </row>
    <row r="744" spans="2:16" ht="14.25">
      <c r="B744" s="4"/>
      <c r="I744" s="5"/>
      <c r="J744" s="5"/>
      <c r="K744" s="6"/>
      <c r="N744" s="2"/>
      <c r="O744" s="2"/>
      <c r="P744" s="2"/>
    </row>
    <row r="745" spans="2:16" ht="14.25">
      <c r="B745" s="4"/>
      <c r="I745" s="5"/>
      <c r="J745" s="5"/>
      <c r="K745" s="6"/>
      <c r="N745" s="2"/>
      <c r="O745" s="2"/>
      <c r="P745" s="2"/>
    </row>
    <row r="746" spans="2:16" ht="14.25">
      <c r="B746" s="4"/>
      <c r="I746" s="5"/>
      <c r="J746" s="5"/>
      <c r="K746" s="6"/>
      <c r="N746" s="2"/>
      <c r="O746" s="2"/>
      <c r="P746" s="2"/>
    </row>
    <row r="747" spans="2:16" ht="14.25">
      <c r="B747" s="4"/>
      <c r="I747" s="5"/>
      <c r="J747" s="5"/>
      <c r="K747" s="6"/>
      <c r="N747" s="2"/>
      <c r="O747" s="2"/>
      <c r="P747" s="2"/>
    </row>
    <row r="748" spans="2:16" ht="14.25">
      <c r="B748" s="4"/>
      <c r="I748" s="5"/>
      <c r="J748" s="5"/>
      <c r="K748" s="6"/>
      <c r="N748" s="2"/>
      <c r="O748" s="2"/>
      <c r="P748" s="2"/>
    </row>
    <row r="749" spans="2:16" ht="14.25">
      <c r="B749" s="4"/>
      <c r="I749" s="5"/>
      <c r="J749" s="5"/>
      <c r="K749" s="6"/>
      <c r="N749" s="2"/>
      <c r="O749" s="2"/>
      <c r="P749" s="2"/>
    </row>
    <row r="750" spans="2:16" ht="14.25">
      <c r="B750" s="4"/>
      <c r="I750" s="5"/>
      <c r="J750" s="5"/>
      <c r="K750" s="6"/>
      <c r="N750" s="2"/>
      <c r="O750" s="2"/>
      <c r="P750" s="2"/>
    </row>
    <row r="751" spans="2:16" ht="14.25">
      <c r="B751" s="4"/>
      <c r="I751" s="5"/>
      <c r="J751" s="5"/>
      <c r="K751" s="6"/>
      <c r="N751" s="2"/>
      <c r="O751" s="2"/>
      <c r="P751" s="2"/>
    </row>
    <row r="752" spans="2:16" ht="14.25">
      <c r="B752" s="4"/>
      <c r="I752" s="5"/>
      <c r="J752" s="5"/>
      <c r="K752" s="6"/>
      <c r="N752" s="2"/>
      <c r="O752" s="2"/>
      <c r="P752" s="2"/>
    </row>
    <row r="753" spans="2:16" ht="14.25">
      <c r="B753" s="4"/>
      <c r="I753" s="5"/>
      <c r="J753" s="5"/>
      <c r="K753" s="6"/>
      <c r="N753" s="2"/>
      <c r="O753" s="2"/>
      <c r="P753" s="2"/>
    </row>
    <row r="754" spans="2:16" ht="14.25">
      <c r="B754" s="4"/>
      <c r="I754" s="5"/>
      <c r="J754" s="5"/>
      <c r="K754" s="6"/>
      <c r="N754" s="2"/>
      <c r="O754" s="2"/>
      <c r="P754" s="2"/>
    </row>
    <row r="755" spans="2:16" ht="14.25">
      <c r="B755" s="4"/>
      <c r="I755" s="5"/>
      <c r="J755" s="5"/>
      <c r="K755" s="6"/>
      <c r="N755" s="2"/>
      <c r="O755" s="2"/>
      <c r="P755" s="2"/>
    </row>
    <row r="756" spans="2:16" ht="14.25">
      <c r="B756" s="4"/>
      <c r="I756" s="5"/>
      <c r="J756" s="5"/>
      <c r="K756" s="6"/>
      <c r="N756" s="2"/>
      <c r="O756" s="2"/>
      <c r="P756" s="2"/>
    </row>
    <row r="757" spans="2:16" ht="14.25">
      <c r="B757" s="4"/>
      <c r="I757" s="5"/>
      <c r="J757" s="5"/>
      <c r="K757" s="6"/>
      <c r="N757" s="2"/>
      <c r="O757" s="2"/>
      <c r="P757" s="2"/>
    </row>
    <row r="758" spans="2:16" ht="14.25">
      <c r="B758" s="4"/>
      <c r="I758" s="5"/>
      <c r="J758" s="5"/>
      <c r="K758" s="6"/>
      <c r="N758" s="2"/>
      <c r="O758" s="2"/>
      <c r="P758" s="2"/>
    </row>
    <row r="759" spans="2:16" ht="14.25">
      <c r="B759" s="4"/>
      <c r="I759" s="5"/>
      <c r="J759" s="5"/>
      <c r="K759" s="6"/>
      <c r="N759" s="2"/>
      <c r="O759" s="2"/>
      <c r="P759" s="2"/>
    </row>
    <row r="760" spans="2:16" ht="14.25">
      <c r="B760" s="4"/>
      <c r="I760" s="5"/>
      <c r="J760" s="5"/>
      <c r="K760" s="6"/>
      <c r="N760" s="2"/>
      <c r="O760" s="2"/>
      <c r="P760" s="2"/>
    </row>
    <row r="761" spans="2:16" ht="14.25">
      <c r="B761" s="4"/>
      <c r="I761" s="5"/>
      <c r="J761" s="5"/>
      <c r="K761" s="6"/>
      <c r="N761" s="2"/>
      <c r="O761" s="2"/>
      <c r="P761" s="2"/>
    </row>
    <row r="762" spans="2:16" ht="14.25">
      <c r="B762" s="4"/>
      <c r="I762" s="5"/>
      <c r="J762" s="5"/>
      <c r="K762" s="6"/>
      <c r="N762" s="2"/>
      <c r="O762" s="2"/>
      <c r="P762" s="2"/>
    </row>
    <row r="763" spans="2:16" ht="14.25">
      <c r="B763" s="4"/>
      <c r="I763" s="5"/>
      <c r="J763" s="5"/>
      <c r="K763" s="6"/>
      <c r="N763" s="2"/>
      <c r="O763" s="2"/>
      <c r="P763" s="2"/>
    </row>
    <row r="764" spans="2:16" ht="14.25">
      <c r="B764" s="4"/>
      <c r="I764" s="5"/>
      <c r="J764" s="5"/>
      <c r="K764" s="6"/>
      <c r="N764" s="2"/>
      <c r="O764" s="2"/>
      <c r="P764" s="2"/>
    </row>
    <row r="765" spans="2:16" ht="14.25">
      <c r="B765" s="4"/>
      <c r="I765" s="5"/>
      <c r="J765" s="5"/>
      <c r="K765" s="6"/>
      <c r="N765" s="2"/>
      <c r="O765" s="2"/>
      <c r="P765" s="2"/>
    </row>
    <row r="766" spans="2:16" ht="14.25">
      <c r="B766" s="4"/>
      <c r="I766" s="5"/>
      <c r="J766" s="5"/>
      <c r="K766" s="6"/>
      <c r="N766" s="2"/>
      <c r="O766" s="2"/>
      <c r="P766" s="2"/>
    </row>
    <row r="767" spans="2:16" ht="14.25">
      <c r="B767" s="4"/>
      <c r="I767" s="5"/>
      <c r="J767" s="5"/>
      <c r="K767" s="6"/>
      <c r="N767" s="2"/>
      <c r="O767" s="2"/>
      <c r="P767" s="2"/>
    </row>
    <row r="768" spans="2:16" ht="14.25">
      <c r="B768" s="4"/>
      <c r="I768" s="5"/>
      <c r="J768" s="5"/>
      <c r="K768" s="6"/>
      <c r="N768" s="2"/>
      <c r="O768" s="2"/>
      <c r="P768" s="2"/>
    </row>
    <row r="769" spans="2:16" ht="14.25">
      <c r="B769" s="4"/>
      <c r="I769" s="5"/>
      <c r="J769" s="5"/>
      <c r="K769" s="6"/>
      <c r="N769" s="2"/>
      <c r="O769" s="2"/>
      <c r="P769" s="2"/>
    </row>
    <row r="770" spans="2:16" ht="14.25">
      <c r="B770" s="4"/>
      <c r="I770" s="5"/>
      <c r="J770" s="5"/>
      <c r="K770" s="6"/>
      <c r="N770" s="2"/>
      <c r="O770" s="2"/>
      <c r="P770" s="2"/>
    </row>
    <row r="771" spans="2:16" ht="14.25">
      <c r="B771" s="4"/>
      <c r="I771" s="5"/>
      <c r="J771" s="5"/>
      <c r="K771" s="6"/>
      <c r="N771" s="2"/>
      <c r="O771" s="2"/>
      <c r="P771" s="2"/>
    </row>
    <row r="772" spans="2:16" ht="14.25">
      <c r="B772" s="4"/>
      <c r="I772" s="5"/>
      <c r="J772" s="5"/>
      <c r="K772" s="6"/>
      <c r="N772" s="2"/>
      <c r="O772" s="2"/>
      <c r="P772" s="2"/>
    </row>
    <row r="773" spans="2:16" ht="14.25">
      <c r="B773" s="4"/>
      <c r="I773" s="5"/>
      <c r="J773" s="5"/>
      <c r="K773" s="6"/>
      <c r="N773" s="2"/>
      <c r="O773" s="2"/>
      <c r="P773" s="2"/>
    </row>
    <row r="774" spans="2:16" ht="14.25">
      <c r="B774" s="4"/>
      <c r="I774" s="5"/>
      <c r="J774" s="5"/>
      <c r="K774" s="6"/>
      <c r="N774" s="2"/>
      <c r="O774" s="2"/>
      <c r="P774" s="2"/>
    </row>
    <row r="775" spans="2:16" ht="14.25">
      <c r="B775" s="4"/>
      <c r="I775" s="5"/>
      <c r="J775" s="5"/>
      <c r="K775" s="6"/>
      <c r="N775" s="2"/>
      <c r="O775" s="2"/>
      <c r="P775" s="2"/>
    </row>
    <row r="776" spans="2:16" ht="14.25">
      <c r="B776" s="4"/>
      <c r="I776" s="5"/>
      <c r="J776" s="5"/>
      <c r="K776" s="6"/>
      <c r="N776" s="2"/>
      <c r="O776" s="2"/>
      <c r="P776" s="2"/>
    </row>
    <row r="777" spans="2:16" ht="14.25">
      <c r="B777" s="4"/>
      <c r="I777" s="5"/>
      <c r="J777" s="5"/>
      <c r="K777" s="6"/>
      <c r="N777" s="2"/>
      <c r="O777" s="2"/>
      <c r="P777" s="2"/>
    </row>
    <row r="778" spans="2:16" ht="14.25">
      <c r="B778" s="4"/>
      <c r="I778" s="5"/>
      <c r="J778" s="5"/>
      <c r="K778" s="6"/>
      <c r="N778" s="2"/>
      <c r="O778" s="2"/>
      <c r="P778" s="2"/>
    </row>
    <row r="779" spans="2:16" ht="14.25">
      <c r="B779" s="4"/>
      <c r="I779" s="5"/>
      <c r="J779" s="5"/>
      <c r="K779" s="6"/>
      <c r="N779" s="2"/>
      <c r="O779" s="2"/>
      <c r="P779" s="2"/>
    </row>
    <row r="780" spans="2:16" ht="14.25">
      <c r="B780" s="4"/>
      <c r="I780" s="5"/>
      <c r="J780" s="5"/>
      <c r="K780" s="6"/>
      <c r="N780" s="2"/>
      <c r="O780" s="2"/>
      <c r="P780" s="2"/>
    </row>
    <row r="781" spans="2:16" ht="14.25">
      <c r="B781" s="4"/>
      <c r="I781" s="5"/>
      <c r="J781" s="5"/>
      <c r="K781" s="6"/>
      <c r="N781" s="2"/>
      <c r="O781" s="2"/>
      <c r="P781" s="2"/>
    </row>
    <row r="782" spans="2:16" ht="14.25">
      <c r="B782" s="4"/>
      <c r="I782" s="5"/>
      <c r="J782" s="5"/>
      <c r="K782" s="6"/>
      <c r="N782" s="2"/>
      <c r="O782" s="2"/>
      <c r="P782" s="2"/>
    </row>
    <row r="783" spans="2:16" ht="14.25">
      <c r="B783" s="4"/>
      <c r="I783" s="5"/>
      <c r="J783" s="5"/>
      <c r="K783" s="6"/>
      <c r="N783" s="2"/>
      <c r="O783" s="2"/>
      <c r="P783" s="2"/>
    </row>
    <row r="784" spans="2:16" ht="14.25">
      <c r="B784" s="4"/>
      <c r="I784" s="5"/>
      <c r="J784" s="5"/>
      <c r="K784" s="6"/>
      <c r="N784" s="2"/>
      <c r="O784" s="2"/>
      <c r="P784" s="2"/>
    </row>
    <row r="785" spans="2:16" ht="14.25">
      <c r="B785" s="4"/>
      <c r="I785" s="5"/>
      <c r="J785" s="5"/>
      <c r="K785" s="6"/>
      <c r="N785" s="2"/>
      <c r="O785" s="2"/>
      <c r="P785" s="2"/>
    </row>
    <row r="786" spans="2:16" ht="14.25">
      <c r="B786" s="4"/>
      <c r="I786" s="5"/>
      <c r="J786" s="5"/>
      <c r="K786" s="6"/>
      <c r="N786" s="2"/>
      <c r="O786" s="2"/>
      <c r="P786" s="2"/>
    </row>
    <row r="787" spans="2:16" ht="14.25">
      <c r="B787" s="4"/>
      <c r="I787" s="5"/>
      <c r="J787" s="5"/>
      <c r="K787" s="6"/>
      <c r="N787" s="2"/>
      <c r="O787" s="2"/>
      <c r="P787" s="2"/>
    </row>
    <row r="788" spans="2:16" ht="14.25">
      <c r="B788" s="4"/>
      <c r="I788" s="5"/>
      <c r="J788" s="5"/>
      <c r="K788" s="6"/>
      <c r="N788" s="2"/>
      <c r="O788" s="2"/>
      <c r="P788" s="2"/>
    </row>
    <row r="789" spans="2:16" ht="14.25">
      <c r="B789" s="4"/>
      <c r="I789" s="5"/>
      <c r="J789" s="5"/>
      <c r="K789" s="6"/>
      <c r="N789" s="2"/>
      <c r="O789" s="2"/>
      <c r="P789" s="2"/>
    </row>
    <row r="790" spans="2:16" ht="14.25">
      <c r="B790" s="4"/>
      <c r="I790" s="5"/>
      <c r="J790" s="5"/>
      <c r="K790" s="6"/>
      <c r="N790" s="2"/>
      <c r="O790" s="2"/>
      <c r="P790" s="2"/>
    </row>
    <row r="791" spans="2:16" ht="14.25">
      <c r="B791" s="4"/>
      <c r="I791" s="5"/>
      <c r="J791" s="5"/>
      <c r="K791" s="6"/>
      <c r="N791" s="2"/>
      <c r="O791" s="2"/>
      <c r="P791" s="2"/>
    </row>
    <row r="792" spans="2:16" ht="14.25">
      <c r="B792" s="4"/>
      <c r="I792" s="5"/>
      <c r="J792" s="5"/>
      <c r="K792" s="6"/>
      <c r="N792" s="2"/>
      <c r="O792" s="2"/>
      <c r="P792" s="2"/>
    </row>
    <row r="793" spans="2:16" ht="14.25">
      <c r="B793" s="4"/>
      <c r="I793" s="5"/>
      <c r="J793" s="5"/>
      <c r="K793" s="6"/>
      <c r="N793" s="2"/>
      <c r="O793" s="2"/>
      <c r="P793" s="2"/>
    </row>
    <row r="794" spans="2:16" ht="14.25">
      <c r="B794" s="4"/>
      <c r="I794" s="5"/>
      <c r="J794" s="5"/>
      <c r="K794" s="6"/>
      <c r="N794" s="2"/>
      <c r="O794" s="2"/>
      <c r="P794" s="2"/>
    </row>
    <row r="795" spans="2:16" ht="14.25">
      <c r="B795" s="4"/>
      <c r="I795" s="5"/>
      <c r="J795" s="5"/>
      <c r="K795" s="6"/>
      <c r="N795" s="2"/>
      <c r="O795" s="2"/>
      <c r="P795" s="2"/>
    </row>
    <row r="796" spans="2:16" ht="14.25">
      <c r="B796" s="4"/>
      <c r="I796" s="5"/>
      <c r="J796" s="5"/>
      <c r="K796" s="6"/>
      <c r="N796" s="2"/>
      <c r="O796" s="2"/>
      <c r="P796" s="2"/>
    </row>
    <row r="797" spans="2:16" ht="14.25">
      <c r="B797" s="4"/>
      <c r="I797" s="5"/>
      <c r="J797" s="5"/>
      <c r="K797" s="6"/>
      <c r="N797" s="2"/>
      <c r="O797" s="2"/>
      <c r="P797" s="2"/>
    </row>
    <row r="798" spans="2:16" ht="14.25">
      <c r="B798" s="4"/>
      <c r="I798" s="5"/>
      <c r="J798" s="5"/>
      <c r="K798" s="6"/>
      <c r="N798" s="2"/>
      <c r="O798" s="2"/>
      <c r="P798" s="2"/>
    </row>
    <row r="799" spans="2:16" ht="14.25">
      <c r="B799" s="4"/>
      <c r="I799" s="5"/>
      <c r="J799" s="5"/>
      <c r="K799" s="6"/>
      <c r="N799" s="2"/>
      <c r="O799" s="2"/>
      <c r="P799" s="2"/>
    </row>
    <row r="800" spans="2:16" ht="14.25">
      <c r="B800" s="4"/>
      <c r="I800" s="5"/>
      <c r="J800" s="5"/>
      <c r="K800" s="6"/>
      <c r="N800" s="2"/>
      <c r="O800" s="2"/>
      <c r="P800" s="2"/>
    </row>
    <row r="801" spans="2:16" ht="14.25">
      <c r="B801" s="4"/>
      <c r="I801" s="5"/>
      <c r="J801" s="5"/>
      <c r="K801" s="6"/>
      <c r="N801" s="2"/>
      <c r="O801" s="2"/>
      <c r="P801" s="2"/>
    </row>
    <row r="802" spans="2:16" ht="14.25">
      <c r="B802" s="4"/>
      <c r="I802" s="5"/>
      <c r="J802" s="5"/>
      <c r="K802" s="6"/>
      <c r="N802" s="2"/>
      <c r="O802" s="2"/>
      <c r="P802" s="2"/>
    </row>
    <row r="803" spans="2:16" ht="14.25">
      <c r="B803" s="4"/>
      <c r="I803" s="5"/>
      <c r="J803" s="5"/>
      <c r="K803" s="6"/>
      <c r="N803" s="2"/>
      <c r="O803" s="2"/>
      <c r="P803" s="2"/>
    </row>
    <row r="804" spans="2:16" ht="14.25">
      <c r="B804" s="4"/>
      <c r="I804" s="5"/>
      <c r="J804" s="5"/>
      <c r="K804" s="6"/>
      <c r="N804" s="2"/>
      <c r="O804" s="2"/>
      <c r="P804" s="2"/>
    </row>
    <row r="805" spans="2:16" ht="14.25">
      <c r="B805" s="4"/>
      <c r="I805" s="5"/>
      <c r="J805" s="5"/>
      <c r="K805" s="6"/>
      <c r="N805" s="2"/>
      <c r="O805" s="2"/>
      <c r="P805" s="2"/>
    </row>
    <row r="806" spans="2:16" ht="14.25">
      <c r="B806" s="4"/>
      <c r="I806" s="5"/>
      <c r="J806" s="5"/>
      <c r="K806" s="6"/>
      <c r="N806" s="2"/>
      <c r="O806" s="2"/>
      <c r="P806" s="2"/>
    </row>
    <row r="807" spans="2:16" ht="14.25">
      <c r="B807" s="4"/>
      <c r="I807" s="5"/>
      <c r="J807" s="5"/>
      <c r="K807" s="6"/>
      <c r="N807" s="2"/>
      <c r="O807" s="2"/>
      <c r="P807" s="2"/>
    </row>
    <row r="808" spans="2:16" ht="14.25">
      <c r="B808" s="4"/>
      <c r="I808" s="5"/>
      <c r="J808" s="5"/>
      <c r="K808" s="6"/>
      <c r="N808" s="2"/>
      <c r="O808" s="2"/>
      <c r="P808" s="2"/>
    </row>
    <row r="809" spans="2:16" ht="14.25">
      <c r="B809" s="4"/>
      <c r="I809" s="5"/>
      <c r="J809" s="5"/>
      <c r="K809" s="6"/>
      <c r="N809" s="2"/>
      <c r="O809" s="2"/>
      <c r="P809" s="2"/>
    </row>
    <row r="810" spans="2:16" ht="14.25">
      <c r="B810" s="4"/>
      <c r="I810" s="5"/>
      <c r="J810" s="5"/>
      <c r="K810" s="6"/>
      <c r="N810" s="2"/>
      <c r="O810" s="2"/>
      <c r="P810" s="2"/>
    </row>
    <row r="811" spans="2:16" ht="14.25">
      <c r="B811" s="4"/>
      <c r="I811" s="5"/>
      <c r="J811" s="5"/>
      <c r="K811" s="6"/>
      <c r="N811" s="2"/>
      <c r="O811" s="2"/>
      <c r="P811" s="2"/>
    </row>
    <row r="812" spans="2:16" ht="14.25">
      <c r="B812" s="4"/>
      <c r="I812" s="5"/>
      <c r="J812" s="5"/>
      <c r="K812" s="6"/>
      <c r="N812" s="2"/>
      <c r="O812" s="2"/>
      <c r="P812" s="2"/>
    </row>
    <row r="813" spans="2:16" ht="14.25">
      <c r="B813" s="4"/>
      <c r="I813" s="5"/>
      <c r="J813" s="5"/>
      <c r="K813" s="6"/>
      <c r="N813" s="2"/>
      <c r="O813" s="2"/>
      <c r="P813" s="2"/>
    </row>
    <row r="814" spans="2:16" ht="14.25">
      <c r="B814" s="4"/>
      <c r="I814" s="5"/>
      <c r="J814" s="5"/>
      <c r="K814" s="6"/>
      <c r="N814" s="2"/>
      <c r="O814" s="2"/>
      <c r="P814" s="2"/>
    </row>
    <row r="815" spans="2:16" ht="14.25">
      <c r="B815" s="4"/>
      <c r="I815" s="5"/>
      <c r="J815" s="5"/>
      <c r="K815" s="6"/>
      <c r="N815" s="2"/>
      <c r="O815" s="2"/>
      <c r="P815" s="2"/>
    </row>
    <row r="816" spans="2:16" ht="14.25">
      <c r="B816" s="4"/>
      <c r="I816" s="5"/>
      <c r="J816" s="5"/>
      <c r="K816" s="6"/>
      <c r="N816" s="2"/>
      <c r="O816" s="2"/>
      <c r="P816" s="2"/>
    </row>
    <row r="817" spans="2:16" ht="14.25">
      <c r="B817" s="4"/>
      <c r="I817" s="5"/>
      <c r="J817" s="5"/>
      <c r="K817" s="6"/>
      <c r="N817" s="2"/>
      <c r="O817" s="2"/>
      <c r="P817" s="2"/>
    </row>
    <row r="818" spans="2:16" ht="14.25">
      <c r="B818" s="4"/>
      <c r="I818" s="5"/>
      <c r="J818" s="5"/>
      <c r="K818" s="6"/>
      <c r="N818" s="2"/>
      <c r="O818" s="2"/>
      <c r="P818" s="2"/>
    </row>
    <row r="819" spans="2:16" ht="14.25">
      <c r="B819" s="4"/>
      <c r="I819" s="5"/>
      <c r="J819" s="5"/>
      <c r="K819" s="6"/>
      <c r="N819" s="2"/>
      <c r="O819" s="2"/>
      <c r="P819" s="2"/>
    </row>
    <row r="820" spans="2:16" ht="14.25">
      <c r="B820" s="4"/>
      <c r="I820" s="5"/>
      <c r="J820" s="5"/>
      <c r="K820" s="6"/>
      <c r="N820" s="2"/>
      <c r="O820" s="2"/>
      <c r="P820" s="2"/>
    </row>
    <row r="821" spans="2:16" ht="14.25">
      <c r="B821" s="4"/>
      <c r="I821" s="5"/>
      <c r="J821" s="5"/>
      <c r="K821" s="6"/>
      <c r="N821" s="2"/>
      <c r="O821" s="2"/>
      <c r="P821" s="2"/>
    </row>
    <row r="822" spans="2:16" ht="14.25">
      <c r="B822" s="4"/>
      <c r="I822" s="5"/>
      <c r="J822" s="5"/>
      <c r="K822" s="6"/>
      <c r="N822" s="2"/>
      <c r="O822" s="2"/>
      <c r="P822" s="2"/>
    </row>
    <row r="823" spans="2:16" ht="14.25">
      <c r="B823" s="4"/>
      <c r="I823" s="5"/>
      <c r="J823" s="5"/>
      <c r="K823" s="6"/>
      <c r="N823" s="2"/>
      <c r="O823" s="2"/>
      <c r="P823" s="2"/>
    </row>
    <row r="824" spans="2:16" ht="14.25">
      <c r="B824" s="4"/>
      <c r="I824" s="5"/>
      <c r="J824" s="5"/>
      <c r="K824" s="6"/>
      <c r="N824" s="2"/>
      <c r="O824" s="2"/>
      <c r="P824" s="2"/>
    </row>
    <row r="825" spans="2:16" ht="14.25">
      <c r="B825" s="4"/>
      <c r="I825" s="5"/>
      <c r="J825" s="5"/>
      <c r="K825" s="6"/>
      <c r="N825" s="2"/>
      <c r="O825" s="2"/>
      <c r="P825" s="2"/>
    </row>
    <row r="826" spans="2:16" ht="14.25">
      <c r="B826" s="4"/>
      <c r="I826" s="5"/>
      <c r="J826" s="5"/>
      <c r="K826" s="6"/>
      <c r="N826" s="2"/>
      <c r="O826" s="2"/>
      <c r="P826" s="2"/>
    </row>
    <row r="827" spans="2:16" ht="14.25">
      <c r="B827" s="4"/>
      <c r="I827" s="5"/>
      <c r="J827" s="5"/>
      <c r="K827" s="6"/>
      <c r="N827" s="2"/>
      <c r="O827" s="2"/>
      <c r="P827" s="2"/>
    </row>
    <row r="828" spans="2:16" ht="14.25">
      <c r="B828" s="4"/>
      <c r="I828" s="5"/>
      <c r="J828" s="5"/>
      <c r="K828" s="6"/>
      <c r="N828" s="2"/>
      <c r="O828" s="2"/>
      <c r="P828" s="2"/>
    </row>
    <row r="829" spans="2:16" ht="14.25">
      <c r="B829" s="4"/>
      <c r="I829" s="5"/>
      <c r="J829" s="5"/>
      <c r="K829" s="6"/>
      <c r="N829" s="2"/>
      <c r="O829" s="2"/>
      <c r="P829" s="2"/>
    </row>
    <row r="830" spans="2:16" ht="14.25">
      <c r="B830" s="4"/>
      <c r="I830" s="5"/>
      <c r="J830" s="5"/>
      <c r="K830" s="6"/>
      <c r="N830" s="2"/>
      <c r="O830" s="2"/>
      <c r="P830" s="2"/>
    </row>
    <row r="831" spans="2:16" ht="14.25">
      <c r="B831" s="4"/>
      <c r="I831" s="5"/>
      <c r="J831" s="5"/>
      <c r="K831" s="6"/>
      <c r="N831" s="2"/>
      <c r="O831" s="2"/>
      <c r="P831" s="2"/>
    </row>
    <row r="832" spans="2:16" ht="14.25">
      <c r="B832" s="4"/>
      <c r="I832" s="5"/>
      <c r="J832" s="5"/>
      <c r="K832" s="6"/>
      <c r="N832" s="2"/>
      <c r="O832" s="2"/>
      <c r="P832" s="2"/>
    </row>
    <row r="833" spans="2:16" ht="14.25">
      <c r="B833" s="4"/>
      <c r="I833" s="5"/>
      <c r="J833" s="5"/>
      <c r="K833" s="6"/>
      <c r="N833" s="2"/>
      <c r="O833" s="2"/>
      <c r="P833" s="2"/>
    </row>
    <row r="834" spans="2:16" ht="14.25">
      <c r="B834" s="4"/>
      <c r="I834" s="5"/>
      <c r="J834" s="5"/>
      <c r="K834" s="6"/>
      <c r="N834" s="2"/>
      <c r="O834" s="2"/>
      <c r="P834" s="2"/>
    </row>
    <row r="835" spans="2:16" ht="14.25">
      <c r="B835" s="4"/>
      <c r="I835" s="5"/>
      <c r="J835" s="5"/>
      <c r="K835" s="6"/>
      <c r="N835" s="2"/>
      <c r="O835" s="2"/>
      <c r="P835" s="2"/>
    </row>
    <row r="836" spans="2:16" ht="14.25">
      <c r="B836" s="4"/>
      <c r="I836" s="5"/>
      <c r="J836" s="5"/>
      <c r="K836" s="6"/>
      <c r="N836" s="2"/>
      <c r="O836" s="2"/>
      <c r="P836" s="2"/>
    </row>
    <row r="837" spans="2:16" ht="14.25">
      <c r="B837" s="4"/>
      <c r="I837" s="5"/>
      <c r="J837" s="5"/>
      <c r="K837" s="6"/>
      <c r="N837" s="2"/>
      <c r="O837" s="2"/>
      <c r="P837" s="2"/>
    </row>
    <row r="838" spans="2:16" ht="14.25">
      <c r="B838" s="4"/>
      <c r="I838" s="5"/>
      <c r="J838" s="5"/>
      <c r="K838" s="6"/>
      <c r="N838" s="2"/>
      <c r="O838" s="2"/>
      <c r="P838" s="2"/>
    </row>
    <row r="839" spans="2:16" ht="14.25">
      <c r="B839" s="4"/>
      <c r="I839" s="5"/>
      <c r="J839" s="5"/>
      <c r="K839" s="6"/>
      <c r="N839" s="2"/>
      <c r="O839" s="2"/>
      <c r="P839" s="2"/>
    </row>
    <row r="840" spans="2:16" ht="14.25">
      <c r="B840" s="4"/>
      <c r="I840" s="5"/>
      <c r="J840" s="5"/>
      <c r="K840" s="6"/>
      <c r="N840" s="2"/>
      <c r="O840" s="2"/>
      <c r="P840" s="2"/>
    </row>
    <row r="841" spans="2:16" ht="14.25">
      <c r="B841" s="4"/>
      <c r="I841" s="5"/>
      <c r="J841" s="5"/>
      <c r="K841" s="6"/>
      <c r="N841" s="2"/>
      <c r="O841" s="2"/>
      <c r="P841" s="2"/>
    </row>
    <row r="842" spans="2:16" ht="14.25">
      <c r="B842" s="4"/>
      <c r="I842" s="5"/>
      <c r="J842" s="5"/>
      <c r="K842" s="6"/>
      <c r="N842" s="2"/>
      <c r="O842" s="2"/>
      <c r="P842" s="2"/>
    </row>
    <row r="843" spans="2:16" ht="14.25">
      <c r="B843" s="4"/>
      <c r="I843" s="5"/>
      <c r="J843" s="5"/>
      <c r="K843" s="6"/>
      <c r="N843" s="2"/>
      <c r="O843" s="2"/>
      <c r="P843" s="2"/>
    </row>
    <row r="844" spans="2:16" ht="14.25">
      <c r="B844" s="4"/>
      <c r="I844" s="5"/>
      <c r="J844" s="5"/>
      <c r="K844" s="6"/>
      <c r="N844" s="2"/>
      <c r="O844" s="2"/>
      <c r="P844" s="2"/>
    </row>
    <row r="845" spans="2:16" ht="14.25">
      <c r="B845" s="4"/>
      <c r="I845" s="5"/>
      <c r="J845" s="5"/>
      <c r="K845" s="6"/>
      <c r="N845" s="2"/>
      <c r="O845" s="2"/>
      <c r="P845" s="2"/>
    </row>
    <row r="846" spans="2:16" ht="14.25">
      <c r="B846" s="4"/>
      <c r="I846" s="5"/>
      <c r="J846" s="5"/>
      <c r="K846" s="6"/>
      <c r="N846" s="2"/>
      <c r="O846" s="2"/>
      <c r="P846" s="2"/>
    </row>
    <row r="847" spans="2:16" ht="14.25">
      <c r="B847" s="4"/>
      <c r="I847" s="5"/>
      <c r="J847" s="5"/>
      <c r="K847" s="6"/>
      <c r="N847" s="2"/>
      <c r="O847" s="2"/>
      <c r="P847" s="2"/>
    </row>
    <row r="848" spans="2:16" ht="14.25">
      <c r="B848" s="4"/>
      <c r="I848" s="5"/>
      <c r="J848" s="5"/>
      <c r="K848" s="6"/>
      <c r="N848" s="2"/>
      <c r="O848" s="2"/>
      <c r="P848" s="2"/>
    </row>
    <row r="849" spans="2:16" ht="14.25">
      <c r="B849" s="4"/>
      <c r="I849" s="5"/>
      <c r="J849" s="5"/>
      <c r="K849" s="6"/>
      <c r="N849" s="2"/>
      <c r="O849" s="2"/>
      <c r="P849" s="2"/>
    </row>
    <row r="850" spans="2:16" ht="14.25">
      <c r="B850" s="4"/>
      <c r="I850" s="5"/>
      <c r="J850" s="5"/>
      <c r="K850" s="6"/>
      <c r="N850" s="2"/>
      <c r="O850" s="2"/>
      <c r="P850" s="2"/>
    </row>
    <row r="851" spans="2:16" ht="14.25">
      <c r="B851" s="4"/>
      <c r="I851" s="5"/>
      <c r="J851" s="5"/>
      <c r="K851" s="6"/>
      <c r="N851" s="2"/>
      <c r="O851" s="2"/>
      <c r="P851" s="2"/>
    </row>
    <row r="852" spans="2:16" ht="14.25">
      <c r="B852" s="4"/>
      <c r="I852" s="5"/>
      <c r="J852" s="5"/>
      <c r="K852" s="6"/>
      <c r="N852" s="2"/>
      <c r="O852" s="2"/>
      <c r="P852" s="2"/>
    </row>
    <row r="853" spans="2:16" ht="14.25">
      <c r="B853" s="4"/>
      <c r="I853" s="5"/>
      <c r="J853" s="5"/>
      <c r="K853" s="6"/>
      <c r="N853" s="2"/>
      <c r="O853" s="2"/>
      <c r="P853" s="2"/>
    </row>
    <row r="854" spans="2:16" ht="14.25">
      <c r="B854" s="4"/>
      <c r="I854" s="5"/>
      <c r="J854" s="5"/>
      <c r="K854" s="6"/>
      <c r="N854" s="2"/>
      <c r="O854" s="2"/>
      <c r="P854" s="2"/>
    </row>
    <row r="855" spans="2:16" ht="14.25">
      <c r="B855" s="4"/>
      <c r="I855" s="5"/>
      <c r="J855" s="5"/>
      <c r="K855" s="6"/>
      <c r="N855" s="2"/>
      <c r="O855" s="2"/>
      <c r="P855" s="2"/>
    </row>
    <row r="856" spans="2:16" ht="14.25">
      <c r="B856" s="4"/>
      <c r="I856" s="5"/>
      <c r="J856" s="5"/>
      <c r="K856" s="6"/>
      <c r="N856" s="2"/>
      <c r="O856" s="2"/>
      <c r="P856" s="2"/>
    </row>
    <row r="857" spans="2:16" ht="14.25">
      <c r="B857" s="4"/>
      <c r="I857" s="5"/>
      <c r="J857" s="5"/>
      <c r="K857" s="6"/>
      <c r="N857" s="2"/>
      <c r="O857" s="2"/>
      <c r="P857" s="2"/>
    </row>
    <row r="858" spans="2:16" ht="14.25">
      <c r="B858" s="4"/>
      <c r="I858" s="5"/>
      <c r="J858" s="5"/>
      <c r="K858" s="6"/>
      <c r="N858" s="2"/>
      <c r="O858" s="2"/>
      <c r="P858" s="2"/>
    </row>
    <row r="859" spans="2:16" ht="14.25">
      <c r="B859" s="4"/>
      <c r="I859" s="5"/>
      <c r="J859" s="5"/>
      <c r="K859" s="6"/>
      <c r="N859" s="2"/>
      <c r="O859" s="2"/>
      <c r="P859" s="2"/>
    </row>
    <row r="860" spans="2:16" ht="14.25">
      <c r="B860" s="4"/>
      <c r="I860" s="5"/>
      <c r="J860" s="5"/>
      <c r="K860" s="6"/>
      <c r="N860" s="2"/>
      <c r="O860" s="2"/>
      <c r="P860" s="2"/>
    </row>
    <row r="861" spans="2:16" ht="14.25">
      <c r="B861" s="4"/>
      <c r="I861" s="5"/>
      <c r="J861" s="5"/>
      <c r="K861" s="6"/>
      <c r="N861" s="2"/>
      <c r="O861" s="2"/>
      <c r="P861" s="2"/>
    </row>
    <row r="862" spans="2:16" ht="14.25">
      <c r="B862" s="4"/>
      <c r="I862" s="5"/>
      <c r="J862" s="5"/>
      <c r="K862" s="6"/>
      <c r="N862" s="2"/>
      <c r="O862" s="2"/>
      <c r="P862" s="2"/>
    </row>
    <row r="863" spans="2:16" ht="14.25">
      <c r="B863" s="4"/>
      <c r="I863" s="5"/>
      <c r="J863" s="5"/>
      <c r="K863" s="6"/>
      <c r="N863" s="2"/>
      <c r="O863" s="2"/>
      <c r="P863" s="2"/>
    </row>
    <row r="864" spans="2:16" ht="14.25">
      <c r="B864" s="4"/>
      <c r="I864" s="5"/>
      <c r="J864" s="5"/>
      <c r="K864" s="6"/>
      <c r="N864" s="2"/>
      <c r="O864" s="2"/>
      <c r="P864" s="2"/>
    </row>
    <row r="865" spans="2:16" ht="14.25">
      <c r="B865" s="4"/>
      <c r="I865" s="5"/>
      <c r="J865" s="5"/>
      <c r="K865" s="6"/>
      <c r="N865" s="2"/>
      <c r="O865" s="2"/>
      <c r="P865" s="2"/>
    </row>
    <row r="866" spans="2:16" ht="14.25">
      <c r="B866" s="4"/>
      <c r="I866" s="5"/>
      <c r="J866" s="5"/>
      <c r="K866" s="6"/>
      <c r="N866" s="2"/>
      <c r="O866" s="2"/>
      <c r="P866" s="2"/>
    </row>
    <row r="867" spans="2:16" ht="14.25">
      <c r="B867" s="4"/>
      <c r="I867" s="5"/>
      <c r="J867" s="5"/>
      <c r="K867" s="6"/>
      <c r="N867" s="2"/>
      <c r="O867" s="2"/>
      <c r="P867" s="2"/>
    </row>
    <row r="868" spans="2:16" ht="14.25">
      <c r="B868" s="4"/>
      <c r="I868" s="5"/>
      <c r="J868" s="5"/>
      <c r="K868" s="6"/>
      <c r="N868" s="2"/>
      <c r="O868" s="2"/>
      <c r="P868" s="2"/>
    </row>
    <row r="869" spans="2:16" ht="14.25">
      <c r="B869" s="4"/>
      <c r="I869" s="5"/>
      <c r="J869" s="5"/>
      <c r="K869" s="6"/>
      <c r="N869" s="2"/>
      <c r="O869" s="2"/>
      <c r="P869" s="2"/>
    </row>
    <row r="870" spans="2:16" ht="14.25">
      <c r="B870" s="4"/>
      <c r="I870" s="5"/>
      <c r="J870" s="5"/>
      <c r="K870" s="6"/>
      <c r="N870" s="2"/>
      <c r="O870" s="2"/>
      <c r="P870" s="2"/>
    </row>
    <row r="871" spans="2:16" ht="14.25">
      <c r="B871" s="4"/>
      <c r="I871" s="5"/>
      <c r="J871" s="5"/>
      <c r="K871" s="6"/>
      <c r="N871" s="2"/>
      <c r="O871" s="2"/>
      <c r="P871" s="2"/>
    </row>
    <row r="872" spans="2:16" ht="14.25">
      <c r="B872" s="4"/>
      <c r="I872" s="5"/>
      <c r="J872" s="5"/>
      <c r="K872" s="6"/>
      <c r="N872" s="2"/>
      <c r="O872" s="2"/>
      <c r="P872" s="2"/>
    </row>
    <row r="873" spans="2:16" ht="14.25">
      <c r="B873" s="4"/>
      <c r="I873" s="5"/>
      <c r="J873" s="5"/>
      <c r="K873" s="6"/>
      <c r="N873" s="2"/>
      <c r="O873" s="2"/>
      <c r="P873" s="2"/>
    </row>
    <row r="874" spans="2:16" ht="14.25">
      <c r="B874" s="4"/>
      <c r="I874" s="5"/>
      <c r="J874" s="5"/>
      <c r="K874" s="6"/>
      <c r="N874" s="2"/>
      <c r="O874" s="2"/>
      <c r="P874" s="2"/>
    </row>
    <row r="875" spans="2:16" ht="14.25">
      <c r="B875" s="4"/>
      <c r="I875" s="5"/>
      <c r="J875" s="5"/>
      <c r="K875" s="6"/>
      <c r="N875" s="2"/>
      <c r="O875" s="2"/>
      <c r="P875" s="2"/>
    </row>
    <row r="876" spans="2:16" ht="14.25">
      <c r="B876" s="4"/>
      <c r="I876" s="5"/>
      <c r="J876" s="5"/>
      <c r="K876" s="6"/>
      <c r="N876" s="2"/>
      <c r="O876" s="2"/>
      <c r="P876" s="2"/>
    </row>
    <row r="877" spans="2:16" ht="14.25">
      <c r="B877" s="4"/>
      <c r="I877" s="5"/>
      <c r="J877" s="5"/>
      <c r="K877" s="6"/>
      <c r="N877" s="2"/>
      <c r="O877" s="2"/>
      <c r="P877" s="2"/>
    </row>
    <row r="878" spans="2:16" ht="14.25">
      <c r="B878" s="4"/>
      <c r="I878" s="5"/>
      <c r="J878" s="5"/>
      <c r="K878" s="6"/>
      <c r="N878" s="2"/>
      <c r="O878" s="2"/>
      <c r="P878" s="2"/>
    </row>
    <row r="879" spans="2:16" ht="14.25">
      <c r="B879" s="4"/>
      <c r="I879" s="5"/>
      <c r="J879" s="5"/>
      <c r="K879" s="6"/>
      <c r="N879" s="2"/>
      <c r="O879" s="2"/>
      <c r="P879" s="2"/>
    </row>
    <row r="880" spans="2:16" ht="14.25">
      <c r="B880" s="4"/>
      <c r="I880" s="5"/>
      <c r="J880" s="5"/>
      <c r="K880" s="6"/>
      <c r="N880" s="2"/>
      <c r="O880" s="2"/>
      <c r="P880" s="2"/>
    </row>
    <row r="881" spans="2:16" ht="14.25">
      <c r="B881" s="4"/>
      <c r="I881" s="5"/>
      <c r="J881" s="5"/>
      <c r="K881" s="6"/>
      <c r="N881" s="2"/>
      <c r="O881" s="2"/>
      <c r="P881" s="2"/>
    </row>
    <row r="882" spans="2:16" ht="14.25">
      <c r="B882" s="4"/>
      <c r="I882" s="5"/>
      <c r="J882" s="5"/>
      <c r="K882" s="6"/>
      <c r="N882" s="2"/>
      <c r="O882" s="2"/>
      <c r="P882" s="2"/>
    </row>
    <row r="883" spans="2:16" ht="14.25">
      <c r="B883" s="4"/>
      <c r="I883" s="5"/>
      <c r="J883" s="5"/>
      <c r="K883" s="6"/>
      <c r="N883" s="2"/>
      <c r="O883" s="2"/>
      <c r="P883" s="2"/>
    </row>
    <row r="884" spans="2:16" ht="14.25">
      <c r="B884" s="4"/>
      <c r="I884" s="5"/>
      <c r="J884" s="5"/>
      <c r="K884" s="6"/>
      <c r="N884" s="2"/>
      <c r="O884" s="2"/>
      <c r="P884" s="2"/>
    </row>
    <row r="885" spans="2:16" ht="14.25">
      <c r="B885" s="4"/>
      <c r="I885" s="5"/>
      <c r="J885" s="5"/>
      <c r="K885" s="6"/>
      <c r="N885" s="2"/>
      <c r="O885" s="2"/>
      <c r="P885" s="2"/>
    </row>
    <row r="886" spans="2:16" ht="14.25">
      <c r="B886" s="4"/>
      <c r="I886" s="5"/>
      <c r="J886" s="5"/>
      <c r="K886" s="6"/>
      <c r="N886" s="2"/>
      <c r="O886" s="2"/>
      <c r="P886" s="2"/>
    </row>
    <row r="887" spans="2:16" ht="14.25">
      <c r="B887" s="4"/>
      <c r="I887" s="5"/>
      <c r="J887" s="5"/>
      <c r="K887" s="6"/>
      <c r="N887" s="2"/>
      <c r="O887" s="2"/>
      <c r="P887" s="2"/>
    </row>
    <row r="888" spans="2:16" ht="14.25">
      <c r="B888" s="4"/>
      <c r="I888" s="5"/>
      <c r="J888" s="5"/>
      <c r="K888" s="6"/>
      <c r="N888" s="2"/>
      <c r="O888" s="2"/>
      <c r="P888" s="2"/>
    </row>
    <row r="889" spans="2:16" ht="14.25">
      <c r="B889" s="4"/>
      <c r="I889" s="5"/>
      <c r="J889" s="5"/>
      <c r="K889" s="6"/>
      <c r="N889" s="2"/>
      <c r="O889" s="2"/>
      <c r="P889" s="2"/>
    </row>
    <row r="890" spans="2:16" ht="14.25">
      <c r="B890" s="4"/>
      <c r="I890" s="5"/>
      <c r="J890" s="5"/>
      <c r="K890" s="6"/>
      <c r="N890" s="2"/>
      <c r="O890" s="2"/>
      <c r="P890" s="2"/>
    </row>
    <row r="891" spans="2:16" ht="14.25">
      <c r="B891" s="4"/>
      <c r="I891" s="5"/>
      <c r="J891" s="5"/>
      <c r="K891" s="6"/>
      <c r="N891" s="2"/>
      <c r="O891" s="2"/>
      <c r="P891" s="2"/>
    </row>
    <row r="892" spans="2:16" ht="14.25">
      <c r="B892" s="4"/>
      <c r="I892" s="5"/>
      <c r="J892" s="5"/>
      <c r="K892" s="6"/>
      <c r="N892" s="2"/>
      <c r="O892" s="2"/>
      <c r="P892" s="2"/>
    </row>
    <row r="893" spans="2:16" ht="14.25">
      <c r="B893" s="4"/>
      <c r="I893" s="5"/>
      <c r="J893" s="5"/>
      <c r="K893" s="6"/>
      <c r="N893" s="2"/>
      <c r="O893" s="2"/>
      <c r="P893" s="2"/>
    </row>
    <row r="894" spans="2:16" ht="14.25">
      <c r="B894" s="4"/>
      <c r="I894" s="5"/>
      <c r="J894" s="5"/>
      <c r="K894" s="6"/>
      <c r="N894" s="2"/>
      <c r="O894" s="2"/>
      <c r="P894" s="2"/>
    </row>
    <row r="895" spans="2:16" ht="14.25">
      <c r="B895" s="4"/>
      <c r="I895" s="5"/>
      <c r="J895" s="5"/>
      <c r="K895" s="6"/>
      <c r="N895" s="2"/>
      <c r="O895" s="2"/>
      <c r="P895" s="2"/>
    </row>
    <row r="896" spans="2:16" ht="14.25">
      <c r="B896" s="4"/>
      <c r="I896" s="5"/>
      <c r="J896" s="5"/>
      <c r="K896" s="6"/>
      <c r="N896" s="2"/>
      <c r="O896" s="2"/>
      <c r="P896" s="2"/>
    </row>
    <row r="897" spans="2:16" ht="14.25">
      <c r="B897" s="4"/>
      <c r="I897" s="5"/>
      <c r="J897" s="5"/>
      <c r="K897" s="6"/>
      <c r="N897" s="2"/>
      <c r="O897" s="2"/>
      <c r="P897" s="2"/>
    </row>
    <row r="898" spans="2:16" ht="14.25">
      <c r="B898" s="4"/>
      <c r="I898" s="5"/>
      <c r="J898" s="5"/>
      <c r="K898" s="6"/>
      <c r="N898" s="2"/>
      <c r="O898" s="2"/>
      <c r="P898" s="2"/>
    </row>
    <row r="899" spans="2:16" ht="14.25">
      <c r="B899" s="4"/>
      <c r="I899" s="5"/>
      <c r="J899" s="5"/>
      <c r="K899" s="6"/>
      <c r="N899" s="2"/>
      <c r="O899" s="2"/>
      <c r="P899" s="2"/>
    </row>
    <row r="900" spans="2:16" ht="14.25">
      <c r="B900" s="4"/>
      <c r="I900" s="5"/>
      <c r="J900" s="5"/>
      <c r="K900" s="6"/>
      <c r="N900" s="2"/>
      <c r="O900" s="2"/>
      <c r="P900" s="2"/>
    </row>
    <row r="901" spans="2:16" ht="14.25">
      <c r="B901" s="4"/>
      <c r="I901" s="5"/>
      <c r="J901" s="5"/>
      <c r="K901" s="6"/>
      <c r="N901" s="2"/>
      <c r="O901" s="2"/>
      <c r="P901" s="2"/>
    </row>
    <row r="902" spans="2:16" ht="14.25">
      <c r="B902" s="4"/>
      <c r="I902" s="5"/>
      <c r="J902" s="5"/>
      <c r="K902" s="6"/>
      <c r="N902" s="2"/>
      <c r="O902" s="2"/>
      <c r="P902" s="2"/>
    </row>
    <row r="903" spans="2:16" ht="14.25">
      <c r="B903" s="4"/>
      <c r="I903" s="5"/>
      <c r="J903" s="5"/>
      <c r="K903" s="6"/>
      <c r="N903" s="2"/>
      <c r="O903" s="2"/>
      <c r="P903" s="2"/>
    </row>
    <row r="904" spans="2:16" ht="14.25">
      <c r="B904" s="4"/>
      <c r="I904" s="5"/>
      <c r="J904" s="5"/>
      <c r="K904" s="6"/>
      <c r="N904" s="2"/>
      <c r="O904" s="2"/>
      <c r="P904" s="2"/>
    </row>
    <row r="905" spans="2:16" ht="14.25">
      <c r="B905" s="4"/>
      <c r="I905" s="5"/>
      <c r="J905" s="5"/>
      <c r="K905" s="6"/>
      <c r="N905" s="2"/>
      <c r="O905" s="2"/>
      <c r="P905" s="2"/>
    </row>
    <row r="906" spans="2:16" ht="14.25">
      <c r="B906" s="4"/>
      <c r="I906" s="5"/>
      <c r="J906" s="5"/>
      <c r="K906" s="6"/>
      <c r="N906" s="2"/>
      <c r="O906" s="2"/>
      <c r="P906" s="2"/>
    </row>
    <row r="907" spans="2:16" ht="14.25">
      <c r="B907" s="4"/>
      <c r="I907" s="5"/>
      <c r="J907" s="5"/>
      <c r="K907" s="6"/>
      <c r="N907" s="2"/>
      <c r="O907" s="2"/>
      <c r="P907" s="2"/>
    </row>
    <row r="908" spans="2:16" ht="14.25">
      <c r="B908" s="4"/>
      <c r="I908" s="5"/>
      <c r="J908" s="5"/>
      <c r="K908" s="6"/>
      <c r="N908" s="2"/>
      <c r="O908" s="2"/>
      <c r="P908" s="2"/>
    </row>
    <row r="909" spans="2:16" ht="14.25">
      <c r="B909" s="4"/>
      <c r="I909" s="5"/>
      <c r="J909" s="5"/>
      <c r="K909" s="6"/>
      <c r="N909" s="2"/>
      <c r="O909" s="2"/>
      <c r="P909" s="2"/>
    </row>
    <row r="910" spans="2:16" ht="14.25">
      <c r="B910" s="4"/>
      <c r="I910" s="5"/>
      <c r="J910" s="5"/>
      <c r="K910" s="6"/>
      <c r="N910" s="2"/>
      <c r="O910" s="2"/>
      <c r="P910" s="2"/>
    </row>
    <row r="911" spans="2:16" ht="14.25">
      <c r="B911" s="4"/>
      <c r="I911" s="5"/>
      <c r="J911" s="5"/>
      <c r="K911" s="6"/>
      <c r="N911" s="2"/>
      <c r="O911" s="2"/>
      <c r="P911" s="2"/>
    </row>
    <row r="912" spans="2:16" ht="14.25">
      <c r="B912" s="4"/>
      <c r="I912" s="5"/>
      <c r="J912" s="5"/>
      <c r="K912" s="6"/>
      <c r="N912" s="2"/>
      <c r="O912" s="2"/>
      <c r="P912" s="2"/>
    </row>
    <row r="913" spans="2:16" ht="14.25">
      <c r="B913" s="4"/>
      <c r="I913" s="5"/>
      <c r="J913" s="5"/>
      <c r="K913" s="6"/>
      <c r="N913" s="2"/>
      <c r="O913" s="2"/>
      <c r="P913" s="2"/>
    </row>
    <row r="914" spans="2:16" ht="14.25">
      <c r="B914" s="4"/>
      <c r="I914" s="5"/>
      <c r="J914" s="5"/>
      <c r="K914" s="6"/>
      <c r="N914" s="2"/>
      <c r="O914" s="2"/>
      <c r="P914" s="2"/>
    </row>
    <row r="915" spans="2:16" ht="14.25">
      <c r="B915" s="4"/>
      <c r="I915" s="5"/>
      <c r="J915" s="5"/>
      <c r="K915" s="6"/>
      <c r="N915" s="2"/>
      <c r="O915" s="2"/>
      <c r="P915" s="2"/>
    </row>
    <row r="916" spans="2:16" ht="14.25">
      <c r="B916" s="4"/>
      <c r="I916" s="5"/>
      <c r="J916" s="5"/>
      <c r="K916" s="6"/>
      <c r="N916" s="2"/>
      <c r="O916" s="2"/>
      <c r="P916" s="2"/>
    </row>
    <row r="917" spans="2:16" ht="14.25">
      <c r="B917" s="4"/>
      <c r="I917" s="5"/>
      <c r="J917" s="5"/>
      <c r="K917" s="6"/>
      <c r="N917" s="2"/>
      <c r="O917" s="2"/>
      <c r="P917" s="2"/>
    </row>
    <row r="918" spans="2:16" ht="14.25">
      <c r="B918" s="4"/>
      <c r="I918" s="5"/>
      <c r="J918" s="5"/>
      <c r="K918" s="6"/>
      <c r="N918" s="2"/>
      <c r="O918" s="2"/>
      <c r="P918" s="2"/>
    </row>
    <row r="919" spans="2:16" ht="14.25">
      <c r="B919" s="4"/>
      <c r="I919" s="5"/>
      <c r="J919" s="5"/>
      <c r="K919" s="6"/>
      <c r="N919" s="2"/>
      <c r="O919" s="2"/>
      <c r="P919" s="2"/>
    </row>
    <row r="920" spans="2:16" ht="14.25">
      <c r="B920" s="4"/>
      <c r="I920" s="5"/>
      <c r="J920" s="5"/>
      <c r="K920" s="6"/>
      <c r="N920" s="2"/>
      <c r="O920" s="2"/>
      <c r="P920" s="2"/>
    </row>
    <row r="921" spans="2:16" ht="14.25">
      <c r="B921" s="4"/>
      <c r="I921" s="5"/>
      <c r="J921" s="5"/>
      <c r="K921" s="6"/>
      <c r="N921" s="2"/>
      <c r="O921" s="2"/>
      <c r="P921" s="2"/>
    </row>
    <row r="922" spans="2:16" ht="14.25">
      <c r="B922" s="4"/>
      <c r="I922" s="5"/>
      <c r="J922" s="5"/>
      <c r="K922" s="6"/>
      <c r="N922" s="2"/>
      <c r="O922" s="2"/>
      <c r="P922" s="2"/>
    </row>
    <row r="923" spans="2:16" ht="14.25">
      <c r="B923" s="4"/>
      <c r="I923" s="5"/>
      <c r="J923" s="5"/>
      <c r="K923" s="6"/>
      <c r="N923" s="2"/>
      <c r="O923" s="2"/>
      <c r="P923" s="2"/>
    </row>
    <row r="924" spans="2:16" ht="14.25">
      <c r="B924" s="4"/>
      <c r="I924" s="5"/>
      <c r="J924" s="5"/>
      <c r="K924" s="6"/>
      <c r="N924" s="2"/>
      <c r="O924" s="2"/>
      <c r="P924" s="2"/>
    </row>
    <row r="925" spans="2:16" ht="14.25">
      <c r="B925" s="4"/>
      <c r="I925" s="5"/>
      <c r="J925" s="5"/>
      <c r="K925" s="6"/>
      <c r="N925" s="2"/>
      <c r="O925" s="2"/>
      <c r="P925" s="2"/>
    </row>
    <row r="926" spans="2:16" ht="14.25">
      <c r="B926" s="4"/>
      <c r="I926" s="5"/>
      <c r="J926" s="5"/>
      <c r="K926" s="6"/>
      <c r="N926" s="2"/>
      <c r="O926" s="2"/>
      <c r="P926" s="2"/>
    </row>
    <row r="927" spans="2:16" ht="14.25">
      <c r="B927" s="4"/>
      <c r="I927" s="5"/>
      <c r="J927" s="5"/>
      <c r="K927" s="6"/>
      <c r="N927" s="2"/>
      <c r="O927" s="2"/>
      <c r="P927" s="2"/>
    </row>
    <row r="928" spans="2:16" ht="14.25">
      <c r="B928" s="4"/>
      <c r="I928" s="5"/>
      <c r="J928" s="5"/>
      <c r="K928" s="6"/>
      <c r="N928" s="2"/>
      <c r="O928" s="2"/>
      <c r="P928" s="2"/>
    </row>
    <row r="929" spans="2:16" ht="14.25">
      <c r="B929" s="4"/>
      <c r="I929" s="5"/>
      <c r="J929" s="5"/>
      <c r="K929" s="6"/>
      <c r="N929" s="2"/>
      <c r="O929" s="2"/>
      <c r="P929" s="2"/>
    </row>
    <row r="930" spans="2:16" ht="14.25">
      <c r="B930" s="4"/>
      <c r="I930" s="5"/>
      <c r="J930" s="5"/>
      <c r="K930" s="6"/>
      <c r="N930" s="2"/>
      <c r="O930" s="2"/>
      <c r="P930" s="2"/>
    </row>
    <row r="931" spans="2:16" ht="14.25">
      <c r="B931" s="4"/>
      <c r="I931" s="5"/>
      <c r="J931" s="5"/>
      <c r="K931" s="6"/>
      <c r="N931" s="2"/>
      <c r="O931" s="2"/>
      <c r="P931" s="2"/>
    </row>
    <row r="932" spans="2:16" ht="14.25">
      <c r="B932" s="4"/>
      <c r="I932" s="5"/>
      <c r="J932" s="5"/>
      <c r="K932" s="6"/>
      <c r="N932" s="2"/>
      <c r="O932" s="2"/>
      <c r="P932" s="2"/>
    </row>
    <row r="933" spans="2:16" ht="14.25">
      <c r="B933" s="4"/>
      <c r="I933" s="5"/>
      <c r="J933" s="5"/>
      <c r="K933" s="6"/>
      <c r="N933" s="2"/>
      <c r="O933" s="2"/>
      <c r="P933" s="2"/>
    </row>
    <row r="934" spans="2:16" ht="14.25">
      <c r="B934" s="4"/>
      <c r="I934" s="5"/>
      <c r="J934" s="5"/>
      <c r="K934" s="6"/>
      <c r="N934" s="2"/>
      <c r="O934" s="2"/>
      <c r="P934" s="2"/>
    </row>
    <row r="935" spans="2:16" ht="14.25">
      <c r="B935" s="4"/>
      <c r="I935" s="5"/>
      <c r="J935" s="5"/>
      <c r="K935" s="6"/>
      <c r="N935" s="2"/>
      <c r="O935" s="2"/>
      <c r="P935" s="2"/>
    </row>
    <row r="936" spans="2:16" ht="14.25">
      <c r="B936" s="4"/>
      <c r="I936" s="5"/>
      <c r="J936" s="5"/>
      <c r="K936" s="6"/>
      <c r="N936" s="2"/>
      <c r="O936" s="2"/>
      <c r="P936" s="2"/>
    </row>
    <row r="937" spans="2:16" ht="14.25">
      <c r="B937" s="4"/>
      <c r="I937" s="5"/>
      <c r="J937" s="5"/>
      <c r="K937" s="6"/>
      <c r="N937" s="2"/>
      <c r="O937" s="2"/>
      <c r="P937" s="2"/>
    </row>
    <row r="938" spans="2:16" ht="14.25">
      <c r="B938" s="4"/>
      <c r="I938" s="5"/>
      <c r="J938" s="5"/>
      <c r="K938" s="6"/>
      <c r="N938" s="2"/>
      <c r="O938" s="2"/>
      <c r="P938" s="2"/>
    </row>
    <row r="939" spans="2:16" ht="14.25">
      <c r="B939" s="4"/>
      <c r="I939" s="5"/>
      <c r="J939" s="5"/>
      <c r="K939" s="6"/>
      <c r="N939" s="2"/>
      <c r="O939" s="2"/>
      <c r="P939" s="2"/>
    </row>
    <row r="940" spans="2:16" ht="14.25">
      <c r="B940" s="4"/>
      <c r="I940" s="5"/>
      <c r="J940" s="5"/>
      <c r="K940" s="6"/>
      <c r="N940" s="2"/>
      <c r="O940" s="2"/>
      <c r="P940" s="2"/>
    </row>
    <row r="941" spans="2:16" ht="14.25">
      <c r="B941" s="4"/>
      <c r="I941" s="5"/>
      <c r="J941" s="5"/>
      <c r="K941" s="6"/>
      <c r="N941" s="2"/>
      <c r="O941" s="2"/>
      <c r="P941" s="2"/>
    </row>
    <row r="942" spans="2:16" ht="14.25">
      <c r="B942" s="4"/>
      <c r="I942" s="5"/>
      <c r="J942" s="5"/>
      <c r="K942" s="6"/>
      <c r="N942" s="2"/>
      <c r="O942" s="2"/>
      <c r="P942" s="2"/>
    </row>
    <row r="943" spans="2:16" ht="14.25">
      <c r="B943" s="4"/>
      <c r="I943" s="5"/>
      <c r="J943" s="5"/>
      <c r="K943" s="6"/>
      <c r="N943" s="2"/>
      <c r="O943" s="2"/>
      <c r="P943" s="2"/>
    </row>
    <row r="944" spans="2:16" ht="14.25">
      <c r="B944" s="4"/>
      <c r="I944" s="5"/>
      <c r="J944" s="5"/>
      <c r="K944" s="6"/>
      <c r="N944" s="2"/>
      <c r="O944" s="2"/>
      <c r="P944" s="2"/>
    </row>
    <row r="945" spans="2:16" ht="14.25">
      <c r="B945" s="4"/>
      <c r="I945" s="5"/>
      <c r="J945" s="5"/>
      <c r="K945" s="6"/>
      <c r="N945" s="2"/>
      <c r="O945" s="2"/>
      <c r="P945" s="2"/>
    </row>
    <row r="946" spans="2:16" ht="14.25">
      <c r="B946" s="4"/>
      <c r="I946" s="5"/>
      <c r="J946" s="5"/>
      <c r="K946" s="6"/>
      <c r="N946" s="2"/>
      <c r="O946" s="2"/>
      <c r="P946" s="2"/>
    </row>
    <row r="947" spans="2:16" ht="14.25">
      <c r="B947" s="4"/>
      <c r="I947" s="5"/>
      <c r="J947" s="5"/>
      <c r="K947" s="6"/>
      <c r="N947" s="2"/>
      <c r="O947" s="2"/>
      <c r="P947" s="2"/>
    </row>
    <row r="948" spans="2:16" ht="14.25">
      <c r="B948" s="4"/>
      <c r="I948" s="5"/>
      <c r="J948" s="5"/>
      <c r="K948" s="6"/>
      <c r="N948" s="2"/>
      <c r="O948" s="2"/>
      <c r="P948" s="2"/>
    </row>
    <row r="949" spans="2:16" ht="14.25">
      <c r="B949" s="4"/>
      <c r="I949" s="5"/>
      <c r="J949" s="5"/>
      <c r="K949" s="6"/>
      <c r="N949" s="2"/>
      <c r="O949" s="2"/>
      <c r="P949" s="2"/>
    </row>
    <row r="950" spans="2:16" ht="14.25">
      <c r="B950" s="4"/>
      <c r="I950" s="5"/>
      <c r="J950" s="5"/>
      <c r="K950" s="6"/>
      <c r="N950" s="2"/>
      <c r="O950" s="2"/>
      <c r="P950" s="2"/>
    </row>
    <row r="951" spans="2:16" ht="14.25">
      <c r="B951" s="4"/>
      <c r="I951" s="5"/>
      <c r="J951" s="5"/>
      <c r="K951" s="6"/>
      <c r="N951" s="2"/>
      <c r="O951" s="2"/>
      <c r="P951" s="2"/>
    </row>
    <row r="952" spans="2:16" ht="14.25">
      <c r="B952" s="4"/>
      <c r="I952" s="5"/>
      <c r="J952" s="5"/>
      <c r="K952" s="6"/>
      <c r="N952" s="2"/>
      <c r="O952" s="2"/>
      <c r="P952" s="2"/>
    </row>
    <row r="953" spans="2:16" ht="14.25">
      <c r="B953" s="4"/>
      <c r="I953" s="5"/>
      <c r="J953" s="5"/>
      <c r="K953" s="6"/>
      <c r="N953" s="2"/>
      <c r="O953" s="2"/>
      <c r="P953" s="2"/>
    </row>
    <row r="954" spans="2:16" ht="14.25">
      <c r="B954" s="4"/>
      <c r="I954" s="5"/>
      <c r="J954" s="5"/>
      <c r="K954" s="6"/>
      <c r="N954" s="2"/>
      <c r="O954" s="2"/>
      <c r="P954" s="2"/>
    </row>
    <row r="955" spans="2:16" ht="14.25">
      <c r="B955" s="4"/>
      <c r="I955" s="5"/>
      <c r="J955" s="5"/>
      <c r="K955" s="6"/>
      <c r="N955" s="2"/>
      <c r="O955" s="2"/>
      <c r="P955" s="2"/>
    </row>
    <row r="956" spans="2:16" ht="14.25">
      <c r="B956" s="4"/>
      <c r="I956" s="5"/>
      <c r="J956" s="5"/>
      <c r="K956" s="6"/>
      <c r="N956" s="2"/>
      <c r="O956" s="2"/>
      <c r="P956" s="2"/>
    </row>
    <row r="957" spans="2:16" ht="14.25">
      <c r="B957" s="4"/>
      <c r="I957" s="5"/>
      <c r="J957" s="5"/>
      <c r="K957" s="6"/>
      <c r="N957" s="2"/>
      <c r="O957" s="2"/>
      <c r="P957" s="2"/>
    </row>
    <row r="958" spans="2:16" ht="14.25">
      <c r="B958" s="4"/>
      <c r="I958" s="5"/>
      <c r="J958" s="5"/>
      <c r="K958" s="6"/>
      <c r="N958" s="2"/>
      <c r="O958" s="2"/>
      <c r="P958" s="2"/>
    </row>
    <row r="959" spans="2:16" ht="14.25">
      <c r="B959" s="4"/>
      <c r="I959" s="5"/>
      <c r="J959" s="5"/>
      <c r="K959" s="6"/>
      <c r="N959" s="2"/>
      <c r="O959" s="2"/>
      <c r="P959" s="2"/>
    </row>
    <row r="960" spans="2:16" ht="14.25">
      <c r="B960" s="4"/>
      <c r="I960" s="5"/>
      <c r="J960" s="5"/>
      <c r="K960" s="6"/>
      <c r="N960" s="2"/>
      <c r="O960" s="2"/>
      <c r="P960" s="2"/>
    </row>
    <row r="961" spans="2:16" ht="14.25">
      <c r="B961" s="4"/>
      <c r="I961" s="5"/>
      <c r="J961" s="5"/>
      <c r="K961" s="6"/>
      <c r="N961" s="2"/>
      <c r="O961" s="2"/>
      <c r="P961" s="2"/>
    </row>
    <row r="962" spans="2:16" ht="14.25">
      <c r="B962" s="4"/>
      <c r="I962" s="5"/>
      <c r="J962" s="5"/>
      <c r="K962" s="6"/>
      <c r="N962" s="2"/>
      <c r="O962" s="2"/>
      <c r="P962" s="2"/>
    </row>
    <row r="963" spans="2:16" ht="14.25">
      <c r="B963" s="4"/>
      <c r="I963" s="5"/>
      <c r="J963" s="5"/>
      <c r="K963" s="6"/>
      <c r="N963" s="2"/>
      <c r="O963" s="2"/>
      <c r="P963" s="2"/>
    </row>
    <row r="964" spans="2:16" ht="14.25">
      <c r="B964" s="4"/>
      <c r="I964" s="5"/>
      <c r="J964" s="5"/>
      <c r="K964" s="6"/>
      <c r="N964" s="2"/>
      <c r="O964" s="2"/>
      <c r="P964" s="2"/>
    </row>
    <row r="965" spans="2:16" ht="14.25">
      <c r="B965" s="4"/>
      <c r="I965" s="5"/>
      <c r="J965" s="5"/>
      <c r="K965" s="6"/>
      <c r="N965" s="2"/>
      <c r="O965" s="2"/>
      <c r="P965" s="2"/>
    </row>
    <row r="966" spans="2:16" ht="14.25">
      <c r="B966" s="4"/>
      <c r="I966" s="5"/>
      <c r="J966" s="5"/>
      <c r="K966" s="6"/>
      <c r="N966" s="2"/>
      <c r="O966" s="2"/>
      <c r="P966" s="2"/>
    </row>
    <row r="967" spans="2:16" ht="14.25">
      <c r="B967" s="4"/>
      <c r="I967" s="5"/>
      <c r="J967" s="5"/>
      <c r="K967" s="6"/>
      <c r="N967" s="2"/>
      <c r="O967" s="2"/>
      <c r="P967" s="2"/>
    </row>
    <row r="968" spans="2:16" ht="14.25">
      <c r="B968" s="4"/>
      <c r="I968" s="5"/>
      <c r="J968" s="5"/>
      <c r="K968" s="6"/>
      <c r="N968" s="2"/>
      <c r="O968" s="2"/>
      <c r="P968" s="2"/>
    </row>
    <row r="969" spans="2:16" ht="14.25">
      <c r="B969" s="4"/>
      <c r="I969" s="5"/>
      <c r="J969" s="5"/>
      <c r="K969" s="6"/>
      <c r="N969" s="2"/>
      <c r="O969" s="2"/>
      <c r="P969" s="2"/>
    </row>
    <row r="970" spans="2:16" ht="14.25">
      <c r="B970" s="4"/>
      <c r="I970" s="5"/>
      <c r="J970" s="5"/>
      <c r="K970" s="6"/>
      <c r="N970" s="2"/>
      <c r="O970" s="2"/>
      <c r="P970" s="2"/>
    </row>
    <row r="971" spans="2:16" ht="14.25">
      <c r="B971" s="4"/>
      <c r="I971" s="5"/>
      <c r="J971" s="5"/>
      <c r="K971" s="6"/>
      <c r="N971" s="2"/>
      <c r="O971" s="2"/>
      <c r="P971" s="2"/>
    </row>
    <row r="972" spans="2:16" ht="14.25">
      <c r="B972" s="4"/>
      <c r="I972" s="5"/>
      <c r="J972" s="5"/>
      <c r="K972" s="6"/>
      <c r="N972" s="2"/>
      <c r="O972" s="2"/>
      <c r="P972" s="2"/>
    </row>
    <row r="973" spans="2:16" ht="14.25">
      <c r="B973" s="4"/>
      <c r="I973" s="5"/>
      <c r="J973" s="5"/>
      <c r="K973" s="6"/>
      <c r="N973" s="2"/>
      <c r="O973" s="2"/>
      <c r="P973" s="2"/>
    </row>
    <row r="974" spans="2:16" ht="14.25">
      <c r="B974" s="4"/>
      <c r="I974" s="5"/>
      <c r="J974" s="5"/>
      <c r="K974" s="6"/>
      <c r="N974" s="2"/>
      <c r="O974" s="2"/>
      <c r="P974" s="2"/>
    </row>
    <row r="975" spans="2:16" ht="14.25">
      <c r="B975" s="4"/>
      <c r="I975" s="5"/>
      <c r="J975" s="5"/>
      <c r="K975" s="6"/>
      <c r="N975" s="2"/>
      <c r="O975" s="2"/>
      <c r="P975" s="2"/>
    </row>
    <row r="976" spans="2:16" ht="14.25">
      <c r="B976" s="4"/>
      <c r="I976" s="5"/>
      <c r="J976" s="5"/>
      <c r="K976" s="6"/>
      <c r="N976" s="2"/>
      <c r="O976" s="2"/>
      <c r="P976" s="2"/>
    </row>
    <row r="977" spans="2:16" ht="14.25">
      <c r="B977" s="4"/>
      <c r="I977" s="5"/>
      <c r="J977" s="5"/>
      <c r="K977" s="6"/>
      <c r="N977" s="2"/>
      <c r="O977" s="2"/>
      <c r="P977" s="2"/>
    </row>
    <row r="978" spans="2:16" ht="14.25">
      <c r="B978" s="4"/>
      <c r="I978" s="5"/>
      <c r="J978" s="5"/>
      <c r="K978" s="6"/>
      <c r="N978" s="2"/>
      <c r="O978" s="2"/>
      <c r="P978" s="2"/>
    </row>
    <row r="979" spans="2:16" ht="14.25">
      <c r="B979" s="4"/>
      <c r="I979" s="5"/>
      <c r="J979" s="5"/>
      <c r="K979" s="6"/>
      <c r="N979" s="2"/>
      <c r="O979" s="2"/>
      <c r="P979" s="2"/>
    </row>
    <row r="980" spans="2:16" ht="14.25">
      <c r="B980" s="4"/>
      <c r="I980" s="5"/>
      <c r="J980" s="5"/>
      <c r="K980" s="6"/>
      <c r="N980" s="2"/>
      <c r="O980" s="2"/>
      <c r="P980" s="2"/>
    </row>
    <row r="981" spans="2:16" ht="14.25">
      <c r="B981" s="4"/>
      <c r="I981" s="5"/>
      <c r="J981" s="5"/>
      <c r="K981" s="6"/>
      <c r="N981" s="2"/>
      <c r="O981" s="2"/>
      <c r="P981" s="2"/>
    </row>
    <row r="982" spans="2:16" ht="14.25">
      <c r="B982" s="4"/>
      <c r="I982" s="5"/>
      <c r="J982" s="5"/>
      <c r="K982" s="6"/>
      <c r="N982" s="2"/>
      <c r="O982" s="2"/>
      <c r="P982" s="2"/>
    </row>
    <row r="983" spans="2:16" ht="14.25">
      <c r="B983" s="4"/>
      <c r="I983" s="5"/>
      <c r="J983" s="5"/>
      <c r="K983" s="6"/>
      <c r="N983" s="2"/>
      <c r="O983" s="2"/>
      <c r="P983" s="2"/>
    </row>
    <row r="984" spans="2:16" ht="14.25">
      <c r="B984" s="4"/>
      <c r="I984" s="5"/>
      <c r="J984" s="5"/>
      <c r="K984" s="6"/>
      <c r="N984" s="2"/>
      <c r="O984" s="2"/>
      <c r="P984" s="2"/>
    </row>
    <row r="985" spans="2:16" ht="14.25">
      <c r="B985" s="4"/>
      <c r="I985" s="5"/>
      <c r="J985" s="5"/>
      <c r="K985" s="6"/>
      <c r="N985" s="2"/>
      <c r="O985" s="2"/>
      <c r="P985" s="2"/>
    </row>
    <row r="986" spans="2:16" ht="14.25">
      <c r="B986" s="4"/>
      <c r="I986" s="5"/>
      <c r="J986" s="5"/>
      <c r="K986" s="6"/>
      <c r="N986" s="2"/>
      <c r="O986" s="2"/>
      <c r="P986" s="2"/>
    </row>
    <row r="987" spans="2:16" ht="14.25">
      <c r="B987" s="4"/>
      <c r="I987" s="5"/>
      <c r="J987" s="5"/>
      <c r="K987" s="6"/>
      <c r="N987" s="2"/>
      <c r="O987" s="2"/>
      <c r="P987" s="2"/>
    </row>
    <row r="988" spans="2:16" ht="14.25">
      <c r="B988" s="4"/>
      <c r="I988" s="5"/>
      <c r="J988" s="5"/>
      <c r="K988" s="6"/>
      <c r="N988" s="2"/>
      <c r="O988" s="2"/>
      <c r="P988" s="2"/>
    </row>
    <row r="989" spans="2:16" ht="14.25">
      <c r="B989" s="4"/>
      <c r="I989" s="5"/>
      <c r="J989" s="5"/>
      <c r="K989" s="6"/>
      <c r="N989" s="2"/>
      <c r="O989" s="2"/>
      <c r="P989" s="2"/>
    </row>
    <row r="990" spans="2:16" ht="14.25">
      <c r="B990" s="4"/>
      <c r="I990" s="5"/>
      <c r="J990" s="5"/>
      <c r="K990" s="6"/>
      <c r="N990" s="2"/>
      <c r="O990" s="2"/>
      <c r="P990" s="2"/>
    </row>
    <row r="991" spans="2:16" ht="14.25">
      <c r="B991" s="4"/>
      <c r="I991" s="5"/>
      <c r="J991" s="5"/>
      <c r="K991" s="6"/>
      <c r="N991" s="2"/>
      <c r="O991" s="2"/>
      <c r="P991" s="2"/>
    </row>
    <row r="992" spans="2:16" ht="14.25">
      <c r="B992" s="4"/>
      <c r="I992" s="5"/>
      <c r="J992" s="5"/>
      <c r="K992" s="6"/>
      <c r="N992" s="2"/>
      <c r="O992" s="2"/>
      <c r="P992" s="2"/>
    </row>
    <row r="993" spans="2:16" ht="14.25">
      <c r="B993" s="4"/>
      <c r="I993" s="5"/>
      <c r="J993" s="5"/>
      <c r="K993" s="6"/>
      <c r="N993" s="2"/>
      <c r="O993" s="2"/>
      <c r="P993" s="2"/>
    </row>
    <row r="994" spans="2:16" ht="14.25">
      <c r="B994" s="4"/>
      <c r="I994" s="5"/>
      <c r="J994" s="5"/>
      <c r="K994" s="6"/>
      <c r="N994" s="2"/>
      <c r="O994" s="2"/>
      <c r="P994" s="2"/>
    </row>
    <row r="995" spans="2:16" ht="14.25">
      <c r="B995" s="4"/>
      <c r="I995" s="5"/>
      <c r="J995" s="5"/>
      <c r="K995" s="6"/>
      <c r="N995" s="2"/>
      <c r="O995" s="2"/>
      <c r="P995" s="2"/>
    </row>
    <row r="996" spans="2:16" ht="14.25">
      <c r="B996" s="4"/>
      <c r="I996" s="5"/>
      <c r="J996" s="5"/>
      <c r="K996" s="6"/>
      <c r="N996" s="2"/>
      <c r="O996" s="2"/>
      <c r="P996" s="2"/>
    </row>
    <row r="997" spans="2:16" ht="14.25">
      <c r="B997" s="4"/>
      <c r="I997" s="5"/>
      <c r="J997" s="5"/>
      <c r="K997" s="6"/>
      <c r="N997" s="2"/>
      <c r="O997" s="2"/>
      <c r="P997" s="2"/>
    </row>
    <row r="998" spans="2:16" ht="14.25">
      <c r="B998" s="4"/>
      <c r="I998" s="5"/>
      <c r="J998" s="5"/>
      <c r="K998" s="6"/>
      <c r="N998" s="2"/>
      <c r="O998" s="2"/>
      <c r="P998" s="2"/>
    </row>
    <row r="999" spans="2:16" ht="14.25">
      <c r="B999" s="4"/>
      <c r="I999" s="5"/>
      <c r="J999" s="5"/>
      <c r="K999" s="6"/>
      <c r="N999" s="2"/>
      <c r="O999" s="2"/>
      <c r="P999" s="2"/>
    </row>
    <row r="1000" spans="2:16" ht="14.25">
      <c r="B1000" s="4"/>
      <c r="I1000" s="5"/>
      <c r="J1000" s="5"/>
      <c r="K1000" s="6"/>
      <c r="N1000" s="2"/>
      <c r="O1000" s="2"/>
      <c r="P1000" s="2"/>
    </row>
    <row r="1001" spans="2:16" ht="14.25">
      <c r="B1001" s="4"/>
      <c r="I1001" s="5"/>
      <c r="J1001" s="5"/>
      <c r="K1001" s="6"/>
      <c r="N1001" s="2"/>
      <c r="O1001" s="2"/>
      <c r="P1001" s="2"/>
    </row>
    <row r="1002" spans="2:16" ht="14.25">
      <c r="B1002" s="4"/>
      <c r="I1002" s="5"/>
      <c r="J1002" s="5"/>
      <c r="K1002" s="6"/>
      <c r="N1002" s="2"/>
      <c r="O1002" s="2"/>
      <c r="P1002" s="2"/>
    </row>
    <row r="1003" spans="2:16" ht="14.25">
      <c r="B1003" s="4"/>
      <c r="I1003" s="5"/>
      <c r="J1003" s="5"/>
      <c r="K1003" s="6"/>
      <c r="N1003" s="2"/>
      <c r="O1003" s="2"/>
      <c r="P1003" s="2"/>
    </row>
    <row r="1004" spans="2:16" ht="14.25">
      <c r="B1004" s="4"/>
      <c r="I1004" s="5"/>
      <c r="J1004" s="5"/>
      <c r="K1004" s="6"/>
      <c r="N1004" s="2"/>
      <c r="O1004" s="2"/>
      <c r="P1004" s="2"/>
    </row>
    <row r="1005" spans="2:16" ht="14.25">
      <c r="B1005" s="4"/>
      <c r="I1005" s="5"/>
      <c r="J1005" s="5"/>
      <c r="K1005" s="6"/>
      <c r="N1005" s="2"/>
      <c r="O1005" s="2"/>
      <c r="P1005" s="2"/>
    </row>
    <row r="1006" spans="2:16" ht="14.25">
      <c r="B1006" s="4"/>
      <c r="I1006" s="5"/>
      <c r="J1006" s="5"/>
      <c r="K1006" s="6"/>
      <c r="N1006" s="2"/>
      <c r="O1006" s="2"/>
      <c r="P1006" s="2"/>
    </row>
    <row r="1007" spans="2:16" ht="14.25">
      <c r="B1007" s="4"/>
      <c r="I1007" s="5"/>
      <c r="J1007" s="5"/>
      <c r="K1007" s="6"/>
      <c r="N1007" s="2"/>
      <c r="O1007" s="2"/>
      <c r="P1007" s="2"/>
    </row>
    <row r="1008" spans="2:16" ht="14.25">
      <c r="B1008" s="4"/>
      <c r="I1008" s="5"/>
      <c r="J1008" s="5"/>
      <c r="K1008" s="6"/>
      <c r="N1008" s="2"/>
      <c r="O1008" s="2"/>
      <c r="P1008" s="2"/>
    </row>
    <row r="1009" spans="2:16" ht="14.25">
      <c r="B1009" s="4"/>
      <c r="I1009" s="5"/>
      <c r="J1009" s="5"/>
      <c r="K1009" s="6"/>
      <c r="N1009" s="2"/>
      <c r="O1009" s="2"/>
      <c r="P1009" s="2"/>
    </row>
    <row r="1010" spans="2:16" ht="14.25">
      <c r="B1010" s="4"/>
      <c r="I1010" s="5"/>
      <c r="J1010" s="5"/>
      <c r="K1010" s="6"/>
      <c r="N1010" s="2"/>
      <c r="O1010" s="2"/>
      <c r="P1010" s="2"/>
    </row>
    <row r="1011" spans="2:16" ht="14.25">
      <c r="B1011" s="4"/>
      <c r="I1011" s="5"/>
      <c r="J1011" s="5"/>
      <c r="K1011" s="6"/>
      <c r="N1011" s="2"/>
      <c r="O1011" s="2"/>
      <c r="P1011" s="2"/>
    </row>
    <row r="1012" spans="2:16" ht="14.25">
      <c r="B1012" s="4"/>
      <c r="I1012" s="5"/>
      <c r="J1012" s="5"/>
      <c r="K1012" s="6"/>
      <c r="N1012" s="2"/>
      <c r="O1012" s="2"/>
      <c r="P1012" s="2"/>
    </row>
    <row r="1013" spans="2:16" ht="14.25">
      <c r="B1013" s="4"/>
      <c r="I1013" s="5"/>
      <c r="J1013" s="5"/>
      <c r="K1013" s="6"/>
      <c r="N1013" s="2"/>
      <c r="O1013" s="2"/>
      <c r="P1013" s="2"/>
    </row>
    <row r="1014" spans="2:16" ht="14.25">
      <c r="B1014" s="4"/>
      <c r="I1014" s="5"/>
      <c r="J1014" s="5"/>
      <c r="K1014" s="6"/>
      <c r="N1014" s="2"/>
      <c r="O1014" s="2"/>
      <c r="P1014" s="2"/>
    </row>
    <row r="1015" spans="2:16" ht="14.25">
      <c r="B1015" s="4"/>
      <c r="I1015" s="5"/>
      <c r="J1015" s="5"/>
      <c r="K1015" s="6"/>
      <c r="N1015" s="2"/>
      <c r="O1015" s="2"/>
      <c r="P1015" s="2"/>
    </row>
    <row r="1016" spans="2:16" ht="14.25">
      <c r="B1016" s="4"/>
      <c r="I1016" s="5"/>
      <c r="J1016" s="5"/>
      <c r="K1016" s="6"/>
      <c r="N1016" s="2"/>
      <c r="O1016" s="2"/>
      <c r="P1016" s="2"/>
    </row>
    <row r="1017" spans="2:16" ht="14.25">
      <c r="B1017" s="4"/>
      <c r="I1017" s="5"/>
      <c r="J1017" s="5"/>
      <c r="K1017" s="6"/>
      <c r="N1017" s="2"/>
      <c r="O1017" s="2"/>
      <c r="P1017" s="2"/>
    </row>
    <row r="1018" spans="2:16" ht="14.25">
      <c r="B1018" s="4"/>
      <c r="I1018" s="5"/>
      <c r="J1018" s="5"/>
      <c r="K1018" s="6"/>
      <c r="N1018" s="2"/>
      <c r="O1018" s="2"/>
      <c r="P1018" s="2"/>
    </row>
    <row r="1019" spans="2:16" ht="14.25">
      <c r="B1019" s="4"/>
      <c r="I1019" s="5"/>
      <c r="J1019" s="5"/>
      <c r="K1019" s="6"/>
      <c r="N1019" s="2"/>
      <c r="O1019" s="2"/>
      <c r="P1019" s="2"/>
    </row>
    <row r="1020" spans="2:16" ht="14.25">
      <c r="B1020" s="4"/>
      <c r="I1020" s="5"/>
      <c r="J1020" s="5"/>
      <c r="K1020" s="6"/>
      <c r="N1020" s="2"/>
      <c r="O1020" s="2"/>
      <c r="P1020" s="2"/>
    </row>
    <row r="1021" spans="2:16" ht="14.25">
      <c r="B1021" s="4"/>
      <c r="I1021" s="5"/>
      <c r="J1021" s="5"/>
      <c r="K1021" s="6"/>
      <c r="N1021" s="2"/>
      <c r="O1021" s="2"/>
      <c r="P1021" s="2"/>
    </row>
    <row r="1022" spans="2:16" ht="14.25">
      <c r="B1022" s="4"/>
      <c r="I1022" s="5"/>
      <c r="J1022" s="5"/>
      <c r="K1022" s="6"/>
      <c r="N1022" s="2"/>
      <c r="O1022" s="2"/>
      <c r="P1022" s="2"/>
    </row>
    <row r="1023" spans="2:16" ht="14.25">
      <c r="B1023" s="4"/>
      <c r="I1023" s="5"/>
      <c r="J1023" s="5"/>
      <c r="K1023" s="6"/>
      <c r="N1023" s="2"/>
      <c r="O1023" s="2"/>
      <c r="P1023" s="2"/>
    </row>
    <row r="1024" spans="2:16" ht="14.25">
      <c r="B1024" s="4"/>
      <c r="I1024" s="5"/>
      <c r="J1024" s="5"/>
      <c r="K1024" s="6"/>
      <c r="N1024" s="2"/>
      <c r="O1024" s="2"/>
      <c r="P1024" s="2"/>
    </row>
    <row r="1025" spans="2:16" ht="14.25">
      <c r="B1025" s="4"/>
      <c r="I1025" s="5"/>
      <c r="J1025" s="5"/>
      <c r="K1025" s="6"/>
      <c r="N1025" s="2"/>
      <c r="O1025" s="2"/>
      <c r="P1025" s="2"/>
    </row>
    <row r="1026" spans="2:16" ht="14.25">
      <c r="B1026" s="4"/>
      <c r="I1026" s="5"/>
      <c r="J1026" s="5"/>
      <c r="K1026" s="6"/>
      <c r="N1026" s="2"/>
      <c r="O1026" s="2"/>
      <c r="P1026" s="2"/>
    </row>
    <row r="1027" spans="2:16" ht="14.25">
      <c r="B1027" s="4"/>
      <c r="I1027" s="5"/>
      <c r="J1027" s="5"/>
      <c r="K1027" s="6"/>
      <c r="N1027" s="2"/>
      <c r="O1027" s="2"/>
      <c r="P1027" s="2"/>
    </row>
    <row r="1028" spans="2:16" ht="14.25">
      <c r="B1028" s="4"/>
      <c r="I1028" s="5"/>
      <c r="J1028" s="5"/>
      <c r="K1028" s="6"/>
      <c r="N1028" s="2"/>
      <c r="O1028" s="2"/>
      <c r="P1028" s="2"/>
    </row>
    <row r="1029" spans="2:16" ht="14.25">
      <c r="B1029" s="4"/>
      <c r="I1029" s="5"/>
      <c r="J1029" s="5"/>
      <c r="K1029" s="6"/>
      <c r="N1029" s="2"/>
      <c r="O1029" s="2"/>
      <c r="P1029" s="2"/>
    </row>
    <row r="1030" spans="2:16" ht="14.25">
      <c r="B1030" s="4"/>
      <c r="I1030" s="5"/>
      <c r="J1030" s="5"/>
      <c r="K1030" s="6"/>
      <c r="N1030" s="2"/>
      <c r="O1030" s="2"/>
      <c r="P1030" s="2"/>
    </row>
    <row r="1031" spans="2:16" ht="14.25">
      <c r="B1031" s="4"/>
      <c r="I1031" s="5"/>
      <c r="J1031" s="5"/>
      <c r="K1031" s="6"/>
      <c r="N1031" s="2"/>
      <c r="O1031" s="2"/>
      <c r="P1031" s="2"/>
    </row>
    <row r="1032" spans="2:16" ht="14.25">
      <c r="B1032" s="4"/>
      <c r="I1032" s="5"/>
      <c r="J1032" s="5"/>
      <c r="K1032" s="6"/>
      <c r="N1032" s="2"/>
      <c r="O1032" s="2"/>
      <c r="P1032" s="2"/>
    </row>
    <row r="1033" spans="2:16" ht="14.25">
      <c r="B1033" s="4"/>
      <c r="I1033" s="5"/>
      <c r="J1033" s="5"/>
      <c r="K1033" s="6"/>
      <c r="N1033" s="2"/>
      <c r="O1033" s="2"/>
      <c r="P1033" s="2"/>
    </row>
    <row r="1034" spans="2:16" ht="14.25">
      <c r="B1034" s="4"/>
      <c r="I1034" s="5"/>
      <c r="J1034" s="5"/>
      <c r="K1034" s="6"/>
      <c r="N1034" s="2"/>
      <c r="O1034" s="2"/>
      <c r="P1034" s="2"/>
    </row>
    <row r="1035" spans="2:16" ht="14.25">
      <c r="B1035" s="4"/>
      <c r="I1035" s="5"/>
      <c r="J1035" s="5"/>
      <c r="K1035" s="6"/>
      <c r="N1035" s="2"/>
      <c r="O1035" s="2"/>
      <c r="P1035" s="2"/>
    </row>
    <row r="1036" spans="2:16" ht="14.25">
      <c r="B1036" s="4"/>
      <c r="I1036" s="5"/>
      <c r="J1036" s="5"/>
      <c r="K1036" s="6"/>
      <c r="N1036" s="2"/>
      <c r="O1036" s="2"/>
      <c r="P1036" s="2"/>
    </row>
    <row r="1037" spans="2:16" ht="14.25">
      <c r="B1037" s="4"/>
      <c r="I1037" s="5"/>
      <c r="J1037" s="5"/>
      <c r="K1037" s="6"/>
      <c r="N1037" s="2"/>
      <c r="O1037" s="2"/>
      <c r="P1037" s="2"/>
    </row>
    <row r="1038" spans="2:16" ht="14.25">
      <c r="B1038" s="4"/>
      <c r="I1038" s="5"/>
      <c r="J1038" s="5"/>
      <c r="K1038" s="6"/>
      <c r="N1038" s="2"/>
      <c r="O1038" s="2"/>
      <c r="P1038" s="2"/>
    </row>
    <row r="1039" spans="2:16" ht="14.25">
      <c r="B1039" s="4"/>
      <c r="I1039" s="5"/>
      <c r="J1039" s="5"/>
      <c r="K1039" s="6"/>
      <c r="N1039" s="2"/>
      <c r="O1039" s="2"/>
      <c r="P1039" s="2"/>
    </row>
    <row r="1040" spans="2:16" ht="14.25">
      <c r="B1040" s="4"/>
      <c r="I1040" s="5"/>
      <c r="J1040" s="5"/>
      <c r="K1040" s="6"/>
      <c r="N1040" s="2"/>
      <c r="O1040" s="2"/>
      <c r="P1040" s="2"/>
    </row>
    <row r="1041" spans="2:16" ht="14.25">
      <c r="B1041" s="4"/>
      <c r="I1041" s="5"/>
      <c r="J1041" s="5"/>
      <c r="K1041" s="6"/>
      <c r="N1041" s="2"/>
      <c r="O1041" s="2"/>
      <c r="P1041" s="2"/>
    </row>
    <row r="1042" spans="2:16" ht="14.25">
      <c r="B1042" s="4"/>
      <c r="I1042" s="5"/>
      <c r="J1042" s="5"/>
      <c r="K1042" s="6"/>
      <c r="N1042" s="2"/>
      <c r="O1042" s="2"/>
      <c r="P1042" s="2"/>
    </row>
    <row r="1043" spans="2:16" ht="14.25">
      <c r="B1043" s="4"/>
      <c r="I1043" s="5"/>
      <c r="J1043" s="5"/>
      <c r="K1043" s="6"/>
      <c r="N1043" s="2"/>
      <c r="O1043" s="2"/>
      <c r="P1043" s="2"/>
    </row>
    <row r="1044" spans="2:16" ht="14.25">
      <c r="B1044" s="4"/>
      <c r="I1044" s="5"/>
      <c r="J1044" s="5"/>
      <c r="K1044" s="6"/>
      <c r="N1044" s="2"/>
      <c r="O1044" s="2"/>
      <c r="P1044" s="2"/>
    </row>
    <row r="1045" spans="2:16" ht="14.25">
      <c r="B1045" s="4"/>
      <c r="I1045" s="5"/>
      <c r="J1045" s="5"/>
      <c r="K1045" s="6"/>
      <c r="N1045" s="2"/>
      <c r="O1045" s="2"/>
      <c r="P1045" s="2"/>
    </row>
    <row r="1046" spans="2:16" ht="14.25">
      <c r="B1046" s="4"/>
      <c r="I1046" s="5"/>
      <c r="J1046" s="5"/>
      <c r="K1046" s="6"/>
      <c r="N1046" s="2"/>
      <c r="O1046" s="2"/>
      <c r="P1046" s="2"/>
    </row>
    <row r="1047" spans="2:16" ht="14.25">
      <c r="B1047" s="4"/>
      <c r="I1047" s="5"/>
      <c r="J1047" s="5"/>
      <c r="K1047" s="6"/>
      <c r="N1047" s="2"/>
      <c r="O1047" s="2"/>
      <c r="P1047" s="2"/>
    </row>
    <row r="1048" spans="2:16" ht="14.25">
      <c r="B1048" s="4"/>
      <c r="I1048" s="5"/>
      <c r="J1048" s="5"/>
      <c r="K1048" s="6"/>
      <c r="N1048" s="2"/>
      <c r="O1048" s="2"/>
      <c r="P1048" s="2"/>
    </row>
    <row r="1049" spans="2:16" ht="14.25">
      <c r="B1049" s="4"/>
      <c r="I1049" s="5"/>
      <c r="J1049" s="5"/>
      <c r="K1049" s="6"/>
      <c r="N1049" s="2"/>
      <c r="O1049" s="2"/>
      <c r="P1049" s="2"/>
    </row>
    <row r="1050" spans="2:16" ht="14.25">
      <c r="B1050" s="4"/>
      <c r="I1050" s="5"/>
      <c r="J1050" s="5"/>
      <c r="K1050" s="6"/>
      <c r="N1050" s="2"/>
      <c r="O1050" s="2"/>
      <c r="P1050" s="2"/>
    </row>
    <row r="1051" spans="2:16" ht="14.25">
      <c r="B1051" s="4"/>
      <c r="I1051" s="5"/>
      <c r="J1051" s="5"/>
      <c r="K1051" s="6"/>
      <c r="N1051" s="2"/>
      <c r="O1051" s="2"/>
      <c r="P1051" s="2"/>
    </row>
    <row r="1052" spans="2:16" ht="14.25">
      <c r="B1052" s="4"/>
      <c r="I1052" s="5"/>
      <c r="J1052" s="5"/>
      <c r="K1052" s="6"/>
      <c r="N1052" s="2"/>
      <c r="O1052" s="2"/>
      <c r="P1052" s="2"/>
    </row>
    <row r="1053" spans="2:16" ht="14.25">
      <c r="B1053" s="4"/>
      <c r="I1053" s="5"/>
      <c r="J1053" s="5"/>
      <c r="K1053" s="6"/>
      <c r="N1053" s="2"/>
      <c r="O1053" s="2"/>
      <c r="P1053" s="2"/>
    </row>
    <row r="1054" spans="2:16" ht="14.25">
      <c r="B1054" s="4"/>
      <c r="I1054" s="5"/>
      <c r="J1054" s="5"/>
      <c r="K1054" s="6"/>
      <c r="N1054" s="2"/>
      <c r="O1054" s="2"/>
      <c r="P1054" s="2"/>
    </row>
    <row r="1055" spans="2:16" ht="14.25">
      <c r="B1055" s="4"/>
      <c r="I1055" s="5"/>
      <c r="J1055" s="5"/>
      <c r="K1055" s="6"/>
      <c r="N1055" s="2"/>
      <c r="O1055" s="2"/>
      <c r="P1055" s="2"/>
    </row>
    <row r="1056" spans="2:16" ht="14.25">
      <c r="B1056" s="4"/>
      <c r="I1056" s="5"/>
      <c r="J1056" s="5"/>
      <c r="K1056" s="6"/>
      <c r="N1056" s="2"/>
      <c r="O1056" s="2"/>
      <c r="P1056" s="2"/>
    </row>
    <row r="1057" spans="2:16" ht="14.25">
      <c r="B1057" s="4"/>
      <c r="I1057" s="5"/>
      <c r="J1057" s="5"/>
      <c r="K1057" s="6"/>
      <c r="N1057" s="2"/>
      <c r="O1057" s="2"/>
      <c r="P1057" s="2"/>
    </row>
    <row r="1058" spans="2:16" ht="14.25">
      <c r="B1058" s="4"/>
      <c r="I1058" s="5"/>
      <c r="J1058" s="5"/>
      <c r="K1058" s="6"/>
      <c r="N1058" s="2"/>
      <c r="O1058" s="2"/>
      <c r="P1058" s="2"/>
    </row>
    <row r="1059" spans="2:16" ht="14.25">
      <c r="B1059" s="4"/>
      <c r="I1059" s="5"/>
      <c r="J1059" s="5"/>
      <c r="K1059" s="6"/>
      <c r="N1059" s="2"/>
      <c r="O1059" s="2"/>
      <c r="P1059" s="2"/>
    </row>
    <row r="1060" spans="2:16" ht="14.25">
      <c r="B1060" s="4"/>
      <c r="I1060" s="5"/>
      <c r="J1060" s="5"/>
      <c r="K1060" s="6"/>
      <c r="N1060" s="2"/>
      <c r="O1060" s="2"/>
      <c r="P1060" s="2"/>
    </row>
    <row r="1061" spans="2:16" ht="14.25">
      <c r="B1061" s="4"/>
      <c r="I1061" s="5"/>
      <c r="J1061" s="5"/>
      <c r="K1061" s="6"/>
      <c r="N1061" s="2"/>
      <c r="O1061" s="2"/>
      <c r="P1061" s="2"/>
    </row>
    <row r="1062" spans="2:16" ht="14.25">
      <c r="B1062" s="4"/>
      <c r="I1062" s="5"/>
      <c r="J1062" s="5"/>
      <c r="K1062" s="6"/>
      <c r="N1062" s="2"/>
      <c r="O1062" s="2"/>
      <c r="P1062" s="2"/>
    </row>
    <row r="1063" spans="2:16" ht="14.25">
      <c r="B1063" s="4"/>
      <c r="I1063" s="5"/>
      <c r="J1063" s="5"/>
      <c r="K1063" s="6"/>
      <c r="N1063" s="2"/>
      <c r="O1063" s="2"/>
      <c r="P1063" s="2"/>
    </row>
    <row r="1064" spans="2:16" ht="14.25">
      <c r="B1064" s="4"/>
      <c r="I1064" s="5"/>
      <c r="J1064" s="5"/>
      <c r="K1064" s="6"/>
      <c r="N1064" s="2"/>
      <c r="O1064" s="2"/>
      <c r="P1064" s="2"/>
    </row>
    <row r="1065" spans="2:16" ht="14.25">
      <c r="B1065" s="4"/>
      <c r="I1065" s="5"/>
      <c r="J1065" s="5"/>
      <c r="K1065" s="6"/>
      <c r="N1065" s="2"/>
      <c r="O1065" s="2"/>
      <c r="P1065" s="2"/>
    </row>
    <row r="1066" spans="2:16" ht="14.25">
      <c r="B1066" s="4"/>
      <c r="I1066" s="5"/>
      <c r="J1066" s="5"/>
      <c r="K1066" s="6"/>
      <c r="N1066" s="2"/>
      <c r="O1066" s="2"/>
      <c r="P1066" s="2"/>
    </row>
    <row r="1067" spans="2:16" ht="14.25">
      <c r="B1067" s="4"/>
      <c r="I1067" s="5"/>
      <c r="J1067" s="5"/>
      <c r="K1067" s="6"/>
      <c r="N1067" s="2"/>
      <c r="O1067" s="2"/>
      <c r="P1067" s="2"/>
    </row>
    <row r="1068" spans="2:16" ht="14.25">
      <c r="B1068" s="4"/>
      <c r="I1068" s="5"/>
      <c r="J1068" s="5"/>
      <c r="K1068" s="6"/>
      <c r="N1068" s="2"/>
      <c r="O1068" s="2"/>
      <c r="P1068" s="2"/>
    </row>
    <row r="1069" spans="2:16" ht="14.25">
      <c r="B1069" s="4"/>
      <c r="I1069" s="5"/>
      <c r="J1069" s="5"/>
      <c r="K1069" s="6"/>
      <c r="N1069" s="2"/>
      <c r="O1069" s="2"/>
      <c r="P1069" s="2"/>
    </row>
    <row r="1070" spans="2:16" ht="14.25">
      <c r="B1070" s="4"/>
      <c r="I1070" s="5"/>
      <c r="J1070" s="5"/>
      <c r="K1070" s="6"/>
      <c r="N1070" s="2"/>
      <c r="O1070" s="2"/>
      <c r="P1070" s="2"/>
    </row>
    <row r="1071" spans="2:16" ht="14.25">
      <c r="B1071" s="4"/>
      <c r="I1071" s="5"/>
      <c r="J1071" s="5"/>
      <c r="K1071" s="6"/>
      <c r="N1071" s="2"/>
      <c r="O1071" s="2"/>
      <c r="P1071" s="2"/>
    </row>
    <row r="1072" spans="2:16" ht="14.25">
      <c r="B1072" s="4"/>
      <c r="I1072" s="5"/>
      <c r="J1072" s="5"/>
      <c r="K1072" s="6"/>
      <c r="N1072" s="2"/>
      <c r="O1072" s="2"/>
      <c r="P1072" s="2"/>
    </row>
    <row r="1073" spans="2:16" ht="14.25">
      <c r="B1073" s="4"/>
      <c r="I1073" s="5"/>
      <c r="J1073" s="5"/>
      <c r="K1073" s="6"/>
      <c r="N1073" s="2"/>
      <c r="O1073" s="2"/>
      <c r="P1073" s="2"/>
    </row>
    <row r="1074" spans="2:16" ht="14.25">
      <c r="B1074" s="4"/>
      <c r="I1074" s="5"/>
      <c r="J1074" s="5"/>
      <c r="K1074" s="6"/>
      <c r="N1074" s="2"/>
      <c r="O1074" s="2"/>
      <c r="P1074" s="2"/>
    </row>
    <row r="1075" spans="2:16" ht="14.25">
      <c r="B1075" s="4"/>
      <c r="I1075" s="5"/>
      <c r="J1075" s="5"/>
      <c r="K1075" s="6"/>
      <c r="N1075" s="2"/>
      <c r="O1075" s="2"/>
      <c r="P1075" s="2"/>
    </row>
    <row r="1076" spans="2:16" ht="14.25">
      <c r="B1076" s="4"/>
      <c r="I1076" s="5"/>
      <c r="J1076" s="5"/>
      <c r="K1076" s="6"/>
      <c r="N1076" s="2"/>
      <c r="O1076" s="2"/>
      <c r="P1076" s="2"/>
    </row>
    <row r="1077" spans="2:16" ht="14.25">
      <c r="B1077" s="4"/>
      <c r="I1077" s="5"/>
      <c r="J1077" s="5"/>
      <c r="K1077" s="6"/>
      <c r="N1077" s="2"/>
      <c r="O1077" s="2"/>
      <c r="P1077" s="2"/>
    </row>
    <row r="1078" spans="2:16" ht="14.25">
      <c r="B1078" s="4"/>
      <c r="I1078" s="5"/>
      <c r="J1078" s="5"/>
      <c r="K1078" s="6"/>
      <c r="N1078" s="2"/>
      <c r="O1078" s="2"/>
      <c r="P1078" s="2"/>
    </row>
    <row r="1079" spans="2:16" ht="14.25">
      <c r="B1079" s="4"/>
      <c r="I1079" s="5"/>
      <c r="J1079" s="5"/>
      <c r="K1079" s="6"/>
      <c r="N1079" s="2"/>
      <c r="O1079" s="2"/>
      <c r="P1079" s="2"/>
    </row>
    <row r="1080" spans="2:16" ht="14.25">
      <c r="B1080" s="4"/>
      <c r="I1080" s="5"/>
      <c r="J1080" s="5"/>
      <c r="K1080" s="6"/>
      <c r="N1080" s="2"/>
      <c r="O1080" s="2"/>
      <c r="P1080" s="2"/>
    </row>
    <row r="1081" spans="2:16" ht="14.25">
      <c r="B1081" s="4"/>
      <c r="I1081" s="5"/>
      <c r="J1081" s="5"/>
      <c r="K1081" s="6"/>
      <c r="N1081" s="2"/>
      <c r="O1081" s="2"/>
      <c r="P1081" s="2"/>
    </row>
    <row r="1082" spans="2:16" ht="14.25">
      <c r="B1082" s="4"/>
      <c r="I1082" s="5"/>
      <c r="J1082" s="5"/>
      <c r="K1082" s="6"/>
      <c r="N1082" s="2"/>
      <c r="O1082" s="2"/>
      <c r="P1082" s="2"/>
    </row>
    <row r="1083" spans="2:16" ht="14.25">
      <c r="B1083" s="4"/>
      <c r="I1083" s="5"/>
      <c r="J1083" s="5"/>
      <c r="K1083" s="6"/>
      <c r="N1083" s="2"/>
      <c r="O1083" s="2"/>
      <c r="P1083" s="2"/>
    </row>
    <row r="1084" spans="2:16" ht="14.25">
      <c r="B1084" s="4"/>
      <c r="I1084" s="5"/>
      <c r="J1084" s="5"/>
      <c r="K1084" s="6"/>
      <c r="N1084" s="2"/>
      <c r="O1084" s="2"/>
      <c r="P1084" s="2"/>
    </row>
    <row r="1085" spans="2:16" ht="14.25">
      <c r="B1085" s="4"/>
      <c r="I1085" s="5"/>
      <c r="J1085" s="5"/>
      <c r="K1085" s="6"/>
      <c r="N1085" s="2"/>
      <c r="O1085" s="2"/>
      <c r="P1085" s="2"/>
    </row>
    <row r="1086" spans="2:16" ht="14.25">
      <c r="B1086" s="4"/>
      <c r="I1086" s="5"/>
      <c r="J1086" s="5"/>
      <c r="K1086" s="6"/>
      <c r="N1086" s="2"/>
      <c r="O1086" s="2"/>
      <c r="P1086" s="2"/>
    </row>
    <row r="1087" spans="2:16" ht="14.25">
      <c r="B1087" s="4"/>
      <c r="I1087" s="5"/>
      <c r="J1087" s="5"/>
      <c r="K1087" s="6"/>
      <c r="N1087" s="2"/>
      <c r="O1087" s="2"/>
      <c r="P1087" s="2"/>
    </row>
    <row r="1088" spans="2:16" ht="14.25">
      <c r="B1088" s="4"/>
      <c r="I1088" s="5"/>
      <c r="J1088" s="5"/>
      <c r="K1088" s="6"/>
      <c r="N1088" s="2"/>
      <c r="O1088" s="2"/>
      <c r="P1088" s="2"/>
    </row>
    <row r="1089" spans="2:16" ht="14.25">
      <c r="B1089" s="4"/>
      <c r="I1089" s="5"/>
      <c r="J1089" s="5"/>
      <c r="K1089" s="6"/>
      <c r="N1089" s="2"/>
      <c r="O1089" s="2"/>
      <c r="P1089" s="2"/>
    </row>
    <row r="1090" spans="2:16" ht="14.25">
      <c r="B1090" s="4"/>
      <c r="I1090" s="5"/>
      <c r="J1090" s="5"/>
      <c r="K1090" s="6"/>
      <c r="N1090" s="2"/>
      <c r="O1090" s="2"/>
      <c r="P1090" s="2"/>
    </row>
    <row r="1091" spans="2:16" ht="14.25">
      <c r="B1091" s="4"/>
      <c r="I1091" s="5"/>
      <c r="J1091" s="5"/>
      <c r="K1091" s="6"/>
      <c r="N1091" s="2"/>
      <c r="O1091" s="2"/>
      <c r="P1091" s="2"/>
    </row>
    <row r="1092" spans="2:16" ht="14.25">
      <c r="B1092" s="4"/>
      <c r="I1092" s="5"/>
      <c r="J1092" s="5"/>
      <c r="K1092" s="6"/>
      <c r="N1092" s="2"/>
      <c r="O1092" s="2"/>
      <c r="P1092" s="2"/>
    </row>
    <row r="1093" spans="2:16" ht="14.25">
      <c r="B1093" s="4"/>
      <c r="I1093" s="5"/>
      <c r="J1093" s="5"/>
      <c r="K1093" s="6"/>
      <c r="N1093" s="2"/>
      <c r="O1093" s="2"/>
      <c r="P1093" s="2"/>
    </row>
    <row r="1094" spans="2:16" ht="14.25">
      <c r="B1094" s="4"/>
      <c r="I1094" s="5"/>
      <c r="J1094" s="5"/>
      <c r="K1094" s="6"/>
      <c r="N1094" s="2"/>
      <c r="O1094" s="2"/>
      <c r="P1094" s="2"/>
    </row>
    <row r="1095" spans="2:16" ht="14.25">
      <c r="B1095" s="4"/>
      <c r="I1095" s="5"/>
      <c r="J1095" s="5"/>
      <c r="K1095" s="6"/>
      <c r="N1095" s="2"/>
      <c r="O1095" s="2"/>
      <c r="P1095" s="2"/>
    </row>
    <row r="1096" spans="2:16" ht="14.25">
      <c r="B1096" s="4"/>
      <c r="I1096" s="5"/>
      <c r="J1096" s="5"/>
      <c r="K1096" s="6"/>
      <c r="N1096" s="2"/>
      <c r="O1096" s="2"/>
      <c r="P1096" s="2"/>
    </row>
    <row r="1097" spans="2:16" ht="14.25">
      <c r="B1097" s="4"/>
      <c r="I1097" s="5"/>
      <c r="J1097" s="5"/>
      <c r="K1097" s="6"/>
      <c r="N1097" s="2"/>
      <c r="O1097" s="2"/>
      <c r="P1097" s="2"/>
    </row>
    <row r="1098" spans="2:16" ht="14.25">
      <c r="B1098" s="4"/>
      <c r="I1098" s="5"/>
      <c r="J1098" s="5"/>
      <c r="K1098" s="6"/>
      <c r="N1098" s="2"/>
      <c r="O1098" s="2"/>
      <c r="P1098" s="2"/>
    </row>
    <row r="1099" spans="2:16" ht="14.25">
      <c r="B1099" s="4"/>
      <c r="I1099" s="5"/>
      <c r="J1099" s="5"/>
      <c r="K1099" s="6"/>
      <c r="N1099" s="2"/>
      <c r="O1099" s="2"/>
      <c r="P1099" s="2"/>
    </row>
    <row r="1100" spans="2:16" ht="14.25">
      <c r="B1100" s="4"/>
      <c r="I1100" s="5"/>
      <c r="J1100" s="5"/>
      <c r="K1100" s="6"/>
      <c r="N1100" s="2"/>
      <c r="O1100" s="2"/>
      <c r="P1100" s="2"/>
    </row>
    <row r="1101" spans="2:16" ht="14.25">
      <c r="B1101" s="4"/>
      <c r="I1101" s="5"/>
      <c r="J1101" s="5"/>
      <c r="K1101" s="6"/>
      <c r="N1101" s="2"/>
      <c r="O1101" s="2"/>
      <c r="P1101" s="2"/>
    </row>
    <row r="1102" spans="2:16" ht="14.25">
      <c r="B1102" s="4"/>
      <c r="I1102" s="5"/>
      <c r="J1102" s="5"/>
      <c r="K1102" s="6"/>
      <c r="N1102" s="2"/>
      <c r="O1102" s="2"/>
      <c r="P1102" s="2"/>
    </row>
    <row r="1103" spans="2:16" ht="14.25">
      <c r="B1103" s="4"/>
      <c r="I1103" s="5"/>
      <c r="J1103" s="5"/>
      <c r="K1103" s="6"/>
      <c r="N1103" s="2"/>
      <c r="O1103" s="2"/>
      <c r="P1103" s="2"/>
    </row>
    <row r="1104" spans="2:16" ht="14.25">
      <c r="B1104" s="4"/>
      <c r="I1104" s="5"/>
      <c r="J1104" s="5"/>
      <c r="K1104" s="6"/>
      <c r="N1104" s="2"/>
      <c r="O1104" s="2"/>
      <c r="P1104" s="2"/>
    </row>
    <row r="1105" spans="2:16" ht="14.25">
      <c r="B1105" s="4"/>
      <c r="I1105" s="5"/>
      <c r="J1105" s="5"/>
      <c r="K1105" s="6"/>
      <c r="N1105" s="2"/>
      <c r="O1105" s="2"/>
      <c r="P1105" s="2"/>
    </row>
    <row r="1106" spans="2:16" ht="14.25">
      <c r="B1106" s="4"/>
      <c r="I1106" s="5"/>
      <c r="J1106" s="5"/>
      <c r="K1106" s="6"/>
      <c r="N1106" s="2"/>
      <c r="O1106" s="2"/>
      <c r="P1106" s="2"/>
    </row>
    <row r="1107" spans="2:16" ht="14.25">
      <c r="B1107" s="4"/>
      <c r="I1107" s="5"/>
      <c r="J1107" s="5"/>
      <c r="K1107" s="6"/>
      <c r="N1107" s="2"/>
      <c r="O1107" s="2"/>
      <c r="P1107" s="2"/>
    </row>
    <row r="1108" spans="2:16" ht="14.25">
      <c r="B1108" s="4"/>
      <c r="I1108" s="5"/>
      <c r="J1108" s="5"/>
      <c r="K1108" s="6"/>
      <c r="N1108" s="2"/>
      <c r="O1108" s="2"/>
      <c r="P1108" s="2"/>
    </row>
    <row r="1109" spans="2:16" ht="14.25">
      <c r="B1109" s="4"/>
      <c r="I1109" s="5"/>
      <c r="J1109" s="5"/>
      <c r="K1109" s="6"/>
      <c r="N1109" s="2"/>
      <c r="O1109" s="2"/>
      <c r="P1109" s="2"/>
    </row>
    <row r="1110" spans="2:16" ht="14.25">
      <c r="B1110" s="4"/>
      <c r="I1110" s="5"/>
      <c r="J1110" s="5"/>
      <c r="K1110" s="6"/>
      <c r="N1110" s="2"/>
      <c r="O1110" s="2"/>
      <c r="P1110" s="2"/>
    </row>
    <row r="1111" spans="2:16" ht="14.25">
      <c r="B1111" s="4"/>
      <c r="I1111" s="5"/>
      <c r="J1111" s="5"/>
      <c r="K1111" s="6"/>
      <c r="N1111" s="2"/>
      <c r="O1111" s="2"/>
      <c r="P1111" s="2"/>
    </row>
    <row r="1112" spans="2:16" ht="14.25">
      <c r="B1112" s="4"/>
      <c r="I1112" s="5"/>
      <c r="J1112" s="5"/>
      <c r="K1112" s="6"/>
      <c r="N1112" s="2"/>
      <c r="O1112" s="2"/>
      <c r="P1112" s="2"/>
    </row>
    <row r="1113" spans="2:16" ht="14.25">
      <c r="B1113" s="4"/>
      <c r="I1113" s="5"/>
      <c r="J1113" s="5"/>
      <c r="K1113" s="6"/>
      <c r="N1113" s="2"/>
      <c r="O1113" s="2"/>
      <c r="P1113" s="2"/>
    </row>
    <row r="1114" spans="2:16" ht="14.25">
      <c r="B1114" s="4"/>
      <c r="I1114" s="5"/>
      <c r="J1114" s="5"/>
      <c r="K1114" s="6"/>
      <c r="N1114" s="2"/>
      <c r="O1114" s="2"/>
      <c r="P1114" s="2"/>
    </row>
    <row r="1115" spans="2:16" ht="14.25">
      <c r="B1115" s="4"/>
      <c r="I1115" s="5"/>
      <c r="J1115" s="5"/>
      <c r="K1115" s="6"/>
      <c r="N1115" s="2"/>
      <c r="O1115" s="2"/>
      <c r="P1115" s="2"/>
    </row>
    <row r="1116" spans="2:16" ht="14.25">
      <c r="B1116" s="4"/>
      <c r="I1116" s="5"/>
      <c r="J1116" s="5"/>
      <c r="K1116" s="6"/>
      <c r="N1116" s="2"/>
      <c r="O1116" s="2"/>
      <c r="P1116" s="2"/>
    </row>
    <row r="1117" spans="2:16" ht="14.25">
      <c r="B1117" s="4"/>
      <c r="I1117" s="5"/>
      <c r="J1117" s="5"/>
      <c r="K1117" s="6"/>
      <c r="N1117" s="2"/>
      <c r="O1117" s="2"/>
      <c r="P1117" s="2"/>
    </row>
    <row r="1118" spans="2:16" ht="14.25">
      <c r="B1118" s="4"/>
      <c r="I1118" s="5"/>
      <c r="J1118" s="5"/>
      <c r="K1118" s="6"/>
      <c r="N1118" s="2"/>
      <c r="O1118" s="2"/>
      <c r="P1118" s="2"/>
    </row>
    <row r="1119" spans="2:16" ht="14.25">
      <c r="B1119" s="4"/>
      <c r="I1119" s="5"/>
      <c r="J1119" s="5"/>
      <c r="K1119" s="6"/>
      <c r="N1119" s="2"/>
      <c r="O1119" s="2"/>
      <c r="P1119" s="2"/>
    </row>
    <row r="1120" spans="2:16" ht="14.25">
      <c r="B1120" s="4"/>
      <c r="I1120" s="5"/>
      <c r="J1120" s="5"/>
      <c r="K1120" s="6"/>
      <c r="N1120" s="2"/>
      <c r="O1120" s="2"/>
      <c r="P1120" s="2"/>
    </row>
    <row r="1121" spans="2:16" ht="14.25">
      <c r="B1121" s="4"/>
      <c r="I1121" s="5"/>
      <c r="J1121" s="5"/>
      <c r="K1121" s="6"/>
      <c r="N1121" s="2"/>
      <c r="O1121" s="2"/>
      <c r="P1121" s="2"/>
    </row>
    <row r="1122" spans="2:16" ht="14.25">
      <c r="B1122" s="4"/>
      <c r="I1122" s="5"/>
      <c r="J1122" s="5"/>
      <c r="K1122" s="6"/>
      <c r="N1122" s="2"/>
      <c r="O1122" s="2"/>
      <c r="P1122" s="2"/>
    </row>
    <row r="1123" spans="2:16" ht="14.25">
      <c r="B1123" s="4"/>
      <c r="I1123" s="5"/>
      <c r="J1123" s="5"/>
      <c r="K1123" s="6"/>
      <c r="N1123" s="2"/>
      <c r="O1123" s="2"/>
      <c r="P1123" s="2"/>
    </row>
    <row r="1124" spans="2:16" ht="14.25">
      <c r="B1124" s="4"/>
      <c r="I1124" s="5"/>
      <c r="J1124" s="5"/>
      <c r="K1124" s="6"/>
      <c r="N1124" s="2"/>
      <c r="O1124" s="2"/>
      <c r="P1124" s="2"/>
    </row>
    <row r="1125" spans="2:16" ht="14.25">
      <c r="B1125" s="4"/>
      <c r="I1125" s="5"/>
      <c r="J1125" s="5"/>
      <c r="K1125" s="6"/>
      <c r="N1125" s="2"/>
      <c r="O1125" s="2"/>
      <c r="P1125" s="2"/>
    </row>
    <row r="1126" spans="2:16" ht="14.25">
      <c r="B1126" s="4"/>
      <c r="I1126" s="5"/>
      <c r="J1126" s="5"/>
      <c r="K1126" s="6"/>
      <c r="N1126" s="2"/>
      <c r="O1126" s="2"/>
      <c r="P1126" s="2"/>
    </row>
    <row r="1127" spans="2:16" ht="14.25">
      <c r="B1127" s="4"/>
      <c r="I1127" s="5"/>
      <c r="J1127" s="5"/>
      <c r="K1127" s="6"/>
      <c r="N1127" s="2"/>
      <c r="O1127" s="2"/>
      <c r="P1127" s="2"/>
    </row>
    <row r="1128" spans="2:16" ht="14.25">
      <c r="B1128" s="4"/>
      <c r="I1128" s="5"/>
      <c r="J1128" s="5"/>
      <c r="K1128" s="6"/>
      <c r="N1128" s="2"/>
      <c r="O1128" s="2"/>
      <c r="P1128" s="2"/>
    </row>
    <row r="1129" spans="2:16" ht="14.25">
      <c r="B1129" s="4"/>
      <c r="I1129" s="5"/>
      <c r="J1129" s="5"/>
      <c r="K1129" s="6"/>
      <c r="N1129" s="2"/>
      <c r="O1129" s="2"/>
      <c r="P1129" s="2"/>
    </row>
    <row r="1130" spans="2:16" ht="14.25">
      <c r="B1130" s="4"/>
      <c r="I1130" s="5"/>
      <c r="J1130" s="5"/>
      <c r="K1130" s="6"/>
      <c r="N1130" s="2"/>
      <c r="O1130" s="2"/>
      <c r="P1130" s="2"/>
    </row>
    <row r="1131" spans="2:16" ht="14.25">
      <c r="B1131" s="4"/>
      <c r="I1131" s="5"/>
      <c r="J1131" s="5"/>
      <c r="K1131" s="6"/>
      <c r="N1131" s="2"/>
      <c r="O1131" s="2"/>
      <c r="P1131" s="2"/>
    </row>
    <row r="1132" spans="2:16" ht="14.25">
      <c r="B1132" s="4"/>
      <c r="I1132" s="5"/>
      <c r="J1132" s="5"/>
      <c r="K1132" s="6"/>
      <c r="N1132" s="2"/>
      <c r="O1132" s="2"/>
      <c r="P1132" s="2"/>
    </row>
    <row r="1133" spans="2:16" ht="14.25">
      <c r="B1133" s="4"/>
      <c r="I1133" s="5"/>
      <c r="J1133" s="5"/>
      <c r="K1133" s="6"/>
      <c r="N1133" s="2"/>
      <c r="O1133" s="2"/>
      <c r="P1133" s="2"/>
    </row>
    <row r="1134" spans="2:16" ht="14.25">
      <c r="B1134" s="4"/>
      <c r="I1134" s="5"/>
      <c r="J1134" s="5"/>
      <c r="K1134" s="6"/>
      <c r="N1134" s="2"/>
      <c r="O1134" s="2"/>
      <c r="P1134" s="2"/>
    </row>
    <row r="1135" spans="2:16" ht="14.25">
      <c r="B1135" s="4"/>
      <c r="I1135" s="5"/>
      <c r="J1135" s="5"/>
      <c r="K1135" s="6"/>
      <c r="N1135" s="2"/>
      <c r="O1135" s="2"/>
      <c r="P1135" s="2"/>
    </row>
    <row r="1136" spans="2:16" ht="14.25">
      <c r="B1136" s="4"/>
      <c r="I1136" s="5"/>
      <c r="J1136" s="5"/>
      <c r="K1136" s="6"/>
      <c r="N1136" s="2"/>
      <c r="O1136" s="2"/>
      <c r="P1136" s="2"/>
    </row>
    <row r="1137" spans="2:16" ht="14.25">
      <c r="B1137" s="4"/>
      <c r="I1137" s="5"/>
      <c r="J1137" s="5"/>
      <c r="K1137" s="6"/>
      <c r="N1137" s="2"/>
      <c r="O1137" s="2"/>
      <c r="P1137" s="2"/>
    </row>
    <row r="1138" spans="2:16" ht="14.25">
      <c r="B1138" s="4"/>
      <c r="I1138" s="5"/>
      <c r="J1138" s="5"/>
      <c r="K1138" s="6"/>
      <c r="N1138" s="2"/>
      <c r="O1138" s="2"/>
      <c r="P1138" s="2"/>
    </row>
    <row r="1139" spans="2:16" ht="14.25">
      <c r="B1139" s="4"/>
      <c r="I1139" s="5"/>
      <c r="J1139" s="5"/>
      <c r="K1139" s="6"/>
      <c r="N1139" s="2"/>
      <c r="O1139" s="2"/>
      <c r="P1139" s="2"/>
    </row>
    <row r="1140" spans="2:16" ht="14.25">
      <c r="B1140" s="4"/>
      <c r="I1140" s="5"/>
      <c r="J1140" s="5"/>
      <c r="K1140" s="6"/>
      <c r="N1140" s="2"/>
      <c r="O1140" s="2"/>
      <c r="P1140" s="2"/>
    </row>
    <row r="1141" spans="2:16" ht="14.25">
      <c r="B1141" s="4"/>
      <c r="I1141" s="5"/>
      <c r="J1141" s="5"/>
      <c r="K1141" s="6"/>
      <c r="N1141" s="2"/>
      <c r="O1141" s="2"/>
      <c r="P1141" s="2"/>
    </row>
    <row r="1142" spans="2:16" ht="14.25">
      <c r="B1142" s="4"/>
      <c r="I1142" s="5"/>
      <c r="J1142" s="5"/>
      <c r="K1142" s="6"/>
      <c r="N1142" s="2"/>
      <c r="O1142" s="2"/>
      <c r="P1142" s="2"/>
    </row>
    <row r="1143" spans="2:16" ht="14.25">
      <c r="B1143" s="4"/>
      <c r="I1143" s="5"/>
      <c r="J1143" s="5"/>
      <c r="K1143" s="6"/>
      <c r="N1143" s="2"/>
      <c r="O1143" s="2"/>
      <c r="P1143" s="2"/>
    </row>
    <row r="1144" spans="2:16" ht="14.25">
      <c r="B1144" s="4"/>
      <c r="I1144" s="5"/>
      <c r="J1144" s="5"/>
      <c r="K1144" s="6"/>
      <c r="N1144" s="2"/>
      <c r="O1144" s="2"/>
      <c r="P1144" s="2"/>
    </row>
    <row r="1145" spans="2:16" ht="14.25">
      <c r="B1145" s="4"/>
      <c r="I1145" s="5"/>
      <c r="J1145" s="5"/>
      <c r="K1145" s="6"/>
      <c r="N1145" s="2"/>
      <c r="O1145" s="2"/>
      <c r="P1145" s="2"/>
    </row>
    <row r="1146" spans="2:16" ht="14.25">
      <c r="B1146" s="4"/>
      <c r="I1146" s="5"/>
      <c r="J1146" s="5"/>
      <c r="K1146" s="6"/>
      <c r="N1146" s="2"/>
      <c r="O1146" s="2"/>
      <c r="P1146" s="2"/>
    </row>
    <row r="1147" spans="2:16" ht="14.25">
      <c r="B1147" s="4"/>
      <c r="I1147" s="5"/>
      <c r="J1147" s="5"/>
      <c r="K1147" s="6"/>
      <c r="N1147" s="2"/>
      <c r="O1147" s="2"/>
      <c r="P1147" s="2"/>
    </row>
    <row r="1148" spans="2:16" ht="14.25">
      <c r="B1148" s="4"/>
      <c r="I1148" s="5"/>
      <c r="J1148" s="5"/>
      <c r="K1148" s="6"/>
      <c r="N1148" s="2"/>
      <c r="O1148" s="2"/>
      <c r="P1148" s="2"/>
    </row>
    <row r="1149" spans="2:16" ht="14.25">
      <c r="B1149" s="4"/>
      <c r="I1149" s="5"/>
      <c r="J1149" s="5"/>
      <c r="K1149" s="6"/>
      <c r="N1149" s="2"/>
      <c r="O1149" s="2"/>
      <c r="P1149" s="2"/>
    </row>
    <row r="1150" spans="2:16" ht="14.25">
      <c r="B1150" s="4"/>
      <c r="I1150" s="5"/>
      <c r="J1150" s="5"/>
      <c r="K1150" s="6"/>
      <c r="N1150" s="2"/>
      <c r="O1150" s="2"/>
      <c r="P1150" s="2"/>
    </row>
    <row r="1151" spans="2:16" ht="14.25">
      <c r="B1151" s="4"/>
      <c r="I1151" s="5"/>
      <c r="J1151" s="5"/>
      <c r="K1151" s="6"/>
      <c r="N1151" s="2"/>
      <c r="O1151" s="2"/>
      <c r="P1151" s="2"/>
    </row>
    <row r="1152" spans="2:16" ht="14.25">
      <c r="B1152" s="4"/>
      <c r="I1152" s="5"/>
      <c r="J1152" s="5"/>
      <c r="K1152" s="6"/>
      <c r="N1152" s="2"/>
      <c r="O1152" s="2"/>
      <c r="P1152" s="2"/>
    </row>
    <row r="1153" spans="2:16" ht="14.25">
      <c r="B1153" s="4"/>
      <c r="I1153" s="5"/>
      <c r="J1153" s="5"/>
      <c r="K1153" s="6"/>
      <c r="N1153" s="2"/>
      <c r="O1153" s="2"/>
      <c r="P1153" s="2"/>
    </row>
    <row r="1154" spans="2:16" ht="14.25">
      <c r="B1154" s="4"/>
      <c r="I1154" s="5"/>
      <c r="J1154" s="5"/>
      <c r="K1154" s="6"/>
      <c r="N1154" s="2"/>
      <c r="O1154" s="2"/>
      <c r="P1154" s="2"/>
    </row>
    <row r="1155" spans="2:16" ht="14.25">
      <c r="B1155" s="4"/>
      <c r="I1155" s="5"/>
      <c r="J1155" s="5"/>
      <c r="K1155" s="6"/>
      <c r="N1155" s="2"/>
      <c r="O1155" s="2"/>
      <c r="P1155" s="2"/>
    </row>
    <row r="1156" spans="2:16" ht="14.25">
      <c r="B1156" s="4"/>
      <c r="I1156" s="5"/>
      <c r="J1156" s="5"/>
      <c r="K1156" s="6"/>
      <c r="N1156" s="2"/>
      <c r="O1156" s="2"/>
      <c r="P1156" s="2"/>
    </row>
    <row r="1157" spans="2:16" ht="14.25">
      <c r="B1157" s="4"/>
      <c r="I1157" s="5"/>
      <c r="J1157" s="5"/>
      <c r="K1157" s="6"/>
      <c r="N1157" s="2"/>
      <c r="O1157" s="2"/>
      <c r="P1157" s="2"/>
    </row>
    <row r="1158" spans="2:16" ht="14.25">
      <c r="B1158" s="4"/>
      <c r="I1158" s="5"/>
      <c r="J1158" s="5"/>
      <c r="K1158" s="6"/>
      <c r="N1158" s="2"/>
      <c r="O1158" s="2"/>
      <c r="P1158" s="2"/>
    </row>
    <row r="1159" spans="2:16" ht="14.25">
      <c r="B1159" s="4"/>
      <c r="I1159" s="5"/>
      <c r="J1159" s="5"/>
      <c r="K1159" s="6"/>
      <c r="N1159" s="2"/>
      <c r="O1159" s="2"/>
      <c r="P1159" s="2"/>
    </row>
    <row r="1160" spans="2:16" ht="14.25">
      <c r="B1160" s="4"/>
      <c r="I1160" s="5"/>
      <c r="J1160" s="5"/>
      <c r="K1160" s="6"/>
      <c r="N1160" s="2"/>
      <c r="O1160" s="2"/>
      <c r="P1160" s="2"/>
    </row>
    <row r="1161" spans="2:16" ht="14.25">
      <c r="B1161" s="4"/>
      <c r="I1161" s="5"/>
      <c r="J1161" s="5"/>
      <c r="K1161" s="6"/>
      <c r="N1161" s="2"/>
      <c r="O1161" s="2"/>
      <c r="P1161" s="2"/>
    </row>
    <row r="1162" spans="2:16" ht="14.25">
      <c r="B1162" s="4"/>
      <c r="I1162" s="5"/>
      <c r="J1162" s="5"/>
      <c r="K1162" s="6"/>
      <c r="N1162" s="2"/>
      <c r="O1162" s="2"/>
      <c r="P1162" s="2"/>
    </row>
    <row r="1163" spans="2:16" ht="14.25">
      <c r="B1163" s="4"/>
      <c r="I1163" s="5"/>
      <c r="J1163" s="5"/>
      <c r="K1163" s="6"/>
      <c r="N1163" s="2"/>
      <c r="O1163" s="2"/>
      <c r="P1163" s="2"/>
    </row>
    <row r="1164" spans="2:16" ht="14.25">
      <c r="B1164" s="4"/>
      <c r="I1164" s="5"/>
      <c r="J1164" s="5"/>
      <c r="K1164" s="6"/>
      <c r="N1164" s="2"/>
      <c r="O1164" s="2"/>
      <c r="P1164" s="2"/>
    </row>
    <row r="1165" spans="2:16" ht="14.25">
      <c r="B1165" s="4"/>
      <c r="I1165" s="5"/>
      <c r="J1165" s="5"/>
      <c r="K1165" s="6"/>
      <c r="N1165" s="2"/>
      <c r="O1165" s="2"/>
      <c r="P1165" s="2"/>
    </row>
    <row r="1166" spans="2:16" ht="14.25">
      <c r="B1166" s="4"/>
      <c r="I1166" s="5"/>
      <c r="J1166" s="5"/>
      <c r="K1166" s="6"/>
      <c r="N1166" s="2"/>
      <c r="O1166" s="2"/>
      <c r="P1166" s="2"/>
    </row>
    <row r="1167" spans="2:16" ht="14.25">
      <c r="B1167" s="4"/>
      <c r="I1167" s="5"/>
      <c r="J1167" s="5"/>
      <c r="K1167" s="6"/>
      <c r="N1167" s="2"/>
      <c r="O1167" s="2"/>
      <c r="P1167" s="2"/>
    </row>
    <row r="1168" spans="2:16" ht="14.25">
      <c r="B1168" s="4"/>
      <c r="I1168" s="5"/>
      <c r="J1168" s="5"/>
      <c r="K1168" s="6"/>
      <c r="N1168" s="2"/>
      <c r="O1168" s="2"/>
      <c r="P1168" s="2"/>
    </row>
    <row r="1169" spans="2:16" ht="14.25">
      <c r="B1169" s="4"/>
      <c r="I1169" s="5"/>
      <c r="J1169" s="5"/>
      <c r="K1169" s="6"/>
      <c r="N1169" s="2"/>
      <c r="O1169" s="2"/>
      <c r="P1169" s="2"/>
    </row>
    <row r="1170" spans="2:16" ht="14.25">
      <c r="B1170" s="4"/>
      <c r="I1170" s="5"/>
      <c r="J1170" s="5"/>
      <c r="K1170" s="6"/>
      <c r="N1170" s="2"/>
      <c r="O1170" s="2"/>
      <c r="P1170" s="2"/>
    </row>
    <row r="1171" spans="2:16" ht="14.25">
      <c r="B1171" s="4"/>
      <c r="I1171" s="5"/>
      <c r="J1171" s="5"/>
      <c r="K1171" s="6"/>
      <c r="N1171" s="2"/>
      <c r="O1171" s="2"/>
      <c r="P1171" s="2"/>
    </row>
    <row r="1172" spans="2:16" ht="14.25">
      <c r="B1172" s="4"/>
      <c r="I1172" s="5"/>
      <c r="J1172" s="5"/>
      <c r="K1172" s="6"/>
      <c r="N1172" s="2"/>
      <c r="O1172" s="2"/>
      <c r="P1172" s="2"/>
    </row>
    <row r="1173" spans="2:16" ht="14.25">
      <c r="B1173" s="4"/>
      <c r="I1173" s="5"/>
      <c r="J1173" s="5"/>
      <c r="K1173" s="6"/>
      <c r="N1173" s="2"/>
      <c r="O1173" s="2"/>
      <c r="P1173" s="2"/>
    </row>
    <row r="1174" spans="2:16" ht="14.25">
      <c r="B1174" s="4"/>
      <c r="I1174" s="5"/>
      <c r="J1174" s="5"/>
      <c r="K1174" s="6"/>
      <c r="N1174" s="2"/>
      <c r="O1174" s="2"/>
      <c r="P1174" s="2"/>
    </row>
    <row r="1175" spans="2:16" ht="14.25">
      <c r="B1175" s="4"/>
      <c r="I1175" s="5"/>
      <c r="J1175" s="5"/>
      <c r="K1175" s="6"/>
      <c r="N1175" s="2"/>
      <c r="O1175" s="2"/>
      <c r="P1175" s="2"/>
    </row>
    <row r="1176" spans="2:16" ht="14.25">
      <c r="B1176" s="4"/>
      <c r="I1176" s="5"/>
      <c r="J1176" s="5"/>
      <c r="K1176" s="6"/>
      <c r="N1176" s="2"/>
      <c r="O1176" s="2"/>
      <c r="P1176" s="2"/>
    </row>
    <row r="1177" spans="2:16" ht="14.25">
      <c r="B1177" s="4"/>
      <c r="I1177" s="5"/>
      <c r="J1177" s="5"/>
      <c r="K1177" s="6"/>
      <c r="N1177" s="2"/>
      <c r="O1177" s="2"/>
      <c r="P1177" s="2"/>
    </row>
    <row r="1178" spans="2:16" ht="14.25">
      <c r="B1178" s="4"/>
      <c r="I1178" s="5"/>
      <c r="J1178" s="5"/>
      <c r="K1178" s="6"/>
      <c r="N1178" s="2"/>
      <c r="O1178" s="2"/>
      <c r="P1178" s="2"/>
    </row>
    <row r="1179" spans="2:16" ht="14.25">
      <c r="B1179" s="4"/>
      <c r="I1179" s="5"/>
      <c r="J1179" s="5"/>
      <c r="K1179" s="6"/>
      <c r="N1179" s="2"/>
      <c r="O1179" s="2"/>
      <c r="P1179" s="2"/>
    </row>
    <row r="1180" spans="2:16" ht="14.25">
      <c r="B1180" s="4"/>
      <c r="I1180" s="5"/>
      <c r="J1180" s="5"/>
      <c r="K1180" s="6"/>
      <c r="N1180" s="2"/>
      <c r="O1180" s="2"/>
      <c r="P1180" s="2"/>
    </row>
    <row r="1181" spans="2:16" ht="14.25">
      <c r="B1181" s="4"/>
      <c r="I1181" s="5"/>
      <c r="J1181" s="5"/>
      <c r="K1181" s="6"/>
      <c r="N1181" s="2"/>
      <c r="O1181" s="2"/>
      <c r="P1181" s="2"/>
    </row>
    <row r="1182" spans="2:16" ht="14.25">
      <c r="B1182" s="4"/>
      <c r="I1182" s="5"/>
      <c r="J1182" s="5"/>
      <c r="K1182" s="6"/>
      <c r="N1182" s="2"/>
      <c r="O1182" s="2"/>
      <c r="P1182" s="2"/>
    </row>
    <row r="1183" spans="2:16" ht="14.25">
      <c r="B1183" s="4"/>
      <c r="I1183" s="5"/>
      <c r="J1183" s="5"/>
      <c r="K1183" s="6"/>
      <c r="N1183" s="2"/>
      <c r="O1183" s="2"/>
      <c r="P1183" s="2"/>
    </row>
    <row r="1184" spans="2:16" ht="14.25">
      <c r="B1184" s="4"/>
      <c r="I1184" s="5"/>
      <c r="J1184" s="5"/>
      <c r="K1184" s="6"/>
      <c r="N1184" s="2"/>
      <c r="O1184" s="2"/>
      <c r="P1184" s="2"/>
    </row>
    <row r="1185" spans="2:16" ht="14.25">
      <c r="B1185" s="4"/>
      <c r="I1185" s="5"/>
      <c r="J1185" s="5"/>
      <c r="K1185" s="6"/>
      <c r="N1185" s="2"/>
      <c r="O1185" s="2"/>
      <c r="P1185" s="2"/>
    </row>
    <row r="1186" spans="2:16" ht="14.25">
      <c r="B1186" s="4"/>
      <c r="I1186" s="5"/>
      <c r="J1186" s="5"/>
      <c r="K1186" s="6"/>
      <c r="N1186" s="2"/>
      <c r="O1186" s="2"/>
      <c r="P1186" s="2"/>
    </row>
    <row r="1187" spans="2:16" ht="14.25">
      <c r="B1187" s="4"/>
      <c r="I1187" s="5"/>
      <c r="J1187" s="5"/>
      <c r="K1187" s="6"/>
      <c r="N1187" s="2"/>
      <c r="O1187" s="2"/>
      <c r="P1187" s="2"/>
    </row>
    <row r="1188" spans="2:16" ht="14.25">
      <c r="B1188" s="4"/>
      <c r="I1188" s="5"/>
      <c r="J1188" s="5"/>
      <c r="K1188" s="6"/>
      <c r="N1188" s="2"/>
      <c r="O1188" s="2"/>
      <c r="P1188" s="2"/>
    </row>
    <row r="1189" spans="2:16" ht="14.25">
      <c r="B1189" s="4"/>
      <c r="I1189" s="5"/>
      <c r="J1189" s="5"/>
      <c r="K1189" s="6"/>
      <c r="N1189" s="2"/>
      <c r="O1189" s="2"/>
      <c r="P1189" s="2"/>
    </row>
    <row r="1190" spans="2:16" ht="14.25">
      <c r="B1190" s="4"/>
      <c r="I1190" s="5"/>
      <c r="J1190" s="5"/>
      <c r="K1190" s="6"/>
      <c r="N1190" s="2"/>
      <c r="O1190" s="2"/>
      <c r="P1190" s="2"/>
    </row>
    <row r="1191" spans="2:16" ht="14.25">
      <c r="B1191" s="4"/>
      <c r="I1191" s="5"/>
      <c r="J1191" s="5"/>
      <c r="K1191" s="6"/>
      <c r="N1191" s="2"/>
      <c r="O1191" s="2"/>
      <c r="P1191" s="2"/>
    </row>
    <row r="1192" spans="2:16" ht="14.25">
      <c r="B1192" s="4"/>
      <c r="I1192" s="5"/>
      <c r="J1192" s="5"/>
      <c r="K1192" s="6"/>
      <c r="N1192" s="2"/>
      <c r="O1192" s="2"/>
      <c r="P1192" s="2"/>
    </row>
    <row r="1193" spans="2:16" ht="14.25">
      <c r="B1193" s="4"/>
      <c r="I1193" s="5"/>
      <c r="J1193" s="5"/>
      <c r="K1193" s="6"/>
      <c r="N1193" s="2"/>
      <c r="O1193" s="2"/>
      <c r="P1193" s="2"/>
    </row>
    <row r="1194" spans="2:16" ht="14.25">
      <c r="B1194" s="4"/>
      <c r="I1194" s="5"/>
      <c r="J1194" s="5"/>
      <c r="K1194" s="6"/>
      <c r="N1194" s="2"/>
      <c r="O1194" s="2"/>
      <c r="P1194" s="2"/>
    </row>
    <row r="1195" spans="2:16" ht="14.25">
      <c r="B1195" s="4"/>
      <c r="I1195" s="5"/>
      <c r="J1195" s="5"/>
      <c r="K1195" s="6"/>
      <c r="N1195" s="2"/>
      <c r="O1195" s="2"/>
      <c r="P1195" s="2"/>
    </row>
    <row r="1196" spans="2:16" ht="14.25">
      <c r="B1196" s="4"/>
      <c r="I1196" s="5"/>
      <c r="J1196" s="5"/>
      <c r="K1196" s="6"/>
      <c r="N1196" s="2"/>
      <c r="O1196" s="2"/>
      <c r="P1196" s="2"/>
    </row>
    <row r="1197" spans="2:16" ht="14.25">
      <c r="B1197" s="4"/>
      <c r="I1197" s="5"/>
      <c r="J1197" s="5"/>
      <c r="K1197" s="6"/>
      <c r="N1197" s="2"/>
      <c r="O1197" s="2"/>
      <c r="P1197" s="2"/>
    </row>
    <row r="1198" spans="2:16" ht="14.25">
      <c r="B1198" s="4"/>
      <c r="I1198" s="5"/>
      <c r="J1198" s="5"/>
      <c r="K1198" s="6"/>
      <c r="N1198" s="2"/>
      <c r="O1198" s="2"/>
      <c r="P1198" s="2"/>
    </row>
    <row r="1199" spans="2:16" ht="14.25">
      <c r="B1199" s="4"/>
      <c r="I1199" s="5"/>
      <c r="J1199" s="5"/>
      <c r="K1199" s="6"/>
      <c r="N1199" s="2"/>
      <c r="O1199" s="2"/>
      <c r="P1199" s="2"/>
    </row>
    <row r="1200" spans="2:16" ht="14.25">
      <c r="B1200" s="4"/>
      <c r="I1200" s="5"/>
      <c r="J1200" s="5"/>
      <c r="K1200" s="6"/>
      <c r="N1200" s="2"/>
      <c r="O1200" s="2"/>
      <c r="P1200" s="2"/>
    </row>
    <row r="1201" spans="2:16" ht="14.25">
      <c r="B1201" s="4"/>
      <c r="I1201" s="5"/>
      <c r="J1201" s="5"/>
      <c r="K1201" s="6"/>
      <c r="N1201" s="2"/>
      <c r="O1201" s="2"/>
      <c r="P1201" s="2"/>
    </row>
    <row r="1202" spans="2:16" ht="14.25">
      <c r="B1202" s="4"/>
      <c r="I1202" s="5"/>
      <c r="J1202" s="5"/>
      <c r="K1202" s="6"/>
      <c r="N1202" s="2"/>
      <c r="O1202" s="2"/>
      <c r="P1202" s="2"/>
    </row>
    <row r="1203" spans="2:16" ht="14.25">
      <c r="B1203" s="4"/>
      <c r="I1203" s="5"/>
      <c r="J1203" s="5"/>
      <c r="K1203" s="6"/>
      <c r="N1203" s="2"/>
      <c r="O1203" s="2"/>
      <c r="P1203" s="2"/>
    </row>
    <row r="1204" spans="2:16" ht="14.25">
      <c r="B1204" s="4"/>
      <c r="I1204" s="5"/>
      <c r="J1204" s="5"/>
      <c r="K1204" s="6"/>
      <c r="N1204" s="2"/>
      <c r="O1204" s="2"/>
      <c r="P1204" s="2"/>
    </row>
    <row r="1205" spans="2:16" ht="14.25">
      <c r="B1205" s="4"/>
      <c r="I1205" s="5"/>
      <c r="J1205" s="5"/>
      <c r="K1205" s="6"/>
      <c r="N1205" s="2"/>
      <c r="O1205" s="2"/>
      <c r="P1205" s="2"/>
    </row>
    <row r="1206" spans="2:16" ht="14.25">
      <c r="B1206" s="4"/>
      <c r="I1206" s="5"/>
      <c r="J1206" s="5"/>
      <c r="K1206" s="6"/>
      <c r="N1206" s="2"/>
      <c r="O1206" s="2"/>
      <c r="P1206" s="2"/>
    </row>
    <row r="1207" spans="2:16" ht="14.25">
      <c r="B1207" s="4"/>
      <c r="I1207" s="5"/>
      <c r="J1207" s="5"/>
      <c r="K1207" s="6"/>
      <c r="N1207" s="2"/>
      <c r="O1207" s="2"/>
      <c r="P1207" s="2"/>
    </row>
    <row r="1208" spans="2:16" ht="14.25">
      <c r="B1208" s="4"/>
      <c r="I1208" s="5"/>
      <c r="J1208" s="5"/>
      <c r="K1208" s="6"/>
      <c r="N1208" s="2"/>
      <c r="O1208" s="2"/>
      <c r="P1208" s="2"/>
    </row>
    <row r="1209" spans="2:16" ht="14.25">
      <c r="B1209" s="4"/>
      <c r="I1209" s="5"/>
      <c r="J1209" s="5"/>
      <c r="K1209" s="6"/>
      <c r="N1209" s="2"/>
      <c r="O1209" s="2"/>
      <c r="P1209" s="2"/>
    </row>
    <row r="1210" spans="2:16" ht="14.25">
      <c r="B1210" s="4"/>
      <c r="I1210" s="5"/>
      <c r="J1210" s="5"/>
      <c r="K1210" s="6"/>
      <c r="N1210" s="2"/>
      <c r="O1210" s="2"/>
      <c r="P1210" s="2"/>
    </row>
    <row r="1211" spans="2:16" ht="14.25">
      <c r="B1211" s="4"/>
      <c r="I1211" s="5"/>
      <c r="J1211" s="5"/>
      <c r="K1211" s="6"/>
      <c r="N1211" s="2"/>
      <c r="O1211" s="2"/>
      <c r="P1211" s="2"/>
    </row>
    <row r="1212" spans="2:16" ht="14.25">
      <c r="B1212" s="4"/>
      <c r="I1212" s="5"/>
      <c r="J1212" s="5"/>
      <c r="K1212" s="6"/>
      <c r="N1212" s="2"/>
      <c r="O1212" s="2"/>
      <c r="P1212" s="2"/>
    </row>
    <row r="1213" spans="2:16" ht="14.25">
      <c r="B1213" s="4"/>
      <c r="I1213" s="5"/>
      <c r="J1213" s="5"/>
      <c r="K1213" s="6"/>
      <c r="N1213" s="2"/>
      <c r="O1213" s="2"/>
      <c r="P1213" s="2"/>
    </row>
    <row r="1214" spans="2:16" ht="14.25">
      <c r="B1214" s="4"/>
      <c r="I1214" s="5"/>
      <c r="J1214" s="5"/>
      <c r="K1214" s="6"/>
      <c r="N1214" s="2"/>
      <c r="O1214" s="2"/>
      <c r="P1214" s="2"/>
    </row>
    <row r="1215" spans="2:16" ht="14.25">
      <c r="B1215" s="4"/>
      <c r="I1215" s="5"/>
      <c r="J1215" s="5"/>
      <c r="K1215" s="6"/>
      <c r="N1215" s="2"/>
      <c r="O1215" s="2"/>
      <c r="P1215" s="2"/>
    </row>
    <row r="1216" spans="2:16" ht="14.25">
      <c r="B1216" s="4"/>
      <c r="I1216" s="5"/>
      <c r="J1216" s="5"/>
      <c r="K1216" s="6"/>
      <c r="N1216" s="2"/>
      <c r="O1216" s="2"/>
      <c r="P1216" s="2"/>
    </row>
    <row r="1217" spans="2:16" ht="14.25">
      <c r="B1217" s="4"/>
      <c r="I1217" s="5"/>
      <c r="J1217" s="5"/>
      <c r="K1217" s="6"/>
      <c r="N1217" s="2"/>
      <c r="O1217" s="2"/>
      <c r="P1217" s="2"/>
    </row>
    <row r="1218" spans="2:16" ht="14.25">
      <c r="B1218" s="4"/>
      <c r="I1218" s="5"/>
      <c r="J1218" s="5"/>
      <c r="K1218" s="6"/>
      <c r="N1218" s="2"/>
      <c r="O1218" s="2"/>
      <c r="P1218" s="2"/>
    </row>
    <row r="1219" spans="2:16" ht="14.25">
      <c r="B1219" s="4"/>
      <c r="I1219" s="5"/>
      <c r="J1219" s="5"/>
      <c r="K1219" s="6"/>
      <c r="N1219" s="2"/>
      <c r="O1219" s="2"/>
      <c r="P1219" s="2"/>
    </row>
    <row r="1220" spans="2:16" ht="14.25">
      <c r="B1220" s="4"/>
      <c r="I1220" s="5"/>
      <c r="J1220" s="5"/>
      <c r="K1220" s="6"/>
      <c r="N1220" s="2"/>
      <c r="O1220" s="2"/>
      <c r="P1220" s="2"/>
    </row>
    <row r="1221" spans="2:16" ht="14.25">
      <c r="B1221" s="4"/>
      <c r="I1221" s="5"/>
      <c r="J1221" s="5"/>
      <c r="K1221" s="6"/>
      <c r="N1221" s="2"/>
      <c r="O1221" s="2"/>
      <c r="P1221" s="2"/>
    </row>
    <row r="1222" spans="2:16" ht="14.25">
      <c r="B1222" s="4"/>
      <c r="I1222" s="5"/>
      <c r="J1222" s="5"/>
      <c r="K1222" s="6"/>
      <c r="N1222" s="2"/>
      <c r="O1222" s="2"/>
      <c r="P1222" s="2"/>
    </row>
    <row r="1223" spans="2:16" ht="14.25">
      <c r="B1223" s="4"/>
      <c r="I1223" s="5"/>
      <c r="J1223" s="5"/>
      <c r="K1223" s="6"/>
      <c r="N1223" s="2"/>
      <c r="O1223" s="2"/>
      <c r="P1223" s="2"/>
    </row>
    <row r="1224" spans="2:16" ht="14.25">
      <c r="B1224" s="4"/>
      <c r="I1224" s="5"/>
      <c r="J1224" s="5"/>
      <c r="K1224" s="6"/>
      <c r="N1224" s="2"/>
      <c r="O1224" s="2"/>
      <c r="P1224" s="2"/>
    </row>
    <row r="1225" spans="2:16" ht="14.25">
      <c r="B1225" s="4"/>
      <c r="I1225" s="5"/>
      <c r="J1225" s="5"/>
      <c r="K1225" s="6"/>
      <c r="N1225" s="2"/>
      <c r="O1225" s="2"/>
      <c r="P1225" s="2"/>
    </row>
    <row r="1226" spans="2:16" ht="14.25">
      <c r="B1226" s="4"/>
      <c r="I1226" s="5"/>
      <c r="J1226" s="5"/>
      <c r="K1226" s="6"/>
      <c r="N1226" s="2"/>
      <c r="O1226" s="2"/>
      <c r="P1226" s="2"/>
    </row>
    <row r="1227" spans="2:16" ht="14.25">
      <c r="B1227" s="4"/>
      <c r="I1227" s="5"/>
      <c r="J1227" s="5"/>
      <c r="K1227" s="6"/>
      <c r="N1227" s="2"/>
      <c r="O1227" s="2"/>
      <c r="P1227" s="2"/>
    </row>
    <row r="1228" spans="2:16" ht="14.25">
      <c r="B1228" s="4"/>
      <c r="I1228" s="5"/>
      <c r="J1228" s="5"/>
      <c r="K1228" s="6"/>
      <c r="N1228" s="2"/>
      <c r="O1228" s="2"/>
      <c r="P1228" s="2"/>
    </row>
    <row r="1229" spans="2:16" ht="14.25">
      <c r="B1229" s="4"/>
      <c r="I1229" s="5"/>
      <c r="J1229" s="5"/>
      <c r="K1229" s="6"/>
      <c r="N1229" s="2"/>
      <c r="O1229" s="2"/>
      <c r="P1229" s="2"/>
    </row>
    <row r="1230" spans="2:16" ht="14.25">
      <c r="B1230" s="4"/>
      <c r="I1230" s="5"/>
      <c r="J1230" s="5"/>
      <c r="K1230" s="6"/>
      <c r="N1230" s="2"/>
      <c r="O1230" s="2"/>
      <c r="P1230" s="2"/>
    </row>
    <row r="1231" spans="2:16" ht="14.25">
      <c r="B1231" s="4"/>
      <c r="I1231" s="5"/>
      <c r="J1231" s="5"/>
      <c r="K1231" s="6"/>
      <c r="N1231" s="2"/>
      <c r="O1231" s="2"/>
      <c r="P1231" s="2"/>
    </row>
    <row r="1232" spans="2:16" ht="14.25">
      <c r="B1232" s="4"/>
      <c r="I1232" s="5"/>
      <c r="J1232" s="5"/>
      <c r="K1232" s="6"/>
      <c r="N1232" s="2"/>
      <c r="O1232" s="2"/>
      <c r="P1232" s="2"/>
    </row>
    <row r="1233" spans="2:16" ht="14.25">
      <c r="B1233" s="4"/>
      <c r="I1233" s="5"/>
      <c r="J1233" s="5"/>
      <c r="K1233" s="6"/>
      <c r="N1233" s="2"/>
      <c r="O1233" s="2"/>
      <c r="P1233" s="2"/>
    </row>
    <row r="1234" spans="2:16" ht="14.25">
      <c r="B1234" s="4"/>
      <c r="I1234" s="5"/>
      <c r="J1234" s="5"/>
      <c r="K1234" s="6"/>
      <c r="N1234" s="2"/>
      <c r="O1234" s="2"/>
      <c r="P1234" s="2"/>
    </row>
    <row r="1235" spans="2:16" ht="14.25">
      <c r="B1235" s="4"/>
      <c r="I1235" s="5"/>
      <c r="J1235" s="5"/>
      <c r="K1235" s="6"/>
      <c r="N1235" s="2"/>
      <c r="O1235" s="2"/>
      <c r="P1235" s="2"/>
    </row>
    <row r="1236" spans="2:16" ht="14.25">
      <c r="B1236" s="4"/>
      <c r="I1236" s="5"/>
      <c r="J1236" s="5"/>
      <c r="K1236" s="6"/>
      <c r="N1236" s="2"/>
      <c r="O1236" s="2"/>
      <c r="P1236" s="2"/>
    </row>
    <row r="1237" spans="2:16" ht="14.25">
      <c r="B1237" s="4"/>
      <c r="I1237" s="5"/>
      <c r="J1237" s="5"/>
      <c r="K1237" s="6"/>
      <c r="N1237" s="2"/>
      <c r="O1237" s="2"/>
      <c r="P1237" s="2"/>
    </row>
    <row r="1238" spans="2:16" ht="14.25">
      <c r="B1238" s="4"/>
      <c r="I1238" s="5"/>
      <c r="J1238" s="5"/>
      <c r="K1238" s="6"/>
      <c r="N1238" s="2"/>
      <c r="O1238" s="2"/>
      <c r="P1238" s="2"/>
    </row>
    <row r="1239" spans="2:16" ht="14.25">
      <c r="B1239" s="4"/>
      <c r="I1239" s="5"/>
      <c r="J1239" s="5"/>
      <c r="K1239" s="6"/>
      <c r="N1239" s="2"/>
      <c r="O1239" s="2"/>
      <c r="P1239" s="2"/>
    </row>
    <row r="1240" spans="2:16" ht="14.25">
      <c r="B1240" s="4"/>
      <c r="I1240" s="5"/>
      <c r="J1240" s="5"/>
      <c r="K1240" s="6"/>
      <c r="N1240" s="2"/>
      <c r="O1240" s="2"/>
      <c r="P1240" s="2"/>
    </row>
    <row r="1241" spans="2:16" ht="14.25">
      <c r="B1241" s="4"/>
      <c r="I1241" s="5"/>
      <c r="J1241" s="5"/>
      <c r="K1241" s="6"/>
      <c r="N1241" s="2"/>
      <c r="O1241" s="2"/>
      <c r="P1241" s="2"/>
    </row>
    <row r="1242" spans="2:16" ht="14.25">
      <c r="B1242" s="4"/>
      <c r="I1242" s="5"/>
      <c r="J1242" s="5"/>
      <c r="K1242" s="6"/>
      <c r="N1242" s="2"/>
      <c r="O1242" s="2"/>
      <c r="P1242" s="2"/>
    </row>
    <row r="1243" spans="2:16" ht="14.25">
      <c r="B1243" s="4"/>
      <c r="I1243" s="5"/>
      <c r="J1243" s="5"/>
      <c r="K1243" s="6"/>
      <c r="N1243" s="2"/>
      <c r="O1243" s="2"/>
      <c r="P1243" s="2"/>
    </row>
    <row r="1244" spans="2:16" ht="14.25">
      <c r="B1244" s="4"/>
      <c r="I1244" s="5"/>
      <c r="J1244" s="5"/>
      <c r="K1244" s="6"/>
      <c r="N1244" s="2"/>
      <c r="O1244" s="2"/>
      <c r="P1244" s="2"/>
    </row>
    <row r="1245" spans="2:16" ht="14.25">
      <c r="B1245" s="4"/>
      <c r="I1245" s="5"/>
      <c r="J1245" s="5"/>
      <c r="K1245" s="6"/>
      <c r="N1245" s="2"/>
      <c r="O1245" s="2"/>
      <c r="P1245" s="2"/>
    </row>
    <row r="1246" spans="2:16" ht="14.25">
      <c r="B1246" s="4"/>
      <c r="I1246" s="5"/>
      <c r="J1246" s="5"/>
      <c r="K1246" s="6"/>
      <c r="N1246" s="2"/>
      <c r="O1246" s="2"/>
      <c r="P1246" s="2"/>
    </row>
    <row r="1247" spans="2:16" ht="14.25">
      <c r="B1247" s="4"/>
      <c r="I1247" s="5"/>
      <c r="J1247" s="5"/>
      <c r="K1247" s="6"/>
      <c r="N1247" s="2"/>
      <c r="O1247" s="2"/>
      <c r="P1247" s="2"/>
    </row>
    <row r="1248" spans="2:16" ht="14.25">
      <c r="B1248" s="4"/>
      <c r="I1248" s="5"/>
      <c r="J1248" s="5"/>
      <c r="K1248" s="6"/>
      <c r="N1248" s="2"/>
      <c r="O1248" s="2"/>
      <c r="P1248" s="2"/>
    </row>
    <row r="1249" spans="2:16" ht="14.25">
      <c r="B1249" s="4"/>
      <c r="I1249" s="5"/>
      <c r="J1249" s="5"/>
      <c r="K1249" s="6"/>
      <c r="N1249" s="2"/>
      <c r="O1249" s="2"/>
      <c r="P1249" s="2"/>
    </row>
    <row r="1250" spans="2:16" ht="14.25">
      <c r="B1250" s="4"/>
      <c r="I1250" s="5"/>
      <c r="J1250" s="5"/>
      <c r="K1250" s="6"/>
      <c r="N1250" s="2"/>
      <c r="O1250" s="2"/>
      <c r="P1250" s="2"/>
    </row>
    <row r="1251" spans="2:16" ht="14.25">
      <c r="B1251" s="4"/>
      <c r="I1251" s="5"/>
      <c r="J1251" s="5"/>
      <c r="K1251" s="6"/>
      <c r="N1251" s="2"/>
      <c r="O1251" s="2"/>
      <c r="P1251" s="2"/>
    </row>
    <row r="1252" spans="2:16" ht="14.25">
      <c r="B1252" s="4"/>
      <c r="I1252" s="5"/>
      <c r="J1252" s="5"/>
      <c r="K1252" s="6"/>
      <c r="N1252" s="2"/>
      <c r="O1252" s="2"/>
      <c r="P1252" s="2"/>
    </row>
    <row r="1253" spans="2:16" ht="14.25">
      <c r="B1253" s="4"/>
      <c r="I1253" s="5"/>
      <c r="J1253" s="5"/>
      <c r="K1253" s="6"/>
      <c r="N1253" s="2"/>
      <c r="O1253" s="2"/>
      <c r="P1253" s="2"/>
    </row>
    <row r="1254" spans="2:16" ht="14.25">
      <c r="B1254" s="4"/>
      <c r="I1254" s="5"/>
      <c r="J1254" s="5"/>
      <c r="K1254" s="6"/>
      <c r="N1254" s="2"/>
      <c r="O1254" s="2"/>
      <c r="P1254" s="2"/>
    </row>
    <row r="1255" spans="2:16" ht="14.25">
      <c r="B1255" s="4"/>
      <c r="I1255" s="5"/>
      <c r="J1255" s="5"/>
      <c r="K1255" s="6"/>
      <c r="N1255" s="2"/>
      <c r="O1255" s="2"/>
      <c r="P1255" s="2"/>
    </row>
    <row r="1256" spans="2:16" ht="14.25">
      <c r="B1256" s="4"/>
      <c r="I1256" s="5"/>
      <c r="J1256" s="5"/>
      <c r="K1256" s="6"/>
      <c r="N1256" s="2"/>
      <c r="O1256" s="2"/>
      <c r="P1256" s="2"/>
    </row>
    <row r="1257" spans="2:16" ht="14.25">
      <c r="B1257" s="4"/>
      <c r="I1257" s="5"/>
      <c r="J1257" s="5"/>
      <c r="K1257" s="6"/>
      <c r="N1257" s="2"/>
      <c r="O1257" s="2"/>
      <c r="P1257" s="2"/>
    </row>
    <row r="1258" spans="2:16" ht="14.25">
      <c r="B1258" s="4"/>
      <c r="I1258" s="5"/>
      <c r="J1258" s="5"/>
      <c r="K1258" s="6"/>
      <c r="N1258" s="2"/>
      <c r="O1258" s="2"/>
      <c r="P1258" s="2"/>
    </row>
    <row r="1259" spans="2:16" ht="14.25">
      <c r="B1259" s="4"/>
      <c r="I1259" s="5"/>
      <c r="J1259" s="5"/>
      <c r="K1259" s="6"/>
      <c r="N1259" s="2"/>
      <c r="O1259" s="2"/>
      <c r="P1259" s="2"/>
    </row>
    <row r="1260" spans="2:16" ht="14.25">
      <c r="B1260" s="4"/>
      <c r="I1260" s="5"/>
      <c r="J1260" s="5"/>
      <c r="K1260" s="6"/>
      <c r="N1260" s="2"/>
      <c r="O1260" s="2"/>
      <c r="P1260" s="2"/>
    </row>
    <row r="1261" spans="2:16" ht="14.25">
      <c r="B1261" s="4"/>
      <c r="I1261" s="5"/>
      <c r="J1261" s="5"/>
      <c r="K1261" s="6"/>
      <c r="N1261" s="2"/>
      <c r="O1261" s="2"/>
      <c r="P1261" s="2"/>
    </row>
    <row r="1262" spans="2:16" ht="14.25">
      <c r="B1262" s="4"/>
      <c r="I1262" s="5"/>
      <c r="J1262" s="5"/>
      <c r="K1262" s="6"/>
      <c r="N1262" s="2"/>
      <c r="O1262" s="2"/>
      <c r="P1262" s="2"/>
    </row>
    <row r="1263" spans="2:16" ht="14.25">
      <c r="B1263" s="4"/>
      <c r="I1263" s="5"/>
      <c r="J1263" s="5"/>
      <c r="K1263" s="6"/>
      <c r="N1263" s="2"/>
      <c r="O1263" s="2"/>
      <c r="P1263" s="2"/>
    </row>
    <row r="1264" spans="2:16" ht="14.25">
      <c r="B1264" s="4"/>
      <c r="I1264" s="5"/>
      <c r="J1264" s="5"/>
      <c r="K1264" s="6"/>
      <c r="N1264" s="2"/>
      <c r="O1264" s="2"/>
      <c r="P1264" s="2"/>
    </row>
    <row r="1265" spans="2:16" ht="14.25">
      <c r="B1265" s="4"/>
      <c r="I1265" s="5"/>
      <c r="J1265" s="5"/>
      <c r="K1265" s="6"/>
      <c r="N1265" s="2"/>
      <c r="O1265" s="2"/>
      <c r="P1265" s="2"/>
    </row>
    <row r="1266" spans="2:16" ht="14.25">
      <c r="B1266" s="4"/>
      <c r="I1266" s="5"/>
      <c r="J1266" s="5"/>
      <c r="K1266" s="6"/>
      <c r="N1266" s="2"/>
      <c r="O1266" s="2"/>
      <c r="P1266" s="2"/>
    </row>
    <row r="1267" spans="2:16" ht="14.25">
      <c r="B1267" s="4"/>
      <c r="I1267" s="5"/>
      <c r="J1267" s="5"/>
      <c r="K1267" s="6"/>
      <c r="N1267" s="2"/>
      <c r="O1267" s="2"/>
      <c r="P1267" s="2"/>
    </row>
    <row r="1268" spans="2:16" ht="14.25">
      <c r="B1268" s="4"/>
      <c r="I1268" s="5"/>
      <c r="J1268" s="5"/>
      <c r="K1268" s="6"/>
      <c r="N1268" s="2"/>
      <c r="O1268" s="2"/>
      <c r="P1268" s="2"/>
    </row>
    <row r="1269" spans="2:16" ht="14.25">
      <c r="B1269" s="4"/>
      <c r="I1269" s="5"/>
      <c r="J1269" s="5"/>
      <c r="K1269" s="6"/>
      <c r="N1269" s="2"/>
      <c r="O1269" s="2"/>
      <c r="P1269" s="2"/>
    </row>
    <row r="1270" spans="2:16" ht="14.25">
      <c r="B1270" s="4"/>
      <c r="I1270" s="5"/>
      <c r="J1270" s="5"/>
      <c r="K1270" s="6"/>
      <c r="N1270" s="2"/>
      <c r="O1270" s="2"/>
      <c r="P1270" s="2"/>
    </row>
    <row r="1271" spans="2:16" ht="14.25">
      <c r="B1271" s="4"/>
      <c r="I1271" s="5"/>
      <c r="J1271" s="5"/>
      <c r="K1271" s="6"/>
      <c r="N1271" s="2"/>
      <c r="O1271" s="2"/>
      <c r="P1271" s="2"/>
    </row>
    <row r="1272" spans="2:16" ht="14.25">
      <c r="B1272" s="4"/>
      <c r="I1272" s="5"/>
      <c r="J1272" s="5"/>
      <c r="K1272" s="6"/>
      <c r="N1272" s="2"/>
      <c r="O1272" s="2"/>
      <c r="P1272" s="2"/>
    </row>
    <row r="1273" spans="2:16" ht="14.25">
      <c r="B1273" s="4"/>
      <c r="I1273" s="5"/>
      <c r="J1273" s="5"/>
      <c r="K1273" s="6"/>
      <c r="N1273" s="2"/>
      <c r="O1273" s="2"/>
      <c r="P1273" s="2"/>
    </row>
    <row r="1274" spans="2:16" ht="14.25">
      <c r="B1274" s="4"/>
      <c r="I1274" s="5"/>
      <c r="J1274" s="5"/>
      <c r="K1274" s="6"/>
      <c r="N1274" s="2"/>
      <c r="O1274" s="2"/>
      <c r="P1274" s="2"/>
    </row>
    <row r="1275" spans="2:16" ht="14.25">
      <c r="B1275" s="4"/>
      <c r="I1275" s="5"/>
      <c r="J1275" s="5"/>
      <c r="K1275" s="6"/>
      <c r="N1275" s="2"/>
      <c r="O1275" s="2"/>
      <c r="P1275" s="2"/>
    </row>
    <row r="1276" spans="2:16" ht="14.25">
      <c r="B1276" s="4"/>
      <c r="I1276" s="5"/>
      <c r="J1276" s="5"/>
      <c r="K1276" s="6"/>
      <c r="N1276" s="2"/>
      <c r="O1276" s="2"/>
      <c r="P1276" s="2"/>
    </row>
    <row r="1277" spans="2:16" ht="14.25">
      <c r="B1277" s="4"/>
      <c r="I1277" s="5"/>
      <c r="J1277" s="5"/>
      <c r="K1277" s="6"/>
      <c r="N1277" s="2"/>
      <c r="O1277" s="2"/>
      <c r="P1277" s="2"/>
    </row>
    <row r="1278" spans="2:16" ht="14.25">
      <c r="B1278" s="4"/>
      <c r="I1278" s="5"/>
      <c r="J1278" s="5"/>
      <c r="K1278" s="6"/>
      <c r="N1278" s="2"/>
      <c r="O1278" s="2"/>
      <c r="P1278" s="2"/>
    </row>
    <row r="1279" spans="2:16" ht="14.25">
      <c r="B1279" s="4"/>
      <c r="I1279" s="5"/>
      <c r="J1279" s="5"/>
      <c r="K1279" s="6"/>
      <c r="N1279" s="2"/>
      <c r="O1279" s="2"/>
      <c r="P1279" s="2"/>
    </row>
    <row r="1280" spans="2:16" ht="14.25">
      <c r="B1280" s="4"/>
      <c r="I1280" s="5"/>
      <c r="J1280" s="5"/>
      <c r="K1280" s="6"/>
      <c r="N1280" s="2"/>
      <c r="O1280" s="2"/>
      <c r="P1280" s="2"/>
    </row>
    <row r="1281" spans="2:16" ht="14.25">
      <c r="B1281" s="4"/>
      <c r="I1281" s="5"/>
      <c r="J1281" s="5"/>
      <c r="K1281" s="6"/>
      <c r="N1281" s="2"/>
      <c r="O1281" s="2"/>
      <c r="P1281" s="2"/>
    </row>
    <row r="1282" spans="2:16" ht="14.25">
      <c r="B1282" s="4"/>
      <c r="I1282" s="5"/>
      <c r="J1282" s="5"/>
      <c r="K1282" s="6"/>
      <c r="N1282" s="2"/>
      <c r="O1282" s="2"/>
      <c r="P1282" s="2"/>
    </row>
    <row r="1283" spans="2:16" ht="14.25">
      <c r="B1283" s="4"/>
      <c r="I1283" s="5"/>
      <c r="J1283" s="5"/>
      <c r="K1283" s="6"/>
      <c r="N1283" s="2"/>
      <c r="O1283" s="2"/>
      <c r="P1283" s="2"/>
    </row>
    <row r="1284" spans="2:16" ht="14.25">
      <c r="B1284" s="4"/>
      <c r="I1284" s="5"/>
      <c r="J1284" s="5"/>
      <c r="K1284" s="6"/>
      <c r="N1284" s="2"/>
      <c r="O1284" s="2"/>
      <c r="P1284" s="2"/>
    </row>
    <row r="1285" spans="2:16" ht="14.25">
      <c r="B1285" s="4"/>
      <c r="I1285" s="5"/>
      <c r="J1285" s="5"/>
      <c r="K1285" s="6"/>
      <c r="N1285" s="2"/>
      <c r="O1285" s="2"/>
      <c r="P1285" s="2"/>
    </row>
    <row r="1286" spans="2:16" ht="14.25">
      <c r="B1286" s="4"/>
      <c r="I1286" s="5"/>
      <c r="J1286" s="5"/>
      <c r="K1286" s="6"/>
      <c r="N1286" s="2"/>
      <c r="O1286" s="2"/>
      <c r="P1286" s="2"/>
    </row>
    <row r="1287" spans="2:16" ht="14.25">
      <c r="B1287" s="4"/>
      <c r="I1287" s="5"/>
      <c r="J1287" s="5"/>
      <c r="K1287" s="6"/>
      <c r="N1287" s="2"/>
      <c r="O1287" s="2"/>
      <c r="P1287" s="2"/>
    </row>
    <row r="1288" spans="2:16" ht="14.25">
      <c r="B1288" s="4"/>
      <c r="I1288" s="5"/>
      <c r="J1288" s="5"/>
      <c r="K1288" s="6"/>
      <c r="N1288" s="2"/>
      <c r="O1288" s="2"/>
      <c r="P1288" s="2"/>
    </row>
    <row r="1289" spans="2:16" ht="14.25">
      <c r="B1289" s="4"/>
      <c r="I1289" s="5"/>
      <c r="J1289" s="5"/>
      <c r="K1289" s="6"/>
      <c r="N1289" s="2"/>
      <c r="O1289" s="2"/>
      <c r="P1289" s="2"/>
    </row>
    <row r="1290" spans="2:16" ht="14.25">
      <c r="B1290" s="4"/>
      <c r="I1290" s="5"/>
      <c r="J1290" s="5"/>
      <c r="K1290" s="6"/>
      <c r="N1290" s="2"/>
      <c r="O1290" s="2"/>
      <c r="P1290" s="2"/>
    </row>
    <row r="1291" spans="2:16" ht="14.25">
      <c r="B1291" s="4"/>
      <c r="I1291" s="5"/>
      <c r="J1291" s="5"/>
      <c r="K1291" s="6"/>
      <c r="N1291" s="2"/>
      <c r="O1291" s="2"/>
      <c r="P1291" s="2"/>
    </row>
    <row r="1292" spans="2:16" ht="14.25">
      <c r="B1292" s="4"/>
      <c r="I1292" s="5"/>
      <c r="J1292" s="5"/>
      <c r="K1292" s="6"/>
      <c r="N1292" s="2"/>
      <c r="O1292" s="2"/>
      <c r="P1292" s="2"/>
    </row>
    <row r="1293" spans="2:16" ht="14.25">
      <c r="B1293" s="4"/>
      <c r="I1293" s="5"/>
      <c r="J1293" s="5"/>
      <c r="K1293" s="6"/>
      <c r="N1293" s="2"/>
      <c r="O1293" s="2"/>
      <c r="P1293" s="2"/>
    </row>
    <row r="1294" spans="2:16" ht="14.25">
      <c r="B1294" s="4"/>
      <c r="I1294" s="5"/>
      <c r="J1294" s="5"/>
      <c r="K1294" s="6"/>
      <c r="N1294" s="2"/>
      <c r="O1294" s="2"/>
      <c r="P1294" s="2"/>
    </row>
    <row r="1295" spans="2:16" ht="14.25">
      <c r="B1295" s="4"/>
      <c r="I1295" s="5"/>
      <c r="J1295" s="5"/>
      <c r="K1295" s="6"/>
      <c r="N1295" s="2"/>
      <c r="O1295" s="2"/>
      <c r="P1295" s="2"/>
    </row>
    <row r="1296" spans="2:16" ht="14.25">
      <c r="B1296" s="4"/>
      <c r="I1296" s="5"/>
      <c r="J1296" s="5"/>
      <c r="K1296" s="6"/>
      <c r="N1296" s="2"/>
      <c r="O1296" s="2"/>
      <c r="P1296" s="2"/>
    </row>
    <row r="1297" spans="2:16" ht="14.25">
      <c r="B1297" s="4"/>
      <c r="I1297" s="5"/>
      <c r="J1297" s="5"/>
      <c r="K1297" s="6"/>
      <c r="N1297" s="2"/>
      <c r="O1297" s="2"/>
      <c r="P1297" s="2"/>
    </row>
    <row r="1298" spans="2:16" ht="14.25">
      <c r="B1298" s="4"/>
      <c r="I1298" s="5"/>
      <c r="J1298" s="5"/>
      <c r="K1298" s="6"/>
      <c r="N1298" s="2"/>
      <c r="O1298" s="2"/>
      <c r="P1298" s="2"/>
    </row>
    <row r="1299" spans="2:16" ht="14.25">
      <c r="B1299" s="4"/>
      <c r="I1299" s="5"/>
      <c r="J1299" s="5"/>
      <c r="K1299" s="6"/>
      <c r="N1299" s="2"/>
      <c r="O1299" s="2"/>
      <c r="P1299" s="2"/>
    </row>
    <row r="1300" spans="2:16" ht="14.25">
      <c r="B1300" s="4"/>
      <c r="I1300" s="5"/>
      <c r="J1300" s="5"/>
      <c r="K1300" s="6"/>
      <c r="N1300" s="2"/>
      <c r="O1300" s="2"/>
      <c r="P1300" s="2"/>
    </row>
    <row r="1301" spans="2:16" ht="14.25">
      <c r="B1301" s="4"/>
      <c r="I1301" s="5"/>
      <c r="J1301" s="5"/>
      <c r="K1301" s="6"/>
      <c r="N1301" s="2"/>
      <c r="O1301" s="2"/>
      <c r="P1301" s="2"/>
    </row>
    <row r="1302" spans="2:16" ht="14.25">
      <c r="B1302" s="4"/>
      <c r="I1302" s="5"/>
      <c r="J1302" s="5"/>
      <c r="K1302" s="6"/>
      <c r="N1302" s="2"/>
      <c r="O1302" s="2"/>
      <c r="P1302" s="2"/>
    </row>
    <row r="1303" spans="2:16" ht="14.25">
      <c r="B1303" s="4"/>
      <c r="I1303" s="5"/>
      <c r="J1303" s="5"/>
      <c r="K1303" s="6"/>
      <c r="N1303" s="2"/>
      <c r="O1303" s="2"/>
      <c r="P1303" s="2"/>
    </row>
    <row r="1304" spans="2:16" ht="14.25">
      <c r="B1304" s="4"/>
      <c r="I1304" s="5"/>
      <c r="J1304" s="5"/>
      <c r="K1304" s="6"/>
      <c r="N1304" s="2"/>
      <c r="O1304" s="2"/>
      <c r="P1304" s="2"/>
    </row>
    <row r="1305" spans="2:16" ht="14.25">
      <c r="B1305" s="4"/>
      <c r="I1305" s="5"/>
      <c r="J1305" s="5"/>
      <c r="K1305" s="6"/>
      <c r="N1305" s="2"/>
      <c r="O1305" s="2"/>
      <c r="P1305" s="2"/>
    </row>
    <row r="1306" spans="2:16" ht="14.25">
      <c r="B1306" s="4"/>
      <c r="I1306" s="5"/>
      <c r="J1306" s="5"/>
      <c r="K1306" s="6"/>
      <c r="N1306" s="2"/>
      <c r="O1306" s="2"/>
      <c r="P1306" s="2"/>
    </row>
    <row r="1307" spans="2:16" ht="14.25">
      <c r="B1307" s="4"/>
      <c r="I1307" s="5"/>
      <c r="J1307" s="5"/>
      <c r="K1307" s="6"/>
      <c r="N1307" s="2"/>
      <c r="O1307" s="2"/>
      <c r="P1307" s="2"/>
    </row>
    <row r="1308" spans="2:16" ht="14.25">
      <c r="B1308" s="4"/>
      <c r="I1308" s="5"/>
      <c r="J1308" s="5"/>
      <c r="K1308" s="6"/>
      <c r="N1308" s="2"/>
      <c r="O1308" s="2"/>
      <c r="P1308" s="2"/>
    </row>
    <row r="1309" spans="2:16" ht="14.25">
      <c r="B1309" s="4"/>
      <c r="I1309" s="5"/>
      <c r="J1309" s="5"/>
      <c r="K1309" s="6"/>
      <c r="N1309" s="2"/>
      <c r="O1309" s="2"/>
      <c r="P1309" s="2"/>
    </row>
    <row r="1310" spans="2:16" ht="14.25">
      <c r="B1310" s="4"/>
      <c r="I1310" s="5"/>
      <c r="J1310" s="5"/>
      <c r="K1310" s="6"/>
      <c r="N1310" s="2"/>
      <c r="O1310" s="2"/>
      <c r="P1310" s="2"/>
    </row>
    <row r="1311" spans="2:16" ht="14.25">
      <c r="B1311" s="4"/>
      <c r="I1311" s="5"/>
      <c r="J1311" s="5"/>
      <c r="K1311" s="6"/>
      <c r="N1311" s="2"/>
      <c r="O1311" s="2"/>
      <c r="P1311" s="2"/>
    </row>
    <row r="1312" spans="2:16" ht="14.25">
      <c r="B1312" s="4"/>
      <c r="I1312" s="5"/>
      <c r="J1312" s="5"/>
      <c r="K1312" s="6"/>
      <c r="N1312" s="2"/>
      <c r="O1312" s="2"/>
      <c r="P1312" s="2"/>
    </row>
    <row r="1313" spans="2:16" ht="14.25">
      <c r="B1313" s="4"/>
      <c r="I1313" s="5"/>
      <c r="J1313" s="5"/>
      <c r="K1313" s="6"/>
      <c r="N1313" s="2"/>
      <c r="O1313" s="2"/>
      <c r="P1313" s="2"/>
    </row>
    <row r="1314" spans="2:16" ht="14.25">
      <c r="B1314" s="4"/>
      <c r="I1314" s="5"/>
      <c r="J1314" s="5"/>
      <c r="K1314" s="6"/>
      <c r="N1314" s="2"/>
      <c r="O1314" s="2"/>
      <c r="P1314" s="2"/>
    </row>
    <row r="1315" spans="2:16" ht="14.25">
      <c r="B1315" s="4"/>
      <c r="I1315" s="5"/>
      <c r="J1315" s="5"/>
      <c r="K1315" s="6"/>
      <c r="N1315" s="2"/>
      <c r="O1315" s="2"/>
      <c r="P1315" s="2"/>
    </row>
    <row r="1316" spans="2:16" ht="14.25">
      <c r="B1316" s="4"/>
      <c r="I1316" s="5"/>
      <c r="J1316" s="5"/>
      <c r="K1316" s="6"/>
      <c r="N1316" s="2"/>
      <c r="O1316" s="2"/>
      <c r="P1316" s="2"/>
    </row>
    <row r="1317" spans="2:16" ht="14.25">
      <c r="B1317" s="4"/>
      <c r="I1317" s="5"/>
      <c r="J1317" s="5"/>
      <c r="K1317" s="6"/>
      <c r="N1317" s="2"/>
      <c r="O1317" s="2"/>
      <c r="P1317" s="2"/>
    </row>
    <row r="1318" spans="2:16" ht="14.25">
      <c r="B1318" s="4"/>
      <c r="I1318" s="5"/>
      <c r="J1318" s="5"/>
      <c r="K1318" s="6"/>
      <c r="N1318" s="2"/>
      <c r="O1318" s="2"/>
      <c r="P1318" s="2"/>
    </row>
    <row r="1319" spans="2:16" ht="14.25">
      <c r="B1319" s="4"/>
      <c r="I1319" s="5"/>
      <c r="J1319" s="5"/>
      <c r="K1319" s="6"/>
      <c r="N1319" s="2"/>
      <c r="O1319" s="2"/>
      <c r="P1319" s="2"/>
    </row>
    <row r="1320" spans="2:16" ht="14.25">
      <c r="B1320" s="4"/>
      <c r="I1320" s="5"/>
      <c r="J1320" s="5"/>
      <c r="K1320" s="6"/>
      <c r="N1320" s="2"/>
      <c r="O1320" s="2"/>
      <c r="P1320" s="2"/>
    </row>
    <row r="1321" spans="2:16" ht="14.25">
      <c r="B1321" s="4"/>
      <c r="I1321" s="5"/>
      <c r="J1321" s="5"/>
      <c r="K1321" s="6"/>
      <c r="N1321" s="2"/>
      <c r="O1321" s="2"/>
      <c r="P1321" s="2"/>
    </row>
    <row r="1322" spans="2:16" ht="14.25">
      <c r="B1322" s="4"/>
      <c r="I1322" s="5"/>
      <c r="J1322" s="5"/>
      <c r="K1322" s="6"/>
      <c r="N1322" s="2"/>
      <c r="O1322" s="2"/>
      <c r="P1322" s="2"/>
    </row>
    <row r="1323" spans="2:16" ht="14.25">
      <c r="B1323" s="4"/>
      <c r="I1323" s="5"/>
      <c r="J1323" s="5"/>
      <c r="K1323" s="6"/>
      <c r="N1323" s="2"/>
      <c r="O1323" s="2"/>
      <c r="P1323" s="2"/>
    </row>
    <row r="1324" spans="2:16" ht="14.25">
      <c r="B1324" s="4"/>
      <c r="I1324" s="5"/>
      <c r="J1324" s="5"/>
      <c r="K1324" s="6"/>
      <c r="N1324" s="2"/>
      <c r="O1324" s="2"/>
      <c r="P1324" s="2"/>
    </row>
    <row r="1325" spans="2:16" ht="14.25">
      <c r="B1325" s="4"/>
      <c r="I1325" s="5"/>
      <c r="J1325" s="5"/>
      <c r="K1325" s="6"/>
      <c r="N1325" s="2"/>
      <c r="O1325" s="2"/>
      <c r="P1325" s="2"/>
    </row>
    <row r="1326" spans="2:16" ht="14.25">
      <c r="B1326" s="4"/>
      <c r="I1326" s="5"/>
      <c r="J1326" s="5"/>
      <c r="K1326" s="6"/>
      <c r="N1326" s="2"/>
      <c r="O1326" s="2"/>
      <c r="P1326" s="2"/>
    </row>
    <row r="1327" spans="2:16" ht="14.25">
      <c r="B1327" s="4"/>
      <c r="I1327" s="5"/>
      <c r="J1327" s="5"/>
      <c r="K1327" s="6"/>
      <c r="N1327" s="2"/>
      <c r="O1327" s="2"/>
      <c r="P1327" s="2"/>
    </row>
    <row r="1328" spans="2:16" ht="14.25">
      <c r="B1328" s="4"/>
      <c r="I1328" s="5"/>
      <c r="J1328" s="5"/>
      <c r="K1328" s="6"/>
      <c r="N1328" s="2"/>
      <c r="O1328" s="2"/>
      <c r="P1328" s="2"/>
    </row>
    <row r="1329" spans="2:16" ht="14.25">
      <c r="B1329" s="4"/>
      <c r="I1329" s="5"/>
      <c r="J1329" s="5"/>
      <c r="K1329" s="6"/>
      <c r="N1329" s="2"/>
      <c r="O1329" s="2"/>
      <c r="P1329" s="2"/>
    </row>
    <row r="1330" spans="2:16" ht="14.25">
      <c r="B1330" s="4"/>
      <c r="I1330" s="5"/>
      <c r="J1330" s="5"/>
      <c r="K1330" s="6"/>
      <c r="N1330" s="2"/>
      <c r="O1330" s="2"/>
      <c r="P1330" s="2"/>
    </row>
    <row r="1331" spans="2:16" ht="14.25">
      <c r="B1331" s="4"/>
      <c r="I1331" s="5"/>
      <c r="J1331" s="5"/>
      <c r="K1331" s="6"/>
      <c r="N1331" s="2"/>
      <c r="O1331" s="2"/>
      <c r="P1331" s="2"/>
    </row>
    <row r="1332" spans="2:16" ht="14.25">
      <c r="B1332" s="4"/>
      <c r="I1332" s="5"/>
      <c r="J1332" s="5"/>
      <c r="K1332" s="6"/>
      <c r="N1332" s="2"/>
      <c r="O1332" s="2"/>
      <c r="P1332" s="2"/>
    </row>
    <row r="1333" spans="2:16" ht="14.25">
      <c r="B1333" s="4"/>
      <c r="I1333" s="5"/>
      <c r="J1333" s="5"/>
      <c r="K1333" s="6"/>
      <c r="N1333" s="2"/>
      <c r="O1333" s="2"/>
      <c r="P1333" s="2"/>
    </row>
    <row r="1334" spans="2:16" ht="14.25">
      <c r="B1334" s="4"/>
      <c r="I1334" s="5"/>
      <c r="J1334" s="5"/>
      <c r="K1334" s="6"/>
      <c r="N1334" s="2"/>
      <c r="O1334" s="2"/>
      <c r="P1334" s="2"/>
    </row>
    <row r="1335" spans="2:16" ht="14.25">
      <c r="B1335" s="4"/>
      <c r="I1335" s="5"/>
      <c r="J1335" s="5"/>
      <c r="K1335" s="6"/>
      <c r="N1335" s="2"/>
      <c r="O1335" s="2"/>
      <c r="P1335" s="2"/>
    </row>
    <row r="1336" spans="2:16" ht="14.25">
      <c r="B1336" s="4"/>
      <c r="I1336" s="5"/>
      <c r="J1336" s="5"/>
      <c r="K1336" s="6"/>
      <c r="N1336" s="2"/>
      <c r="O1336" s="2"/>
      <c r="P1336" s="2"/>
    </row>
    <row r="1337" spans="2:16" ht="14.25">
      <c r="B1337" s="4"/>
      <c r="I1337" s="5"/>
      <c r="J1337" s="5"/>
      <c r="K1337" s="6"/>
      <c r="N1337" s="2"/>
      <c r="O1337" s="2"/>
      <c r="P1337" s="2"/>
    </row>
    <row r="1338" spans="2:16" ht="14.25">
      <c r="B1338" s="4"/>
      <c r="I1338" s="5"/>
      <c r="J1338" s="5"/>
      <c r="K1338" s="6"/>
      <c r="N1338" s="2"/>
      <c r="O1338" s="2"/>
      <c r="P1338" s="2"/>
    </row>
    <row r="1339" spans="2:16" ht="14.25">
      <c r="B1339" s="4"/>
      <c r="I1339" s="5"/>
      <c r="J1339" s="5"/>
      <c r="K1339" s="6"/>
      <c r="N1339" s="2"/>
      <c r="O1339" s="2"/>
      <c r="P1339" s="2"/>
    </row>
    <row r="1340" spans="2:16" ht="14.25">
      <c r="B1340" s="4"/>
      <c r="I1340" s="5"/>
      <c r="J1340" s="5"/>
      <c r="K1340" s="6"/>
      <c r="N1340" s="2"/>
      <c r="O1340" s="2"/>
      <c r="P1340" s="2"/>
    </row>
    <row r="1341" spans="2:16" ht="14.25">
      <c r="B1341" s="4"/>
      <c r="I1341" s="5"/>
      <c r="J1341" s="5"/>
      <c r="K1341" s="6"/>
      <c r="N1341" s="2"/>
      <c r="O1341" s="2"/>
      <c r="P1341" s="2"/>
    </row>
    <row r="1342" spans="2:16" ht="14.25">
      <c r="B1342" s="4"/>
      <c r="I1342" s="5"/>
      <c r="J1342" s="5"/>
      <c r="K1342" s="6"/>
      <c r="N1342" s="2"/>
      <c r="O1342" s="2"/>
      <c r="P1342" s="2"/>
    </row>
    <row r="1343" spans="2:16" ht="14.25">
      <c r="B1343" s="4"/>
      <c r="I1343" s="5"/>
      <c r="J1343" s="5"/>
      <c r="K1343" s="6"/>
      <c r="N1343" s="2"/>
      <c r="O1343" s="2"/>
      <c r="P1343" s="2"/>
    </row>
    <row r="1344" spans="2:16" ht="14.25">
      <c r="B1344" s="4"/>
      <c r="I1344" s="5"/>
      <c r="J1344" s="5"/>
      <c r="K1344" s="6"/>
      <c r="N1344" s="2"/>
      <c r="O1344" s="2"/>
      <c r="P1344" s="2"/>
    </row>
    <row r="1345" spans="2:16" ht="14.25">
      <c r="B1345" s="4"/>
      <c r="I1345" s="5"/>
      <c r="J1345" s="5"/>
      <c r="K1345" s="6"/>
      <c r="N1345" s="2"/>
      <c r="O1345" s="2"/>
      <c r="P1345" s="2"/>
    </row>
    <row r="1346" spans="2:16" ht="14.25">
      <c r="B1346" s="4"/>
      <c r="I1346" s="5"/>
      <c r="J1346" s="5"/>
      <c r="K1346" s="6"/>
      <c r="N1346" s="2"/>
      <c r="O1346" s="2"/>
      <c r="P1346" s="2"/>
    </row>
    <row r="1347" spans="2:16" ht="14.25">
      <c r="B1347" s="4"/>
      <c r="I1347" s="5"/>
      <c r="J1347" s="5"/>
      <c r="K1347" s="6"/>
      <c r="N1347" s="2"/>
      <c r="O1347" s="2"/>
      <c r="P1347" s="2"/>
    </row>
    <row r="1348" spans="2:16" ht="14.25">
      <c r="B1348" s="4"/>
      <c r="I1348" s="5"/>
      <c r="J1348" s="5"/>
      <c r="K1348" s="6"/>
      <c r="N1348" s="2"/>
      <c r="O1348" s="2"/>
      <c r="P1348" s="2"/>
    </row>
    <row r="1349" spans="2:16" ht="14.25">
      <c r="B1349" s="4"/>
      <c r="I1349" s="5"/>
      <c r="J1349" s="5"/>
      <c r="K1349" s="6"/>
      <c r="N1349" s="2"/>
      <c r="O1349" s="2"/>
      <c r="P1349" s="2"/>
    </row>
    <row r="1350" spans="2:16" ht="14.25">
      <c r="B1350" s="4"/>
      <c r="I1350" s="5"/>
      <c r="J1350" s="5"/>
      <c r="K1350" s="6"/>
      <c r="N1350" s="2"/>
      <c r="O1350" s="2"/>
      <c r="P1350" s="2"/>
    </row>
    <row r="1351" spans="2:16" ht="14.25">
      <c r="B1351" s="4"/>
      <c r="I1351" s="5"/>
      <c r="J1351" s="5"/>
      <c r="K1351" s="6"/>
      <c r="N1351" s="2"/>
      <c r="O1351" s="2"/>
      <c r="P1351" s="2"/>
    </row>
    <row r="1352" spans="2:16" ht="14.25">
      <c r="B1352" s="4"/>
      <c r="I1352" s="5"/>
      <c r="J1352" s="5"/>
      <c r="K1352" s="6"/>
      <c r="N1352" s="2"/>
      <c r="O1352" s="2"/>
      <c r="P1352" s="2"/>
    </row>
    <row r="1353" spans="2:16" ht="14.25">
      <c r="B1353" s="4"/>
      <c r="I1353" s="5"/>
      <c r="J1353" s="5"/>
      <c r="K1353" s="6"/>
      <c r="N1353" s="2"/>
      <c r="O1353" s="2"/>
      <c r="P1353" s="2"/>
    </row>
    <row r="1354" spans="2:16" ht="14.25">
      <c r="B1354" s="4"/>
      <c r="I1354" s="5"/>
      <c r="J1354" s="5"/>
      <c r="K1354" s="6"/>
      <c r="N1354" s="2"/>
      <c r="O1354" s="2"/>
      <c r="P1354" s="2"/>
    </row>
    <row r="1355" spans="2:16" ht="14.25">
      <c r="B1355" s="4"/>
      <c r="I1355" s="5"/>
      <c r="J1355" s="5"/>
      <c r="K1355" s="6"/>
      <c r="N1355" s="2"/>
      <c r="O1355" s="2"/>
      <c r="P1355" s="2"/>
    </row>
    <row r="1356" spans="2:16" ht="14.25">
      <c r="B1356" s="4"/>
      <c r="I1356" s="5"/>
      <c r="J1356" s="5"/>
      <c r="K1356" s="6"/>
      <c r="N1356" s="2"/>
      <c r="O1356" s="2"/>
      <c r="P1356" s="2"/>
    </row>
    <row r="1357" spans="2:16" ht="14.25">
      <c r="B1357" s="4"/>
      <c r="I1357" s="5"/>
      <c r="J1357" s="5"/>
      <c r="K1357" s="6"/>
      <c r="N1357" s="2"/>
      <c r="O1357" s="2"/>
      <c r="P1357" s="2"/>
    </row>
    <row r="1358" spans="2:16" ht="14.25">
      <c r="B1358" s="4"/>
      <c r="I1358" s="5"/>
      <c r="J1358" s="5"/>
      <c r="K1358" s="6"/>
      <c r="N1358" s="2"/>
      <c r="O1358" s="2"/>
      <c r="P1358" s="2"/>
    </row>
    <row r="1359" spans="2:16" ht="14.25">
      <c r="B1359" s="4"/>
      <c r="I1359" s="5"/>
      <c r="J1359" s="5"/>
      <c r="K1359" s="6"/>
      <c r="N1359" s="2"/>
      <c r="O1359" s="2"/>
      <c r="P1359" s="2"/>
    </row>
    <row r="1360" spans="2:16" ht="14.25">
      <c r="B1360" s="4"/>
      <c r="I1360" s="5"/>
      <c r="J1360" s="5"/>
      <c r="K1360" s="6"/>
      <c r="N1360" s="2"/>
      <c r="O1360" s="2"/>
      <c r="P1360" s="2"/>
    </row>
    <row r="1361" spans="2:16" ht="14.25">
      <c r="B1361" s="4"/>
      <c r="I1361" s="5"/>
      <c r="J1361" s="5"/>
      <c r="K1361" s="6"/>
      <c r="N1361" s="2"/>
      <c r="O1361" s="2"/>
      <c r="P1361" s="2"/>
    </row>
    <row r="1362" spans="2:16" ht="14.25">
      <c r="B1362" s="4"/>
      <c r="I1362" s="5"/>
      <c r="J1362" s="5"/>
      <c r="K1362" s="6"/>
      <c r="N1362" s="2"/>
      <c r="O1362" s="2"/>
      <c r="P1362" s="2"/>
    </row>
    <row r="1363" spans="2:16" ht="14.25">
      <c r="B1363" s="4"/>
      <c r="I1363" s="5"/>
      <c r="J1363" s="5"/>
      <c r="K1363" s="6"/>
      <c r="N1363" s="2"/>
      <c r="O1363" s="2"/>
      <c r="P1363" s="2"/>
    </row>
    <row r="1364" spans="2:16" ht="14.25">
      <c r="B1364" s="4"/>
      <c r="I1364" s="5"/>
      <c r="J1364" s="5"/>
      <c r="K1364" s="6"/>
      <c r="N1364" s="2"/>
      <c r="O1364" s="2"/>
      <c r="P1364" s="2"/>
    </row>
    <row r="1365" spans="2:16" ht="14.25">
      <c r="B1365" s="4"/>
      <c r="I1365" s="5"/>
      <c r="J1365" s="5"/>
      <c r="K1365" s="6"/>
      <c r="N1365" s="2"/>
      <c r="O1365" s="2"/>
      <c r="P1365" s="2"/>
    </row>
    <row r="1366" spans="2:16" ht="14.25">
      <c r="B1366" s="4"/>
      <c r="I1366" s="5"/>
      <c r="J1366" s="5"/>
      <c r="K1366" s="6"/>
      <c r="N1366" s="2"/>
      <c r="O1366" s="2"/>
      <c r="P1366" s="2"/>
    </row>
    <row r="1367" spans="2:16" ht="14.25">
      <c r="B1367" s="4"/>
      <c r="I1367" s="5"/>
      <c r="J1367" s="5"/>
      <c r="K1367" s="6"/>
      <c r="N1367" s="2"/>
      <c r="O1367" s="2"/>
      <c r="P1367" s="2"/>
    </row>
    <row r="1368" spans="2:16" ht="14.25">
      <c r="B1368" s="4"/>
      <c r="I1368" s="5"/>
      <c r="J1368" s="5"/>
      <c r="K1368" s="6"/>
      <c r="N1368" s="2"/>
      <c r="O1368" s="2"/>
      <c r="P1368" s="2"/>
    </row>
    <row r="1369" spans="2:16" ht="14.25">
      <c r="B1369" s="4"/>
      <c r="I1369" s="5"/>
      <c r="J1369" s="5"/>
      <c r="K1369" s="6"/>
      <c r="N1369" s="2"/>
      <c r="O1369" s="2"/>
      <c r="P1369" s="2"/>
    </row>
    <row r="1370" spans="2:16" ht="14.25">
      <c r="B1370" s="4"/>
      <c r="I1370" s="5"/>
      <c r="J1370" s="5"/>
      <c r="K1370" s="6"/>
      <c r="N1370" s="2"/>
      <c r="O1370" s="2"/>
      <c r="P1370" s="2"/>
    </row>
    <row r="1371" spans="2:16" ht="14.25">
      <c r="B1371" s="4"/>
      <c r="I1371" s="5"/>
      <c r="J1371" s="5"/>
      <c r="K1371" s="6"/>
      <c r="N1371" s="2"/>
      <c r="O1371" s="2"/>
      <c r="P1371" s="2"/>
    </row>
    <row r="1372" spans="2:16" ht="14.25">
      <c r="B1372" s="4"/>
      <c r="I1372" s="5"/>
      <c r="J1372" s="5"/>
      <c r="K1372" s="6"/>
      <c r="N1372" s="2"/>
      <c r="O1372" s="2"/>
      <c r="P1372" s="2"/>
    </row>
    <row r="1373" spans="2:16" ht="14.25">
      <c r="B1373" s="4"/>
      <c r="I1373" s="5"/>
      <c r="J1373" s="5"/>
      <c r="K1373" s="6"/>
      <c r="N1373" s="2"/>
      <c r="O1373" s="2"/>
      <c r="P1373" s="2"/>
    </row>
    <row r="1374" spans="2:16" ht="14.25">
      <c r="B1374" s="4"/>
      <c r="I1374" s="5"/>
      <c r="J1374" s="5"/>
      <c r="K1374" s="6"/>
      <c r="N1374" s="2"/>
      <c r="O1374" s="2"/>
      <c r="P1374" s="2"/>
    </row>
    <row r="1375" spans="2:16" ht="14.25">
      <c r="B1375" s="4"/>
      <c r="I1375" s="5"/>
      <c r="J1375" s="5"/>
      <c r="K1375" s="6"/>
      <c r="N1375" s="2"/>
      <c r="O1375" s="2"/>
      <c r="P1375" s="2"/>
    </row>
    <row r="1376" spans="2:16" ht="14.25">
      <c r="B1376" s="4"/>
      <c r="I1376" s="5"/>
      <c r="J1376" s="5"/>
      <c r="K1376" s="6"/>
      <c r="N1376" s="2"/>
      <c r="O1376" s="2"/>
      <c r="P1376" s="2"/>
    </row>
    <row r="1377" spans="2:16" ht="14.25">
      <c r="B1377" s="4"/>
      <c r="I1377" s="5"/>
      <c r="J1377" s="5"/>
      <c r="K1377" s="6"/>
      <c r="N1377" s="2"/>
      <c r="O1377" s="2"/>
      <c r="P1377" s="2"/>
    </row>
    <row r="1378" spans="2:16" ht="14.25">
      <c r="B1378" s="4"/>
      <c r="I1378" s="5"/>
      <c r="J1378" s="5"/>
      <c r="K1378" s="6"/>
      <c r="N1378" s="2"/>
      <c r="O1378" s="2"/>
      <c r="P1378" s="2"/>
    </row>
    <row r="1379" spans="2:16" ht="14.25">
      <c r="B1379" s="4"/>
      <c r="I1379" s="5"/>
      <c r="J1379" s="5"/>
      <c r="K1379" s="6"/>
      <c r="N1379" s="2"/>
      <c r="O1379" s="2"/>
      <c r="P1379" s="2"/>
    </row>
    <row r="1380" spans="2:16" ht="14.25">
      <c r="B1380" s="4"/>
      <c r="I1380" s="5"/>
      <c r="J1380" s="5"/>
      <c r="K1380" s="6"/>
      <c r="N1380" s="2"/>
      <c r="O1380" s="2"/>
      <c r="P1380" s="2"/>
    </row>
    <row r="1381" spans="2:16" ht="14.25">
      <c r="B1381" s="4"/>
      <c r="I1381" s="5"/>
      <c r="J1381" s="5"/>
      <c r="K1381" s="6"/>
      <c r="N1381" s="2"/>
      <c r="O1381" s="2"/>
      <c r="P1381" s="2"/>
    </row>
    <row r="1382" spans="2:16" ht="14.25">
      <c r="B1382" s="4"/>
      <c r="I1382" s="5"/>
      <c r="J1382" s="5"/>
      <c r="K1382" s="6"/>
      <c r="N1382" s="2"/>
      <c r="O1382" s="2"/>
      <c r="P1382" s="2"/>
    </row>
    <row r="1383" spans="2:16" ht="14.25">
      <c r="B1383" s="4"/>
      <c r="I1383" s="5"/>
      <c r="J1383" s="5"/>
      <c r="K1383" s="6"/>
      <c r="N1383" s="2"/>
      <c r="O1383" s="2"/>
      <c r="P1383" s="2"/>
    </row>
    <row r="1384" spans="2:16" ht="14.25">
      <c r="B1384" s="4"/>
      <c r="I1384" s="5"/>
      <c r="J1384" s="5"/>
      <c r="K1384" s="6"/>
      <c r="N1384" s="2"/>
      <c r="O1384" s="2"/>
      <c r="P1384" s="2"/>
    </row>
    <row r="1385" spans="2:16" ht="14.25">
      <c r="B1385" s="4"/>
      <c r="I1385" s="5"/>
      <c r="J1385" s="5"/>
      <c r="K1385" s="6"/>
      <c r="N1385" s="2"/>
      <c r="O1385" s="2"/>
      <c r="P1385" s="2"/>
    </row>
    <row r="1386" spans="2:16" ht="14.25">
      <c r="B1386" s="4"/>
      <c r="I1386" s="5"/>
      <c r="J1386" s="5"/>
      <c r="K1386" s="6"/>
      <c r="N1386" s="2"/>
      <c r="O1386" s="2"/>
      <c r="P1386" s="2"/>
    </row>
    <row r="1387" spans="2:16" ht="14.25">
      <c r="B1387" s="4"/>
      <c r="I1387" s="5"/>
      <c r="J1387" s="5"/>
      <c r="K1387" s="6"/>
      <c r="N1387" s="2"/>
      <c r="O1387" s="2"/>
      <c r="P1387" s="2"/>
    </row>
    <row r="1388" spans="2:16" ht="14.25">
      <c r="B1388" s="4"/>
      <c r="I1388" s="5"/>
      <c r="J1388" s="5"/>
      <c r="K1388" s="6"/>
      <c r="N1388" s="2"/>
      <c r="O1388" s="2"/>
      <c r="P1388" s="2"/>
    </row>
    <row r="1389" spans="2:16" ht="14.25">
      <c r="B1389" s="4"/>
      <c r="I1389" s="5"/>
      <c r="J1389" s="5"/>
      <c r="K1389" s="6"/>
      <c r="N1389" s="2"/>
      <c r="O1389" s="2"/>
      <c r="P1389" s="2"/>
    </row>
    <row r="1390" spans="2:16" ht="14.25">
      <c r="B1390" s="4"/>
      <c r="I1390" s="5"/>
      <c r="J1390" s="5"/>
      <c r="K1390" s="6"/>
      <c r="N1390" s="2"/>
      <c r="O1390" s="2"/>
      <c r="P1390" s="2"/>
    </row>
    <row r="1391" spans="2:16" ht="14.25">
      <c r="B1391" s="4"/>
      <c r="I1391" s="5"/>
      <c r="J1391" s="5"/>
      <c r="K1391" s="6"/>
      <c r="N1391" s="2"/>
      <c r="O1391" s="2"/>
      <c r="P1391" s="2"/>
    </row>
    <row r="1392" spans="2:16" ht="14.25">
      <c r="B1392" s="4"/>
      <c r="I1392" s="5"/>
      <c r="J1392" s="5"/>
      <c r="K1392" s="6"/>
      <c r="N1392" s="2"/>
      <c r="O1392" s="2"/>
      <c r="P1392" s="2"/>
    </row>
    <row r="1393" spans="2:16" ht="14.25">
      <c r="B1393" s="4"/>
      <c r="I1393" s="5"/>
      <c r="J1393" s="5"/>
      <c r="K1393" s="6"/>
      <c r="N1393" s="2"/>
      <c r="O1393" s="2"/>
      <c r="P1393" s="2"/>
    </row>
    <row r="1394" spans="2:16" ht="14.25">
      <c r="B1394" s="4"/>
      <c r="I1394" s="5"/>
      <c r="J1394" s="5"/>
      <c r="K1394" s="6"/>
      <c r="N1394" s="2"/>
      <c r="O1394" s="2"/>
      <c r="P1394" s="2"/>
    </row>
    <row r="1395" spans="2:16" ht="14.25">
      <c r="B1395" s="4"/>
      <c r="I1395" s="5"/>
      <c r="J1395" s="5"/>
      <c r="K1395" s="6"/>
      <c r="N1395" s="2"/>
      <c r="O1395" s="2"/>
      <c r="P1395" s="2"/>
    </row>
    <row r="1396" spans="2:16" ht="14.25">
      <c r="B1396" s="4"/>
      <c r="I1396" s="5"/>
      <c r="J1396" s="5"/>
      <c r="K1396" s="6"/>
      <c r="N1396" s="2"/>
      <c r="O1396" s="2"/>
      <c r="P1396" s="2"/>
    </row>
    <row r="1397" spans="2:16" ht="14.25">
      <c r="B1397" s="4"/>
      <c r="I1397" s="5"/>
      <c r="J1397" s="5"/>
      <c r="K1397" s="6"/>
      <c r="N1397" s="2"/>
      <c r="O1397" s="2"/>
      <c r="P1397" s="2"/>
    </row>
    <row r="1398" spans="2:16" ht="14.25">
      <c r="B1398" s="4"/>
      <c r="I1398" s="5"/>
      <c r="J1398" s="5"/>
      <c r="K1398" s="6"/>
      <c r="N1398" s="2"/>
      <c r="O1398" s="2"/>
      <c r="P1398" s="2"/>
    </row>
    <row r="1399" spans="2:16" ht="14.25">
      <c r="B1399" s="4"/>
      <c r="I1399" s="5"/>
      <c r="J1399" s="5"/>
      <c r="K1399" s="6"/>
      <c r="N1399" s="2"/>
      <c r="O1399" s="2"/>
      <c r="P1399" s="2"/>
    </row>
    <row r="1400" spans="2:16" ht="14.25">
      <c r="B1400" s="4"/>
      <c r="I1400" s="5"/>
      <c r="J1400" s="5"/>
      <c r="K1400" s="6"/>
      <c r="N1400" s="2"/>
      <c r="O1400" s="2"/>
      <c r="P1400" s="2"/>
    </row>
    <row r="1401" spans="2:16" ht="14.25">
      <c r="B1401" s="4"/>
      <c r="I1401" s="5"/>
      <c r="J1401" s="5"/>
      <c r="K1401" s="6"/>
      <c r="N1401" s="2"/>
      <c r="O1401" s="2"/>
      <c r="P1401" s="2"/>
    </row>
    <row r="1402" spans="2:16" ht="14.25">
      <c r="B1402" s="4"/>
      <c r="I1402" s="5"/>
      <c r="J1402" s="5"/>
      <c r="K1402" s="6"/>
      <c r="N1402" s="2"/>
      <c r="O1402" s="2"/>
      <c r="P1402" s="2"/>
    </row>
    <row r="1403" spans="2:16" ht="14.25">
      <c r="B1403" s="4"/>
      <c r="I1403" s="5"/>
      <c r="J1403" s="5"/>
      <c r="K1403" s="6"/>
      <c r="N1403" s="2"/>
      <c r="O1403" s="2"/>
      <c r="P1403" s="2"/>
    </row>
    <row r="1404" spans="2:16" ht="14.25">
      <c r="B1404" s="4"/>
      <c r="I1404" s="5"/>
      <c r="J1404" s="5"/>
      <c r="K1404" s="6"/>
      <c r="N1404" s="2"/>
      <c r="O1404" s="2"/>
      <c r="P1404" s="2"/>
    </row>
    <row r="1405" spans="2:16" ht="14.25">
      <c r="B1405" s="4"/>
      <c r="I1405" s="5"/>
      <c r="J1405" s="5"/>
      <c r="K1405" s="6"/>
      <c r="N1405" s="2"/>
      <c r="O1405" s="2"/>
      <c r="P1405" s="2"/>
    </row>
    <row r="1406" spans="2:16" ht="14.25">
      <c r="B1406" s="4"/>
      <c r="I1406" s="5"/>
      <c r="J1406" s="5"/>
      <c r="K1406" s="6"/>
      <c r="N1406" s="2"/>
      <c r="O1406" s="2"/>
      <c r="P1406" s="2"/>
    </row>
    <row r="1407" spans="2:16" ht="14.25">
      <c r="B1407" s="4"/>
      <c r="I1407" s="5"/>
      <c r="J1407" s="5"/>
      <c r="K1407" s="6"/>
      <c r="N1407" s="2"/>
      <c r="O1407" s="2"/>
      <c r="P1407" s="2"/>
    </row>
    <row r="1408" spans="2:16" ht="14.25">
      <c r="B1408" s="4"/>
      <c r="I1408" s="5"/>
      <c r="J1408" s="5"/>
      <c r="K1408" s="6"/>
      <c r="N1408" s="2"/>
      <c r="O1408" s="2"/>
      <c r="P1408" s="2"/>
    </row>
    <row r="1409" spans="2:16" ht="14.25">
      <c r="B1409" s="4"/>
      <c r="I1409" s="5"/>
      <c r="J1409" s="5"/>
      <c r="K1409" s="6"/>
      <c r="N1409" s="2"/>
      <c r="O1409" s="2"/>
      <c r="P1409" s="2"/>
    </row>
    <row r="1410" spans="2:16" ht="14.25">
      <c r="B1410" s="4"/>
      <c r="I1410" s="5"/>
      <c r="J1410" s="5"/>
      <c r="K1410" s="6"/>
      <c r="N1410" s="2"/>
      <c r="O1410" s="2"/>
      <c r="P1410" s="2"/>
    </row>
    <row r="1411" spans="2:16" ht="14.25">
      <c r="B1411" s="4"/>
      <c r="I1411" s="5"/>
      <c r="J1411" s="5"/>
      <c r="K1411" s="6"/>
      <c r="N1411" s="2"/>
      <c r="O1411" s="2"/>
      <c r="P1411" s="2"/>
    </row>
    <row r="1412" spans="2:16" ht="14.25">
      <c r="B1412" s="4"/>
      <c r="I1412" s="5"/>
      <c r="J1412" s="5"/>
      <c r="K1412" s="6"/>
      <c r="N1412" s="2"/>
      <c r="O1412" s="2"/>
      <c r="P1412" s="2"/>
    </row>
    <row r="1413" spans="2:16" ht="14.25">
      <c r="B1413" s="4"/>
      <c r="I1413" s="5"/>
      <c r="J1413" s="5"/>
      <c r="K1413" s="6"/>
      <c r="N1413" s="2"/>
      <c r="O1413" s="2"/>
      <c r="P1413" s="2"/>
    </row>
    <row r="1414" spans="2:16" ht="14.25">
      <c r="B1414" s="4"/>
      <c r="I1414" s="5"/>
      <c r="J1414" s="5"/>
      <c r="K1414" s="6"/>
      <c r="N1414" s="2"/>
      <c r="O1414" s="2"/>
      <c r="P1414" s="2"/>
    </row>
    <row r="1415" spans="2:16" ht="14.25">
      <c r="B1415" s="4"/>
      <c r="I1415" s="5"/>
      <c r="J1415" s="5"/>
      <c r="K1415" s="6"/>
      <c r="N1415" s="2"/>
      <c r="O1415" s="2"/>
      <c r="P1415" s="2"/>
    </row>
    <row r="1416" spans="2:16" ht="14.25">
      <c r="B1416" s="4"/>
      <c r="I1416" s="5"/>
      <c r="J1416" s="5"/>
      <c r="K1416" s="6"/>
      <c r="N1416" s="2"/>
      <c r="O1416" s="2"/>
      <c r="P1416" s="2"/>
    </row>
    <row r="1417" spans="2:16" ht="14.25">
      <c r="B1417" s="4"/>
      <c r="I1417" s="5"/>
      <c r="J1417" s="5"/>
      <c r="K1417" s="6"/>
      <c r="N1417" s="2"/>
      <c r="O1417" s="2"/>
      <c r="P1417" s="2"/>
    </row>
    <row r="1418" spans="2:16" ht="14.25">
      <c r="B1418" s="4"/>
      <c r="I1418" s="5"/>
      <c r="J1418" s="5"/>
      <c r="K1418" s="6"/>
      <c r="N1418" s="2"/>
      <c r="O1418" s="2"/>
      <c r="P1418" s="2"/>
    </row>
    <row r="1419" spans="2:16" ht="14.25">
      <c r="B1419" s="4"/>
      <c r="I1419" s="5"/>
      <c r="J1419" s="5"/>
      <c r="K1419" s="6"/>
      <c r="N1419" s="2"/>
      <c r="O1419" s="2"/>
      <c r="P1419" s="2"/>
    </row>
    <row r="1420" spans="2:16" ht="14.25">
      <c r="B1420" s="4"/>
      <c r="I1420" s="5"/>
      <c r="J1420" s="5"/>
      <c r="K1420" s="6"/>
      <c r="N1420" s="2"/>
      <c r="O1420" s="2"/>
      <c r="P1420" s="2"/>
    </row>
    <row r="1421" spans="2:16" ht="14.25">
      <c r="B1421" s="4"/>
      <c r="I1421" s="5"/>
      <c r="J1421" s="5"/>
      <c r="K1421" s="6"/>
      <c r="N1421" s="2"/>
      <c r="O1421" s="2"/>
      <c r="P1421" s="2"/>
    </row>
    <row r="1422" spans="2:16" ht="14.25">
      <c r="B1422" s="4"/>
      <c r="I1422" s="5"/>
      <c r="J1422" s="5"/>
      <c r="K1422" s="6"/>
      <c r="N1422" s="2"/>
      <c r="O1422" s="2"/>
      <c r="P1422" s="2"/>
    </row>
    <row r="1423" spans="2:16" ht="14.25">
      <c r="B1423" s="4"/>
      <c r="I1423" s="5"/>
      <c r="J1423" s="5"/>
      <c r="K1423" s="6"/>
      <c r="N1423" s="2"/>
      <c r="O1423" s="2"/>
      <c r="P1423" s="2"/>
    </row>
    <row r="1424" spans="2:16" ht="14.25">
      <c r="B1424" s="4"/>
      <c r="I1424" s="5"/>
      <c r="J1424" s="5"/>
      <c r="K1424" s="6"/>
      <c r="N1424" s="2"/>
      <c r="O1424" s="2"/>
      <c r="P1424" s="2"/>
    </row>
    <row r="1425" spans="2:16" ht="14.25">
      <c r="B1425" s="4"/>
      <c r="I1425" s="5"/>
      <c r="J1425" s="5"/>
      <c r="K1425" s="6"/>
      <c r="N1425" s="2"/>
      <c r="O1425" s="2"/>
      <c r="P1425" s="2"/>
    </row>
    <row r="1426" spans="2:16" ht="14.25">
      <c r="B1426" s="4"/>
      <c r="I1426" s="5"/>
      <c r="J1426" s="5"/>
      <c r="K1426" s="6"/>
      <c r="N1426" s="2"/>
      <c r="O1426" s="2"/>
      <c r="P1426" s="2"/>
    </row>
    <row r="1427" spans="2:16" ht="14.25">
      <c r="B1427" s="4"/>
      <c r="I1427" s="5"/>
      <c r="J1427" s="5"/>
      <c r="K1427" s="6"/>
      <c r="N1427" s="2"/>
      <c r="O1427" s="2"/>
      <c r="P1427" s="2"/>
    </row>
    <row r="1428" spans="2:16" ht="14.25">
      <c r="B1428" s="4"/>
      <c r="I1428" s="5"/>
      <c r="J1428" s="5"/>
      <c r="K1428" s="6"/>
      <c r="N1428" s="2"/>
      <c r="O1428" s="2"/>
      <c r="P1428" s="2"/>
    </row>
    <row r="1429" spans="2:16" ht="14.25">
      <c r="B1429" s="4"/>
      <c r="I1429" s="5"/>
      <c r="J1429" s="5"/>
      <c r="K1429" s="6"/>
      <c r="N1429" s="2"/>
      <c r="O1429" s="2"/>
      <c r="P1429" s="2"/>
    </row>
    <row r="1430" spans="2:16" ht="14.25">
      <c r="B1430" s="4"/>
      <c r="I1430" s="5"/>
      <c r="J1430" s="5"/>
      <c r="K1430" s="6"/>
      <c r="N1430" s="2"/>
      <c r="O1430" s="2"/>
      <c r="P1430" s="2"/>
    </row>
    <row r="1431" spans="2:16" ht="14.25">
      <c r="B1431" s="4"/>
      <c r="I1431" s="5"/>
      <c r="J1431" s="5"/>
      <c r="K1431" s="6"/>
      <c r="N1431" s="2"/>
      <c r="O1431" s="2"/>
      <c r="P1431" s="2"/>
    </row>
    <row r="1432" spans="2:16" ht="14.25">
      <c r="B1432" s="4"/>
      <c r="I1432" s="5"/>
      <c r="J1432" s="5"/>
      <c r="K1432" s="6"/>
      <c r="N1432" s="2"/>
      <c r="O1432" s="2"/>
      <c r="P1432" s="2"/>
    </row>
    <row r="1433" spans="2:16" ht="14.25">
      <c r="B1433" s="4"/>
      <c r="I1433" s="5"/>
      <c r="J1433" s="5"/>
      <c r="K1433" s="6"/>
      <c r="N1433" s="2"/>
      <c r="O1433" s="2"/>
      <c r="P1433" s="2"/>
    </row>
    <row r="1434" spans="2:16" ht="14.25">
      <c r="B1434" s="4"/>
      <c r="I1434" s="5"/>
      <c r="J1434" s="5"/>
      <c r="K1434" s="6"/>
      <c r="N1434" s="2"/>
      <c r="O1434" s="2"/>
      <c r="P1434" s="2"/>
    </row>
    <row r="1435" spans="2:16" ht="14.25">
      <c r="B1435" s="4"/>
      <c r="I1435" s="5"/>
      <c r="J1435" s="5"/>
      <c r="K1435" s="6"/>
      <c r="N1435" s="2"/>
      <c r="O1435" s="2"/>
      <c r="P1435" s="2"/>
    </row>
    <row r="1436" spans="2:16" ht="14.25">
      <c r="B1436" s="4"/>
      <c r="I1436" s="5"/>
      <c r="J1436" s="5"/>
      <c r="K1436" s="6"/>
      <c r="N1436" s="2"/>
      <c r="O1436" s="2"/>
      <c r="P1436" s="2"/>
    </row>
    <row r="1437" spans="2:16" ht="14.25">
      <c r="B1437" s="4"/>
      <c r="I1437" s="5"/>
      <c r="J1437" s="5"/>
      <c r="K1437" s="6"/>
      <c r="N1437" s="2"/>
      <c r="O1437" s="2"/>
      <c r="P1437" s="2"/>
    </row>
    <row r="1438" spans="2:16" ht="14.25">
      <c r="B1438" s="4"/>
      <c r="I1438" s="5"/>
      <c r="J1438" s="5"/>
      <c r="K1438" s="6"/>
      <c r="N1438" s="2"/>
      <c r="O1438" s="2"/>
      <c r="P1438" s="2"/>
    </row>
    <row r="1439" spans="2:16" ht="14.25">
      <c r="B1439" s="4"/>
      <c r="I1439" s="5"/>
      <c r="J1439" s="5"/>
      <c r="K1439" s="6"/>
      <c r="N1439" s="2"/>
      <c r="O1439" s="2"/>
      <c r="P1439" s="2"/>
    </row>
    <row r="1440" spans="2:16" ht="14.25">
      <c r="B1440" s="4"/>
      <c r="I1440" s="5"/>
      <c r="J1440" s="5"/>
      <c r="K1440" s="6"/>
      <c r="N1440" s="2"/>
      <c r="O1440" s="2"/>
      <c r="P1440" s="2"/>
    </row>
    <row r="1441" spans="2:16" ht="14.25">
      <c r="B1441" s="4"/>
      <c r="I1441" s="5"/>
      <c r="J1441" s="5"/>
      <c r="K1441" s="6"/>
      <c r="N1441" s="2"/>
      <c r="O1441" s="2"/>
      <c r="P1441" s="2"/>
    </row>
    <row r="1442" spans="2:16" ht="14.25">
      <c r="B1442" s="4"/>
      <c r="I1442" s="5"/>
      <c r="J1442" s="5"/>
      <c r="K1442" s="6"/>
      <c r="N1442" s="2"/>
      <c r="O1442" s="2"/>
      <c r="P1442" s="2"/>
    </row>
    <row r="1443" spans="2:16" ht="14.25">
      <c r="B1443" s="4"/>
      <c r="I1443" s="5"/>
      <c r="J1443" s="5"/>
      <c r="K1443" s="6"/>
      <c r="N1443" s="2"/>
      <c r="O1443" s="2"/>
      <c r="P1443" s="2"/>
    </row>
    <row r="1444" spans="2:16" ht="14.25">
      <c r="B1444" s="4"/>
      <c r="I1444" s="5"/>
      <c r="J1444" s="5"/>
      <c r="K1444" s="6"/>
      <c r="N1444" s="2"/>
      <c r="O1444" s="2"/>
      <c r="P1444" s="2"/>
    </row>
    <row r="1445" spans="2:16" ht="14.25">
      <c r="B1445" s="4"/>
      <c r="I1445" s="5"/>
      <c r="J1445" s="5"/>
      <c r="K1445" s="6"/>
      <c r="N1445" s="2"/>
      <c r="O1445" s="2"/>
      <c r="P1445" s="2"/>
    </row>
    <row r="1446" spans="2:16" ht="14.25">
      <c r="B1446" s="4"/>
      <c r="I1446" s="5"/>
      <c r="J1446" s="5"/>
      <c r="K1446" s="6"/>
      <c r="N1446" s="2"/>
      <c r="O1446" s="2"/>
      <c r="P1446" s="2"/>
    </row>
    <row r="1447" spans="2:16" ht="14.25">
      <c r="B1447" s="4"/>
      <c r="I1447" s="5"/>
      <c r="J1447" s="5"/>
      <c r="K1447" s="6"/>
      <c r="N1447" s="2"/>
      <c r="O1447" s="2"/>
      <c r="P1447" s="2"/>
    </row>
    <row r="1448" spans="2:16" ht="14.25">
      <c r="B1448" s="4"/>
      <c r="I1448" s="5"/>
      <c r="J1448" s="5"/>
      <c r="K1448" s="6"/>
      <c r="N1448" s="2"/>
      <c r="O1448" s="2"/>
      <c r="P1448" s="2"/>
    </row>
    <row r="1449" spans="2:16" ht="14.25">
      <c r="B1449" s="4"/>
      <c r="I1449" s="5"/>
      <c r="J1449" s="5"/>
      <c r="K1449" s="6"/>
      <c r="N1449" s="2"/>
      <c r="O1449" s="2"/>
      <c r="P1449" s="2"/>
    </row>
    <row r="1450" spans="2:16" ht="14.25">
      <c r="B1450" s="4"/>
      <c r="I1450" s="5"/>
      <c r="J1450" s="5"/>
      <c r="K1450" s="6"/>
      <c r="N1450" s="2"/>
      <c r="O1450" s="2"/>
      <c r="P1450" s="2"/>
    </row>
    <row r="1451" spans="2:16" ht="14.25">
      <c r="B1451" s="4"/>
      <c r="I1451" s="5"/>
      <c r="J1451" s="5"/>
      <c r="K1451" s="6"/>
      <c r="N1451" s="2"/>
      <c r="O1451" s="2"/>
      <c r="P1451" s="2"/>
    </row>
    <row r="1452" spans="2:16" ht="14.25">
      <c r="B1452" s="4"/>
      <c r="I1452" s="5"/>
      <c r="J1452" s="5"/>
      <c r="K1452" s="6"/>
      <c r="N1452" s="2"/>
      <c r="O1452" s="2"/>
      <c r="P1452" s="2"/>
    </row>
    <row r="1453" spans="2:16" ht="14.25">
      <c r="B1453" s="4"/>
      <c r="I1453" s="5"/>
      <c r="J1453" s="5"/>
      <c r="K1453" s="6"/>
      <c r="N1453" s="2"/>
      <c r="O1453" s="2"/>
      <c r="P1453" s="2"/>
    </row>
    <row r="1454" spans="2:16" ht="14.25">
      <c r="B1454" s="4"/>
      <c r="I1454" s="5"/>
      <c r="J1454" s="5"/>
      <c r="K1454" s="6"/>
      <c r="N1454" s="2"/>
      <c r="O1454" s="2"/>
      <c r="P1454" s="2"/>
    </row>
    <row r="1455" spans="2:16" ht="14.25">
      <c r="B1455" s="4"/>
      <c r="I1455" s="5"/>
      <c r="J1455" s="5"/>
      <c r="K1455" s="6"/>
      <c r="N1455" s="2"/>
      <c r="O1455" s="2"/>
      <c r="P1455" s="2"/>
    </row>
    <row r="1456" spans="2:16" ht="14.25">
      <c r="B1456" s="4"/>
      <c r="I1456" s="5"/>
      <c r="J1456" s="5"/>
      <c r="K1456" s="6"/>
      <c r="N1456" s="2"/>
      <c r="O1456" s="2"/>
      <c r="P1456" s="2"/>
    </row>
    <row r="1457" spans="2:16" ht="14.25">
      <c r="B1457" s="4"/>
      <c r="I1457" s="5"/>
      <c r="J1457" s="5"/>
      <c r="K1457" s="6"/>
      <c r="N1457" s="2"/>
      <c r="O1457" s="2"/>
      <c r="P1457" s="2"/>
    </row>
    <row r="1458" spans="2:16" ht="14.25">
      <c r="B1458" s="4"/>
      <c r="I1458" s="5"/>
      <c r="J1458" s="5"/>
      <c r="K1458" s="6"/>
      <c r="N1458" s="2"/>
      <c r="O1458" s="2"/>
      <c r="P1458" s="2"/>
    </row>
    <row r="1459" spans="2:16" ht="14.25">
      <c r="B1459" s="4"/>
      <c r="I1459" s="5"/>
      <c r="J1459" s="5"/>
      <c r="K1459" s="6"/>
      <c r="N1459" s="2"/>
      <c r="O1459" s="2"/>
      <c r="P1459" s="2"/>
    </row>
    <row r="1460" spans="2:16" ht="14.25">
      <c r="B1460" s="4"/>
      <c r="I1460" s="5"/>
      <c r="J1460" s="5"/>
      <c r="K1460" s="6"/>
      <c r="N1460" s="2"/>
      <c r="O1460" s="2"/>
      <c r="P1460" s="2"/>
    </row>
    <row r="1461" spans="2:16" ht="14.25">
      <c r="B1461" s="4"/>
      <c r="I1461" s="5"/>
      <c r="J1461" s="5"/>
      <c r="K1461" s="6"/>
      <c r="N1461" s="2"/>
      <c r="O1461" s="2"/>
      <c r="P1461" s="2"/>
    </row>
    <row r="1462" spans="2:16" ht="14.25">
      <c r="B1462" s="4"/>
      <c r="I1462" s="5"/>
      <c r="J1462" s="5"/>
      <c r="K1462" s="6"/>
      <c r="N1462" s="2"/>
      <c r="O1462" s="2"/>
      <c r="P1462" s="2"/>
    </row>
    <row r="1463" spans="2:16" ht="14.25">
      <c r="B1463" s="4"/>
      <c r="I1463" s="5"/>
      <c r="J1463" s="5"/>
      <c r="K1463" s="6"/>
      <c r="N1463" s="2"/>
      <c r="O1463" s="2"/>
      <c r="P1463" s="2"/>
    </row>
    <row r="1464" spans="2:16" ht="14.25">
      <c r="B1464" s="4"/>
      <c r="I1464" s="5"/>
      <c r="J1464" s="5"/>
      <c r="K1464" s="6"/>
      <c r="N1464" s="2"/>
      <c r="O1464" s="2"/>
      <c r="P1464" s="2"/>
    </row>
    <row r="1465" spans="2:16" ht="14.25">
      <c r="B1465" s="4"/>
      <c r="I1465" s="5"/>
      <c r="J1465" s="5"/>
      <c r="K1465" s="6"/>
      <c r="N1465" s="2"/>
      <c r="O1465" s="2"/>
      <c r="P1465" s="2"/>
    </row>
    <row r="1466" spans="2:16" ht="14.25">
      <c r="B1466" s="4"/>
      <c r="I1466" s="5"/>
      <c r="J1466" s="5"/>
      <c r="K1466" s="6"/>
      <c r="N1466" s="2"/>
      <c r="O1466" s="2"/>
      <c r="P1466" s="2"/>
    </row>
    <row r="1467" spans="2:16" ht="14.25">
      <c r="B1467" s="4"/>
      <c r="I1467" s="5"/>
      <c r="J1467" s="5"/>
      <c r="K1467" s="6"/>
      <c r="N1467" s="2"/>
      <c r="O1467" s="2"/>
      <c r="P1467" s="2"/>
    </row>
    <row r="1468" spans="2:16" ht="14.25">
      <c r="B1468" s="4"/>
      <c r="I1468" s="5"/>
      <c r="J1468" s="5"/>
      <c r="K1468" s="6"/>
      <c r="N1468" s="2"/>
      <c r="O1468" s="2"/>
      <c r="P1468" s="2"/>
    </row>
    <row r="1469" spans="2:16" ht="14.25">
      <c r="B1469" s="4"/>
      <c r="I1469" s="5"/>
      <c r="J1469" s="5"/>
      <c r="K1469" s="6"/>
      <c r="N1469" s="2"/>
      <c r="O1469" s="2"/>
      <c r="P1469" s="2"/>
    </row>
    <row r="1470" spans="2:16" ht="14.25">
      <c r="B1470" s="4"/>
      <c r="I1470" s="5"/>
      <c r="J1470" s="5"/>
      <c r="K1470" s="6"/>
      <c r="N1470" s="2"/>
      <c r="O1470" s="2"/>
      <c r="P1470" s="2"/>
    </row>
    <row r="1471" spans="2:16" ht="14.25">
      <c r="B1471" s="4"/>
      <c r="I1471" s="5"/>
      <c r="J1471" s="5"/>
      <c r="K1471" s="6"/>
      <c r="N1471" s="2"/>
      <c r="O1471" s="2"/>
      <c r="P1471" s="2"/>
    </row>
    <row r="1472" spans="2:16" ht="14.25">
      <c r="B1472" s="4"/>
      <c r="I1472" s="5"/>
      <c r="J1472" s="5"/>
      <c r="K1472" s="6"/>
      <c r="N1472" s="2"/>
      <c r="O1472" s="2"/>
      <c r="P1472" s="2"/>
    </row>
    <row r="1473" spans="2:16" ht="14.25">
      <c r="B1473" s="4"/>
      <c r="I1473" s="5"/>
      <c r="J1473" s="5"/>
      <c r="K1473" s="6"/>
      <c r="N1473" s="2"/>
      <c r="O1473" s="2"/>
      <c r="P1473" s="2"/>
    </row>
    <row r="1474" spans="2:16" ht="14.25">
      <c r="B1474" s="4"/>
      <c r="I1474" s="5"/>
      <c r="J1474" s="5"/>
      <c r="K1474" s="6"/>
      <c r="N1474" s="2"/>
      <c r="O1474" s="2"/>
      <c r="P1474" s="2"/>
    </row>
    <row r="1475" spans="2:16" ht="14.25">
      <c r="B1475" s="4"/>
      <c r="I1475" s="5"/>
      <c r="J1475" s="5"/>
      <c r="K1475" s="6"/>
      <c r="N1475" s="2"/>
      <c r="O1475" s="2"/>
      <c r="P1475" s="2"/>
    </row>
    <row r="1476" spans="2:16" ht="14.25">
      <c r="B1476" s="4"/>
      <c r="I1476" s="5"/>
      <c r="J1476" s="5"/>
      <c r="K1476" s="6"/>
      <c r="N1476" s="2"/>
      <c r="O1476" s="2"/>
      <c r="P1476" s="2"/>
    </row>
    <row r="1477" spans="2:16" ht="14.25">
      <c r="B1477" s="4"/>
      <c r="I1477" s="5"/>
      <c r="J1477" s="5"/>
      <c r="K1477" s="6"/>
      <c r="N1477" s="2"/>
      <c r="O1477" s="2"/>
      <c r="P1477" s="2"/>
    </row>
    <row r="1478" spans="2:16" ht="14.25">
      <c r="B1478" s="4"/>
      <c r="I1478" s="5"/>
      <c r="J1478" s="5"/>
      <c r="K1478" s="6"/>
      <c r="N1478" s="2"/>
      <c r="O1478" s="2"/>
      <c r="P1478" s="2"/>
    </row>
    <row r="1479" spans="2:16" ht="14.25">
      <c r="B1479" s="4"/>
      <c r="I1479" s="5"/>
      <c r="J1479" s="5"/>
      <c r="K1479" s="6"/>
      <c r="N1479" s="2"/>
      <c r="O1479" s="2"/>
      <c r="P1479" s="2"/>
    </row>
    <row r="1480" spans="2:16" ht="14.25">
      <c r="B1480" s="4"/>
      <c r="I1480" s="5"/>
      <c r="J1480" s="5"/>
      <c r="K1480" s="6"/>
      <c r="N1480" s="2"/>
      <c r="O1480" s="2"/>
      <c r="P1480" s="2"/>
    </row>
    <row r="1481" spans="2:16" ht="14.25">
      <c r="B1481" s="4"/>
      <c r="I1481" s="5"/>
      <c r="J1481" s="5"/>
      <c r="K1481" s="6"/>
      <c r="N1481" s="2"/>
      <c r="O1481" s="2"/>
      <c r="P1481" s="2"/>
    </row>
    <row r="1482" spans="2:16" ht="14.25">
      <c r="B1482" s="4"/>
      <c r="I1482" s="5"/>
      <c r="J1482" s="5"/>
      <c r="K1482" s="6"/>
      <c r="N1482" s="2"/>
      <c r="O1482" s="2"/>
      <c r="P1482" s="2"/>
    </row>
    <row r="1483" spans="2:16" ht="14.25">
      <c r="B1483" s="4"/>
      <c r="I1483" s="5"/>
      <c r="J1483" s="5"/>
      <c r="K1483" s="6"/>
      <c r="N1483" s="2"/>
      <c r="O1483" s="2"/>
      <c r="P1483" s="2"/>
    </row>
    <row r="1484" spans="2:16" ht="14.25">
      <c r="B1484" s="4"/>
      <c r="I1484" s="5"/>
      <c r="J1484" s="5"/>
      <c r="K1484" s="6"/>
      <c r="N1484" s="2"/>
      <c r="O1484" s="2"/>
      <c r="P1484" s="2"/>
    </row>
    <row r="1485" spans="2:16" ht="14.25">
      <c r="B1485" s="4"/>
      <c r="I1485" s="5"/>
      <c r="J1485" s="5"/>
      <c r="K1485" s="6"/>
      <c r="N1485" s="2"/>
      <c r="O1485" s="2"/>
      <c r="P1485" s="2"/>
    </row>
    <row r="1486" spans="2:16" ht="14.25">
      <c r="B1486" s="4"/>
      <c r="I1486" s="5"/>
      <c r="J1486" s="5"/>
      <c r="K1486" s="6"/>
      <c r="N1486" s="2"/>
      <c r="O1486" s="2"/>
      <c r="P1486" s="2"/>
    </row>
    <row r="1487" spans="2:16" ht="14.25">
      <c r="B1487" s="4"/>
      <c r="I1487" s="5"/>
      <c r="J1487" s="5"/>
      <c r="K1487" s="6"/>
      <c r="N1487" s="2"/>
      <c r="O1487" s="2"/>
      <c r="P1487" s="2"/>
    </row>
    <row r="1488" spans="2:16" ht="14.25">
      <c r="B1488" s="4"/>
      <c r="I1488" s="5"/>
      <c r="J1488" s="5"/>
      <c r="K1488" s="6"/>
      <c r="N1488" s="2"/>
      <c r="O1488" s="2"/>
      <c r="P1488" s="2"/>
    </row>
    <row r="1489" spans="2:16" ht="14.25">
      <c r="B1489" s="4"/>
      <c r="I1489" s="5"/>
      <c r="J1489" s="5"/>
      <c r="K1489" s="6"/>
      <c r="N1489" s="2"/>
      <c r="O1489" s="2"/>
      <c r="P1489" s="2"/>
    </row>
    <row r="1490" spans="2:16" ht="14.25">
      <c r="B1490" s="4"/>
      <c r="I1490" s="5"/>
      <c r="J1490" s="5"/>
      <c r="K1490" s="6"/>
      <c r="N1490" s="2"/>
      <c r="O1490" s="2"/>
      <c r="P1490" s="2"/>
    </row>
    <row r="1491" spans="2:16" ht="14.25">
      <c r="B1491" s="4"/>
      <c r="I1491" s="5"/>
      <c r="J1491" s="5"/>
      <c r="K1491" s="6"/>
      <c r="N1491" s="2"/>
      <c r="O1491" s="2"/>
      <c r="P1491" s="2"/>
    </row>
    <row r="1492" spans="2:16" ht="14.25">
      <c r="B1492" s="4"/>
      <c r="I1492" s="5"/>
      <c r="J1492" s="5"/>
      <c r="K1492" s="6"/>
      <c r="N1492" s="2"/>
      <c r="O1492" s="2"/>
      <c r="P1492" s="2"/>
    </row>
    <row r="1493" spans="2:16" ht="14.25">
      <c r="B1493" s="4"/>
      <c r="I1493" s="5"/>
      <c r="J1493" s="5"/>
      <c r="K1493" s="6"/>
      <c r="N1493" s="2"/>
      <c r="O1493" s="2"/>
      <c r="P1493" s="2"/>
    </row>
    <row r="1494" spans="2:16" ht="14.25">
      <c r="B1494" s="4"/>
      <c r="I1494" s="5"/>
      <c r="J1494" s="5"/>
      <c r="K1494" s="6"/>
      <c r="N1494" s="2"/>
      <c r="O1494" s="2"/>
      <c r="P1494" s="2"/>
    </row>
    <row r="1495" spans="2:16" ht="14.25">
      <c r="B1495" s="4"/>
      <c r="I1495" s="5"/>
      <c r="J1495" s="5"/>
      <c r="K1495" s="6"/>
      <c r="N1495" s="2"/>
      <c r="O1495" s="2"/>
      <c r="P1495" s="2"/>
    </row>
    <row r="1496" spans="2:16" ht="14.25">
      <c r="B1496" s="4"/>
      <c r="I1496" s="5"/>
      <c r="J1496" s="5"/>
      <c r="K1496" s="6"/>
      <c r="N1496" s="2"/>
      <c r="O1496" s="2"/>
      <c r="P1496" s="2"/>
    </row>
    <row r="1497" spans="2:16" ht="14.25">
      <c r="B1497" s="4"/>
      <c r="I1497" s="5"/>
      <c r="J1497" s="5"/>
      <c r="K1497" s="6"/>
      <c r="N1497" s="2"/>
      <c r="O1497" s="2"/>
      <c r="P1497" s="2"/>
    </row>
    <row r="1498" spans="2:16" ht="14.25">
      <c r="B1498" s="4"/>
      <c r="I1498" s="5"/>
      <c r="J1498" s="5"/>
      <c r="K1498" s="6"/>
      <c r="N1498" s="2"/>
      <c r="O1498" s="2"/>
      <c r="P1498" s="2"/>
    </row>
    <row r="1499" spans="2:16" ht="14.25">
      <c r="B1499" s="4"/>
      <c r="I1499" s="5"/>
      <c r="J1499" s="5"/>
      <c r="K1499" s="6"/>
      <c r="N1499" s="2"/>
      <c r="O1499" s="2"/>
      <c r="P1499" s="2"/>
    </row>
    <row r="1500" spans="2:16" ht="14.25">
      <c r="B1500" s="4"/>
      <c r="I1500" s="5"/>
      <c r="J1500" s="5"/>
      <c r="K1500" s="6"/>
      <c r="N1500" s="2"/>
      <c r="O1500" s="2"/>
      <c r="P1500" s="2"/>
    </row>
    <row r="1501" spans="2:16" ht="14.25">
      <c r="B1501" s="4"/>
      <c r="I1501" s="5"/>
      <c r="J1501" s="5"/>
      <c r="K1501" s="6"/>
      <c r="N1501" s="2"/>
      <c r="O1501" s="2"/>
      <c r="P1501" s="2"/>
    </row>
    <row r="1502" spans="2:16" ht="14.25">
      <c r="B1502" s="4"/>
      <c r="I1502" s="5"/>
      <c r="J1502" s="5"/>
      <c r="K1502" s="6"/>
      <c r="N1502" s="2"/>
      <c r="O1502" s="2"/>
      <c r="P1502" s="2"/>
    </row>
    <row r="1503" spans="2:16" ht="14.25">
      <c r="B1503" s="4"/>
      <c r="I1503" s="5"/>
      <c r="J1503" s="5"/>
      <c r="K1503" s="6"/>
      <c r="N1503" s="2"/>
      <c r="O1503" s="2"/>
      <c r="P1503" s="2"/>
    </row>
    <row r="1504" spans="2:16" ht="14.25">
      <c r="B1504" s="4"/>
      <c r="I1504" s="5"/>
      <c r="J1504" s="5"/>
      <c r="K1504" s="6"/>
      <c r="N1504" s="2"/>
      <c r="O1504" s="2"/>
      <c r="P1504" s="2"/>
    </row>
    <row r="1505" spans="2:16" ht="14.25">
      <c r="B1505" s="4"/>
      <c r="I1505" s="5"/>
      <c r="J1505" s="5"/>
      <c r="K1505" s="6"/>
      <c r="N1505" s="2"/>
      <c r="O1505" s="2"/>
      <c r="P1505" s="2"/>
    </row>
    <row r="1506" spans="2:16" ht="14.25">
      <c r="B1506" s="4"/>
      <c r="I1506" s="5"/>
      <c r="J1506" s="5"/>
      <c r="K1506" s="6"/>
      <c r="N1506" s="2"/>
      <c r="O1506" s="2"/>
      <c r="P1506" s="2"/>
    </row>
    <row r="1507" spans="2:16" ht="14.25">
      <c r="B1507" s="4"/>
      <c r="I1507" s="5"/>
      <c r="J1507" s="5"/>
      <c r="K1507" s="6"/>
      <c r="N1507" s="2"/>
      <c r="O1507" s="2"/>
      <c r="P1507" s="2"/>
    </row>
    <row r="1508" spans="2:16" ht="14.25">
      <c r="B1508" s="4"/>
      <c r="I1508" s="5"/>
      <c r="J1508" s="5"/>
      <c r="K1508" s="6"/>
      <c r="N1508" s="2"/>
      <c r="O1508" s="2"/>
      <c r="P1508" s="2"/>
    </row>
    <row r="1509" spans="2:16" ht="14.25">
      <c r="B1509" s="4"/>
      <c r="I1509" s="5"/>
      <c r="J1509" s="5"/>
      <c r="K1509" s="6"/>
      <c r="N1509" s="2"/>
      <c r="O1509" s="2"/>
      <c r="P1509" s="2"/>
    </row>
    <row r="1510" spans="2:16" ht="14.25">
      <c r="B1510" s="4"/>
      <c r="I1510" s="5"/>
      <c r="J1510" s="5"/>
      <c r="K1510" s="6"/>
      <c r="N1510" s="2"/>
      <c r="O1510" s="2"/>
      <c r="P1510" s="2"/>
    </row>
    <row r="1511" spans="2:16" ht="14.25">
      <c r="B1511" s="4"/>
      <c r="I1511" s="5"/>
      <c r="J1511" s="5"/>
      <c r="K1511" s="6"/>
      <c r="N1511" s="2"/>
      <c r="O1511" s="2"/>
      <c r="P1511" s="2"/>
    </row>
    <row r="1512" spans="2:16" ht="14.25">
      <c r="B1512" s="4"/>
      <c r="I1512" s="5"/>
      <c r="J1512" s="5"/>
      <c r="K1512" s="6"/>
      <c r="N1512" s="2"/>
      <c r="O1512" s="2"/>
      <c r="P1512" s="2"/>
    </row>
    <row r="1513" spans="2:16" ht="14.25">
      <c r="B1513" s="4"/>
      <c r="I1513" s="5"/>
      <c r="J1513" s="5"/>
      <c r="K1513" s="6"/>
      <c r="N1513" s="2"/>
      <c r="O1513" s="2"/>
      <c r="P1513" s="2"/>
    </row>
    <row r="1514" spans="2:16" ht="14.25">
      <c r="B1514" s="4"/>
      <c r="I1514" s="5"/>
      <c r="J1514" s="5"/>
      <c r="K1514" s="6"/>
      <c r="N1514" s="2"/>
      <c r="O1514" s="2"/>
      <c r="P1514" s="2"/>
    </row>
    <row r="1515" spans="2:16" ht="14.25">
      <c r="B1515" s="4"/>
      <c r="I1515" s="5"/>
      <c r="J1515" s="5"/>
      <c r="K1515" s="6"/>
      <c r="N1515" s="2"/>
      <c r="O1515" s="2"/>
      <c r="P1515" s="2"/>
    </row>
    <row r="1516" spans="2:16" ht="14.25">
      <c r="B1516" s="4"/>
      <c r="I1516" s="5"/>
      <c r="J1516" s="5"/>
      <c r="K1516" s="6"/>
      <c r="N1516" s="2"/>
      <c r="O1516" s="2"/>
      <c r="P1516" s="2"/>
    </row>
    <row r="1517" spans="2:16" ht="14.25">
      <c r="B1517" s="4"/>
      <c r="I1517" s="5"/>
      <c r="J1517" s="5"/>
      <c r="K1517" s="6"/>
      <c r="N1517" s="2"/>
      <c r="O1517" s="2"/>
      <c r="P1517" s="2"/>
    </row>
    <row r="1518" spans="2:16" ht="14.25">
      <c r="B1518" s="4"/>
      <c r="I1518" s="5"/>
      <c r="J1518" s="5"/>
      <c r="K1518" s="6"/>
      <c r="N1518" s="2"/>
      <c r="O1518" s="2"/>
      <c r="P1518" s="2"/>
    </row>
    <row r="1519" spans="2:16" ht="14.25">
      <c r="B1519" s="4"/>
      <c r="I1519" s="5"/>
      <c r="J1519" s="5"/>
      <c r="K1519" s="6"/>
      <c r="N1519" s="2"/>
      <c r="O1519" s="2"/>
      <c r="P1519" s="2"/>
    </row>
    <row r="1520" spans="2:16" ht="14.25">
      <c r="B1520" s="4"/>
      <c r="I1520" s="5"/>
      <c r="J1520" s="5"/>
      <c r="K1520" s="6"/>
      <c r="N1520" s="2"/>
      <c r="O1520" s="2"/>
      <c r="P1520" s="2"/>
    </row>
    <row r="1521" spans="2:16" ht="14.25">
      <c r="B1521" s="4"/>
      <c r="I1521" s="5"/>
      <c r="J1521" s="5"/>
      <c r="K1521" s="6"/>
      <c r="N1521" s="2"/>
      <c r="O1521" s="2"/>
      <c r="P1521" s="2"/>
    </row>
    <row r="1522" spans="2:16" ht="14.25">
      <c r="B1522" s="4"/>
      <c r="I1522" s="5"/>
      <c r="J1522" s="5"/>
      <c r="K1522" s="6"/>
      <c r="N1522" s="2"/>
      <c r="O1522" s="2"/>
      <c r="P1522" s="2"/>
    </row>
    <row r="1523" spans="2:16" ht="14.25">
      <c r="B1523" s="4"/>
      <c r="I1523" s="5"/>
      <c r="J1523" s="5"/>
      <c r="K1523" s="6"/>
      <c r="N1523" s="2"/>
      <c r="O1523" s="2"/>
      <c r="P1523" s="2"/>
    </row>
    <row r="1524" spans="2:16" ht="14.25">
      <c r="B1524" s="4"/>
      <c r="I1524" s="5"/>
      <c r="J1524" s="5"/>
      <c r="K1524" s="6"/>
      <c r="N1524" s="2"/>
      <c r="O1524" s="2"/>
      <c r="P1524" s="2"/>
    </row>
    <row r="1525" spans="2:16" ht="14.25">
      <c r="B1525" s="4"/>
      <c r="I1525" s="5"/>
      <c r="J1525" s="5"/>
      <c r="K1525" s="6"/>
      <c r="N1525" s="2"/>
      <c r="O1525" s="2"/>
      <c r="P1525" s="2"/>
    </row>
    <row r="1526" spans="2:16" ht="14.25">
      <c r="B1526" s="4"/>
      <c r="I1526" s="5"/>
      <c r="J1526" s="5"/>
      <c r="K1526" s="6"/>
      <c r="N1526" s="2"/>
      <c r="O1526" s="2"/>
      <c r="P1526" s="2"/>
    </row>
    <row r="1527" spans="2:16" ht="14.25">
      <c r="B1527" s="4"/>
      <c r="I1527" s="5"/>
      <c r="J1527" s="5"/>
      <c r="K1527" s="6"/>
      <c r="N1527" s="2"/>
      <c r="O1527" s="2"/>
      <c r="P1527" s="2"/>
    </row>
    <row r="1528" spans="2:16" ht="14.25">
      <c r="B1528" s="4"/>
      <c r="I1528" s="5"/>
      <c r="J1528" s="5"/>
      <c r="K1528" s="6"/>
      <c r="N1528" s="2"/>
      <c r="O1528" s="2"/>
      <c r="P1528" s="2"/>
    </row>
    <row r="1529" spans="2:16" ht="14.25">
      <c r="B1529" s="4"/>
      <c r="I1529" s="5"/>
      <c r="J1529" s="5"/>
      <c r="K1529" s="6"/>
      <c r="N1529" s="2"/>
      <c r="O1529" s="2"/>
      <c r="P1529" s="2"/>
    </row>
    <row r="1530" spans="2:16" ht="14.25">
      <c r="B1530" s="4"/>
      <c r="I1530" s="5"/>
      <c r="J1530" s="5"/>
      <c r="K1530" s="6"/>
      <c r="N1530" s="2"/>
      <c r="O1530" s="2"/>
      <c r="P1530" s="2"/>
    </row>
    <row r="1531" spans="2:16" ht="14.25">
      <c r="B1531" s="4"/>
      <c r="I1531" s="5"/>
      <c r="J1531" s="5"/>
      <c r="K1531" s="6"/>
      <c r="N1531" s="2"/>
      <c r="O1531" s="2"/>
      <c r="P1531" s="2"/>
    </row>
    <row r="1532" spans="2:16" ht="14.25">
      <c r="B1532" s="4"/>
      <c r="I1532" s="5"/>
      <c r="J1532" s="5"/>
      <c r="K1532" s="6"/>
      <c r="N1532" s="2"/>
      <c r="O1532" s="2"/>
      <c r="P1532" s="2"/>
    </row>
    <row r="1533" spans="2:16" ht="14.25">
      <c r="B1533" s="4"/>
      <c r="I1533" s="5"/>
      <c r="J1533" s="5"/>
      <c r="K1533" s="6"/>
      <c r="N1533" s="2"/>
      <c r="O1533" s="2"/>
      <c r="P1533" s="2"/>
    </row>
    <row r="1534" spans="2:16" ht="14.25">
      <c r="B1534" s="4"/>
      <c r="I1534" s="5"/>
      <c r="J1534" s="5"/>
      <c r="K1534" s="6"/>
      <c r="N1534" s="2"/>
      <c r="O1534" s="2"/>
      <c r="P1534" s="2"/>
    </row>
    <row r="1535" spans="2:16" ht="14.25">
      <c r="B1535" s="4"/>
      <c r="I1535" s="5"/>
      <c r="J1535" s="5"/>
      <c r="K1535" s="6"/>
      <c r="N1535" s="2"/>
      <c r="O1535" s="2"/>
      <c r="P1535" s="2"/>
    </row>
    <row r="1536" spans="2:16" ht="14.25">
      <c r="B1536" s="4"/>
      <c r="I1536" s="5"/>
      <c r="J1536" s="5"/>
      <c r="K1536" s="6"/>
      <c r="N1536" s="2"/>
      <c r="O1536" s="2"/>
      <c r="P1536" s="2"/>
    </row>
    <row r="1537" spans="2:16" ht="14.25">
      <c r="B1537" s="4"/>
      <c r="I1537" s="5"/>
      <c r="J1537" s="5"/>
      <c r="K1537" s="6"/>
      <c r="N1537" s="2"/>
      <c r="O1537" s="2"/>
      <c r="P1537" s="2"/>
    </row>
    <row r="1538" spans="2:16" ht="14.25">
      <c r="B1538" s="4"/>
      <c r="I1538" s="5"/>
      <c r="J1538" s="5"/>
      <c r="K1538" s="6"/>
      <c r="N1538" s="2"/>
      <c r="O1538" s="2"/>
      <c r="P1538" s="2"/>
    </row>
    <row r="1539" spans="2:16" ht="14.25">
      <c r="B1539" s="4"/>
      <c r="I1539" s="5"/>
      <c r="J1539" s="5"/>
      <c r="K1539" s="6"/>
      <c r="N1539" s="2"/>
      <c r="O1539" s="2"/>
      <c r="P1539" s="2"/>
    </row>
    <row r="1540" spans="2:16" ht="14.25">
      <c r="B1540" s="4"/>
      <c r="I1540" s="5"/>
      <c r="J1540" s="5"/>
      <c r="K1540" s="6"/>
      <c r="N1540" s="2"/>
      <c r="O1540" s="2"/>
      <c r="P1540" s="2"/>
    </row>
    <row r="1541" spans="2:16" ht="14.25">
      <c r="B1541" s="4"/>
      <c r="I1541" s="5"/>
      <c r="J1541" s="5"/>
      <c r="K1541" s="6"/>
      <c r="N1541" s="2"/>
      <c r="O1541" s="2"/>
      <c r="P1541" s="2"/>
    </row>
    <row r="1542" spans="2:16" ht="14.25">
      <c r="B1542" s="4"/>
      <c r="I1542" s="5"/>
      <c r="J1542" s="5"/>
      <c r="K1542" s="6"/>
      <c r="N1542" s="2"/>
      <c r="O1542" s="2"/>
      <c r="P1542" s="2"/>
    </row>
    <row r="1543" spans="2:16" ht="14.25">
      <c r="B1543" s="4"/>
      <c r="I1543" s="5"/>
      <c r="J1543" s="5"/>
      <c r="K1543" s="6"/>
      <c r="N1543" s="2"/>
      <c r="O1543" s="2"/>
      <c r="P1543" s="2"/>
    </row>
    <row r="1544" spans="2:16" ht="14.25">
      <c r="B1544" s="4"/>
      <c r="I1544" s="5"/>
      <c r="J1544" s="5"/>
      <c r="K1544" s="6"/>
      <c r="N1544" s="2"/>
      <c r="O1544" s="2"/>
      <c r="P1544" s="2"/>
    </row>
    <row r="1545" spans="2:16" ht="14.25">
      <c r="B1545" s="4"/>
      <c r="I1545" s="5"/>
      <c r="J1545" s="5"/>
      <c r="K1545" s="6"/>
      <c r="N1545" s="2"/>
      <c r="O1545" s="2"/>
      <c r="P1545" s="2"/>
    </row>
    <row r="1546" spans="2:16" ht="14.25">
      <c r="B1546" s="4"/>
      <c r="I1546" s="5"/>
      <c r="J1546" s="5"/>
      <c r="K1546" s="6"/>
      <c r="N1546" s="2"/>
      <c r="O1546" s="2"/>
      <c r="P1546" s="2"/>
    </row>
    <row r="1547" spans="2:16" ht="14.25">
      <c r="B1547" s="4"/>
      <c r="I1547" s="5"/>
      <c r="J1547" s="5"/>
      <c r="K1547" s="6"/>
      <c r="N1547" s="2"/>
      <c r="O1547" s="2"/>
      <c r="P1547" s="2"/>
    </row>
    <row r="1548" spans="2:16" ht="14.25">
      <c r="B1548" s="4"/>
      <c r="I1548" s="5"/>
      <c r="J1548" s="5"/>
      <c r="K1548" s="6"/>
      <c r="N1548" s="2"/>
      <c r="O1548" s="2"/>
      <c r="P1548" s="2"/>
    </row>
    <row r="1549" spans="2:16" ht="14.25">
      <c r="B1549" s="4"/>
      <c r="I1549" s="5"/>
      <c r="J1549" s="5"/>
      <c r="K1549" s="6"/>
      <c r="N1549" s="2"/>
      <c r="O1549" s="2"/>
      <c r="P1549" s="2"/>
    </row>
    <row r="1550" spans="2:16" ht="14.25">
      <c r="B1550" s="4"/>
      <c r="I1550" s="5"/>
      <c r="J1550" s="5"/>
      <c r="K1550" s="6"/>
      <c r="N1550" s="2"/>
      <c r="O1550" s="2"/>
      <c r="P1550" s="2"/>
    </row>
    <row r="1551" spans="2:16" ht="14.25">
      <c r="B1551" s="4"/>
      <c r="I1551" s="5"/>
      <c r="J1551" s="5"/>
      <c r="K1551" s="6"/>
      <c r="N1551" s="2"/>
      <c r="O1551" s="2"/>
      <c r="P1551" s="2"/>
    </row>
    <row r="1552" spans="2:16" ht="14.25">
      <c r="B1552" s="4"/>
      <c r="I1552" s="5"/>
      <c r="J1552" s="5"/>
      <c r="K1552" s="6"/>
      <c r="N1552" s="2"/>
      <c r="O1552" s="2"/>
      <c r="P1552" s="2"/>
    </row>
    <row r="1553" spans="2:16" ht="14.25">
      <c r="B1553" s="4"/>
      <c r="I1553" s="5"/>
      <c r="J1553" s="5"/>
      <c r="K1553" s="6"/>
      <c r="N1553" s="2"/>
      <c r="O1553" s="2"/>
      <c r="P1553" s="2"/>
    </row>
    <row r="1554" spans="2:16" ht="14.25">
      <c r="B1554" s="4"/>
      <c r="I1554" s="5"/>
      <c r="J1554" s="5"/>
      <c r="K1554" s="6"/>
      <c r="N1554" s="2"/>
      <c r="O1554" s="2"/>
      <c r="P1554" s="2"/>
    </row>
    <row r="1555" spans="2:16" ht="14.25">
      <c r="B1555" s="4"/>
      <c r="I1555" s="5"/>
      <c r="J1555" s="5"/>
      <c r="K1555" s="6"/>
      <c r="N1555" s="2"/>
      <c r="O1555" s="2"/>
      <c r="P1555" s="2"/>
    </row>
    <row r="1556" spans="2:16" ht="14.25">
      <c r="B1556" s="4"/>
      <c r="I1556" s="5"/>
      <c r="J1556" s="5"/>
      <c r="K1556" s="6"/>
      <c r="N1556" s="2"/>
      <c r="O1556" s="2"/>
      <c r="P1556" s="2"/>
    </row>
    <row r="1557" spans="2:16" ht="14.25">
      <c r="B1557" s="4"/>
      <c r="I1557" s="5"/>
      <c r="J1557" s="5"/>
      <c r="K1557" s="6"/>
      <c r="N1557" s="2"/>
      <c r="O1557" s="2"/>
      <c r="P1557" s="2"/>
    </row>
    <row r="1558" spans="2:16" ht="14.25">
      <c r="B1558" s="4"/>
      <c r="I1558" s="5"/>
      <c r="J1558" s="5"/>
      <c r="K1558" s="6"/>
      <c r="N1558" s="2"/>
      <c r="O1558" s="2"/>
      <c r="P1558" s="2"/>
    </row>
    <row r="1559" spans="2:16" ht="14.25">
      <c r="B1559" s="4"/>
      <c r="I1559" s="5"/>
      <c r="J1559" s="5"/>
      <c r="K1559" s="6"/>
      <c r="N1559" s="2"/>
      <c r="O1559" s="2"/>
      <c r="P1559" s="2"/>
    </row>
    <row r="1560" spans="2:16" ht="14.25">
      <c r="B1560" s="4"/>
      <c r="I1560" s="5"/>
      <c r="J1560" s="5"/>
      <c r="K1560" s="6"/>
      <c r="N1560" s="2"/>
      <c r="O1560" s="2"/>
      <c r="P1560" s="2"/>
    </row>
    <row r="1561" spans="2:16" ht="14.25">
      <c r="B1561" s="4"/>
      <c r="I1561" s="5"/>
      <c r="J1561" s="5"/>
      <c r="K1561" s="6"/>
      <c r="N1561" s="2"/>
      <c r="O1561" s="2"/>
      <c r="P1561" s="2"/>
    </row>
    <row r="1562" spans="2:16" ht="14.25">
      <c r="B1562" s="4"/>
      <c r="I1562" s="5"/>
      <c r="J1562" s="5"/>
      <c r="K1562" s="6"/>
      <c r="N1562" s="2"/>
      <c r="O1562" s="2"/>
      <c r="P1562" s="2"/>
    </row>
    <row r="1563" spans="2:16" ht="14.25">
      <c r="B1563" s="4"/>
      <c r="I1563" s="5"/>
      <c r="J1563" s="5"/>
      <c r="K1563" s="6"/>
      <c r="N1563" s="2"/>
      <c r="O1563" s="2"/>
      <c r="P1563" s="2"/>
    </row>
    <row r="1564" spans="2:16" ht="14.25">
      <c r="B1564" s="4"/>
      <c r="I1564" s="5"/>
      <c r="J1564" s="5"/>
      <c r="K1564" s="6"/>
      <c r="N1564" s="2"/>
      <c r="O1564" s="2"/>
      <c r="P1564" s="2"/>
    </row>
    <row r="1565" spans="2:16" ht="14.25">
      <c r="B1565" s="4"/>
      <c r="I1565" s="5"/>
      <c r="J1565" s="5"/>
      <c r="K1565" s="6"/>
      <c r="N1565" s="2"/>
      <c r="O1565" s="2"/>
      <c r="P1565" s="2"/>
    </row>
    <row r="1566" spans="2:16" ht="14.25">
      <c r="B1566" s="4"/>
      <c r="I1566" s="5"/>
      <c r="J1566" s="5"/>
      <c r="K1566" s="6"/>
      <c r="N1566" s="2"/>
      <c r="O1566" s="2"/>
      <c r="P1566" s="2"/>
    </row>
    <row r="1567" spans="2:16" ht="14.25">
      <c r="B1567" s="4"/>
      <c r="I1567" s="5"/>
      <c r="J1567" s="5"/>
      <c r="K1567" s="6"/>
      <c r="N1567" s="2"/>
      <c r="O1567" s="2"/>
      <c r="P1567" s="2"/>
    </row>
    <row r="1568" spans="2:16" ht="14.25">
      <c r="B1568" s="4"/>
      <c r="I1568" s="5"/>
      <c r="J1568" s="5"/>
      <c r="K1568" s="6"/>
      <c r="N1568" s="2"/>
      <c r="O1568" s="2"/>
      <c r="P1568" s="2"/>
    </row>
    <row r="1569" spans="2:16" ht="14.25">
      <c r="B1569" s="4"/>
      <c r="I1569" s="5"/>
      <c r="J1569" s="5"/>
      <c r="K1569" s="6"/>
      <c r="N1569" s="2"/>
      <c r="O1569" s="2"/>
      <c r="P1569" s="2"/>
    </row>
    <row r="1570" spans="2:16" ht="14.25">
      <c r="B1570" s="4"/>
      <c r="I1570" s="5"/>
      <c r="J1570" s="5"/>
      <c r="K1570" s="6"/>
      <c r="N1570" s="2"/>
      <c r="O1570" s="2"/>
      <c r="P1570" s="2"/>
    </row>
    <row r="1571" spans="2:16" ht="14.25">
      <c r="B1571" s="4"/>
      <c r="I1571" s="5"/>
      <c r="J1571" s="5"/>
      <c r="K1571" s="6"/>
      <c r="N1571" s="2"/>
      <c r="O1571" s="2"/>
      <c r="P1571" s="2"/>
    </row>
    <row r="1572" spans="2:16" ht="14.25">
      <c r="B1572" s="4"/>
      <c r="I1572" s="5"/>
      <c r="J1572" s="5"/>
      <c r="K1572" s="6"/>
      <c r="N1572" s="2"/>
      <c r="O1572" s="2"/>
      <c r="P1572" s="2"/>
    </row>
    <row r="1573" spans="2:16" ht="14.25">
      <c r="B1573" s="4"/>
      <c r="I1573" s="5"/>
      <c r="J1573" s="5"/>
      <c r="K1573" s="6"/>
      <c r="N1573" s="2"/>
      <c r="O1573" s="2"/>
      <c r="P1573" s="2"/>
    </row>
    <row r="1574" spans="2:16" ht="14.25">
      <c r="B1574" s="4"/>
      <c r="I1574" s="5"/>
      <c r="J1574" s="5"/>
      <c r="K1574" s="6"/>
      <c r="N1574" s="2"/>
      <c r="O1574" s="2"/>
      <c r="P1574" s="2"/>
    </row>
    <row r="1575" spans="2:16" ht="14.25">
      <c r="B1575" s="4"/>
      <c r="I1575" s="5"/>
      <c r="J1575" s="5"/>
      <c r="K1575" s="6"/>
      <c r="N1575" s="2"/>
      <c r="O1575" s="2"/>
      <c r="P1575" s="2"/>
    </row>
    <row r="1576" spans="2:16" ht="14.25">
      <c r="B1576" s="4"/>
      <c r="I1576" s="5"/>
      <c r="J1576" s="5"/>
      <c r="K1576" s="6"/>
      <c r="N1576" s="2"/>
      <c r="O1576" s="2"/>
      <c r="P1576" s="2"/>
    </row>
    <row r="1577" spans="2:16" ht="14.25">
      <c r="B1577" s="4"/>
      <c r="I1577" s="5"/>
      <c r="J1577" s="5"/>
      <c r="K1577" s="6"/>
      <c r="N1577" s="2"/>
      <c r="O1577" s="2"/>
      <c r="P1577" s="2"/>
    </row>
    <row r="1578" spans="2:16" ht="14.25">
      <c r="B1578" s="4"/>
      <c r="I1578" s="5"/>
      <c r="J1578" s="5"/>
      <c r="K1578" s="6"/>
      <c r="N1578" s="2"/>
      <c r="O1578" s="2"/>
      <c r="P1578" s="2"/>
    </row>
    <row r="1579" spans="2:16" ht="14.25">
      <c r="B1579" s="4"/>
      <c r="I1579" s="5"/>
      <c r="J1579" s="5"/>
      <c r="K1579" s="6"/>
      <c r="N1579" s="2"/>
      <c r="O1579" s="2"/>
      <c r="P1579" s="2"/>
    </row>
    <row r="1580" spans="2:16" ht="14.25">
      <c r="B1580" s="4"/>
      <c r="I1580" s="5"/>
      <c r="J1580" s="5"/>
      <c r="K1580" s="6"/>
      <c r="N1580" s="2"/>
      <c r="O1580" s="2"/>
      <c r="P1580" s="2"/>
    </row>
    <row r="1581" spans="2:16" ht="14.25">
      <c r="B1581" s="4"/>
      <c r="I1581" s="5"/>
      <c r="J1581" s="5"/>
      <c r="K1581" s="6"/>
      <c r="N1581" s="2"/>
      <c r="O1581" s="2"/>
      <c r="P1581" s="2"/>
    </row>
    <row r="1582" spans="2:16" ht="14.25">
      <c r="B1582" s="4"/>
      <c r="I1582" s="5"/>
      <c r="J1582" s="5"/>
      <c r="K1582" s="6"/>
      <c r="N1582" s="2"/>
      <c r="O1582" s="2"/>
      <c r="P1582" s="2"/>
    </row>
    <row r="1583" spans="2:16" ht="14.25">
      <c r="B1583" s="4"/>
      <c r="I1583" s="5"/>
      <c r="J1583" s="5"/>
      <c r="K1583" s="6"/>
      <c r="N1583" s="2"/>
      <c r="O1583" s="2"/>
      <c r="P1583" s="2"/>
    </row>
    <row r="1584" spans="2:16" ht="14.25">
      <c r="B1584" s="4"/>
      <c r="I1584" s="5"/>
      <c r="J1584" s="5"/>
      <c r="K1584" s="6"/>
      <c r="N1584" s="2"/>
      <c r="O1584" s="2"/>
      <c r="P1584" s="2"/>
    </row>
    <row r="1585" spans="2:16" ht="14.25">
      <c r="B1585" s="4"/>
      <c r="I1585" s="5"/>
      <c r="J1585" s="5"/>
      <c r="K1585" s="6"/>
      <c r="N1585" s="2"/>
      <c r="O1585" s="2"/>
      <c r="P1585" s="2"/>
    </row>
    <row r="1586" spans="2:16" ht="14.25">
      <c r="B1586" s="4"/>
      <c r="I1586" s="5"/>
      <c r="J1586" s="5"/>
      <c r="K1586" s="6"/>
      <c r="N1586" s="2"/>
      <c r="O1586" s="2"/>
      <c r="P1586" s="2"/>
    </row>
    <row r="1587" spans="2:16" ht="14.25">
      <c r="B1587" s="4"/>
      <c r="I1587" s="5"/>
      <c r="J1587" s="5"/>
      <c r="K1587" s="6"/>
      <c r="N1587" s="2"/>
      <c r="O1587" s="2"/>
      <c r="P1587" s="2"/>
    </row>
    <row r="1588" spans="2:16" ht="14.25">
      <c r="B1588" s="4"/>
      <c r="I1588" s="5"/>
      <c r="J1588" s="5"/>
      <c r="K1588" s="6"/>
      <c r="N1588" s="2"/>
      <c r="O1588" s="2"/>
      <c r="P1588" s="2"/>
    </row>
    <row r="1589" spans="2:16" ht="14.25">
      <c r="B1589" s="4"/>
      <c r="I1589" s="5"/>
      <c r="J1589" s="5"/>
      <c r="K1589" s="6"/>
      <c r="N1589" s="2"/>
      <c r="O1589" s="2"/>
      <c r="P1589" s="2"/>
    </row>
    <row r="1590" spans="2:16" ht="14.25">
      <c r="B1590" s="4"/>
      <c r="I1590" s="5"/>
      <c r="J1590" s="5"/>
      <c r="K1590" s="6"/>
      <c r="N1590" s="2"/>
      <c r="O1590" s="2"/>
      <c r="P1590" s="2"/>
    </row>
    <row r="1591" spans="2:16" ht="14.25">
      <c r="B1591" s="4"/>
      <c r="I1591" s="5"/>
      <c r="J1591" s="5"/>
      <c r="K1591" s="6"/>
      <c r="N1591" s="2"/>
      <c r="O1591" s="2"/>
      <c r="P1591" s="2"/>
    </row>
    <row r="1592" spans="2:16" ht="14.25">
      <c r="B1592" s="4"/>
      <c r="I1592" s="5"/>
      <c r="J1592" s="5"/>
      <c r="K1592" s="6"/>
      <c r="N1592" s="2"/>
      <c r="O1592" s="2"/>
      <c r="P1592" s="2"/>
    </row>
    <row r="1593" spans="2:16" ht="14.25">
      <c r="B1593" s="4"/>
      <c r="I1593" s="5"/>
      <c r="J1593" s="5"/>
      <c r="K1593" s="6"/>
      <c r="N1593" s="2"/>
      <c r="O1593" s="2"/>
      <c r="P1593" s="2"/>
    </row>
    <row r="1594" spans="2:16" ht="14.25">
      <c r="B1594" s="4"/>
      <c r="I1594" s="5"/>
      <c r="J1594" s="5"/>
      <c r="K1594" s="6"/>
      <c r="N1594" s="2"/>
      <c r="O1594" s="2"/>
      <c r="P1594" s="2"/>
    </row>
    <row r="1595" spans="2:16" ht="14.25">
      <c r="B1595" s="4"/>
      <c r="I1595" s="5"/>
      <c r="J1595" s="5"/>
      <c r="K1595" s="6"/>
      <c r="N1595" s="2"/>
      <c r="O1595" s="2"/>
      <c r="P1595" s="2"/>
    </row>
    <row r="1596" spans="2:16" ht="14.25">
      <c r="B1596" s="4"/>
      <c r="I1596" s="5"/>
      <c r="J1596" s="5"/>
      <c r="K1596" s="6"/>
      <c r="N1596" s="2"/>
      <c r="O1596" s="2"/>
      <c r="P1596" s="2"/>
    </row>
    <row r="1597" spans="2:16" ht="14.25">
      <c r="B1597" s="4"/>
      <c r="I1597" s="5"/>
      <c r="J1597" s="5"/>
      <c r="K1597" s="6"/>
      <c r="N1597" s="2"/>
      <c r="O1597" s="2"/>
      <c r="P1597" s="2"/>
    </row>
    <row r="1598" spans="2:16" ht="14.25">
      <c r="B1598" s="4"/>
      <c r="I1598" s="5"/>
      <c r="J1598" s="5"/>
      <c r="K1598" s="6"/>
      <c r="N1598" s="2"/>
      <c r="O1598" s="2"/>
      <c r="P1598" s="2"/>
    </row>
    <row r="1599" spans="2:16" ht="14.25">
      <c r="B1599" s="4"/>
      <c r="I1599" s="5"/>
      <c r="J1599" s="5"/>
      <c r="K1599" s="6"/>
      <c r="N1599" s="2"/>
      <c r="O1599" s="2"/>
      <c r="P1599" s="2"/>
    </row>
    <row r="1600" spans="2:16" ht="14.25">
      <c r="B1600" s="4"/>
      <c r="I1600" s="5"/>
      <c r="J1600" s="5"/>
      <c r="K1600" s="6"/>
      <c r="N1600" s="2"/>
      <c r="O1600" s="2"/>
      <c r="P1600" s="2"/>
    </row>
    <row r="1601" spans="2:16" ht="14.25">
      <c r="B1601" s="4"/>
      <c r="I1601" s="5"/>
      <c r="J1601" s="5"/>
      <c r="K1601" s="6"/>
      <c r="N1601" s="2"/>
      <c r="O1601" s="2"/>
      <c r="P1601" s="2"/>
    </row>
    <row r="1602" spans="2:16" ht="14.25">
      <c r="B1602" s="4"/>
      <c r="I1602" s="5"/>
      <c r="J1602" s="5"/>
      <c r="K1602" s="6"/>
      <c r="N1602" s="2"/>
      <c r="O1602" s="2"/>
      <c r="P1602" s="2"/>
    </row>
    <row r="1603" spans="2:16" ht="14.25">
      <c r="B1603" s="4"/>
      <c r="I1603" s="5"/>
      <c r="J1603" s="5"/>
      <c r="K1603" s="6"/>
      <c r="N1603" s="2"/>
      <c r="O1603" s="2"/>
      <c r="P1603" s="2"/>
    </row>
    <row r="1604" spans="2:16" ht="14.25">
      <c r="B1604" s="4"/>
      <c r="I1604" s="5"/>
      <c r="J1604" s="5"/>
      <c r="K1604" s="6"/>
      <c r="N1604" s="2"/>
      <c r="O1604" s="2"/>
      <c r="P1604" s="2"/>
    </row>
    <row r="1605" spans="2:16" ht="14.25">
      <c r="B1605" s="4"/>
      <c r="I1605" s="5"/>
      <c r="J1605" s="5"/>
      <c r="K1605" s="6"/>
      <c r="N1605" s="2"/>
      <c r="O1605" s="2"/>
      <c r="P1605" s="2"/>
    </row>
    <row r="1606" spans="2:16" ht="14.25">
      <c r="B1606" s="4"/>
      <c r="I1606" s="5"/>
      <c r="J1606" s="5"/>
      <c r="K1606" s="6"/>
      <c r="N1606" s="2"/>
      <c r="O1606" s="2"/>
      <c r="P1606" s="2"/>
    </row>
    <row r="1607" spans="2:16" ht="14.25">
      <c r="B1607" s="4"/>
      <c r="I1607" s="5"/>
      <c r="J1607" s="5"/>
      <c r="K1607" s="6"/>
      <c r="N1607" s="2"/>
      <c r="O1607" s="2"/>
      <c r="P1607" s="2"/>
    </row>
    <row r="1608" spans="2:16" ht="14.25">
      <c r="B1608" s="4"/>
      <c r="I1608" s="5"/>
      <c r="J1608" s="5"/>
      <c r="K1608" s="6"/>
      <c r="N1608" s="2"/>
      <c r="O1608" s="2"/>
      <c r="P1608" s="2"/>
    </row>
    <row r="1609" spans="2:16" ht="14.25">
      <c r="B1609" s="4"/>
      <c r="I1609" s="5"/>
      <c r="J1609" s="5"/>
      <c r="K1609" s="6"/>
      <c r="N1609" s="2"/>
      <c r="O1609" s="2"/>
      <c r="P1609" s="2"/>
    </row>
    <row r="1610" spans="2:16" ht="14.25">
      <c r="B1610" s="4"/>
      <c r="I1610" s="5"/>
      <c r="J1610" s="5"/>
      <c r="K1610" s="6"/>
      <c r="N1610" s="2"/>
      <c r="O1610" s="2"/>
      <c r="P1610" s="2"/>
    </row>
    <row r="1611" spans="2:16" ht="14.25">
      <c r="B1611" s="4"/>
      <c r="I1611" s="5"/>
      <c r="J1611" s="5"/>
      <c r="K1611" s="6"/>
      <c r="N1611" s="2"/>
      <c r="O1611" s="2"/>
      <c r="P1611" s="2"/>
    </row>
    <row r="1612" spans="2:16" ht="14.25">
      <c r="B1612" s="4"/>
      <c r="I1612" s="5"/>
      <c r="J1612" s="5"/>
      <c r="K1612" s="6"/>
      <c r="N1612" s="2"/>
      <c r="O1612" s="2"/>
      <c r="P1612" s="2"/>
    </row>
    <row r="1613" spans="2:16" ht="14.25">
      <c r="B1613" s="4"/>
      <c r="I1613" s="5"/>
      <c r="J1613" s="5"/>
      <c r="K1613" s="6"/>
      <c r="N1613" s="2"/>
      <c r="O1613" s="2"/>
      <c r="P1613" s="2"/>
    </row>
    <row r="1614" spans="2:16" ht="14.25">
      <c r="B1614" s="4"/>
      <c r="I1614" s="5"/>
      <c r="J1614" s="5"/>
      <c r="K1614" s="6"/>
      <c r="N1614" s="2"/>
      <c r="O1614" s="2"/>
      <c r="P1614" s="2"/>
    </row>
    <row r="1615" spans="2:16" ht="14.25">
      <c r="B1615" s="4"/>
      <c r="I1615" s="5"/>
      <c r="J1615" s="5"/>
      <c r="K1615" s="6"/>
      <c r="N1615" s="2"/>
      <c r="O1615" s="2"/>
      <c r="P1615" s="2"/>
    </row>
    <row r="1616" spans="2:16" ht="14.25">
      <c r="B1616" s="4"/>
      <c r="I1616" s="5"/>
      <c r="J1616" s="5"/>
      <c r="K1616" s="6"/>
      <c r="N1616" s="2"/>
      <c r="O1616" s="2"/>
      <c r="P1616" s="2"/>
    </row>
    <row r="1617" spans="2:16" ht="14.25">
      <c r="B1617" s="4"/>
      <c r="I1617" s="5"/>
      <c r="J1617" s="5"/>
      <c r="K1617" s="6"/>
      <c r="N1617" s="2"/>
      <c r="O1617" s="2"/>
      <c r="P1617" s="2"/>
    </row>
    <row r="1618" spans="2:16" ht="14.25">
      <c r="B1618" s="4"/>
      <c r="I1618" s="5"/>
      <c r="J1618" s="5"/>
      <c r="K1618" s="6"/>
      <c r="N1618" s="2"/>
      <c r="O1618" s="2"/>
      <c r="P1618" s="2"/>
    </row>
    <row r="1619" spans="2:16" ht="14.25">
      <c r="B1619" s="4"/>
      <c r="I1619" s="5"/>
      <c r="J1619" s="5"/>
      <c r="K1619" s="6"/>
      <c r="N1619" s="2"/>
      <c r="O1619" s="2"/>
      <c r="P1619" s="2"/>
    </row>
    <row r="1620" spans="2:16" ht="14.25">
      <c r="B1620" s="4"/>
      <c r="I1620" s="5"/>
      <c r="J1620" s="5"/>
      <c r="K1620" s="6"/>
      <c r="N1620" s="2"/>
      <c r="O1620" s="2"/>
      <c r="P1620" s="2"/>
    </row>
    <row r="1621" spans="2:16" ht="14.25">
      <c r="B1621" s="4"/>
      <c r="I1621" s="5"/>
      <c r="J1621" s="5"/>
      <c r="K1621" s="6"/>
      <c r="N1621" s="2"/>
      <c r="O1621" s="2"/>
      <c r="P1621" s="2"/>
    </row>
    <row r="1622" spans="2:16" ht="14.25">
      <c r="B1622" s="4"/>
      <c r="I1622" s="5"/>
      <c r="J1622" s="5"/>
      <c r="K1622" s="6"/>
      <c r="N1622" s="2"/>
      <c r="O1622" s="2"/>
      <c r="P1622" s="2"/>
    </row>
    <row r="1623" spans="2:16" ht="14.25">
      <c r="B1623" s="4"/>
      <c r="I1623" s="5"/>
      <c r="J1623" s="5"/>
      <c r="K1623" s="6"/>
      <c r="N1623" s="2"/>
      <c r="O1623" s="2"/>
      <c r="P1623" s="2"/>
    </row>
    <row r="1624" spans="2:16" ht="14.25">
      <c r="B1624" s="4"/>
      <c r="I1624" s="5"/>
      <c r="J1624" s="5"/>
      <c r="K1624" s="6"/>
      <c r="N1624" s="2"/>
      <c r="O1624" s="2"/>
      <c r="P1624" s="2"/>
    </row>
    <row r="1625" spans="2:16" ht="14.25">
      <c r="B1625" s="4"/>
      <c r="I1625" s="5"/>
      <c r="J1625" s="5"/>
      <c r="K1625" s="6"/>
      <c r="N1625" s="2"/>
      <c r="O1625" s="2"/>
      <c r="P1625" s="2"/>
    </row>
    <row r="1626" spans="2:16" ht="14.25">
      <c r="B1626" s="4"/>
      <c r="I1626" s="5"/>
      <c r="J1626" s="5"/>
      <c r="K1626" s="6"/>
      <c r="N1626" s="2"/>
      <c r="O1626" s="2"/>
      <c r="P1626" s="2"/>
    </row>
    <row r="1627" spans="2:16" ht="14.25">
      <c r="B1627" s="4"/>
      <c r="I1627" s="5"/>
      <c r="J1627" s="5"/>
      <c r="K1627" s="6"/>
      <c r="N1627" s="2"/>
      <c r="O1627" s="2"/>
      <c r="P1627" s="2"/>
    </row>
    <row r="1628" spans="2:16" ht="14.25">
      <c r="B1628" s="4"/>
      <c r="I1628" s="5"/>
      <c r="J1628" s="5"/>
      <c r="K1628" s="6"/>
      <c r="N1628" s="2"/>
      <c r="O1628" s="2"/>
      <c r="P1628" s="2"/>
    </row>
    <row r="1629" spans="2:16" ht="14.25">
      <c r="B1629" s="4"/>
      <c r="I1629" s="5"/>
      <c r="J1629" s="5"/>
      <c r="K1629" s="6"/>
      <c r="N1629" s="2"/>
      <c r="O1629" s="2"/>
      <c r="P1629" s="2"/>
    </row>
    <row r="1630" spans="2:16" ht="14.25">
      <c r="B1630" s="4"/>
      <c r="I1630" s="5"/>
      <c r="J1630" s="5"/>
      <c r="K1630" s="6"/>
      <c r="N1630" s="2"/>
      <c r="O1630" s="2"/>
      <c r="P1630" s="2"/>
    </row>
    <row r="1631" spans="2:16" ht="14.25">
      <c r="B1631" s="4"/>
      <c r="I1631" s="5"/>
      <c r="J1631" s="5"/>
      <c r="K1631" s="6"/>
      <c r="N1631" s="2"/>
      <c r="O1631" s="2"/>
      <c r="P1631" s="2"/>
    </row>
    <row r="1632" spans="2:16" ht="14.25">
      <c r="B1632" s="4"/>
      <c r="I1632" s="5"/>
      <c r="J1632" s="5"/>
      <c r="K1632" s="6"/>
      <c r="N1632" s="2"/>
      <c r="O1632" s="2"/>
      <c r="P1632" s="2"/>
    </row>
    <row r="1633" spans="2:16" ht="14.25">
      <c r="B1633" s="4"/>
      <c r="I1633" s="5"/>
      <c r="J1633" s="5"/>
      <c r="K1633" s="6"/>
      <c r="N1633" s="2"/>
      <c r="O1633" s="2"/>
      <c r="P1633" s="2"/>
    </row>
    <row r="1634" spans="2:16" ht="14.25">
      <c r="B1634" s="4"/>
      <c r="I1634" s="5"/>
      <c r="J1634" s="5"/>
      <c r="K1634" s="6"/>
      <c r="N1634" s="2"/>
      <c r="O1634" s="2"/>
      <c r="P1634" s="2"/>
    </row>
    <row r="1635" spans="2:16" ht="14.25">
      <c r="B1635" s="4"/>
      <c r="I1635" s="5"/>
      <c r="J1635" s="5"/>
      <c r="K1635" s="6"/>
      <c r="N1635" s="2"/>
      <c r="O1635" s="2"/>
      <c r="P1635" s="2"/>
    </row>
    <row r="1636" spans="2:16" ht="14.25">
      <c r="B1636" s="4"/>
      <c r="I1636" s="5"/>
      <c r="J1636" s="5"/>
      <c r="K1636" s="6"/>
      <c r="N1636" s="2"/>
      <c r="O1636" s="2"/>
      <c r="P1636" s="2"/>
    </row>
    <row r="1637" spans="2:16" ht="14.25">
      <c r="B1637" s="4"/>
      <c r="I1637" s="5"/>
      <c r="J1637" s="5"/>
      <c r="K1637" s="6"/>
      <c r="N1637" s="2"/>
      <c r="O1637" s="2"/>
      <c r="P1637" s="2"/>
    </row>
    <row r="1638" spans="2:16" ht="14.25">
      <c r="B1638" s="4"/>
      <c r="I1638" s="5"/>
      <c r="J1638" s="5"/>
      <c r="K1638" s="6"/>
      <c r="N1638" s="2"/>
      <c r="O1638" s="2"/>
      <c r="P1638" s="2"/>
    </row>
    <row r="1639" spans="2:16" ht="14.25">
      <c r="B1639" s="4"/>
      <c r="I1639" s="5"/>
      <c r="J1639" s="5"/>
      <c r="K1639" s="6"/>
      <c r="N1639" s="2"/>
      <c r="O1639" s="2"/>
      <c r="P1639" s="2"/>
    </row>
    <row r="1640" spans="2:16" ht="14.25">
      <c r="B1640" s="4"/>
      <c r="I1640" s="5"/>
      <c r="J1640" s="5"/>
      <c r="K1640" s="6"/>
      <c r="N1640" s="2"/>
      <c r="O1640" s="2"/>
      <c r="P1640" s="2"/>
    </row>
    <row r="1641" spans="2:16" ht="14.25">
      <c r="B1641" s="4"/>
      <c r="I1641" s="5"/>
      <c r="J1641" s="5"/>
      <c r="K1641" s="6"/>
      <c r="N1641" s="2"/>
      <c r="O1641" s="2"/>
      <c r="P1641" s="2"/>
    </row>
    <row r="1642" spans="2:16" ht="14.25">
      <c r="B1642" s="4"/>
      <c r="I1642" s="5"/>
      <c r="J1642" s="5"/>
      <c r="K1642" s="6"/>
      <c r="N1642" s="2"/>
      <c r="O1642" s="2"/>
      <c r="P1642" s="2"/>
    </row>
    <row r="1643" spans="2:16" ht="14.25">
      <c r="B1643" s="4"/>
      <c r="I1643" s="5"/>
      <c r="J1643" s="5"/>
      <c r="K1643" s="6"/>
      <c r="N1643" s="2"/>
      <c r="O1643" s="2"/>
      <c r="P1643" s="2"/>
    </row>
    <row r="1644" spans="2:16" ht="14.25">
      <c r="B1644" s="4"/>
      <c r="I1644" s="5"/>
      <c r="J1644" s="5"/>
      <c r="K1644" s="6"/>
      <c r="N1644" s="2"/>
      <c r="O1644" s="2"/>
      <c r="P1644" s="2"/>
    </row>
    <row r="1645" spans="2:16" ht="14.25">
      <c r="B1645" s="4"/>
      <c r="I1645" s="5"/>
      <c r="J1645" s="5"/>
      <c r="K1645" s="6"/>
      <c r="N1645" s="2"/>
      <c r="O1645" s="2"/>
      <c r="P1645" s="2"/>
    </row>
    <row r="1646" spans="2:16" ht="14.25">
      <c r="B1646" s="4"/>
      <c r="I1646" s="5"/>
      <c r="J1646" s="5"/>
      <c r="K1646" s="6"/>
      <c r="N1646" s="2"/>
      <c r="O1646" s="2"/>
      <c r="P1646" s="2"/>
    </row>
    <row r="1647" spans="2:16" ht="14.25">
      <c r="B1647" s="4"/>
      <c r="I1647" s="5"/>
      <c r="J1647" s="5"/>
      <c r="K1647" s="6"/>
      <c r="N1647" s="2"/>
      <c r="O1647" s="2"/>
      <c r="P1647" s="2"/>
    </row>
    <row r="1648" spans="2:16" ht="14.25">
      <c r="B1648" s="4"/>
      <c r="I1648" s="5"/>
      <c r="J1648" s="5"/>
      <c r="K1648" s="6"/>
      <c r="N1648" s="2"/>
      <c r="O1648" s="2"/>
      <c r="P1648" s="2"/>
    </row>
    <row r="1649" spans="2:16" ht="14.25">
      <c r="B1649" s="4"/>
      <c r="I1649" s="5"/>
      <c r="J1649" s="5"/>
      <c r="K1649" s="6"/>
      <c r="N1649" s="2"/>
      <c r="O1649" s="2"/>
      <c r="P1649" s="2"/>
    </row>
    <row r="1650" spans="2:16" ht="14.25">
      <c r="B1650" s="4"/>
      <c r="I1650" s="5"/>
      <c r="J1650" s="5"/>
      <c r="K1650" s="6"/>
      <c r="N1650" s="2"/>
      <c r="O1650" s="2"/>
      <c r="P1650" s="2"/>
    </row>
    <row r="1651" spans="2:16" ht="14.25">
      <c r="B1651" s="4"/>
      <c r="I1651" s="5"/>
      <c r="J1651" s="5"/>
      <c r="K1651" s="6"/>
      <c r="N1651" s="2"/>
      <c r="O1651" s="2"/>
      <c r="P1651" s="2"/>
    </row>
    <row r="1652" spans="2:16" ht="14.25">
      <c r="B1652" s="4"/>
      <c r="I1652" s="5"/>
      <c r="J1652" s="5"/>
      <c r="K1652" s="6"/>
      <c r="N1652" s="2"/>
      <c r="O1652" s="2"/>
      <c r="P1652" s="2"/>
    </row>
    <row r="1653" spans="2:16" ht="14.25">
      <c r="B1653" s="4"/>
      <c r="I1653" s="5"/>
      <c r="J1653" s="5"/>
      <c r="K1653" s="6"/>
      <c r="N1653" s="2"/>
      <c r="O1653" s="2"/>
      <c r="P1653" s="2"/>
    </row>
    <row r="1654" spans="2:16" ht="14.25">
      <c r="B1654" s="4"/>
      <c r="I1654" s="5"/>
      <c r="J1654" s="5"/>
      <c r="K1654" s="6"/>
      <c r="N1654" s="2"/>
      <c r="O1654" s="2"/>
      <c r="P1654" s="2"/>
    </row>
    <row r="1655" spans="2:16" ht="14.25">
      <c r="B1655" s="4"/>
      <c r="I1655" s="5"/>
      <c r="J1655" s="5"/>
      <c r="K1655" s="6"/>
      <c r="N1655" s="2"/>
      <c r="O1655" s="2"/>
      <c r="P1655" s="2"/>
    </row>
    <row r="1656" spans="2:16" ht="14.25">
      <c r="B1656" s="4"/>
      <c r="I1656" s="5"/>
      <c r="J1656" s="5"/>
      <c r="K1656" s="6"/>
      <c r="N1656" s="2"/>
      <c r="O1656" s="2"/>
      <c r="P1656" s="2"/>
    </row>
    <row r="1657" spans="2:16" ht="14.25">
      <c r="B1657" s="4"/>
      <c r="I1657" s="5"/>
      <c r="J1657" s="5"/>
      <c r="K1657" s="6"/>
      <c r="N1657" s="2"/>
      <c r="O1657" s="2"/>
      <c r="P1657" s="2"/>
    </row>
    <row r="1658" spans="2:16" ht="14.25">
      <c r="B1658" s="4"/>
      <c r="I1658" s="5"/>
      <c r="J1658" s="5"/>
      <c r="K1658" s="6"/>
      <c r="N1658" s="2"/>
      <c r="O1658" s="2"/>
      <c r="P1658" s="2"/>
    </row>
    <row r="1659" spans="2:16" ht="14.25">
      <c r="B1659" s="4"/>
      <c r="I1659" s="5"/>
      <c r="J1659" s="5"/>
      <c r="K1659" s="6"/>
      <c r="N1659" s="2"/>
      <c r="O1659" s="2"/>
      <c r="P1659" s="2"/>
    </row>
    <row r="1660" spans="2:16" ht="14.25">
      <c r="B1660" s="4"/>
      <c r="I1660" s="5"/>
      <c r="J1660" s="5"/>
      <c r="K1660" s="6"/>
      <c r="N1660" s="2"/>
      <c r="O1660" s="2"/>
      <c r="P1660" s="2"/>
    </row>
    <row r="1661" spans="2:16" ht="14.25">
      <c r="B1661" s="4"/>
      <c r="I1661" s="5"/>
      <c r="J1661" s="5"/>
      <c r="K1661" s="6"/>
      <c r="N1661" s="2"/>
      <c r="O1661" s="2"/>
      <c r="P1661" s="2"/>
    </row>
    <row r="1662" spans="2:16" ht="14.25">
      <c r="B1662" s="4"/>
      <c r="I1662" s="5"/>
      <c r="J1662" s="5"/>
      <c r="K1662" s="6"/>
      <c r="N1662" s="2"/>
      <c r="O1662" s="2"/>
      <c r="P1662" s="2"/>
    </row>
    <row r="1663" spans="2:16" ht="14.25">
      <c r="B1663" s="4"/>
      <c r="I1663" s="5"/>
      <c r="J1663" s="5"/>
      <c r="K1663" s="6"/>
      <c r="N1663" s="2"/>
      <c r="O1663" s="2"/>
      <c r="P1663" s="2"/>
    </row>
    <row r="1664" spans="2:16" ht="14.25">
      <c r="B1664" s="4"/>
      <c r="I1664" s="5"/>
      <c r="J1664" s="5"/>
      <c r="K1664" s="6"/>
      <c r="N1664" s="2"/>
      <c r="O1664" s="2"/>
      <c r="P1664" s="2"/>
    </row>
    <row r="1665" spans="2:16" ht="14.25">
      <c r="B1665" s="4"/>
      <c r="I1665" s="5"/>
      <c r="J1665" s="5"/>
      <c r="K1665" s="6"/>
      <c r="N1665" s="2"/>
      <c r="O1665" s="2"/>
      <c r="P1665" s="2"/>
    </row>
    <row r="1666" spans="2:16" ht="14.25">
      <c r="B1666" s="4"/>
      <c r="I1666" s="5"/>
      <c r="J1666" s="5"/>
      <c r="K1666" s="6"/>
      <c r="N1666" s="2"/>
      <c r="O1666" s="2"/>
      <c r="P1666" s="2"/>
    </row>
    <row r="1667" spans="2:16" ht="14.25">
      <c r="B1667" s="4"/>
      <c r="I1667" s="5"/>
      <c r="J1667" s="5"/>
      <c r="K1667" s="6"/>
      <c r="N1667" s="2"/>
      <c r="O1667" s="2"/>
      <c r="P1667" s="2"/>
    </row>
    <row r="1668" spans="2:16" ht="14.25">
      <c r="B1668" s="4"/>
      <c r="I1668" s="5"/>
      <c r="J1668" s="5"/>
      <c r="K1668" s="6"/>
      <c r="N1668" s="2"/>
      <c r="O1668" s="2"/>
      <c r="P1668" s="2"/>
    </row>
    <row r="1669" spans="2:16" ht="14.25">
      <c r="B1669" s="4"/>
      <c r="I1669" s="5"/>
      <c r="J1669" s="5"/>
      <c r="K1669" s="6"/>
      <c r="N1669" s="2"/>
      <c r="O1669" s="2"/>
      <c r="P1669" s="2"/>
    </row>
    <row r="1670" spans="2:16" ht="14.25">
      <c r="B1670" s="4"/>
      <c r="I1670" s="5"/>
      <c r="J1670" s="5"/>
      <c r="K1670" s="6"/>
      <c r="N1670" s="2"/>
      <c r="O1670" s="2"/>
      <c r="P1670" s="2"/>
    </row>
    <row r="1671" spans="2:16" ht="14.25">
      <c r="B1671" s="4"/>
      <c r="I1671" s="5"/>
      <c r="J1671" s="5"/>
      <c r="K1671" s="6"/>
      <c r="N1671" s="2"/>
      <c r="O1671" s="2"/>
      <c r="P1671" s="2"/>
    </row>
    <row r="1672" spans="2:16" ht="14.25">
      <c r="B1672" s="4"/>
      <c r="I1672" s="5"/>
      <c r="J1672" s="5"/>
      <c r="K1672" s="6"/>
      <c r="N1672" s="2"/>
      <c r="O1672" s="2"/>
      <c r="P1672" s="2"/>
    </row>
    <row r="1673" spans="2:16" ht="14.25">
      <c r="B1673" s="4"/>
      <c r="I1673" s="5"/>
      <c r="J1673" s="5"/>
      <c r="K1673" s="6"/>
      <c r="N1673" s="2"/>
      <c r="O1673" s="2"/>
      <c r="P1673" s="2"/>
    </row>
    <row r="1674" spans="2:16" ht="14.25">
      <c r="B1674" s="4"/>
      <c r="I1674" s="5"/>
      <c r="J1674" s="5"/>
      <c r="K1674" s="6"/>
      <c r="N1674" s="2"/>
      <c r="O1674" s="2"/>
      <c r="P1674" s="2"/>
    </row>
    <row r="1675" spans="2:16" ht="14.25">
      <c r="B1675" s="4"/>
      <c r="I1675" s="5"/>
      <c r="J1675" s="5"/>
      <c r="K1675" s="6"/>
      <c r="N1675" s="2"/>
      <c r="O1675" s="2"/>
      <c r="P1675" s="2"/>
    </row>
    <row r="1676" spans="2:16" ht="14.25">
      <c r="B1676" s="4"/>
      <c r="I1676" s="5"/>
      <c r="J1676" s="5"/>
      <c r="K1676" s="6"/>
      <c r="N1676" s="2"/>
      <c r="O1676" s="2"/>
      <c r="P1676" s="2"/>
    </row>
    <row r="1677" spans="2:16" ht="14.25">
      <c r="B1677" s="4"/>
      <c r="I1677" s="5"/>
      <c r="J1677" s="5"/>
      <c r="K1677" s="6"/>
      <c r="N1677" s="2"/>
      <c r="O1677" s="2"/>
      <c r="P1677" s="2"/>
    </row>
    <row r="1678" spans="2:16" ht="14.25">
      <c r="B1678" s="4"/>
      <c r="I1678" s="5"/>
      <c r="J1678" s="5"/>
      <c r="K1678" s="6"/>
      <c r="N1678" s="2"/>
      <c r="O1678" s="2"/>
      <c r="P1678" s="2"/>
    </row>
    <row r="1679" spans="2:16" ht="14.25">
      <c r="B1679" s="4"/>
      <c r="I1679" s="5"/>
      <c r="J1679" s="5"/>
      <c r="K1679" s="6"/>
      <c r="N1679" s="2"/>
      <c r="O1679" s="2"/>
      <c r="P1679" s="2"/>
    </row>
    <row r="1680" spans="2:16" ht="14.25">
      <c r="B1680" s="4"/>
      <c r="I1680" s="5"/>
      <c r="J1680" s="5"/>
      <c r="K1680" s="6"/>
      <c r="N1680" s="2"/>
      <c r="O1680" s="2"/>
      <c r="P1680" s="2"/>
    </row>
    <row r="1681" spans="2:16" ht="14.25">
      <c r="B1681" s="4"/>
      <c r="I1681" s="5"/>
      <c r="J1681" s="5"/>
      <c r="K1681" s="6"/>
      <c r="N1681" s="2"/>
      <c r="O1681" s="2"/>
      <c r="P1681" s="2"/>
    </row>
    <row r="1682" spans="2:16" ht="14.25">
      <c r="B1682" s="4"/>
      <c r="I1682" s="5"/>
      <c r="J1682" s="5"/>
      <c r="K1682" s="6"/>
      <c r="N1682" s="2"/>
      <c r="O1682" s="2"/>
      <c r="P1682" s="2"/>
    </row>
    <row r="1683" spans="2:16" ht="14.25">
      <c r="B1683" s="4"/>
      <c r="I1683" s="5"/>
      <c r="J1683" s="5"/>
      <c r="K1683" s="6"/>
      <c r="N1683" s="2"/>
      <c r="O1683" s="2"/>
      <c r="P1683" s="2"/>
    </row>
    <row r="1684" spans="2:16" ht="14.25">
      <c r="B1684" s="4"/>
      <c r="I1684" s="5"/>
      <c r="J1684" s="5"/>
      <c r="K1684" s="6"/>
      <c r="N1684" s="2"/>
      <c r="O1684" s="2"/>
      <c r="P1684" s="2"/>
    </row>
    <row r="1685" spans="2:16" ht="14.25">
      <c r="B1685" s="4"/>
      <c r="I1685" s="5"/>
      <c r="J1685" s="5"/>
      <c r="K1685" s="6"/>
      <c r="N1685" s="2"/>
      <c r="O1685" s="2"/>
      <c r="P1685" s="2"/>
    </row>
    <row r="1686" spans="2:16" ht="14.25">
      <c r="B1686" s="4"/>
      <c r="I1686" s="5"/>
      <c r="J1686" s="5"/>
      <c r="K1686" s="6"/>
      <c r="N1686" s="2"/>
      <c r="O1686" s="2"/>
      <c r="P1686" s="2"/>
    </row>
    <row r="1687" spans="2:16" ht="14.25">
      <c r="B1687" s="4"/>
      <c r="I1687" s="5"/>
      <c r="J1687" s="5"/>
      <c r="K1687" s="6"/>
      <c r="N1687" s="2"/>
      <c r="O1687" s="2"/>
      <c r="P1687" s="2"/>
    </row>
    <row r="1688" spans="2:16" ht="14.25">
      <c r="B1688" s="4"/>
      <c r="I1688" s="5"/>
      <c r="J1688" s="5"/>
      <c r="K1688" s="6"/>
      <c r="N1688" s="2"/>
      <c r="O1688" s="2"/>
      <c r="P1688" s="2"/>
    </row>
    <row r="1689" spans="2:16" ht="14.25">
      <c r="B1689" s="4"/>
      <c r="I1689" s="5"/>
      <c r="J1689" s="5"/>
      <c r="K1689" s="6"/>
      <c r="N1689" s="2"/>
      <c r="O1689" s="2"/>
      <c r="P1689" s="2"/>
    </row>
    <row r="1690" spans="2:16" ht="14.25">
      <c r="B1690" s="4"/>
      <c r="I1690" s="5"/>
      <c r="J1690" s="5"/>
      <c r="K1690" s="6"/>
      <c r="N1690" s="2"/>
      <c r="O1690" s="2"/>
      <c r="P1690" s="2"/>
    </row>
    <row r="1691" spans="2:16" ht="14.25">
      <c r="B1691" s="4"/>
      <c r="I1691" s="5"/>
      <c r="J1691" s="5"/>
      <c r="K1691" s="6"/>
      <c r="N1691" s="2"/>
      <c r="O1691" s="2"/>
      <c r="P1691" s="2"/>
    </row>
    <row r="1692" spans="2:16" ht="14.25">
      <c r="B1692" s="4"/>
      <c r="I1692" s="5"/>
      <c r="J1692" s="5"/>
      <c r="K1692" s="6"/>
      <c r="N1692" s="2"/>
      <c r="O1692" s="2"/>
      <c r="P1692" s="2"/>
    </row>
    <row r="1693" spans="2:16" ht="14.25">
      <c r="B1693" s="4"/>
      <c r="I1693" s="5"/>
      <c r="J1693" s="5"/>
      <c r="K1693" s="6"/>
      <c r="N1693" s="2"/>
      <c r="O1693" s="2"/>
      <c r="P1693" s="2"/>
    </row>
    <row r="1694" spans="2:16" ht="14.25">
      <c r="B1694" s="4"/>
      <c r="I1694" s="5"/>
      <c r="J1694" s="5"/>
      <c r="K1694" s="6"/>
      <c r="N1694" s="2"/>
      <c r="O1694" s="2"/>
      <c r="P1694" s="2"/>
    </row>
    <row r="1695" spans="2:16" ht="14.25">
      <c r="B1695" s="4"/>
      <c r="I1695" s="5"/>
      <c r="J1695" s="5"/>
      <c r="K1695" s="6"/>
      <c r="N1695" s="2"/>
      <c r="O1695" s="2"/>
      <c r="P1695" s="2"/>
    </row>
    <row r="1696" spans="2:16" ht="14.25">
      <c r="B1696" s="4"/>
      <c r="I1696" s="5"/>
      <c r="J1696" s="5"/>
      <c r="K1696" s="6"/>
      <c r="N1696" s="2"/>
      <c r="O1696" s="2"/>
      <c r="P1696" s="2"/>
    </row>
    <row r="1697" spans="2:16" ht="14.25">
      <c r="B1697" s="4"/>
      <c r="I1697" s="5"/>
      <c r="J1697" s="5"/>
      <c r="K1697" s="6"/>
      <c r="N1697" s="2"/>
      <c r="O1697" s="2"/>
      <c r="P1697" s="2"/>
    </row>
    <row r="1698" spans="2:16" ht="14.25">
      <c r="B1698" s="4"/>
      <c r="I1698" s="5"/>
      <c r="J1698" s="5"/>
      <c r="K1698" s="6"/>
      <c r="N1698" s="2"/>
      <c r="O1698" s="2"/>
      <c r="P1698" s="2"/>
    </row>
    <row r="1699" spans="2:16" ht="14.25">
      <c r="B1699" s="4"/>
      <c r="I1699" s="5"/>
      <c r="J1699" s="5"/>
      <c r="K1699" s="6"/>
      <c r="N1699" s="2"/>
      <c r="O1699" s="2"/>
      <c r="P1699" s="2"/>
    </row>
    <row r="1700" spans="2:16" ht="14.25">
      <c r="B1700" s="4"/>
      <c r="I1700" s="5"/>
      <c r="J1700" s="5"/>
      <c r="K1700" s="6"/>
      <c r="N1700" s="2"/>
      <c r="O1700" s="2"/>
      <c r="P1700" s="2"/>
    </row>
    <row r="1701" spans="2:16" ht="14.25">
      <c r="B1701" s="4"/>
      <c r="I1701" s="5"/>
      <c r="J1701" s="5"/>
      <c r="K1701" s="6"/>
      <c r="N1701" s="2"/>
      <c r="O1701" s="2"/>
      <c r="P1701" s="2"/>
    </row>
    <row r="1702" spans="2:16" ht="14.25">
      <c r="B1702" s="4"/>
      <c r="I1702" s="5"/>
      <c r="J1702" s="5"/>
      <c r="K1702" s="6"/>
      <c r="N1702" s="2"/>
      <c r="O1702" s="2"/>
      <c r="P1702" s="2"/>
    </row>
    <row r="1703" spans="2:16" ht="14.25">
      <c r="B1703" s="4"/>
      <c r="I1703" s="5"/>
      <c r="J1703" s="5"/>
      <c r="K1703" s="6"/>
      <c r="N1703" s="2"/>
      <c r="O1703" s="2"/>
      <c r="P1703" s="2"/>
    </row>
    <row r="1704" spans="2:16" ht="14.25">
      <c r="B1704" s="4"/>
      <c r="I1704" s="5"/>
      <c r="J1704" s="5"/>
      <c r="K1704" s="6"/>
      <c r="N1704" s="2"/>
      <c r="O1704" s="2"/>
      <c r="P1704" s="2"/>
    </row>
    <row r="1705" spans="2:16" ht="14.25">
      <c r="B1705" s="4"/>
      <c r="I1705" s="5"/>
      <c r="J1705" s="5"/>
      <c r="K1705" s="6"/>
      <c r="N1705" s="2"/>
      <c r="O1705" s="2"/>
      <c r="P1705" s="2"/>
    </row>
    <row r="1706" spans="2:16" ht="14.25">
      <c r="B1706" s="4"/>
      <c r="I1706" s="5"/>
      <c r="J1706" s="5"/>
      <c r="K1706" s="6"/>
      <c r="N1706" s="2"/>
      <c r="O1706" s="2"/>
      <c r="P1706" s="2"/>
    </row>
    <row r="1707" spans="2:16" ht="14.25">
      <c r="B1707" s="4"/>
      <c r="I1707" s="5"/>
      <c r="J1707" s="5"/>
      <c r="K1707" s="6"/>
      <c r="N1707" s="2"/>
      <c r="O1707" s="2"/>
      <c r="P1707" s="2"/>
    </row>
    <row r="1708" spans="2:16" ht="14.25">
      <c r="B1708" s="4"/>
      <c r="I1708" s="5"/>
      <c r="J1708" s="5"/>
      <c r="K1708" s="6"/>
      <c r="N1708" s="2"/>
      <c r="O1708" s="2"/>
      <c r="P1708" s="2"/>
    </row>
    <row r="1709" spans="2:16" ht="14.25">
      <c r="B1709" s="4"/>
      <c r="I1709" s="5"/>
      <c r="J1709" s="5"/>
      <c r="K1709" s="6"/>
      <c r="N1709" s="2"/>
      <c r="O1709" s="2"/>
      <c r="P1709" s="2"/>
    </row>
    <row r="1710" spans="2:16" ht="14.25">
      <c r="B1710" s="4"/>
      <c r="I1710" s="5"/>
      <c r="J1710" s="5"/>
      <c r="K1710" s="6"/>
      <c r="N1710" s="2"/>
      <c r="O1710" s="2"/>
      <c r="P1710" s="2"/>
    </row>
    <row r="1711" spans="2:16" ht="14.25">
      <c r="B1711" s="4"/>
      <c r="I1711" s="5"/>
      <c r="J1711" s="5"/>
      <c r="K1711" s="6"/>
      <c r="N1711" s="2"/>
      <c r="O1711" s="2"/>
      <c r="P1711" s="2"/>
    </row>
    <row r="1712" spans="2:16" ht="14.25">
      <c r="B1712" s="4"/>
      <c r="I1712" s="5"/>
      <c r="J1712" s="5"/>
      <c r="K1712" s="6"/>
      <c r="N1712" s="2"/>
      <c r="O1712" s="2"/>
      <c r="P1712" s="2"/>
    </row>
    <row r="1713" spans="2:16" ht="14.25">
      <c r="B1713" s="4"/>
      <c r="I1713" s="5"/>
      <c r="J1713" s="5"/>
      <c r="K1713" s="6"/>
      <c r="N1713" s="2"/>
      <c r="O1713" s="2"/>
      <c r="P1713" s="2"/>
    </row>
    <row r="1714" spans="2:16" ht="14.25">
      <c r="B1714" s="4"/>
      <c r="I1714" s="5"/>
      <c r="J1714" s="5"/>
      <c r="K1714" s="6"/>
      <c r="N1714" s="2"/>
      <c r="O1714" s="2"/>
      <c r="P1714" s="2"/>
    </row>
    <row r="1715" spans="2:16" ht="14.25">
      <c r="B1715" s="4"/>
      <c r="I1715" s="5"/>
      <c r="J1715" s="5"/>
      <c r="K1715" s="6"/>
      <c r="N1715" s="2"/>
      <c r="O1715" s="2"/>
      <c r="P1715" s="2"/>
    </row>
    <row r="1716" spans="2:16" ht="14.25">
      <c r="B1716" s="4"/>
      <c r="I1716" s="5"/>
      <c r="J1716" s="5"/>
      <c r="K1716" s="6"/>
      <c r="N1716" s="2"/>
      <c r="O1716" s="2"/>
      <c r="P1716" s="2"/>
    </row>
    <row r="1717" spans="2:16" ht="14.25">
      <c r="B1717" s="4"/>
      <c r="I1717" s="5"/>
      <c r="J1717" s="5"/>
      <c r="K1717" s="6"/>
      <c r="N1717" s="2"/>
      <c r="O1717" s="2"/>
      <c r="P1717" s="2"/>
    </row>
    <row r="1718" spans="2:16" ht="14.25">
      <c r="B1718" s="4"/>
      <c r="I1718" s="5"/>
      <c r="J1718" s="5"/>
      <c r="K1718" s="6"/>
      <c r="N1718" s="2"/>
      <c r="O1718" s="2"/>
      <c r="P1718" s="2"/>
    </row>
    <row r="1719" spans="2:16" ht="14.25">
      <c r="B1719" s="4"/>
      <c r="I1719" s="5"/>
      <c r="J1719" s="5"/>
      <c r="K1719" s="6"/>
      <c r="N1719" s="2"/>
      <c r="O1719" s="2"/>
      <c r="P1719" s="2"/>
    </row>
    <row r="1720" spans="2:16" ht="14.25">
      <c r="B1720" s="4"/>
      <c r="I1720" s="5"/>
      <c r="J1720" s="5"/>
      <c r="K1720" s="6"/>
      <c r="N1720" s="2"/>
      <c r="O1720" s="2"/>
      <c r="P1720" s="2"/>
    </row>
    <row r="1721" spans="2:16" ht="14.25">
      <c r="B1721" s="4"/>
      <c r="I1721" s="5"/>
      <c r="J1721" s="5"/>
      <c r="K1721" s="6"/>
      <c r="N1721" s="2"/>
      <c r="O1721" s="2"/>
      <c r="P1721" s="2"/>
    </row>
    <row r="1722" spans="2:16" ht="14.25">
      <c r="B1722" s="4"/>
      <c r="I1722" s="5"/>
      <c r="J1722" s="5"/>
      <c r="K1722" s="6"/>
      <c r="N1722" s="2"/>
      <c r="O1722" s="2"/>
      <c r="P1722" s="2"/>
    </row>
    <row r="1723" spans="2:16" ht="14.25">
      <c r="B1723" s="4"/>
      <c r="I1723" s="5"/>
      <c r="J1723" s="5"/>
      <c r="K1723" s="6"/>
      <c r="N1723" s="2"/>
      <c r="O1723" s="2"/>
      <c r="P1723" s="2"/>
    </row>
    <row r="1724" spans="2:16" ht="14.25">
      <c r="B1724" s="4"/>
      <c r="I1724" s="5"/>
      <c r="J1724" s="5"/>
      <c r="K1724" s="6"/>
      <c r="N1724" s="2"/>
      <c r="O1724" s="2"/>
      <c r="P1724" s="2"/>
    </row>
    <row r="1725" spans="2:16" ht="14.25">
      <c r="B1725" s="4"/>
      <c r="I1725" s="5"/>
      <c r="J1725" s="5"/>
      <c r="K1725" s="6"/>
      <c r="N1725" s="2"/>
      <c r="O1725" s="2"/>
      <c r="P1725" s="2"/>
    </row>
    <row r="1726" spans="2:16" ht="14.25">
      <c r="B1726" s="4"/>
      <c r="I1726" s="5"/>
      <c r="J1726" s="5"/>
      <c r="K1726" s="6"/>
      <c r="N1726" s="2"/>
      <c r="O1726" s="2"/>
      <c r="P1726" s="2"/>
    </row>
    <row r="1727" spans="2:16" ht="14.25">
      <c r="B1727" s="4"/>
      <c r="I1727" s="5"/>
      <c r="J1727" s="5"/>
      <c r="K1727" s="6"/>
      <c r="N1727" s="2"/>
      <c r="O1727" s="2"/>
      <c r="P1727" s="2"/>
    </row>
    <row r="1728" spans="2:16" ht="14.25">
      <c r="B1728" s="4"/>
      <c r="I1728" s="5"/>
      <c r="J1728" s="5"/>
      <c r="K1728" s="6"/>
      <c r="N1728" s="2"/>
      <c r="O1728" s="2"/>
      <c r="P1728" s="2"/>
    </row>
    <row r="1729" spans="2:16" ht="14.25">
      <c r="B1729" s="4"/>
      <c r="I1729" s="5"/>
      <c r="J1729" s="5"/>
      <c r="K1729" s="6"/>
      <c r="N1729" s="2"/>
      <c r="O1729" s="2"/>
      <c r="P1729" s="2"/>
    </row>
    <row r="1730" spans="2:16" ht="14.25">
      <c r="B1730" s="4"/>
      <c r="I1730" s="5"/>
      <c r="J1730" s="5"/>
      <c r="K1730" s="6"/>
      <c r="N1730" s="2"/>
      <c r="O1730" s="2"/>
      <c r="P1730" s="2"/>
    </row>
    <row r="1731" spans="2:16" ht="14.25">
      <c r="B1731" s="4"/>
      <c r="I1731" s="5"/>
      <c r="J1731" s="5"/>
      <c r="K1731" s="6"/>
      <c r="N1731" s="2"/>
      <c r="O1731" s="2"/>
      <c r="P1731" s="2"/>
    </row>
    <row r="1732" spans="2:16" ht="14.25">
      <c r="B1732" s="4"/>
      <c r="I1732" s="5"/>
      <c r="J1732" s="5"/>
      <c r="K1732" s="6"/>
      <c r="N1732" s="2"/>
      <c r="O1732" s="2"/>
      <c r="P1732" s="2"/>
    </row>
    <row r="1733" spans="2:16" ht="14.25">
      <c r="B1733" s="4"/>
      <c r="I1733" s="5"/>
      <c r="J1733" s="5"/>
      <c r="K1733" s="6"/>
      <c r="N1733" s="2"/>
      <c r="O1733" s="2"/>
      <c r="P1733" s="2"/>
    </row>
    <row r="1734" spans="2:16" ht="14.25">
      <c r="B1734" s="4"/>
      <c r="I1734" s="5"/>
      <c r="J1734" s="5"/>
      <c r="K1734" s="6"/>
      <c r="N1734" s="2"/>
      <c r="O1734" s="2"/>
      <c r="P1734" s="2"/>
    </row>
    <row r="1735" spans="2:16" ht="14.25">
      <c r="B1735" s="4"/>
      <c r="I1735" s="5"/>
      <c r="J1735" s="5"/>
      <c r="K1735" s="6"/>
      <c r="N1735" s="2"/>
      <c r="O1735" s="2"/>
      <c r="P1735" s="2"/>
    </row>
    <row r="1736" spans="2:16" ht="14.25">
      <c r="B1736" s="4"/>
      <c r="I1736" s="5"/>
      <c r="J1736" s="5"/>
      <c r="K1736" s="6"/>
      <c r="N1736" s="2"/>
      <c r="O1736" s="2"/>
      <c r="P1736" s="2"/>
    </row>
    <row r="1737" spans="2:16" ht="14.25">
      <c r="B1737" s="4"/>
      <c r="I1737" s="5"/>
      <c r="J1737" s="5"/>
      <c r="K1737" s="6"/>
      <c r="N1737" s="2"/>
      <c r="O1737" s="2"/>
      <c r="P1737" s="2"/>
    </row>
    <row r="1738" spans="2:16" ht="14.25">
      <c r="B1738" s="4"/>
      <c r="I1738" s="5"/>
      <c r="J1738" s="5"/>
      <c r="K1738" s="6"/>
      <c r="N1738" s="2"/>
      <c r="O1738" s="2"/>
      <c r="P1738" s="2"/>
    </row>
    <row r="1739" spans="2:16" ht="14.25">
      <c r="B1739" s="4"/>
      <c r="I1739" s="5"/>
      <c r="J1739" s="5"/>
      <c r="K1739" s="6"/>
      <c r="N1739" s="2"/>
      <c r="O1739" s="2"/>
      <c r="P1739" s="2"/>
    </row>
    <row r="1740" spans="2:16" ht="14.25">
      <c r="B1740" s="4"/>
      <c r="I1740" s="5"/>
      <c r="J1740" s="5"/>
      <c r="K1740" s="6"/>
      <c r="N1740" s="2"/>
      <c r="O1740" s="2"/>
      <c r="P1740" s="2"/>
    </row>
    <row r="1741" spans="2:16" ht="14.25">
      <c r="B1741" s="4"/>
      <c r="I1741" s="5"/>
      <c r="J1741" s="5"/>
      <c r="K1741" s="6"/>
      <c r="N1741" s="2"/>
      <c r="O1741" s="2"/>
      <c r="P1741" s="2"/>
    </row>
    <row r="1742" spans="2:16" ht="14.25">
      <c r="B1742" s="4"/>
      <c r="I1742" s="5"/>
      <c r="J1742" s="5"/>
      <c r="K1742" s="6"/>
      <c r="N1742" s="2"/>
      <c r="O1742" s="2"/>
      <c r="P1742" s="2"/>
    </row>
    <row r="1743" spans="2:16" ht="14.25">
      <c r="B1743" s="4"/>
      <c r="I1743" s="5"/>
      <c r="J1743" s="5"/>
      <c r="K1743" s="6"/>
      <c r="N1743" s="2"/>
      <c r="O1743" s="2"/>
      <c r="P1743" s="2"/>
    </row>
    <row r="1744" spans="2:16" ht="14.25">
      <c r="B1744" s="4"/>
      <c r="I1744" s="5"/>
      <c r="J1744" s="5"/>
      <c r="K1744" s="6"/>
      <c r="N1744" s="2"/>
      <c r="O1744" s="2"/>
      <c r="P1744" s="2"/>
    </row>
    <row r="1745" spans="2:16" ht="14.25">
      <c r="B1745" s="4"/>
      <c r="I1745" s="5"/>
      <c r="J1745" s="5"/>
      <c r="K1745" s="6"/>
      <c r="N1745" s="2"/>
      <c r="O1745" s="2"/>
      <c r="P1745" s="2"/>
    </row>
    <row r="1746" spans="2:16" ht="14.25">
      <c r="B1746" s="4"/>
      <c r="I1746" s="5"/>
      <c r="J1746" s="5"/>
      <c r="K1746" s="6"/>
      <c r="N1746" s="2"/>
      <c r="O1746" s="2"/>
      <c r="P1746" s="2"/>
    </row>
    <row r="1747" spans="2:16" ht="14.25">
      <c r="B1747" s="4"/>
      <c r="I1747" s="5"/>
      <c r="J1747" s="5"/>
      <c r="K1747" s="6"/>
      <c r="N1747" s="2"/>
      <c r="O1747" s="2"/>
      <c r="P1747" s="2"/>
    </row>
    <row r="1748" spans="2:16" ht="14.25">
      <c r="B1748" s="4"/>
      <c r="I1748" s="5"/>
      <c r="J1748" s="5"/>
      <c r="K1748" s="6"/>
      <c r="N1748" s="2"/>
      <c r="O1748" s="2"/>
      <c r="P1748" s="2"/>
    </row>
    <row r="1749" spans="2:16" ht="14.25">
      <c r="B1749" s="4"/>
      <c r="I1749" s="5"/>
      <c r="J1749" s="5"/>
      <c r="K1749" s="6"/>
      <c r="N1749" s="2"/>
      <c r="O1749" s="2"/>
      <c r="P1749" s="2"/>
    </row>
    <row r="1750" spans="2:16" ht="14.25">
      <c r="B1750" s="4"/>
      <c r="I1750" s="5"/>
      <c r="J1750" s="5"/>
      <c r="K1750" s="6"/>
      <c r="N1750" s="2"/>
      <c r="O1750" s="2"/>
      <c r="P1750" s="2"/>
    </row>
    <row r="1751" spans="2:16" ht="14.25">
      <c r="B1751" s="4"/>
      <c r="I1751" s="5"/>
      <c r="J1751" s="5"/>
      <c r="K1751" s="6"/>
      <c r="N1751" s="2"/>
      <c r="O1751" s="2"/>
      <c r="P1751" s="2"/>
    </row>
    <row r="1752" spans="2:16" ht="14.25">
      <c r="B1752" s="4"/>
      <c r="I1752" s="5"/>
      <c r="J1752" s="5"/>
      <c r="K1752" s="6"/>
      <c r="N1752" s="2"/>
      <c r="O1752" s="2"/>
      <c r="P1752" s="2"/>
    </row>
    <row r="1753" spans="2:16" ht="14.25">
      <c r="B1753" s="4"/>
      <c r="I1753" s="5"/>
      <c r="J1753" s="5"/>
      <c r="K1753" s="6"/>
      <c r="N1753" s="2"/>
      <c r="O1753" s="2"/>
      <c r="P1753" s="2"/>
    </row>
    <row r="1754" spans="2:16" ht="14.25">
      <c r="B1754" s="4"/>
      <c r="I1754" s="5"/>
      <c r="J1754" s="5"/>
      <c r="K1754" s="6"/>
      <c r="N1754" s="2"/>
      <c r="O1754" s="2"/>
      <c r="P1754" s="2"/>
    </row>
    <row r="1755" spans="2:16" ht="14.25">
      <c r="B1755" s="4"/>
      <c r="I1755" s="5"/>
      <c r="J1755" s="5"/>
      <c r="K1755" s="6"/>
      <c r="N1755" s="2"/>
      <c r="O1755" s="2"/>
      <c r="P1755" s="2"/>
    </row>
    <row r="1756" spans="2:16" ht="14.25">
      <c r="B1756" s="4"/>
      <c r="I1756" s="5"/>
      <c r="J1756" s="5"/>
      <c r="K1756" s="6"/>
      <c r="N1756" s="2"/>
      <c r="O1756" s="2"/>
      <c r="P1756" s="2"/>
    </row>
    <row r="1757" spans="2:16" ht="14.25">
      <c r="B1757" s="4"/>
      <c r="I1757" s="5"/>
      <c r="J1757" s="5"/>
      <c r="K1757" s="6"/>
      <c r="N1757" s="2"/>
      <c r="O1757" s="2"/>
      <c r="P1757" s="2"/>
    </row>
    <row r="1758" spans="2:16" ht="14.25">
      <c r="B1758" s="4"/>
      <c r="I1758" s="5"/>
      <c r="J1758" s="5"/>
      <c r="K1758" s="6"/>
      <c r="N1758" s="2"/>
      <c r="O1758" s="2"/>
      <c r="P1758" s="2"/>
    </row>
    <row r="1759" spans="2:16" ht="14.25">
      <c r="B1759" s="4"/>
      <c r="I1759" s="5"/>
      <c r="J1759" s="5"/>
      <c r="K1759" s="6"/>
      <c r="N1759" s="2"/>
      <c r="O1759" s="2"/>
      <c r="P1759" s="2"/>
    </row>
    <row r="1760" spans="2:16" ht="14.25">
      <c r="B1760" s="4"/>
      <c r="I1760" s="5"/>
      <c r="J1760" s="5"/>
      <c r="K1760" s="6"/>
      <c r="N1760" s="2"/>
      <c r="O1760" s="2"/>
      <c r="P1760" s="2"/>
    </row>
    <row r="1761" spans="2:16" ht="14.25">
      <c r="B1761" s="4"/>
      <c r="I1761" s="5"/>
      <c r="J1761" s="5"/>
      <c r="K1761" s="6"/>
      <c r="N1761" s="2"/>
      <c r="O1761" s="2"/>
      <c r="P1761" s="2"/>
    </row>
    <row r="1762" spans="2:16" ht="14.25">
      <c r="B1762" s="4"/>
      <c r="I1762" s="5"/>
      <c r="J1762" s="5"/>
      <c r="K1762" s="6"/>
      <c r="N1762" s="2"/>
      <c r="O1762" s="2"/>
      <c r="P1762" s="2"/>
    </row>
    <row r="1763" spans="2:16" ht="14.25">
      <c r="B1763" s="4"/>
      <c r="I1763" s="5"/>
      <c r="J1763" s="5"/>
      <c r="K1763" s="6"/>
      <c r="N1763" s="2"/>
      <c r="O1763" s="2"/>
      <c r="P1763" s="2"/>
    </row>
    <row r="1764" spans="2:16" ht="14.25">
      <c r="B1764" s="4"/>
      <c r="I1764" s="5"/>
      <c r="J1764" s="5"/>
      <c r="K1764" s="6"/>
      <c r="N1764" s="2"/>
      <c r="O1764" s="2"/>
      <c r="P1764" s="2"/>
    </row>
    <row r="1765" spans="2:16" ht="14.25">
      <c r="B1765" s="4"/>
      <c r="I1765" s="5"/>
      <c r="J1765" s="5"/>
      <c r="K1765" s="6"/>
      <c r="N1765" s="2"/>
      <c r="O1765" s="2"/>
      <c r="P1765" s="2"/>
    </row>
    <row r="1766" spans="2:16" ht="14.25">
      <c r="B1766" s="4"/>
      <c r="I1766" s="5"/>
      <c r="J1766" s="5"/>
      <c r="K1766" s="6"/>
      <c r="N1766" s="2"/>
      <c r="O1766" s="2"/>
      <c r="P1766" s="2"/>
    </row>
    <row r="1767" spans="2:16" ht="14.25">
      <c r="B1767" s="4"/>
      <c r="I1767" s="5"/>
      <c r="J1767" s="5"/>
      <c r="K1767" s="6"/>
      <c r="N1767" s="2"/>
      <c r="O1767" s="2"/>
      <c r="P1767" s="2"/>
    </row>
    <row r="1768" spans="2:16" ht="14.25">
      <c r="B1768" s="4"/>
      <c r="I1768" s="5"/>
      <c r="J1768" s="5"/>
      <c r="K1768" s="6"/>
      <c r="N1768" s="2"/>
      <c r="O1768" s="2"/>
      <c r="P1768" s="2"/>
    </row>
    <row r="1769" spans="2:16" ht="14.25">
      <c r="B1769" s="4"/>
      <c r="I1769" s="5"/>
      <c r="J1769" s="5"/>
      <c r="K1769" s="6"/>
      <c r="N1769" s="2"/>
      <c r="O1769" s="2"/>
      <c r="P1769" s="2"/>
    </row>
    <row r="1770" spans="2:16" ht="14.25">
      <c r="B1770" s="4"/>
      <c r="I1770" s="5"/>
      <c r="J1770" s="5"/>
      <c r="K1770" s="6"/>
      <c r="N1770" s="2"/>
      <c r="O1770" s="2"/>
      <c r="P1770" s="2"/>
    </row>
    <row r="1771" spans="2:16" ht="14.25">
      <c r="B1771" s="4"/>
      <c r="I1771" s="5"/>
      <c r="J1771" s="5"/>
      <c r="K1771" s="6"/>
      <c r="N1771" s="2"/>
      <c r="O1771" s="2"/>
      <c r="P1771" s="2"/>
    </row>
    <row r="1772" spans="2:16" ht="14.25">
      <c r="B1772" s="4"/>
      <c r="I1772" s="5"/>
      <c r="J1772" s="5"/>
      <c r="K1772" s="6"/>
      <c r="N1772" s="2"/>
      <c r="O1772" s="2"/>
      <c r="P1772" s="2"/>
    </row>
    <row r="1773" spans="2:16" ht="14.25">
      <c r="B1773" s="4"/>
      <c r="I1773" s="5"/>
      <c r="J1773" s="5"/>
      <c r="K1773" s="6"/>
      <c r="N1773" s="2"/>
      <c r="O1773" s="2"/>
      <c r="P1773" s="2"/>
    </row>
    <row r="1774" spans="2:16" ht="14.25">
      <c r="B1774" s="4"/>
      <c r="I1774" s="5"/>
      <c r="J1774" s="5"/>
      <c r="K1774" s="6"/>
      <c r="N1774" s="2"/>
      <c r="O1774" s="2"/>
      <c r="P1774" s="2"/>
    </row>
    <row r="1775" spans="2:16" ht="14.25">
      <c r="B1775" s="4"/>
      <c r="I1775" s="5"/>
      <c r="J1775" s="5"/>
      <c r="K1775" s="6"/>
      <c r="N1775" s="2"/>
      <c r="O1775" s="2"/>
      <c r="P1775" s="2"/>
    </row>
    <row r="1776" spans="2:16" ht="14.25">
      <c r="B1776" s="4"/>
      <c r="I1776" s="5"/>
      <c r="J1776" s="5"/>
      <c r="K1776" s="6"/>
      <c r="N1776" s="2"/>
      <c r="O1776" s="2"/>
      <c r="P1776" s="2"/>
    </row>
    <row r="1777" spans="2:16" ht="14.25">
      <c r="B1777" s="4"/>
      <c r="I1777" s="5"/>
      <c r="J1777" s="5"/>
      <c r="K1777" s="6"/>
      <c r="N1777" s="2"/>
      <c r="O1777" s="2"/>
      <c r="P1777" s="2"/>
    </row>
    <row r="1778" spans="2:16" ht="14.25">
      <c r="B1778" s="4"/>
      <c r="I1778" s="5"/>
      <c r="J1778" s="5"/>
      <c r="K1778" s="6"/>
      <c r="N1778" s="2"/>
      <c r="O1778" s="2"/>
      <c r="P1778" s="2"/>
    </row>
    <row r="1779" spans="2:16" ht="14.25">
      <c r="B1779" s="4"/>
      <c r="I1779" s="5"/>
      <c r="J1779" s="5"/>
      <c r="K1779" s="6"/>
      <c r="N1779" s="2"/>
      <c r="O1779" s="2"/>
      <c r="P1779" s="2"/>
    </row>
    <row r="1780" spans="2:16" ht="14.25">
      <c r="B1780" s="4"/>
      <c r="I1780" s="5"/>
      <c r="J1780" s="5"/>
      <c r="K1780" s="6"/>
      <c r="N1780" s="2"/>
      <c r="O1780" s="2"/>
      <c r="P1780" s="2"/>
    </row>
    <row r="1781" spans="2:16" ht="14.25">
      <c r="B1781" s="4"/>
      <c r="I1781" s="5"/>
      <c r="J1781" s="5"/>
      <c r="K1781" s="6"/>
      <c r="N1781" s="2"/>
      <c r="O1781" s="2"/>
      <c r="P1781" s="2"/>
    </row>
    <row r="1782" spans="2:16" ht="14.25">
      <c r="B1782" s="4"/>
      <c r="I1782" s="5"/>
      <c r="J1782" s="5"/>
      <c r="K1782" s="6"/>
      <c r="N1782" s="2"/>
      <c r="O1782" s="2"/>
      <c r="P1782" s="2"/>
    </row>
    <row r="1783" spans="2:16" ht="14.25">
      <c r="B1783" s="4"/>
      <c r="I1783" s="5"/>
      <c r="J1783" s="5"/>
      <c r="K1783" s="6"/>
      <c r="N1783" s="2"/>
      <c r="O1783" s="2"/>
      <c r="P1783" s="2"/>
    </row>
    <row r="1784" spans="2:16" ht="14.25">
      <c r="B1784" s="4"/>
      <c r="I1784" s="5"/>
      <c r="J1784" s="5"/>
      <c r="K1784" s="6"/>
      <c r="N1784" s="2"/>
      <c r="O1784" s="2"/>
      <c r="P1784" s="2"/>
    </row>
    <row r="1785" spans="2:16" ht="14.25">
      <c r="B1785" s="4"/>
      <c r="I1785" s="5"/>
      <c r="J1785" s="5"/>
      <c r="K1785" s="6"/>
      <c r="N1785" s="2"/>
      <c r="O1785" s="2"/>
      <c r="P1785" s="2"/>
    </row>
    <row r="1786" spans="2:16" ht="14.25">
      <c r="B1786" s="4"/>
      <c r="I1786" s="5"/>
      <c r="J1786" s="5"/>
      <c r="K1786" s="6"/>
      <c r="N1786" s="2"/>
      <c r="O1786" s="2"/>
      <c r="P1786" s="2"/>
    </row>
    <row r="1787" spans="2:16" ht="14.25">
      <c r="B1787" s="4"/>
      <c r="I1787" s="5"/>
      <c r="J1787" s="5"/>
      <c r="K1787" s="6"/>
      <c r="N1787" s="2"/>
      <c r="O1787" s="2"/>
      <c r="P1787" s="2"/>
    </row>
    <row r="1788" spans="2:16" ht="14.25">
      <c r="B1788" s="4"/>
      <c r="I1788" s="5"/>
      <c r="J1788" s="5"/>
      <c r="K1788" s="6"/>
      <c r="N1788" s="2"/>
      <c r="O1788" s="2"/>
      <c r="P1788" s="2"/>
    </row>
    <row r="1789" spans="2:16" ht="14.25">
      <c r="B1789" s="4"/>
      <c r="I1789" s="5"/>
      <c r="J1789" s="5"/>
      <c r="K1789" s="6"/>
      <c r="N1789" s="2"/>
      <c r="O1789" s="2"/>
      <c r="P1789" s="2"/>
    </row>
    <row r="1790" spans="2:16" ht="14.25">
      <c r="B1790" s="4"/>
      <c r="I1790" s="5"/>
      <c r="J1790" s="5"/>
      <c r="K1790" s="6"/>
      <c r="N1790" s="2"/>
      <c r="O1790" s="2"/>
      <c r="P1790" s="2"/>
    </row>
    <row r="1791" spans="2:16" ht="14.25">
      <c r="B1791" s="4"/>
      <c r="I1791" s="5"/>
      <c r="J1791" s="5"/>
      <c r="K1791" s="6"/>
      <c r="N1791" s="2"/>
      <c r="O1791" s="2"/>
      <c r="P1791" s="2"/>
    </row>
    <row r="1792" spans="2:16" ht="14.25">
      <c r="B1792" s="4"/>
      <c r="I1792" s="5"/>
      <c r="J1792" s="5"/>
      <c r="K1792" s="6"/>
      <c r="N1792" s="2"/>
      <c r="O1792" s="2"/>
      <c r="P1792" s="2"/>
    </row>
    <row r="1793" spans="2:16" ht="14.25">
      <c r="B1793" s="4"/>
      <c r="I1793" s="5"/>
      <c r="J1793" s="5"/>
      <c r="K1793" s="6"/>
      <c r="N1793" s="2"/>
      <c r="O1793" s="2"/>
      <c r="P1793" s="2"/>
    </row>
    <row r="1794" spans="2:16" ht="14.25">
      <c r="B1794" s="4"/>
      <c r="I1794" s="5"/>
      <c r="J1794" s="5"/>
      <c r="K1794" s="6"/>
      <c r="N1794" s="2"/>
      <c r="O1794" s="2"/>
      <c r="P1794" s="2"/>
    </row>
    <row r="1795" spans="2:16" ht="14.25">
      <c r="B1795" s="4"/>
      <c r="I1795" s="5"/>
      <c r="J1795" s="5"/>
      <c r="K1795" s="6"/>
      <c r="N1795" s="2"/>
      <c r="O1795" s="2"/>
      <c r="P1795" s="2"/>
    </row>
    <row r="1796" spans="2:16" ht="14.25">
      <c r="B1796" s="4"/>
      <c r="I1796" s="5"/>
      <c r="J1796" s="5"/>
      <c r="K1796" s="6"/>
      <c r="N1796" s="2"/>
      <c r="O1796" s="2"/>
      <c r="P1796" s="2"/>
    </row>
    <row r="1797" spans="2:16" ht="14.25">
      <c r="B1797" s="4"/>
      <c r="I1797" s="5"/>
      <c r="J1797" s="5"/>
      <c r="K1797" s="6"/>
      <c r="N1797" s="2"/>
      <c r="O1797" s="2"/>
      <c r="P1797" s="2"/>
    </row>
    <row r="1798" spans="2:16" ht="14.25">
      <c r="B1798" s="4"/>
      <c r="I1798" s="5"/>
      <c r="J1798" s="5"/>
      <c r="K1798" s="6"/>
      <c r="N1798" s="2"/>
      <c r="O1798" s="2"/>
      <c r="P1798" s="2"/>
    </row>
    <row r="1799" spans="2:16" ht="14.25">
      <c r="B1799" s="4"/>
      <c r="I1799" s="5"/>
      <c r="J1799" s="5"/>
      <c r="K1799" s="6"/>
      <c r="N1799" s="2"/>
      <c r="O1799" s="2"/>
      <c r="P1799" s="2"/>
    </row>
    <row r="1800" spans="2:16" ht="14.25">
      <c r="B1800" s="4"/>
      <c r="I1800" s="5"/>
      <c r="J1800" s="5"/>
      <c r="K1800" s="6"/>
      <c r="N1800" s="2"/>
      <c r="O1800" s="2"/>
      <c r="P1800" s="2"/>
    </row>
    <row r="1801" spans="2:16" ht="14.25">
      <c r="B1801" s="4"/>
      <c r="I1801" s="5"/>
      <c r="J1801" s="5"/>
      <c r="K1801" s="6"/>
      <c r="N1801" s="2"/>
      <c r="O1801" s="2"/>
      <c r="P1801" s="2"/>
    </row>
    <row r="1802" spans="2:16" ht="14.25">
      <c r="B1802" s="4"/>
      <c r="I1802" s="5"/>
      <c r="J1802" s="5"/>
      <c r="K1802" s="6"/>
      <c r="N1802" s="2"/>
      <c r="O1802" s="2"/>
      <c r="P1802" s="2"/>
    </row>
    <row r="1803" spans="2:16" ht="14.25">
      <c r="B1803" s="4"/>
      <c r="I1803" s="5"/>
      <c r="J1803" s="5"/>
      <c r="K1803" s="6"/>
      <c r="N1803" s="2"/>
      <c r="O1803" s="2"/>
      <c r="P1803" s="2"/>
    </row>
    <row r="1804" spans="2:16" ht="14.25">
      <c r="B1804" s="4"/>
      <c r="I1804" s="5"/>
      <c r="J1804" s="5"/>
      <c r="K1804" s="6"/>
      <c r="N1804" s="2"/>
      <c r="O1804" s="2"/>
      <c r="P1804" s="2"/>
    </row>
    <row r="1805" spans="2:16" ht="14.25">
      <c r="B1805" s="4"/>
      <c r="I1805" s="5"/>
      <c r="J1805" s="5"/>
      <c r="K1805" s="6"/>
      <c r="N1805" s="2"/>
      <c r="O1805" s="2"/>
      <c r="P1805" s="2"/>
    </row>
    <row r="1806" spans="2:16" ht="14.25">
      <c r="B1806" s="4"/>
      <c r="I1806" s="5"/>
      <c r="J1806" s="5"/>
      <c r="K1806" s="6"/>
      <c r="N1806" s="2"/>
      <c r="O1806" s="2"/>
      <c r="P1806" s="2"/>
    </row>
    <row r="1807" spans="2:16" ht="14.25">
      <c r="B1807" s="4"/>
      <c r="I1807" s="5"/>
      <c r="J1807" s="5"/>
      <c r="K1807" s="6"/>
      <c r="N1807" s="2"/>
      <c r="O1807" s="2"/>
      <c r="P1807" s="2"/>
    </row>
    <row r="1808" spans="2:16" ht="14.25">
      <c r="B1808" s="4"/>
      <c r="I1808" s="5"/>
      <c r="J1808" s="5"/>
      <c r="K1808" s="6"/>
      <c r="N1808" s="2"/>
      <c r="O1808" s="2"/>
      <c r="P1808" s="2"/>
    </row>
    <row r="1809" spans="2:16" ht="14.25">
      <c r="B1809" s="4"/>
      <c r="I1809" s="5"/>
      <c r="J1809" s="5"/>
      <c r="K1809" s="6"/>
      <c r="N1809" s="2"/>
      <c r="O1809" s="2"/>
      <c r="P1809" s="2"/>
    </row>
    <row r="1810" spans="2:16" ht="14.25">
      <c r="B1810" s="4"/>
      <c r="I1810" s="5"/>
      <c r="J1810" s="5"/>
      <c r="K1810" s="6"/>
      <c r="N1810" s="2"/>
      <c r="O1810" s="2"/>
      <c r="P1810" s="2"/>
    </row>
    <row r="1811" spans="2:16" ht="14.25">
      <c r="B1811" s="4"/>
      <c r="I1811" s="5"/>
      <c r="J1811" s="5"/>
      <c r="K1811" s="6"/>
      <c r="N1811" s="2"/>
      <c r="O1811" s="2"/>
      <c r="P1811" s="2"/>
    </row>
    <row r="1812" spans="2:16" ht="14.25">
      <c r="B1812" s="4"/>
      <c r="I1812" s="5"/>
      <c r="J1812" s="5"/>
      <c r="K1812" s="6"/>
      <c r="N1812" s="2"/>
      <c r="O1812" s="2"/>
      <c r="P1812" s="2"/>
    </row>
    <row r="1813" spans="2:16" ht="14.25">
      <c r="B1813" s="4"/>
      <c r="I1813" s="5"/>
      <c r="J1813" s="5"/>
      <c r="K1813" s="6"/>
      <c r="N1813" s="2"/>
      <c r="O1813" s="2"/>
      <c r="P1813" s="2"/>
    </row>
    <row r="1814" spans="2:16" ht="14.25">
      <c r="B1814" s="4"/>
      <c r="I1814" s="5"/>
      <c r="J1814" s="5"/>
      <c r="K1814" s="6"/>
      <c r="N1814" s="2"/>
      <c r="O1814" s="2"/>
      <c r="P1814" s="2"/>
    </row>
    <row r="1815" spans="2:16" ht="14.25">
      <c r="B1815" s="4"/>
      <c r="I1815" s="5"/>
      <c r="J1815" s="5"/>
      <c r="K1815" s="6"/>
      <c r="N1815" s="2"/>
      <c r="O1815" s="2"/>
      <c r="P1815" s="2"/>
    </row>
    <row r="1816" spans="2:16" ht="14.25">
      <c r="B1816" s="4"/>
      <c r="I1816" s="5"/>
      <c r="J1816" s="5"/>
      <c r="K1816" s="6"/>
      <c r="N1816" s="2"/>
      <c r="O1816" s="2"/>
      <c r="P1816" s="2"/>
    </row>
    <row r="1817" spans="2:16" ht="14.25">
      <c r="B1817" s="4"/>
      <c r="I1817" s="5"/>
      <c r="J1817" s="5"/>
      <c r="K1817" s="6"/>
      <c r="N1817" s="2"/>
      <c r="O1817" s="2"/>
      <c r="P1817" s="2"/>
    </row>
    <row r="1818" spans="2:16" ht="14.25">
      <c r="B1818" s="4"/>
      <c r="I1818" s="5"/>
      <c r="J1818" s="5"/>
      <c r="K1818" s="6"/>
      <c r="N1818" s="2"/>
      <c r="O1818" s="2"/>
      <c r="P1818" s="2"/>
    </row>
    <row r="1819" spans="2:16" ht="14.25">
      <c r="B1819" s="4"/>
      <c r="I1819" s="5"/>
      <c r="J1819" s="5"/>
      <c r="K1819" s="6"/>
      <c r="N1819" s="2"/>
      <c r="O1819" s="2"/>
      <c r="P1819" s="2"/>
    </row>
    <row r="1820" spans="2:16" ht="14.25">
      <c r="B1820" s="4"/>
      <c r="I1820" s="5"/>
      <c r="J1820" s="5"/>
      <c r="K1820" s="6"/>
      <c r="N1820" s="2"/>
      <c r="O1820" s="2"/>
      <c r="P1820" s="2"/>
    </row>
    <row r="1821" spans="2:16" ht="14.25">
      <c r="B1821" s="4"/>
      <c r="I1821" s="5"/>
      <c r="J1821" s="5"/>
      <c r="K1821" s="6"/>
      <c r="N1821" s="2"/>
      <c r="O1821" s="2"/>
      <c r="P1821" s="2"/>
    </row>
    <row r="1822" spans="2:16" ht="14.25">
      <c r="B1822" s="4"/>
      <c r="I1822" s="5"/>
      <c r="J1822" s="5"/>
      <c r="K1822" s="6"/>
      <c r="N1822" s="2"/>
      <c r="O1822" s="2"/>
      <c r="P1822" s="2"/>
    </row>
    <row r="1823" spans="2:16" ht="14.25">
      <c r="B1823" s="4"/>
      <c r="I1823" s="5"/>
      <c r="J1823" s="5"/>
      <c r="K1823" s="6"/>
      <c r="N1823" s="2"/>
      <c r="O1823" s="2"/>
      <c r="P1823" s="2"/>
    </row>
    <row r="1824" spans="2:16" ht="14.25">
      <c r="B1824" s="4"/>
      <c r="I1824" s="5"/>
      <c r="J1824" s="5"/>
      <c r="K1824" s="6"/>
      <c r="N1824" s="2"/>
      <c r="O1824" s="2"/>
      <c r="P1824" s="2"/>
    </row>
    <row r="1825" spans="2:16" ht="14.25">
      <c r="B1825" s="4"/>
      <c r="I1825" s="5"/>
      <c r="J1825" s="5"/>
      <c r="K1825" s="6"/>
      <c r="N1825" s="2"/>
      <c r="O1825" s="2"/>
      <c r="P1825" s="2"/>
    </row>
    <row r="1826" spans="2:16" ht="14.25">
      <c r="B1826" s="4"/>
      <c r="I1826" s="5"/>
      <c r="J1826" s="5"/>
      <c r="K1826" s="6"/>
      <c r="N1826" s="2"/>
      <c r="O1826" s="2"/>
      <c r="P1826" s="2"/>
    </row>
    <row r="1827" spans="2:16" ht="14.25">
      <c r="B1827" s="4"/>
      <c r="I1827" s="5"/>
      <c r="J1827" s="5"/>
      <c r="K1827" s="6"/>
      <c r="N1827" s="2"/>
      <c r="O1827" s="2"/>
      <c r="P1827" s="2"/>
    </row>
    <row r="1828" spans="2:16" ht="14.25">
      <c r="B1828" s="4"/>
      <c r="I1828" s="5"/>
      <c r="J1828" s="5"/>
      <c r="K1828" s="6"/>
      <c r="N1828" s="2"/>
      <c r="O1828" s="2"/>
      <c r="P1828" s="2"/>
    </row>
    <row r="1829" spans="2:16" ht="14.25">
      <c r="B1829" s="4"/>
      <c r="I1829" s="5"/>
      <c r="J1829" s="5"/>
      <c r="K1829" s="6"/>
      <c r="N1829" s="2"/>
      <c r="O1829" s="2"/>
      <c r="P1829" s="2"/>
    </row>
    <row r="1830" spans="2:16" ht="14.25">
      <c r="B1830" s="4"/>
      <c r="I1830" s="5"/>
      <c r="J1830" s="5"/>
      <c r="K1830" s="6"/>
      <c r="N1830" s="2"/>
      <c r="O1830" s="2"/>
      <c r="P1830" s="2"/>
    </row>
    <row r="1831" spans="2:16" ht="14.25">
      <c r="B1831" s="4"/>
      <c r="I1831" s="5"/>
      <c r="J1831" s="5"/>
      <c r="K1831" s="6"/>
      <c r="N1831" s="2"/>
      <c r="O1831" s="2"/>
      <c r="P1831" s="2"/>
    </row>
    <row r="1832" spans="2:16" ht="14.25">
      <c r="B1832" s="4"/>
      <c r="I1832" s="5"/>
      <c r="J1832" s="5"/>
      <c r="K1832" s="6"/>
      <c r="N1832" s="2"/>
      <c r="O1832" s="2"/>
      <c r="P1832" s="2"/>
    </row>
    <row r="1833" spans="2:16" ht="14.25">
      <c r="B1833" s="4"/>
      <c r="I1833" s="5"/>
      <c r="J1833" s="5"/>
      <c r="K1833" s="6"/>
      <c r="N1833" s="2"/>
      <c r="O1833" s="2"/>
      <c r="P1833" s="2"/>
    </row>
    <row r="1834" spans="2:16" ht="14.25">
      <c r="B1834" s="4"/>
      <c r="I1834" s="5"/>
      <c r="J1834" s="5"/>
      <c r="K1834" s="6"/>
      <c r="N1834" s="2"/>
      <c r="O1834" s="2"/>
      <c r="P1834" s="2"/>
    </row>
    <row r="1835" spans="2:16" ht="14.25">
      <c r="B1835" s="4"/>
      <c r="I1835" s="5"/>
      <c r="J1835" s="5"/>
      <c r="K1835" s="6"/>
      <c r="N1835" s="2"/>
      <c r="O1835" s="2"/>
      <c r="P1835" s="2"/>
    </row>
    <row r="1836" spans="2:16" ht="14.25">
      <c r="B1836" s="4"/>
      <c r="I1836" s="5"/>
      <c r="J1836" s="5"/>
      <c r="K1836" s="6"/>
      <c r="N1836" s="2"/>
      <c r="O1836" s="2"/>
      <c r="P1836" s="2"/>
    </row>
    <row r="1837" spans="2:16" ht="14.25">
      <c r="B1837" s="4"/>
      <c r="I1837" s="5"/>
      <c r="J1837" s="5"/>
      <c r="K1837" s="6"/>
      <c r="N1837" s="2"/>
      <c r="O1837" s="2"/>
      <c r="P1837" s="2"/>
    </row>
    <row r="1838" spans="2:16" ht="14.25">
      <c r="B1838" s="4"/>
      <c r="I1838" s="5"/>
      <c r="J1838" s="5"/>
      <c r="K1838" s="6"/>
      <c r="N1838" s="2"/>
      <c r="O1838" s="2"/>
      <c r="P1838" s="2"/>
    </row>
    <row r="1839" spans="2:16" ht="14.25">
      <c r="B1839" s="4"/>
      <c r="I1839" s="5"/>
      <c r="J1839" s="5"/>
      <c r="K1839" s="6"/>
      <c r="N1839" s="2"/>
      <c r="O1839" s="2"/>
      <c r="P1839" s="2"/>
    </row>
    <row r="1840" spans="2:16" ht="14.25">
      <c r="B1840" s="4"/>
      <c r="I1840" s="5"/>
      <c r="J1840" s="5"/>
      <c r="K1840" s="6"/>
      <c r="N1840" s="2"/>
      <c r="O1840" s="2"/>
      <c r="P1840" s="2"/>
    </row>
    <row r="1841" spans="2:16" ht="14.25">
      <c r="B1841" s="4"/>
      <c r="I1841" s="5"/>
      <c r="J1841" s="5"/>
      <c r="K1841" s="6"/>
      <c r="N1841" s="2"/>
      <c r="O1841" s="2"/>
      <c r="P1841" s="2"/>
    </row>
    <row r="1842" spans="2:16" ht="14.25">
      <c r="B1842" s="4"/>
      <c r="I1842" s="5"/>
      <c r="J1842" s="5"/>
      <c r="K1842" s="6"/>
      <c r="N1842" s="2"/>
      <c r="O1842" s="2"/>
      <c r="P1842" s="2"/>
    </row>
    <row r="1843" spans="2:16" ht="14.25">
      <c r="B1843" s="4"/>
      <c r="I1843" s="5"/>
      <c r="J1843" s="5"/>
      <c r="K1843" s="6"/>
      <c r="N1843" s="2"/>
      <c r="O1843" s="2"/>
      <c r="P1843" s="2"/>
    </row>
    <row r="1844" spans="2:16" ht="14.25">
      <c r="B1844" s="4"/>
      <c r="I1844" s="5"/>
      <c r="J1844" s="5"/>
      <c r="K1844" s="6"/>
      <c r="N1844" s="2"/>
      <c r="O1844" s="2"/>
      <c r="P1844" s="2"/>
    </row>
    <row r="1845" spans="2:16" ht="14.25">
      <c r="B1845" s="4"/>
      <c r="I1845" s="5"/>
      <c r="J1845" s="5"/>
      <c r="K1845" s="6"/>
      <c r="N1845" s="2"/>
      <c r="O1845" s="2"/>
      <c r="P1845" s="2"/>
    </row>
    <row r="1846" spans="2:16" ht="14.25">
      <c r="B1846" s="4"/>
      <c r="I1846" s="5"/>
      <c r="J1846" s="5"/>
      <c r="K1846" s="6"/>
      <c r="N1846" s="2"/>
      <c r="O1846" s="2"/>
      <c r="P1846" s="2"/>
    </row>
    <row r="1847" spans="2:16" ht="14.25">
      <c r="B1847" s="4"/>
      <c r="I1847" s="5"/>
      <c r="J1847" s="5"/>
      <c r="K1847" s="6"/>
      <c r="N1847" s="2"/>
      <c r="O1847" s="2"/>
      <c r="P1847" s="2"/>
    </row>
    <row r="1848" spans="2:16" ht="14.25">
      <c r="B1848" s="4"/>
      <c r="I1848" s="5"/>
      <c r="J1848" s="5"/>
      <c r="K1848" s="6"/>
      <c r="N1848" s="2"/>
      <c r="O1848" s="2"/>
      <c r="P1848" s="2"/>
    </row>
    <row r="1849" spans="2:16" ht="14.25">
      <c r="B1849" s="4"/>
      <c r="I1849" s="5"/>
      <c r="J1849" s="5"/>
      <c r="K1849" s="6"/>
      <c r="N1849" s="2"/>
      <c r="O1849" s="2"/>
      <c r="P1849" s="2"/>
    </row>
    <row r="1850" spans="2:16" ht="14.25">
      <c r="B1850" s="4"/>
      <c r="I1850" s="5"/>
      <c r="J1850" s="5"/>
      <c r="K1850" s="6"/>
      <c r="N1850" s="2"/>
      <c r="O1850" s="2"/>
      <c r="P1850" s="2"/>
    </row>
    <row r="1851" spans="2:16" ht="14.25">
      <c r="B1851" s="4"/>
      <c r="I1851" s="5"/>
      <c r="J1851" s="5"/>
      <c r="K1851" s="6"/>
      <c r="N1851" s="2"/>
      <c r="O1851" s="2"/>
      <c r="P1851" s="2"/>
    </row>
    <row r="1852" spans="2:16" ht="14.25">
      <c r="B1852" s="4"/>
      <c r="I1852" s="5"/>
      <c r="J1852" s="5"/>
      <c r="K1852" s="6"/>
      <c r="N1852" s="2"/>
      <c r="O1852" s="2"/>
      <c r="P1852" s="2"/>
    </row>
    <row r="1853" spans="2:16" ht="14.25">
      <c r="B1853" s="4"/>
      <c r="I1853" s="5"/>
      <c r="J1853" s="5"/>
      <c r="K1853" s="6"/>
      <c r="N1853" s="2"/>
      <c r="O1853" s="2"/>
      <c r="P1853" s="2"/>
    </row>
    <row r="1854" spans="2:16" ht="14.25">
      <c r="B1854" s="4"/>
      <c r="I1854" s="5"/>
      <c r="J1854" s="5"/>
      <c r="K1854" s="6"/>
      <c r="N1854" s="2"/>
      <c r="O1854" s="2"/>
      <c r="P1854" s="2"/>
    </row>
    <row r="1855" spans="2:16" ht="14.25">
      <c r="B1855" s="4"/>
      <c r="I1855" s="5"/>
      <c r="J1855" s="5"/>
      <c r="K1855" s="6"/>
      <c r="N1855" s="2"/>
      <c r="O1855" s="2"/>
      <c r="P1855" s="2"/>
    </row>
    <row r="1856" spans="2:16" ht="14.25">
      <c r="B1856" s="4"/>
      <c r="I1856" s="5"/>
      <c r="J1856" s="5"/>
      <c r="K1856" s="6"/>
      <c r="N1856" s="2"/>
      <c r="O1856" s="2"/>
      <c r="P1856" s="2"/>
    </row>
    <row r="1857" spans="2:16" ht="14.25">
      <c r="B1857" s="4"/>
      <c r="I1857" s="5"/>
      <c r="J1857" s="5"/>
      <c r="K1857" s="6"/>
      <c r="N1857" s="2"/>
      <c r="O1857" s="2"/>
      <c r="P1857" s="2"/>
    </row>
    <row r="1858" spans="2:16" ht="14.25">
      <c r="B1858" s="4"/>
      <c r="I1858" s="5"/>
      <c r="J1858" s="5"/>
      <c r="K1858" s="6"/>
      <c r="N1858" s="2"/>
      <c r="O1858" s="2"/>
      <c r="P1858" s="2"/>
    </row>
    <row r="1859" spans="2:16" ht="14.25">
      <c r="B1859" s="4"/>
      <c r="I1859" s="5"/>
      <c r="J1859" s="5"/>
      <c r="K1859" s="6"/>
      <c r="N1859" s="2"/>
      <c r="O1859" s="2"/>
      <c r="P1859" s="2"/>
    </row>
    <row r="1860" spans="2:16" ht="14.25">
      <c r="B1860" s="4"/>
      <c r="I1860" s="5"/>
      <c r="J1860" s="5"/>
      <c r="K1860" s="6"/>
      <c r="N1860" s="2"/>
      <c r="O1860" s="2"/>
      <c r="P1860" s="2"/>
    </row>
    <row r="1861" spans="2:16" ht="14.25">
      <c r="B1861" s="4"/>
      <c r="I1861" s="5"/>
      <c r="J1861" s="5"/>
      <c r="K1861" s="6"/>
      <c r="N1861" s="2"/>
      <c r="O1861" s="2"/>
      <c r="P1861" s="2"/>
    </row>
    <row r="1862" spans="2:16" ht="14.25">
      <c r="B1862" s="4"/>
      <c r="I1862" s="5"/>
      <c r="J1862" s="5"/>
      <c r="K1862" s="6"/>
      <c r="N1862" s="2"/>
      <c r="O1862" s="2"/>
      <c r="P1862" s="2"/>
    </row>
    <row r="1863" spans="2:16" ht="14.25">
      <c r="B1863" s="4"/>
      <c r="I1863" s="5"/>
      <c r="J1863" s="5"/>
      <c r="K1863" s="6"/>
      <c r="N1863" s="2"/>
      <c r="O1863" s="2"/>
      <c r="P1863" s="2"/>
    </row>
    <row r="1864" spans="2:16" ht="14.25">
      <c r="B1864" s="4"/>
      <c r="I1864" s="5"/>
      <c r="J1864" s="5"/>
      <c r="K1864" s="6"/>
      <c r="N1864" s="2"/>
      <c r="O1864" s="2"/>
      <c r="P1864" s="2"/>
    </row>
    <row r="1865" spans="2:16" ht="14.25">
      <c r="B1865" s="4"/>
      <c r="I1865" s="5"/>
      <c r="J1865" s="5"/>
      <c r="K1865" s="6"/>
      <c r="N1865" s="2"/>
      <c r="O1865" s="2"/>
      <c r="P1865" s="2"/>
    </row>
    <row r="1866" spans="2:16" ht="14.25">
      <c r="B1866" s="4"/>
      <c r="I1866" s="5"/>
      <c r="J1866" s="5"/>
      <c r="K1866" s="6"/>
      <c r="N1866" s="2"/>
      <c r="O1866" s="2"/>
      <c r="P1866" s="2"/>
    </row>
    <row r="1867" spans="2:16" ht="14.25">
      <c r="B1867" s="4"/>
      <c r="I1867" s="5"/>
      <c r="J1867" s="5"/>
      <c r="K1867" s="6"/>
      <c r="N1867" s="2"/>
      <c r="O1867" s="2"/>
      <c r="P1867" s="2"/>
    </row>
    <row r="1868" spans="2:16" ht="14.25">
      <c r="B1868" s="4"/>
      <c r="I1868" s="5"/>
      <c r="J1868" s="5"/>
      <c r="K1868" s="6"/>
      <c r="N1868" s="2"/>
      <c r="O1868" s="2"/>
      <c r="P1868" s="2"/>
    </row>
    <row r="1869" spans="2:16" ht="14.25">
      <c r="B1869" s="4"/>
      <c r="I1869" s="5"/>
      <c r="J1869" s="5"/>
      <c r="K1869" s="6"/>
      <c r="N1869" s="2"/>
      <c r="O1869" s="2"/>
      <c r="P1869" s="2"/>
    </row>
    <row r="1870" spans="2:16" ht="14.25">
      <c r="B1870" s="4"/>
      <c r="I1870" s="5"/>
      <c r="J1870" s="5"/>
      <c r="K1870" s="6"/>
      <c r="N1870" s="2"/>
      <c r="O1870" s="2"/>
      <c r="P1870" s="2"/>
    </row>
    <row r="1871" spans="2:16" ht="14.25">
      <c r="B1871" s="4"/>
      <c r="I1871" s="5"/>
      <c r="J1871" s="5"/>
      <c r="K1871" s="6"/>
      <c r="N1871" s="2"/>
      <c r="O1871" s="2"/>
      <c r="P1871" s="2"/>
    </row>
    <row r="1872" spans="2:16" ht="14.25">
      <c r="B1872" s="4"/>
      <c r="I1872" s="5"/>
      <c r="J1872" s="5"/>
      <c r="K1872" s="6"/>
      <c r="N1872" s="2"/>
      <c r="O1872" s="2"/>
      <c r="P1872" s="2"/>
    </row>
    <row r="1873" spans="2:16" ht="14.25">
      <c r="B1873" s="4"/>
      <c r="I1873" s="5"/>
      <c r="J1873" s="5"/>
      <c r="K1873" s="6"/>
      <c r="N1873" s="2"/>
      <c r="O1873" s="2"/>
      <c r="P1873" s="2"/>
    </row>
    <row r="1874" spans="2:16" ht="14.25">
      <c r="B1874" s="4"/>
      <c r="I1874" s="5"/>
      <c r="J1874" s="5"/>
      <c r="K1874" s="6"/>
      <c r="N1874" s="2"/>
      <c r="O1874" s="2"/>
      <c r="P1874" s="2"/>
    </row>
    <row r="1875" spans="2:16" ht="14.25">
      <c r="B1875" s="4"/>
      <c r="I1875" s="5"/>
      <c r="J1875" s="5"/>
      <c r="K1875" s="6"/>
      <c r="N1875" s="2"/>
      <c r="O1875" s="2"/>
      <c r="P1875" s="2"/>
    </row>
    <row r="1876" spans="2:16" ht="14.25">
      <c r="B1876" s="4"/>
      <c r="I1876" s="5"/>
      <c r="J1876" s="5"/>
      <c r="K1876" s="6"/>
      <c r="N1876" s="2"/>
      <c r="O1876" s="2"/>
      <c r="P1876" s="2"/>
    </row>
    <row r="1877" spans="2:16" ht="14.25">
      <c r="B1877" s="4"/>
      <c r="I1877" s="5"/>
      <c r="J1877" s="5"/>
      <c r="K1877" s="6"/>
      <c r="N1877" s="2"/>
      <c r="O1877" s="2"/>
      <c r="P1877" s="2"/>
    </row>
    <row r="1878" spans="2:16" ht="14.25">
      <c r="B1878" s="4"/>
      <c r="I1878" s="5"/>
      <c r="J1878" s="5"/>
      <c r="K1878" s="6"/>
      <c r="N1878" s="2"/>
      <c r="O1878" s="2"/>
      <c r="P1878" s="2"/>
    </row>
    <row r="1879" spans="2:16" ht="14.25">
      <c r="B1879" s="4"/>
      <c r="I1879" s="5"/>
      <c r="J1879" s="5"/>
      <c r="K1879" s="6"/>
      <c r="N1879" s="2"/>
      <c r="O1879" s="2"/>
      <c r="P1879" s="2"/>
    </row>
    <row r="1880" spans="2:16" ht="14.25">
      <c r="B1880" s="4"/>
      <c r="I1880" s="5"/>
      <c r="J1880" s="5"/>
      <c r="K1880" s="6"/>
      <c r="N1880" s="2"/>
      <c r="O1880" s="2"/>
      <c r="P1880" s="2"/>
    </row>
    <row r="1881" spans="2:16" ht="14.25">
      <c r="B1881" s="4"/>
      <c r="I1881" s="5"/>
      <c r="J1881" s="5"/>
      <c r="K1881" s="6"/>
      <c r="N1881" s="2"/>
      <c r="O1881" s="2"/>
      <c r="P1881" s="2"/>
    </row>
    <row r="1882" spans="2:16" ht="14.25">
      <c r="B1882" s="4"/>
      <c r="I1882" s="5"/>
      <c r="J1882" s="5"/>
      <c r="K1882" s="6"/>
      <c r="N1882" s="2"/>
      <c r="O1882" s="2"/>
      <c r="P1882" s="2"/>
    </row>
    <row r="1883" spans="2:16" ht="14.25">
      <c r="B1883" s="4"/>
      <c r="I1883" s="5"/>
      <c r="J1883" s="5"/>
      <c r="K1883" s="6"/>
      <c r="N1883" s="2"/>
      <c r="O1883" s="2"/>
      <c r="P1883" s="2"/>
    </row>
    <row r="1884" spans="2:16" ht="14.25">
      <c r="B1884" s="4"/>
      <c r="I1884" s="5"/>
      <c r="J1884" s="5"/>
      <c r="K1884" s="6"/>
      <c r="N1884" s="2"/>
      <c r="O1884" s="2"/>
      <c r="P1884" s="2"/>
    </row>
    <row r="1885" spans="2:16" ht="14.25">
      <c r="B1885" s="4"/>
      <c r="I1885" s="5"/>
      <c r="J1885" s="5"/>
      <c r="K1885" s="6"/>
      <c r="N1885" s="2"/>
      <c r="O1885" s="2"/>
      <c r="P1885" s="2"/>
    </row>
    <row r="1886" spans="2:16" ht="14.25">
      <c r="B1886" s="4"/>
      <c r="I1886" s="5"/>
      <c r="J1886" s="5"/>
      <c r="K1886" s="6"/>
      <c r="N1886" s="2"/>
      <c r="O1886" s="2"/>
      <c r="P1886" s="2"/>
    </row>
    <row r="1887" spans="2:16" ht="14.25">
      <c r="B1887" s="4"/>
      <c r="I1887" s="5"/>
      <c r="J1887" s="5"/>
      <c r="K1887" s="6"/>
      <c r="N1887" s="2"/>
      <c r="O1887" s="2"/>
      <c r="P1887" s="2"/>
    </row>
    <row r="1888" spans="2:16" ht="14.25">
      <c r="B1888" s="4"/>
      <c r="I1888" s="5"/>
      <c r="J1888" s="5"/>
      <c r="K1888" s="6"/>
      <c r="N1888" s="2"/>
      <c r="O1888" s="2"/>
      <c r="P1888" s="2"/>
    </row>
    <row r="1889" spans="2:16" ht="14.25">
      <c r="B1889" s="4"/>
      <c r="I1889" s="5"/>
      <c r="J1889" s="5"/>
      <c r="K1889" s="6"/>
      <c r="N1889" s="2"/>
      <c r="O1889" s="2"/>
      <c r="P1889" s="2"/>
    </row>
    <row r="1890" spans="2:16" ht="14.25">
      <c r="B1890" s="4"/>
      <c r="I1890" s="5"/>
      <c r="J1890" s="5"/>
      <c r="K1890" s="6"/>
      <c r="N1890" s="2"/>
      <c r="O1890" s="2"/>
      <c r="P1890" s="2"/>
    </row>
    <row r="1891" spans="2:16" ht="14.25">
      <c r="B1891" s="4"/>
      <c r="I1891" s="5"/>
      <c r="J1891" s="5"/>
      <c r="K1891" s="6"/>
      <c r="N1891" s="2"/>
      <c r="O1891" s="2"/>
      <c r="P1891" s="2"/>
    </row>
    <row r="1892" spans="2:16" ht="14.25">
      <c r="B1892" s="4"/>
      <c r="I1892" s="5"/>
      <c r="J1892" s="5"/>
      <c r="K1892" s="6"/>
      <c r="N1892" s="2"/>
      <c r="O1892" s="2"/>
      <c r="P1892" s="2"/>
    </row>
    <row r="1893" spans="2:16" ht="14.25">
      <c r="B1893" s="4"/>
      <c r="I1893" s="5"/>
      <c r="J1893" s="5"/>
      <c r="K1893" s="6"/>
      <c r="N1893" s="2"/>
      <c r="O1893" s="2"/>
      <c r="P1893" s="2"/>
    </row>
    <row r="1894" spans="2:16" ht="14.25">
      <c r="B1894" s="4"/>
      <c r="I1894" s="5"/>
      <c r="J1894" s="5"/>
      <c r="K1894" s="6"/>
      <c r="N1894" s="2"/>
      <c r="O1894" s="2"/>
      <c r="P1894" s="2"/>
    </row>
    <row r="1895" spans="2:16" ht="14.25">
      <c r="B1895" s="4"/>
      <c r="I1895" s="5"/>
      <c r="J1895" s="5"/>
      <c r="K1895" s="6"/>
      <c r="N1895" s="2"/>
      <c r="O1895" s="2"/>
      <c r="P1895" s="2"/>
    </row>
    <row r="1896" spans="2:16" ht="14.25">
      <c r="B1896" s="4"/>
      <c r="I1896" s="5"/>
      <c r="J1896" s="5"/>
      <c r="K1896" s="6"/>
      <c r="N1896" s="2"/>
      <c r="O1896" s="2"/>
      <c r="P1896" s="2"/>
    </row>
    <row r="1897" spans="2:16" ht="14.25">
      <c r="B1897" s="4"/>
      <c r="I1897" s="5"/>
      <c r="J1897" s="5"/>
      <c r="K1897" s="6"/>
      <c r="N1897" s="2"/>
      <c r="O1897" s="2"/>
      <c r="P1897" s="2"/>
    </row>
    <row r="1898" spans="2:16" ht="14.25">
      <c r="B1898" s="4"/>
      <c r="I1898" s="5"/>
      <c r="J1898" s="5"/>
      <c r="K1898" s="6"/>
      <c r="N1898" s="2"/>
      <c r="O1898" s="2"/>
      <c r="P1898" s="2"/>
    </row>
    <row r="1899" spans="2:16" ht="14.25">
      <c r="B1899" s="4"/>
      <c r="I1899" s="5"/>
      <c r="J1899" s="5"/>
      <c r="K1899" s="6"/>
      <c r="N1899" s="2"/>
      <c r="O1899" s="2"/>
      <c r="P1899" s="2"/>
    </row>
    <row r="1900" spans="2:16" ht="14.25">
      <c r="B1900" s="4"/>
      <c r="I1900" s="5"/>
      <c r="J1900" s="5"/>
      <c r="K1900" s="6"/>
      <c r="N1900" s="2"/>
      <c r="O1900" s="2"/>
      <c r="P1900" s="2"/>
    </row>
    <row r="1901" spans="2:16" ht="14.25">
      <c r="B1901" s="4"/>
      <c r="I1901" s="5"/>
      <c r="J1901" s="5"/>
      <c r="K1901" s="6"/>
      <c r="N1901" s="2"/>
      <c r="O1901" s="2"/>
      <c r="P1901" s="2"/>
    </row>
    <row r="1902" spans="2:16" ht="14.25">
      <c r="B1902" s="4"/>
      <c r="I1902" s="5"/>
      <c r="J1902" s="5"/>
      <c r="K1902" s="6"/>
      <c r="N1902" s="2"/>
      <c r="O1902" s="2"/>
      <c r="P1902" s="2"/>
    </row>
    <row r="1903" spans="2:16" ht="14.25">
      <c r="B1903" s="4"/>
      <c r="I1903" s="5"/>
      <c r="J1903" s="5"/>
      <c r="K1903" s="6"/>
      <c r="N1903" s="2"/>
      <c r="O1903" s="2"/>
      <c r="P1903" s="2"/>
    </row>
    <row r="1904" spans="2:16" ht="14.25">
      <c r="B1904" s="4"/>
      <c r="I1904" s="5"/>
      <c r="J1904" s="5"/>
      <c r="K1904" s="6"/>
      <c r="N1904" s="2"/>
      <c r="O1904" s="2"/>
      <c r="P1904" s="2"/>
    </row>
    <row r="1905" spans="2:16" ht="14.25">
      <c r="B1905" s="4"/>
      <c r="I1905" s="5"/>
      <c r="J1905" s="5"/>
      <c r="K1905" s="6"/>
      <c r="N1905" s="2"/>
      <c r="O1905" s="2"/>
      <c r="P1905" s="2"/>
    </row>
    <row r="1906" spans="2:16" ht="14.25">
      <c r="B1906" s="4"/>
      <c r="I1906" s="5"/>
      <c r="J1906" s="5"/>
      <c r="K1906" s="6"/>
      <c r="N1906" s="2"/>
      <c r="O1906" s="2"/>
      <c r="P1906" s="2"/>
    </row>
    <row r="1907" spans="2:16" ht="14.25">
      <c r="B1907" s="4"/>
      <c r="I1907" s="5"/>
      <c r="J1907" s="5"/>
      <c r="K1907" s="6"/>
      <c r="N1907" s="2"/>
      <c r="O1907" s="2"/>
      <c r="P1907" s="2"/>
    </row>
    <row r="1908" spans="2:16" ht="14.25">
      <c r="B1908" s="4"/>
      <c r="I1908" s="5"/>
      <c r="J1908" s="5"/>
      <c r="K1908" s="6"/>
      <c r="N1908" s="2"/>
      <c r="O1908" s="2"/>
      <c r="P1908" s="2"/>
    </row>
    <row r="1909" spans="2:16" ht="14.25">
      <c r="B1909" s="4"/>
      <c r="I1909" s="5"/>
      <c r="J1909" s="5"/>
      <c r="K1909" s="6"/>
      <c r="N1909" s="2"/>
      <c r="O1909" s="2"/>
      <c r="P1909" s="2"/>
    </row>
    <row r="1910" spans="2:16" ht="14.25">
      <c r="B1910" s="4"/>
      <c r="I1910" s="5"/>
      <c r="J1910" s="5"/>
      <c r="K1910" s="6"/>
      <c r="N1910" s="2"/>
      <c r="O1910" s="2"/>
      <c r="P1910" s="2"/>
    </row>
    <row r="1911" spans="2:16" ht="14.25">
      <c r="B1911" s="4"/>
      <c r="I1911" s="5"/>
      <c r="J1911" s="5"/>
      <c r="K1911" s="6"/>
      <c r="N1911" s="2"/>
      <c r="O1911" s="2"/>
      <c r="P1911" s="2"/>
    </row>
    <row r="1912" spans="2:16" ht="14.25">
      <c r="B1912" s="4"/>
      <c r="I1912" s="5"/>
      <c r="J1912" s="5"/>
      <c r="K1912" s="6"/>
      <c r="N1912" s="2"/>
      <c r="O1912" s="2"/>
      <c r="P1912" s="2"/>
    </row>
    <row r="1913" spans="2:16" ht="14.25">
      <c r="B1913" s="4"/>
      <c r="I1913" s="5"/>
      <c r="J1913" s="5"/>
      <c r="K1913" s="6"/>
      <c r="N1913" s="2"/>
      <c r="O1913" s="2"/>
      <c r="P1913" s="2"/>
    </row>
    <row r="1914" spans="2:16" ht="14.25">
      <c r="B1914" s="4"/>
      <c r="I1914" s="5"/>
      <c r="J1914" s="5"/>
      <c r="K1914" s="6"/>
      <c r="N1914" s="2"/>
      <c r="O1914" s="2"/>
      <c r="P1914" s="2"/>
    </row>
    <row r="1915" spans="2:16" ht="14.25">
      <c r="B1915" s="4"/>
      <c r="I1915" s="5"/>
      <c r="J1915" s="5"/>
      <c r="K1915" s="6"/>
      <c r="N1915" s="2"/>
      <c r="O1915" s="2"/>
      <c r="P1915" s="2"/>
    </row>
    <row r="1916" spans="2:16" ht="14.25">
      <c r="B1916" s="4"/>
      <c r="I1916" s="5"/>
      <c r="J1916" s="5"/>
      <c r="K1916" s="6"/>
      <c r="N1916" s="2"/>
      <c r="O1916" s="2"/>
      <c r="P1916" s="2"/>
    </row>
    <row r="1917" spans="2:16" ht="14.25">
      <c r="B1917" s="4"/>
      <c r="I1917" s="5"/>
      <c r="J1917" s="5"/>
      <c r="K1917" s="6"/>
      <c r="N1917" s="2"/>
      <c r="O1917" s="2"/>
      <c r="P1917" s="2"/>
    </row>
    <row r="1918" spans="2:16" ht="14.25">
      <c r="B1918" s="4"/>
      <c r="I1918" s="5"/>
      <c r="J1918" s="5"/>
      <c r="K1918" s="6"/>
      <c r="N1918" s="2"/>
      <c r="O1918" s="2"/>
      <c r="P1918" s="2"/>
    </row>
    <row r="1919" spans="2:16" ht="14.25">
      <c r="B1919" s="4"/>
      <c r="I1919" s="5"/>
      <c r="J1919" s="5"/>
      <c r="K1919" s="6"/>
      <c r="N1919" s="2"/>
      <c r="O1919" s="2"/>
      <c r="P1919" s="2"/>
    </row>
    <row r="1920" spans="2:16" ht="14.25">
      <c r="B1920" s="4"/>
      <c r="I1920" s="5"/>
      <c r="J1920" s="5"/>
      <c r="K1920" s="6"/>
      <c r="N1920" s="2"/>
      <c r="O1920" s="2"/>
      <c r="P1920" s="2"/>
    </row>
    <row r="1921" spans="2:16" ht="14.25">
      <c r="B1921" s="4"/>
      <c r="I1921" s="5"/>
      <c r="J1921" s="5"/>
      <c r="K1921" s="6"/>
      <c r="N1921" s="2"/>
      <c r="O1921" s="2"/>
      <c r="P1921" s="2"/>
    </row>
    <row r="1922" spans="2:16" ht="14.25">
      <c r="B1922" s="4"/>
      <c r="I1922" s="5"/>
      <c r="J1922" s="5"/>
      <c r="K1922" s="6"/>
      <c r="N1922" s="2"/>
      <c r="O1922" s="2"/>
      <c r="P1922" s="2"/>
    </row>
    <row r="1923" spans="2:16" ht="14.25">
      <c r="B1923" s="4"/>
      <c r="I1923" s="5"/>
      <c r="J1923" s="5"/>
      <c r="K1923" s="6"/>
      <c r="N1923" s="2"/>
      <c r="O1923" s="2"/>
      <c r="P1923" s="2"/>
    </row>
    <row r="1924" spans="2:16" ht="14.25">
      <c r="B1924" s="4"/>
      <c r="I1924" s="5"/>
      <c r="J1924" s="5"/>
      <c r="K1924" s="6"/>
      <c r="N1924" s="2"/>
      <c r="O1924" s="2"/>
      <c r="P1924" s="2"/>
    </row>
    <row r="1925" spans="2:16" ht="14.25">
      <c r="B1925" s="4"/>
      <c r="I1925" s="5"/>
      <c r="J1925" s="5"/>
      <c r="K1925" s="6"/>
      <c r="N1925" s="2"/>
      <c r="O1925" s="2"/>
      <c r="P1925" s="2"/>
    </row>
    <row r="1926" spans="2:16" ht="14.25">
      <c r="B1926" s="4"/>
      <c r="I1926" s="5"/>
      <c r="J1926" s="5"/>
      <c r="K1926" s="6"/>
      <c r="N1926" s="2"/>
      <c r="O1926" s="2"/>
      <c r="P1926" s="2"/>
    </row>
    <row r="1927" spans="2:16" ht="14.25">
      <c r="B1927" s="4"/>
      <c r="I1927" s="5"/>
      <c r="J1927" s="5"/>
      <c r="K1927" s="6"/>
      <c r="N1927" s="2"/>
      <c r="O1927" s="2"/>
      <c r="P1927" s="2"/>
    </row>
    <row r="1928" spans="2:16" ht="14.25">
      <c r="B1928" s="4"/>
      <c r="I1928" s="5"/>
      <c r="J1928" s="5"/>
      <c r="K1928" s="6"/>
      <c r="N1928" s="2"/>
      <c r="O1928" s="2"/>
      <c r="P1928" s="2"/>
    </row>
    <row r="1929" spans="2:16" ht="14.25">
      <c r="B1929" s="4"/>
      <c r="I1929" s="5"/>
      <c r="J1929" s="5"/>
      <c r="K1929" s="6"/>
      <c r="N1929" s="2"/>
      <c r="O1929" s="2"/>
      <c r="P1929" s="2"/>
    </row>
    <row r="1930" spans="2:16" ht="14.25">
      <c r="B1930" s="4"/>
      <c r="I1930" s="5"/>
      <c r="J1930" s="5"/>
      <c r="K1930" s="6"/>
      <c r="N1930" s="2"/>
      <c r="O1930" s="2"/>
      <c r="P1930" s="2"/>
    </row>
    <row r="1931" spans="2:16" ht="14.25">
      <c r="B1931" s="4"/>
      <c r="I1931" s="5"/>
      <c r="J1931" s="5"/>
      <c r="K1931" s="6"/>
      <c r="N1931" s="2"/>
      <c r="O1931" s="2"/>
      <c r="P1931" s="2"/>
    </row>
    <row r="1932" spans="2:16" ht="14.25">
      <c r="B1932" s="4"/>
      <c r="I1932" s="5"/>
      <c r="J1932" s="5"/>
      <c r="K1932" s="6"/>
      <c r="N1932" s="2"/>
      <c r="O1932" s="2"/>
      <c r="P1932" s="2"/>
    </row>
    <row r="1933" spans="2:16" ht="14.25">
      <c r="B1933" s="4"/>
      <c r="I1933" s="5"/>
      <c r="J1933" s="5"/>
      <c r="K1933" s="6"/>
      <c r="N1933" s="2"/>
      <c r="O1933" s="2"/>
      <c r="P1933" s="2"/>
    </row>
    <row r="1934" spans="2:16" ht="14.25">
      <c r="B1934" s="4"/>
      <c r="I1934" s="5"/>
      <c r="J1934" s="5"/>
      <c r="K1934" s="6"/>
      <c r="N1934" s="2"/>
      <c r="O1934" s="2"/>
      <c r="P1934" s="2"/>
    </row>
    <row r="1935" spans="2:16" ht="14.25">
      <c r="B1935" s="4"/>
      <c r="I1935" s="5"/>
      <c r="J1935" s="5"/>
      <c r="K1935" s="6"/>
      <c r="N1935" s="2"/>
      <c r="O1935" s="2"/>
      <c r="P1935" s="2"/>
    </row>
    <row r="1936" spans="2:16" ht="14.25">
      <c r="B1936" s="4"/>
      <c r="I1936" s="5"/>
      <c r="J1936" s="5"/>
      <c r="K1936" s="6"/>
      <c r="N1936" s="2"/>
      <c r="O1936" s="2"/>
      <c r="P1936" s="2"/>
    </row>
    <row r="1937" spans="2:16" ht="14.25">
      <c r="B1937" s="4"/>
      <c r="I1937" s="5"/>
      <c r="J1937" s="5"/>
      <c r="K1937" s="6"/>
      <c r="N1937" s="2"/>
      <c r="O1937" s="2"/>
      <c r="P1937" s="2"/>
    </row>
    <row r="1938" spans="2:16" ht="14.25">
      <c r="B1938" s="4"/>
      <c r="I1938" s="5"/>
      <c r="J1938" s="5"/>
      <c r="K1938" s="6"/>
      <c r="N1938" s="2"/>
      <c r="O1938" s="2"/>
      <c r="P1938" s="2"/>
    </row>
    <row r="1939" spans="2:16" ht="14.25">
      <c r="B1939" s="4"/>
      <c r="I1939" s="5"/>
      <c r="J1939" s="5"/>
      <c r="K1939" s="6"/>
      <c r="N1939" s="2"/>
      <c r="O1939" s="2"/>
      <c r="P1939" s="2"/>
    </row>
    <row r="1940" spans="2:16" ht="14.25">
      <c r="B1940" s="4"/>
      <c r="I1940" s="5"/>
      <c r="J1940" s="5"/>
      <c r="K1940" s="6"/>
      <c r="N1940" s="2"/>
      <c r="O1940" s="2"/>
      <c r="P1940" s="2"/>
    </row>
    <row r="1941" spans="2:16" ht="14.25">
      <c r="B1941" s="4"/>
      <c r="I1941" s="5"/>
      <c r="J1941" s="5"/>
      <c r="K1941" s="6"/>
      <c r="N1941" s="2"/>
      <c r="O1941" s="2"/>
      <c r="P1941" s="2"/>
    </row>
    <row r="1942" spans="2:16" ht="14.25">
      <c r="B1942" s="4"/>
      <c r="I1942" s="5"/>
      <c r="J1942" s="5"/>
      <c r="K1942" s="6"/>
      <c r="N1942" s="2"/>
      <c r="O1942" s="2"/>
      <c r="P1942" s="2"/>
    </row>
    <row r="1943" spans="2:16" ht="14.25">
      <c r="B1943" s="4"/>
      <c r="I1943" s="5"/>
      <c r="J1943" s="5"/>
      <c r="K1943" s="6"/>
      <c r="N1943" s="2"/>
      <c r="O1943" s="2"/>
      <c r="P1943" s="2"/>
    </row>
    <row r="1944" spans="2:16" ht="14.25">
      <c r="B1944" s="4"/>
      <c r="I1944" s="5"/>
      <c r="J1944" s="5"/>
      <c r="K1944" s="6"/>
      <c r="N1944" s="2"/>
      <c r="O1944" s="2"/>
      <c r="P1944" s="2"/>
    </row>
    <row r="1945" spans="2:16" ht="14.25">
      <c r="B1945" s="4"/>
      <c r="I1945" s="5"/>
      <c r="J1945" s="5"/>
      <c r="K1945" s="6"/>
      <c r="N1945" s="2"/>
      <c r="O1945" s="2"/>
      <c r="P1945" s="2"/>
    </row>
    <row r="1946" spans="2:16" ht="14.25">
      <c r="B1946" s="4"/>
      <c r="I1946" s="5"/>
      <c r="J1946" s="5"/>
      <c r="K1946" s="6"/>
      <c r="N1946" s="2"/>
      <c r="O1946" s="2"/>
      <c r="P1946" s="2"/>
    </row>
    <row r="1947" spans="2:16" ht="14.25">
      <c r="B1947" s="4"/>
      <c r="I1947" s="5"/>
      <c r="J1947" s="5"/>
      <c r="K1947" s="6"/>
      <c r="N1947" s="2"/>
      <c r="O1947" s="2"/>
      <c r="P1947" s="2"/>
    </row>
    <row r="1948" spans="2:16" ht="14.25">
      <c r="B1948" s="4"/>
      <c r="I1948" s="5"/>
      <c r="J1948" s="5"/>
      <c r="K1948" s="6"/>
      <c r="N1948" s="2"/>
      <c r="O1948" s="2"/>
      <c r="P1948" s="2"/>
    </row>
    <row r="1949" spans="2:16" ht="14.25">
      <c r="B1949" s="4"/>
      <c r="I1949" s="5"/>
      <c r="J1949" s="5"/>
      <c r="K1949" s="6"/>
      <c r="N1949" s="2"/>
      <c r="O1949" s="2"/>
      <c r="P1949" s="2"/>
    </row>
    <row r="1950" spans="2:16" ht="14.25">
      <c r="B1950" s="4"/>
      <c r="I1950" s="5"/>
      <c r="J1950" s="5"/>
      <c r="K1950" s="6"/>
      <c r="N1950" s="2"/>
      <c r="O1950" s="2"/>
      <c r="P1950" s="2"/>
    </row>
    <row r="1951" spans="2:16" ht="14.25">
      <c r="B1951" s="4"/>
      <c r="I1951" s="5"/>
      <c r="J1951" s="5"/>
      <c r="K1951" s="6"/>
      <c r="N1951" s="2"/>
      <c r="O1951" s="2"/>
      <c r="P1951" s="2"/>
    </row>
    <row r="1952" spans="2:16" ht="14.25">
      <c r="B1952" s="4"/>
      <c r="I1952" s="5"/>
      <c r="J1952" s="5"/>
      <c r="K1952" s="6"/>
      <c r="N1952" s="2"/>
      <c r="O1952" s="2"/>
      <c r="P1952" s="2"/>
    </row>
    <row r="1953" spans="2:16" ht="14.25">
      <c r="B1953" s="4"/>
      <c r="I1953" s="5"/>
      <c r="J1953" s="5"/>
      <c r="K1953" s="6"/>
      <c r="N1953" s="2"/>
      <c r="O1953" s="2"/>
      <c r="P1953" s="2"/>
    </row>
    <row r="1954" spans="2:16" ht="14.25">
      <c r="B1954" s="4"/>
      <c r="I1954" s="5"/>
      <c r="J1954" s="5"/>
      <c r="K1954" s="6"/>
      <c r="N1954" s="2"/>
      <c r="O1954" s="2"/>
      <c r="P1954" s="2"/>
    </row>
    <row r="1955" spans="2:16" ht="14.25">
      <c r="B1955" s="4"/>
      <c r="I1955" s="5"/>
      <c r="J1955" s="5"/>
      <c r="K1955" s="6"/>
      <c r="N1955" s="2"/>
      <c r="O1955" s="2"/>
      <c r="P1955" s="2"/>
    </row>
    <row r="1956" spans="2:16" ht="14.25">
      <c r="B1956" s="4"/>
      <c r="I1956" s="5"/>
      <c r="J1956" s="5"/>
      <c r="K1956" s="6"/>
      <c r="N1956" s="2"/>
      <c r="O1956" s="2"/>
      <c r="P1956" s="2"/>
    </row>
    <row r="1957" spans="2:16" ht="14.25">
      <c r="B1957" s="4"/>
      <c r="I1957" s="5"/>
      <c r="J1957" s="5"/>
      <c r="K1957" s="6"/>
      <c r="N1957" s="2"/>
      <c r="O1957" s="2"/>
      <c r="P1957" s="2"/>
    </row>
    <row r="1958" spans="2:16" ht="14.25">
      <c r="B1958" s="4"/>
      <c r="I1958" s="5"/>
      <c r="J1958" s="5"/>
      <c r="K1958" s="6"/>
      <c r="N1958" s="2"/>
      <c r="O1958" s="2"/>
      <c r="P1958" s="2"/>
    </row>
    <row r="1959" spans="2:16" ht="14.25">
      <c r="B1959" s="4"/>
      <c r="I1959" s="5"/>
      <c r="J1959" s="5"/>
      <c r="K1959" s="6"/>
      <c r="N1959" s="2"/>
      <c r="O1959" s="2"/>
      <c r="P1959" s="2"/>
    </row>
    <row r="1960" spans="2:16" ht="14.25">
      <c r="B1960" s="4"/>
      <c r="I1960" s="5"/>
      <c r="J1960" s="5"/>
      <c r="K1960" s="6"/>
      <c r="N1960" s="2"/>
      <c r="O1960" s="2"/>
      <c r="P1960" s="2"/>
    </row>
    <row r="1961" spans="2:16" ht="14.25">
      <c r="B1961" s="4"/>
      <c r="I1961" s="5"/>
      <c r="J1961" s="5"/>
      <c r="K1961" s="6"/>
      <c r="N1961" s="2"/>
      <c r="O1961" s="2"/>
      <c r="P1961" s="2"/>
    </row>
    <row r="1962" spans="2:16" ht="14.25">
      <c r="B1962" s="4"/>
      <c r="I1962" s="5"/>
      <c r="J1962" s="5"/>
      <c r="K1962" s="6"/>
      <c r="N1962" s="2"/>
      <c r="O1962" s="2"/>
      <c r="P1962" s="2"/>
    </row>
    <row r="1963" spans="2:16" ht="14.25">
      <c r="B1963" s="4"/>
      <c r="I1963" s="5"/>
      <c r="J1963" s="5"/>
      <c r="K1963" s="6"/>
      <c r="N1963" s="2"/>
      <c r="O1963" s="2"/>
      <c r="P1963" s="2"/>
    </row>
    <row r="1964" spans="2:16" ht="14.25">
      <c r="B1964" s="4"/>
      <c r="I1964" s="5"/>
      <c r="J1964" s="5"/>
      <c r="K1964" s="6"/>
      <c r="N1964" s="2"/>
      <c r="O1964" s="2"/>
      <c r="P1964" s="2"/>
    </row>
    <row r="1965" spans="2:16" ht="14.25">
      <c r="B1965" s="4"/>
      <c r="I1965" s="5"/>
      <c r="J1965" s="5"/>
      <c r="K1965" s="6"/>
      <c r="N1965" s="2"/>
      <c r="O1965" s="2"/>
      <c r="P1965" s="2"/>
    </row>
    <row r="1966" spans="2:16" ht="14.25">
      <c r="B1966" s="4"/>
      <c r="I1966" s="5"/>
      <c r="J1966" s="5"/>
      <c r="K1966" s="6"/>
      <c r="N1966" s="2"/>
      <c r="O1966" s="2"/>
      <c r="P1966" s="2"/>
    </row>
    <row r="1967" spans="2:16" ht="14.25">
      <c r="B1967" s="4"/>
      <c r="I1967" s="5"/>
      <c r="J1967" s="5"/>
      <c r="K1967" s="6"/>
      <c r="N1967" s="2"/>
      <c r="O1967" s="2"/>
      <c r="P1967" s="2"/>
    </row>
    <row r="1968" spans="2:16" ht="14.25">
      <c r="B1968" s="4"/>
      <c r="I1968" s="5"/>
      <c r="J1968" s="5"/>
      <c r="K1968" s="6"/>
      <c r="N1968" s="2"/>
      <c r="O1968" s="2"/>
      <c r="P1968" s="2"/>
    </row>
    <row r="1969" spans="2:16" ht="14.25">
      <c r="B1969" s="4"/>
      <c r="I1969" s="5"/>
      <c r="J1969" s="5"/>
      <c r="K1969" s="6"/>
      <c r="N1969" s="2"/>
      <c r="O1969" s="2"/>
      <c r="P1969" s="2"/>
    </row>
    <row r="1970" spans="2:16" ht="14.25">
      <c r="B1970" s="4"/>
      <c r="I1970" s="5"/>
      <c r="J1970" s="5"/>
      <c r="K1970" s="6"/>
      <c r="N1970" s="2"/>
      <c r="O1970" s="2"/>
      <c r="P1970" s="2"/>
    </row>
    <row r="1971" spans="2:16" ht="14.25">
      <c r="B1971" s="4"/>
      <c r="I1971" s="5"/>
      <c r="J1971" s="5"/>
      <c r="K1971" s="6"/>
      <c r="N1971" s="2"/>
      <c r="O1971" s="2"/>
      <c r="P1971" s="2"/>
    </row>
    <row r="1972" spans="2:16" ht="14.25">
      <c r="B1972" s="4"/>
      <c r="I1972" s="5"/>
      <c r="J1972" s="5"/>
      <c r="K1972" s="6"/>
      <c r="N1972" s="2"/>
      <c r="O1972" s="2"/>
      <c r="P1972" s="2"/>
    </row>
    <row r="1973" spans="2:16" ht="14.25">
      <c r="B1973" s="4"/>
      <c r="I1973" s="5"/>
      <c r="J1973" s="5"/>
      <c r="K1973" s="6"/>
      <c r="N1973" s="2"/>
      <c r="O1973" s="2"/>
      <c r="P1973" s="2"/>
    </row>
    <row r="1974" spans="2:16" ht="14.25">
      <c r="B1974" s="4"/>
      <c r="I1974" s="5"/>
      <c r="J1974" s="5"/>
      <c r="K1974" s="6"/>
      <c r="N1974" s="2"/>
      <c r="O1974" s="2"/>
      <c r="P1974" s="2"/>
    </row>
    <row r="1975" spans="2:16" ht="14.25">
      <c r="B1975" s="4"/>
      <c r="I1975" s="5"/>
      <c r="J1975" s="5"/>
      <c r="K1975" s="6"/>
      <c r="N1975" s="2"/>
      <c r="O1975" s="2"/>
      <c r="P1975" s="2"/>
    </row>
    <row r="1976" spans="2:16" ht="14.25">
      <c r="B1976" s="4"/>
      <c r="I1976" s="5"/>
      <c r="J1976" s="5"/>
      <c r="K1976" s="6"/>
      <c r="N1976" s="2"/>
      <c r="O1976" s="2"/>
      <c r="P1976" s="2"/>
    </row>
    <row r="1977" spans="2:16" ht="14.25">
      <c r="B1977" s="4"/>
      <c r="I1977" s="5"/>
      <c r="J1977" s="5"/>
      <c r="K1977" s="6"/>
      <c r="N1977" s="2"/>
      <c r="O1977" s="2"/>
      <c r="P1977" s="2"/>
    </row>
    <row r="1978" spans="2:16" ht="14.25">
      <c r="B1978" s="4"/>
      <c r="I1978" s="5"/>
      <c r="J1978" s="5"/>
      <c r="K1978" s="6"/>
      <c r="N1978" s="2"/>
      <c r="O1978" s="2"/>
      <c r="P1978" s="2"/>
    </row>
    <row r="1979" spans="2:16" ht="14.25">
      <c r="B1979" s="4"/>
      <c r="I1979" s="5"/>
      <c r="J1979" s="5"/>
      <c r="K1979" s="6"/>
      <c r="N1979" s="2"/>
      <c r="O1979" s="2"/>
      <c r="P1979" s="2"/>
    </row>
    <row r="1980" spans="2:16" ht="14.25">
      <c r="B1980" s="4"/>
      <c r="I1980" s="5"/>
      <c r="J1980" s="5"/>
      <c r="K1980" s="6"/>
      <c r="N1980" s="2"/>
      <c r="O1980" s="2"/>
      <c r="P1980" s="2"/>
    </row>
    <row r="1981" spans="2:16" ht="14.25">
      <c r="B1981" s="4"/>
      <c r="I1981" s="5"/>
      <c r="J1981" s="5"/>
      <c r="K1981" s="6"/>
      <c r="N1981" s="2"/>
      <c r="O1981" s="2"/>
      <c r="P1981" s="2"/>
    </row>
    <row r="1982" spans="2:16" ht="14.25">
      <c r="B1982" s="4"/>
      <c r="I1982" s="5"/>
      <c r="J1982" s="5"/>
      <c r="K1982" s="6"/>
      <c r="N1982" s="2"/>
      <c r="O1982" s="2"/>
      <c r="P1982" s="2"/>
    </row>
    <row r="1983" spans="2:16" ht="14.25">
      <c r="B1983" s="4"/>
      <c r="I1983" s="5"/>
      <c r="J1983" s="5"/>
      <c r="K1983" s="6"/>
      <c r="N1983" s="2"/>
      <c r="O1983" s="2"/>
      <c r="P1983" s="2"/>
    </row>
    <row r="1984" spans="2:16" ht="14.25">
      <c r="B1984" s="4"/>
      <c r="I1984" s="5"/>
      <c r="J1984" s="5"/>
      <c r="K1984" s="6"/>
      <c r="N1984" s="2"/>
      <c r="O1984" s="2"/>
      <c r="P1984" s="2"/>
    </row>
    <row r="1985" spans="2:16" ht="14.25">
      <c r="B1985" s="4"/>
      <c r="I1985" s="5"/>
      <c r="J1985" s="5"/>
      <c r="K1985" s="6"/>
      <c r="N1985" s="2"/>
      <c r="O1985" s="2"/>
      <c r="P1985" s="2"/>
    </row>
    <row r="1986" spans="2:16" ht="14.25">
      <c r="B1986" s="4"/>
      <c r="I1986" s="5"/>
      <c r="J1986" s="5"/>
      <c r="K1986" s="6"/>
      <c r="N1986" s="2"/>
      <c r="O1986" s="2"/>
      <c r="P1986" s="2"/>
    </row>
    <row r="1987" spans="2:16" ht="14.25">
      <c r="B1987" s="4"/>
      <c r="I1987" s="5"/>
      <c r="J1987" s="5"/>
      <c r="K1987" s="6"/>
      <c r="N1987" s="2"/>
      <c r="O1987" s="2"/>
      <c r="P1987" s="2"/>
    </row>
    <row r="1988" spans="2:16" ht="14.25">
      <c r="B1988" s="4"/>
      <c r="I1988" s="5"/>
      <c r="J1988" s="5"/>
      <c r="K1988" s="6"/>
      <c r="N1988" s="2"/>
      <c r="O1988" s="2"/>
      <c r="P1988" s="2"/>
    </row>
    <row r="1989" spans="2:16" ht="14.25">
      <c r="B1989" s="4"/>
      <c r="I1989" s="5"/>
      <c r="J1989" s="5"/>
      <c r="K1989" s="6"/>
      <c r="N1989" s="2"/>
      <c r="O1989" s="2"/>
      <c r="P1989" s="2"/>
    </row>
    <row r="1990" spans="2:16" ht="14.25">
      <c r="B1990" s="4"/>
      <c r="I1990" s="5"/>
      <c r="J1990" s="5"/>
      <c r="K1990" s="6"/>
      <c r="N1990" s="2"/>
      <c r="O1990" s="2"/>
      <c r="P1990" s="2"/>
    </row>
    <row r="1991" spans="2:16" ht="14.25">
      <c r="B1991" s="4"/>
      <c r="I1991" s="5"/>
      <c r="J1991" s="5"/>
      <c r="K1991" s="6"/>
      <c r="N1991" s="2"/>
      <c r="O1991" s="2"/>
      <c r="P1991" s="2"/>
    </row>
    <row r="1992" spans="2:16" ht="14.25">
      <c r="B1992" s="4"/>
      <c r="I1992" s="5"/>
      <c r="J1992" s="5"/>
      <c r="K1992" s="6"/>
      <c r="N1992" s="2"/>
      <c r="O1992" s="2"/>
      <c r="P1992" s="2"/>
    </row>
    <row r="1993" spans="2:16" ht="14.25">
      <c r="B1993" s="4"/>
      <c r="I1993" s="5"/>
      <c r="J1993" s="5"/>
      <c r="K1993" s="6"/>
      <c r="N1993" s="2"/>
      <c r="O1993" s="2"/>
      <c r="P1993" s="2"/>
    </row>
    <row r="1994" spans="2:16" ht="14.25">
      <c r="B1994" s="4"/>
      <c r="I1994" s="5"/>
      <c r="J1994" s="5"/>
      <c r="K1994" s="6"/>
      <c r="N1994" s="2"/>
      <c r="O1994" s="2"/>
      <c r="P1994" s="2"/>
    </row>
    <row r="1995" spans="2:16" ht="14.25">
      <c r="B1995" s="4"/>
      <c r="I1995" s="5"/>
      <c r="J1995" s="5"/>
      <c r="K1995" s="6"/>
      <c r="N1995" s="2"/>
      <c r="O1995" s="2"/>
      <c r="P1995" s="2"/>
    </row>
    <row r="1996" spans="2:16" ht="14.25">
      <c r="B1996" s="4"/>
      <c r="I1996" s="5"/>
      <c r="J1996" s="5"/>
      <c r="K1996" s="6"/>
      <c r="N1996" s="2"/>
      <c r="O1996" s="2"/>
      <c r="P1996" s="2"/>
    </row>
    <row r="1997" spans="2:16" ht="14.25">
      <c r="B1997" s="4"/>
      <c r="I1997" s="5"/>
      <c r="J1997" s="5"/>
      <c r="K1997" s="6"/>
      <c r="N1997" s="2"/>
      <c r="O1997" s="2"/>
      <c r="P1997" s="2"/>
    </row>
    <row r="1998" spans="2:16" ht="14.25">
      <c r="B1998" s="4"/>
      <c r="I1998" s="5"/>
      <c r="J1998" s="5"/>
      <c r="K1998" s="6"/>
      <c r="N1998" s="2"/>
      <c r="O1998" s="2"/>
      <c r="P1998" s="2"/>
    </row>
    <row r="1999" spans="2:16" ht="14.25">
      <c r="B1999" s="4"/>
      <c r="I1999" s="5"/>
      <c r="J1999" s="5"/>
      <c r="K1999" s="6"/>
      <c r="N1999" s="2"/>
      <c r="O1999" s="2"/>
      <c r="P1999" s="2"/>
    </row>
    <row r="2000" spans="2:16" ht="14.25">
      <c r="B2000" s="4"/>
      <c r="I2000" s="5"/>
      <c r="J2000" s="5"/>
      <c r="K2000" s="6"/>
      <c r="N2000" s="2"/>
      <c r="O2000" s="2"/>
      <c r="P2000" s="2"/>
    </row>
    <row r="2001" spans="2:16" ht="14.25">
      <c r="B2001" s="4"/>
      <c r="I2001" s="5"/>
      <c r="J2001" s="5"/>
      <c r="K2001" s="6"/>
      <c r="N2001" s="2"/>
      <c r="O2001" s="2"/>
      <c r="P2001" s="2"/>
    </row>
    <row r="2002" spans="2:16" ht="14.25">
      <c r="B2002" s="4"/>
      <c r="I2002" s="5"/>
      <c r="J2002" s="5"/>
      <c r="K2002" s="6"/>
      <c r="N2002" s="2"/>
      <c r="O2002" s="2"/>
      <c r="P2002" s="2"/>
    </row>
    <row r="2003" spans="2:16" ht="14.25">
      <c r="B2003" s="4"/>
      <c r="I2003" s="5"/>
      <c r="J2003" s="5"/>
      <c r="K2003" s="6"/>
      <c r="N2003" s="2"/>
      <c r="O2003" s="2"/>
      <c r="P2003" s="2"/>
    </row>
    <row r="2004" spans="2:16" ht="14.25">
      <c r="B2004" s="4"/>
      <c r="I2004" s="5"/>
      <c r="J2004" s="5"/>
      <c r="K2004" s="6"/>
      <c r="N2004" s="2"/>
      <c r="O2004" s="2"/>
      <c r="P2004" s="2"/>
    </row>
    <row r="2005" spans="2:16" ht="14.25">
      <c r="B2005" s="4"/>
      <c r="I2005" s="5"/>
      <c r="J2005" s="5"/>
      <c r="K2005" s="6"/>
      <c r="N2005" s="2"/>
      <c r="O2005" s="2"/>
      <c r="P2005" s="2"/>
    </row>
    <row r="2006" spans="2:16" ht="14.25">
      <c r="B2006" s="4"/>
      <c r="I2006" s="5"/>
      <c r="J2006" s="5"/>
      <c r="K2006" s="6"/>
      <c r="N2006" s="2"/>
      <c r="O2006" s="2"/>
      <c r="P2006" s="2"/>
    </row>
    <row r="2007" spans="2:16" ht="14.25">
      <c r="B2007" s="4"/>
      <c r="I2007" s="5"/>
      <c r="J2007" s="5"/>
      <c r="K2007" s="6"/>
      <c r="N2007" s="2"/>
      <c r="O2007" s="2"/>
      <c r="P2007" s="2"/>
    </row>
    <row r="2008" spans="2:16" ht="14.25">
      <c r="B2008" s="4"/>
      <c r="I2008" s="5"/>
      <c r="J2008" s="5"/>
      <c r="K2008" s="6"/>
      <c r="N2008" s="2"/>
      <c r="O2008" s="2"/>
      <c r="P2008" s="2"/>
    </row>
    <row r="2009" spans="2:16" ht="14.25">
      <c r="B2009" s="4"/>
      <c r="I2009" s="5"/>
      <c r="J2009" s="5"/>
      <c r="K2009" s="6"/>
      <c r="N2009" s="2"/>
      <c r="O2009" s="2"/>
      <c r="P2009" s="2"/>
    </row>
    <row r="2010" spans="2:16" ht="14.25">
      <c r="B2010" s="4"/>
      <c r="I2010" s="5"/>
      <c r="J2010" s="5"/>
      <c r="K2010" s="6"/>
      <c r="N2010" s="2"/>
      <c r="O2010" s="2"/>
      <c r="P2010" s="2"/>
    </row>
    <row r="2011" spans="2:16" ht="14.25">
      <c r="B2011" s="4"/>
      <c r="I2011" s="5"/>
      <c r="J2011" s="5"/>
      <c r="K2011" s="6"/>
      <c r="N2011" s="2"/>
      <c r="O2011" s="2"/>
      <c r="P2011" s="2"/>
    </row>
    <row r="2012" spans="2:16" ht="14.25">
      <c r="B2012" s="4"/>
      <c r="I2012" s="5"/>
      <c r="J2012" s="5"/>
      <c r="K2012" s="6"/>
      <c r="N2012" s="2"/>
      <c r="O2012" s="2"/>
      <c r="P2012" s="2"/>
    </row>
    <row r="2013" spans="2:16" ht="14.25">
      <c r="B2013" s="4"/>
      <c r="I2013" s="5"/>
      <c r="J2013" s="5"/>
      <c r="K2013" s="6"/>
      <c r="N2013" s="2"/>
      <c r="O2013" s="2"/>
      <c r="P2013" s="2"/>
    </row>
    <row r="2014" spans="2:16" ht="14.25">
      <c r="B2014" s="4"/>
      <c r="I2014" s="5"/>
      <c r="J2014" s="5"/>
      <c r="K2014" s="6"/>
      <c r="N2014" s="2"/>
      <c r="O2014" s="2"/>
      <c r="P2014" s="2"/>
    </row>
    <row r="2015" spans="2:16" ht="14.25">
      <c r="B2015" s="4"/>
      <c r="I2015" s="5"/>
      <c r="J2015" s="5"/>
      <c r="K2015" s="6"/>
      <c r="N2015" s="2"/>
      <c r="O2015" s="2"/>
      <c r="P2015" s="2"/>
    </row>
    <row r="2016" spans="2:16" ht="14.25">
      <c r="B2016" s="4"/>
      <c r="I2016" s="5"/>
      <c r="J2016" s="5"/>
      <c r="K2016" s="6"/>
      <c r="N2016" s="2"/>
      <c r="O2016" s="2"/>
      <c r="P2016" s="2"/>
    </row>
    <row r="2017" spans="2:16" ht="14.25">
      <c r="B2017" s="4"/>
      <c r="I2017" s="5"/>
      <c r="J2017" s="5"/>
      <c r="K2017" s="6"/>
      <c r="N2017" s="2"/>
      <c r="O2017" s="2"/>
      <c r="P2017" s="2"/>
    </row>
    <row r="2018" spans="2:16" ht="14.25">
      <c r="B2018" s="4"/>
      <c r="I2018" s="5"/>
      <c r="J2018" s="5"/>
      <c r="K2018" s="6"/>
      <c r="N2018" s="2"/>
      <c r="O2018" s="2"/>
      <c r="P2018" s="2"/>
    </row>
    <row r="2019" spans="2:16" ht="14.25">
      <c r="B2019" s="4"/>
      <c r="I2019" s="5"/>
      <c r="J2019" s="5"/>
      <c r="K2019" s="6"/>
      <c r="N2019" s="2"/>
      <c r="O2019" s="2"/>
      <c r="P2019" s="2"/>
    </row>
    <row r="2020" spans="2:16" ht="14.25">
      <c r="B2020" s="4"/>
      <c r="I2020" s="5"/>
      <c r="J2020" s="5"/>
      <c r="K2020" s="6"/>
      <c r="N2020" s="2"/>
      <c r="O2020" s="2"/>
      <c r="P2020" s="2"/>
    </row>
    <row r="2021" spans="2:16" ht="14.25">
      <c r="B2021" s="4"/>
      <c r="I2021" s="5"/>
      <c r="J2021" s="5"/>
      <c r="K2021" s="6"/>
      <c r="N2021" s="2"/>
      <c r="O2021" s="2"/>
      <c r="P2021" s="2"/>
    </row>
    <row r="2022" spans="2:16" ht="14.25">
      <c r="B2022" s="4"/>
      <c r="I2022" s="5"/>
      <c r="J2022" s="5"/>
      <c r="K2022" s="6"/>
      <c r="N2022" s="2"/>
      <c r="O2022" s="2"/>
      <c r="P2022" s="2"/>
    </row>
    <row r="2023" spans="2:16" ht="14.25">
      <c r="B2023" s="4"/>
      <c r="I2023" s="5"/>
      <c r="J2023" s="5"/>
      <c r="K2023" s="6"/>
      <c r="N2023" s="2"/>
      <c r="O2023" s="2"/>
      <c r="P2023" s="2"/>
    </row>
    <row r="2024" spans="2:16" ht="14.25">
      <c r="B2024" s="4"/>
      <c r="I2024" s="5"/>
      <c r="J2024" s="5"/>
      <c r="K2024" s="6"/>
      <c r="N2024" s="2"/>
      <c r="O2024" s="2"/>
      <c r="P2024" s="2"/>
    </row>
    <row r="2025" spans="2:16" ht="14.25">
      <c r="B2025" s="4"/>
      <c r="I2025" s="5"/>
      <c r="J2025" s="5"/>
      <c r="K2025" s="6"/>
      <c r="N2025" s="2"/>
      <c r="O2025" s="2"/>
      <c r="P2025" s="2"/>
    </row>
    <row r="2026" spans="2:16" ht="14.25">
      <c r="B2026" s="4"/>
      <c r="I2026" s="5"/>
      <c r="J2026" s="5"/>
      <c r="K2026" s="6"/>
      <c r="N2026" s="2"/>
      <c r="O2026" s="2"/>
      <c r="P2026" s="2"/>
    </row>
    <row r="2027" spans="2:16" ht="14.25">
      <c r="B2027" s="4"/>
      <c r="I2027" s="5"/>
      <c r="J2027" s="5"/>
      <c r="K2027" s="6"/>
      <c r="N2027" s="2"/>
      <c r="O2027" s="2"/>
      <c r="P2027" s="2"/>
    </row>
    <row r="2028" spans="2:16" ht="14.25">
      <c r="B2028" s="4"/>
      <c r="I2028" s="5"/>
      <c r="J2028" s="5"/>
      <c r="K2028" s="6"/>
      <c r="N2028" s="2"/>
      <c r="O2028" s="2"/>
      <c r="P2028" s="2"/>
    </row>
    <row r="2029" spans="2:16" ht="14.25">
      <c r="B2029" s="4"/>
      <c r="I2029" s="5"/>
      <c r="J2029" s="5"/>
      <c r="K2029" s="6"/>
      <c r="N2029" s="2"/>
      <c r="O2029" s="2"/>
      <c r="P2029" s="2"/>
    </row>
    <row r="2030" spans="2:16" ht="14.25">
      <c r="B2030" s="4"/>
      <c r="I2030" s="5"/>
      <c r="J2030" s="5"/>
      <c r="K2030" s="6"/>
      <c r="N2030" s="2"/>
      <c r="O2030" s="2"/>
      <c r="P2030" s="2"/>
    </row>
    <row r="2031" spans="2:16" ht="14.25">
      <c r="B2031" s="4"/>
      <c r="I2031" s="5"/>
      <c r="J2031" s="5"/>
      <c r="K2031" s="6"/>
      <c r="N2031" s="2"/>
      <c r="O2031" s="2"/>
      <c r="P2031" s="2"/>
    </row>
    <row r="2032" spans="2:16" ht="14.25">
      <c r="B2032" s="4"/>
      <c r="I2032" s="5"/>
      <c r="J2032" s="5"/>
      <c r="K2032" s="6"/>
      <c r="N2032" s="2"/>
      <c r="O2032" s="2"/>
      <c r="P2032" s="2"/>
    </row>
    <row r="2033" spans="2:16" ht="14.25">
      <c r="B2033" s="4"/>
      <c r="I2033" s="5"/>
      <c r="J2033" s="5"/>
      <c r="K2033" s="6"/>
      <c r="N2033" s="2"/>
      <c r="O2033" s="2"/>
      <c r="P2033" s="2"/>
    </row>
    <row r="2034" spans="2:16" ht="14.25">
      <c r="B2034" s="4"/>
      <c r="I2034" s="5"/>
      <c r="J2034" s="5"/>
      <c r="K2034" s="6"/>
      <c r="N2034" s="2"/>
      <c r="O2034" s="2"/>
      <c r="P2034" s="2"/>
    </row>
    <row r="2035" spans="2:16" ht="14.25">
      <c r="B2035" s="4"/>
      <c r="I2035" s="5"/>
      <c r="J2035" s="5"/>
      <c r="K2035" s="6"/>
      <c r="N2035" s="2"/>
      <c r="O2035" s="2"/>
      <c r="P2035" s="2"/>
    </row>
    <row r="2036" spans="2:16" ht="14.25">
      <c r="B2036" s="4"/>
      <c r="I2036" s="5"/>
      <c r="J2036" s="5"/>
      <c r="K2036" s="6"/>
      <c r="N2036" s="2"/>
      <c r="O2036" s="2"/>
      <c r="P2036" s="2"/>
    </row>
    <row r="2037" spans="2:16" ht="14.25">
      <c r="B2037" s="4"/>
      <c r="I2037" s="5"/>
      <c r="J2037" s="5"/>
      <c r="K2037" s="6"/>
      <c r="N2037" s="2"/>
      <c r="O2037" s="2"/>
      <c r="P2037" s="2"/>
    </row>
    <row r="2038" spans="2:16" ht="14.25">
      <c r="B2038" s="4"/>
      <c r="I2038" s="5"/>
      <c r="J2038" s="5"/>
      <c r="K2038" s="6"/>
      <c r="N2038" s="2"/>
      <c r="O2038" s="2"/>
      <c r="P2038" s="2"/>
    </row>
    <row r="2039" spans="2:16" ht="14.25">
      <c r="B2039" s="4"/>
      <c r="I2039" s="5"/>
      <c r="J2039" s="5"/>
      <c r="K2039" s="6"/>
      <c r="N2039" s="2"/>
      <c r="O2039" s="2"/>
      <c r="P2039" s="2"/>
    </row>
    <row r="2040" spans="2:16" ht="14.25">
      <c r="B2040" s="4"/>
      <c r="I2040" s="5"/>
      <c r="J2040" s="5"/>
      <c r="K2040" s="6"/>
      <c r="N2040" s="2"/>
      <c r="O2040" s="2"/>
      <c r="P2040" s="2"/>
    </row>
    <row r="2041" spans="2:16" ht="14.25">
      <c r="B2041" s="4"/>
      <c r="I2041" s="5"/>
      <c r="J2041" s="5"/>
      <c r="K2041" s="6"/>
      <c r="N2041" s="2"/>
      <c r="O2041" s="2"/>
      <c r="P2041" s="2"/>
    </row>
    <row r="2042" spans="2:16" ht="14.25">
      <c r="B2042" s="4"/>
      <c r="I2042" s="5"/>
      <c r="J2042" s="5"/>
      <c r="K2042" s="6"/>
      <c r="N2042" s="2"/>
      <c r="O2042" s="2"/>
      <c r="P2042" s="2"/>
    </row>
    <row r="2043" spans="2:16" ht="14.25">
      <c r="B2043" s="4"/>
      <c r="I2043" s="5"/>
      <c r="J2043" s="5"/>
      <c r="K2043" s="6"/>
      <c r="N2043" s="2"/>
      <c r="O2043" s="2"/>
      <c r="P2043" s="2"/>
    </row>
    <row r="2044" spans="2:16" ht="14.25">
      <c r="B2044" s="4"/>
      <c r="I2044" s="5"/>
      <c r="J2044" s="5"/>
      <c r="K2044" s="6"/>
      <c r="N2044" s="2"/>
      <c r="O2044" s="2"/>
      <c r="P2044" s="2"/>
    </row>
    <row r="2045" spans="2:16" ht="14.25">
      <c r="B2045" s="4"/>
      <c r="I2045" s="5"/>
      <c r="J2045" s="5"/>
      <c r="K2045" s="6"/>
      <c r="N2045" s="2"/>
      <c r="O2045" s="2"/>
      <c r="P2045" s="2"/>
    </row>
    <row r="2046" spans="2:16" ht="14.25">
      <c r="B2046" s="4"/>
      <c r="I2046" s="5"/>
      <c r="J2046" s="5"/>
      <c r="K2046" s="6"/>
      <c r="N2046" s="2"/>
      <c r="O2046" s="2"/>
      <c r="P2046" s="2"/>
    </row>
    <row r="2047" spans="2:16" ht="14.25">
      <c r="B2047" s="4"/>
      <c r="I2047" s="5"/>
      <c r="J2047" s="5"/>
      <c r="K2047" s="6"/>
      <c r="N2047" s="2"/>
      <c r="O2047" s="2"/>
      <c r="P2047" s="2"/>
    </row>
    <row r="2048" spans="2:16" ht="14.25">
      <c r="B2048" s="4"/>
      <c r="I2048" s="5"/>
      <c r="J2048" s="5"/>
      <c r="K2048" s="6"/>
      <c r="N2048" s="2"/>
      <c r="O2048" s="2"/>
      <c r="P2048" s="2"/>
    </row>
    <row r="2049" spans="2:16" ht="14.25">
      <c r="B2049" s="4"/>
      <c r="I2049" s="5"/>
      <c r="J2049" s="5"/>
      <c r="K2049" s="6"/>
      <c r="N2049" s="2"/>
      <c r="O2049" s="2"/>
      <c r="P2049" s="2"/>
    </row>
    <row r="2050" spans="2:16" ht="14.25">
      <c r="B2050" s="4"/>
      <c r="I2050" s="5"/>
      <c r="J2050" s="5"/>
      <c r="K2050" s="6"/>
      <c r="N2050" s="2"/>
      <c r="O2050" s="2"/>
      <c r="P2050" s="2"/>
    </row>
    <row r="2051" spans="2:16" ht="14.25">
      <c r="B2051" s="4"/>
      <c r="I2051" s="5"/>
      <c r="J2051" s="5"/>
      <c r="K2051" s="6"/>
      <c r="N2051" s="2"/>
      <c r="O2051" s="2"/>
      <c r="P2051" s="2"/>
    </row>
    <row r="2052" spans="2:16" ht="14.25">
      <c r="B2052" s="4"/>
      <c r="I2052" s="5"/>
      <c r="J2052" s="5"/>
      <c r="K2052" s="6"/>
      <c r="N2052" s="2"/>
      <c r="O2052" s="2"/>
      <c r="P2052" s="2"/>
    </row>
    <row r="2053" spans="2:16" ht="14.25">
      <c r="B2053" s="4"/>
      <c r="I2053" s="5"/>
      <c r="J2053" s="5"/>
      <c r="K2053" s="6"/>
      <c r="N2053" s="2"/>
      <c r="O2053" s="2"/>
      <c r="P2053" s="2"/>
    </row>
    <row r="2054" spans="2:16" ht="14.25">
      <c r="B2054" s="4"/>
      <c r="I2054" s="5"/>
      <c r="J2054" s="5"/>
      <c r="K2054" s="6"/>
      <c r="N2054" s="2"/>
      <c r="O2054" s="2"/>
      <c r="P2054" s="2"/>
    </row>
    <row r="2055" spans="2:16" ht="14.25">
      <c r="B2055" s="4"/>
      <c r="I2055" s="5"/>
      <c r="J2055" s="5"/>
      <c r="K2055" s="6"/>
      <c r="N2055" s="2"/>
      <c r="O2055" s="2"/>
      <c r="P2055" s="2"/>
    </row>
    <row r="2056" spans="2:16" ht="14.25">
      <c r="B2056" s="4"/>
      <c r="I2056" s="5"/>
      <c r="J2056" s="5"/>
      <c r="K2056" s="6"/>
      <c r="N2056" s="2"/>
      <c r="O2056" s="2"/>
      <c r="P2056" s="2"/>
    </row>
    <row r="2057" spans="2:16" ht="14.25">
      <c r="B2057" s="4"/>
      <c r="I2057" s="5"/>
      <c r="J2057" s="5"/>
      <c r="K2057" s="6"/>
      <c r="N2057" s="2"/>
      <c r="O2057" s="2"/>
      <c r="P2057" s="2"/>
    </row>
    <row r="2058" spans="2:16" ht="14.25">
      <c r="B2058" s="4"/>
      <c r="I2058" s="5"/>
      <c r="J2058" s="5"/>
      <c r="K2058" s="6"/>
      <c r="N2058" s="2"/>
      <c r="O2058" s="2"/>
      <c r="P2058" s="2"/>
    </row>
    <row r="2059" spans="2:16" ht="14.25">
      <c r="B2059" s="4"/>
      <c r="I2059" s="5"/>
      <c r="J2059" s="5"/>
      <c r="K2059" s="6"/>
      <c r="N2059" s="2"/>
      <c r="O2059" s="2"/>
      <c r="P2059" s="2"/>
    </row>
    <row r="2060" spans="2:16" ht="14.25">
      <c r="B2060" s="4"/>
      <c r="I2060" s="5"/>
      <c r="J2060" s="5"/>
      <c r="K2060" s="6"/>
      <c r="N2060" s="2"/>
      <c r="O2060" s="2"/>
      <c r="P2060" s="2"/>
    </row>
    <row r="2061" spans="2:16" ht="14.25">
      <c r="B2061" s="4"/>
      <c r="I2061" s="5"/>
      <c r="J2061" s="5"/>
      <c r="K2061" s="6"/>
      <c r="N2061" s="2"/>
      <c r="O2061" s="2"/>
      <c r="P2061" s="2"/>
    </row>
    <row r="2062" spans="2:16" ht="14.25">
      <c r="B2062" s="4"/>
      <c r="I2062" s="5"/>
      <c r="J2062" s="5"/>
      <c r="K2062" s="6"/>
      <c r="N2062" s="2"/>
      <c r="O2062" s="2"/>
      <c r="P2062" s="2"/>
    </row>
    <row r="2063" spans="2:16" ht="14.25">
      <c r="B2063" s="4"/>
      <c r="I2063" s="5"/>
      <c r="J2063" s="5"/>
      <c r="K2063" s="6"/>
      <c r="N2063" s="2"/>
      <c r="O2063" s="2"/>
      <c r="P2063" s="2"/>
    </row>
    <row r="2064" spans="2:16" ht="14.25">
      <c r="B2064" s="4"/>
      <c r="I2064" s="5"/>
      <c r="J2064" s="5"/>
      <c r="K2064" s="6"/>
      <c r="N2064" s="2"/>
      <c r="O2064" s="2"/>
      <c r="P2064" s="2"/>
    </row>
    <row r="2065" spans="2:16" ht="14.25">
      <c r="B2065" s="4"/>
      <c r="I2065" s="5"/>
      <c r="J2065" s="5"/>
      <c r="K2065" s="6"/>
      <c r="N2065" s="2"/>
      <c r="O2065" s="2"/>
      <c r="P2065" s="2"/>
    </row>
    <row r="2066" spans="2:16" ht="14.25">
      <c r="B2066" s="4"/>
      <c r="I2066" s="5"/>
      <c r="J2066" s="5"/>
      <c r="K2066" s="6"/>
      <c r="N2066" s="2"/>
      <c r="O2066" s="2"/>
      <c r="P2066" s="2"/>
    </row>
    <row r="2067" spans="2:16" ht="14.25">
      <c r="B2067" s="4"/>
      <c r="I2067" s="5"/>
      <c r="J2067" s="5"/>
      <c r="K2067" s="6"/>
      <c r="N2067" s="2"/>
      <c r="O2067" s="2"/>
      <c r="P2067" s="2"/>
    </row>
    <row r="2068" spans="2:16" ht="14.25">
      <c r="B2068" s="4"/>
      <c r="I2068" s="5"/>
      <c r="J2068" s="5"/>
      <c r="K2068" s="6"/>
      <c r="N2068" s="2"/>
      <c r="O2068" s="2"/>
      <c r="P2068" s="2"/>
    </row>
    <row r="2069" spans="2:16" ht="14.25">
      <c r="B2069" s="4"/>
      <c r="I2069" s="5"/>
      <c r="J2069" s="5"/>
      <c r="K2069" s="6"/>
      <c r="N2069" s="2"/>
      <c r="O2069" s="2"/>
      <c r="P2069" s="2"/>
    </row>
    <row r="2070" spans="2:16" ht="14.25">
      <c r="B2070" s="4"/>
      <c r="I2070" s="5"/>
      <c r="J2070" s="5"/>
      <c r="K2070" s="6"/>
      <c r="N2070" s="2"/>
      <c r="O2070" s="2"/>
      <c r="P2070" s="2"/>
    </row>
    <row r="2071" spans="2:16" ht="14.25">
      <c r="B2071" s="4"/>
      <c r="I2071" s="5"/>
      <c r="J2071" s="5"/>
      <c r="K2071" s="6"/>
      <c r="N2071" s="2"/>
      <c r="O2071" s="2"/>
      <c r="P2071" s="2"/>
    </row>
    <row r="2072" spans="2:16" ht="14.25">
      <c r="B2072" s="4"/>
      <c r="I2072" s="5"/>
      <c r="J2072" s="5"/>
      <c r="K2072" s="6"/>
      <c r="N2072" s="2"/>
      <c r="O2072" s="2"/>
      <c r="P2072" s="2"/>
    </row>
    <row r="2073" spans="2:16" ht="14.25">
      <c r="B2073" s="4"/>
      <c r="I2073" s="5"/>
      <c r="J2073" s="5"/>
      <c r="K2073" s="6"/>
      <c r="N2073" s="2"/>
      <c r="O2073" s="2"/>
      <c r="P2073" s="2"/>
    </row>
    <row r="2074" spans="2:16" ht="14.25">
      <c r="B2074" s="4"/>
      <c r="I2074" s="5"/>
      <c r="J2074" s="5"/>
      <c r="K2074" s="6"/>
      <c r="N2074" s="2"/>
      <c r="O2074" s="2"/>
      <c r="P2074" s="2"/>
    </row>
    <row r="2075" spans="2:16" ht="14.25">
      <c r="B2075" s="4"/>
      <c r="I2075" s="5"/>
      <c r="J2075" s="5"/>
      <c r="K2075" s="6"/>
      <c r="N2075" s="2"/>
      <c r="O2075" s="2"/>
      <c r="P2075" s="2"/>
    </row>
    <row r="2076" spans="2:16" ht="14.25">
      <c r="B2076" s="4"/>
      <c r="I2076" s="5"/>
      <c r="J2076" s="5"/>
      <c r="K2076" s="6"/>
      <c r="N2076" s="2"/>
      <c r="O2076" s="2"/>
      <c r="P2076" s="2"/>
    </row>
    <row r="2077" spans="2:16" ht="14.25">
      <c r="B2077" s="4"/>
      <c r="I2077" s="5"/>
      <c r="J2077" s="5"/>
      <c r="K2077" s="6"/>
      <c r="N2077" s="2"/>
      <c r="O2077" s="2"/>
      <c r="P2077" s="2"/>
    </row>
    <row r="2078" spans="2:16" ht="14.25">
      <c r="B2078" s="4"/>
      <c r="I2078" s="5"/>
      <c r="J2078" s="5"/>
      <c r="K2078" s="6"/>
      <c r="N2078" s="2"/>
      <c r="O2078" s="2"/>
      <c r="P2078" s="2"/>
    </row>
    <row r="2079" spans="2:16" ht="14.25">
      <c r="B2079" s="4"/>
      <c r="I2079" s="5"/>
      <c r="J2079" s="5"/>
      <c r="K2079" s="6"/>
      <c r="N2079" s="2"/>
      <c r="O2079" s="2"/>
      <c r="P2079" s="2"/>
    </row>
    <row r="2080" spans="2:16" ht="14.25">
      <c r="B2080" s="4"/>
      <c r="I2080" s="5"/>
      <c r="J2080" s="5"/>
      <c r="K2080" s="6"/>
      <c r="N2080" s="2"/>
      <c r="O2080" s="2"/>
      <c r="P2080" s="2"/>
    </row>
    <row r="2081" spans="2:16" ht="14.25">
      <c r="B2081" s="4"/>
      <c r="I2081" s="5"/>
      <c r="J2081" s="5"/>
      <c r="K2081" s="6"/>
      <c r="N2081" s="2"/>
      <c r="O2081" s="2"/>
      <c r="P2081" s="2"/>
    </row>
    <row r="2082" spans="2:16" ht="14.25">
      <c r="B2082" s="4"/>
      <c r="I2082" s="5"/>
      <c r="J2082" s="5"/>
      <c r="K2082" s="6"/>
      <c r="N2082" s="2"/>
      <c r="O2082" s="2"/>
      <c r="P2082" s="2"/>
    </row>
    <row r="2083" spans="2:16" ht="14.25">
      <c r="B2083" s="4"/>
      <c r="I2083" s="5"/>
      <c r="J2083" s="5"/>
      <c r="K2083" s="6"/>
      <c r="N2083" s="2"/>
      <c r="O2083" s="2"/>
      <c r="P2083" s="2"/>
    </row>
    <row r="2084" spans="2:16" ht="14.25">
      <c r="B2084" s="4"/>
      <c r="I2084" s="5"/>
      <c r="J2084" s="5"/>
      <c r="K2084" s="6"/>
      <c r="N2084" s="2"/>
      <c r="O2084" s="2"/>
      <c r="P2084" s="2"/>
    </row>
    <row r="2085" spans="2:16" ht="14.25">
      <c r="B2085" s="4"/>
      <c r="I2085" s="5"/>
      <c r="J2085" s="5"/>
      <c r="K2085" s="6"/>
      <c r="N2085" s="2"/>
      <c r="O2085" s="2"/>
      <c r="P2085" s="2"/>
    </row>
    <row r="2086" spans="2:16" ht="14.25">
      <c r="B2086" s="4"/>
      <c r="I2086" s="5"/>
      <c r="J2086" s="5"/>
      <c r="K2086" s="6"/>
      <c r="N2086" s="2"/>
      <c r="O2086" s="2"/>
      <c r="P2086" s="2"/>
    </row>
    <row r="2087" spans="2:16" ht="14.25">
      <c r="B2087" s="4"/>
      <c r="I2087" s="5"/>
      <c r="J2087" s="5"/>
      <c r="K2087" s="6"/>
      <c r="N2087" s="2"/>
      <c r="O2087" s="2"/>
      <c r="P2087" s="2"/>
    </row>
    <row r="2088" spans="2:16" ht="14.25">
      <c r="B2088" s="4"/>
      <c r="I2088" s="5"/>
      <c r="J2088" s="5"/>
      <c r="K2088" s="6"/>
      <c r="N2088" s="2"/>
      <c r="O2088" s="2"/>
      <c r="P2088" s="2"/>
    </row>
    <row r="2089" spans="2:16" ht="14.25">
      <c r="B2089" s="4"/>
      <c r="I2089" s="5"/>
      <c r="J2089" s="5"/>
      <c r="K2089" s="6"/>
      <c r="N2089" s="2"/>
      <c r="O2089" s="2"/>
      <c r="P2089" s="2"/>
    </row>
    <row r="2090" spans="2:16" ht="14.25">
      <c r="B2090" s="4"/>
      <c r="I2090" s="5"/>
      <c r="J2090" s="5"/>
      <c r="K2090" s="6"/>
      <c r="N2090" s="2"/>
      <c r="O2090" s="2"/>
      <c r="P2090" s="2"/>
    </row>
    <row r="2091" spans="2:16" ht="14.25">
      <c r="B2091" s="4"/>
      <c r="I2091" s="5"/>
      <c r="J2091" s="5"/>
      <c r="K2091" s="6"/>
      <c r="N2091" s="2"/>
      <c r="O2091" s="2"/>
      <c r="P2091" s="2"/>
    </row>
    <row r="2092" spans="2:16" ht="14.25">
      <c r="B2092" s="4"/>
      <c r="I2092" s="5"/>
      <c r="J2092" s="5"/>
      <c r="K2092" s="6"/>
      <c r="N2092" s="2"/>
      <c r="O2092" s="2"/>
      <c r="P2092" s="2"/>
    </row>
    <row r="2093" spans="2:16" ht="14.25">
      <c r="B2093" s="4"/>
      <c r="I2093" s="5"/>
      <c r="J2093" s="5"/>
      <c r="K2093" s="6"/>
      <c r="N2093" s="2"/>
      <c r="O2093" s="2"/>
      <c r="P2093" s="2"/>
    </row>
    <row r="2094" spans="2:16" ht="14.25">
      <c r="B2094" s="4"/>
      <c r="I2094" s="5"/>
      <c r="J2094" s="5"/>
      <c r="K2094" s="6"/>
      <c r="N2094" s="2"/>
      <c r="O2094" s="2"/>
      <c r="P2094" s="2"/>
    </row>
    <row r="2095" spans="2:16" ht="14.25">
      <c r="B2095" s="4"/>
      <c r="I2095" s="5"/>
      <c r="J2095" s="5"/>
      <c r="K2095" s="6"/>
      <c r="N2095" s="2"/>
      <c r="O2095" s="2"/>
      <c r="P2095" s="2"/>
    </row>
    <row r="2096" spans="2:16" ht="14.25">
      <c r="B2096" s="4"/>
      <c r="I2096" s="5"/>
      <c r="J2096" s="5"/>
      <c r="K2096" s="6"/>
      <c r="N2096" s="2"/>
      <c r="O2096" s="2"/>
      <c r="P2096" s="2"/>
    </row>
    <row r="2097" spans="2:16" ht="14.25">
      <c r="B2097" s="4"/>
      <c r="I2097" s="5"/>
      <c r="J2097" s="5"/>
      <c r="K2097" s="6"/>
      <c r="N2097" s="2"/>
      <c r="O2097" s="2"/>
      <c r="P2097" s="2"/>
    </row>
    <row r="2098" spans="2:16" ht="14.25">
      <c r="B2098" s="4"/>
      <c r="I2098" s="5"/>
      <c r="J2098" s="5"/>
      <c r="K2098" s="6"/>
      <c r="N2098" s="2"/>
      <c r="O2098" s="2"/>
      <c r="P2098" s="2"/>
    </row>
    <row r="2099" spans="2:16" ht="14.25">
      <c r="B2099" s="4"/>
      <c r="I2099" s="5"/>
      <c r="J2099" s="5"/>
      <c r="K2099" s="6"/>
      <c r="N2099" s="2"/>
      <c r="O2099" s="2"/>
      <c r="P2099" s="2"/>
    </row>
    <row r="2100" spans="2:16" ht="14.25">
      <c r="B2100" s="4"/>
      <c r="I2100" s="5"/>
      <c r="J2100" s="5"/>
      <c r="K2100" s="6"/>
      <c r="N2100" s="2"/>
      <c r="O2100" s="2"/>
      <c r="P2100" s="2"/>
    </row>
    <row r="2101" spans="2:16" ht="14.25">
      <c r="B2101" s="4"/>
      <c r="I2101" s="5"/>
      <c r="J2101" s="5"/>
      <c r="K2101" s="6"/>
      <c r="N2101" s="2"/>
      <c r="O2101" s="2"/>
      <c r="P2101" s="2"/>
    </row>
    <row r="2102" spans="2:16" ht="14.25">
      <c r="B2102" s="4"/>
      <c r="I2102" s="5"/>
      <c r="J2102" s="5"/>
      <c r="K2102" s="6"/>
      <c r="N2102" s="2"/>
      <c r="O2102" s="2"/>
      <c r="P2102" s="2"/>
    </row>
    <row r="2103" spans="2:16" ht="14.25">
      <c r="B2103" s="4"/>
      <c r="I2103" s="5"/>
      <c r="J2103" s="5"/>
      <c r="K2103" s="6"/>
      <c r="N2103" s="2"/>
      <c r="O2103" s="2"/>
      <c r="P2103" s="2"/>
    </row>
    <row r="2104" spans="2:16" ht="14.25">
      <c r="B2104" s="4"/>
      <c r="I2104" s="5"/>
      <c r="J2104" s="5"/>
      <c r="K2104" s="6"/>
      <c r="N2104" s="2"/>
      <c r="O2104" s="2"/>
      <c r="P2104" s="2"/>
    </row>
    <row r="2105" spans="2:16" ht="14.25">
      <c r="B2105" s="4"/>
      <c r="I2105" s="5"/>
      <c r="J2105" s="5"/>
      <c r="K2105" s="6"/>
      <c r="N2105" s="2"/>
      <c r="O2105" s="2"/>
      <c r="P2105" s="2"/>
    </row>
    <row r="2106" spans="2:16" ht="14.25">
      <c r="B2106" s="4"/>
      <c r="I2106" s="5"/>
      <c r="J2106" s="5"/>
      <c r="K2106" s="6"/>
      <c r="N2106" s="2"/>
      <c r="O2106" s="2"/>
      <c r="P2106" s="2"/>
    </row>
    <row r="2107" spans="2:16" ht="14.25">
      <c r="B2107" s="4"/>
      <c r="I2107" s="5"/>
      <c r="J2107" s="5"/>
      <c r="K2107" s="6"/>
      <c r="N2107" s="2"/>
      <c r="O2107" s="2"/>
      <c r="P2107" s="2"/>
    </row>
    <row r="2108" spans="2:16" ht="14.25">
      <c r="B2108" s="4"/>
      <c r="I2108" s="5"/>
      <c r="J2108" s="5"/>
      <c r="K2108" s="6"/>
      <c r="N2108" s="2"/>
      <c r="O2108" s="2"/>
      <c r="P2108" s="2"/>
    </row>
    <row r="2109" spans="2:16" ht="14.25">
      <c r="B2109" s="4"/>
      <c r="I2109" s="5"/>
      <c r="J2109" s="5"/>
      <c r="K2109" s="6"/>
      <c r="N2109" s="2"/>
      <c r="O2109" s="2"/>
      <c r="P2109" s="2"/>
    </row>
    <row r="2110" spans="2:16" ht="14.25">
      <c r="B2110" s="4"/>
      <c r="I2110" s="5"/>
      <c r="J2110" s="5"/>
      <c r="K2110" s="6"/>
      <c r="N2110" s="2"/>
      <c r="O2110" s="2"/>
      <c r="P2110" s="2"/>
    </row>
    <row r="2111" spans="2:16" ht="14.25">
      <c r="B2111" s="4"/>
      <c r="I2111" s="5"/>
      <c r="J2111" s="5"/>
      <c r="K2111" s="6"/>
      <c r="N2111" s="2"/>
      <c r="O2111" s="2"/>
      <c r="P2111" s="2"/>
    </row>
    <row r="2112" spans="2:16" ht="14.25">
      <c r="B2112" s="4"/>
      <c r="I2112" s="5"/>
      <c r="J2112" s="5"/>
      <c r="K2112" s="6"/>
      <c r="N2112" s="2"/>
      <c r="O2112" s="2"/>
      <c r="P2112" s="2"/>
    </row>
    <row r="2113" spans="2:16" ht="14.25">
      <c r="B2113" s="4"/>
      <c r="I2113" s="5"/>
      <c r="J2113" s="5"/>
      <c r="K2113" s="6"/>
      <c r="N2113" s="2"/>
      <c r="O2113" s="2"/>
      <c r="P2113" s="2"/>
    </row>
    <row r="2114" spans="2:16" ht="14.25">
      <c r="B2114" s="4"/>
      <c r="I2114" s="5"/>
      <c r="J2114" s="5"/>
      <c r="K2114" s="6"/>
      <c r="N2114" s="2"/>
      <c r="O2114" s="2"/>
      <c r="P2114" s="2"/>
    </row>
    <row r="2115" spans="2:16" ht="14.25">
      <c r="B2115" s="4"/>
      <c r="I2115" s="5"/>
      <c r="J2115" s="5"/>
      <c r="K2115" s="6"/>
      <c r="N2115" s="2"/>
      <c r="O2115" s="2"/>
      <c r="P2115" s="2"/>
    </row>
    <row r="2116" spans="2:16" ht="14.25">
      <c r="B2116" s="4"/>
      <c r="I2116" s="5"/>
      <c r="J2116" s="5"/>
      <c r="K2116" s="6"/>
      <c r="N2116" s="2"/>
      <c r="O2116" s="2"/>
      <c r="P2116" s="2"/>
    </row>
    <row r="2117" spans="2:16" ht="14.25">
      <c r="B2117" s="4"/>
      <c r="I2117" s="5"/>
      <c r="J2117" s="5"/>
      <c r="K2117" s="6"/>
      <c r="N2117" s="2"/>
      <c r="O2117" s="2"/>
      <c r="P2117" s="2"/>
    </row>
    <row r="2118" spans="2:16" ht="14.25">
      <c r="B2118" s="4"/>
      <c r="I2118" s="5"/>
      <c r="J2118" s="5"/>
      <c r="K2118" s="6"/>
      <c r="N2118" s="2"/>
      <c r="O2118" s="2"/>
      <c r="P2118" s="2"/>
    </row>
    <row r="2119" spans="2:16" ht="14.25">
      <c r="B2119" s="4"/>
      <c r="I2119" s="5"/>
      <c r="J2119" s="5"/>
      <c r="K2119" s="6"/>
      <c r="N2119" s="2"/>
      <c r="O2119" s="2"/>
      <c r="P2119" s="2"/>
    </row>
    <row r="2120" spans="2:16" ht="14.25">
      <c r="B2120" s="4"/>
      <c r="I2120" s="5"/>
      <c r="J2120" s="5"/>
      <c r="K2120" s="6"/>
      <c r="N2120" s="2"/>
      <c r="O2120" s="2"/>
      <c r="P2120" s="2"/>
    </row>
    <row r="2121" spans="2:16" ht="14.25">
      <c r="B2121" s="4"/>
      <c r="I2121" s="5"/>
      <c r="J2121" s="5"/>
      <c r="K2121" s="6"/>
      <c r="N2121" s="2"/>
      <c r="O2121" s="2"/>
      <c r="P2121" s="2"/>
    </row>
    <row r="2122" spans="2:16" ht="14.25">
      <c r="B2122" s="4"/>
      <c r="I2122" s="5"/>
      <c r="J2122" s="5"/>
      <c r="K2122" s="6"/>
      <c r="N2122" s="2"/>
      <c r="O2122" s="2"/>
      <c r="P2122" s="2"/>
    </row>
    <row r="2123" spans="2:16" ht="14.25">
      <c r="B2123" s="4"/>
      <c r="I2123" s="5"/>
      <c r="J2123" s="5"/>
      <c r="K2123" s="6"/>
      <c r="N2123" s="2"/>
      <c r="O2123" s="2"/>
      <c r="P2123" s="2"/>
    </row>
    <row r="2124" spans="2:16" ht="14.25">
      <c r="B2124" s="4"/>
      <c r="I2124" s="5"/>
      <c r="J2124" s="5"/>
      <c r="K2124" s="6"/>
      <c r="N2124" s="2"/>
      <c r="O2124" s="2"/>
      <c r="P2124" s="2"/>
    </row>
    <row r="2125" spans="2:16" ht="14.25">
      <c r="B2125" s="4"/>
      <c r="I2125" s="5"/>
      <c r="J2125" s="5"/>
      <c r="K2125" s="6"/>
      <c r="N2125" s="2"/>
      <c r="O2125" s="2"/>
      <c r="P2125" s="2"/>
    </row>
    <row r="2126" spans="2:16" ht="14.25">
      <c r="B2126" s="4"/>
      <c r="I2126" s="5"/>
      <c r="J2126" s="5"/>
      <c r="K2126" s="6"/>
      <c r="N2126" s="2"/>
      <c r="O2126" s="2"/>
      <c r="P2126" s="2"/>
    </row>
    <row r="2127" spans="2:16" ht="14.25">
      <c r="B2127" s="4"/>
      <c r="I2127" s="5"/>
      <c r="J2127" s="5"/>
      <c r="K2127" s="6"/>
      <c r="N2127" s="2"/>
      <c r="O2127" s="2"/>
      <c r="P2127" s="2"/>
    </row>
    <row r="2128" spans="2:16" ht="14.25">
      <c r="B2128" s="4"/>
      <c r="I2128" s="5"/>
      <c r="J2128" s="5"/>
      <c r="K2128" s="6"/>
      <c r="N2128" s="2"/>
      <c r="O2128" s="2"/>
      <c r="P2128" s="2"/>
    </row>
    <row r="2129" spans="2:16" ht="14.25">
      <c r="B2129" s="4"/>
      <c r="I2129" s="5"/>
      <c r="J2129" s="5"/>
      <c r="K2129" s="6"/>
      <c r="N2129" s="2"/>
      <c r="O2129" s="2"/>
      <c r="P2129" s="2"/>
    </row>
    <row r="2130" spans="2:16" ht="14.25">
      <c r="B2130" s="4"/>
      <c r="I2130" s="5"/>
      <c r="J2130" s="5"/>
      <c r="K2130" s="6"/>
      <c r="N2130" s="2"/>
      <c r="O2130" s="2"/>
      <c r="P2130" s="2"/>
    </row>
    <row r="2131" spans="2:16" ht="14.25">
      <c r="B2131" s="4"/>
      <c r="I2131" s="5"/>
      <c r="J2131" s="5"/>
      <c r="K2131" s="6"/>
      <c r="N2131" s="2"/>
      <c r="O2131" s="2"/>
      <c r="P2131" s="2"/>
    </row>
    <row r="2132" spans="2:16" ht="14.25">
      <c r="B2132" s="4"/>
      <c r="I2132" s="5"/>
      <c r="J2132" s="5"/>
      <c r="K2132" s="6"/>
      <c r="N2132" s="2"/>
      <c r="O2132" s="2"/>
      <c r="P2132" s="2"/>
    </row>
    <row r="2133" spans="2:16" ht="14.25">
      <c r="B2133" s="4"/>
      <c r="I2133" s="5"/>
      <c r="J2133" s="5"/>
      <c r="K2133" s="6"/>
      <c r="N2133" s="2"/>
      <c r="O2133" s="2"/>
      <c r="P2133" s="2"/>
    </row>
    <row r="2134" spans="2:16" ht="14.25">
      <c r="B2134" s="4"/>
      <c r="I2134" s="5"/>
      <c r="J2134" s="5"/>
      <c r="K2134" s="6"/>
      <c r="N2134" s="2"/>
      <c r="O2134" s="2"/>
      <c r="P2134" s="2"/>
    </row>
    <row r="2135" spans="2:16" ht="14.25">
      <c r="B2135" s="4"/>
      <c r="I2135" s="5"/>
      <c r="J2135" s="5"/>
      <c r="K2135" s="6"/>
      <c r="N2135" s="2"/>
      <c r="O2135" s="2"/>
      <c r="P2135" s="2"/>
    </row>
    <row r="2136" spans="2:16" ht="14.25">
      <c r="B2136" s="4"/>
      <c r="I2136" s="5"/>
      <c r="J2136" s="5"/>
      <c r="K2136" s="6"/>
      <c r="N2136" s="2"/>
      <c r="O2136" s="2"/>
      <c r="P2136" s="2"/>
    </row>
    <row r="2137" spans="2:16" ht="14.25">
      <c r="B2137" s="4"/>
      <c r="I2137" s="5"/>
      <c r="J2137" s="5"/>
      <c r="K2137" s="6"/>
      <c r="N2137" s="2"/>
      <c r="O2137" s="2"/>
      <c r="P2137" s="2"/>
    </row>
    <row r="2138" spans="2:16" ht="14.25">
      <c r="B2138" s="4"/>
      <c r="I2138" s="5"/>
      <c r="J2138" s="5"/>
      <c r="K2138" s="6"/>
      <c r="N2138" s="2"/>
      <c r="O2138" s="2"/>
      <c r="P2138" s="2"/>
    </row>
    <row r="2139" spans="2:16" ht="14.25">
      <c r="B2139" s="4"/>
      <c r="I2139" s="5"/>
      <c r="J2139" s="5"/>
      <c r="K2139" s="6"/>
      <c r="N2139" s="2"/>
      <c r="O2139" s="2"/>
      <c r="P2139" s="2"/>
    </row>
    <row r="2140" spans="2:16" ht="14.25">
      <c r="B2140" s="4"/>
      <c r="I2140" s="5"/>
      <c r="J2140" s="5"/>
      <c r="K2140" s="6"/>
      <c r="N2140" s="2"/>
      <c r="O2140" s="2"/>
      <c r="P2140" s="2"/>
    </row>
    <row r="2141" spans="2:16" ht="14.25">
      <c r="B2141" s="4"/>
      <c r="I2141" s="5"/>
      <c r="J2141" s="5"/>
      <c r="K2141" s="6"/>
      <c r="N2141" s="2"/>
      <c r="O2141" s="2"/>
      <c r="P2141" s="2"/>
    </row>
    <row r="2142" spans="2:16" ht="14.25">
      <c r="B2142" s="4"/>
      <c r="I2142" s="5"/>
      <c r="J2142" s="5"/>
      <c r="K2142" s="6"/>
      <c r="N2142" s="2"/>
      <c r="O2142" s="2"/>
      <c r="P2142" s="2"/>
    </row>
    <row r="2143" spans="2:16" ht="14.25">
      <c r="B2143" s="4"/>
      <c r="I2143" s="5"/>
      <c r="J2143" s="5"/>
      <c r="K2143" s="6"/>
      <c r="N2143" s="2"/>
      <c r="O2143" s="2"/>
      <c r="P2143" s="2"/>
    </row>
    <row r="2144" spans="2:16" ht="14.25">
      <c r="B2144" s="4"/>
      <c r="I2144" s="5"/>
      <c r="J2144" s="5"/>
      <c r="K2144" s="6"/>
      <c r="N2144" s="2"/>
      <c r="O2144" s="2"/>
      <c r="P2144" s="2"/>
    </row>
    <row r="2145" spans="2:16" ht="14.25">
      <c r="B2145" s="4"/>
      <c r="I2145" s="5"/>
      <c r="J2145" s="5"/>
      <c r="K2145" s="6"/>
      <c r="N2145" s="2"/>
      <c r="O2145" s="2"/>
      <c r="P2145" s="2"/>
    </row>
    <row r="2146" spans="2:16" ht="14.25">
      <c r="B2146" s="4"/>
      <c r="I2146" s="5"/>
      <c r="J2146" s="5"/>
      <c r="K2146" s="6"/>
      <c r="N2146" s="2"/>
      <c r="O2146" s="2"/>
      <c r="P2146" s="2"/>
    </row>
    <row r="2147" spans="2:16" ht="14.25">
      <c r="B2147" s="4"/>
      <c r="I2147" s="5"/>
      <c r="J2147" s="5"/>
      <c r="K2147" s="6"/>
      <c r="N2147" s="2"/>
      <c r="O2147" s="2"/>
      <c r="P2147" s="2"/>
    </row>
    <row r="2148" spans="2:16" ht="14.25">
      <c r="B2148" s="4"/>
      <c r="I2148" s="5"/>
      <c r="J2148" s="5"/>
      <c r="K2148" s="6"/>
      <c r="N2148" s="2"/>
      <c r="O2148" s="2"/>
      <c r="P2148" s="2"/>
    </row>
    <row r="2149" spans="2:16" ht="14.25">
      <c r="B2149" s="4"/>
      <c r="I2149" s="5"/>
      <c r="J2149" s="5"/>
      <c r="K2149" s="6"/>
      <c r="N2149" s="2"/>
      <c r="O2149" s="2"/>
      <c r="P2149" s="2"/>
    </row>
    <row r="2150" spans="2:16" ht="14.25">
      <c r="B2150" s="4"/>
      <c r="I2150" s="5"/>
      <c r="J2150" s="5"/>
      <c r="K2150" s="6"/>
      <c r="N2150" s="2"/>
      <c r="O2150" s="2"/>
      <c r="P2150" s="2"/>
    </row>
    <row r="2151" spans="2:16" ht="14.25">
      <c r="B2151" s="4"/>
      <c r="I2151" s="5"/>
      <c r="J2151" s="5"/>
      <c r="K2151" s="6"/>
      <c r="N2151" s="2"/>
      <c r="O2151" s="2"/>
      <c r="P2151" s="2"/>
    </row>
    <row r="2152" spans="2:16" ht="14.25">
      <c r="B2152" s="4"/>
      <c r="I2152" s="5"/>
      <c r="J2152" s="5"/>
      <c r="K2152" s="6"/>
      <c r="N2152" s="2"/>
      <c r="O2152" s="2"/>
      <c r="P2152" s="2"/>
    </row>
    <row r="2153" spans="2:16" ht="14.25">
      <c r="B2153" s="4"/>
      <c r="I2153" s="5"/>
      <c r="J2153" s="5"/>
      <c r="K2153" s="6"/>
      <c r="N2153" s="2"/>
      <c r="O2153" s="2"/>
      <c r="P2153" s="2"/>
    </row>
    <row r="2154" spans="2:16" ht="14.25">
      <c r="B2154" s="4"/>
      <c r="I2154" s="5"/>
      <c r="J2154" s="5"/>
      <c r="K2154" s="6"/>
      <c r="N2154" s="2"/>
      <c r="O2154" s="2"/>
      <c r="P2154" s="2"/>
    </row>
    <row r="2155" spans="2:16" ht="14.25">
      <c r="B2155" s="4"/>
      <c r="I2155" s="5"/>
      <c r="J2155" s="5"/>
      <c r="K2155" s="6"/>
      <c r="N2155" s="2"/>
      <c r="O2155" s="2"/>
      <c r="P2155" s="2"/>
    </row>
    <row r="2156" spans="2:16" ht="14.25">
      <c r="B2156" s="4"/>
      <c r="I2156" s="5"/>
      <c r="J2156" s="5"/>
      <c r="K2156" s="6"/>
      <c r="N2156" s="2"/>
      <c r="O2156" s="2"/>
      <c r="P2156" s="2"/>
    </row>
    <row r="2157" spans="2:16" ht="14.25">
      <c r="B2157" s="4"/>
      <c r="I2157" s="5"/>
      <c r="J2157" s="5"/>
      <c r="K2157" s="6"/>
      <c r="N2157" s="2"/>
      <c r="O2157" s="2"/>
      <c r="P2157" s="2"/>
    </row>
    <row r="2158" spans="2:16" ht="14.25">
      <c r="B2158" s="4"/>
      <c r="I2158" s="5"/>
      <c r="J2158" s="5"/>
      <c r="K2158" s="6"/>
      <c r="N2158" s="2"/>
      <c r="O2158" s="2"/>
      <c r="P2158" s="2"/>
    </row>
    <row r="2159" spans="2:16" ht="14.25">
      <c r="B2159" s="4"/>
      <c r="I2159" s="5"/>
      <c r="J2159" s="5"/>
      <c r="K2159" s="6"/>
      <c r="N2159" s="2"/>
      <c r="O2159" s="2"/>
      <c r="P2159" s="2"/>
    </row>
    <row r="2160" spans="2:16" ht="14.25">
      <c r="B2160" s="4"/>
      <c r="I2160" s="5"/>
      <c r="J2160" s="5"/>
      <c r="K2160" s="6"/>
      <c r="N2160" s="2"/>
      <c r="O2160" s="2"/>
      <c r="P2160" s="2"/>
    </row>
    <row r="2161" spans="2:16" ht="14.25">
      <c r="B2161" s="4"/>
      <c r="I2161" s="5"/>
      <c r="J2161" s="5"/>
      <c r="K2161" s="6"/>
      <c r="N2161" s="2"/>
      <c r="O2161" s="2"/>
      <c r="P2161" s="2"/>
    </row>
    <row r="2162" spans="2:16" ht="14.25">
      <c r="B2162" s="4"/>
      <c r="I2162" s="5"/>
      <c r="J2162" s="5"/>
      <c r="K2162" s="6"/>
      <c r="N2162" s="2"/>
      <c r="O2162" s="2"/>
      <c r="P2162" s="2"/>
    </row>
    <row r="2163" spans="2:16" ht="14.25">
      <c r="B2163" s="4"/>
      <c r="I2163" s="5"/>
      <c r="J2163" s="5"/>
      <c r="K2163" s="6"/>
      <c r="N2163" s="2"/>
      <c r="O2163" s="2"/>
      <c r="P2163" s="2"/>
    </row>
    <row r="2164" spans="2:16" ht="14.25">
      <c r="B2164" s="4"/>
      <c r="I2164" s="5"/>
      <c r="J2164" s="5"/>
      <c r="K2164" s="6"/>
      <c r="N2164" s="2"/>
      <c r="O2164" s="2"/>
      <c r="P2164" s="2"/>
    </row>
    <row r="2165" spans="2:16" ht="14.25">
      <c r="B2165" s="4"/>
      <c r="I2165" s="5"/>
      <c r="J2165" s="5"/>
      <c r="K2165" s="6"/>
      <c r="N2165" s="2"/>
      <c r="O2165" s="2"/>
      <c r="P2165" s="2"/>
    </row>
    <row r="2166" spans="2:16" ht="14.25">
      <c r="B2166" s="4"/>
      <c r="I2166" s="5"/>
      <c r="J2166" s="5"/>
      <c r="K2166" s="6"/>
      <c r="N2166" s="2"/>
      <c r="O2166" s="2"/>
      <c r="P2166" s="2"/>
    </row>
    <row r="2167" spans="2:16" ht="14.25">
      <c r="B2167" s="4"/>
      <c r="I2167" s="5"/>
      <c r="J2167" s="5"/>
      <c r="K2167" s="6"/>
      <c r="N2167" s="2"/>
      <c r="O2167" s="2"/>
      <c r="P2167" s="2"/>
    </row>
    <row r="2168" spans="2:16" ht="14.25">
      <c r="B2168" s="4"/>
      <c r="I2168" s="5"/>
      <c r="J2168" s="5"/>
      <c r="K2168" s="6"/>
      <c r="N2168" s="2"/>
      <c r="O2168" s="2"/>
      <c r="P2168" s="2"/>
    </row>
    <row r="2169" spans="2:16" ht="14.25">
      <c r="B2169" s="4"/>
      <c r="I2169" s="5"/>
      <c r="J2169" s="5"/>
      <c r="K2169" s="6"/>
      <c r="N2169" s="2"/>
      <c r="O2169" s="2"/>
      <c r="P2169" s="2"/>
    </row>
    <row r="2170" spans="2:16" ht="14.25">
      <c r="B2170" s="4"/>
      <c r="I2170" s="5"/>
      <c r="J2170" s="5"/>
      <c r="K2170" s="6"/>
      <c r="N2170" s="2"/>
      <c r="O2170" s="2"/>
      <c r="P2170" s="2"/>
    </row>
    <row r="2171" spans="2:16" ht="14.25">
      <c r="B2171" s="4"/>
      <c r="I2171" s="5"/>
      <c r="J2171" s="5"/>
      <c r="K2171" s="6"/>
      <c r="N2171" s="2"/>
      <c r="O2171" s="2"/>
      <c r="P2171" s="2"/>
    </row>
    <row r="2172" spans="2:16" ht="14.25">
      <c r="B2172" s="4"/>
      <c r="I2172" s="5"/>
      <c r="J2172" s="5"/>
      <c r="K2172" s="6"/>
      <c r="N2172" s="2"/>
      <c r="O2172" s="2"/>
      <c r="P2172" s="2"/>
    </row>
    <row r="2173" spans="2:16" ht="14.25">
      <c r="B2173" s="4"/>
      <c r="I2173" s="5"/>
      <c r="J2173" s="5"/>
      <c r="K2173" s="6"/>
      <c r="N2173" s="2"/>
      <c r="O2173" s="2"/>
      <c r="P2173" s="2"/>
    </row>
    <row r="2174" spans="2:16" ht="14.25">
      <c r="B2174" s="4"/>
      <c r="I2174" s="5"/>
      <c r="J2174" s="5"/>
      <c r="K2174" s="6"/>
      <c r="N2174" s="2"/>
      <c r="O2174" s="2"/>
      <c r="P2174" s="2"/>
    </row>
    <row r="2175" spans="2:16" ht="14.25">
      <c r="B2175" s="4"/>
      <c r="I2175" s="5"/>
      <c r="J2175" s="5"/>
      <c r="K2175" s="6"/>
      <c r="N2175" s="2"/>
      <c r="O2175" s="2"/>
      <c r="P2175" s="2"/>
    </row>
    <row r="2176" spans="2:16" ht="14.25">
      <c r="B2176" s="4"/>
      <c r="I2176" s="5"/>
      <c r="J2176" s="5"/>
      <c r="K2176" s="6"/>
      <c r="N2176" s="2"/>
      <c r="O2176" s="2"/>
      <c r="P2176" s="2"/>
    </row>
    <row r="2177" spans="2:16" ht="14.25">
      <c r="B2177" s="4"/>
      <c r="I2177" s="5"/>
      <c r="J2177" s="5"/>
      <c r="K2177" s="6"/>
      <c r="N2177" s="2"/>
      <c r="O2177" s="2"/>
      <c r="P2177" s="2"/>
    </row>
    <row r="2178" spans="2:16" ht="14.25">
      <c r="B2178" s="4"/>
      <c r="I2178" s="5"/>
      <c r="J2178" s="5"/>
      <c r="K2178" s="6"/>
      <c r="N2178" s="2"/>
      <c r="O2178" s="2"/>
      <c r="P2178" s="2"/>
    </row>
    <row r="2179" spans="2:16" ht="14.25">
      <c r="B2179" s="4"/>
      <c r="I2179" s="5"/>
      <c r="J2179" s="5"/>
      <c r="K2179" s="6"/>
      <c r="N2179" s="2"/>
      <c r="O2179" s="2"/>
      <c r="P2179" s="2"/>
    </row>
    <row r="2180" spans="2:16" ht="14.25">
      <c r="B2180" s="4"/>
      <c r="I2180" s="5"/>
      <c r="J2180" s="5"/>
      <c r="K2180" s="6"/>
      <c r="N2180" s="2"/>
      <c r="O2180" s="2"/>
      <c r="P2180" s="2"/>
    </row>
    <row r="2181" spans="2:16" ht="14.25">
      <c r="B2181" s="4"/>
      <c r="I2181" s="5"/>
      <c r="J2181" s="5"/>
      <c r="K2181" s="6"/>
      <c r="N2181" s="2"/>
      <c r="O2181" s="2"/>
      <c r="P2181" s="2"/>
    </row>
    <row r="2182" spans="2:16" ht="14.25">
      <c r="B2182" s="4"/>
      <c r="I2182" s="5"/>
      <c r="J2182" s="5"/>
      <c r="K2182" s="6"/>
      <c r="N2182" s="2"/>
      <c r="O2182" s="2"/>
      <c r="P2182" s="2"/>
    </row>
    <row r="2183" spans="2:16" ht="14.25">
      <c r="B2183" s="4"/>
      <c r="I2183" s="5"/>
      <c r="J2183" s="5"/>
      <c r="K2183" s="6"/>
      <c r="N2183" s="2"/>
      <c r="O2183" s="2"/>
      <c r="P2183" s="2"/>
    </row>
    <row r="2184" spans="2:16" ht="14.25">
      <c r="B2184" s="4"/>
      <c r="I2184" s="5"/>
      <c r="J2184" s="5"/>
      <c r="K2184" s="6"/>
      <c r="N2184" s="2"/>
      <c r="O2184" s="2"/>
      <c r="P2184" s="2"/>
    </row>
    <row r="2185" spans="2:16" ht="14.25">
      <c r="B2185" s="4"/>
      <c r="I2185" s="5"/>
      <c r="J2185" s="5"/>
      <c r="K2185" s="6"/>
      <c r="N2185" s="2"/>
      <c r="O2185" s="2"/>
      <c r="P2185" s="2"/>
    </row>
    <row r="2186" spans="2:16" ht="14.25">
      <c r="B2186" s="4"/>
      <c r="I2186" s="5"/>
      <c r="J2186" s="5"/>
      <c r="K2186" s="6"/>
      <c r="N2186" s="2"/>
      <c r="O2186" s="2"/>
      <c r="P2186" s="2"/>
    </row>
    <row r="2187" spans="2:16" ht="14.25">
      <c r="B2187" s="4"/>
      <c r="I2187" s="5"/>
      <c r="J2187" s="5"/>
      <c r="K2187" s="6"/>
      <c r="N2187" s="2"/>
      <c r="O2187" s="2"/>
      <c r="P2187" s="2"/>
    </row>
    <row r="2188" spans="2:16" ht="14.25">
      <c r="B2188" s="4"/>
      <c r="I2188" s="5"/>
      <c r="J2188" s="5"/>
      <c r="K2188" s="6"/>
      <c r="N2188" s="2"/>
      <c r="O2188" s="2"/>
      <c r="P2188" s="2"/>
    </row>
    <row r="2189" spans="2:16" ht="14.25">
      <c r="B2189" s="4"/>
      <c r="I2189" s="5"/>
      <c r="J2189" s="5"/>
      <c r="K2189" s="6"/>
      <c r="N2189" s="2"/>
      <c r="O2189" s="2"/>
      <c r="P2189" s="2"/>
    </row>
    <row r="2190" spans="2:16" ht="14.25">
      <c r="B2190" s="4"/>
      <c r="I2190" s="5"/>
      <c r="J2190" s="5"/>
      <c r="K2190" s="6"/>
      <c r="N2190" s="2"/>
      <c r="O2190" s="2"/>
      <c r="P2190" s="2"/>
    </row>
    <row r="2191" spans="2:16" ht="14.25">
      <c r="B2191" s="4"/>
      <c r="I2191" s="5"/>
      <c r="J2191" s="5"/>
      <c r="K2191" s="6"/>
      <c r="N2191" s="2"/>
      <c r="O2191" s="2"/>
      <c r="P2191" s="2"/>
    </row>
    <row r="2192" spans="2:16" ht="14.25">
      <c r="B2192" s="4"/>
      <c r="I2192" s="5"/>
      <c r="J2192" s="5"/>
      <c r="K2192" s="6"/>
      <c r="N2192" s="2"/>
      <c r="O2192" s="2"/>
      <c r="P2192" s="2"/>
    </row>
    <row r="2193" spans="2:16" ht="14.25">
      <c r="B2193" s="4"/>
      <c r="I2193" s="5"/>
      <c r="J2193" s="5"/>
      <c r="K2193" s="6"/>
      <c r="N2193" s="2"/>
      <c r="O2193" s="2"/>
      <c r="P2193" s="2"/>
    </row>
    <row r="2194" spans="2:16" ht="14.25">
      <c r="B2194" s="4"/>
      <c r="I2194" s="5"/>
      <c r="J2194" s="5"/>
      <c r="K2194" s="6"/>
      <c r="N2194" s="2"/>
      <c r="O2194" s="2"/>
      <c r="P2194" s="2"/>
    </row>
    <row r="2195" spans="2:16" ht="14.25">
      <c r="B2195" s="4"/>
      <c r="I2195" s="5"/>
      <c r="J2195" s="5"/>
      <c r="K2195" s="6"/>
      <c r="N2195" s="2"/>
      <c r="O2195" s="2"/>
      <c r="P2195" s="2"/>
    </row>
    <row r="2196" spans="2:16" ht="14.25">
      <c r="B2196" s="4"/>
      <c r="I2196" s="5"/>
      <c r="J2196" s="5"/>
      <c r="K2196" s="6"/>
      <c r="N2196" s="2"/>
      <c r="O2196" s="2"/>
      <c r="P2196" s="2"/>
    </row>
    <row r="2197" spans="2:16" ht="14.25">
      <c r="B2197" s="4"/>
      <c r="I2197" s="5"/>
      <c r="J2197" s="5"/>
      <c r="K2197" s="6"/>
      <c r="N2197" s="2"/>
      <c r="O2197" s="2"/>
      <c r="P2197" s="2"/>
    </row>
    <row r="2198" spans="2:16" ht="14.25">
      <c r="B2198" s="4"/>
      <c r="I2198" s="5"/>
      <c r="J2198" s="5"/>
      <c r="K2198" s="6"/>
      <c r="N2198" s="2"/>
      <c r="O2198" s="2"/>
      <c r="P2198" s="2"/>
    </row>
    <row r="2199" spans="2:16" ht="14.25">
      <c r="B2199" s="4"/>
      <c r="I2199" s="5"/>
      <c r="J2199" s="5"/>
      <c r="K2199" s="6"/>
      <c r="N2199" s="2"/>
      <c r="O2199" s="2"/>
      <c r="P2199" s="2"/>
    </row>
    <row r="2200" spans="2:16" ht="14.25">
      <c r="B2200" s="4"/>
      <c r="I2200" s="5"/>
      <c r="J2200" s="5"/>
      <c r="K2200" s="6"/>
      <c r="N2200" s="2"/>
      <c r="O2200" s="2"/>
      <c r="P2200" s="2"/>
    </row>
    <row r="2201" spans="2:16" ht="14.25">
      <c r="B2201" s="4"/>
      <c r="I2201" s="5"/>
      <c r="J2201" s="5"/>
      <c r="K2201" s="6"/>
      <c r="N2201" s="2"/>
      <c r="O2201" s="2"/>
      <c r="P2201" s="2"/>
    </row>
    <row r="2202" spans="2:16" ht="14.25">
      <c r="B2202" s="4"/>
      <c r="I2202" s="5"/>
      <c r="J2202" s="5"/>
      <c r="K2202" s="6"/>
      <c r="N2202" s="2"/>
      <c r="O2202" s="2"/>
      <c r="P2202" s="2"/>
    </row>
    <row r="2203" spans="2:16" ht="14.25">
      <c r="B2203" s="4"/>
      <c r="I2203" s="5"/>
      <c r="J2203" s="5"/>
      <c r="K2203" s="6"/>
      <c r="N2203" s="2"/>
      <c r="O2203" s="2"/>
      <c r="P2203" s="2"/>
    </row>
    <row r="2204" spans="2:16" ht="14.25">
      <c r="B2204" s="4"/>
      <c r="I2204" s="5"/>
      <c r="J2204" s="5"/>
      <c r="K2204" s="6"/>
      <c r="N2204" s="2"/>
      <c r="O2204" s="2"/>
      <c r="P2204" s="2"/>
    </row>
    <row r="2205" spans="2:16" ht="14.25">
      <c r="B2205" s="4"/>
      <c r="I2205" s="5"/>
      <c r="J2205" s="5"/>
      <c r="K2205" s="6"/>
      <c r="N2205" s="2"/>
      <c r="O2205" s="2"/>
      <c r="P2205" s="2"/>
    </row>
    <row r="2206" spans="2:16" ht="14.25">
      <c r="B2206" s="4"/>
      <c r="I2206" s="5"/>
      <c r="J2206" s="5"/>
      <c r="K2206" s="6"/>
      <c r="N2206" s="2"/>
      <c r="O2206" s="2"/>
      <c r="P2206" s="2"/>
    </row>
    <row r="2207" spans="2:16" ht="14.25">
      <c r="B2207" s="4"/>
      <c r="I2207" s="5"/>
      <c r="J2207" s="5"/>
      <c r="K2207" s="6"/>
      <c r="N2207" s="2"/>
      <c r="O2207" s="2"/>
      <c r="P2207" s="2"/>
    </row>
    <row r="2208" spans="2:16" ht="14.25">
      <c r="B2208" s="4"/>
      <c r="I2208" s="5"/>
      <c r="J2208" s="5"/>
      <c r="K2208" s="6"/>
      <c r="N2208" s="2"/>
      <c r="O2208" s="2"/>
      <c r="P2208" s="2"/>
    </row>
    <row r="2209" spans="2:16" ht="14.25">
      <c r="B2209" s="4"/>
      <c r="I2209" s="5"/>
      <c r="J2209" s="5"/>
      <c r="K2209" s="6"/>
      <c r="N2209" s="2"/>
      <c r="O2209" s="2"/>
      <c r="P2209" s="2"/>
    </row>
    <row r="2210" spans="2:16" ht="14.25">
      <c r="B2210" s="4"/>
      <c r="I2210" s="5"/>
      <c r="J2210" s="5"/>
      <c r="K2210" s="6"/>
      <c r="N2210" s="2"/>
      <c r="O2210" s="2"/>
      <c r="P2210" s="2"/>
    </row>
    <row r="2211" spans="2:16" ht="14.25">
      <c r="B2211" s="4"/>
      <c r="I2211" s="5"/>
      <c r="J2211" s="5"/>
      <c r="K2211" s="6"/>
      <c r="N2211" s="2"/>
      <c r="O2211" s="2"/>
      <c r="P2211" s="2"/>
    </row>
    <row r="2212" spans="2:16" ht="14.25">
      <c r="B2212" s="4"/>
      <c r="I2212" s="5"/>
      <c r="J2212" s="5"/>
      <c r="K2212" s="6"/>
      <c r="N2212" s="2"/>
      <c r="O2212" s="2"/>
      <c r="P2212" s="2"/>
    </row>
    <row r="2213" spans="2:16" ht="14.25">
      <c r="B2213" s="4"/>
      <c r="I2213" s="5"/>
      <c r="J2213" s="5"/>
      <c r="K2213" s="6"/>
      <c r="N2213" s="2"/>
      <c r="O2213" s="2"/>
      <c r="P2213" s="2"/>
    </row>
    <row r="2214" spans="2:16" ht="14.25">
      <c r="B2214" s="4"/>
      <c r="I2214" s="5"/>
      <c r="J2214" s="5"/>
      <c r="K2214" s="6"/>
      <c r="N2214" s="2"/>
      <c r="O2214" s="2"/>
      <c r="P2214" s="2"/>
    </row>
    <row r="2215" spans="2:16" ht="14.25">
      <c r="B2215" s="4"/>
      <c r="I2215" s="5"/>
      <c r="J2215" s="5"/>
      <c r="K2215" s="6"/>
      <c r="N2215" s="2"/>
      <c r="O2215" s="2"/>
      <c r="P2215" s="2"/>
    </row>
    <row r="2216" spans="2:16" ht="14.25">
      <c r="B2216" s="4"/>
      <c r="I2216" s="5"/>
      <c r="J2216" s="5"/>
      <c r="K2216" s="6"/>
      <c r="N2216" s="2"/>
      <c r="O2216" s="2"/>
      <c r="P2216" s="2"/>
    </row>
    <row r="2217" spans="2:16" ht="14.25">
      <c r="B2217" s="4"/>
      <c r="I2217" s="5"/>
      <c r="J2217" s="5"/>
      <c r="K2217" s="6"/>
      <c r="N2217" s="2"/>
      <c r="O2217" s="2"/>
      <c r="P2217" s="2"/>
    </row>
    <row r="2218" spans="2:16" ht="14.25">
      <c r="B2218" s="4"/>
      <c r="I2218" s="5"/>
      <c r="J2218" s="5"/>
      <c r="K2218" s="6"/>
      <c r="N2218" s="2"/>
      <c r="O2218" s="2"/>
      <c r="P2218" s="2"/>
    </row>
    <row r="2219" spans="2:16" ht="14.25">
      <c r="B2219" s="4"/>
      <c r="I2219" s="5"/>
      <c r="J2219" s="5"/>
      <c r="K2219" s="6"/>
      <c r="N2219" s="2"/>
      <c r="O2219" s="2"/>
      <c r="P2219" s="2"/>
    </row>
    <row r="2220" spans="2:16" ht="14.25">
      <c r="B2220" s="4"/>
      <c r="I2220" s="5"/>
      <c r="J2220" s="5"/>
      <c r="K2220" s="6"/>
      <c r="N2220" s="2"/>
      <c r="O2220" s="2"/>
      <c r="P2220" s="2"/>
    </row>
    <row r="2221" spans="2:16" ht="14.25">
      <c r="B2221" s="4"/>
      <c r="I2221" s="5"/>
      <c r="J2221" s="5"/>
      <c r="K2221" s="6"/>
      <c r="N2221" s="2"/>
      <c r="O2221" s="2"/>
      <c r="P2221" s="2"/>
    </row>
    <row r="2222" spans="2:16" ht="14.25">
      <c r="B2222" s="4"/>
      <c r="I2222" s="5"/>
      <c r="J2222" s="5"/>
      <c r="K2222" s="6"/>
      <c r="N2222" s="2"/>
      <c r="O2222" s="2"/>
      <c r="P2222" s="2"/>
    </row>
    <row r="2223" spans="2:16" ht="14.25">
      <c r="B2223" s="4"/>
      <c r="I2223" s="5"/>
      <c r="J2223" s="5"/>
      <c r="K2223" s="6"/>
      <c r="N2223" s="2"/>
      <c r="O2223" s="2"/>
      <c r="P2223" s="2"/>
    </row>
    <row r="2224" spans="2:16" ht="14.25">
      <c r="B2224" s="4"/>
      <c r="I2224" s="5"/>
      <c r="J2224" s="5"/>
      <c r="K2224" s="6"/>
      <c r="N2224" s="2"/>
      <c r="O2224" s="2"/>
      <c r="P2224" s="2"/>
    </row>
    <row r="2225" spans="2:16" ht="14.25">
      <c r="B2225" s="4"/>
      <c r="I2225" s="5"/>
      <c r="J2225" s="5"/>
      <c r="K2225" s="6"/>
      <c r="N2225" s="2"/>
      <c r="O2225" s="2"/>
      <c r="P2225" s="2"/>
    </row>
    <row r="2226" spans="2:16" ht="14.25">
      <c r="B2226" s="4"/>
      <c r="I2226" s="5"/>
      <c r="J2226" s="5"/>
      <c r="K2226" s="6"/>
      <c r="N2226" s="2"/>
      <c r="O2226" s="2"/>
      <c r="P2226" s="2"/>
    </row>
    <row r="2227" spans="2:16" ht="14.25">
      <c r="B2227" s="4"/>
      <c r="I2227" s="5"/>
      <c r="J2227" s="5"/>
      <c r="K2227" s="6"/>
      <c r="N2227" s="2"/>
      <c r="O2227" s="2"/>
      <c r="P2227" s="2"/>
    </row>
    <row r="2228" spans="2:16" ht="14.25">
      <c r="B2228" s="4"/>
      <c r="I2228" s="5"/>
      <c r="J2228" s="5"/>
      <c r="K2228" s="6"/>
      <c r="N2228" s="2"/>
      <c r="O2228" s="2"/>
      <c r="P2228" s="2"/>
    </row>
    <row r="2229" spans="2:16" ht="14.25">
      <c r="B2229" s="4"/>
      <c r="I2229" s="5"/>
      <c r="J2229" s="5"/>
      <c r="K2229" s="6"/>
      <c r="N2229" s="2"/>
      <c r="O2229" s="2"/>
      <c r="P2229" s="2"/>
    </row>
    <row r="2230" spans="2:16" ht="14.25">
      <c r="B2230" s="4"/>
      <c r="I2230" s="5"/>
      <c r="J2230" s="5"/>
      <c r="K2230" s="6"/>
      <c r="N2230" s="2"/>
      <c r="O2230" s="2"/>
      <c r="P2230" s="2"/>
    </row>
    <row r="2231" spans="2:16" ht="14.25">
      <c r="B2231" s="4"/>
      <c r="I2231" s="5"/>
      <c r="J2231" s="5"/>
      <c r="K2231" s="6"/>
      <c r="N2231" s="2"/>
      <c r="O2231" s="2"/>
      <c r="P2231" s="2"/>
    </row>
    <row r="2232" spans="2:16" ht="14.25">
      <c r="B2232" s="4"/>
      <c r="I2232" s="5"/>
      <c r="J2232" s="5"/>
      <c r="K2232" s="6"/>
      <c r="N2232" s="2"/>
      <c r="O2232" s="2"/>
      <c r="P2232" s="2"/>
    </row>
    <row r="2233" spans="2:16" ht="14.25">
      <c r="B2233" s="4"/>
      <c r="I2233" s="5"/>
      <c r="J2233" s="5"/>
      <c r="K2233" s="6"/>
      <c r="N2233" s="2"/>
      <c r="O2233" s="2"/>
      <c r="P2233" s="2"/>
    </row>
    <row r="2234" spans="2:16" ht="14.25">
      <c r="B2234" s="4"/>
      <c r="I2234" s="5"/>
      <c r="J2234" s="5"/>
      <c r="K2234" s="6"/>
      <c r="N2234" s="2"/>
      <c r="O2234" s="2"/>
      <c r="P2234" s="2"/>
    </row>
    <row r="2235" spans="2:16" ht="14.25">
      <c r="B2235" s="4"/>
      <c r="I2235" s="5"/>
      <c r="J2235" s="5"/>
      <c r="K2235" s="6"/>
      <c r="N2235" s="2"/>
      <c r="O2235" s="2"/>
      <c r="P2235" s="2"/>
    </row>
    <row r="2236" spans="2:16" ht="14.25">
      <c r="B2236" s="4"/>
      <c r="I2236" s="5"/>
      <c r="J2236" s="5"/>
      <c r="K2236" s="6"/>
      <c r="N2236" s="2"/>
      <c r="O2236" s="2"/>
      <c r="P2236" s="2"/>
    </row>
    <row r="2237" spans="2:16" ht="14.25">
      <c r="B2237" s="4"/>
      <c r="I2237" s="5"/>
      <c r="J2237" s="5"/>
      <c r="K2237" s="6"/>
      <c r="N2237" s="2"/>
      <c r="O2237" s="2"/>
      <c r="P2237" s="2"/>
    </row>
    <row r="2238" spans="2:16" ht="14.25">
      <c r="B2238" s="4"/>
      <c r="I2238" s="5"/>
      <c r="J2238" s="5"/>
      <c r="K2238" s="6"/>
      <c r="N2238" s="2"/>
      <c r="O2238" s="2"/>
      <c r="P2238" s="2"/>
    </row>
    <row r="2239" spans="2:16" ht="14.25">
      <c r="B2239" s="4"/>
      <c r="I2239" s="5"/>
      <c r="J2239" s="5"/>
      <c r="K2239" s="6"/>
      <c r="N2239" s="2"/>
      <c r="O2239" s="2"/>
      <c r="P2239" s="2"/>
    </row>
    <row r="2240" spans="2:16" ht="14.25">
      <c r="B2240" s="4"/>
      <c r="I2240" s="5"/>
      <c r="J2240" s="5"/>
      <c r="K2240" s="6"/>
      <c r="N2240" s="2"/>
      <c r="O2240" s="2"/>
      <c r="P2240" s="2"/>
    </row>
    <row r="2241" spans="2:16" ht="14.25">
      <c r="B2241" s="4"/>
      <c r="I2241" s="5"/>
      <c r="J2241" s="5"/>
      <c r="K2241" s="6"/>
      <c r="N2241" s="2"/>
      <c r="O2241" s="2"/>
      <c r="P2241" s="2"/>
    </row>
    <row r="2242" spans="2:16" ht="14.25">
      <c r="B2242" s="4"/>
      <c r="I2242" s="5"/>
      <c r="J2242" s="5"/>
      <c r="K2242" s="6"/>
      <c r="N2242" s="2"/>
      <c r="O2242" s="2"/>
      <c r="P2242" s="2"/>
    </row>
    <row r="2243" spans="2:16" ht="14.25">
      <c r="B2243" s="4"/>
      <c r="I2243" s="5"/>
      <c r="J2243" s="5"/>
      <c r="K2243" s="6"/>
      <c r="N2243" s="2"/>
      <c r="O2243" s="2"/>
      <c r="P2243" s="2"/>
    </row>
    <row r="2244" spans="2:16" ht="14.25">
      <c r="B2244" s="4"/>
      <c r="I2244" s="5"/>
      <c r="J2244" s="5"/>
      <c r="K2244" s="6"/>
      <c r="N2244" s="2"/>
      <c r="O2244" s="2"/>
      <c r="P2244" s="2"/>
    </row>
    <row r="2245" spans="2:16" ht="14.25">
      <c r="B2245" s="4"/>
      <c r="I2245" s="5"/>
      <c r="J2245" s="5"/>
      <c r="K2245" s="6"/>
      <c r="N2245" s="2"/>
      <c r="O2245" s="2"/>
      <c r="P2245" s="2"/>
    </row>
    <row r="2246" spans="2:16" ht="14.25">
      <c r="B2246" s="4"/>
      <c r="I2246" s="5"/>
      <c r="J2246" s="5"/>
      <c r="K2246" s="6"/>
      <c r="N2246" s="2"/>
      <c r="O2246" s="2"/>
      <c r="P2246" s="2"/>
    </row>
    <row r="2247" spans="2:16" ht="14.25">
      <c r="B2247" s="4"/>
      <c r="I2247" s="5"/>
      <c r="J2247" s="5"/>
      <c r="K2247" s="6"/>
      <c r="N2247" s="2"/>
      <c r="O2247" s="2"/>
      <c r="P2247" s="2"/>
    </row>
    <row r="2248" spans="2:16" ht="14.25">
      <c r="B2248" s="4"/>
      <c r="I2248" s="5"/>
      <c r="J2248" s="5"/>
      <c r="K2248" s="6"/>
      <c r="N2248" s="2"/>
      <c r="O2248" s="2"/>
      <c r="P2248" s="2"/>
    </row>
    <row r="2249" spans="2:16" ht="14.25">
      <c r="B2249" s="4"/>
      <c r="I2249" s="5"/>
      <c r="J2249" s="5"/>
      <c r="K2249" s="6"/>
      <c r="N2249" s="2"/>
      <c r="O2249" s="2"/>
      <c r="P2249" s="2"/>
    </row>
    <row r="2250" spans="2:16" ht="14.25">
      <c r="B2250" s="4"/>
      <c r="I2250" s="5"/>
      <c r="J2250" s="5"/>
      <c r="K2250" s="6"/>
      <c r="N2250" s="2"/>
      <c r="O2250" s="2"/>
      <c r="P2250" s="2"/>
    </row>
    <row r="2251" spans="2:16" ht="14.25">
      <c r="B2251" s="4"/>
      <c r="I2251" s="5"/>
      <c r="J2251" s="5"/>
      <c r="K2251" s="6"/>
      <c r="N2251" s="2"/>
      <c r="O2251" s="2"/>
      <c r="P2251" s="2"/>
    </row>
    <row r="2252" spans="2:16" ht="14.25">
      <c r="B2252" s="4"/>
      <c r="I2252" s="5"/>
      <c r="J2252" s="5"/>
      <c r="K2252" s="6"/>
      <c r="N2252" s="2"/>
      <c r="O2252" s="2"/>
      <c r="P2252" s="2"/>
    </row>
    <row r="2253" spans="2:16" ht="14.25">
      <c r="B2253" s="4"/>
      <c r="I2253" s="5"/>
      <c r="J2253" s="5"/>
      <c r="K2253" s="6"/>
      <c r="N2253" s="2"/>
      <c r="O2253" s="2"/>
      <c r="P2253" s="2"/>
    </row>
    <row r="2254" spans="2:16" ht="14.25">
      <c r="B2254" s="4"/>
      <c r="I2254" s="5"/>
      <c r="J2254" s="5"/>
      <c r="K2254" s="6"/>
      <c r="N2254" s="2"/>
      <c r="O2254" s="2"/>
      <c r="P2254" s="2"/>
    </row>
    <row r="2255" spans="2:16" ht="14.25">
      <c r="B2255" s="4"/>
      <c r="I2255" s="5"/>
      <c r="J2255" s="5"/>
      <c r="K2255" s="6"/>
      <c r="N2255" s="2"/>
      <c r="O2255" s="2"/>
      <c r="P2255" s="2"/>
    </row>
    <row r="2256" spans="2:16" ht="14.25">
      <c r="B2256" s="4"/>
      <c r="I2256" s="5"/>
      <c r="J2256" s="5"/>
      <c r="K2256" s="6"/>
      <c r="N2256" s="2"/>
      <c r="O2256" s="2"/>
      <c r="P2256" s="2"/>
    </row>
    <row r="2257" spans="2:16" ht="14.25">
      <c r="B2257" s="4"/>
      <c r="I2257" s="5"/>
      <c r="J2257" s="5"/>
      <c r="K2257" s="6"/>
      <c r="N2257" s="2"/>
      <c r="O2257" s="2"/>
      <c r="P2257" s="2"/>
    </row>
    <row r="2258" spans="2:16" ht="14.25">
      <c r="B2258" s="4"/>
      <c r="I2258" s="5"/>
      <c r="J2258" s="5"/>
      <c r="K2258" s="6"/>
      <c r="N2258" s="2"/>
      <c r="O2258" s="2"/>
      <c r="P2258" s="2"/>
    </row>
    <row r="2259" spans="2:16" ht="14.25">
      <c r="B2259" s="4"/>
      <c r="I2259" s="5"/>
      <c r="J2259" s="5"/>
      <c r="K2259" s="6"/>
      <c r="N2259" s="2"/>
      <c r="O2259" s="2"/>
      <c r="P2259" s="2"/>
    </row>
    <row r="2260" spans="2:16" ht="14.25">
      <c r="B2260" s="4"/>
      <c r="I2260" s="5"/>
      <c r="J2260" s="5"/>
      <c r="K2260" s="6"/>
      <c r="N2260" s="2"/>
      <c r="O2260" s="2"/>
      <c r="P2260" s="2"/>
    </row>
    <row r="2261" spans="2:16" ht="14.25">
      <c r="B2261" s="4"/>
      <c r="I2261" s="5"/>
      <c r="J2261" s="5"/>
      <c r="K2261" s="6"/>
      <c r="N2261" s="2"/>
      <c r="O2261" s="2"/>
      <c r="P2261" s="2"/>
    </row>
    <row r="2262" spans="2:16" ht="14.25">
      <c r="B2262" s="4"/>
      <c r="I2262" s="5"/>
      <c r="J2262" s="5"/>
      <c r="K2262" s="6"/>
      <c r="N2262" s="2"/>
      <c r="O2262" s="2"/>
      <c r="P2262" s="2"/>
    </row>
    <row r="2263" spans="2:16" ht="14.25">
      <c r="B2263" s="4"/>
      <c r="I2263" s="5"/>
      <c r="J2263" s="5"/>
      <c r="K2263" s="6"/>
      <c r="N2263" s="2"/>
      <c r="O2263" s="2"/>
      <c r="P2263" s="2"/>
    </row>
    <row r="2264" spans="2:16" ht="14.25">
      <c r="B2264" s="4"/>
      <c r="I2264" s="5"/>
      <c r="J2264" s="5"/>
      <c r="K2264" s="6"/>
      <c r="N2264" s="2"/>
      <c r="O2264" s="2"/>
      <c r="P2264" s="2"/>
    </row>
    <row r="2265" spans="2:16" ht="14.25">
      <c r="B2265" s="4"/>
      <c r="I2265" s="5"/>
      <c r="J2265" s="5"/>
      <c r="K2265" s="6"/>
      <c r="N2265" s="2"/>
      <c r="O2265" s="2"/>
      <c r="P2265" s="2"/>
    </row>
    <row r="2266" spans="2:16" ht="14.25">
      <c r="B2266" s="4"/>
      <c r="I2266" s="5"/>
      <c r="J2266" s="5"/>
      <c r="K2266" s="6"/>
      <c r="N2266" s="2"/>
      <c r="O2266" s="2"/>
      <c r="P2266" s="2"/>
    </row>
    <row r="2267" spans="2:16" ht="14.25">
      <c r="B2267" s="4"/>
      <c r="I2267" s="5"/>
      <c r="J2267" s="5"/>
      <c r="K2267" s="6"/>
      <c r="N2267" s="2"/>
      <c r="O2267" s="2"/>
      <c r="P2267" s="2"/>
    </row>
    <row r="2268" spans="2:16" ht="14.25">
      <c r="B2268" s="4"/>
      <c r="I2268" s="5"/>
      <c r="J2268" s="5"/>
      <c r="K2268" s="6"/>
      <c r="N2268" s="2"/>
      <c r="O2268" s="2"/>
      <c r="P2268" s="2"/>
    </row>
    <row r="2269" spans="2:16" ht="14.25">
      <c r="B2269" s="4"/>
      <c r="I2269" s="5"/>
      <c r="J2269" s="5"/>
      <c r="K2269" s="6"/>
      <c r="N2269" s="2"/>
      <c r="O2269" s="2"/>
      <c r="P2269" s="2"/>
    </row>
    <row r="2270" spans="2:16" ht="14.25">
      <c r="B2270" s="4"/>
      <c r="I2270" s="5"/>
      <c r="J2270" s="5"/>
      <c r="K2270" s="6"/>
      <c r="N2270" s="2"/>
      <c r="O2270" s="2"/>
      <c r="P2270" s="2"/>
    </row>
    <row r="2271" spans="2:16" ht="14.25">
      <c r="B2271" s="4"/>
      <c r="I2271" s="5"/>
      <c r="J2271" s="5"/>
      <c r="K2271" s="6"/>
      <c r="N2271" s="2"/>
      <c r="O2271" s="2"/>
      <c r="P2271" s="2"/>
    </row>
    <row r="2272" spans="2:16" ht="14.25">
      <c r="B2272" s="4"/>
      <c r="I2272" s="5"/>
      <c r="J2272" s="5"/>
      <c r="K2272" s="6"/>
      <c r="N2272" s="2"/>
      <c r="O2272" s="2"/>
      <c r="P2272" s="2"/>
    </row>
    <row r="2273" spans="2:16" ht="14.25">
      <c r="B2273" s="4"/>
      <c r="I2273" s="5"/>
      <c r="J2273" s="5"/>
      <c r="K2273" s="6"/>
      <c r="N2273" s="2"/>
      <c r="O2273" s="2"/>
      <c r="P2273" s="2"/>
    </row>
    <row r="2274" spans="2:16" ht="14.25">
      <c r="B2274" s="4"/>
      <c r="I2274" s="5"/>
      <c r="J2274" s="5"/>
      <c r="K2274" s="6"/>
      <c r="N2274" s="2"/>
      <c r="O2274" s="2"/>
      <c r="P2274" s="2"/>
    </row>
    <row r="2275" spans="2:16" ht="14.25">
      <c r="B2275" s="4"/>
      <c r="I2275" s="5"/>
      <c r="J2275" s="5"/>
      <c r="K2275" s="6"/>
      <c r="N2275" s="2"/>
      <c r="O2275" s="2"/>
      <c r="P2275" s="2"/>
    </row>
    <row r="2276" spans="2:16" ht="14.25">
      <c r="B2276" s="4"/>
      <c r="I2276" s="5"/>
      <c r="J2276" s="5"/>
      <c r="K2276" s="6"/>
      <c r="N2276" s="2"/>
      <c r="O2276" s="2"/>
      <c r="P2276" s="2"/>
    </row>
    <row r="2277" spans="2:16" ht="14.25">
      <c r="B2277" s="4"/>
      <c r="I2277" s="5"/>
      <c r="J2277" s="5"/>
      <c r="K2277" s="6"/>
      <c r="N2277" s="2"/>
      <c r="O2277" s="2"/>
      <c r="P2277" s="2"/>
    </row>
    <row r="2278" spans="2:16" ht="14.25">
      <c r="B2278" s="4"/>
      <c r="I2278" s="5"/>
      <c r="J2278" s="5"/>
      <c r="K2278" s="6"/>
      <c r="N2278" s="2"/>
      <c r="O2278" s="2"/>
      <c r="P2278" s="2"/>
    </row>
    <row r="2279" spans="2:16" ht="14.25">
      <c r="B2279" s="4"/>
      <c r="I2279" s="5"/>
      <c r="J2279" s="5"/>
      <c r="K2279" s="6"/>
      <c r="N2279" s="2"/>
      <c r="O2279" s="2"/>
      <c r="P2279" s="2"/>
    </row>
    <row r="2280" spans="2:16" ht="14.25">
      <c r="B2280" s="4"/>
      <c r="I2280" s="5"/>
      <c r="J2280" s="5"/>
      <c r="K2280" s="6"/>
      <c r="N2280" s="2"/>
      <c r="O2280" s="2"/>
      <c r="P2280" s="2"/>
    </row>
    <row r="2281" spans="2:16" ht="14.25">
      <c r="B2281" s="4"/>
      <c r="I2281" s="5"/>
      <c r="J2281" s="5"/>
      <c r="K2281" s="6"/>
      <c r="N2281" s="2"/>
      <c r="O2281" s="2"/>
      <c r="P2281" s="2"/>
    </row>
    <row r="2282" spans="2:16" ht="14.25">
      <c r="B2282" s="4"/>
      <c r="I2282" s="5"/>
      <c r="J2282" s="5"/>
      <c r="K2282" s="6"/>
      <c r="N2282" s="2"/>
      <c r="O2282" s="2"/>
      <c r="P2282" s="2"/>
    </row>
    <row r="2283" spans="2:16" ht="14.25">
      <c r="B2283" s="4"/>
      <c r="I2283" s="5"/>
      <c r="J2283" s="5"/>
      <c r="K2283" s="6"/>
      <c r="N2283" s="2"/>
      <c r="O2283" s="2"/>
      <c r="P2283" s="2"/>
    </row>
    <row r="2284" spans="2:16" ht="14.25">
      <c r="B2284" s="4"/>
      <c r="I2284" s="5"/>
      <c r="J2284" s="5"/>
      <c r="K2284" s="6"/>
      <c r="N2284" s="2"/>
      <c r="O2284" s="2"/>
      <c r="P2284" s="2"/>
    </row>
    <row r="2285" spans="2:16" ht="14.25">
      <c r="B2285" s="4"/>
      <c r="I2285" s="5"/>
      <c r="J2285" s="5"/>
      <c r="K2285" s="6"/>
      <c r="N2285" s="2"/>
      <c r="O2285" s="2"/>
      <c r="P2285" s="2"/>
    </row>
    <row r="2286" spans="2:16" ht="14.25">
      <c r="B2286" s="4"/>
      <c r="I2286" s="5"/>
      <c r="J2286" s="5"/>
      <c r="K2286" s="6"/>
      <c r="N2286" s="2"/>
      <c r="O2286" s="2"/>
      <c r="P2286" s="2"/>
    </row>
    <row r="2287" spans="2:16" ht="14.25">
      <c r="B2287" s="4"/>
      <c r="I2287" s="5"/>
      <c r="J2287" s="5"/>
      <c r="K2287" s="6"/>
      <c r="N2287" s="2"/>
      <c r="O2287" s="2"/>
      <c r="P2287" s="2"/>
    </row>
    <row r="2288" spans="2:16" ht="14.25">
      <c r="B2288" s="4"/>
      <c r="I2288" s="5"/>
      <c r="J2288" s="5"/>
      <c r="K2288" s="6"/>
      <c r="N2288" s="2"/>
      <c r="O2288" s="2"/>
      <c r="P2288" s="2"/>
    </row>
    <row r="2289" spans="2:16" ht="14.25">
      <c r="B2289" s="4"/>
      <c r="I2289" s="5"/>
      <c r="J2289" s="5"/>
      <c r="K2289" s="6"/>
      <c r="N2289" s="2"/>
      <c r="O2289" s="2"/>
      <c r="P2289" s="2"/>
    </row>
    <row r="2290" spans="2:16" ht="14.25">
      <c r="B2290" s="4"/>
      <c r="I2290" s="5"/>
      <c r="J2290" s="5"/>
      <c r="K2290" s="6"/>
      <c r="N2290" s="2"/>
      <c r="O2290" s="2"/>
      <c r="P2290" s="2"/>
    </row>
    <row r="2291" spans="2:16" ht="14.25">
      <c r="B2291" s="4"/>
      <c r="I2291" s="5"/>
      <c r="J2291" s="5"/>
      <c r="K2291" s="6"/>
      <c r="N2291" s="2"/>
      <c r="O2291" s="2"/>
      <c r="P2291" s="2"/>
    </row>
    <row r="2292" spans="2:16" ht="14.25">
      <c r="B2292" s="4"/>
      <c r="I2292" s="5"/>
      <c r="J2292" s="5"/>
      <c r="K2292" s="6"/>
      <c r="N2292" s="2"/>
      <c r="O2292" s="2"/>
      <c r="P2292" s="2"/>
    </row>
    <row r="2293" spans="2:16" ht="14.25">
      <c r="B2293" s="4"/>
      <c r="I2293" s="5"/>
      <c r="J2293" s="5"/>
      <c r="K2293" s="6"/>
      <c r="N2293" s="2"/>
      <c r="O2293" s="2"/>
      <c r="P2293" s="2"/>
    </row>
    <row r="2294" spans="2:16" ht="14.25">
      <c r="B2294" s="4"/>
      <c r="I2294" s="5"/>
      <c r="J2294" s="5"/>
      <c r="K2294" s="6"/>
      <c r="N2294" s="2"/>
      <c r="O2294" s="2"/>
      <c r="P2294" s="2"/>
    </row>
    <row r="2295" spans="2:16" ht="14.25">
      <c r="B2295" s="4"/>
      <c r="I2295" s="5"/>
      <c r="J2295" s="5"/>
      <c r="K2295" s="6"/>
      <c r="N2295" s="2"/>
      <c r="O2295" s="2"/>
      <c r="P2295" s="2"/>
    </row>
    <row r="2296" spans="2:16" ht="14.25">
      <c r="B2296" s="4"/>
      <c r="I2296" s="5"/>
      <c r="J2296" s="5"/>
      <c r="K2296" s="6"/>
      <c r="N2296" s="2"/>
      <c r="O2296" s="2"/>
      <c r="P2296" s="2"/>
    </row>
    <row r="2297" spans="2:16" ht="14.25">
      <c r="B2297" s="4"/>
      <c r="I2297" s="5"/>
      <c r="J2297" s="5"/>
      <c r="K2297" s="6"/>
      <c r="N2297" s="2"/>
      <c r="O2297" s="2"/>
      <c r="P2297" s="2"/>
    </row>
    <row r="2298" spans="2:16" ht="14.25">
      <c r="B2298" s="4"/>
      <c r="I2298" s="5"/>
      <c r="J2298" s="5"/>
      <c r="K2298" s="6"/>
      <c r="N2298" s="2"/>
      <c r="O2298" s="2"/>
      <c r="P2298" s="2"/>
    </row>
    <row r="2299" spans="2:16" ht="14.25">
      <c r="B2299" s="4"/>
      <c r="I2299" s="5"/>
      <c r="J2299" s="5"/>
      <c r="K2299" s="6"/>
      <c r="N2299" s="2"/>
      <c r="O2299" s="2"/>
      <c r="P2299" s="2"/>
    </row>
    <row r="2300" spans="2:16" ht="14.25">
      <c r="B2300" s="4"/>
      <c r="I2300" s="5"/>
      <c r="J2300" s="5"/>
      <c r="K2300" s="6"/>
      <c r="N2300" s="2"/>
      <c r="O2300" s="2"/>
      <c r="P2300" s="2"/>
    </row>
    <row r="2301" spans="2:16" ht="14.25">
      <c r="B2301" s="4"/>
      <c r="I2301" s="5"/>
      <c r="J2301" s="5"/>
      <c r="K2301" s="6"/>
      <c r="N2301" s="2"/>
      <c r="O2301" s="2"/>
      <c r="P2301" s="2"/>
    </row>
    <row r="2302" spans="2:16" ht="14.25">
      <c r="B2302" s="4"/>
      <c r="I2302" s="5"/>
      <c r="J2302" s="5"/>
      <c r="K2302" s="6"/>
      <c r="N2302" s="2"/>
      <c r="O2302" s="2"/>
      <c r="P2302" s="2"/>
    </row>
    <row r="2303" spans="2:16" ht="14.25">
      <c r="B2303" s="4"/>
      <c r="I2303" s="5"/>
      <c r="J2303" s="5"/>
      <c r="K2303" s="6"/>
      <c r="N2303" s="2"/>
      <c r="O2303" s="2"/>
      <c r="P2303" s="2"/>
    </row>
    <row r="2304" spans="2:16" ht="14.25">
      <c r="B2304" s="4"/>
      <c r="I2304" s="5"/>
      <c r="J2304" s="5"/>
      <c r="K2304" s="6"/>
      <c r="N2304" s="2"/>
      <c r="O2304" s="2"/>
      <c r="P2304" s="2"/>
    </row>
    <row r="2305" spans="2:16" ht="14.25">
      <c r="B2305" s="4"/>
      <c r="I2305" s="5"/>
      <c r="J2305" s="5"/>
      <c r="K2305" s="6"/>
      <c r="N2305" s="2"/>
      <c r="O2305" s="2"/>
      <c r="P2305" s="2"/>
    </row>
    <row r="2306" spans="2:16" ht="14.25">
      <c r="B2306" s="4"/>
      <c r="I2306" s="5"/>
      <c r="J2306" s="5"/>
      <c r="K2306" s="6"/>
      <c r="N2306" s="2"/>
      <c r="O2306" s="2"/>
      <c r="P2306" s="2"/>
    </row>
    <row r="2307" spans="2:16" ht="14.25">
      <c r="B2307" s="4"/>
      <c r="I2307" s="5"/>
      <c r="J2307" s="5"/>
      <c r="K2307" s="6"/>
      <c r="N2307" s="2"/>
      <c r="O2307" s="2"/>
      <c r="P2307" s="2"/>
    </row>
    <row r="2308" spans="2:16" ht="14.25">
      <c r="B2308" s="4"/>
      <c r="I2308" s="5"/>
      <c r="J2308" s="5"/>
      <c r="K2308" s="6"/>
      <c r="N2308" s="2"/>
      <c r="O2308" s="2"/>
      <c r="P2308" s="2"/>
    </row>
    <row r="2309" spans="2:16" ht="14.25">
      <c r="B2309" s="4"/>
      <c r="I2309" s="5"/>
      <c r="J2309" s="5"/>
      <c r="K2309" s="6"/>
      <c r="N2309" s="2"/>
      <c r="O2309" s="2"/>
      <c r="P2309" s="2"/>
    </row>
    <row r="2310" spans="2:16" ht="14.25">
      <c r="B2310" s="4"/>
      <c r="I2310" s="5"/>
      <c r="J2310" s="5"/>
      <c r="K2310" s="6"/>
      <c r="N2310" s="2"/>
      <c r="O2310" s="2"/>
      <c r="P2310" s="2"/>
    </row>
    <row r="2311" spans="2:16" ht="14.25">
      <c r="B2311" s="4"/>
      <c r="I2311" s="5"/>
      <c r="J2311" s="5"/>
      <c r="K2311" s="6"/>
      <c r="N2311" s="2"/>
      <c r="O2311" s="2"/>
      <c r="P2311" s="2"/>
    </row>
    <row r="2312" spans="2:16" ht="14.25">
      <c r="B2312" s="4"/>
      <c r="I2312" s="5"/>
      <c r="J2312" s="5"/>
      <c r="K2312" s="6"/>
      <c r="N2312" s="2"/>
      <c r="O2312" s="2"/>
      <c r="P2312" s="2"/>
    </row>
    <row r="2313" spans="2:16" ht="14.25">
      <c r="B2313" s="4"/>
      <c r="I2313" s="5"/>
      <c r="J2313" s="5"/>
      <c r="K2313" s="6"/>
      <c r="N2313" s="2"/>
      <c r="O2313" s="2"/>
      <c r="P2313" s="2"/>
    </row>
    <row r="2314" spans="2:16" ht="14.25">
      <c r="B2314" s="4"/>
      <c r="I2314" s="5"/>
      <c r="J2314" s="5"/>
      <c r="K2314" s="6"/>
      <c r="N2314" s="2"/>
      <c r="O2314" s="2"/>
      <c r="P2314" s="2"/>
    </row>
    <row r="2315" spans="2:16" ht="14.25">
      <c r="B2315" s="4"/>
      <c r="I2315" s="5"/>
      <c r="J2315" s="5"/>
      <c r="K2315" s="6"/>
      <c r="N2315" s="2"/>
      <c r="O2315" s="2"/>
      <c r="P2315" s="2"/>
    </row>
    <row r="2316" spans="2:16" ht="14.25">
      <c r="B2316" s="4"/>
      <c r="I2316" s="5"/>
      <c r="J2316" s="5"/>
      <c r="K2316" s="6"/>
      <c r="N2316" s="2"/>
      <c r="O2316" s="2"/>
      <c r="P2316" s="2"/>
    </row>
    <row r="2317" spans="2:16" ht="14.25">
      <c r="B2317" s="4"/>
      <c r="I2317" s="5"/>
      <c r="J2317" s="5"/>
      <c r="K2317" s="6"/>
      <c r="N2317" s="2"/>
      <c r="O2317" s="2"/>
      <c r="P2317" s="2"/>
    </row>
    <row r="2318" spans="2:16" ht="14.25">
      <c r="B2318" s="4"/>
      <c r="I2318" s="5"/>
      <c r="J2318" s="5"/>
      <c r="K2318" s="6"/>
      <c r="N2318" s="2"/>
      <c r="O2318" s="2"/>
      <c r="P2318" s="2"/>
    </row>
    <row r="2319" spans="2:16" ht="14.25">
      <c r="B2319" s="4"/>
      <c r="I2319" s="5"/>
      <c r="J2319" s="5"/>
      <c r="K2319" s="6"/>
      <c r="N2319" s="2"/>
      <c r="O2319" s="2"/>
      <c r="P2319" s="2"/>
    </row>
    <row r="2320" spans="2:16" ht="14.25">
      <c r="B2320" s="4"/>
      <c r="I2320" s="5"/>
      <c r="J2320" s="5"/>
      <c r="K2320" s="6"/>
      <c r="N2320" s="2"/>
      <c r="O2320" s="2"/>
      <c r="P2320" s="2"/>
    </row>
    <row r="2321" spans="2:16" ht="14.25">
      <c r="B2321" s="4"/>
      <c r="I2321" s="5"/>
      <c r="J2321" s="5"/>
      <c r="K2321" s="6"/>
      <c r="N2321" s="2"/>
      <c r="O2321" s="2"/>
      <c r="P2321" s="2"/>
    </row>
    <row r="2322" spans="2:16" ht="14.25">
      <c r="B2322" s="4"/>
      <c r="I2322" s="5"/>
      <c r="J2322" s="5"/>
      <c r="K2322" s="6"/>
      <c r="N2322" s="2"/>
      <c r="O2322" s="2"/>
      <c r="P2322" s="2"/>
    </row>
    <row r="2323" spans="2:16" ht="14.25">
      <c r="B2323" s="4"/>
      <c r="I2323" s="5"/>
      <c r="J2323" s="5"/>
      <c r="K2323" s="6"/>
      <c r="N2323" s="2"/>
      <c r="O2323" s="2"/>
      <c r="P2323" s="2"/>
    </row>
    <row r="2324" spans="2:16" ht="14.25">
      <c r="B2324" s="4"/>
      <c r="I2324" s="5"/>
      <c r="J2324" s="5"/>
      <c r="K2324" s="6"/>
      <c r="N2324" s="2"/>
      <c r="O2324" s="2"/>
      <c r="P2324" s="2"/>
    </row>
    <row r="2325" spans="2:16" ht="14.25">
      <c r="B2325" s="4"/>
      <c r="I2325" s="5"/>
      <c r="J2325" s="5"/>
      <c r="K2325" s="6"/>
      <c r="N2325" s="2"/>
      <c r="O2325" s="2"/>
      <c r="P2325" s="2"/>
    </row>
    <row r="2326" spans="2:16" ht="14.25">
      <c r="B2326" s="4"/>
      <c r="I2326" s="5"/>
      <c r="J2326" s="5"/>
      <c r="K2326" s="6"/>
      <c r="N2326" s="2"/>
      <c r="O2326" s="2"/>
      <c r="P2326" s="2"/>
    </row>
    <row r="2327" spans="2:16" ht="14.25">
      <c r="B2327" s="4"/>
      <c r="I2327" s="5"/>
      <c r="J2327" s="5"/>
      <c r="K2327" s="6"/>
      <c r="N2327" s="2"/>
      <c r="O2327" s="2"/>
      <c r="P2327" s="2"/>
    </row>
    <row r="2328" spans="2:16" ht="14.25">
      <c r="B2328" s="4"/>
      <c r="I2328" s="5"/>
      <c r="J2328" s="5"/>
      <c r="K2328" s="6"/>
      <c r="N2328" s="2"/>
      <c r="O2328" s="2"/>
      <c r="P2328" s="2"/>
    </row>
    <row r="2329" spans="2:16" ht="14.25">
      <c r="B2329" s="4"/>
      <c r="I2329" s="5"/>
      <c r="J2329" s="5"/>
      <c r="K2329" s="6"/>
      <c r="N2329" s="2"/>
      <c r="O2329" s="2"/>
      <c r="P2329" s="2"/>
    </row>
    <row r="2330" spans="2:16" ht="14.25">
      <c r="B2330" s="4"/>
      <c r="I2330" s="5"/>
      <c r="J2330" s="5"/>
      <c r="K2330" s="6"/>
      <c r="N2330" s="2"/>
      <c r="O2330" s="2"/>
      <c r="P2330" s="2"/>
    </row>
    <row r="2331" spans="2:16" ht="14.25">
      <c r="B2331" s="4"/>
      <c r="I2331" s="5"/>
      <c r="J2331" s="5"/>
      <c r="K2331" s="6"/>
      <c r="N2331" s="2"/>
      <c r="O2331" s="2"/>
      <c r="P2331" s="2"/>
    </row>
    <row r="2332" spans="2:16" ht="14.25">
      <c r="B2332" s="4"/>
      <c r="I2332" s="5"/>
      <c r="J2332" s="5"/>
      <c r="K2332" s="6"/>
      <c r="N2332" s="2"/>
      <c r="O2332" s="2"/>
      <c r="P2332" s="2"/>
    </row>
    <row r="2333" spans="2:16" ht="14.25">
      <c r="B2333" s="4"/>
      <c r="I2333" s="5"/>
      <c r="J2333" s="5"/>
      <c r="K2333" s="6"/>
      <c r="N2333" s="2"/>
      <c r="O2333" s="2"/>
      <c r="P2333" s="2"/>
    </row>
    <row r="2334" spans="2:16" ht="14.25">
      <c r="B2334" s="4"/>
      <c r="I2334" s="5"/>
      <c r="J2334" s="5"/>
      <c r="K2334" s="6"/>
      <c r="N2334" s="2"/>
      <c r="O2334" s="2"/>
      <c r="P2334" s="2"/>
    </row>
    <row r="2335" spans="2:16" ht="14.25">
      <c r="B2335" s="4"/>
      <c r="I2335" s="5"/>
      <c r="J2335" s="5"/>
      <c r="K2335" s="6"/>
      <c r="N2335" s="2"/>
      <c r="O2335" s="2"/>
      <c r="P2335" s="2"/>
    </row>
    <row r="2336" spans="2:16" ht="14.25">
      <c r="B2336" s="4"/>
      <c r="I2336" s="5"/>
      <c r="J2336" s="5"/>
      <c r="K2336" s="6"/>
      <c r="N2336" s="2"/>
      <c r="O2336" s="2"/>
      <c r="P2336" s="2"/>
    </row>
    <row r="2337" spans="2:16" ht="14.25">
      <c r="B2337" s="4"/>
      <c r="I2337" s="5"/>
      <c r="J2337" s="5"/>
      <c r="K2337" s="6"/>
      <c r="N2337" s="2"/>
      <c r="O2337" s="2"/>
      <c r="P2337" s="2"/>
    </row>
    <row r="2338" spans="2:16" ht="14.25">
      <c r="B2338" s="4"/>
      <c r="I2338" s="5"/>
      <c r="J2338" s="5"/>
      <c r="K2338" s="6"/>
      <c r="N2338" s="2"/>
      <c r="O2338" s="2"/>
      <c r="P2338" s="2"/>
    </row>
    <row r="2339" spans="2:16" ht="14.25">
      <c r="B2339" s="4"/>
      <c r="I2339" s="5"/>
      <c r="J2339" s="5"/>
      <c r="K2339" s="6"/>
      <c r="N2339" s="2"/>
      <c r="O2339" s="2"/>
      <c r="P2339" s="2"/>
    </row>
    <row r="2340" spans="2:16" ht="14.25">
      <c r="B2340" s="4"/>
      <c r="I2340" s="5"/>
      <c r="J2340" s="5"/>
      <c r="K2340" s="6"/>
      <c r="N2340" s="2"/>
      <c r="O2340" s="2"/>
      <c r="P2340" s="2"/>
    </row>
    <row r="2341" spans="2:16" ht="14.25">
      <c r="B2341" s="4"/>
      <c r="I2341" s="5"/>
      <c r="J2341" s="5"/>
      <c r="K2341" s="6"/>
      <c r="N2341" s="2"/>
      <c r="O2341" s="2"/>
      <c r="P2341" s="2"/>
    </row>
    <row r="2342" spans="2:16" ht="14.25">
      <c r="B2342" s="4"/>
      <c r="I2342" s="5"/>
      <c r="J2342" s="5"/>
      <c r="K2342" s="6"/>
      <c r="N2342" s="2"/>
      <c r="O2342" s="2"/>
      <c r="P2342" s="2"/>
    </row>
    <row r="2343" spans="2:16" ht="14.25">
      <c r="B2343" s="4"/>
      <c r="I2343" s="5"/>
      <c r="J2343" s="5"/>
      <c r="K2343" s="6"/>
      <c r="N2343" s="2"/>
      <c r="O2343" s="2"/>
      <c r="P2343" s="2"/>
    </row>
    <row r="2344" spans="2:16" ht="14.25">
      <c r="B2344" s="4"/>
      <c r="I2344" s="5"/>
      <c r="J2344" s="5"/>
      <c r="K2344" s="6"/>
      <c r="N2344" s="2"/>
      <c r="O2344" s="2"/>
      <c r="P2344" s="2"/>
    </row>
    <row r="2345" spans="2:16" ht="14.25">
      <c r="B2345" s="4"/>
      <c r="I2345" s="5"/>
      <c r="J2345" s="5"/>
      <c r="K2345" s="6"/>
      <c r="N2345" s="2"/>
      <c r="O2345" s="2"/>
      <c r="P2345" s="2"/>
    </row>
    <row r="2346" spans="2:16" ht="14.25">
      <c r="B2346" s="4"/>
      <c r="I2346" s="5"/>
      <c r="J2346" s="5"/>
      <c r="K2346" s="6"/>
      <c r="N2346" s="2"/>
      <c r="O2346" s="2"/>
      <c r="P2346" s="2"/>
    </row>
    <row r="2347" spans="2:16" ht="14.25">
      <c r="B2347" s="4"/>
      <c r="I2347" s="5"/>
      <c r="J2347" s="5"/>
      <c r="K2347" s="6"/>
      <c r="N2347" s="2"/>
      <c r="O2347" s="2"/>
      <c r="P2347" s="2"/>
    </row>
    <row r="2348" spans="2:16" ht="14.25">
      <c r="B2348" s="4"/>
      <c r="I2348" s="5"/>
      <c r="J2348" s="5"/>
      <c r="K2348" s="6"/>
      <c r="N2348" s="2"/>
      <c r="O2348" s="2"/>
      <c r="P2348" s="2"/>
    </row>
    <row r="2349" spans="2:16" ht="14.25">
      <c r="B2349" s="4"/>
      <c r="I2349" s="5"/>
      <c r="J2349" s="5"/>
      <c r="K2349" s="6"/>
      <c r="N2349" s="2"/>
      <c r="O2349" s="2"/>
      <c r="P2349" s="2"/>
    </row>
    <row r="2350" spans="2:16" ht="14.25">
      <c r="B2350" s="4"/>
      <c r="I2350" s="5"/>
      <c r="J2350" s="5"/>
      <c r="K2350" s="6"/>
      <c r="N2350" s="2"/>
      <c r="O2350" s="2"/>
      <c r="P2350" s="2"/>
    </row>
    <row r="2351" spans="2:16" ht="14.25">
      <c r="B2351" s="4"/>
      <c r="I2351" s="5"/>
      <c r="J2351" s="5"/>
      <c r="K2351" s="6"/>
      <c r="N2351" s="2"/>
      <c r="O2351" s="2"/>
      <c r="P2351" s="2"/>
    </row>
    <row r="2352" spans="2:16" ht="14.25">
      <c r="B2352" s="4"/>
      <c r="I2352" s="5"/>
      <c r="J2352" s="5"/>
      <c r="K2352" s="6"/>
      <c r="N2352" s="2"/>
      <c r="O2352" s="2"/>
      <c r="P2352" s="2"/>
    </row>
    <row r="2353" spans="2:16" ht="14.25">
      <c r="B2353" s="4"/>
      <c r="I2353" s="5"/>
      <c r="J2353" s="5"/>
      <c r="K2353" s="6"/>
      <c r="N2353" s="2"/>
      <c r="O2353" s="2"/>
      <c r="P2353" s="2"/>
    </row>
    <row r="2354" spans="2:16" ht="14.25">
      <c r="B2354" s="4"/>
      <c r="I2354" s="5"/>
      <c r="J2354" s="5"/>
      <c r="K2354" s="6"/>
      <c r="N2354" s="2"/>
      <c r="O2354" s="2"/>
      <c r="P2354" s="2"/>
    </row>
    <row r="2355" spans="2:16" ht="14.25">
      <c r="B2355" s="4"/>
      <c r="I2355" s="5"/>
      <c r="J2355" s="5"/>
      <c r="K2355" s="6"/>
      <c r="N2355" s="2"/>
      <c r="O2355" s="2"/>
      <c r="P2355" s="2"/>
    </row>
    <row r="2356" spans="2:16" ht="14.25">
      <c r="B2356" s="4"/>
      <c r="I2356" s="5"/>
      <c r="J2356" s="5"/>
      <c r="K2356" s="6"/>
      <c r="N2356" s="2"/>
      <c r="O2356" s="2"/>
      <c r="P2356" s="2"/>
    </row>
    <row r="2357" spans="2:16" ht="14.25">
      <c r="B2357" s="4"/>
      <c r="I2357" s="5"/>
      <c r="J2357" s="5"/>
      <c r="K2357" s="6"/>
      <c r="N2357" s="2"/>
      <c r="O2357" s="2"/>
      <c r="P2357" s="2"/>
    </row>
    <row r="2358" spans="2:16" ht="14.25">
      <c r="B2358" s="4"/>
      <c r="I2358" s="5"/>
      <c r="J2358" s="5"/>
      <c r="K2358" s="6"/>
      <c r="N2358" s="2"/>
      <c r="O2358" s="2"/>
      <c r="P2358" s="2"/>
    </row>
    <row r="2359" spans="2:16" ht="14.25">
      <c r="B2359" s="4"/>
      <c r="I2359" s="5"/>
      <c r="J2359" s="5"/>
      <c r="K2359" s="6"/>
      <c r="N2359" s="2"/>
      <c r="O2359" s="2"/>
      <c r="P2359" s="2"/>
    </row>
    <row r="2360" spans="2:16" ht="14.25">
      <c r="B2360" s="4"/>
      <c r="I2360" s="5"/>
      <c r="J2360" s="5"/>
      <c r="K2360" s="6"/>
      <c r="N2360" s="2"/>
      <c r="O2360" s="2"/>
      <c r="P2360" s="2"/>
    </row>
    <row r="2361" spans="2:16" ht="14.25">
      <c r="B2361" s="4"/>
      <c r="I2361" s="5"/>
      <c r="J2361" s="5"/>
      <c r="K2361" s="6"/>
      <c r="N2361" s="2"/>
      <c r="O2361" s="2"/>
      <c r="P2361" s="2"/>
    </row>
    <row r="2362" spans="2:16" ht="14.25">
      <c r="B2362" s="4"/>
      <c r="I2362" s="5"/>
      <c r="J2362" s="5"/>
      <c r="K2362" s="6"/>
      <c r="N2362" s="2"/>
      <c r="O2362" s="2"/>
      <c r="P2362" s="2"/>
    </row>
    <row r="2363" spans="2:16" ht="14.25">
      <c r="B2363" s="4"/>
      <c r="I2363" s="5"/>
      <c r="J2363" s="5"/>
      <c r="K2363" s="6"/>
      <c r="N2363" s="2"/>
      <c r="O2363" s="2"/>
      <c r="P2363" s="2"/>
    </row>
    <row r="2364" spans="2:16" ht="14.25">
      <c r="B2364" s="4"/>
      <c r="I2364" s="5"/>
      <c r="J2364" s="5"/>
      <c r="K2364" s="6"/>
      <c r="N2364" s="2"/>
      <c r="O2364" s="2"/>
      <c r="P2364" s="2"/>
    </row>
    <row r="2365" spans="2:16" ht="14.25">
      <c r="B2365" s="4"/>
      <c r="I2365" s="5"/>
      <c r="J2365" s="5"/>
      <c r="K2365" s="6"/>
      <c r="N2365" s="2"/>
      <c r="O2365" s="2"/>
      <c r="P2365" s="2"/>
    </row>
    <row r="2366" spans="2:16" ht="14.25">
      <c r="B2366" s="4"/>
      <c r="I2366" s="5"/>
      <c r="J2366" s="5"/>
      <c r="K2366" s="6"/>
      <c r="N2366" s="2"/>
      <c r="O2366" s="2"/>
      <c r="P2366" s="2"/>
    </row>
    <row r="2367" spans="2:16" ht="14.25">
      <c r="B2367" s="4"/>
      <c r="I2367" s="5"/>
      <c r="J2367" s="5"/>
      <c r="K2367" s="6"/>
      <c r="N2367" s="2"/>
      <c r="O2367" s="2"/>
      <c r="P2367" s="2"/>
    </row>
    <row r="2368" spans="2:16" ht="14.25">
      <c r="B2368" s="4"/>
      <c r="I2368" s="5"/>
      <c r="J2368" s="5"/>
      <c r="K2368" s="6"/>
      <c r="N2368" s="2"/>
      <c r="O2368" s="2"/>
      <c r="P2368" s="2"/>
    </row>
    <row r="2369" spans="2:16" ht="14.25">
      <c r="B2369" s="4"/>
      <c r="I2369" s="5"/>
      <c r="J2369" s="5"/>
      <c r="K2369" s="6"/>
      <c r="N2369" s="2"/>
      <c r="O2369" s="2"/>
      <c r="P2369" s="2"/>
    </row>
    <row r="2370" spans="2:16" ht="14.25">
      <c r="B2370" s="4"/>
      <c r="I2370" s="5"/>
      <c r="J2370" s="5"/>
      <c r="K2370" s="6"/>
      <c r="N2370" s="2"/>
      <c r="O2370" s="2"/>
      <c r="P2370" s="2"/>
    </row>
    <row r="2371" spans="2:16" ht="14.25">
      <c r="B2371" s="4"/>
      <c r="I2371" s="5"/>
      <c r="J2371" s="5"/>
      <c r="K2371" s="6"/>
      <c r="N2371" s="2"/>
      <c r="O2371" s="2"/>
      <c r="P2371" s="2"/>
    </row>
    <row r="2372" spans="2:16" ht="14.25">
      <c r="B2372" s="4"/>
      <c r="I2372" s="5"/>
      <c r="J2372" s="5"/>
      <c r="K2372" s="6"/>
      <c r="N2372" s="2"/>
      <c r="O2372" s="2"/>
      <c r="P2372" s="2"/>
    </row>
    <row r="2373" spans="2:16" ht="14.25">
      <c r="B2373" s="4"/>
      <c r="I2373" s="5"/>
      <c r="J2373" s="5"/>
      <c r="K2373" s="6"/>
      <c r="N2373" s="2"/>
      <c r="O2373" s="2"/>
      <c r="P2373" s="2"/>
    </row>
    <row r="2374" spans="2:16" ht="14.25">
      <c r="B2374" s="4"/>
      <c r="I2374" s="5"/>
      <c r="J2374" s="5"/>
      <c r="K2374" s="6"/>
      <c r="N2374" s="2"/>
      <c r="O2374" s="2"/>
      <c r="P2374" s="2"/>
    </row>
    <row r="2375" spans="2:16" ht="14.25">
      <c r="B2375" s="4"/>
      <c r="I2375" s="5"/>
      <c r="J2375" s="5"/>
      <c r="K2375" s="6"/>
      <c r="N2375" s="2"/>
      <c r="O2375" s="2"/>
      <c r="P2375" s="2"/>
    </row>
    <row r="2376" spans="2:16" ht="14.25">
      <c r="B2376" s="4"/>
      <c r="I2376" s="5"/>
      <c r="J2376" s="5"/>
      <c r="K2376" s="6"/>
      <c r="N2376" s="2"/>
      <c r="O2376" s="2"/>
      <c r="P2376" s="2"/>
    </row>
    <row r="2377" spans="2:16" ht="14.25">
      <c r="B2377" s="4"/>
      <c r="I2377" s="5"/>
      <c r="J2377" s="5"/>
      <c r="K2377" s="6"/>
      <c r="N2377" s="2"/>
      <c r="O2377" s="2"/>
      <c r="P2377" s="2"/>
    </row>
    <row r="2378" spans="2:16" ht="14.25">
      <c r="B2378" s="4"/>
      <c r="I2378" s="5"/>
      <c r="J2378" s="5"/>
      <c r="K2378" s="6"/>
      <c r="N2378" s="2"/>
      <c r="O2378" s="2"/>
      <c r="P2378" s="2"/>
    </row>
    <row r="2379" spans="2:16" ht="14.25">
      <c r="B2379" s="4"/>
      <c r="I2379" s="5"/>
      <c r="J2379" s="5"/>
      <c r="K2379" s="6"/>
      <c r="N2379" s="2"/>
      <c r="O2379" s="2"/>
      <c r="P2379" s="2"/>
    </row>
    <row r="2380" spans="2:16" ht="14.25">
      <c r="B2380" s="4"/>
      <c r="I2380" s="5"/>
      <c r="J2380" s="5"/>
      <c r="K2380" s="6"/>
      <c r="N2380" s="2"/>
      <c r="O2380" s="2"/>
      <c r="P2380" s="2"/>
    </row>
    <row r="2381" spans="2:16" ht="14.25">
      <c r="B2381" s="4"/>
      <c r="I2381" s="5"/>
      <c r="J2381" s="5"/>
      <c r="K2381" s="6"/>
      <c r="N2381" s="2"/>
      <c r="O2381" s="2"/>
      <c r="P2381" s="2"/>
    </row>
    <row r="2382" spans="2:16" ht="14.25">
      <c r="B2382" s="4"/>
      <c r="I2382" s="5"/>
      <c r="J2382" s="5"/>
      <c r="K2382" s="6"/>
      <c r="N2382" s="2"/>
      <c r="O2382" s="2"/>
      <c r="P2382" s="2"/>
    </row>
    <row r="2383" spans="2:16" ht="14.25">
      <c r="B2383" s="4"/>
      <c r="I2383" s="5"/>
      <c r="J2383" s="5"/>
      <c r="K2383" s="6"/>
      <c r="N2383" s="2"/>
      <c r="O2383" s="2"/>
      <c r="P2383" s="2"/>
    </row>
    <row r="2384" spans="2:16" ht="14.25">
      <c r="B2384" s="4"/>
      <c r="I2384" s="5"/>
      <c r="J2384" s="5"/>
      <c r="K2384" s="6"/>
      <c r="N2384" s="2"/>
      <c r="O2384" s="2"/>
      <c r="P2384" s="2"/>
    </row>
    <row r="2385" spans="2:16" ht="14.25">
      <c r="B2385" s="4"/>
      <c r="I2385" s="5"/>
      <c r="J2385" s="5"/>
      <c r="K2385" s="6"/>
      <c r="N2385" s="2"/>
      <c r="O2385" s="2"/>
      <c r="P2385" s="2"/>
    </row>
    <row r="2386" spans="2:16" ht="14.25">
      <c r="B2386" s="4"/>
      <c r="I2386" s="5"/>
      <c r="J2386" s="5"/>
      <c r="K2386" s="6"/>
      <c r="N2386" s="2"/>
      <c r="O2386" s="2"/>
      <c r="P2386" s="2"/>
    </row>
    <row r="2387" spans="2:16" ht="14.25">
      <c r="B2387" s="4"/>
      <c r="I2387" s="5"/>
      <c r="J2387" s="5"/>
      <c r="K2387" s="6"/>
      <c r="N2387" s="2"/>
      <c r="O2387" s="2"/>
      <c r="P2387" s="2"/>
    </row>
    <row r="2388" spans="2:16" ht="14.25">
      <c r="B2388" s="4"/>
      <c r="I2388" s="5"/>
      <c r="J2388" s="5"/>
      <c r="K2388" s="6"/>
      <c r="N2388" s="2"/>
      <c r="O2388" s="2"/>
      <c r="P2388" s="2"/>
    </row>
    <row r="2389" spans="2:16" ht="14.25">
      <c r="B2389" s="4"/>
      <c r="I2389" s="5"/>
      <c r="J2389" s="5"/>
      <c r="K2389" s="6"/>
      <c r="N2389" s="2"/>
      <c r="O2389" s="2"/>
      <c r="P2389" s="2"/>
    </row>
    <row r="2390" spans="2:16" ht="14.25">
      <c r="B2390" s="4"/>
      <c r="I2390" s="5"/>
      <c r="J2390" s="5"/>
      <c r="K2390" s="6"/>
      <c r="N2390" s="2"/>
      <c r="O2390" s="2"/>
      <c r="P2390" s="2"/>
    </row>
    <row r="2391" spans="2:16" ht="14.25">
      <c r="B2391" s="4"/>
      <c r="I2391" s="5"/>
      <c r="J2391" s="5"/>
      <c r="K2391" s="6"/>
      <c r="N2391" s="2"/>
      <c r="O2391" s="2"/>
      <c r="P2391" s="2"/>
    </row>
    <row r="2392" spans="2:16" ht="14.25">
      <c r="B2392" s="4"/>
      <c r="I2392" s="5"/>
      <c r="J2392" s="5"/>
      <c r="K2392" s="6"/>
      <c r="N2392" s="2"/>
      <c r="O2392" s="2"/>
      <c r="P2392" s="2"/>
    </row>
    <row r="2393" spans="2:16" ht="14.25">
      <c r="B2393" s="4"/>
      <c r="I2393" s="5"/>
      <c r="J2393" s="5"/>
      <c r="K2393" s="6"/>
      <c r="N2393" s="2"/>
      <c r="O2393" s="2"/>
      <c r="P2393" s="2"/>
    </row>
    <row r="2394" spans="2:16" ht="14.25">
      <c r="B2394" s="4"/>
      <c r="I2394" s="5"/>
      <c r="J2394" s="5"/>
      <c r="K2394" s="6"/>
      <c r="N2394" s="2"/>
      <c r="O2394" s="2"/>
      <c r="P2394" s="2"/>
    </row>
    <row r="2395" spans="2:16" ht="14.25">
      <c r="B2395" s="4"/>
      <c r="I2395" s="5"/>
      <c r="J2395" s="5"/>
      <c r="K2395" s="6"/>
      <c r="N2395" s="2"/>
      <c r="O2395" s="2"/>
      <c r="P2395" s="2"/>
    </row>
    <row r="2396" spans="2:16" ht="14.25">
      <c r="B2396" s="4"/>
      <c r="I2396" s="5"/>
      <c r="J2396" s="5"/>
      <c r="K2396" s="6"/>
      <c r="N2396" s="2"/>
      <c r="O2396" s="2"/>
      <c r="P2396" s="2"/>
    </row>
    <row r="2397" spans="2:16" ht="14.25">
      <c r="B2397" s="4"/>
      <c r="I2397" s="5"/>
      <c r="J2397" s="5"/>
      <c r="K2397" s="6"/>
      <c r="N2397" s="2"/>
      <c r="O2397" s="2"/>
      <c r="P2397" s="2"/>
    </row>
    <row r="2398" spans="2:16" ht="14.25">
      <c r="B2398" s="4"/>
      <c r="I2398" s="5"/>
      <c r="J2398" s="5"/>
      <c r="K2398" s="6"/>
      <c r="N2398" s="2"/>
      <c r="O2398" s="2"/>
      <c r="P2398" s="2"/>
    </row>
    <row r="2399" spans="2:16" ht="14.25">
      <c r="B2399" s="4"/>
      <c r="I2399" s="5"/>
      <c r="J2399" s="5"/>
      <c r="K2399" s="6"/>
      <c r="N2399" s="2"/>
      <c r="O2399" s="2"/>
      <c r="P2399" s="2"/>
    </row>
    <row r="2400" spans="2:16" ht="14.25">
      <c r="B2400" s="4"/>
      <c r="I2400" s="5"/>
      <c r="J2400" s="5"/>
      <c r="K2400" s="6"/>
      <c r="N2400" s="2"/>
      <c r="O2400" s="2"/>
      <c r="P2400" s="2"/>
    </row>
    <row r="2401" spans="2:16" ht="14.25">
      <c r="B2401" s="4"/>
      <c r="I2401" s="5"/>
      <c r="J2401" s="5"/>
      <c r="K2401" s="6"/>
      <c r="N2401" s="2"/>
      <c r="O2401" s="2"/>
      <c r="P2401" s="2"/>
    </row>
    <row r="2402" spans="2:16" ht="14.25">
      <c r="B2402" s="4"/>
      <c r="I2402" s="5"/>
      <c r="J2402" s="5"/>
      <c r="K2402" s="6"/>
      <c r="N2402" s="2"/>
      <c r="O2402" s="2"/>
      <c r="P2402" s="2"/>
    </row>
    <row r="2403" spans="2:16" ht="14.25">
      <c r="B2403" s="4"/>
      <c r="I2403" s="5"/>
      <c r="J2403" s="5"/>
      <c r="K2403" s="6"/>
      <c r="N2403" s="2"/>
      <c r="O2403" s="2"/>
      <c r="P2403" s="2"/>
    </row>
    <row r="2404" spans="2:16" ht="14.25">
      <c r="B2404" s="4"/>
      <c r="I2404" s="5"/>
      <c r="J2404" s="5"/>
      <c r="K2404" s="6"/>
      <c r="N2404" s="2"/>
      <c r="O2404" s="2"/>
      <c r="P2404" s="2"/>
    </row>
    <row r="2405" spans="2:16" ht="14.25">
      <c r="B2405" s="4"/>
      <c r="I2405" s="5"/>
      <c r="J2405" s="5"/>
      <c r="K2405" s="6"/>
      <c r="N2405" s="2"/>
      <c r="O2405" s="2"/>
      <c r="P2405" s="2"/>
    </row>
    <row r="2406" spans="2:16" ht="14.25">
      <c r="B2406" s="4"/>
      <c r="I2406" s="5"/>
      <c r="J2406" s="5"/>
      <c r="K2406" s="6"/>
      <c r="N2406" s="2"/>
      <c r="O2406" s="2"/>
      <c r="P2406" s="2"/>
    </row>
    <row r="2407" spans="2:16" ht="14.25">
      <c r="B2407" s="4"/>
      <c r="I2407" s="5"/>
      <c r="J2407" s="5"/>
      <c r="K2407" s="6"/>
      <c r="N2407" s="2"/>
      <c r="O2407" s="2"/>
      <c r="P2407" s="2"/>
    </row>
    <row r="2408" spans="2:16" ht="14.25">
      <c r="B2408" s="4"/>
      <c r="I2408" s="5"/>
      <c r="J2408" s="5"/>
      <c r="K2408" s="6"/>
      <c r="N2408" s="2"/>
      <c r="O2408" s="2"/>
      <c r="P2408" s="2"/>
    </row>
    <row r="2409" spans="2:16" ht="14.25">
      <c r="B2409" s="4"/>
      <c r="I2409" s="5"/>
      <c r="J2409" s="5"/>
      <c r="K2409" s="6"/>
      <c r="N2409" s="2"/>
      <c r="O2409" s="2"/>
      <c r="P2409" s="2"/>
    </row>
    <row r="2410" spans="2:16" ht="14.25">
      <c r="B2410" s="4"/>
      <c r="I2410" s="5"/>
      <c r="J2410" s="5"/>
      <c r="K2410" s="6"/>
      <c r="N2410" s="2"/>
      <c r="O2410" s="2"/>
      <c r="P2410" s="2"/>
    </row>
    <row r="2411" spans="2:16" ht="14.25">
      <c r="B2411" s="4"/>
      <c r="I2411" s="5"/>
      <c r="J2411" s="5"/>
      <c r="K2411" s="6"/>
      <c r="N2411" s="2"/>
      <c r="O2411" s="2"/>
      <c r="P2411" s="2"/>
    </row>
    <row r="2412" spans="2:16" ht="14.25">
      <c r="B2412" s="4"/>
      <c r="I2412" s="5"/>
      <c r="J2412" s="5"/>
      <c r="K2412" s="6"/>
      <c r="N2412" s="2"/>
      <c r="O2412" s="2"/>
      <c r="P2412" s="2"/>
    </row>
    <row r="2413" spans="2:16" ht="14.25">
      <c r="B2413" s="4"/>
      <c r="I2413" s="5"/>
      <c r="J2413" s="5"/>
      <c r="K2413" s="6"/>
      <c r="N2413" s="2"/>
      <c r="O2413" s="2"/>
      <c r="P2413" s="2"/>
    </row>
    <row r="2414" spans="2:16" ht="14.25">
      <c r="B2414" s="4"/>
      <c r="I2414" s="5"/>
      <c r="J2414" s="5"/>
      <c r="K2414" s="6"/>
      <c r="N2414" s="2"/>
      <c r="O2414" s="2"/>
      <c r="P2414" s="2"/>
    </row>
    <row r="2415" spans="2:16" ht="14.25">
      <c r="B2415" s="4"/>
      <c r="I2415" s="5"/>
      <c r="J2415" s="5"/>
      <c r="K2415" s="6"/>
      <c r="N2415" s="2"/>
      <c r="O2415" s="2"/>
      <c r="P2415" s="2"/>
    </row>
    <row r="2416" spans="2:16" ht="14.25">
      <c r="B2416" s="4"/>
      <c r="I2416" s="5"/>
      <c r="J2416" s="5"/>
      <c r="K2416" s="6"/>
      <c r="N2416" s="2"/>
      <c r="O2416" s="2"/>
      <c r="P2416" s="2"/>
    </row>
    <row r="2417" spans="2:16" ht="14.25">
      <c r="B2417" s="4"/>
      <c r="I2417" s="5"/>
      <c r="J2417" s="5"/>
      <c r="K2417" s="6"/>
      <c r="N2417" s="2"/>
      <c r="O2417" s="2"/>
      <c r="P2417" s="2"/>
    </row>
    <row r="2418" spans="2:16" ht="14.25">
      <c r="B2418" s="4"/>
      <c r="I2418" s="5"/>
      <c r="J2418" s="5"/>
      <c r="K2418" s="6"/>
      <c r="N2418" s="2"/>
      <c r="O2418" s="2"/>
      <c r="P2418" s="2"/>
    </row>
    <row r="2419" spans="2:16" ht="14.25">
      <c r="B2419" s="4"/>
      <c r="I2419" s="5"/>
      <c r="J2419" s="5"/>
      <c r="K2419" s="6"/>
      <c r="N2419" s="2"/>
      <c r="O2419" s="2"/>
      <c r="P2419" s="2"/>
    </row>
    <row r="2420" spans="2:16" ht="14.25">
      <c r="B2420" s="4"/>
      <c r="I2420" s="5"/>
      <c r="J2420" s="5"/>
      <c r="K2420" s="6"/>
      <c r="N2420" s="2"/>
      <c r="O2420" s="2"/>
      <c r="P2420" s="2"/>
    </row>
    <row r="2421" spans="2:16" ht="14.25">
      <c r="B2421" s="4"/>
      <c r="I2421" s="5"/>
      <c r="J2421" s="5"/>
      <c r="K2421" s="6"/>
      <c r="N2421" s="2"/>
      <c r="O2421" s="2"/>
      <c r="P2421" s="2"/>
    </row>
    <row r="2422" spans="2:16" ht="14.25">
      <c r="B2422" s="4"/>
      <c r="I2422" s="5"/>
      <c r="J2422" s="5"/>
      <c r="K2422" s="6"/>
      <c r="N2422" s="2"/>
      <c r="O2422" s="2"/>
      <c r="P2422" s="2"/>
    </row>
    <row r="2423" spans="2:16" ht="14.25">
      <c r="B2423" s="4"/>
      <c r="I2423" s="5"/>
      <c r="J2423" s="5"/>
      <c r="K2423" s="6"/>
      <c r="N2423" s="2"/>
      <c r="O2423" s="2"/>
      <c r="P2423" s="2"/>
    </row>
    <row r="2424" spans="2:16" ht="14.25">
      <c r="B2424" s="4"/>
      <c r="I2424" s="5"/>
      <c r="J2424" s="5"/>
      <c r="K2424" s="6"/>
      <c r="N2424" s="2"/>
      <c r="O2424" s="2"/>
      <c r="P2424" s="2"/>
    </row>
    <row r="2425" spans="2:16" ht="14.25">
      <c r="B2425" s="4"/>
      <c r="I2425" s="5"/>
      <c r="J2425" s="5"/>
      <c r="K2425" s="6"/>
      <c r="N2425" s="2"/>
      <c r="O2425" s="2"/>
      <c r="P2425" s="2"/>
    </row>
    <row r="2426" spans="2:16" ht="14.25">
      <c r="B2426" s="4"/>
      <c r="I2426" s="5"/>
      <c r="J2426" s="5"/>
      <c r="K2426" s="6"/>
      <c r="N2426" s="2"/>
      <c r="O2426" s="2"/>
      <c r="P2426" s="2"/>
    </row>
    <row r="2427" spans="2:16" ht="14.25">
      <c r="B2427" s="4"/>
      <c r="I2427" s="5"/>
      <c r="J2427" s="5"/>
      <c r="K2427" s="6"/>
      <c r="N2427" s="2"/>
      <c r="O2427" s="2"/>
      <c r="P2427" s="2"/>
    </row>
    <row r="2428" spans="2:16" ht="14.25">
      <c r="B2428" s="4"/>
      <c r="I2428" s="5"/>
      <c r="J2428" s="5"/>
      <c r="K2428" s="6"/>
      <c r="N2428" s="2"/>
      <c r="O2428" s="2"/>
      <c r="P2428" s="2"/>
    </row>
    <row r="2429" spans="2:16" ht="14.25">
      <c r="B2429" s="4"/>
      <c r="I2429" s="5"/>
      <c r="J2429" s="5"/>
      <c r="K2429" s="6"/>
      <c r="N2429" s="2"/>
      <c r="O2429" s="2"/>
      <c r="P2429" s="2"/>
    </row>
    <row r="2430" spans="2:16" ht="14.25">
      <c r="B2430" s="4"/>
      <c r="I2430" s="5"/>
      <c r="J2430" s="5"/>
      <c r="K2430" s="6"/>
      <c r="N2430" s="2"/>
      <c r="O2430" s="2"/>
      <c r="P2430" s="2"/>
    </row>
    <row r="2431" spans="2:16" ht="14.25">
      <c r="B2431" s="4"/>
      <c r="I2431" s="5"/>
      <c r="J2431" s="5"/>
      <c r="K2431" s="6"/>
      <c r="N2431" s="2"/>
      <c r="O2431" s="2"/>
      <c r="P2431" s="2"/>
    </row>
    <row r="2432" spans="2:16" ht="14.25">
      <c r="B2432" s="4"/>
      <c r="I2432" s="5"/>
      <c r="J2432" s="5"/>
      <c r="K2432" s="6"/>
      <c r="N2432" s="2"/>
      <c r="O2432" s="2"/>
      <c r="P2432" s="2"/>
    </row>
    <row r="2433" spans="2:16" ht="14.25">
      <c r="B2433" s="4"/>
      <c r="I2433" s="5"/>
      <c r="J2433" s="5"/>
      <c r="K2433" s="6"/>
      <c r="N2433" s="2"/>
      <c r="O2433" s="2"/>
      <c r="P2433" s="2"/>
    </row>
    <row r="2434" spans="2:16" ht="14.25">
      <c r="B2434" s="4"/>
      <c r="I2434" s="5"/>
      <c r="J2434" s="5"/>
      <c r="K2434" s="6"/>
      <c r="N2434" s="2"/>
      <c r="O2434" s="2"/>
      <c r="P2434" s="2"/>
    </row>
    <row r="2435" spans="2:16" ht="14.25">
      <c r="B2435" s="4"/>
      <c r="I2435" s="5"/>
      <c r="J2435" s="5"/>
      <c r="K2435" s="6"/>
      <c r="N2435" s="2"/>
      <c r="O2435" s="2"/>
      <c r="P2435" s="2"/>
    </row>
    <row r="2436" spans="2:16" ht="14.25">
      <c r="B2436" s="4"/>
      <c r="I2436" s="5"/>
      <c r="J2436" s="5"/>
      <c r="K2436" s="6"/>
      <c r="N2436" s="2"/>
      <c r="O2436" s="2"/>
      <c r="P2436" s="2"/>
    </row>
    <row r="2437" spans="2:16" ht="14.25">
      <c r="B2437" s="4"/>
      <c r="I2437" s="5"/>
      <c r="J2437" s="5"/>
      <c r="K2437" s="6"/>
      <c r="N2437" s="2"/>
      <c r="O2437" s="2"/>
      <c r="P2437" s="2"/>
    </row>
    <row r="2438" spans="2:16" ht="14.25">
      <c r="B2438" s="4"/>
      <c r="I2438" s="5"/>
      <c r="J2438" s="5"/>
      <c r="K2438" s="6"/>
      <c r="N2438" s="2"/>
      <c r="O2438" s="2"/>
      <c r="P2438" s="2"/>
    </row>
    <row r="2439" spans="2:16" ht="14.25">
      <c r="B2439" s="4"/>
      <c r="I2439" s="5"/>
      <c r="J2439" s="5"/>
      <c r="K2439" s="6"/>
      <c r="N2439" s="2"/>
      <c r="O2439" s="2"/>
      <c r="P2439" s="2"/>
    </row>
    <row r="2440" spans="2:16" ht="14.25">
      <c r="B2440" s="4"/>
      <c r="I2440" s="5"/>
      <c r="J2440" s="5"/>
      <c r="K2440" s="6"/>
      <c r="N2440" s="2"/>
      <c r="O2440" s="2"/>
      <c r="P2440" s="2"/>
    </row>
    <row r="2441" spans="2:16" ht="14.25">
      <c r="B2441" s="4"/>
      <c r="I2441" s="5"/>
      <c r="J2441" s="5"/>
      <c r="K2441" s="6"/>
      <c r="N2441" s="2"/>
      <c r="O2441" s="2"/>
      <c r="P2441" s="2"/>
    </row>
    <row r="2442" spans="2:16" ht="14.25">
      <c r="B2442" s="4"/>
      <c r="I2442" s="5"/>
      <c r="J2442" s="5"/>
      <c r="K2442" s="6"/>
      <c r="N2442" s="2"/>
      <c r="O2442" s="2"/>
      <c r="P2442" s="2"/>
    </row>
    <row r="2443" spans="2:16" ht="14.25">
      <c r="B2443" s="4"/>
      <c r="I2443" s="5"/>
      <c r="J2443" s="5"/>
      <c r="K2443" s="6"/>
      <c r="N2443" s="2"/>
      <c r="O2443" s="2"/>
      <c r="P2443" s="2"/>
    </row>
    <row r="2444" spans="2:16" ht="14.25">
      <c r="B2444" s="4"/>
      <c r="I2444" s="5"/>
      <c r="J2444" s="5"/>
      <c r="K2444" s="6"/>
      <c r="N2444" s="2"/>
      <c r="O2444" s="2"/>
      <c r="P2444" s="2"/>
    </row>
    <row r="2445" spans="2:16" ht="14.25">
      <c r="B2445" s="4"/>
      <c r="I2445" s="5"/>
      <c r="J2445" s="5"/>
      <c r="K2445" s="6"/>
      <c r="N2445" s="2"/>
      <c r="O2445" s="2"/>
      <c r="P2445" s="2"/>
    </row>
    <row r="2446" spans="2:16" ht="14.25">
      <c r="B2446" s="4"/>
      <c r="I2446" s="5"/>
      <c r="J2446" s="5"/>
      <c r="K2446" s="6"/>
      <c r="N2446" s="2"/>
      <c r="O2446" s="2"/>
      <c r="P2446" s="2"/>
    </row>
    <row r="2447" spans="2:16" ht="14.25">
      <c r="B2447" s="4"/>
      <c r="I2447" s="5"/>
      <c r="J2447" s="5"/>
      <c r="K2447" s="6"/>
      <c r="N2447" s="2"/>
      <c r="O2447" s="2"/>
      <c r="P2447" s="2"/>
    </row>
    <row r="2448" spans="2:16" ht="14.25">
      <c r="B2448" s="4"/>
      <c r="I2448" s="5"/>
      <c r="J2448" s="5"/>
      <c r="K2448" s="6"/>
      <c r="N2448" s="2"/>
      <c r="O2448" s="2"/>
      <c r="P2448" s="2"/>
    </row>
    <row r="2449" spans="2:16" ht="14.25">
      <c r="B2449" s="4"/>
      <c r="I2449" s="5"/>
      <c r="J2449" s="5"/>
      <c r="K2449" s="6"/>
      <c r="N2449" s="2"/>
      <c r="O2449" s="2"/>
      <c r="P2449" s="2"/>
    </row>
    <row r="2450" spans="2:16" ht="14.25">
      <c r="B2450" s="4"/>
      <c r="I2450" s="5"/>
      <c r="J2450" s="5"/>
      <c r="K2450" s="6"/>
      <c r="N2450" s="2"/>
      <c r="O2450" s="2"/>
      <c r="P2450" s="2"/>
    </row>
    <row r="2451" spans="2:16" ht="14.25">
      <c r="B2451" s="4"/>
      <c r="I2451" s="5"/>
      <c r="J2451" s="5"/>
      <c r="K2451" s="6"/>
      <c r="N2451" s="2"/>
      <c r="O2451" s="2"/>
      <c r="P2451" s="2"/>
    </row>
    <row r="2452" spans="2:16" ht="14.25">
      <c r="B2452" s="4"/>
      <c r="I2452" s="5"/>
      <c r="J2452" s="5"/>
      <c r="K2452" s="6"/>
      <c r="N2452" s="2"/>
      <c r="O2452" s="2"/>
      <c r="P2452" s="2"/>
    </row>
    <row r="2453" spans="2:16" ht="14.25">
      <c r="B2453" s="4"/>
      <c r="I2453" s="5"/>
      <c r="J2453" s="5"/>
      <c r="K2453" s="6"/>
      <c r="N2453" s="2"/>
      <c r="O2453" s="2"/>
      <c r="P2453" s="2"/>
    </row>
    <row r="2454" spans="2:16" ht="14.25">
      <c r="B2454" s="4"/>
      <c r="I2454" s="5"/>
      <c r="J2454" s="5"/>
      <c r="K2454" s="6"/>
      <c r="N2454" s="2"/>
      <c r="O2454" s="2"/>
      <c r="P2454" s="2"/>
    </row>
    <row r="2455" spans="2:16" ht="14.25">
      <c r="B2455" s="4"/>
      <c r="I2455" s="5"/>
      <c r="J2455" s="5"/>
      <c r="K2455" s="6"/>
      <c r="N2455" s="2"/>
      <c r="O2455" s="2"/>
      <c r="P2455" s="2"/>
    </row>
    <row r="2456" spans="2:16" ht="14.25">
      <c r="B2456" s="4"/>
      <c r="I2456" s="5"/>
      <c r="J2456" s="5"/>
      <c r="K2456" s="6"/>
      <c r="N2456" s="2"/>
      <c r="O2456" s="2"/>
      <c r="P2456" s="2"/>
    </row>
    <row r="2457" spans="2:16" ht="14.25">
      <c r="B2457" s="4"/>
      <c r="I2457" s="5"/>
      <c r="J2457" s="5"/>
      <c r="K2457" s="6"/>
      <c r="N2457" s="2"/>
      <c r="O2457" s="2"/>
      <c r="P2457" s="2"/>
    </row>
    <row r="2458" spans="2:16" ht="14.25">
      <c r="B2458" s="4"/>
      <c r="I2458" s="5"/>
      <c r="J2458" s="5"/>
      <c r="K2458" s="6"/>
      <c r="N2458" s="2"/>
      <c r="O2458" s="2"/>
      <c r="P2458" s="2"/>
    </row>
    <row r="2459" spans="2:16" ht="14.25">
      <c r="B2459" s="4"/>
      <c r="I2459" s="5"/>
      <c r="J2459" s="5"/>
      <c r="K2459" s="6"/>
      <c r="N2459" s="2"/>
      <c r="O2459" s="2"/>
      <c r="P2459" s="2"/>
    </row>
    <row r="2460" spans="2:16" ht="14.25">
      <c r="B2460" s="4"/>
      <c r="I2460" s="5"/>
      <c r="J2460" s="5"/>
      <c r="K2460" s="6"/>
      <c r="N2460" s="2"/>
      <c r="O2460" s="2"/>
      <c r="P2460" s="2"/>
    </row>
    <row r="2461" spans="2:16" ht="14.25">
      <c r="B2461" s="4"/>
      <c r="I2461" s="5"/>
      <c r="J2461" s="5"/>
      <c r="K2461" s="6"/>
      <c r="N2461" s="2"/>
      <c r="O2461" s="2"/>
      <c r="P2461" s="2"/>
    </row>
    <row r="2462" spans="2:16" ht="14.25">
      <c r="B2462" s="4"/>
      <c r="I2462" s="5"/>
      <c r="J2462" s="5"/>
      <c r="K2462" s="6"/>
      <c r="N2462" s="2"/>
      <c r="O2462" s="2"/>
      <c r="P2462" s="2"/>
    </row>
    <row r="2463" spans="2:16" ht="14.25">
      <c r="B2463" s="4"/>
      <c r="I2463" s="5"/>
      <c r="J2463" s="5"/>
      <c r="K2463" s="6"/>
      <c r="N2463" s="2"/>
      <c r="O2463" s="2"/>
      <c r="P2463" s="2"/>
    </row>
    <row r="2464" spans="2:16" ht="14.25">
      <c r="B2464" s="4"/>
      <c r="I2464" s="5"/>
      <c r="J2464" s="5"/>
      <c r="K2464" s="6"/>
      <c r="N2464" s="2"/>
      <c r="O2464" s="2"/>
      <c r="P2464" s="2"/>
    </row>
    <row r="2465" spans="2:16" ht="14.25">
      <c r="B2465" s="4"/>
      <c r="I2465" s="5"/>
      <c r="J2465" s="5"/>
      <c r="K2465" s="6"/>
      <c r="N2465" s="2"/>
      <c r="O2465" s="2"/>
      <c r="P2465" s="2"/>
    </row>
    <row r="2466" spans="2:16" ht="14.25">
      <c r="B2466" s="4"/>
      <c r="I2466" s="5"/>
      <c r="J2466" s="5"/>
      <c r="K2466" s="6"/>
      <c r="N2466" s="2"/>
      <c r="O2466" s="2"/>
      <c r="P2466" s="2"/>
    </row>
    <row r="2467" spans="2:16" ht="14.25">
      <c r="B2467" s="4"/>
      <c r="I2467" s="5"/>
      <c r="J2467" s="5"/>
      <c r="K2467" s="6"/>
      <c r="N2467" s="2"/>
      <c r="O2467" s="2"/>
      <c r="P2467" s="2"/>
    </row>
    <row r="2468" spans="2:16" ht="14.25">
      <c r="B2468" s="4"/>
      <c r="I2468" s="5"/>
      <c r="J2468" s="5"/>
      <c r="K2468" s="6"/>
      <c r="N2468" s="2"/>
      <c r="O2468" s="2"/>
      <c r="P2468" s="2"/>
    </row>
    <row r="2469" spans="2:16" ht="14.25">
      <c r="B2469" s="4"/>
      <c r="I2469" s="5"/>
      <c r="J2469" s="5"/>
      <c r="K2469" s="6"/>
      <c r="N2469" s="2"/>
      <c r="O2469" s="2"/>
      <c r="P2469" s="2"/>
    </row>
    <row r="2470" spans="2:16" ht="14.25">
      <c r="B2470" s="4"/>
      <c r="I2470" s="5"/>
      <c r="J2470" s="5"/>
      <c r="K2470" s="6"/>
      <c r="N2470" s="2"/>
      <c r="O2470" s="2"/>
      <c r="P2470" s="2"/>
    </row>
    <row r="2471" spans="2:16" ht="14.25">
      <c r="B2471" s="4"/>
      <c r="I2471" s="5"/>
      <c r="J2471" s="5"/>
      <c r="K2471" s="6"/>
      <c r="N2471" s="2"/>
      <c r="O2471" s="2"/>
      <c r="P2471" s="2"/>
    </row>
    <row r="2472" spans="2:16" ht="14.25">
      <c r="B2472" s="4"/>
      <c r="I2472" s="5"/>
      <c r="J2472" s="5"/>
      <c r="K2472" s="6"/>
      <c r="N2472" s="2"/>
      <c r="O2472" s="2"/>
      <c r="P2472" s="2"/>
    </row>
    <row r="2473" spans="2:16" ht="14.25">
      <c r="B2473" s="4"/>
      <c r="I2473" s="5"/>
      <c r="J2473" s="5"/>
      <c r="K2473" s="6"/>
      <c r="N2473" s="2"/>
      <c r="O2473" s="2"/>
      <c r="P2473" s="2"/>
    </row>
    <row r="2474" spans="2:16" ht="14.25">
      <c r="B2474" s="4"/>
      <c r="I2474" s="5"/>
      <c r="J2474" s="5"/>
      <c r="K2474" s="6"/>
      <c r="N2474" s="2"/>
      <c r="O2474" s="2"/>
      <c r="P2474" s="2"/>
    </row>
    <row r="2475" spans="2:16" ht="14.25">
      <c r="B2475" s="4"/>
      <c r="I2475" s="5"/>
      <c r="J2475" s="5"/>
      <c r="K2475" s="6"/>
      <c r="N2475" s="2"/>
      <c r="O2475" s="2"/>
      <c r="P2475" s="2"/>
    </row>
    <row r="2476" spans="2:16" ht="14.25">
      <c r="B2476" s="4"/>
      <c r="I2476" s="5"/>
      <c r="J2476" s="5"/>
      <c r="K2476" s="6"/>
      <c r="N2476" s="2"/>
      <c r="O2476" s="2"/>
      <c r="P2476" s="2"/>
    </row>
    <row r="2477" spans="2:16" ht="14.25">
      <c r="B2477" s="4"/>
      <c r="I2477" s="5"/>
      <c r="J2477" s="5"/>
      <c r="K2477" s="6"/>
      <c r="N2477" s="2"/>
      <c r="O2477" s="2"/>
      <c r="P2477" s="2"/>
    </row>
    <row r="2478" spans="2:16" ht="14.25">
      <c r="B2478" s="4"/>
      <c r="I2478" s="5"/>
      <c r="J2478" s="5"/>
      <c r="K2478" s="6"/>
      <c r="N2478" s="2"/>
      <c r="O2478" s="2"/>
      <c r="P2478" s="2"/>
    </row>
    <row r="2479" spans="2:16" ht="14.25">
      <c r="B2479" s="4"/>
      <c r="I2479" s="5"/>
      <c r="J2479" s="5"/>
      <c r="K2479" s="6"/>
      <c r="N2479" s="2"/>
      <c r="O2479" s="2"/>
      <c r="P2479" s="2"/>
    </row>
    <row r="2480" spans="2:16" ht="14.25">
      <c r="B2480" s="4"/>
      <c r="I2480" s="5"/>
      <c r="J2480" s="5"/>
      <c r="K2480" s="6"/>
      <c r="N2480" s="2"/>
      <c r="O2480" s="2"/>
      <c r="P2480" s="2"/>
    </row>
    <row r="2481" spans="2:16" ht="14.25">
      <c r="B2481" s="4"/>
      <c r="I2481" s="5"/>
      <c r="J2481" s="5"/>
      <c r="K2481" s="6"/>
      <c r="N2481" s="2"/>
      <c r="O2481" s="2"/>
      <c r="P2481" s="2"/>
    </row>
    <row r="2482" spans="2:16" ht="14.25">
      <c r="B2482" s="4"/>
      <c r="I2482" s="5"/>
      <c r="J2482" s="5"/>
      <c r="K2482" s="6"/>
      <c r="N2482" s="2"/>
      <c r="O2482" s="2"/>
      <c r="P2482" s="2"/>
    </row>
    <row r="2483" spans="2:16" ht="14.25">
      <c r="B2483" s="4"/>
      <c r="I2483" s="5"/>
      <c r="J2483" s="5"/>
      <c r="K2483" s="6"/>
      <c r="N2483" s="2"/>
      <c r="O2483" s="2"/>
      <c r="P2483" s="2"/>
    </row>
    <row r="2484" spans="2:16" ht="14.25">
      <c r="B2484" s="4"/>
      <c r="I2484" s="5"/>
      <c r="J2484" s="5"/>
      <c r="K2484" s="6"/>
      <c r="N2484" s="2"/>
      <c r="O2484" s="2"/>
      <c r="P2484" s="2"/>
    </row>
    <row r="2485" spans="2:16" ht="14.25">
      <c r="B2485" s="4"/>
      <c r="I2485" s="5"/>
      <c r="J2485" s="5"/>
      <c r="K2485" s="6"/>
      <c r="N2485" s="2"/>
      <c r="O2485" s="2"/>
      <c r="P2485" s="2"/>
    </row>
    <row r="2486" spans="2:16" ht="14.25">
      <c r="B2486" s="4"/>
      <c r="I2486" s="5"/>
      <c r="J2486" s="5"/>
      <c r="K2486" s="6"/>
      <c r="N2486" s="2"/>
      <c r="O2486" s="2"/>
      <c r="P2486" s="2"/>
    </row>
    <row r="2487" spans="2:16" ht="14.25">
      <c r="B2487" s="4"/>
      <c r="I2487" s="5"/>
      <c r="J2487" s="5"/>
      <c r="K2487" s="6"/>
      <c r="N2487" s="2"/>
      <c r="O2487" s="2"/>
      <c r="P2487" s="2"/>
    </row>
    <row r="2488" spans="2:16" ht="14.25">
      <c r="B2488" s="4"/>
      <c r="I2488" s="5"/>
      <c r="J2488" s="5"/>
      <c r="K2488" s="6"/>
      <c r="N2488" s="2"/>
      <c r="O2488" s="2"/>
      <c r="P2488" s="2"/>
    </row>
    <row r="2489" spans="2:16" ht="14.25">
      <c r="B2489" s="4"/>
      <c r="I2489" s="5"/>
      <c r="J2489" s="5"/>
      <c r="K2489" s="6"/>
      <c r="N2489" s="2"/>
      <c r="O2489" s="2"/>
      <c r="P2489" s="2"/>
    </row>
    <row r="2490" spans="2:16" ht="14.25">
      <c r="B2490" s="4"/>
      <c r="I2490" s="5"/>
      <c r="J2490" s="5"/>
      <c r="K2490" s="6"/>
      <c r="N2490" s="2"/>
      <c r="O2490" s="2"/>
      <c r="P2490" s="2"/>
    </row>
    <row r="2491" spans="2:16" ht="14.25">
      <c r="B2491" s="4"/>
      <c r="I2491" s="5"/>
      <c r="J2491" s="5"/>
      <c r="K2491" s="6"/>
      <c r="N2491" s="2"/>
      <c r="O2491" s="2"/>
      <c r="P2491" s="2"/>
    </row>
    <row r="2492" spans="2:16" ht="14.25">
      <c r="B2492" s="4"/>
      <c r="I2492" s="5"/>
      <c r="J2492" s="5"/>
      <c r="K2492" s="6"/>
      <c r="N2492" s="2"/>
      <c r="O2492" s="2"/>
      <c r="P2492" s="2"/>
    </row>
    <row r="2493" spans="2:16" ht="14.25">
      <c r="B2493" s="4"/>
      <c r="I2493" s="5"/>
      <c r="J2493" s="5"/>
      <c r="K2493" s="6"/>
      <c r="N2493" s="2"/>
      <c r="O2493" s="2"/>
      <c r="P2493" s="2"/>
    </row>
    <row r="2494" spans="2:16" ht="14.25">
      <c r="B2494" s="4"/>
      <c r="I2494" s="5"/>
      <c r="J2494" s="5"/>
      <c r="K2494" s="6"/>
      <c r="N2494" s="2"/>
      <c r="O2494" s="2"/>
      <c r="P2494" s="2"/>
    </row>
    <row r="2495" spans="2:16" ht="14.25">
      <c r="B2495" s="4"/>
      <c r="I2495" s="5"/>
      <c r="J2495" s="5"/>
      <c r="K2495" s="6"/>
      <c r="N2495" s="2"/>
      <c r="O2495" s="2"/>
      <c r="P2495" s="2"/>
    </row>
    <row r="2496" spans="2:16" ht="14.25">
      <c r="B2496" s="4"/>
      <c r="I2496" s="5"/>
      <c r="J2496" s="5"/>
      <c r="K2496" s="6"/>
      <c r="N2496" s="2"/>
      <c r="O2496" s="2"/>
      <c r="P2496" s="2"/>
    </row>
    <row r="2497" spans="2:16" ht="14.25">
      <c r="B2497" s="4"/>
      <c r="I2497" s="5"/>
      <c r="J2497" s="5"/>
      <c r="K2497" s="6"/>
      <c r="N2497" s="2"/>
      <c r="O2497" s="2"/>
      <c r="P2497" s="2"/>
    </row>
    <row r="2498" spans="2:16" ht="14.25">
      <c r="B2498" s="4"/>
      <c r="I2498" s="5"/>
      <c r="J2498" s="5"/>
      <c r="K2498" s="6"/>
      <c r="N2498" s="2"/>
      <c r="O2498" s="2"/>
      <c r="P2498" s="2"/>
    </row>
    <row r="2499" spans="2:16" ht="14.25">
      <c r="B2499" s="4"/>
      <c r="I2499" s="5"/>
      <c r="J2499" s="5"/>
      <c r="K2499" s="6"/>
      <c r="N2499" s="2"/>
      <c r="O2499" s="2"/>
      <c r="P2499" s="2"/>
    </row>
    <row r="2500" spans="2:16" ht="14.25">
      <c r="B2500" s="4"/>
      <c r="I2500" s="5"/>
      <c r="J2500" s="5"/>
      <c r="K2500" s="6"/>
      <c r="N2500" s="2"/>
      <c r="O2500" s="2"/>
      <c r="P2500" s="2"/>
    </row>
    <row r="2501" spans="2:16" ht="14.25">
      <c r="B2501" s="4"/>
      <c r="I2501" s="5"/>
      <c r="J2501" s="5"/>
      <c r="K2501" s="6"/>
      <c r="N2501" s="2"/>
      <c r="O2501" s="2"/>
      <c r="P2501" s="2"/>
    </row>
    <row r="2502" spans="2:16" ht="14.25">
      <c r="B2502" s="4"/>
      <c r="I2502" s="5"/>
      <c r="J2502" s="5"/>
      <c r="K2502" s="6"/>
      <c r="N2502" s="2"/>
      <c r="O2502" s="2"/>
      <c r="P2502" s="2"/>
    </row>
    <row r="2503" spans="2:16" ht="14.25">
      <c r="B2503" s="4"/>
      <c r="I2503" s="5"/>
      <c r="J2503" s="5"/>
      <c r="K2503" s="6"/>
      <c r="N2503" s="2"/>
      <c r="O2503" s="2"/>
      <c r="P2503" s="2"/>
    </row>
    <row r="2504" spans="2:16" ht="14.25">
      <c r="B2504" s="4"/>
      <c r="I2504" s="5"/>
      <c r="J2504" s="5"/>
      <c r="K2504" s="6"/>
      <c r="N2504" s="2"/>
      <c r="O2504" s="2"/>
      <c r="P2504" s="2"/>
    </row>
    <row r="2505" spans="2:16" ht="14.25">
      <c r="B2505" s="4"/>
      <c r="I2505" s="5"/>
      <c r="J2505" s="5"/>
      <c r="K2505" s="6"/>
      <c r="N2505" s="2"/>
      <c r="O2505" s="2"/>
      <c r="P2505" s="2"/>
    </row>
    <row r="2506" spans="2:16" ht="14.25">
      <c r="B2506" s="4"/>
      <c r="I2506" s="5"/>
      <c r="J2506" s="5"/>
      <c r="K2506" s="6"/>
      <c r="N2506" s="2"/>
      <c r="O2506" s="2"/>
      <c r="P2506" s="2"/>
    </row>
    <row r="2507" spans="2:16" ht="14.25">
      <c r="B2507" s="4"/>
      <c r="I2507" s="5"/>
      <c r="J2507" s="5"/>
      <c r="K2507" s="6"/>
      <c r="N2507" s="2"/>
      <c r="O2507" s="2"/>
      <c r="P2507" s="2"/>
    </row>
    <row r="2508" spans="2:16" ht="14.25">
      <c r="B2508" s="4"/>
      <c r="I2508" s="5"/>
      <c r="J2508" s="5"/>
      <c r="K2508" s="6"/>
      <c r="N2508" s="2"/>
      <c r="O2508" s="2"/>
      <c r="P2508" s="2"/>
    </row>
    <row r="2509" spans="2:16" ht="14.25">
      <c r="B2509" s="4"/>
      <c r="I2509" s="5"/>
      <c r="J2509" s="5"/>
      <c r="K2509" s="6"/>
      <c r="N2509" s="2"/>
      <c r="O2509" s="2"/>
      <c r="P2509" s="2"/>
    </row>
    <row r="2510" spans="2:16" ht="14.25">
      <c r="B2510" s="4"/>
      <c r="I2510" s="5"/>
      <c r="J2510" s="5"/>
      <c r="K2510" s="6"/>
      <c r="N2510" s="2"/>
      <c r="O2510" s="2"/>
      <c r="P2510" s="2"/>
    </row>
    <row r="2511" spans="2:16" ht="14.25">
      <c r="B2511" s="4"/>
      <c r="I2511" s="5"/>
      <c r="J2511" s="5"/>
      <c r="K2511" s="6"/>
      <c r="N2511" s="2"/>
      <c r="O2511" s="2"/>
      <c r="P2511" s="2"/>
    </row>
    <row r="2512" spans="2:16" ht="14.25">
      <c r="B2512" s="4"/>
      <c r="I2512" s="5"/>
      <c r="J2512" s="5"/>
      <c r="K2512" s="6"/>
      <c r="N2512" s="2"/>
      <c r="O2512" s="2"/>
      <c r="P2512" s="2"/>
    </row>
    <row r="2513" spans="2:16" ht="14.25">
      <c r="B2513" s="4"/>
      <c r="I2513" s="5"/>
      <c r="J2513" s="5"/>
      <c r="K2513" s="6"/>
      <c r="N2513" s="2"/>
      <c r="O2513" s="2"/>
      <c r="P2513" s="2"/>
    </row>
    <row r="2514" spans="2:16" ht="14.25">
      <c r="B2514" s="4"/>
      <c r="I2514" s="5"/>
      <c r="J2514" s="5"/>
      <c r="K2514" s="6"/>
      <c r="N2514" s="2"/>
      <c r="O2514" s="2"/>
      <c r="P2514" s="2"/>
    </row>
    <row r="2515" spans="2:16" ht="14.25">
      <c r="B2515" s="4"/>
      <c r="I2515" s="5"/>
      <c r="J2515" s="5"/>
      <c r="K2515" s="6"/>
      <c r="N2515" s="2"/>
      <c r="O2515" s="2"/>
      <c r="P2515" s="2"/>
    </row>
    <row r="2516" spans="2:16" ht="14.25">
      <c r="B2516" s="4"/>
      <c r="I2516" s="5"/>
      <c r="J2516" s="5"/>
      <c r="K2516" s="6"/>
      <c r="N2516" s="2"/>
      <c r="O2516" s="2"/>
      <c r="P2516" s="2"/>
    </row>
    <row r="2517" spans="2:16" ht="14.25">
      <c r="B2517" s="4"/>
      <c r="I2517" s="5"/>
      <c r="J2517" s="5"/>
      <c r="K2517" s="6"/>
      <c r="N2517" s="2"/>
      <c r="O2517" s="2"/>
      <c r="P2517" s="2"/>
    </row>
    <row r="2518" spans="2:16" ht="14.25">
      <c r="B2518" s="4"/>
      <c r="I2518" s="5"/>
      <c r="J2518" s="5"/>
      <c r="K2518" s="6"/>
      <c r="N2518" s="2"/>
      <c r="O2518" s="2"/>
      <c r="P2518" s="2"/>
    </row>
    <row r="2519" spans="2:16" ht="14.25">
      <c r="B2519" s="4"/>
      <c r="I2519" s="5"/>
      <c r="J2519" s="5"/>
      <c r="K2519" s="6"/>
      <c r="N2519" s="2"/>
      <c r="O2519" s="2"/>
      <c r="P2519" s="2"/>
    </row>
    <row r="2520" spans="2:16" ht="14.25">
      <c r="B2520" s="4"/>
      <c r="I2520" s="5"/>
      <c r="J2520" s="5"/>
      <c r="K2520" s="6"/>
      <c r="N2520" s="2"/>
      <c r="O2520" s="2"/>
      <c r="P2520" s="2"/>
    </row>
    <row r="2521" spans="2:16" ht="14.25">
      <c r="B2521" s="4"/>
      <c r="I2521" s="5"/>
      <c r="J2521" s="5"/>
      <c r="K2521" s="6"/>
      <c r="N2521" s="2"/>
      <c r="O2521" s="2"/>
      <c r="P2521" s="2"/>
    </row>
    <row r="2522" spans="2:16" ht="14.25">
      <c r="B2522" s="4"/>
      <c r="I2522" s="5"/>
      <c r="J2522" s="5"/>
      <c r="K2522" s="6"/>
      <c r="N2522" s="2"/>
      <c r="O2522" s="2"/>
      <c r="P2522" s="2"/>
    </row>
    <row r="2523" spans="2:16" ht="14.25">
      <c r="B2523" s="4"/>
      <c r="I2523" s="5"/>
      <c r="J2523" s="5"/>
      <c r="K2523" s="6"/>
      <c r="N2523" s="2"/>
      <c r="O2523" s="2"/>
      <c r="P2523" s="2"/>
    </row>
    <row r="2524" spans="2:16" ht="14.25">
      <c r="B2524" s="4"/>
      <c r="I2524" s="5"/>
      <c r="J2524" s="5"/>
      <c r="K2524" s="6"/>
      <c r="N2524" s="2"/>
      <c r="O2524" s="2"/>
      <c r="P2524" s="2"/>
    </row>
    <row r="2525" spans="2:16" ht="14.25">
      <c r="B2525" s="4"/>
      <c r="I2525" s="5"/>
      <c r="J2525" s="5"/>
      <c r="K2525" s="6"/>
      <c r="N2525" s="2"/>
      <c r="O2525" s="2"/>
      <c r="P2525" s="2"/>
    </row>
    <row r="2526" spans="2:16" ht="14.25">
      <c r="B2526" s="4"/>
      <c r="I2526" s="5"/>
      <c r="J2526" s="5"/>
      <c r="K2526" s="6"/>
      <c r="N2526" s="2"/>
      <c r="O2526" s="2"/>
      <c r="P2526" s="2"/>
    </row>
    <row r="2527" spans="2:16" ht="14.25">
      <c r="B2527" s="4"/>
      <c r="I2527" s="5"/>
      <c r="J2527" s="5"/>
      <c r="K2527" s="6"/>
      <c r="N2527" s="2"/>
      <c r="O2527" s="2"/>
      <c r="P2527" s="2"/>
    </row>
    <row r="2528" spans="2:16" ht="14.25">
      <c r="B2528" s="4"/>
      <c r="I2528" s="5"/>
      <c r="J2528" s="5"/>
      <c r="K2528" s="6"/>
      <c r="N2528" s="2"/>
      <c r="O2528" s="2"/>
      <c r="P2528" s="2"/>
    </row>
    <row r="2529" spans="2:16" ht="14.25">
      <c r="B2529" s="4"/>
      <c r="I2529" s="5"/>
      <c r="J2529" s="5"/>
      <c r="K2529" s="6"/>
      <c r="N2529" s="2"/>
      <c r="O2529" s="2"/>
      <c r="P2529" s="2"/>
    </row>
    <row r="2530" spans="2:16" ht="14.25">
      <c r="B2530" s="4"/>
      <c r="I2530" s="5"/>
      <c r="J2530" s="5"/>
      <c r="K2530" s="6"/>
      <c r="N2530" s="2"/>
      <c r="O2530" s="2"/>
      <c r="P2530" s="2"/>
    </row>
    <row r="2531" spans="2:16" ht="14.25">
      <c r="B2531" s="4"/>
      <c r="I2531" s="5"/>
      <c r="J2531" s="5"/>
      <c r="K2531" s="6"/>
      <c r="N2531" s="2"/>
      <c r="O2531" s="2"/>
      <c r="P2531" s="2"/>
    </row>
    <row r="2532" spans="2:16" ht="14.25">
      <c r="B2532" s="4"/>
      <c r="I2532" s="5"/>
      <c r="J2532" s="5"/>
      <c r="K2532" s="6"/>
      <c r="N2532" s="2"/>
      <c r="O2532" s="2"/>
      <c r="P2532" s="2"/>
    </row>
    <row r="2533" spans="2:16" ht="14.25">
      <c r="B2533" s="4"/>
      <c r="I2533" s="5"/>
      <c r="J2533" s="5"/>
      <c r="K2533" s="6"/>
      <c r="N2533" s="2"/>
      <c r="O2533" s="2"/>
      <c r="P2533" s="2"/>
    </row>
    <row r="2534" spans="2:16" ht="14.25">
      <c r="B2534" s="4"/>
      <c r="I2534" s="5"/>
      <c r="J2534" s="5"/>
      <c r="K2534" s="6"/>
      <c r="N2534" s="2"/>
      <c r="O2534" s="2"/>
      <c r="P2534" s="2"/>
    </row>
    <row r="2535" spans="2:16" ht="14.25">
      <c r="B2535" s="4"/>
      <c r="I2535" s="5"/>
      <c r="J2535" s="5"/>
      <c r="K2535" s="6"/>
      <c r="N2535" s="2"/>
      <c r="O2535" s="2"/>
      <c r="P2535" s="2"/>
    </row>
    <row r="2536" spans="2:16" ht="14.25">
      <c r="B2536" s="4"/>
      <c r="I2536" s="5"/>
      <c r="J2536" s="5"/>
      <c r="K2536" s="6"/>
      <c r="N2536" s="2"/>
      <c r="O2536" s="2"/>
      <c r="P2536" s="2"/>
    </row>
    <row r="2537" spans="2:16" ht="14.25">
      <c r="B2537" s="4"/>
      <c r="I2537" s="5"/>
      <c r="J2537" s="5"/>
      <c r="K2537" s="6"/>
      <c r="N2537" s="2"/>
      <c r="O2537" s="2"/>
      <c r="P2537" s="2"/>
    </row>
    <row r="2538" spans="2:16" ht="14.25">
      <c r="B2538" s="4"/>
      <c r="I2538" s="5"/>
      <c r="J2538" s="5"/>
      <c r="K2538" s="6"/>
      <c r="N2538" s="2"/>
      <c r="O2538" s="2"/>
      <c r="P2538" s="2"/>
    </row>
    <row r="2539" spans="2:16" ht="14.25">
      <c r="B2539" s="4"/>
      <c r="I2539" s="5"/>
      <c r="J2539" s="5"/>
      <c r="K2539" s="6"/>
      <c r="N2539" s="2"/>
      <c r="O2539" s="2"/>
      <c r="P2539" s="2"/>
    </row>
    <row r="2540" spans="2:16" ht="14.25">
      <c r="B2540" s="4"/>
      <c r="I2540" s="5"/>
      <c r="J2540" s="5"/>
      <c r="K2540" s="6"/>
      <c r="N2540" s="2"/>
      <c r="O2540" s="2"/>
      <c r="P2540" s="2"/>
    </row>
    <row r="2541" spans="2:16" ht="14.25">
      <c r="B2541" s="4"/>
      <c r="I2541" s="5"/>
      <c r="J2541" s="5"/>
      <c r="K2541" s="6"/>
      <c r="N2541" s="2"/>
      <c r="O2541" s="2"/>
      <c r="P2541" s="2"/>
    </row>
    <row r="2542" spans="2:16" ht="14.25">
      <c r="B2542" s="4"/>
      <c r="I2542" s="5"/>
      <c r="J2542" s="5"/>
      <c r="K2542" s="6"/>
      <c r="N2542" s="2"/>
      <c r="O2542" s="2"/>
      <c r="P2542" s="2"/>
    </row>
    <row r="2543" spans="2:16" ht="14.25">
      <c r="B2543" s="4"/>
      <c r="I2543" s="5"/>
      <c r="J2543" s="5"/>
      <c r="K2543" s="6"/>
      <c r="N2543" s="2"/>
      <c r="O2543" s="2"/>
      <c r="P2543" s="2"/>
    </row>
    <row r="2544" spans="2:16" ht="14.25">
      <c r="B2544" s="4"/>
      <c r="I2544" s="5"/>
      <c r="J2544" s="5"/>
      <c r="K2544" s="6"/>
      <c r="N2544" s="2"/>
      <c r="O2544" s="2"/>
      <c r="P2544" s="2"/>
    </row>
    <row r="2545" spans="2:16" ht="14.25">
      <c r="B2545" s="4"/>
      <c r="I2545" s="5"/>
      <c r="J2545" s="5"/>
      <c r="K2545" s="6"/>
      <c r="N2545" s="2"/>
      <c r="O2545" s="2"/>
      <c r="P2545" s="2"/>
    </row>
    <row r="2546" spans="2:16" ht="14.25">
      <c r="B2546" s="4"/>
      <c r="I2546" s="5"/>
      <c r="J2546" s="5"/>
      <c r="K2546" s="6"/>
      <c r="N2546" s="2"/>
      <c r="O2546" s="2"/>
      <c r="P2546" s="2"/>
    </row>
    <row r="2547" spans="2:16" ht="14.25">
      <c r="B2547" s="4"/>
      <c r="I2547" s="5"/>
      <c r="J2547" s="5"/>
      <c r="K2547" s="6"/>
      <c r="N2547" s="2"/>
      <c r="O2547" s="2"/>
      <c r="P2547" s="2"/>
    </row>
    <row r="2548" spans="2:16" ht="14.25">
      <c r="B2548" s="4"/>
      <c r="I2548" s="5"/>
      <c r="J2548" s="5"/>
      <c r="K2548" s="6"/>
      <c r="N2548" s="2"/>
      <c r="O2548" s="2"/>
      <c r="P2548" s="2"/>
    </row>
    <row r="2549" spans="2:16" ht="14.25">
      <c r="B2549" s="4"/>
      <c r="I2549" s="5"/>
      <c r="J2549" s="5"/>
      <c r="K2549" s="6"/>
      <c r="N2549" s="2"/>
      <c r="O2549" s="2"/>
      <c r="P2549" s="2"/>
    </row>
    <row r="2550" spans="2:16" ht="14.25">
      <c r="B2550" s="4"/>
      <c r="I2550" s="5"/>
      <c r="J2550" s="5"/>
      <c r="K2550" s="6"/>
      <c r="N2550" s="2"/>
      <c r="O2550" s="2"/>
      <c r="P2550" s="2"/>
    </row>
    <row r="2551" spans="2:16" ht="14.25">
      <c r="B2551" s="4"/>
      <c r="I2551" s="5"/>
      <c r="J2551" s="5"/>
      <c r="K2551" s="6"/>
      <c r="N2551" s="2"/>
      <c r="O2551" s="2"/>
      <c r="P2551" s="2"/>
    </row>
    <row r="2552" spans="2:16" ht="14.25">
      <c r="B2552" s="4"/>
      <c r="I2552" s="5"/>
      <c r="J2552" s="5"/>
      <c r="K2552" s="6"/>
      <c r="N2552" s="2"/>
      <c r="O2552" s="2"/>
      <c r="P2552" s="2"/>
    </row>
    <row r="2553" spans="2:16" ht="14.25">
      <c r="B2553" s="4"/>
      <c r="I2553" s="5"/>
      <c r="J2553" s="5"/>
      <c r="K2553" s="6"/>
      <c r="N2553" s="2"/>
      <c r="O2553" s="2"/>
      <c r="P2553" s="2"/>
    </row>
    <row r="2554" spans="2:16" ht="14.25">
      <c r="B2554" s="4"/>
      <c r="I2554" s="5"/>
      <c r="J2554" s="5"/>
      <c r="K2554" s="6"/>
      <c r="N2554" s="2"/>
      <c r="O2554" s="2"/>
      <c r="P2554" s="2"/>
    </row>
    <row r="2555" spans="2:16" ht="14.25">
      <c r="B2555" s="4"/>
      <c r="I2555" s="5"/>
      <c r="J2555" s="5"/>
      <c r="K2555" s="6"/>
      <c r="N2555" s="2"/>
      <c r="O2555" s="2"/>
      <c r="P2555" s="2"/>
    </row>
    <row r="2556" spans="2:16" ht="14.25">
      <c r="B2556" s="4"/>
      <c r="I2556" s="5"/>
      <c r="J2556" s="5"/>
      <c r="K2556" s="6"/>
      <c r="N2556" s="2"/>
      <c r="O2556" s="2"/>
      <c r="P2556" s="2"/>
    </row>
    <row r="2557" spans="2:16" ht="14.25">
      <c r="B2557" s="4"/>
      <c r="I2557" s="5"/>
      <c r="J2557" s="5"/>
      <c r="K2557" s="6"/>
      <c r="N2557" s="2"/>
      <c r="O2557" s="2"/>
      <c r="P2557" s="2"/>
    </row>
    <row r="2558" spans="2:16" ht="14.25">
      <c r="B2558" s="4"/>
      <c r="I2558" s="5"/>
      <c r="J2558" s="5"/>
      <c r="K2558" s="6"/>
      <c r="N2558" s="2"/>
      <c r="O2558" s="2"/>
      <c r="P2558" s="2"/>
    </row>
    <row r="2559" spans="2:16" ht="14.25">
      <c r="B2559" s="4"/>
      <c r="I2559" s="5"/>
      <c r="J2559" s="5"/>
      <c r="K2559" s="6"/>
      <c r="N2559" s="2"/>
      <c r="O2559" s="2"/>
      <c r="P2559" s="2"/>
    </row>
    <row r="2560" spans="2:16" ht="14.25">
      <c r="B2560" s="4"/>
      <c r="I2560" s="5"/>
      <c r="J2560" s="5"/>
      <c r="K2560" s="6"/>
      <c r="N2560" s="2"/>
      <c r="O2560" s="2"/>
      <c r="P2560" s="2"/>
    </row>
    <row r="2561" spans="2:16" ht="14.25">
      <c r="B2561" s="4"/>
      <c r="I2561" s="5"/>
      <c r="J2561" s="5"/>
      <c r="K2561" s="6"/>
      <c r="N2561" s="2"/>
      <c r="O2561" s="2"/>
      <c r="P2561" s="2"/>
    </row>
    <row r="2562" spans="2:16" ht="14.25">
      <c r="B2562" s="4"/>
      <c r="I2562" s="5"/>
      <c r="J2562" s="5"/>
      <c r="K2562" s="6"/>
      <c r="N2562" s="2"/>
      <c r="O2562" s="2"/>
      <c r="P2562" s="2"/>
    </row>
    <row r="2563" spans="2:16" ht="14.25">
      <c r="B2563" s="4"/>
      <c r="I2563" s="5"/>
      <c r="J2563" s="5"/>
      <c r="K2563" s="6"/>
      <c r="N2563" s="2"/>
      <c r="O2563" s="2"/>
      <c r="P2563" s="2"/>
    </row>
    <row r="2564" spans="2:16" ht="14.25">
      <c r="B2564" s="4"/>
      <c r="I2564" s="5"/>
      <c r="J2564" s="5"/>
      <c r="K2564" s="6"/>
      <c r="N2564" s="2"/>
      <c r="O2564" s="2"/>
      <c r="P2564" s="2"/>
    </row>
    <row r="2565" spans="2:16" ht="14.25">
      <c r="B2565" s="4"/>
      <c r="I2565" s="5"/>
      <c r="J2565" s="5"/>
      <c r="K2565" s="6"/>
      <c r="N2565" s="2"/>
      <c r="O2565" s="2"/>
      <c r="P2565" s="2"/>
    </row>
    <row r="2566" spans="2:16" ht="14.25">
      <c r="B2566" s="4"/>
      <c r="I2566" s="5"/>
      <c r="J2566" s="5"/>
      <c r="K2566" s="6"/>
      <c r="N2566" s="2"/>
      <c r="O2566" s="2"/>
      <c r="P2566" s="2"/>
    </row>
    <row r="2567" spans="2:16" ht="14.25">
      <c r="B2567" s="4"/>
      <c r="I2567" s="5"/>
      <c r="J2567" s="5"/>
      <c r="K2567" s="6"/>
      <c r="N2567" s="2"/>
      <c r="O2567" s="2"/>
      <c r="P2567" s="2"/>
    </row>
    <row r="2568" spans="2:16" ht="14.25">
      <c r="B2568" s="4"/>
      <c r="I2568" s="5"/>
      <c r="J2568" s="5"/>
      <c r="K2568" s="6"/>
      <c r="N2568" s="2"/>
      <c r="O2568" s="2"/>
      <c r="P2568" s="2"/>
    </row>
    <row r="2569" spans="2:16" ht="14.25">
      <c r="B2569" s="4"/>
      <c r="I2569" s="5"/>
      <c r="J2569" s="5"/>
      <c r="K2569" s="6"/>
      <c r="N2569" s="2"/>
      <c r="O2569" s="2"/>
      <c r="P2569" s="2"/>
    </row>
    <row r="2570" spans="2:16" ht="14.25">
      <c r="B2570" s="4"/>
      <c r="I2570" s="5"/>
      <c r="J2570" s="5"/>
      <c r="K2570" s="6"/>
      <c r="N2570" s="2"/>
      <c r="O2570" s="2"/>
      <c r="P2570" s="2"/>
    </row>
    <row r="2571" spans="2:16" ht="14.25">
      <c r="B2571" s="4"/>
      <c r="I2571" s="5"/>
      <c r="J2571" s="5"/>
      <c r="K2571" s="6"/>
      <c r="N2571" s="2"/>
      <c r="O2571" s="2"/>
      <c r="P2571" s="2"/>
    </row>
    <row r="2572" spans="2:16" ht="14.25">
      <c r="B2572" s="4"/>
      <c r="I2572" s="5"/>
      <c r="J2572" s="5"/>
      <c r="K2572" s="6"/>
      <c r="N2572" s="2"/>
      <c r="O2572" s="2"/>
      <c r="P2572" s="2"/>
    </row>
    <row r="2573" spans="2:16" ht="14.25">
      <c r="B2573" s="4"/>
      <c r="I2573" s="5"/>
      <c r="J2573" s="5"/>
      <c r="K2573" s="6"/>
      <c r="N2573" s="2"/>
      <c r="O2573" s="2"/>
      <c r="P2573" s="2"/>
    </row>
    <row r="2574" spans="2:16" ht="14.25">
      <c r="B2574" s="4"/>
      <c r="I2574" s="5"/>
      <c r="J2574" s="5"/>
      <c r="K2574" s="6"/>
      <c r="N2574" s="2"/>
      <c r="O2574" s="2"/>
      <c r="P2574" s="2"/>
    </row>
    <row r="2575" spans="2:16" ht="14.25">
      <c r="B2575" s="4"/>
      <c r="I2575" s="5"/>
      <c r="J2575" s="5"/>
      <c r="K2575" s="6"/>
      <c r="N2575" s="2"/>
      <c r="O2575" s="2"/>
      <c r="P2575" s="2"/>
    </row>
    <row r="2576" spans="2:16" ht="14.25">
      <c r="B2576" s="4"/>
      <c r="I2576" s="5"/>
      <c r="J2576" s="5"/>
      <c r="K2576" s="6"/>
      <c r="N2576" s="2"/>
      <c r="O2576" s="2"/>
      <c r="P2576" s="2"/>
    </row>
    <row r="2577" spans="2:16" ht="14.25">
      <c r="B2577" s="4"/>
      <c r="I2577" s="5"/>
      <c r="J2577" s="5"/>
      <c r="K2577" s="6"/>
      <c r="N2577" s="2"/>
      <c r="O2577" s="2"/>
      <c r="P2577" s="2"/>
    </row>
    <row r="2578" spans="2:16" ht="14.25">
      <c r="B2578" s="4"/>
      <c r="I2578" s="5"/>
      <c r="J2578" s="5"/>
      <c r="K2578" s="6"/>
      <c r="N2578" s="2"/>
      <c r="O2578" s="2"/>
      <c r="P2578" s="2"/>
    </row>
    <row r="2579" spans="2:16" ht="14.25">
      <c r="B2579" s="4"/>
      <c r="I2579" s="5"/>
      <c r="J2579" s="5"/>
      <c r="K2579" s="6"/>
      <c r="N2579" s="2"/>
      <c r="O2579" s="2"/>
      <c r="P2579" s="2"/>
    </row>
    <row r="2580" spans="2:16" ht="14.25">
      <c r="B2580" s="4"/>
      <c r="I2580" s="5"/>
      <c r="J2580" s="5"/>
      <c r="K2580" s="6"/>
      <c r="N2580" s="2"/>
      <c r="O2580" s="2"/>
      <c r="P2580" s="2"/>
    </row>
    <row r="2581" spans="2:16" ht="14.25">
      <c r="B2581" s="4"/>
      <c r="I2581" s="5"/>
      <c r="J2581" s="5"/>
      <c r="K2581" s="6"/>
      <c r="N2581" s="2"/>
      <c r="O2581" s="2"/>
      <c r="P2581" s="2"/>
    </row>
    <row r="2582" spans="2:16" ht="14.25">
      <c r="B2582" s="4"/>
      <c r="I2582" s="5"/>
      <c r="J2582" s="5"/>
      <c r="K2582" s="6"/>
      <c r="N2582" s="2"/>
      <c r="O2582" s="2"/>
      <c r="P2582" s="2"/>
    </row>
    <row r="2583" spans="2:16" ht="14.25">
      <c r="B2583" s="4"/>
      <c r="I2583" s="5"/>
      <c r="J2583" s="5"/>
      <c r="K2583" s="6"/>
      <c r="N2583" s="2"/>
      <c r="O2583" s="2"/>
      <c r="P2583" s="2"/>
    </row>
    <row r="2584" spans="2:16" ht="14.25">
      <c r="B2584" s="4"/>
      <c r="I2584" s="5"/>
      <c r="J2584" s="5"/>
      <c r="K2584" s="6"/>
      <c r="N2584" s="2"/>
      <c r="O2584" s="2"/>
      <c r="P2584" s="2"/>
    </row>
    <row r="2585" spans="2:16" ht="14.25">
      <c r="B2585" s="4"/>
      <c r="I2585" s="5"/>
      <c r="J2585" s="5"/>
      <c r="K2585" s="6"/>
      <c r="N2585" s="2"/>
      <c r="O2585" s="2"/>
      <c r="P2585" s="2"/>
    </row>
    <row r="2586" spans="2:16" ht="14.25">
      <c r="B2586" s="4"/>
      <c r="I2586" s="5"/>
      <c r="J2586" s="5"/>
      <c r="K2586" s="6"/>
      <c r="N2586" s="2"/>
      <c r="O2586" s="2"/>
      <c r="P2586" s="2"/>
    </row>
    <row r="2587" spans="2:16" ht="14.25">
      <c r="B2587" s="4"/>
      <c r="I2587" s="5"/>
      <c r="J2587" s="5"/>
      <c r="K2587" s="6"/>
      <c r="N2587" s="2"/>
      <c r="O2587" s="2"/>
      <c r="P2587" s="2"/>
    </row>
    <row r="2588" spans="2:16" ht="14.25">
      <c r="B2588" s="4"/>
      <c r="I2588" s="5"/>
      <c r="J2588" s="5"/>
      <c r="K2588" s="6"/>
      <c r="N2588" s="2"/>
      <c r="O2588" s="2"/>
      <c r="P2588" s="2"/>
    </row>
    <row r="2589" spans="2:16" ht="14.25">
      <c r="B2589" s="4"/>
      <c r="I2589" s="5"/>
      <c r="J2589" s="5"/>
      <c r="K2589" s="6"/>
      <c r="N2589" s="2"/>
      <c r="O2589" s="2"/>
      <c r="P2589" s="2"/>
    </row>
    <row r="2590" spans="2:16" ht="14.25">
      <c r="B2590" s="4"/>
      <c r="I2590" s="5"/>
      <c r="J2590" s="5"/>
      <c r="K2590" s="6"/>
      <c r="N2590" s="2"/>
      <c r="O2590" s="2"/>
      <c r="P2590" s="2"/>
    </row>
    <row r="2591" spans="2:16" ht="14.25">
      <c r="B2591" s="4"/>
      <c r="I2591" s="5"/>
      <c r="J2591" s="5"/>
      <c r="K2591" s="6"/>
      <c r="N2591" s="2"/>
      <c r="O2591" s="2"/>
      <c r="P2591" s="2"/>
    </row>
    <row r="2592" spans="2:16" ht="14.25">
      <c r="B2592" s="4"/>
      <c r="I2592" s="5"/>
      <c r="J2592" s="5"/>
      <c r="K2592" s="6"/>
      <c r="N2592" s="2"/>
      <c r="O2592" s="2"/>
      <c r="P2592" s="2"/>
    </row>
    <row r="2593" spans="2:16" ht="14.25">
      <c r="B2593" s="4"/>
      <c r="I2593" s="5"/>
      <c r="J2593" s="5"/>
      <c r="K2593" s="6"/>
      <c r="N2593" s="2"/>
      <c r="O2593" s="2"/>
      <c r="P2593" s="2"/>
    </row>
    <row r="2594" spans="2:16" ht="14.25">
      <c r="B2594" s="4"/>
      <c r="I2594" s="5"/>
      <c r="J2594" s="5"/>
      <c r="K2594" s="6"/>
      <c r="N2594" s="2"/>
      <c r="O2594" s="2"/>
      <c r="P2594" s="2"/>
    </row>
    <row r="2595" spans="2:16" ht="14.25">
      <c r="B2595" s="4"/>
      <c r="I2595" s="5"/>
      <c r="J2595" s="5"/>
      <c r="K2595" s="6"/>
      <c r="N2595" s="2"/>
      <c r="O2595" s="2"/>
      <c r="P2595" s="2"/>
    </row>
    <row r="2596" spans="2:16" ht="14.25">
      <c r="B2596" s="4"/>
      <c r="I2596" s="5"/>
      <c r="J2596" s="5"/>
      <c r="K2596" s="6"/>
      <c r="N2596" s="2"/>
      <c r="O2596" s="2"/>
      <c r="P2596" s="2"/>
    </row>
    <row r="2597" spans="2:16" ht="14.25">
      <c r="B2597" s="4"/>
      <c r="I2597" s="5"/>
      <c r="J2597" s="5"/>
      <c r="K2597" s="6"/>
      <c r="N2597" s="2"/>
      <c r="O2597" s="2"/>
      <c r="P2597" s="2"/>
    </row>
    <row r="2598" spans="2:16" ht="14.25">
      <c r="B2598" s="4"/>
      <c r="I2598" s="5"/>
      <c r="J2598" s="5"/>
      <c r="K2598" s="6"/>
      <c r="N2598" s="2"/>
      <c r="O2598" s="2"/>
      <c r="P2598" s="2"/>
    </row>
    <row r="2599" spans="2:16" ht="14.25">
      <c r="B2599" s="4"/>
      <c r="I2599" s="5"/>
      <c r="J2599" s="5"/>
      <c r="K2599" s="6"/>
      <c r="N2599" s="2"/>
      <c r="O2599" s="2"/>
      <c r="P2599" s="2"/>
    </row>
    <row r="2600" spans="2:16" ht="14.25">
      <c r="B2600" s="4"/>
      <c r="I2600" s="5"/>
      <c r="J2600" s="5"/>
      <c r="K2600" s="6"/>
      <c r="N2600" s="2"/>
      <c r="O2600" s="2"/>
      <c r="P2600" s="2"/>
    </row>
    <row r="2601" spans="2:16" ht="14.25">
      <c r="B2601" s="4"/>
      <c r="I2601" s="5"/>
      <c r="J2601" s="5"/>
      <c r="K2601" s="6"/>
      <c r="N2601" s="2"/>
      <c r="O2601" s="2"/>
      <c r="P2601" s="2"/>
    </row>
    <row r="2602" spans="2:16" ht="14.25">
      <c r="B2602" s="4"/>
      <c r="I2602" s="5"/>
      <c r="J2602" s="5"/>
      <c r="K2602" s="6"/>
      <c r="N2602" s="2"/>
      <c r="O2602" s="2"/>
      <c r="P2602" s="2"/>
    </row>
    <row r="2603" spans="2:16" ht="14.25">
      <c r="B2603" s="4"/>
      <c r="I2603" s="5"/>
      <c r="J2603" s="5"/>
      <c r="K2603" s="6"/>
      <c r="N2603" s="2"/>
      <c r="O2603" s="2"/>
      <c r="P2603" s="2"/>
    </row>
    <row r="2604" spans="2:16" ht="14.25">
      <c r="B2604" s="4"/>
      <c r="I2604" s="5"/>
      <c r="J2604" s="5"/>
      <c r="K2604" s="6"/>
      <c r="N2604" s="2"/>
      <c r="O2604" s="2"/>
      <c r="P2604" s="2"/>
    </row>
    <row r="2605" spans="2:16" ht="14.25">
      <c r="B2605" s="4"/>
      <c r="I2605" s="5"/>
      <c r="J2605" s="5"/>
      <c r="K2605" s="6"/>
      <c r="N2605" s="2"/>
      <c r="O2605" s="2"/>
      <c r="P2605" s="2"/>
    </row>
    <row r="2606" spans="2:16" ht="14.25">
      <c r="B2606" s="4"/>
      <c r="I2606" s="5"/>
      <c r="J2606" s="5"/>
      <c r="K2606" s="6"/>
      <c r="N2606" s="2"/>
      <c r="O2606" s="2"/>
      <c r="P2606" s="2"/>
    </row>
    <row r="2607" spans="2:16" ht="14.25">
      <c r="B2607" s="4"/>
      <c r="I2607" s="5"/>
      <c r="J2607" s="5"/>
      <c r="K2607" s="6"/>
      <c r="N2607" s="2"/>
      <c r="O2607" s="2"/>
      <c r="P2607" s="2"/>
    </row>
    <row r="2608" spans="2:16" ht="14.25">
      <c r="B2608" s="4"/>
      <c r="I2608" s="5"/>
      <c r="J2608" s="5"/>
      <c r="K2608" s="6"/>
      <c r="N2608" s="2"/>
      <c r="O2608" s="2"/>
      <c r="P2608" s="2"/>
    </row>
    <row r="2609" spans="2:16" ht="14.25">
      <c r="B2609" s="4"/>
      <c r="I2609" s="5"/>
      <c r="J2609" s="5"/>
      <c r="K2609" s="6"/>
      <c r="N2609" s="2"/>
      <c r="O2609" s="2"/>
      <c r="P2609" s="2"/>
    </row>
    <row r="2610" spans="2:16" ht="14.25">
      <c r="B2610" s="4"/>
      <c r="I2610" s="5"/>
      <c r="J2610" s="5"/>
      <c r="K2610" s="6"/>
      <c r="N2610" s="2"/>
      <c r="O2610" s="2"/>
      <c r="P2610" s="2"/>
    </row>
    <row r="2611" spans="2:16" ht="14.25">
      <c r="B2611" s="4"/>
      <c r="I2611" s="5"/>
      <c r="J2611" s="5"/>
      <c r="K2611" s="6"/>
      <c r="N2611" s="2"/>
      <c r="O2611" s="2"/>
      <c r="P2611" s="2"/>
    </row>
    <row r="2612" spans="2:16" ht="14.25">
      <c r="B2612" s="4"/>
      <c r="I2612" s="5"/>
      <c r="J2612" s="5"/>
      <c r="K2612" s="6"/>
      <c r="N2612" s="2"/>
      <c r="O2612" s="2"/>
      <c r="P2612" s="2"/>
    </row>
    <row r="2613" spans="2:16" ht="14.25">
      <c r="B2613" s="4"/>
      <c r="I2613" s="5"/>
      <c r="J2613" s="5"/>
      <c r="K2613" s="6"/>
      <c r="N2613" s="2"/>
      <c r="O2613" s="2"/>
      <c r="P2613" s="2"/>
    </row>
    <row r="2614" spans="2:16" ht="14.25">
      <c r="B2614" s="4"/>
      <c r="I2614" s="5"/>
      <c r="J2614" s="5"/>
      <c r="K2614" s="6"/>
      <c r="N2614" s="2"/>
      <c r="O2614" s="2"/>
      <c r="P2614" s="2"/>
    </row>
    <row r="2615" spans="2:16" ht="14.25">
      <c r="B2615" s="4"/>
      <c r="I2615" s="5"/>
      <c r="J2615" s="5"/>
      <c r="K2615" s="6"/>
      <c r="N2615" s="2"/>
      <c r="O2615" s="2"/>
      <c r="P2615" s="2"/>
    </row>
    <row r="2616" spans="2:16" ht="14.25">
      <c r="B2616" s="4"/>
      <c r="I2616" s="5"/>
      <c r="J2616" s="5"/>
      <c r="K2616" s="6"/>
      <c r="N2616" s="2"/>
      <c r="O2616" s="2"/>
      <c r="P2616" s="2"/>
    </row>
    <row r="2617" spans="2:16" ht="14.25">
      <c r="B2617" s="4"/>
      <c r="I2617" s="5"/>
      <c r="J2617" s="5"/>
      <c r="K2617" s="6"/>
      <c r="N2617" s="2"/>
      <c r="O2617" s="2"/>
      <c r="P2617" s="2"/>
    </row>
    <row r="2618" spans="2:16" ht="14.25">
      <c r="B2618" s="4"/>
      <c r="I2618" s="5"/>
      <c r="J2618" s="5"/>
      <c r="K2618" s="6"/>
      <c r="N2618" s="2"/>
      <c r="O2618" s="2"/>
      <c r="P2618" s="2"/>
    </row>
    <row r="2619" spans="2:16" ht="14.25">
      <c r="B2619" s="4"/>
      <c r="I2619" s="5"/>
      <c r="J2619" s="5"/>
      <c r="K2619" s="6"/>
      <c r="N2619" s="2"/>
      <c r="O2619" s="2"/>
      <c r="P2619" s="2"/>
    </row>
    <row r="2620" spans="2:16" ht="14.25">
      <c r="B2620" s="4"/>
      <c r="I2620" s="5"/>
      <c r="J2620" s="5"/>
      <c r="K2620" s="6"/>
      <c r="N2620" s="2"/>
      <c r="O2620" s="2"/>
      <c r="P2620" s="2"/>
    </row>
    <row r="2621" spans="2:16" ht="14.25">
      <c r="B2621" s="4"/>
      <c r="I2621" s="5"/>
      <c r="J2621" s="5"/>
      <c r="K2621" s="6"/>
      <c r="N2621" s="2"/>
      <c r="O2621" s="2"/>
      <c r="P2621" s="2"/>
    </row>
    <row r="2622" spans="2:16" ht="14.25">
      <c r="B2622" s="4"/>
      <c r="I2622" s="5"/>
      <c r="J2622" s="5"/>
      <c r="K2622" s="6"/>
      <c r="N2622" s="2"/>
      <c r="O2622" s="2"/>
      <c r="P2622" s="2"/>
    </row>
    <row r="2623" spans="2:16" ht="14.25">
      <c r="B2623" s="4"/>
      <c r="I2623" s="5"/>
      <c r="J2623" s="5"/>
      <c r="K2623" s="6"/>
      <c r="N2623" s="2"/>
      <c r="O2623" s="2"/>
      <c r="P2623" s="2"/>
    </row>
    <row r="2624" spans="2:16" ht="14.25">
      <c r="B2624" s="4"/>
      <c r="I2624" s="5"/>
      <c r="J2624" s="5"/>
      <c r="K2624" s="6"/>
      <c r="N2624" s="2"/>
      <c r="O2624" s="2"/>
      <c r="P2624" s="2"/>
    </row>
    <row r="2625" spans="2:16" ht="14.25">
      <c r="B2625" s="4"/>
      <c r="I2625" s="5"/>
      <c r="J2625" s="5"/>
      <c r="K2625" s="6"/>
      <c r="N2625" s="2"/>
      <c r="O2625" s="2"/>
      <c r="P2625" s="2"/>
    </row>
    <row r="2626" spans="2:16" ht="14.25">
      <c r="B2626" s="4"/>
      <c r="I2626" s="5"/>
      <c r="J2626" s="5"/>
      <c r="K2626" s="6"/>
      <c r="N2626" s="2"/>
      <c r="O2626" s="2"/>
      <c r="P2626" s="2"/>
    </row>
    <row r="2627" spans="2:16" ht="14.25">
      <c r="B2627" s="4"/>
      <c r="I2627" s="5"/>
      <c r="J2627" s="5"/>
      <c r="K2627" s="6"/>
      <c r="N2627" s="2"/>
      <c r="O2627" s="2"/>
      <c r="P2627" s="2"/>
    </row>
    <row r="2628" spans="2:16" ht="14.25">
      <c r="B2628" s="4"/>
      <c r="I2628" s="5"/>
      <c r="J2628" s="5"/>
      <c r="K2628" s="6"/>
      <c r="N2628" s="2"/>
      <c r="O2628" s="2"/>
      <c r="P2628" s="2"/>
    </row>
    <row r="2629" spans="2:16" ht="14.25">
      <c r="B2629" s="4"/>
      <c r="I2629" s="5"/>
      <c r="J2629" s="5"/>
      <c r="K2629" s="6"/>
      <c r="N2629" s="2"/>
      <c r="O2629" s="2"/>
      <c r="P2629" s="2"/>
    </row>
    <row r="2630" spans="2:16" ht="14.25">
      <c r="B2630" s="4"/>
      <c r="I2630" s="5"/>
      <c r="J2630" s="5"/>
      <c r="K2630" s="6"/>
      <c r="N2630" s="2"/>
      <c r="O2630" s="2"/>
      <c r="P2630" s="2"/>
    </row>
    <row r="2631" spans="2:16" ht="14.25">
      <c r="B2631" s="4"/>
      <c r="I2631" s="5"/>
      <c r="J2631" s="5"/>
      <c r="K2631" s="6"/>
      <c r="N2631" s="2"/>
      <c r="O2631" s="2"/>
      <c r="P2631" s="2"/>
    </row>
    <row r="2632" spans="2:16" ht="14.25">
      <c r="B2632" s="4"/>
      <c r="I2632" s="5"/>
      <c r="J2632" s="5"/>
      <c r="K2632" s="6"/>
      <c r="N2632" s="2"/>
      <c r="O2632" s="2"/>
      <c r="P2632" s="2"/>
    </row>
    <row r="2633" spans="2:16" ht="14.25">
      <c r="B2633" s="4"/>
      <c r="I2633" s="5"/>
      <c r="J2633" s="5"/>
      <c r="K2633" s="6"/>
      <c r="N2633" s="2"/>
      <c r="O2633" s="2"/>
      <c r="P2633" s="2"/>
    </row>
    <row r="2634" spans="2:16" ht="14.25">
      <c r="B2634" s="4"/>
      <c r="I2634" s="5"/>
      <c r="J2634" s="5"/>
      <c r="K2634" s="6"/>
      <c r="N2634" s="2"/>
      <c r="O2634" s="2"/>
      <c r="P2634" s="2"/>
    </row>
    <row r="2635" spans="2:16" ht="14.25">
      <c r="B2635" s="4"/>
      <c r="I2635" s="5"/>
      <c r="J2635" s="5"/>
      <c r="K2635" s="6"/>
      <c r="N2635" s="2"/>
      <c r="O2635" s="2"/>
      <c r="P2635" s="2"/>
    </row>
    <row r="2636" spans="2:16" ht="14.25">
      <c r="B2636" s="4"/>
      <c r="I2636" s="5"/>
      <c r="J2636" s="5"/>
      <c r="K2636" s="6"/>
      <c r="N2636" s="2"/>
      <c r="O2636" s="2"/>
      <c r="P2636" s="2"/>
    </row>
    <row r="2637" spans="2:16" ht="14.25">
      <c r="B2637" s="4"/>
      <c r="I2637" s="5"/>
      <c r="J2637" s="5"/>
      <c r="K2637" s="6"/>
      <c r="N2637" s="2"/>
      <c r="O2637" s="2"/>
      <c r="P2637" s="2"/>
    </row>
    <row r="2638" spans="2:16" ht="14.25">
      <c r="B2638" s="4"/>
      <c r="I2638" s="5"/>
      <c r="J2638" s="5"/>
      <c r="K2638" s="6"/>
      <c r="N2638" s="2"/>
      <c r="O2638" s="2"/>
      <c r="P2638" s="2"/>
    </row>
    <row r="2639" spans="2:16" ht="14.25">
      <c r="B2639" s="4"/>
      <c r="I2639" s="5"/>
      <c r="J2639" s="5"/>
      <c r="K2639" s="6"/>
      <c r="N2639" s="2"/>
      <c r="O2639" s="2"/>
      <c r="P2639" s="2"/>
    </row>
    <row r="2640" spans="2:16" ht="14.25">
      <c r="B2640" s="4"/>
      <c r="I2640" s="5"/>
      <c r="J2640" s="5"/>
      <c r="K2640" s="6"/>
      <c r="N2640" s="2"/>
      <c r="O2640" s="2"/>
      <c r="P2640" s="2"/>
    </row>
    <row r="2641" spans="2:16" ht="14.25">
      <c r="B2641" s="4"/>
      <c r="I2641" s="5"/>
      <c r="J2641" s="5"/>
      <c r="K2641" s="6"/>
      <c r="N2641" s="2"/>
      <c r="O2641" s="2"/>
      <c r="P2641" s="2"/>
    </row>
    <row r="2642" spans="2:16" ht="14.25">
      <c r="B2642" s="4"/>
      <c r="I2642" s="5"/>
      <c r="J2642" s="5"/>
      <c r="K2642" s="6"/>
      <c r="N2642" s="2"/>
      <c r="O2642" s="2"/>
      <c r="P2642" s="2"/>
    </row>
    <row r="2643" spans="2:16" ht="14.25">
      <c r="B2643" s="4"/>
      <c r="I2643" s="5"/>
      <c r="J2643" s="5"/>
      <c r="K2643" s="6"/>
      <c r="N2643" s="2"/>
      <c r="O2643" s="2"/>
      <c r="P2643" s="2"/>
    </row>
    <row r="2644" spans="2:16" ht="14.25">
      <c r="B2644" s="4"/>
      <c r="I2644" s="5"/>
      <c r="J2644" s="5"/>
      <c r="K2644" s="6"/>
      <c r="N2644" s="2"/>
      <c r="O2644" s="2"/>
      <c r="P2644" s="2"/>
    </row>
    <row r="2645" spans="2:16" ht="14.25">
      <c r="B2645" s="4"/>
      <c r="I2645" s="5"/>
      <c r="J2645" s="5"/>
      <c r="K2645" s="6"/>
      <c r="N2645" s="2"/>
      <c r="O2645" s="2"/>
      <c r="P2645" s="2"/>
    </row>
    <row r="2646" spans="2:16" ht="14.25">
      <c r="B2646" s="4"/>
      <c r="I2646" s="5"/>
      <c r="J2646" s="5"/>
      <c r="K2646" s="6"/>
      <c r="N2646" s="2"/>
      <c r="O2646" s="2"/>
      <c r="P2646" s="2"/>
    </row>
    <row r="2647" spans="2:16" ht="14.25">
      <c r="B2647" s="4"/>
      <c r="I2647" s="5"/>
      <c r="J2647" s="5"/>
      <c r="K2647" s="6"/>
      <c r="N2647" s="2"/>
      <c r="O2647" s="2"/>
      <c r="P2647" s="2"/>
    </row>
    <row r="2648" spans="2:16" ht="14.25">
      <c r="B2648" s="4"/>
      <c r="I2648" s="5"/>
      <c r="J2648" s="5"/>
      <c r="K2648" s="6"/>
      <c r="N2648" s="2"/>
      <c r="O2648" s="2"/>
      <c r="P2648" s="2"/>
    </row>
    <row r="2649" spans="2:16" ht="14.25">
      <c r="B2649" s="4"/>
      <c r="I2649" s="5"/>
      <c r="J2649" s="5"/>
      <c r="K2649" s="6"/>
      <c r="N2649" s="2"/>
      <c r="O2649" s="2"/>
      <c r="P2649" s="2"/>
    </row>
    <row r="2650" spans="2:16" ht="14.25">
      <c r="B2650" s="4"/>
      <c r="I2650" s="5"/>
      <c r="J2650" s="5"/>
      <c r="K2650" s="6"/>
      <c r="N2650" s="2"/>
      <c r="O2650" s="2"/>
      <c r="P2650" s="2"/>
    </row>
    <row r="2651" spans="2:16" ht="14.25">
      <c r="B2651" s="4"/>
      <c r="I2651" s="5"/>
      <c r="J2651" s="5"/>
      <c r="K2651" s="6"/>
      <c r="N2651" s="2"/>
      <c r="O2651" s="2"/>
      <c r="P2651" s="2"/>
    </row>
    <row r="2652" spans="2:16" ht="14.25">
      <c r="B2652" s="4"/>
      <c r="I2652" s="5"/>
      <c r="J2652" s="5"/>
      <c r="K2652" s="6"/>
      <c r="N2652" s="2"/>
      <c r="O2652" s="2"/>
      <c r="P2652" s="2"/>
    </row>
    <row r="2653" spans="2:16" ht="14.25">
      <c r="B2653" s="4"/>
      <c r="I2653" s="5"/>
      <c r="J2653" s="5"/>
      <c r="K2653" s="6"/>
      <c r="N2653" s="2"/>
      <c r="O2653" s="2"/>
      <c r="P2653" s="2"/>
    </row>
    <row r="2654" spans="2:16" ht="14.25">
      <c r="B2654" s="4"/>
      <c r="I2654" s="5"/>
      <c r="J2654" s="5"/>
      <c r="K2654" s="6"/>
      <c r="N2654" s="2"/>
      <c r="O2654" s="2"/>
      <c r="P2654" s="2"/>
    </row>
    <row r="2655" spans="2:16" ht="14.25">
      <c r="B2655" s="4"/>
      <c r="I2655" s="5"/>
      <c r="J2655" s="5"/>
      <c r="K2655" s="6"/>
      <c r="N2655" s="2"/>
      <c r="O2655" s="2"/>
      <c r="P2655" s="2"/>
    </row>
    <row r="2656" spans="2:16" ht="14.25">
      <c r="B2656" s="4"/>
      <c r="I2656" s="5"/>
      <c r="J2656" s="5"/>
      <c r="K2656" s="6"/>
      <c r="N2656" s="2"/>
      <c r="O2656" s="2"/>
      <c r="P2656" s="2"/>
    </row>
    <row r="2657" spans="2:16" ht="14.25">
      <c r="B2657" s="4"/>
      <c r="I2657" s="5"/>
      <c r="J2657" s="5"/>
      <c r="K2657" s="6"/>
      <c r="N2657" s="2"/>
      <c r="O2657" s="2"/>
      <c r="P2657" s="2"/>
    </row>
    <row r="2658" spans="2:16" ht="14.25">
      <c r="B2658" s="4"/>
      <c r="I2658" s="5"/>
      <c r="J2658" s="5"/>
      <c r="K2658" s="6"/>
      <c r="N2658" s="2"/>
      <c r="O2658" s="2"/>
      <c r="P2658" s="2"/>
    </row>
    <row r="2659" spans="2:16" ht="14.25">
      <c r="B2659" s="4"/>
      <c r="I2659" s="5"/>
      <c r="J2659" s="5"/>
      <c r="K2659" s="6"/>
      <c r="N2659" s="2"/>
      <c r="O2659" s="2"/>
      <c r="P2659" s="2"/>
    </row>
    <row r="2660" spans="2:16" ht="14.25">
      <c r="B2660" s="4"/>
      <c r="I2660" s="5"/>
      <c r="J2660" s="5"/>
      <c r="K2660" s="6"/>
      <c r="N2660" s="2"/>
      <c r="O2660" s="2"/>
      <c r="P2660" s="2"/>
    </row>
    <row r="2661" spans="2:16" ht="14.25">
      <c r="B2661" s="4"/>
      <c r="I2661" s="5"/>
      <c r="J2661" s="5"/>
      <c r="K2661" s="6"/>
      <c r="N2661" s="2"/>
      <c r="O2661" s="2"/>
      <c r="P2661" s="2"/>
    </row>
    <row r="2662" spans="2:16" ht="14.25">
      <c r="B2662" s="4"/>
      <c r="I2662" s="5"/>
      <c r="J2662" s="5"/>
      <c r="K2662" s="6"/>
      <c r="N2662" s="2"/>
      <c r="O2662" s="2"/>
      <c r="P2662" s="2"/>
    </row>
    <row r="2663" spans="2:16" ht="14.25">
      <c r="B2663" s="4"/>
      <c r="I2663" s="5"/>
      <c r="J2663" s="5"/>
      <c r="K2663" s="6"/>
      <c r="N2663" s="2"/>
      <c r="O2663" s="2"/>
      <c r="P2663" s="2"/>
    </row>
    <row r="2664" spans="2:16" ht="14.25">
      <c r="B2664" s="4"/>
      <c r="I2664" s="5"/>
      <c r="J2664" s="5"/>
      <c r="K2664" s="6"/>
      <c r="N2664" s="2"/>
      <c r="O2664" s="2"/>
      <c r="P2664" s="2"/>
    </row>
    <row r="2665" spans="2:16" ht="14.25">
      <c r="B2665" s="4"/>
      <c r="I2665" s="5"/>
      <c r="J2665" s="5"/>
      <c r="K2665" s="6"/>
      <c r="N2665" s="2"/>
      <c r="O2665" s="2"/>
      <c r="P2665" s="2"/>
    </row>
    <row r="2666" spans="2:16" ht="14.25">
      <c r="B2666" s="4"/>
      <c r="I2666" s="5"/>
      <c r="J2666" s="5"/>
      <c r="K2666" s="6"/>
      <c r="N2666" s="2"/>
      <c r="O2666" s="2"/>
      <c r="P2666" s="2"/>
    </row>
    <row r="2667" spans="2:16" ht="14.25">
      <c r="B2667" s="4"/>
      <c r="I2667" s="5"/>
      <c r="J2667" s="5"/>
      <c r="K2667" s="6"/>
      <c r="N2667" s="2"/>
      <c r="O2667" s="2"/>
      <c r="P2667" s="2"/>
    </row>
    <row r="2668" spans="2:16" ht="14.25">
      <c r="B2668" s="4"/>
      <c r="I2668" s="5"/>
      <c r="J2668" s="5"/>
      <c r="K2668" s="6"/>
      <c r="N2668" s="2"/>
      <c r="O2668" s="2"/>
      <c r="P2668" s="2"/>
    </row>
    <row r="2669" spans="2:16" ht="14.25">
      <c r="B2669" s="4"/>
      <c r="I2669" s="5"/>
      <c r="J2669" s="5"/>
      <c r="K2669" s="6"/>
      <c r="N2669" s="2"/>
      <c r="O2669" s="2"/>
      <c r="P2669" s="2"/>
    </row>
    <row r="2670" spans="2:16" ht="14.25">
      <c r="B2670" s="4"/>
      <c r="I2670" s="5"/>
      <c r="J2670" s="5"/>
      <c r="K2670" s="6"/>
      <c r="N2670" s="2"/>
      <c r="O2670" s="2"/>
      <c r="P2670" s="2"/>
    </row>
    <row r="2671" spans="2:16" ht="14.25">
      <c r="B2671" s="4"/>
      <c r="I2671" s="5"/>
      <c r="J2671" s="5"/>
      <c r="K2671" s="6"/>
      <c r="N2671" s="2"/>
      <c r="O2671" s="2"/>
      <c r="P2671" s="2"/>
    </row>
    <row r="2672" spans="2:16" ht="14.25">
      <c r="B2672" s="4"/>
      <c r="I2672" s="5"/>
      <c r="J2672" s="5"/>
      <c r="K2672" s="6"/>
      <c r="N2672" s="2"/>
      <c r="O2672" s="2"/>
      <c r="P2672" s="2"/>
    </row>
    <row r="2673" spans="2:16" ht="14.25">
      <c r="B2673" s="4"/>
      <c r="I2673" s="5"/>
      <c r="J2673" s="5"/>
      <c r="K2673" s="6"/>
      <c r="N2673" s="2"/>
      <c r="O2673" s="2"/>
      <c r="P2673" s="2"/>
    </row>
    <row r="2674" spans="2:16" ht="14.25">
      <c r="B2674" s="4"/>
      <c r="I2674" s="5"/>
      <c r="J2674" s="5"/>
      <c r="K2674" s="6"/>
      <c r="N2674" s="2"/>
      <c r="O2674" s="2"/>
      <c r="P2674" s="2"/>
    </row>
    <row r="2675" spans="2:16" ht="14.25">
      <c r="B2675" s="4"/>
      <c r="I2675" s="5"/>
      <c r="J2675" s="5"/>
      <c r="K2675" s="6"/>
      <c r="N2675" s="2"/>
      <c r="O2675" s="2"/>
      <c r="P2675" s="2"/>
    </row>
    <row r="2676" spans="2:16" ht="14.25">
      <c r="B2676" s="4"/>
      <c r="I2676" s="5"/>
      <c r="J2676" s="5"/>
      <c r="K2676" s="6"/>
      <c r="N2676" s="2"/>
      <c r="O2676" s="2"/>
      <c r="P2676" s="2"/>
    </row>
    <row r="2677" spans="2:16" ht="14.25">
      <c r="B2677" s="4"/>
      <c r="I2677" s="5"/>
      <c r="J2677" s="5"/>
      <c r="K2677" s="6"/>
      <c r="N2677" s="2"/>
      <c r="O2677" s="2"/>
      <c r="P2677" s="2"/>
    </row>
    <row r="2678" spans="2:16" ht="14.25">
      <c r="B2678" s="4"/>
      <c r="I2678" s="5"/>
      <c r="J2678" s="5"/>
      <c r="K2678" s="6"/>
      <c r="N2678" s="2"/>
      <c r="O2678" s="2"/>
      <c r="P2678" s="2"/>
    </row>
    <row r="2679" spans="2:16" ht="14.25">
      <c r="B2679" s="4"/>
      <c r="I2679" s="5"/>
      <c r="J2679" s="5"/>
      <c r="K2679" s="6"/>
      <c r="N2679" s="2"/>
      <c r="O2679" s="2"/>
      <c r="P2679" s="2"/>
    </row>
    <row r="2680" spans="2:16" ht="14.25">
      <c r="B2680" s="4"/>
      <c r="I2680" s="5"/>
      <c r="J2680" s="5"/>
      <c r="K2680" s="6"/>
      <c r="N2680" s="2"/>
      <c r="O2680" s="2"/>
      <c r="P2680" s="2"/>
    </row>
    <row r="2681" spans="2:16" ht="14.25">
      <c r="B2681" s="4"/>
      <c r="I2681" s="5"/>
      <c r="J2681" s="5"/>
      <c r="K2681" s="6"/>
      <c r="N2681" s="2"/>
      <c r="O2681" s="2"/>
      <c r="P2681" s="2"/>
    </row>
    <row r="2682" spans="2:16" ht="14.25">
      <c r="B2682" s="4"/>
      <c r="I2682" s="5"/>
      <c r="J2682" s="5"/>
      <c r="K2682" s="6"/>
      <c r="N2682" s="2"/>
      <c r="O2682" s="2"/>
      <c r="P2682" s="2"/>
    </row>
    <row r="2683" spans="2:16" ht="14.25">
      <c r="B2683" s="4"/>
      <c r="I2683" s="5"/>
      <c r="J2683" s="5"/>
      <c r="K2683" s="6"/>
      <c r="N2683" s="2"/>
      <c r="O2683" s="2"/>
      <c r="P2683" s="2"/>
    </row>
    <row r="2684" spans="2:16" ht="14.25">
      <c r="B2684" s="4"/>
      <c r="I2684" s="5"/>
      <c r="J2684" s="5"/>
      <c r="K2684" s="6"/>
      <c r="N2684" s="2"/>
      <c r="O2684" s="2"/>
      <c r="P2684" s="2"/>
    </row>
    <row r="2685" spans="2:16" ht="14.25">
      <c r="B2685" s="4"/>
      <c r="I2685" s="5"/>
      <c r="J2685" s="5"/>
      <c r="K2685" s="6"/>
      <c r="N2685" s="2"/>
      <c r="O2685" s="2"/>
      <c r="P2685" s="2"/>
    </row>
    <row r="2686" spans="2:16" ht="14.25">
      <c r="B2686" s="4"/>
      <c r="I2686" s="5"/>
      <c r="J2686" s="5"/>
      <c r="K2686" s="6"/>
      <c r="N2686" s="2"/>
      <c r="O2686" s="2"/>
      <c r="P2686" s="2"/>
    </row>
    <row r="2687" spans="2:16" ht="14.25">
      <c r="B2687" s="4"/>
      <c r="I2687" s="5"/>
      <c r="J2687" s="5"/>
      <c r="K2687" s="6"/>
      <c r="N2687" s="2"/>
      <c r="O2687" s="2"/>
      <c r="P2687" s="2"/>
    </row>
    <row r="2688" spans="2:16" ht="14.25">
      <c r="B2688" s="4"/>
      <c r="I2688" s="5"/>
      <c r="J2688" s="5"/>
      <c r="K2688" s="6"/>
      <c r="N2688" s="2"/>
      <c r="O2688" s="2"/>
      <c r="P2688" s="2"/>
    </row>
    <row r="2689" spans="2:16" ht="14.25">
      <c r="B2689" s="4"/>
      <c r="I2689" s="5"/>
      <c r="J2689" s="5"/>
      <c r="K2689" s="6"/>
      <c r="N2689" s="2"/>
      <c r="O2689" s="2"/>
      <c r="P2689" s="2"/>
    </row>
    <row r="2690" spans="2:16" ht="14.25">
      <c r="B2690" s="4"/>
      <c r="I2690" s="5"/>
      <c r="J2690" s="5"/>
      <c r="K2690" s="6"/>
      <c r="N2690" s="2"/>
      <c r="O2690" s="2"/>
      <c r="P2690" s="2"/>
    </row>
    <row r="2691" spans="2:16" ht="14.25">
      <c r="B2691" s="4"/>
      <c r="I2691" s="5"/>
      <c r="J2691" s="5"/>
      <c r="K2691" s="6"/>
      <c r="N2691" s="2"/>
      <c r="O2691" s="2"/>
      <c r="P2691" s="2"/>
    </row>
    <row r="2692" spans="2:16" ht="14.25">
      <c r="B2692" s="4"/>
      <c r="I2692" s="5"/>
      <c r="J2692" s="5"/>
      <c r="K2692" s="6"/>
      <c r="N2692" s="2"/>
      <c r="O2692" s="2"/>
      <c r="P2692" s="2"/>
    </row>
    <row r="2693" spans="2:16" ht="14.25">
      <c r="B2693" s="4"/>
      <c r="I2693" s="5"/>
      <c r="J2693" s="5"/>
      <c r="K2693" s="6"/>
      <c r="N2693" s="2"/>
      <c r="O2693" s="2"/>
      <c r="P2693" s="2"/>
    </row>
    <row r="2694" spans="2:16" ht="14.25">
      <c r="B2694" s="4"/>
      <c r="I2694" s="5"/>
      <c r="J2694" s="5"/>
      <c r="K2694" s="6"/>
      <c r="N2694" s="2"/>
      <c r="O2694" s="2"/>
      <c r="P2694" s="2"/>
    </row>
    <row r="2695" spans="2:16" ht="14.25">
      <c r="B2695" s="4"/>
      <c r="I2695" s="5"/>
      <c r="J2695" s="5"/>
      <c r="K2695" s="6"/>
      <c r="N2695" s="2"/>
      <c r="O2695" s="2"/>
      <c r="P2695" s="2"/>
    </row>
    <row r="2696" spans="2:16" ht="14.25">
      <c r="B2696" s="4"/>
      <c r="I2696" s="5"/>
      <c r="J2696" s="5"/>
      <c r="K2696" s="6"/>
      <c r="N2696" s="2"/>
      <c r="O2696" s="2"/>
      <c r="P2696" s="2"/>
    </row>
    <row r="2697" spans="2:16" ht="14.25">
      <c r="B2697" s="4"/>
      <c r="I2697" s="5"/>
      <c r="J2697" s="5"/>
      <c r="K2697" s="6"/>
      <c r="N2697" s="2"/>
      <c r="O2697" s="2"/>
      <c r="P2697" s="2"/>
    </row>
    <row r="2698" spans="2:16" ht="14.25">
      <c r="B2698" s="4"/>
      <c r="I2698" s="5"/>
      <c r="J2698" s="5"/>
      <c r="K2698" s="6"/>
      <c r="N2698" s="2"/>
      <c r="O2698" s="2"/>
      <c r="P2698" s="2"/>
    </row>
    <row r="2699" spans="2:16" ht="14.25">
      <c r="B2699" s="4"/>
      <c r="I2699" s="5"/>
      <c r="J2699" s="5"/>
      <c r="K2699" s="6"/>
      <c r="N2699" s="2"/>
      <c r="O2699" s="2"/>
      <c r="P2699" s="2"/>
    </row>
    <row r="2700" spans="2:16" ht="14.25">
      <c r="B2700" s="4"/>
      <c r="I2700" s="5"/>
      <c r="J2700" s="5"/>
      <c r="K2700" s="6"/>
      <c r="N2700" s="2"/>
      <c r="O2700" s="2"/>
      <c r="P2700" s="2"/>
    </row>
    <row r="2701" spans="2:16" ht="14.25">
      <c r="B2701" s="4"/>
      <c r="I2701" s="5"/>
      <c r="J2701" s="5"/>
      <c r="K2701" s="6"/>
      <c r="N2701" s="2"/>
      <c r="O2701" s="2"/>
      <c r="P2701" s="2"/>
    </row>
    <row r="2702" spans="2:16" ht="14.25">
      <c r="B2702" s="4"/>
      <c r="I2702" s="5"/>
      <c r="J2702" s="5"/>
      <c r="K2702" s="6"/>
      <c r="N2702" s="2"/>
      <c r="O2702" s="2"/>
      <c r="P2702" s="2"/>
    </row>
    <row r="2703" spans="2:16" ht="14.25">
      <c r="B2703" s="4"/>
      <c r="I2703" s="5"/>
      <c r="J2703" s="5"/>
      <c r="K2703" s="6"/>
      <c r="N2703" s="2"/>
      <c r="O2703" s="2"/>
      <c r="P2703" s="2"/>
    </row>
    <row r="2704" spans="2:16" ht="14.25">
      <c r="B2704" s="4"/>
      <c r="I2704" s="5"/>
      <c r="J2704" s="5"/>
      <c r="K2704" s="6"/>
      <c r="N2704" s="2"/>
      <c r="O2704" s="2"/>
      <c r="P2704" s="2"/>
    </row>
    <row r="2705" spans="2:16" ht="14.25">
      <c r="B2705" s="4"/>
      <c r="I2705" s="5"/>
      <c r="J2705" s="5"/>
      <c r="K2705" s="6"/>
      <c r="N2705" s="2"/>
      <c r="O2705" s="2"/>
      <c r="P2705" s="2"/>
    </row>
    <row r="2706" spans="2:16" ht="14.25">
      <c r="B2706" s="4"/>
      <c r="I2706" s="5"/>
      <c r="J2706" s="5"/>
      <c r="K2706" s="6"/>
      <c r="N2706" s="2"/>
      <c r="O2706" s="2"/>
      <c r="P2706" s="2"/>
    </row>
    <row r="2707" spans="2:16" ht="14.25">
      <c r="B2707" s="4"/>
      <c r="I2707" s="5"/>
      <c r="J2707" s="5"/>
      <c r="K2707" s="6"/>
      <c r="N2707" s="2"/>
      <c r="O2707" s="2"/>
      <c r="P2707" s="2"/>
    </row>
    <row r="2708" spans="2:16" ht="14.25">
      <c r="B2708" s="4"/>
      <c r="I2708" s="5"/>
      <c r="J2708" s="5"/>
      <c r="K2708" s="6"/>
      <c r="N2708" s="2"/>
      <c r="O2708" s="2"/>
      <c r="P2708" s="2"/>
    </row>
    <row r="2709" spans="2:16" ht="14.25">
      <c r="B2709" s="4"/>
      <c r="I2709" s="5"/>
      <c r="J2709" s="5"/>
      <c r="K2709" s="6"/>
      <c r="N2709" s="2"/>
      <c r="O2709" s="2"/>
      <c r="P2709" s="2"/>
    </row>
    <row r="2710" spans="2:16" ht="14.25">
      <c r="B2710" s="4"/>
      <c r="I2710" s="5"/>
      <c r="J2710" s="5"/>
      <c r="K2710" s="6"/>
      <c r="N2710" s="2"/>
      <c r="O2710" s="2"/>
      <c r="P2710" s="2"/>
    </row>
    <row r="2711" spans="2:16" ht="14.25">
      <c r="B2711" s="4"/>
      <c r="I2711" s="5"/>
      <c r="J2711" s="5"/>
      <c r="K2711" s="6"/>
      <c r="N2711" s="2"/>
      <c r="O2711" s="2"/>
      <c r="P2711" s="2"/>
    </row>
    <row r="2712" spans="2:16" ht="14.25">
      <c r="B2712" s="4"/>
      <c r="I2712" s="5"/>
      <c r="J2712" s="5"/>
      <c r="K2712" s="6"/>
      <c r="N2712" s="2"/>
      <c r="O2712" s="2"/>
      <c r="P2712" s="2"/>
    </row>
    <row r="2713" spans="2:16" ht="14.25">
      <c r="B2713" s="4"/>
      <c r="I2713" s="5"/>
      <c r="J2713" s="5"/>
      <c r="K2713" s="6"/>
      <c r="N2713" s="2"/>
      <c r="O2713" s="2"/>
      <c r="P2713" s="2"/>
    </row>
    <row r="2714" spans="2:16" ht="14.25">
      <c r="B2714" s="4"/>
      <c r="I2714" s="5"/>
      <c r="J2714" s="5"/>
      <c r="K2714" s="6"/>
      <c r="N2714" s="2"/>
      <c r="O2714" s="2"/>
      <c r="P2714" s="2"/>
    </row>
    <row r="2715" spans="2:16" ht="14.25">
      <c r="B2715" s="4"/>
      <c r="I2715" s="5"/>
      <c r="J2715" s="5"/>
      <c r="K2715" s="6"/>
      <c r="N2715" s="2"/>
      <c r="O2715" s="2"/>
      <c r="P2715" s="2"/>
    </row>
    <row r="2716" spans="2:16" ht="14.25">
      <c r="B2716" s="4"/>
      <c r="I2716" s="5"/>
      <c r="J2716" s="5"/>
      <c r="K2716" s="6"/>
      <c r="N2716" s="2"/>
      <c r="O2716" s="2"/>
      <c r="P2716" s="2"/>
    </row>
    <row r="2717" spans="2:16" ht="14.25">
      <c r="B2717" s="4"/>
      <c r="I2717" s="5"/>
      <c r="J2717" s="5"/>
      <c r="K2717" s="6"/>
      <c r="N2717" s="2"/>
      <c r="O2717" s="2"/>
      <c r="P2717" s="2"/>
    </row>
    <row r="2718" spans="2:16" ht="14.25">
      <c r="B2718" s="4"/>
      <c r="I2718" s="5"/>
      <c r="J2718" s="5"/>
      <c r="K2718" s="6"/>
      <c r="N2718" s="2"/>
      <c r="O2718" s="2"/>
      <c r="P2718" s="2"/>
    </row>
    <row r="2719" spans="2:16" ht="14.25">
      <c r="B2719" s="4"/>
      <c r="I2719" s="5"/>
      <c r="J2719" s="5"/>
      <c r="K2719" s="6"/>
      <c r="N2719" s="2"/>
      <c r="O2719" s="2"/>
      <c r="P2719" s="2"/>
    </row>
    <row r="2720" spans="2:16" ht="14.25">
      <c r="B2720" s="4"/>
      <c r="I2720" s="5"/>
      <c r="J2720" s="5"/>
      <c r="K2720" s="6"/>
      <c r="N2720" s="2"/>
      <c r="O2720" s="2"/>
      <c r="P2720" s="2"/>
    </row>
    <row r="2721" spans="2:16" ht="14.25">
      <c r="B2721" s="4"/>
      <c r="I2721" s="5"/>
      <c r="J2721" s="5"/>
      <c r="K2721" s="6"/>
      <c r="N2721" s="2"/>
      <c r="O2721" s="2"/>
      <c r="P2721" s="2"/>
    </row>
    <row r="2722" spans="2:16" ht="14.25">
      <c r="B2722" s="4"/>
      <c r="I2722" s="5"/>
      <c r="J2722" s="5"/>
      <c r="K2722" s="6"/>
      <c r="N2722" s="2"/>
      <c r="O2722" s="2"/>
      <c r="P2722" s="2"/>
    </row>
    <row r="2723" spans="2:16" ht="14.25">
      <c r="B2723" s="4"/>
      <c r="I2723" s="5"/>
      <c r="J2723" s="5"/>
      <c r="K2723" s="6"/>
      <c r="N2723" s="2"/>
      <c r="O2723" s="2"/>
      <c r="P2723" s="2"/>
    </row>
    <row r="2724" spans="2:16" ht="14.25">
      <c r="B2724" s="4"/>
      <c r="I2724" s="5"/>
      <c r="J2724" s="5"/>
      <c r="K2724" s="6"/>
      <c r="N2724" s="2"/>
      <c r="O2724" s="2"/>
      <c r="P2724" s="2"/>
    </row>
    <row r="2725" spans="2:16" ht="14.25">
      <c r="B2725" s="4"/>
      <c r="I2725" s="5"/>
      <c r="J2725" s="5"/>
      <c r="K2725" s="6"/>
      <c r="N2725" s="2"/>
      <c r="O2725" s="2"/>
      <c r="P2725" s="2"/>
    </row>
    <row r="2726" spans="2:16" ht="14.25">
      <c r="B2726" s="4"/>
      <c r="I2726" s="5"/>
      <c r="J2726" s="5"/>
      <c r="K2726" s="6"/>
      <c r="N2726" s="2"/>
      <c r="O2726" s="2"/>
      <c r="P2726" s="2"/>
    </row>
    <row r="2727" spans="2:16" ht="14.25">
      <c r="B2727" s="4"/>
      <c r="I2727" s="5"/>
      <c r="J2727" s="5"/>
      <c r="K2727" s="6"/>
      <c r="N2727" s="2"/>
      <c r="O2727" s="2"/>
      <c r="P2727" s="2"/>
    </row>
    <row r="2728" spans="2:16" ht="14.25">
      <c r="B2728" s="4"/>
      <c r="I2728" s="5"/>
      <c r="J2728" s="5"/>
      <c r="K2728" s="6"/>
      <c r="N2728" s="2"/>
      <c r="O2728" s="2"/>
      <c r="P2728" s="2"/>
    </row>
    <row r="2729" spans="2:16" ht="14.25">
      <c r="B2729" s="4"/>
      <c r="I2729" s="5"/>
      <c r="J2729" s="5"/>
      <c r="K2729" s="6"/>
      <c r="N2729" s="2"/>
      <c r="O2729" s="2"/>
      <c r="P2729" s="2"/>
    </row>
    <row r="2730" spans="2:16" ht="14.25">
      <c r="B2730" s="4"/>
      <c r="I2730" s="5"/>
      <c r="J2730" s="5"/>
      <c r="K2730" s="6"/>
      <c r="N2730" s="2"/>
      <c r="O2730" s="2"/>
      <c r="P2730" s="2"/>
    </row>
    <row r="2731" spans="2:16" ht="14.25">
      <c r="B2731" s="4"/>
      <c r="I2731" s="5"/>
      <c r="J2731" s="5"/>
      <c r="K2731" s="6"/>
      <c r="N2731" s="2"/>
      <c r="O2731" s="2"/>
      <c r="P2731" s="2"/>
    </row>
    <row r="2732" spans="2:16" ht="14.25">
      <c r="B2732" s="4"/>
      <c r="I2732" s="5"/>
      <c r="J2732" s="5"/>
      <c r="K2732" s="6"/>
      <c r="N2732" s="2"/>
      <c r="O2732" s="2"/>
      <c r="P2732" s="2"/>
    </row>
    <row r="2733" spans="2:16" ht="14.25">
      <c r="B2733" s="4"/>
      <c r="I2733" s="5"/>
      <c r="J2733" s="5"/>
      <c r="K2733" s="6"/>
      <c r="N2733" s="2"/>
      <c r="O2733" s="2"/>
      <c r="P2733" s="2"/>
    </row>
    <row r="2734" spans="2:16" ht="14.25">
      <c r="B2734" s="4"/>
      <c r="I2734" s="5"/>
      <c r="J2734" s="5"/>
      <c r="K2734" s="6"/>
      <c r="N2734" s="2"/>
      <c r="O2734" s="2"/>
      <c r="P2734" s="2"/>
    </row>
    <row r="2735" spans="2:16" ht="14.25">
      <c r="B2735" s="4"/>
      <c r="I2735" s="5"/>
      <c r="J2735" s="5"/>
      <c r="K2735" s="6"/>
      <c r="N2735" s="2"/>
      <c r="O2735" s="2"/>
      <c r="P2735" s="2"/>
    </row>
    <row r="2736" spans="2:16" ht="14.25">
      <c r="B2736" s="4"/>
      <c r="I2736" s="5"/>
      <c r="J2736" s="5"/>
      <c r="K2736" s="6"/>
      <c r="N2736" s="2"/>
      <c r="O2736" s="2"/>
      <c r="P2736" s="2"/>
    </row>
    <row r="2737" spans="2:16" ht="14.25">
      <c r="B2737" s="4"/>
      <c r="I2737" s="5"/>
      <c r="J2737" s="5"/>
      <c r="K2737" s="6"/>
      <c r="N2737" s="2"/>
      <c r="O2737" s="2"/>
      <c r="P2737" s="2"/>
    </row>
    <row r="2738" spans="2:16" ht="14.25">
      <c r="B2738" s="4"/>
      <c r="I2738" s="5"/>
      <c r="J2738" s="5"/>
      <c r="K2738" s="6"/>
      <c r="N2738" s="2"/>
      <c r="O2738" s="2"/>
      <c r="P2738" s="2"/>
    </row>
    <row r="2739" spans="2:16" ht="14.25">
      <c r="B2739" s="4"/>
      <c r="I2739" s="5"/>
      <c r="J2739" s="5"/>
      <c r="K2739" s="6"/>
      <c r="N2739" s="2"/>
      <c r="O2739" s="2"/>
      <c r="P2739" s="2"/>
    </row>
    <row r="2740" spans="2:16" ht="14.25">
      <c r="B2740" s="4"/>
      <c r="I2740" s="5"/>
      <c r="J2740" s="5"/>
      <c r="K2740" s="6"/>
      <c r="N2740" s="2"/>
      <c r="O2740" s="2"/>
      <c r="P2740" s="2"/>
    </row>
    <row r="2741" spans="2:16" ht="14.25">
      <c r="B2741" s="4"/>
      <c r="I2741" s="5"/>
      <c r="J2741" s="5"/>
      <c r="K2741" s="6"/>
      <c r="N2741" s="2"/>
      <c r="O2741" s="2"/>
      <c r="P2741" s="2"/>
    </row>
    <row r="2742" spans="2:16" ht="14.25">
      <c r="B2742" s="4"/>
      <c r="I2742" s="5"/>
      <c r="J2742" s="5"/>
      <c r="K2742" s="6"/>
      <c r="N2742" s="2"/>
      <c r="O2742" s="2"/>
      <c r="P2742" s="2"/>
    </row>
    <row r="2743" spans="2:16" ht="14.25">
      <c r="B2743" s="4"/>
      <c r="I2743" s="5"/>
      <c r="J2743" s="5"/>
      <c r="K2743" s="6"/>
      <c r="N2743" s="2"/>
      <c r="O2743" s="2"/>
      <c r="P2743" s="2"/>
    </row>
    <row r="2744" spans="2:16" ht="14.25">
      <c r="B2744" s="4"/>
      <c r="I2744" s="5"/>
      <c r="J2744" s="5"/>
      <c r="K2744" s="6"/>
      <c r="N2744" s="2"/>
      <c r="O2744" s="2"/>
      <c r="P2744" s="2"/>
    </row>
    <row r="2745" spans="2:16" ht="14.25">
      <c r="B2745" s="4"/>
      <c r="I2745" s="5"/>
      <c r="J2745" s="5"/>
      <c r="K2745" s="6"/>
      <c r="N2745" s="2"/>
      <c r="O2745" s="2"/>
      <c r="P2745" s="2"/>
    </row>
    <row r="2746" spans="2:16" ht="14.25">
      <c r="B2746" s="4"/>
      <c r="I2746" s="5"/>
      <c r="J2746" s="5"/>
      <c r="K2746" s="6"/>
      <c r="N2746" s="2"/>
      <c r="O2746" s="2"/>
      <c r="P2746" s="2"/>
    </row>
    <row r="2747" spans="2:16" ht="14.25">
      <c r="B2747" s="4"/>
      <c r="I2747" s="5"/>
      <c r="J2747" s="5"/>
      <c r="K2747" s="6"/>
      <c r="N2747" s="2"/>
      <c r="O2747" s="2"/>
      <c r="P2747" s="2"/>
    </row>
    <row r="2748" spans="2:16" ht="14.25">
      <c r="B2748" s="4"/>
      <c r="I2748" s="5"/>
      <c r="J2748" s="5"/>
      <c r="K2748" s="6"/>
      <c r="N2748" s="2"/>
      <c r="O2748" s="2"/>
      <c r="P2748" s="2"/>
    </row>
    <row r="2749" spans="2:16" ht="14.25">
      <c r="B2749" s="4"/>
      <c r="I2749" s="5"/>
      <c r="J2749" s="5"/>
      <c r="K2749" s="6"/>
      <c r="N2749" s="2"/>
      <c r="O2749" s="2"/>
      <c r="P2749" s="2"/>
    </row>
    <row r="2750" spans="2:16" ht="14.25">
      <c r="B2750" s="4"/>
      <c r="I2750" s="5"/>
      <c r="J2750" s="5"/>
      <c r="K2750" s="6"/>
      <c r="N2750" s="2"/>
      <c r="O2750" s="2"/>
      <c r="P2750" s="2"/>
    </row>
    <row r="2751" spans="2:16" ht="14.25">
      <c r="B2751" s="4"/>
      <c r="I2751" s="5"/>
      <c r="J2751" s="5"/>
      <c r="K2751" s="6"/>
      <c r="N2751" s="2"/>
      <c r="O2751" s="2"/>
      <c r="P2751" s="2"/>
    </row>
    <row r="2752" spans="2:16" ht="14.25">
      <c r="B2752" s="4"/>
      <c r="I2752" s="5"/>
      <c r="J2752" s="5"/>
      <c r="K2752" s="6"/>
      <c r="N2752" s="2"/>
      <c r="O2752" s="2"/>
      <c r="P2752" s="2"/>
    </row>
    <row r="2753" spans="2:16" ht="14.25">
      <c r="B2753" s="4"/>
      <c r="I2753" s="5"/>
      <c r="J2753" s="5"/>
      <c r="K2753" s="6"/>
      <c r="N2753" s="2"/>
      <c r="O2753" s="2"/>
      <c r="P2753" s="2"/>
    </row>
    <row r="2754" spans="2:16" ht="14.25">
      <c r="B2754" s="4"/>
      <c r="I2754" s="5"/>
      <c r="J2754" s="5"/>
      <c r="K2754" s="6"/>
      <c r="N2754" s="2"/>
      <c r="O2754" s="2"/>
      <c r="P2754" s="2"/>
    </row>
    <row r="2755" spans="2:16" ht="14.25">
      <c r="B2755" s="4"/>
      <c r="I2755" s="5"/>
      <c r="J2755" s="5"/>
      <c r="K2755" s="6"/>
      <c r="N2755" s="2"/>
      <c r="O2755" s="2"/>
      <c r="P2755" s="2"/>
    </row>
    <row r="2756" spans="2:16" ht="14.25">
      <c r="B2756" s="4"/>
      <c r="I2756" s="5"/>
      <c r="J2756" s="5"/>
      <c r="K2756" s="6"/>
      <c r="N2756" s="2"/>
      <c r="O2756" s="2"/>
      <c r="P2756" s="2"/>
    </row>
    <row r="2757" spans="2:16" ht="14.25">
      <c r="B2757" s="4"/>
      <c r="I2757" s="5"/>
      <c r="J2757" s="5"/>
      <c r="K2757" s="6"/>
      <c r="N2757" s="2"/>
      <c r="O2757" s="2"/>
      <c r="P2757" s="2"/>
    </row>
    <row r="2758" spans="2:16" ht="14.25">
      <c r="B2758" s="4"/>
      <c r="I2758" s="5"/>
      <c r="J2758" s="5"/>
      <c r="K2758" s="6"/>
      <c r="N2758" s="2"/>
      <c r="O2758" s="2"/>
      <c r="P2758" s="2"/>
    </row>
    <row r="2759" spans="2:16" ht="14.25">
      <c r="B2759" s="4"/>
      <c r="I2759" s="5"/>
      <c r="J2759" s="5"/>
      <c r="K2759" s="6"/>
      <c r="N2759" s="2"/>
      <c r="O2759" s="2"/>
      <c r="P2759" s="2"/>
    </row>
    <row r="2760" spans="2:16" ht="14.25">
      <c r="B2760" s="4"/>
      <c r="I2760" s="5"/>
      <c r="J2760" s="5"/>
      <c r="K2760" s="6"/>
      <c r="N2760" s="2"/>
      <c r="O2760" s="2"/>
      <c r="P2760" s="2"/>
    </row>
    <row r="2761" spans="2:16" ht="14.25">
      <c r="B2761" s="4"/>
      <c r="I2761" s="5"/>
      <c r="J2761" s="5"/>
      <c r="K2761" s="6"/>
      <c r="N2761" s="2"/>
      <c r="O2761" s="2"/>
      <c r="P2761" s="2"/>
    </row>
    <row r="2762" spans="2:16" ht="14.25">
      <c r="B2762" s="4"/>
      <c r="I2762" s="5"/>
      <c r="J2762" s="5"/>
      <c r="K2762" s="6"/>
      <c r="N2762" s="2"/>
      <c r="O2762" s="2"/>
      <c r="P2762" s="2"/>
    </row>
    <row r="2763" spans="2:16" ht="14.25">
      <c r="B2763" s="4"/>
      <c r="I2763" s="5"/>
      <c r="J2763" s="5"/>
      <c r="K2763" s="6"/>
      <c r="N2763" s="2"/>
      <c r="O2763" s="2"/>
      <c r="P2763" s="2"/>
    </row>
    <row r="2764" spans="2:16" ht="14.25">
      <c r="B2764" s="4"/>
      <c r="I2764" s="5"/>
      <c r="J2764" s="5"/>
      <c r="K2764" s="6"/>
      <c r="N2764" s="2"/>
      <c r="O2764" s="2"/>
      <c r="P2764" s="2"/>
    </row>
    <row r="2765" spans="2:16" ht="14.25">
      <c r="B2765" s="4"/>
      <c r="I2765" s="5"/>
      <c r="J2765" s="5"/>
      <c r="K2765" s="6"/>
      <c r="N2765" s="2"/>
      <c r="O2765" s="2"/>
      <c r="P2765" s="2"/>
    </row>
    <row r="2766" spans="2:16" ht="14.25">
      <c r="B2766" s="4"/>
      <c r="I2766" s="5"/>
      <c r="J2766" s="5"/>
      <c r="K2766" s="6"/>
      <c r="N2766" s="2"/>
      <c r="O2766" s="2"/>
      <c r="P2766" s="2"/>
    </row>
    <row r="2767" spans="2:16" ht="14.25">
      <c r="B2767" s="4"/>
      <c r="I2767" s="5"/>
      <c r="J2767" s="5"/>
      <c r="K2767" s="6"/>
      <c r="N2767" s="2"/>
      <c r="O2767" s="2"/>
      <c r="P2767" s="2"/>
    </row>
    <row r="2768" spans="2:16" ht="14.25">
      <c r="B2768" s="4"/>
      <c r="I2768" s="5"/>
      <c r="J2768" s="5"/>
      <c r="K2768" s="6"/>
      <c r="N2768" s="2"/>
      <c r="O2768" s="2"/>
      <c r="P2768" s="2"/>
    </row>
    <row r="2769" spans="2:16" ht="14.25">
      <c r="B2769" s="4"/>
      <c r="I2769" s="5"/>
      <c r="J2769" s="5"/>
      <c r="K2769" s="6"/>
      <c r="N2769" s="2"/>
      <c r="O2769" s="2"/>
      <c r="P2769" s="2"/>
    </row>
    <row r="2770" spans="2:16" ht="14.25">
      <c r="B2770" s="4"/>
      <c r="I2770" s="5"/>
      <c r="J2770" s="5"/>
      <c r="K2770" s="6"/>
      <c r="N2770" s="2"/>
      <c r="O2770" s="2"/>
      <c r="P2770" s="2"/>
    </row>
    <row r="2771" spans="2:16" ht="14.25">
      <c r="B2771" s="4"/>
      <c r="I2771" s="5"/>
      <c r="J2771" s="5"/>
      <c r="K2771" s="6"/>
      <c r="N2771" s="2"/>
      <c r="O2771" s="2"/>
      <c r="P2771" s="2"/>
    </row>
    <row r="2772" spans="2:16" ht="14.25">
      <c r="B2772" s="4"/>
      <c r="I2772" s="5"/>
      <c r="J2772" s="5"/>
      <c r="K2772" s="6"/>
      <c r="N2772" s="2"/>
      <c r="O2772" s="2"/>
      <c r="P2772" s="2"/>
    </row>
    <row r="2773" spans="2:16" ht="14.25">
      <c r="B2773" s="4"/>
      <c r="I2773" s="5"/>
      <c r="J2773" s="5"/>
      <c r="K2773" s="6"/>
      <c r="N2773" s="2"/>
      <c r="O2773" s="2"/>
      <c r="P2773" s="2"/>
    </row>
    <row r="2774" spans="2:16" ht="14.25">
      <c r="B2774" s="4"/>
      <c r="I2774" s="5"/>
      <c r="J2774" s="5"/>
      <c r="K2774" s="6"/>
      <c r="N2774" s="2"/>
      <c r="O2774" s="2"/>
      <c r="P2774" s="2"/>
    </row>
    <row r="2775" spans="2:16" ht="14.25">
      <c r="B2775" s="4"/>
      <c r="I2775" s="5"/>
      <c r="J2775" s="5"/>
      <c r="K2775" s="6"/>
      <c r="N2775" s="2"/>
      <c r="O2775" s="2"/>
      <c r="P2775" s="2"/>
    </row>
    <row r="2776" spans="2:16" ht="14.25">
      <c r="B2776" s="4"/>
      <c r="I2776" s="5"/>
      <c r="J2776" s="5"/>
      <c r="K2776" s="6"/>
      <c r="N2776" s="2"/>
      <c r="O2776" s="2"/>
      <c r="P2776" s="2"/>
    </row>
    <row r="2777" spans="2:16" ht="14.25">
      <c r="B2777" s="4"/>
      <c r="I2777" s="5"/>
      <c r="J2777" s="5"/>
      <c r="K2777" s="6"/>
      <c r="N2777" s="2"/>
      <c r="O2777" s="2"/>
      <c r="P2777" s="2"/>
    </row>
    <row r="2778" spans="2:16" ht="14.25">
      <c r="B2778" s="4"/>
      <c r="I2778" s="5"/>
      <c r="J2778" s="5"/>
      <c r="K2778" s="6"/>
      <c r="N2778" s="2"/>
      <c r="O2778" s="2"/>
      <c r="P2778" s="2"/>
    </row>
    <row r="2779" spans="2:16" ht="14.25">
      <c r="B2779" s="4"/>
      <c r="I2779" s="5"/>
      <c r="J2779" s="5"/>
      <c r="K2779" s="6"/>
      <c r="N2779" s="2"/>
      <c r="O2779" s="2"/>
      <c r="P2779" s="2"/>
    </row>
    <row r="2780" spans="2:16" ht="14.25">
      <c r="B2780" s="4"/>
      <c r="I2780" s="5"/>
      <c r="J2780" s="5"/>
      <c r="K2780" s="6"/>
      <c r="N2780" s="2"/>
      <c r="O2780" s="2"/>
      <c r="P2780" s="2"/>
    </row>
    <row r="2781" spans="2:16" ht="14.25">
      <c r="B2781" s="4"/>
      <c r="I2781" s="5"/>
      <c r="J2781" s="5"/>
      <c r="K2781" s="6"/>
      <c r="N2781" s="2"/>
      <c r="O2781" s="2"/>
      <c r="P2781" s="2"/>
    </row>
    <row r="2782" spans="2:16" ht="14.25">
      <c r="B2782" s="4"/>
      <c r="I2782" s="5"/>
      <c r="J2782" s="5"/>
      <c r="K2782" s="6"/>
      <c r="N2782" s="2"/>
      <c r="O2782" s="2"/>
      <c r="P2782" s="2"/>
    </row>
    <row r="2783" spans="2:16" ht="14.25">
      <c r="B2783" s="4"/>
      <c r="I2783" s="5"/>
      <c r="J2783" s="5"/>
      <c r="K2783" s="6"/>
      <c r="N2783" s="2"/>
      <c r="O2783" s="2"/>
      <c r="P2783" s="2"/>
    </row>
    <row r="2784" spans="2:16" ht="14.25">
      <c r="B2784" s="4"/>
      <c r="I2784" s="5"/>
      <c r="J2784" s="5"/>
      <c r="K2784" s="6"/>
      <c r="N2784" s="2"/>
      <c r="O2784" s="2"/>
      <c r="P2784" s="2"/>
    </row>
    <row r="2785" spans="2:16" ht="14.25">
      <c r="B2785" s="4"/>
      <c r="I2785" s="5"/>
      <c r="J2785" s="5"/>
      <c r="K2785" s="6"/>
      <c r="N2785" s="2"/>
      <c r="O2785" s="2"/>
      <c r="P2785" s="2"/>
    </row>
    <row r="2786" spans="2:16" ht="14.25">
      <c r="B2786" s="4"/>
      <c r="I2786" s="5"/>
      <c r="J2786" s="5"/>
      <c r="K2786" s="6"/>
      <c r="N2786" s="2"/>
      <c r="O2786" s="2"/>
      <c r="P2786" s="2"/>
    </row>
    <row r="2787" spans="2:16" ht="14.25">
      <c r="B2787" s="4"/>
      <c r="I2787" s="5"/>
      <c r="J2787" s="5"/>
      <c r="K2787" s="6"/>
      <c r="N2787" s="2"/>
      <c r="O2787" s="2"/>
      <c r="P2787" s="2"/>
    </row>
    <row r="2788" spans="2:16" ht="14.25">
      <c r="B2788" s="4"/>
      <c r="I2788" s="5"/>
      <c r="J2788" s="5"/>
      <c r="K2788" s="6"/>
      <c r="N2788" s="2"/>
      <c r="O2788" s="2"/>
      <c r="P2788" s="2"/>
    </row>
    <row r="2789" spans="2:16" ht="14.25">
      <c r="B2789" s="4"/>
      <c r="I2789" s="5"/>
      <c r="J2789" s="5"/>
      <c r="K2789" s="6"/>
      <c r="N2789" s="2"/>
      <c r="O2789" s="2"/>
      <c r="P2789" s="2"/>
    </row>
    <row r="2790" spans="2:16" ht="14.25">
      <c r="B2790" s="4"/>
      <c r="I2790" s="5"/>
      <c r="J2790" s="5"/>
      <c r="K2790" s="6"/>
      <c r="N2790" s="2"/>
      <c r="O2790" s="2"/>
      <c r="P2790" s="2"/>
    </row>
    <row r="2791" spans="2:16" ht="14.25">
      <c r="B2791" s="4"/>
      <c r="I2791" s="5"/>
      <c r="J2791" s="5"/>
      <c r="K2791" s="6"/>
      <c r="N2791" s="2"/>
      <c r="O2791" s="2"/>
      <c r="P2791" s="2"/>
    </row>
    <row r="2792" spans="2:16" ht="14.25">
      <c r="B2792" s="4"/>
      <c r="I2792" s="5"/>
      <c r="J2792" s="5"/>
      <c r="K2792" s="6"/>
      <c r="N2792" s="2"/>
      <c r="O2792" s="2"/>
      <c r="P2792" s="2"/>
    </row>
    <row r="2793" spans="2:16" ht="14.25">
      <c r="B2793" s="4"/>
      <c r="I2793" s="5"/>
      <c r="J2793" s="5"/>
      <c r="K2793" s="6"/>
      <c r="N2793" s="2"/>
      <c r="O2793" s="2"/>
      <c r="P2793" s="2"/>
    </row>
    <row r="2794" spans="2:16" ht="14.25">
      <c r="B2794" s="4"/>
      <c r="I2794" s="5"/>
      <c r="J2794" s="5"/>
      <c r="K2794" s="6"/>
      <c r="N2794" s="2"/>
      <c r="O2794" s="2"/>
      <c r="P2794" s="2"/>
    </row>
    <row r="2795" spans="2:16" ht="14.25">
      <c r="B2795" s="4"/>
      <c r="I2795" s="5"/>
      <c r="J2795" s="5"/>
      <c r="K2795" s="6"/>
      <c r="N2795" s="2"/>
      <c r="O2795" s="2"/>
      <c r="P2795" s="2"/>
    </row>
    <row r="2796" spans="2:16" ht="14.25">
      <c r="B2796" s="4"/>
      <c r="I2796" s="5"/>
      <c r="J2796" s="5"/>
      <c r="K2796" s="6"/>
      <c r="N2796" s="2"/>
      <c r="O2796" s="2"/>
      <c r="P2796" s="2"/>
    </row>
    <row r="2797" spans="2:16" ht="14.25">
      <c r="B2797" s="4"/>
      <c r="I2797" s="5"/>
      <c r="J2797" s="5"/>
      <c r="K2797" s="6"/>
      <c r="N2797" s="2"/>
      <c r="O2797" s="2"/>
      <c r="P2797" s="2"/>
    </row>
    <row r="2798" spans="2:16" ht="14.25">
      <c r="B2798" s="4"/>
      <c r="I2798" s="5"/>
      <c r="J2798" s="5"/>
      <c r="K2798" s="6"/>
      <c r="N2798" s="2"/>
      <c r="O2798" s="2"/>
      <c r="P2798" s="2"/>
    </row>
    <row r="2799" spans="2:16" ht="14.25">
      <c r="B2799" s="4"/>
      <c r="I2799" s="5"/>
      <c r="J2799" s="5"/>
      <c r="K2799" s="6"/>
      <c r="N2799" s="2"/>
      <c r="O2799" s="2"/>
      <c r="P2799" s="2"/>
    </row>
    <row r="2800" spans="2:16" ht="14.25">
      <c r="B2800" s="4"/>
      <c r="I2800" s="5"/>
      <c r="J2800" s="5"/>
      <c r="K2800" s="6"/>
      <c r="N2800" s="2"/>
      <c r="O2800" s="2"/>
      <c r="P2800" s="2"/>
    </row>
    <row r="2801" spans="2:16" ht="14.25">
      <c r="B2801" s="4"/>
      <c r="I2801" s="5"/>
      <c r="J2801" s="5"/>
      <c r="K2801" s="6"/>
      <c r="N2801" s="2"/>
      <c r="O2801" s="2"/>
      <c r="P2801" s="2"/>
    </row>
    <row r="2802" spans="2:16" ht="14.25">
      <c r="B2802" s="4"/>
      <c r="I2802" s="5"/>
      <c r="J2802" s="5"/>
      <c r="K2802" s="6"/>
      <c r="N2802" s="2"/>
      <c r="O2802" s="2"/>
      <c r="P2802" s="2"/>
    </row>
    <row r="2803" spans="2:16" ht="14.25">
      <c r="B2803" s="4"/>
      <c r="I2803" s="5"/>
      <c r="J2803" s="5"/>
      <c r="K2803" s="6"/>
      <c r="N2803" s="2"/>
      <c r="O2803" s="2"/>
      <c r="P2803" s="2"/>
    </row>
    <row r="2804" spans="2:16" ht="14.25">
      <c r="B2804" s="4"/>
      <c r="I2804" s="5"/>
      <c r="J2804" s="5"/>
      <c r="K2804" s="6"/>
      <c r="N2804" s="2"/>
      <c r="O2804" s="2"/>
      <c r="P2804" s="2"/>
    </row>
    <row r="2805" spans="2:16" ht="14.25">
      <c r="B2805" s="4"/>
      <c r="I2805" s="5"/>
      <c r="J2805" s="5"/>
      <c r="K2805" s="6"/>
      <c r="N2805" s="2"/>
      <c r="O2805" s="2"/>
      <c r="P2805" s="2"/>
    </row>
    <row r="2806" spans="2:16" ht="14.25">
      <c r="B2806" s="4"/>
      <c r="I2806" s="5"/>
      <c r="J2806" s="5"/>
      <c r="K2806" s="6"/>
      <c r="N2806" s="2"/>
      <c r="O2806" s="2"/>
      <c r="P2806" s="2"/>
    </row>
    <row r="2807" spans="2:16" ht="14.25">
      <c r="B2807" s="4"/>
      <c r="I2807" s="5"/>
      <c r="J2807" s="5"/>
      <c r="K2807" s="6"/>
      <c r="N2807" s="2"/>
      <c r="O2807" s="2"/>
      <c r="P2807" s="2"/>
    </row>
    <row r="2808" spans="2:16" ht="14.25">
      <c r="B2808" s="4"/>
      <c r="I2808" s="5"/>
      <c r="J2808" s="5"/>
      <c r="K2808" s="6"/>
      <c r="N2808" s="2"/>
      <c r="O2808" s="2"/>
      <c r="P2808" s="2"/>
    </row>
    <row r="2809" spans="2:16" ht="14.25">
      <c r="B2809" s="4"/>
      <c r="I2809" s="5"/>
      <c r="J2809" s="5"/>
      <c r="K2809" s="6"/>
      <c r="N2809" s="2"/>
      <c r="O2809" s="2"/>
      <c r="P2809" s="2"/>
    </row>
    <row r="2810" spans="2:16" ht="14.25">
      <c r="B2810" s="4"/>
      <c r="I2810" s="5"/>
      <c r="J2810" s="5"/>
      <c r="K2810" s="6"/>
      <c r="N2810" s="2"/>
      <c r="O2810" s="2"/>
      <c r="P2810" s="2"/>
    </row>
    <row r="2811" spans="2:16" ht="14.25">
      <c r="B2811" s="4"/>
      <c r="I2811" s="5"/>
      <c r="J2811" s="5"/>
      <c r="K2811" s="6"/>
      <c r="N2811" s="2"/>
      <c r="O2811" s="2"/>
      <c r="P2811" s="2"/>
    </row>
    <row r="2812" spans="2:16" ht="14.25">
      <c r="B2812" s="4"/>
      <c r="I2812" s="5"/>
      <c r="J2812" s="5"/>
      <c r="K2812" s="6"/>
      <c r="N2812" s="2"/>
      <c r="O2812" s="2"/>
      <c r="P2812" s="2"/>
    </row>
    <row r="2813" spans="2:16" ht="14.25">
      <c r="B2813" s="4"/>
      <c r="I2813" s="5"/>
      <c r="J2813" s="5"/>
      <c r="K2813" s="6"/>
      <c r="N2813" s="2"/>
      <c r="O2813" s="2"/>
      <c r="P2813" s="2"/>
    </row>
    <row r="2814" spans="2:16" ht="14.25">
      <c r="B2814" s="4"/>
      <c r="I2814" s="5"/>
      <c r="J2814" s="5"/>
      <c r="K2814" s="6"/>
      <c r="N2814" s="2"/>
      <c r="O2814" s="2"/>
      <c r="P2814" s="2"/>
    </row>
    <row r="2815" spans="2:16" ht="14.25">
      <c r="B2815" s="4"/>
      <c r="I2815" s="5"/>
      <c r="J2815" s="5"/>
      <c r="K2815" s="6"/>
      <c r="N2815" s="2"/>
      <c r="O2815" s="2"/>
      <c r="P2815" s="2"/>
    </row>
    <row r="2816" spans="2:16" ht="14.25">
      <c r="B2816" s="4"/>
      <c r="I2816" s="5"/>
      <c r="J2816" s="5"/>
      <c r="K2816" s="6"/>
      <c r="N2816" s="2"/>
      <c r="O2816" s="2"/>
      <c r="P2816" s="2"/>
    </row>
    <row r="2817" spans="2:16" ht="14.25">
      <c r="B2817" s="4"/>
      <c r="I2817" s="5"/>
      <c r="J2817" s="5"/>
      <c r="K2817" s="6"/>
      <c r="N2817" s="2"/>
      <c r="O2817" s="2"/>
      <c r="P2817" s="2"/>
    </row>
    <row r="2818" spans="2:16" ht="14.25">
      <c r="B2818" s="4"/>
      <c r="I2818" s="5"/>
      <c r="J2818" s="5"/>
      <c r="K2818" s="6"/>
      <c r="N2818" s="2"/>
      <c r="O2818" s="2"/>
      <c r="P2818" s="2"/>
    </row>
    <row r="2819" spans="2:16" ht="14.25">
      <c r="B2819" s="4"/>
      <c r="I2819" s="5"/>
      <c r="J2819" s="5"/>
      <c r="K2819" s="6"/>
      <c r="N2819" s="2"/>
      <c r="O2819" s="2"/>
      <c r="P2819" s="2"/>
    </row>
    <row r="2820" spans="2:16" ht="14.25">
      <c r="B2820" s="4"/>
      <c r="I2820" s="5"/>
      <c r="J2820" s="5"/>
      <c r="K2820" s="6"/>
      <c r="N2820" s="2"/>
      <c r="O2820" s="2"/>
      <c r="P2820" s="2"/>
    </row>
    <row r="2821" spans="2:16" ht="14.25">
      <c r="B2821" s="4"/>
      <c r="I2821" s="5"/>
      <c r="J2821" s="5"/>
      <c r="K2821" s="6"/>
      <c r="N2821" s="2"/>
      <c r="O2821" s="2"/>
      <c r="P2821" s="2"/>
    </row>
    <row r="2822" spans="2:16" ht="14.25">
      <c r="B2822" s="4"/>
      <c r="I2822" s="5"/>
      <c r="J2822" s="5"/>
      <c r="K2822" s="6"/>
      <c r="N2822" s="2"/>
      <c r="O2822" s="2"/>
      <c r="P2822" s="2"/>
    </row>
    <row r="2823" spans="2:16" ht="14.25">
      <c r="B2823" s="4"/>
      <c r="I2823" s="5"/>
      <c r="J2823" s="5"/>
      <c r="K2823" s="6"/>
      <c r="N2823" s="2"/>
      <c r="O2823" s="2"/>
      <c r="P2823" s="2"/>
    </row>
    <row r="2824" spans="2:16" ht="14.25">
      <c r="B2824" s="4"/>
      <c r="I2824" s="5"/>
      <c r="J2824" s="5"/>
      <c r="K2824" s="6"/>
      <c r="N2824" s="2"/>
      <c r="O2824" s="2"/>
      <c r="P2824" s="2"/>
    </row>
    <row r="2825" spans="2:16" ht="14.25">
      <c r="B2825" s="4"/>
      <c r="I2825" s="5"/>
      <c r="J2825" s="5"/>
      <c r="K2825" s="6"/>
      <c r="N2825" s="2"/>
      <c r="O2825" s="2"/>
      <c r="P2825" s="2"/>
    </row>
    <row r="2826" spans="2:16" ht="14.25">
      <c r="B2826" s="4"/>
      <c r="I2826" s="5"/>
      <c r="J2826" s="5"/>
      <c r="K2826" s="6"/>
      <c r="N2826" s="2"/>
      <c r="O2826" s="2"/>
      <c r="P2826" s="2"/>
    </row>
    <row r="2827" spans="2:16" ht="14.25">
      <c r="B2827" s="4"/>
      <c r="I2827" s="5"/>
      <c r="J2827" s="5"/>
      <c r="K2827" s="6"/>
      <c r="N2827" s="2"/>
      <c r="O2827" s="2"/>
      <c r="P2827" s="2"/>
    </row>
    <row r="2828" spans="2:16" ht="14.25">
      <c r="B2828" s="4"/>
      <c r="I2828" s="5"/>
      <c r="J2828" s="5"/>
      <c r="K2828" s="6"/>
      <c r="N2828" s="2"/>
      <c r="O2828" s="2"/>
      <c r="P2828" s="2"/>
    </row>
    <row r="2829" spans="2:16" ht="14.25">
      <c r="B2829" s="4"/>
      <c r="I2829" s="5"/>
      <c r="J2829" s="5"/>
      <c r="K2829" s="6"/>
      <c r="N2829" s="2"/>
      <c r="O2829" s="2"/>
      <c r="P2829" s="2"/>
    </row>
    <row r="2830" spans="2:16" ht="14.25">
      <c r="B2830" s="4"/>
      <c r="I2830" s="5"/>
      <c r="J2830" s="5"/>
      <c r="K2830" s="6"/>
      <c r="N2830" s="2"/>
      <c r="O2830" s="2"/>
      <c r="P2830" s="2"/>
    </row>
    <row r="2831" spans="2:16" ht="14.25">
      <c r="B2831" s="4"/>
      <c r="I2831" s="5"/>
      <c r="J2831" s="5"/>
      <c r="K2831" s="6"/>
      <c r="N2831" s="2"/>
      <c r="O2831" s="2"/>
      <c r="P2831" s="2"/>
    </row>
    <row r="2832" spans="2:16" ht="14.25">
      <c r="B2832" s="4"/>
      <c r="I2832" s="5"/>
      <c r="J2832" s="5"/>
      <c r="K2832" s="6"/>
      <c r="N2832" s="2"/>
      <c r="O2832" s="2"/>
      <c r="P2832" s="2"/>
    </row>
    <row r="2833" spans="2:16" ht="14.25">
      <c r="B2833" s="4"/>
      <c r="I2833" s="5"/>
      <c r="J2833" s="5"/>
      <c r="K2833" s="6"/>
      <c r="N2833" s="2"/>
      <c r="O2833" s="2"/>
      <c r="P2833" s="2"/>
    </row>
    <row r="2834" spans="2:16" ht="14.25">
      <c r="B2834" s="4"/>
      <c r="I2834" s="5"/>
      <c r="J2834" s="5"/>
      <c r="K2834" s="6"/>
      <c r="N2834" s="2"/>
      <c r="O2834" s="2"/>
      <c r="P2834" s="2"/>
    </row>
    <row r="2835" spans="2:16" ht="14.25">
      <c r="B2835" s="4"/>
      <c r="I2835" s="5"/>
      <c r="J2835" s="5"/>
      <c r="K2835" s="6"/>
      <c r="N2835" s="2"/>
      <c r="O2835" s="2"/>
      <c r="P2835" s="2"/>
    </row>
    <row r="2836" spans="2:16" ht="14.25">
      <c r="B2836" s="4"/>
      <c r="I2836" s="5"/>
      <c r="J2836" s="5"/>
      <c r="K2836" s="6"/>
      <c r="N2836" s="2"/>
      <c r="O2836" s="2"/>
      <c r="P2836" s="2"/>
    </row>
    <row r="2837" spans="2:16" ht="14.25">
      <c r="B2837" s="4"/>
      <c r="I2837" s="5"/>
      <c r="J2837" s="5"/>
      <c r="K2837" s="6"/>
      <c r="N2837" s="2"/>
      <c r="O2837" s="2"/>
      <c r="P2837" s="2"/>
    </row>
    <row r="2838" spans="2:16" ht="14.25">
      <c r="B2838" s="4"/>
      <c r="I2838" s="5"/>
      <c r="J2838" s="5"/>
      <c r="K2838" s="6"/>
      <c r="N2838" s="2"/>
      <c r="O2838" s="2"/>
      <c r="P2838" s="2"/>
    </row>
    <row r="2839" spans="2:16" ht="14.25">
      <c r="B2839" s="4"/>
      <c r="I2839" s="5"/>
      <c r="J2839" s="5"/>
      <c r="K2839" s="6"/>
      <c r="N2839" s="2"/>
      <c r="O2839" s="2"/>
      <c r="P2839" s="2"/>
    </row>
    <row r="2840" spans="2:16" ht="14.25">
      <c r="B2840" s="4"/>
      <c r="I2840" s="5"/>
      <c r="J2840" s="5"/>
      <c r="K2840" s="6"/>
      <c r="N2840" s="2"/>
      <c r="O2840" s="2"/>
      <c r="P2840" s="2"/>
    </row>
    <row r="2841" spans="2:16" ht="14.25">
      <c r="B2841" s="4"/>
      <c r="I2841" s="5"/>
      <c r="J2841" s="5"/>
      <c r="K2841" s="6"/>
      <c r="N2841" s="2"/>
      <c r="O2841" s="2"/>
      <c r="P2841" s="2"/>
    </row>
    <row r="2842" spans="2:16" ht="14.25">
      <c r="B2842" s="4"/>
      <c r="I2842" s="5"/>
      <c r="J2842" s="5"/>
      <c r="K2842" s="6"/>
      <c r="N2842" s="2"/>
      <c r="O2842" s="2"/>
      <c r="P2842" s="2"/>
    </row>
    <row r="2843" spans="2:16" ht="14.25">
      <c r="B2843" s="4"/>
      <c r="I2843" s="5"/>
      <c r="J2843" s="5"/>
      <c r="K2843" s="6"/>
      <c r="N2843" s="2"/>
      <c r="O2843" s="2"/>
      <c r="P2843" s="2"/>
    </row>
    <row r="2844" spans="2:16" ht="14.25">
      <c r="B2844" s="4"/>
      <c r="I2844" s="5"/>
      <c r="J2844" s="5"/>
      <c r="K2844" s="6"/>
      <c r="N2844" s="2"/>
      <c r="O2844" s="2"/>
      <c r="P2844" s="2"/>
    </row>
    <row r="2845" spans="2:16" ht="14.25">
      <c r="B2845" s="4"/>
      <c r="I2845" s="5"/>
      <c r="J2845" s="5"/>
      <c r="K2845" s="6"/>
      <c r="N2845" s="2"/>
      <c r="O2845" s="2"/>
      <c r="P2845" s="2"/>
    </row>
    <row r="2846" spans="2:16" ht="14.25">
      <c r="B2846" s="4"/>
      <c r="I2846" s="5"/>
      <c r="J2846" s="5"/>
      <c r="K2846" s="6"/>
      <c r="N2846" s="2"/>
      <c r="O2846" s="2"/>
      <c r="P2846" s="2"/>
    </row>
    <row r="2847" spans="2:16" ht="14.25">
      <c r="B2847" s="4"/>
      <c r="I2847" s="5"/>
      <c r="J2847" s="5"/>
      <c r="K2847" s="6"/>
      <c r="N2847" s="2"/>
      <c r="O2847" s="2"/>
      <c r="P2847" s="2"/>
    </row>
    <row r="2848" spans="2:16" ht="14.25">
      <c r="B2848" s="4"/>
      <c r="I2848" s="5"/>
      <c r="J2848" s="5"/>
      <c r="K2848" s="6"/>
      <c r="N2848" s="2"/>
      <c r="O2848" s="2"/>
      <c r="P2848" s="2"/>
    </row>
    <row r="2849" spans="2:16" ht="14.25">
      <c r="B2849" s="4"/>
      <c r="I2849" s="5"/>
      <c r="J2849" s="5"/>
      <c r="K2849" s="6"/>
      <c r="N2849" s="2"/>
      <c r="O2849" s="2"/>
      <c r="P2849" s="2"/>
    </row>
    <row r="2850" spans="2:16" ht="14.25">
      <c r="B2850" s="4"/>
      <c r="I2850" s="5"/>
      <c r="J2850" s="5"/>
      <c r="K2850" s="6"/>
      <c r="N2850" s="2"/>
      <c r="O2850" s="2"/>
      <c r="P2850" s="2"/>
    </row>
    <row r="2851" spans="2:16" ht="14.25">
      <c r="B2851" s="4"/>
      <c r="I2851" s="5"/>
      <c r="J2851" s="5"/>
      <c r="K2851" s="6"/>
      <c r="N2851" s="2"/>
      <c r="O2851" s="2"/>
      <c r="P2851" s="2"/>
    </row>
    <row r="2852" spans="2:16" ht="14.25">
      <c r="B2852" s="4"/>
      <c r="I2852" s="5"/>
      <c r="J2852" s="5"/>
      <c r="K2852" s="6"/>
      <c r="N2852" s="2"/>
      <c r="O2852" s="2"/>
      <c r="P2852" s="2"/>
    </row>
    <row r="2853" spans="2:16" ht="14.25">
      <c r="B2853" s="4"/>
      <c r="I2853" s="5"/>
      <c r="J2853" s="5"/>
      <c r="K2853" s="6"/>
      <c r="N2853" s="2"/>
      <c r="O2853" s="2"/>
      <c r="P2853" s="2"/>
    </row>
    <row r="2854" spans="2:16" ht="14.25">
      <c r="B2854" s="4"/>
      <c r="I2854" s="5"/>
      <c r="J2854" s="5"/>
      <c r="K2854" s="6"/>
      <c r="N2854" s="2"/>
      <c r="O2854" s="2"/>
      <c r="P2854" s="2"/>
    </row>
    <row r="2855" spans="2:16" ht="14.25">
      <c r="B2855" s="4"/>
      <c r="I2855" s="5"/>
      <c r="J2855" s="5"/>
      <c r="K2855" s="6"/>
      <c r="N2855" s="2"/>
      <c r="O2855" s="2"/>
      <c r="P2855" s="2"/>
    </row>
    <row r="2856" spans="2:16" ht="14.25">
      <c r="B2856" s="4"/>
      <c r="I2856" s="5"/>
      <c r="J2856" s="5"/>
      <c r="K2856" s="6"/>
      <c r="N2856" s="2"/>
      <c r="O2856" s="2"/>
      <c r="P2856" s="2"/>
    </row>
    <row r="2857" spans="2:16" ht="14.25">
      <c r="B2857" s="4"/>
      <c r="I2857" s="5"/>
      <c r="J2857" s="5"/>
      <c r="K2857" s="6"/>
      <c r="N2857" s="2"/>
      <c r="O2857" s="2"/>
      <c r="P2857" s="2"/>
    </row>
    <row r="2858" spans="2:16" ht="14.25">
      <c r="B2858" s="4"/>
      <c r="I2858" s="5"/>
      <c r="J2858" s="5"/>
      <c r="K2858" s="6"/>
      <c r="N2858" s="2"/>
      <c r="O2858" s="2"/>
      <c r="P2858" s="2"/>
    </row>
    <row r="2859" spans="2:16" ht="14.25">
      <c r="B2859" s="4"/>
      <c r="I2859" s="5"/>
      <c r="J2859" s="5"/>
      <c r="K2859" s="6"/>
      <c r="N2859" s="2"/>
      <c r="O2859" s="2"/>
      <c r="P2859" s="2"/>
    </row>
    <row r="2860" spans="2:16" ht="14.25">
      <c r="B2860" s="4"/>
      <c r="I2860" s="5"/>
      <c r="J2860" s="5"/>
      <c r="K2860" s="6"/>
      <c r="N2860" s="2"/>
      <c r="O2860" s="2"/>
      <c r="P2860" s="2"/>
    </row>
    <row r="2861" spans="2:16" ht="14.25">
      <c r="B2861" s="4"/>
      <c r="I2861" s="5"/>
      <c r="J2861" s="5"/>
      <c r="K2861" s="6"/>
      <c r="N2861" s="2"/>
      <c r="O2861" s="2"/>
      <c r="P2861" s="2"/>
    </row>
    <row r="2862" spans="2:16" ht="14.25">
      <c r="B2862" s="4"/>
      <c r="I2862" s="5"/>
      <c r="J2862" s="5"/>
      <c r="K2862" s="6"/>
      <c r="N2862" s="2"/>
      <c r="O2862" s="2"/>
      <c r="P2862" s="2"/>
    </row>
    <row r="2863" spans="2:16" ht="14.25">
      <c r="B2863" s="4"/>
      <c r="I2863" s="5"/>
      <c r="J2863" s="5"/>
      <c r="K2863" s="6"/>
      <c r="N2863" s="2"/>
      <c r="O2863" s="2"/>
      <c r="P2863" s="2"/>
    </row>
    <row r="2864" spans="2:16" ht="14.25">
      <c r="B2864" s="4"/>
      <c r="I2864" s="5"/>
      <c r="J2864" s="5"/>
      <c r="K2864" s="6"/>
      <c r="N2864" s="2"/>
      <c r="O2864" s="2"/>
      <c r="P2864" s="2"/>
    </row>
    <row r="2865" spans="2:16" ht="14.25">
      <c r="B2865" s="4"/>
      <c r="I2865" s="5"/>
      <c r="J2865" s="5"/>
      <c r="K2865" s="6"/>
      <c r="N2865" s="2"/>
      <c r="O2865" s="2"/>
      <c r="P2865" s="2"/>
    </row>
    <row r="2866" spans="2:16" ht="14.25">
      <c r="B2866" s="4"/>
      <c r="I2866" s="5"/>
      <c r="J2866" s="5"/>
      <c r="K2866" s="6"/>
      <c r="N2866" s="2"/>
      <c r="O2866" s="2"/>
      <c r="P2866" s="2"/>
    </row>
    <row r="2867" spans="2:16" ht="14.25">
      <c r="B2867" s="4"/>
      <c r="I2867" s="5"/>
      <c r="J2867" s="5"/>
      <c r="K2867" s="6"/>
      <c r="N2867" s="2"/>
      <c r="O2867" s="2"/>
      <c r="P2867" s="2"/>
    </row>
    <row r="2868" spans="2:16" ht="14.25">
      <c r="B2868" s="4"/>
      <c r="I2868" s="5"/>
      <c r="J2868" s="5"/>
      <c r="K2868" s="6"/>
      <c r="N2868" s="2"/>
      <c r="O2868" s="2"/>
      <c r="P2868" s="2"/>
    </row>
    <row r="2869" spans="2:16" ht="14.25">
      <c r="B2869" s="4"/>
      <c r="I2869" s="5"/>
      <c r="J2869" s="5"/>
      <c r="K2869" s="6"/>
      <c r="N2869" s="2"/>
      <c r="O2869" s="2"/>
      <c r="P2869" s="2"/>
    </row>
    <row r="2870" spans="2:16" ht="14.25">
      <c r="B2870" s="4"/>
      <c r="I2870" s="5"/>
      <c r="J2870" s="5"/>
      <c r="K2870" s="6"/>
      <c r="N2870" s="2"/>
      <c r="O2870" s="2"/>
      <c r="P2870" s="2"/>
    </row>
    <row r="2871" spans="2:16" ht="14.25">
      <c r="B2871" s="4"/>
      <c r="I2871" s="5"/>
      <c r="J2871" s="5"/>
      <c r="K2871" s="6"/>
      <c r="N2871" s="2"/>
      <c r="O2871" s="2"/>
      <c r="P2871" s="2"/>
    </row>
    <row r="2872" spans="2:16" ht="14.25">
      <c r="B2872" s="4"/>
      <c r="I2872" s="5"/>
      <c r="J2872" s="5"/>
      <c r="K2872" s="6"/>
      <c r="N2872" s="2"/>
      <c r="O2872" s="2"/>
      <c r="P2872" s="2"/>
    </row>
    <row r="2873" spans="2:16" ht="14.25">
      <c r="B2873" s="4"/>
      <c r="I2873" s="5"/>
      <c r="J2873" s="5"/>
      <c r="K2873" s="6"/>
      <c r="N2873" s="2"/>
      <c r="O2873" s="2"/>
      <c r="P2873" s="2"/>
    </row>
    <row r="2874" spans="2:16" ht="14.25">
      <c r="B2874" s="4"/>
      <c r="I2874" s="5"/>
      <c r="J2874" s="5"/>
      <c r="K2874" s="6"/>
      <c r="N2874" s="2"/>
      <c r="O2874" s="2"/>
      <c r="P2874" s="2"/>
    </row>
    <row r="2875" spans="2:16" ht="14.25">
      <c r="B2875" s="4"/>
      <c r="I2875" s="5"/>
      <c r="J2875" s="5"/>
      <c r="K2875" s="6"/>
      <c r="N2875" s="2"/>
      <c r="O2875" s="2"/>
      <c r="P2875" s="2"/>
    </row>
    <row r="2876" spans="2:16" ht="14.25">
      <c r="B2876" s="4"/>
      <c r="I2876" s="5"/>
      <c r="J2876" s="5"/>
      <c r="K2876" s="6"/>
      <c r="N2876" s="2"/>
      <c r="O2876" s="2"/>
      <c r="P2876" s="2"/>
    </row>
    <row r="2877" spans="2:16" ht="14.25">
      <c r="B2877" s="4"/>
      <c r="I2877" s="5"/>
      <c r="J2877" s="5"/>
      <c r="K2877" s="6"/>
      <c r="N2877" s="2"/>
      <c r="O2877" s="2"/>
      <c r="P2877" s="2"/>
    </row>
    <row r="2878" spans="2:16" ht="14.25">
      <c r="B2878" s="4"/>
      <c r="I2878" s="5"/>
      <c r="J2878" s="5"/>
      <c r="K2878" s="6"/>
      <c r="N2878" s="2"/>
      <c r="O2878" s="2"/>
      <c r="P2878" s="2"/>
    </row>
    <row r="2879" spans="2:16" ht="14.25">
      <c r="B2879" s="4"/>
      <c r="I2879" s="5"/>
      <c r="J2879" s="5"/>
      <c r="K2879" s="6"/>
      <c r="N2879" s="2"/>
      <c r="O2879" s="2"/>
      <c r="P2879" s="2"/>
    </row>
    <row r="2880" spans="2:16" ht="14.25">
      <c r="B2880" s="4"/>
      <c r="I2880" s="5"/>
      <c r="J2880" s="5"/>
      <c r="K2880" s="6"/>
      <c r="N2880" s="2"/>
      <c r="O2880" s="2"/>
      <c r="P2880" s="2"/>
    </row>
    <row r="2881" spans="2:16" ht="14.25">
      <c r="B2881" s="4"/>
      <c r="I2881" s="5"/>
      <c r="J2881" s="5"/>
      <c r="K2881" s="6"/>
      <c r="N2881" s="2"/>
      <c r="O2881" s="2"/>
      <c r="P2881" s="2"/>
    </row>
    <row r="2882" spans="2:16" ht="14.25">
      <c r="B2882" s="4"/>
      <c r="I2882" s="5"/>
      <c r="J2882" s="5"/>
      <c r="K2882" s="6"/>
      <c r="N2882" s="2"/>
      <c r="O2882" s="2"/>
      <c r="P2882" s="2"/>
    </row>
    <row r="2883" spans="2:16" ht="14.25">
      <c r="B2883" s="4"/>
      <c r="I2883" s="5"/>
      <c r="J2883" s="5"/>
      <c r="K2883" s="6"/>
      <c r="N2883" s="2"/>
      <c r="O2883" s="2"/>
      <c r="P2883" s="2"/>
    </row>
    <row r="2884" spans="2:16" ht="14.25">
      <c r="B2884" s="4"/>
      <c r="I2884" s="5"/>
      <c r="J2884" s="5"/>
      <c r="K2884" s="6"/>
      <c r="N2884" s="2"/>
      <c r="O2884" s="2"/>
      <c r="P2884" s="2"/>
    </row>
    <row r="2885" spans="2:16" ht="14.25">
      <c r="B2885" s="4"/>
      <c r="I2885" s="5"/>
      <c r="J2885" s="5"/>
      <c r="K2885" s="6"/>
      <c r="N2885" s="2"/>
      <c r="O2885" s="2"/>
      <c r="P2885" s="2"/>
    </row>
    <row r="2886" spans="2:16" ht="14.25">
      <c r="B2886" s="4"/>
      <c r="I2886" s="5"/>
      <c r="J2886" s="5"/>
      <c r="K2886" s="6"/>
      <c r="N2886" s="2"/>
      <c r="O2886" s="2"/>
      <c r="P2886" s="2"/>
    </row>
    <row r="2887" spans="2:16" ht="14.25">
      <c r="B2887" s="4"/>
      <c r="I2887" s="5"/>
      <c r="J2887" s="5"/>
      <c r="K2887" s="6"/>
      <c r="N2887" s="2"/>
      <c r="O2887" s="2"/>
      <c r="P2887" s="2"/>
    </row>
    <row r="2888" spans="2:16" ht="14.25">
      <c r="B2888" s="4"/>
      <c r="I2888" s="5"/>
      <c r="J2888" s="5"/>
      <c r="K2888" s="6"/>
      <c r="N2888" s="2"/>
      <c r="O2888" s="2"/>
      <c r="P2888" s="2"/>
    </row>
    <row r="2889" spans="2:16" ht="14.25">
      <c r="B2889" s="4"/>
      <c r="I2889" s="5"/>
      <c r="J2889" s="5"/>
      <c r="K2889" s="6"/>
      <c r="N2889" s="2"/>
      <c r="O2889" s="2"/>
      <c r="P2889" s="2"/>
    </row>
    <row r="2890" spans="2:16" ht="14.25">
      <c r="B2890" s="4"/>
      <c r="I2890" s="5"/>
      <c r="J2890" s="5"/>
      <c r="K2890" s="6"/>
      <c r="N2890" s="2"/>
      <c r="O2890" s="2"/>
      <c r="P2890" s="2"/>
    </row>
    <row r="2891" spans="2:16" ht="14.25">
      <c r="B2891" s="4"/>
      <c r="I2891" s="5"/>
      <c r="J2891" s="5"/>
      <c r="K2891" s="6"/>
      <c r="N2891" s="2"/>
      <c r="O2891" s="2"/>
      <c r="P2891" s="2"/>
    </row>
    <row r="2892" spans="2:16" ht="14.25">
      <c r="B2892" s="4"/>
      <c r="I2892" s="5"/>
      <c r="J2892" s="5"/>
      <c r="K2892" s="6"/>
      <c r="N2892" s="2"/>
      <c r="O2892" s="2"/>
      <c r="P2892" s="2"/>
    </row>
    <row r="2893" spans="2:16" ht="14.25">
      <c r="B2893" s="4"/>
      <c r="I2893" s="5"/>
      <c r="J2893" s="5"/>
      <c r="K2893" s="6"/>
      <c r="N2893" s="2"/>
      <c r="O2893" s="2"/>
      <c r="P2893" s="2"/>
    </row>
    <row r="2894" spans="2:16" ht="14.25">
      <c r="B2894" s="4"/>
      <c r="I2894" s="5"/>
      <c r="J2894" s="5"/>
      <c r="K2894" s="6"/>
      <c r="N2894" s="2"/>
      <c r="O2894" s="2"/>
      <c r="P2894" s="2"/>
    </row>
    <row r="2895" spans="2:16" ht="14.25">
      <c r="B2895" s="4"/>
      <c r="I2895" s="5"/>
      <c r="J2895" s="5"/>
      <c r="K2895" s="6"/>
      <c r="N2895" s="2"/>
      <c r="O2895" s="2"/>
      <c r="P2895" s="2"/>
    </row>
    <row r="2896" spans="2:16" ht="14.25">
      <c r="B2896" s="4"/>
      <c r="I2896" s="5"/>
      <c r="J2896" s="5"/>
      <c r="K2896" s="6"/>
      <c r="N2896" s="2"/>
      <c r="O2896" s="2"/>
      <c r="P2896" s="2"/>
    </row>
    <row r="2897" spans="2:16" ht="14.25">
      <c r="B2897" s="4"/>
      <c r="I2897" s="5"/>
      <c r="J2897" s="5"/>
      <c r="K2897" s="6"/>
      <c r="N2897" s="2"/>
      <c r="O2897" s="2"/>
      <c r="P2897" s="2"/>
    </row>
    <row r="2898" spans="2:16" ht="14.25">
      <c r="B2898" s="4"/>
      <c r="I2898" s="5"/>
      <c r="J2898" s="5"/>
      <c r="K2898" s="6"/>
      <c r="N2898" s="2"/>
      <c r="O2898" s="2"/>
      <c r="P2898" s="2"/>
    </row>
    <row r="2899" spans="2:16" ht="14.25">
      <c r="B2899" s="4"/>
      <c r="I2899" s="5"/>
      <c r="J2899" s="5"/>
      <c r="K2899" s="6"/>
      <c r="N2899" s="2"/>
      <c r="O2899" s="2"/>
      <c r="P2899" s="2"/>
    </row>
    <row r="2900" spans="2:16" ht="14.25">
      <c r="B2900" s="4"/>
      <c r="I2900" s="5"/>
      <c r="J2900" s="5"/>
      <c r="K2900" s="6"/>
      <c r="N2900" s="2"/>
      <c r="O2900" s="2"/>
      <c r="P2900" s="2"/>
    </row>
    <row r="2901" spans="2:16" ht="14.25">
      <c r="B2901" s="4"/>
      <c r="I2901" s="5"/>
      <c r="J2901" s="5"/>
      <c r="K2901" s="6"/>
      <c r="N2901" s="2"/>
      <c r="O2901" s="2"/>
      <c r="P2901" s="2"/>
    </row>
    <row r="2902" spans="2:16" ht="14.25">
      <c r="B2902" s="4"/>
      <c r="I2902" s="5"/>
      <c r="J2902" s="5"/>
      <c r="K2902" s="6"/>
      <c r="N2902" s="2"/>
      <c r="O2902" s="2"/>
      <c r="P2902" s="2"/>
    </row>
    <row r="2903" spans="2:16" ht="14.25">
      <c r="B2903" s="4"/>
      <c r="I2903" s="5"/>
      <c r="J2903" s="5"/>
      <c r="K2903" s="6"/>
      <c r="N2903" s="2"/>
      <c r="O2903" s="2"/>
      <c r="P2903" s="2"/>
    </row>
    <row r="2904" spans="2:16" ht="14.25">
      <c r="B2904" s="4"/>
      <c r="I2904" s="5"/>
      <c r="J2904" s="5"/>
      <c r="K2904" s="6"/>
      <c r="N2904" s="2"/>
      <c r="O2904" s="2"/>
      <c r="P2904" s="2"/>
    </row>
    <row r="2905" spans="2:16" ht="14.25">
      <c r="B2905" s="4"/>
      <c r="I2905" s="5"/>
      <c r="J2905" s="5"/>
      <c r="K2905" s="6"/>
      <c r="N2905" s="2"/>
      <c r="O2905" s="2"/>
      <c r="P2905" s="2"/>
    </row>
    <row r="2906" spans="2:16" ht="14.25">
      <c r="B2906" s="4"/>
      <c r="I2906" s="5"/>
      <c r="J2906" s="5"/>
      <c r="K2906" s="6"/>
      <c r="N2906" s="2"/>
      <c r="O2906" s="2"/>
      <c r="P2906" s="2"/>
    </row>
    <row r="2907" spans="2:16" ht="14.25">
      <c r="B2907" s="4"/>
      <c r="I2907" s="5"/>
      <c r="J2907" s="5"/>
      <c r="K2907" s="6"/>
      <c r="N2907" s="2"/>
      <c r="O2907" s="2"/>
      <c r="P2907" s="2"/>
    </row>
    <row r="2908" spans="2:16" ht="14.25">
      <c r="B2908" s="4"/>
      <c r="I2908" s="5"/>
      <c r="J2908" s="5"/>
      <c r="K2908" s="6"/>
      <c r="N2908" s="2"/>
      <c r="O2908" s="2"/>
      <c r="P2908" s="2"/>
    </row>
    <row r="2909" spans="2:16" ht="14.25">
      <c r="B2909" s="4"/>
      <c r="I2909" s="5"/>
      <c r="J2909" s="5"/>
      <c r="K2909" s="6"/>
      <c r="N2909" s="2"/>
      <c r="O2909" s="2"/>
      <c r="P2909" s="2"/>
    </row>
    <row r="2910" spans="2:16" ht="14.25">
      <c r="B2910" s="4"/>
      <c r="I2910" s="5"/>
      <c r="J2910" s="5"/>
      <c r="K2910" s="6"/>
      <c r="N2910" s="2"/>
      <c r="O2910" s="2"/>
      <c r="P2910" s="2"/>
    </row>
    <row r="2911" spans="2:16" ht="14.25">
      <c r="B2911" s="4"/>
      <c r="I2911" s="5"/>
      <c r="J2911" s="5"/>
      <c r="K2911" s="6"/>
      <c r="N2911" s="2"/>
      <c r="O2911" s="2"/>
      <c r="P2911" s="2"/>
    </row>
    <row r="2912" spans="2:16" ht="14.25">
      <c r="B2912" s="4"/>
      <c r="I2912" s="5"/>
      <c r="J2912" s="5"/>
      <c r="K2912" s="6"/>
      <c r="N2912" s="2"/>
      <c r="O2912" s="2"/>
      <c r="P2912" s="2"/>
    </row>
    <row r="2913" spans="2:16" ht="14.25">
      <c r="B2913" s="4"/>
      <c r="I2913" s="5"/>
      <c r="J2913" s="5"/>
      <c r="K2913" s="6"/>
      <c r="N2913" s="2"/>
      <c r="O2913" s="2"/>
      <c r="P2913" s="2"/>
    </row>
    <row r="2914" spans="2:16" ht="14.25">
      <c r="B2914" s="4"/>
      <c r="I2914" s="5"/>
      <c r="J2914" s="5"/>
      <c r="K2914" s="6"/>
      <c r="N2914" s="2"/>
      <c r="O2914" s="2"/>
      <c r="P2914" s="2"/>
    </row>
    <row r="2915" spans="2:16" ht="14.25">
      <c r="B2915" s="4"/>
      <c r="I2915" s="5"/>
      <c r="J2915" s="5"/>
      <c r="K2915" s="6"/>
      <c r="N2915" s="2"/>
      <c r="O2915" s="2"/>
      <c r="P2915" s="2"/>
    </row>
    <row r="2916" spans="2:16" ht="14.25">
      <c r="B2916" s="4"/>
      <c r="I2916" s="5"/>
      <c r="J2916" s="5"/>
      <c r="K2916" s="6"/>
      <c r="N2916" s="2"/>
      <c r="O2916" s="2"/>
      <c r="P2916" s="2"/>
    </row>
    <row r="2917" spans="2:16" ht="14.25">
      <c r="B2917" s="4"/>
      <c r="I2917" s="5"/>
      <c r="J2917" s="5"/>
      <c r="K2917" s="6"/>
      <c r="N2917" s="2"/>
      <c r="O2917" s="2"/>
      <c r="P2917" s="2"/>
    </row>
    <row r="2918" spans="2:16" ht="14.25">
      <c r="B2918" s="4"/>
      <c r="I2918" s="5"/>
      <c r="J2918" s="5"/>
      <c r="K2918" s="6"/>
      <c r="N2918" s="2"/>
      <c r="O2918" s="2"/>
      <c r="P2918" s="2"/>
    </row>
    <row r="2919" spans="2:16" ht="14.25">
      <c r="B2919" s="4"/>
      <c r="I2919" s="5"/>
      <c r="J2919" s="5"/>
      <c r="K2919" s="6"/>
      <c r="N2919" s="2"/>
      <c r="O2919" s="2"/>
      <c r="P2919" s="2"/>
    </row>
    <row r="2920" spans="2:16" ht="14.25">
      <c r="B2920" s="4"/>
      <c r="I2920" s="5"/>
      <c r="J2920" s="5"/>
      <c r="K2920" s="6"/>
      <c r="N2920" s="2"/>
      <c r="O2920" s="2"/>
      <c r="P2920" s="2"/>
    </row>
    <row r="2921" spans="2:16" ht="14.25">
      <c r="B2921" s="4"/>
      <c r="I2921" s="5"/>
      <c r="J2921" s="5"/>
      <c r="K2921" s="6"/>
      <c r="N2921" s="2"/>
      <c r="O2921" s="2"/>
      <c r="P2921" s="2"/>
    </row>
    <row r="2922" spans="2:16" ht="14.25">
      <c r="B2922" s="4"/>
      <c r="I2922" s="5"/>
      <c r="J2922" s="5"/>
      <c r="K2922" s="6"/>
      <c r="N2922" s="2"/>
      <c r="O2922" s="2"/>
      <c r="P2922" s="2"/>
    </row>
    <row r="2923" spans="2:16" ht="14.25">
      <c r="B2923" s="4"/>
      <c r="I2923" s="5"/>
      <c r="J2923" s="5"/>
      <c r="K2923" s="6"/>
      <c r="N2923" s="2"/>
      <c r="O2923" s="2"/>
      <c r="P2923" s="2"/>
    </row>
    <row r="2924" spans="2:16" ht="14.25">
      <c r="B2924" s="4"/>
      <c r="I2924" s="5"/>
      <c r="J2924" s="5"/>
      <c r="K2924" s="6"/>
      <c r="N2924" s="2"/>
      <c r="O2924" s="2"/>
      <c r="P2924" s="2"/>
    </row>
    <row r="2925" spans="2:16" ht="14.25">
      <c r="B2925" s="4"/>
      <c r="I2925" s="5"/>
      <c r="J2925" s="5"/>
      <c r="K2925" s="6"/>
      <c r="N2925" s="2"/>
      <c r="O2925" s="2"/>
      <c r="P2925" s="2"/>
    </row>
    <row r="2926" spans="2:16" ht="14.25">
      <c r="B2926" s="4"/>
      <c r="I2926" s="5"/>
      <c r="J2926" s="5"/>
      <c r="K2926" s="6"/>
      <c r="N2926" s="2"/>
      <c r="O2926" s="2"/>
      <c r="P2926" s="2"/>
    </row>
    <row r="2927" spans="2:16" ht="14.25">
      <c r="B2927" s="4"/>
      <c r="I2927" s="5"/>
      <c r="J2927" s="5"/>
      <c r="K2927" s="6"/>
      <c r="N2927" s="2"/>
      <c r="O2927" s="2"/>
      <c r="P2927" s="2"/>
    </row>
    <row r="2928" spans="2:16" ht="14.25">
      <c r="B2928" s="4"/>
      <c r="I2928" s="5"/>
      <c r="J2928" s="5"/>
      <c r="K2928" s="6"/>
      <c r="N2928" s="2"/>
      <c r="O2928" s="2"/>
      <c r="P2928" s="2"/>
    </row>
    <row r="2929" spans="2:16" ht="14.25">
      <c r="B2929" s="4"/>
      <c r="I2929" s="5"/>
      <c r="J2929" s="5"/>
      <c r="K2929" s="6"/>
      <c r="N2929" s="2"/>
      <c r="O2929" s="2"/>
      <c r="P2929" s="2"/>
    </row>
    <row r="2930" spans="2:16" ht="14.25">
      <c r="B2930" s="4"/>
      <c r="I2930" s="5"/>
      <c r="J2930" s="5"/>
      <c r="K2930" s="6"/>
      <c r="N2930" s="2"/>
      <c r="O2930" s="2"/>
      <c r="P2930" s="2"/>
    </row>
    <row r="2931" spans="2:16" ht="14.25">
      <c r="B2931" s="4"/>
      <c r="I2931" s="5"/>
      <c r="J2931" s="5"/>
      <c r="K2931" s="6"/>
      <c r="N2931" s="2"/>
      <c r="O2931" s="2"/>
      <c r="P2931" s="2"/>
    </row>
    <row r="2932" spans="2:16" ht="14.25">
      <c r="B2932" s="4"/>
      <c r="I2932" s="5"/>
      <c r="J2932" s="5"/>
      <c r="K2932" s="6"/>
      <c r="N2932" s="2"/>
      <c r="O2932" s="2"/>
      <c r="P2932" s="2"/>
    </row>
    <row r="2933" spans="2:16" ht="14.25">
      <c r="B2933" s="4"/>
      <c r="I2933" s="5"/>
      <c r="J2933" s="5"/>
      <c r="K2933" s="6"/>
      <c r="N2933" s="2"/>
      <c r="O2933" s="2"/>
      <c r="P2933" s="2"/>
    </row>
    <row r="2934" spans="2:16" ht="14.25">
      <c r="B2934" s="4"/>
      <c r="I2934" s="5"/>
      <c r="J2934" s="5"/>
      <c r="K2934" s="6"/>
      <c r="N2934" s="2"/>
      <c r="O2934" s="2"/>
      <c r="P2934" s="2"/>
    </row>
    <row r="2935" spans="2:16" ht="14.25">
      <c r="B2935" s="4"/>
      <c r="I2935" s="5"/>
      <c r="J2935" s="5"/>
      <c r="K2935" s="6"/>
      <c r="N2935" s="2"/>
      <c r="O2935" s="2"/>
      <c r="P2935" s="2"/>
    </row>
    <row r="2936" spans="2:16" ht="14.25">
      <c r="B2936" s="4"/>
      <c r="I2936" s="5"/>
      <c r="J2936" s="5"/>
      <c r="K2936" s="6"/>
      <c r="N2936" s="2"/>
      <c r="O2936" s="2"/>
      <c r="P2936" s="2"/>
    </row>
    <row r="2937" spans="2:16" ht="14.25">
      <c r="B2937" s="4"/>
      <c r="I2937" s="5"/>
      <c r="J2937" s="5"/>
      <c r="K2937" s="6"/>
      <c r="N2937" s="2"/>
      <c r="O2937" s="2"/>
      <c r="P2937" s="2"/>
    </row>
    <row r="2938" spans="2:16" ht="14.25">
      <c r="B2938" s="4"/>
      <c r="I2938" s="5"/>
      <c r="J2938" s="5"/>
      <c r="K2938" s="6"/>
      <c r="N2938" s="2"/>
      <c r="O2938" s="2"/>
      <c r="P2938" s="2"/>
    </row>
    <row r="2939" spans="2:16" ht="14.25">
      <c r="B2939" s="4"/>
      <c r="I2939" s="5"/>
      <c r="J2939" s="5"/>
      <c r="K2939" s="6"/>
      <c r="N2939" s="2"/>
      <c r="O2939" s="2"/>
      <c r="P2939" s="2"/>
    </row>
    <row r="2940" spans="2:16" ht="14.25">
      <c r="B2940" s="4"/>
      <c r="I2940" s="5"/>
      <c r="J2940" s="5"/>
      <c r="K2940" s="6"/>
      <c r="N2940" s="2"/>
      <c r="O2940" s="2"/>
      <c r="P2940" s="2"/>
    </row>
    <row r="2941" spans="2:16" ht="14.25">
      <c r="B2941" s="4"/>
      <c r="I2941" s="5"/>
      <c r="J2941" s="5"/>
      <c r="K2941" s="6"/>
      <c r="N2941" s="2"/>
      <c r="O2941" s="2"/>
      <c r="P2941" s="2"/>
    </row>
    <row r="2942" spans="2:16" ht="14.25">
      <c r="B2942" s="4"/>
      <c r="I2942" s="5"/>
      <c r="J2942" s="5"/>
      <c r="K2942" s="6"/>
      <c r="N2942" s="2"/>
      <c r="O2942" s="2"/>
      <c r="P2942" s="2"/>
    </row>
    <row r="2943" spans="2:16" ht="14.25">
      <c r="B2943" s="4"/>
      <c r="I2943" s="5"/>
      <c r="J2943" s="5"/>
      <c r="K2943" s="6"/>
      <c r="N2943" s="2"/>
      <c r="O2943" s="2"/>
      <c r="P2943" s="2"/>
    </row>
    <row r="2944" spans="2:16" ht="14.25">
      <c r="B2944" s="4"/>
      <c r="I2944" s="5"/>
      <c r="J2944" s="5"/>
      <c r="K2944" s="6"/>
      <c r="N2944" s="2"/>
      <c r="O2944" s="2"/>
      <c r="P2944" s="2"/>
    </row>
    <row r="2945" spans="2:16" ht="14.25">
      <c r="B2945" s="4"/>
      <c r="I2945" s="5"/>
      <c r="J2945" s="5"/>
      <c r="K2945" s="6"/>
      <c r="N2945" s="2"/>
      <c r="O2945" s="2"/>
      <c r="P2945" s="2"/>
    </row>
    <row r="2946" spans="2:16" ht="14.25">
      <c r="B2946" s="4"/>
      <c r="I2946" s="5"/>
      <c r="J2946" s="5"/>
      <c r="K2946" s="6"/>
      <c r="N2946" s="2"/>
      <c r="O2946" s="2"/>
      <c r="P2946" s="2"/>
    </row>
    <row r="2947" spans="2:16" ht="14.25">
      <c r="B2947" s="4"/>
      <c r="I2947" s="5"/>
      <c r="J2947" s="5"/>
      <c r="K2947" s="6"/>
      <c r="N2947" s="2"/>
      <c r="O2947" s="2"/>
      <c r="P2947" s="2"/>
    </row>
    <row r="2948" spans="2:16" ht="14.25">
      <c r="B2948" s="4"/>
      <c r="I2948" s="5"/>
      <c r="J2948" s="5"/>
      <c r="K2948" s="6"/>
      <c r="N2948" s="2"/>
      <c r="O2948" s="2"/>
      <c r="P2948" s="2"/>
    </row>
    <row r="2949" spans="2:16" ht="14.25">
      <c r="B2949" s="4"/>
      <c r="I2949" s="5"/>
      <c r="J2949" s="5"/>
      <c r="K2949" s="6"/>
      <c r="N2949" s="2"/>
      <c r="O2949" s="2"/>
      <c r="P2949" s="2"/>
    </row>
    <row r="2950" spans="2:16" ht="14.25">
      <c r="B2950" s="4"/>
      <c r="I2950" s="5"/>
      <c r="J2950" s="5"/>
      <c r="K2950" s="6"/>
      <c r="N2950" s="2"/>
      <c r="O2950" s="2"/>
      <c r="P2950" s="2"/>
    </row>
    <row r="2951" spans="2:16" ht="14.25">
      <c r="B2951" s="4"/>
      <c r="I2951" s="5"/>
      <c r="J2951" s="5"/>
      <c r="K2951" s="6"/>
      <c r="N2951" s="2"/>
      <c r="O2951" s="2"/>
      <c r="P2951" s="2"/>
    </row>
    <row r="2952" spans="2:16" ht="14.25">
      <c r="B2952" s="4"/>
      <c r="I2952" s="5"/>
      <c r="J2952" s="5"/>
      <c r="K2952" s="6"/>
      <c r="N2952" s="2"/>
      <c r="O2952" s="2"/>
      <c r="P2952" s="2"/>
    </row>
    <row r="2953" spans="2:16" ht="14.25">
      <c r="B2953" s="4"/>
      <c r="I2953" s="5"/>
      <c r="J2953" s="5"/>
      <c r="K2953" s="6"/>
      <c r="N2953" s="2"/>
      <c r="O2953" s="2"/>
      <c r="P2953" s="2"/>
    </row>
    <row r="2954" spans="2:16" ht="14.25">
      <c r="B2954" s="4"/>
      <c r="I2954" s="5"/>
      <c r="J2954" s="5"/>
      <c r="K2954" s="6"/>
      <c r="N2954" s="2"/>
      <c r="O2954" s="2"/>
      <c r="P2954" s="2"/>
    </row>
    <row r="2955" spans="2:16" ht="14.25">
      <c r="B2955" s="4"/>
      <c r="I2955" s="5"/>
      <c r="J2955" s="5"/>
      <c r="K2955" s="6"/>
      <c r="N2955" s="2"/>
      <c r="O2955" s="2"/>
      <c r="P2955" s="2"/>
    </row>
    <row r="2956" spans="2:16" ht="14.25">
      <c r="B2956" s="4"/>
      <c r="I2956" s="5"/>
      <c r="J2956" s="5"/>
      <c r="K2956" s="6"/>
      <c r="N2956" s="2"/>
      <c r="O2956" s="2"/>
      <c r="P2956" s="2"/>
    </row>
    <row r="2957" spans="2:16" ht="14.25">
      <c r="B2957" s="4"/>
      <c r="I2957" s="5"/>
      <c r="J2957" s="5"/>
      <c r="K2957" s="6"/>
      <c r="N2957" s="2"/>
      <c r="O2957" s="2"/>
      <c r="P2957" s="2"/>
    </row>
    <row r="2958" spans="2:16" ht="14.25">
      <c r="B2958" s="4"/>
      <c r="I2958" s="5"/>
      <c r="J2958" s="5"/>
      <c r="K2958" s="6"/>
      <c r="N2958" s="2"/>
      <c r="O2958" s="2"/>
      <c r="P2958" s="2"/>
    </row>
    <row r="2959" spans="2:16" ht="14.25">
      <c r="B2959" s="4"/>
      <c r="I2959" s="5"/>
      <c r="J2959" s="5"/>
      <c r="K2959" s="6"/>
      <c r="N2959" s="2"/>
      <c r="O2959" s="2"/>
      <c r="P2959" s="2"/>
    </row>
    <row r="2960" spans="2:16" ht="14.25">
      <c r="B2960" s="4"/>
      <c r="I2960" s="5"/>
      <c r="J2960" s="5"/>
      <c r="K2960" s="6"/>
      <c r="N2960" s="2"/>
      <c r="O2960" s="2"/>
      <c r="P2960" s="2"/>
    </row>
    <row r="2961" spans="2:16" ht="14.25">
      <c r="B2961" s="4"/>
      <c r="I2961" s="5"/>
      <c r="J2961" s="5"/>
      <c r="K2961" s="6"/>
      <c r="N2961" s="2"/>
      <c r="O2961" s="2"/>
      <c r="P2961" s="2"/>
    </row>
    <row r="2962" spans="2:16" ht="14.25">
      <c r="B2962" s="4"/>
      <c r="I2962" s="5"/>
      <c r="J2962" s="5"/>
      <c r="K2962" s="6"/>
      <c r="N2962" s="2"/>
      <c r="O2962" s="2"/>
      <c r="P2962" s="2"/>
    </row>
    <row r="2963" spans="2:16" ht="14.25">
      <c r="B2963" s="4"/>
      <c r="I2963" s="5"/>
      <c r="J2963" s="5"/>
      <c r="K2963" s="6"/>
      <c r="N2963" s="2"/>
      <c r="O2963" s="2"/>
      <c r="P2963" s="2"/>
    </row>
    <row r="2964" spans="2:16" ht="14.25">
      <c r="B2964" s="4"/>
      <c r="I2964" s="5"/>
      <c r="J2964" s="5"/>
      <c r="K2964" s="6"/>
      <c r="N2964" s="2"/>
      <c r="O2964" s="2"/>
      <c r="P2964" s="2"/>
    </row>
    <row r="2965" spans="2:16" ht="14.25">
      <c r="B2965" s="4"/>
      <c r="I2965" s="5"/>
      <c r="J2965" s="5"/>
      <c r="K2965" s="6"/>
      <c r="N2965" s="2"/>
      <c r="O2965" s="2"/>
      <c r="P2965" s="2"/>
    </row>
    <row r="2966" spans="2:16" ht="14.25">
      <c r="B2966" s="4"/>
      <c r="I2966" s="5"/>
      <c r="J2966" s="5"/>
      <c r="K2966" s="6"/>
      <c r="N2966" s="2"/>
      <c r="O2966" s="2"/>
      <c r="P2966" s="2"/>
    </row>
    <row r="2967" spans="2:16" ht="14.25">
      <c r="B2967" s="4"/>
      <c r="I2967" s="5"/>
      <c r="J2967" s="5"/>
      <c r="K2967" s="6"/>
      <c r="N2967" s="2"/>
      <c r="O2967" s="2"/>
      <c r="P2967" s="2"/>
    </row>
    <row r="2968" spans="2:16" ht="14.25">
      <c r="B2968" s="4"/>
      <c r="I2968" s="5"/>
      <c r="J2968" s="5"/>
      <c r="K2968" s="6"/>
      <c r="N2968" s="2"/>
      <c r="O2968" s="2"/>
      <c r="P2968" s="2"/>
    </row>
    <row r="2969" spans="2:16" ht="14.25">
      <c r="B2969" s="4"/>
      <c r="I2969" s="5"/>
      <c r="J2969" s="5"/>
      <c r="K2969" s="6"/>
      <c r="N2969" s="2"/>
      <c r="O2969" s="2"/>
      <c r="P2969" s="2"/>
    </row>
    <row r="2970" spans="2:16" ht="14.25">
      <c r="B2970" s="4"/>
      <c r="I2970" s="5"/>
      <c r="J2970" s="5"/>
      <c r="K2970" s="6"/>
      <c r="N2970" s="2"/>
      <c r="O2970" s="2"/>
      <c r="P2970" s="2"/>
    </row>
    <row r="2971" spans="2:16" ht="14.25">
      <c r="B2971" s="4"/>
      <c r="I2971" s="5"/>
      <c r="J2971" s="5"/>
      <c r="K2971" s="6"/>
      <c r="N2971" s="2"/>
      <c r="O2971" s="2"/>
      <c r="P2971" s="2"/>
    </row>
    <row r="2972" spans="2:16" ht="14.25">
      <c r="B2972" s="4"/>
      <c r="I2972" s="5"/>
      <c r="J2972" s="5"/>
      <c r="K2972" s="6"/>
      <c r="N2972" s="2"/>
      <c r="O2972" s="2"/>
      <c r="P2972" s="2"/>
    </row>
    <row r="2973" spans="2:16" ht="14.25">
      <c r="B2973" s="4"/>
      <c r="I2973" s="5"/>
      <c r="J2973" s="5"/>
      <c r="K2973" s="6"/>
      <c r="N2973" s="2"/>
      <c r="O2973" s="2"/>
      <c r="P2973" s="2"/>
    </row>
    <row r="2974" spans="2:16" ht="14.25">
      <c r="B2974" s="4"/>
      <c r="I2974" s="5"/>
      <c r="J2974" s="5"/>
      <c r="K2974" s="6"/>
      <c r="N2974" s="2"/>
      <c r="O2974" s="2"/>
      <c r="P2974" s="2"/>
    </row>
    <row r="2975" spans="2:16" ht="14.25">
      <c r="B2975" s="4"/>
      <c r="I2975" s="5"/>
      <c r="J2975" s="5"/>
      <c r="K2975" s="6"/>
      <c r="N2975" s="2"/>
      <c r="O2975" s="2"/>
      <c r="P2975" s="2"/>
    </row>
    <row r="2976" spans="2:16" ht="14.25">
      <c r="B2976" s="4"/>
      <c r="I2976" s="5"/>
      <c r="J2976" s="5"/>
      <c r="K2976" s="6"/>
      <c r="N2976" s="2"/>
      <c r="O2976" s="2"/>
      <c r="P2976" s="2"/>
    </row>
    <row r="2977" spans="2:16" ht="14.25">
      <c r="B2977" s="4"/>
      <c r="I2977" s="5"/>
      <c r="J2977" s="5"/>
      <c r="K2977" s="6"/>
      <c r="N2977" s="2"/>
      <c r="O2977" s="2"/>
      <c r="P2977" s="2"/>
    </row>
    <row r="2978" spans="2:16" ht="14.25">
      <c r="B2978" s="4"/>
      <c r="I2978" s="5"/>
      <c r="J2978" s="5"/>
      <c r="K2978" s="6"/>
      <c r="N2978" s="2"/>
      <c r="O2978" s="2"/>
      <c r="P2978" s="2"/>
    </row>
    <row r="2979" spans="2:16" ht="14.25">
      <c r="B2979" s="4"/>
      <c r="I2979" s="5"/>
      <c r="J2979" s="5"/>
      <c r="K2979" s="6"/>
      <c r="N2979" s="2"/>
      <c r="O2979" s="2"/>
      <c r="P2979" s="2"/>
    </row>
    <row r="2980" spans="2:16" ht="14.25">
      <c r="B2980" s="4"/>
      <c r="I2980" s="5"/>
      <c r="J2980" s="5"/>
      <c r="K2980" s="6"/>
      <c r="N2980" s="2"/>
      <c r="O2980" s="2"/>
      <c r="P2980" s="2"/>
    </row>
    <row r="2981" spans="2:16" ht="14.25">
      <c r="B2981" s="4"/>
      <c r="I2981" s="5"/>
      <c r="J2981" s="5"/>
      <c r="K2981" s="6"/>
      <c r="N2981" s="2"/>
      <c r="O2981" s="2"/>
      <c r="P2981" s="2"/>
    </row>
    <row r="2982" spans="2:16" ht="14.25">
      <c r="B2982" s="4"/>
      <c r="I2982" s="5"/>
      <c r="J2982" s="5"/>
      <c r="K2982" s="6"/>
      <c r="N2982" s="2"/>
      <c r="O2982" s="2"/>
      <c r="P2982" s="2"/>
    </row>
    <row r="2983" spans="2:16" ht="14.25">
      <c r="B2983" s="4"/>
      <c r="I2983" s="5"/>
      <c r="J2983" s="5"/>
      <c r="K2983" s="6"/>
      <c r="N2983" s="2"/>
      <c r="O2983" s="2"/>
      <c r="P2983" s="2"/>
    </row>
    <row r="2984" spans="2:16" ht="14.25">
      <c r="B2984" s="4"/>
      <c r="I2984" s="5"/>
      <c r="J2984" s="5"/>
      <c r="K2984" s="6"/>
      <c r="N2984" s="2"/>
      <c r="O2984" s="2"/>
      <c r="P2984" s="2"/>
    </row>
    <row r="2985" spans="2:16" ht="14.25">
      <c r="B2985" s="4"/>
      <c r="I2985" s="5"/>
      <c r="J2985" s="5"/>
      <c r="K2985" s="6"/>
      <c r="N2985" s="2"/>
      <c r="O2985" s="2"/>
      <c r="P2985" s="2"/>
    </row>
    <row r="2986" spans="2:16" ht="14.25">
      <c r="B2986" s="4"/>
      <c r="I2986" s="5"/>
      <c r="J2986" s="5"/>
      <c r="K2986" s="6"/>
      <c r="N2986" s="2"/>
      <c r="O2986" s="2"/>
      <c r="P2986" s="2"/>
    </row>
    <row r="2987" spans="2:16" ht="14.25">
      <c r="B2987" s="4"/>
      <c r="I2987" s="5"/>
      <c r="J2987" s="5"/>
      <c r="K2987" s="6"/>
      <c r="N2987" s="2"/>
      <c r="O2987" s="2"/>
      <c r="P2987" s="2"/>
    </row>
    <row r="2988" spans="2:16" ht="14.25">
      <c r="B2988" s="4"/>
      <c r="I2988" s="5"/>
      <c r="J2988" s="5"/>
      <c r="K2988" s="6"/>
      <c r="N2988" s="2"/>
      <c r="O2988" s="2"/>
      <c r="P2988" s="2"/>
    </row>
    <row r="2989" spans="2:16" ht="14.25">
      <c r="B2989" s="4"/>
      <c r="I2989" s="5"/>
      <c r="J2989" s="5"/>
      <c r="K2989" s="6"/>
      <c r="N2989" s="2"/>
      <c r="O2989" s="2"/>
      <c r="P2989" s="2"/>
    </row>
    <row r="2990" spans="2:16" ht="14.25">
      <c r="B2990" s="4"/>
      <c r="I2990" s="5"/>
      <c r="J2990" s="5"/>
      <c r="K2990" s="6"/>
      <c r="N2990" s="2"/>
      <c r="O2990" s="2"/>
      <c r="P2990" s="2"/>
    </row>
    <row r="2991" spans="2:16" ht="14.25">
      <c r="B2991" s="4"/>
      <c r="I2991" s="5"/>
      <c r="J2991" s="5"/>
      <c r="K2991" s="6"/>
      <c r="N2991" s="2"/>
      <c r="O2991" s="2"/>
      <c r="P2991" s="2"/>
    </row>
    <row r="2992" spans="2:16" ht="14.25">
      <c r="B2992" s="4"/>
      <c r="I2992" s="5"/>
      <c r="J2992" s="5"/>
      <c r="K2992" s="6"/>
      <c r="N2992" s="2"/>
      <c r="O2992" s="2"/>
      <c r="P2992" s="2"/>
    </row>
    <row r="2993" spans="2:16" ht="14.25">
      <c r="B2993" s="4"/>
      <c r="I2993" s="5"/>
      <c r="J2993" s="5"/>
      <c r="K2993" s="6"/>
      <c r="N2993" s="2"/>
      <c r="O2993" s="2"/>
      <c r="P2993" s="2"/>
    </row>
    <row r="2994" spans="2:16" ht="14.25">
      <c r="B2994" s="4"/>
      <c r="I2994" s="5"/>
      <c r="J2994" s="5"/>
      <c r="K2994" s="6"/>
      <c r="N2994" s="2"/>
      <c r="O2994" s="2"/>
      <c r="P2994" s="2"/>
    </row>
    <row r="2995" spans="2:16" ht="14.25">
      <c r="B2995" s="4"/>
      <c r="I2995" s="5"/>
      <c r="J2995" s="5"/>
      <c r="K2995" s="6"/>
      <c r="N2995" s="2"/>
      <c r="O2995" s="2"/>
      <c r="P2995" s="2"/>
    </row>
    <row r="2996" spans="2:16" ht="14.25">
      <c r="B2996" s="4"/>
      <c r="I2996" s="5"/>
      <c r="J2996" s="5"/>
      <c r="K2996" s="6"/>
      <c r="N2996" s="2"/>
      <c r="O2996" s="2"/>
      <c r="P2996" s="2"/>
    </row>
    <row r="2997" spans="2:16" ht="14.25">
      <c r="B2997" s="4"/>
      <c r="I2997" s="5"/>
      <c r="J2997" s="5"/>
      <c r="K2997" s="6"/>
      <c r="N2997" s="2"/>
      <c r="O2997" s="2"/>
      <c r="P2997" s="2"/>
    </row>
    <row r="2998" spans="2:16" ht="14.25">
      <c r="B2998" s="4"/>
      <c r="I2998" s="5"/>
      <c r="J2998" s="5"/>
      <c r="K2998" s="6"/>
      <c r="N2998" s="2"/>
      <c r="O2998" s="2"/>
      <c r="P2998" s="2"/>
    </row>
    <row r="2999" spans="2:16" ht="14.25">
      <c r="B2999" s="4"/>
      <c r="I2999" s="5"/>
      <c r="J2999" s="5"/>
      <c r="K2999" s="6"/>
      <c r="N2999" s="2"/>
      <c r="O2999" s="2"/>
      <c r="P2999" s="2"/>
    </row>
    <row r="3000" spans="2:16" ht="14.25">
      <c r="B3000" s="4"/>
      <c r="I3000" s="5"/>
      <c r="J3000" s="5"/>
      <c r="K3000" s="6"/>
      <c r="N3000" s="2"/>
      <c r="O3000" s="2"/>
      <c r="P3000" s="2"/>
    </row>
    <row r="3001" spans="2:16" ht="14.25">
      <c r="B3001" s="4"/>
      <c r="I3001" s="5"/>
      <c r="J3001" s="5"/>
      <c r="K3001" s="6"/>
      <c r="N3001" s="2"/>
      <c r="O3001" s="2"/>
      <c r="P3001" s="2"/>
    </row>
    <row r="3002" spans="2:16" ht="14.25">
      <c r="B3002" s="4"/>
      <c r="I3002" s="5"/>
      <c r="J3002" s="5"/>
      <c r="K3002" s="6"/>
      <c r="N3002" s="2"/>
      <c r="O3002" s="2"/>
      <c r="P3002" s="2"/>
    </row>
    <row r="3003" spans="2:16" ht="14.25">
      <c r="B3003" s="4"/>
      <c r="I3003" s="5"/>
      <c r="J3003" s="5"/>
      <c r="K3003" s="6"/>
      <c r="N3003" s="2"/>
      <c r="O3003" s="2"/>
      <c r="P3003" s="2"/>
    </row>
    <row r="3004" spans="2:16" ht="14.25">
      <c r="B3004" s="4"/>
      <c r="I3004" s="5"/>
      <c r="J3004" s="5"/>
      <c r="K3004" s="6"/>
      <c r="N3004" s="2"/>
      <c r="O3004" s="2"/>
      <c r="P3004" s="2"/>
    </row>
    <row r="3005" spans="2:16" ht="14.25">
      <c r="B3005" s="4"/>
      <c r="I3005" s="5"/>
      <c r="J3005" s="5"/>
      <c r="K3005" s="6"/>
      <c r="N3005" s="2"/>
      <c r="O3005" s="2"/>
      <c r="P3005" s="2"/>
    </row>
    <row r="3006" spans="2:16" ht="14.25">
      <c r="B3006" s="4"/>
      <c r="I3006" s="5"/>
      <c r="J3006" s="5"/>
      <c r="K3006" s="6"/>
      <c r="N3006" s="2"/>
      <c r="O3006" s="2"/>
      <c r="P3006" s="2"/>
    </row>
    <row r="3007" spans="2:16" ht="14.25">
      <c r="B3007" s="4"/>
      <c r="I3007" s="5"/>
      <c r="J3007" s="5"/>
      <c r="K3007" s="6"/>
      <c r="N3007" s="2"/>
      <c r="O3007" s="2"/>
      <c r="P3007" s="2"/>
    </row>
    <row r="3008" spans="2:16" ht="14.25">
      <c r="B3008" s="4"/>
      <c r="I3008" s="5"/>
      <c r="J3008" s="5"/>
      <c r="K3008" s="6"/>
      <c r="N3008" s="2"/>
      <c r="O3008" s="2"/>
      <c r="P3008" s="2"/>
    </row>
    <row r="3009" spans="2:16" ht="14.25">
      <c r="B3009" s="4"/>
      <c r="I3009" s="5"/>
      <c r="J3009" s="5"/>
      <c r="K3009" s="6"/>
      <c r="N3009" s="2"/>
      <c r="O3009" s="2"/>
      <c r="P3009" s="2"/>
    </row>
    <row r="3010" spans="2:16" ht="14.25">
      <c r="B3010" s="4"/>
      <c r="I3010" s="5"/>
      <c r="J3010" s="5"/>
      <c r="K3010" s="6"/>
      <c r="N3010" s="2"/>
      <c r="O3010" s="2"/>
      <c r="P3010" s="2"/>
    </row>
    <row r="3011" spans="2:16" ht="14.25">
      <c r="B3011" s="4"/>
      <c r="I3011" s="5"/>
      <c r="J3011" s="5"/>
      <c r="K3011" s="6"/>
      <c r="N3011" s="2"/>
      <c r="O3011" s="2"/>
      <c r="P3011" s="2"/>
    </row>
    <row r="3012" spans="2:16" ht="14.25">
      <c r="B3012" s="4"/>
      <c r="I3012" s="5"/>
      <c r="J3012" s="5"/>
      <c r="K3012" s="6"/>
      <c r="N3012" s="2"/>
      <c r="O3012" s="2"/>
      <c r="P3012" s="2"/>
    </row>
    <row r="3013" spans="2:16" ht="14.25">
      <c r="B3013" s="4"/>
      <c r="I3013" s="5"/>
      <c r="J3013" s="5"/>
      <c r="K3013" s="6"/>
      <c r="N3013" s="2"/>
      <c r="O3013" s="2"/>
      <c r="P3013" s="2"/>
    </row>
    <row r="3014" spans="2:16" ht="14.25">
      <c r="B3014" s="4"/>
      <c r="I3014" s="5"/>
      <c r="J3014" s="5"/>
      <c r="K3014" s="6"/>
      <c r="N3014" s="2"/>
      <c r="O3014" s="2"/>
      <c r="P3014" s="2"/>
    </row>
    <row r="3015" spans="2:16" ht="14.25">
      <c r="B3015" s="4"/>
      <c r="I3015" s="5"/>
      <c r="J3015" s="5"/>
      <c r="K3015" s="6"/>
      <c r="N3015" s="2"/>
      <c r="O3015" s="2"/>
      <c r="P3015" s="2"/>
    </row>
    <row r="3016" spans="2:16" ht="14.25">
      <c r="B3016" s="4"/>
      <c r="I3016" s="5"/>
      <c r="J3016" s="5"/>
      <c r="K3016" s="6"/>
      <c r="N3016" s="2"/>
      <c r="O3016" s="2"/>
      <c r="P3016" s="2"/>
    </row>
    <row r="3017" spans="2:16" ht="14.25">
      <c r="B3017" s="4"/>
      <c r="I3017" s="5"/>
      <c r="J3017" s="5"/>
      <c r="K3017" s="6"/>
      <c r="N3017" s="2"/>
      <c r="O3017" s="2"/>
      <c r="P3017" s="2"/>
    </row>
    <row r="3018" spans="2:16" ht="14.25">
      <c r="B3018" s="4"/>
      <c r="I3018" s="5"/>
      <c r="J3018" s="5"/>
      <c r="K3018" s="6"/>
      <c r="N3018" s="2"/>
      <c r="O3018" s="2"/>
      <c r="P3018" s="2"/>
    </row>
    <row r="3019" spans="2:16" ht="14.25">
      <c r="B3019" s="4"/>
      <c r="I3019" s="5"/>
      <c r="J3019" s="5"/>
      <c r="K3019" s="6"/>
      <c r="N3019" s="2"/>
      <c r="O3019" s="2"/>
      <c r="P3019" s="2"/>
    </row>
    <row r="3020" spans="2:16" ht="14.25">
      <c r="B3020" s="4"/>
      <c r="I3020" s="5"/>
      <c r="J3020" s="5"/>
      <c r="K3020" s="6"/>
      <c r="N3020" s="2"/>
      <c r="O3020" s="2"/>
      <c r="P3020" s="2"/>
    </row>
    <row r="3021" spans="2:16" ht="14.25">
      <c r="B3021" s="4"/>
      <c r="I3021" s="5"/>
      <c r="J3021" s="5"/>
      <c r="K3021" s="6"/>
      <c r="N3021" s="2"/>
      <c r="O3021" s="2"/>
      <c r="P3021" s="2"/>
    </row>
    <row r="3022" spans="2:16" ht="14.25">
      <c r="B3022" s="4"/>
      <c r="I3022" s="5"/>
      <c r="J3022" s="5"/>
      <c r="K3022" s="6"/>
      <c r="N3022" s="2"/>
      <c r="O3022" s="2"/>
      <c r="P3022" s="2"/>
    </row>
    <row r="3023" spans="2:16" ht="14.25">
      <c r="B3023" s="4"/>
      <c r="I3023" s="5"/>
      <c r="J3023" s="5"/>
      <c r="K3023" s="6"/>
      <c r="N3023" s="2"/>
      <c r="O3023" s="2"/>
      <c r="P3023" s="2"/>
    </row>
    <row r="3024" spans="2:16" ht="14.25">
      <c r="B3024" s="4"/>
      <c r="I3024" s="5"/>
      <c r="J3024" s="5"/>
      <c r="K3024" s="6"/>
      <c r="N3024" s="2"/>
      <c r="O3024" s="2"/>
      <c r="P3024" s="2"/>
    </row>
    <row r="3025" spans="2:16" ht="14.25">
      <c r="B3025" s="4"/>
      <c r="I3025" s="5"/>
      <c r="J3025" s="5"/>
      <c r="K3025" s="6"/>
      <c r="N3025" s="2"/>
      <c r="O3025" s="2"/>
      <c r="P3025" s="2"/>
    </row>
    <row r="3026" spans="2:16" ht="14.25">
      <c r="B3026" s="4"/>
      <c r="I3026" s="5"/>
      <c r="J3026" s="5"/>
      <c r="K3026" s="6"/>
      <c r="N3026" s="2"/>
      <c r="O3026" s="2"/>
      <c r="P3026" s="2"/>
    </row>
    <row r="3027" spans="2:16" ht="14.25">
      <c r="B3027" s="4"/>
      <c r="I3027" s="5"/>
      <c r="J3027" s="5"/>
      <c r="K3027" s="6"/>
      <c r="N3027" s="2"/>
      <c r="O3027" s="2"/>
      <c r="P3027" s="2"/>
    </row>
    <row r="3028" spans="2:16" ht="14.25">
      <c r="B3028" s="4"/>
      <c r="I3028" s="5"/>
      <c r="J3028" s="5"/>
      <c r="K3028" s="6"/>
      <c r="N3028" s="2"/>
      <c r="O3028" s="2"/>
      <c r="P3028" s="2"/>
    </row>
    <row r="3029" spans="2:16" ht="14.25">
      <c r="B3029" s="4"/>
      <c r="I3029" s="5"/>
      <c r="J3029" s="5"/>
      <c r="K3029" s="6"/>
      <c r="N3029" s="2"/>
      <c r="O3029" s="2"/>
      <c r="P3029" s="2"/>
    </row>
    <row r="3030" spans="2:16" ht="14.25">
      <c r="B3030" s="4"/>
      <c r="I3030" s="5"/>
      <c r="J3030" s="5"/>
      <c r="K3030" s="6"/>
      <c r="N3030" s="2"/>
      <c r="O3030" s="2"/>
      <c r="P3030" s="2"/>
    </row>
    <row r="3031" spans="2:16" ht="14.25">
      <c r="B3031" s="4"/>
      <c r="I3031" s="5"/>
      <c r="J3031" s="5"/>
      <c r="K3031" s="6"/>
      <c r="N3031" s="2"/>
      <c r="O3031" s="2"/>
      <c r="P3031" s="2"/>
    </row>
    <row r="3032" spans="2:16" ht="14.25">
      <c r="B3032" s="4"/>
      <c r="I3032" s="5"/>
      <c r="J3032" s="5"/>
      <c r="K3032" s="6"/>
      <c r="N3032" s="2"/>
      <c r="O3032" s="2"/>
      <c r="P3032" s="2"/>
    </row>
    <row r="3033" spans="2:16" ht="14.25">
      <c r="B3033" s="4"/>
      <c r="I3033" s="5"/>
      <c r="J3033" s="5"/>
      <c r="K3033" s="6"/>
      <c r="N3033" s="2"/>
      <c r="O3033" s="2"/>
      <c r="P3033" s="2"/>
    </row>
    <row r="3034" spans="2:16" ht="14.25">
      <c r="B3034" s="4"/>
      <c r="I3034" s="5"/>
      <c r="J3034" s="5"/>
      <c r="K3034" s="6"/>
      <c r="N3034" s="2"/>
      <c r="O3034" s="2"/>
      <c r="P3034" s="2"/>
    </row>
    <row r="3035" spans="2:16" ht="14.25">
      <c r="B3035" s="4"/>
      <c r="I3035" s="5"/>
      <c r="J3035" s="5"/>
      <c r="K3035" s="6"/>
      <c r="N3035" s="2"/>
      <c r="O3035" s="2"/>
      <c r="P3035" s="2"/>
    </row>
    <row r="3036" spans="2:16" ht="14.25">
      <c r="B3036" s="4"/>
      <c r="I3036" s="5"/>
      <c r="J3036" s="5"/>
      <c r="K3036" s="6"/>
      <c r="N3036" s="2"/>
      <c r="O3036" s="2"/>
      <c r="P3036" s="2"/>
    </row>
    <row r="3037" spans="2:16" ht="14.25">
      <c r="B3037" s="4"/>
      <c r="I3037" s="5"/>
      <c r="J3037" s="5"/>
      <c r="K3037" s="6"/>
      <c r="N3037" s="2"/>
      <c r="O3037" s="2"/>
      <c r="P3037" s="2"/>
    </row>
    <row r="3038" spans="2:16" ht="14.25">
      <c r="B3038" s="4"/>
      <c r="I3038" s="5"/>
      <c r="J3038" s="5"/>
      <c r="K3038" s="6"/>
      <c r="N3038" s="2"/>
      <c r="O3038" s="2"/>
      <c r="P3038" s="2"/>
    </row>
    <row r="3039" spans="2:16" ht="14.25">
      <c r="B3039" s="4"/>
      <c r="I3039" s="5"/>
      <c r="J3039" s="5"/>
      <c r="K3039" s="6"/>
      <c r="N3039" s="2"/>
      <c r="O3039" s="2"/>
      <c r="P3039" s="2"/>
    </row>
    <row r="3040" spans="2:16" ht="14.25">
      <c r="B3040" s="4"/>
      <c r="I3040" s="5"/>
      <c r="J3040" s="5"/>
      <c r="K3040" s="6"/>
      <c r="N3040" s="2"/>
      <c r="O3040" s="2"/>
      <c r="P3040" s="2"/>
    </row>
    <row r="3041" spans="2:16" ht="14.25">
      <c r="B3041" s="4"/>
      <c r="I3041" s="5"/>
      <c r="J3041" s="5"/>
      <c r="K3041" s="6"/>
      <c r="N3041" s="2"/>
      <c r="O3041" s="2"/>
      <c r="P3041" s="2"/>
    </row>
    <row r="3042" spans="2:16" ht="14.25">
      <c r="B3042" s="4"/>
      <c r="I3042" s="5"/>
      <c r="J3042" s="5"/>
      <c r="K3042" s="6"/>
      <c r="N3042" s="2"/>
      <c r="O3042" s="2"/>
      <c r="P3042" s="2"/>
    </row>
    <row r="3043" spans="2:16" ht="14.25">
      <c r="B3043" s="4"/>
      <c r="I3043" s="5"/>
      <c r="J3043" s="5"/>
      <c r="K3043" s="6"/>
      <c r="N3043" s="2"/>
      <c r="O3043" s="2"/>
      <c r="P3043" s="2"/>
    </row>
    <row r="3044" spans="2:16" ht="14.25">
      <c r="B3044" s="4"/>
      <c r="I3044" s="5"/>
      <c r="J3044" s="5"/>
      <c r="K3044" s="6"/>
      <c r="N3044" s="2"/>
      <c r="O3044" s="2"/>
      <c r="P3044" s="2"/>
    </row>
    <row r="3045" spans="2:16" ht="14.25">
      <c r="B3045" s="4"/>
      <c r="I3045" s="5"/>
      <c r="J3045" s="5"/>
      <c r="K3045" s="6"/>
      <c r="N3045" s="2"/>
      <c r="O3045" s="2"/>
      <c r="P3045" s="2"/>
    </row>
    <row r="3046" spans="2:16" ht="14.25">
      <c r="B3046" s="4"/>
      <c r="I3046" s="5"/>
      <c r="J3046" s="5"/>
      <c r="K3046" s="6"/>
      <c r="N3046" s="2"/>
      <c r="O3046" s="2"/>
      <c r="P3046" s="2"/>
    </row>
    <row r="3047" spans="2:16" ht="14.25">
      <c r="B3047" s="4"/>
      <c r="I3047" s="5"/>
      <c r="J3047" s="5"/>
      <c r="K3047" s="6"/>
      <c r="N3047" s="2"/>
      <c r="O3047" s="2"/>
      <c r="P3047" s="2"/>
    </row>
    <row r="3048" spans="2:16" ht="14.25">
      <c r="B3048" s="4"/>
      <c r="I3048" s="5"/>
      <c r="J3048" s="5"/>
      <c r="K3048" s="6"/>
      <c r="N3048" s="2"/>
      <c r="O3048" s="2"/>
      <c r="P3048" s="2"/>
    </row>
    <row r="3049" spans="2:16" ht="14.25">
      <c r="B3049" s="4"/>
      <c r="I3049" s="5"/>
      <c r="J3049" s="5"/>
      <c r="K3049" s="6"/>
      <c r="N3049" s="2"/>
      <c r="O3049" s="2"/>
      <c r="P3049" s="2"/>
    </row>
    <row r="3050" spans="2:16" ht="14.25">
      <c r="B3050" s="4"/>
      <c r="I3050" s="5"/>
      <c r="J3050" s="5"/>
      <c r="K3050" s="6"/>
      <c r="N3050" s="2"/>
      <c r="O3050" s="2"/>
      <c r="P3050" s="2"/>
    </row>
    <row r="3051" spans="2:16" ht="14.25">
      <c r="B3051" s="4"/>
      <c r="I3051" s="5"/>
      <c r="J3051" s="5"/>
      <c r="K3051" s="6"/>
      <c r="N3051" s="2"/>
      <c r="O3051" s="2"/>
      <c r="P3051" s="2"/>
    </row>
    <row r="3052" spans="2:16" ht="14.25">
      <c r="B3052" s="4"/>
      <c r="I3052" s="5"/>
      <c r="J3052" s="5"/>
      <c r="K3052" s="6"/>
      <c r="N3052" s="2"/>
      <c r="O3052" s="2"/>
      <c r="P3052" s="2"/>
    </row>
    <row r="3053" spans="2:16" ht="14.25">
      <c r="B3053" s="4"/>
      <c r="I3053" s="5"/>
      <c r="J3053" s="5"/>
      <c r="K3053" s="6"/>
      <c r="N3053" s="2"/>
      <c r="O3053" s="2"/>
      <c r="P3053" s="2"/>
    </row>
    <row r="3054" spans="2:16" ht="14.25">
      <c r="B3054" s="4"/>
      <c r="I3054" s="5"/>
      <c r="J3054" s="5"/>
      <c r="K3054" s="6"/>
      <c r="N3054" s="2"/>
      <c r="O3054" s="2"/>
      <c r="P3054" s="2"/>
    </row>
    <row r="3055" spans="2:16" ht="14.25">
      <c r="B3055" s="4"/>
      <c r="I3055" s="5"/>
      <c r="J3055" s="5"/>
      <c r="K3055" s="6"/>
      <c r="N3055" s="2"/>
      <c r="O3055" s="2"/>
      <c r="P3055" s="2"/>
    </row>
    <row r="3056" spans="2:16" ht="14.25">
      <c r="B3056" s="4"/>
      <c r="I3056" s="5"/>
      <c r="J3056" s="5"/>
      <c r="K3056" s="6"/>
      <c r="N3056" s="2"/>
      <c r="O3056" s="2"/>
      <c r="P3056" s="2"/>
    </row>
    <row r="3057" spans="2:16" ht="14.25">
      <c r="B3057" s="4"/>
      <c r="I3057" s="5"/>
      <c r="J3057" s="5"/>
      <c r="K3057" s="6"/>
      <c r="N3057" s="2"/>
      <c r="O3057" s="2"/>
      <c r="P3057" s="2"/>
    </row>
    <row r="3058" spans="2:16" ht="14.25">
      <c r="B3058" s="4"/>
      <c r="I3058" s="5"/>
      <c r="J3058" s="5"/>
      <c r="K3058" s="6"/>
      <c r="N3058" s="2"/>
      <c r="O3058" s="2"/>
      <c r="P3058" s="2"/>
    </row>
    <row r="3059" spans="2:16" ht="14.25">
      <c r="B3059" s="4"/>
      <c r="I3059" s="5"/>
      <c r="J3059" s="5"/>
      <c r="K3059" s="6"/>
      <c r="N3059" s="2"/>
      <c r="O3059" s="2"/>
      <c r="P3059" s="2"/>
    </row>
    <row r="3060" spans="2:16" ht="14.25">
      <c r="B3060" s="4"/>
      <c r="I3060" s="5"/>
      <c r="J3060" s="5"/>
      <c r="K3060" s="6"/>
      <c r="N3060" s="2"/>
      <c r="O3060" s="2"/>
      <c r="P3060" s="2"/>
    </row>
    <row r="3061" spans="2:16" ht="14.25">
      <c r="B3061" s="4"/>
      <c r="I3061" s="5"/>
      <c r="J3061" s="5"/>
      <c r="K3061" s="6"/>
      <c r="N3061" s="2"/>
      <c r="O3061" s="2"/>
      <c r="P3061" s="2"/>
    </row>
    <row r="3062" spans="2:16" ht="14.25">
      <c r="B3062" s="4"/>
      <c r="I3062" s="5"/>
      <c r="J3062" s="5"/>
      <c r="K3062" s="6"/>
      <c r="N3062" s="2"/>
      <c r="O3062" s="2"/>
      <c r="P3062" s="2"/>
    </row>
    <row r="3063" spans="2:16" ht="14.25">
      <c r="B3063" s="4"/>
      <c r="I3063" s="5"/>
      <c r="J3063" s="5"/>
      <c r="K3063" s="6"/>
      <c r="N3063" s="2"/>
      <c r="O3063" s="2"/>
      <c r="P3063" s="2"/>
    </row>
    <row r="3064" spans="2:16" ht="14.25">
      <c r="B3064" s="4"/>
      <c r="I3064" s="5"/>
      <c r="J3064" s="5"/>
      <c r="K3064" s="6"/>
      <c r="N3064" s="2"/>
      <c r="O3064" s="2"/>
      <c r="P3064" s="2"/>
    </row>
    <row r="3065" spans="2:16" ht="14.25">
      <c r="B3065" s="4"/>
      <c r="I3065" s="5"/>
      <c r="J3065" s="5"/>
      <c r="K3065" s="6"/>
      <c r="N3065" s="2"/>
      <c r="O3065" s="2"/>
      <c r="P3065" s="2"/>
    </row>
    <row r="3066" spans="2:16" ht="14.25">
      <c r="B3066" s="4"/>
      <c r="I3066" s="5"/>
      <c r="J3066" s="5"/>
      <c r="K3066" s="6"/>
      <c r="N3066" s="2"/>
      <c r="O3066" s="2"/>
      <c r="P3066" s="2"/>
    </row>
    <row r="3067" spans="2:16" ht="14.25">
      <c r="B3067" s="4"/>
      <c r="I3067" s="5"/>
      <c r="J3067" s="5"/>
      <c r="K3067" s="6"/>
      <c r="N3067" s="2"/>
      <c r="O3067" s="2"/>
      <c r="P3067" s="2"/>
    </row>
    <row r="3068" spans="2:16" ht="14.25">
      <c r="B3068" s="4"/>
      <c r="I3068" s="5"/>
      <c r="J3068" s="5"/>
      <c r="K3068" s="6"/>
      <c r="N3068" s="2"/>
      <c r="O3068" s="2"/>
      <c r="P3068" s="2"/>
    </row>
    <row r="3069" spans="2:16" ht="14.25">
      <c r="B3069" s="4"/>
      <c r="I3069" s="5"/>
      <c r="J3069" s="5"/>
      <c r="K3069" s="6"/>
      <c r="N3069" s="2"/>
      <c r="O3069" s="2"/>
      <c r="P3069" s="2"/>
    </row>
    <row r="3070" spans="2:16" ht="14.25">
      <c r="B3070" s="4"/>
      <c r="I3070" s="5"/>
      <c r="J3070" s="5"/>
      <c r="K3070" s="6"/>
      <c r="N3070" s="2"/>
      <c r="O3070" s="2"/>
      <c r="P3070" s="2"/>
    </row>
    <row r="3071" spans="2:16" ht="14.25">
      <c r="B3071" s="4"/>
      <c r="I3071" s="5"/>
      <c r="J3071" s="5"/>
      <c r="K3071" s="6"/>
      <c r="N3071" s="2"/>
      <c r="O3071" s="2"/>
      <c r="P3071" s="2"/>
    </row>
    <row r="3072" spans="2:16" ht="14.25">
      <c r="B3072" s="4"/>
      <c r="I3072" s="5"/>
      <c r="J3072" s="5"/>
      <c r="K3072" s="6"/>
      <c r="N3072" s="2"/>
      <c r="O3072" s="2"/>
      <c r="P3072" s="2"/>
    </row>
    <row r="3073" spans="2:16" ht="14.25">
      <c r="B3073" s="4"/>
      <c r="I3073" s="5"/>
      <c r="J3073" s="5"/>
      <c r="K3073" s="6"/>
      <c r="N3073" s="2"/>
      <c r="O3073" s="2"/>
      <c r="P3073" s="2"/>
    </row>
    <row r="3074" spans="2:16" ht="14.25">
      <c r="B3074" s="4"/>
      <c r="I3074" s="5"/>
      <c r="J3074" s="5"/>
      <c r="K3074" s="6"/>
      <c r="N3074" s="2"/>
      <c r="O3074" s="2"/>
      <c r="P3074" s="2"/>
    </row>
    <row r="3075" spans="2:16" ht="14.25">
      <c r="B3075" s="4"/>
      <c r="I3075" s="5"/>
      <c r="J3075" s="5"/>
      <c r="K3075" s="6"/>
      <c r="N3075" s="2"/>
      <c r="O3075" s="2"/>
      <c r="P3075" s="2"/>
    </row>
    <row r="3076" spans="2:16" ht="14.25">
      <c r="B3076" s="4"/>
      <c r="I3076" s="5"/>
      <c r="J3076" s="5"/>
      <c r="K3076" s="6"/>
      <c r="N3076" s="2"/>
      <c r="O3076" s="2"/>
      <c r="P3076" s="2"/>
    </row>
    <row r="3077" spans="2:16" ht="14.25">
      <c r="B3077" s="4"/>
      <c r="I3077" s="5"/>
      <c r="J3077" s="5"/>
      <c r="K3077" s="6"/>
      <c r="N3077" s="2"/>
      <c r="O3077" s="2"/>
      <c r="P3077" s="2"/>
    </row>
    <row r="3078" spans="2:16" ht="14.25">
      <c r="B3078" s="4"/>
      <c r="I3078" s="5"/>
      <c r="J3078" s="5"/>
      <c r="K3078" s="6"/>
      <c r="N3078" s="2"/>
      <c r="O3078" s="2"/>
      <c r="P3078" s="2"/>
    </row>
    <row r="3079" spans="2:16" ht="14.25">
      <c r="B3079" s="4"/>
      <c r="I3079" s="5"/>
      <c r="J3079" s="5"/>
      <c r="K3079" s="6"/>
      <c r="N3079" s="2"/>
      <c r="O3079" s="2"/>
      <c r="P3079" s="2"/>
    </row>
    <row r="3080" spans="2:16" ht="14.25">
      <c r="B3080" s="4"/>
      <c r="I3080" s="5"/>
      <c r="J3080" s="5"/>
      <c r="K3080" s="6"/>
      <c r="N3080" s="2"/>
      <c r="O3080" s="2"/>
      <c r="P3080" s="2"/>
    </row>
    <row r="3081" spans="2:16" ht="14.25">
      <c r="B3081" s="4"/>
      <c r="I3081" s="5"/>
      <c r="J3081" s="5"/>
      <c r="K3081" s="6"/>
      <c r="N3081" s="2"/>
      <c r="O3081" s="2"/>
      <c r="P3081" s="2"/>
    </row>
    <row r="3082" spans="2:16" ht="14.25">
      <c r="B3082" s="4"/>
      <c r="I3082" s="5"/>
      <c r="J3082" s="5"/>
      <c r="K3082" s="6"/>
      <c r="N3082" s="2"/>
      <c r="O3082" s="2"/>
      <c r="P3082" s="2"/>
    </row>
    <row r="3083" spans="2:16" ht="14.25">
      <c r="B3083" s="4"/>
      <c r="I3083" s="5"/>
      <c r="J3083" s="5"/>
      <c r="K3083" s="6"/>
      <c r="N3083" s="2"/>
      <c r="O3083" s="2"/>
      <c r="P3083" s="2"/>
    </row>
    <row r="3084" spans="2:16" ht="14.25">
      <c r="B3084" s="4"/>
      <c r="I3084" s="5"/>
      <c r="J3084" s="5"/>
      <c r="K3084" s="6"/>
      <c r="N3084" s="2"/>
      <c r="O3084" s="2"/>
      <c r="P3084" s="2"/>
    </row>
    <row r="3085" spans="2:16" ht="14.25">
      <c r="B3085" s="4"/>
      <c r="I3085" s="5"/>
      <c r="J3085" s="5"/>
      <c r="K3085" s="6"/>
      <c r="N3085" s="2"/>
      <c r="O3085" s="2"/>
      <c r="P3085" s="2"/>
    </row>
    <row r="3086" spans="2:16" ht="14.25">
      <c r="B3086" s="4"/>
      <c r="I3086" s="5"/>
      <c r="J3086" s="5"/>
      <c r="K3086" s="6"/>
      <c r="N3086" s="2"/>
      <c r="O3086" s="2"/>
      <c r="P3086" s="2"/>
    </row>
    <row r="3087" spans="2:16" ht="14.25">
      <c r="B3087" s="4"/>
      <c r="I3087" s="5"/>
      <c r="J3087" s="5"/>
      <c r="K3087" s="6"/>
      <c r="N3087" s="2"/>
      <c r="O3087" s="2"/>
      <c r="P3087" s="2"/>
    </row>
    <row r="3088" spans="2:16" ht="14.25">
      <c r="B3088" s="4"/>
      <c r="I3088" s="5"/>
      <c r="J3088" s="5"/>
      <c r="K3088" s="6"/>
      <c r="N3088" s="2"/>
      <c r="O3088" s="2"/>
      <c r="P3088" s="2"/>
    </row>
    <row r="3089" spans="2:16" ht="14.25">
      <c r="B3089" s="4"/>
      <c r="I3089" s="5"/>
      <c r="J3089" s="5"/>
      <c r="K3089" s="6"/>
      <c r="N3089" s="2"/>
      <c r="O3089" s="2"/>
      <c r="P3089" s="2"/>
    </row>
    <row r="3090" spans="2:16" ht="14.25">
      <c r="B3090" s="4"/>
      <c r="I3090" s="5"/>
      <c r="J3090" s="5"/>
      <c r="K3090" s="6"/>
      <c r="N3090" s="2"/>
      <c r="O3090" s="2"/>
      <c r="P3090" s="2"/>
    </row>
    <row r="3091" spans="2:16" ht="14.25">
      <c r="B3091" s="4"/>
      <c r="I3091" s="5"/>
      <c r="J3091" s="5"/>
      <c r="K3091" s="6"/>
      <c r="N3091" s="2"/>
      <c r="O3091" s="2"/>
      <c r="P3091" s="2"/>
    </row>
    <row r="3092" spans="2:16" ht="14.25">
      <c r="B3092" s="4"/>
      <c r="I3092" s="5"/>
      <c r="J3092" s="5"/>
      <c r="K3092" s="6"/>
      <c r="N3092" s="2"/>
      <c r="O3092" s="2"/>
      <c r="P3092" s="2"/>
    </row>
    <row r="3093" spans="2:16" ht="14.25">
      <c r="B3093" s="4"/>
      <c r="I3093" s="5"/>
      <c r="J3093" s="5"/>
      <c r="K3093" s="6"/>
      <c r="N3093" s="2"/>
      <c r="O3093" s="2"/>
      <c r="P3093" s="2"/>
    </row>
    <row r="3094" spans="2:16" ht="14.25">
      <c r="B3094" s="4"/>
      <c r="I3094" s="5"/>
      <c r="J3094" s="5"/>
      <c r="K3094" s="6"/>
      <c r="N3094" s="2"/>
      <c r="O3094" s="2"/>
      <c r="P3094" s="2"/>
    </row>
    <row r="3095" spans="2:16" ht="14.25">
      <c r="B3095" s="4"/>
      <c r="I3095" s="5"/>
      <c r="J3095" s="5"/>
      <c r="K3095" s="6"/>
      <c r="N3095" s="2"/>
      <c r="O3095" s="2"/>
      <c r="P3095" s="2"/>
    </row>
    <row r="3096" spans="2:16" ht="14.25">
      <c r="B3096" s="4"/>
      <c r="I3096" s="5"/>
      <c r="J3096" s="5"/>
      <c r="K3096" s="6"/>
      <c r="N3096" s="2"/>
      <c r="O3096" s="2"/>
      <c r="P3096" s="2"/>
    </row>
    <row r="3097" spans="2:16" ht="14.25">
      <c r="B3097" s="4"/>
      <c r="I3097" s="5"/>
      <c r="J3097" s="5"/>
      <c r="K3097" s="6"/>
      <c r="N3097" s="2"/>
      <c r="O3097" s="2"/>
      <c r="P3097" s="2"/>
    </row>
    <row r="3098" spans="2:16" ht="14.25">
      <c r="B3098" s="4"/>
      <c r="I3098" s="5"/>
      <c r="J3098" s="5"/>
      <c r="K3098" s="6"/>
      <c r="N3098" s="2"/>
      <c r="O3098" s="2"/>
      <c r="P3098" s="2"/>
    </row>
    <row r="3099" spans="2:16" ht="14.25">
      <c r="B3099" s="4"/>
      <c r="I3099" s="5"/>
      <c r="J3099" s="5"/>
      <c r="K3099" s="6"/>
      <c r="N3099" s="2"/>
      <c r="O3099" s="2"/>
      <c r="P3099" s="2"/>
    </row>
    <row r="3100" spans="2:16" ht="14.25">
      <c r="B3100" s="4"/>
      <c r="I3100" s="5"/>
      <c r="J3100" s="5"/>
      <c r="K3100" s="6"/>
      <c r="N3100" s="2"/>
      <c r="O3100" s="2"/>
      <c r="P3100" s="2"/>
    </row>
    <row r="3101" spans="2:16" ht="14.25">
      <c r="B3101" s="4"/>
      <c r="I3101" s="5"/>
      <c r="J3101" s="5"/>
      <c r="K3101" s="6"/>
      <c r="N3101" s="2"/>
      <c r="O3101" s="2"/>
      <c r="P3101" s="2"/>
    </row>
    <row r="3102" spans="2:16" ht="14.25">
      <c r="B3102" s="4"/>
      <c r="I3102" s="5"/>
      <c r="J3102" s="5"/>
      <c r="K3102" s="6"/>
      <c r="N3102" s="2"/>
      <c r="O3102" s="2"/>
      <c r="P3102" s="2"/>
    </row>
    <row r="3103" spans="2:16" ht="14.25">
      <c r="B3103" s="4"/>
      <c r="I3103" s="5"/>
      <c r="J3103" s="5"/>
      <c r="K3103" s="6"/>
      <c r="N3103" s="2"/>
      <c r="O3103" s="2"/>
      <c r="P3103" s="2"/>
    </row>
    <row r="3104" spans="2:16" ht="14.25">
      <c r="B3104" s="4"/>
      <c r="I3104" s="5"/>
      <c r="J3104" s="5"/>
      <c r="K3104" s="6"/>
      <c r="N3104" s="2"/>
      <c r="O3104" s="2"/>
      <c r="P3104" s="2"/>
    </row>
    <row r="3105" spans="2:16" ht="14.25">
      <c r="B3105" s="4"/>
      <c r="I3105" s="5"/>
      <c r="J3105" s="5"/>
      <c r="K3105" s="6"/>
      <c r="N3105" s="2"/>
      <c r="O3105" s="2"/>
      <c r="P3105" s="2"/>
    </row>
    <row r="3106" spans="2:16" ht="14.25">
      <c r="B3106" s="4"/>
      <c r="I3106" s="5"/>
      <c r="J3106" s="5"/>
      <c r="K3106" s="6"/>
      <c r="N3106" s="2"/>
      <c r="O3106" s="2"/>
      <c r="P3106" s="2"/>
    </row>
    <row r="3107" spans="2:16" ht="14.25">
      <c r="B3107" s="4"/>
      <c r="I3107" s="5"/>
      <c r="J3107" s="5"/>
      <c r="K3107" s="6"/>
      <c r="N3107" s="2"/>
      <c r="O3107" s="2"/>
      <c r="P3107" s="2"/>
    </row>
    <row r="3108" spans="2:16" ht="14.25">
      <c r="B3108" s="4"/>
      <c r="I3108" s="5"/>
      <c r="J3108" s="5"/>
      <c r="K3108" s="6"/>
      <c r="N3108" s="2"/>
      <c r="O3108" s="2"/>
      <c r="P3108" s="2"/>
    </row>
    <row r="3109" spans="2:16" ht="14.25">
      <c r="B3109" s="4"/>
      <c r="I3109" s="5"/>
      <c r="J3109" s="5"/>
      <c r="K3109" s="6"/>
      <c r="N3109" s="2"/>
      <c r="O3109" s="2"/>
      <c r="P3109" s="2"/>
    </row>
    <row r="3110" spans="2:16" ht="14.25">
      <c r="B3110" s="4"/>
      <c r="I3110" s="5"/>
      <c r="J3110" s="5"/>
      <c r="K3110" s="6"/>
      <c r="N3110" s="2"/>
      <c r="O3110" s="2"/>
      <c r="P3110" s="2"/>
    </row>
    <row r="3111" spans="2:16" ht="14.25">
      <c r="B3111" s="4"/>
      <c r="I3111" s="5"/>
      <c r="J3111" s="5"/>
      <c r="K3111" s="6"/>
      <c r="N3111" s="2"/>
      <c r="O3111" s="2"/>
      <c r="P3111" s="2"/>
    </row>
    <row r="3112" spans="2:16" ht="14.25">
      <c r="B3112" s="4"/>
      <c r="I3112" s="5"/>
      <c r="J3112" s="5"/>
      <c r="K3112" s="6"/>
      <c r="N3112" s="2"/>
      <c r="O3112" s="2"/>
      <c r="P3112" s="2"/>
    </row>
    <row r="3113" spans="2:16" ht="14.25">
      <c r="B3113" s="4"/>
      <c r="I3113" s="5"/>
      <c r="J3113" s="5"/>
      <c r="K3113" s="6"/>
      <c r="N3113" s="2"/>
      <c r="O3113" s="2"/>
      <c r="P3113" s="2"/>
    </row>
    <row r="3114" spans="2:16" ht="14.25">
      <c r="B3114" s="4"/>
      <c r="I3114" s="5"/>
      <c r="J3114" s="5"/>
      <c r="K3114" s="6"/>
      <c r="N3114" s="2"/>
      <c r="O3114" s="2"/>
      <c r="P3114" s="2"/>
    </row>
    <row r="3115" spans="2:16" ht="14.25">
      <c r="B3115" s="4"/>
      <c r="I3115" s="5"/>
      <c r="J3115" s="5"/>
      <c r="K3115" s="6"/>
      <c r="N3115" s="2"/>
      <c r="O3115" s="2"/>
      <c r="P3115" s="2"/>
    </row>
    <row r="3116" spans="2:16" ht="14.25">
      <c r="B3116" s="4"/>
      <c r="I3116" s="5"/>
      <c r="J3116" s="5"/>
      <c r="K3116" s="6"/>
      <c r="N3116" s="2"/>
      <c r="O3116" s="2"/>
      <c r="P3116" s="2"/>
    </row>
    <row r="3117" spans="2:16" ht="14.25">
      <c r="B3117" s="4"/>
      <c r="I3117" s="5"/>
      <c r="J3117" s="5"/>
      <c r="K3117" s="6"/>
      <c r="N3117" s="2"/>
      <c r="O3117" s="2"/>
      <c r="P3117" s="2"/>
    </row>
    <row r="3118" spans="2:16" ht="14.25">
      <c r="B3118" s="4"/>
      <c r="I3118" s="5"/>
      <c r="J3118" s="5"/>
      <c r="K3118" s="6"/>
      <c r="N3118" s="2"/>
      <c r="O3118" s="2"/>
      <c r="P3118" s="2"/>
    </row>
    <row r="3119" spans="2:16" ht="14.25">
      <c r="B3119" s="4"/>
      <c r="I3119" s="5"/>
      <c r="J3119" s="5"/>
      <c r="K3119" s="6"/>
      <c r="N3119" s="2"/>
      <c r="O3119" s="2"/>
      <c r="P3119" s="2"/>
    </row>
    <row r="3120" spans="2:16" ht="14.25">
      <c r="B3120" s="4"/>
      <c r="I3120" s="5"/>
      <c r="J3120" s="5"/>
      <c r="K3120" s="6"/>
      <c r="N3120" s="2"/>
      <c r="O3120" s="2"/>
      <c r="P3120" s="2"/>
    </row>
    <row r="3121" spans="2:16" ht="14.25">
      <c r="B3121" s="4"/>
      <c r="I3121" s="5"/>
      <c r="J3121" s="5"/>
      <c r="K3121" s="6"/>
      <c r="N3121" s="2"/>
      <c r="O3121" s="2"/>
      <c r="P3121" s="2"/>
    </row>
    <row r="3122" spans="2:16" ht="14.25">
      <c r="B3122" s="4"/>
      <c r="I3122" s="5"/>
      <c r="J3122" s="5"/>
      <c r="K3122" s="6"/>
      <c r="N3122" s="2"/>
      <c r="O3122" s="2"/>
      <c r="P3122" s="2"/>
    </row>
    <row r="3123" spans="2:16" ht="14.25">
      <c r="B3123" s="4"/>
      <c r="I3123" s="5"/>
      <c r="J3123" s="5"/>
      <c r="K3123" s="6"/>
      <c r="N3123" s="2"/>
      <c r="O3123" s="2"/>
      <c r="P3123" s="2"/>
    </row>
    <row r="3124" spans="2:16" ht="14.25">
      <c r="B3124" s="4"/>
      <c r="I3124" s="5"/>
      <c r="J3124" s="5"/>
      <c r="K3124" s="6"/>
      <c r="N3124" s="2"/>
      <c r="O3124" s="2"/>
      <c r="P3124" s="2"/>
    </row>
    <row r="3125" spans="2:16" ht="14.25">
      <c r="B3125" s="4"/>
      <c r="I3125" s="5"/>
      <c r="J3125" s="5"/>
      <c r="K3125" s="6"/>
      <c r="N3125" s="2"/>
      <c r="O3125" s="2"/>
      <c r="P3125" s="2"/>
    </row>
    <row r="3126" spans="2:16" ht="14.25">
      <c r="B3126" s="4"/>
      <c r="I3126" s="5"/>
      <c r="J3126" s="5"/>
      <c r="K3126" s="6"/>
      <c r="N3126" s="2"/>
      <c r="O3126" s="2"/>
      <c r="P3126" s="2"/>
    </row>
    <row r="3127" spans="2:16" ht="14.25">
      <c r="B3127" s="4"/>
      <c r="I3127" s="5"/>
      <c r="J3127" s="5"/>
      <c r="K3127" s="6"/>
      <c r="N3127" s="2"/>
      <c r="O3127" s="2"/>
      <c r="P3127" s="2"/>
    </row>
    <row r="3128" spans="2:16" ht="14.25">
      <c r="B3128" s="4"/>
      <c r="I3128" s="5"/>
      <c r="J3128" s="5"/>
      <c r="K3128" s="6"/>
      <c r="N3128" s="2"/>
      <c r="O3128" s="2"/>
      <c r="P3128" s="2"/>
    </row>
    <row r="3129" spans="2:16" ht="14.25">
      <c r="B3129" s="4"/>
      <c r="I3129" s="5"/>
      <c r="J3129" s="5"/>
      <c r="K3129" s="6"/>
      <c r="N3129" s="2"/>
      <c r="O3129" s="2"/>
      <c r="P3129" s="2"/>
    </row>
    <row r="3130" spans="2:16" ht="14.25">
      <c r="B3130" s="4"/>
      <c r="I3130" s="5"/>
      <c r="J3130" s="5"/>
      <c r="K3130" s="6"/>
      <c r="N3130" s="2"/>
      <c r="O3130" s="2"/>
      <c r="P3130" s="2"/>
    </row>
    <row r="3131" spans="2:16" ht="14.25">
      <c r="B3131" s="4"/>
      <c r="I3131" s="5"/>
      <c r="J3131" s="5"/>
      <c r="K3131" s="6"/>
      <c r="N3131" s="2"/>
      <c r="O3131" s="2"/>
      <c r="P3131" s="2"/>
    </row>
    <row r="3132" spans="2:16" ht="14.25">
      <c r="B3132" s="4"/>
      <c r="I3132" s="5"/>
      <c r="J3132" s="5"/>
      <c r="K3132" s="6"/>
      <c r="N3132" s="2"/>
      <c r="O3132" s="2"/>
      <c r="P3132" s="2"/>
    </row>
    <row r="3133" spans="2:16" ht="14.25">
      <c r="B3133" s="4"/>
      <c r="I3133" s="5"/>
      <c r="J3133" s="5"/>
      <c r="K3133" s="6"/>
      <c r="N3133" s="2"/>
      <c r="O3133" s="2"/>
      <c r="P3133" s="2"/>
    </row>
    <row r="3134" spans="2:16" ht="14.25">
      <c r="B3134" s="4"/>
      <c r="I3134" s="5"/>
      <c r="J3134" s="5"/>
      <c r="K3134" s="6"/>
      <c r="N3134" s="2"/>
      <c r="O3134" s="2"/>
      <c r="P3134" s="2"/>
    </row>
    <row r="3135" spans="2:16" ht="14.25">
      <c r="B3135" s="4"/>
      <c r="I3135" s="5"/>
      <c r="J3135" s="5"/>
      <c r="K3135" s="6"/>
      <c r="N3135" s="2"/>
      <c r="O3135" s="2"/>
      <c r="P3135" s="2"/>
    </row>
    <row r="3136" spans="2:16" ht="14.25">
      <c r="B3136" s="4"/>
      <c r="I3136" s="5"/>
      <c r="J3136" s="5"/>
      <c r="K3136" s="6"/>
      <c r="N3136" s="2"/>
      <c r="O3136" s="2"/>
      <c r="P3136" s="2"/>
    </row>
    <row r="3137" spans="2:16" ht="14.25">
      <c r="B3137" s="4"/>
      <c r="I3137" s="5"/>
      <c r="J3137" s="5"/>
      <c r="K3137" s="6"/>
      <c r="N3137" s="2"/>
      <c r="O3137" s="2"/>
      <c r="P3137" s="2"/>
    </row>
    <row r="3138" spans="2:16" ht="14.25">
      <c r="B3138" s="4"/>
      <c r="I3138" s="5"/>
      <c r="J3138" s="5"/>
      <c r="K3138" s="6"/>
      <c r="N3138" s="2"/>
      <c r="O3138" s="2"/>
      <c r="P3138" s="2"/>
    </row>
    <row r="3139" spans="2:16" ht="14.25">
      <c r="B3139" s="4"/>
      <c r="I3139" s="5"/>
      <c r="J3139" s="5"/>
      <c r="K3139" s="6"/>
      <c r="N3139" s="2"/>
      <c r="O3139" s="2"/>
      <c r="P3139" s="2"/>
    </row>
    <row r="3140" spans="2:16" ht="14.25">
      <c r="B3140" s="4"/>
      <c r="I3140" s="5"/>
      <c r="J3140" s="5"/>
      <c r="K3140" s="6"/>
      <c r="N3140" s="2"/>
      <c r="O3140" s="2"/>
      <c r="P3140" s="2"/>
    </row>
    <row r="3141" spans="2:16" ht="14.25">
      <c r="B3141" s="4"/>
      <c r="I3141" s="5"/>
      <c r="J3141" s="5"/>
      <c r="K3141" s="6"/>
      <c r="N3141" s="2"/>
      <c r="O3141" s="2"/>
      <c r="P3141" s="2"/>
    </row>
    <row r="3142" spans="2:16" ht="14.25">
      <c r="B3142" s="4"/>
      <c r="I3142" s="5"/>
      <c r="J3142" s="5"/>
      <c r="K3142" s="6"/>
      <c r="N3142" s="2"/>
      <c r="O3142" s="2"/>
      <c r="P3142" s="2"/>
    </row>
    <row r="3143" spans="2:16" ht="14.25">
      <c r="B3143" s="4"/>
      <c r="I3143" s="5"/>
      <c r="J3143" s="5"/>
      <c r="K3143" s="6"/>
      <c r="N3143" s="2"/>
      <c r="O3143" s="2"/>
      <c r="P3143" s="2"/>
    </row>
    <row r="3144" spans="2:16" ht="14.25">
      <c r="B3144" s="4"/>
      <c r="I3144" s="5"/>
      <c r="J3144" s="5"/>
      <c r="K3144" s="6"/>
      <c r="N3144" s="2"/>
      <c r="O3144" s="2"/>
      <c r="P3144" s="2"/>
    </row>
    <row r="3145" spans="2:16" ht="14.25">
      <c r="B3145" s="4"/>
      <c r="I3145" s="5"/>
      <c r="J3145" s="5"/>
      <c r="K3145" s="6"/>
      <c r="N3145" s="2"/>
      <c r="O3145" s="2"/>
      <c r="P3145" s="2"/>
    </row>
    <row r="3146" spans="2:16" ht="14.25">
      <c r="B3146" s="4"/>
      <c r="I3146" s="5"/>
      <c r="J3146" s="5"/>
      <c r="K3146" s="6"/>
      <c r="N3146" s="2"/>
      <c r="O3146" s="2"/>
      <c r="P3146" s="2"/>
    </row>
    <row r="3147" spans="2:16" ht="14.25">
      <c r="B3147" s="4"/>
      <c r="I3147" s="5"/>
      <c r="J3147" s="5"/>
      <c r="K3147" s="6"/>
      <c r="N3147" s="2"/>
      <c r="O3147" s="2"/>
      <c r="P3147" s="2"/>
    </row>
    <row r="3148" spans="2:16" ht="14.25">
      <c r="B3148" s="4"/>
      <c r="I3148" s="5"/>
      <c r="J3148" s="5"/>
      <c r="K3148" s="6"/>
      <c r="N3148" s="2"/>
      <c r="O3148" s="2"/>
      <c r="P3148" s="2"/>
    </row>
    <row r="3149" spans="2:16" ht="14.25">
      <c r="B3149" s="4"/>
      <c r="I3149" s="5"/>
      <c r="J3149" s="5"/>
      <c r="K3149" s="6"/>
      <c r="N3149" s="2"/>
      <c r="O3149" s="2"/>
      <c r="P3149" s="2"/>
    </row>
    <row r="3150" spans="2:16" ht="14.25">
      <c r="B3150" s="4"/>
      <c r="I3150" s="5"/>
      <c r="J3150" s="5"/>
      <c r="K3150" s="6"/>
      <c r="N3150" s="2"/>
      <c r="O3150" s="2"/>
      <c r="P3150" s="2"/>
    </row>
    <row r="3151" spans="2:16" ht="14.25">
      <c r="B3151" s="4"/>
      <c r="I3151" s="5"/>
      <c r="J3151" s="5"/>
      <c r="K3151" s="6"/>
      <c r="N3151" s="2"/>
      <c r="O3151" s="2"/>
      <c r="P3151" s="2"/>
    </row>
    <row r="3152" spans="2:16" ht="14.25">
      <c r="B3152" s="4"/>
      <c r="I3152" s="5"/>
      <c r="J3152" s="5"/>
      <c r="K3152" s="6"/>
      <c r="N3152" s="2"/>
      <c r="O3152" s="2"/>
      <c r="P3152" s="2"/>
    </row>
    <row r="3153" spans="2:16" ht="14.25">
      <c r="B3153" s="4"/>
      <c r="I3153" s="5"/>
      <c r="J3153" s="5"/>
      <c r="K3153" s="6"/>
      <c r="N3153" s="2"/>
      <c r="O3153" s="2"/>
      <c r="P3153" s="2"/>
    </row>
    <row r="3154" spans="2:16" ht="14.25">
      <c r="B3154" s="4"/>
      <c r="I3154" s="5"/>
      <c r="J3154" s="5"/>
      <c r="K3154" s="6"/>
      <c r="N3154" s="2"/>
      <c r="O3154" s="2"/>
      <c r="P3154" s="2"/>
    </row>
    <row r="3155" spans="2:16" ht="14.25">
      <c r="B3155" s="4"/>
      <c r="I3155" s="5"/>
      <c r="J3155" s="5"/>
      <c r="K3155" s="6"/>
      <c r="N3155" s="2"/>
      <c r="O3155" s="2"/>
      <c r="P3155" s="2"/>
    </row>
    <row r="3156" spans="2:16" ht="14.25">
      <c r="B3156" s="4"/>
      <c r="I3156" s="5"/>
      <c r="J3156" s="5"/>
      <c r="K3156" s="6"/>
      <c r="N3156" s="2"/>
      <c r="O3156" s="2"/>
      <c r="P3156" s="2"/>
    </row>
    <row r="3157" spans="2:16" ht="14.25">
      <c r="B3157" s="4"/>
      <c r="I3157" s="5"/>
      <c r="J3157" s="5"/>
      <c r="K3157" s="6"/>
      <c r="N3157" s="2"/>
      <c r="O3157" s="2"/>
      <c r="P3157" s="2"/>
    </row>
    <row r="3158" spans="2:16" ht="14.25">
      <c r="B3158" s="4"/>
      <c r="I3158" s="5"/>
      <c r="J3158" s="5"/>
      <c r="K3158" s="6"/>
      <c r="N3158" s="2"/>
      <c r="O3158" s="2"/>
      <c r="P3158" s="2"/>
    </row>
    <row r="3159" spans="2:16" ht="14.25">
      <c r="B3159" s="4"/>
      <c r="I3159" s="5"/>
      <c r="J3159" s="5"/>
      <c r="K3159" s="6"/>
      <c r="N3159" s="2"/>
      <c r="O3159" s="2"/>
      <c r="P3159" s="2"/>
    </row>
    <row r="3160" spans="2:16" ht="14.25">
      <c r="B3160" s="4"/>
      <c r="I3160" s="5"/>
      <c r="J3160" s="5"/>
      <c r="K3160" s="6"/>
      <c r="N3160" s="2"/>
      <c r="O3160" s="2"/>
      <c r="P3160" s="2"/>
    </row>
    <row r="3161" spans="2:16" ht="14.25">
      <c r="B3161" s="4"/>
      <c r="I3161" s="5"/>
      <c r="J3161" s="5"/>
      <c r="K3161" s="6"/>
      <c r="N3161" s="2"/>
      <c r="O3161" s="2"/>
      <c r="P3161" s="2"/>
    </row>
    <row r="3162" spans="2:16" ht="14.25">
      <c r="B3162" s="4"/>
      <c r="I3162" s="5"/>
      <c r="J3162" s="5"/>
      <c r="K3162" s="6"/>
      <c r="N3162" s="2"/>
      <c r="O3162" s="2"/>
      <c r="P3162" s="2"/>
    </row>
    <row r="3163" spans="2:16" ht="14.25">
      <c r="B3163" s="4"/>
      <c r="I3163" s="5"/>
      <c r="J3163" s="5"/>
      <c r="K3163" s="6"/>
      <c r="N3163" s="2"/>
      <c r="O3163" s="2"/>
      <c r="P3163" s="2"/>
    </row>
    <row r="3164" spans="2:16" ht="14.25">
      <c r="B3164" s="4"/>
      <c r="I3164" s="5"/>
      <c r="J3164" s="5"/>
      <c r="K3164" s="6"/>
      <c r="N3164" s="2"/>
      <c r="O3164" s="2"/>
      <c r="P3164" s="2"/>
    </row>
    <row r="3165" spans="2:16" ht="14.25">
      <c r="B3165" s="4"/>
      <c r="I3165" s="5"/>
      <c r="J3165" s="5"/>
      <c r="K3165" s="6"/>
      <c r="N3165" s="2"/>
      <c r="O3165" s="2"/>
      <c r="P3165" s="2"/>
    </row>
    <row r="3166" spans="2:16" ht="14.25">
      <c r="B3166" s="4"/>
      <c r="I3166" s="5"/>
      <c r="J3166" s="5"/>
      <c r="K3166" s="6"/>
      <c r="N3166" s="2"/>
      <c r="O3166" s="2"/>
      <c r="P3166" s="2"/>
    </row>
    <row r="3167" spans="2:16" ht="14.25">
      <c r="B3167" s="4"/>
      <c r="I3167" s="5"/>
      <c r="J3167" s="5"/>
      <c r="K3167" s="6"/>
      <c r="N3167" s="2"/>
      <c r="O3167" s="2"/>
      <c r="P3167" s="2"/>
    </row>
    <row r="3168" spans="2:16" ht="14.25">
      <c r="B3168" s="4"/>
      <c r="I3168" s="5"/>
      <c r="J3168" s="5"/>
      <c r="K3168" s="6"/>
      <c r="N3168" s="2"/>
      <c r="O3168" s="2"/>
      <c r="P3168" s="2"/>
    </row>
    <row r="3169" spans="2:16" ht="14.25">
      <c r="B3169" s="4"/>
      <c r="I3169" s="5"/>
      <c r="J3169" s="5"/>
      <c r="K3169" s="6"/>
      <c r="N3169" s="2"/>
      <c r="O3169" s="2"/>
      <c r="P3169" s="2"/>
    </row>
    <row r="3170" spans="2:16" ht="14.25">
      <c r="B3170" s="4"/>
      <c r="I3170" s="5"/>
      <c r="J3170" s="5"/>
      <c r="K3170" s="6"/>
      <c r="N3170" s="2"/>
      <c r="O3170" s="2"/>
      <c r="P3170" s="2"/>
    </row>
    <row r="3171" spans="2:16" ht="14.25">
      <c r="B3171" s="4"/>
      <c r="I3171" s="5"/>
      <c r="J3171" s="5"/>
      <c r="K3171" s="6"/>
      <c r="N3171" s="2"/>
      <c r="O3171" s="2"/>
      <c r="P3171" s="2"/>
    </row>
    <row r="3172" spans="2:16" ht="14.25">
      <c r="B3172" s="4"/>
      <c r="I3172" s="5"/>
      <c r="J3172" s="5"/>
      <c r="K3172" s="6"/>
      <c r="N3172" s="2"/>
      <c r="O3172" s="2"/>
      <c r="P3172" s="2"/>
    </row>
    <row r="3173" spans="2:16" ht="14.25">
      <c r="B3173" s="4"/>
      <c r="I3173" s="5"/>
      <c r="J3173" s="5"/>
      <c r="K3173" s="6"/>
      <c r="N3173" s="2"/>
      <c r="O3173" s="2"/>
      <c r="P3173" s="2"/>
    </row>
    <row r="3174" spans="2:16" ht="14.25">
      <c r="B3174" s="4"/>
      <c r="I3174" s="5"/>
      <c r="J3174" s="5"/>
      <c r="K3174" s="6"/>
      <c r="N3174" s="2"/>
      <c r="O3174" s="2"/>
      <c r="P3174" s="2"/>
    </row>
    <row r="3175" spans="2:16" ht="14.25">
      <c r="B3175" s="4"/>
      <c r="I3175" s="5"/>
      <c r="J3175" s="5"/>
      <c r="K3175" s="6"/>
      <c r="N3175" s="2"/>
      <c r="O3175" s="2"/>
      <c r="P3175" s="2"/>
    </row>
    <row r="3176" spans="2:16" ht="14.25">
      <c r="B3176" s="4"/>
      <c r="I3176" s="5"/>
      <c r="J3176" s="5"/>
      <c r="K3176" s="6"/>
      <c r="N3176" s="2"/>
      <c r="O3176" s="2"/>
      <c r="P3176" s="2"/>
    </row>
    <row r="3177" spans="2:16" ht="14.25">
      <c r="B3177" s="4"/>
      <c r="I3177" s="5"/>
      <c r="J3177" s="5"/>
      <c r="K3177" s="6"/>
      <c r="N3177" s="2"/>
      <c r="O3177" s="2"/>
      <c r="P3177" s="2"/>
    </row>
    <row r="3178" spans="2:16" ht="14.25">
      <c r="B3178" s="4"/>
      <c r="I3178" s="5"/>
      <c r="J3178" s="5"/>
      <c r="K3178" s="6"/>
      <c r="N3178" s="2"/>
      <c r="O3178" s="2"/>
      <c r="P3178" s="2"/>
    </row>
    <row r="3179" spans="2:16" ht="14.25">
      <c r="B3179" s="4"/>
      <c r="I3179" s="5"/>
      <c r="J3179" s="5"/>
      <c r="K3179" s="6"/>
      <c r="N3179" s="2"/>
      <c r="O3179" s="2"/>
      <c r="P3179" s="2"/>
    </row>
    <row r="3180" spans="2:16" ht="14.25">
      <c r="B3180" s="4"/>
      <c r="I3180" s="5"/>
      <c r="J3180" s="5"/>
      <c r="K3180" s="6"/>
      <c r="N3180" s="2"/>
      <c r="O3180" s="2"/>
      <c r="P3180" s="2"/>
    </row>
    <row r="3181" spans="2:16" ht="14.25">
      <c r="B3181" s="4"/>
      <c r="I3181" s="5"/>
      <c r="J3181" s="5"/>
      <c r="K3181" s="6"/>
      <c r="N3181" s="2"/>
      <c r="O3181" s="2"/>
      <c r="P3181" s="2"/>
    </row>
    <row r="3182" spans="2:16" ht="14.25">
      <c r="B3182" s="4"/>
      <c r="I3182" s="5"/>
      <c r="J3182" s="5"/>
      <c r="K3182" s="6"/>
      <c r="N3182" s="2"/>
      <c r="O3182" s="2"/>
      <c r="P3182" s="2"/>
    </row>
    <row r="3183" spans="2:16" ht="14.25">
      <c r="B3183" s="4"/>
      <c r="I3183" s="5"/>
      <c r="J3183" s="5"/>
      <c r="K3183" s="6"/>
      <c r="N3183" s="2"/>
      <c r="O3183" s="2"/>
      <c r="P3183" s="2"/>
    </row>
    <row r="3184" spans="2:16" ht="14.25">
      <c r="B3184" s="4"/>
      <c r="I3184" s="5"/>
      <c r="J3184" s="5"/>
      <c r="K3184" s="6"/>
      <c r="N3184" s="2"/>
      <c r="O3184" s="2"/>
      <c r="P3184" s="2"/>
    </row>
    <row r="3185" spans="2:16" ht="14.25">
      <c r="B3185" s="4"/>
      <c r="I3185" s="5"/>
      <c r="J3185" s="5"/>
      <c r="K3185" s="6"/>
      <c r="N3185" s="2"/>
      <c r="O3185" s="2"/>
      <c r="P3185" s="2"/>
    </row>
    <row r="3186" spans="2:16" ht="14.25">
      <c r="B3186" s="4"/>
      <c r="I3186" s="5"/>
      <c r="J3186" s="5"/>
      <c r="K3186" s="6"/>
      <c r="N3186" s="2"/>
      <c r="O3186" s="2"/>
      <c r="P3186" s="2"/>
    </row>
    <row r="3187" spans="2:16" ht="14.25">
      <c r="B3187" s="4"/>
      <c r="I3187" s="5"/>
      <c r="J3187" s="5"/>
      <c r="K3187" s="6"/>
      <c r="N3187" s="2"/>
      <c r="O3187" s="2"/>
      <c r="P3187" s="2"/>
    </row>
    <row r="3188" spans="2:16" ht="14.25">
      <c r="B3188" s="4"/>
      <c r="I3188" s="5"/>
      <c r="J3188" s="5"/>
      <c r="K3188" s="6"/>
      <c r="N3188" s="2"/>
      <c r="O3188" s="2"/>
      <c r="P3188" s="2"/>
    </row>
    <row r="3189" spans="2:16" ht="14.25">
      <c r="B3189" s="4"/>
      <c r="I3189" s="5"/>
      <c r="J3189" s="5"/>
      <c r="K3189" s="6"/>
      <c r="N3189" s="2"/>
      <c r="O3189" s="2"/>
      <c r="P3189" s="2"/>
    </row>
    <row r="3190" spans="2:16" ht="14.25">
      <c r="B3190" s="4"/>
      <c r="I3190" s="5"/>
      <c r="J3190" s="5"/>
      <c r="K3190" s="6"/>
      <c r="N3190" s="2"/>
      <c r="O3190" s="2"/>
      <c r="P3190" s="2"/>
    </row>
    <row r="3191" spans="2:16" ht="14.25">
      <c r="B3191" s="4"/>
      <c r="I3191" s="5"/>
      <c r="J3191" s="5"/>
      <c r="K3191" s="6"/>
      <c r="N3191" s="2"/>
      <c r="O3191" s="2"/>
      <c r="P3191" s="2"/>
    </row>
    <row r="3192" spans="2:16" ht="14.25">
      <c r="B3192" s="4"/>
      <c r="I3192" s="5"/>
      <c r="J3192" s="5"/>
      <c r="K3192" s="6"/>
      <c r="N3192" s="2"/>
      <c r="O3192" s="2"/>
      <c r="P3192" s="2"/>
    </row>
    <row r="3193" spans="2:16" ht="14.25">
      <c r="B3193" s="4"/>
      <c r="I3193" s="5"/>
      <c r="J3193" s="5"/>
      <c r="K3193" s="6"/>
      <c r="N3193" s="2"/>
      <c r="O3193" s="2"/>
      <c r="P3193" s="2"/>
    </row>
    <row r="3194" spans="2:16" ht="14.25">
      <c r="B3194" s="4"/>
      <c r="I3194" s="5"/>
      <c r="J3194" s="5"/>
      <c r="K3194" s="6"/>
      <c r="N3194" s="2"/>
      <c r="O3194" s="2"/>
      <c r="P3194" s="2"/>
    </row>
    <row r="3195" spans="2:16" ht="14.25">
      <c r="B3195" s="4"/>
      <c r="I3195" s="5"/>
      <c r="J3195" s="5"/>
      <c r="K3195" s="6"/>
      <c r="N3195" s="2"/>
      <c r="O3195" s="2"/>
      <c r="P3195" s="2"/>
    </row>
    <row r="3196" spans="2:16" ht="14.25">
      <c r="B3196" s="4"/>
      <c r="I3196" s="5"/>
      <c r="J3196" s="5"/>
      <c r="K3196" s="6"/>
      <c r="N3196" s="2"/>
      <c r="O3196" s="2"/>
      <c r="P3196" s="2"/>
    </row>
    <row r="3197" spans="2:16" ht="14.25">
      <c r="B3197" s="4"/>
      <c r="I3197" s="5"/>
      <c r="J3197" s="5"/>
      <c r="K3197" s="6"/>
      <c r="N3197" s="2"/>
      <c r="O3197" s="2"/>
      <c r="P3197" s="2"/>
    </row>
    <row r="3198" spans="2:16" ht="14.25">
      <c r="B3198" s="4"/>
      <c r="I3198" s="5"/>
      <c r="J3198" s="5"/>
      <c r="K3198" s="6"/>
      <c r="N3198" s="2"/>
      <c r="O3198" s="2"/>
      <c r="P3198" s="2"/>
    </row>
    <row r="3199" spans="2:16" ht="14.25">
      <c r="B3199" s="4"/>
      <c r="I3199" s="5"/>
      <c r="J3199" s="5"/>
      <c r="K3199" s="6"/>
      <c r="N3199" s="2"/>
      <c r="O3199" s="2"/>
      <c r="P3199" s="2"/>
    </row>
    <row r="3200" spans="2:16" ht="14.25">
      <c r="B3200" s="4"/>
      <c r="I3200" s="5"/>
      <c r="J3200" s="5"/>
      <c r="K3200" s="6"/>
      <c r="N3200" s="2"/>
      <c r="O3200" s="2"/>
      <c r="P3200" s="2"/>
    </row>
    <row r="3201" spans="2:16" ht="14.25">
      <c r="B3201" s="4"/>
      <c r="I3201" s="5"/>
      <c r="J3201" s="5"/>
      <c r="K3201" s="6"/>
      <c r="N3201" s="2"/>
      <c r="O3201" s="2"/>
      <c r="P3201" s="2"/>
    </row>
    <row r="3202" spans="2:16" ht="14.25">
      <c r="B3202" s="4"/>
      <c r="I3202" s="5"/>
      <c r="J3202" s="5"/>
      <c r="K3202" s="6"/>
      <c r="N3202" s="2"/>
      <c r="O3202" s="2"/>
      <c r="P3202" s="2"/>
    </row>
    <row r="3203" spans="2:16" ht="14.25">
      <c r="B3203" s="4"/>
      <c r="I3203" s="5"/>
      <c r="J3203" s="5"/>
      <c r="K3203" s="6"/>
      <c r="N3203" s="2"/>
      <c r="O3203" s="2"/>
      <c r="P3203" s="2"/>
    </row>
    <row r="3204" spans="2:16" ht="14.25">
      <c r="B3204" s="4"/>
      <c r="I3204" s="5"/>
      <c r="J3204" s="5"/>
      <c r="K3204" s="6"/>
      <c r="N3204" s="2"/>
      <c r="O3204" s="2"/>
      <c r="P3204" s="2"/>
    </row>
    <row r="3205" spans="2:16" ht="14.25">
      <c r="B3205" s="4"/>
      <c r="I3205" s="5"/>
      <c r="J3205" s="5"/>
      <c r="K3205" s="6"/>
      <c r="N3205" s="2"/>
      <c r="O3205" s="2"/>
      <c r="P3205" s="2"/>
    </row>
    <row r="3206" spans="2:16" ht="14.25">
      <c r="B3206" s="4"/>
      <c r="I3206" s="5"/>
      <c r="J3206" s="5"/>
      <c r="K3206" s="6"/>
      <c r="N3206" s="2"/>
      <c r="O3206" s="2"/>
      <c r="P3206" s="2"/>
    </row>
    <row r="3207" spans="2:16" ht="14.25">
      <c r="B3207" s="4"/>
      <c r="I3207" s="5"/>
      <c r="J3207" s="5"/>
      <c r="K3207" s="6"/>
      <c r="N3207" s="2"/>
      <c r="O3207" s="2"/>
      <c r="P3207" s="2"/>
    </row>
    <row r="3208" spans="2:16" ht="14.25">
      <c r="B3208" s="4"/>
      <c r="I3208" s="5"/>
      <c r="J3208" s="5"/>
      <c r="K3208" s="6"/>
      <c r="N3208" s="2"/>
      <c r="O3208" s="2"/>
      <c r="P3208" s="2"/>
    </row>
    <row r="3209" spans="2:16" ht="14.25">
      <c r="B3209" s="4"/>
      <c r="I3209" s="5"/>
      <c r="J3209" s="5"/>
      <c r="K3209" s="6"/>
      <c r="N3209" s="2"/>
      <c r="O3209" s="2"/>
      <c r="P3209" s="2"/>
    </row>
    <row r="3210" spans="2:16" ht="14.25">
      <c r="B3210" s="4"/>
      <c r="I3210" s="5"/>
      <c r="J3210" s="5"/>
      <c r="K3210" s="6"/>
      <c r="N3210" s="2"/>
      <c r="O3210" s="2"/>
      <c r="P3210" s="2"/>
    </row>
    <row r="3211" spans="2:16" ht="14.25">
      <c r="B3211" s="4"/>
      <c r="I3211" s="5"/>
      <c r="J3211" s="5"/>
      <c r="K3211" s="6"/>
      <c r="N3211" s="2"/>
      <c r="O3211" s="2"/>
      <c r="P3211" s="2"/>
    </row>
    <row r="3212" spans="2:16" ht="14.25">
      <c r="B3212" s="4"/>
      <c r="I3212" s="5"/>
      <c r="J3212" s="5"/>
      <c r="K3212" s="6"/>
      <c r="N3212" s="2"/>
      <c r="O3212" s="2"/>
      <c r="P3212" s="2"/>
    </row>
    <row r="3213" spans="2:16" ht="14.25">
      <c r="B3213" s="4"/>
      <c r="I3213" s="5"/>
      <c r="J3213" s="5"/>
      <c r="K3213" s="6"/>
      <c r="N3213" s="2"/>
      <c r="O3213" s="2"/>
      <c r="P3213" s="2"/>
    </row>
    <row r="3214" spans="2:16" ht="14.25">
      <c r="B3214" s="4"/>
      <c r="I3214" s="5"/>
      <c r="J3214" s="5"/>
      <c r="K3214" s="6"/>
      <c r="N3214" s="2"/>
      <c r="O3214" s="2"/>
      <c r="P3214" s="2"/>
    </row>
    <row r="3215" spans="2:16" ht="14.25">
      <c r="B3215" s="4"/>
      <c r="I3215" s="5"/>
      <c r="J3215" s="5"/>
      <c r="K3215" s="6"/>
      <c r="N3215" s="2"/>
      <c r="O3215" s="2"/>
      <c r="P3215" s="2"/>
    </row>
    <row r="3216" spans="2:16" ht="14.25">
      <c r="B3216" s="4"/>
      <c r="I3216" s="5"/>
      <c r="J3216" s="5"/>
      <c r="K3216" s="6"/>
      <c r="N3216" s="2"/>
      <c r="O3216" s="2"/>
      <c r="P3216" s="2"/>
    </row>
    <row r="3217" spans="2:16" ht="14.25">
      <c r="B3217" s="4"/>
      <c r="I3217" s="5"/>
      <c r="J3217" s="5"/>
      <c r="K3217" s="6"/>
      <c r="N3217" s="2"/>
      <c r="O3217" s="2"/>
      <c r="P3217" s="2"/>
    </row>
    <row r="3218" spans="2:16" ht="14.25">
      <c r="B3218" s="4"/>
      <c r="I3218" s="5"/>
      <c r="J3218" s="5"/>
      <c r="K3218" s="6"/>
      <c r="N3218" s="2"/>
      <c r="O3218" s="2"/>
      <c r="P3218" s="2"/>
    </row>
    <row r="3219" spans="2:16" ht="14.25">
      <c r="B3219" s="4"/>
      <c r="I3219" s="5"/>
      <c r="J3219" s="5"/>
      <c r="K3219" s="6"/>
      <c r="N3219" s="2"/>
      <c r="O3219" s="2"/>
      <c r="P3219" s="2"/>
    </row>
    <row r="3220" spans="2:16" ht="14.25">
      <c r="B3220" s="4"/>
      <c r="I3220" s="5"/>
      <c r="J3220" s="5"/>
      <c r="K3220" s="6"/>
      <c r="N3220" s="2"/>
      <c r="O3220" s="2"/>
      <c r="P3220" s="2"/>
    </row>
    <row r="3221" spans="2:16" ht="14.25">
      <c r="B3221" s="4"/>
      <c r="I3221" s="5"/>
      <c r="J3221" s="5"/>
      <c r="K3221" s="6"/>
      <c r="N3221" s="2"/>
      <c r="O3221" s="2"/>
      <c r="P3221" s="2"/>
    </row>
    <row r="3222" spans="2:16" ht="14.25">
      <c r="B3222" s="4"/>
      <c r="I3222" s="5"/>
      <c r="J3222" s="5"/>
      <c r="K3222" s="6"/>
      <c r="N3222" s="2"/>
      <c r="O3222" s="2"/>
      <c r="P3222" s="2"/>
    </row>
    <row r="3223" spans="2:16" ht="14.25">
      <c r="B3223" s="4"/>
      <c r="I3223" s="5"/>
      <c r="J3223" s="5"/>
      <c r="K3223" s="6"/>
      <c r="N3223" s="2"/>
      <c r="O3223" s="2"/>
      <c r="P3223" s="2"/>
    </row>
    <row r="3224" spans="2:16" ht="14.25">
      <c r="B3224" s="4"/>
      <c r="I3224" s="5"/>
      <c r="J3224" s="5"/>
      <c r="K3224" s="6"/>
      <c r="N3224" s="2"/>
      <c r="O3224" s="2"/>
      <c r="P3224" s="2"/>
    </row>
    <row r="3225" spans="2:16" ht="14.25">
      <c r="B3225" s="4"/>
      <c r="I3225" s="5"/>
      <c r="J3225" s="5"/>
      <c r="K3225" s="6"/>
      <c r="N3225" s="2"/>
      <c r="O3225" s="2"/>
      <c r="P3225" s="2"/>
    </row>
    <row r="3226" spans="2:16" ht="14.25">
      <c r="B3226" s="4"/>
      <c r="I3226" s="5"/>
      <c r="J3226" s="5"/>
      <c r="K3226" s="6"/>
      <c r="N3226" s="2"/>
      <c r="O3226" s="2"/>
      <c r="P3226" s="2"/>
    </row>
    <row r="3227" spans="2:16" ht="14.25">
      <c r="B3227" s="4"/>
      <c r="I3227" s="5"/>
      <c r="J3227" s="5"/>
      <c r="K3227" s="6"/>
      <c r="N3227" s="2"/>
      <c r="O3227" s="2"/>
      <c r="P3227" s="2"/>
    </row>
    <row r="3228" spans="2:16" ht="14.25">
      <c r="B3228" s="4"/>
      <c r="I3228" s="5"/>
      <c r="J3228" s="5"/>
      <c r="K3228" s="6"/>
      <c r="N3228" s="2"/>
      <c r="O3228" s="2"/>
      <c r="P3228" s="2"/>
    </row>
    <row r="3229" spans="2:16" ht="14.25">
      <c r="B3229" s="4"/>
      <c r="I3229" s="5"/>
      <c r="J3229" s="5"/>
      <c r="K3229" s="6"/>
      <c r="N3229" s="2"/>
      <c r="O3229" s="2"/>
      <c r="P3229" s="2"/>
    </row>
    <row r="3230" spans="2:16" ht="14.25">
      <c r="B3230" s="4"/>
      <c r="I3230" s="5"/>
      <c r="J3230" s="5"/>
      <c r="K3230" s="6"/>
      <c r="N3230" s="2"/>
      <c r="O3230" s="2"/>
      <c r="P3230" s="2"/>
    </row>
    <row r="3231" spans="2:16" ht="14.25">
      <c r="B3231" s="4"/>
      <c r="I3231" s="5"/>
      <c r="J3231" s="5"/>
      <c r="K3231" s="6"/>
      <c r="N3231" s="2"/>
      <c r="O3231" s="2"/>
      <c r="P3231" s="2"/>
    </row>
    <row r="3232" spans="2:16" ht="14.25">
      <c r="B3232" s="4"/>
      <c r="I3232" s="5"/>
      <c r="J3232" s="5"/>
      <c r="K3232" s="6"/>
      <c r="N3232" s="2"/>
      <c r="O3232" s="2"/>
      <c r="P3232" s="2"/>
    </row>
    <row r="3233" spans="2:16" ht="14.25">
      <c r="B3233" s="4"/>
      <c r="I3233" s="5"/>
      <c r="J3233" s="5"/>
      <c r="K3233" s="6"/>
      <c r="N3233" s="2"/>
      <c r="O3233" s="2"/>
      <c r="P3233" s="2"/>
    </row>
    <row r="3234" spans="2:16" ht="14.25">
      <c r="B3234" s="4"/>
      <c r="I3234" s="5"/>
      <c r="J3234" s="5"/>
      <c r="K3234" s="6"/>
      <c r="N3234" s="2"/>
      <c r="O3234" s="2"/>
      <c r="P3234" s="2"/>
    </row>
    <row r="3235" spans="2:16" ht="14.25">
      <c r="B3235" s="4"/>
      <c r="I3235" s="5"/>
      <c r="J3235" s="5"/>
      <c r="K3235" s="6"/>
      <c r="N3235" s="2"/>
      <c r="O3235" s="2"/>
      <c r="P3235" s="2"/>
    </row>
    <row r="3236" spans="2:16" ht="14.25">
      <c r="B3236" s="4"/>
      <c r="I3236" s="5"/>
      <c r="J3236" s="5"/>
      <c r="K3236" s="6"/>
      <c r="N3236" s="2"/>
      <c r="O3236" s="2"/>
      <c r="P3236" s="2"/>
    </row>
    <row r="3237" spans="2:16" ht="14.25">
      <c r="B3237" s="4"/>
      <c r="I3237" s="5"/>
      <c r="J3237" s="5"/>
      <c r="K3237" s="6"/>
      <c r="N3237" s="2"/>
      <c r="O3237" s="2"/>
      <c r="P3237" s="2"/>
    </row>
    <row r="3238" spans="2:16" ht="14.25">
      <c r="B3238" s="4"/>
      <c r="I3238" s="5"/>
      <c r="J3238" s="5"/>
      <c r="K3238" s="6"/>
      <c r="N3238" s="2"/>
      <c r="O3238" s="2"/>
      <c r="P3238" s="2"/>
    </row>
    <row r="3239" spans="2:16" ht="14.25">
      <c r="B3239" s="4"/>
      <c r="I3239" s="5"/>
      <c r="J3239" s="5"/>
      <c r="K3239" s="6"/>
      <c r="N3239" s="2"/>
      <c r="O3239" s="2"/>
      <c r="P3239" s="2"/>
    </row>
    <row r="3240" spans="2:16" ht="14.25">
      <c r="B3240" s="4"/>
      <c r="I3240" s="5"/>
      <c r="J3240" s="5"/>
      <c r="K3240" s="6"/>
      <c r="N3240" s="2"/>
      <c r="O3240" s="2"/>
      <c r="P3240" s="2"/>
    </row>
    <row r="3241" spans="2:16" ht="14.25">
      <c r="B3241" s="4"/>
      <c r="I3241" s="5"/>
      <c r="J3241" s="5"/>
      <c r="K3241" s="6"/>
      <c r="N3241" s="2"/>
      <c r="O3241" s="2"/>
      <c r="P3241" s="2"/>
    </row>
    <row r="3242" spans="2:16" ht="14.25">
      <c r="B3242" s="4"/>
      <c r="I3242" s="5"/>
      <c r="J3242" s="5"/>
      <c r="K3242" s="6"/>
      <c r="N3242" s="2"/>
      <c r="O3242" s="2"/>
      <c r="P3242" s="2"/>
    </row>
    <row r="3243" spans="2:16" ht="14.25">
      <c r="B3243" s="4"/>
      <c r="I3243" s="5"/>
      <c r="J3243" s="5"/>
      <c r="K3243" s="6"/>
      <c r="N3243" s="2"/>
      <c r="O3243" s="2"/>
      <c r="P3243" s="2"/>
    </row>
    <row r="3244" spans="2:16" ht="14.25">
      <c r="B3244" s="4"/>
      <c r="I3244" s="5"/>
      <c r="J3244" s="5"/>
      <c r="K3244" s="6"/>
      <c r="N3244" s="2"/>
      <c r="O3244" s="2"/>
      <c r="P3244" s="2"/>
    </row>
    <row r="3245" spans="2:16" ht="14.25">
      <c r="B3245" s="4"/>
      <c r="I3245" s="5"/>
      <c r="J3245" s="5"/>
      <c r="K3245" s="6"/>
      <c r="N3245" s="2"/>
      <c r="O3245" s="2"/>
      <c r="P3245" s="2"/>
    </row>
    <row r="3246" spans="2:16" ht="14.25">
      <c r="B3246" s="4"/>
      <c r="I3246" s="5"/>
      <c r="J3246" s="5"/>
      <c r="K3246" s="6"/>
      <c r="N3246" s="2"/>
      <c r="O3246" s="2"/>
      <c r="P3246" s="2"/>
    </row>
    <row r="3247" spans="2:16" ht="14.25">
      <c r="B3247" s="4"/>
      <c r="I3247" s="5"/>
      <c r="J3247" s="5"/>
      <c r="K3247" s="6"/>
      <c r="N3247" s="2"/>
      <c r="O3247" s="2"/>
      <c r="P3247" s="2"/>
    </row>
    <row r="3248" spans="2:16" ht="14.25">
      <c r="B3248" s="4"/>
      <c r="I3248" s="5"/>
      <c r="J3248" s="5"/>
      <c r="K3248" s="6"/>
      <c r="N3248" s="2"/>
      <c r="O3248" s="2"/>
      <c r="P3248" s="2"/>
    </row>
    <row r="3249" spans="2:16" ht="14.25">
      <c r="B3249" s="4"/>
      <c r="I3249" s="5"/>
      <c r="J3249" s="5"/>
      <c r="K3249" s="6"/>
      <c r="N3249" s="2"/>
      <c r="O3249" s="2"/>
      <c r="P3249" s="2"/>
    </row>
    <row r="3250" spans="2:16" ht="14.25">
      <c r="B3250" s="4"/>
      <c r="I3250" s="5"/>
      <c r="J3250" s="5"/>
      <c r="K3250" s="6"/>
      <c r="N3250" s="2"/>
      <c r="O3250" s="2"/>
      <c r="P3250" s="2"/>
    </row>
    <row r="3251" spans="2:16" ht="14.25">
      <c r="B3251" s="4"/>
      <c r="I3251" s="5"/>
      <c r="J3251" s="5"/>
      <c r="K3251" s="6"/>
      <c r="N3251" s="2"/>
      <c r="O3251" s="2"/>
      <c r="P3251" s="2"/>
    </row>
    <row r="3252" spans="2:16" ht="14.25">
      <c r="B3252" s="4"/>
      <c r="I3252" s="5"/>
      <c r="J3252" s="5"/>
      <c r="K3252" s="6"/>
      <c r="N3252" s="2"/>
      <c r="O3252" s="2"/>
      <c r="P3252" s="2"/>
    </row>
    <row r="3253" spans="2:16" ht="14.25">
      <c r="B3253" s="4"/>
      <c r="I3253" s="5"/>
      <c r="J3253" s="5"/>
      <c r="K3253" s="6"/>
      <c r="N3253" s="2"/>
      <c r="O3253" s="2"/>
      <c r="P3253" s="2"/>
    </row>
    <row r="3254" spans="2:16" ht="14.25">
      <c r="B3254" s="4"/>
      <c r="I3254" s="5"/>
      <c r="J3254" s="5"/>
      <c r="K3254" s="6"/>
      <c r="N3254" s="2"/>
      <c r="O3254" s="2"/>
      <c r="P3254" s="2"/>
    </row>
    <row r="3255" spans="2:16" ht="14.25">
      <c r="B3255" s="4"/>
      <c r="I3255" s="5"/>
      <c r="J3255" s="5"/>
      <c r="K3255" s="6"/>
      <c r="N3255" s="2"/>
      <c r="O3255" s="2"/>
      <c r="P3255" s="2"/>
    </row>
    <row r="3256" spans="2:16" ht="14.25">
      <c r="B3256" s="4"/>
      <c r="I3256" s="5"/>
      <c r="J3256" s="5"/>
      <c r="K3256" s="6"/>
      <c r="N3256" s="2"/>
      <c r="O3256" s="2"/>
      <c r="P3256" s="2"/>
    </row>
    <row r="3257" spans="2:16" ht="14.25">
      <c r="B3257" s="4"/>
      <c r="I3257" s="5"/>
      <c r="J3257" s="5"/>
      <c r="K3257" s="6"/>
      <c r="N3257" s="2"/>
      <c r="O3257" s="2"/>
      <c r="P3257" s="2"/>
    </row>
    <row r="3258" spans="2:16" ht="14.25">
      <c r="B3258" s="4"/>
      <c r="I3258" s="5"/>
      <c r="J3258" s="5"/>
      <c r="K3258" s="6"/>
      <c r="N3258" s="2"/>
      <c r="O3258" s="2"/>
      <c r="P3258" s="2"/>
    </row>
    <row r="3259" spans="2:16" ht="14.25">
      <c r="B3259" s="4"/>
      <c r="I3259" s="5"/>
      <c r="J3259" s="5"/>
      <c r="K3259" s="6"/>
      <c r="N3259" s="2"/>
      <c r="O3259" s="2"/>
      <c r="P3259" s="2"/>
    </row>
    <row r="3260" spans="2:16" ht="14.25">
      <c r="B3260" s="4"/>
      <c r="I3260" s="5"/>
      <c r="J3260" s="5"/>
      <c r="K3260" s="6"/>
      <c r="N3260" s="2"/>
      <c r="O3260" s="2"/>
      <c r="P3260" s="2"/>
    </row>
    <row r="3261" spans="2:16" ht="14.25">
      <c r="B3261" s="4"/>
      <c r="I3261" s="5"/>
      <c r="J3261" s="5"/>
      <c r="K3261" s="6"/>
      <c r="N3261" s="2"/>
      <c r="O3261" s="2"/>
      <c r="P3261" s="2"/>
    </row>
    <row r="3262" spans="2:16" ht="14.25">
      <c r="B3262" s="4"/>
      <c r="I3262" s="5"/>
      <c r="J3262" s="5"/>
      <c r="K3262" s="6"/>
      <c r="N3262" s="2"/>
      <c r="O3262" s="2"/>
      <c r="P3262" s="2"/>
    </row>
    <row r="3263" spans="2:16" ht="14.25">
      <c r="B3263" s="4"/>
      <c r="I3263" s="5"/>
      <c r="J3263" s="5"/>
      <c r="K3263" s="6"/>
      <c r="N3263" s="2"/>
      <c r="O3263" s="2"/>
      <c r="P3263" s="2"/>
    </row>
    <row r="3264" spans="2:16" ht="14.25">
      <c r="B3264" s="4"/>
      <c r="I3264" s="5"/>
      <c r="J3264" s="5"/>
      <c r="K3264" s="6"/>
      <c r="N3264" s="2"/>
      <c r="O3264" s="2"/>
      <c r="P3264" s="2"/>
    </row>
    <row r="3265" spans="2:16" ht="14.25">
      <c r="B3265" s="4"/>
      <c r="I3265" s="5"/>
      <c r="J3265" s="5"/>
      <c r="K3265" s="6"/>
      <c r="N3265" s="2"/>
      <c r="O3265" s="2"/>
      <c r="P3265" s="2"/>
    </row>
    <row r="3266" spans="2:16" ht="14.25">
      <c r="B3266" s="4"/>
      <c r="I3266" s="5"/>
      <c r="J3266" s="5"/>
      <c r="K3266" s="6"/>
      <c r="N3266" s="2"/>
      <c r="O3266" s="2"/>
      <c r="P3266" s="2"/>
    </row>
    <row r="3267" spans="2:16" ht="14.25">
      <c r="B3267" s="4"/>
      <c r="I3267" s="5"/>
      <c r="J3267" s="5"/>
      <c r="K3267" s="6"/>
      <c r="N3267" s="2"/>
      <c r="O3267" s="2"/>
      <c r="P3267" s="2"/>
    </row>
    <row r="3268" spans="2:16" ht="14.25">
      <c r="B3268" s="4"/>
      <c r="I3268" s="5"/>
      <c r="J3268" s="5"/>
      <c r="K3268" s="6"/>
      <c r="N3268" s="2"/>
      <c r="O3268" s="2"/>
      <c r="P3268" s="2"/>
    </row>
    <row r="3269" spans="2:16" ht="14.25">
      <c r="B3269" s="4"/>
      <c r="I3269" s="5"/>
      <c r="J3269" s="5"/>
      <c r="K3269" s="6"/>
      <c r="N3269" s="2"/>
      <c r="O3269" s="2"/>
      <c r="P3269" s="2"/>
    </row>
    <row r="3270" spans="2:16" ht="14.25">
      <c r="B3270" s="4"/>
      <c r="I3270" s="5"/>
      <c r="J3270" s="5"/>
      <c r="K3270" s="6"/>
      <c r="N3270" s="2"/>
      <c r="O3270" s="2"/>
      <c r="P3270" s="2"/>
    </row>
    <row r="3271" spans="2:16" ht="14.25">
      <c r="B3271" s="4"/>
      <c r="I3271" s="5"/>
      <c r="J3271" s="5"/>
      <c r="K3271" s="6"/>
      <c r="N3271" s="2"/>
      <c r="O3271" s="2"/>
      <c r="P3271" s="2"/>
    </row>
    <row r="3272" spans="2:16" ht="14.25">
      <c r="B3272" s="4"/>
      <c r="I3272" s="5"/>
      <c r="J3272" s="5"/>
      <c r="K3272" s="6"/>
      <c r="N3272" s="2"/>
      <c r="O3272" s="2"/>
      <c r="P3272" s="2"/>
    </row>
    <row r="3273" spans="2:16" ht="14.25">
      <c r="B3273" s="4"/>
      <c r="I3273" s="5"/>
      <c r="J3273" s="5"/>
      <c r="K3273" s="6"/>
      <c r="N3273" s="2"/>
      <c r="O3273" s="2"/>
      <c r="P3273" s="2"/>
    </row>
    <row r="3274" spans="2:16" ht="14.25">
      <c r="B3274" s="4"/>
      <c r="I3274" s="5"/>
      <c r="J3274" s="5"/>
      <c r="K3274" s="6"/>
      <c r="N3274" s="2"/>
      <c r="O3274" s="2"/>
      <c r="P3274" s="2"/>
    </row>
    <row r="3275" spans="2:16" ht="14.25">
      <c r="B3275" s="4"/>
      <c r="I3275" s="5"/>
      <c r="J3275" s="5"/>
      <c r="K3275" s="6"/>
      <c r="N3275" s="2"/>
      <c r="O3275" s="2"/>
      <c r="P3275" s="2"/>
    </row>
    <row r="3276" spans="2:16" ht="14.25">
      <c r="B3276" s="4"/>
      <c r="I3276" s="5"/>
      <c r="J3276" s="5"/>
      <c r="K3276" s="6"/>
      <c r="N3276" s="2"/>
      <c r="O3276" s="2"/>
      <c r="P3276" s="2"/>
    </row>
    <row r="3277" spans="2:16" ht="14.25">
      <c r="B3277" s="4"/>
      <c r="I3277" s="5"/>
      <c r="J3277" s="5"/>
      <c r="K3277" s="6"/>
      <c r="N3277" s="2"/>
      <c r="O3277" s="2"/>
      <c r="P3277" s="2"/>
    </row>
    <row r="3278" spans="2:16" ht="14.25">
      <c r="B3278" s="4"/>
      <c r="I3278" s="5"/>
      <c r="J3278" s="5"/>
      <c r="K3278" s="6"/>
      <c r="N3278" s="2"/>
      <c r="O3278" s="2"/>
      <c r="P3278" s="2"/>
    </row>
    <row r="3279" spans="2:16" ht="14.25">
      <c r="B3279" s="4"/>
      <c r="I3279" s="5"/>
      <c r="J3279" s="5"/>
      <c r="K3279" s="6"/>
      <c r="N3279" s="2"/>
      <c r="O3279" s="2"/>
      <c r="P3279" s="2"/>
    </row>
    <row r="3280" spans="2:16" ht="14.25">
      <c r="B3280" s="4"/>
      <c r="I3280" s="5"/>
      <c r="J3280" s="5"/>
      <c r="K3280" s="6"/>
      <c r="N3280" s="2"/>
      <c r="O3280" s="2"/>
      <c r="P3280" s="2"/>
    </row>
    <row r="3281" spans="2:16" ht="14.25">
      <c r="B3281" s="4"/>
      <c r="I3281" s="5"/>
      <c r="J3281" s="5"/>
      <c r="K3281" s="6"/>
      <c r="N3281" s="2"/>
      <c r="O3281" s="2"/>
      <c r="P3281" s="2"/>
    </row>
    <row r="3282" spans="2:16" ht="14.25">
      <c r="B3282" s="4"/>
      <c r="I3282" s="5"/>
      <c r="J3282" s="5"/>
      <c r="K3282" s="6"/>
      <c r="N3282" s="2"/>
      <c r="O3282" s="2"/>
      <c r="P3282" s="2"/>
    </row>
    <row r="3283" spans="2:16" ht="14.25">
      <c r="B3283" s="4"/>
      <c r="I3283" s="5"/>
      <c r="J3283" s="5"/>
      <c r="K3283" s="6"/>
      <c r="N3283" s="2"/>
      <c r="O3283" s="2"/>
      <c r="P3283" s="2"/>
    </row>
    <row r="3284" spans="2:16" ht="14.25">
      <c r="B3284" s="4"/>
      <c r="I3284" s="5"/>
      <c r="J3284" s="5"/>
      <c r="K3284" s="6"/>
      <c r="N3284" s="2"/>
      <c r="O3284" s="2"/>
      <c r="P3284" s="2"/>
    </row>
    <row r="3285" spans="2:16" ht="14.25">
      <c r="B3285" s="4"/>
      <c r="I3285" s="5"/>
      <c r="J3285" s="5"/>
      <c r="K3285" s="6"/>
      <c r="N3285" s="2"/>
      <c r="O3285" s="2"/>
      <c r="P3285" s="2"/>
    </row>
    <row r="3286" spans="2:16" ht="14.25">
      <c r="B3286" s="4"/>
      <c r="I3286" s="5"/>
      <c r="J3286" s="5"/>
      <c r="K3286" s="6"/>
      <c r="N3286" s="2"/>
      <c r="O3286" s="2"/>
      <c r="P3286" s="2"/>
    </row>
    <row r="3287" spans="2:16" ht="14.25">
      <c r="B3287" s="4"/>
      <c r="I3287" s="5"/>
      <c r="J3287" s="5"/>
      <c r="K3287" s="6"/>
      <c r="N3287" s="2"/>
      <c r="O3287" s="2"/>
      <c r="P3287" s="2"/>
    </row>
    <row r="3288" spans="2:16" ht="14.25">
      <c r="B3288" s="4"/>
      <c r="I3288" s="5"/>
      <c r="J3288" s="5"/>
      <c r="K3288" s="6"/>
      <c r="N3288" s="2"/>
      <c r="O3288" s="2"/>
      <c r="P3288" s="2"/>
    </row>
    <row r="3289" spans="2:16" ht="14.25">
      <c r="B3289" s="4"/>
      <c r="I3289" s="5"/>
      <c r="J3289" s="5"/>
      <c r="K3289" s="6"/>
      <c r="N3289" s="2"/>
      <c r="O3289" s="2"/>
      <c r="P3289" s="2"/>
    </row>
    <row r="3290" spans="2:16" ht="14.25">
      <c r="B3290" s="4"/>
      <c r="I3290" s="5"/>
      <c r="J3290" s="5"/>
      <c r="K3290" s="6"/>
      <c r="N3290" s="2"/>
      <c r="O3290" s="2"/>
      <c r="P3290" s="2"/>
    </row>
    <row r="3291" spans="2:16" ht="14.25">
      <c r="B3291" s="4"/>
      <c r="I3291" s="5"/>
      <c r="J3291" s="5"/>
      <c r="K3291" s="6"/>
      <c r="N3291" s="2"/>
      <c r="O3291" s="2"/>
      <c r="P3291" s="2"/>
    </row>
    <row r="3292" spans="2:16" ht="14.25">
      <c r="B3292" s="4"/>
      <c r="I3292" s="5"/>
      <c r="J3292" s="5"/>
      <c r="K3292" s="6"/>
      <c r="N3292" s="2"/>
      <c r="O3292" s="2"/>
      <c r="P3292" s="2"/>
    </row>
    <row r="3293" spans="2:16" ht="14.25">
      <c r="B3293" s="4"/>
      <c r="I3293" s="5"/>
      <c r="J3293" s="5"/>
      <c r="K3293" s="6"/>
      <c r="N3293" s="2"/>
      <c r="O3293" s="2"/>
      <c r="P3293" s="2"/>
    </row>
    <row r="3294" spans="2:16" ht="14.25">
      <c r="B3294" s="4"/>
      <c r="I3294" s="5"/>
      <c r="J3294" s="5"/>
      <c r="K3294" s="6"/>
      <c r="N3294" s="2"/>
      <c r="O3294" s="2"/>
      <c r="P3294" s="2"/>
    </row>
    <row r="3295" spans="2:16" ht="14.25">
      <c r="B3295" s="4"/>
      <c r="I3295" s="5"/>
      <c r="J3295" s="5"/>
      <c r="K3295" s="6"/>
      <c r="N3295" s="2"/>
      <c r="O3295" s="2"/>
      <c r="P3295" s="2"/>
    </row>
    <row r="3296" spans="2:16" ht="14.25">
      <c r="B3296" s="4"/>
      <c r="I3296" s="5"/>
      <c r="J3296" s="5"/>
      <c r="K3296" s="6"/>
      <c r="N3296" s="2"/>
      <c r="O3296" s="2"/>
      <c r="P3296" s="2"/>
    </row>
    <row r="3297" spans="2:16" ht="14.25">
      <c r="B3297" s="4"/>
      <c r="I3297" s="5"/>
      <c r="J3297" s="5"/>
      <c r="K3297" s="6"/>
      <c r="N3297" s="2"/>
      <c r="O3297" s="2"/>
      <c r="P3297" s="2"/>
    </row>
    <row r="3298" spans="2:16" ht="14.25">
      <c r="B3298" s="4"/>
      <c r="I3298" s="5"/>
      <c r="J3298" s="5"/>
      <c r="K3298" s="6"/>
      <c r="N3298" s="2"/>
      <c r="O3298" s="2"/>
      <c r="P3298" s="2"/>
    </row>
    <row r="3299" spans="2:16" ht="14.25">
      <c r="B3299" s="4"/>
      <c r="I3299" s="5"/>
      <c r="J3299" s="5"/>
      <c r="K3299" s="6"/>
      <c r="N3299" s="2"/>
      <c r="O3299" s="2"/>
      <c r="P3299" s="2"/>
    </row>
    <row r="3300" spans="2:16" ht="14.25">
      <c r="B3300" s="4"/>
      <c r="I3300" s="5"/>
      <c r="J3300" s="5"/>
      <c r="K3300" s="6"/>
      <c r="N3300" s="2"/>
      <c r="O3300" s="2"/>
      <c r="P3300" s="2"/>
    </row>
    <row r="3301" spans="2:16" ht="14.25">
      <c r="B3301" s="4"/>
      <c r="I3301" s="5"/>
      <c r="J3301" s="5"/>
      <c r="K3301" s="6"/>
      <c r="N3301" s="2"/>
      <c r="O3301" s="2"/>
      <c r="P3301" s="2"/>
    </row>
    <row r="3302" spans="2:16" ht="14.25">
      <c r="B3302" s="4"/>
      <c r="I3302" s="5"/>
      <c r="J3302" s="5"/>
      <c r="K3302" s="6"/>
      <c r="N3302" s="2"/>
      <c r="O3302" s="2"/>
      <c r="P3302" s="2"/>
    </row>
    <row r="3303" spans="2:16" ht="14.25">
      <c r="B3303" s="4"/>
      <c r="I3303" s="5"/>
      <c r="J3303" s="5"/>
      <c r="K3303" s="6"/>
      <c r="N3303" s="2"/>
      <c r="O3303" s="2"/>
      <c r="P3303" s="2"/>
    </row>
    <row r="3304" spans="2:16" ht="14.25">
      <c r="B3304" s="4"/>
      <c r="I3304" s="5"/>
      <c r="J3304" s="5"/>
      <c r="K3304" s="6"/>
      <c r="N3304" s="2"/>
      <c r="O3304" s="2"/>
      <c r="P3304" s="2"/>
    </row>
    <row r="3305" spans="2:16" ht="14.25">
      <c r="B3305" s="4"/>
      <c r="I3305" s="5"/>
      <c r="J3305" s="5"/>
      <c r="K3305" s="6"/>
      <c r="N3305" s="2"/>
      <c r="O3305" s="2"/>
      <c r="P3305" s="2"/>
    </row>
    <row r="3306" spans="2:16" ht="14.25">
      <c r="B3306" s="4"/>
      <c r="I3306" s="5"/>
      <c r="J3306" s="5"/>
      <c r="K3306" s="6"/>
      <c r="N3306" s="2"/>
      <c r="O3306" s="2"/>
      <c r="P3306" s="2"/>
    </row>
    <row r="3307" spans="2:16" ht="14.25">
      <c r="B3307" s="4"/>
      <c r="I3307" s="5"/>
      <c r="J3307" s="5"/>
      <c r="K3307" s="6"/>
      <c r="N3307" s="2"/>
      <c r="O3307" s="2"/>
      <c r="P3307" s="2"/>
    </row>
    <row r="3308" spans="2:16" ht="14.25">
      <c r="B3308" s="4"/>
      <c r="I3308" s="5"/>
      <c r="J3308" s="5"/>
      <c r="K3308" s="6"/>
      <c r="N3308" s="2"/>
      <c r="O3308" s="2"/>
      <c r="P3308" s="2"/>
    </row>
    <row r="3309" spans="2:16" ht="14.25">
      <c r="B3309" s="4"/>
      <c r="I3309" s="5"/>
      <c r="J3309" s="5"/>
      <c r="K3309" s="6"/>
      <c r="N3309" s="2"/>
      <c r="O3309" s="2"/>
      <c r="P3309" s="2"/>
    </row>
    <row r="3310" spans="2:16" ht="14.25">
      <c r="B3310" s="4"/>
      <c r="I3310" s="5"/>
      <c r="J3310" s="5"/>
      <c r="K3310" s="6"/>
      <c r="N3310" s="2"/>
      <c r="O3310" s="2"/>
      <c r="P3310" s="2"/>
    </row>
    <row r="3311" spans="2:16" ht="14.25">
      <c r="B3311" s="4"/>
      <c r="I3311" s="5"/>
      <c r="J3311" s="5"/>
      <c r="K3311" s="6"/>
      <c r="N3311" s="2"/>
      <c r="O3311" s="2"/>
      <c r="P3311" s="2"/>
    </row>
    <row r="3312" spans="2:16" ht="14.25">
      <c r="B3312" s="4"/>
      <c r="I3312" s="5"/>
      <c r="J3312" s="5"/>
      <c r="K3312" s="6"/>
      <c r="N3312" s="2"/>
      <c r="O3312" s="2"/>
      <c r="P3312" s="2"/>
    </row>
    <row r="3313" spans="2:16" ht="14.25">
      <c r="B3313" s="4"/>
      <c r="I3313" s="5"/>
      <c r="J3313" s="5"/>
      <c r="K3313" s="6"/>
      <c r="N3313" s="2"/>
      <c r="O3313" s="2"/>
      <c r="P3313" s="2"/>
    </row>
    <row r="3314" spans="2:16" ht="14.25">
      <c r="B3314" s="4"/>
      <c r="I3314" s="5"/>
      <c r="J3314" s="5"/>
      <c r="K3314" s="6"/>
      <c r="N3314" s="2"/>
      <c r="O3314" s="2"/>
      <c r="P3314" s="2"/>
    </row>
    <row r="3315" spans="2:16" ht="14.25">
      <c r="B3315" s="4"/>
      <c r="I3315" s="5"/>
      <c r="J3315" s="5"/>
      <c r="K3315" s="6"/>
      <c r="N3315" s="2"/>
      <c r="O3315" s="2"/>
      <c r="P3315" s="2"/>
    </row>
    <row r="3316" spans="2:16" ht="14.25">
      <c r="B3316" s="4"/>
      <c r="I3316" s="5"/>
      <c r="J3316" s="5"/>
      <c r="K3316" s="6"/>
      <c r="N3316" s="2"/>
      <c r="O3316" s="2"/>
      <c r="P3316" s="2"/>
    </row>
    <row r="3317" spans="2:16" ht="14.25">
      <c r="B3317" s="4"/>
      <c r="I3317" s="5"/>
      <c r="J3317" s="5"/>
      <c r="K3317" s="6"/>
      <c r="N3317" s="2"/>
      <c r="O3317" s="2"/>
      <c r="P3317" s="2"/>
    </row>
    <row r="3318" spans="2:16" ht="14.25">
      <c r="B3318" s="4"/>
      <c r="I3318" s="5"/>
      <c r="J3318" s="5"/>
      <c r="K3318" s="6"/>
      <c r="N3318" s="2"/>
      <c r="O3318" s="2"/>
      <c r="P3318" s="2"/>
    </row>
    <row r="3319" spans="2:16" ht="14.25">
      <c r="B3319" s="4"/>
      <c r="I3319" s="5"/>
      <c r="J3319" s="5"/>
      <c r="K3319" s="6"/>
      <c r="N3319" s="2"/>
      <c r="O3319" s="2"/>
      <c r="P3319" s="2"/>
    </row>
    <row r="3320" spans="2:16" ht="14.25">
      <c r="B3320" s="4"/>
      <c r="I3320" s="5"/>
      <c r="J3320" s="5"/>
      <c r="K3320" s="6"/>
      <c r="N3320" s="2"/>
      <c r="O3320" s="2"/>
      <c r="P3320" s="2"/>
    </row>
    <row r="3321" spans="2:16" ht="14.25">
      <c r="B3321" s="4"/>
      <c r="I3321" s="5"/>
      <c r="J3321" s="5"/>
      <c r="K3321" s="6"/>
      <c r="N3321" s="2"/>
      <c r="O3321" s="2"/>
      <c r="P3321" s="2"/>
    </row>
    <row r="3322" spans="2:16" ht="14.25">
      <c r="B3322" s="4"/>
      <c r="I3322" s="5"/>
      <c r="J3322" s="5"/>
      <c r="K3322" s="6"/>
      <c r="N3322" s="2"/>
      <c r="O3322" s="2"/>
      <c r="P3322" s="2"/>
    </row>
    <row r="3323" spans="2:16" ht="14.25">
      <c r="B3323" s="4"/>
      <c r="I3323" s="5"/>
      <c r="J3323" s="5"/>
      <c r="K3323" s="6"/>
      <c r="N3323" s="2"/>
      <c r="O3323" s="2"/>
      <c r="P3323" s="2"/>
    </row>
    <row r="3324" spans="2:16" ht="14.25">
      <c r="B3324" s="4"/>
      <c r="I3324" s="5"/>
      <c r="J3324" s="5"/>
      <c r="K3324" s="6"/>
      <c r="N3324" s="2"/>
      <c r="O3324" s="2"/>
      <c r="P3324" s="2"/>
    </row>
    <row r="3325" spans="2:16" ht="14.25">
      <c r="B3325" s="4"/>
      <c r="I3325" s="5"/>
      <c r="J3325" s="5"/>
      <c r="K3325" s="6"/>
      <c r="N3325" s="2"/>
      <c r="O3325" s="2"/>
      <c r="P3325" s="2"/>
    </row>
    <row r="3326" spans="2:16" ht="14.25">
      <c r="B3326" s="4"/>
      <c r="I3326" s="5"/>
      <c r="J3326" s="5"/>
      <c r="K3326" s="6"/>
      <c r="N3326" s="2"/>
      <c r="O3326" s="2"/>
      <c r="P3326" s="2"/>
    </row>
    <row r="3327" spans="2:16" ht="14.25">
      <c r="B3327" s="4"/>
      <c r="I3327" s="5"/>
      <c r="J3327" s="5"/>
      <c r="K3327" s="6"/>
      <c r="N3327" s="2"/>
      <c r="O3327" s="2"/>
      <c r="P3327" s="2"/>
    </row>
    <row r="3328" spans="2:16" ht="14.25">
      <c r="B3328" s="4"/>
      <c r="I3328" s="5"/>
      <c r="J3328" s="5"/>
      <c r="K3328" s="6"/>
      <c r="N3328" s="2"/>
      <c r="O3328" s="2"/>
      <c r="P3328" s="2"/>
    </row>
    <row r="3329" spans="2:16" ht="14.25">
      <c r="B3329" s="4"/>
      <c r="I3329" s="5"/>
      <c r="J3329" s="5"/>
      <c r="K3329" s="6"/>
      <c r="N3329" s="2"/>
      <c r="O3329" s="2"/>
      <c r="P3329" s="2"/>
    </row>
    <row r="3330" spans="2:16" ht="14.25">
      <c r="B3330" s="4"/>
      <c r="I3330" s="5"/>
      <c r="J3330" s="5"/>
      <c r="K3330" s="6"/>
      <c r="N3330" s="2"/>
      <c r="O3330" s="2"/>
      <c r="P3330" s="2"/>
    </row>
    <row r="3331" spans="2:16" ht="14.25">
      <c r="B3331" s="4"/>
      <c r="I3331" s="5"/>
      <c r="J3331" s="5"/>
      <c r="K3331" s="6"/>
      <c r="N3331" s="2"/>
      <c r="O3331" s="2"/>
      <c r="P3331" s="2"/>
    </row>
    <row r="3332" spans="2:16" ht="14.25">
      <c r="B3332" s="4"/>
      <c r="I3332" s="5"/>
      <c r="J3332" s="5"/>
      <c r="K3332" s="6"/>
      <c r="N3332" s="2"/>
      <c r="O3332" s="2"/>
      <c r="P3332" s="2"/>
    </row>
    <row r="3333" spans="2:16" ht="14.25">
      <c r="B3333" s="4"/>
      <c r="I3333" s="5"/>
      <c r="J3333" s="5"/>
      <c r="K3333" s="6"/>
      <c r="N3333" s="2"/>
      <c r="O3333" s="2"/>
      <c r="P3333" s="2"/>
    </row>
    <row r="3334" spans="2:16" ht="14.25">
      <c r="B3334" s="4"/>
      <c r="I3334" s="5"/>
      <c r="J3334" s="5"/>
      <c r="K3334" s="6"/>
      <c r="N3334" s="2"/>
      <c r="O3334" s="2"/>
      <c r="P3334" s="2"/>
    </row>
    <row r="3335" spans="2:16" ht="14.25">
      <c r="B3335" s="4"/>
      <c r="I3335" s="5"/>
      <c r="J3335" s="5"/>
      <c r="K3335" s="6"/>
      <c r="N3335" s="2"/>
      <c r="O3335" s="2"/>
      <c r="P3335" s="2"/>
    </row>
    <row r="3336" spans="2:16" ht="14.25">
      <c r="B3336" s="4"/>
      <c r="I3336" s="5"/>
      <c r="J3336" s="5"/>
      <c r="K3336" s="6"/>
      <c r="N3336" s="2"/>
      <c r="O3336" s="2"/>
      <c r="P3336" s="2"/>
    </row>
    <row r="3337" spans="2:16" ht="14.25">
      <c r="B3337" s="4"/>
      <c r="I3337" s="5"/>
      <c r="J3337" s="5"/>
      <c r="K3337" s="6"/>
      <c r="N3337" s="2"/>
      <c r="O3337" s="2"/>
      <c r="P3337" s="2"/>
    </row>
    <row r="3338" spans="2:16" ht="14.25">
      <c r="B3338" s="4"/>
      <c r="I3338" s="5"/>
      <c r="J3338" s="5"/>
      <c r="K3338" s="6"/>
      <c r="N3338" s="2"/>
      <c r="O3338" s="2"/>
      <c r="P3338" s="2"/>
    </row>
    <row r="3339" spans="2:16" ht="14.25">
      <c r="B3339" s="4"/>
      <c r="I3339" s="5"/>
      <c r="J3339" s="5"/>
      <c r="K3339" s="6"/>
      <c r="N3339" s="2"/>
      <c r="O3339" s="2"/>
      <c r="P3339" s="2"/>
    </row>
    <row r="3340" spans="2:16" ht="14.25">
      <c r="B3340" s="4"/>
      <c r="I3340" s="5"/>
      <c r="J3340" s="5"/>
      <c r="K3340" s="6"/>
      <c r="N3340" s="2"/>
      <c r="O3340" s="2"/>
      <c r="P3340" s="2"/>
    </row>
    <row r="3341" spans="2:16" ht="14.25">
      <c r="B3341" s="4"/>
      <c r="I3341" s="5"/>
      <c r="J3341" s="5"/>
      <c r="K3341" s="6"/>
      <c r="N3341" s="2"/>
      <c r="O3341" s="2"/>
      <c r="P3341" s="2"/>
    </row>
    <row r="3342" spans="2:16" ht="14.25">
      <c r="B3342" s="4"/>
      <c r="I3342" s="5"/>
      <c r="J3342" s="5"/>
      <c r="K3342" s="6"/>
      <c r="N3342" s="2"/>
      <c r="O3342" s="2"/>
      <c r="P3342" s="2"/>
    </row>
    <row r="3343" spans="2:16" ht="14.25">
      <c r="B3343" s="4"/>
      <c r="I3343" s="5"/>
      <c r="J3343" s="5"/>
      <c r="K3343" s="6"/>
      <c r="N3343" s="2"/>
      <c r="O3343" s="2"/>
      <c r="P3343" s="2"/>
    </row>
    <row r="3344" spans="2:16" ht="14.25">
      <c r="B3344" s="4"/>
      <c r="I3344" s="5"/>
      <c r="J3344" s="5"/>
      <c r="K3344" s="6"/>
      <c r="N3344" s="2"/>
      <c r="O3344" s="2"/>
      <c r="P3344" s="2"/>
    </row>
    <row r="3345" spans="2:16" ht="14.25">
      <c r="B3345" s="4"/>
      <c r="I3345" s="5"/>
      <c r="J3345" s="5"/>
      <c r="K3345" s="6"/>
      <c r="N3345" s="2"/>
      <c r="O3345" s="2"/>
      <c r="P3345" s="2"/>
    </row>
    <row r="3346" spans="2:16" ht="14.25">
      <c r="B3346" s="4"/>
      <c r="I3346" s="5"/>
      <c r="J3346" s="5"/>
      <c r="K3346" s="6"/>
      <c r="N3346" s="2"/>
      <c r="O3346" s="2"/>
      <c r="P3346" s="2"/>
    </row>
    <row r="3347" spans="2:16" ht="14.25">
      <c r="B3347" s="4"/>
      <c r="I3347" s="5"/>
      <c r="J3347" s="5"/>
      <c r="K3347" s="6"/>
      <c r="N3347" s="2"/>
      <c r="O3347" s="2"/>
      <c r="P3347" s="2"/>
    </row>
    <row r="3348" spans="2:16" ht="14.25">
      <c r="B3348" s="4"/>
      <c r="I3348" s="5"/>
      <c r="J3348" s="5"/>
      <c r="K3348" s="6"/>
      <c r="N3348" s="2"/>
      <c r="O3348" s="2"/>
      <c r="P3348" s="2"/>
    </row>
    <row r="3349" spans="2:16" ht="14.25">
      <c r="B3349" s="4"/>
      <c r="I3349" s="5"/>
      <c r="J3349" s="5"/>
      <c r="K3349" s="6"/>
      <c r="N3349" s="2"/>
      <c r="O3349" s="2"/>
      <c r="P3349" s="2"/>
    </row>
    <row r="3350" spans="2:16" ht="14.25">
      <c r="B3350" s="4"/>
      <c r="I3350" s="5"/>
      <c r="J3350" s="5"/>
      <c r="K3350" s="6"/>
      <c r="N3350" s="2"/>
      <c r="O3350" s="2"/>
      <c r="P3350" s="2"/>
    </row>
    <row r="3351" spans="2:16" ht="14.25">
      <c r="B3351" s="4"/>
      <c r="I3351" s="5"/>
      <c r="J3351" s="5"/>
      <c r="K3351" s="6"/>
      <c r="N3351" s="2"/>
      <c r="O3351" s="2"/>
      <c r="P3351" s="2"/>
    </row>
    <row r="3352" spans="2:16" ht="14.25">
      <c r="B3352" s="4"/>
      <c r="I3352" s="5"/>
      <c r="J3352" s="5"/>
      <c r="K3352" s="6"/>
      <c r="N3352" s="2"/>
      <c r="O3352" s="2"/>
      <c r="P3352" s="2"/>
    </row>
    <row r="3353" spans="2:16" ht="14.25">
      <c r="B3353" s="4"/>
      <c r="I3353" s="5"/>
      <c r="J3353" s="5"/>
      <c r="K3353" s="6"/>
      <c r="N3353" s="2"/>
      <c r="O3353" s="2"/>
      <c r="P3353" s="2"/>
    </row>
    <row r="3354" spans="2:16" ht="14.25">
      <c r="B3354" s="4"/>
      <c r="I3354" s="5"/>
      <c r="J3354" s="5"/>
      <c r="K3354" s="6"/>
      <c r="N3354" s="2"/>
      <c r="O3354" s="2"/>
      <c r="P3354" s="2"/>
    </row>
    <row r="3355" spans="2:16" ht="14.25">
      <c r="B3355" s="4"/>
      <c r="I3355" s="5"/>
      <c r="J3355" s="5"/>
      <c r="K3355" s="6"/>
      <c r="N3355" s="2"/>
      <c r="O3355" s="2"/>
      <c r="P3355" s="2"/>
    </row>
    <row r="3356" spans="2:16" ht="14.25">
      <c r="B3356" s="4"/>
      <c r="I3356" s="5"/>
      <c r="J3356" s="5"/>
      <c r="K3356" s="6"/>
      <c r="N3356" s="2"/>
      <c r="O3356" s="2"/>
      <c r="P3356" s="2"/>
    </row>
    <row r="3357" spans="2:16" ht="14.25">
      <c r="B3357" s="4"/>
      <c r="I3357" s="5"/>
      <c r="J3357" s="5"/>
      <c r="K3357" s="6"/>
      <c r="N3357" s="2"/>
      <c r="O3357" s="2"/>
      <c r="P3357" s="2"/>
    </row>
    <row r="3358" spans="2:16" ht="14.25">
      <c r="B3358" s="4"/>
      <c r="I3358" s="5"/>
      <c r="J3358" s="5"/>
      <c r="K3358" s="6"/>
      <c r="N3358" s="2"/>
      <c r="O3358" s="2"/>
      <c r="P3358" s="2"/>
    </row>
    <row r="3359" spans="2:16" ht="14.25">
      <c r="B3359" s="4"/>
      <c r="I3359" s="5"/>
      <c r="J3359" s="5"/>
      <c r="K3359" s="6"/>
      <c r="N3359" s="2"/>
      <c r="O3359" s="2"/>
      <c r="P3359" s="2"/>
    </row>
    <row r="3360" spans="2:16" ht="14.25">
      <c r="B3360" s="4"/>
      <c r="I3360" s="5"/>
      <c r="J3360" s="5"/>
      <c r="K3360" s="6"/>
      <c r="N3360" s="2"/>
      <c r="O3360" s="2"/>
      <c r="P3360" s="2"/>
    </row>
    <row r="3361" spans="2:16" ht="14.25">
      <c r="B3361" s="4"/>
      <c r="I3361" s="5"/>
      <c r="J3361" s="5"/>
      <c r="K3361" s="6"/>
      <c r="N3361" s="2"/>
      <c r="O3361" s="2"/>
      <c r="P3361" s="2"/>
    </row>
    <row r="3362" spans="2:16" ht="14.25">
      <c r="B3362" s="4"/>
      <c r="I3362" s="5"/>
      <c r="J3362" s="5"/>
      <c r="K3362" s="6"/>
      <c r="N3362" s="2"/>
      <c r="O3362" s="2"/>
      <c r="P3362" s="2"/>
    </row>
    <row r="3363" spans="2:16" ht="14.25">
      <c r="B3363" s="4"/>
      <c r="I3363" s="5"/>
      <c r="J3363" s="5"/>
      <c r="K3363" s="6"/>
      <c r="N3363" s="2"/>
      <c r="O3363" s="2"/>
      <c r="P3363" s="2"/>
    </row>
    <row r="3364" spans="2:16" ht="14.25">
      <c r="B3364" s="4"/>
      <c r="I3364" s="5"/>
      <c r="J3364" s="5"/>
      <c r="K3364" s="6"/>
      <c r="N3364" s="2"/>
      <c r="O3364" s="2"/>
      <c r="P3364" s="2"/>
    </row>
    <row r="3365" spans="2:16" ht="14.25">
      <c r="B3365" s="4"/>
      <c r="I3365" s="5"/>
      <c r="J3365" s="5"/>
      <c r="K3365" s="6"/>
      <c r="N3365" s="2"/>
      <c r="O3365" s="2"/>
      <c r="P3365" s="2"/>
    </row>
    <row r="3366" spans="2:16" ht="14.25">
      <c r="B3366" s="4"/>
      <c r="I3366" s="5"/>
      <c r="J3366" s="5"/>
      <c r="K3366" s="6"/>
      <c r="N3366" s="2"/>
      <c r="O3366" s="2"/>
      <c r="P3366" s="2"/>
    </row>
    <row r="3367" spans="2:16" ht="14.25">
      <c r="B3367" s="4"/>
      <c r="I3367" s="5"/>
      <c r="J3367" s="5"/>
      <c r="K3367" s="6"/>
      <c r="N3367" s="2"/>
      <c r="O3367" s="2"/>
      <c r="P3367" s="2"/>
    </row>
    <row r="3368" spans="2:16" ht="14.25">
      <c r="B3368" s="4"/>
      <c r="I3368" s="5"/>
      <c r="J3368" s="5"/>
      <c r="K3368" s="6"/>
      <c r="N3368" s="2"/>
      <c r="O3368" s="2"/>
      <c r="P3368" s="2"/>
    </row>
    <row r="3369" spans="2:16" ht="14.25">
      <c r="B3369" s="4"/>
      <c r="I3369" s="5"/>
      <c r="J3369" s="5"/>
      <c r="K3369" s="6"/>
      <c r="N3369" s="2"/>
      <c r="O3369" s="2"/>
      <c r="P3369" s="2"/>
    </row>
    <row r="3370" spans="2:16" ht="14.25">
      <c r="B3370" s="4"/>
      <c r="I3370" s="5"/>
      <c r="J3370" s="5"/>
      <c r="K3370" s="6"/>
      <c r="N3370" s="2"/>
      <c r="O3370" s="2"/>
      <c r="P3370" s="2"/>
    </row>
    <row r="3371" spans="2:16" ht="14.25">
      <c r="B3371" s="4"/>
      <c r="I3371" s="5"/>
      <c r="J3371" s="5"/>
      <c r="K3371" s="6"/>
      <c r="N3371" s="2"/>
      <c r="O3371" s="2"/>
      <c r="P3371" s="2"/>
    </row>
    <row r="3372" spans="2:16" ht="14.25">
      <c r="B3372" s="4"/>
      <c r="I3372" s="5"/>
      <c r="J3372" s="5"/>
      <c r="K3372" s="6"/>
      <c r="N3372" s="2"/>
      <c r="O3372" s="2"/>
      <c r="P3372" s="2"/>
    </row>
    <row r="3373" spans="2:16" ht="14.25">
      <c r="B3373" s="4"/>
      <c r="I3373" s="5"/>
      <c r="J3373" s="5"/>
      <c r="K3373" s="6"/>
      <c r="N3373" s="2"/>
      <c r="O3373" s="2"/>
      <c r="P3373" s="2"/>
    </row>
    <row r="3374" spans="2:16" ht="14.25">
      <c r="B3374" s="4"/>
      <c r="I3374" s="5"/>
      <c r="J3374" s="5"/>
      <c r="K3374" s="6"/>
      <c r="N3374" s="2"/>
      <c r="O3374" s="2"/>
      <c r="P3374" s="2"/>
    </row>
    <row r="3375" spans="2:16" ht="14.25">
      <c r="B3375" s="4"/>
      <c r="I3375" s="5"/>
      <c r="J3375" s="5"/>
      <c r="K3375" s="6"/>
      <c r="N3375" s="2"/>
      <c r="O3375" s="2"/>
      <c r="P3375" s="2"/>
    </row>
    <row r="3376" spans="2:16" ht="14.25">
      <c r="B3376" s="4"/>
      <c r="I3376" s="5"/>
      <c r="J3376" s="5"/>
      <c r="K3376" s="6"/>
      <c r="N3376" s="2"/>
      <c r="O3376" s="2"/>
      <c r="P3376" s="2"/>
    </row>
    <row r="3377" spans="2:16" ht="14.25">
      <c r="B3377" s="4"/>
      <c r="I3377" s="5"/>
      <c r="J3377" s="5"/>
      <c r="K3377" s="6"/>
      <c r="N3377" s="2"/>
      <c r="O3377" s="2"/>
      <c r="P3377" s="2"/>
    </row>
    <row r="3378" spans="2:16" ht="14.25">
      <c r="B3378" s="4"/>
      <c r="I3378" s="5"/>
      <c r="J3378" s="5"/>
      <c r="K3378" s="6"/>
      <c r="N3378" s="2"/>
      <c r="O3378" s="2"/>
      <c r="P3378" s="2"/>
    </row>
    <row r="3379" spans="2:16" ht="14.25">
      <c r="B3379" s="4"/>
      <c r="I3379" s="5"/>
      <c r="J3379" s="5"/>
      <c r="K3379" s="6"/>
      <c r="N3379" s="2"/>
      <c r="O3379" s="2"/>
      <c r="P3379" s="2"/>
    </row>
    <row r="3380" spans="2:16" ht="14.25">
      <c r="B3380" s="4"/>
      <c r="I3380" s="5"/>
      <c r="J3380" s="5"/>
      <c r="K3380" s="6"/>
      <c r="N3380" s="2"/>
      <c r="O3380" s="2"/>
      <c r="P3380" s="2"/>
    </row>
    <row r="3381" spans="2:16" ht="14.25">
      <c r="B3381" s="4"/>
      <c r="I3381" s="5"/>
      <c r="J3381" s="5"/>
      <c r="K3381" s="6"/>
      <c r="N3381" s="2"/>
      <c r="O3381" s="2"/>
      <c r="P3381" s="2"/>
    </row>
    <row r="3382" spans="2:16" ht="14.25">
      <c r="B3382" s="4"/>
      <c r="I3382" s="5"/>
      <c r="J3382" s="5"/>
      <c r="K3382" s="6"/>
      <c r="N3382" s="2"/>
      <c r="O3382" s="2"/>
      <c r="P3382" s="2"/>
    </row>
    <row r="3383" spans="2:16" ht="14.25">
      <c r="B3383" s="4"/>
      <c r="I3383" s="5"/>
      <c r="J3383" s="5"/>
      <c r="K3383" s="6"/>
      <c r="N3383" s="2"/>
      <c r="O3383" s="2"/>
      <c r="P3383" s="2"/>
    </row>
    <row r="3384" spans="2:16" ht="14.25">
      <c r="B3384" s="4"/>
      <c r="I3384" s="5"/>
      <c r="J3384" s="5"/>
      <c r="K3384" s="6"/>
      <c r="N3384" s="2"/>
      <c r="O3384" s="2"/>
      <c r="P3384" s="2"/>
    </row>
    <row r="3385" spans="2:16" ht="14.25">
      <c r="B3385" s="4"/>
      <c r="I3385" s="5"/>
      <c r="J3385" s="5"/>
      <c r="K3385" s="6"/>
      <c r="N3385" s="2"/>
      <c r="O3385" s="2"/>
      <c r="P3385" s="2"/>
    </row>
    <row r="3386" spans="2:16" ht="14.25">
      <c r="B3386" s="4"/>
      <c r="I3386" s="5"/>
      <c r="J3386" s="5"/>
      <c r="K3386" s="6"/>
      <c r="N3386" s="2"/>
      <c r="O3386" s="2"/>
      <c r="P3386" s="2"/>
    </row>
    <row r="3387" spans="2:16" ht="14.25">
      <c r="B3387" s="4"/>
      <c r="I3387" s="5"/>
      <c r="J3387" s="5"/>
      <c r="K3387" s="6"/>
      <c r="N3387" s="2"/>
      <c r="O3387" s="2"/>
      <c r="P3387" s="2"/>
    </row>
    <row r="3388" spans="2:16" ht="14.25">
      <c r="B3388" s="4"/>
      <c r="I3388" s="5"/>
      <c r="J3388" s="5"/>
      <c r="K3388" s="6"/>
      <c r="N3388" s="2"/>
      <c r="O3388" s="2"/>
      <c r="P3388" s="2"/>
    </row>
    <row r="3389" spans="2:16" ht="14.25">
      <c r="B3389" s="4"/>
      <c r="I3389" s="5"/>
      <c r="J3389" s="5"/>
      <c r="K3389" s="6"/>
      <c r="N3389" s="2"/>
      <c r="O3389" s="2"/>
      <c r="P3389" s="2"/>
    </row>
    <row r="3390" spans="2:16" ht="14.25">
      <c r="B3390" s="4"/>
      <c r="I3390" s="5"/>
      <c r="J3390" s="5"/>
      <c r="K3390" s="6"/>
      <c r="N3390" s="2"/>
      <c r="O3390" s="2"/>
      <c r="P3390" s="2"/>
    </row>
    <row r="3391" spans="2:16" ht="14.25">
      <c r="B3391" s="4"/>
      <c r="I3391" s="5"/>
      <c r="J3391" s="5"/>
      <c r="K3391" s="6"/>
      <c r="N3391" s="2"/>
      <c r="O3391" s="2"/>
      <c r="P3391" s="2"/>
    </row>
    <row r="3392" spans="2:16" ht="14.25">
      <c r="B3392" s="4"/>
      <c r="I3392" s="5"/>
      <c r="J3392" s="5"/>
      <c r="K3392" s="6"/>
      <c r="N3392" s="2"/>
      <c r="O3392" s="2"/>
      <c r="P3392" s="2"/>
    </row>
    <row r="3393" spans="2:16" ht="14.25">
      <c r="B3393" s="4"/>
      <c r="I3393" s="5"/>
      <c r="J3393" s="5"/>
      <c r="K3393" s="6"/>
      <c r="N3393" s="2"/>
      <c r="O3393" s="2"/>
      <c r="P3393" s="2"/>
    </row>
    <row r="3394" spans="2:16" ht="14.25">
      <c r="B3394" s="4"/>
      <c r="I3394" s="5"/>
      <c r="J3394" s="5"/>
      <c r="K3394" s="6"/>
      <c r="N3394" s="2"/>
      <c r="O3394" s="2"/>
      <c r="P3394" s="2"/>
    </row>
    <row r="3395" spans="2:16" ht="14.25">
      <c r="B3395" s="4"/>
      <c r="I3395" s="5"/>
      <c r="J3395" s="5"/>
      <c r="K3395" s="6"/>
      <c r="N3395" s="2"/>
      <c r="O3395" s="2"/>
      <c r="P3395" s="2"/>
    </row>
    <row r="3396" spans="2:16" ht="14.25">
      <c r="B3396" s="4"/>
      <c r="I3396" s="5"/>
      <c r="J3396" s="5"/>
      <c r="K3396" s="6"/>
      <c r="N3396" s="2"/>
      <c r="O3396" s="2"/>
      <c r="P3396" s="2"/>
    </row>
    <row r="3397" spans="2:16" ht="14.25">
      <c r="B3397" s="4"/>
      <c r="I3397" s="5"/>
      <c r="J3397" s="5"/>
      <c r="K3397" s="6"/>
      <c r="N3397" s="2"/>
      <c r="O3397" s="2"/>
      <c r="P3397" s="2"/>
    </row>
    <row r="3398" spans="2:16" ht="14.25">
      <c r="B3398" s="4"/>
      <c r="I3398" s="5"/>
      <c r="J3398" s="5"/>
      <c r="K3398" s="6"/>
      <c r="N3398" s="2"/>
      <c r="O3398" s="2"/>
      <c r="P3398" s="2"/>
    </row>
    <row r="3399" spans="2:16" ht="14.25">
      <c r="B3399" s="4"/>
      <c r="I3399" s="5"/>
      <c r="J3399" s="5"/>
      <c r="K3399" s="6"/>
      <c r="N3399" s="2"/>
      <c r="O3399" s="2"/>
      <c r="P3399" s="2"/>
    </row>
    <row r="3400" spans="2:16" ht="14.25">
      <c r="B3400" s="4"/>
      <c r="I3400" s="5"/>
      <c r="J3400" s="5"/>
      <c r="K3400" s="6"/>
      <c r="N3400" s="2"/>
      <c r="O3400" s="2"/>
      <c r="P3400" s="2"/>
    </row>
    <row r="3401" spans="2:16" ht="14.25">
      <c r="B3401" s="4"/>
      <c r="I3401" s="5"/>
      <c r="J3401" s="5"/>
      <c r="K3401" s="6"/>
      <c r="N3401" s="2"/>
      <c r="O3401" s="2"/>
      <c r="P3401" s="2"/>
    </row>
    <row r="3402" spans="2:16" ht="14.25">
      <c r="B3402" s="4"/>
      <c r="I3402" s="5"/>
      <c r="J3402" s="5"/>
      <c r="K3402" s="6"/>
      <c r="N3402" s="2"/>
      <c r="O3402" s="2"/>
      <c r="P3402" s="2"/>
    </row>
    <row r="3403" spans="2:16" ht="14.25">
      <c r="B3403" s="4"/>
      <c r="I3403" s="5"/>
      <c r="J3403" s="5"/>
      <c r="K3403" s="6"/>
      <c r="N3403" s="2"/>
      <c r="O3403" s="2"/>
      <c r="P3403" s="2"/>
    </row>
    <row r="3404" spans="2:16" ht="14.25">
      <c r="B3404" s="4"/>
      <c r="I3404" s="5"/>
      <c r="J3404" s="5"/>
      <c r="K3404" s="6"/>
      <c r="N3404" s="2"/>
      <c r="O3404" s="2"/>
      <c r="P3404" s="2"/>
    </row>
    <row r="3405" spans="2:16" ht="14.25">
      <c r="B3405" s="4"/>
      <c r="I3405" s="5"/>
      <c r="J3405" s="5"/>
      <c r="K3405" s="6"/>
      <c r="N3405" s="2"/>
      <c r="O3405" s="2"/>
      <c r="P3405" s="2"/>
    </row>
    <row r="3406" spans="2:16" ht="14.25">
      <c r="B3406" s="4"/>
      <c r="I3406" s="5"/>
      <c r="J3406" s="5"/>
      <c r="K3406" s="6"/>
      <c r="N3406" s="2"/>
      <c r="O3406" s="2"/>
      <c r="P3406" s="2"/>
    </row>
    <row r="3407" spans="2:16" ht="14.25">
      <c r="B3407" s="4"/>
      <c r="I3407" s="5"/>
      <c r="J3407" s="5"/>
      <c r="K3407" s="6"/>
      <c r="N3407" s="2"/>
      <c r="O3407" s="2"/>
      <c r="P3407" s="2"/>
    </row>
    <row r="3408" spans="2:16" ht="14.25">
      <c r="B3408" s="4"/>
      <c r="I3408" s="5"/>
      <c r="J3408" s="5"/>
      <c r="K3408" s="6"/>
      <c r="N3408" s="2"/>
      <c r="O3408" s="2"/>
      <c r="P3408" s="2"/>
    </row>
    <row r="3409" spans="2:16" ht="14.25">
      <c r="B3409" s="4"/>
      <c r="I3409" s="5"/>
      <c r="J3409" s="5"/>
      <c r="K3409" s="6"/>
      <c r="N3409" s="2"/>
      <c r="O3409" s="2"/>
      <c r="P3409" s="2"/>
    </row>
    <row r="3410" spans="2:16" ht="14.25">
      <c r="B3410" s="4"/>
      <c r="I3410" s="5"/>
      <c r="J3410" s="5"/>
      <c r="K3410" s="6"/>
      <c r="N3410" s="2"/>
      <c r="O3410" s="2"/>
      <c r="P3410" s="2"/>
    </row>
    <row r="3411" spans="2:16" ht="14.25">
      <c r="B3411" s="4"/>
      <c r="I3411" s="5"/>
      <c r="J3411" s="5"/>
      <c r="K3411" s="6"/>
      <c r="N3411" s="2"/>
      <c r="O3411" s="2"/>
      <c r="P3411" s="2"/>
    </row>
    <row r="3412" spans="2:16" ht="14.25">
      <c r="B3412" s="4"/>
      <c r="I3412" s="5"/>
      <c r="J3412" s="5"/>
      <c r="K3412" s="6"/>
      <c r="N3412" s="2"/>
      <c r="O3412" s="2"/>
      <c r="P3412" s="2"/>
    </row>
    <row r="3413" spans="2:16" ht="14.25">
      <c r="B3413" s="4"/>
      <c r="I3413" s="5"/>
      <c r="J3413" s="5"/>
      <c r="K3413" s="6"/>
      <c r="N3413" s="2"/>
      <c r="O3413" s="2"/>
      <c r="P3413" s="2"/>
    </row>
    <row r="3414" spans="2:16" ht="14.25">
      <c r="B3414" s="4"/>
      <c r="I3414" s="5"/>
      <c r="J3414" s="5"/>
      <c r="K3414" s="6"/>
      <c r="N3414" s="2"/>
      <c r="O3414" s="2"/>
      <c r="P3414" s="2"/>
    </row>
    <row r="3415" spans="2:16" ht="14.25">
      <c r="B3415" s="4"/>
      <c r="I3415" s="5"/>
      <c r="J3415" s="5"/>
      <c r="K3415" s="6"/>
      <c r="N3415" s="2"/>
      <c r="O3415" s="2"/>
      <c r="P3415" s="2"/>
    </row>
    <row r="3416" spans="2:16" ht="14.25">
      <c r="B3416" s="4"/>
      <c r="I3416" s="5"/>
      <c r="J3416" s="5"/>
      <c r="K3416" s="6"/>
      <c r="N3416" s="2"/>
      <c r="O3416" s="2"/>
      <c r="P3416" s="2"/>
    </row>
    <row r="3417" spans="2:16" ht="14.25">
      <c r="B3417" s="4"/>
      <c r="I3417" s="5"/>
      <c r="J3417" s="5"/>
      <c r="K3417" s="6"/>
      <c r="N3417" s="2"/>
      <c r="O3417" s="2"/>
      <c r="P3417" s="2"/>
    </row>
    <row r="3418" spans="2:16" ht="14.25">
      <c r="B3418" s="4"/>
      <c r="I3418" s="5"/>
      <c r="J3418" s="5"/>
      <c r="K3418" s="6"/>
      <c r="N3418" s="2"/>
      <c r="O3418" s="2"/>
      <c r="P3418" s="2"/>
    </row>
    <row r="3419" spans="2:16" ht="14.25">
      <c r="B3419" s="4"/>
      <c r="I3419" s="5"/>
      <c r="J3419" s="5"/>
      <c r="K3419" s="6"/>
      <c r="N3419" s="2"/>
      <c r="O3419" s="2"/>
      <c r="P3419" s="2"/>
    </row>
    <row r="3420" spans="2:16" ht="14.25">
      <c r="B3420" s="4"/>
      <c r="I3420" s="5"/>
      <c r="J3420" s="5"/>
      <c r="K3420" s="6"/>
      <c r="N3420" s="2"/>
      <c r="O3420" s="2"/>
      <c r="P3420" s="2"/>
    </row>
    <row r="3421" spans="2:16" ht="14.25">
      <c r="B3421" s="4"/>
      <c r="I3421" s="5"/>
      <c r="J3421" s="5"/>
      <c r="K3421" s="6"/>
      <c r="N3421" s="2"/>
      <c r="O3421" s="2"/>
      <c r="P3421" s="2"/>
    </row>
    <row r="3422" spans="2:16" ht="14.25">
      <c r="B3422" s="4"/>
      <c r="I3422" s="5"/>
      <c r="J3422" s="5"/>
      <c r="K3422" s="6"/>
      <c r="N3422" s="2"/>
      <c r="O3422" s="2"/>
      <c r="P3422" s="2"/>
    </row>
    <row r="3423" spans="2:16" ht="14.25">
      <c r="B3423" s="4"/>
      <c r="I3423" s="5"/>
      <c r="J3423" s="5"/>
      <c r="K3423" s="6"/>
      <c r="N3423" s="2"/>
      <c r="O3423" s="2"/>
      <c r="P3423" s="2"/>
    </row>
    <row r="3424" spans="2:16" ht="14.25">
      <c r="B3424" s="4"/>
      <c r="I3424" s="5"/>
      <c r="J3424" s="5"/>
      <c r="K3424" s="6"/>
      <c r="N3424" s="2"/>
      <c r="O3424" s="2"/>
      <c r="P3424" s="2"/>
    </row>
    <row r="3425" spans="2:16" ht="14.25">
      <c r="B3425" s="4"/>
      <c r="I3425" s="5"/>
      <c r="J3425" s="5"/>
      <c r="K3425" s="6"/>
      <c r="N3425" s="2"/>
      <c r="O3425" s="2"/>
      <c r="P3425" s="2"/>
    </row>
    <row r="3426" spans="2:16" ht="14.25">
      <c r="B3426" s="4"/>
      <c r="I3426" s="5"/>
      <c r="J3426" s="5"/>
      <c r="K3426" s="6"/>
      <c r="N3426" s="2"/>
      <c r="O3426" s="2"/>
      <c r="P3426" s="2"/>
    </row>
    <row r="3427" spans="2:16" ht="14.25">
      <c r="B3427" s="4"/>
      <c r="I3427" s="5"/>
      <c r="J3427" s="5"/>
      <c r="K3427" s="6"/>
      <c r="N3427" s="2"/>
      <c r="O3427" s="2"/>
      <c r="P3427" s="2"/>
    </row>
    <row r="3428" spans="2:16" ht="14.25">
      <c r="B3428" s="4"/>
      <c r="I3428" s="5"/>
      <c r="J3428" s="5"/>
      <c r="K3428" s="6"/>
      <c r="N3428" s="2"/>
      <c r="O3428" s="2"/>
      <c r="P3428" s="2"/>
    </row>
    <row r="3429" spans="2:16" ht="14.25">
      <c r="B3429" s="4"/>
      <c r="I3429" s="5"/>
      <c r="J3429" s="5"/>
      <c r="K3429" s="6"/>
      <c r="N3429" s="2"/>
      <c r="O3429" s="2"/>
      <c r="P3429" s="2"/>
    </row>
    <row r="3430" spans="2:16" ht="14.25">
      <c r="B3430" s="4"/>
      <c r="I3430" s="5"/>
      <c r="J3430" s="5"/>
      <c r="K3430" s="6"/>
      <c r="N3430" s="2"/>
      <c r="O3430" s="2"/>
      <c r="P3430" s="2"/>
    </row>
    <row r="3431" spans="2:16" ht="14.25">
      <c r="B3431" s="4"/>
      <c r="I3431" s="5"/>
      <c r="J3431" s="5"/>
      <c r="K3431" s="6"/>
      <c r="N3431" s="2"/>
      <c r="O3431" s="2"/>
      <c r="P3431" s="2"/>
    </row>
    <row r="3432" spans="2:16" ht="14.25">
      <c r="B3432" s="4"/>
      <c r="I3432" s="5"/>
      <c r="J3432" s="5"/>
      <c r="K3432" s="6"/>
      <c r="N3432" s="2"/>
      <c r="O3432" s="2"/>
      <c r="P3432" s="2"/>
    </row>
    <row r="3433" spans="2:16" ht="14.25">
      <c r="B3433" s="4"/>
      <c r="I3433" s="5"/>
      <c r="J3433" s="5"/>
      <c r="K3433" s="6"/>
      <c r="N3433" s="2"/>
      <c r="O3433" s="2"/>
      <c r="P3433" s="2"/>
    </row>
    <row r="3434" spans="2:16" ht="14.25">
      <c r="B3434" s="4"/>
      <c r="I3434" s="5"/>
      <c r="J3434" s="5"/>
      <c r="K3434" s="6"/>
      <c r="N3434" s="2"/>
      <c r="O3434" s="2"/>
      <c r="P3434" s="2"/>
    </row>
    <row r="3435" spans="2:16" ht="14.25">
      <c r="B3435" s="4"/>
      <c r="I3435" s="5"/>
      <c r="J3435" s="5"/>
      <c r="K3435" s="6"/>
      <c r="N3435" s="2"/>
      <c r="O3435" s="2"/>
      <c r="P3435" s="2"/>
    </row>
    <row r="3436" spans="2:16" ht="14.25">
      <c r="B3436" s="4"/>
      <c r="I3436" s="5"/>
      <c r="J3436" s="5"/>
      <c r="K3436" s="6"/>
      <c r="N3436" s="2"/>
      <c r="O3436" s="2"/>
      <c r="P3436" s="2"/>
    </row>
    <row r="3437" spans="2:16" ht="14.25">
      <c r="B3437" s="4"/>
      <c r="I3437" s="5"/>
      <c r="J3437" s="5"/>
      <c r="K3437" s="6"/>
      <c r="N3437" s="2"/>
      <c r="O3437" s="2"/>
      <c r="P3437" s="2"/>
    </row>
    <row r="3438" spans="2:16" ht="14.25">
      <c r="B3438" s="4"/>
      <c r="I3438" s="5"/>
      <c r="J3438" s="5"/>
      <c r="K3438" s="6"/>
      <c r="N3438" s="2"/>
      <c r="O3438" s="2"/>
      <c r="P3438" s="2"/>
    </row>
    <row r="3439" spans="2:16" ht="14.25">
      <c r="B3439" s="4"/>
      <c r="I3439" s="5"/>
      <c r="J3439" s="5"/>
      <c r="K3439" s="6"/>
      <c r="N3439" s="2"/>
      <c r="O3439" s="2"/>
      <c r="P3439" s="2"/>
    </row>
    <row r="3440" spans="2:16" ht="14.25">
      <c r="B3440" s="4"/>
      <c r="I3440" s="5"/>
      <c r="J3440" s="5"/>
      <c r="K3440" s="6"/>
      <c r="N3440" s="2"/>
      <c r="O3440" s="2"/>
      <c r="P3440" s="2"/>
    </row>
    <row r="3441" spans="2:16" ht="14.25">
      <c r="B3441" s="4"/>
      <c r="I3441" s="5"/>
      <c r="J3441" s="5"/>
      <c r="K3441" s="6"/>
      <c r="N3441" s="2"/>
      <c r="O3441" s="2"/>
      <c r="P3441" s="2"/>
    </row>
    <row r="3442" spans="2:16" ht="14.25">
      <c r="B3442" s="4"/>
      <c r="I3442" s="5"/>
      <c r="J3442" s="5"/>
      <c r="K3442" s="6"/>
      <c r="N3442" s="2"/>
      <c r="O3442" s="2"/>
      <c r="P3442" s="2"/>
    </row>
    <row r="3443" spans="2:16" ht="14.25">
      <c r="B3443" s="4"/>
      <c r="I3443" s="5"/>
      <c r="J3443" s="5"/>
      <c r="K3443" s="6"/>
      <c r="N3443" s="2"/>
      <c r="O3443" s="2"/>
      <c r="P3443" s="2"/>
    </row>
    <row r="3444" spans="2:16" ht="14.25">
      <c r="B3444" s="4"/>
      <c r="I3444" s="5"/>
      <c r="J3444" s="5"/>
      <c r="K3444" s="6"/>
      <c r="N3444" s="2"/>
      <c r="O3444" s="2"/>
      <c r="P3444" s="2"/>
    </row>
    <row r="3445" spans="2:16" ht="14.25">
      <c r="B3445" s="4"/>
      <c r="I3445" s="5"/>
      <c r="J3445" s="5"/>
      <c r="K3445" s="6"/>
      <c r="N3445" s="2"/>
      <c r="O3445" s="2"/>
      <c r="P3445" s="2"/>
    </row>
    <row r="3446" spans="2:16" ht="14.25">
      <c r="B3446" s="4"/>
      <c r="I3446" s="5"/>
      <c r="J3446" s="5"/>
      <c r="K3446" s="6"/>
      <c r="N3446" s="2"/>
      <c r="O3446" s="2"/>
      <c r="P3446" s="2"/>
    </row>
    <row r="3447" spans="2:16" ht="14.25">
      <c r="B3447" s="4"/>
      <c r="I3447" s="5"/>
      <c r="J3447" s="5"/>
      <c r="K3447" s="6"/>
      <c r="N3447" s="2"/>
      <c r="O3447" s="2"/>
      <c r="P3447" s="2"/>
    </row>
    <row r="3448" spans="2:16" ht="14.25">
      <c r="B3448" s="4"/>
      <c r="I3448" s="5"/>
      <c r="J3448" s="5"/>
      <c r="K3448" s="6"/>
      <c r="N3448" s="2"/>
      <c r="O3448" s="2"/>
      <c r="P3448" s="2"/>
    </row>
    <row r="3449" spans="2:16" ht="14.25">
      <c r="B3449" s="4"/>
      <c r="I3449" s="5"/>
      <c r="J3449" s="5"/>
      <c r="K3449" s="6"/>
      <c r="N3449" s="2"/>
      <c r="O3449" s="2"/>
      <c r="P3449" s="2"/>
    </row>
    <row r="3450" spans="2:16" ht="14.25">
      <c r="B3450" s="4"/>
      <c r="I3450" s="5"/>
      <c r="J3450" s="5"/>
      <c r="K3450" s="6"/>
      <c r="N3450" s="2"/>
      <c r="O3450" s="2"/>
      <c r="P3450" s="2"/>
    </row>
    <row r="3451" spans="2:16" ht="14.25">
      <c r="B3451" s="4"/>
      <c r="I3451" s="5"/>
      <c r="J3451" s="5"/>
      <c r="K3451" s="6"/>
      <c r="N3451" s="2"/>
      <c r="O3451" s="2"/>
      <c r="P3451" s="2"/>
    </row>
    <row r="3452" spans="2:16" ht="14.25">
      <c r="B3452" s="4"/>
      <c r="I3452" s="5"/>
      <c r="J3452" s="5"/>
      <c r="K3452" s="6"/>
      <c r="N3452" s="2"/>
      <c r="O3452" s="2"/>
      <c r="P3452" s="2"/>
    </row>
    <row r="3453" spans="2:16" ht="14.25">
      <c r="B3453" s="4"/>
      <c r="I3453" s="5"/>
      <c r="J3453" s="5"/>
      <c r="K3453" s="6"/>
      <c r="N3453" s="2"/>
      <c r="O3453" s="2"/>
      <c r="P3453" s="2"/>
    </row>
    <row r="3454" spans="2:16" ht="14.25">
      <c r="B3454" s="4"/>
      <c r="I3454" s="5"/>
      <c r="J3454" s="5"/>
      <c r="K3454" s="6"/>
      <c r="N3454" s="2"/>
      <c r="O3454" s="2"/>
      <c r="P3454" s="2"/>
    </row>
    <row r="3455" spans="2:16" ht="14.25">
      <c r="B3455" s="4"/>
      <c r="I3455" s="5"/>
      <c r="J3455" s="5"/>
      <c r="K3455" s="6"/>
      <c r="N3455" s="2"/>
      <c r="O3455" s="2"/>
      <c r="P3455" s="2"/>
    </row>
    <row r="3456" spans="2:16" ht="14.25">
      <c r="B3456" s="4"/>
      <c r="I3456" s="5"/>
      <c r="J3456" s="5"/>
      <c r="K3456" s="6"/>
      <c r="N3456" s="2"/>
      <c r="O3456" s="2"/>
      <c r="P3456" s="2"/>
    </row>
    <row r="3457" spans="2:16" ht="14.25">
      <c r="B3457" s="4"/>
      <c r="I3457" s="5"/>
      <c r="J3457" s="5"/>
      <c r="K3457" s="6"/>
      <c r="N3457" s="2"/>
      <c r="O3457" s="2"/>
      <c r="P3457" s="2"/>
    </row>
    <row r="3458" spans="2:16" ht="14.25">
      <c r="B3458" s="4"/>
      <c r="I3458" s="5"/>
      <c r="J3458" s="5"/>
      <c r="K3458" s="6"/>
      <c r="N3458" s="2"/>
      <c r="O3458" s="2"/>
      <c r="P3458" s="2"/>
    </row>
    <row r="3459" spans="2:16" ht="14.25">
      <c r="B3459" s="4"/>
      <c r="I3459" s="5"/>
      <c r="J3459" s="5"/>
      <c r="K3459" s="6"/>
      <c r="N3459" s="2"/>
      <c r="O3459" s="2"/>
      <c r="P3459" s="2"/>
    </row>
    <row r="3460" spans="2:16" ht="14.25">
      <c r="B3460" s="4"/>
      <c r="I3460" s="5"/>
      <c r="J3460" s="5"/>
      <c r="K3460" s="6"/>
      <c r="N3460" s="2"/>
      <c r="O3460" s="2"/>
      <c r="P3460" s="2"/>
    </row>
    <row r="3461" spans="2:16" ht="14.25">
      <c r="B3461" s="4"/>
      <c r="I3461" s="5"/>
      <c r="J3461" s="5"/>
      <c r="K3461" s="6"/>
      <c r="N3461" s="2"/>
      <c r="O3461" s="2"/>
      <c r="P3461" s="2"/>
    </row>
    <row r="3462" spans="2:16" ht="14.25">
      <c r="B3462" s="4"/>
      <c r="I3462" s="5"/>
      <c r="J3462" s="5"/>
      <c r="K3462" s="6"/>
      <c r="N3462" s="2"/>
      <c r="O3462" s="2"/>
      <c r="P3462" s="2"/>
    </row>
    <row r="3463" spans="2:16" ht="14.25">
      <c r="B3463" s="4"/>
      <c r="I3463" s="5"/>
      <c r="J3463" s="5"/>
      <c r="K3463" s="6"/>
      <c r="N3463" s="2"/>
      <c r="O3463" s="2"/>
      <c r="P3463" s="2"/>
    </row>
    <row r="3464" spans="2:16" ht="14.25">
      <c r="B3464" s="4"/>
      <c r="I3464" s="5"/>
      <c r="J3464" s="5"/>
      <c r="K3464" s="6"/>
      <c r="N3464" s="2"/>
      <c r="O3464" s="2"/>
      <c r="P3464" s="2"/>
    </row>
    <row r="3465" spans="2:16" ht="14.25">
      <c r="B3465" s="4"/>
      <c r="I3465" s="5"/>
      <c r="J3465" s="5"/>
      <c r="K3465" s="6"/>
      <c r="N3465" s="2"/>
      <c r="O3465" s="2"/>
      <c r="P3465" s="2"/>
    </row>
    <row r="3466" spans="2:16" ht="14.25">
      <c r="B3466" s="4"/>
      <c r="I3466" s="5"/>
      <c r="J3466" s="5"/>
      <c r="K3466" s="6"/>
      <c r="N3466" s="2"/>
      <c r="O3466" s="2"/>
      <c r="P3466" s="2"/>
    </row>
    <row r="3467" spans="2:16" ht="14.25">
      <c r="B3467" s="4"/>
      <c r="I3467" s="5"/>
      <c r="J3467" s="5"/>
      <c r="K3467" s="6"/>
      <c r="N3467" s="2"/>
      <c r="O3467" s="2"/>
      <c r="P3467" s="2"/>
    </row>
    <row r="3468" spans="2:16" ht="14.25">
      <c r="B3468" s="4"/>
      <c r="I3468" s="5"/>
      <c r="J3468" s="5"/>
      <c r="K3468" s="6"/>
      <c r="N3468" s="2"/>
      <c r="O3468" s="2"/>
      <c r="P3468" s="2"/>
    </row>
    <row r="3469" spans="2:16" ht="14.25">
      <c r="B3469" s="4"/>
      <c r="I3469" s="5"/>
      <c r="J3469" s="5"/>
      <c r="K3469" s="6"/>
      <c r="N3469" s="2"/>
      <c r="O3469" s="2"/>
      <c r="P3469" s="2"/>
    </row>
    <row r="3470" spans="2:16" ht="14.25">
      <c r="B3470" s="4"/>
      <c r="I3470" s="5"/>
      <c r="J3470" s="5"/>
      <c r="K3470" s="6"/>
      <c r="N3470" s="2"/>
      <c r="O3470" s="2"/>
      <c r="P3470" s="2"/>
    </row>
    <row r="3471" spans="2:16" ht="14.25">
      <c r="B3471" s="4"/>
      <c r="I3471" s="5"/>
      <c r="J3471" s="5"/>
      <c r="K3471" s="6"/>
      <c r="N3471" s="2"/>
      <c r="O3471" s="2"/>
      <c r="P3471" s="2"/>
    </row>
    <row r="3472" spans="2:16" ht="14.25">
      <c r="B3472" s="4"/>
      <c r="I3472" s="5"/>
      <c r="J3472" s="5"/>
      <c r="K3472" s="6"/>
      <c r="N3472" s="2"/>
      <c r="O3472" s="2"/>
      <c r="P3472" s="2"/>
    </row>
    <row r="3473" spans="2:16" ht="14.25">
      <c r="B3473" s="4"/>
      <c r="I3473" s="5"/>
      <c r="J3473" s="5"/>
      <c r="K3473" s="6"/>
      <c r="N3473" s="2"/>
      <c r="O3473" s="2"/>
      <c r="P3473" s="2"/>
    </row>
    <row r="3474" spans="2:16" ht="14.25">
      <c r="B3474" s="4"/>
      <c r="I3474" s="5"/>
      <c r="J3474" s="5"/>
      <c r="K3474" s="6"/>
      <c r="N3474" s="2"/>
      <c r="O3474" s="2"/>
      <c r="P3474" s="2"/>
    </row>
    <row r="3475" spans="2:16" ht="14.25">
      <c r="B3475" s="4"/>
      <c r="I3475" s="5"/>
      <c r="J3475" s="5"/>
      <c r="K3475" s="6"/>
      <c r="N3475" s="2"/>
      <c r="O3475" s="2"/>
      <c r="P3475" s="2"/>
    </row>
    <row r="3476" spans="2:16" ht="14.25">
      <c r="B3476" s="4"/>
      <c r="I3476" s="5"/>
      <c r="J3476" s="5"/>
      <c r="K3476" s="6"/>
      <c r="N3476" s="2"/>
      <c r="O3476" s="2"/>
      <c r="P3476" s="2"/>
    </row>
    <row r="3477" spans="2:16" ht="14.25">
      <c r="B3477" s="4"/>
      <c r="I3477" s="5"/>
      <c r="J3477" s="5"/>
      <c r="K3477" s="6"/>
      <c r="N3477" s="2"/>
      <c r="O3477" s="2"/>
      <c r="P3477" s="2"/>
    </row>
    <row r="3478" spans="2:16" ht="14.25">
      <c r="B3478" s="4"/>
      <c r="I3478" s="5"/>
      <c r="J3478" s="5"/>
      <c r="K3478" s="6"/>
      <c r="N3478" s="2"/>
      <c r="O3478" s="2"/>
      <c r="P3478" s="2"/>
    </row>
    <row r="3479" spans="2:16" ht="14.25">
      <c r="B3479" s="4"/>
      <c r="I3479" s="5"/>
      <c r="J3479" s="5"/>
      <c r="K3479" s="6"/>
      <c r="N3479" s="2"/>
      <c r="O3479" s="2"/>
      <c r="P3479" s="2"/>
    </row>
    <row r="3480" spans="2:16" ht="14.25">
      <c r="B3480" s="4"/>
      <c r="I3480" s="5"/>
      <c r="J3480" s="5"/>
      <c r="K3480" s="6"/>
      <c r="N3480" s="2"/>
      <c r="O3480" s="2"/>
      <c r="P3480" s="2"/>
    </row>
    <row r="3481" spans="2:16" ht="14.25">
      <c r="B3481" s="4"/>
      <c r="I3481" s="5"/>
      <c r="J3481" s="5"/>
      <c r="K3481" s="6"/>
      <c r="N3481" s="2"/>
      <c r="O3481" s="2"/>
      <c r="P3481" s="2"/>
    </row>
    <row r="3482" spans="2:16" ht="14.25">
      <c r="B3482" s="4"/>
      <c r="I3482" s="5"/>
      <c r="J3482" s="5"/>
      <c r="K3482" s="6"/>
      <c r="N3482" s="2"/>
      <c r="O3482" s="2"/>
      <c r="P3482" s="2"/>
    </row>
    <row r="3483" spans="2:16" ht="14.25">
      <c r="B3483" s="4"/>
      <c r="I3483" s="5"/>
      <c r="J3483" s="5"/>
      <c r="K3483" s="6"/>
      <c r="N3483" s="2"/>
      <c r="O3483" s="2"/>
      <c r="P3483" s="2"/>
    </row>
    <row r="3484" spans="2:16" ht="14.25">
      <c r="B3484" s="4"/>
      <c r="I3484" s="5"/>
      <c r="J3484" s="5"/>
      <c r="K3484" s="6"/>
      <c r="N3484" s="2"/>
      <c r="O3484" s="2"/>
      <c r="P3484" s="2"/>
    </row>
    <row r="3485" spans="2:16" ht="14.25">
      <c r="B3485" s="4"/>
      <c r="I3485" s="5"/>
      <c r="J3485" s="5"/>
      <c r="K3485" s="6"/>
      <c r="N3485" s="2"/>
      <c r="O3485" s="2"/>
      <c r="P3485" s="2"/>
    </row>
    <row r="3486" spans="2:16" ht="14.25">
      <c r="B3486" s="4"/>
      <c r="I3486" s="5"/>
      <c r="J3486" s="5"/>
      <c r="K3486" s="6"/>
      <c r="N3486" s="2"/>
      <c r="O3486" s="2"/>
      <c r="P3486" s="2"/>
    </row>
    <row r="3487" spans="2:16" ht="14.25">
      <c r="B3487" s="4"/>
      <c r="I3487" s="5"/>
      <c r="J3487" s="5"/>
      <c r="K3487" s="6"/>
      <c r="N3487" s="2"/>
      <c r="O3487" s="2"/>
      <c r="P3487" s="2"/>
    </row>
    <row r="3488" spans="2:16" ht="14.25">
      <c r="B3488" s="4"/>
      <c r="I3488" s="5"/>
      <c r="J3488" s="5"/>
      <c r="K3488" s="6"/>
      <c r="N3488" s="2"/>
      <c r="O3488" s="2"/>
      <c r="P3488" s="2"/>
    </row>
    <row r="3489" spans="2:16" ht="14.25">
      <c r="B3489" s="4"/>
      <c r="I3489" s="5"/>
      <c r="J3489" s="5"/>
      <c r="K3489" s="6"/>
      <c r="N3489" s="2"/>
      <c r="O3489" s="2"/>
      <c r="P3489" s="2"/>
    </row>
    <row r="3490" spans="2:16" ht="14.25">
      <c r="B3490" s="4"/>
      <c r="I3490" s="5"/>
      <c r="J3490" s="5"/>
      <c r="K3490" s="6"/>
      <c r="N3490" s="2"/>
      <c r="O3490" s="2"/>
      <c r="P3490" s="2"/>
    </row>
    <row r="3491" spans="2:16" ht="14.25">
      <c r="B3491" s="4"/>
      <c r="I3491" s="5"/>
      <c r="J3491" s="5"/>
      <c r="K3491" s="6"/>
      <c r="N3491" s="2"/>
      <c r="O3491" s="2"/>
      <c r="P3491" s="2"/>
    </row>
    <row r="3492" spans="2:16" ht="14.25">
      <c r="B3492" s="4"/>
      <c r="I3492" s="5"/>
      <c r="J3492" s="5"/>
      <c r="K3492" s="6"/>
      <c r="N3492" s="2"/>
      <c r="O3492" s="2"/>
      <c r="P3492" s="2"/>
    </row>
    <row r="3493" spans="2:16" ht="14.25">
      <c r="B3493" s="4"/>
      <c r="I3493" s="5"/>
      <c r="J3493" s="5"/>
      <c r="K3493" s="6"/>
      <c r="N3493" s="2"/>
      <c r="O3493" s="2"/>
      <c r="P3493" s="2"/>
    </row>
    <row r="3494" spans="2:16" ht="14.25">
      <c r="B3494" s="4"/>
      <c r="I3494" s="5"/>
      <c r="J3494" s="5"/>
      <c r="K3494" s="6"/>
      <c r="N3494" s="2"/>
      <c r="O3494" s="2"/>
      <c r="P3494" s="2"/>
    </row>
    <row r="3495" spans="2:16" ht="14.25">
      <c r="B3495" s="4"/>
      <c r="I3495" s="5"/>
      <c r="J3495" s="5"/>
      <c r="K3495" s="6"/>
      <c r="N3495" s="2"/>
      <c r="O3495" s="2"/>
      <c r="P3495" s="2"/>
    </row>
    <row r="3496" spans="2:16" ht="14.25">
      <c r="B3496" s="4"/>
      <c r="I3496" s="5"/>
      <c r="J3496" s="5"/>
      <c r="K3496" s="6"/>
      <c r="N3496" s="2"/>
      <c r="O3496" s="2"/>
      <c r="P3496" s="2"/>
    </row>
    <row r="3497" spans="2:16" ht="14.25">
      <c r="B3497" s="4"/>
      <c r="I3497" s="5"/>
      <c r="J3497" s="5"/>
      <c r="K3497" s="6"/>
      <c r="N3497" s="2"/>
      <c r="O3497" s="2"/>
      <c r="P3497" s="2"/>
    </row>
    <row r="3498" spans="2:16" ht="14.25">
      <c r="B3498" s="4"/>
      <c r="I3498" s="5"/>
      <c r="J3498" s="5"/>
      <c r="K3498" s="6"/>
      <c r="N3498" s="2"/>
      <c r="O3498" s="2"/>
      <c r="P3498" s="2"/>
    </row>
    <row r="3499" spans="2:16" ht="14.25">
      <c r="B3499" s="4"/>
      <c r="I3499" s="5"/>
      <c r="J3499" s="5"/>
      <c r="K3499" s="6"/>
      <c r="N3499" s="2"/>
      <c r="O3499" s="2"/>
      <c r="P3499" s="2"/>
    </row>
    <row r="3500" spans="2:16" ht="14.25">
      <c r="B3500" s="4"/>
      <c r="I3500" s="5"/>
      <c r="J3500" s="5"/>
      <c r="K3500" s="6"/>
      <c r="N3500" s="2"/>
      <c r="O3500" s="2"/>
      <c r="P3500" s="2"/>
    </row>
    <row r="3501" spans="2:16" ht="14.25">
      <c r="B3501" s="4"/>
      <c r="I3501" s="5"/>
      <c r="J3501" s="5"/>
      <c r="K3501" s="6"/>
      <c r="N3501" s="2"/>
      <c r="O3501" s="2"/>
      <c r="P3501" s="2"/>
    </row>
    <row r="3502" spans="2:16" ht="14.25">
      <c r="B3502" s="4"/>
      <c r="I3502" s="5"/>
      <c r="J3502" s="5"/>
      <c r="K3502" s="6"/>
      <c r="N3502" s="2"/>
      <c r="O3502" s="2"/>
      <c r="P3502" s="2"/>
    </row>
    <row r="3503" spans="2:16" ht="14.25">
      <c r="B3503" s="4"/>
      <c r="I3503" s="5"/>
      <c r="J3503" s="5"/>
      <c r="K3503" s="6"/>
      <c r="N3503" s="2"/>
      <c r="O3503" s="2"/>
      <c r="P3503" s="2"/>
    </row>
    <row r="3504" spans="2:16" ht="14.25">
      <c r="B3504" s="4"/>
      <c r="I3504" s="5"/>
      <c r="J3504" s="5"/>
      <c r="K3504" s="6"/>
      <c r="N3504" s="2"/>
      <c r="O3504" s="2"/>
      <c r="P3504" s="2"/>
    </row>
    <row r="3505" spans="2:16" ht="14.25">
      <c r="B3505" s="4"/>
      <c r="I3505" s="5"/>
      <c r="J3505" s="5"/>
      <c r="K3505" s="6"/>
      <c r="N3505" s="2"/>
      <c r="O3505" s="2"/>
      <c r="P3505" s="2"/>
    </row>
    <row r="3506" spans="2:16" ht="14.25">
      <c r="B3506" s="4"/>
      <c r="I3506" s="5"/>
      <c r="J3506" s="5"/>
      <c r="K3506" s="6"/>
      <c r="N3506" s="2"/>
      <c r="O3506" s="2"/>
      <c r="P3506" s="2"/>
    </row>
    <row r="3507" spans="2:16" ht="14.25">
      <c r="B3507" s="4"/>
      <c r="I3507" s="5"/>
      <c r="J3507" s="5"/>
      <c r="K3507" s="6"/>
      <c r="N3507" s="2"/>
      <c r="O3507" s="2"/>
      <c r="P3507" s="2"/>
    </row>
    <row r="3508" spans="2:16" ht="14.25">
      <c r="B3508" s="4"/>
      <c r="I3508" s="5"/>
      <c r="J3508" s="5"/>
      <c r="K3508" s="6"/>
      <c r="N3508" s="2"/>
      <c r="O3508" s="2"/>
      <c r="P3508" s="2"/>
    </row>
    <row r="3509" spans="2:16" ht="14.25">
      <c r="B3509" s="4"/>
      <c r="I3509" s="5"/>
      <c r="J3509" s="5"/>
      <c r="K3509" s="6"/>
      <c r="N3509" s="2"/>
      <c r="O3509" s="2"/>
      <c r="P3509" s="2"/>
    </row>
    <row r="3510" spans="2:16" ht="14.25">
      <c r="B3510" s="4"/>
      <c r="I3510" s="5"/>
      <c r="J3510" s="5"/>
      <c r="K3510" s="6"/>
      <c r="N3510" s="2"/>
      <c r="O3510" s="2"/>
      <c r="P3510" s="2"/>
    </row>
    <row r="3511" spans="2:16" ht="14.25">
      <c r="B3511" s="4"/>
      <c r="I3511" s="5"/>
      <c r="J3511" s="5"/>
      <c r="K3511" s="6"/>
      <c r="N3511" s="2"/>
      <c r="O3511" s="2"/>
      <c r="P3511" s="2"/>
    </row>
    <row r="3512" spans="2:16" ht="14.25">
      <c r="B3512" s="4"/>
      <c r="I3512" s="5"/>
      <c r="J3512" s="5"/>
      <c r="K3512" s="6"/>
      <c r="N3512" s="2"/>
      <c r="O3512" s="2"/>
      <c r="P3512" s="2"/>
    </row>
    <row r="3513" spans="2:16" ht="14.25">
      <c r="B3513" s="4"/>
      <c r="I3513" s="5"/>
      <c r="J3513" s="5"/>
      <c r="K3513" s="6"/>
      <c r="N3513" s="2"/>
      <c r="O3513" s="2"/>
      <c r="P3513" s="2"/>
    </row>
    <row r="3514" spans="2:16" ht="14.25">
      <c r="B3514" s="4"/>
      <c r="I3514" s="5"/>
      <c r="J3514" s="5"/>
      <c r="K3514" s="6"/>
      <c r="N3514" s="2"/>
      <c r="O3514" s="2"/>
      <c r="P3514" s="2"/>
    </row>
    <row r="3515" spans="2:16" ht="14.25">
      <c r="B3515" s="4"/>
      <c r="I3515" s="5"/>
      <c r="J3515" s="5"/>
      <c r="K3515" s="6"/>
      <c r="N3515" s="2"/>
      <c r="O3515" s="2"/>
      <c r="P3515" s="2"/>
    </row>
    <row r="3516" spans="2:16" ht="14.25">
      <c r="B3516" s="4"/>
      <c r="I3516" s="5"/>
      <c r="J3516" s="5"/>
      <c r="K3516" s="6"/>
      <c r="N3516" s="2"/>
      <c r="O3516" s="2"/>
      <c r="P3516" s="2"/>
    </row>
    <row r="3517" spans="2:16" ht="14.25">
      <c r="B3517" s="4"/>
      <c r="I3517" s="5"/>
      <c r="J3517" s="5"/>
      <c r="K3517" s="6"/>
      <c r="N3517" s="2"/>
      <c r="O3517" s="2"/>
      <c r="P3517" s="2"/>
    </row>
    <row r="3518" spans="2:16" ht="14.25">
      <c r="B3518" s="4"/>
      <c r="I3518" s="5"/>
      <c r="J3518" s="5"/>
      <c r="K3518" s="6"/>
      <c r="N3518" s="2"/>
      <c r="O3518" s="2"/>
      <c r="P3518" s="2"/>
    </row>
    <row r="3519" spans="2:16" ht="14.25">
      <c r="B3519" s="4"/>
      <c r="I3519" s="5"/>
      <c r="J3519" s="5"/>
      <c r="K3519" s="6"/>
      <c r="N3519" s="2"/>
      <c r="O3519" s="2"/>
      <c r="P3519" s="2"/>
    </row>
    <row r="3520" spans="2:16" ht="14.25">
      <c r="B3520" s="4"/>
      <c r="I3520" s="5"/>
      <c r="J3520" s="5"/>
      <c r="K3520" s="6"/>
      <c r="N3520" s="2"/>
      <c r="O3520" s="2"/>
      <c r="P3520" s="2"/>
    </row>
    <row r="3521" spans="2:16" ht="14.25">
      <c r="B3521" s="4"/>
      <c r="I3521" s="5"/>
      <c r="J3521" s="5"/>
      <c r="K3521" s="6"/>
      <c r="N3521" s="2"/>
      <c r="O3521" s="2"/>
      <c r="P3521" s="2"/>
    </row>
    <row r="3522" spans="2:16" ht="14.25">
      <c r="B3522" s="4"/>
      <c r="I3522" s="5"/>
      <c r="J3522" s="5"/>
      <c r="K3522" s="6"/>
      <c r="N3522" s="2"/>
      <c r="O3522" s="2"/>
      <c r="P3522" s="2"/>
    </row>
    <row r="3523" spans="2:16" ht="14.25">
      <c r="B3523" s="4"/>
      <c r="I3523" s="5"/>
      <c r="J3523" s="5"/>
      <c r="K3523" s="6"/>
      <c r="N3523" s="2"/>
      <c r="O3523" s="2"/>
      <c r="P3523" s="2"/>
    </row>
    <row r="3524" spans="2:16" ht="14.25">
      <c r="B3524" s="4"/>
      <c r="I3524" s="5"/>
      <c r="J3524" s="5"/>
      <c r="K3524" s="6"/>
      <c r="N3524" s="2"/>
      <c r="O3524" s="2"/>
      <c r="P3524" s="2"/>
    </row>
    <row r="3525" spans="2:16" ht="14.25">
      <c r="B3525" s="4"/>
      <c r="I3525" s="5"/>
      <c r="J3525" s="5"/>
      <c r="K3525" s="6"/>
      <c r="N3525" s="2"/>
      <c r="O3525" s="2"/>
      <c r="P3525" s="2"/>
    </row>
    <row r="3526" spans="2:16" ht="14.25">
      <c r="B3526" s="4"/>
      <c r="I3526" s="5"/>
      <c r="J3526" s="5"/>
      <c r="K3526" s="6"/>
      <c r="N3526" s="2"/>
      <c r="O3526" s="2"/>
      <c r="P3526" s="2"/>
    </row>
    <row r="3527" spans="2:16" ht="14.25">
      <c r="B3527" s="4"/>
      <c r="I3527" s="5"/>
      <c r="J3527" s="5"/>
      <c r="K3527" s="6"/>
      <c r="N3527" s="2"/>
      <c r="O3527" s="2"/>
      <c r="P3527" s="2"/>
    </row>
    <row r="3528" spans="2:16" ht="14.25">
      <c r="B3528" s="4"/>
      <c r="I3528" s="5"/>
      <c r="J3528" s="5"/>
      <c r="K3528" s="6"/>
      <c r="N3528" s="2"/>
      <c r="O3528" s="2"/>
      <c r="P3528" s="2"/>
    </row>
    <row r="3529" spans="2:16" ht="14.25">
      <c r="B3529" s="4"/>
      <c r="I3529" s="5"/>
      <c r="J3529" s="5"/>
      <c r="K3529" s="6"/>
      <c r="N3529" s="2"/>
      <c r="O3529" s="2"/>
      <c r="P3529" s="2"/>
    </row>
    <row r="3530" spans="2:16" ht="14.25">
      <c r="B3530" s="4"/>
      <c r="I3530" s="5"/>
      <c r="J3530" s="5"/>
      <c r="K3530" s="6"/>
      <c r="N3530" s="2"/>
      <c r="O3530" s="2"/>
      <c r="P3530" s="2"/>
    </row>
    <row r="3531" spans="2:16" ht="14.25">
      <c r="B3531" s="4"/>
      <c r="I3531" s="5"/>
      <c r="J3531" s="5"/>
      <c r="K3531" s="6"/>
      <c r="N3531" s="2"/>
      <c r="O3531" s="2"/>
      <c r="P3531" s="2"/>
    </row>
    <row r="3532" spans="2:16" ht="14.25">
      <c r="B3532" s="4"/>
      <c r="I3532" s="5"/>
      <c r="J3532" s="5"/>
      <c r="K3532" s="6"/>
      <c r="N3532" s="2"/>
      <c r="O3532" s="2"/>
      <c r="P3532" s="2"/>
    </row>
    <row r="3533" spans="2:16" ht="14.25">
      <c r="B3533" s="4"/>
      <c r="I3533" s="5"/>
      <c r="J3533" s="5"/>
      <c r="K3533" s="6"/>
      <c r="N3533" s="2"/>
      <c r="O3533" s="2"/>
      <c r="P3533" s="2"/>
    </row>
    <row r="3534" spans="2:16" ht="14.25">
      <c r="B3534" s="4"/>
      <c r="I3534" s="5"/>
      <c r="J3534" s="5"/>
      <c r="K3534" s="6"/>
      <c r="N3534" s="2"/>
      <c r="O3534" s="2"/>
      <c r="P3534" s="2"/>
    </row>
    <row r="3535" spans="2:16" ht="14.25">
      <c r="B3535" s="4"/>
      <c r="I3535" s="5"/>
      <c r="J3535" s="5"/>
      <c r="K3535" s="6"/>
      <c r="N3535" s="2"/>
      <c r="O3535" s="2"/>
      <c r="P3535" s="2"/>
    </row>
    <row r="3536" spans="2:16" ht="14.25">
      <c r="B3536" s="4"/>
      <c r="I3536" s="5"/>
      <c r="J3536" s="5"/>
      <c r="K3536" s="6"/>
      <c r="N3536" s="2"/>
      <c r="O3536" s="2"/>
      <c r="P3536" s="2"/>
    </row>
    <row r="3537" spans="2:16" ht="14.25">
      <c r="B3537" s="4"/>
      <c r="I3537" s="5"/>
      <c r="J3537" s="5"/>
      <c r="K3537" s="6"/>
      <c r="N3537" s="2"/>
      <c r="O3537" s="2"/>
      <c r="P3537" s="2"/>
    </row>
    <row r="3538" spans="2:16" ht="14.25">
      <c r="B3538" s="4"/>
      <c r="I3538" s="5"/>
      <c r="J3538" s="5"/>
      <c r="K3538" s="6"/>
      <c r="N3538" s="2"/>
      <c r="O3538" s="2"/>
      <c r="P3538" s="2"/>
    </row>
    <row r="3539" spans="2:16" ht="14.25">
      <c r="B3539" s="4"/>
      <c r="I3539" s="5"/>
      <c r="J3539" s="5"/>
      <c r="K3539" s="6"/>
      <c r="N3539" s="2"/>
      <c r="O3539" s="2"/>
      <c r="P3539" s="2"/>
    </row>
    <row r="3540" spans="2:16" ht="14.25">
      <c r="B3540" s="4"/>
      <c r="I3540" s="5"/>
      <c r="J3540" s="5"/>
      <c r="K3540" s="6"/>
      <c r="N3540" s="2"/>
      <c r="O3540" s="2"/>
      <c r="P3540" s="2"/>
    </row>
    <row r="3541" spans="2:16" ht="14.25">
      <c r="B3541" s="4"/>
      <c r="I3541" s="5"/>
      <c r="J3541" s="5"/>
      <c r="K3541" s="6"/>
      <c r="N3541" s="2"/>
      <c r="O3541" s="2"/>
      <c r="P3541" s="2"/>
    </row>
    <row r="3542" spans="2:16" ht="14.25">
      <c r="B3542" s="4"/>
      <c r="I3542" s="5"/>
      <c r="J3542" s="5"/>
      <c r="K3542" s="6"/>
      <c r="N3542" s="2"/>
      <c r="O3542" s="2"/>
      <c r="P3542" s="2"/>
    </row>
    <row r="3543" spans="2:16" ht="14.25">
      <c r="B3543" s="4"/>
      <c r="I3543" s="5"/>
      <c r="J3543" s="5"/>
      <c r="K3543" s="6"/>
      <c r="N3543" s="2"/>
      <c r="O3543" s="2"/>
      <c r="P3543" s="2"/>
    </row>
    <row r="3544" spans="2:16" ht="14.25">
      <c r="B3544" s="4"/>
      <c r="I3544" s="5"/>
      <c r="J3544" s="5"/>
      <c r="K3544" s="6"/>
      <c r="N3544" s="2"/>
      <c r="O3544" s="2"/>
      <c r="P3544" s="2"/>
    </row>
    <row r="3545" spans="2:16" ht="14.25">
      <c r="B3545" s="4"/>
      <c r="I3545" s="5"/>
      <c r="J3545" s="5"/>
      <c r="K3545" s="6"/>
      <c r="N3545" s="2"/>
      <c r="O3545" s="2"/>
      <c r="P3545" s="2"/>
    </row>
    <row r="3546" spans="2:16" ht="14.25">
      <c r="B3546" s="4"/>
      <c r="I3546" s="5"/>
      <c r="J3546" s="5"/>
      <c r="K3546" s="6"/>
      <c r="N3546" s="2"/>
      <c r="O3546" s="2"/>
      <c r="P3546" s="2"/>
    </row>
    <row r="3547" spans="2:16" ht="14.25">
      <c r="B3547" s="4"/>
      <c r="I3547" s="5"/>
      <c r="J3547" s="5"/>
      <c r="K3547" s="6"/>
      <c r="N3547" s="2"/>
      <c r="O3547" s="2"/>
      <c r="P3547" s="2"/>
    </row>
    <row r="3548" spans="2:16" ht="14.25">
      <c r="B3548" s="4"/>
      <c r="I3548" s="5"/>
      <c r="J3548" s="5"/>
      <c r="K3548" s="6"/>
      <c r="N3548" s="2"/>
      <c r="O3548" s="2"/>
      <c r="P3548" s="2"/>
    </row>
    <row r="3549" spans="2:16" ht="14.25">
      <c r="B3549" s="4"/>
      <c r="I3549" s="5"/>
      <c r="J3549" s="5"/>
      <c r="K3549" s="6"/>
      <c r="N3549" s="2"/>
      <c r="O3549" s="2"/>
      <c r="P3549" s="2"/>
    </row>
    <row r="3550" spans="2:16" ht="14.25">
      <c r="B3550" s="4"/>
      <c r="I3550" s="5"/>
      <c r="J3550" s="5"/>
      <c r="K3550" s="6"/>
      <c r="N3550" s="2"/>
      <c r="O3550" s="2"/>
      <c r="P3550" s="2"/>
    </row>
    <row r="3551" spans="2:16" ht="14.25">
      <c r="B3551" s="4"/>
      <c r="I3551" s="5"/>
      <c r="J3551" s="5"/>
      <c r="K3551" s="6"/>
      <c r="N3551" s="2"/>
      <c r="O3551" s="2"/>
      <c r="P3551" s="2"/>
    </row>
    <row r="3552" spans="2:16" ht="14.25">
      <c r="B3552" s="4"/>
      <c r="I3552" s="5"/>
      <c r="J3552" s="5"/>
      <c r="K3552" s="6"/>
      <c r="N3552" s="2"/>
      <c r="O3552" s="2"/>
      <c r="P3552" s="2"/>
    </row>
    <row r="3553" spans="2:16" ht="14.25">
      <c r="B3553" s="4"/>
      <c r="I3553" s="5"/>
      <c r="J3553" s="5"/>
      <c r="K3553" s="6"/>
      <c r="N3553" s="2"/>
      <c r="O3553" s="2"/>
      <c r="P3553" s="2"/>
    </row>
    <row r="3554" spans="2:16" ht="14.25">
      <c r="B3554" s="4"/>
      <c r="I3554" s="5"/>
      <c r="J3554" s="5"/>
      <c r="K3554" s="6"/>
      <c r="N3554" s="2"/>
      <c r="O3554" s="2"/>
      <c r="P3554" s="2"/>
    </row>
    <row r="3555" spans="2:16" ht="14.25">
      <c r="B3555" s="4"/>
      <c r="I3555" s="5"/>
      <c r="J3555" s="5"/>
      <c r="K3555" s="6"/>
      <c r="N3555" s="2"/>
      <c r="O3555" s="2"/>
      <c r="P3555" s="2"/>
    </row>
    <row r="3556" spans="2:16" ht="14.25">
      <c r="B3556" s="4"/>
      <c r="I3556" s="5"/>
      <c r="J3556" s="5"/>
      <c r="K3556" s="6"/>
      <c r="N3556" s="2"/>
      <c r="O3556" s="2"/>
      <c r="P3556" s="2"/>
    </row>
    <row r="3557" spans="2:16" ht="14.25">
      <c r="B3557" s="4"/>
      <c r="I3557" s="5"/>
      <c r="J3557" s="5"/>
      <c r="K3557" s="6"/>
      <c r="N3557" s="2"/>
      <c r="O3557" s="2"/>
      <c r="P3557" s="2"/>
    </row>
    <row r="3558" spans="2:16" ht="14.25">
      <c r="B3558" s="4"/>
      <c r="I3558" s="5"/>
      <c r="J3558" s="5"/>
      <c r="K3558" s="6"/>
      <c r="N3558" s="2"/>
      <c r="O3558" s="2"/>
      <c r="P3558" s="2"/>
    </row>
    <row r="3559" spans="2:16" ht="14.25">
      <c r="B3559" s="4"/>
      <c r="I3559" s="5"/>
      <c r="J3559" s="5"/>
      <c r="K3559" s="6"/>
      <c r="N3559" s="2"/>
      <c r="O3559" s="2"/>
      <c r="P3559" s="2"/>
    </row>
    <row r="3560" spans="2:16" ht="14.25">
      <c r="B3560" s="4"/>
      <c r="I3560" s="5"/>
      <c r="J3560" s="5"/>
      <c r="K3560" s="6"/>
      <c r="N3560" s="2"/>
      <c r="O3560" s="2"/>
      <c r="P3560" s="2"/>
    </row>
    <row r="3561" spans="2:16" ht="14.25">
      <c r="B3561" s="4"/>
      <c r="I3561" s="5"/>
      <c r="J3561" s="5"/>
      <c r="K3561" s="6"/>
      <c r="N3561" s="2"/>
      <c r="O3561" s="2"/>
      <c r="P3561" s="2"/>
    </row>
    <row r="3562" spans="2:16" ht="14.25">
      <c r="B3562" s="4"/>
      <c r="I3562" s="5"/>
      <c r="J3562" s="5"/>
      <c r="K3562" s="6"/>
      <c r="N3562" s="2"/>
      <c r="O3562" s="2"/>
      <c r="P3562" s="2"/>
    </row>
    <row r="3563" spans="2:16" ht="14.25">
      <c r="B3563" s="4"/>
      <c r="I3563" s="5"/>
      <c r="J3563" s="5"/>
      <c r="K3563" s="6"/>
      <c r="N3563" s="2"/>
      <c r="O3563" s="2"/>
      <c r="P3563" s="2"/>
    </row>
    <row r="3564" spans="2:16" ht="14.25">
      <c r="B3564" s="4"/>
      <c r="I3564" s="5"/>
      <c r="J3564" s="5"/>
      <c r="K3564" s="6"/>
      <c r="N3564" s="2"/>
      <c r="O3564" s="2"/>
      <c r="P3564" s="2"/>
    </row>
    <row r="3565" spans="2:16" ht="14.25">
      <c r="B3565" s="4"/>
      <c r="I3565" s="5"/>
      <c r="J3565" s="5"/>
      <c r="K3565" s="6"/>
      <c r="N3565" s="2"/>
      <c r="O3565" s="2"/>
      <c r="P3565" s="2"/>
    </row>
    <row r="3566" spans="2:16" ht="14.25">
      <c r="B3566" s="4"/>
      <c r="I3566" s="5"/>
      <c r="J3566" s="5"/>
      <c r="K3566" s="6"/>
      <c r="N3566" s="2"/>
      <c r="O3566" s="2"/>
      <c r="P3566" s="2"/>
    </row>
    <row r="3567" spans="2:16" ht="14.25">
      <c r="B3567" s="4"/>
      <c r="I3567" s="5"/>
      <c r="J3567" s="5"/>
      <c r="K3567" s="6"/>
      <c r="N3567" s="2"/>
      <c r="O3567" s="2"/>
      <c r="P3567" s="2"/>
    </row>
    <row r="3568" spans="2:16" ht="14.25">
      <c r="B3568" s="4"/>
      <c r="I3568" s="5"/>
      <c r="J3568" s="5"/>
      <c r="K3568" s="6"/>
      <c r="N3568" s="2"/>
      <c r="O3568" s="2"/>
      <c r="P3568" s="2"/>
    </row>
    <row r="3569" spans="2:16" ht="14.25">
      <c r="B3569" s="4"/>
      <c r="I3569" s="5"/>
      <c r="J3569" s="5"/>
      <c r="K3569" s="6"/>
      <c r="N3569" s="2"/>
      <c r="O3569" s="2"/>
      <c r="P3569" s="2"/>
    </row>
    <row r="3570" spans="2:16" ht="14.25">
      <c r="B3570" s="4"/>
      <c r="I3570" s="5"/>
      <c r="J3570" s="5"/>
      <c r="K3570" s="6"/>
      <c r="N3570" s="2"/>
      <c r="O3570" s="2"/>
      <c r="P3570" s="2"/>
    </row>
    <row r="3571" spans="2:16" ht="14.25">
      <c r="B3571" s="4"/>
      <c r="I3571" s="5"/>
      <c r="J3571" s="5"/>
      <c r="K3571" s="6"/>
      <c r="N3571" s="2"/>
      <c r="O3571" s="2"/>
      <c r="P3571" s="2"/>
    </row>
    <row r="3572" spans="2:16" ht="14.25">
      <c r="B3572" s="4"/>
      <c r="I3572" s="5"/>
      <c r="J3572" s="5"/>
      <c r="K3572" s="6"/>
      <c r="N3572" s="2"/>
      <c r="O3572" s="2"/>
      <c r="P3572" s="2"/>
    </row>
    <row r="3573" spans="2:16" ht="14.25">
      <c r="B3573" s="4"/>
      <c r="I3573" s="5"/>
      <c r="J3573" s="5"/>
      <c r="K3573" s="6"/>
      <c r="N3573" s="2"/>
      <c r="O3573" s="2"/>
      <c r="P3573" s="2"/>
    </row>
    <row r="3574" spans="2:16" ht="14.25">
      <c r="B3574" s="4"/>
      <c r="I3574" s="5"/>
      <c r="J3574" s="5"/>
      <c r="K3574" s="6"/>
      <c r="N3574" s="2"/>
      <c r="O3574" s="2"/>
      <c r="P3574" s="2"/>
    </row>
    <row r="3575" spans="2:16" ht="14.25">
      <c r="B3575" s="4"/>
      <c r="I3575" s="5"/>
      <c r="J3575" s="5"/>
      <c r="K3575" s="6"/>
      <c r="N3575" s="2"/>
      <c r="O3575" s="2"/>
      <c r="P3575" s="2"/>
    </row>
    <row r="3576" spans="2:16" ht="14.25">
      <c r="B3576" s="4"/>
      <c r="I3576" s="5"/>
      <c r="J3576" s="5"/>
      <c r="K3576" s="6"/>
      <c r="N3576" s="2"/>
      <c r="O3576" s="2"/>
      <c r="P3576" s="2"/>
    </row>
    <row r="3577" spans="2:16" ht="14.25">
      <c r="B3577" s="4"/>
      <c r="I3577" s="5"/>
      <c r="J3577" s="5"/>
      <c r="K3577" s="6"/>
      <c r="N3577" s="2"/>
      <c r="O3577" s="2"/>
      <c r="P3577" s="2"/>
    </row>
    <row r="3578" spans="2:16" ht="14.25">
      <c r="B3578" s="4"/>
      <c r="I3578" s="5"/>
      <c r="J3578" s="5"/>
      <c r="K3578" s="6"/>
      <c r="N3578" s="2"/>
      <c r="O3578" s="2"/>
      <c r="P3578" s="2"/>
    </row>
    <row r="3579" spans="2:16" ht="14.25">
      <c r="B3579" s="4"/>
      <c r="I3579" s="5"/>
      <c r="J3579" s="5"/>
      <c r="K3579" s="6"/>
      <c r="N3579" s="2"/>
      <c r="O3579" s="2"/>
      <c r="P3579" s="2"/>
    </row>
    <row r="3580" spans="2:16" ht="14.25">
      <c r="B3580" s="4"/>
      <c r="I3580" s="5"/>
      <c r="J3580" s="5"/>
      <c r="K3580" s="6"/>
      <c r="N3580" s="2"/>
      <c r="O3580" s="2"/>
      <c r="P3580" s="2"/>
    </row>
    <row r="3581" spans="2:16" ht="14.25">
      <c r="B3581" s="4"/>
      <c r="I3581" s="5"/>
      <c r="J3581" s="5"/>
      <c r="K3581" s="6"/>
      <c r="N3581" s="2"/>
      <c r="O3581" s="2"/>
      <c r="P3581" s="2"/>
    </row>
    <row r="3582" spans="2:16" ht="14.25">
      <c r="B3582" s="4"/>
      <c r="I3582" s="5"/>
      <c r="J3582" s="5"/>
      <c r="K3582" s="6"/>
      <c r="N3582" s="2"/>
      <c r="O3582" s="2"/>
      <c r="P3582" s="2"/>
    </row>
    <row r="3583" spans="2:16" ht="14.25">
      <c r="B3583" s="4"/>
      <c r="I3583" s="5"/>
      <c r="J3583" s="5"/>
      <c r="K3583" s="6"/>
      <c r="N3583" s="2"/>
      <c r="O3583" s="2"/>
      <c r="P3583" s="2"/>
    </row>
    <row r="3584" spans="2:16" ht="14.25">
      <c r="B3584" s="4"/>
      <c r="I3584" s="5"/>
      <c r="J3584" s="5"/>
      <c r="K3584" s="6"/>
      <c r="N3584" s="2"/>
      <c r="O3584" s="2"/>
      <c r="P3584" s="2"/>
    </row>
    <row r="3585" spans="2:16" ht="14.25">
      <c r="B3585" s="4"/>
      <c r="I3585" s="5"/>
      <c r="J3585" s="5"/>
      <c r="K3585" s="6"/>
      <c r="N3585" s="2"/>
      <c r="O3585" s="2"/>
      <c r="P3585" s="2"/>
    </row>
    <row r="3586" spans="2:16" ht="14.25">
      <c r="B3586" s="4"/>
      <c r="I3586" s="5"/>
      <c r="J3586" s="5"/>
      <c r="K3586" s="6"/>
      <c r="N3586" s="2"/>
      <c r="O3586" s="2"/>
      <c r="P3586" s="2"/>
    </row>
    <row r="3587" spans="2:16" ht="14.25">
      <c r="B3587" s="4"/>
      <c r="I3587" s="5"/>
      <c r="J3587" s="5"/>
      <c r="K3587" s="6"/>
      <c r="N3587" s="2"/>
      <c r="O3587" s="2"/>
      <c r="P3587" s="2"/>
    </row>
    <row r="3588" spans="2:16" ht="14.25">
      <c r="B3588" s="4"/>
      <c r="I3588" s="5"/>
      <c r="J3588" s="5"/>
      <c r="K3588" s="6"/>
      <c r="N3588" s="2"/>
      <c r="O3588" s="2"/>
      <c r="P3588" s="2"/>
    </row>
    <row r="3589" spans="2:16" ht="14.25">
      <c r="B3589" s="4"/>
      <c r="I3589" s="5"/>
      <c r="J3589" s="5"/>
      <c r="K3589" s="6"/>
      <c r="N3589" s="2"/>
      <c r="O3589" s="2"/>
      <c r="P3589" s="2"/>
    </row>
    <row r="3590" spans="2:16" ht="14.25">
      <c r="B3590" s="4"/>
      <c r="I3590" s="5"/>
      <c r="J3590" s="5"/>
      <c r="K3590" s="6"/>
      <c r="N3590" s="2"/>
      <c r="O3590" s="2"/>
      <c r="P3590" s="2"/>
    </row>
    <row r="3591" spans="2:16" ht="14.25">
      <c r="B3591" s="4"/>
      <c r="I3591" s="5"/>
      <c r="J3591" s="5"/>
      <c r="K3591" s="6"/>
      <c r="N3591" s="2"/>
      <c r="O3591" s="2"/>
      <c r="P3591" s="2"/>
    </row>
    <row r="3592" spans="2:16" ht="14.25">
      <c r="B3592" s="4"/>
      <c r="I3592" s="5"/>
      <c r="J3592" s="5"/>
      <c r="K3592" s="6"/>
      <c r="N3592" s="2"/>
      <c r="O3592" s="2"/>
      <c r="P3592" s="2"/>
    </row>
    <row r="3593" spans="2:16" ht="14.25">
      <c r="B3593" s="4"/>
      <c r="I3593" s="5"/>
      <c r="J3593" s="5"/>
      <c r="K3593" s="6"/>
      <c r="N3593" s="2"/>
      <c r="O3593" s="2"/>
      <c r="P3593" s="2"/>
    </row>
    <row r="3594" spans="2:16" ht="14.25">
      <c r="B3594" s="4"/>
      <c r="I3594" s="5"/>
      <c r="J3594" s="5"/>
      <c r="K3594" s="6"/>
      <c r="N3594" s="2"/>
      <c r="O3594" s="2"/>
      <c r="P3594" s="2"/>
    </row>
    <row r="3595" spans="2:16" ht="14.25">
      <c r="B3595" s="4"/>
      <c r="I3595" s="5"/>
      <c r="J3595" s="5"/>
      <c r="K3595" s="6"/>
      <c r="N3595" s="2"/>
      <c r="O3595" s="2"/>
      <c r="P3595" s="2"/>
    </row>
    <row r="3596" spans="2:16" ht="14.25">
      <c r="B3596" s="4"/>
      <c r="I3596" s="5"/>
      <c r="J3596" s="5"/>
      <c r="K3596" s="6"/>
      <c r="N3596" s="2"/>
      <c r="O3596" s="2"/>
      <c r="P3596" s="2"/>
    </row>
    <row r="3597" spans="2:16" ht="14.25">
      <c r="B3597" s="4"/>
      <c r="I3597" s="5"/>
      <c r="J3597" s="5"/>
      <c r="K3597" s="6"/>
      <c r="N3597" s="2"/>
      <c r="O3597" s="2"/>
      <c r="P3597" s="2"/>
    </row>
    <row r="3598" spans="2:16" ht="14.25">
      <c r="B3598" s="4"/>
      <c r="I3598" s="5"/>
      <c r="J3598" s="5"/>
      <c r="K3598" s="6"/>
      <c r="N3598" s="2"/>
      <c r="O3598" s="2"/>
      <c r="P3598" s="2"/>
    </row>
    <row r="3599" spans="2:16" ht="14.25">
      <c r="B3599" s="4"/>
      <c r="I3599" s="5"/>
      <c r="J3599" s="5"/>
      <c r="K3599" s="6"/>
      <c r="N3599" s="2"/>
      <c r="O3599" s="2"/>
      <c r="P3599" s="2"/>
    </row>
    <row r="3600" spans="2:16" ht="14.25">
      <c r="B3600" s="4"/>
      <c r="I3600" s="5"/>
      <c r="J3600" s="5"/>
      <c r="K3600" s="6"/>
      <c r="N3600" s="2"/>
      <c r="O3600" s="2"/>
      <c r="P3600" s="2"/>
    </row>
    <row r="3601" spans="2:16" ht="14.25">
      <c r="B3601" s="4"/>
      <c r="I3601" s="5"/>
      <c r="J3601" s="5"/>
      <c r="K3601" s="6"/>
      <c r="N3601" s="2"/>
      <c r="O3601" s="2"/>
      <c r="P3601" s="2"/>
    </row>
    <row r="3602" spans="2:16" ht="14.25">
      <c r="B3602" s="4"/>
      <c r="I3602" s="5"/>
      <c r="J3602" s="5"/>
      <c r="K3602" s="6"/>
      <c r="N3602" s="2"/>
      <c r="O3602" s="2"/>
      <c r="P3602" s="2"/>
    </row>
    <row r="3603" spans="2:16" ht="14.25">
      <c r="B3603" s="4"/>
      <c r="I3603" s="5"/>
      <c r="J3603" s="5"/>
      <c r="K3603" s="6"/>
      <c r="N3603" s="2"/>
      <c r="O3603" s="2"/>
      <c r="P3603" s="2"/>
    </row>
    <row r="3604" spans="2:16" ht="14.25">
      <c r="B3604" s="4"/>
      <c r="I3604" s="5"/>
      <c r="J3604" s="5"/>
      <c r="K3604" s="6"/>
      <c r="N3604" s="2"/>
      <c r="O3604" s="2"/>
      <c r="P3604" s="2"/>
    </row>
    <row r="3605" spans="2:16" ht="14.25">
      <c r="B3605" s="4"/>
      <c r="I3605" s="5"/>
      <c r="J3605" s="5"/>
      <c r="K3605" s="6"/>
      <c r="N3605" s="2"/>
      <c r="O3605" s="2"/>
      <c r="P3605" s="2"/>
    </row>
    <row r="3606" spans="2:16" ht="14.25">
      <c r="B3606" s="4"/>
      <c r="I3606" s="5"/>
      <c r="J3606" s="5"/>
      <c r="K3606" s="6"/>
      <c r="N3606" s="2"/>
      <c r="O3606" s="2"/>
      <c r="P3606" s="2"/>
    </row>
    <row r="3607" spans="2:16" ht="14.25">
      <c r="B3607" s="4"/>
      <c r="I3607" s="5"/>
      <c r="J3607" s="5"/>
      <c r="K3607" s="6"/>
      <c r="N3607" s="2"/>
      <c r="O3607" s="2"/>
      <c r="P3607" s="2"/>
    </row>
    <row r="3608" spans="2:16" ht="14.25">
      <c r="B3608" s="4"/>
      <c r="I3608" s="5"/>
      <c r="J3608" s="5"/>
      <c r="K3608" s="6"/>
      <c r="N3608" s="2"/>
      <c r="O3608" s="2"/>
      <c r="P3608" s="2"/>
    </row>
    <row r="3609" spans="2:16" ht="14.25">
      <c r="B3609" s="4"/>
      <c r="I3609" s="5"/>
      <c r="J3609" s="5"/>
      <c r="K3609" s="6"/>
      <c r="N3609" s="2"/>
      <c r="O3609" s="2"/>
      <c r="P3609" s="2"/>
    </row>
    <row r="3610" spans="2:16" ht="14.25">
      <c r="B3610" s="4"/>
      <c r="I3610" s="5"/>
      <c r="J3610" s="5"/>
      <c r="K3610" s="6"/>
      <c r="N3610" s="2"/>
      <c r="O3610" s="2"/>
      <c r="P3610" s="2"/>
    </row>
    <row r="3611" spans="2:16" ht="14.25">
      <c r="B3611" s="4"/>
      <c r="I3611" s="5"/>
      <c r="J3611" s="5"/>
      <c r="K3611" s="6"/>
      <c r="N3611" s="2"/>
      <c r="O3611" s="2"/>
      <c r="P3611" s="2"/>
    </row>
    <row r="3612" spans="2:16" ht="14.25">
      <c r="B3612" s="4"/>
      <c r="I3612" s="5"/>
      <c r="J3612" s="5"/>
      <c r="K3612" s="6"/>
      <c r="N3612" s="2"/>
      <c r="O3612" s="2"/>
      <c r="P3612" s="2"/>
    </row>
    <row r="3613" spans="2:16" ht="14.25">
      <c r="B3613" s="4"/>
      <c r="I3613" s="5"/>
      <c r="J3613" s="5"/>
      <c r="K3613" s="6"/>
      <c r="N3613" s="2"/>
      <c r="O3613" s="2"/>
      <c r="P3613" s="2"/>
    </row>
    <row r="3614" spans="2:16" ht="14.25">
      <c r="B3614" s="4"/>
      <c r="I3614" s="5"/>
      <c r="J3614" s="5"/>
      <c r="K3614" s="6"/>
      <c r="N3614" s="2"/>
      <c r="O3614" s="2"/>
      <c r="P3614" s="2"/>
    </row>
    <row r="3615" spans="2:16" ht="14.25">
      <c r="B3615" s="4"/>
      <c r="I3615" s="5"/>
      <c r="J3615" s="5"/>
      <c r="K3615" s="6"/>
      <c r="N3615" s="2"/>
      <c r="O3615" s="2"/>
      <c r="P3615" s="2"/>
    </row>
    <row r="3616" spans="2:16" ht="14.25">
      <c r="B3616" s="4"/>
      <c r="I3616" s="5"/>
      <c r="J3616" s="5"/>
      <c r="K3616" s="6"/>
      <c r="N3616" s="2"/>
      <c r="O3616" s="2"/>
      <c r="P3616" s="2"/>
    </row>
    <row r="3617" spans="2:16" ht="14.25">
      <c r="B3617" s="4"/>
      <c r="I3617" s="5"/>
      <c r="J3617" s="5"/>
      <c r="K3617" s="6"/>
      <c r="N3617" s="2"/>
      <c r="O3617" s="2"/>
      <c r="P3617" s="2"/>
    </row>
    <row r="3618" spans="2:16" ht="14.25">
      <c r="B3618" s="4"/>
      <c r="I3618" s="5"/>
      <c r="J3618" s="5"/>
      <c r="K3618" s="6"/>
      <c r="N3618" s="2"/>
      <c r="O3618" s="2"/>
      <c r="P3618" s="2"/>
    </row>
    <row r="3619" spans="2:16" ht="14.25">
      <c r="B3619" s="4"/>
      <c r="I3619" s="5"/>
      <c r="J3619" s="5"/>
      <c r="K3619" s="6"/>
      <c r="N3619" s="2"/>
      <c r="O3619" s="2"/>
      <c r="P3619" s="2"/>
    </row>
    <row r="3620" spans="2:16" ht="14.25">
      <c r="B3620" s="4"/>
      <c r="I3620" s="5"/>
      <c r="J3620" s="5"/>
      <c r="K3620" s="6"/>
      <c r="N3620" s="2"/>
      <c r="O3620" s="2"/>
      <c r="P3620" s="2"/>
    </row>
    <row r="3621" spans="2:16" ht="14.25">
      <c r="B3621" s="4"/>
      <c r="I3621" s="5"/>
      <c r="J3621" s="5"/>
      <c r="K3621" s="6"/>
      <c r="N3621" s="2"/>
      <c r="O3621" s="2"/>
      <c r="P3621" s="2"/>
    </row>
    <row r="3622" spans="2:16" ht="14.25">
      <c r="B3622" s="4"/>
      <c r="I3622" s="5"/>
      <c r="J3622" s="5"/>
      <c r="K3622" s="6"/>
      <c r="N3622" s="2"/>
      <c r="O3622" s="2"/>
      <c r="P3622" s="2"/>
    </row>
    <row r="3623" spans="2:16" ht="14.25">
      <c r="B3623" s="4"/>
      <c r="I3623" s="5"/>
      <c r="J3623" s="5"/>
      <c r="K3623" s="6"/>
      <c r="N3623" s="2"/>
      <c r="O3623" s="2"/>
      <c r="P3623" s="2"/>
    </row>
    <row r="3624" spans="2:16" ht="14.25">
      <c r="B3624" s="4"/>
      <c r="I3624" s="5"/>
      <c r="J3624" s="5"/>
      <c r="K3624" s="6"/>
      <c r="N3624" s="2"/>
      <c r="O3624" s="2"/>
      <c r="P3624" s="2"/>
    </row>
    <row r="3625" spans="2:16" ht="14.25">
      <c r="B3625" s="4"/>
      <c r="I3625" s="5"/>
      <c r="J3625" s="5"/>
      <c r="K3625" s="6"/>
      <c r="N3625" s="2"/>
      <c r="O3625" s="2"/>
      <c r="P3625" s="2"/>
    </row>
    <row r="3626" spans="2:16" ht="14.25">
      <c r="B3626" s="4"/>
      <c r="I3626" s="5"/>
      <c r="J3626" s="5"/>
      <c r="K3626" s="6"/>
      <c r="N3626" s="2"/>
      <c r="O3626" s="2"/>
      <c r="P3626" s="2"/>
    </row>
    <row r="3627" spans="2:16" ht="14.25">
      <c r="B3627" s="4"/>
      <c r="I3627" s="5"/>
      <c r="J3627" s="5"/>
      <c r="K3627" s="6"/>
      <c r="N3627" s="2"/>
      <c r="O3627" s="2"/>
      <c r="P3627" s="2"/>
    </row>
    <row r="3628" spans="2:16" ht="14.25">
      <c r="B3628" s="4"/>
      <c r="I3628" s="5"/>
      <c r="J3628" s="5"/>
      <c r="K3628" s="6"/>
      <c r="N3628" s="2"/>
      <c r="O3628" s="2"/>
      <c r="P3628" s="2"/>
    </row>
    <row r="3629" spans="2:16" ht="14.25">
      <c r="B3629" s="4"/>
      <c r="I3629" s="5"/>
      <c r="J3629" s="5"/>
      <c r="K3629" s="6"/>
      <c r="N3629" s="2"/>
      <c r="O3629" s="2"/>
      <c r="P3629" s="2"/>
    </row>
    <row r="3630" spans="2:16" ht="14.25">
      <c r="B3630" s="4"/>
      <c r="I3630" s="5"/>
      <c r="J3630" s="5"/>
      <c r="K3630" s="6"/>
      <c r="N3630" s="2"/>
      <c r="O3630" s="2"/>
      <c r="P3630" s="2"/>
    </row>
    <row r="3631" spans="2:16" ht="14.25">
      <c r="B3631" s="4"/>
      <c r="I3631" s="5"/>
      <c r="J3631" s="5"/>
      <c r="K3631" s="6"/>
      <c r="N3631" s="2"/>
      <c r="O3631" s="2"/>
      <c r="P3631" s="2"/>
    </row>
    <row r="3632" spans="2:16" ht="14.25">
      <c r="B3632" s="4"/>
      <c r="I3632" s="5"/>
      <c r="J3632" s="5"/>
      <c r="K3632" s="6"/>
      <c r="N3632" s="2"/>
      <c r="O3632" s="2"/>
      <c r="P3632" s="2"/>
    </row>
    <row r="3633" spans="2:16" ht="14.25">
      <c r="B3633" s="4"/>
      <c r="I3633" s="5"/>
      <c r="J3633" s="5"/>
      <c r="K3633" s="6"/>
      <c r="N3633" s="2"/>
      <c r="O3633" s="2"/>
      <c r="P3633" s="2"/>
    </row>
    <row r="3634" spans="2:16" ht="14.25">
      <c r="B3634" s="4"/>
      <c r="I3634" s="5"/>
      <c r="J3634" s="5"/>
      <c r="K3634" s="6"/>
      <c r="N3634" s="2"/>
      <c r="O3634" s="2"/>
      <c r="P3634" s="2"/>
    </row>
    <row r="3635" spans="2:16" ht="14.25">
      <c r="B3635" s="4"/>
      <c r="I3635" s="5"/>
      <c r="J3635" s="5"/>
      <c r="K3635" s="6"/>
      <c r="N3635" s="2"/>
      <c r="O3635" s="2"/>
      <c r="P3635" s="2"/>
    </row>
    <row r="3636" spans="2:16" ht="14.25">
      <c r="B3636" s="4"/>
      <c r="I3636" s="5"/>
      <c r="J3636" s="5"/>
      <c r="K3636" s="6"/>
      <c r="N3636" s="2"/>
      <c r="O3636" s="2"/>
      <c r="P3636" s="2"/>
    </row>
    <row r="3637" spans="2:16" ht="14.25">
      <c r="B3637" s="4"/>
      <c r="I3637" s="5"/>
      <c r="J3637" s="5"/>
      <c r="K3637" s="6"/>
      <c r="N3637" s="2"/>
      <c r="O3637" s="2"/>
      <c r="P3637" s="2"/>
    </row>
    <row r="3638" spans="2:16" ht="14.25">
      <c r="B3638" s="4"/>
      <c r="I3638" s="5"/>
      <c r="J3638" s="5"/>
      <c r="K3638" s="6"/>
      <c r="N3638" s="2"/>
      <c r="O3638" s="2"/>
      <c r="P3638" s="2"/>
    </row>
    <row r="3639" spans="2:16" ht="14.25">
      <c r="B3639" s="4"/>
      <c r="I3639" s="5"/>
      <c r="J3639" s="5"/>
      <c r="K3639" s="6"/>
      <c r="N3639" s="2"/>
      <c r="O3639" s="2"/>
      <c r="P3639" s="2"/>
    </row>
    <row r="3640" spans="2:16" ht="14.25">
      <c r="B3640" s="4"/>
      <c r="I3640" s="5"/>
      <c r="J3640" s="5"/>
      <c r="K3640" s="6"/>
      <c r="N3640" s="2"/>
      <c r="O3640" s="2"/>
      <c r="P3640" s="2"/>
    </row>
    <row r="3641" spans="2:16" ht="14.25">
      <c r="B3641" s="4"/>
      <c r="I3641" s="5"/>
      <c r="J3641" s="5"/>
      <c r="K3641" s="6"/>
      <c r="N3641" s="2"/>
      <c r="O3641" s="2"/>
      <c r="P3641" s="2"/>
    </row>
    <row r="3642" spans="2:16" ht="14.25">
      <c r="B3642" s="4"/>
      <c r="I3642" s="5"/>
      <c r="J3642" s="5"/>
      <c r="K3642" s="6"/>
      <c r="N3642" s="2"/>
      <c r="O3642" s="2"/>
      <c r="P3642" s="2"/>
    </row>
    <row r="3643" spans="2:16" ht="14.25">
      <c r="B3643" s="4"/>
      <c r="I3643" s="5"/>
      <c r="J3643" s="5"/>
      <c r="K3643" s="6"/>
      <c r="N3643" s="2"/>
      <c r="O3643" s="2"/>
      <c r="P3643" s="2"/>
    </row>
    <row r="3644" spans="2:16" ht="14.25">
      <c r="B3644" s="4"/>
      <c r="I3644" s="5"/>
      <c r="J3644" s="5"/>
      <c r="K3644" s="6"/>
      <c r="N3644" s="2"/>
      <c r="O3644" s="2"/>
      <c r="P3644" s="2"/>
    </row>
    <row r="3645" spans="2:16" ht="14.25">
      <c r="B3645" s="4"/>
      <c r="I3645" s="5"/>
      <c r="J3645" s="5"/>
      <c r="K3645" s="6"/>
      <c r="N3645" s="2"/>
      <c r="O3645" s="2"/>
      <c r="P3645" s="2"/>
    </row>
    <row r="3646" spans="2:16" ht="14.25">
      <c r="B3646" s="4"/>
      <c r="I3646" s="5"/>
      <c r="J3646" s="5"/>
      <c r="K3646" s="6"/>
      <c r="N3646" s="2"/>
      <c r="O3646" s="2"/>
      <c r="P3646" s="2"/>
    </row>
    <row r="3647" spans="2:16" ht="14.25">
      <c r="B3647" s="4"/>
      <c r="I3647" s="5"/>
      <c r="J3647" s="5"/>
      <c r="K3647" s="6"/>
      <c r="N3647" s="2"/>
      <c r="O3647" s="2"/>
      <c r="P3647" s="2"/>
    </row>
    <row r="3648" spans="2:16" ht="14.25">
      <c r="B3648" s="4"/>
      <c r="I3648" s="5"/>
      <c r="J3648" s="5"/>
      <c r="K3648" s="6"/>
      <c r="N3648" s="2"/>
      <c r="O3648" s="2"/>
      <c r="P3648" s="2"/>
    </row>
    <row r="3649" spans="2:16" ht="14.25">
      <c r="B3649" s="4"/>
      <c r="I3649" s="5"/>
      <c r="J3649" s="5"/>
      <c r="K3649" s="6"/>
      <c r="N3649" s="2"/>
      <c r="O3649" s="2"/>
      <c r="P3649" s="2"/>
    </row>
    <row r="3650" spans="2:16" ht="14.25">
      <c r="B3650" s="4"/>
      <c r="I3650" s="5"/>
      <c r="J3650" s="5"/>
      <c r="K3650" s="6"/>
      <c r="N3650" s="2"/>
      <c r="O3650" s="2"/>
      <c r="P3650" s="2"/>
    </row>
    <row r="3651" spans="2:16" ht="14.25">
      <c r="B3651" s="4"/>
      <c r="I3651" s="5"/>
      <c r="J3651" s="5"/>
      <c r="K3651" s="6"/>
      <c r="N3651" s="2"/>
      <c r="O3651" s="2"/>
      <c r="P3651" s="2"/>
    </row>
    <row r="3652" spans="2:16" ht="14.25">
      <c r="B3652" s="4"/>
      <c r="I3652" s="5"/>
      <c r="J3652" s="5"/>
      <c r="K3652" s="6"/>
      <c r="N3652" s="2"/>
      <c r="O3652" s="2"/>
      <c r="P3652" s="2"/>
    </row>
    <row r="3653" spans="2:16" ht="14.25">
      <c r="B3653" s="4"/>
      <c r="I3653" s="5"/>
      <c r="J3653" s="5"/>
      <c r="K3653" s="6"/>
      <c r="N3653" s="2"/>
      <c r="O3653" s="2"/>
      <c r="P3653" s="2"/>
    </row>
    <row r="3654" spans="2:16" ht="14.25">
      <c r="B3654" s="4"/>
      <c r="I3654" s="5"/>
      <c r="J3654" s="5"/>
      <c r="K3654" s="6"/>
      <c r="N3654" s="2"/>
      <c r="O3654" s="2"/>
      <c r="P3654" s="2"/>
    </row>
    <row r="3655" spans="2:16" ht="14.25">
      <c r="B3655" s="4"/>
      <c r="I3655" s="5"/>
      <c r="J3655" s="5"/>
      <c r="K3655" s="6"/>
      <c r="N3655" s="2"/>
      <c r="O3655" s="2"/>
      <c r="P3655" s="2"/>
    </row>
    <row r="3656" spans="2:16" ht="14.25">
      <c r="B3656" s="4"/>
      <c r="I3656" s="5"/>
      <c r="J3656" s="5"/>
      <c r="K3656" s="6"/>
      <c r="N3656" s="2"/>
      <c r="O3656" s="2"/>
      <c r="P3656" s="2"/>
    </row>
    <row r="3657" spans="2:16" ht="14.25">
      <c r="B3657" s="4"/>
      <c r="I3657" s="5"/>
      <c r="J3657" s="5"/>
      <c r="K3657" s="6"/>
      <c r="N3657" s="2"/>
      <c r="O3657" s="2"/>
      <c r="P3657" s="2"/>
    </row>
    <row r="3658" spans="2:16" ht="14.25">
      <c r="B3658" s="4"/>
      <c r="I3658" s="5"/>
      <c r="J3658" s="5"/>
      <c r="K3658" s="6"/>
      <c r="N3658" s="2"/>
      <c r="O3658" s="2"/>
      <c r="P3658" s="2"/>
    </row>
    <row r="3659" spans="2:16" ht="14.25">
      <c r="B3659" s="4"/>
      <c r="I3659" s="5"/>
      <c r="J3659" s="5"/>
      <c r="K3659" s="6"/>
      <c r="N3659" s="2"/>
      <c r="O3659" s="2"/>
      <c r="P3659" s="2"/>
    </row>
    <row r="3660" spans="2:16" ht="14.25">
      <c r="B3660" s="4"/>
      <c r="I3660" s="5"/>
      <c r="J3660" s="5"/>
      <c r="K3660" s="6"/>
      <c r="N3660" s="2"/>
      <c r="O3660" s="2"/>
      <c r="P3660" s="2"/>
    </row>
    <row r="3661" spans="2:16" ht="14.25">
      <c r="B3661" s="4"/>
      <c r="I3661" s="5"/>
      <c r="J3661" s="5"/>
      <c r="K3661" s="6"/>
      <c r="N3661" s="2"/>
      <c r="O3661" s="2"/>
      <c r="P3661" s="2"/>
    </row>
    <row r="3662" spans="2:16" ht="14.25">
      <c r="B3662" s="4"/>
      <c r="I3662" s="5"/>
      <c r="J3662" s="5"/>
      <c r="K3662" s="6"/>
      <c r="N3662" s="2"/>
      <c r="O3662" s="2"/>
      <c r="P3662" s="2"/>
    </row>
    <row r="3663" spans="2:16" ht="14.25">
      <c r="B3663" s="4"/>
      <c r="I3663" s="5"/>
      <c r="J3663" s="5"/>
      <c r="K3663" s="6"/>
      <c r="N3663" s="2"/>
      <c r="O3663" s="2"/>
      <c r="P3663" s="2"/>
    </row>
    <row r="3664" spans="2:16" ht="14.25">
      <c r="B3664" s="4"/>
      <c r="I3664" s="5"/>
      <c r="J3664" s="5"/>
      <c r="K3664" s="6"/>
      <c r="N3664" s="2"/>
      <c r="O3664" s="2"/>
      <c r="P3664" s="2"/>
    </row>
    <row r="3665" spans="2:16" ht="14.25">
      <c r="B3665" s="4"/>
      <c r="I3665" s="5"/>
      <c r="J3665" s="5"/>
      <c r="K3665" s="6"/>
      <c r="N3665" s="2"/>
      <c r="O3665" s="2"/>
      <c r="P3665" s="2"/>
    </row>
    <row r="3666" spans="2:16" ht="14.25">
      <c r="B3666" s="4"/>
      <c r="I3666" s="5"/>
      <c r="J3666" s="5"/>
      <c r="K3666" s="6"/>
      <c r="N3666" s="2"/>
      <c r="O3666" s="2"/>
      <c r="P3666" s="2"/>
    </row>
    <row r="3667" spans="2:16" ht="14.25">
      <c r="B3667" s="4"/>
      <c r="I3667" s="5"/>
      <c r="J3667" s="5"/>
      <c r="K3667" s="6"/>
      <c r="N3667" s="2"/>
      <c r="O3667" s="2"/>
      <c r="P3667" s="2"/>
    </row>
    <row r="3668" spans="2:16" ht="14.25">
      <c r="B3668" s="4"/>
      <c r="I3668" s="5"/>
      <c r="J3668" s="5"/>
      <c r="K3668" s="6"/>
      <c r="N3668" s="2"/>
      <c r="O3668" s="2"/>
      <c r="P3668" s="2"/>
    </row>
    <row r="3669" spans="2:16" ht="14.25">
      <c r="B3669" s="4"/>
      <c r="I3669" s="5"/>
      <c r="J3669" s="5"/>
      <c r="K3669" s="6"/>
      <c r="N3669" s="2"/>
      <c r="O3669" s="2"/>
      <c r="P3669" s="2"/>
    </row>
    <row r="3670" spans="2:16" ht="14.25">
      <c r="B3670" s="4"/>
      <c r="I3670" s="5"/>
      <c r="J3670" s="5"/>
      <c r="K3670" s="6"/>
      <c r="N3670" s="2"/>
      <c r="O3670" s="2"/>
      <c r="P3670" s="2"/>
    </row>
    <row r="3671" spans="2:16" ht="14.25">
      <c r="B3671" s="4"/>
      <c r="I3671" s="5"/>
      <c r="J3671" s="5"/>
      <c r="K3671" s="6"/>
      <c r="N3671" s="2"/>
      <c r="O3671" s="2"/>
      <c r="P3671" s="2"/>
    </row>
    <row r="3672" spans="2:16" ht="14.25">
      <c r="B3672" s="4"/>
      <c r="I3672" s="5"/>
      <c r="J3672" s="5"/>
      <c r="K3672" s="6"/>
      <c r="N3672" s="2"/>
      <c r="O3672" s="2"/>
      <c r="P3672" s="2"/>
    </row>
    <row r="3673" spans="2:16" ht="14.25">
      <c r="B3673" s="4"/>
      <c r="I3673" s="5"/>
      <c r="J3673" s="5"/>
      <c r="K3673" s="6"/>
      <c r="N3673" s="2"/>
      <c r="O3673" s="2"/>
      <c r="P3673" s="2"/>
    </row>
    <row r="3674" spans="2:16" ht="14.25">
      <c r="B3674" s="4"/>
      <c r="I3674" s="5"/>
      <c r="J3674" s="5"/>
      <c r="K3674" s="6"/>
      <c r="N3674" s="2"/>
      <c r="O3674" s="2"/>
      <c r="P3674" s="2"/>
    </row>
    <row r="3675" spans="2:16" ht="14.25">
      <c r="B3675" s="4"/>
      <c r="I3675" s="5"/>
      <c r="J3675" s="5"/>
      <c r="K3675" s="6"/>
      <c r="N3675" s="2"/>
      <c r="O3675" s="2"/>
      <c r="P3675" s="2"/>
    </row>
    <row r="3676" spans="2:16" ht="14.25">
      <c r="B3676" s="4"/>
      <c r="I3676" s="5"/>
      <c r="J3676" s="5"/>
      <c r="K3676" s="6"/>
      <c r="N3676" s="2"/>
      <c r="O3676" s="2"/>
      <c r="P3676" s="2"/>
    </row>
    <row r="3677" spans="2:16" ht="14.25">
      <c r="B3677" s="4"/>
      <c r="I3677" s="5"/>
      <c r="J3677" s="5"/>
      <c r="K3677" s="6"/>
      <c r="N3677" s="2"/>
      <c r="O3677" s="2"/>
      <c r="P3677" s="2"/>
    </row>
    <row r="3678" spans="2:16" ht="14.25">
      <c r="B3678" s="4"/>
      <c r="I3678" s="5"/>
      <c r="J3678" s="5"/>
      <c r="K3678" s="6"/>
      <c r="N3678" s="2"/>
      <c r="O3678" s="2"/>
      <c r="P3678" s="2"/>
    </row>
    <row r="3679" spans="2:16" ht="14.25">
      <c r="B3679" s="4"/>
      <c r="I3679" s="5"/>
      <c r="J3679" s="5"/>
      <c r="K3679" s="6"/>
      <c r="N3679" s="2"/>
      <c r="O3679" s="2"/>
      <c r="P3679" s="2"/>
    </row>
    <row r="3680" spans="2:16" ht="14.25">
      <c r="B3680" s="4"/>
      <c r="I3680" s="5"/>
      <c r="J3680" s="5"/>
      <c r="K3680" s="6"/>
      <c r="N3680" s="2"/>
      <c r="O3680" s="2"/>
      <c r="P3680" s="2"/>
    </row>
    <row r="3681" spans="2:16" ht="14.25">
      <c r="B3681" s="4"/>
      <c r="I3681" s="5"/>
      <c r="J3681" s="5"/>
      <c r="K3681" s="6"/>
      <c r="N3681" s="2"/>
      <c r="O3681" s="2"/>
      <c r="P3681" s="2"/>
    </row>
    <row r="3682" spans="2:16" ht="14.25">
      <c r="B3682" s="4"/>
      <c r="I3682" s="5"/>
      <c r="J3682" s="5"/>
      <c r="K3682" s="6"/>
      <c r="N3682" s="2"/>
      <c r="O3682" s="2"/>
      <c r="P3682" s="2"/>
    </row>
    <row r="3683" spans="2:16" ht="14.25">
      <c r="B3683" s="4"/>
      <c r="I3683" s="5"/>
      <c r="J3683" s="5"/>
      <c r="K3683" s="6"/>
      <c r="N3683" s="2"/>
      <c r="O3683" s="2"/>
      <c r="P3683" s="2"/>
    </row>
    <row r="3684" spans="2:16" ht="14.25">
      <c r="B3684" s="4"/>
      <c r="I3684" s="5"/>
      <c r="J3684" s="5"/>
      <c r="K3684" s="6"/>
      <c r="N3684" s="2"/>
      <c r="O3684" s="2"/>
      <c r="P3684" s="2"/>
    </row>
    <row r="3685" spans="2:16" ht="14.25">
      <c r="B3685" s="4"/>
      <c r="I3685" s="5"/>
      <c r="J3685" s="5"/>
      <c r="K3685" s="6"/>
      <c r="N3685" s="2"/>
      <c r="O3685" s="2"/>
      <c r="P3685" s="2"/>
    </row>
    <row r="3686" spans="2:16" ht="14.25">
      <c r="B3686" s="4"/>
      <c r="I3686" s="5"/>
      <c r="J3686" s="5"/>
      <c r="K3686" s="6"/>
      <c r="N3686" s="2"/>
      <c r="O3686" s="2"/>
      <c r="P3686" s="2"/>
    </row>
    <row r="3687" spans="2:16" ht="14.25">
      <c r="B3687" s="4"/>
      <c r="I3687" s="5"/>
      <c r="J3687" s="5"/>
      <c r="K3687" s="6"/>
      <c r="N3687" s="2"/>
      <c r="O3687" s="2"/>
      <c r="P3687" s="2"/>
    </row>
    <row r="3688" spans="2:16" ht="14.25">
      <c r="B3688" s="4"/>
      <c r="I3688" s="5"/>
      <c r="J3688" s="5"/>
      <c r="K3688" s="6"/>
      <c r="N3688" s="2"/>
      <c r="O3688" s="2"/>
      <c r="P3688" s="2"/>
    </row>
    <row r="3689" spans="2:16" ht="14.25">
      <c r="B3689" s="4"/>
      <c r="I3689" s="5"/>
      <c r="J3689" s="5"/>
      <c r="K3689" s="6"/>
      <c r="N3689" s="2"/>
      <c r="O3689" s="2"/>
      <c r="P3689" s="2"/>
    </row>
    <row r="3690" spans="2:16" ht="14.25">
      <c r="B3690" s="4"/>
      <c r="I3690" s="5"/>
      <c r="J3690" s="5"/>
      <c r="K3690" s="6"/>
      <c r="N3690" s="2"/>
      <c r="O3690" s="2"/>
      <c r="P3690" s="2"/>
    </row>
    <row r="3691" spans="2:16" ht="14.25">
      <c r="B3691" s="4"/>
      <c r="I3691" s="5"/>
      <c r="J3691" s="5"/>
      <c r="K3691" s="6"/>
      <c r="N3691" s="2"/>
      <c r="O3691" s="2"/>
      <c r="P3691" s="2"/>
    </row>
    <row r="3692" spans="2:16" ht="14.25">
      <c r="B3692" s="4"/>
      <c r="I3692" s="5"/>
      <c r="J3692" s="5"/>
      <c r="K3692" s="6"/>
      <c r="N3692" s="2"/>
      <c r="O3692" s="2"/>
      <c r="P3692" s="2"/>
    </row>
    <row r="3693" spans="2:16" ht="14.25">
      <c r="B3693" s="4"/>
      <c r="I3693" s="5"/>
      <c r="J3693" s="5"/>
      <c r="K3693" s="6"/>
      <c r="N3693" s="2"/>
      <c r="O3693" s="2"/>
      <c r="P3693" s="2"/>
    </row>
    <row r="3694" spans="2:16" ht="14.25">
      <c r="B3694" s="4"/>
      <c r="I3694" s="5"/>
      <c r="J3694" s="5"/>
      <c r="K3694" s="6"/>
      <c r="N3694" s="2"/>
      <c r="O3694" s="2"/>
      <c r="P3694" s="2"/>
    </row>
    <row r="3695" spans="2:16" ht="14.25">
      <c r="B3695" s="4"/>
      <c r="I3695" s="5"/>
      <c r="J3695" s="5"/>
      <c r="K3695" s="6"/>
      <c r="N3695" s="2"/>
      <c r="O3695" s="2"/>
      <c r="P3695" s="2"/>
    </row>
    <row r="3696" spans="2:16" ht="14.25">
      <c r="B3696" s="4"/>
      <c r="I3696" s="5"/>
      <c r="J3696" s="5"/>
      <c r="K3696" s="6"/>
      <c r="N3696" s="2"/>
      <c r="O3696" s="2"/>
      <c r="P3696" s="2"/>
    </row>
    <row r="3697" spans="2:16" ht="14.25">
      <c r="B3697" s="4"/>
      <c r="I3697" s="5"/>
      <c r="J3697" s="5"/>
      <c r="K3697" s="6"/>
      <c r="N3697" s="2"/>
      <c r="O3697" s="2"/>
      <c r="P3697" s="2"/>
    </row>
    <row r="3698" spans="2:16" ht="14.25">
      <c r="B3698" s="4"/>
      <c r="I3698" s="5"/>
      <c r="J3698" s="5"/>
      <c r="K3698" s="6"/>
      <c r="N3698" s="2"/>
      <c r="O3698" s="2"/>
      <c r="P3698" s="2"/>
    </row>
    <row r="3699" spans="2:16" ht="14.25">
      <c r="B3699" s="4"/>
      <c r="I3699" s="5"/>
      <c r="J3699" s="5"/>
      <c r="K3699" s="6"/>
      <c r="N3699" s="2"/>
      <c r="O3699" s="2"/>
      <c r="P3699" s="2"/>
    </row>
    <row r="3700" spans="2:16" ht="14.25">
      <c r="B3700" s="4"/>
      <c r="I3700" s="5"/>
      <c r="J3700" s="5"/>
      <c r="K3700" s="6"/>
      <c r="N3700" s="2"/>
      <c r="O3700" s="2"/>
      <c r="P3700" s="2"/>
    </row>
    <row r="3701" spans="2:16" ht="14.25">
      <c r="B3701" s="4"/>
      <c r="I3701" s="5"/>
      <c r="J3701" s="5"/>
      <c r="K3701" s="6"/>
      <c r="N3701" s="2"/>
      <c r="O3701" s="2"/>
      <c r="P3701" s="2"/>
    </row>
    <row r="3702" spans="2:16" ht="14.25">
      <c r="B3702" s="4"/>
      <c r="I3702" s="5"/>
      <c r="J3702" s="5"/>
      <c r="K3702" s="6"/>
      <c r="N3702" s="2"/>
      <c r="O3702" s="2"/>
      <c r="P3702" s="2"/>
    </row>
    <row r="3703" spans="2:16" ht="14.25">
      <c r="B3703" s="4"/>
      <c r="I3703" s="5"/>
      <c r="J3703" s="5"/>
      <c r="K3703" s="6"/>
      <c r="N3703" s="2"/>
      <c r="O3703" s="2"/>
      <c r="P3703" s="2"/>
    </row>
    <row r="3704" spans="2:16" ht="14.25">
      <c r="B3704" s="4"/>
      <c r="I3704" s="5"/>
      <c r="J3704" s="5"/>
      <c r="K3704" s="6"/>
      <c r="N3704" s="2"/>
      <c r="O3704" s="2"/>
      <c r="P3704" s="2"/>
    </row>
    <row r="3705" spans="2:16" ht="14.25">
      <c r="B3705" s="4"/>
      <c r="I3705" s="5"/>
      <c r="J3705" s="5"/>
      <c r="K3705" s="6"/>
      <c r="N3705" s="2"/>
      <c r="O3705" s="2"/>
      <c r="P3705" s="2"/>
    </row>
    <row r="3706" spans="2:16" ht="14.25">
      <c r="B3706" s="4"/>
      <c r="I3706" s="5"/>
      <c r="J3706" s="5"/>
      <c r="K3706" s="6"/>
      <c r="N3706" s="2"/>
      <c r="O3706" s="2"/>
      <c r="P3706" s="2"/>
    </row>
    <row r="3707" spans="2:16" ht="14.25">
      <c r="B3707" s="4"/>
      <c r="I3707" s="5"/>
      <c r="J3707" s="5"/>
      <c r="K3707" s="6"/>
      <c r="N3707" s="2"/>
      <c r="O3707" s="2"/>
      <c r="P3707" s="2"/>
    </row>
    <row r="3708" spans="2:16" ht="14.25">
      <c r="B3708" s="4"/>
      <c r="I3708" s="5"/>
      <c r="J3708" s="5"/>
      <c r="K3708" s="6"/>
      <c r="N3708" s="2"/>
      <c r="O3708" s="2"/>
      <c r="P3708" s="2"/>
    </row>
    <row r="3709" spans="2:16" ht="14.25">
      <c r="B3709" s="4"/>
      <c r="I3709" s="5"/>
      <c r="J3709" s="5"/>
      <c r="K3709" s="6"/>
      <c r="N3709" s="2"/>
      <c r="O3709" s="2"/>
      <c r="P3709" s="2"/>
    </row>
    <row r="3710" spans="2:16" ht="14.25">
      <c r="B3710" s="4"/>
      <c r="I3710" s="5"/>
      <c r="J3710" s="5"/>
      <c r="K3710" s="6"/>
      <c r="N3710" s="2"/>
      <c r="O3710" s="2"/>
      <c r="P3710" s="2"/>
    </row>
    <row r="3711" spans="2:16" ht="14.25">
      <c r="B3711" s="4"/>
      <c r="I3711" s="5"/>
      <c r="J3711" s="5"/>
      <c r="K3711" s="6"/>
      <c r="N3711" s="2"/>
      <c r="O3711" s="2"/>
      <c r="P3711" s="2"/>
    </row>
    <row r="3712" spans="2:16" ht="14.25">
      <c r="B3712" s="4"/>
      <c r="I3712" s="5"/>
      <c r="J3712" s="5"/>
      <c r="K3712" s="6"/>
      <c r="N3712" s="2"/>
      <c r="O3712" s="2"/>
      <c r="P3712" s="2"/>
    </row>
    <row r="3713" spans="2:16" ht="14.25">
      <c r="B3713" s="4"/>
      <c r="I3713" s="5"/>
      <c r="J3713" s="5"/>
      <c r="K3713" s="6"/>
      <c r="N3713" s="2"/>
      <c r="O3713" s="2"/>
      <c r="P3713" s="2"/>
    </row>
    <row r="3714" spans="2:16" ht="14.25">
      <c r="B3714" s="4"/>
      <c r="I3714" s="5"/>
      <c r="J3714" s="5"/>
      <c r="K3714" s="6"/>
      <c r="N3714" s="2"/>
      <c r="O3714" s="2"/>
      <c r="P3714" s="2"/>
    </row>
    <row r="3715" spans="2:16" ht="14.25">
      <c r="B3715" s="4"/>
      <c r="I3715" s="5"/>
      <c r="J3715" s="5"/>
      <c r="K3715" s="6"/>
      <c r="N3715" s="2"/>
      <c r="O3715" s="2"/>
      <c r="P3715" s="2"/>
    </row>
    <row r="3716" spans="2:16" ht="14.25">
      <c r="B3716" s="4"/>
      <c r="I3716" s="5"/>
      <c r="J3716" s="5"/>
      <c r="K3716" s="6"/>
      <c r="N3716" s="2"/>
      <c r="O3716" s="2"/>
      <c r="P3716" s="2"/>
    </row>
    <row r="3717" spans="2:16" ht="14.25">
      <c r="B3717" s="4"/>
      <c r="I3717" s="5"/>
      <c r="J3717" s="5"/>
      <c r="K3717" s="6"/>
      <c r="N3717" s="2"/>
      <c r="O3717" s="2"/>
      <c r="P3717" s="2"/>
    </row>
    <row r="3718" spans="2:16" ht="14.25">
      <c r="B3718" s="4"/>
      <c r="I3718" s="5"/>
      <c r="J3718" s="5"/>
      <c r="K3718" s="6"/>
      <c r="N3718" s="2"/>
      <c r="O3718" s="2"/>
      <c r="P3718" s="2"/>
    </row>
    <row r="3719" spans="2:16" ht="14.25">
      <c r="B3719" s="4"/>
      <c r="I3719" s="5"/>
      <c r="J3719" s="5"/>
      <c r="K3719" s="6"/>
      <c r="N3719" s="2"/>
      <c r="O3719" s="2"/>
      <c r="P3719" s="2"/>
    </row>
    <row r="3720" spans="2:16" ht="14.25">
      <c r="B3720" s="4"/>
      <c r="I3720" s="5"/>
      <c r="J3720" s="5"/>
      <c r="K3720" s="6"/>
      <c r="N3720" s="2"/>
      <c r="O3720" s="2"/>
      <c r="P3720" s="2"/>
    </row>
    <row r="3721" spans="2:16" ht="14.25">
      <c r="B3721" s="4"/>
      <c r="I3721" s="5"/>
      <c r="J3721" s="5"/>
      <c r="K3721" s="6"/>
      <c r="N3721" s="2"/>
      <c r="O3721" s="2"/>
      <c r="P3721" s="2"/>
    </row>
    <row r="3722" spans="2:16" ht="14.25">
      <c r="B3722" s="4"/>
      <c r="I3722" s="5"/>
      <c r="J3722" s="5"/>
      <c r="K3722" s="6"/>
      <c r="N3722" s="2"/>
      <c r="O3722" s="2"/>
      <c r="P3722" s="2"/>
    </row>
    <row r="3723" spans="2:16" ht="14.25">
      <c r="B3723" s="4"/>
      <c r="I3723" s="5"/>
      <c r="J3723" s="5"/>
      <c r="K3723" s="6"/>
      <c r="N3723" s="2"/>
      <c r="O3723" s="2"/>
      <c r="P3723" s="2"/>
    </row>
    <row r="3724" spans="2:16" ht="14.25">
      <c r="B3724" s="4"/>
      <c r="I3724" s="5"/>
      <c r="J3724" s="5"/>
      <c r="K3724" s="6"/>
      <c r="N3724" s="2"/>
      <c r="O3724" s="2"/>
      <c r="P3724" s="2"/>
    </row>
    <row r="3725" spans="2:16" ht="14.25">
      <c r="B3725" s="4"/>
      <c r="I3725" s="5"/>
      <c r="J3725" s="5"/>
      <c r="K3725" s="6"/>
      <c r="N3725" s="2"/>
      <c r="O3725" s="2"/>
      <c r="P3725" s="2"/>
    </row>
    <row r="3726" spans="2:16" ht="14.25">
      <c r="B3726" s="4"/>
      <c r="I3726" s="5"/>
      <c r="J3726" s="5"/>
      <c r="K3726" s="6"/>
      <c r="N3726" s="2"/>
      <c r="O3726" s="2"/>
      <c r="P3726" s="2"/>
    </row>
    <row r="3727" spans="2:16" ht="14.25">
      <c r="B3727" s="4"/>
      <c r="I3727" s="5"/>
      <c r="J3727" s="5"/>
      <c r="K3727" s="6"/>
      <c r="N3727" s="2"/>
      <c r="O3727" s="2"/>
      <c r="P3727" s="2"/>
    </row>
    <row r="3728" spans="2:16" ht="14.25">
      <c r="B3728" s="4"/>
      <c r="I3728" s="5"/>
      <c r="J3728" s="5"/>
      <c r="K3728" s="6"/>
      <c r="N3728" s="2"/>
      <c r="O3728" s="2"/>
      <c r="P3728" s="2"/>
    </row>
    <row r="3729" spans="2:16" ht="14.25">
      <c r="B3729" s="4"/>
      <c r="I3729" s="5"/>
      <c r="J3729" s="5"/>
      <c r="K3729" s="6"/>
      <c r="N3729" s="2"/>
      <c r="O3729" s="2"/>
      <c r="P3729" s="2"/>
    </row>
    <row r="3730" spans="2:16" ht="14.25">
      <c r="B3730" s="4"/>
      <c r="I3730" s="5"/>
      <c r="J3730" s="5"/>
      <c r="K3730" s="6"/>
      <c r="N3730" s="2"/>
      <c r="O3730" s="2"/>
      <c r="P3730" s="2"/>
    </row>
    <row r="3731" spans="2:16" ht="14.25">
      <c r="B3731" s="4"/>
      <c r="I3731" s="5"/>
      <c r="J3731" s="5"/>
      <c r="K3731" s="6"/>
      <c r="N3731" s="2"/>
      <c r="O3731" s="2"/>
      <c r="P3731" s="2"/>
    </row>
    <row r="3732" spans="2:16" ht="14.25">
      <c r="B3732" s="4"/>
      <c r="I3732" s="5"/>
      <c r="J3732" s="5"/>
      <c r="K3732" s="6"/>
      <c r="N3732" s="2"/>
      <c r="O3732" s="2"/>
      <c r="P3732" s="2"/>
    </row>
    <row r="3733" spans="2:16" ht="14.25">
      <c r="B3733" s="4"/>
      <c r="I3733" s="5"/>
      <c r="J3733" s="5"/>
      <c r="K3733" s="6"/>
      <c r="N3733" s="2"/>
      <c r="O3733" s="2"/>
      <c r="P3733" s="2"/>
    </row>
    <row r="3734" spans="2:16" ht="14.25">
      <c r="B3734" s="4"/>
      <c r="I3734" s="5"/>
      <c r="J3734" s="5"/>
      <c r="K3734" s="6"/>
      <c r="N3734" s="2"/>
      <c r="O3734" s="2"/>
      <c r="P3734" s="2"/>
    </row>
    <row r="3735" spans="2:16" ht="14.25">
      <c r="B3735" s="4"/>
      <c r="I3735" s="5"/>
      <c r="J3735" s="5"/>
      <c r="K3735" s="6"/>
      <c r="N3735" s="2"/>
      <c r="O3735" s="2"/>
      <c r="P3735" s="2"/>
    </row>
    <row r="3736" spans="2:16" ht="14.25">
      <c r="B3736" s="4"/>
      <c r="I3736" s="5"/>
      <c r="J3736" s="5"/>
      <c r="K3736" s="6"/>
      <c r="N3736" s="2"/>
      <c r="O3736" s="2"/>
      <c r="P3736" s="2"/>
    </row>
    <row r="3737" spans="2:16" ht="14.25">
      <c r="B3737" s="4"/>
      <c r="I3737" s="5"/>
      <c r="J3737" s="5"/>
      <c r="K3737" s="6"/>
      <c r="N3737" s="2"/>
      <c r="O3737" s="2"/>
      <c r="P3737" s="2"/>
    </row>
    <row r="3738" spans="2:16" ht="14.25">
      <c r="B3738" s="4"/>
      <c r="I3738" s="5"/>
      <c r="J3738" s="5"/>
      <c r="K3738" s="6"/>
      <c r="N3738" s="2"/>
      <c r="O3738" s="2"/>
      <c r="P3738" s="2"/>
    </row>
    <row r="3739" spans="2:16" ht="14.25">
      <c r="B3739" s="4"/>
      <c r="I3739" s="5"/>
      <c r="J3739" s="5"/>
      <c r="K3739" s="6"/>
      <c r="N3739" s="2"/>
      <c r="O3739" s="2"/>
      <c r="P3739" s="2"/>
    </row>
    <row r="3740" spans="2:16" ht="14.25">
      <c r="B3740" s="4"/>
      <c r="I3740" s="5"/>
      <c r="J3740" s="5"/>
      <c r="K3740" s="6"/>
      <c r="N3740" s="2"/>
      <c r="O3740" s="2"/>
      <c r="P3740" s="2"/>
    </row>
    <row r="3741" spans="2:16" ht="14.25">
      <c r="B3741" s="4"/>
      <c r="I3741" s="5"/>
      <c r="J3741" s="5"/>
      <c r="K3741" s="6"/>
      <c r="N3741" s="2"/>
      <c r="O3741" s="2"/>
      <c r="P3741" s="2"/>
    </row>
    <row r="3742" spans="2:16" ht="14.25">
      <c r="B3742" s="4"/>
      <c r="I3742" s="5"/>
      <c r="J3742" s="5"/>
      <c r="K3742" s="6"/>
      <c r="N3742" s="2"/>
      <c r="O3742" s="2"/>
      <c r="P3742" s="2"/>
    </row>
    <row r="3743" spans="2:16" ht="14.25">
      <c r="B3743" s="4"/>
      <c r="I3743" s="5"/>
      <c r="J3743" s="5"/>
      <c r="K3743" s="6"/>
      <c r="N3743" s="2"/>
      <c r="O3743" s="2"/>
      <c r="P3743" s="2"/>
    </row>
    <row r="3744" spans="2:16" ht="14.25">
      <c r="B3744" s="4"/>
      <c r="I3744" s="5"/>
      <c r="J3744" s="5"/>
      <c r="K3744" s="6"/>
      <c r="N3744" s="2"/>
      <c r="O3744" s="2"/>
      <c r="P3744" s="2"/>
    </row>
    <row r="3745" spans="2:16" ht="14.25">
      <c r="B3745" s="4"/>
      <c r="I3745" s="5"/>
      <c r="J3745" s="5"/>
      <c r="K3745" s="6"/>
      <c r="N3745" s="2"/>
      <c r="O3745" s="2"/>
      <c r="P3745" s="2"/>
    </row>
    <row r="3746" spans="2:16" ht="14.25">
      <c r="B3746" s="4"/>
      <c r="I3746" s="5"/>
      <c r="J3746" s="5"/>
      <c r="K3746" s="6"/>
      <c r="N3746" s="2"/>
      <c r="O3746" s="2"/>
      <c r="P3746" s="2"/>
    </row>
    <row r="3747" spans="2:16" ht="14.25">
      <c r="B3747" s="4"/>
      <c r="I3747" s="5"/>
      <c r="J3747" s="5"/>
      <c r="K3747" s="6"/>
      <c r="N3747" s="2"/>
      <c r="O3747" s="2"/>
      <c r="P3747" s="2"/>
    </row>
    <row r="3748" spans="2:16" ht="14.25">
      <c r="B3748" s="4"/>
      <c r="I3748" s="5"/>
      <c r="J3748" s="5"/>
      <c r="K3748" s="6"/>
      <c r="N3748" s="2"/>
      <c r="O3748" s="2"/>
      <c r="P3748" s="2"/>
    </row>
    <row r="3749" spans="2:16" ht="14.25">
      <c r="B3749" s="4"/>
      <c r="I3749" s="5"/>
      <c r="J3749" s="5"/>
      <c r="K3749" s="6"/>
      <c r="N3749" s="2"/>
      <c r="O3749" s="2"/>
      <c r="P3749" s="2"/>
    </row>
    <row r="3750" spans="2:16" ht="14.25">
      <c r="B3750" s="4"/>
      <c r="I3750" s="5"/>
      <c r="J3750" s="5"/>
      <c r="K3750" s="6"/>
      <c r="N3750" s="2"/>
      <c r="O3750" s="2"/>
      <c r="P3750" s="2"/>
    </row>
    <row r="3751" spans="2:16" ht="14.25">
      <c r="B3751" s="4"/>
      <c r="I3751" s="5"/>
      <c r="J3751" s="5"/>
      <c r="K3751" s="6"/>
      <c r="N3751" s="2"/>
      <c r="O3751" s="2"/>
      <c r="P3751" s="2"/>
    </row>
    <row r="3752" spans="2:16" ht="14.25">
      <c r="B3752" s="4"/>
      <c r="I3752" s="5"/>
      <c r="J3752" s="5"/>
      <c r="K3752" s="6"/>
      <c r="N3752" s="2"/>
      <c r="O3752" s="2"/>
      <c r="P3752" s="2"/>
    </row>
    <row r="3753" spans="2:16" ht="14.25">
      <c r="B3753" s="4"/>
      <c r="I3753" s="5"/>
      <c r="J3753" s="5"/>
      <c r="K3753" s="6"/>
      <c r="N3753" s="2"/>
      <c r="O3753" s="2"/>
      <c r="P3753" s="2"/>
    </row>
    <row r="3754" spans="2:16" ht="14.25">
      <c r="B3754" s="4"/>
      <c r="I3754" s="5"/>
      <c r="J3754" s="5"/>
      <c r="K3754" s="6"/>
      <c r="N3754" s="2"/>
      <c r="O3754" s="2"/>
      <c r="P3754" s="2"/>
    </row>
    <row r="3755" spans="2:16" ht="14.25">
      <c r="B3755" s="4"/>
      <c r="I3755" s="5"/>
      <c r="J3755" s="5"/>
      <c r="K3755" s="6"/>
      <c r="N3755" s="2"/>
      <c r="O3755" s="2"/>
      <c r="P3755" s="2"/>
    </row>
    <row r="3756" spans="2:16" ht="14.25">
      <c r="B3756" s="4"/>
      <c r="I3756" s="5"/>
      <c r="J3756" s="5"/>
      <c r="K3756" s="6"/>
      <c r="N3756" s="2"/>
      <c r="O3756" s="2"/>
      <c r="P3756" s="2"/>
    </row>
    <row r="3757" spans="2:16" ht="14.25">
      <c r="B3757" s="4"/>
      <c r="I3757" s="5"/>
      <c r="J3757" s="5"/>
      <c r="K3757" s="6"/>
      <c r="N3757" s="2"/>
      <c r="O3757" s="2"/>
      <c r="P3757" s="2"/>
    </row>
    <row r="3758" spans="2:16" ht="14.25">
      <c r="B3758" s="4"/>
      <c r="I3758" s="5"/>
      <c r="J3758" s="5"/>
      <c r="K3758" s="6"/>
      <c r="N3758" s="2"/>
      <c r="O3758" s="2"/>
      <c r="P3758" s="2"/>
    </row>
    <row r="3759" spans="2:16" ht="14.25">
      <c r="B3759" s="4"/>
      <c r="I3759" s="5"/>
      <c r="J3759" s="5"/>
      <c r="K3759" s="6"/>
      <c r="N3759" s="2"/>
      <c r="O3759" s="2"/>
      <c r="P3759" s="2"/>
    </row>
    <row r="3760" spans="2:16" ht="14.25">
      <c r="B3760" s="4"/>
      <c r="I3760" s="5"/>
      <c r="J3760" s="5"/>
      <c r="K3760" s="6"/>
      <c r="N3760" s="2"/>
      <c r="O3760" s="2"/>
      <c r="P3760" s="2"/>
    </row>
    <row r="3761" spans="2:16" ht="14.25">
      <c r="B3761" s="4"/>
      <c r="I3761" s="5"/>
      <c r="J3761" s="5"/>
      <c r="K3761" s="6"/>
      <c r="N3761" s="2"/>
      <c r="O3761" s="2"/>
      <c r="P3761" s="2"/>
    </row>
    <row r="3762" spans="2:16" ht="14.25">
      <c r="B3762" s="4"/>
      <c r="I3762" s="5"/>
      <c r="J3762" s="5"/>
      <c r="K3762" s="6"/>
      <c r="N3762" s="2"/>
      <c r="O3762" s="2"/>
      <c r="P3762" s="2"/>
    </row>
    <row r="3763" spans="2:16" ht="14.25">
      <c r="B3763" s="4"/>
      <c r="I3763" s="5"/>
      <c r="J3763" s="5"/>
      <c r="K3763" s="6"/>
      <c r="N3763" s="2"/>
      <c r="O3763" s="2"/>
      <c r="P3763" s="2"/>
    </row>
    <row r="3764" spans="2:16" ht="14.25">
      <c r="B3764" s="4"/>
      <c r="I3764" s="5"/>
      <c r="J3764" s="5"/>
      <c r="K3764" s="6"/>
      <c r="N3764" s="2"/>
      <c r="O3764" s="2"/>
      <c r="P3764" s="2"/>
    </row>
    <row r="3765" spans="2:16" ht="14.25">
      <c r="B3765" s="4"/>
      <c r="I3765" s="5"/>
      <c r="J3765" s="5"/>
      <c r="K3765" s="6"/>
      <c r="N3765" s="2"/>
      <c r="O3765" s="2"/>
      <c r="P3765" s="2"/>
    </row>
    <row r="3766" spans="2:16" ht="14.25">
      <c r="B3766" s="4"/>
      <c r="I3766" s="5"/>
      <c r="J3766" s="5"/>
      <c r="K3766" s="6"/>
      <c r="N3766" s="2"/>
      <c r="O3766" s="2"/>
      <c r="P3766" s="2"/>
    </row>
    <row r="3767" spans="2:16" ht="14.25">
      <c r="B3767" s="4"/>
      <c r="I3767" s="5"/>
      <c r="J3767" s="5"/>
      <c r="K3767" s="6"/>
      <c r="N3767" s="2"/>
      <c r="O3767" s="2"/>
      <c r="P3767" s="2"/>
    </row>
    <row r="3768" spans="2:16" ht="14.25">
      <c r="B3768" s="4"/>
      <c r="I3768" s="5"/>
      <c r="J3768" s="5"/>
      <c r="K3768" s="6"/>
      <c r="N3768" s="2"/>
      <c r="O3768" s="2"/>
      <c r="P3768" s="2"/>
    </row>
    <row r="3769" spans="2:16" ht="14.25">
      <c r="B3769" s="4"/>
      <c r="I3769" s="5"/>
      <c r="J3769" s="5"/>
      <c r="K3769" s="6"/>
      <c r="N3769" s="2"/>
      <c r="O3769" s="2"/>
      <c r="P3769" s="2"/>
    </row>
    <row r="3770" spans="2:16" ht="14.25">
      <c r="B3770" s="4"/>
      <c r="I3770" s="5"/>
      <c r="J3770" s="5"/>
      <c r="K3770" s="6"/>
      <c r="N3770" s="2"/>
      <c r="O3770" s="2"/>
      <c r="P3770" s="2"/>
    </row>
    <row r="3771" spans="2:16" ht="14.25">
      <c r="B3771" s="4"/>
      <c r="I3771" s="5"/>
      <c r="J3771" s="5"/>
      <c r="K3771" s="6"/>
      <c r="N3771" s="2"/>
      <c r="O3771" s="2"/>
      <c r="P3771" s="2"/>
    </row>
    <row r="3772" spans="2:16" ht="14.25">
      <c r="B3772" s="4"/>
      <c r="I3772" s="5"/>
      <c r="J3772" s="5"/>
      <c r="K3772" s="6"/>
      <c r="N3772" s="2"/>
      <c r="O3772" s="2"/>
      <c r="P3772" s="2"/>
    </row>
    <row r="3773" spans="2:16" ht="14.25">
      <c r="B3773" s="4"/>
      <c r="I3773" s="5"/>
      <c r="J3773" s="5"/>
      <c r="K3773" s="6"/>
      <c r="N3773" s="2"/>
      <c r="O3773" s="2"/>
      <c r="P3773" s="2"/>
    </row>
    <row r="3774" spans="2:16" ht="14.25">
      <c r="B3774" s="4"/>
      <c r="I3774" s="5"/>
      <c r="J3774" s="5"/>
      <c r="K3774" s="6"/>
      <c r="N3774" s="2"/>
      <c r="O3774" s="2"/>
      <c r="P3774" s="2"/>
    </row>
    <row r="3775" spans="2:16" ht="14.25">
      <c r="B3775" s="4"/>
      <c r="I3775" s="5"/>
      <c r="J3775" s="5"/>
      <c r="K3775" s="6"/>
      <c r="N3775" s="2"/>
      <c r="O3775" s="2"/>
      <c r="P3775" s="2"/>
    </row>
    <row r="3776" spans="2:16" ht="14.25">
      <c r="B3776" s="4"/>
      <c r="I3776" s="5"/>
      <c r="J3776" s="5"/>
      <c r="K3776" s="6"/>
      <c r="N3776" s="2"/>
      <c r="O3776" s="2"/>
      <c r="P3776" s="2"/>
    </row>
    <row r="3777" spans="2:16" ht="14.25">
      <c r="B3777" s="4"/>
      <c r="I3777" s="5"/>
      <c r="J3777" s="5"/>
      <c r="K3777" s="6"/>
      <c r="N3777" s="2"/>
      <c r="O3777" s="2"/>
      <c r="P3777" s="2"/>
    </row>
    <row r="3778" spans="2:16" ht="14.25">
      <c r="B3778" s="4"/>
      <c r="I3778" s="5"/>
      <c r="J3778" s="5"/>
      <c r="K3778" s="6"/>
      <c r="N3778" s="2"/>
      <c r="O3778" s="2"/>
      <c r="P3778" s="2"/>
    </row>
    <row r="3779" spans="2:16" ht="14.25">
      <c r="B3779" s="4"/>
      <c r="I3779" s="5"/>
      <c r="J3779" s="5"/>
      <c r="K3779" s="6"/>
      <c r="N3779" s="2"/>
      <c r="O3779" s="2"/>
      <c r="P3779" s="2"/>
    </row>
    <row r="3780" spans="2:16" ht="14.25">
      <c r="B3780" s="4"/>
      <c r="I3780" s="5"/>
      <c r="J3780" s="5"/>
      <c r="K3780" s="6"/>
      <c r="N3780" s="2"/>
      <c r="O3780" s="2"/>
      <c r="P3780" s="2"/>
    </row>
    <row r="3781" spans="2:16" ht="14.25">
      <c r="B3781" s="4"/>
      <c r="I3781" s="5"/>
      <c r="J3781" s="5"/>
      <c r="K3781" s="6"/>
      <c r="N3781" s="2"/>
      <c r="O3781" s="2"/>
      <c r="P3781" s="2"/>
    </row>
    <row r="3782" spans="2:16" ht="14.25">
      <c r="B3782" s="4"/>
      <c r="I3782" s="5"/>
      <c r="J3782" s="5"/>
      <c r="K3782" s="6"/>
      <c r="N3782" s="2"/>
      <c r="O3782" s="2"/>
      <c r="P3782" s="2"/>
    </row>
    <row r="3783" spans="2:16" ht="14.25">
      <c r="B3783" s="4"/>
      <c r="I3783" s="5"/>
      <c r="J3783" s="5"/>
      <c r="K3783" s="6"/>
      <c r="N3783" s="2"/>
      <c r="O3783" s="2"/>
      <c r="P3783" s="2"/>
    </row>
    <row r="3784" spans="2:16" ht="14.25">
      <c r="B3784" s="4"/>
      <c r="I3784" s="5"/>
      <c r="J3784" s="5"/>
      <c r="K3784" s="6"/>
      <c r="N3784" s="2"/>
      <c r="O3784" s="2"/>
      <c r="P3784" s="2"/>
    </row>
    <row r="3785" spans="2:16" ht="14.25">
      <c r="B3785" s="4"/>
      <c r="I3785" s="5"/>
      <c r="J3785" s="5"/>
      <c r="K3785" s="6"/>
      <c r="N3785" s="2"/>
      <c r="O3785" s="2"/>
      <c r="P3785" s="2"/>
    </row>
    <row r="3786" spans="2:16" ht="14.25">
      <c r="B3786" s="4"/>
      <c r="I3786" s="5"/>
      <c r="J3786" s="5"/>
      <c r="K3786" s="6"/>
      <c r="N3786" s="2"/>
      <c r="O3786" s="2"/>
      <c r="P3786" s="2"/>
    </row>
    <row r="3787" spans="2:16" ht="14.25">
      <c r="B3787" s="4"/>
      <c r="I3787" s="5"/>
      <c r="J3787" s="5"/>
      <c r="K3787" s="6"/>
      <c r="N3787" s="2"/>
      <c r="O3787" s="2"/>
      <c r="P3787" s="2"/>
    </row>
    <row r="3788" spans="2:16" ht="14.25">
      <c r="B3788" s="4"/>
      <c r="I3788" s="5"/>
      <c r="J3788" s="5"/>
      <c r="K3788" s="6"/>
      <c r="N3788" s="2"/>
      <c r="O3788" s="2"/>
      <c r="P3788" s="2"/>
    </row>
    <row r="3789" spans="2:16" ht="14.25">
      <c r="B3789" s="4"/>
      <c r="I3789" s="5"/>
      <c r="J3789" s="5"/>
      <c r="K3789" s="6"/>
      <c r="N3789" s="2"/>
      <c r="O3789" s="2"/>
      <c r="P3789" s="2"/>
    </row>
    <row r="3790" spans="2:16" ht="14.25">
      <c r="B3790" s="4"/>
      <c r="I3790" s="5"/>
      <c r="J3790" s="5"/>
      <c r="K3790" s="6"/>
      <c r="N3790" s="2"/>
      <c r="O3790" s="2"/>
      <c r="P3790" s="2"/>
    </row>
    <row r="3791" spans="2:16" ht="14.25">
      <c r="B3791" s="4"/>
      <c r="I3791" s="5"/>
      <c r="J3791" s="5"/>
      <c r="K3791" s="6"/>
      <c r="N3791" s="2"/>
      <c r="O3791" s="2"/>
      <c r="P3791" s="2"/>
    </row>
    <row r="3792" spans="2:16" ht="14.25">
      <c r="B3792" s="4"/>
      <c r="I3792" s="5"/>
      <c r="J3792" s="5"/>
      <c r="K3792" s="6"/>
      <c r="N3792" s="2"/>
      <c r="O3792" s="2"/>
      <c r="P3792" s="2"/>
    </row>
    <row r="3793" spans="2:16" ht="14.25">
      <c r="B3793" s="4"/>
      <c r="I3793" s="5"/>
      <c r="J3793" s="5"/>
      <c r="K3793" s="6"/>
      <c r="N3793" s="2"/>
      <c r="O3793" s="2"/>
      <c r="P3793" s="2"/>
    </row>
    <row r="3794" spans="2:16" ht="14.25">
      <c r="B3794" s="4"/>
      <c r="I3794" s="5"/>
      <c r="J3794" s="5"/>
      <c r="K3794" s="6"/>
      <c r="N3794" s="2"/>
      <c r="O3794" s="2"/>
      <c r="P3794" s="2"/>
    </row>
    <row r="3795" spans="2:16" ht="14.25">
      <c r="B3795" s="4"/>
      <c r="I3795" s="5"/>
      <c r="J3795" s="5"/>
      <c r="K3795" s="6"/>
      <c r="N3795" s="2"/>
      <c r="O3795" s="2"/>
      <c r="P3795" s="2"/>
    </row>
    <row r="3796" spans="2:16" ht="14.25">
      <c r="B3796" s="4"/>
      <c r="I3796" s="5"/>
      <c r="J3796" s="5"/>
      <c r="K3796" s="6"/>
      <c r="N3796" s="2"/>
      <c r="O3796" s="2"/>
      <c r="P3796" s="2"/>
    </row>
    <row r="3797" spans="2:16" ht="14.25">
      <c r="B3797" s="4"/>
      <c r="I3797" s="5"/>
      <c r="J3797" s="5"/>
      <c r="K3797" s="6"/>
      <c r="N3797" s="2"/>
      <c r="O3797" s="2"/>
      <c r="P3797" s="2"/>
    </row>
    <row r="3798" spans="2:16" ht="14.25">
      <c r="B3798" s="4"/>
      <c r="I3798" s="5"/>
      <c r="J3798" s="5"/>
      <c r="K3798" s="6"/>
      <c r="N3798" s="2"/>
      <c r="O3798" s="2"/>
      <c r="P3798" s="2"/>
    </row>
    <row r="3799" spans="2:16" ht="14.25">
      <c r="B3799" s="4"/>
      <c r="I3799" s="5"/>
      <c r="J3799" s="5"/>
      <c r="K3799" s="6"/>
      <c r="N3799" s="2"/>
      <c r="O3799" s="2"/>
      <c r="P3799" s="2"/>
    </row>
    <row r="3800" spans="2:16" ht="14.25">
      <c r="B3800" s="4"/>
      <c r="I3800" s="5"/>
      <c r="J3800" s="5"/>
      <c r="K3800" s="6"/>
      <c r="N3800" s="2"/>
      <c r="O3800" s="2"/>
      <c r="P3800" s="2"/>
    </row>
    <row r="3801" spans="2:16" ht="14.25">
      <c r="B3801" s="4"/>
      <c r="I3801" s="5"/>
      <c r="J3801" s="5"/>
      <c r="K3801" s="6"/>
      <c r="N3801" s="2"/>
      <c r="O3801" s="2"/>
      <c r="P3801" s="2"/>
    </row>
    <row r="3802" spans="2:16" ht="14.25">
      <c r="B3802" s="4"/>
      <c r="I3802" s="5"/>
      <c r="J3802" s="5"/>
      <c r="K3802" s="6"/>
      <c r="N3802" s="2"/>
      <c r="O3802" s="2"/>
      <c r="P3802" s="2"/>
    </row>
    <row r="3803" spans="2:16" ht="14.25">
      <c r="B3803" s="4"/>
      <c r="I3803" s="5"/>
      <c r="J3803" s="5"/>
      <c r="K3803" s="6"/>
      <c r="N3803" s="2"/>
      <c r="O3803" s="2"/>
      <c r="P3803" s="2"/>
    </row>
    <row r="3804" spans="2:16" ht="14.25">
      <c r="B3804" s="4"/>
      <c r="I3804" s="5"/>
      <c r="J3804" s="5"/>
      <c r="K3804" s="6"/>
      <c r="N3804" s="2"/>
      <c r="O3804" s="2"/>
      <c r="P3804" s="2"/>
    </row>
    <row r="3805" spans="2:16" ht="14.25">
      <c r="B3805" s="4"/>
      <c r="I3805" s="5"/>
      <c r="J3805" s="5"/>
      <c r="K3805" s="6"/>
      <c r="N3805" s="2"/>
      <c r="O3805" s="2"/>
      <c r="P3805" s="2"/>
    </row>
    <row r="3806" spans="2:16" ht="14.25">
      <c r="B3806" s="4"/>
      <c r="I3806" s="5"/>
      <c r="J3806" s="5"/>
      <c r="K3806" s="6"/>
      <c r="N3806" s="2"/>
      <c r="O3806" s="2"/>
      <c r="P3806" s="2"/>
    </row>
    <row r="3807" spans="2:16" ht="14.25">
      <c r="B3807" s="4"/>
      <c r="I3807" s="5"/>
      <c r="J3807" s="5"/>
      <c r="K3807" s="6"/>
      <c r="N3807" s="2"/>
      <c r="O3807" s="2"/>
      <c r="P3807" s="2"/>
    </row>
    <row r="3808" spans="2:16" ht="14.25">
      <c r="B3808" s="4"/>
      <c r="I3808" s="5"/>
      <c r="J3808" s="5"/>
      <c r="K3808" s="6"/>
      <c r="N3808" s="2"/>
      <c r="O3808" s="2"/>
      <c r="P3808" s="2"/>
    </row>
    <row r="3809" spans="2:16" ht="14.25">
      <c r="B3809" s="4"/>
      <c r="I3809" s="5"/>
      <c r="J3809" s="5"/>
      <c r="K3809" s="6"/>
      <c r="N3809" s="2"/>
      <c r="O3809" s="2"/>
      <c r="P3809" s="2"/>
    </row>
    <row r="3810" spans="2:16" ht="14.25">
      <c r="B3810" s="4"/>
      <c r="I3810" s="5"/>
      <c r="J3810" s="5"/>
      <c r="K3810" s="6"/>
      <c r="N3810" s="2"/>
      <c r="O3810" s="2"/>
      <c r="P3810" s="2"/>
    </row>
    <row r="3811" spans="2:16" ht="14.25">
      <c r="B3811" s="4"/>
      <c r="I3811" s="5"/>
      <c r="J3811" s="5"/>
      <c r="K3811" s="6"/>
      <c r="N3811" s="2"/>
      <c r="O3811" s="2"/>
      <c r="P3811" s="2"/>
    </row>
    <row r="3812" spans="2:16" ht="14.25">
      <c r="B3812" s="4"/>
      <c r="I3812" s="5"/>
      <c r="J3812" s="5"/>
      <c r="K3812" s="6"/>
      <c r="N3812" s="2"/>
      <c r="O3812" s="2"/>
      <c r="P3812" s="2"/>
    </row>
    <row r="3813" spans="2:16" ht="14.25">
      <c r="B3813" s="4"/>
      <c r="I3813" s="5"/>
      <c r="J3813" s="5"/>
      <c r="K3813" s="6"/>
      <c r="N3813" s="2"/>
      <c r="O3813" s="2"/>
      <c r="P3813" s="2"/>
    </row>
    <row r="3814" spans="2:16" ht="14.25">
      <c r="B3814" s="4"/>
      <c r="I3814" s="5"/>
      <c r="J3814" s="5"/>
      <c r="K3814" s="6"/>
      <c r="N3814" s="2"/>
      <c r="O3814" s="2"/>
      <c r="P3814" s="2"/>
    </row>
    <row r="3815" spans="2:16" ht="14.25">
      <c r="B3815" s="4"/>
      <c r="I3815" s="5"/>
      <c r="J3815" s="5"/>
      <c r="K3815" s="6"/>
      <c r="N3815" s="2"/>
      <c r="O3815" s="2"/>
      <c r="P3815" s="2"/>
    </row>
    <row r="3816" spans="2:16" ht="14.25">
      <c r="B3816" s="4"/>
      <c r="I3816" s="5"/>
      <c r="J3816" s="5"/>
      <c r="K3816" s="6"/>
      <c r="N3816" s="2"/>
      <c r="O3816" s="2"/>
      <c r="P3816" s="2"/>
    </row>
    <row r="3817" spans="2:16" ht="14.25">
      <c r="B3817" s="4"/>
      <c r="I3817" s="5"/>
      <c r="J3817" s="5"/>
      <c r="K3817" s="6"/>
      <c r="N3817" s="2"/>
      <c r="O3817" s="2"/>
      <c r="P3817" s="2"/>
    </row>
    <row r="3818" spans="2:16" ht="14.25">
      <c r="B3818" s="4"/>
      <c r="I3818" s="5"/>
      <c r="J3818" s="5"/>
      <c r="K3818" s="6"/>
      <c r="N3818" s="2"/>
      <c r="O3818" s="2"/>
      <c r="P3818" s="2"/>
    </row>
    <row r="3819" spans="2:16" ht="14.25">
      <c r="B3819" s="4"/>
      <c r="I3819" s="5"/>
      <c r="J3819" s="5"/>
      <c r="K3819" s="6"/>
      <c r="N3819" s="2"/>
      <c r="O3819" s="2"/>
      <c r="P3819" s="2"/>
    </row>
    <row r="3820" spans="2:16" ht="14.25">
      <c r="B3820" s="4"/>
      <c r="I3820" s="5"/>
      <c r="J3820" s="5"/>
      <c r="K3820" s="6"/>
      <c r="N3820" s="2"/>
      <c r="O3820" s="2"/>
      <c r="P3820" s="2"/>
    </row>
    <row r="3821" spans="2:16" ht="14.25">
      <c r="B3821" s="4"/>
      <c r="I3821" s="5"/>
      <c r="J3821" s="5"/>
      <c r="K3821" s="6"/>
      <c r="N3821" s="2"/>
      <c r="O3821" s="2"/>
      <c r="P3821" s="2"/>
    </row>
    <row r="3822" spans="2:16" ht="14.25">
      <c r="B3822" s="4"/>
      <c r="I3822" s="5"/>
      <c r="J3822" s="5"/>
      <c r="K3822" s="6"/>
      <c r="N3822" s="2"/>
      <c r="O3822" s="2"/>
      <c r="P3822" s="2"/>
    </row>
    <row r="3823" spans="2:16" ht="14.25">
      <c r="B3823" s="4"/>
      <c r="I3823" s="5"/>
      <c r="J3823" s="5"/>
      <c r="K3823" s="6"/>
      <c r="N3823" s="2"/>
      <c r="O3823" s="2"/>
      <c r="P3823" s="2"/>
    </row>
    <row r="3824" spans="2:16" ht="14.25">
      <c r="B3824" s="4"/>
      <c r="I3824" s="5"/>
      <c r="J3824" s="5"/>
      <c r="K3824" s="6"/>
      <c r="N3824" s="2"/>
      <c r="O3824" s="2"/>
      <c r="P3824" s="2"/>
    </row>
    <row r="3825" spans="2:16" ht="14.25">
      <c r="B3825" s="4"/>
      <c r="I3825" s="5"/>
      <c r="J3825" s="5"/>
      <c r="K3825" s="6"/>
      <c r="N3825" s="2"/>
      <c r="O3825" s="2"/>
      <c r="P3825" s="2"/>
    </row>
    <row r="3826" spans="2:16" ht="14.25">
      <c r="B3826" s="4"/>
      <c r="I3826" s="5"/>
      <c r="J3826" s="5"/>
      <c r="K3826" s="6"/>
      <c r="N3826" s="2"/>
      <c r="O3826" s="2"/>
      <c r="P3826" s="2"/>
    </row>
    <row r="3827" spans="2:16" ht="14.25">
      <c r="B3827" s="4"/>
      <c r="I3827" s="5"/>
      <c r="J3827" s="5"/>
      <c r="K3827" s="6"/>
      <c r="N3827" s="2"/>
      <c r="O3827" s="2"/>
      <c r="P3827" s="2"/>
    </row>
    <row r="3828" spans="2:16" ht="14.25">
      <c r="B3828" s="4"/>
      <c r="I3828" s="5"/>
      <c r="J3828" s="5"/>
      <c r="K3828" s="6"/>
      <c r="N3828" s="2"/>
      <c r="O3828" s="2"/>
      <c r="P3828" s="2"/>
    </row>
    <row r="3829" spans="2:16" ht="14.25">
      <c r="B3829" s="4"/>
      <c r="I3829" s="5"/>
      <c r="J3829" s="5"/>
      <c r="K3829" s="6"/>
      <c r="N3829" s="2"/>
      <c r="O3829" s="2"/>
      <c r="P3829" s="2"/>
    </row>
    <row r="3830" spans="2:16" ht="14.25">
      <c r="B3830" s="4"/>
      <c r="I3830" s="5"/>
      <c r="J3830" s="5"/>
      <c r="K3830" s="6"/>
      <c r="N3830" s="2"/>
      <c r="O3830" s="2"/>
      <c r="P3830" s="2"/>
    </row>
    <row r="3831" spans="2:16" ht="14.25">
      <c r="B3831" s="4"/>
      <c r="I3831" s="5"/>
      <c r="J3831" s="5"/>
      <c r="K3831" s="6"/>
      <c r="N3831" s="2"/>
      <c r="O3831" s="2"/>
      <c r="P3831" s="2"/>
    </row>
    <row r="3832" spans="2:16" ht="14.25">
      <c r="B3832" s="4"/>
      <c r="I3832" s="5"/>
      <c r="J3832" s="5"/>
      <c r="K3832" s="6"/>
      <c r="N3832" s="2"/>
      <c r="O3832" s="2"/>
      <c r="P3832" s="2"/>
    </row>
    <row r="3833" spans="2:16" ht="14.25">
      <c r="B3833" s="4"/>
      <c r="I3833" s="5"/>
      <c r="J3833" s="5"/>
      <c r="K3833" s="6"/>
      <c r="N3833" s="2"/>
      <c r="O3833" s="2"/>
      <c r="P3833" s="2"/>
    </row>
    <row r="3834" spans="2:16" ht="14.25">
      <c r="B3834" s="4"/>
      <c r="I3834" s="5"/>
      <c r="J3834" s="5"/>
      <c r="K3834" s="6"/>
      <c r="N3834" s="2"/>
      <c r="O3834" s="2"/>
      <c r="P3834" s="2"/>
    </row>
    <row r="3835" spans="2:16" ht="14.25">
      <c r="B3835" s="4"/>
      <c r="I3835" s="5"/>
      <c r="J3835" s="5"/>
      <c r="K3835" s="6"/>
      <c r="N3835" s="2"/>
      <c r="O3835" s="2"/>
      <c r="P3835" s="2"/>
    </row>
    <row r="3836" spans="2:16" ht="14.25">
      <c r="B3836" s="4"/>
      <c r="I3836" s="5"/>
      <c r="J3836" s="5"/>
      <c r="K3836" s="6"/>
      <c r="N3836" s="2"/>
      <c r="O3836" s="2"/>
      <c r="P3836" s="2"/>
    </row>
    <row r="3837" spans="2:16" ht="14.25">
      <c r="B3837" s="4"/>
      <c r="I3837" s="5"/>
      <c r="J3837" s="5"/>
      <c r="K3837" s="6"/>
      <c r="N3837" s="2"/>
      <c r="O3837" s="2"/>
      <c r="P3837" s="2"/>
    </row>
    <row r="3838" spans="2:16" ht="14.25">
      <c r="B3838" s="4"/>
      <c r="I3838" s="5"/>
      <c r="J3838" s="5"/>
      <c r="K3838" s="6"/>
      <c r="N3838" s="2"/>
      <c r="O3838" s="2"/>
      <c r="P3838" s="2"/>
    </row>
    <row r="3839" spans="2:16" ht="14.25">
      <c r="B3839" s="4"/>
      <c r="I3839" s="5"/>
      <c r="J3839" s="5"/>
      <c r="K3839" s="6"/>
      <c r="N3839" s="2"/>
      <c r="O3839" s="2"/>
      <c r="P3839" s="2"/>
    </row>
    <row r="3840" spans="2:16" ht="14.25">
      <c r="B3840" s="4"/>
      <c r="I3840" s="5"/>
      <c r="J3840" s="5"/>
      <c r="K3840" s="6"/>
      <c r="N3840" s="2"/>
      <c r="O3840" s="2"/>
      <c r="P3840" s="2"/>
    </row>
    <row r="3841" spans="2:16" ht="14.25">
      <c r="B3841" s="4"/>
      <c r="I3841" s="5"/>
      <c r="J3841" s="5"/>
      <c r="K3841" s="6"/>
      <c r="N3841" s="2"/>
      <c r="O3841" s="2"/>
      <c r="P3841" s="2"/>
    </row>
    <row r="3842" spans="2:16" ht="14.25">
      <c r="B3842" s="4"/>
      <c r="I3842" s="5"/>
      <c r="J3842" s="5"/>
      <c r="K3842" s="6"/>
      <c r="N3842" s="2"/>
      <c r="O3842" s="2"/>
      <c r="P3842" s="2"/>
    </row>
    <row r="3843" spans="2:16" ht="14.25">
      <c r="B3843" s="4"/>
      <c r="I3843" s="5"/>
      <c r="J3843" s="5"/>
      <c r="K3843" s="6"/>
      <c r="N3843" s="2"/>
      <c r="O3843" s="2"/>
      <c r="P3843" s="2"/>
    </row>
    <row r="3844" spans="2:16" ht="14.25">
      <c r="B3844" s="4"/>
      <c r="I3844" s="5"/>
      <c r="J3844" s="5"/>
      <c r="K3844" s="6"/>
      <c r="N3844" s="2"/>
      <c r="O3844" s="2"/>
      <c r="P3844" s="2"/>
    </row>
    <row r="3845" spans="2:16" ht="14.25">
      <c r="B3845" s="4"/>
      <c r="I3845" s="5"/>
      <c r="J3845" s="5"/>
      <c r="K3845" s="6"/>
      <c r="N3845" s="2"/>
      <c r="O3845" s="2"/>
      <c r="P3845" s="2"/>
    </row>
    <row r="3846" spans="2:16" ht="14.25">
      <c r="B3846" s="4"/>
      <c r="I3846" s="5"/>
      <c r="J3846" s="5"/>
      <c r="K3846" s="6"/>
      <c r="N3846" s="2"/>
      <c r="O3846" s="2"/>
      <c r="P3846" s="2"/>
    </row>
    <row r="3847" spans="2:16" ht="14.25">
      <c r="B3847" s="4"/>
      <c r="I3847" s="5"/>
      <c r="J3847" s="5"/>
      <c r="K3847" s="6"/>
      <c r="N3847" s="2"/>
      <c r="O3847" s="2"/>
      <c r="P3847" s="2"/>
    </row>
    <row r="3848" spans="2:16" ht="14.25">
      <c r="B3848" s="4"/>
      <c r="I3848" s="5"/>
      <c r="J3848" s="5"/>
      <c r="K3848" s="6"/>
      <c r="N3848" s="2"/>
      <c r="O3848" s="2"/>
      <c r="P3848" s="2"/>
    </row>
    <row r="3849" spans="2:16" ht="14.25">
      <c r="B3849" s="4"/>
      <c r="I3849" s="5"/>
      <c r="J3849" s="5"/>
      <c r="K3849" s="6"/>
      <c r="N3849" s="2"/>
      <c r="O3849" s="2"/>
      <c r="P3849" s="2"/>
    </row>
    <row r="3850" spans="2:16" ht="14.25">
      <c r="B3850" s="4"/>
      <c r="I3850" s="5"/>
      <c r="J3850" s="5"/>
      <c r="K3850" s="6"/>
      <c r="N3850" s="2"/>
      <c r="O3850" s="2"/>
      <c r="P3850" s="2"/>
    </row>
    <row r="3851" spans="2:16" ht="14.25">
      <c r="B3851" s="4"/>
      <c r="I3851" s="5"/>
      <c r="J3851" s="5"/>
      <c r="K3851" s="6"/>
      <c r="N3851" s="2"/>
      <c r="O3851" s="2"/>
      <c r="P3851" s="2"/>
    </row>
    <row r="3852" spans="2:16" ht="14.25">
      <c r="B3852" s="4"/>
      <c r="I3852" s="5"/>
      <c r="J3852" s="5"/>
      <c r="K3852" s="6"/>
      <c r="N3852" s="2"/>
      <c r="O3852" s="2"/>
      <c r="P3852" s="2"/>
    </row>
    <row r="3853" spans="2:16" ht="14.25">
      <c r="B3853" s="4"/>
      <c r="I3853" s="5"/>
      <c r="J3853" s="5"/>
      <c r="K3853" s="6"/>
      <c r="N3853" s="2"/>
      <c r="O3853" s="2"/>
      <c r="P3853" s="2"/>
    </row>
    <row r="3854" spans="2:16" ht="14.25">
      <c r="B3854" s="4"/>
      <c r="I3854" s="5"/>
      <c r="J3854" s="5"/>
      <c r="K3854" s="6"/>
      <c r="N3854" s="2"/>
      <c r="O3854" s="2"/>
      <c r="P3854" s="2"/>
    </row>
    <row r="3855" spans="2:16" ht="14.25">
      <c r="B3855" s="4"/>
      <c r="I3855" s="5"/>
      <c r="J3855" s="5"/>
      <c r="K3855" s="6"/>
      <c r="N3855" s="2"/>
      <c r="O3855" s="2"/>
      <c r="P3855" s="2"/>
    </row>
    <row r="3856" spans="2:16" ht="14.25">
      <c r="B3856" s="4"/>
      <c r="I3856" s="5"/>
      <c r="J3856" s="5"/>
      <c r="K3856" s="6"/>
      <c r="N3856" s="2"/>
      <c r="O3856" s="2"/>
      <c r="P3856" s="2"/>
    </row>
    <row r="3857" spans="2:16" ht="14.25">
      <c r="B3857" s="4"/>
      <c r="I3857" s="5"/>
      <c r="J3857" s="5"/>
      <c r="K3857" s="6"/>
      <c r="N3857" s="2"/>
      <c r="O3857" s="2"/>
      <c r="P3857" s="2"/>
    </row>
    <row r="3858" spans="2:16" ht="14.25">
      <c r="B3858" s="4"/>
      <c r="I3858" s="5"/>
      <c r="J3858" s="5"/>
      <c r="K3858" s="6"/>
      <c r="N3858" s="2"/>
      <c r="O3858" s="2"/>
      <c r="P3858" s="2"/>
    </row>
    <row r="3859" spans="2:16" ht="14.25">
      <c r="B3859" s="4"/>
      <c r="I3859" s="5"/>
      <c r="J3859" s="5"/>
      <c r="K3859" s="6"/>
      <c r="N3859" s="2"/>
      <c r="O3859" s="2"/>
      <c r="P3859" s="2"/>
    </row>
    <row r="3860" spans="2:16" ht="14.25">
      <c r="B3860" s="4"/>
      <c r="I3860" s="5"/>
      <c r="J3860" s="5"/>
      <c r="K3860" s="6"/>
      <c r="N3860" s="2"/>
      <c r="O3860" s="2"/>
      <c r="P3860" s="2"/>
    </row>
    <row r="3861" spans="2:16" ht="14.25">
      <c r="B3861" s="4"/>
      <c r="I3861" s="5"/>
      <c r="J3861" s="5"/>
      <c r="K3861" s="6"/>
      <c r="N3861" s="2"/>
      <c r="O3861" s="2"/>
      <c r="P3861" s="2"/>
    </row>
    <row r="3862" spans="2:16" ht="14.25">
      <c r="B3862" s="4"/>
      <c r="I3862" s="5"/>
      <c r="J3862" s="5"/>
      <c r="K3862" s="6"/>
      <c r="N3862" s="2"/>
      <c r="O3862" s="2"/>
      <c r="P3862" s="2"/>
    </row>
    <row r="3863" spans="2:16" ht="14.25">
      <c r="B3863" s="4"/>
      <c r="I3863" s="5"/>
      <c r="J3863" s="5"/>
      <c r="K3863" s="6"/>
      <c r="N3863" s="2"/>
      <c r="O3863" s="2"/>
      <c r="P3863" s="2"/>
    </row>
    <row r="3864" spans="2:16" ht="14.25">
      <c r="B3864" s="4"/>
      <c r="I3864" s="5"/>
      <c r="J3864" s="5"/>
      <c r="K3864" s="6"/>
      <c r="N3864" s="2"/>
      <c r="O3864" s="2"/>
      <c r="P3864" s="2"/>
    </row>
    <row r="3865" spans="2:16" ht="14.25">
      <c r="B3865" s="4"/>
      <c r="I3865" s="5"/>
      <c r="J3865" s="5"/>
      <c r="K3865" s="6"/>
      <c r="N3865" s="2"/>
      <c r="O3865" s="2"/>
      <c r="P3865" s="2"/>
    </row>
    <row r="3866" spans="2:16" ht="14.25">
      <c r="B3866" s="4"/>
      <c r="I3866" s="5"/>
      <c r="J3866" s="5"/>
      <c r="K3866" s="6"/>
      <c r="N3866" s="2"/>
      <c r="O3866" s="2"/>
      <c r="P3866" s="2"/>
    </row>
    <row r="3867" spans="2:16" ht="14.25">
      <c r="B3867" s="4"/>
      <c r="I3867" s="5"/>
      <c r="J3867" s="5"/>
      <c r="K3867" s="6"/>
      <c r="N3867" s="2"/>
      <c r="O3867" s="2"/>
      <c r="P3867" s="2"/>
    </row>
    <row r="3868" spans="2:16" ht="14.25">
      <c r="B3868" s="4"/>
      <c r="I3868" s="5"/>
      <c r="J3868" s="5"/>
      <c r="K3868" s="6"/>
      <c r="N3868" s="2"/>
      <c r="O3868" s="2"/>
      <c r="P3868" s="2"/>
    </row>
    <row r="3869" spans="2:16" ht="14.25">
      <c r="B3869" s="4"/>
      <c r="I3869" s="5"/>
      <c r="J3869" s="5"/>
      <c r="K3869" s="6"/>
      <c r="N3869" s="2"/>
      <c r="O3869" s="2"/>
      <c r="P3869" s="2"/>
    </row>
    <row r="3870" spans="2:16" ht="14.25">
      <c r="B3870" s="4"/>
      <c r="I3870" s="5"/>
      <c r="J3870" s="5"/>
      <c r="K3870" s="6"/>
      <c r="N3870" s="2"/>
      <c r="O3870" s="2"/>
      <c r="P3870" s="2"/>
    </row>
    <row r="3871" spans="2:16" ht="14.25">
      <c r="B3871" s="4"/>
      <c r="I3871" s="5"/>
      <c r="J3871" s="5"/>
      <c r="K3871" s="6"/>
      <c r="N3871" s="2"/>
      <c r="O3871" s="2"/>
      <c r="P3871" s="2"/>
    </row>
    <row r="3872" spans="2:16" ht="14.25">
      <c r="B3872" s="4"/>
      <c r="I3872" s="5"/>
      <c r="J3872" s="5"/>
      <c r="K3872" s="6"/>
      <c r="N3872" s="2"/>
      <c r="O3872" s="2"/>
      <c r="P3872" s="2"/>
    </row>
    <row r="3873" spans="2:16" ht="14.25">
      <c r="B3873" s="4"/>
      <c r="I3873" s="5"/>
      <c r="J3873" s="5"/>
      <c r="K3873" s="6"/>
      <c r="N3873" s="2"/>
      <c r="O3873" s="2"/>
      <c r="P3873" s="2"/>
    </row>
    <row r="3874" spans="2:16" ht="14.25">
      <c r="B3874" s="4"/>
      <c r="I3874" s="5"/>
      <c r="J3874" s="5"/>
      <c r="K3874" s="6"/>
      <c r="N3874" s="2"/>
      <c r="O3874" s="2"/>
      <c r="P3874" s="2"/>
    </row>
    <row r="3875" spans="2:16" ht="14.25">
      <c r="B3875" s="4"/>
      <c r="I3875" s="5"/>
      <c r="J3875" s="5"/>
      <c r="K3875" s="6"/>
      <c r="N3875" s="2"/>
      <c r="O3875" s="2"/>
      <c r="P3875" s="2"/>
    </row>
    <row r="3876" spans="2:16" ht="14.25">
      <c r="B3876" s="4"/>
      <c r="I3876" s="5"/>
      <c r="J3876" s="5"/>
      <c r="K3876" s="6"/>
      <c r="N3876" s="2"/>
      <c r="O3876" s="2"/>
      <c r="P3876" s="2"/>
    </row>
    <row r="3877" spans="2:16" ht="14.25">
      <c r="B3877" s="4"/>
      <c r="I3877" s="5"/>
      <c r="J3877" s="5"/>
      <c r="K3877" s="6"/>
      <c r="N3877" s="2"/>
      <c r="O3877" s="2"/>
      <c r="P3877" s="2"/>
    </row>
    <row r="3878" spans="2:16" ht="14.25">
      <c r="B3878" s="4"/>
      <c r="I3878" s="5"/>
      <c r="J3878" s="5"/>
      <c r="K3878" s="6"/>
      <c r="N3878" s="2"/>
      <c r="O3878" s="2"/>
      <c r="P3878" s="2"/>
    </row>
    <row r="3879" spans="2:16" ht="14.25">
      <c r="B3879" s="4"/>
      <c r="I3879" s="5"/>
      <c r="J3879" s="5"/>
      <c r="K3879" s="6"/>
      <c r="N3879" s="2"/>
      <c r="O3879" s="2"/>
      <c r="P3879" s="2"/>
    </row>
    <row r="3880" spans="2:16" ht="14.25">
      <c r="B3880" s="4"/>
      <c r="I3880" s="5"/>
      <c r="J3880" s="5"/>
      <c r="K3880" s="6"/>
      <c r="N3880" s="2"/>
      <c r="O3880" s="2"/>
      <c r="P3880" s="2"/>
    </row>
    <row r="3881" spans="2:16" ht="14.25">
      <c r="B3881" s="4"/>
      <c r="I3881" s="5"/>
      <c r="J3881" s="5"/>
      <c r="K3881" s="6"/>
      <c r="N3881" s="2"/>
      <c r="O3881" s="2"/>
      <c r="P3881" s="2"/>
    </row>
    <row r="3882" spans="2:16" ht="14.25">
      <c r="B3882" s="4"/>
      <c r="I3882" s="5"/>
      <c r="J3882" s="5"/>
      <c r="K3882" s="6"/>
      <c r="N3882" s="2"/>
      <c r="O3882" s="2"/>
      <c r="P3882" s="2"/>
    </row>
    <row r="3883" spans="2:16" ht="14.25">
      <c r="B3883" s="4"/>
      <c r="I3883" s="5"/>
      <c r="J3883" s="5"/>
      <c r="K3883" s="6"/>
      <c r="N3883" s="2"/>
      <c r="O3883" s="2"/>
      <c r="P3883" s="2"/>
    </row>
    <row r="3884" spans="2:16" ht="14.25">
      <c r="B3884" s="4"/>
      <c r="I3884" s="5"/>
      <c r="J3884" s="5"/>
      <c r="K3884" s="6"/>
      <c r="N3884" s="2"/>
      <c r="O3884" s="2"/>
      <c r="P3884" s="2"/>
    </row>
    <row r="3885" spans="2:16" ht="14.25">
      <c r="B3885" s="4"/>
      <c r="I3885" s="5"/>
      <c r="J3885" s="5"/>
      <c r="K3885" s="6"/>
      <c r="N3885" s="2"/>
      <c r="O3885" s="2"/>
      <c r="P3885" s="2"/>
    </row>
    <row r="3886" spans="2:16" ht="14.25">
      <c r="B3886" s="4"/>
      <c r="I3886" s="5"/>
      <c r="J3886" s="5"/>
      <c r="K3886" s="6"/>
      <c r="N3886" s="2"/>
      <c r="O3886" s="2"/>
      <c r="P3886" s="2"/>
    </row>
    <row r="3887" spans="2:16" ht="14.25">
      <c r="B3887" s="4"/>
      <c r="I3887" s="5"/>
      <c r="J3887" s="5"/>
      <c r="K3887" s="6"/>
      <c r="N3887" s="2"/>
      <c r="O3887" s="2"/>
      <c r="P3887" s="2"/>
    </row>
    <row r="3888" spans="2:16" ht="14.25">
      <c r="B3888" s="4"/>
      <c r="I3888" s="5"/>
      <c r="J3888" s="5"/>
      <c r="K3888" s="6"/>
      <c r="N3888" s="2"/>
      <c r="O3888" s="2"/>
      <c r="P3888" s="2"/>
    </row>
    <row r="3889" spans="2:16" ht="14.25">
      <c r="B3889" s="4"/>
      <c r="I3889" s="5"/>
      <c r="J3889" s="5"/>
      <c r="K3889" s="6"/>
      <c r="N3889" s="2"/>
      <c r="O3889" s="2"/>
      <c r="P3889" s="2"/>
    </row>
    <row r="3890" spans="2:16" ht="14.25">
      <c r="B3890" s="4"/>
      <c r="I3890" s="5"/>
      <c r="J3890" s="5"/>
      <c r="K3890" s="6"/>
      <c r="N3890" s="2"/>
      <c r="O3890" s="2"/>
      <c r="P3890" s="2"/>
    </row>
    <row r="3891" spans="2:16" ht="14.25">
      <c r="B3891" s="4"/>
      <c r="I3891" s="5"/>
      <c r="J3891" s="5"/>
      <c r="K3891" s="6"/>
      <c r="N3891" s="2"/>
      <c r="O3891" s="2"/>
      <c r="P3891" s="2"/>
    </row>
    <row r="3892" spans="2:16" ht="14.25">
      <c r="B3892" s="4"/>
      <c r="I3892" s="5"/>
      <c r="J3892" s="5"/>
      <c r="K3892" s="6"/>
      <c r="N3892" s="2"/>
      <c r="O3892" s="2"/>
      <c r="P3892" s="2"/>
    </row>
    <row r="3893" spans="2:16" ht="14.25">
      <c r="B3893" s="4"/>
      <c r="I3893" s="5"/>
      <c r="J3893" s="5"/>
      <c r="K3893" s="6"/>
      <c r="N3893" s="2"/>
      <c r="O3893" s="2"/>
      <c r="P3893" s="2"/>
    </row>
    <row r="3894" spans="2:16" ht="14.25">
      <c r="B3894" s="4"/>
      <c r="I3894" s="5"/>
      <c r="J3894" s="5"/>
      <c r="K3894" s="6"/>
      <c r="N3894" s="2"/>
      <c r="O3894" s="2"/>
      <c r="P3894" s="2"/>
    </row>
    <row r="3895" spans="2:16" ht="14.25">
      <c r="B3895" s="4"/>
      <c r="I3895" s="5"/>
      <c r="J3895" s="5"/>
      <c r="K3895" s="6"/>
      <c r="N3895" s="2"/>
      <c r="O3895" s="2"/>
      <c r="P3895" s="2"/>
    </row>
    <row r="3896" spans="2:16" ht="14.25">
      <c r="B3896" s="4"/>
      <c r="I3896" s="5"/>
      <c r="J3896" s="5"/>
      <c r="K3896" s="6"/>
      <c r="N3896" s="2"/>
      <c r="O3896" s="2"/>
      <c r="P3896" s="2"/>
    </row>
    <row r="3897" spans="2:16" ht="14.25">
      <c r="B3897" s="4"/>
      <c r="I3897" s="5"/>
      <c r="J3897" s="5"/>
      <c r="K3897" s="6"/>
      <c r="N3897" s="2"/>
      <c r="O3897" s="2"/>
      <c r="P3897" s="2"/>
    </row>
    <row r="3898" spans="2:16" ht="14.25">
      <c r="B3898" s="4"/>
      <c r="I3898" s="5"/>
      <c r="J3898" s="5"/>
      <c r="K3898" s="6"/>
      <c r="N3898" s="2"/>
      <c r="O3898" s="2"/>
      <c r="P3898" s="2"/>
    </row>
    <row r="3899" spans="2:16" ht="14.25">
      <c r="B3899" s="4"/>
      <c r="I3899" s="5"/>
      <c r="J3899" s="5"/>
      <c r="K3899" s="6"/>
      <c r="N3899" s="2"/>
      <c r="O3899" s="2"/>
      <c r="P3899" s="2"/>
    </row>
    <row r="3900" spans="2:16" ht="14.25">
      <c r="B3900" s="4"/>
      <c r="I3900" s="5"/>
      <c r="J3900" s="5"/>
      <c r="K3900" s="6"/>
      <c r="N3900" s="2"/>
      <c r="O3900" s="2"/>
      <c r="P3900" s="2"/>
    </row>
    <row r="3901" spans="2:16" ht="14.25">
      <c r="B3901" s="4"/>
      <c r="I3901" s="5"/>
      <c r="J3901" s="5"/>
      <c r="K3901" s="6"/>
      <c r="N3901" s="2"/>
      <c r="O3901" s="2"/>
      <c r="P3901" s="2"/>
    </row>
    <row r="3902" spans="2:16" ht="14.25">
      <c r="B3902" s="4"/>
      <c r="I3902" s="5"/>
      <c r="J3902" s="5"/>
      <c r="K3902" s="6"/>
      <c r="N3902" s="2"/>
      <c r="O3902" s="2"/>
      <c r="P3902" s="2"/>
    </row>
    <row r="3903" spans="2:16" ht="14.25">
      <c r="B3903" s="4"/>
      <c r="I3903" s="5"/>
      <c r="J3903" s="5"/>
      <c r="K3903" s="6"/>
      <c r="N3903" s="2"/>
      <c r="O3903" s="2"/>
      <c r="P3903" s="2"/>
    </row>
    <row r="3904" spans="2:16" ht="14.25">
      <c r="B3904" s="4"/>
      <c r="I3904" s="5"/>
      <c r="J3904" s="5"/>
      <c r="K3904" s="6"/>
      <c r="N3904" s="2"/>
      <c r="O3904" s="2"/>
      <c r="P3904" s="2"/>
    </row>
    <row r="3905" spans="2:16" ht="14.25">
      <c r="B3905" s="4"/>
      <c r="I3905" s="5"/>
      <c r="J3905" s="5"/>
      <c r="K3905" s="6"/>
      <c r="N3905" s="2"/>
      <c r="O3905" s="2"/>
      <c r="P3905" s="2"/>
    </row>
    <row r="3906" spans="2:16" ht="14.25">
      <c r="B3906" s="4"/>
      <c r="I3906" s="5"/>
      <c r="J3906" s="5"/>
      <c r="K3906" s="6"/>
      <c r="N3906" s="2"/>
      <c r="O3906" s="2"/>
      <c r="P3906" s="2"/>
    </row>
    <row r="3907" spans="2:16" ht="14.25">
      <c r="B3907" s="4"/>
      <c r="I3907" s="5"/>
      <c r="J3907" s="5"/>
      <c r="K3907" s="6"/>
      <c r="N3907" s="2"/>
      <c r="O3907" s="2"/>
      <c r="P3907" s="2"/>
    </row>
    <row r="3908" spans="2:16" ht="14.25">
      <c r="B3908" s="4"/>
      <c r="I3908" s="5"/>
      <c r="J3908" s="5"/>
      <c r="K3908" s="6"/>
      <c r="N3908" s="2"/>
      <c r="O3908" s="2"/>
      <c r="P3908" s="2"/>
    </row>
    <row r="3909" spans="2:16" ht="14.25">
      <c r="B3909" s="4"/>
      <c r="I3909" s="5"/>
      <c r="J3909" s="5"/>
      <c r="K3909" s="6"/>
      <c r="N3909" s="2"/>
      <c r="O3909" s="2"/>
      <c r="P3909" s="2"/>
    </row>
    <row r="3910" spans="2:16" ht="14.25">
      <c r="B3910" s="4"/>
      <c r="I3910" s="5"/>
      <c r="J3910" s="5"/>
      <c r="K3910" s="6"/>
      <c r="N3910" s="2"/>
      <c r="O3910" s="2"/>
      <c r="P3910" s="2"/>
    </row>
    <row r="3911" spans="2:16" ht="14.25">
      <c r="B3911" s="4"/>
      <c r="I3911" s="5"/>
      <c r="J3911" s="5"/>
      <c r="K3911" s="6"/>
      <c r="N3911" s="2"/>
      <c r="O3911" s="2"/>
      <c r="P3911" s="2"/>
    </row>
    <row r="3912" spans="2:16" ht="14.25">
      <c r="B3912" s="4"/>
      <c r="I3912" s="5"/>
      <c r="J3912" s="5"/>
      <c r="K3912" s="6"/>
      <c r="N3912" s="2"/>
      <c r="O3912" s="2"/>
      <c r="P3912" s="2"/>
    </row>
    <row r="3913" spans="2:16" ht="14.25">
      <c r="B3913" s="4"/>
      <c r="I3913" s="5"/>
      <c r="J3913" s="5"/>
      <c r="K3913" s="6"/>
      <c r="N3913" s="2"/>
      <c r="O3913" s="2"/>
      <c r="P3913" s="2"/>
    </row>
    <row r="3914" spans="2:16" ht="14.25">
      <c r="B3914" s="4"/>
      <c r="I3914" s="5"/>
      <c r="J3914" s="5"/>
      <c r="K3914" s="6"/>
      <c r="N3914" s="2"/>
      <c r="O3914" s="2"/>
      <c r="P3914" s="2"/>
    </row>
    <row r="3915" spans="2:16" ht="14.25">
      <c r="B3915" s="4"/>
      <c r="I3915" s="5"/>
      <c r="J3915" s="5"/>
      <c r="K3915" s="6"/>
      <c r="N3915" s="2"/>
      <c r="O3915" s="2"/>
      <c r="P3915" s="2"/>
    </row>
    <row r="3916" spans="2:16" ht="14.25">
      <c r="B3916" s="4"/>
      <c r="I3916" s="5"/>
      <c r="J3916" s="5"/>
      <c r="K3916" s="6"/>
      <c r="N3916" s="2"/>
      <c r="O3916" s="2"/>
      <c r="P3916" s="2"/>
    </row>
    <row r="3917" spans="2:16" ht="14.25">
      <c r="B3917" s="4"/>
      <c r="I3917" s="5"/>
      <c r="J3917" s="5"/>
      <c r="K3917" s="6"/>
      <c r="N3917" s="2"/>
      <c r="O3917" s="2"/>
      <c r="P3917" s="2"/>
    </row>
    <row r="3918" spans="2:16" ht="14.25">
      <c r="B3918" s="4"/>
      <c r="I3918" s="5"/>
      <c r="J3918" s="5"/>
      <c r="K3918" s="6"/>
      <c r="N3918" s="2"/>
      <c r="O3918" s="2"/>
      <c r="P3918" s="2"/>
    </row>
    <row r="3919" spans="2:16" ht="14.25">
      <c r="B3919" s="4"/>
      <c r="I3919" s="5"/>
      <c r="J3919" s="5"/>
      <c r="K3919" s="6"/>
      <c r="N3919" s="2"/>
      <c r="O3919" s="2"/>
      <c r="P3919" s="2"/>
    </row>
    <row r="3920" spans="2:16" ht="14.25">
      <c r="B3920" s="4"/>
      <c r="I3920" s="5"/>
      <c r="J3920" s="5"/>
      <c r="K3920" s="6"/>
      <c r="N3920" s="2"/>
      <c r="O3920" s="2"/>
      <c r="P3920" s="2"/>
    </row>
    <row r="3921" spans="2:16" ht="14.25">
      <c r="B3921" s="4"/>
      <c r="I3921" s="5"/>
      <c r="J3921" s="5"/>
      <c r="K3921" s="6"/>
      <c r="N3921" s="2"/>
      <c r="O3921" s="2"/>
      <c r="P3921" s="2"/>
    </row>
    <row r="3922" spans="2:16" ht="14.25">
      <c r="B3922" s="4"/>
      <c r="I3922" s="5"/>
      <c r="J3922" s="5"/>
      <c r="K3922" s="6"/>
      <c r="N3922" s="2"/>
      <c r="O3922" s="2"/>
      <c r="P3922" s="2"/>
    </row>
    <row r="3923" spans="2:16" ht="14.25">
      <c r="B3923" s="4"/>
      <c r="I3923" s="5"/>
      <c r="J3923" s="5"/>
      <c r="K3923" s="6"/>
      <c r="N3923" s="2"/>
      <c r="O3923" s="2"/>
      <c r="P3923" s="2"/>
    </row>
    <row r="3924" spans="2:16" ht="14.25">
      <c r="B3924" s="4"/>
      <c r="I3924" s="5"/>
      <c r="J3924" s="5"/>
      <c r="K3924" s="6"/>
      <c r="N3924" s="2"/>
      <c r="O3924" s="2"/>
      <c r="P3924" s="2"/>
    </row>
    <row r="3925" spans="2:16" ht="14.25">
      <c r="B3925" s="4"/>
      <c r="I3925" s="5"/>
      <c r="J3925" s="5"/>
      <c r="K3925" s="6"/>
      <c r="N3925" s="2"/>
      <c r="O3925" s="2"/>
      <c r="P3925" s="2"/>
    </row>
    <row r="3926" spans="2:16" ht="14.25">
      <c r="B3926" s="4"/>
      <c r="I3926" s="5"/>
      <c r="J3926" s="5"/>
      <c r="K3926" s="6"/>
      <c r="N3926" s="2"/>
      <c r="O3926" s="2"/>
      <c r="P3926" s="2"/>
    </row>
    <row r="3927" spans="2:16" ht="14.25">
      <c r="B3927" s="4"/>
      <c r="I3927" s="5"/>
      <c r="J3927" s="5"/>
      <c r="K3927" s="6"/>
      <c r="N3927" s="2"/>
      <c r="O3927" s="2"/>
      <c r="P3927" s="2"/>
    </row>
    <row r="3928" spans="2:16" ht="14.25">
      <c r="B3928" s="4"/>
      <c r="I3928" s="5"/>
      <c r="J3928" s="5"/>
      <c r="K3928" s="6"/>
      <c r="N3928" s="2"/>
      <c r="O3928" s="2"/>
      <c r="P3928" s="2"/>
    </row>
    <row r="3929" spans="2:16" ht="14.25">
      <c r="B3929" s="4"/>
      <c r="I3929" s="5"/>
      <c r="J3929" s="5"/>
      <c r="K3929" s="6"/>
      <c r="N3929" s="2"/>
      <c r="O3929" s="2"/>
      <c r="P3929" s="2"/>
    </row>
    <row r="3930" spans="2:16" ht="14.25">
      <c r="B3930" s="4"/>
      <c r="I3930" s="5"/>
      <c r="J3930" s="5"/>
      <c r="K3930" s="6"/>
      <c r="N3930" s="2"/>
      <c r="O3930" s="2"/>
      <c r="P3930" s="2"/>
    </row>
    <row r="3931" spans="2:16" ht="14.25">
      <c r="B3931" s="4"/>
      <c r="I3931" s="5"/>
      <c r="J3931" s="5"/>
      <c r="K3931" s="6"/>
      <c r="N3931" s="2"/>
      <c r="O3931" s="2"/>
      <c r="P3931" s="2"/>
    </row>
    <row r="3932" spans="2:16" ht="14.25">
      <c r="B3932" s="4"/>
      <c r="I3932" s="5"/>
      <c r="J3932" s="5"/>
      <c r="K3932" s="6"/>
      <c r="N3932" s="2"/>
      <c r="O3932" s="2"/>
      <c r="P3932" s="2"/>
    </row>
    <row r="3933" spans="2:16" ht="14.25">
      <c r="B3933" s="4"/>
      <c r="I3933" s="5"/>
      <c r="J3933" s="5"/>
      <c r="K3933" s="6"/>
      <c r="N3933" s="2"/>
      <c r="O3933" s="2"/>
      <c r="P3933" s="2"/>
    </row>
    <row r="3934" spans="2:16" ht="14.25">
      <c r="B3934" s="4"/>
      <c r="I3934" s="5"/>
      <c r="J3934" s="5"/>
      <c r="K3934" s="6"/>
      <c r="N3934" s="2"/>
      <c r="O3934" s="2"/>
      <c r="P3934" s="2"/>
    </row>
    <row r="3935" spans="2:16" ht="14.25">
      <c r="B3935" s="4"/>
      <c r="I3935" s="5"/>
      <c r="J3935" s="5"/>
      <c r="K3935" s="6"/>
      <c r="N3935" s="2"/>
      <c r="O3935" s="2"/>
      <c r="P3935" s="2"/>
    </row>
    <row r="3936" spans="2:16" ht="14.25">
      <c r="B3936" s="4"/>
      <c r="I3936" s="5"/>
      <c r="J3936" s="5"/>
      <c r="K3936" s="6"/>
      <c r="N3936" s="2"/>
      <c r="O3936" s="2"/>
      <c r="P3936" s="2"/>
    </row>
    <row r="3937" spans="2:16" ht="14.25">
      <c r="B3937" s="4"/>
      <c r="I3937" s="5"/>
      <c r="J3937" s="5"/>
      <c r="K3937" s="6"/>
      <c r="N3937" s="2"/>
      <c r="O3937" s="2"/>
      <c r="P3937" s="2"/>
    </row>
    <row r="3938" spans="2:16" ht="14.25">
      <c r="B3938" s="4"/>
      <c r="I3938" s="5"/>
      <c r="J3938" s="5"/>
      <c r="K3938" s="6"/>
      <c r="N3938" s="2"/>
      <c r="O3938" s="2"/>
      <c r="P3938" s="2"/>
    </row>
    <row r="3939" spans="2:16" ht="14.25">
      <c r="B3939" s="4"/>
      <c r="I3939" s="5"/>
      <c r="J3939" s="5"/>
      <c r="K3939" s="6"/>
      <c r="N3939" s="2"/>
      <c r="O3939" s="2"/>
      <c r="P3939" s="2"/>
    </row>
    <row r="3940" spans="2:16" ht="14.25">
      <c r="B3940" s="4"/>
      <c r="I3940" s="5"/>
      <c r="J3940" s="5"/>
      <c r="K3940" s="6"/>
      <c r="N3940" s="2"/>
      <c r="O3940" s="2"/>
      <c r="P3940" s="2"/>
    </row>
    <row r="3941" spans="2:16" ht="14.25">
      <c r="B3941" s="4"/>
      <c r="I3941" s="5"/>
      <c r="J3941" s="5"/>
      <c r="K3941" s="6"/>
      <c r="N3941" s="2"/>
      <c r="O3941" s="2"/>
      <c r="P3941" s="2"/>
    </row>
    <row r="3942" spans="2:16" ht="14.25">
      <c r="B3942" s="4"/>
      <c r="I3942" s="5"/>
      <c r="J3942" s="5"/>
      <c r="K3942" s="6"/>
      <c r="N3942" s="2"/>
      <c r="O3942" s="2"/>
      <c r="P3942" s="2"/>
    </row>
    <row r="3943" spans="2:16" ht="14.25">
      <c r="B3943" s="4"/>
      <c r="I3943" s="5"/>
      <c r="J3943" s="5"/>
      <c r="K3943" s="6"/>
      <c r="N3943" s="2"/>
      <c r="O3943" s="2"/>
      <c r="P3943" s="2"/>
    </row>
    <row r="3944" spans="2:16" ht="14.25">
      <c r="B3944" s="4"/>
      <c r="I3944" s="5"/>
      <c r="J3944" s="5"/>
      <c r="K3944" s="6"/>
      <c r="N3944" s="2"/>
      <c r="O3944" s="2"/>
      <c r="P3944" s="2"/>
    </row>
    <row r="3945" spans="2:16" ht="14.25">
      <c r="B3945" s="4"/>
      <c r="I3945" s="5"/>
      <c r="J3945" s="5"/>
      <c r="K3945" s="6"/>
      <c r="N3945" s="2"/>
      <c r="O3945" s="2"/>
      <c r="P3945" s="2"/>
    </row>
    <row r="3946" spans="2:16" ht="14.25">
      <c r="B3946" s="4"/>
      <c r="I3946" s="5"/>
      <c r="J3946" s="5"/>
      <c r="K3946" s="6"/>
      <c r="N3946" s="2"/>
      <c r="O3946" s="2"/>
      <c r="P3946" s="2"/>
    </row>
    <row r="3947" spans="2:16" ht="14.25">
      <c r="B3947" s="4"/>
      <c r="I3947" s="5"/>
      <c r="J3947" s="5"/>
      <c r="K3947" s="6"/>
      <c r="N3947" s="2"/>
      <c r="O3947" s="2"/>
      <c r="P3947" s="2"/>
    </row>
    <row r="3948" spans="2:16" ht="14.25">
      <c r="B3948" s="4"/>
      <c r="I3948" s="5"/>
      <c r="J3948" s="5"/>
      <c r="K3948" s="6"/>
      <c r="N3948" s="2"/>
      <c r="O3948" s="2"/>
      <c r="P3948" s="2"/>
    </row>
    <row r="3949" spans="2:16" ht="14.25">
      <c r="B3949" s="4"/>
      <c r="I3949" s="5"/>
      <c r="J3949" s="5"/>
      <c r="K3949" s="6"/>
      <c r="N3949" s="2"/>
      <c r="O3949" s="2"/>
      <c r="P3949" s="2"/>
    </row>
    <row r="3950" spans="2:16" ht="14.25">
      <c r="B3950" s="4"/>
      <c r="I3950" s="5"/>
      <c r="J3950" s="5"/>
      <c r="K3950" s="6"/>
      <c r="N3950" s="2"/>
      <c r="O3950" s="2"/>
      <c r="P3950" s="2"/>
    </row>
    <row r="3951" spans="2:16" ht="14.25">
      <c r="B3951" s="4"/>
      <c r="I3951" s="5"/>
      <c r="J3951" s="5"/>
      <c r="K3951" s="6"/>
      <c r="N3951" s="2"/>
      <c r="O3951" s="2"/>
      <c r="P3951" s="2"/>
    </row>
    <row r="3952" spans="2:16" ht="14.25">
      <c r="B3952" s="4"/>
      <c r="I3952" s="5"/>
      <c r="J3952" s="5"/>
      <c r="K3952" s="6"/>
      <c r="N3952" s="2"/>
      <c r="O3952" s="2"/>
      <c r="P3952" s="2"/>
    </row>
    <row r="3953" spans="2:16" ht="14.25">
      <c r="B3953" s="4"/>
      <c r="I3953" s="5"/>
      <c r="J3953" s="5"/>
      <c r="K3953" s="6"/>
      <c r="N3953" s="2"/>
      <c r="O3953" s="2"/>
      <c r="P3953" s="2"/>
    </row>
    <row r="3954" spans="2:16" ht="14.25">
      <c r="B3954" s="4"/>
      <c r="I3954" s="5"/>
      <c r="J3954" s="5"/>
      <c r="K3954" s="6"/>
      <c r="N3954" s="2"/>
      <c r="O3954" s="2"/>
      <c r="P3954" s="2"/>
    </row>
    <row r="3955" spans="2:16" ht="14.25">
      <c r="B3955" s="4"/>
      <c r="I3955" s="5"/>
      <c r="J3955" s="5"/>
      <c r="K3955" s="6"/>
      <c r="N3955" s="2"/>
      <c r="O3955" s="2"/>
      <c r="P3955" s="2"/>
    </row>
    <row r="3956" spans="2:16" ht="14.25">
      <c r="B3956" s="4"/>
      <c r="I3956" s="5"/>
      <c r="J3956" s="5"/>
      <c r="K3956" s="6"/>
      <c r="N3956" s="2"/>
      <c r="O3956" s="2"/>
      <c r="P3956" s="2"/>
    </row>
    <row r="3957" spans="2:16" ht="14.25">
      <c r="B3957" s="4"/>
      <c r="I3957" s="5"/>
      <c r="J3957" s="5"/>
      <c r="K3957" s="6"/>
      <c r="N3957" s="2"/>
      <c r="O3957" s="2"/>
      <c r="P3957" s="2"/>
    </row>
    <row r="3958" spans="2:16" ht="14.25">
      <c r="B3958" s="4"/>
      <c r="I3958" s="5"/>
      <c r="J3958" s="5"/>
      <c r="K3958" s="6"/>
      <c r="N3958" s="2"/>
      <c r="O3958" s="2"/>
      <c r="P3958" s="2"/>
    </row>
    <row r="3959" spans="2:16" ht="14.25">
      <c r="B3959" s="4"/>
      <c r="I3959" s="5"/>
      <c r="J3959" s="5"/>
      <c r="K3959" s="6"/>
      <c r="N3959" s="2"/>
      <c r="O3959" s="2"/>
      <c r="P3959" s="2"/>
    </row>
    <row r="3960" spans="2:16" ht="14.25">
      <c r="B3960" s="4"/>
      <c r="I3960" s="5"/>
      <c r="J3960" s="5"/>
      <c r="K3960" s="6"/>
      <c r="N3960" s="2"/>
      <c r="O3960" s="2"/>
      <c r="P3960" s="2"/>
    </row>
    <row r="3961" spans="2:16" ht="14.25">
      <c r="B3961" s="4"/>
      <c r="I3961" s="5"/>
      <c r="J3961" s="5"/>
      <c r="K3961" s="6"/>
      <c r="N3961" s="2"/>
      <c r="O3961" s="2"/>
      <c r="P3961" s="2"/>
    </row>
    <row r="3962" spans="2:16" ht="14.25">
      <c r="B3962" s="4"/>
      <c r="I3962" s="5"/>
      <c r="J3962" s="5"/>
      <c r="K3962" s="6"/>
      <c r="N3962" s="2"/>
      <c r="O3962" s="2"/>
      <c r="P3962" s="2"/>
    </row>
    <row r="3963" spans="2:16" ht="14.25">
      <c r="B3963" s="4"/>
      <c r="I3963" s="5"/>
      <c r="J3963" s="5"/>
      <c r="K3963" s="6"/>
      <c r="N3963" s="2"/>
      <c r="O3963" s="2"/>
      <c r="P3963" s="2"/>
    </row>
    <row r="3964" spans="2:16" ht="14.25">
      <c r="B3964" s="4"/>
      <c r="I3964" s="5"/>
      <c r="J3964" s="5"/>
      <c r="K3964" s="6"/>
      <c r="N3964" s="2"/>
      <c r="O3964" s="2"/>
      <c r="P3964" s="2"/>
    </row>
    <row r="3965" spans="2:16" ht="14.25">
      <c r="B3965" s="4"/>
      <c r="I3965" s="5"/>
      <c r="J3965" s="5"/>
      <c r="K3965" s="6"/>
      <c r="N3965" s="2"/>
      <c r="O3965" s="2"/>
      <c r="P3965" s="2"/>
    </row>
    <row r="3966" spans="2:16" ht="14.25">
      <c r="B3966" s="4"/>
      <c r="I3966" s="5"/>
      <c r="J3966" s="5"/>
      <c r="K3966" s="6"/>
      <c r="N3966" s="2"/>
      <c r="O3966" s="2"/>
      <c r="P3966" s="2"/>
    </row>
    <row r="3967" spans="2:16" ht="14.25">
      <c r="B3967" s="4"/>
      <c r="I3967" s="5"/>
      <c r="J3967" s="5"/>
      <c r="K3967" s="6"/>
      <c r="N3967" s="2"/>
      <c r="O3967" s="2"/>
      <c r="P3967" s="2"/>
    </row>
    <row r="3968" spans="2:16" ht="14.25">
      <c r="B3968" s="4"/>
      <c r="I3968" s="5"/>
      <c r="J3968" s="5"/>
      <c r="K3968" s="6"/>
      <c r="N3968" s="2"/>
      <c r="O3968" s="2"/>
      <c r="P3968" s="2"/>
    </row>
    <row r="3969" spans="2:16" ht="14.25">
      <c r="B3969" s="4"/>
      <c r="I3969" s="5"/>
      <c r="J3969" s="5"/>
      <c r="K3969" s="6"/>
      <c r="N3969" s="2"/>
      <c r="O3969" s="2"/>
      <c r="P3969" s="2"/>
    </row>
    <row r="3970" spans="2:16" ht="14.25">
      <c r="B3970" s="4"/>
      <c r="I3970" s="5"/>
      <c r="J3970" s="5"/>
      <c r="K3970" s="6"/>
      <c r="N3970" s="2"/>
      <c r="O3970" s="2"/>
      <c r="P3970" s="2"/>
    </row>
    <row r="3971" spans="2:16" ht="14.25">
      <c r="B3971" s="4"/>
      <c r="I3971" s="5"/>
      <c r="J3971" s="5"/>
      <c r="K3971" s="6"/>
      <c r="N3971" s="2"/>
      <c r="O3971" s="2"/>
      <c r="P3971" s="2"/>
    </row>
    <row r="3972" spans="2:16" ht="14.25">
      <c r="B3972" s="4"/>
      <c r="I3972" s="5"/>
      <c r="J3972" s="5"/>
      <c r="K3972" s="6"/>
      <c r="N3972" s="2"/>
      <c r="O3972" s="2"/>
      <c r="P3972" s="2"/>
    </row>
    <row r="3973" spans="2:16" ht="14.25">
      <c r="B3973" s="4"/>
      <c r="I3973" s="5"/>
      <c r="J3973" s="5"/>
      <c r="K3973" s="6"/>
      <c r="N3973" s="2"/>
      <c r="O3973" s="2"/>
      <c r="P3973" s="2"/>
    </row>
    <row r="3974" spans="2:16" ht="14.25">
      <c r="B3974" s="4"/>
      <c r="I3974" s="5"/>
      <c r="J3974" s="5"/>
      <c r="K3974" s="6"/>
      <c r="N3974" s="2"/>
      <c r="O3974" s="2"/>
      <c r="P3974" s="2"/>
    </row>
    <row r="3975" spans="2:16" ht="14.25">
      <c r="B3975" s="4"/>
      <c r="I3975" s="5"/>
      <c r="J3975" s="5"/>
      <c r="K3975" s="6"/>
      <c r="N3975" s="2"/>
      <c r="O3975" s="2"/>
      <c r="P3975" s="2"/>
    </row>
    <row r="3976" spans="2:16" ht="14.25">
      <c r="B3976" s="4"/>
      <c r="I3976" s="5"/>
      <c r="J3976" s="5"/>
      <c r="K3976" s="6"/>
      <c r="N3976" s="2"/>
      <c r="O3976" s="2"/>
      <c r="P3976" s="2"/>
    </row>
    <row r="3977" spans="2:16" ht="14.25">
      <c r="B3977" s="4"/>
      <c r="I3977" s="5"/>
      <c r="J3977" s="5"/>
      <c r="K3977" s="6"/>
      <c r="N3977" s="2"/>
      <c r="O3977" s="2"/>
      <c r="P3977" s="2"/>
    </row>
    <row r="3978" spans="2:16" ht="14.25">
      <c r="B3978" s="4"/>
      <c r="I3978" s="5"/>
      <c r="J3978" s="5"/>
      <c r="K3978" s="6"/>
      <c r="N3978" s="2"/>
      <c r="O3978" s="2"/>
      <c r="P3978" s="2"/>
    </row>
    <row r="3979" spans="2:16" ht="14.25">
      <c r="B3979" s="4"/>
      <c r="I3979" s="5"/>
      <c r="J3979" s="5"/>
      <c r="K3979" s="6"/>
      <c r="N3979" s="2"/>
      <c r="O3979" s="2"/>
      <c r="P3979" s="2"/>
    </row>
    <row r="3980" spans="2:16" ht="14.25">
      <c r="B3980" s="4"/>
      <c r="I3980" s="5"/>
      <c r="J3980" s="5"/>
      <c r="K3980" s="6"/>
      <c r="N3980" s="2"/>
      <c r="O3980" s="2"/>
      <c r="P3980" s="2"/>
    </row>
    <row r="3981" spans="2:16" ht="14.25">
      <c r="B3981" s="4"/>
      <c r="I3981" s="5"/>
      <c r="J3981" s="5"/>
      <c r="K3981" s="6"/>
      <c r="N3981" s="2"/>
      <c r="O3981" s="2"/>
      <c r="P3981" s="2"/>
    </row>
    <row r="3982" spans="2:16" ht="14.25">
      <c r="B3982" s="4"/>
      <c r="I3982" s="5"/>
      <c r="J3982" s="5"/>
      <c r="K3982" s="6"/>
      <c r="N3982" s="2"/>
      <c r="O3982" s="2"/>
      <c r="P3982" s="2"/>
    </row>
    <row r="3983" spans="2:16" ht="14.25">
      <c r="B3983" s="4"/>
      <c r="I3983" s="5"/>
      <c r="J3983" s="5"/>
      <c r="K3983" s="6"/>
      <c r="N3983" s="2"/>
      <c r="O3983" s="2"/>
      <c r="P3983" s="2"/>
    </row>
    <row r="3984" spans="2:16" ht="14.25">
      <c r="B3984" s="4"/>
      <c r="I3984" s="5"/>
      <c r="J3984" s="5"/>
      <c r="K3984" s="6"/>
      <c r="N3984" s="2"/>
      <c r="O3984" s="2"/>
      <c r="P3984" s="2"/>
    </row>
    <row r="3985" spans="2:16" ht="14.25">
      <c r="B3985" s="4"/>
      <c r="I3985" s="5"/>
      <c r="J3985" s="5"/>
      <c r="K3985" s="6"/>
      <c r="N3985" s="2"/>
      <c r="O3985" s="2"/>
      <c r="P3985" s="2"/>
    </row>
    <row r="3986" spans="2:16" ht="14.25">
      <c r="B3986" s="4"/>
      <c r="I3986" s="5"/>
      <c r="J3986" s="5"/>
      <c r="K3986" s="6"/>
      <c r="N3986" s="2"/>
      <c r="O3986" s="2"/>
      <c r="P3986" s="2"/>
    </row>
    <row r="3987" spans="2:16" ht="14.25">
      <c r="B3987" s="4"/>
      <c r="I3987" s="5"/>
      <c r="J3987" s="5"/>
      <c r="K3987" s="6"/>
      <c r="N3987" s="2"/>
      <c r="O3987" s="2"/>
      <c r="P3987" s="2"/>
    </row>
    <row r="3988" spans="2:16" ht="14.25">
      <c r="B3988" s="4"/>
      <c r="I3988" s="5"/>
      <c r="J3988" s="5"/>
      <c r="K3988" s="6"/>
      <c r="N3988" s="2"/>
      <c r="O3988" s="2"/>
      <c r="P3988" s="2"/>
    </row>
    <row r="3989" spans="2:16" ht="14.25">
      <c r="B3989" s="4"/>
      <c r="I3989" s="5"/>
      <c r="J3989" s="5"/>
      <c r="K3989" s="6"/>
      <c r="N3989" s="2"/>
      <c r="O3989" s="2"/>
      <c r="P3989" s="2"/>
    </row>
    <row r="3990" spans="2:16" ht="14.25">
      <c r="B3990" s="4"/>
      <c r="I3990" s="5"/>
      <c r="J3990" s="5"/>
      <c r="K3990" s="6"/>
      <c r="N3990" s="2"/>
      <c r="O3990" s="2"/>
      <c r="P3990" s="2"/>
    </row>
    <row r="3991" spans="2:16" ht="14.25">
      <c r="B3991" s="4"/>
      <c r="I3991" s="5"/>
      <c r="J3991" s="5"/>
      <c r="K3991" s="6"/>
      <c r="N3991" s="2"/>
      <c r="O3991" s="2"/>
      <c r="P3991" s="2"/>
    </row>
    <row r="3992" spans="2:16" ht="14.25">
      <c r="B3992" s="4"/>
      <c r="I3992" s="5"/>
      <c r="J3992" s="5"/>
      <c r="K3992" s="6"/>
      <c r="N3992" s="2"/>
      <c r="O3992" s="2"/>
      <c r="P3992" s="2"/>
    </row>
    <row r="3993" spans="2:16" ht="14.25">
      <c r="B3993" s="4"/>
      <c r="I3993" s="5"/>
      <c r="J3993" s="5"/>
      <c r="K3993" s="6"/>
      <c r="N3993" s="2"/>
      <c r="O3993" s="2"/>
      <c r="P3993" s="2"/>
    </row>
    <row r="3994" spans="2:16" ht="14.25">
      <c r="B3994" s="4"/>
      <c r="I3994" s="5"/>
      <c r="J3994" s="5"/>
      <c r="K3994" s="6"/>
      <c r="N3994" s="2"/>
      <c r="O3994" s="2"/>
      <c r="P3994" s="2"/>
    </row>
    <row r="3995" spans="2:16" ht="14.25">
      <c r="B3995" s="4"/>
      <c r="I3995" s="5"/>
      <c r="J3995" s="5"/>
      <c r="K3995" s="6"/>
      <c r="N3995" s="2"/>
      <c r="O3995" s="2"/>
      <c r="P3995" s="2"/>
    </row>
    <row r="3996" spans="2:16" ht="14.25">
      <c r="B3996" s="4"/>
      <c r="I3996" s="5"/>
      <c r="J3996" s="5"/>
      <c r="K3996" s="6"/>
      <c r="N3996" s="2"/>
      <c r="O3996" s="2"/>
      <c r="P3996" s="2"/>
    </row>
    <row r="3997" spans="2:16" ht="14.25">
      <c r="B3997" s="4"/>
      <c r="I3997" s="5"/>
      <c r="J3997" s="5"/>
      <c r="K3997" s="6"/>
      <c r="N3997" s="2"/>
      <c r="O3997" s="2"/>
      <c r="P3997" s="2"/>
    </row>
    <row r="3998" spans="2:16" ht="14.25">
      <c r="B3998" s="4"/>
      <c r="I3998" s="5"/>
      <c r="J3998" s="5"/>
      <c r="K3998" s="6"/>
      <c r="N3998" s="2"/>
      <c r="O3998" s="2"/>
      <c r="P3998" s="2"/>
    </row>
    <row r="3999" spans="2:16" ht="14.25">
      <c r="B3999" s="4"/>
      <c r="I3999" s="5"/>
      <c r="J3999" s="5"/>
      <c r="K3999" s="6"/>
      <c r="N3999" s="2"/>
      <c r="O3999" s="2"/>
      <c r="P3999" s="2"/>
    </row>
    <row r="4000" spans="2:16" ht="14.25">
      <c r="B4000" s="4"/>
      <c r="I4000" s="5"/>
      <c r="J4000" s="5"/>
      <c r="K4000" s="6"/>
      <c r="N4000" s="2"/>
      <c r="O4000" s="2"/>
      <c r="P4000" s="2"/>
    </row>
    <row r="4001" spans="2:16" ht="14.25">
      <c r="B4001" s="4"/>
      <c r="I4001" s="5"/>
      <c r="J4001" s="5"/>
      <c r="K4001" s="6"/>
      <c r="N4001" s="2"/>
      <c r="O4001" s="2"/>
      <c r="P4001" s="2"/>
    </row>
    <row r="4002" spans="2:16" ht="14.25">
      <c r="B4002" s="4"/>
      <c r="I4002" s="5"/>
      <c r="J4002" s="5"/>
      <c r="K4002" s="6"/>
      <c r="N4002" s="2"/>
      <c r="O4002" s="2"/>
      <c r="P4002" s="2"/>
    </row>
    <row r="4003" spans="2:16" ht="14.25">
      <c r="B4003" s="4"/>
      <c r="I4003" s="5"/>
      <c r="J4003" s="5"/>
      <c r="K4003" s="6"/>
      <c r="N4003" s="2"/>
      <c r="O4003" s="2"/>
      <c r="P4003" s="2"/>
    </row>
    <row r="4004" spans="2:16" ht="14.25">
      <c r="B4004" s="4"/>
      <c r="I4004" s="5"/>
      <c r="J4004" s="5"/>
      <c r="K4004" s="6"/>
      <c r="N4004" s="2"/>
      <c r="O4004" s="2"/>
      <c r="P4004" s="2"/>
    </row>
    <row r="4005" spans="2:16" ht="14.25">
      <c r="B4005" s="4"/>
      <c r="I4005" s="5"/>
      <c r="J4005" s="5"/>
      <c r="K4005" s="6"/>
      <c r="N4005" s="2"/>
      <c r="O4005" s="2"/>
      <c r="P4005" s="2"/>
    </row>
    <row r="4006" spans="2:16" ht="14.25">
      <c r="B4006" s="4"/>
      <c r="I4006" s="5"/>
      <c r="J4006" s="5"/>
      <c r="K4006" s="6"/>
      <c r="N4006" s="2"/>
      <c r="O4006" s="2"/>
      <c r="P4006" s="2"/>
    </row>
    <row r="4007" spans="2:16" ht="14.25">
      <c r="B4007" s="4"/>
      <c r="I4007" s="5"/>
      <c r="J4007" s="5"/>
      <c r="K4007" s="6"/>
      <c r="N4007" s="2"/>
      <c r="O4007" s="2"/>
      <c r="P4007" s="2"/>
    </row>
    <row r="4008" spans="2:16" ht="14.25">
      <c r="B4008" s="4"/>
      <c r="I4008" s="5"/>
      <c r="J4008" s="5"/>
      <c r="K4008" s="6"/>
      <c r="N4008" s="2"/>
      <c r="O4008" s="2"/>
      <c r="P4008" s="2"/>
    </row>
    <row r="4009" spans="2:16" ht="14.25">
      <c r="B4009" s="4"/>
      <c r="I4009" s="5"/>
      <c r="J4009" s="5"/>
      <c r="K4009" s="6"/>
      <c r="N4009" s="2"/>
      <c r="O4009" s="2"/>
      <c r="P4009" s="2"/>
    </row>
    <row r="4010" spans="2:16" ht="14.25">
      <c r="B4010" s="4"/>
      <c r="I4010" s="5"/>
      <c r="J4010" s="5"/>
      <c r="K4010" s="6"/>
      <c r="N4010" s="2"/>
      <c r="O4010" s="2"/>
      <c r="P4010" s="2"/>
    </row>
    <row r="4011" spans="2:16" ht="14.25">
      <c r="B4011" s="4"/>
      <c r="I4011" s="5"/>
      <c r="J4011" s="5"/>
      <c r="K4011" s="6"/>
      <c r="N4011" s="2"/>
      <c r="O4011" s="2"/>
      <c r="P4011" s="2"/>
    </row>
    <row r="4012" spans="2:16" ht="14.25">
      <c r="B4012" s="4"/>
      <c r="I4012" s="5"/>
      <c r="J4012" s="5"/>
      <c r="K4012" s="6"/>
      <c r="N4012" s="2"/>
      <c r="O4012" s="2"/>
      <c r="P4012" s="2"/>
    </row>
    <row r="4013" spans="2:16" ht="14.25">
      <c r="B4013" s="4"/>
      <c r="I4013" s="5"/>
      <c r="J4013" s="5"/>
      <c r="K4013" s="6"/>
      <c r="N4013" s="2"/>
      <c r="O4013" s="2"/>
      <c r="P4013" s="2"/>
    </row>
    <row r="4014" spans="2:16" ht="14.25">
      <c r="B4014" s="4"/>
      <c r="I4014" s="5"/>
      <c r="J4014" s="5"/>
      <c r="K4014" s="6"/>
      <c r="N4014" s="2"/>
      <c r="O4014" s="2"/>
      <c r="P4014" s="2"/>
    </row>
    <row r="4015" spans="2:16" ht="14.25">
      <c r="B4015" s="4"/>
      <c r="I4015" s="5"/>
      <c r="J4015" s="5"/>
      <c r="K4015" s="6"/>
      <c r="N4015" s="2"/>
      <c r="O4015" s="2"/>
      <c r="P4015" s="2"/>
    </row>
    <row r="4016" spans="2:16" ht="14.25">
      <c r="B4016" s="4"/>
      <c r="I4016" s="5"/>
      <c r="J4016" s="5"/>
      <c r="K4016" s="6"/>
      <c r="N4016" s="2"/>
      <c r="O4016" s="2"/>
      <c r="P4016" s="2"/>
    </row>
    <row r="4017" spans="2:16" ht="14.25">
      <c r="B4017" s="4"/>
      <c r="I4017" s="5"/>
      <c r="J4017" s="5"/>
      <c r="K4017" s="6"/>
      <c r="N4017" s="2"/>
      <c r="O4017" s="2"/>
      <c r="P4017" s="2"/>
    </row>
    <row r="4018" spans="2:16" ht="14.25">
      <c r="B4018" s="4"/>
      <c r="I4018" s="5"/>
      <c r="J4018" s="5"/>
      <c r="K4018" s="6"/>
      <c r="N4018" s="2"/>
      <c r="O4018" s="2"/>
      <c r="P4018" s="2"/>
    </row>
    <row r="4019" spans="2:16" ht="14.25">
      <c r="B4019" s="4"/>
      <c r="I4019" s="5"/>
      <c r="J4019" s="5"/>
      <c r="K4019" s="6"/>
      <c r="N4019" s="2"/>
      <c r="O4019" s="2"/>
      <c r="P4019" s="2"/>
    </row>
    <row r="4020" spans="2:16" ht="14.25">
      <c r="B4020" s="4"/>
      <c r="I4020" s="5"/>
      <c r="J4020" s="5"/>
      <c r="K4020" s="6"/>
      <c r="N4020" s="2"/>
      <c r="O4020" s="2"/>
      <c r="P4020" s="2"/>
    </row>
    <row r="4021" spans="2:16" ht="14.25">
      <c r="B4021" s="4"/>
      <c r="I4021" s="5"/>
      <c r="J4021" s="5"/>
      <c r="K4021" s="6"/>
      <c r="N4021" s="2"/>
      <c r="O4021" s="2"/>
      <c r="P4021" s="2"/>
    </row>
    <row r="4022" spans="2:16" ht="14.25">
      <c r="B4022" s="4"/>
      <c r="I4022" s="5"/>
      <c r="J4022" s="5"/>
      <c r="K4022" s="6"/>
      <c r="N4022" s="2"/>
      <c r="O4022" s="2"/>
      <c r="P4022" s="2"/>
    </row>
    <row r="4023" spans="2:16" ht="14.25">
      <c r="B4023" s="4"/>
      <c r="I4023" s="5"/>
      <c r="J4023" s="5"/>
      <c r="K4023" s="6"/>
      <c r="N4023" s="2"/>
      <c r="O4023" s="2"/>
      <c r="P4023" s="2"/>
    </row>
    <row r="4024" spans="2:16" ht="14.25">
      <c r="B4024" s="4"/>
      <c r="I4024" s="5"/>
      <c r="J4024" s="5"/>
      <c r="K4024" s="6"/>
      <c r="N4024" s="2"/>
      <c r="O4024" s="2"/>
      <c r="P4024" s="2"/>
    </row>
    <row r="4025" spans="2:16" ht="14.25">
      <c r="B4025" s="4"/>
      <c r="I4025" s="5"/>
      <c r="J4025" s="5"/>
      <c r="K4025" s="6"/>
      <c r="N4025" s="2"/>
      <c r="O4025" s="2"/>
      <c r="P4025" s="2"/>
    </row>
    <row r="4026" spans="2:16" ht="14.25">
      <c r="B4026" s="4"/>
      <c r="I4026" s="5"/>
      <c r="J4026" s="5"/>
      <c r="K4026" s="6"/>
      <c r="N4026" s="2"/>
      <c r="O4026" s="2"/>
      <c r="P4026" s="2"/>
    </row>
    <row r="4027" spans="2:16" ht="14.25">
      <c r="B4027" s="4"/>
      <c r="I4027" s="5"/>
      <c r="J4027" s="5"/>
      <c r="K4027" s="6"/>
      <c r="N4027" s="2"/>
      <c r="O4027" s="2"/>
      <c r="P4027" s="2"/>
    </row>
    <row r="4028" spans="2:16" ht="14.25">
      <c r="B4028" s="4"/>
      <c r="I4028" s="5"/>
      <c r="J4028" s="5"/>
      <c r="K4028" s="6"/>
      <c r="N4028" s="2"/>
      <c r="O4028" s="2"/>
      <c r="P4028" s="2"/>
    </row>
    <row r="4029" spans="2:16" ht="14.25">
      <c r="B4029" s="4"/>
      <c r="I4029" s="5"/>
      <c r="J4029" s="5"/>
      <c r="K4029" s="6"/>
      <c r="N4029" s="2"/>
      <c r="O4029" s="2"/>
      <c r="P4029" s="2"/>
    </row>
    <row r="4030" spans="2:16" ht="14.25">
      <c r="B4030" s="4"/>
      <c r="I4030" s="5"/>
      <c r="J4030" s="5"/>
      <c r="K4030" s="6"/>
      <c r="N4030" s="2"/>
      <c r="O4030" s="2"/>
      <c r="P4030" s="2"/>
    </row>
    <row r="4031" spans="2:16" ht="14.25">
      <c r="B4031" s="4"/>
      <c r="I4031" s="5"/>
      <c r="J4031" s="5"/>
      <c r="K4031" s="6"/>
      <c r="N4031" s="2"/>
      <c r="O4031" s="2"/>
      <c r="P4031" s="2"/>
    </row>
    <row r="4032" spans="2:16" ht="14.25">
      <c r="B4032" s="4"/>
      <c r="I4032" s="5"/>
      <c r="J4032" s="5"/>
      <c r="K4032" s="6"/>
      <c r="N4032" s="2"/>
      <c r="O4032" s="2"/>
      <c r="P4032" s="2"/>
    </row>
    <row r="4033" spans="2:16" ht="14.25">
      <c r="B4033" s="4"/>
      <c r="I4033" s="5"/>
      <c r="J4033" s="5"/>
      <c r="K4033" s="6"/>
      <c r="N4033" s="2"/>
      <c r="O4033" s="2"/>
      <c r="P4033" s="2"/>
    </row>
    <row r="4034" spans="2:16" ht="14.25">
      <c r="B4034" s="4"/>
      <c r="I4034" s="5"/>
      <c r="J4034" s="5"/>
      <c r="K4034" s="6"/>
      <c r="N4034" s="2"/>
      <c r="O4034" s="2"/>
      <c r="P4034" s="2"/>
    </row>
    <row r="4035" spans="2:16" ht="14.25">
      <c r="B4035" s="4"/>
      <c r="I4035" s="5"/>
      <c r="J4035" s="5"/>
      <c r="K4035" s="6"/>
      <c r="N4035" s="2"/>
      <c r="O4035" s="2"/>
      <c r="P4035" s="2"/>
    </row>
    <row r="4036" spans="2:16" ht="14.25">
      <c r="B4036" s="4"/>
      <c r="I4036" s="5"/>
      <c r="J4036" s="5"/>
      <c r="K4036" s="6"/>
      <c r="N4036" s="2"/>
      <c r="O4036" s="2"/>
      <c r="P4036" s="2"/>
    </row>
    <row r="4037" spans="2:16" ht="14.25">
      <c r="B4037" s="4"/>
      <c r="I4037" s="5"/>
      <c r="J4037" s="5"/>
      <c r="K4037" s="6"/>
      <c r="N4037" s="2"/>
      <c r="O4037" s="2"/>
      <c r="P4037" s="2"/>
    </row>
    <row r="4038" spans="2:16" ht="14.25">
      <c r="B4038" s="4"/>
      <c r="I4038" s="5"/>
      <c r="J4038" s="5"/>
      <c r="K4038" s="6"/>
      <c r="N4038" s="2"/>
      <c r="O4038" s="2"/>
      <c r="P4038" s="2"/>
    </row>
    <row r="4039" spans="2:16" ht="14.25">
      <c r="B4039" s="4"/>
      <c r="I4039" s="5"/>
      <c r="J4039" s="5"/>
      <c r="K4039" s="6"/>
      <c r="N4039" s="2"/>
      <c r="O4039" s="2"/>
      <c r="P4039" s="2"/>
    </row>
    <row r="4040" spans="2:16" ht="14.25">
      <c r="B4040" s="4"/>
      <c r="I4040" s="5"/>
      <c r="J4040" s="5"/>
      <c r="K4040" s="6"/>
      <c r="N4040" s="2"/>
      <c r="O4040" s="2"/>
      <c r="P4040" s="2"/>
    </row>
    <row r="4041" spans="2:16" ht="14.25">
      <c r="B4041" s="4"/>
      <c r="I4041" s="5"/>
      <c r="J4041" s="5"/>
      <c r="K4041" s="6"/>
      <c r="N4041" s="2"/>
      <c r="O4041" s="2"/>
      <c r="P4041" s="2"/>
    </row>
    <row r="4042" spans="2:16" ht="14.25">
      <c r="B4042" s="4"/>
      <c r="I4042" s="5"/>
      <c r="J4042" s="5"/>
      <c r="K4042" s="6"/>
      <c r="N4042" s="2"/>
      <c r="O4042" s="2"/>
      <c r="P4042" s="2"/>
    </row>
    <row r="4043" spans="2:16" ht="14.25">
      <c r="B4043" s="4"/>
      <c r="I4043" s="5"/>
      <c r="J4043" s="5"/>
      <c r="K4043" s="6"/>
      <c r="N4043" s="2"/>
      <c r="O4043" s="2"/>
      <c r="P4043" s="2"/>
    </row>
    <row r="4044" spans="2:16" ht="14.25">
      <c r="B4044" s="4"/>
      <c r="I4044" s="5"/>
      <c r="J4044" s="5"/>
      <c r="K4044" s="6"/>
      <c r="N4044" s="2"/>
      <c r="O4044" s="2"/>
      <c r="P4044" s="2"/>
    </row>
    <row r="4045" spans="2:16" ht="14.25">
      <c r="B4045" s="4"/>
      <c r="I4045" s="5"/>
      <c r="J4045" s="5"/>
      <c r="K4045" s="6"/>
      <c r="N4045" s="2"/>
      <c r="O4045" s="2"/>
      <c r="P4045" s="2"/>
    </row>
    <row r="4046" spans="2:16" ht="14.25">
      <c r="B4046" s="4"/>
      <c r="I4046" s="5"/>
      <c r="J4046" s="5"/>
      <c r="K4046" s="6"/>
      <c r="N4046" s="2"/>
      <c r="O4046" s="2"/>
      <c r="P4046" s="2"/>
    </row>
    <row r="4047" spans="2:16" ht="14.25">
      <c r="B4047" s="4"/>
      <c r="I4047" s="5"/>
      <c r="J4047" s="5"/>
      <c r="K4047" s="6"/>
      <c r="N4047" s="2"/>
      <c r="O4047" s="2"/>
      <c r="P4047" s="2"/>
    </row>
    <row r="4048" spans="2:16" ht="14.25">
      <c r="B4048" s="4"/>
      <c r="I4048" s="5"/>
      <c r="J4048" s="5"/>
      <c r="K4048" s="6"/>
      <c r="N4048" s="2"/>
      <c r="O4048" s="2"/>
      <c r="P4048" s="2"/>
    </row>
    <row r="4049" spans="2:16" ht="14.25">
      <c r="B4049" s="4"/>
      <c r="I4049" s="5"/>
      <c r="J4049" s="5"/>
      <c r="K4049" s="6"/>
      <c r="N4049" s="2"/>
      <c r="O4049" s="2"/>
      <c r="P4049" s="2"/>
    </row>
    <row r="4050" spans="2:16" ht="14.25">
      <c r="B4050" s="4"/>
      <c r="I4050" s="5"/>
      <c r="J4050" s="5"/>
      <c r="K4050" s="6"/>
      <c r="N4050" s="2"/>
      <c r="O4050" s="2"/>
      <c r="P4050" s="2"/>
    </row>
    <row r="4051" spans="2:16" ht="14.25">
      <c r="B4051" s="4"/>
      <c r="I4051" s="5"/>
      <c r="J4051" s="5"/>
      <c r="K4051" s="6"/>
      <c r="N4051" s="2"/>
      <c r="O4051" s="2"/>
      <c r="P4051" s="2"/>
    </row>
    <row r="4052" spans="2:16" ht="14.25">
      <c r="B4052" s="4"/>
      <c r="I4052" s="5"/>
      <c r="J4052" s="5"/>
      <c r="K4052" s="6"/>
      <c r="N4052" s="2"/>
      <c r="O4052" s="2"/>
      <c r="P4052" s="2"/>
    </row>
    <row r="4053" spans="2:16" ht="14.25">
      <c r="B4053" s="4"/>
      <c r="I4053" s="5"/>
      <c r="J4053" s="5"/>
      <c r="K4053" s="6"/>
      <c r="N4053" s="2"/>
      <c r="O4053" s="2"/>
      <c r="P4053" s="2"/>
    </row>
    <row r="4054" spans="2:16" ht="14.25">
      <c r="B4054" s="4"/>
      <c r="I4054" s="5"/>
      <c r="J4054" s="5"/>
      <c r="K4054" s="6"/>
      <c r="N4054" s="2"/>
      <c r="O4054" s="2"/>
      <c r="P4054" s="2"/>
    </row>
    <row r="4055" spans="2:16" ht="14.25">
      <c r="B4055" s="4"/>
      <c r="I4055" s="5"/>
      <c r="J4055" s="5"/>
      <c r="K4055" s="6"/>
      <c r="N4055" s="2"/>
      <c r="O4055" s="2"/>
      <c r="P4055" s="2"/>
    </row>
    <row r="4056" spans="2:16" ht="14.25">
      <c r="B4056" s="4"/>
      <c r="I4056" s="5"/>
      <c r="J4056" s="5"/>
      <c r="K4056" s="6"/>
      <c r="N4056" s="2"/>
      <c r="O4056" s="2"/>
      <c r="P4056" s="2"/>
    </row>
    <row r="4057" spans="2:16" ht="14.25">
      <c r="B4057" s="4"/>
      <c r="I4057" s="5"/>
      <c r="J4057" s="5"/>
      <c r="K4057" s="6"/>
      <c r="N4057" s="2"/>
      <c r="O4057" s="2"/>
      <c r="P4057" s="2"/>
    </row>
    <row r="4058" spans="2:16" ht="14.25">
      <c r="B4058" s="4"/>
      <c r="I4058" s="5"/>
      <c r="J4058" s="5"/>
      <c r="K4058" s="6"/>
      <c r="N4058" s="2"/>
      <c r="O4058" s="2"/>
      <c r="P4058" s="2"/>
    </row>
    <row r="4059" spans="2:16" ht="14.25">
      <c r="B4059" s="4"/>
      <c r="I4059" s="5"/>
      <c r="J4059" s="5"/>
      <c r="K4059" s="6"/>
      <c r="N4059" s="2"/>
      <c r="O4059" s="2"/>
      <c r="P4059" s="2"/>
    </row>
    <row r="4060" spans="2:16" ht="14.25">
      <c r="B4060" s="4"/>
      <c r="I4060" s="5"/>
      <c r="J4060" s="5"/>
      <c r="K4060" s="6"/>
      <c r="N4060" s="2"/>
      <c r="O4060" s="2"/>
      <c r="P4060" s="2"/>
    </row>
    <row r="4061" spans="2:16" ht="14.25">
      <c r="B4061" s="4"/>
      <c r="I4061" s="5"/>
      <c r="J4061" s="5"/>
      <c r="K4061" s="6"/>
      <c r="N4061" s="2"/>
      <c r="O4061" s="2"/>
      <c r="P4061" s="2"/>
    </row>
    <row r="4062" spans="2:16" ht="14.25">
      <c r="B4062" s="4"/>
      <c r="I4062" s="5"/>
      <c r="J4062" s="5"/>
      <c r="K4062" s="6"/>
      <c r="N4062" s="2"/>
      <c r="O4062" s="2"/>
      <c r="P4062" s="2"/>
    </row>
    <row r="4063" spans="2:16" ht="14.25">
      <c r="B4063" s="4"/>
      <c r="I4063" s="5"/>
      <c r="J4063" s="5"/>
      <c r="K4063" s="6"/>
      <c r="N4063" s="2"/>
      <c r="O4063" s="2"/>
      <c r="P4063" s="2"/>
    </row>
    <row r="4064" spans="2:16" ht="14.25">
      <c r="B4064" s="4"/>
      <c r="I4064" s="5"/>
      <c r="J4064" s="5"/>
      <c r="K4064" s="6"/>
      <c r="N4064" s="2"/>
      <c r="O4064" s="2"/>
      <c r="P4064" s="2"/>
    </row>
    <row r="4065" spans="2:16" ht="14.25">
      <c r="B4065" s="4"/>
      <c r="I4065" s="5"/>
      <c r="J4065" s="5"/>
      <c r="K4065" s="6"/>
      <c r="N4065" s="2"/>
      <c r="O4065" s="2"/>
      <c r="P4065" s="2"/>
    </row>
    <row r="4066" spans="2:16" ht="14.25">
      <c r="B4066" s="4"/>
      <c r="I4066" s="5"/>
      <c r="J4066" s="5"/>
      <c r="K4066" s="6"/>
      <c r="N4066" s="2"/>
      <c r="O4066" s="2"/>
      <c r="P4066" s="2"/>
    </row>
    <row r="4067" spans="2:16" ht="14.25">
      <c r="B4067" s="4"/>
      <c r="I4067" s="5"/>
      <c r="J4067" s="5"/>
      <c r="K4067" s="6"/>
      <c r="N4067" s="2"/>
      <c r="O4067" s="2"/>
      <c r="P4067" s="2"/>
    </row>
    <row r="4068" spans="2:16" ht="14.25">
      <c r="B4068" s="4"/>
      <c r="I4068" s="5"/>
      <c r="J4068" s="5"/>
      <c r="K4068" s="6"/>
      <c r="N4068" s="2"/>
      <c r="O4068" s="2"/>
      <c r="P4068" s="2"/>
    </row>
    <row r="4069" spans="2:16" ht="14.25">
      <c r="B4069" s="4"/>
      <c r="I4069" s="5"/>
      <c r="J4069" s="5"/>
      <c r="K4069" s="6"/>
      <c r="N4069" s="2"/>
      <c r="O4069" s="2"/>
      <c r="P4069" s="2"/>
    </row>
    <row r="4070" spans="2:16" ht="14.25">
      <c r="B4070" s="4"/>
      <c r="I4070" s="5"/>
      <c r="J4070" s="5"/>
      <c r="K4070" s="6"/>
      <c r="N4070" s="2"/>
      <c r="O4070" s="2"/>
      <c r="P4070" s="2"/>
    </row>
    <row r="4071" spans="2:16" ht="14.25">
      <c r="B4071" s="4"/>
      <c r="I4071" s="5"/>
      <c r="J4071" s="5"/>
      <c r="K4071" s="6"/>
      <c r="N4071" s="2"/>
      <c r="O4071" s="2"/>
      <c r="P4071" s="2"/>
    </row>
    <row r="4072" spans="2:16" ht="14.25">
      <c r="B4072" s="4"/>
      <c r="I4072" s="5"/>
      <c r="J4072" s="5"/>
      <c r="K4072" s="6"/>
      <c r="N4072" s="2"/>
      <c r="O4072" s="2"/>
      <c r="P4072" s="2"/>
    </row>
    <row r="4073" spans="2:16" ht="14.25">
      <c r="B4073" s="4"/>
      <c r="I4073" s="5"/>
      <c r="J4073" s="5"/>
      <c r="K4073" s="6"/>
      <c r="N4073" s="2"/>
      <c r="O4073" s="2"/>
      <c r="P4073" s="2"/>
    </row>
    <row r="4074" spans="2:16" ht="14.25">
      <c r="B4074" s="4"/>
      <c r="I4074" s="5"/>
      <c r="J4074" s="5"/>
      <c r="K4074" s="6"/>
      <c r="N4074" s="2"/>
      <c r="O4074" s="2"/>
      <c r="P4074" s="2"/>
    </row>
    <row r="4075" spans="2:16" ht="14.25">
      <c r="B4075" s="4"/>
      <c r="I4075" s="5"/>
      <c r="J4075" s="5"/>
      <c r="K4075" s="6"/>
      <c r="N4075" s="2"/>
      <c r="O4075" s="2"/>
      <c r="P4075" s="2"/>
    </row>
    <row r="4076" spans="2:16" ht="14.25">
      <c r="B4076" s="4"/>
      <c r="I4076" s="5"/>
      <c r="J4076" s="5"/>
      <c r="K4076" s="6"/>
      <c r="N4076" s="2"/>
      <c r="O4076" s="2"/>
      <c r="P4076" s="2"/>
    </row>
    <row r="4077" spans="2:16" ht="14.25">
      <c r="B4077" s="4"/>
      <c r="I4077" s="5"/>
      <c r="J4077" s="5"/>
      <c r="K4077" s="6"/>
      <c r="N4077" s="2"/>
      <c r="O4077" s="2"/>
      <c r="P4077" s="2"/>
    </row>
    <row r="4078" spans="2:16" ht="14.25">
      <c r="B4078" s="4"/>
      <c r="I4078" s="5"/>
      <c r="J4078" s="5"/>
      <c r="K4078" s="6"/>
      <c r="N4078" s="2"/>
      <c r="O4078" s="2"/>
      <c r="P4078" s="2"/>
    </row>
    <row r="4079" spans="2:16" ht="14.25">
      <c r="B4079" s="4"/>
      <c r="I4079" s="5"/>
      <c r="J4079" s="5"/>
      <c r="K4079" s="6"/>
      <c r="N4079" s="2"/>
      <c r="O4079" s="2"/>
      <c r="P4079" s="2"/>
    </row>
    <row r="4080" spans="2:16" ht="14.25">
      <c r="B4080" s="4"/>
      <c r="I4080" s="5"/>
      <c r="J4080" s="5"/>
      <c r="K4080" s="6"/>
      <c r="N4080" s="2"/>
      <c r="O4080" s="2"/>
      <c r="P4080" s="2"/>
    </row>
    <row r="4081" spans="2:16" ht="14.25">
      <c r="B4081" s="4"/>
      <c r="I4081" s="5"/>
      <c r="J4081" s="5"/>
      <c r="K4081" s="6"/>
      <c r="N4081" s="2"/>
      <c r="O4081" s="2"/>
      <c r="P4081" s="2"/>
    </row>
    <row r="4082" spans="2:16" ht="14.25">
      <c r="B4082" s="4"/>
      <c r="I4082" s="5"/>
      <c r="J4082" s="5"/>
      <c r="K4082" s="6"/>
      <c r="N4082" s="2"/>
      <c r="O4082" s="2"/>
      <c r="P4082" s="2"/>
    </row>
    <row r="4083" spans="2:16" ht="14.25">
      <c r="B4083" s="4"/>
      <c r="I4083" s="5"/>
      <c r="J4083" s="5"/>
      <c r="K4083" s="6"/>
      <c r="N4083" s="2"/>
      <c r="O4083" s="2"/>
      <c r="P4083" s="2"/>
    </row>
    <row r="4084" spans="2:16" ht="14.25">
      <c r="B4084" s="4"/>
      <c r="I4084" s="5"/>
      <c r="J4084" s="5"/>
      <c r="K4084" s="6"/>
      <c r="N4084" s="2"/>
      <c r="O4084" s="2"/>
      <c r="P4084" s="2"/>
    </row>
    <row r="4085" spans="2:16" ht="14.25">
      <c r="B4085" s="4"/>
      <c r="I4085" s="5"/>
      <c r="J4085" s="5"/>
      <c r="K4085" s="6"/>
      <c r="N4085" s="2"/>
      <c r="O4085" s="2"/>
      <c r="P4085" s="2"/>
    </row>
    <row r="4086" spans="2:16" ht="14.25">
      <c r="B4086" s="4"/>
      <c r="I4086" s="5"/>
      <c r="J4086" s="5"/>
      <c r="K4086" s="6"/>
      <c r="N4086" s="2"/>
      <c r="O4086" s="2"/>
      <c r="P4086" s="2"/>
    </row>
    <row r="4087" spans="2:16" ht="14.25">
      <c r="B4087" s="4"/>
      <c r="I4087" s="5"/>
      <c r="J4087" s="5"/>
      <c r="K4087" s="6"/>
      <c r="N4087" s="2"/>
      <c r="O4087" s="2"/>
      <c r="P4087" s="2"/>
    </row>
    <row r="4088" spans="2:16" ht="14.25">
      <c r="B4088" s="4"/>
      <c r="I4088" s="5"/>
      <c r="J4088" s="5"/>
      <c r="K4088" s="6"/>
      <c r="N4088" s="2"/>
      <c r="O4088" s="2"/>
      <c r="P4088" s="2"/>
    </row>
    <row r="4089" spans="2:16" ht="14.25">
      <c r="B4089" s="4"/>
      <c r="I4089" s="5"/>
      <c r="J4089" s="5"/>
      <c r="K4089" s="6"/>
      <c r="N4089" s="2"/>
      <c r="O4089" s="2"/>
      <c r="P4089" s="2"/>
    </row>
    <row r="4090" spans="2:16" ht="14.25">
      <c r="B4090" s="4"/>
      <c r="I4090" s="5"/>
      <c r="J4090" s="5"/>
      <c r="K4090" s="6"/>
      <c r="N4090" s="2"/>
      <c r="O4090" s="2"/>
      <c r="P4090" s="2"/>
    </row>
    <row r="4091" spans="2:16" ht="14.25">
      <c r="B4091" s="4"/>
      <c r="I4091" s="5"/>
      <c r="J4091" s="5"/>
      <c r="K4091" s="6"/>
      <c r="N4091" s="2"/>
      <c r="O4091" s="2"/>
      <c r="P4091" s="2"/>
    </row>
    <row r="4092" spans="2:16" ht="14.25">
      <c r="B4092" s="4"/>
      <c r="I4092" s="5"/>
      <c r="J4092" s="5"/>
      <c r="K4092" s="6"/>
      <c r="N4092" s="2"/>
      <c r="O4092" s="2"/>
      <c r="P4092" s="2"/>
    </row>
    <row r="4093" spans="2:16" ht="14.25">
      <c r="B4093" s="4"/>
      <c r="I4093" s="5"/>
      <c r="J4093" s="5"/>
      <c r="K4093" s="6"/>
      <c r="N4093" s="2"/>
      <c r="O4093" s="2"/>
      <c r="P4093" s="2"/>
    </row>
    <row r="4094" spans="2:16" ht="14.25">
      <c r="B4094" s="4"/>
      <c r="I4094" s="5"/>
      <c r="J4094" s="5"/>
      <c r="K4094" s="6"/>
      <c r="N4094" s="2"/>
      <c r="O4094" s="2"/>
      <c r="P4094" s="2"/>
    </row>
    <row r="4095" spans="2:16" ht="14.25">
      <c r="B4095" s="4"/>
      <c r="I4095" s="5"/>
      <c r="J4095" s="5"/>
      <c r="K4095" s="6"/>
      <c r="N4095" s="2"/>
      <c r="O4095" s="2"/>
      <c r="P4095" s="2"/>
    </row>
    <row r="4096" spans="2:16" ht="14.25">
      <c r="B4096" s="4"/>
      <c r="I4096" s="5"/>
      <c r="J4096" s="5"/>
      <c r="K4096" s="6"/>
      <c r="N4096" s="2"/>
      <c r="O4096" s="2"/>
      <c r="P4096" s="2"/>
    </row>
    <row r="4097" spans="2:16" ht="14.25">
      <c r="B4097" s="4"/>
      <c r="I4097" s="5"/>
      <c r="J4097" s="5"/>
      <c r="K4097" s="6"/>
      <c r="N4097" s="2"/>
      <c r="O4097" s="2"/>
      <c r="P4097" s="2"/>
    </row>
    <row r="4098" spans="2:16" ht="14.25">
      <c r="B4098" s="4"/>
      <c r="I4098" s="5"/>
      <c r="J4098" s="5"/>
      <c r="K4098" s="6"/>
      <c r="N4098" s="2"/>
      <c r="O4098" s="2"/>
      <c r="P4098" s="2"/>
    </row>
    <row r="4099" spans="2:16" ht="14.25">
      <c r="B4099" s="4"/>
      <c r="I4099" s="5"/>
      <c r="J4099" s="5"/>
      <c r="K4099" s="6"/>
      <c r="N4099" s="2"/>
      <c r="O4099" s="2"/>
      <c r="P4099" s="2"/>
    </row>
    <row r="4100" spans="2:16" ht="14.25">
      <c r="B4100" s="4"/>
      <c r="I4100" s="5"/>
      <c r="J4100" s="5"/>
      <c r="K4100" s="6"/>
      <c r="N4100" s="2"/>
      <c r="O4100" s="2"/>
      <c r="P4100" s="2"/>
    </row>
    <row r="4101" spans="2:16" ht="14.25">
      <c r="B4101" s="4"/>
      <c r="I4101" s="5"/>
      <c r="J4101" s="5"/>
      <c r="K4101" s="6"/>
      <c r="N4101" s="2"/>
      <c r="O4101" s="2"/>
      <c r="P4101" s="2"/>
    </row>
    <row r="4102" spans="2:16" ht="14.25">
      <c r="B4102" s="4"/>
      <c r="I4102" s="5"/>
      <c r="J4102" s="5"/>
      <c r="K4102" s="6"/>
      <c r="N4102" s="2"/>
      <c r="O4102" s="2"/>
      <c r="P4102" s="2"/>
    </row>
    <row r="4103" spans="2:16" ht="14.25">
      <c r="B4103" s="4"/>
      <c r="I4103" s="5"/>
      <c r="J4103" s="5"/>
      <c r="K4103" s="6"/>
      <c r="N4103" s="2"/>
      <c r="O4103" s="2"/>
      <c r="P4103" s="2"/>
    </row>
    <row r="4104" spans="2:16" ht="14.25">
      <c r="B4104" s="4"/>
      <c r="I4104" s="5"/>
      <c r="J4104" s="5"/>
      <c r="K4104" s="6"/>
      <c r="N4104" s="2"/>
      <c r="O4104" s="2"/>
      <c r="P4104" s="2"/>
    </row>
    <row r="4105" spans="2:16" ht="14.25">
      <c r="B4105" s="4"/>
      <c r="I4105" s="5"/>
      <c r="J4105" s="5"/>
      <c r="K4105" s="6"/>
      <c r="N4105" s="2"/>
      <c r="O4105" s="2"/>
      <c r="P4105" s="2"/>
    </row>
    <row r="4106" spans="2:16" ht="14.25">
      <c r="B4106" s="4"/>
      <c r="I4106" s="5"/>
      <c r="J4106" s="5"/>
      <c r="K4106" s="6"/>
      <c r="N4106" s="2"/>
      <c r="O4106" s="2"/>
      <c r="P4106" s="2"/>
    </row>
    <row r="4107" spans="2:16" ht="14.25">
      <c r="B4107" s="4"/>
      <c r="I4107" s="5"/>
      <c r="J4107" s="5"/>
      <c r="K4107" s="6"/>
      <c r="N4107" s="2"/>
      <c r="O4107" s="2"/>
      <c r="P4107" s="2"/>
    </row>
    <row r="4108" spans="2:16" ht="14.25">
      <c r="B4108" s="4"/>
      <c r="I4108" s="5"/>
      <c r="J4108" s="5"/>
      <c r="K4108" s="6"/>
      <c r="N4108" s="2"/>
      <c r="O4108" s="2"/>
      <c r="P4108" s="2"/>
    </row>
    <row r="4109" spans="2:16" ht="14.25">
      <c r="B4109" s="4"/>
      <c r="I4109" s="5"/>
      <c r="J4109" s="5"/>
      <c r="K4109" s="6"/>
      <c r="N4109" s="2"/>
      <c r="O4109" s="2"/>
      <c r="P4109" s="2"/>
    </row>
    <row r="4110" spans="2:16" ht="14.25">
      <c r="B4110" s="4"/>
      <c r="I4110" s="5"/>
      <c r="J4110" s="5"/>
      <c r="K4110" s="6"/>
      <c r="N4110" s="2"/>
      <c r="O4110" s="2"/>
      <c r="P4110" s="2"/>
    </row>
    <row r="4111" spans="2:16" ht="14.25">
      <c r="B4111" s="4"/>
      <c r="I4111" s="5"/>
      <c r="J4111" s="5"/>
      <c r="K4111" s="6"/>
      <c r="N4111" s="2"/>
      <c r="O4111" s="2"/>
      <c r="P4111" s="2"/>
    </row>
    <row r="4112" spans="2:16" ht="14.25">
      <c r="B4112" s="4"/>
      <c r="I4112" s="5"/>
      <c r="J4112" s="5"/>
      <c r="K4112" s="6"/>
      <c r="N4112" s="2"/>
      <c r="O4112" s="2"/>
      <c r="P4112" s="2"/>
    </row>
    <row r="4113" spans="2:16" ht="14.25">
      <c r="B4113" s="4"/>
      <c r="I4113" s="5"/>
      <c r="J4113" s="5"/>
      <c r="K4113" s="6"/>
      <c r="N4113" s="2"/>
      <c r="O4113" s="2"/>
      <c r="P4113" s="2"/>
    </row>
    <row r="4114" spans="2:16" ht="14.25">
      <c r="B4114" s="4"/>
      <c r="I4114" s="5"/>
      <c r="J4114" s="5"/>
      <c r="K4114" s="6"/>
      <c r="N4114" s="2"/>
      <c r="O4114" s="2"/>
      <c r="P4114" s="2"/>
    </row>
    <row r="4115" spans="2:16" ht="14.25">
      <c r="B4115" s="4"/>
      <c r="I4115" s="5"/>
      <c r="J4115" s="5"/>
      <c r="K4115" s="6"/>
      <c r="N4115" s="2"/>
      <c r="O4115" s="2"/>
      <c r="P4115" s="2"/>
    </row>
    <row r="4116" spans="2:16" ht="14.25">
      <c r="B4116" s="4"/>
      <c r="I4116" s="5"/>
      <c r="J4116" s="5"/>
      <c r="K4116" s="6"/>
      <c r="N4116" s="2"/>
      <c r="O4116" s="2"/>
      <c r="P4116" s="2"/>
    </row>
    <row r="4117" spans="2:16" ht="14.25">
      <c r="B4117" s="4"/>
      <c r="I4117" s="5"/>
      <c r="J4117" s="5"/>
      <c r="K4117" s="6"/>
      <c r="N4117" s="2"/>
      <c r="O4117" s="2"/>
      <c r="P4117" s="2"/>
    </row>
    <row r="4118" spans="2:16" ht="14.25">
      <c r="B4118" s="4"/>
      <c r="I4118" s="5"/>
      <c r="J4118" s="5"/>
      <c r="K4118" s="6"/>
      <c r="N4118" s="2"/>
      <c r="O4118" s="2"/>
      <c r="P4118" s="2"/>
    </row>
    <row r="4119" spans="2:16" ht="14.25">
      <c r="B4119" s="4"/>
      <c r="I4119" s="5"/>
      <c r="J4119" s="5"/>
      <c r="K4119" s="6"/>
      <c r="N4119" s="2"/>
      <c r="O4119" s="2"/>
      <c r="P4119" s="2"/>
    </row>
    <row r="4120" spans="2:16" ht="14.25">
      <c r="B4120" s="4"/>
      <c r="I4120" s="5"/>
      <c r="J4120" s="5"/>
      <c r="K4120" s="6"/>
      <c r="N4120" s="2"/>
      <c r="O4120" s="2"/>
      <c r="P4120" s="2"/>
    </row>
    <row r="4121" spans="2:16" ht="14.25">
      <c r="B4121" s="4"/>
      <c r="I4121" s="5"/>
      <c r="J4121" s="5"/>
      <c r="K4121" s="6"/>
      <c r="N4121" s="2"/>
      <c r="O4121" s="2"/>
      <c r="P4121" s="2"/>
    </row>
    <row r="4122" spans="2:16" ht="14.25">
      <c r="B4122" s="4"/>
      <c r="I4122" s="5"/>
      <c r="J4122" s="5"/>
      <c r="K4122" s="6"/>
      <c r="N4122" s="2"/>
      <c r="O4122" s="2"/>
      <c r="P4122" s="2"/>
    </row>
    <row r="4123" spans="2:16" ht="14.25">
      <c r="B4123" s="4"/>
      <c r="I4123" s="5"/>
      <c r="J4123" s="5"/>
      <c r="K4123" s="6"/>
      <c r="N4123" s="2"/>
      <c r="O4123" s="2"/>
      <c r="P4123" s="2"/>
    </row>
    <row r="4124" spans="2:16" ht="14.25">
      <c r="B4124" s="4"/>
      <c r="I4124" s="5"/>
      <c r="J4124" s="5"/>
      <c r="K4124" s="6"/>
      <c r="N4124" s="2"/>
      <c r="O4124" s="2"/>
      <c r="P4124" s="2"/>
    </row>
    <row r="4125" spans="2:16" ht="14.25">
      <c r="B4125" s="4"/>
      <c r="I4125" s="5"/>
      <c r="J4125" s="5"/>
      <c r="K4125" s="6"/>
      <c r="N4125" s="2"/>
      <c r="O4125" s="2"/>
      <c r="P4125" s="2"/>
    </row>
    <row r="4126" spans="2:16" ht="14.25">
      <c r="B4126" s="4"/>
      <c r="I4126" s="5"/>
      <c r="J4126" s="5"/>
      <c r="K4126" s="6"/>
      <c r="N4126" s="2"/>
      <c r="O4126" s="2"/>
      <c r="P4126" s="2"/>
    </row>
    <row r="4127" spans="2:16" ht="14.25">
      <c r="B4127" s="4"/>
      <c r="I4127" s="5"/>
      <c r="J4127" s="5"/>
      <c r="K4127" s="6"/>
      <c r="N4127" s="2"/>
      <c r="O4127" s="2"/>
      <c r="P4127" s="2"/>
    </row>
    <row r="4128" spans="2:16" ht="14.25">
      <c r="B4128" s="4"/>
      <c r="I4128" s="5"/>
      <c r="J4128" s="5"/>
      <c r="K4128" s="6"/>
      <c r="N4128" s="2"/>
      <c r="O4128" s="2"/>
      <c r="P4128" s="2"/>
    </row>
    <row r="4129" spans="2:16" ht="14.25">
      <c r="B4129" s="4"/>
      <c r="I4129" s="5"/>
      <c r="J4129" s="5"/>
      <c r="K4129" s="6"/>
      <c r="N4129" s="2"/>
      <c r="O4129" s="2"/>
      <c r="P4129" s="2"/>
    </row>
    <row r="4130" spans="2:16" ht="14.25">
      <c r="B4130" s="4"/>
      <c r="I4130" s="5"/>
      <c r="J4130" s="5"/>
      <c r="K4130" s="6"/>
      <c r="N4130" s="2"/>
      <c r="O4130" s="2"/>
      <c r="P4130" s="2"/>
    </row>
    <row r="4131" spans="2:16" ht="14.25">
      <c r="B4131" s="4"/>
      <c r="I4131" s="5"/>
      <c r="J4131" s="5"/>
      <c r="K4131" s="6"/>
      <c r="N4131" s="2"/>
      <c r="O4131" s="2"/>
      <c r="P4131" s="2"/>
    </row>
    <row r="4132" spans="2:16" ht="14.25">
      <c r="B4132" s="4"/>
      <c r="I4132" s="5"/>
      <c r="J4132" s="5"/>
      <c r="K4132" s="6"/>
      <c r="N4132" s="2"/>
      <c r="O4132" s="2"/>
      <c r="P4132" s="2"/>
    </row>
    <row r="4133" spans="2:16" ht="14.25">
      <c r="B4133" s="4"/>
      <c r="I4133" s="5"/>
      <c r="J4133" s="5"/>
      <c r="K4133" s="6"/>
      <c r="N4133" s="2"/>
      <c r="O4133" s="2"/>
      <c r="P4133" s="2"/>
    </row>
    <row r="4134" spans="2:16" ht="14.25">
      <c r="B4134" s="4"/>
      <c r="I4134" s="5"/>
      <c r="J4134" s="5"/>
      <c r="K4134" s="6"/>
      <c r="N4134" s="2"/>
      <c r="O4134" s="2"/>
      <c r="P4134" s="2"/>
    </row>
    <row r="4135" spans="2:16" ht="14.25">
      <c r="B4135" s="4"/>
      <c r="I4135" s="5"/>
      <c r="J4135" s="5"/>
      <c r="K4135" s="6"/>
      <c r="N4135" s="2"/>
      <c r="O4135" s="2"/>
      <c r="P4135" s="2"/>
    </row>
    <row r="4136" spans="2:16" ht="14.25">
      <c r="B4136" s="4"/>
      <c r="I4136" s="5"/>
      <c r="J4136" s="5"/>
      <c r="K4136" s="6"/>
      <c r="N4136" s="2"/>
      <c r="O4136" s="2"/>
      <c r="P4136" s="2"/>
    </row>
    <row r="4137" spans="2:16" ht="14.25">
      <c r="B4137" s="4"/>
      <c r="I4137" s="5"/>
      <c r="J4137" s="5"/>
      <c r="K4137" s="6"/>
      <c r="N4137" s="2"/>
      <c r="O4137" s="2"/>
      <c r="P4137" s="2"/>
    </row>
    <row r="4138" spans="2:16" ht="14.25">
      <c r="B4138" s="4"/>
      <c r="I4138" s="5"/>
      <c r="J4138" s="5"/>
      <c r="K4138" s="6"/>
      <c r="N4138" s="2"/>
      <c r="O4138" s="2"/>
      <c r="P4138" s="2"/>
    </row>
    <row r="4139" spans="2:16" ht="14.25">
      <c r="B4139" s="4"/>
      <c r="I4139" s="5"/>
      <c r="J4139" s="5"/>
      <c r="K4139" s="6"/>
      <c r="N4139" s="2"/>
      <c r="O4139" s="2"/>
      <c r="P4139" s="2"/>
    </row>
    <row r="4140" spans="2:16" ht="14.25">
      <c r="B4140" s="4"/>
      <c r="I4140" s="5"/>
      <c r="J4140" s="5"/>
      <c r="K4140" s="6"/>
      <c r="N4140" s="2"/>
      <c r="O4140" s="2"/>
      <c r="P4140" s="2"/>
    </row>
    <row r="4141" spans="2:16" ht="14.25">
      <c r="B4141" s="4"/>
      <c r="I4141" s="5"/>
      <c r="J4141" s="5"/>
      <c r="K4141" s="6"/>
      <c r="N4141" s="2"/>
      <c r="O4141" s="2"/>
      <c r="P4141" s="2"/>
    </row>
    <row r="4142" spans="2:16" ht="14.25">
      <c r="B4142" s="4"/>
      <c r="I4142" s="5"/>
      <c r="J4142" s="5"/>
      <c r="K4142" s="6"/>
      <c r="N4142" s="2"/>
      <c r="O4142" s="2"/>
      <c r="P4142" s="2"/>
    </row>
    <row r="4143" spans="2:16" ht="14.25">
      <c r="B4143" s="4"/>
      <c r="I4143" s="5"/>
      <c r="J4143" s="5"/>
      <c r="K4143" s="6"/>
      <c r="N4143" s="2"/>
      <c r="O4143" s="2"/>
      <c r="P4143" s="2"/>
    </row>
    <row r="4144" spans="2:16" ht="14.25">
      <c r="B4144" s="4"/>
      <c r="I4144" s="5"/>
      <c r="J4144" s="5"/>
      <c r="K4144" s="6"/>
      <c r="N4144" s="2"/>
      <c r="O4144" s="2"/>
      <c r="P4144" s="2"/>
    </row>
    <row r="4145" spans="2:16" ht="14.25">
      <c r="B4145" s="4"/>
      <c r="I4145" s="5"/>
      <c r="J4145" s="5"/>
      <c r="K4145" s="6"/>
      <c r="N4145" s="2"/>
      <c r="O4145" s="2"/>
      <c r="P4145" s="2"/>
    </row>
    <row r="4146" spans="2:16" ht="14.25">
      <c r="B4146" s="4"/>
      <c r="I4146" s="5"/>
      <c r="J4146" s="5"/>
      <c r="K4146" s="6"/>
      <c r="N4146" s="2"/>
      <c r="O4146" s="2"/>
      <c r="P4146" s="2"/>
    </row>
    <row r="4147" spans="2:16" ht="14.25">
      <c r="B4147" s="4"/>
      <c r="I4147" s="5"/>
      <c r="J4147" s="5"/>
      <c r="K4147" s="6"/>
      <c r="N4147" s="2"/>
      <c r="O4147" s="2"/>
      <c r="P4147" s="2"/>
    </row>
    <row r="4148" spans="2:16" ht="14.25">
      <c r="B4148" s="4"/>
      <c r="I4148" s="5"/>
      <c r="J4148" s="5"/>
      <c r="K4148" s="6"/>
      <c r="N4148" s="2"/>
      <c r="O4148" s="2"/>
      <c r="P4148" s="2"/>
    </row>
    <row r="4149" spans="2:16" ht="14.25">
      <c r="B4149" s="4"/>
      <c r="I4149" s="5"/>
      <c r="J4149" s="5"/>
      <c r="K4149" s="6"/>
      <c r="N4149" s="2"/>
      <c r="O4149" s="2"/>
      <c r="P4149" s="2"/>
    </row>
    <row r="4150" spans="2:16" ht="14.25">
      <c r="B4150" s="4"/>
      <c r="I4150" s="5"/>
      <c r="J4150" s="5"/>
      <c r="K4150" s="6"/>
      <c r="N4150" s="2"/>
      <c r="O4150" s="2"/>
      <c r="P4150" s="2"/>
    </row>
    <row r="4151" spans="2:16" ht="14.25">
      <c r="B4151" s="4"/>
      <c r="I4151" s="5"/>
      <c r="J4151" s="5"/>
      <c r="K4151" s="6"/>
      <c r="N4151" s="2"/>
      <c r="O4151" s="2"/>
      <c r="P4151" s="2"/>
    </row>
    <row r="4152" spans="2:16" ht="14.25">
      <c r="B4152" s="4"/>
      <c r="I4152" s="5"/>
      <c r="J4152" s="5"/>
      <c r="K4152" s="6"/>
      <c r="N4152" s="2"/>
      <c r="O4152" s="2"/>
      <c r="P4152" s="2"/>
    </row>
    <row r="4153" spans="2:16" ht="14.25">
      <c r="B4153" s="4"/>
      <c r="I4153" s="5"/>
      <c r="J4153" s="5"/>
      <c r="K4153" s="6"/>
      <c r="N4153" s="2"/>
      <c r="O4153" s="2"/>
      <c r="P4153" s="2"/>
    </row>
    <row r="4154" spans="2:16" ht="14.25">
      <c r="B4154" s="4"/>
      <c r="I4154" s="5"/>
      <c r="J4154" s="5"/>
      <c r="K4154" s="6"/>
      <c r="N4154" s="2"/>
      <c r="O4154" s="2"/>
      <c r="P4154" s="2"/>
    </row>
    <row r="4155" spans="2:16" ht="14.25">
      <c r="B4155" s="4"/>
      <c r="I4155" s="5"/>
      <c r="J4155" s="5"/>
      <c r="K4155" s="6"/>
      <c r="N4155" s="2"/>
      <c r="O4155" s="2"/>
      <c r="P4155" s="2"/>
    </row>
    <row r="4156" spans="2:16" ht="14.25">
      <c r="B4156" s="4"/>
      <c r="I4156" s="5"/>
      <c r="J4156" s="5"/>
      <c r="K4156" s="6"/>
      <c r="N4156" s="2"/>
      <c r="O4156" s="2"/>
      <c r="P4156" s="2"/>
    </row>
    <row r="4157" spans="2:16" ht="14.25">
      <c r="B4157" s="4"/>
      <c r="I4157" s="5"/>
      <c r="J4157" s="5"/>
      <c r="K4157" s="6"/>
      <c r="N4157" s="2"/>
      <c r="O4157" s="2"/>
      <c r="P4157" s="2"/>
    </row>
    <row r="4158" spans="2:16" ht="14.25">
      <c r="B4158" s="4"/>
      <c r="I4158" s="5"/>
      <c r="J4158" s="5"/>
      <c r="K4158" s="6"/>
      <c r="N4158" s="2"/>
      <c r="O4158" s="2"/>
      <c r="P4158" s="2"/>
    </row>
    <row r="4159" spans="2:16" ht="14.25">
      <c r="B4159" s="4"/>
      <c r="I4159" s="5"/>
      <c r="J4159" s="5"/>
      <c r="K4159" s="6"/>
      <c r="N4159" s="2"/>
      <c r="O4159" s="2"/>
      <c r="P4159" s="2"/>
    </row>
    <row r="4160" spans="2:16" ht="14.25">
      <c r="B4160" s="4"/>
      <c r="I4160" s="5"/>
      <c r="J4160" s="5"/>
      <c r="K4160" s="6"/>
      <c r="N4160" s="2"/>
      <c r="O4160" s="2"/>
      <c r="P4160" s="2"/>
    </row>
    <row r="4161" spans="2:16" ht="14.25">
      <c r="B4161" s="4"/>
      <c r="I4161" s="5"/>
      <c r="J4161" s="5"/>
      <c r="K4161" s="6"/>
      <c r="N4161" s="2"/>
      <c r="O4161" s="2"/>
      <c r="P4161" s="2"/>
    </row>
    <row r="4162" spans="2:16" ht="14.25">
      <c r="B4162" s="4"/>
      <c r="I4162" s="5"/>
      <c r="J4162" s="5"/>
      <c r="K4162" s="6"/>
      <c r="N4162" s="2"/>
      <c r="O4162" s="2"/>
      <c r="P4162" s="2"/>
    </row>
    <row r="4163" spans="2:16" ht="14.25">
      <c r="B4163" s="4"/>
      <c r="I4163" s="5"/>
      <c r="J4163" s="5"/>
      <c r="K4163" s="6"/>
      <c r="N4163" s="2"/>
      <c r="O4163" s="2"/>
      <c r="P4163" s="2"/>
    </row>
    <row r="4164" spans="2:16" ht="14.25">
      <c r="B4164" s="4"/>
      <c r="I4164" s="5"/>
      <c r="J4164" s="5"/>
      <c r="K4164" s="6"/>
      <c r="N4164" s="2"/>
      <c r="O4164" s="2"/>
      <c r="P4164" s="2"/>
    </row>
    <row r="4165" spans="2:16" ht="14.25">
      <c r="B4165" s="4"/>
      <c r="I4165" s="5"/>
      <c r="J4165" s="5"/>
      <c r="K4165" s="6"/>
      <c r="N4165" s="2"/>
      <c r="O4165" s="2"/>
      <c r="P4165" s="2"/>
    </row>
    <row r="4166" spans="2:16" ht="14.25">
      <c r="B4166" s="4"/>
      <c r="I4166" s="5"/>
      <c r="J4166" s="5"/>
      <c r="K4166" s="6"/>
      <c r="N4166" s="2"/>
      <c r="O4166" s="2"/>
      <c r="P4166" s="2"/>
    </row>
    <row r="4167" spans="2:16" ht="14.25">
      <c r="B4167" s="4"/>
      <c r="I4167" s="5"/>
      <c r="J4167" s="5"/>
      <c r="K4167" s="6"/>
      <c r="N4167" s="2"/>
      <c r="O4167" s="2"/>
      <c r="P4167" s="2"/>
    </row>
    <row r="4168" spans="2:16" ht="14.25">
      <c r="B4168" s="4"/>
      <c r="I4168" s="5"/>
      <c r="J4168" s="5"/>
      <c r="K4168" s="6"/>
      <c r="N4168" s="2"/>
      <c r="O4168" s="2"/>
      <c r="P4168" s="2"/>
    </row>
    <row r="4169" spans="2:16" ht="14.25">
      <c r="B4169" s="4"/>
      <c r="I4169" s="5"/>
      <c r="J4169" s="5"/>
      <c r="K4169" s="6"/>
      <c r="N4169" s="2"/>
      <c r="O4169" s="2"/>
      <c r="P4169" s="2"/>
    </row>
    <row r="4170" spans="2:16" ht="14.25">
      <c r="B4170" s="4"/>
      <c r="I4170" s="5"/>
      <c r="J4170" s="5"/>
      <c r="K4170" s="6"/>
      <c r="N4170" s="2"/>
      <c r="O4170" s="2"/>
      <c r="P4170" s="2"/>
    </row>
    <row r="4171" spans="2:16" ht="14.25">
      <c r="B4171" s="4"/>
      <c r="I4171" s="5"/>
      <c r="J4171" s="5"/>
      <c r="K4171" s="6"/>
      <c r="N4171" s="2"/>
      <c r="O4171" s="2"/>
      <c r="P4171" s="2"/>
    </row>
    <row r="4172" spans="2:16" ht="14.25">
      <c r="B4172" s="4"/>
      <c r="I4172" s="5"/>
      <c r="J4172" s="5"/>
      <c r="K4172" s="6"/>
      <c r="N4172" s="2"/>
      <c r="O4172" s="2"/>
      <c r="P4172" s="2"/>
    </row>
    <row r="4173" spans="2:16" ht="14.25">
      <c r="B4173" s="4"/>
      <c r="I4173" s="5"/>
      <c r="J4173" s="5"/>
      <c r="K4173" s="6"/>
      <c r="N4173" s="2"/>
      <c r="O4173" s="2"/>
      <c r="P4173" s="2"/>
    </row>
    <row r="4174" spans="2:16" ht="14.25">
      <c r="B4174" s="4"/>
      <c r="I4174" s="5"/>
      <c r="J4174" s="5"/>
      <c r="K4174" s="6"/>
      <c r="N4174" s="2"/>
      <c r="O4174" s="2"/>
      <c r="P4174" s="2"/>
    </row>
    <row r="4175" spans="2:16" ht="14.25">
      <c r="B4175" s="4"/>
      <c r="I4175" s="5"/>
      <c r="J4175" s="5"/>
      <c r="K4175" s="6"/>
      <c r="N4175" s="2"/>
      <c r="O4175" s="2"/>
      <c r="P4175" s="2"/>
    </row>
    <row r="4176" spans="2:16" ht="14.25">
      <c r="B4176" s="4"/>
      <c r="I4176" s="5"/>
      <c r="J4176" s="5"/>
      <c r="K4176" s="6"/>
      <c r="N4176" s="2"/>
      <c r="O4176" s="2"/>
      <c r="P4176" s="2"/>
    </row>
    <row r="4177" spans="2:16" ht="14.25">
      <c r="B4177" s="4"/>
      <c r="I4177" s="5"/>
      <c r="J4177" s="5"/>
      <c r="K4177" s="6"/>
      <c r="N4177" s="2"/>
      <c r="O4177" s="2"/>
      <c r="P4177" s="2"/>
    </row>
    <row r="4178" spans="2:16" ht="14.25">
      <c r="B4178" s="4"/>
      <c r="I4178" s="5"/>
      <c r="J4178" s="5"/>
      <c r="K4178" s="6"/>
      <c r="N4178" s="2"/>
      <c r="O4178" s="2"/>
      <c r="P4178" s="2"/>
    </row>
    <row r="4179" spans="2:16" ht="14.25">
      <c r="B4179" s="4"/>
      <c r="I4179" s="5"/>
      <c r="J4179" s="5"/>
      <c r="K4179" s="6"/>
      <c r="N4179" s="2"/>
      <c r="O4179" s="2"/>
      <c r="P4179" s="2"/>
    </row>
    <row r="4180" spans="2:16" ht="14.25">
      <c r="B4180" s="4"/>
      <c r="I4180" s="5"/>
      <c r="J4180" s="5"/>
      <c r="K4180" s="6"/>
      <c r="N4180" s="2"/>
      <c r="O4180" s="2"/>
      <c r="P4180" s="2"/>
    </row>
    <row r="4181" spans="2:16" ht="14.25">
      <c r="B4181" s="4"/>
      <c r="I4181" s="5"/>
      <c r="J4181" s="5"/>
      <c r="K4181" s="6"/>
      <c r="N4181" s="2"/>
      <c r="O4181" s="2"/>
      <c r="P4181" s="2"/>
    </row>
    <row r="4182" spans="2:16" ht="14.25">
      <c r="B4182" s="4"/>
      <c r="I4182" s="5"/>
      <c r="J4182" s="5"/>
      <c r="K4182" s="6"/>
      <c r="N4182" s="2"/>
      <c r="O4182" s="2"/>
      <c r="P4182" s="2"/>
    </row>
    <row r="4183" spans="2:16" ht="14.25">
      <c r="B4183" s="4"/>
      <c r="I4183" s="5"/>
      <c r="J4183" s="5"/>
      <c r="K4183" s="6"/>
      <c r="N4183" s="2"/>
      <c r="O4183" s="2"/>
      <c r="P4183" s="2"/>
    </row>
    <row r="4184" spans="2:16" ht="14.25">
      <c r="B4184" s="4"/>
      <c r="I4184" s="5"/>
      <c r="J4184" s="5"/>
      <c r="K4184" s="6"/>
      <c r="N4184" s="2"/>
      <c r="O4184" s="2"/>
      <c r="P4184" s="2"/>
    </row>
    <row r="4185" spans="2:16" ht="14.25">
      <c r="B4185" s="4"/>
      <c r="I4185" s="5"/>
      <c r="J4185" s="5"/>
      <c r="K4185" s="6"/>
      <c r="N4185" s="2"/>
      <c r="O4185" s="2"/>
      <c r="P4185" s="2"/>
    </row>
    <row r="4186" spans="2:16" ht="14.25">
      <c r="B4186" s="4"/>
      <c r="I4186" s="5"/>
      <c r="J4186" s="5"/>
      <c r="K4186" s="6"/>
      <c r="N4186" s="2"/>
      <c r="O4186" s="2"/>
      <c r="P4186" s="2"/>
    </row>
    <row r="4187" spans="2:16" ht="14.25">
      <c r="B4187" s="4"/>
      <c r="I4187" s="5"/>
      <c r="J4187" s="5"/>
      <c r="K4187" s="6"/>
      <c r="N4187" s="2"/>
      <c r="O4187" s="2"/>
      <c r="P4187" s="2"/>
    </row>
    <row r="4188" spans="2:16" ht="14.25">
      <c r="B4188" s="4"/>
      <c r="I4188" s="5"/>
      <c r="J4188" s="5"/>
      <c r="K4188" s="6"/>
      <c r="N4188" s="2"/>
      <c r="O4188" s="2"/>
      <c r="P4188" s="2"/>
    </row>
    <row r="4189" spans="2:16" ht="14.25">
      <c r="B4189" s="4"/>
      <c r="I4189" s="5"/>
      <c r="J4189" s="5"/>
      <c r="K4189" s="6"/>
      <c r="N4189" s="2"/>
      <c r="O4189" s="2"/>
      <c r="P4189" s="2"/>
    </row>
    <row r="4190" spans="2:16" ht="14.25">
      <c r="B4190" s="4"/>
      <c r="I4190" s="5"/>
      <c r="J4190" s="5"/>
      <c r="K4190" s="6"/>
      <c r="N4190" s="2"/>
      <c r="O4190" s="2"/>
      <c r="P4190" s="2"/>
    </row>
    <row r="4191" spans="2:16" ht="14.25">
      <c r="B4191" s="4"/>
      <c r="I4191" s="5"/>
      <c r="J4191" s="5"/>
      <c r="K4191" s="6"/>
      <c r="N4191" s="2"/>
      <c r="O4191" s="2"/>
      <c r="P4191" s="2"/>
    </row>
    <row r="4192" spans="2:16" ht="14.25">
      <c r="B4192" s="4"/>
      <c r="I4192" s="5"/>
      <c r="J4192" s="5"/>
      <c r="K4192" s="6"/>
      <c r="N4192" s="2"/>
      <c r="O4192" s="2"/>
      <c r="P4192" s="2"/>
    </row>
    <row r="4193" spans="2:16" ht="14.25">
      <c r="B4193" s="4"/>
      <c r="I4193" s="5"/>
      <c r="J4193" s="5"/>
      <c r="K4193" s="6"/>
      <c r="N4193" s="2"/>
      <c r="O4193" s="2"/>
      <c r="P4193" s="2"/>
    </row>
    <row r="4194" spans="2:16" ht="14.25">
      <c r="B4194" s="4"/>
      <c r="I4194" s="5"/>
      <c r="J4194" s="5"/>
      <c r="K4194" s="6"/>
      <c r="N4194" s="2"/>
      <c r="O4194" s="2"/>
      <c r="P4194" s="2"/>
    </row>
    <row r="4195" spans="2:16" ht="14.25">
      <c r="B4195" s="4"/>
      <c r="I4195" s="5"/>
      <c r="J4195" s="5"/>
      <c r="K4195" s="6"/>
      <c r="N4195" s="2"/>
      <c r="O4195" s="2"/>
      <c r="P4195" s="2"/>
    </row>
    <row r="4196" spans="2:16" ht="14.25">
      <c r="B4196" s="4"/>
      <c r="I4196" s="5"/>
      <c r="J4196" s="5"/>
      <c r="K4196" s="6"/>
      <c r="N4196" s="2"/>
      <c r="O4196" s="2"/>
      <c r="P4196" s="2"/>
    </row>
    <row r="4197" spans="2:16" ht="14.25">
      <c r="B4197" s="4"/>
      <c r="I4197" s="5"/>
      <c r="J4197" s="5"/>
      <c r="K4197" s="6"/>
      <c r="N4197" s="2"/>
      <c r="O4197" s="2"/>
      <c r="P4197" s="2"/>
    </row>
    <row r="4198" spans="2:16" ht="14.25">
      <c r="B4198" s="4"/>
      <c r="I4198" s="5"/>
      <c r="J4198" s="5"/>
      <c r="K4198" s="6"/>
      <c r="N4198" s="2"/>
      <c r="O4198" s="2"/>
      <c r="P4198" s="2"/>
    </row>
    <row r="4199" spans="2:16" ht="14.25">
      <c r="B4199" s="4"/>
      <c r="I4199" s="5"/>
      <c r="J4199" s="5"/>
      <c r="K4199" s="6"/>
      <c r="N4199" s="2"/>
      <c r="O4199" s="2"/>
      <c r="P4199" s="2"/>
    </row>
    <row r="4200" spans="2:16" ht="14.25">
      <c r="B4200" s="4"/>
      <c r="I4200" s="5"/>
      <c r="J4200" s="5"/>
      <c r="K4200" s="6"/>
      <c r="N4200" s="2"/>
      <c r="O4200" s="2"/>
      <c r="P4200" s="2"/>
    </row>
    <row r="4201" spans="2:16" ht="14.25">
      <c r="B4201" s="4"/>
      <c r="I4201" s="5"/>
      <c r="J4201" s="5"/>
      <c r="K4201" s="6"/>
      <c r="N4201" s="2"/>
      <c r="O4201" s="2"/>
      <c r="P4201" s="2"/>
    </row>
    <row r="4202" spans="2:16" ht="14.25">
      <c r="B4202" s="4"/>
      <c r="I4202" s="5"/>
      <c r="J4202" s="5"/>
      <c r="K4202" s="6"/>
      <c r="N4202" s="2"/>
      <c r="O4202" s="2"/>
      <c r="P4202" s="2"/>
    </row>
    <row r="4203" spans="2:16" ht="14.25">
      <c r="B4203" s="4"/>
      <c r="I4203" s="5"/>
      <c r="J4203" s="5"/>
      <c r="K4203" s="6"/>
      <c r="N4203" s="2"/>
      <c r="O4203" s="2"/>
      <c r="P4203" s="2"/>
    </row>
    <row r="4204" spans="2:16" ht="14.25">
      <c r="B4204" s="4"/>
      <c r="I4204" s="5"/>
      <c r="J4204" s="5"/>
      <c r="K4204" s="6"/>
      <c r="N4204" s="2"/>
      <c r="O4204" s="2"/>
      <c r="P4204" s="2"/>
    </row>
    <row r="4205" spans="2:16" ht="14.25">
      <c r="B4205" s="4"/>
      <c r="I4205" s="5"/>
      <c r="J4205" s="5"/>
      <c r="K4205" s="6"/>
      <c r="N4205" s="2"/>
      <c r="O4205" s="2"/>
      <c r="P4205" s="2"/>
    </row>
    <row r="4206" spans="2:16" ht="14.25">
      <c r="B4206" s="4"/>
      <c r="I4206" s="5"/>
      <c r="J4206" s="5"/>
      <c r="K4206" s="6"/>
      <c r="N4206" s="2"/>
      <c r="O4206" s="2"/>
      <c r="P4206" s="2"/>
    </row>
    <row r="4207" spans="2:16" ht="14.25">
      <c r="B4207" s="4"/>
      <c r="I4207" s="5"/>
      <c r="J4207" s="5"/>
      <c r="K4207" s="6"/>
      <c r="N4207" s="2"/>
      <c r="O4207" s="2"/>
      <c r="P4207" s="2"/>
    </row>
    <row r="4208" spans="2:16" ht="14.25">
      <c r="B4208" s="4"/>
      <c r="I4208" s="5"/>
      <c r="J4208" s="5"/>
      <c r="K4208" s="6"/>
      <c r="N4208" s="2"/>
      <c r="O4208" s="2"/>
      <c r="P4208" s="2"/>
    </row>
    <row r="4209" spans="2:16" ht="14.25">
      <c r="B4209" s="4"/>
      <c r="I4209" s="5"/>
      <c r="J4209" s="5"/>
      <c r="K4209" s="6"/>
      <c r="N4209" s="2"/>
      <c r="O4209" s="2"/>
      <c r="P4209" s="2"/>
    </row>
    <row r="4210" spans="2:16" ht="14.25">
      <c r="B4210" s="4"/>
      <c r="I4210" s="5"/>
      <c r="J4210" s="5"/>
      <c r="K4210" s="6"/>
      <c r="N4210" s="2"/>
      <c r="O4210" s="2"/>
      <c r="P4210" s="2"/>
    </row>
    <row r="4211" spans="2:16" ht="14.25">
      <c r="B4211" s="4"/>
      <c r="I4211" s="5"/>
      <c r="J4211" s="5"/>
      <c r="K4211" s="6"/>
      <c r="N4211" s="2"/>
      <c r="O4211" s="2"/>
      <c r="P4211" s="2"/>
    </row>
    <row r="4212" spans="2:16" ht="14.25">
      <c r="B4212" s="4"/>
      <c r="I4212" s="5"/>
      <c r="J4212" s="5"/>
      <c r="K4212" s="6"/>
      <c r="N4212" s="2"/>
      <c r="O4212" s="2"/>
      <c r="P4212" s="2"/>
    </row>
    <row r="4213" spans="2:16" ht="14.25">
      <c r="B4213" s="4"/>
      <c r="I4213" s="5"/>
      <c r="J4213" s="5"/>
      <c r="K4213" s="6"/>
      <c r="N4213" s="2"/>
      <c r="O4213" s="2"/>
      <c r="P4213" s="2"/>
    </row>
    <row r="4214" spans="2:16" ht="14.25">
      <c r="B4214" s="4"/>
      <c r="I4214" s="5"/>
      <c r="J4214" s="5"/>
      <c r="K4214" s="6"/>
      <c r="N4214" s="2"/>
      <c r="O4214" s="2"/>
      <c r="P4214" s="2"/>
    </row>
    <row r="4215" spans="2:16" ht="14.25">
      <c r="B4215" s="4"/>
      <c r="I4215" s="5"/>
      <c r="J4215" s="5"/>
      <c r="K4215" s="6"/>
      <c r="N4215" s="2"/>
      <c r="O4215" s="2"/>
      <c r="P4215" s="2"/>
    </row>
    <row r="4216" spans="2:16" ht="14.25">
      <c r="B4216" s="4"/>
      <c r="I4216" s="5"/>
      <c r="J4216" s="5"/>
      <c r="K4216" s="6"/>
      <c r="N4216" s="2"/>
      <c r="O4216" s="2"/>
      <c r="P4216" s="2"/>
    </row>
    <row r="4217" spans="2:16" ht="14.25">
      <c r="B4217" s="4"/>
      <c r="I4217" s="5"/>
      <c r="J4217" s="5"/>
      <c r="K4217" s="6"/>
      <c r="N4217" s="2"/>
      <c r="O4217" s="2"/>
      <c r="P4217" s="2"/>
    </row>
    <row r="4218" spans="2:16" ht="14.25">
      <c r="B4218" s="4"/>
      <c r="I4218" s="5"/>
      <c r="J4218" s="5"/>
      <c r="K4218" s="6"/>
      <c r="N4218" s="2"/>
      <c r="O4218" s="2"/>
      <c r="P4218" s="2"/>
    </row>
    <row r="4219" spans="2:16" ht="14.25">
      <c r="B4219" s="4"/>
      <c r="I4219" s="5"/>
      <c r="J4219" s="5"/>
      <c r="K4219" s="6"/>
      <c r="N4219" s="2"/>
      <c r="O4219" s="2"/>
      <c r="P4219" s="2"/>
    </row>
    <row r="4220" spans="2:16" ht="14.25">
      <c r="B4220" s="4"/>
      <c r="I4220" s="5"/>
      <c r="J4220" s="5"/>
      <c r="K4220" s="6"/>
      <c r="N4220" s="2"/>
      <c r="O4220" s="2"/>
      <c r="P4220" s="2"/>
    </row>
    <row r="4221" spans="2:16" ht="14.25">
      <c r="B4221" s="4"/>
      <c r="I4221" s="5"/>
      <c r="J4221" s="5"/>
      <c r="K4221" s="6"/>
      <c r="N4221" s="2"/>
      <c r="O4221" s="2"/>
      <c r="P4221" s="2"/>
    </row>
    <row r="4222" spans="2:16" ht="14.25">
      <c r="B4222" s="4"/>
      <c r="I4222" s="5"/>
      <c r="J4222" s="5"/>
      <c r="K4222" s="6"/>
      <c r="N4222" s="2"/>
      <c r="O4222" s="2"/>
      <c r="P4222" s="2"/>
    </row>
    <row r="4223" spans="2:16" ht="14.25">
      <c r="B4223" s="4"/>
      <c r="I4223" s="5"/>
      <c r="J4223" s="5"/>
      <c r="K4223" s="6"/>
      <c r="N4223" s="2"/>
      <c r="O4223" s="2"/>
      <c r="P4223" s="2"/>
    </row>
    <row r="4224" spans="2:16" ht="14.25">
      <c r="B4224" s="4"/>
      <c r="I4224" s="5"/>
      <c r="J4224" s="5"/>
      <c r="K4224" s="6"/>
      <c r="N4224" s="2"/>
      <c r="O4224" s="2"/>
      <c r="P4224" s="2"/>
    </row>
    <row r="4225" spans="2:16" ht="14.25">
      <c r="B4225" s="4"/>
      <c r="I4225" s="5"/>
      <c r="J4225" s="5"/>
      <c r="K4225" s="6"/>
      <c r="N4225" s="2"/>
      <c r="O4225" s="2"/>
      <c r="P4225" s="2"/>
    </row>
    <row r="4226" spans="2:16" ht="14.25">
      <c r="B4226" s="4"/>
      <c r="I4226" s="5"/>
      <c r="J4226" s="5"/>
      <c r="K4226" s="6"/>
      <c r="N4226" s="2"/>
      <c r="O4226" s="2"/>
      <c r="P4226" s="2"/>
    </row>
    <row r="4227" spans="2:16" ht="14.25">
      <c r="B4227" s="4"/>
      <c r="I4227" s="5"/>
      <c r="J4227" s="5"/>
      <c r="K4227" s="6"/>
      <c r="N4227" s="2"/>
      <c r="O4227" s="2"/>
      <c r="P4227" s="2"/>
    </row>
    <row r="4228" spans="2:16" ht="14.25">
      <c r="B4228" s="4"/>
      <c r="I4228" s="5"/>
      <c r="J4228" s="5"/>
      <c r="K4228" s="6"/>
      <c r="N4228" s="2"/>
      <c r="O4228" s="2"/>
      <c r="P4228" s="2"/>
    </row>
    <row r="4229" spans="2:16" ht="14.25">
      <c r="B4229" s="4"/>
      <c r="I4229" s="5"/>
      <c r="J4229" s="5"/>
      <c r="K4229" s="6"/>
      <c r="N4229" s="2"/>
      <c r="O4229" s="2"/>
      <c r="P4229" s="2"/>
    </row>
    <row r="4230" spans="2:16" ht="14.25">
      <c r="B4230" s="4"/>
      <c r="I4230" s="5"/>
      <c r="J4230" s="5"/>
      <c r="K4230" s="6"/>
      <c r="N4230" s="2"/>
      <c r="O4230" s="2"/>
      <c r="P4230" s="2"/>
    </row>
    <row r="4231" spans="2:16" ht="14.25">
      <c r="B4231" s="4"/>
      <c r="I4231" s="5"/>
      <c r="J4231" s="5"/>
      <c r="K4231" s="6"/>
      <c r="N4231" s="2"/>
      <c r="O4231" s="2"/>
      <c r="P4231" s="2"/>
    </row>
    <row r="4232" spans="2:16" ht="14.25">
      <c r="B4232" s="4"/>
      <c r="I4232" s="5"/>
      <c r="J4232" s="5"/>
      <c r="K4232" s="6"/>
      <c r="N4232" s="2"/>
      <c r="O4232" s="2"/>
      <c r="P4232" s="2"/>
    </row>
    <row r="4233" spans="2:16" ht="14.25">
      <c r="B4233" s="4"/>
      <c r="I4233" s="5"/>
      <c r="J4233" s="5"/>
      <c r="K4233" s="6"/>
      <c r="N4233" s="2"/>
      <c r="O4233" s="2"/>
      <c r="P4233" s="2"/>
    </row>
    <row r="4234" spans="2:16" ht="14.25">
      <c r="B4234" s="4"/>
      <c r="I4234" s="5"/>
      <c r="J4234" s="5"/>
      <c r="K4234" s="6"/>
      <c r="N4234" s="2"/>
      <c r="O4234" s="2"/>
      <c r="P4234" s="2"/>
    </row>
    <row r="4235" spans="2:16" ht="14.25">
      <c r="B4235" s="4"/>
      <c r="I4235" s="5"/>
      <c r="J4235" s="5"/>
      <c r="K4235" s="6"/>
      <c r="N4235" s="2"/>
      <c r="O4235" s="2"/>
      <c r="P4235" s="2"/>
    </row>
    <row r="4236" spans="2:16" ht="14.25">
      <c r="B4236" s="4"/>
      <c r="I4236" s="5"/>
      <c r="J4236" s="5"/>
      <c r="K4236" s="6"/>
      <c r="N4236" s="2"/>
      <c r="O4236" s="2"/>
      <c r="P4236" s="2"/>
    </row>
    <row r="4237" spans="2:16" ht="14.25">
      <c r="B4237" s="4"/>
      <c r="I4237" s="5"/>
      <c r="J4237" s="5"/>
      <c r="K4237" s="6"/>
      <c r="N4237" s="2"/>
      <c r="O4237" s="2"/>
      <c r="P4237" s="2"/>
    </row>
    <row r="4238" spans="2:16" ht="14.25">
      <c r="B4238" s="4"/>
      <c r="I4238" s="5"/>
      <c r="J4238" s="5"/>
      <c r="K4238" s="6"/>
      <c r="N4238" s="2"/>
      <c r="O4238" s="2"/>
      <c r="P4238" s="2"/>
    </row>
    <row r="4239" spans="2:16" ht="14.25">
      <c r="B4239" s="4"/>
      <c r="I4239" s="5"/>
      <c r="J4239" s="5"/>
      <c r="K4239" s="6"/>
      <c r="N4239" s="2"/>
      <c r="O4239" s="2"/>
      <c r="P4239" s="2"/>
    </row>
    <row r="4240" spans="2:16" ht="14.25">
      <c r="B4240" s="4"/>
      <c r="I4240" s="5"/>
      <c r="J4240" s="5"/>
      <c r="K4240" s="6"/>
      <c r="N4240" s="2"/>
      <c r="O4240" s="2"/>
      <c r="P4240" s="2"/>
    </row>
    <row r="4241" spans="2:16" ht="14.25">
      <c r="B4241" s="4"/>
      <c r="I4241" s="5"/>
      <c r="J4241" s="5"/>
      <c r="K4241" s="6"/>
      <c r="N4241" s="2"/>
      <c r="O4241" s="2"/>
      <c r="P4241" s="2"/>
    </row>
    <row r="4242" spans="2:16" ht="14.25">
      <c r="B4242" s="4"/>
      <c r="I4242" s="5"/>
      <c r="J4242" s="5"/>
      <c r="K4242" s="6"/>
      <c r="N4242" s="2"/>
      <c r="O4242" s="2"/>
      <c r="P4242" s="2"/>
    </row>
    <row r="4243" spans="2:16" ht="14.25">
      <c r="B4243" s="4"/>
      <c r="I4243" s="5"/>
      <c r="J4243" s="5"/>
      <c r="K4243" s="6"/>
      <c r="N4243" s="2"/>
      <c r="O4243" s="2"/>
      <c r="P4243" s="2"/>
    </row>
    <row r="4244" spans="2:16" ht="14.25">
      <c r="B4244" s="4"/>
      <c r="I4244" s="5"/>
      <c r="J4244" s="5"/>
      <c r="K4244" s="6"/>
      <c r="N4244" s="2"/>
      <c r="O4244" s="2"/>
      <c r="P4244" s="2"/>
    </row>
    <row r="4245" spans="2:16" ht="14.25">
      <c r="B4245" s="4"/>
      <c r="I4245" s="5"/>
      <c r="J4245" s="5"/>
      <c r="K4245" s="6"/>
      <c r="N4245" s="2"/>
      <c r="O4245" s="2"/>
      <c r="P4245" s="2"/>
    </row>
    <row r="4246" spans="2:16" ht="14.25">
      <c r="B4246" s="4"/>
      <c r="I4246" s="5"/>
      <c r="J4246" s="5"/>
      <c r="K4246" s="6"/>
      <c r="N4246" s="2"/>
      <c r="O4246" s="2"/>
      <c r="P4246" s="2"/>
    </row>
    <row r="4247" spans="2:16" ht="14.25">
      <c r="B4247" s="4"/>
      <c r="I4247" s="5"/>
      <c r="J4247" s="5"/>
      <c r="K4247" s="6"/>
      <c r="N4247" s="2"/>
      <c r="O4247" s="2"/>
      <c r="P4247" s="2"/>
    </row>
    <row r="4248" spans="2:16" ht="14.25">
      <c r="B4248" s="4"/>
      <c r="I4248" s="5"/>
      <c r="J4248" s="5"/>
      <c r="K4248" s="6"/>
      <c r="N4248" s="2"/>
      <c r="O4248" s="2"/>
      <c r="P4248" s="2"/>
    </row>
    <row r="4249" spans="2:16" ht="14.25">
      <c r="B4249" s="4"/>
      <c r="I4249" s="5"/>
      <c r="J4249" s="5"/>
      <c r="K4249" s="6"/>
      <c r="N4249" s="2"/>
      <c r="O4249" s="2"/>
      <c r="P4249" s="2"/>
    </row>
    <row r="4250" spans="2:16" ht="14.25">
      <c r="B4250" s="4"/>
      <c r="I4250" s="5"/>
      <c r="J4250" s="5"/>
      <c r="K4250" s="6"/>
      <c r="N4250" s="2"/>
      <c r="O4250" s="2"/>
      <c r="P4250" s="2"/>
    </row>
    <row r="4251" spans="2:16" ht="14.25">
      <c r="B4251" s="4"/>
      <c r="I4251" s="5"/>
      <c r="J4251" s="5"/>
      <c r="K4251" s="6"/>
      <c r="N4251" s="2"/>
      <c r="O4251" s="2"/>
      <c r="P4251" s="2"/>
    </row>
    <row r="4252" spans="2:16" ht="14.25">
      <c r="B4252" s="4"/>
      <c r="I4252" s="5"/>
      <c r="J4252" s="5"/>
      <c r="K4252" s="6"/>
      <c r="N4252" s="2"/>
      <c r="O4252" s="2"/>
      <c r="P4252" s="2"/>
    </row>
    <row r="4253" spans="2:16" ht="14.25">
      <c r="B4253" s="4"/>
      <c r="I4253" s="5"/>
      <c r="J4253" s="5"/>
      <c r="K4253" s="6"/>
      <c r="N4253" s="2"/>
      <c r="O4253" s="2"/>
      <c r="P4253" s="2"/>
    </row>
    <row r="4254" spans="2:16" ht="14.25">
      <c r="B4254" s="4"/>
      <c r="I4254" s="5"/>
      <c r="J4254" s="5"/>
      <c r="K4254" s="6"/>
      <c r="N4254" s="2"/>
      <c r="O4254" s="2"/>
      <c r="P4254" s="2"/>
    </row>
    <row r="4255" spans="2:16" ht="14.25">
      <c r="B4255" s="4"/>
      <c r="I4255" s="5"/>
      <c r="J4255" s="5"/>
      <c r="K4255" s="6"/>
      <c r="N4255" s="2"/>
      <c r="O4255" s="2"/>
      <c r="P4255" s="2"/>
    </row>
    <row r="4256" spans="2:16" ht="14.25">
      <c r="B4256" s="4"/>
      <c r="I4256" s="5"/>
      <c r="J4256" s="5"/>
      <c r="K4256" s="6"/>
      <c r="N4256" s="2"/>
      <c r="O4256" s="2"/>
      <c r="P4256" s="2"/>
    </row>
    <row r="4257" spans="2:16" ht="14.25">
      <c r="B4257" s="4"/>
      <c r="I4257" s="5"/>
      <c r="J4257" s="5"/>
      <c r="K4257" s="6"/>
      <c r="N4257" s="2"/>
      <c r="O4257" s="2"/>
      <c r="P4257" s="2"/>
    </row>
    <row r="4258" spans="2:16" ht="14.25">
      <c r="B4258" s="4"/>
      <c r="I4258" s="5"/>
      <c r="J4258" s="5"/>
      <c r="K4258" s="6"/>
      <c r="N4258" s="2"/>
      <c r="O4258" s="2"/>
      <c r="P4258" s="2"/>
    </row>
    <row r="4259" spans="2:16" ht="14.25">
      <c r="B4259" s="4"/>
      <c r="I4259" s="5"/>
      <c r="J4259" s="5"/>
      <c r="K4259" s="6"/>
      <c r="N4259" s="2"/>
      <c r="O4259" s="2"/>
      <c r="P4259" s="2"/>
    </row>
    <row r="4260" spans="2:16" ht="14.25">
      <c r="B4260" s="4"/>
      <c r="I4260" s="5"/>
      <c r="J4260" s="5"/>
      <c r="K4260" s="6"/>
      <c r="N4260" s="2"/>
      <c r="O4260" s="2"/>
      <c r="P4260" s="2"/>
    </row>
    <row r="4261" spans="2:16" ht="14.25">
      <c r="B4261" s="4"/>
      <c r="I4261" s="5"/>
      <c r="J4261" s="5"/>
      <c r="K4261" s="6"/>
      <c r="N4261" s="2"/>
      <c r="O4261" s="2"/>
      <c r="P4261" s="2"/>
    </row>
    <row r="4262" spans="2:16" ht="14.25">
      <c r="B4262" s="4"/>
      <c r="I4262" s="5"/>
      <c r="J4262" s="5"/>
      <c r="K4262" s="6"/>
      <c r="N4262" s="2"/>
      <c r="O4262" s="2"/>
      <c r="P4262" s="2"/>
    </row>
    <row r="4263" spans="2:16" ht="14.25">
      <c r="B4263" s="4"/>
      <c r="I4263" s="5"/>
      <c r="J4263" s="5"/>
      <c r="K4263" s="6"/>
      <c r="N4263" s="2"/>
      <c r="O4263" s="2"/>
      <c r="P4263" s="2"/>
    </row>
    <row r="4264" spans="2:16" ht="14.25">
      <c r="B4264" s="4"/>
      <c r="I4264" s="5"/>
      <c r="J4264" s="5"/>
      <c r="K4264" s="6"/>
      <c r="N4264" s="2"/>
      <c r="O4264" s="2"/>
      <c r="P4264" s="2"/>
    </row>
    <row r="4265" spans="2:16" ht="14.25">
      <c r="B4265" s="4"/>
      <c r="I4265" s="5"/>
      <c r="J4265" s="5"/>
      <c r="K4265" s="6"/>
      <c r="N4265" s="2"/>
      <c r="O4265" s="2"/>
      <c r="P4265" s="2"/>
    </row>
    <row r="4266" spans="2:16" ht="14.25">
      <c r="B4266" s="4"/>
      <c r="I4266" s="5"/>
      <c r="J4266" s="5"/>
      <c r="K4266" s="6"/>
      <c r="N4266" s="2"/>
      <c r="O4266" s="2"/>
      <c r="P4266" s="2"/>
    </row>
    <row r="4267" spans="2:16" ht="14.25">
      <c r="B4267" s="4"/>
      <c r="I4267" s="5"/>
      <c r="J4267" s="5"/>
      <c r="K4267" s="6"/>
      <c r="N4267" s="2"/>
      <c r="O4267" s="2"/>
      <c r="P4267" s="2"/>
    </row>
    <row r="4268" spans="2:16" ht="14.25">
      <c r="B4268" s="4"/>
      <c r="I4268" s="5"/>
      <c r="J4268" s="5"/>
      <c r="K4268" s="6"/>
      <c r="N4268" s="2"/>
      <c r="O4268" s="2"/>
      <c r="P4268" s="2"/>
    </row>
    <row r="4269" spans="2:16" ht="14.25">
      <c r="B4269" s="4"/>
      <c r="I4269" s="5"/>
      <c r="J4269" s="5"/>
      <c r="K4269" s="6"/>
      <c r="N4269" s="2"/>
      <c r="O4269" s="2"/>
      <c r="P4269" s="2"/>
    </row>
    <row r="4270" spans="2:16" ht="14.25">
      <c r="B4270" s="4"/>
      <c r="I4270" s="5"/>
      <c r="J4270" s="5"/>
      <c r="K4270" s="6"/>
      <c r="N4270" s="2"/>
      <c r="O4270" s="2"/>
      <c r="P4270" s="2"/>
    </row>
    <row r="4271" spans="2:16" ht="14.25">
      <c r="B4271" s="4"/>
      <c r="I4271" s="5"/>
      <c r="J4271" s="5"/>
      <c r="K4271" s="6"/>
      <c r="N4271" s="2"/>
      <c r="O4271" s="2"/>
      <c r="P4271" s="2"/>
    </row>
    <row r="4272" spans="2:16" ht="14.25">
      <c r="B4272" s="4"/>
      <c r="I4272" s="5"/>
      <c r="J4272" s="5"/>
      <c r="K4272" s="6"/>
      <c r="N4272" s="2"/>
      <c r="O4272" s="2"/>
      <c r="P4272" s="2"/>
    </row>
    <row r="4273" spans="2:16" ht="14.25">
      <c r="B4273" s="4"/>
      <c r="I4273" s="5"/>
      <c r="J4273" s="5"/>
      <c r="K4273" s="6"/>
      <c r="N4273" s="2"/>
      <c r="O4273" s="2"/>
      <c r="P4273" s="2"/>
    </row>
    <row r="4274" spans="2:16" ht="14.25">
      <c r="B4274" s="4"/>
      <c r="I4274" s="5"/>
      <c r="J4274" s="5"/>
      <c r="K4274" s="6"/>
      <c r="N4274" s="2"/>
      <c r="O4274" s="2"/>
      <c r="P4274" s="2"/>
    </row>
    <row r="4275" spans="2:16" ht="14.25">
      <c r="B4275" s="4"/>
      <c r="I4275" s="5"/>
      <c r="J4275" s="5"/>
      <c r="K4275" s="6"/>
      <c r="N4275" s="2"/>
      <c r="O4275" s="2"/>
      <c r="P4275" s="2"/>
    </row>
    <row r="4276" spans="2:16" ht="14.25">
      <c r="B4276" s="4"/>
      <c r="I4276" s="5"/>
      <c r="J4276" s="5"/>
      <c r="K4276" s="6"/>
      <c r="N4276" s="2"/>
      <c r="O4276" s="2"/>
      <c r="P4276" s="2"/>
    </row>
    <row r="4277" spans="2:16" ht="14.25">
      <c r="B4277" s="4"/>
      <c r="I4277" s="5"/>
      <c r="J4277" s="5"/>
      <c r="K4277" s="6"/>
      <c r="N4277" s="2"/>
      <c r="O4277" s="2"/>
      <c r="P4277" s="2"/>
    </row>
    <row r="4278" spans="2:16" ht="14.25">
      <c r="B4278" s="4"/>
      <c r="I4278" s="5"/>
      <c r="J4278" s="5"/>
      <c r="K4278" s="6"/>
      <c r="N4278" s="2"/>
      <c r="O4278" s="2"/>
      <c r="P4278" s="2"/>
    </row>
    <row r="4279" spans="2:16" ht="14.25">
      <c r="B4279" s="4"/>
      <c r="I4279" s="5"/>
      <c r="J4279" s="5"/>
      <c r="K4279" s="6"/>
      <c r="N4279" s="2"/>
      <c r="O4279" s="2"/>
      <c r="P4279" s="2"/>
    </row>
    <row r="4280" spans="2:16" ht="14.25">
      <c r="B4280" s="4"/>
      <c r="I4280" s="5"/>
      <c r="J4280" s="5"/>
      <c r="K4280" s="6"/>
      <c r="N4280" s="2"/>
      <c r="O4280" s="2"/>
      <c r="P4280" s="2"/>
    </row>
    <row r="4281" spans="2:16" ht="14.25">
      <c r="B4281" s="4"/>
      <c r="I4281" s="5"/>
      <c r="J4281" s="5"/>
      <c r="K4281" s="6"/>
      <c r="N4281" s="2"/>
      <c r="O4281" s="2"/>
      <c r="P4281" s="2"/>
    </row>
    <row r="4282" spans="2:16" ht="14.25">
      <c r="B4282" s="4"/>
      <c r="I4282" s="5"/>
      <c r="J4282" s="5"/>
      <c r="K4282" s="6"/>
      <c r="N4282" s="2"/>
      <c r="O4282" s="2"/>
      <c r="P4282" s="2"/>
    </row>
    <row r="4283" spans="2:16" ht="14.25">
      <c r="B4283" s="4"/>
      <c r="I4283" s="5"/>
      <c r="J4283" s="5"/>
      <c r="K4283" s="6"/>
      <c r="N4283" s="2"/>
      <c r="O4283" s="2"/>
      <c r="P4283" s="2"/>
    </row>
    <row r="4284" spans="2:16" ht="14.25">
      <c r="B4284" s="4"/>
      <c r="I4284" s="5"/>
      <c r="J4284" s="5"/>
      <c r="K4284" s="6"/>
      <c r="N4284" s="2"/>
      <c r="O4284" s="2"/>
      <c r="P4284" s="2"/>
    </row>
    <row r="4285" spans="2:16" ht="14.25">
      <c r="B4285" s="4"/>
      <c r="I4285" s="5"/>
      <c r="J4285" s="5"/>
      <c r="K4285" s="6"/>
      <c r="N4285" s="2"/>
      <c r="O4285" s="2"/>
      <c r="P4285" s="2"/>
    </row>
    <row r="4286" spans="2:16" ht="14.25">
      <c r="B4286" s="4"/>
      <c r="I4286" s="5"/>
      <c r="J4286" s="5"/>
      <c r="K4286" s="6"/>
      <c r="N4286" s="2"/>
      <c r="O4286" s="2"/>
      <c r="P4286" s="2"/>
    </row>
    <row r="4287" spans="2:16" ht="14.25">
      <c r="B4287" s="4"/>
      <c r="I4287" s="5"/>
      <c r="J4287" s="5"/>
      <c r="K4287" s="6"/>
      <c r="N4287" s="2"/>
      <c r="O4287" s="2"/>
      <c r="P4287" s="2"/>
    </row>
    <row r="4288" spans="2:16" ht="14.25">
      <c r="B4288" s="4"/>
      <c r="I4288" s="5"/>
      <c r="J4288" s="5"/>
      <c r="K4288" s="6"/>
      <c r="N4288" s="2"/>
      <c r="O4288" s="2"/>
      <c r="P4288" s="2"/>
    </row>
    <row r="4289" spans="2:16" ht="14.25">
      <c r="B4289" s="4"/>
      <c r="I4289" s="5"/>
      <c r="J4289" s="5"/>
      <c r="K4289" s="6"/>
      <c r="N4289" s="2"/>
      <c r="O4289" s="2"/>
      <c r="P4289" s="2"/>
    </row>
    <row r="4290" spans="2:16" ht="14.25">
      <c r="B4290" s="4"/>
      <c r="I4290" s="5"/>
      <c r="J4290" s="5"/>
      <c r="K4290" s="6"/>
      <c r="N4290" s="2"/>
      <c r="O4290" s="2"/>
      <c r="P4290" s="2"/>
    </row>
    <row r="4291" spans="2:16" ht="14.25">
      <c r="B4291" s="4"/>
      <c r="I4291" s="5"/>
      <c r="J4291" s="5"/>
      <c r="K4291" s="6"/>
      <c r="N4291" s="2"/>
      <c r="O4291" s="2"/>
      <c r="P4291" s="2"/>
    </row>
    <row r="4292" spans="2:16" ht="14.25">
      <c r="B4292" s="4"/>
      <c r="I4292" s="5"/>
      <c r="J4292" s="5"/>
      <c r="K4292" s="6"/>
      <c r="N4292" s="2"/>
      <c r="O4292" s="2"/>
      <c r="P4292" s="2"/>
    </row>
    <row r="4293" spans="2:16" ht="14.25">
      <c r="B4293" s="4"/>
      <c r="I4293" s="5"/>
      <c r="J4293" s="5"/>
      <c r="K4293" s="6"/>
      <c r="N4293" s="2"/>
      <c r="O4293" s="2"/>
      <c r="P4293" s="2"/>
    </row>
    <row r="4294" spans="2:16" ht="14.25">
      <c r="B4294" s="4"/>
      <c r="I4294" s="5"/>
      <c r="J4294" s="5"/>
      <c r="K4294" s="6"/>
      <c r="N4294" s="2"/>
      <c r="O4294" s="2"/>
      <c r="P4294" s="2"/>
    </row>
    <row r="4295" spans="2:16" ht="14.25">
      <c r="B4295" s="4"/>
      <c r="I4295" s="5"/>
      <c r="J4295" s="5"/>
      <c r="K4295" s="6"/>
      <c r="N4295" s="2"/>
      <c r="O4295" s="2"/>
      <c r="P4295" s="2"/>
    </row>
    <row r="4296" spans="2:16" ht="14.25">
      <c r="B4296" s="4"/>
      <c r="I4296" s="5"/>
      <c r="J4296" s="5"/>
      <c r="K4296" s="6"/>
      <c r="N4296" s="2"/>
      <c r="O4296" s="2"/>
      <c r="P4296" s="2"/>
    </row>
    <row r="4297" spans="2:16" ht="14.25">
      <c r="B4297" s="4"/>
      <c r="I4297" s="5"/>
      <c r="J4297" s="5"/>
      <c r="K4297" s="6"/>
      <c r="N4297" s="2"/>
      <c r="O4297" s="2"/>
      <c r="P4297" s="2"/>
    </row>
    <row r="4298" spans="2:16" ht="14.25">
      <c r="B4298" s="4"/>
      <c r="I4298" s="5"/>
      <c r="J4298" s="5"/>
      <c r="K4298" s="6"/>
      <c r="N4298" s="2"/>
      <c r="O4298" s="2"/>
      <c r="P4298" s="2"/>
    </row>
    <row r="4299" spans="2:16" ht="14.25">
      <c r="B4299" s="4"/>
      <c r="I4299" s="5"/>
      <c r="J4299" s="5"/>
      <c r="K4299" s="6"/>
      <c r="N4299" s="2"/>
      <c r="O4299" s="2"/>
      <c r="P4299" s="2"/>
    </row>
    <row r="4300" spans="2:16" ht="14.25">
      <c r="B4300" s="4"/>
      <c r="I4300" s="5"/>
      <c r="J4300" s="5"/>
      <c r="K4300" s="6"/>
      <c r="N4300" s="2"/>
      <c r="O4300" s="2"/>
      <c r="P4300" s="2"/>
    </row>
    <row r="4301" spans="2:16" ht="14.25">
      <c r="B4301" s="4"/>
      <c r="I4301" s="5"/>
      <c r="J4301" s="5"/>
      <c r="K4301" s="6"/>
      <c r="N4301" s="2"/>
      <c r="O4301" s="2"/>
      <c r="P4301" s="2"/>
    </row>
    <row r="4302" spans="2:16" ht="14.25">
      <c r="B4302" s="4"/>
      <c r="I4302" s="5"/>
      <c r="J4302" s="5"/>
      <c r="K4302" s="6"/>
      <c r="N4302" s="2"/>
      <c r="O4302" s="2"/>
      <c r="P4302" s="2"/>
    </row>
    <row r="4303" spans="2:16" ht="14.25">
      <c r="B4303" s="4"/>
      <c r="I4303" s="5"/>
      <c r="J4303" s="5"/>
      <c r="K4303" s="6"/>
      <c r="N4303" s="2"/>
      <c r="O4303" s="2"/>
      <c r="P4303" s="2"/>
    </row>
    <row r="4304" spans="2:16" ht="14.25">
      <c r="B4304" s="4"/>
      <c r="I4304" s="5"/>
      <c r="J4304" s="5"/>
      <c r="K4304" s="6"/>
      <c r="N4304" s="2"/>
      <c r="O4304" s="2"/>
      <c r="P4304" s="2"/>
    </row>
    <row r="4305" spans="2:16" ht="14.25">
      <c r="B4305" s="4"/>
      <c r="I4305" s="5"/>
      <c r="J4305" s="5"/>
      <c r="K4305" s="6"/>
      <c r="N4305" s="2"/>
      <c r="O4305" s="2"/>
      <c r="P4305" s="2"/>
    </row>
    <row r="4306" spans="2:16" ht="14.25">
      <c r="B4306" s="4"/>
      <c r="I4306" s="5"/>
      <c r="J4306" s="5"/>
      <c r="K4306" s="6"/>
      <c r="N4306" s="2"/>
      <c r="O4306" s="2"/>
      <c r="P4306" s="2"/>
    </row>
    <row r="4307" spans="2:16" ht="14.25">
      <c r="B4307" s="4"/>
      <c r="I4307" s="5"/>
      <c r="J4307" s="5"/>
      <c r="K4307" s="6"/>
      <c r="N4307" s="2"/>
      <c r="O4307" s="2"/>
      <c r="P4307" s="2"/>
    </row>
    <row r="4308" spans="2:16" ht="14.25">
      <c r="B4308" s="4"/>
      <c r="I4308" s="5"/>
      <c r="J4308" s="5"/>
      <c r="K4308" s="6"/>
      <c r="N4308" s="2"/>
      <c r="O4308" s="2"/>
      <c r="P4308" s="2"/>
    </row>
    <row r="4309" spans="2:16" ht="14.25">
      <c r="B4309" s="4"/>
      <c r="I4309" s="5"/>
      <c r="J4309" s="5"/>
      <c r="K4309" s="6"/>
      <c r="N4309" s="2"/>
      <c r="O4309" s="2"/>
      <c r="P4309" s="2"/>
    </row>
    <row r="4310" spans="2:16" ht="14.25">
      <c r="B4310" s="4"/>
      <c r="I4310" s="5"/>
      <c r="J4310" s="5"/>
      <c r="K4310" s="6"/>
      <c r="N4310" s="2"/>
      <c r="O4310" s="2"/>
      <c r="P4310" s="2"/>
    </row>
    <row r="4311" spans="2:16" ht="14.25">
      <c r="B4311" s="4"/>
      <c r="I4311" s="5"/>
      <c r="J4311" s="5"/>
      <c r="K4311" s="6"/>
      <c r="N4311" s="2"/>
      <c r="O4311" s="2"/>
      <c r="P4311" s="2"/>
    </row>
    <row r="4312" spans="2:16" ht="14.25">
      <c r="B4312" s="4"/>
      <c r="I4312" s="5"/>
      <c r="J4312" s="5"/>
      <c r="K4312" s="6"/>
      <c r="N4312" s="2"/>
      <c r="O4312" s="2"/>
      <c r="P4312" s="2"/>
    </row>
    <row r="4313" spans="2:16" ht="14.25">
      <c r="B4313" s="4"/>
      <c r="I4313" s="5"/>
      <c r="J4313" s="5"/>
      <c r="K4313" s="6"/>
      <c r="N4313" s="2"/>
      <c r="O4313" s="2"/>
      <c r="P4313" s="2"/>
    </row>
    <row r="4314" spans="2:16" ht="14.25">
      <c r="B4314" s="4"/>
      <c r="I4314" s="5"/>
      <c r="J4314" s="5"/>
      <c r="K4314" s="6"/>
      <c r="N4314" s="2"/>
      <c r="O4314" s="2"/>
      <c r="P4314" s="2"/>
    </row>
    <row r="4315" spans="2:16" ht="14.25">
      <c r="B4315" s="4"/>
      <c r="I4315" s="5"/>
      <c r="J4315" s="5"/>
      <c r="K4315" s="6"/>
      <c r="N4315" s="2"/>
      <c r="O4315" s="2"/>
      <c r="P4315" s="2"/>
    </row>
    <row r="4316" spans="2:16" ht="14.25">
      <c r="B4316" s="4"/>
      <c r="I4316" s="5"/>
      <c r="J4316" s="5"/>
      <c r="K4316" s="6"/>
      <c r="N4316" s="2"/>
      <c r="O4316" s="2"/>
      <c r="P4316" s="2"/>
    </row>
    <row r="4317" spans="2:16" ht="14.25">
      <c r="B4317" s="4"/>
      <c r="I4317" s="5"/>
      <c r="J4317" s="5"/>
      <c r="K4317" s="6"/>
      <c r="N4317" s="2"/>
      <c r="O4317" s="2"/>
      <c r="P4317" s="2"/>
    </row>
    <row r="4318" spans="2:16" ht="14.25">
      <c r="B4318" s="4"/>
      <c r="I4318" s="5"/>
      <c r="J4318" s="5"/>
      <c r="K4318" s="6"/>
      <c r="N4318" s="2"/>
      <c r="O4318" s="2"/>
      <c r="P4318" s="2"/>
    </row>
    <row r="4319" spans="2:16" ht="14.25">
      <c r="B4319" s="4"/>
      <c r="I4319" s="5"/>
      <c r="J4319" s="5"/>
      <c r="K4319" s="6"/>
      <c r="N4319" s="2"/>
      <c r="O4319" s="2"/>
      <c r="P4319" s="2"/>
    </row>
    <row r="4320" spans="2:16" ht="14.25">
      <c r="B4320" s="4"/>
      <c r="I4320" s="5"/>
      <c r="J4320" s="5"/>
      <c r="K4320" s="6"/>
      <c r="N4320" s="2"/>
      <c r="O4320" s="2"/>
      <c r="P4320" s="2"/>
    </row>
    <row r="4321" spans="2:16" ht="14.25">
      <c r="B4321" s="4"/>
      <c r="I4321" s="5"/>
      <c r="J4321" s="5"/>
      <c r="K4321" s="6"/>
      <c r="N4321" s="2"/>
      <c r="O4321" s="2"/>
      <c r="P4321" s="2"/>
    </row>
    <row r="4322" spans="2:16" ht="14.25">
      <c r="B4322" s="4"/>
      <c r="I4322" s="5"/>
      <c r="J4322" s="5"/>
      <c r="K4322" s="6"/>
      <c r="N4322" s="2"/>
      <c r="O4322" s="2"/>
      <c r="P4322" s="2"/>
    </row>
    <row r="4323" spans="2:16" ht="14.25">
      <c r="B4323" s="4"/>
      <c r="I4323" s="5"/>
      <c r="J4323" s="5"/>
      <c r="K4323" s="6"/>
      <c r="N4323" s="2"/>
      <c r="O4323" s="2"/>
      <c r="P4323" s="2"/>
    </row>
    <row r="4324" spans="2:16" ht="14.25">
      <c r="B4324" s="4"/>
      <c r="I4324" s="5"/>
      <c r="J4324" s="5"/>
      <c r="K4324" s="6"/>
      <c r="N4324" s="2"/>
      <c r="O4324" s="2"/>
      <c r="P4324" s="2"/>
    </row>
    <row r="4325" spans="2:16" ht="14.25">
      <c r="B4325" s="4"/>
      <c r="I4325" s="5"/>
      <c r="J4325" s="5"/>
      <c r="K4325" s="6"/>
      <c r="N4325" s="2"/>
      <c r="O4325" s="2"/>
      <c r="P4325" s="2"/>
    </row>
    <row r="4326" spans="2:16" ht="14.25">
      <c r="B4326" s="4"/>
      <c r="I4326" s="5"/>
      <c r="J4326" s="5"/>
      <c r="K4326" s="6"/>
      <c r="N4326" s="2"/>
      <c r="O4326" s="2"/>
      <c r="P4326" s="2"/>
    </row>
    <row r="4327" spans="2:16" ht="14.25">
      <c r="B4327" s="4"/>
      <c r="I4327" s="5"/>
      <c r="J4327" s="5"/>
      <c r="K4327" s="6"/>
      <c r="N4327" s="2"/>
      <c r="O4327" s="2"/>
      <c r="P4327" s="2"/>
    </row>
    <row r="4328" spans="2:16" ht="14.25">
      <c r="B4328" s="4"/>
      <c r="I4328" s="5"/>
      <c r="J4328" s="5"/>
      <c r="K4328" s="6"/>
      <c r="N4328" s="2"/>
      <c r="O4328" s="2"/>
      <c r="P4328" s="2"/>
    </row>
    <row r="4329" spans="2:16" ht="14.25">
      <c r="B4329" s="4"/>
      <c r="I4329" s="5"/>
      <c r="J4329" s="5"/>
      <c r="K4329" s="6"/>
      <c r="N4329" s="2"/>
      <c r="O4329" s="2"/>
      <c r="P4329" s="2"/>
    </row>
    <row r="4330" spans="2:16" ht="14.25">
      <c r="B4330" s="4"/>
      <c r="I4330" s="5"/>
      <c r="J4330" s="5"/>
      <c r="K4330" s="6"/>
      <c r="N4330" s="2"/>
      <c r="O4330" s="2"/>
      <c r="P4330" s="2"/>
    </row>
    <row r="4331" spans="2:16" ht="14.25">
      <c r="B4331" s="4"/>
      <c r="I4331" s="5"/>
      <c r="J4331" s="5"/>
      <c r="K4331" s="6"/>
      <c r="N4331" s="2"/>
      <c r="O4331" s="2"/>
      <c r="P4331" s="2"/>
    </row>
    <row r="4332" spans="2:16" ht="14.25">
      <c r="B4332" s="4"/>
      <c r="I4332" s="5"/>
      <c r="J4332" s="5"/>
      <c r="K4332" s="6"/>
      <c r="N4332" s="2"/>
      <c r="O4332" s="2"/>
      <c r="P4332" s="2"/>
    </row>
    <row r="4333" spans="2:16" ht="14.25">
      <c r="B4333" s="4"/>
      <c r="I4333" s="5"/>
      <c r="J4333" s="5"/>
      <c r="K4333" s="6"/>
      <c r="N4333" s="2"/>
      <c r="O4333" s="2"/>
      <c r="P4333" s="2"/>
    </row>
    <row r="4334" spans="2:16" ht="14.25">
      <c r="B4334" s="4"/>
      <c r="I4334" s="5"/>
      <c r="J4334" s="5"/>
      <c r="K4334" s="6"/>
      <c r="N4334" s="2"/>
      <c r="O4334" s="2"/>
      <c r="P4334" s="2"/>
    </row>
    <row r="4335" spans="2:16" ht="14.25">
      <c r="B4335" s="4"/>
      <c r="I4335" s="5"/>
      <c r="J4335" s="5"/>
      <c r="K4335" s="6"/>
      <c r="N4335" s="2"/>
      <c r="O4335" s="2"/>
      <c r="P4335" s="2"/>
    </row>
    <row r="4336" spans="2:16" ht="14.25">
      <c r="B4336" s="4"/>
      <c r="I4336" s="5"/>
      <c r="J4336" s="5"/>
      <c r="K4336" s="6"/>
      <c r="N4336" s="2"/>
      <c r="O4336" s="2"/>
      <c r="P4336" s="2"/>
    </row>
    <row r="4337" spans="2:16" ht="14.25">
      <c r="B4337" s="4"/>
      <c r="I4337" s="5"/>
      <c r="J4337" s="5"/>
      <c r="K4337" s="6"/>
      <c r="N4337" s="2"/>
      <c r="O4337" s="2"/>
      <c r="P4337" s="2"/>
    </row>
    <row r="4338" spans="2:16" ht="14.25">
      <c r="B4338" s="4"/>
      <c r="I4338" s="5"/>
      <c r="J4338" s="5"/>
      <c r="K4338" s="6"/>
      <c r="N4338" s="2"/>
      <c r="O4338" s="2"/>
      <c r="P4338" s="2"/>
    </row>
    <row r="4339" spans="2:16" ht="14.25">
      <c r="B4339" s="4"/>
      <c r="I4339" s="5"/>
      <c r="J4339" s="5"/>
      <c r="K4339" s="6"/>
      <c r="N4339" s="2"/>
      <c r="O4339" s="2"/>
      <c r="P4339" s="2"/>
    </row>
    <row r="4340" spans="2:16" ht="14.25">
      <c r="B4340" s="4"/>
      <c r="I4340" s="5"/>
      <c r="J4340" s="5"/>
      <c r="K4340" s="6"/>
      <c r="N4340" s="2"/>
      <c r="O4340" s="2"/>
      <c r="P4340" s="2"/>
    </row>
    <row r="4341" spans="2:16" ht="14.25">
      <c r="B4341" s="4"/>
      <c r="I4341" s="5"/>
      <c r="J4341" s="5"/>
      <c r="K4341" s="6"/>
      <c r="N4341" s="2"/>
      <c r="O4341" s="2"/>
      <c r="P4341" s="2"/>
    </row>
    <row r="4342" spans="2:16" ht="14.25">
      <c r="B4342" s="4"/>
      <c r="I4342" s="5"/>
      <c r="J4342" s="5"/>
      <c r="K4342" s="6"/>
      <c r="N4342" s="2"/>
      <c r="O4342" s="2"/>
      <c r="P4342" s="2"/>
    </row>
    <row r="4343" spans="2:16" ht="14.25">
      <c r="B4343" s="4"/>
      <c r="I4343" s="5"/>
      <c r="J4343" s="5"/>
      <c r="K4343" s="6"/>
      <c r="N4343" s="2"/>
      <c r="O4343" s="2"/>
      <c r="P4343" s="2"/>
    </row>
    <row r="4344" spans="2:16" ht="14.25">
      <c r="B4344" s="4"/>
      <c r="I4344" s="5"/>
      <c r="J4344" s="5"/>
      <c r="K4344" s="6"/>
      <c r="N4344" s="2"/>
      <c r="O4344" s="2"/>
      <c r="P4344" s="2"/>
    </row>
    <row r="4345" spans="2:16" ht="14.25">
      <c r="B4345" s="4"/>
      <c r="I4345" s="5"/>
      <c r="J4345" s="5"/>
      <c r="K4345" s="6"/>
      <c r="N4345" s="2"/>
      <c r="O4345" s="2"/>
      <c r="P4345" s="2"/>
    </row>
    <row r="4346" spans="2:16" ht="14.25">
      <c r="B4346" s="4"/>
      <c r="I4346" s="5"/>
      <c r="J4346" s="5"/>
      <c r="K4346" s="6"/>
      <c r="N4346" s="2"/>
      <c r="O4346" s="2"/>
      <c r="P4346" s="2"/>
    </row>
    <row r="4347" spans="2:16" ht="14.25">
      <c r="B4347" s="4"/>
      <c r="I4347" s="5"/>
      <c r="J4347" s="5"/>
      <c r="K4347" s="6"/>
      <c r="N4347" s="2"/>
      <c r="O4347" s="2"/>
      <c r="P4347" s="2"/>
    </row>
    <row r="4348" spans="2:16" ht="14.25">
      <c r="B4348" s="4"/>
      <c r="I4348" s="5"/>
      <c r="J4348" s="5"/>
      <c r="K4348" s="6"/>
      <c r="N4348" s="2"/>
      <c r="O4348" s="2"/>
      <c r="P4348" s="2"/>
    </row>
    <row r="4349" spans="2:16" ht="14.25">
      <c r="B4349" s="4"/>
      <c r="I4349" s="5"/>
      <c r="J4349" s="5"/>
      <c r="K4349" s="6"/>
      <c r="N4349" s="2"/>
      <c r="O4349" s="2"/>
      <c r="P4349" s="2"/>
    </row>
    <row r="4350" spans="2:16" ht="14.25">
      <c r="B4350" s="4"/>
      <c r="I4350" s="5"/>
      <c r="J4350" s="5"/>
      <c r="K4350" s="6"/>
      <c r="N4350" s="2"/>
      <c r="O4350" s="2"/>
      <c r="P4350" s="2"/>
    </row>
    <row r="4351" spans="2:16" ht="14.25">
      <c r="B4351" s="4"/>
      <c r="I4351" s="5"/>
      <c r="J4351" s="5"/>
      <c r="K4351" s="6"/>
      <c r="N4351" s="2"/>
      <c r="O4351" s="2"/>
      <c r="P4351" s="2"/>
    </row>
    <row r="4352" spans="2:16" ht="14.25">
      <c r="B4352" s="4"/>
      <c r="I4352" s="5"/>
      <c r="J4352" s="5"/>
      <c r="K4352" s="6"/>
      <c r="N4352" s="2"/>
      <c r="O4352" s="2"/>
      <c r="P4352" s="2"/>
    </row>
    <row r="4353" spans="2:16" ht="14.25">
      <c r="B4353" s="4"/>
      <c r="I4353" s="5"/>
      <c r="J4353" s="5"/>
      <c r="K4353" s="6"/>
      <c r="N4353" s="2"/>
      <c r="O4353" s="2"/>
      <c r="P4353" s="2"/>
    </row>
    <row r="4354" spans="2:16" ht="14.25">
      <c r="B4354" s="4"/>
      <c r="I4354" s="5"/>
      <c r="J4354" s="5"/>
      <c r="K4354" s="6"/>
      <c r="N4354" s="2"/>
      <c r="O4354" s="2"/>
      <c r="P4354" s="2"/>
    </row>
    <row r="4355" spans="2:16" ht="14.25">
      <c r="B4355" s="4"/>
      <c r="I4355" s="5"/>
      <c r="J4355" s="5"/>
      <c r="K4355" s="6"/>
      <c r="N4355" s="2"/>
      <c r="O4355" s="2"/>
      <c r="P4355" s="2"/>
    </row>
    <row r="4356" spans="2:16" ht="14.25">
      <c r="B4356" s="4"/>
      <c r="I4356" s="5"/>
      <c r="J4356" s="5"/>
      <c r="K4356" s="6"/>
      <c r="N4356" s="2"/>
      <c r="O4356" s="2"/>
      <c r="P4356" s="2"/>
    </row>
    <row r="4357" spans="2:16" ht="14.25">
      <c r="B4357" s="4"/>
      <c r="I4357" s="5"/>
      <c r="J4357" s="5"/>
      <c r="K4357" s="6"/>
      <c r="N4357" s="2"/>
      <c r="O4357" s="2"/>
      <c r="P4357" s="2"/>
    </row>
    <row r="4358" spans="2:16" ht="14.25">
      <c r="B4358" s="4"/>
      <c r="I4358" s="5"/>
      <c r="J4358" s="5"/>
      <c r="K4358" s="6"/>
      <c r="N4358" s="2"/>
      <c r="O4358" s="2"/>
      <c r="P4358" s="2"/>
    </row>
    <row r="4359" spans="2:16" ht="14.25">
      <c r="B4359" s="4"/>
      <c r="I4359" s="5"/>
      <c r="J4359" s="5"/>
      <c r="K4359" s="6"/>
      <c r="N4359" s="2"/>
      <c r="O4359" s="2"/>
      <c r="P4359" s="2"/>
    </row>
    <row r="4360" spans="2:16" ht="14.25">
      <c r="B4360" s="4"/>
      <c r="I4360" s="5"/>
      <c r="J4360" s="5"/>
      <c r="K4360" s="6"/>
      <c r="N4360" s="2"/>
      <c r="O4360" s="2"/>
      <c r="P4360" s="2"/>
    </row>
    <row r="4361" spans="2:16" ht="14.25">
      <c r="B4361" s="4"/>
      <c r="I4361" s="5"/>
      <c r="J4361" s="5"/>
      <c r="K4361" s="6"/>
      <c r="N4361" s="2"/>
      <c r="O4361" s="2"/>
      <c r="P4361" s="2"/>
    </row>
    <row r="4362" spans="2:16" ht="14.25">
      <c r="B4362" s="4"/>
      <c r="I4362" s="5"/>
      <c r="J4362" s="5"/>
      <c r="K4362" s="6"/>
      <c r="N4362" s="2"/>
      <c r="O4362" s="2"/>
      <c r="P4362" s="2"/>
    </row>
    <row r="4363" spans="2:16" ht="14.25">
      <c r="B4363" s="4"/>
      <c r="I4363" s="5"/>
      <c r="J4363" s="5"/>
      <c r="K4363" s="6"/>
      <c r="N4363" s="2"/>
      <c r="O4363" s="2"/>
      <c r="P4363" s="2"/>
    </row>
    <row r="4364" spans="2:16" ht="14.25">
      <c r="B4364" s="4"/>
      <c r="I4364" s="5"/>
      <c r="J4364" s="5"/>
      <c r="K4364" s="6"/>
      <c r="N4364" s="2"/>
      <c r="O4364" s="2"/>
      <c r="P4364" s="2"/>
    </row>
    <row r="4365" spans="2:16" ht="14.25">
      <c r="B4365" s="4"/>
      <c r="I4365" s="5"/>
      <c r="J4365" s="5"/>
      <c r="K4365" s="6"/>
      <c r="N4365" s="2"/>
      <c r="O4365" s="2"/>
      <c r="P4365" s="2"/>
    </row>
    <row r="4366" spans="2:16" ht="14.25">
      <c r="B4366" s="4"/>
      <c r="I4366" s="5"/>
      <c r="J4366" s="5"/>
      <c r="K4366" s="6"/>
      <c r="N4366" s="2"/>
      <c r="O4366" s="2"/>
      <c r="P4366" s="2"/>
    </row>
    <row r="4367" spans="2:16" ht="14.25">
      <c r="B4367" s="4"/>
      <c r="I4367" s="5"/>
      <c r="J4367" s="5"/>
      <c r="K4367" s="6"/>
      <c r="N4367" s="2"/>
      <c r="O4367" s="2"/>
      <c r="P4367" s="2"/>
    </row>
    <row r="4368" spans="2:16" ht="14.25">
      <c r="B4368" s="4"/>
      <c r="I4368" s="5"/>
      <c r="J4368" s="5"/>
      <c r="K4368" s="6"/>
      <c r="N4368" s="2"/>
      <c r="O4368" s="2"/>
      <c r="P4368" s="2"/>
    </row>
    <row r="4369" spans="2:16" ht="14.25">
      <c r="B4369" s="4"/>
      <c r="I4369" s="5"/>
      <c r="J4369" s="5"/>
      <c r="K4369" s="6"/>
      <c r="N4369" s="2"/>
      <c r="O4369" s="2"/>
      <c r="P4369" s="2"/>
    </row>
    <row r="4370" spans="2:16" ht="14.25">
      <c r="B4370" s="4"/>
      <c r="I4370" s="5"/>
      <c r="J4370" s="5"/>
      <c r="K4370" s="6"/>
      <c r="N4370" s="2"/>
      <c r="O4370" s="2"/>
      <c r="P4370" s="2"/>
    </row>
    <row r="4371" spans="2:16" ht="14.25">
      <c r="B4371" s="4"/>
      <c r="I4371" s="5"/>
      <c r="J4371" s="5"/>
      <c r="K4371" s="6"/>
      <c r="N4371" s="2"/>
      <c r="O4371" s="2"/>
      <c r="P4371" s="2"/>
    </row>
    <row r="4372" spans="2:16" ht="14.25">
      <c r="B4372" s="4"/>
      <c r="I4372" s="5"/>
      <c r="J4372" s="5"/>
      <c r="K4372" s="6"/>
      <c r="N4372" s="2"/>
      <c r="O4372" s="2"/>
      <c r="P4372" s="2"/>
    </row>
    <row r="4373" spans="2:16" ht="14.25">
      <c r="B4373" s="4"/>
      <c r="I4373" s="5"/>
      <c r="J4373" s="5"/>
      <c r="K4373" s="6"/>
      <c r="N4373" s="2"/>
      <c r="O4373" s="2"/>
      <c r="P4373" s="2"/>
    </row>
    <row r="4374" spans="2:16" ht="14.25">
      <c r="B4374" s="4"/>
      <c r="I4374" s="5"/>
      <c r="J4374" s="5"/>
      <c r="K4374" s="6"/>
      <c r="N4374" s="2"/>
      <c r="O4374" s="2"/>
      <c r="P4374" s="2"/>
    </row>
    <row r="4375" spans="2:16" ht="14.25">
      <c r="B4375" s="4"/>
      <c r="I4375" s="5"/>
      <c r="J4375" s="5"/>
      <c r="K4375" s="6"/>
      <c r="N4375" s="2"/>
      <c r="O4375" s="2"/>
      <c r="P4375" s="2"/>
    </row>
    <row r="4376" spans="2:16" ht="14.25">
      <c r="B4376" s="4"/>
      <c r="I4376" s="5"/>
      <c r="J4376" s="5"/>
      <c r="K4376" s="6"/>
      <c r="N4376" s="2"/>
      <c r="O4376" s="2"/>
      <c r="P4376" s="2"/>
    </row>
    <row r="4377" spans="2:16" ht="14.25">
      <c r="B4377" s="4"/>
      <c r="I4377" s="5"/>
      <c r="J4377" s="5"/>
      <c r="K4377" s="6"/>
      <c r="N4377" s="2"/>
      <c r="O4377" s="2"/>
      <c r="P4377" s="2"/>
    </row>
    <row r="4378" spans="2:16" ht="14.25">
      <c r="B4378" s="4"/>
      <c r="I4378" s="5"/>
      <c r="J4378" s="5"/>
      <c r="K4378" s="6"/>
      <c r="N4378" s="2"/>
      <c r="O4378" s="2"/>
      <c r="P4378" s="2"/>
    </row>
    <row r="4379" spans="2:16" ht="14.25">
      <c r="B4379" s="4"/>
      <c r="I4379" s="5"/>
      <c r="J4379" s="5"/>
      <c r="K4379" s="6"/>
      <c r="N4379" s="2"/>
      <c r="O4379" s="2"/>
      <c r="P4379" s="2"/>
    </row>
    <row r="4380" spans="2:16" ht="14.25">
      <c r="B4380" s="4"/>
      <c r="I4380" s="5"/>
      <c r="J4380" s="5"/>
      <c r="K4380" s="6"/>
      <c r="N4380" s="2"/>
      <c r="O4380" s="2"/>
      <c r="P4380" s="2"/>
    </row>
    <row r="4381" spans="2:16" ht="14.25">
      <c r="B4381" s="4"/>
      <c r="I4381" s="5"/>
      <c r="J4381" s="5"/>
      <c r="K4381" s="6"/>
      <c r="N4381" s="2"/>
      <c r="O4381" s="2"/>
      <c r="P4381" s="2"/>
    </row>
    <row r="4382" spans="2:16" ht="14.25">
      <c r="B4382" s="4"/>
      <c r="I4382" s="5"/>
      <c r="J4382" s="5"/>
      <c r="K4382" s="6"/>
      <c r="N4382" s="2"/>
      <c r="O4382" s="2"/>
      <c r="P4382" s="2"/>
    </row>
    <row r="4383" spans="2:16" ht="14.25">
      <c r="B4383" s="4"/>
      <c r="I4383" s="5"/>
      <c r="J4383" s="5"/>
      <c r="K4383" s="6"/>
      <c r="N4383" s="2"/>
      <c r="O4383" s="2"/>
      <c r="P4383" s="2"/>
    </row>
    <row r="4384" spans="2:16" ht="14.25">
      <c r="B4384" s="4"/>
      <c r="I4384" s="5"/>
      <c r="J4384" s="5"/>
      <c r="K4384" s="6"/>
      <c r="N4384" s="2"/>
      <c r="O4384" s="2"/>
      <c r="P4384" s="2"/>
    </row>
    <row r="4385" spans="2:16" ht="14.25">
      <c r="B4385" s="4"/>
      <c r="I4385" s="5"/>
      <c r="J4385" s="5"/>
      <c r="K4385" s="6"/>
      <c r="N4385" s="2"/>
      <c r="O4385" s="2"/>
      <c r="P4385" s="2"/>
    </row>
    <row r="4386" spans="2:16" ht="14.25">
      <c r="B4386" s="4"/>
      <c r="I4386" s="5"/>
      <c r="J4386" s="5"/>
      <c r="K4386" s="6"/>
      <c r="N4386" s="2"/>
      <c r="O4386" s="2"/>
      <c r="P4386" s="2"/>
    </row>
    <row r="4387" spans="2:16" ht="14.25">
      <c r="B4387" s="4"/>
      <c r="I4387" s="5"/>
      <c r="J4387" s="5"/>
      <c r="K4387" s="6"/>
      <c r="N4387" s="2"/>
      <c r="O4387" s="2"/>
      <c r="P4387" s="2"/>
    </row>
    <row r="4388" spans="2:16" ht="14.25">
      <c r="B4388" s="4"/>
      <c r="I4388" s="5"/>
      <c r="J4388" s="5"/>
      <c r="K4388" s="6"/>
      <c r="N4388" s="2"/>
      <c r="O4388" s="2"/>
      <c r="P4388" s="2"/>
    </row>
    <row r="4389" spans="2:16" ht="14.25">
      <c r="B4389" s="4"/>
      <c r="I4389" s="5"/>
      <c r="J4389" s="5"/>
      <c r="K4389" s="6"/>
      <c r="N4389" s="2"/>
      <c r="O4389" s="2"/>
      <c r="P4389" s="2"/>
    </row>
    <row r="4390" spans="2:16" ht="14.25">
      <c r="B4390" s="4"/>
      <c r="I4390" s="5"/>
      <c r="J4390" s="5"/>
      <c r="K4390" s="6"/>
      <c r="N4390" s="2"/>
      <c r="O4390" s="2"/>
      <c r="P4390" s="2"/>
    </row>
    <row r="4391" spans="2:16" ht="14.25">
      <c r="B4391" s="4"/>
      <c r="I4391" s="5"/>
      <c r="J4391" s="5"/>
      <c r="K4391" s="6"/>
      <c r="N4391" s="2"/>
      <c r="O4391" s="2"/>
      <c r="P4391" s="2"/>
    </row>
    <row r="4392" spans="2:16" ht="14.25">
      <c r="B4392" s="4"/>
      <c r="I4392" s="5"/>
      <c r="J4392" s="5"/>
      <c r="K4392" s="6"/>
      <c r="N4392" s="2"/>
      <c r="O4392" s="2"/>
      <c r="P4392" s="2"/>
    </row>
    <row r="4393" spans="2:16" ht="14.25">
      <c r="B4393" s="4"/>
      <c r="I4393" s="5"/>
      <c r="J4393" s="5"/>
      <c r="K4393" s="6"/>
      <c r="N4393" s="2"/>
      <c r="O4393" s="2"/>
      <c r="P4393" s="2"/>
    </row>
    <row r="4394" spans="2:16" ht="14.25">
      <c r="B4394" s="4"/>
      <c r="I4394" s="5"/>
      <c r="J4394" s="5"/>
      <c r="K4394" s="6"/>
      <c r="N4394" s="2"/>
      <c r="O4394" s="2"/>
      <c r="P4394" s="2"/>
    </row>
    <row r="4395" spans="2:16" ht="14.25">
      <c r="B4395" s="4"/>
      <c r="I4395" s="5"/>
      <c r="J4395" s="5"/>
      <c r="K4395" s="6"/>
      <c r="N4395" s="2"/>
      <c r="O4395" s="2"/>
      <c r="P4395" s="2"/>
    </row>
    <row r="4396" spans="2:16" ht="14.25">
      <c r="B4396" s="4"/>
      <c r="I4396" s="5"/>
      <c r="J4396" s="5"/>
      <c r="K4396" s="6"/>
      <c r="N4396" s="2"/>
      <c r="O4396" s="2"/>
      <c r="P4396" s="2"/>
    </row>
    <row r="4397" spans="2:16" ht="14.25">
      <c r="B4397" s="4"/>
      <c r="I4397" s="5"/>
      <c r="J4397" s="5"/>
      <c r="K4397" s="6"/>
      <c r="N4397" s="2"/>
      <c r="O4397" s="2"/>
      <c r="P4397" s="2"/>
    </row>
    <row r="4398" spans="2:16" ht="14.25">
      <c r="B4398" s="4"/>
      <c r="I4398" s="5"/>
      <c r="J4398" s="5"/>
      <c r="K4398" s="6"/>
      <c r="N4398" s="2"/>
      <c r="O4398" s="2"/>
      <c r="P4398" s="2"/>
    </row>
    <row r="4399" spans="2:16" ht="14.25">
      <c r="B4399" s="4"/>
      <c r="I4399" s="5"/>
      <c r="J4399" s="5"/>
      <c r="K4399" s="6"/>
      <c r="N4399" s="2"/>
      <c r="O4399" s="2"/>
      <c r="P4399" s="2"/>
    </row>
    <row r="4400" spans="2:16" ht="14.25">
      <c r="B4400" s="4"/>
      <c r="I4400" s="5"/>
      <c r="J4400" s="5"/>
      <c r="K4400" s="6"/>
      <c r="N4400" s="2"/>
      <c r="O4400" s="2"/>
      <c r="P4400" s="2"/>
    </row>
    <row r="4401" spans="2:16" ht="14.25">
      <c r="B4401" s="4"/>
      <c r="I4401" s="5"/>
      <c r="J4401" s="5"/>
      <c r="K4401" s="6"/>
      <c r="N4401" s="2"/>
      <c r="O4401" s="2"/>
      <c r="P4401" s="2"/>
    </row>
    <row r="4402" spans="2:16" ht="14.25">
      <c r="B4402" s="4"/>
      <c r="I4402" s="5"/>
      <c r="J4402" s="5"/>
      <c r="K4402" s="6"/>
      <c r="N4402" s="2"/>
      <c r="O4402" s="2"/>
      <c r="P4402" s="2"/>
    </row>
    <row r="4403" spans="2:16" ht="14.25">
      <c r="B4403" s="4"/>
      <c r="I4403" s="5"/>
      <c r="J4403" s="5"/>
      <c r="K4403" s="6"/>
      <c r="N4403" s="2"/>
      <c r="O4403" s="2"/>
      <c r="P4403" s="2"/>
    </row>
    <row r="4404" spans="2:16" ht="14.25">
      <c r="B4404" s="4"/>
      <c r="I4404" s="5"/>
      <c r="J4404" s="5"/>
      <c r="K4404" s="6"/>
      <c r="N4404" s="2"/>
      <c r="O4404" s="2"/>
      <c r="P4404" s="2"/>
    </row>
    <row r="4405" spans="2:16" ht="14.25">
      <c r="B4405" s="4"/>
      <c r="I4405" s="5"/>
      <c r="J4405" s="5"/>
      <c r="K4405" s="6"/>
      <c r="N4405" s="2"/>
      <c r="O4405" s="2"/>
      <c r="P4405" s="2"/>
    </row>
    <row r="4406" spans="2:16" ht="14.25">
      <c r="B4406" s="4"/>
      <c r="I4406" s="5"/>
      <c r="J4406" s="5"/>
      <c r="K4406" s="6"/>
      <c r="N4406" s="2"/>
      <c r="O4406" s="2"/>
      <c r="P4406" s="2"/>
    </row>
    <row r="4407" spans="2:16" ht="14.25">
      <c r="B4407" s="4"/>
      <c r="I4407" s="5"/>
      <c r="J4407" s="5"/>
      <c r="K4407" s="6"/>
      <c r="N4407" s="2"/>
      <c r="O4407" s="2"/>
      <c r="P4407" s="2"/>
    </row>
    <row r="4408" spans="2:16" ht="14.25">
      <c r="B4408" s="4"/>
      <c r="I4408" s="5"/>
      <c r="J4408" s="5"/>
      <c r="K4408" s="6"/>
      <c r="N4408" s="2"/>
      <c r="O4408" s="2"/>
      <c r="P4408" s="2"/>
    </row>
    <row r="4409" spans="2:16" ht="14.25">
      <c r="B4409" s="4"/>
      <c r="I4409" s="5"/>
      <c r="J4409" s="5"/>
      <c r="K4409" s="6"/>
      <c r="N4409" s="2"/>
      <c r="O4409" s="2"/>
      <c r="P4409" s="2"/>
    </row>
    <row r="4410" spans="2:16" ht="14.25">
      <c r="B4410" s="4"/>
      <c r="I4410" s="5"/>
      <c r="J4410" s="5"/>
      <c r="K4410" s="6"/>
      <c r="N4410" s="2"/>
      <c r="O4410" s="2"/>
      <c r="P4410" s="2"/>
    </row>
    <row r="4411" spans="2:16" ht="14.25">
      <c r="B4411" s="4"/>
      <c r="I4411" s="5"/>
      <c r="J4411" s="5"/>
      <c r="K4411" s="6"/>
      <c r="N4411" s="2"/>
      <c r="O4411" s="2"/>
      <c r="P4411" s="2"/>
    </row>
    <row r="4412" spans="2:16" ht="14.25">
      <c r="B4412" s="4"/>
      <c r="I4412" s="5"/>
      <c r="J4412" s="5"/>
      <c r="K4412" s="6"/>
      <c r="N4412" s="2"/>
      <c r="O4412" s="2"/>
      <c r="P4412" s="2"/>
    </row>
    <row r="4413" spans="2:16" ht="14.25">
      <c r="B4413" s="4"/>
      <c r="I4413" s="5"/>
      <c r="J4413" s="5"/>
      <c r="K4413" s="6"/>
      <c r="N4413" s="2"/>
      <c r="O4413" s="2"/>
      <c r="P4413" s="2"/>
    </row>
    <row r="4414" spans="2:16" ht="14.25">
      <c r="B4414" s="4"/>
      <c r="I4414" s="5"/>
      <c r="J4414" s="5"/>
      <c r="K4414" s="6"/>
      <c r="N4414" s="2"/>
      <c r="O4414" s="2"/>
      <c r="P4414" s="2"/>
    </row>
    <row r="4415" spans="2:16" ht="14.25">
      <c r="B4415" s="4"/>
      <c r="I4415" s="5"/>
      <c r="J4415" s="5"/>
      <c r="K4415" s="6"/>
      <c r="N4415" s="2"/>
      <c r="O4415" s="2"/>
      <c r="P4415" s="2"/>
    </row>
    <row r="4416" spans="2:16" ht="14.25">
      <c r="B4416" s="4"/>
      <c r="I4416" s="5"/>
      <c r="J4416" s="5"/>
      <c r="K4416" s="6"/>
      <c r="N4416" s="2"/>
      <c r="O4416" s="2"/>
      <c r="P4416" s="2"/>
    </row>
    <row r="4417" spans="2:16" ht="14.25">
      <c r="B4417" s="4"/>
      <c r="I4417" s="5"/>
      <c r="J4417" s="5"/>
      <c r="K4417" s="6"/>
      <c r="N4417" s="2"/>
      <c r="O4417" s="2"/>
      <c r="P4417" s="2"/>
    </row>
    <row r="4418" spans="2:16" ht="14.25">
      <c r="B4418" s="4"/>
      <c r="I4418" s="5"/>
      <c r="J4418" s="5"/>
      <c r="K4418" s="6"/>
      <c r="N4418" s="2"/>
      <c r="O4418" s="2"/>
      <c r="P4418" s="2"/>
    </row>
    <row r="4419" spans="2:16" ht="14.25">
      <c r="B4419" s="4"/>
      <c r="I4419" s="5"/>
      <c r="J4419" s="5"/>
      <c r="K4419" s="6"/>
      <c r="N4419" s="2"/>
      <c r="O4419" s="2"/>
      <c r="P4419" s="2"/>
    </row>
    <row r="4420" spans="2:16" ht="14.25">
      <c r="B4420" s="4"/>
      <c r="I4420" s="5"/>
      <c r="J4420" s="5"/>
      <c r="K4420" s="6"/>
      <c r="N4420" s="2"/>
      <c r="O4420" s="2"/>
      <c r="P4420" s="2"/>
    </row>
    <row r="4421" spans="2:16" ht="14.25">
      <c r="B4421" s="4"/>
      <c r="I4421" s="5"/>
      <c r="J4421" s="5"/>
      <c r="K4421" s="6"/>
      <c r="N4421" s="2"/>
      <c r="O4421" s="2"/>
      <c r="P4421" s="2"/>
    </row>
    <row r="4422" spans="2:16" ht="14.25">
      <c r="B4422" s="4"/>
      <c r="I4422" s="5"/>
      <c r="J4422" s="5"/>
      <c r="K4422" s="6"/>
      <c r="N4422" s="2"/>
      <c r="O4422" s="2"/>
      <c r="P4422" s="2"/>
    </row>
    <row r="4423" spans="2:16" ht="14.25">
      <c r="B4423" s="4"/>
      <c r="I4423" s="5"/>
      <c r="J4423" s="5"/>
      <c r="K4423" s="6"/>
      <c r="N4423" s="2"/>
      <c r="O4423" s="2"/>
      <c r="P4423" s="2"/>
    </row>
    <row r="4424" spans="2:16" ht="14.25">
      <c r="B4424" s="4"/>
      <c r="I4424" s="5"/>
      <c r="J4424" s="5"/>
      <c r="K4424" s="6"/>
      <c r="N4424" s="2"/>
      <c r="O4424" s="2"/>
      <c r="P4424" s="2"/>
    </row>
    <row r="4425" spans="2:16" ht="14.25">
      <c r="B4425" s="4"/>
      <c r="I4425" s="5"/>
      <c r="J4425" s="5"/>
      <c r="K4425" s="6"/>
      <c r="N4425" s="2"/>
      <c r="O4425" s="2"/>
      <c r="P4425" s="2"/>
    </row>
    <row r="4426" spans="2:16" ht="14.25">
      <c r="B4426" s="4"/>
      <c r="I4426" s="5"/>
      <c r="J4426" s="5"/>
      <c r="K4426" s="6"/>
      <c r="N4426" s="2"/>
      <c r="O4426" s="2"/>
      <c r="P4426" s="2"/>
    </row>
    <row r="4427" spans="2:16" ht="14.25">
      <c r="B4427" s="4"/>
      <c r="I4427" s="5"/>
      <c r="J4427" s="5"/>
      <c r="K4427" s="6"/>
      <c r="N4427" s="2"/>
      <c r="O4427" s="2"/>
      <c r="P4427" s="2"/>
    </row>
    <row r="4428" spans="2:16" ht="14.25">
      <c r="B4428" s="4"/>
      <c r="I4428" s="5"/>
      <c r="J4428" s="5"/>
      <c r="K4428" s="6"/>
      <c r="N4428" s="2"/>
      <c r="O4428" s="2"/>
      <c r="P4428" s="2"/>
    </row>
    <row r="4429" spans="2:16" ht="14.25">
      <c r="B4429" s="4"/>
      <c r="I4429" s="5"/>
      <c r="J4429" s="5"/>
      <c r="K4429" s="6"/>
      <c r="N4429" s="2"/>
      <c r="O4429" s="2"/>
      <c r="P4429" s="2"/>
    </row>
    <row r="4430" spans="2:16" ht="14.25">
      <c r="B4430" s="4"/>
      <c r="I4430" s="5"/>
      <c r="J4430" s="5"/>
      <c r="K4430" s="6"/>
      <c r="N4430" s="2"/>
      <c r="O4430" s="2"/>
      <c r="P4430" s="2"/>
    </row>
    <row r="4431" spans="2:16" ht="14.25">
      <c r="B4431" s="4"/>
      <c r="I4431" s="5"/>
      <c r="J4431" s="5"/>
      <c r="K4431" s="6"/>
      <c r="N4431" s="2"/>
      <c r="O4431" s="2"/>
      <c r="P4431" s="2"/>
    </row>
    <row r="4432" spans="2:16" ht="14.25">
      <c r="B4432" s="4"/>
      <c r="I4432" s="5"/>
      <c r="J4432" s="5"/>
      <c r="K4432" s="6"/>
      <c r="N4432" s="2"/>
      <c r="O4432" s="2"/>
      <c r="P4432" s="2"/>
    </row>
    <row r="4433" spans="2:16" ht="14.25">
      <c r="B4433" s="4"/>
      <c r="I4433" s="5"/>
      <c r="J4433" s="5"/>
      <c r="K4433" s="6"/>
      <c r="N4433" s="2"/>
      <c r="O4433" s="2"/>
      <c r="P4433" s="2"/>
    </row>
    <row r="4434" spans="2:16" ht="14.25">
      <c r="B4434" s="4"/>
      <c r="I4434" s="5"/>
      <c r="J4434" s="5"/>
      <c r="K4434" s="6"/>
      <c r="N4434" s="2"/>
      <c r="O4434" s="2"/>
      <c r="P4434" s="2"/>
    </row>
    <row r="4435" spans="2:16" ht="14.25">
      <c r="B4435" s="4"/>
      <c r="I4435" s="5"/>
      <c r="J4435" s="5"/>
      <c r="K4435" s="6"/>
      <c r="N4435" s="2"/>
      <c r="O4435" s="2"/>
      <c r="P4435" s="2"/>
    </row>
    <row r="4436" spans="2:16" ht="14.25">
      <c r="B4436" s="4"/>
      <c r="I4436" s="5"/>
      <c r="J4436" s="5"/>
      <c r="K4436" s="6"/>
      <c r="N4436" s="2"/>
      <c r="O4436" s="2"/>
      <c r="P4436" s="2"/>
    </row>
    <row r="4437" spans="2:16" ht="14.25">
      <c r="B4437" s="4"/>
      <c r="I4437" s="5"/>
      <c r="J4437" s="5"/>
      <c r="K4437" s="6"/>
      <c r="N4437" s="2"/>
      <c r="O4437" s="2"/>
      <c r="P4437" s="2"/>
    </row>
    <row r="4438" spans="2:16" ht="14.25">
      <c r="B4438" s="4"/>
      <c r="I4438" s="5"/>
      <c r="J4438" s="5"/>
      <c r="K4438" s="6"/>
      <c r="N4438" s="2"/>
      <c r="O4438" s="2"/>
      <c r="P4438" s="2"/>
    </row>
    <row r="4439" spans="2:16" ht="14.25">
      <c r="B4439" s="4"/>
      <c r="I4439" s="5"/>
      <c r="J4439" s="5"/>
      <c r="K4439" s="6"/>
      <c r="N4439" s="2"/>
      <c r="O4439" s="2"/>
      <c r="P4439" s="2"/>
    </row>
    <row r="4440" spans="2:16" ht="14.25">
      <c r="B4440" s="4"/>
      <c r="I4440" s="5"/>
      <c r="J4440" s="5"/>
      <c r="K4440" s="6"/>
      <c r="N4440" s="2"/>
      <c r="O4440" s="2"/>
      <c r="P4440" s="2"/>
    </row>
    <row r="4441" spans="2:16" ht="14.25">
      <c r="B4441" s="4"/>
      <c r="I4441" s="5"/>
      <c r="J4441" s="5"/>
      <c r="K4441" s="6"/>
      <c r="N4441" s="2"/>
      <c r="O4441" s="2"/>
      <c r="P4441" s="2"/>
    </row>
    <row r="4442" spans="2:16" ht="14.25">
      <c r="B4442" s="4"/>
      <c r="I4442" s="5"/>
      <c r="J4442" s="5"/>
      <c r="K4442" s="6"/>
      <c r="N4442" s="2"/>
      <c r="O4442" s="2"/>
      <c r="P4442" s="2"/>
    </row>
    <row r="4443" spans="2:16" ht="14.25">
      <c r="B4443" s="4"/>
      <c r="I4443" s="5"/>
      <c r="J4443" s="5"/>
      <c r="K4443" s="6"/>
      <c r="N4443" s="2"/>
      <c r="O4443" s="2"/>
      <c r="P4443" s="2"/>
    </row>
    <row r="4444" spans="2:16" ht="14.25">
      <c r="B4444" s="4"/>
      <c r="I4444" s="5"/>
      <c r="J4444" s="5"/>
      <c r="K4444" s="6"/>
      <c r="N4444" s="2"/>
      <c r="O4444" s="2"/>
      <c r="P4444" s="2"/>
    </row>
    <row r="4445" spans="2:16" ht="14.25">
      <c r="B4445" s="4"/>
      <c r="I4445" s="5"/>
      <c r="J4445" s="5"/>
      <c r="K4445" s="6"/>
      <c r="N4445" s="2"/>
      <c r="O4445" s="2"/>
      <c r="P4445" s="2"/>
    </row>
    <row r="4446" spans="2:16" ht="14.25">
      <c r="B4446" s="4"/>
      <c r="I4446" s="5"/>
      <c r="J4446" s="5"/>
      <c r="K4446" s="6"/>
      <c r="N4446" s="2"/>
      <c r="O4446" s="2"/>
      <c r="P4446" s="2"/>
    </row>
    <row r="4447" spans="2:16" ht="14.25">
      <c r="B4447" s="4"/>
      <c r="I4447" s="5"/>
      <c r="J4447" s="5"/>
      <c r="K4447" s="6"/>
      <c r="N4447" s="2"/>
      <c r="O4447" s="2"/>
      <c r="P4447" s="2"/>
    </row>
    <row r="4448" spans="2:16" ht="14.25">
      <c r="B4448" s="4"/>
      <c r="I4448" s="5"/>
      <c r="J4448" s="5"/>
      <c r="K4448" s="6"/>
      <c r="N4448" s="2"/>
      <c r="O4448" s="2"/>
      <c r="P4448" s="2"/>
    </row>
    <row r="4449" spans="2:16" ht="14.25">
      <c r="B4449" s="4"/>
      <c r="I4449" s="5"/>
      <c r="J4449" s="5"/>
      <c r="K4449" s="6"/>
      <c r="N4449" s="2"/>
      <c r="O4449" s="2"/>
      <c r="P4449" s="2"/>
    </row>
    <row r="4450" spans="2:16" ht="14.25">
      <c r="B4450" s="4"/>
      <c r="I4450" s="5"/>
      <c r="J4450" s="5"/>
      <c r="K4450" s="6"/>
      <c r="N4450" s="2"/>
      <c r="O4450" s="2"/>
      <c r="P4450" s="2"/>
    </row>
    <row r="4451" spans="2:16" ht="14.25">
      <c r="B4451" s="4"/>
      <c r="I4451" s="5"/>
      <c r="J4451" s="5"/>
      <c r="K4451" s="6"/>
      <c r="N4451" s="2"/>
      <c r="O4451" s="2"/>
      <c r="P4451" s="2"/>
    </row>
    <row r="4452" spans="2:16" ht="14.25">
      <c r="B4452" s="4"/>
      <c r="I4452" s="5"/>
      <c r="J4452" s="5"/>
      <c r="K4452" s="6"/>
      <c r="N4452" s="2"/>
      <c r="O4452" s="2"/>
      <c r="P4452" s="2"/>
    </row>
    <row r="4453" spans="2:16" ht="14.25">
      <c r="B4453" s="4"/>
      <c r="I4453" s="5"/>
      <c r="J4453" s="5"/>
      <c r="K4453" s="6"/>
      <c r="N4453" s="2"/>
      <c r="O4453" s="2"/>
      <c r="P4453" s="2"/>
    </row>
    <row r="4454" spans="2:16" ht="14.25">
      <c r="B4454" s="4"/>
      <c r="I4454" s="5"/>
      <c r="J4454" s="5"/>
      <c r="K4454" s="6"/>
      <c r="N4454" s="2"/>
      <c r="O4454" s="2"/>
      <c r="P4454" s="2"/>
    </row>
    <row r="4455" spans="2:16" ht="14.25">
      <c r="B4455" s="4"/>
      <c r="I4455" s="5"/>
      <c r="J4455" s="5"/>
      <c r="K4455" s="6"/>
      <c r="N4455" s="2"/>
      <c r="O4455" s="2"/>
      <c r="P4455" s="2"/>
    </row>
    <row r="4456" spans="2:16" ht="14.25">
      <c r="B4456" s="4"/>
      <c r="I4456" s="5"/>
      <c r="J4456" s="5"/>
      <c r="K4456" s="6"/>
      <c r="N4456" s="2"/>
      <c r="O4456" s="2"/>
      <c r="P4456" s="2"/>
    </row>
    <row r="4457" spans="2:16" ht="14.25">
      <c r="B4457" s="4"/>
      <c r="I4457" s="5"/>
      <c r="J4457" s="5"/>
      <c r="K4457" s="6"/>
      <c r="N4457" s="2"/>
      <c r="O4457" s="2"/>
      <c r="P4457" s="2"/>
    </row>
    <row r="4458" spans="2:16" ht="14.25">
      <c r="B4458" s="4"/>
      <c r="I4458" s="5"/>
      <c r="J4458" s="5"/>
      <c r="K4458" s="6"/>
      <c r="N4458" s="2"/>
      <c r="O4458" s="2"/>
      <c r="P4458" s="2"/>
    </row>
    <row r="4459" spans="2:16" ht="14.25">
      <c r="B4459" s="4"/>
      <c r="I4459" s="5"/>
      <c r="J4459" s="5"/>
      <c r="K4459" s="6"/>
      <c r="N4459" s="2"/>
      <c r="O4459" s="2"/>
      <c r="P4459" s="2"/>
    </row>
    <row r="4460" spans="2:16" ht="14.25">
      <c r="B4460" s="4"/>
      <c r="I4460" s="5"/>
      <c r="J4460" s="5"/>
      <c r="K4460" s="6"/>
      <c r="N4460" s="2"/>
      <c r="O4460" s="2"/>
      <c r="P4460" s="2"/>
    </row>
    <row r="4461" spans="2:16" ht="14.25">
      <c r="B4461" s="4"/>
      <c r="I4461" s="5"/>
      <c r="J4461" s="5"/>
      <c r="K4461" s="6"/>
      <c r="N4461" s="2"/>
      <c r="O4461" s="2"/>
      <c r="P4461" s="2"/>
    </row>
    <row r="4462" spans="2:16" ht="14.25">
      <c r="B4462" s="4"/>
      <c r="I4462" s="5"/>
      <c r="J4462" s="5"/>
      <c r="K4462" s="6"/>
      <c r="N4462" s="2"/>
      <c r="O4462" s="2"/>
      <c r="P4462" s="2"/>
    </row>
    <row r="4463" spans="2:16" ht="14.25">
      <c r="B4463" s="4"/>
      <c r="I4463" s="5"/>
      <c r="J4463" s="5"/>
      <c r="K4463" s="6"/>
      <c r="N4463" s="2"/>
      <c r="O4463" s="2"/>
      <c r="P4463" s="2"/>
    </row>
    <row r="4464" spans="2:16" ht="14.25">
      <c r="B4464" s="4"/>
      <c r="I4464" s="5"/>
      <c r="J4464" s="5"/>
      <c r="K4464" s="6"/>
      <c r="N4464" s="2"/>
      <c r="O4464" s="2"/>
      <c r="P4464" s="2"/>
    </row>
    <row r="4465" spans="2:16" ht="14.25">
      <c r="B4465" s="4"/>
      <c r="I4465" s="5"/>
      <c r="J4465" s="5"/>
      <c r="K4465" s="6"/>
      <c r="N4465" s="2"/>
      <c r="O4465" s="2"/>
      <c r="P4465" s="2"/>
    </row>
    <row r="4466" spans="2:16" ht="14.25">
      <c r="B4466" s="4"/>
      <c r="I4466" s="5"/>
      <c r="J4466" s="5"/>
      <c r="K4466" s="6"/>
      <c r="N4466" s="2"/>
      <c r="O4466" s="2"/>
      <c r="P4466" s="2"/>
    </row>
    <row r="4467" spans="2:16" ht="14.25">
      <c r="B4467" s="4"/>
      <c r="I4467" s="5"/>
      <c r="J4467" s="5"/>
      <c r="K4467" s="6"/>
      <c r="N4467" s="2"/>
      <c r="O4467" s="2"/>
      <c r="P4467" s="2"/>
    </row>
    <row r="4468" spans="2:16" ht="14.25">
      <c r="B4468" s="4"/>
      <c r="I4468" s="5"/>
      <c r="J4468" s="5"/>
      <c r="K4468" s="6"/>
      <c r="N4468" s="2"/>
      <c r="O4468" s="2"/>
      <c r="P4468" s="2"/>
    </row>
    <row r="4469" spans="2:16" ht="14.25">
      <c r="B4469" s="4"/>
      <c r="I4469" s="5"/>
      <c r="J4469" s="5"/>
      <c r="K4469" s="6"/>
      <c r="N4469" s="2"/>
      <c r="O4469" s="2"/>
      <c r="P4469" s="2"/>
    </row>
    <row r="4470" spans="2:16" ht="14.25">
      <c r="B4470" s="4"/>
      <c r="I4470" s="5"/>
      <c r="J4470" s="5"/>
      <c r="K4470" s="6"/>
      <c r="N4470" s="2"/>
      <c r="O4470" s="2"/>
      <c r="P4470" s="2"/>
    </row>
    <row r="4471" spans="2:16" ht="14.25">
      <c r="B4471" s="4"/>
      <c r="I4471" s="5"/>
      <c r="J4471" s="5"/>
      <c r="K4471" s="6"/>
      <c r="N4471" s="2"/>
      <c r="O4471" s="2"/>
      <c r="P4471" s="2"/>
    </row>
    <row r="4472" spans="2:16" ht="14.25">
      <c r="B4472" s="4"/>
      <c r="I4472" s="5"/>
      <c r="J4472" s="5"/>
      <c r="K4472" s="6"/>
      <c r="N4472" s="2"/>
      <c r="O4472" s="2"/>
      <c r="P4472" s="2"/>
    </row>
    <row r="4473" spans="2:16" ht="14.25">
      <c r="B4473" s="4"/>
      <c r="I4473" s="5"/>
      <c r="J4473" s="5"/>
      <c r="K4473" s="6"/>
      <c r="N4473" s="2"/>
      <c r="O4473" s="2"/>
      <c r="P4473" s="2"/>
    </row>
    <row r="4474" spans="2:16" ht="14.25">
      <c r="B4474" s="4"/>
      <c r="I4474" s="5"/>
      <c r="J4474" s="5"/>
      <c r="K4474" s="6"/>
      <c r="N4474" s="2"/>
      <c r="O4474" s="2"/>
      <c r="P4474" s="2"/>
    </row>
    <row r="4475" spans="2:16" ht="14.25">
      <c r="B4475" s="4"/>
      <c r="I4475" s="5"/>
      <c r="J4475" s="5"/>
      <c r="K4475" s="6"/>
      <c r="N4475" s="2"/>
      <c r="O4475" s="2"/>
      <c r="P4475" s="2"/>
    </row>
    <row r="4476" spans="2:16" ht="14.25">
      <c r="B4476" s="4"/>
      <c r="I4476" s="5"/>
      <c r="J4476" s="5"/>
      <c r="K4476" s="6"/>
      <c r="N4476" s="2"/>
      <c r="O4476" s="2"/>
      <c r="P4476" s="2"/>
    </row>
    <row r="4477" spans="2:16" ht="14.25">
      <c r="B4477" s="4"/>
      <c r="I4477" s="5"/>
      <c r="J4477" s="5"/>
      <c r="K4477" s="6"/>
      <c r="N4477" s="2"/>
      <c r="O4477" s="2"/>
      <c r="P4477" s="2"/>
    </row>
    <row r="4478" spans="2:16" ht="14.25">
      <c r="B4478" s="4"/>
      <c r="I4478" s="5"/>
      <c r="J4478" s="5"/>
      <c r="K4478" s="6"/>
      <c r="N4478" s="2"/>
      <c r="O4478" s="2"/>
      <c r="P4478" s="2"/>
    </row>
    <row r="4479" spans="2:16" ht="14.25">
      <c r="B4479" s="4"/>
      <c r="I4479" s="5"/>
      <c r="J4479" s="5"/>
      <c r="K4479" s="6"/>
      <c r="N4479" s="2"/>
      <c r="O4479" s="2"/>
      <c r="P4479" s="2"/>
    </row>
    <row r="4480" spans="2:16" ht="14.25">
      <c r="B4480" s="4"/>
      <c r="I4480" s="5"/>
      <c r="J4480" s="5"/>
      <c r="K4480" s="6"/>
      <c r="N4480" s="2"/>
      <c r="O4480" s="2"/>
      <c r="P4480" s="2"/>
    </row>
    <row r="4481" spans="2:16" ht="14.25">
      <c r="B4481" s="4"/>
      <c r="I4481" s="5"/>
      <c r="J4481" s="5"/>
      <c r="K4481" s="6"/>
      <c r="N4481" s="2"/>
      <c r="O4481" s="2"/>
      <c r="P4481" s="2"/>
    </row>
    <row r="4482" spans="2:16" ht="14.25">
      <c r="B4482" s="4"/>
      <c r="I4482" s="5"/>
      <c r="J4482" s="5"/>
      <c r="K4482" s="6"/>
      <c r="N4482" s="2"/>
      <c r="O4482" s="2"/>
      <c r="P4482" s="2"/>
    </row>
    <row r="4483" spans="2:16" ht="14.25">
      <c r="B4483" s="4"/>
      <c r="I4483" s="5"/>
      <c r="J4483" s="5"/>
      <c r="K4483" s="6"/>
      <c r="N4483" s="2"/>
      <c r="O4483" s="2"/>
      <c r="P4483" s="2"/>
    </row>
    <row r="4484" spans="2:16" ht="14.25">
      <c r="B4484" s="4"/>
      <c r="I4484" s="5"/>
      <c r="J4484" s="5"/>
      <c r="K4484" s="6"/>
      <c r="N4484" s="2"/>
      <c r="O4484" s="2"/>
      <c r="P4484" s="2"/>
    </row>
    <row r="4485" spans="2:16" ht="14.25">
      <c r="B4485" s="4"/>
      <c r="I4485" s="5"/>
      <c r="J4485" s="5"/>
      <c r="K4485" s="6"/>
      <c r="N4485" s="2"/>
      <c r="O4485" s="2"/>
      <c r="P4485" s="2"/>
    </row>
    <row r="4486" spans="2:16" ht="14.25">
      <c r="B4486" s="4"/>
      <c r="I4486" s="5"/>
      <c r="J4486" s="5"/>
      <c r="K4486" s="6"/>
      <c r="N4486" s="2"/>
      <c r="O4486" s="2"/>
      <c r="P4486" s="2"/>
    </row>
    <row r="4487" spans="2:16" ht="14.25">
      <c r="B4487" s="4"/>
      <c r="I4487" s="5"/>
      <c r="J4487" s="5"/>
      <c r="K4487" s="6"/>
      <c r="N4487" s="2"/>
      <c r="O4487" s="2"/>
      <c r="P4487" s="2"/>
    </row>
    <row r="4488" spans="2:16" ht="14.25">
      <c r="B4488" s="4"/>
      <c r="I4488" s="5"/>
      <c r="J4488" s="5"/>
      <c r="K4488" s="6"/>
      <c r="N4488" s="2"/>
      <c r="O4488" s="2"/>
      <c r="P4488" s="2"/>
    </row>
    <row r="4489" spans="2:16" ht="14.25">
      <c r="B4489" s="4"/>
      <c r="I4489" s="5"/>
      <c r="J4489" s="5"/>
      <c r="K4489" s="6"/>
      <c r="N4489" s="2"/>
      <c r="O4489" s="2"/>
      <c r="P4489" s="2"/>
    </row>
    <row r="4490" spans="2:16" ht="14.25">
      <c r="B4490" s="4"/>
      <c r="I4490" s="5"/>
      <c r="J4490" s="5"/>
      <c r="K4490" s="6"/>
      <c r="N4490" s="2"/>
      <c r="O4490" s="2"/>
      <c r="P4490" s="2"/>
    </row>
    <row r="4491" spans="2:16" ht="14.25">
      <c r="B4491" s="4"/>
      <c r="I4491" s="5"/>
      <c r="J4491" s="5"/>
      <c r="K4491" s="6"/>
      <c r="N4491" s="2"/>
      <c r="O4491" s="2"/>
      <c r="P4491" s="2"/>
    </row>
    <row r="4492" spans="2:16" ht="14.25">
      <c r="B4492" s="4"/>
      <c r="I4492" s="5"/>
      <c r="J4492" s="5"/>
      <c r="K4492" s="6"/>
      <c r="N4492" s="2"/>
      <c r="O4492" s="2"/>
      <c r="P4492" s="2"/>
    </row>
    <row r="4493" spans="2:16" ht="14.25">
      <c r="B4493" s="4"/>
      <c r="I4493" s="5"/>
      <c r="J4493" s="5"/>
      <c r="K4493" s="6"/>
      <c r="N4493" s="2"/>
      <c r="O4493" s="2"/>
      <c r="P4493" s="2"/>
    </row>
    <row r="4494" spans="2:16" ht="14.25">
      <c r="B4494" s="4"/>
      <c r="I4494" s="5"/>
      <c r="J4494" s="5"/>
      <c r="K4494" s="6"/>
      <c r="N4494" s="2"/>
      <c r="O4494" s="2"/>
      <c r="P4494" s="2"/>
    </row>
    <row r="4495" spans="2:16" ht="14.25">
      <c r="B4495" s="4"/>
      <c r="I4495" s="5"/>
      <c r="J4495" s="5"/>
      <c r="K4495" s="6"/>
      <c r="N4495" s="2"/>
      <c r="O4495" s="2"/>
      <c r="P4495" s="2"/>
    </row>
    <row r="4496" spans="2:16" ht="14.25">
      <c r="B4496" s="4"/>
      <c r="I4496" s="5"/>
      <c r="J4496" s="5"/>
      <c r="K4496" s="6"/>
      <c r="N4496" s="2"/>
      <c r="O4496" s="2"/>
      <c r="P4496" s="2"/>
    </row>
    <row r="4497" spans="2:16" ht="14.25">
      <c r="B4497" s="4"/>
      <c r="I4497" s="5"/>
      <c r="J4497" s="5"/>
      <c r="K4497" s="6"/>
      <c r="N4497" s="2"/>
      <c r="O4497" s="2"/>
      <c r="P4497" s="2"/>
    </row>
    <row r="4498" spans="2:16" ht="14.25">
      <c r="B4498" s="4"/>
      <c r="I4498" s="5"/>
      <c r="J4498" s="5"/>
      <c r="K4498" s="6"/>
      <c r="N4498" s="2"/>
      <c r="O4498" s="2"/>
      <c r="P4498" s="2"/>
    </row>
    <row r="4499" spans="2:16" ht="14.25">
      <c r="B4499" s="4"/>
      <c r="I4499" s="5"/>
      <c r="J4499" s="5"/>
      <c r="K4499" s="6"/>
      <c r="N4499" s="2"/>
      <c r="O4499" s="2"/>
      <c r="P4499" s="2"/>
    </row>
    <row r="4500" spans="2:16" ht="14.25">
      <c r="B4500" s="4"/>
      <c r="I4500" s="5"/>
      <c r="J4500" s="5"/>
      <c r="K4500" s="6"/>
      <c r="N4500" s="2"/>
      <c r="O4500" s="2"/>
      <c r="P4500" s="2"/>
    </row>
    <row r="4501" spans="2:16" ht="14.25">
      <c r="B4501" s="4"/>
      <c r="I4501" s="5"/>
      <c r="J4501" s="5"/>
      <c r="K4501" s="6"/>
      <c r="N4501" s="2"/>
      <c r="O4501" s="2"/>
      <c r="P4501" s="2"/>
    </row>
    <row r="4502" spans="2:16" ht="14.25">
      <c r="B4502" s="4"/>
      <c r="I4502" s="5"/>
      <c r="J4502" s="5"/>
      <c r="K4502" s="6"/>
      <c r="N4502" s="2"/>
      <c r="O4502" s="2"/>
      <c r="P4502" s="2"/>
    </row>
    <row r="4503" spans="2:16" ht="14.25">
      <c r="B4503" s="4"/>
      <c r="I4503" s="5"/>
      <c r="J4503" s="5"/>
      <c r="K4503" s="6"/>
      <c r="N4503" s="2"/>
      <c r="O4503" s="2"/>
      <c r="P4503" s="2"/>
    </row>
    <row r="4504" spans="2:16" ht="14.25">
      <c r="B4504" s="4"/>
      <c r="I4504" s="5"/>
      <c r="J4504" s="5"/>
      <c r="K4504" s="6"/>
      <c r="N4504" s="2"/>
      <c r="O4504" s="2"/>
      <c r="P4504" s="2"/>
    </row>
    <row r="4505" spans="2:16" ht="14.25">
      <c r="B4505" s="4"/>
      <c r="I4505" s="5"/>
      <c r="J4505" s="5"/>
      <c r="K4505" s="6"/>
      <c r="N4505" s="2"/>
      <c r="O4505" s="2"/>
      <c r="P4505" s="2"/>
    </row>
    <row r="4506" spans="2:16" ht="14.25">
      <c r="B4506" s="4"/>
      <c r="I4506" s="5"/>
      <c r="J4506" s="5"/>
      <c r="K4506" s="6"/>
      <c r="N4506" s="2"/>
      <c r="O4506" s="2"/>
      <c r="P4506" s="2"/>
    </row>
    <row r="4507" spans="2:16" ht="14.25">
      <c r="B4507" s="4"/>
      <c r="I4507" s="5"/>
      <c r="J4507" s="5"/>
      <c r="K4507" s="6"/>
      <c r="N4507" s="2"/>
      <c r="O4507" s="2"/>
      <c r="P4507" s="2"/>
    </row>
    <row r="4508" spans="2:16" ht="14.25">
      <c r="B4508" s="4"/>
      <c r="I4508" s="5"/>
      <c r="J4508" s="5"/>
      <c r="K4508" s="6"/>
      <c r="N4508" s="2"/>
      <c r="O4508" s="2"/>
      <c r="P4508" s="2"/>
    </row>
    <row r="4509" spans="2:16" ht="14.25">
      <c r="B4509" s="4"/>
      <c r="I4509" s="5"/>
      <c r="J4509" s="5"/>
      <c r="K4509" s="6"/>
      <c r="N4509" s="2"/>
      <c r="O4509" s="2"/>
      <c r="P4509" s="2"/>
    </row>
    <row r="4510" spans="2:16" ht="14.25">
      <c r="B4510" s="4"/>
      <c r="I4510" s="5"/>
      <c r="J4510" s="5"/>
      <c r="K4510" s="6"/>
      <c r="N4510" s="2"/>
      <c r="O4510" s="2"/>
      <c r="P4510" s="2"/>
    </row>
    <row r="4511" spans="2:16" ht="14.25">
      <c r="B4511" s="4"/>
      <c r="I4511" s="5"/>
      <c r="J4511" s="5"/>
      <c r="K4511" s="6"/>
      <c r="N4511" s="2"/>
      <c r="O4511" s="2"/>
      <c r="P4511" s="2"/>
    </row>
    <row r="4512" spans="2:16" ht="14.25">
      <c r="B4512" s="4"/>
      <c r="I4512" s="5"/>
      <c r="J4512" s="5"/>
      <c r="K4512" s="6"/>
      <c r="N4512" s="2"/>
      <c r="O4512" s="2"/>
      <c r="P4512" s="2"/>
    </row>
    <row r="4513" spans="2:16" ht="14.25">
      <c r="B4513" s="4"/>
      <c r="I4513" s="5"/>
      <c r="J4513" s="5"/>
      <c r="K4513" s="6"/>
      <c r="N4513" s="2"/>
      <c r="O4513" s="2"/>
      <c r="P4513" s="2"/>
    </row>
    <row r="4514" spans="2:16" ht="14.25">
      <c r="B4514" s="4"/>
      <c r="I4514" s="5"/>
      <c r="J4514" s="5"/>
      <c r="K4514" s="6"/>
      <c r="N4514" s="2"/>
      <c r="O4514" s="2"/>
      <c r="P4514" s="2"/>
    </row>
    <row r="4515" spans="2:16" ht="14.25">
      <c r="B4515" s="4"/>
      <c r="I4515" s="5"/>
      <c r="J4515" s="5"/>
      <c r="K4515" s="6"/>
      <c r="N4515" s="2"/>
      <c r="O4515" s="2"/>
      <c r="P4515" s="2"/>
    </row>
    <row r="4516" spans="2:16" ht="14.25">
      <c r="B4516" s="4"/>
      <c r="I4516" s="5"/>
      <c r="J4516" s="5"/>
      <c r="K4516" s="6"/>
      <c r="N4516" s="2"/>
      <c r="O4516" s="2"/>
      <c r="P4516" s="2"/>
    </row>
    <row r="4517" spans="2:16" ht="14.25">
      <c r="B4517" s="4"/>
      <c r="I4517" s="5"/>
      <c r="J4517" s="5"/>
      <c r="K4517" s="6"/>
      <c r="N4517" s="2"/>
      <c r="O4517" s="2"/>
      <c r="P4517" s="2"/>
    </row>
    <row r="4518" spans="2:16" ht="14.25">
      <c r="B4518" s="4"/>
      <c r="I4518" s="5"/>
      <c r="J4518" s="5"/>
      <c r="K4518" s="6"/>
      <c r="N4518" s="2"/>
      <c r="O4518" s="2"/>
      <c r="P4518" s="2"/>
    </row>
    <row r="4519" spans="2:16" ht="14.25">
      <c r="B4519" s="4"/>
      <c r="I4519" s="5"/>
      <c r="J4519" s="5"/>
      <c r="K4519" s="6"/>
      <c r="N4519" s="2"/>
      <c r="O4519" s="2"/>
      <c r="P4519" s="2"/>
    </row>
    <row r="4520" spans="2:16" ht="14.25">
      <c r="B4520" s="4"/>
      <c r="I4520" s="5"/>
      <c r="J4520" s="5"/>
      <c r="K4520" s="6"/>
      <c r="N4520" s="2"/>
      <c r="O4520" s="2"/>
      <c r="P4520" s="2"/>
    </row>
    <row r="4521" spans="2:16" ht="14.25">
      <c r="B4521" s="4"/>
      <c r="I4521" s="5"/>
      <c r="J4521" s="5"/>
      <c r="K4521" s="6"/>
      <c r="N4521" s="2"/>
      <c r="O4521" s="2"/>
      <c r="P4521" s="2"/>
    </row>
    <row r="4522" spans="2:16" ht="14.25">
      <c r="B4522" s="4"/>
      <c r="I4522" s="5"/>
      <c r="J4522" s="5"/>
      <c r="K4522" s="6"/>
      <c r="N4522" s="2"/>
      <c r="O4522" s="2"/>
      <c r="P4522" s="2"/>
    </row>
    <row r="4523" spans="2:16" ht="14.25">
      <c r="B4523" s="4"/>
      <c r="I4523" s="5"/>
      <c r="J4523" s="5"/>
      <c r="K4523" s="6"/>
      <c r="N4523" s="2"/>
      <c r="O4523" s="2"/>
      <c r="P4523" s="2"/>
    </row>
    <row r="4524" spans="2:16" ht="14.25">
      <c r="B4524" s="4"/>
      <c r="I4524" s="5"/>
      <c r="J4524" s="5"/>
      <c r="K4524" s="6"/>
      <c r="N4524" s="2"/>
      <c r="O4524" s="2"/>
      <c r="P4524" s="2"/>
    </row>
    <row r="4525" spans="2:16" ht="14.25">
      <c r="B4525" s="4"/>
      <c r="I4525" s="5"/>
      <c r="J4525" s="5"/>
      <c r="K4525" s="6"/>
      <c r="N4525" s="2"/>
      <c r="O4525" s="2"/>
      <c r="P4525" s="2"/>
    </row>
    <row r="4526" spans="2:16" ht="14.25">
      <c r="B4526" s="4"/>
      <c r="I4526" s="5"/>
      <c r="J4526" s="5"/>
      <c r="K4526" s="6"/>
      <c r="N4526" s="2"/>
      <c r="O4526" s="2"/>
      <c r="P4526" s="2"/>
    </row>
    <row r="4527" spans="2:16" ht="14.25">
      <c r="B4527" s="4"/>
      <c r="I4527" s="5"/>
      <c r="J4527" s="5"/>
      <c r="K4527" s="6"/>
      <c r="N4527" s="2"/>
      <c r="O4527" s="2"/>
      <c r="P4527" s="2"/>
    </row>
    <row r="4528" spans="2:16" ht="14.25">
      <c r="B4528" s="4"/>
      <c r="I4528" s="5"/>
      <c r="J4528" s="5"/>
      <c r="K4528" s="6"/>
      <c r="N4528" s="2"/>
      <c r="O4528" s="2"/>
      <c r="P4528" s="2"/>
    </row>
    <row r="4529" spans="2:16" ht="14.25">
      <c r="B4529" s="4"/>
      <c r="I4529" s="5"/>
      <c r="J4529" s="5"/>
      <c r="K4529" s="6"/>
      <c r="N4529" s="2"/>
      <c r="O4529" s="2"/>
      <c r="P4529" s="2"/>
    </row>
    <row r="4530" spans="2:16" ht="14.25">
      <c r="B4530" s="4"/>
      <c r="I4530" s="5"/>
      <c r="J4530" s="5"/>
      <c r="K4530" s="6"/>
      <c r="N4530" s="2"/>
      <c r="O4530" s="2"/>
      <c r="P4530" s="2"/>
    </row>
    <row r="4531" spans="2:16" ht="14.25">
      <c r="B4531" s="4"/>
      <c r="I4531" s="5"/>
      <c r="J4531" s="5"/>
      <c r="K4531" s="6"/>
      <c r="N4531" s="2"/>
      <c r="O4531" s="2"/>
      <c r="P4531" s="2"/>
    </row>
    <row r="4532" spans="2:16" ht="14.25">
      <c r="B4532" s="4"/>
      <c r="I4532" s="5"/>
      <c r="J4532" s="5"/>
      <c r="K4532" s="6"/>
      <c r="N4532" s="2"/>
      <c r="O4532" s="2"/>
      <c r="P4532" s="2"/>
    </row>
    <row r="4533" spans="2:16" ht="14.25">
      <c r="B4533" s="4"/>
      <c r="I4533" s="5"/>
      <c r="J4533" s="5"/>
      <c r="K4533" s="6"/>
      <c r="N4533" s="2"/>
      <c r="O4533" s="2"/>
      <c r="P4533" s="2"/>
    </row>
    <row r="4534" spans="2:16" ht="14.25">
      <c r="B4534" s="4"/>
      <c r="I4534" s="5"/>
      <c r="J4534" s="5"/>
      <c r="K4534" s="6"/>
      <c r="N4534" s="2"/>
      <c r="O4534" s="2"/>
      <c r="P4534" s="2"/>
    </row>
    <row r="4535" spans="2:16" ht="14.25">
      <c r="B4535" s="4"/>
      <c r="I4535" s="5"/>
      <c r="J4535" s="5"/>
      <c r="K4535" s="6"/>
      <c r="N4535" s="2"/>
      <c r="O4535" s="2"/>
      <c r="P4535" s="2"/>
    </row>
    <row r="4536" spans="2:16" ht="14.25">
      <c r="B4536" s="4"/>
      <c r="I4536" s="5"/>
      <c r="J4536" s="5"/>
      <c r="K4536" s="6"/>
      <c r="N4536" s="2"/>
      <c r="O4536" s="2"/>
      <c r="P4536" s="2"/>
    </row>
    <row r="4537" spans="2:16" ht="14.25">
      <c r="B4537" s="4"/>
      <c r="I4537" s="5"/>
      <c r="J4537" s="5"/>
      <c r="K4537" s="6"/>
      <c r="N4537" s="2"/>
      <c r="O4537" s="2"/>
      <c r="P4537" s="2"/>
    </row>
    <row r="4538" spans="2:16" ht="14.25">
      <c r="B4538" s="4"/>
      <c r="I4538" s="5"/>
      <c r="J4538" s="5"/>
      <c r="K4538" s="6"/>
      <c r="N4538" s="2"/>
      <c r="O4538" s="2"/>
      <c r="P4538" s="2"/>
    </row>
    <row r="4539" spans="2:16" ht="14.25">
      <c r="B4539" s="4"/>
      <c r="I4539" s="5"/>
      <c r="J4539" s="5"/>
      <c r="K4539" s="6"/>
      <c r="N4539" s="2"/>
      <c r="O4539" s="2"/>
      <c r="P4539" s="2"/>
    </row>
    <row r="4540" spans="2:16" ht="14.25">
      <c r="B4540" s="4"/>
      <c r="I4540" s="5"/>
      <c r="J4540" s="5"/>
      <c r="K4540" s="6"/>
      <c r="N4540" s="2"/>
      <c r="O4540" s="2"/>
      <c r="P4540" s="2"/>
    </row>
    <row r="4541" spans="2:16" ht="14.25">
      <c r="B4541" s="4"/>
      <c r="I4541" s="5"/>
      <c r="J4541" s="5"/>
      <c r="K4541" s="6"/>
      <c r="N4541" s="2"/>
      <c r="O4541" s="2"/>
      <c r="P4541" s="2"/>
    </row>
    <row r="4542" spans="2:16" ht="14.25">
      <c r="B4542" s="4"/>
      <c r="I4542" s="5"/>
      <c r="J4542" s="5"/>
      <c r="K4542" s="6"/>
      <c r="N4542" s="2"/>
      <c r="O4542" s="2"/>
      <c r="P4542" s="2"/>
    </row>
    <row r="4543" spans="2:16" ht="14.25">
      <c r="B4543" s="4"/>
      <c r="I4543" s="5"/>
      <c r="J4543" s="5"/>
      <c r="K4543" s="6"/>
      <c r="N4543" s="2"/>
      <c r="O4543" s="2"/>
      <c r="P4543" s="2"/>
    </row>
    <row r="4544" spans="2:16" ht="14.25">
      <c r="B4544" s="4"/>
      <c r="I4544" s="5"/>
      <c r="J4544" s="5"/>
      <c r="K4544" s="6"/>
      <c r="N4544" s="2"/>
      <c r="O4544" s="2"/>
      <c r="P4544" s="2"/>
    </row>
    <row r="4545" spans="2:16" ht="14.25">
      <c r="B4545" s="4"/>
      <c r="I4545" s="5"/>
      <c r="J4545" s="5"/>
      <c r="K4545" s="6"/>
      <c r="N4545" s="2"/>
      <c r="O4545" s="2"/>
      <c r="P4545" s="2"/>
    </row>
    <row r="4546" spans="2:16" ht="14.25">
      <c r="B4546" s="4"/>
      <c r="I4546" s="5"/>
      <c r="J4546" s="5"/>
      <c r="K4546" s="6"/>
      <c r="N4546" s="2"/>
      <c r="O4546" s="2"/>
      <c r="P4546" s="2"/>
    </row>
    <row r="4547" spans="2:16" ht="14.25">
      <c r="B4547" s="4"/>
      <c r="I4547" s="5"/>
      <c r="J4547" s="5"/>
      <c r="K4547" s="6"/>
      <c r="N4547" s="2"/>
      <c r="O4547" s="2"/>
      <c r="P4547" s="2"/>
    </row>
    <row r="4548" spans="2:16" ht="14.25">
      <c r="B4548" s="4"/>
      <c r="I4548" s="5"/>
      <c r="J4548" s="5"/>
      <c r="K4548" s="6"/>
      <c r="N4548" s="2"/>
      <c r="O4548" s="2"/>
      <c r="P4548" s="2"/>
    </row>
    <row r="4549" spans="2:16" ht="14.25">
      <c r="B4549" s="4"/>
      <c r="I4549" s="5"/>
      <c r="J4549" s="5"/>
      <c r="K4549" s="6"/>
      <c r="N4549" s="2"/>
      <c r="O4549" s="2"/>
      <c r="P4549" s="2"/>
    </row>
    <row r="4550" spans="2:16" ht="14.25">
      <c r="B4550" s="4"/>
      <c r="I4550" s="5"/>
      <c r="J4550" s="5"/>
      <c r="K4550" s="6"/>
      <c r="N4550" s="2"/>
      <c r="O4550" s="2"/>
      <c r="P4550" s="2"/>
    </row>
    <row r="4551" spans="2:16" ht="14.25">
      <c r="B4551" s="4"/>
      <c r="I4551" s="5"/>
      <c r="J4551" s="5"/>
      <c r="K4551" s="6"/>
      <c r="N4551" s="2"/>
      <c r="O4551" s="2"/>
      <c r="P4551" s="2"/>
    </row>
    <row r="4552" spans="2:16" ht="14.25">
      <c r="B4552" s="4"/>
      <c r="I4552" s="5"/>
      <c r="J4552" s="5"/>
      <c r="K4552" s="6"/>
      <c r="N4552" s="2"/>
      <c r="O4552" s="2"/>
      <c r="P4552" s="2"/>
    </row>
    <row r="4553" spans="2:16" ht="14.25">
      <c r="B4553" s="4"/>
      <c r="I4553" s="5"/>
      <c r="J4553" s="5"/>
      <c r="K4553" s="6"/>
      <c r="N4553" s="2"/>
      <c r="O4553" s="2"/>
      <c r="P4553" s="2"/>
    </row>
    <row r="4554" spans="2:16" ht="14.25">
      <c r="B4554" s="4"/>
      <c r="I4554" s="5"/>
      <c r="J4554" s="5"/>
      <c r="K4554" s="6"/>
      <c r="N4554" s="2"/>
      <c r="O4554" s="2"/>
      <c r="P4554" s="2"/>
    </row>
    <row r="4555" spans="2:16" ht="14.25">
      <c r="B4555" s="4"/>
      <c r="I4555" s="5"/>
      <c r="J4555" s="5"/>
      <c r="K4555" s="6"/>
      <c r="N4555" s="2"/>
      <c r="O4555" s="2"/>
      <c r="P4555" s="2"/>
    </row>
    <row r="4556" spans="2:16" ht="14.25">
      <c r="B4556" s="4"/>
      <c r="I4556" s="5"/>
      <c r="J4556" s="5"/>
      <c r="K4556" s="6"/>
      <c r="N4556" s="2"/>
      <c r="O4556" s="2"/>
      <c r="P4556" s="2"/>
    </row>
    <row r="4557" spans="2:16" ht="14.25">
      <c r="B4557" s="4"/>
      <c r="I4557" s="5"/>
      <c r="J4557" s="5"/>
      <c r="K4557" s="6"/>
      <c r="N4557" s="2"/>
      <c r="O4557" s="2"/>
      <c r="P4557" s="2"/>
    </row>
    <row r="4558" spans="2:16" ht="14.25">
      <c r="B4558" s="4"/>
      <c r="I4558" s="5"/>
      <c r="J4558" s="5"/>
      <c r="K4558" s="6"/>
      <c r="N4558" s="2"/>
      <c r="O4558" s="2"/>
      <c r="P4558" s="2"/>
    </row>
    <row r="4559" spans="2:16" ht="14.25">
      <c r="B4559" s="4"/>
      <c r="I4559" s="5"/>
      <c r="J4559" s="5"/>
      <c r="K4559" s="6"/>
      <c r="N4559" s="2"/>
      <c r="O4559" s="2"/>
      <c r="P4559" s="2"/>
    </row>
    <row r="4560" spans="2:16" ht="14.25">
      <c r="B4560" s="4"/>
      <c r="I4560" s="5"/>
      <c r="J4560" s="5"/>
      <c r="K4560" s="6"/>
      <c r="N4560" s="2"/>
      <c r="O4560" s="2"/>
      <c r="P4560" s="2"/>
    </row>
    <row r="4561" spans="2:16" ht="14.25">
      <c r="B4561" s="4"/>
      <c r="I4561" s="5"/>
      <c r="J4561" s="5"/>
      <c r="K4561" s="6"/>
      <c r="N4561" s="2"/>
      <c r="O4561" s="2"/>
      <c r="P4561" s="2"/>
    </row>
    <row r="4562" spans="2:16" ht="14.25">
      <c r="B4562" s="4"/>
      <c r="I4562" s="5"/>
      <c r="J4562" s="5"/>
      <c r="K4562" s="6"/>
      <c r="N4562" s="2"/>
      <c r="O4562" s="2"/>
      <c r="P4562" s="2"/>
    </row>
    <row r="4563" spans="2:16" ht="14.25">
      <c r="B4563" s="4"/>
      <c r="I4563" s="5"/>
      <c r="J4563" s="5"/>
      <c r="K4563" s="6"/>
      <c r="N4563" s="2"/>
      <c r="O4563" s="2"/>
      <c r="P4563" s="2"/>
    </row>
    <row r="4564" spans="2:16" ht="14.25">
      <c r="B4564" s="4"/>
      <c r="I4564" s="5"/>
      <c r="J4564" s="5"/>
      <c r="K4564" s="6"/>
      <c r="N4564" s="2"/>
      <c r="O4564" s="2"/>
      <c r="P4564" s="2"/>
    </row>
    <row r="4565" spans="2:16" ht="14.25">
      <c r="B4565" s="4"/>
      <c r="I4565" s="5"/>
      <c r="J4565" s="5"/>
      <c r="K4565" s="6"/>
      <c r="N4565" s="2"/>
      <c r="O4565" s="2"/>
      <c r="P4565" s="2"/>
    </row>
    <row r="4566" spans="2:16" ht="14.25">
      <c r="B4566" s="4"/>
      <c r="I4566" s="5"/>
      <c r="J4566" s="5"/>
      <c r="K4566" s="6"/>
      <c r="N4566" s="2"/>
      <c r="O4566" s="2"/>
      <c r="P4566" s="2"/>
    </row>
    <row r="4567" spans="2:16" ht="14.25">
      <c r="B4567" s="4"/>
      <c r="I4567" s="5"/>
      <c r="J4567" s="5"/>
      <c r="K4567" s="6"/>
      <c r="N4567" s="2"/>
      <c r="O4567" s="2"/>
      <c r="P4567" s="2"/>
    </row>
    <row r="4568" spans="2:16" ht="14.25">
      <c r="B4568" s="4"/>
      <c r="I4568" s="5"/>
      <c r="J4568" s="5"/>
      <c r="K4568" s="6"/>
      <c r="N4568" s="2"/>
      <c r="O4568" s="2"/>
      <c r="P4568" s="2"/>
    </row>
    <row r="4569" spans="2:16" ht="14.25">
      <c r="B4569" s="4"/>
      <c r="I4569" s="5"/>
      <c r="J4569" s="5"/>
      <c r="K4569" s="6"/>
      <c r="N4569" s="2"/>
      <c r="O4569" s="2"/>
      <c r="P4569" s="2"/>
    </row>
    <row r="4570" spans="2:16" ht="14.25">
      <c r="B4570" s="4"/>
      <c r="I4570" s="5"/>
      <c r="J4570" s="5"/>
      <c r="K4570" s="6"/>
      <c r="N4570" s="2"/>
      <c r="O4570" s="2"/>
      <c r="P4570" s="2"/>
    </row>
    <row r="4571" spans="2:16" ht="14.25">
      <c r="B4571" s="4"/>
      <c r="I4571" s="5"/>
      <c r="J4571" s="5"/>
      <c r="K4571" s="6"/>
      <c r="N4571" s="2"/>
      <c r="O4571" s="2"/>
      <c r="P4571" s="2"/>
    </row>
    <row r="4572" spans="2:16" ht="14.25">
      <c r="B4572" s="4"/>
      <c r="I4572" s="5"/>
      <c r="J4572" s="5"/>
      <c r="K4572" s="6"/>
      <c r="N4572" s="2"/>
      <c r="O4572" s="2"/>
      <c r="P4572" s="2"/>
    </row>
    <row r="4573" spans="2:16" ht="14.25">
      <c r="B4573" s="4"/>
      <c r="I4573" s="5"/>
      <c r="J4573" s="5"/>
      <c r="K4573" s="6"/>
      <c r="N4573" s="2"/>
      <c r="O4573" s="2"/>
      <c r="P4573" s="2"/>
    </row>
    <row r="4574" spans="2:16" ht="14.25">
      <c r="B4574" s="4"/>
      <c r="I4574" s="5"/>
      <c r="J4574" s="5"/>
      <c r="K4574" s="6"/>
      <c r="N4574" s="2"/>
      <c r="O4574" s="2"/>
      <c r="P4574" s="2"/>
    </row>
    <row r="4575" spans="2:16" ht="14.25">
      <c r="B4575" s="4"/>
      <c r="I4575" s="5"/>
      <c r="J4575" s="5"/>
      <c r="K4575" s="6"/>
      <c r="N4575" s="2"/>
      <c r="O4575" s="2"/>
      <c r="P4575" s="2"/>
    </row>
    <row r="4576" spans="2:16" ht="14.25">
      <c r="B4576" s="4"/>
      <c r="I4576" s="5"/>
      <c r="J4576" s="5"/>
      <c r="K4576" s="6"/>
      <c r="N4576" s="2"/>
      <c r="O4576" s="2"/>
      <c r="P4576" s="2"/>
    </row>
    <row r="4577" spans="2:16" ht="14.25">
      <c r="B4577" s="4"/>
      <c r="I4577" s="5"/>
      <c r="J4577" s="5"/>
      <c r="K4577" s="6"/>
      <c r="N4577" s="2"/>
      <c r="O4577" s="2"/>
      <c r="P4577" s="2"/>
    </row>
    <row r="4578" spans="2:16" ht="14.25">
      <c r="B4578" s="4"/>
      <c r="I4578" s="5"/>
      <c r="J4578" s="5"/>
      <c r="K4578" s="6"/>
      <c r="N4578" s="2"/>
      <c r="O4578" s="2"/>
      <c r="P4578" s="2"/>
    </row>
    <row r="4579" spans="2:16" ht="14.25">
      <c r="B4579" s="4"/>
      <c r="I4579" s="5"/>
      <c r="J4579" s="5"/>
      <c r="K4579" s="6"/>
      <c r="N4579" s="2"/>
      <c r="O4579" s="2"/>
      <c r="P4579" s="2"/>
    </row>
    <row r="4580" spans="2:16" ht="14.25">
      <c r="B4580" s="4"/>
      <c r="I4580" s="5"/>
      <c r="J4580" s="5"/>
      <c r="K4580" s="6"/>
      <c r="N4580" s="2"/>
      <c r="O4580" s="2"/>
      <c r="P4580" s="2"/>
    </row>
    <row r="4581" spans="2:16" ht="14.25">
      <c r="B4581" s="4"/>
      <c r="I4581" s="5"/>
      <c r="J4581" s="5"/>
      <c r="K4581" s="6"/>
      <c r="N4581" s="2"/>
      <c r="O4581" s="2"/>
      <c r="P4581" s="2"/>
    </row>
    <row r="4582" spans="2:16" ht="14.25">
      <c r="B4582" s="4"/>
      <c r="I4582" s="5"/>
      <c r="J4582" s="5"/>
      <c r="K4582" s="6"/>
      <c r="N4582" s="2"/>
      <c r="O4582" s="2"/>
      <c r="P4582" s="2"/>
    </row>
    <row r="4583" spans="2:16" ht="14.25">
      <c r="B4583" s="4"/>
      <c r="I4583" s="5"/>
      <c r="J4583" s="5"/>
      <c r="K4583" s="6"/>
      <c r="N4583" s="2"/>
      <c r="O4583" s="2"/>
      <c r="P4583" s="2"/>
    </row>
    <row r="4584" spans="2:16" ht="14.25">
      <c r="B4584" s="4"/>
      <c r="I4584" s="5"/>
      <c r="J4584" s="5"/>
      <c r="K4584" s="6"/>
      <c r="N4584" s="2"/>
      <c r="O4584" s="2"/>
      <c r="P4584" s="2"/>
    </row>
    <row r="4585" spans="2:16" ht="14.25">
      <c r="B4585" s="4"/>
      <c r="I4585" s="5"/>
      <c r="J4585" s="5"/>
      <c r="K4585" s="6"/>
      <c r="N4585" s="2"/>
      <c r="O4585" s="2"/>
      <c r="P4585" s="2"/>
    </row>
    <row r="4586" spans="2:16" ht="14.25">
      <c r="B4586" s="4"/>
      <c r="I4586" s="5"/>
      <c r="J4586" s="5"/>
      <c r="K4586" s="6"/>
      <c r="N4586" s="2"/>
      <c r="O4586" s="2"/>
      <c r="P4586" s="2"/>
    </row>
    <row r="4587" spans="2:16" ht="14.25">
      <c r="B4587" s="4"/>
      <c r="I4587" s="5"/>
      <c r="J4587" s="5"/>
      <c r="K4587" s="6"/>
      <c r="N4587" s="2"/>
      <c r="O4587" s="2"/>
      <c r="P4587" s="2"/>
    </row>
    <row r="4588" spans="2:16" ht="14.25">
      <c r="B4588" s="4"/>
      <c r="I4588" s="5"/>
      <c r="J4588" s="5"/>
      <c r="K4588" s="6"/>
      <c r="N4588" s="2"/>
      <c r="O4588" s="2"/>
      <c r="P4588" s="2"/>
    </row>
    <row r="4589" spans="2:16" ht="14.25">
      <c r="B4589" s="4"/>
      <c r="I4589" s="5"/>
      <c r="J4589" s="5"/>
      <c r="K4589" s="6"/>
      <c r="N4589" s="2"/>
      <c r="O4589" s="2"/>
      <c r="P4589" s="2"/>
    </row>
    <row r="4590" spans="2:16" ht="14.25">
      <c r="B4590" s="4"/>
      <c r="I4590" s="5"/>
      <c r="J4590" s="5"/>
      <c r="K4590" s="6"/>
      <c r="N4590" s="2"/>
      <c r="O4590" s="2"/>
      <c r="P4590" s="2"/>
    </row>
    <row r="4591" spans="2:16" ht="14.25">
      <c r="B4591" s="4"/>
      <c r="I4591" s="5"/>
      <c r="J4591" s="5"/>
      <c r="K4591" s="6"/>
      <c r="N4591" s="2"/>
      <c r="O4591" s="2"/>
      <c r="P4591" s="2"/>
    </row>
    <row r="4592" spans="2:16" ht="14.25">
      <c r="B4592" s="4"/>
      <c r="I4592" s="5"/>
      <c r="J4592" s="5"/>
      <c r="K4592" s="6"/>
      <c r="N4592" s="2"/>
      <c r="O4592" s="2"/>
      <c r="P4592" s="2"/>
    </row>
    <row r="4593" spans="2:16" ht="14.25">
      <c r="B4593" s="4"/>
      <c r="I4593" s="5"/>
      <c r="J4593" s="5"/>
      <c r="K4593" s="6"/>
      <c r="N4593" s="2"/>
      <c r="O4593" s="2"/>
      <c r="P4593" s="2"/>
    </row>
    <row r="4594" spans="2:16" ht="14.25">
      <c r="B4594" s="4"/>
      <c r="I4594" s="5"/>
      <c r="J4594" s="5"/>
      <c r="K4594" s="6"/>
      <c r="N4594" s="2"/>
      <c r="O4594" s="2"/>
      <c r="P4594" s="2"/>
    </row>
    <row r="4595" spans="2:16" ht="14.25">
      <c r="B4595" s="4"/>
      <c r="I4595" s="5"/>
      <c r="J4595" s="5"/>
      <c r="K4595" s="6"/>
      <c r="N4595" s="2"/>
      <c r="O4595" s="2"/>
      <c r="P4595" s="2"/>
    </row>
    <row r="4596" spans="2:16" ht="14.25">
      <c r="B4596" s="4"/>
      <c r="I4596" s="5"/>
      <c r="J4596" s="5"/>
      <c r="K4596" s="6"/>
      <c r="N4596" s="2"/>
      <c r="O4596" s="2"/>
      <c r="P4596" s="2"/>
    </row>
    <row r="4597" spans="2:16" ht="14.25">
      <c r="B4597" s="4"/>
      <c r="I4597" s="5"/>
      <c r="J4597" s="5"/>
      <c r="K4597" s="6"/>
      <c r="N4597" s="2"/>
      <c r="O4597" s="2"/>
      <c r="P4597" s="2"/>
    </row>
    <row r="4598" spans="2:16" ht="14.25">
      <c r="B4598" s="4"/>
      <c r="I4598" s="5"/>
      <c r="J4598" s="5"/>
      <c r="K4598" s="6"/>
      <c r="N4598" s="2"/>
      <c r="O4598" s="2"/>
      <c r="P4598" s="2"/>
    </row>
    <row r="4599" spans="2:16" ht="14.25">
      <c r="B4599" s="4"/>
      <c r="I4599" s="5"/>
      <c r="J4599" s="5"/>
      <c r="K4599" s="6"/>
      <c r="N4599" s="2"/>
      <c r="O4599" s="2"/>
      <c r="P4599" s="2"/>
    </row>
    <row r="4600" spans="2:16" ht="14.25">
      <c r="B4600" s="4"/>
      <c r="I4600" s="5"/>
      <c r="J4600" s="5"/>
      <c r="K4600" s="6"/>
      <c r="N4600" s="2"/>
      <c r="O4600" s="2"/>
      <c r="P4600" s="2"/>
    </row>
    <row r="4601" spans="2:16" ht="14.25">
      <c r="B4601" s="4"/>
      <c r="I4601" s="5"/>
      <c r="J4601" s="5"/>
      <c r="K4601" s="6"/>
      <c r="N4601" s="2"/>
      <c r="O4601" s="2"/>
      <c r="P4601" s="2"/>
    </row>
    <row r="4602" spans="2:16" ht="14.25">
      <c r="B4602" s="4"/>
      <c r="I4602" s="5"/>
      <c r="J4602" s="5"/>
      <c r="K4602" s="6"/>
      <c r="N4602" s="2"/>
      <c r="O4602" s="2"/>
      <c r="P4602" s="2"/>
    </row>
    <row r="4603" spans="2:16" ht="14.25">
      <c r="B4603" s="4"/>
      <c r="I4603" s="5"/>
      <c r="J4603" s="5"/>
      <c r="K4603" s="6"/>
      <c r="N4603" s="2"/>
      <c r="O4603" s="2"/>
      <c r="P4603" s="2"/>
    </row>
    <row r="4604" spans="2:16" ht="14.25">
      <c r="B4604" s="4"/>
      <c r="I4604" s="5"/>
      <c r="J4604" s="5"/>
      <c r="K4604" s="6"/>
      <c r="N4604" s="2"/>
      <c r="O4604" s="2"/>
      <c r="P4604" s="2"/>
    </row>
    <row r="4605" spans="2:16" ht="14.25">
      <c r="B4605" s="4"/>
      <c r="I4605" s="5"/>
      <c r="J4605" s="5"/>
      <c r="K4605" s="6"/>
      <c r="N4605" s="2"/>
      <c r="O4605" s="2"/>
      <c r="P4605" s="2"/>
    </row>
    <row r="4606" spans="2:16" ht="14.25">
      <c r="B4606" s="4"/>
      <c r="I4606" s="5"/>
      <c r="J4606" s="5"/>
      <c r="K4606" s="6"/>
      <c r="N4606" s="2"/>
      <c r="O4606" s="2"/>
      <c r="P4606" s="2"/>
    </row>
    <row r="4607" spans="2:16" ht="14.25">
      <c r="B4607" s="4"/>
      <c r="I4607" s="5"/>
      <c r="J4607" s="5"/>
      <c r="K4607" s="6"/>
      <c r="N4607" s="2"/>
      <c r="O4607" s="2"/>
      <c r="P4607" s="2"/>
    </row>
    <row r="4608" spans="2:16" ht="14.25">
      <c r="B4608" s="4"/>
      <c r="I4608" s="5"/>
      <c r="J4608" s="5"/>
      <c r="K4608" s="6"/>
      <c r="N4608" s="2"/>
      <c r="O4608" s="2"/>
      <c r="P4608" s="2"/>
    </row>
    <row r="4609" spans="2:16" ht="14.25">
      <c r="B4609" s="4"/>
      <c r="I4609" s="5"/>
      <c r="J4609" s="5"/>
      <c r="K4609" s="6"/>
      <c r="N4609" s="2"/>
      <c r="O4609" s="2"/>
      <c r="P4609" s="2"/>
    </row>
    <row r="4610" spans="2:16" ht="14.25">
      <c r="B4610" s="4"/>
      <c r="I4610" s="5"/>
      <c r="J4610" s="5"/>
      <c r="K4610" s="6"/>
      <c r="N4610" s="2"/>
      <c r="O4610" s="2"/>
      <c r="P4610" s="2"/>
    </row>
    <row r="4611" spans="2:16" ht="14.25">
      <c r="B4611" s="4"/>
      <c r="I4611" s="5"/>
      <c r="J4611" s="5"/>
      <c r="K4611" s="6"/>
      <c r="N4611" s="2"/>
      <c r="O4611" s="2"/>
      <c r="P4611" s="2"/>
    </row>
    <row r="4612" spans="2:16" ht="14.25">
      <c r="B4612" s="4"/>
      <c r="I4612" s="5"/>
      <c r="J4612" s="5"/>
      <c r="K4612" s="6"/>
      <c r="N4612" s="2"/>
      <c r="O4612" s="2"/>
      <c r="P4612" s="2"/>
    </row>
    <row r="4613" spans="2:16" ht="14.25">
      <c r="B4613" s="4"/>
      <c r="I4613" s="5"/>
      <c r="J4613" s="5"/>
      <c r="K4613" s="6"/>
      <c r="N4613" s="2"/>
      <c r="O4613" s="2"/>
      <c r="P4613" s="2"/>
    </row>
    <row r="4614" spans="2:16" ht="14.25">
      <c r="B4614" s="4"/>
      <c r="I4614" s="5"/>
      <c r="J4614" s="5"/>
      <c r="K4614" s="6"/>
      <c r="N4614" s="2"/>
      <c r="O4614" s="2"/>
      <c r="P4614" s="2"/>
    </row>
    <row r="4615" spans="2:16" ht="14.25">
      <c r="B4615" s="4"/>
      <c r="I4615" s="5"/>
      <c r="J4615" s="5"/>
      <c r="K4615" s="6"/>
      <c r="N4615" s="2"/>
      <c r="O4615" s="2"/>
      <c r="P4615" s="2"/>
    </row>
    <row r="4616" spans="2:16" ht="14.25">
      <c r="B4616" s="4"/>
      <c r="I4616" s="5"/>
      <c r="J4616" s="5"/>
      <c r="K4616" s="6"/>
      <c r="N4616" s="2"/>
      <c r="O4616" s="2"/>
      <c r="P4616" s="2"/>
    </row>
    <row r="4617" spans="2:16" ht="14.25">
      <c r="B4617" s="4"/>
      <c r="I4617" s="5"/>
      <c r="J4617" s="5"/>
      <c r="K4617" s="6"/>
      <c r="N4617" s="2"/>
      <c r="O4617" s="2"/>
      <c r="P4617" s="2"/>
    </row>
    <row r="4618" spans="2:16" ht="14.25">
      <c r="B4618" s="4"/>
      <c r="I4618" s="5"/>
      <c r="J4618" s="5"/>
      <c r="K4618" s="6"/>
      <c r="N4618" s="2"/>
      <c r="O4618" s="2"/>
      <c r="P4618" s="2"/>
    </row>
    <row r="4619" spans="2:16" ht="14.25">
      <c r="B4619" s="4"/>
      <c r="I4619" s="5"/>
      <c r="J4619" s="5"/>
      <c r="K4619" s="6"/>
      <c r="N4619" s="2"/>
      <c r="O4619" s="2"/>
      <c r="P4619" s="2"/>
    </row>
    <row r="4620" spans="2:16" ht="14.25">
      <c r="B4620" s="4"/>
      <c r="I4620" s="5"/>
      <c r="J4620" s="5"/>
      <c r="K4620" s="6"/>
      <c r="N4620" s="2"/>
      <c r="O4620" s="2"/>
      <c r="P4620" s="2"/>
    </row>
    <row r="4621" spans="2:16" ht="14.25">
      <c r="B4621" s="4"/>
      <c r="I4621" s="5"/>
      <c r="J4621" s="5"/>
      <c r="K4621" s="6"/>
      <c r="N4621" s="2"/>
      <c r="O4621" s="2"/>
      <c r="P4621" s="2"/>
    </row>
    <row r="4622" spans="2:16" ht="14.25">
      <c r="B4622" s="4"/>
      <c r="I4622" s="5"/>
      <c r="J4622" s="5"/>
      <c r="K4622" s="6"/>
      <c r="N4622" s="2"/>
      <c r="O4622" s="2"/>
      <c r="P4622" s="2"/>
    </row>
    <row r="4623" spans="2:16" ht="14.25">
      <c r="B4623" s="4"/>
      <c r="I4623" s="5"/>
      <c r="J4623" s="5"/>
      <c r="K4623" s="6"/>
      <c r="N4623" s="2"/>
      <c r="O4623" s="2"/>
      <c r="P4623" s="2"/>
    </row>
    <row r="4624" spans="2:16" ht="14.25">
      <c r="B4624" s="4"/>
      <c r="I4624" s="5"/>
      <c r="J4624" s="5"/>
      <c r="K4624" s="6"/>
      <c r="N4624" s="2"/>
      <c r="O4624" s="2"/>
      <c r="P4624" s="2"/>
    </row>
    <row r="4625" spans="2:16" ht="14.25">
      <c r="B4625" s="4"/>
      <c r="I4625" s="5"/>
      <c r="J4625" s="5"/>
      <c r="K4625" s="6"/>
      <c r="N4625" s="2"/>
      <c r="O4625" s="2"/>
      <c r="P4625" s="2"/>
    </row>
    <row r="4626" spans="2:16" ht="14.25">
      <c r="B4626" s="4"/>
      <c r="I4626" s="5"/>
      <c r="J4626" s="5"/>
      <c r="K4626" s="6"/>
      <c r="N4626" s="2"/>
      <c r="O4626" s="2"/>
      <c r="P4626" s="2"/>
    </row>
    <row r="4627" spans="2:16" ht="14.25">
      <c r="B4627" s="4"/>
      <c r="I4627" s="5"/>
      <c r="J4627" s="5"/>
      <c r="K4627" s="6"/>
      <c r="N4627" s="2"/>
      <c r="O4627" s="2"/>
      <c r="P4627" s="2"/>
    </row>
    <row r="4628" spans="2:16" ht="14.25">
      <c r="B4628" s="4"/>
      <c r="I4628" s="5"/>
      <c r="J4628" s="5"/>
      <c r="K4628" s="6"/>
      <c r="N4628" s="2"/>
      <c r="O4628" s="2"/>
      <c r="P4628" s="2"/>
    </row>
    <row r="4629" spans="2:16" ht="14.25">
      <c r="B4629" s="4"/>
      <c r="I4629" s="5"/>
      <c r="J4629" s="5"/>
      <c r="K4629" s="6"/>
      <c r="N4629" s="2"/>
      <c r="O4629" s="2"/>
      <c r="P4629" s="2"/>
    </row>
    <row r="4630" spans="2:16" ht="14.25">
      <c r="B4630" s="4"/>
      <c r="I4630" s="5"/>
      <c r="J4630" s="5"/>
      <c r="K4630" s="6"/>
      <c r="N4630" s="2"/>
      <c r="O4630" s="2"/>
      <c r="P4630" s="2"/>
    </row>
    <row r="4631" spans="2:16" ht="14.25">
      <c r="B4631" s="4"/>
      <c r="I4631" s="5"/>
      <c r="J4631" s="5"/>
      <c r="K4631" s="6"/>
      <c r="N4631" s="2"/>
      <c r="O4631" s="2"/>
      <c r="P4631" s="2"/>
    </row>
    <row r="4632" spans="2:16" ht="14.25">
      <c r="B4632" s="4"/>
      <c r="I4632" s="5"/>
      <c r="J4632" s="5"/>
      <c r="K4632" s="6"/>
      <c r="N4632" s="2"/>
      <c r="O4632" s="2"/>
      <c r="P4632" s="2"/>
    </row>
    <row r="4633" spans="2:16" ht="14.25">
      <c r="B4633" s="4"/>
      <c r="I4633" s="5"/>
      <c r="J4633" s="5"/>
      <c r="K4633" s="6"/>
      <c r="N4633" s="2"/>
      <c r="O4633" s="2"/>
      <c r="P4633" s="2"/>
    </row>
    <row r="4634" spans="2:16" ht="14.25">
      <c r="B4634" s="4"/>
      <c r="I4634" s="5"/>
      <c r="J4634" s="5"/>
      <c r="K4634" s="6"/>
      <c r="N4634" s="2"/>
      <c r="O4634" s="2"/>
      <c r="P4634" s="2"/>
    </row>
    <row r="4635" spans="2:16" ht="14.25">
      <c r="B4635" s="4"/>
      <c r="I4635" s="5"/>
      <c r="J4635" s="5"/>
      <c r="K4635" s="6"/>
      <c r="N4635" s="2"/>
      <c r="O4635" s="2"/>
      <c r="P4635" s="2"/>
    </row>
    <row r="4636" spans="2:16" ht="14.25">
      <c r="B4636" s="4"/>
      <c r="I4636" s="5"/>
      <c r="J4636" s="5"/>
      <c r="K4636" s="6"/>
      <c r="N4636" s="2"/>
      <c r="O4636" s="2"/>
      <c r="P4636" s="2"/>
    </row>
    <row r="4637" spans="2:16" ht="14.25">
      <c r="B4637" s="4"/>
      <c r="I4637" s="5"/>
      <c r="J4637" s="5"/>
      <c r="K4637" s="6"/>
      <c r="N4637" s="2"/>
      <c r="O4637" s="2"/>
      <c r="P4637" s="2"/>
    </row>
    <row r="4638" spans="2:16" ht="14.25">
      <c r="B4638" s="4"/>
      <c r="I4638" s="5"/>
      <c r="J4638" s="5"/>
      <c r="K4638" s="6"/>
      <c r="N4638" s="2"/>
      <c r="O4638" s="2"/>
      <c r="P4638" s="2"/>
    </row>
    <row r="4639" spans="2:16" ht="14.25">
      <c r="B4639" s="4"/>
      <c r="I4639" s="5"/>
      <c r="J4639" s="5"/>
      <c r="K4639" s="6"/>
      <c r="N4639" s="2"/>
      <c r="O4639" s="2"/>
      <c r="P4639" s="2"/>
    </row>
    <row r="4640" spans="2:16" ht="14.25">
      <c r="B4640" s="4"/>
      <c r="I4640" s="5"/>
      <c r="J4640" s="5"/>
      <c r="K4640" s="6"/>
      <c r="N4640" s="2"/>
      <c r="O4640" s="2"/>
      <c r="P4640" s="2"/>
    </row>
    <row r="4641" spans="2:16" ht="14.25">
      <c r="B4641" s="4"/>
      <c r="I4641" s="5"/>
      <c r="J4641" s="5"/>
      <c r="K4641" s="6"/>
      <c r="N4641" s="2"/>
      <c r="O4641" s="2"/>
      <c r="P4641" s="2"/>
    </row>
    <row r="4642" spans="2:16" ht="14.25">
      <c r="B4642" s="4"/>
      <c r="I4642" s="5"/>
      <c r="J4642" s="5"/>
      <c r="K4642" s="6"/>
      <c r="N4642" s="2"/>
      <c r="O4642" s="2"/>
      <c r="P4642" s="2"/>
    </row>
    <row r="4643" spans="2:16" ht="14.25">
      <c r="B4643" s="4"/>
      <c r="I4643" s="5"/>
      <c r="J4643" s="5"/>
      <c r="K4643" s="6"/>
      <c r="N4643" s="2"/>
      <c r="O4643" s="2"/>
      <c r="P4643" s="2"/>
    </row>
    <row r="4644" spans="2:16" ht="14.25">
      <c r="B4644" s="4"/>
      <c r="I4644" s="5"/>
      <c r="J4644" s="5"/>
      <c r="K4644" s="6"/>
      <c r="N4644" s="2"/>
      <c r="O4644" s="2"/>
      <c r="P4644" s="2"/>
    </row>
    <row r="4645" spans="2:16" ht="14.25">
      <c r="B4645" s="4"/>
      <c r="I4645" s="5"/>
      <c r="J4645" s="5"/>
      <c r="K4645" s="6"/>
      <c r="N4645" s="2"/>
      <c r="O4645" s="2"/>
      <c r="P4645" s="2"/>
    </row>
    <row r="4646" spans="2:16" ht="14.25">
      <c r="B4646" s="4"/>
      <c r="I4646" s="5"/>
      <c r="J4646" s="5"/>
      <c r="K4646" s="6"/>
      <c r="N4646" s="2"/>
      <c r="O4646" s="2"/>
      <c r="P4646" s="2"/>
    </row>
    <row r="4647" spans="2:16" ht="14.25">
      <c r="B4647" s="4"/>
      <c r="I4647" s="5"/>
      <c r="J4647" s="5"/>
      <c r="K4647" s="6"/>
      <c r="N4647" s="2"/>
      <c r="O4647" s="2"/>
      <c r="P4647" s="2"/>
    </row>
    <row r="4648" spans="2:16" ht="14.25">
      <c r="B4648" s="4"/>
      <c r="I4648" s="5"/>
      <c r="J4648" s="5"/>
      <c r="K4648" s="6"/>
      <c r="N4648" s="2"/>
      <c r="O4648" s="2"/>
      <c r="P4648" s="2"/>
    </row>
    <row r="4649" spans="2:16" ht="14.25">
      <c r="B4649" s="4"/>
      <c r="I4649" s="5"/>
      <c r="J4649" s="5"/>
      <c r="K4649" s="6"/>
      <c r="N4649" s="2"/>
      <c r="O4649" s="2"/>
      <c r="P4649" s="2"/>
    </row>
    <row r="4650" spans="2:16" ht="14.25">
      <c r="B4650" s="4"/>
      <c r="I4650" s="5"/>
      <c r="J4650" s="5"/>
      <c r="K4650" s="6"/>
      <c r="N4650" s="2"/>
      <c r="O4650" s="2"/>
      <c r="P4650" s="2"/>
    </row>
    <row r="4651" spans="2:16" ht="14.25">
      <c r="B4651" s="4"/>
      <c r="I4651" s="5"/>
      <c r="J4651" s="5"/>
      <c r="K4651" s="6"/>
      <c r="N4651" s="2"/>
      <c r="O4651" s="2"/>
      <c r="P4651" s="2"/>
    </row>
    <row r="4652" spans="2:16" ht="14.25">
      <c r="B4652" s="4"/>
      <c r="I4652" s="5"/>
      <c r="J4652" s="5"/>
      <c r="K4652" s="6"/>
      <c r="N4652" s="2"/>
      <c r="O4652" s="2"/>
      <c r="P4652" s="2"/>
    </row>
    <row r="4653" spans="2:16" ht="14.25">
      <c r="B4653" s="4"/>
      <c r="I4653" s="5"/>
      <c r="J4653" s="5"/>
      <c r="K4653" s="6"/>
      <c r="N4653" s="2"/>
      <c r="O4653" s="2"/>
      <c r="P4653" s="2"/>
    </row>
    <row r="4654" spans="2:16" ht="14.25">
      <c r="B4654" s="4"/>
      <c r="I4654" s="5"/>
      <c r="J4654" s="5"/>
      <c r="K4654" s="6"/>
      <c r="N4654" s="2"/>
      <c r="O4654" s="2"/>
      <c r="P4654" s="2"/>
    </row>
    <row r="4655" spans="2:16" ht="14.25">
      <c r="B4655" s="4"/>
      <c r="I4655" s="5"/>
      <c r="J4655" s="5"/>
      <c r="K4655" s="6"/>
      <c r="N4655" s="2"/>
      <c r="O4655" s="2"/>
      <c r="P4655" s="2"/>
    </row>
    <row r="4656" spans="2:16" ht="14.25">
      <c r="B4656" s="4"/>
      <c r="I4656" s="5"/>
      <c r="J4656" s="5"/>
      <c r="K4656" s="6"/>
      <c r="N4656" s="2"/>
      <c r="O4656" s="2"/>
      <c r="P4656" s="2"/>
    </row>
    <row r="4657" spans="2:16" ht="14.25">
      <c r="B4657" s="4"/>
      <c r="I4657" s="5"/>
      <c r="J4657" s="5"/>
      <c r="K4657" s="6"/>
      <c r="N4657" s="2"/>
      <c r="O4657" s="2"/>
      <c r="P4657" s="2"/>
    </row>
    <row r="4658" spans="2:16" ht="14.25">
      <c r="B4658" s="4"/>
      <c r="I4658" s="5"/>
      <c r="J4658" s="5"/>
      <c r="K4658" s="6"/>
      <c r="N4658" s="2"/>
      <c r="O4658" s="2"/>
      <c r="P4658" s="2"/>
    </row>
    <row r="4659" spans="2:16" ht="14.25">
      <c r="B4659" s="4"/>
      <c r="I4659" s="5"/>
      <c r="J4659" s="5"/>
      <c r="K4659" s="6"/>
      <c r="N4659" s="2"/>
      <c r="O4659" s="2"/>
      <c r="P4659" s="2"/>
    </row>
    <row r="4660" spans="2:16" ht="14.25">
      <c r="B4660" s="4"/>
      <c r="I4660" s="5"/>
      <c r="J4660" s="5"/>
      <c r="K4660" s="6"/>
      <c r="N4660" s="2"/>
      <c r="O4660" s="2"/>
      <c r="P4660" s="2"/>
    </row>
    <row r="4661" spans="2:16" ht="14.25">
      <c r="B4661" s="4"/>
      <c r="I4661" s="5"/>
      <c r="J4661" s="5"/>
      <c r="K4661" s="6"/>
      <c r="N4661" s="2"/>
      <c r="O4661" s="2"/>
      <c r="P4661" s="2"/>
    </row>
    <row r="4662" spans="2:16" ht="14.25">
      <c r="B4662" s="4"/>
      <c r="I4662" s="5"/>
      <c r="J4662" s="5"/>
      <c r="K4662" s="6"/>
      <c r="N4662" s="2"/>
      <c r="O4662" s="2"/>
      <c r="P4662" s="2"/>
    </row>
    <row r="4663" spans="2:16" ht="14.25">
      <c r="B4663" s="4"/>
      <c r="I4663" s="5"/>
      <c r="J4663" s="5"/>
      <c r="K4663" s="6"/>
      <c r="N4663" s="2"/>
      <c r="O4663" s="2"/>
      <c r="P4663" s="2"/>
    </row>
    <row r="4664" spans="2:16" ht="14.25">
      <c r="B4664" s="4"/>
      <c r="I4664" s="5"/>
      <c r="J4664" s="5"/>
      <c r="K4664" s="6"/>
      <c r="N4664" s="2"/>
      <c r="O4664" s="2"/>
      <c r="P4664" s="2"/>
    </row>
    <row r="4665" spans="2:16" ht="14.25">
      <c r="B4665" s="4"/>
      <c r="I4665" s="5"/>
      <c r="J4665" s="5"/>
      <c r="K4665" s="6"/>
      <c r="N4665" s="2"/>
      <c r="O4665" s="2"/>
      <c r="P4665" s="2"/>
    </row>
    <row r="4666" spans="2:16" ht="14.25">
      <c r="B4666" s="4"/>
      <c r="I4666" s="5"/>
      <c r="J4666" s="5"/>
      <c r="K4666" s="6"/>
      <c r="N4666" s="2"/>
      <c r="O4666" s="2"/>
      <c r="P4666" s="2"/>
    </row>
    <row r="4667" spans="2:16" ht="14.25">
      <c r="B4667" s="4"/>
      <c r="I4667" s="5"/>
      <c r="J4667" s="5"/>
      <c r="K4667" s="6"/>
      <c r="N4667" s="2"/>
      <c r="O4667" s="2"/>
      <c r="P4667" s="2"/>
    </row>
    <row r="4668" spans="2:16" ht="14.25">
      <c r="B4668" s="4"/>
      <c r="I4668" s="5"/>
      <c r="J4668" s="5"/>
      <c r="K4668" s="6"/>
      <c r="N4668" s="2"/>
      <c r="O4668" s="2"/>
      <c r="P4668" s="2"/>
    </row>
    <row r="4669" spans="2:16" ht="14.25">
      <c r="B4669" s="4"/>
      <c r="I4669" s="5"/>
      <c r="J4669" s="5"/>
      <c r="K4669" s="6"/>
      <c r="N4669" s="2"/>
      <c r="O4669" s="2"/>
      <c r="P4669" s="2"/>
    </row>
    <row r="4670" spans="2:16" ht="14.25">
      <c r="B4670" s="4"/>
      <c r="I4670" s="5"/>
      <c r="J4670" s="5"/>
      <c r="K4670" s="6"/>
      <c r="N4670" s="2"/>
      <c r="O4670" s="2"/>
      <c r="P4670" s="2"/>
    </row>
    <row r="4671" spans="2:16" ht="14.25">
      <c r="B4671" s="4"/>
      <c r="I4671" s="5"/>
      <c r="J4671" s="5"/>
      <c r="K4671" s="6"/>
      <c r="N4671" s="2"/>
      <c r="O4671" s="2"/>
      <c r="P4671" s="2"/>
    </row>
    <row r="4672" spans="2:16" ht="14.25">
      <c r="B4672" s="4"/>
      <c r="I4672" s="5"/>
      <c r="J4672" s="5"/>
      <c r="K4672" s="6"/>
      <c r="N4672" s="2"/>
      <c r="O4672" s="2"/>
      <c r="P4672" s="2"/>
    </row>
    <row r="4673" spans="2:16" ht="14.25">
      <c r="B4673" s="4"/>
      <c r="I4673" s="5"/>
      <c r="J4673" s="5"/>
      <c r="K4673" s="6"/>
      <c r="N4673" s="2"/>
      <c r="O4673" s="2"/>
      <c r="P4673" s="2"/>
    </row>
    <row r="4674" spans="2:16" ht="14.25">
      <c r="B4674" s="4"/>
      <c r="I4674" s="5"/>
      <c r="J4674" s="5"/>
      <c r="K4674" s="6"/>
      <c r="N4674" s="2"/>
      <c r="O4674" s="2"/>
      <c r="P4674" s="2"/>
    </row>
    <row r="4675" spans="2:16" ht="14.25">
      <c r="B4675" s="4"/>
      <c r="I4675" s="5"/>
      <c r="J4675" s="5"/>
      <c r="K4675" s="6"/>
      <c r="N4675" s="2"/>
      <c r="O4675" s="2"/>
      <c r="P4675" s="2"/>
    </row>
    <row r="4676" spans="2:16" ht="14.25">
      <c r="B4676" s="4"/>
      <c r="I4676" s="5"/>
      <c r="J4676" s="5"/>
      <c r="K4676" s="6"/>
      <c r="N4676" s="2"/>
      <c r="O4676" s="2"/>
      <c r="P4676" s="2"/>
    </row>
    <row r="4677" spans="2:16" ht="14.25">
      <c r="B4677" s="4"/>
      <c r="I4677" s="5"/>
      <c r="J4677" s="5"/>
      <c r="K4677" s="6"/>
      <c r="N4677" s="2"/>
      <c r="O4677" s="2"/>
      <c r="P4677" s="2"/>
    </row>
    <row r="4678" spans="2:16" ht="14.25">
      <c r="B4678" s="4"/>
      <c r="I4678" s="5"/>
      <c r="J4678" s="5"/>
      <c r="K4678" s="6"/>
      <c r="N4678" s="2"/>
      <c r="O4678" s="2"/>
      <c r="P4678" s="2"/>
    </row>
    <row r="4679" spans="2:16" ht="14.25">
      <c r="B4679" s="4"/>
      <c r="I4679" s="5"/>
      <c r="J4679" s="5"/>
      <c r="K4679" s="6"/>
      <c r="N4679" s="2"/>
      <c r="O4679" s="2"/>
      <c r="P4679" s="2"/>
    </row>
    <row r="4680" spans="2:16" ht="14.25">
      <c r="B4680" s="4"/>
      <c r="I4680" s="5"/>
      <c r="J4680" s="5"/>
      <c r="K4680" s="6"/>
      <c r="N4680" s="2"/>
      <c r="O4680" s="2"/>
      <c r="P4680" s="2"/>
    </row>
    <row r="4681" spans="2:16" ht="14.25">
      <c r="B4681" s="4"/>
      <c r="I4681" s="5"/>
      <c r="J4681" s="5"/>
      <c r="K4681" s="6"/>
      <c r="N4681" s="2"/>
      <c r="O4681" s="2"/>
      <c r="P4681" s="2"/>
    </row>
    <row r="4682" spans="2:16" ht="14.25">
      <c r="B4682" s="4"/>
      <c r="I4682" s="5"/>
      <c r="J4682" s="5"/>
      <c r="K4682" s="6"/>
      <c r="N4682" s="2"/>
      <c r="O4682" s="2"/>
      <c r="P4682" s="2"/>
    </row>
    <row r="4683" spans="2:16" ht="14.25">
      <c r="B4683" s="4"/>
      <c r="I4683" s="5"/>
      <c r="J4683" s="5"/>
      <c r="K4683" s="6"/>
      <c r="N4683" s="2"/>
      <c r="O4683" s="2"/>
      <c r="P4683" s="2"/>
    </row>
    <row r="4684" spans="2:16" ht="14.25">
      <c r="B4684" s="4"/>
      <c r="I4684" s="5"/>
      <c r="J4684" s="5"/>
      <c r="K4684" s="6"/>
      <c r="N4684" s="2"/>
      <c r="O4684" s="2"/>
      <c r="P4684" s="2"/>
    </row>
    <row r="4685" spans="2:16" ht="14.25">
      <c r="B4685" s="4"/>
      <c r="I4685" s="5"/>
      <c r="J4685" s="5"/>
      <c r="K4685" s="6"/>
      <c r="N4685" s="2"/>
      <c r="O4685" s="2"/>
      <c r="P4685" s="2"/>
    </row>
    <row r="4686" spans="2:16" ht="14.25">
      <c r="B4686" s="4"/>
      <c r="I4686" s="5"/>
      <c r="J4686" s="5"/>
      <c r="K4686" s="6"/>
      <c r="N4686" s="2"/>
      <c r="O4686" s="2"/>
      <c r="P4686" s="2"/>
    </row>
    <row r="4687" spans="2:16" ht="14.25">
      <c r="B4687" s="4"/>
      <c r="I4687" s="5"/>
      <c r="J4687" s="5"/>
      <c r="K4687" s="6"/>
      <c r="N4687" s="2"/>
      <c r="O4687" s="2"/>
      <c r="P4687" s="2"/>
    </row>
    <row r="4688" spans="2:16" ht="14.25">
      <c r="B4688" s="4"/>
      <c r="I4688" s="5"/>
      <c r="J4688" s="5"/>
      <c r="K4688" s="6"/>
      <c r="N4688" s="2"/>
      <c r="O4688" s="2"/>
      <c r="P4688" s="2"/>
    </row>
    <row r="4689" spans="2:16" ht="14.25">
      <c r="B4689" s="4"/>
      <c r="I4689" s="5"/>
      <c r="J4689" s="5"/>
      <c r="K4689" s="6"/>
      <c r="N4689" s="2"/>
      <c r="O4689" s="2"/>
      <c r="P4689" s="2"/>
    </row>
    <row r="4690" spans="2:16" ht="14.25">
      <c r="B4690" s="4"/>
      <c r="I4690" s="5"/>
      <c r="J4690" s="5"/>
      <c r="K4690" s="6"/>
      <c r="N4690" s="2"/>
      <c r="O4690" s="2"/>
      <c r="P4690" s="2"/>
    </row>
    <row r="4691" spans="2:16" ht="14.25">
      <c r="B4691" s="4"/>
      <c r="I4691" s="5"/>
      <c r="J4691" s="5"/>
      <c r="K4691" s="6"/>
      <c r="N4691" s="2"/>
      <c r="O4691" s="2"/>
      <c r="P4691" s="2"/>
    </row>
    <row r="4692" spans="2:16" ht="14.25">
      <c r="B4692" s="4"/>
      <c r="I4692" s="5"/>
      <c r="J4692" s="5"/>
      <c r="K4692" s="6"/>
      <c r="N4692" s="2"/>
      <c r="O4692" s="2"/>
      <c r="P4692" s="2"/>
    </row>
    <row r="4693" spans="2:16" ht="14.25">
      <c r="B4693" s="4"/>
      <c r="I4693" s="5"/>
      <c r="J4693" s="5"/>
      <c r="K4693" s="6"/>
      <c r="N4693" s="2"/>
      <c r="O4693" s="2"/>
      <c r="P4693" s="2"/>
    </row>
    <row r="4694" spans="2:16" ht="14.25">
      <c r="B4694" s="4"/>
      <c r="I4694" s="5"/>
      <c r="J4694" s="5"/>
      <c r="K4694" s="6"/>
      <c r="N4694" s="2"/>
      <c r="O4694" s="2"/>
      <c r="P4694" s="2"/>
    </row>
    <row r="4695" spans="2:16" ht="14.25">
      <c r="B4695" s="4"/>
      <c r="I4695" s="5"/>
      <c r="J4695" s="5"/>
      <c r="K4695" s="6"/>
      <c r="N4695" s="2"/>
      <c r="O4695" s="2"/>
      <c r="P4695" s="2"/>
    </row>
    <row r="4696" spans="2:16" ht="14.25">
      <c r="B4696" s="4"/>
      <c r="I4696" s="5"/>
      <c r="J4696" s="5"/>
      <c r="K4696" s="6"/>
      <c r="N4696" s="2"/>
      <c r="O4696" s="2"/>
      <c r="P4696" s="2"/>
    </row>
    <row r="4697" spans="2:16" ht="14.25">
      <c r="B4697" s="4"/>
      <c r="I4697" s="5"/>
      <c r="J4697" s="5"/>
      <c r="K4697" s="6"/>
      <c r="N4697" s="2"/>
      <c r="O4697" s="2"/>
      <c r="P4697" s="2"/>
    </row>
    <row r="4698" spans="2:16" ht="14.25">
      <c r="B4698" s="4"/>
      <c r="I4698" s="5"/>
      <c r="J4698" s="5"/>
      <c r="K4698" s="6"/>
      <c r="N4698" s="2"/>
      <c r="O4698" s="2"/>
      <c r="P4698" s="2"/>
    </row>
    <row r="4699" spans="2:16" ht="14.25">
      <c r="B4699" s="4"/>
      <c r="I4699" s="5"/>
      <c r="J4699" s="5"/>
      <c r="K4699" s="6"/>
      <c r="N4699" s="2"/>
      <c r="O4699" s="2"/>
      <c r="P4699" s="2"/>
    </row>
    <row r="4700" spans="2:16" ht="14.25">
      <c r="B4700" s="4"/>
      <c r="I4700" s="5"/>
      <c r="J4700" s="5"/>
      <c r="K4700" s="6"/>
      <c r="N4700" s="2"/>
      <c r="O4700" s="2"/>
      <c r="P4700" s="2"/>
    </row>
    <row r="4701" spans="2:16" ht="14.25">
      <c r="B4701" s="4"/>
      <c r="I4701" s="5"/>
      <c r="J4701" s="5"/>
      <c r="K4701" s="6"/>
      <c r="N4701" s="2"/>
      <c r="O4701" s="2"/>
      <c r="P4701" s="2"/>
    </row>
    <row r="4702" spans="2:16" ht="14.25">
      <c r="B4702" s="4"/>
      <c r="I4702" s="5"/>
      <c r="J4702" s="5"/>
      <c r="K4702" s="6"/>
      <c r="N4702" s="2"/>
      <c r="O4702" s="2"/>
      <c r="P4702" s="2"/>
    </row>
    <row r="4703" spans="2:16" ht="14.25">
      <c r="B4703" s="4"/>
      <c r="I4703" s="5"/>
      <c r="J4703" s="5"/>
      <c r="K4703" s="6"/>
      <c r="N4703" s="2"/>
      <c r="O4703" s="2"/>
      <c r="P4703" s="2"/>
    </row>
    <row r="4704" spans="2:16" ht="14.25">
      <c r="B4704" s="4"/>
      <c r="I4704" s="5"/>
      <c r="J4704" s="5"/>
      <c r="K4704" s="6"/>
      <c r="N4704" s="2"/>
      <c r="O4704" s="2"/>
      <c r="P4704" s="2"/>
    </row>
    <row r="4705" spans="2:16" ht="14.25">
      <c r="B4705" s="4"/>
      <c r="I4705" s="5"/>
      <c r="J4705" s="5"/>
      <c r="K4705" s="6"/>
      <c r="N4705" s="2"/>
      <c r="O4705" s="2"/>
      <c r="P4705" s="2"/>
    </row>
    <row r="4706" spans="2:16" ht="14.25">
      <c r="B4706" s="4"/>
      <c r="I4706" s="5"/>
      <c r="J4706" s="5"/>
      <c r="K4706" s="6"/>
      <c r="N4706" s="2"/>
      <c r="O4706" s="2"/>
      <c r="P4706" s="2"/>
    </row>
    <row r="4707" spans="2:16" ht="14.25">
      <c r="B4707" s="4"/>
      <c r="I4707" s="5"/>
      <c r="J4707" s="5"/>
      <c r="K4707" s="6"/>
      <c r="N4707" s="2"/>
      <c r="O4707" s="2"/>
      <c r="P4707" s="2"/>
    </row>
    <row r="4708" spans="2:16" ht="14.25">
      <c r="B4708" s="4"/>
      <c r="I4708" s="5"/>
      <c r="J4708" s="5"/>
      <c r="K4708" s="6"/>
      <c r="N4708" s="2"/>
      <c r="O4708" s="2"/>
      <c r="P4708" s="2"/>
    </row>
    <row r="4709" spans="2:16" ht="14.25">
      <c r="B4709" s="4"/>
      <c r="I4709" s="5"/>
      <c r="J4709" s="5"/>
      <c r="K4709" s="6"/>
      <c r="N4709" s="2"/>
      <c r="O4709" s="2"/>
      <c r="P4709" s="2"/>
    </row>
    <row r="4710" spans="2:16" ht="14.25">
      <c r="B4710" s="4"/>
      <c r="I4710" s="5"/>
      <c r="J4710" s="5"/>
      <c r="K4710" s="6"/>
      <c r="N4710" s="2"/>
      <c r="O4710" s="2"/>
      <c r="P4710" s="2"/>
    </row>
    <row r="4711" spans="2:16" ht="14.25">
      <c r="B4711" s="4"/>
      <c r="I4711" s="5"/>
      <c r="J4711" s="5"/>
      <c r="K4711" s="6"/>
      <c r="N4711" s="2"/>
      <c r="O4711" s="2"/>
      <c r="P4711" s="2"/>
    </row>
    <row r="4712" spans="2:16" ht="14.25">
      <c r="B4712" s="4"/>
      <c r="I4712" s="5"/>
      <c r="J4712" s="5"/>
      <c r="K4712" s="6"/>
      <c r="N4712" s="2"/>
      <c r="O4712" s="2"/>
      <c r="P4712" s="2"/>
    </row>
    <row r="4713" spans="2:16" ht="14.25">
      <c r="B4713" s="4"/>
      <c r="I4713" s="5"/>
      <c r="J4713" s="5"/>
      <c r="K4713" s="6"/>
      <c r="N4713" s="2"/>
      <c r="O4713" s="2"/>
      <c r="P4713" s="2"/>
    </row>
    <row r="4714" spans="2:16" ht="14.25">
      <c r="B4714" s="4"/>
      <c r="I4714" s="5"/>
      <c r="J4714" s="5"/>
      <c r="K4714" s="6"/>
      <c r="N4714" s="2"/>
      <c r="O4714" s="2"/>
      <c r="P4714" s="2"/>
    </row>
    <row r="4715" spans="2:16" ht="14.25">
      <c r="B4715" s="4"/>
      <c r="I4715" s="5"/>
      <c r="J4715" s="5"/>
      <c r="K4715" s="6"/>
      <c r="N4715" s="2"/>
      <c r="O4715" s="2"/>
      <c r="P4715" s="2"/>
    </row>
    <row r="4716" spans="2:16" ht="14.25">
      <c r="B4716" s="4"/>
      <c r="I4716" s="5"/>
      <c r="J4716" s="5"/>
      <c r="K4716" s="6"/>
      <c r="N4716" s="2"/>
      <c r="O4716" s="2"/>
      <c r="P4716" s="2"/>
    </row>
    <row r="4717" spans="2:16" ht="14.25">
      <c r="B4717" s="4"/>
      <c r="I4717" s="5"/>
      <c r="J4717" s="5"/>
      <c r="K4717" s="6"/>
      <c r="N4717" s="2"/>
      <c r="O4717" s="2"/>
      <c r="P4717" s="2"/>
    </row>
    <row r="4718" spans="2:16" ht="14.25">
      <c r="B4718" s="4"/>
      <c r="I4718" s="5"/>
      <c r="J4718" s="5"/>
      <c r="K4718" s="6"/>
      <c r="N4718" s="2"/>
      <c r="O4718" s="2"/>
      <c r="P4718" s="2"/>
    </row>
    <row r="4719" spans="2:16" ht="14.25">
      <c r="B4719" s="4"/>
      <c r="I4719" s="5"/>
      <c r="J4719" s="5"/>
      <c r="K4719" s="6"/>
      <c r="N4719" s="2"/>
      <c r="O4719" s="2"/>
      <c r="P4719" s="2"/>
    </row>
    <row r="4720" spans="2:16" ht="14.25">
      <c r="B4720" s="4"/>
      <c r="I4720" s="5"/>
      <c r="J4720" s="5"/>
      <c r="K4720" s="6"/>
      <c r="N4720" s="2"/>
      <c r="O4720" s="2"/>
      <c r="P4720" s="2"/>
    </row>
    <row r="4721" spans="2:16" ht="14.25">
      <c r="B4721" s="4"/>
      <c r="I4721" s="5"/>
      <c r="J4721" s="5"/>
      <c r="K4721" s="6"/>
      <c r="N4721" s="2"/>
      <c r="O4721" s="2"/>
      <c r="P4721" s="2"/>
    </row>
    <row r="4722" spans="2:16" ht="14.25">
      <c r="B4722" s="4"/>
      <c r="I4722" s="5"/>
      <c r="J4722" s="5"/>
      <c r="K4722" s="6"/>
      <c r="N4722" s="2"/>
      <c r="O4722" s="2"/>
      <c r="P4722" s="2"/>
    </row>
    <row r="4723" spans="2:16" ht="14.25">
      <c r="B4723" s="4"/>
      <c r="I4723" s="5"/>
      <c r="J4723" s="5"/>
      <c r="K4723" s="6"/>
      <c r="N4723" s="2"/>
      <c r="O4723" s="2"/>
      <c r="P4723" s="2"/>
    </row>
    <row r="4724" spans="2:16" ht="14.25">
      <c r="B4724" s="4"/>
      <c r="I4724" s="5"/>
      <c r="J4724" s="5"/>
      <c r="K4724" s="6"/>
      <c r="N4724" s="2"/>
      <c r="O4724" s="2"/>
      <c r="P4724" s="2"/>
    </row>
    <row r="4725" spans="2:16" ht="14.25">
      <c r="B4725" s="4"/>
      <c r="I4725" s="5"/>
      <c r="J4725" s="5"/>
      <c r="K4725" s="6"/>
      <c r="N4725" s="2"/>
      <c r="O4725" s="2"/>
      <c r="P4725" s="2"/>
    </row>
    <row r="4726" spans="2:16" ht="14.25">
      <c r="B4726" s="4"/>
      <c r="I4726" s="5"/>
      <c r="J4726" s="5"/>
      <c r="K4726" s="6"/>
      <c r="N4726" s="2"/>
      <c r="O4726" s="2"/>
      <c r="P4726" s="2"/>
    </row>
    <row r="4727" spans="2:16" ht="14.25">
      <c r="B4727" s="4"/>
      <c r="I4727" s="5"/>
      <c r="J4727" s="5"/>
      <c r="K4727" s="6"/>
      <c r="N4727" s="2"/>
      <c r="O4727" s="2"/>
      <c r="P4727" s="2"/>
    </row>
    <row r="4728" spans="2:16" ht="14.25">
      <c r="B4728" s="4"/>
      <c r="I4728" s="5"/>
      <c r="J4728" s="5"/>
      <c r="K4728" s="6"/>
      <c r="N4728" s="2"/>
      <c r="O4728" s="2"/>
      <c r="P4728" s="2"/>
    </row>
    <row r="4729" spans="2:16" ht="14.25">
      <c r="B4729" s="4"/>
      <c r="I4729" s="5"/>
      <c r="J4729" s="5"/>
      <c r="K4729" s="6"/>
      <c r="N4729" s="2"/>
      <c r="O4729" s="2"/>
      <c r="P4729" s="2"/>
    </row>
    <row r="4730" spans="2:16" ht="14.25">
      <c r="B4730" s="4"/>
      <c r="I4730" s="5"/>
      <c r="J4730" s="5"/>
      <c r="K4730" s="6"/>
      <c r="N4730" s="2"/>
      <c r="O4730" s="2"/>
      <c r="P4730" s="2"/>
    </row>
    <row r="4731" spans="2:16" ht="14.25">
      <c r="B4731" s="4"/>
      <c r="I4731" s="5"/>
      <c r="J4731" s="5"/>
      <c r="K4731" s="6"/>
      <c r="N4731" s="2"/>
      <c r="O4731" s="2"/>
      <c r="P4731" s="2"/>
    </row>
    <row r="4732" spans="2:16" ht="14.25">
      <c r="B4732" s="4"/>
      <c r="I4732" s="5"/>
      <c r="J4732" s="5"/>
      <c r="K4732" s="6"/>
      <c r="N4732" s="2"/>
      <c r="O4732" s="2"/>
      <c r="P4732" s="2"/>
    </row>
    <row r="4733" spans="2:16" ht="14.25">
      <c r="B4733" s="4"/>
      <c r="I4733" s="5"/>
      <c r="J4733" s="5"/>
      <c r="K4733" s="6"/>
      <c r="N4733" s="2"/>
      <c r="O4733" s="2"/>
      <c r="P4733" s="2"/>
    </row>
    <row r="4734" spans="2:16" ht="14.25">
      <c r="B4734" s="4"/>
      <c r="I4734" s="5"/>
      <c r="J4734" s="5"/>
      <c r="K4734" s="6"/>
      <c r="N4734" s="2"/>
      <c r="O4734" s="2"/>
      <c r="P4734" s="2"/>
    </row>
    <row r="4735" spans="2:16" ht="14.25">
      <c r="B4735" s="4"/>
      <c r="I4735" s="5"/>
      <c r="J4735" s="5"/>
      <c r="K4735" s="6"/>
      <c r="N4735" s="2"/>
      <c r="O4735" s="2"/>
      <c r="P4735" s="2"/>
    </row>
    <row r="4736" spans="2:16" ht="14.25">
      <c r="B4736" s="4"/>
      <c r="I4736" s="5"/>
      <c r="J4736" s="5"/>
      <c r="K4736" s="6"/>
      <c r="N4736" s="2"/>
      <c r="O4736" s="2"/>
      <c r="P4736" s="2"/>
    </row>
    <row r="4737" spans="2:16" ht="14.25">
      <c r="B4737" s="4"/>
      <c r="I4737" s="5"/>
      <c r="J4737" s="5"/>
      <c r="K4737" s="6"/>
      <c r="N4737" s="2"/>
      <c r="O4737" s="2"/>
      <c r="P4737" s="2"/>
    </row>
    <row r="4738" spans="2:16" ht="14.25">
      <c r="B4738" s="4"/>
      <c r="I4738" s="5"/>
      <c r="J4738" s="5"/>
      <c r="K4738" s="6"/>
      <c r="N4738" s="2"/>
      <c r="O4738" s="2"/>
      <c r="P4738" s="2"/>
    </row>
    <row r="4739" spans="2:16" ht="14.25">
      <c r="B4739" s="4"/>
      <c r="I4739" s="5"/>
      <c r="J4739" s="5"/>
      <c r="K4739" s="6"/>
      <c r="N4739" s="2"/>
      <c r="O4739" s="2"/>
      <c r="P4739" s="2"/>
    </row>
    <row r="4740" spans="2:16" ht="14.25">
      <c r="B4740" s="4"/>
      <c r="I4740" s="5"/>
      <c r="J4740" s="5"/>
      <c r="K4740" s="6"/>
      <c r="N4740" s="2"/>
      <c r="O4740" s="2"/>
      <c r="P4740" s="2"/>
    </row>
    <row r="4741" spans="2:16" ht="14.25">
      <c r="B4741" s="4"/>
      <c r="I4741" s="5"/>
      <c r="J4741" s="5"/>
      <c r="K4741" s="6"/>
      <c r="N4741" s="2"/>
      <c r="O4741" s="2"/>
      <c r="P4741" s="2"/>
    </row>
    <row r="4742" spans="2:16" ht="14.25">
      <c r="B4742" s="4"/>
      <c r="I4742" s="5"/>
      <c r="J4742" s="5"/>
      <c r="K4742" s="6"/>
      <c r="N4742" s="2"/>
      <c r="O4742" s="2"/>
      <c r="P4742" s="2"/>
    </row>
    <row r="4743" spans="2:16" ht="14.25">
      <c r="B4743" s="4"/>
      <c r="I4743" s="5"/>
      <c r="J4743" s="5"/>
      <c r="K4743" s="6"/>
      <c r="N4743" s="2"/>
      <c r="O4743" s="2"/>
      <c r="P4743" s="2"/>
    </row>
    <row r="4744" spans="2:16" ht="14.25">
      <c r="B4744" s="4"/>
      <c r="I4744" s="5"/>
      <c r="J4744" s="5"/>
      <c r="K4744" s="6"/>
      <c r="N4744" s="2"/>
      <c r="O4744" s="2"/>
      <c r="P4744" s="2"/>
    </row>
    <row r="4745" spans="2:16" ht="14.25">
      <c r="B4745" s="4"/>
      <c r="I4745" s="5"/>
      <c r="J4745" s="5"/>
      <c r="K4745" s="6"/>
      <c r="N4745" s="2"/>
      <c r="O4745" s="2"/>
      <c r="P4745" s="2"/>
    </row>
    <row r="4746" spans="2:16" ht="14.25">
      <c r="B4746" s="4"/>
      <c r="I4746" s="5"/>
      <c r="J4746" s="5"/>
      <c r="K4746" s="6"/>
      <c r="N4746" s="2"/>
      <c r="O4746" s="2"/>
      <c r="P4746" s="2"/>
    </row>
    <row r="4747" spans="2:16" ht="14.25">
      <c r="B4747" s="4"/>
      <c r="I4747" s="5"/>
      <c r="J4747" s="5"/>
      <c r="K4747" s="6"/>
      <c r="N4747" s="2"/>
      <c r="O4747" s="2"/>
      <c r="P4747" s="2"/>
    </row>
    <row r="4748" spans="2:16" ht="14.25">
      <c r="B4748" s="4"/>
      <c r="I4748" s="5"/>
      <c r="J4748" s="5"/>
      <c r="K4748" s="6"/>
      <c r="N4748" s="2"/>
      <c r="O4748" s="2"/>
      <c r="P4748" s="2"/>
    </row>
    <row r="4749" spans="2:16" ht="14.25">
      <c r="B4749" s="4"/>
      <c r="I4749" s="5"/>
      <c r="J4749" s="5"/>
      <c r="K4749" s="6"/>
      <c r="N4749" s="2"/>
      <c r="O4749" s="2"/>
      <c r="P4749" s="2"/>
    </row>
    <row r="4750" spans="2:16" ht="14.25">
      <c r="B4750" s="4"/>
      <c r="I4750" s="5"/>
      <c r="J4750" s="5"/>
      <c r="K4750" s="6"/>
      <c r="N4750" s="2"/>
      <c r="O4750" s="2"/>
      <c r="P4750" s="2"/>
    </row>
    <row r="4751" spans="2:16" ht="14.25">
      <c r="B4751" s="4"/>
      <c r="I4751" s="5"/>
      <c r="J4751" s="5"/>
      <c r="K4751" s="6"/>
      <c r="N4751" s="2"/>
      <c r="O4751" s="2"/>
      <c r="P4751" s="2"/>
    </row>
    <row r="4752" spans="2:16" ht="14.25">
      <c r="B4752" s="4"/>
      <c r="I4752" s="5"/>
      <c r="J4752" s="5"/>
      <c r="K4752" s="6"/>
      <c r="N4752" s="2"/>
      <c r="O4752" s="2"/>
      <c r="P4752" s="2"/>
    </row>
    <row r="4753" spans="2:16" ht="14.25">
      <c r="B4753" s="4"/>
      <c r="I4753" s="5"/>
      <c r="J4753" s="5"/>
      <c r="K4753" s="6"/>
      <c r="N4753" s="2"/>
      <c r="O4753" s="2"/>
      <c r="P4753" s="2"/>
    </row>
    <row r="4754" spans="2:16" ht="14.25">
      <c r="B4754" s="4"/>
      <c r="I4754" s="5"/>
      <c r="J4754" s="5"/>
      <c r="K4754" s="6"/>
      <c r="N4754" s="2"/>
      <c r="O4754" s="2"/>
      <c r="P4754" s="2"/>
    </row>
    <row r="4755" spans="2:16" ht="14.25">
      <c r="B4755" s="4"/>
      <c r="I4755" s="5"/>
      <c r="J4755" s="5"/>
      <c r="K4755" s="6"/>
      <c r="N4755" s="2"/>
      <c r="O4755" s="2"/>
      <c r="P4755" s="2"/>
    </row>
    <row r="4756" spans="2:16" ht="14.25">
      <c r="B4756" s="4"/>
      <c r="I4756" s="5"/>
      <c r="J4756" s="5"/>
      <c r="K4756" s="6"/>
      <c r="N4756" s="2"/>
      <c r="O4756" s="2"/>
      <c r="P4756" s="2"/>
    </row>
    <row r="4757" spans="2:16" ht="14.25">
      <c r="B4757" s="4"/>
      <c r="I4757" s="5"/>
      <c r="J4757" s="5"/>
      <c r="K4757" s="6"/>
      <c r="N4757" s="2"/>
      <c r="O4757" s="2"/>
      <c r="P4757" s="2"/>
    </row>
    <row r="4758" spans="2:16" ht="14.25">
      <c r="B4758" s="4"/>
      <c r="I4758" s="5"/>
      <c r="J4758" s="5"/>
      <c r="K4758" s="6"/>
      <c r="N4758" s="2"/>
      <c r="O4758" s="2"/>
      <c r="P4758" s="2"/>
    </row>
    <row r="4759" spans="2:16" ht="14.25">
      <c r="B4759" s="4"/>
      <c r="I4759" s="5"/>
      <c r="J4759" s="5"/>
      <c r="K4759" s="6"/>
      <c r="N4759" s="2"/>
      <c r="O4759" s="2"/>
      <c r="P4759" s="2"/>
    </row>
    <row r="4760" spans="2:16" ht="14.25">
      <c r="B4760" s="4"/>
      <c r="I4760" s="5"/>
      <c r="J4760" s="5"/>
      <c r="K4760" s="6"/>
      <c r="N4760" s="2"/>
      <c r="O4760" s="2"/>
      <c r="P4760" s="2"/>
    </row>
    <row r="4761" spans="2:16" ht="14.25">
      <c r="B4761" s="4"/>
      <c r="I4761" s="5"/>
      <c r="J4761" s="5"/>
      <c r="K4761" s="6"/>
      <c r="N4761" s="2"/>
      <c r="O4761" s="2"/>
      <c r="P4761" s="2"/>
    </row>
    <row r="4762" spans="2:16" ht="14.25">
      <c r="B4762" s="4"/>
      <c r="I4762" s="5"/>
      <c r="J4762" s="5"/>
      <c r="K4762" s="6"/>
      <c r="N4762" s="2"/>
      <c r="O4762" s="2"/>
      <c r="P4762" s="2"/>
    </row>
    <row r="4763" spans="2:16" ht="14.25">
      <c r="B4763" s="4"/>
      <c r="I4763" s="5"/>
      <c r="J4763" s="5"/>
      <c r="K4763" s="6"/>
      <c r="N4763" s="2"/>
      <c r="O4763" s="2"/>
      <c r="P4763" s="2"/>
    </row>
    <row r="4764" spans="2:16" ht="14.25">
      <c r="B4764" s="4"/>
      <c r="I4764" s="5"/>
      <c r="J4764" s="5"/>
      <c r="K4764" s="6"/>
      <c r="N4764" s="2"/>
      <c r="O4764" s="2"/>
      <c r="P4764" s="2"/>
    </row>
    <row r="4765" spans="2:16" ht="14.25">
      <c r="B4765" s="4"/>
      <c r="I4765" s="5"/>
      <c r="J4765" s="5"/>
      <c r="K4765" s="6"/>
      <c r="N4765" s="2"/>
      <c r="O4765" s="2"/>
      <c r="P4765" s="2"/>
    </row>
    <row r="4766" spans="2:16" ht="14.25">
      <c r="B4766" s="4"/>
      <c r="I4766" s="5"/>
      <c r="J4766" s="5"/>
      <c r="K4766" s="6"/>
      <c r="N4766" s="2"/>
      <c r="O4766" s="2"/>
      <c r="P4766" s="2"/>
    </row>
    <row r="4767" spans="2:16" ht="14.25">
      <c r="B4767" s="4"/>
      <c r="I4767" s="5"/>
      <c r="J4767" s="5"/>
      <c r="K4767" s="6"/>
      <c r="N4767" s="2"/>
      <c r="O4767" s="2"/>
      <c r="P4767" s="2"/>
    </row>
    <row r="4768" spans="2:16" ht="14.25">
      <c r="B4768" s="4"/>
      <c r="I4768" s="5"/>
      <c r="J4768" s="5"/>
      <c r="K4768" s="6"/>
      <c r="N4768" s="2"/>
      <c r="O4768" s="2"/>
      <c r="P4768" s="2"/>
    </row>
    <row r="4769" spans="2:16" ht="14.25">
      <c r="B4769" s="4"/>
      <c r="I4769" s="5"/>
      <c r="J4769" s="5"/>
      <c r="K4769" s="6"/>
      <c r="N4769" s="2"/>
      <c r="O4769" s="2"/>
      <c r="P4769" s="2"/>
    </row>
    <row r="4770" spans="2:16" ht="14.25">
      <c r="B4770" s="4"/>
      <c r="I4770" s="5"/>
      <c r="J4770" s="5"/>
      <c r="K4770" s="6"/>
      <c r="N4770" s="2"/>
      <c r="O4770" s="2"/>
      <c r="P4770" s="2"/>
    </row>
    <row r="4771" spans="2:16" ht="14.25">
      <c r="B4771" s="4"/>
      <c r="I4771" s="5"/>
      <c r="J4771" s="5"/>
      <c r="K4771" s="6"/>
      <c r="N4771" s="2"/>
      <c r="O4771" s="2"/>
      <c r="P4771" s="2"/>
    </row>
    <row r="4772" spans="2:16" ht="14.25">
      <c r="B4772" s="4"/>
      <c r="I4772" s="5"/>
      <c r="J4772" s="5"/>
      <c r="K4772" s="6"/>
      <c r="N4772" s="2"/>
      <c r="O4772" s="2"/>
      <c r="P4772" s="2"/>
    </row>
    <row r="4773" spans="2:16" ht="14.25">
      <c r="B4773" s="4"/>
      <c r="I4773" s="5"/>
      <c r="J4773" s="5"/>
      <c r="K4773" s="6"/>
      <c r="N4773" s="2"/>
      <c r="O4773" s="2"/>
      <c r="P4773" s="2"/>
    </row>
    <row r="4774" spans="2:16" ht="14.25">
      <c r="B4774" s="4"/>
      <c r="I4774" s="5"/>
      <c r="J4774" s="5"/>
      <c r="K4774" s="6"/>
      <c r="N4774" s="2"/>
      <c r="O4774" s="2"/>
      <c r="P4774" s="2"/>
    </row>
    <row r="4775" spans="2:16" ht="14.25">
      <c r="B4775" s="4"/>
      <c r="I4775" s="5"/>
      <c r="J4775" s="5"/>
      <c r="K4775" s="6"/>
      <c r="N4775" s="2"/>
      <c r="O4775" s="2"/>
      <c r="P4775" s="2"/>
    </row>
    <row r="4776" spans="2:16" ht="14.25">
      <c r="B4776" s="4"/>
      <c r="I4776" s="5"/>
      <c r="J4776" s="5"/>
      <c r="K4776" s="6"/>
      <c r="N4776" s="2"/>
      <c r="O4776" s="2"/>
      <c r="P4776" s="2"/>
    </row>
    <row r="4777" spans="2:16" ht="14.25">
      <c r="B4777" s="4"/>
      <c r="I4777" s="5"/>
      <c r="J4777" s="5"/>
      <c r="K4777" s="6"/>
      <c r="N4777" s="2"/>
      <c r="O4777" s="2"/>
      <c r="P4777" s="2"/>
    </row>
    <row r="4778" spans="2:16" ht="14.25">
      <c r="B4778" s="4"/>
      <c r="I4778" s="5"/>
      <c r="J4778" s="5"/>
      <c r="K4778" s="6"/>
      <c r="N4778" s="2"/>
      <c r="O4778" s="2"/>
      <c r="P4778" s="2"/>
    </row>
    <row r="4779" spans="2:16" ht="14.25">
      <c r="B4779" s="4"/>
      <c r="I4779" s="5"/>
      <c r="J4779" s="5"/>
      <c r="K4779" s="6"/>
      <c r="N4779" s="2"/>
      <c r="O4779" s="2"/>
      <c r="P4779" s="2"/>
    </row>
    <row r="4780" spans="2:16" ht="14.25">
      <c r="B4780" s="4"/>
      <c r="I4780" s="5"/>
      <c r="J4780" s="5"/>
      <c r="K4780" s="6"/>
      <c r="N4780" s="2"/>
      <c r="O4780" s="2"/>
      <c r="P4780" s="2"/>
    </row>
    <row r="4781" spans="2:16" ht="14.25">
      <c r="B4781" s="4"/>
      <c r="I4781" s="5"/>
      <c r="J4781" s="5"/>
      <c r="K4781" s="6"/>
      <c r="N4781" s="2"/>
      <c r="O4781" s="2"/>
      <c r="P4781" s="2"/>
    </row>
    <row r="4782" spans="2:16" ht="14.25">
      <c r="B4782" s="4"/>
      <c r="I4782" s="5"/>
      <c r="J4782" s="5"/>
      <c r="K4782" s="6"/>
      <c r="N4782" s="2"/>
      <c r="O4782" s="2"/>
      <c r="P4782" s="2"/>
    </row>
    <row r="4783" spans="2:16" ht="14.25">
      <c r="B4783" s="4"/>
      <c r="I4783" s="5"/>
      <c r="J4783" s="5"/>
      <c r="K4783" s="6"/>
      <c r="N4783" s="2"/>
      <c r="O4783" s="2"/>
      <c r="P4783" s="2"/>
    </row>
    <row r="4784" spans="2:16" ht="14.25">
      <c r="B4784" s="4"/>
      <c r="I4784" s="5"/>
      <c r="J4784" s="5"/>
      <c r="K4784" s="6"/>
      <c r="N4784" s="2"/>
      <c r="O4784" s="2"/>
      <c r="P4784" s="2"/>
    </row>
    <row r="4785" spans="2:16" ht="14.25">
      <c r="B4785" s="4"/>
      <c r="I4785" s="5"/>
      <c r="J4785" s="5"/>
      <c r="K4785" s="6"/>
      <c r="N4785" s="2"/>
      <c r="O4785" s="2"/>
      <c r="P4785" s="2"/>
    </row>
    <row r="4786" spans="2:16" ht="14.25">
      <c r="B4786" s="4"/>
      <c r="I4786" s="5"/>
      <c r="J4786" s="5"/>
      <c r="K4786" s="6"/>
      <c r="N4786" s="2"/>
      <c r="O4786" s="2"/>
      <c r="P4786" s="2"/>
    </row>
    <row r="4787" spans="2:16" ht="14.25">
      <c r="B4787" s="4"/>
      <c r="I4787" s="5"/>
      <c r="J4787" s="5"/>
      <c r="K4787" s="6"/>
      <c r="N4787" s="2"/>
      <c r="O4787" s="2"/>
      <c r="P4787" s="2"/>
    </row>
    <row r="4788" spans="2:16" ht="14.25">
      <c r="B4788" s="4"/>
      <c r="I4788" s="5"/>
      <c r="J4788" s="5"/>
      <c r="K4788" s="6"/>
      <c r="N4788" s="2"/>
      <c r="O4788" s="2"/>
      <c r="P4788" s="2"/>
    </row>
    <row r="4789" spans="2:16" ht="14.25">
      <c r="B4789" s="4"/>
      <c r="I4789" s="5"/>
      <c r="J4789" s="5"/>
      <c r="K4789" s="6"/>
      <c r="N4789" s="2"/>
      <c r="O4789" s="2"/>
      <c r="P4789" s="2"/>
    </row>
    <row r="4790" spans="2:16" ht="14.25">
      <c r="B4790" s="4"/>
      <c r="I4790" s="5"/>
      <c r="J4790" s="5"/>
      <c r="K4790" s="6"/>
      <c r="N4790" s="2"/>
      <c r="O4790" s="2"/>
      <c r="P4790" s="2"/>
    </row>
    <row r="4791" spans="2:16" ht="14.25">
      <c r="B4791" s="4"/>
      <c r="I4791" s="5"/>
      <c r="J4791" s="5"/>
      <c r="K4791" s="6"/>
      <c r="N4791" s="2"/>
      <c r="O4791" s="2"/>
      <c r="P4791" s="2"/>
    </row>
    <row r="4792" spans="2:16" ht="14.25">
      <c r="B4792" s="4"/>
      <c r="I4792" s="5"/>
      <c r="J4792" s="5"/>
      <c r="K4792" s="6"/>
      <c r="N4792" s="2"/>
      <c r="O4792" s="2"/>
      <c r="P4792" s="2"/>
    </row>
    <row r="4793" spans="2:16" ht="14.25">
      <c r="B4793" s="4"/>
      <c r="I4793" s="5"/>
      <c r="J4793" s="5"/>
      <c r="K4793" s="6"/>
      <c r="N4793" s="2"/>
      <c r="O4793" s="2"/>
      <c r="P4793" s="2"/>
    </row>
    <row r="4794" spans="2:16" ht="14.25">
      <c r="B4794" s="4"/>
      <c r="I4794" s="5"/>
      <c r="J4794" s="5"/>
      <c r="K4794" s="6"/>
      <c r="N4794" s="2"/>
      <c r="O4794" s="2"/>
      <c r="P4794" s="2"/>
    </row>
    <row r="4795" spans="2:16" ht="14.25">
      <c r="B4795" s="4"/>
      <c r="I4795" s="5"/>
      <c r="J4795" s="5"/>
      <c r="K4795" s="6"/>
      <c r="N4795" s="2"/>
      <c r="O4795" s="2"/>
      <c r="P4795" s="2"/>
    </row>
    <row r="4796" spans="2:16" ht="14.25">
      <c r="B4796" s="4"/>
      <c r="I4796" s="5"/>
      <c r="J4796" s="5"/>
      <c r="K4796" s="6"/>
      <c r="N4796" s="2"/>
      <c r="O4796" s="2"/>
      <c r="P4796" s="2"/>
    </row>
    <row r="4797" spans="2:16" ht="14.25">
      <c r="B4797" s="4"/>
      <c r="I4797" s="5"/>
      <c r="J4797" s="5"/>
      <c r="K4797" s="6"/>
      <c r="N4797" s="2"/>
      <c r="O4797" s="2"/>
      <c r="P4797" s="2"/>
    </row>
    <row r="4798" spans="2:16" ht="14.25">
      <c r="B4798" s="4"/>
      <c r="I4798" s="5"/>
      <c r="J4798" s="5"/>
      <c r="K4798" s="6"/>
      <c r="N4798" s="2"/>
      <c r="O4798" s="2"/>
      <c r="P4798" s="2"/>
    </row>
    <row r="4799" spans="2:16" ht="14.25">
      <c r="B4799" s="4"/>
      <c r="I4799" s="5"/>
      <c r="J4799" s="5"/>
      <c r="K4799" s="6"/>
      <c r="N4799" s="2"/>
      <c r="O4799" s="2"/>
      <c r="P4799" s="2"/>
    </row>
    <row r="4800" spans="2:16" ht="14.25">
      <c r="B4800" s="4"/>
      <c r="I4800" s="5"/>
      <c r="J4800" s="5"/>
      <c r="K4800" s="6"/>
      <c r="N4800" s="2"/>
      <c r="O4800" s="2"/>
      <c r="P4800" s="2"/>
    </row>
    <row r="4801" spans="2:16" ht="14.25">
      <c r="B4801" s="4"/>
      <c r="I4801" s="5"/>
      <c r="J4801" s="5"/>
      <c r="K4801" s="6"/>
      <c r="N4801" s="2"/>
      <c r="O4801" s="2"/>
      <c r="P4801" s="2"/>
    </row>
    <row r="4802" spans="2:16" ht="14.25">
      <c r="B4802" s="4"/>
      <c r="I4802" s="5"/>
      <c r="J4802" s="5"/>
      <c r="K4802" s="6"/>
      <c r="N4802" s="2"/>
      <c r="O4802" s="2"/>
      <c r="P4802" s="2"/>
    </row>
    <row r="4803" spans="2:16" ht="14.25">
      <c r="B4803" s="4"/>
      <c r="I4803" s="5"/>
      <c r="J4803" s="5"/>
      <c r="K4803" s="6"/>
      <c r="N4803" s="2"/>
      <c r="O4803" s="2"/>
      <c r="P4803" s="2"/>
    </row>
    <row r="4804" spans="2:16" ht="14.25">
      <c r="B4804" s="4"/>
      <c r="I4804" s="5"/>
      <c r="J4804" s="5"/>
      <c r="K4804" s="6"/>
      <c r="N4804" s="2"/>
      <c r="O4804" s="2"/>
      <c r="P4804" s="2"/>
    </row>
    <row r="4805" spans="2:16" ht="14.25">
      <c r="B4805" s="4"/>
      <c r="I4805" s="5"/>
      <c r="J4805" s="5"/>
      <c r="K4805" s="6"/>
      <c r="N4805" s="2"/>
      <c r="O4805" s="2"/>
      <c r="P4805" s="2"/>
    </row>
    <row r="4806" spans="2:16" ht="14.25">
      <c r="B4806" s="4"/>
      <c r="I4806" s="5"/>
      <c r="J4806" s="5"/>
      <c r="K4806" s="6"/>
      <c r="N4806" s="2"/>
      <c r="O4806" s="2"/>
      <c r="P4806" s="2"/>
    </row>
    <row r="4807" spans="2:16" ht="14.25">
      <c r="B4807" s="4"/>
      <c r="I4807" s="5"/>
      <c r="J4807" s="5"/>
      <c r="K4807" s="6"/>
      <c r="N4807" s="2"/>
      <c r="O4807" s="2"/>
      <c r="P4807" s="2"/>
    </row>
    <row r="4808" spans="2:16" ht="14.25">
      <c r="B4808" s="4"/>
      <c r="I4808" s="5"/>
      <c r="J4808" s="5"/>
      <c r="K4808" s="6"/>
      <c r="N4808" s="2"/>
      <c r="O4808" s="2"/>
      <c r="P4808" s="2"/>
    </row>
    <row r="4809" spans="2:16" ht="14.25">
      <c r="B4809" s="4"/>
      <c r="I4809" s="5"/>
      <c r="J4809" s="5"/>
      <c r="K4809" s="6"/>
      <c r="N4809" s="2"/>
      <c r="O4809" s="2"/>
      <c r="P4809" s="2"/>
    </row>
    <row r="4810" spans="2:16" ht="14.25">
      <c r="B4810" s="4"/>
      <c r="I4810" s="5"/>
      <c r="J4810" s="5"/>
      <c r="K4810" s="6"/>
      <c r="N4810" s="2"/>
      <c r="O4810" s="2"/>
      <c r="P4810" s="2"/>
    </row>
    <row r="4811" spans="2:16" ht="14.25">
      <c r="B4811" s="4"/>
      <c r="I4811" s="5"/>
      <c r="J4811" s="5"/>
      <c r="K4811" s="6"/>
      <c r="N4811" s="2"/>
      <c r="O4811" s="2"/>
      <c r="P4811" s="2"/>
    </row>
    <row r="4812" spans="2:16" ht="14.25">
      <c r="B4812" s="4"/>
      <c r="I4812" s="5"/>
      <c r="J4812" s="5"/>
      <c r="K4812" s="6"/>
      <c r="N4812" s="2"/>
      <c r="O4812" s="2"/>
      <c r="P4812" s="2"/>
    </row>
    <row r="4813" spans="2:16" ht="14.25">
      <c r="B4813" s="4"/>
      <c r="I4813" s="5"/>
      <c r="J4813" s="5"/>
      <c r="K4813" s="6"/>
      <c r="N4813" s="2"/>
      <c r="O4813" s="2"/>
      <c r="P4813" s="2"/>
    </row>
    <row r="4814" spans="2:16" ht="14.25">
      <c r="B4814" s="4"/>
      <c r="I4814" s="5"/>
      <c r="J4814" s="5"/>
      <c r="K4814" s="6"/>
      <c r="N4814" s="2"/>
      <c r="O4814" s="2"/>
      <c r="P4814" s="2"/>
    </row>
    <row r="4815" spans="2:16" ht="14.25">
      <c r="B4815" s="4"/>
      <c r="I4815" s="5"/>
      <c r="J4815" s="5"/>
      <c r="K4815" s="6"/>
      <c r="N4815" s="2"/>
      <c r="O4815" s="2"/>
      <c r="P4815" s="2"/>
    </row>
    <row r="4816" spans="2:16" ht="14.25">
      <c r="B4816" s="4"/>
      <c r="I4816" s="5"/>
      <c r="J4816" s="5"/>
      <c r="K4816" s="6"/>
      <c r="N4816" s="2"/>
      <c r="O4816" s="2"/>
      <c r="P4816" s="2"/>
    </row>
    <row r="4817" spans="2:16" ht="14.25">
      <c r="B4817" s="4"/>
      <c r="I4817" s="5"/>
      <c r="J4817" s="5"/>
      <c r="K4817" s="6"/>
      <c r="N4817" s="2"/>
      <c r="O4817" s="2"/>
      <c r="P4817" s="2"/>
    </row>
    <row r="4818" spans="2:16" ht="14.25">
      <c r="B4818" s="4"/>
      <c r="I4818" s="5"/>
      <c r="J4818" s="5"/>
      <c r="K4818" s="6"/>
      <c r="N4818" s="2"/>
      <c r="O4818" s="2"/>
      <c r="P4818" s="2"/>
    </row>
    <row r="4819" spans="2:16" ht="14.25">
      <c r="B4819" s="4"/>
      <c r="I4819" s="5"/>
      <c r="J4819" s="5"/>
      <c r="K4819" s="6"/>
      <c r="N4819" s="2"/>
      <c r="O4819" s="2"/>
      <c r="P4819" s="2"/>
    </row>
    <row r="4820" spans="2:16" ht="14.25">
      <c r="B4820" s="4"/>
      <c r="I4820" s="5"/>
      <c r="J4820" s="5"/>
      <c r="K4820" s="6"/>
      <c r="N4820" s="2"/>
      <c r="O4820" s="2"/>
      <c r="P4820" s="2"/>
    </row>
    <row r="4821" spans="2:16" ht="14.25">
      <c r="B4821" s="4"/>
      <c r="I4821" s="5"/>
      <c r="J4821" s="5"/>
      <c r="K4821" s="6"/>
      <c r="N4821" s="2"/>
      <c r="O4821" s="2"/>
      <c r="P4821" s="2"/>
    </row>
    <row r="4822" spans="2:16" ht="14.25">
      <c r="B4822" s="4"/>
      <c r="I4822" s="5"/>
      <c r="J4822" s="5"/>
      <c r="K4822" s="6"/>
      <c r="N4822" s="2"/>
      <c r="O4822" s="2"/>
      <c r="P4822" s="2"/>
    </row>
    <row r="4823" spans="2:16" ht="14.25">
      <c r="B4823" s="4"/>
      <c r="I4823" s="5"/>
      <c r="J4823" s="5"/>
      <c r="K4823" s="6"/>
      <c r="N4823" s="2"/>
      <c r="O4823" s="2"/>
      <c r="P4823" s="2"/>
    </row>
    <row r="4824" spans="2:16" ht="14.25">
      <c r="B4824" s="4"/>
      <c r="I4824" s="5"/>
      <c r="J4824" s="5"/>
      <c r="K4824" s="6"/>
      <c r="N4824" s="2"/>
      <c r="O4824" s="2"/>
      <c r="P4824" s="2"/>
    </row>
    <row r="4825" spans="2:16" ht="14.25">
      <c r="B4825" s="4"/>
      <c r="I4825" s="5"/>
      <c r="J4825" s="5"/>
      <c r="K4825" s="6"/>
      <c r="N4825" s="2"/>
      <c r="O4825" s="2"/>
      <c r="P4825" s="2"/>
    </row>
    <row r="4826" spans="2:16" ht="14.25">
      <c r="B4826" s="4"/>
      <c r="I4826" s="5"/>
      <c r="J4826" s="5"/>
      <c r="K4826" s="6"/>
      <c r="N4826" s="2"/>
      <c r="O4826" s="2"/>
      <c r="P4826" s="2"/>
    </row>
    <row r="4827" spans="2:16" ht="14.25">
      <c r="B4827" s="4"/>
      <c r="I4827" s="5"/>
      <c r="J4827" s="5"/>
      <c r="K4827" s="6"/>
      <c r="N4827" s="2"/>
      <c r="O4827" s="2"/>
      <c r="P4827" s="2"/>
    </row>
    <row r="4828" spans="2:16" ht="14.25">
      <c r="B4828" s="4"/>
      <c r="I4828" s="5"/>
      <c r="J4828" s="5"/>
      <c r="K4828" s="6"/>
      <c r="N4828" s="2"/>
      <c r="O4828" s="2"/>
      <c r="P4828" s="2"/>
    </row>
    <row r="4829" spans="2:16" ht="14.25">
      <c r="B4829" s="4"/>
      <c r="I4829" s="5"/>
      <c r="J4829" s="5"/>
      <c r="K4829" s="6"/>
      <c r="N4829" s="2"/>
      <c r="O4829" s="2"/>
      <c r="P4829" s="2"/>
    </row>
    <row r="4830" spans="2:16" ht="14.25">
      <c r="B4830" s="4"/>
      <c r="I4830" s="5"/>
      <c r="J4830" s="5"/>
      <c r="K4830" s="6"/>
      <c r="N4830" s="2"/>
      <c r="O4830" s="2"/>
      <c r="P4830" s="2"/>
    </row>
    <row r="4831" spans="2:16" ht="14.25">
      <c r="B4831" s="4"/>
      <c r="I4831" s="5"/>
      <c r="J4831" s="5"/>
      <c r="K4831" s="6"/>
      <c r="N4831" s="2"/>
      <c r="O4831" s="2"/>
      <c r="P4831" s="2"/>
    </row>
    <row r="4832" spans="2:16" ht="14.25">
      <c r="B4832" s="4"/>
      <c r="I4832" s="5"/>
      <c r="J4832" s="5"/>
      <c r="K4832" s="6"/>
      <c r="N4832" s="2"/>
      <c r="O4832" s="2"/>
      <c r="P4832" s="2"/>
    </row>
    <row r="4833" spans="2:16" ht="14.25">
      <c r="B4833" s="4"/>
      <c r="I4833" s="5"/>
      <c r="J4833" s="5"/>
      <c r="K4833" s="6"/>
      <c r="N4833" s="2"/>
      <c r="O4833" s="2"/>
      <c r="P4833" s="2"/>
    </row>
    <row r="4834" spans="2:16" ht="14.25">
      <c r="B4834" s="4"/>
      <c r="I4834" s="5"/>
      <c r="J4834" s="5"/>
      <c r="K4834" s="6"/>
      <c r="N4834" s="2"/>
      <c r="O4834" s="2"/>
      <c r="P4834" s="2"/>
    </row>
    <row r="4835" spans="2:16" ht="14.25">
      <c r="B4835" s="4"/>
      <c r="I4835" s="5"/>
      <c r="J4835" s="5"/>
      <c r="K4835" s="6"/>
      <c r="N4835" s="2"/>
      <c r="O4835" s="2"/>
      <c r="P4835" s="2"/>
    </row>
    <row r="4836" spans="2:16" ht="14.25">
      <c r="B4836" s="4"/>
      <c r="I4836" s="5"/>
      <c r="J4836" s="5"/>
      <c r="K4836" s="6"/>
      <c r="N4836" s="2"/>
      <c r="O4836" s="2"/>
      <c r="P4836" s="2"/>
    </row>
    <row r="4837" spans="2:16" ht="14.25">
      <c r="B4837" s="4"/>
      <c r="I4837" s="5"/>
      <c r="J4837" s="5"/>
      <c r="K4837" s="6"/>
      <c r="N4837" s="2"/>
      <c r="O4837" s="2"/>
      <c r="P4837" s="2"/>
    </row>
    <row r="4838" spans="2:16" ht="14.25">
      <c r="B4838" s="4"/>
      <c r="I4838" s="5"/>
      <c r="J4838" s="5"/>
      <c r="K4838" s="6"/>
      <c r="N4838" s="2"/>
      <c r="O4838" s="2"/>
      <c r="P4838" s="2"/>
    </row>
    <row r="4839" spans="2:16" ht="14.25">
      <c r="B4839" s="4"/>
      <c r="I4839" s="5"/>
      <c r="J4839" s="5"/>
      <c r="K4839" s="6"/>
      <c r="N4839" s="2"/>
      <c r="O4839" s="2"/>
      <c r="P4839" s="2"/>
    </row>
    <row r="4840" spans="2:16" ht="14.25">
      <c r="B4840" s="4"/>
      <c r="I4840" s="5"/>
      <c r="J4840" s="5"/>
      <c r="K4840" s="6"/>
      <c r="N4840" s="2"/>
      <c r="O4840" s="2"/>
      <c r="P4840" s="2"/>
    </row>
    <row r="4841" spans="2:16" ht="14.25">
      <c r="B4841" s="4"/>
      <c r="I4841" s="5"/>
      <c r="J4841" s="5"/>
      <c r="K4841" s="6"/>
      <c r="N4841" s="2"/>
      <c r="O4841" s="2"/>
      <c r="P4841" s="2"/>
    </row>
    <row r="4842" spans="2:16" ht="14.25">
      <c r="B4842" s="4"/>
      <c r="I4842" s="5"/>
      <c r="J4842" s="5"/>
      <c r="K4842" s="6"/>
      <c r="N4842" s="2"/>
      <c r="O4842" s="2"/>
      <c r="P4842" s="2"/>
    </row>
    <row r="4843" spans="2:16" ht="14.25">
      <c r="B4843" s="4"/>
      <c r="I4843" s="5"/>
      <c r="J4843" s="5"/>
      <c r="K4843" s="6"/>
      <c r="N4843" s="2"/>
      <c r="O4843" s="2"/>
      <c r="P4843" s="2"/>
    </row>
    <row r="4844" spans="2:16" ht="14.25">
      <c r="B4844" s="4"/>
      <c r="I4844" s="5"/>
      <c r="J4844" s="5"/>
      <c r="K4844" s="6"/>
      <c r="N4844" s="2"/>
      <c r="O4844" s="2"/>
      <c r="P4844" s="2"/>
    </row>
    <row r="4845" spans="2:16" ht="14.25">
      <c r="B4845" s="4"/>
      <c r="I4845" s="5"/>
      <c r="J4845" s="5"/>
      <c r="K4845" s="6"/>
      <c r="N4845" s="2"/>
      <c r="O4845" s="2"/>
      <c r="P4845" s="2"/>
    </row>
    <row r="4846" spans="2:16" ht="14.25">
      <c r="B4846" s="4"/>
      <c r="I4846" s="5"/>
      <c r="J4846" s="5"/>
      <c r="K4846" s="6"/>
      <c r="N4846" s="2"/>
      <c r="O4846" s="2"/>
      <c r="P4846" s="2"/>
    </row>
    <row r="4847" spans="2:16" ht="14.25">
      <c r="B4847" s="4"/>
      <c r="I4847" s="5"/>
      <c r="J4847" s="5"/>
      <c r="K4847" s="6"/>
      <c r="N4847" s="2"/>
      <c r="O4847" s="2"/>
      <c r="P4847" s="2"/>
    </row>
    <row r="4848" spans="2:16" ht="14.25">
      <c r="B4848" s="4"/>
      <c r="I4848" s="5"/>
      <c r="J4848" s="5"/>
      <c r="K4848" s="6"/>
      <c r="N4848" s="2"/>
      <c r="O4848" s="2"/>
      <c r="P4848" s="2"/>
    </row>
    <row r="4849" spans="2:16" ht="14.25">
      <c r="B4849" s="4"/>
      <c r="I4849" s="5"/>
      <c r="J4849" s="5"/>
      <c r="K4849" s="6"/>
      <c r="N4849" s="2"/>
      <c r="O4849" s="2"/>
      <c r="P4849" s="2"/>
    </row>
    <row r="4850" spans="2:16" ht="14.25">
      <c r="B4850" s="4"/>
      <c r="I4850" s="5"/>
      <c r="J4850" s="5"/>
      <c r="K4850" s="6"/>
      <c r="N4850" s="2"/>
      <c r="O4850" s="2"/>
      <c r="P4850" s="2"/>
    </row>
    <row r="4851" spans="2:16" ht="14.25">
      <c r="B4851" s="4"/>
      <c r="I4851" s="5"/>
      <c r="J4851" s="5"/>
      <c r="K4851" s="6"/>
      <c r="N4851" s="2"/>
      <c r="O4851" s="2"/>
      <c r="P4851" s="2"/>
    </row>
    <row r="4852" spans="2:16" ht="14.25">
      <c r="B4852" s="4"/>
      <c r="I4852" s="5"/>
      <c r="J4852" s="5"/>
      <c r="K4852" s="6"/>
      <c r="N4852" s="2"/>
      <c r="O4852" s="2"/>
      <c r="P4852" s="2"/>
    </row>
    <row r="4853" spans="2:16" ht="14.25">
      <c r="B4853" s="4"/>
      <c r="I4853" s="5"/>
      <c r="J4853" s="5"/>
      <c r="K4853" s="6"/>
      <c r="N4853" s="2"/>
      <c r="O4853" s="2"/>
      <c r="P4853" s="2"/>
    </row>
    <row r="4854" spans="2:16" ht="14.25">
      <c r="B4854" s="4"/>
      <c r="I4854" s="5"/>
      <c r="J4854" s="5"/>
      <c r="K4854" s="6"/>
      <c r="N4854" s="2"/>
      <c r="O4854" s="2"/>
      <c r="P4854" s="2"/>
    </row>
    <row r="4855" spans="2:16" ht="14.25">
      <c r="B4855" s="4"/>
      <c r="I4855" s="5"/>
      <c r="J4855" s="5"/>
      <c r="K4855" s="6"/>
      <c r="N4855" s="2"/>
      <c r="O4855" s="2"/>
      <c r="P4855" s="2"/>
    </row>
    <row r="4856" spans="2:16" ht="14.25">
      <c r="B4856" s="4"/>
      <c r="I4856" s="5"/>
      <c r="J4856" s="5"/>
      <c r="K4856" s="6"/>
      <c r="N4856" s="2"/>
      <c r="O4856" s="2"/>
      <c r="P4856" s="2"/>
    </row>
    <row r="4857" spans="2:16" ht="14.25">
      <c r="B4857" s="4"/>
      <c r="I4857" s="5"/>
      <c r="J4857" s="5"/>
      <c r="K4857" s="6"/>
      <c r="N4857" s="2"/>
      <c r="O4857" s="2"/>
      <c r="P4857" s="2"/>
    </row>
    <row r="4858" spans="2:16" ht="14.25">
      <c r="B4858" s="4"/>
      <c r="I4858" s="5"/>
      <c r="J4858" s="5"/>
      <c r="K4858" s="6"/>
      <c r="N4858" s="2"/>
      <c r="O4858" s="2"/>
      <c r="P4858" s="2"/>
    </row>
    <row r="4859" spans="2:16" ht="14.25">
      <c r="B4859" s="4"/>
      <c r="I4859" s="5"/>
      <c r="J4859" s="5"/>
      <c r="K4859" s="6"/>
      <c r="N4859" s="2"/>
      <c r="O4859" s="2"/>
      <c r="P4859" s="2"/>
    </row>
    <row r="4860" spans="2:16" ht="14.25">
      <c r="B4860" s="4"/>
      <c r="I4860" s="5"/>
      <c r="J4860" s="5"/>
      <c r="K4860" s="6"/>
      <c r="N4860" s="2"/>
      <c r="O4860" s="2"/>
      <c r="P4860" s="2"/>
    </row>
    <row r="4861" spans="2:16" ht="14.25">
      <c r="B4861" s="4"/>
      <c r="I4861" s="5"/>
      <c r="J4861" s="5"/>
      <c r="K4861" s="6"/>
      <c r="N4861" s="2"/>
      <c r="O4861" s="2"/>
      <c r="P4861" s="2"/>
    </row>
    <row r="4862" spans="2:16" ht="14.25">
      <c r="B4862" s="4"/>
      <c r="I4862" s="5"/>
      <c r="J4862" s="5"/>
      <c r="K4862" s="6"/>
      <c r="N4862" s="2"/>
      <c r="O4862" s="2"/>
      <c r="P4862" s="2"/>
    </row>
    <row r="4863" spans="2:16" ht="14.25">
      <c r="B4863" s="4"/>
      <c r="I4863" s="5"/>
      <c r="J4863" s="5"/>
      <c r="K4863" s="6"/>
      <c r="N4863" s="2"/>
      <c r="O4863" s="2"/>
      <c r="P4863" s="2"/>
    </row>
    <row r="4864" spans="2:16" ht="14.25">
      <c r="B4864" s="4"/>
      <c r="I4864" s="5"/>
      <c r="J4864" s="5"/>
      <c r="K4864" s="6"/>
      <c r="N4864" s="2"/>
      <c r="O4864" s="2"/>
      <c r="P4864" s="2"/>
    </row>
    <row r="4865" spans="2:16" ht="14.25">
      <c r="B4865" s="4"/>
      <c r="I4865" s="5"/>
      <c r="J4865" s="5"/>
      <c r="K4865" s="6"/>
      <c r="N4865" s="2"/>
      <c r="O4865" s="2"/>
      <c r="P4865" s="2"/>
    </row>
    <row r="4866" spans="2:16" ht="14.25">
      <c r="B4866" s="4"/>
      <c r="I4866" s="5"/>
      <c r="J4866" s="5"/>
      <c r="K4866" s="6"/>
      <c r="N4866" s="2"/>
      <c r="O4866" s="2"/>
      <c r="P4866" s="2"/>
    </row>
    <row r="4867" spans="2:16" ht="14.25">
      <c r="B4867" s="4"/>
      <c r="I4867" s="5"/>
      <c r="J4867" s="5"/>
      <c r="K4867" s="6"/>
      <c r="N4867" s="2"/>
      <c r="O4867" s="2"/>
      <c r="P4867" s="2"/>
    </row>
    <row r="4868" spans="2:16" ht="14.25">
      <c r="B4868" s="4"/>
      <c r="I4868" s="5"/>
      <c r="J4868" s="5"/>
      <c r="K4868" s="6"/>
      <c r="N4868" s="2"/>
      <c r="O4868" s="2"/>
      <c r="P4868" s="2"/>
    </row>
    <row r="4869" spans="2:16" ht="14.25">
      <c r="B4869" s="4"/>
      <c r="I4869" s="5"/>
      <c r="J4869" s="5"/>
      <c r="K4869" s="6"/>
      <c r="N4869" s="2"/>
      <c r="O4869" s="2"/>
      <c r="P4869" s="2"/>
    </row>
    <row r="4870" spans="2:16" ht="14.25">
      <c r="B4870" s="4"/>
      <c r="I4870" s="5"/>
      <c r="J4870" s="5"/>
      <c r="K4870" s="6"/>
      <c r="N4870" s="2"/>
      <c r="O4870" s="2"/>
      <c r="P4870" s="2"/>
    </row>
    <row r="4871" spans="2:16" ht="14.25">
      <c r="B4871" s="4"/>
      <c r="I4871" s="5"/>
      <c r="J4871" s="5"/>
      <c r="K4871" s="6"/>
      <c r="N4871" s="2"/>
      <c r="O4871" s="2"/>
      <c r="P4871" s="2"/>
    </row>
    <row r="4872" spans="2:16" ht="14.25">
      <c r="B4872" s="4"/>
      <c r="I4872" s="5"/>
      <c r="J4872" s="5"/>
      <c r="K4872" s="6"/>
      <c r="N4872" s="2"/>
      <c r="O4872" s="2"/>
      <c r="P4872" s="2"/>
    </row>
    <row r="4873" spans="2:16" ht="14.25">
      <c r="B4873" s="4"/>
      <c r="I4873" s="5"/>
      <c r="J4873" s="5"/>
      <c r="K4873" s="6"/>
      <c r="N4873" s="2"/>
      <c r="O4873" s="2"/>
      <c r="P4873" s="2"/>
    </row>
    <row r="4874" spans="2:16" ht="14.25">
      <c r="B4874" s="4"/>
      <c r="I4874" s="5"/>
      <c r="J4874" s="5"/>
      <c r="K4874" s="6"/>
      <c r="N4874" s="2"/>
      <c r="O4874" s="2"/>
      <c r="P4874" s="2"/>
    </row>
    <row r="4875" spans="2:16" ht="14.25">
      <c r="B4875" s="4"/>
      <c r="I4875" s="5"/>
      <c r="J4875" s="5"/>
      <c r="K4875" s="6"/>
      <c r="N4875" s="2"/>
      <c r="O4875" s="2"/>
      <c r="P4875" s="2"/>
    </row>
    <row r="4876" spans="2:16" ht="14.25">
      <c r="B4876" s="4"/>
      <c r="I4876" s="5"/>
      <c r="J4876" s="5"/>
      <c r="K4876" s="6"/>
      <c r="N4876" s="2"/>
      <c r="O4876" s="2"/>
      <c r="P4876" s="2"/>
    </row>
    <row r="4877" spans="2:16" ht="14.25">
      <c r="B4877" s="4"/>
      <c r="I4877" s="5"/>
      <c r="J4877" s="5"/>
      <c r="K4877" s="6"/>
      <c r="N4877" s="2"/>
      <c r="O4877" s="2"/>
      <c r="P4877" s="2"/>
    </row>
    <row r="4878" spans="2:16" ht="14.25">
      <c r="B4878" s="4"/>
      <c r="I4878" s="5"/>
      <c r="J4878" s="5"/>
      <c r="K4878" s="6"/>
      <c r="N4878" s="2"/>
      <c r="O4878" s="2"/>
      <c r="P4878" s="2"/>
    </row>
    <row r="4879" spans="2:16" ht="14.25">
      <c r="B4879" s="4"/>
      <c r="I4879" s="5"/>
      <c r="J4879" s="5"/>
      <c r="K4879" s="6"/>
      <c r="N4879" s="2"/>
      <c r="O4879" s="2"/>
      <c r="P4879" s="2"/>
    </row>
    <row r="4880" spans="2:16" ht="14.25">
      <c r="B4880" s="4"/>
      <c r="I4880" s="5"/>
      <c r="J4880" s="5"/>
      <c r="K4880" s="6"/>
      <c r="N4880" s="2"/>
      <c r="O4880" s="2"/>
      <c r="P4880" s="2"/>
    </row>
    <row r="4881" spans="2:16" ht="14.25">
      <c r="B4881" s="4"/>
      <c r="I4881" s="5"/>
      <c r="J4881" s="5"/>
      <c r="K4881" s="6"/>
      <c r="N4881" s="2"/>
      <c r="O4881" s="2"/>
      <c r="P4881" s="2"/>
    </row>
    <row r="4882" spans="2:16" ht="14.25">
      <c r="B4882" s="4"/>
      <c r="I4882" s="5"/>
      <c r="J4882" s="5"/>
      <c r="K4882" s="6"/>
      <c r="N4882" s="2"/>
      <c r="O4882" s="2"/>
      <c r="P4882" s="2"/>
    </row>
    <row r="4883" spans="2:16" ht="14.25">
      <c r="B4883" s="4"/>
      <c r="I4883" s="5"/>
      <c r="J4883" s="5"/>
      <c r="K4883" s="6"/>
      <c r="N4883" s="2"/>
      <c r="O4883" s="2"/>
      <c r="P4883" s="2"/>
    </row>
    <row r="4884" spans="2:16" ht="14.25">
      <c r="B4884" s="4"/>
      <c r="I4884" s="5"/>
      <c r="J4884" s="5"/>
      <c r="K4884" s="6"/>
      <c r="N4884" s="2"/>
      <c r="O4884" s="2"/>
      <c r="P4884" s="2"/>
    </row>
    <row r="4885" spans="2:16" ht="14.25">
      <c r="B4885" s="4"/>
      <c r="I4885" s="5"/>
      <c r="J4885" s="5"/>
      <c r="K4885" s="6"/>
      <c r="N4885" s="2"/>
      <c r="O4885" s="2"/>
      <c r="P4885" s="2"/>
    </row>
    <row r="4886" spans="2:16" ht="14.25">
      <c r="B4886" s="4"/>
      <c r="I4886" s="5"/>
      <c r="J4886" s="5"/>
      <c r="K4886" s="6"/>
      <c r="N4886" s="2"/>
      <c r="O4886" s="2"/>
      <c r="P4886" s="2"/>
    </row>
    <row r="4887" spans="2:16" ht="14.25">
      <c r="B4887" s="4"/>
      <c r="I4887" s="5"/>
      <c r="J4887" s="5"/>
      <c r="K4887" s="6"/>
      <c r="N4887" s="2"/>
      <c r="O4887" s="2"/>
      <c r="P4887" s="2"/>
    </row>
    <row r="4888" spans="2:16" ht="14.25">
      <c r="B4888" s="4"/>
      <c r="I4888" s="5"/>
      <c r="J4888" s="5"/>
      <c r="K4888" s="6"/>
      <c r="N4888" s="2"/>
      <c r="O4888" s="2"/>
      <c r="P4888" s="2"/>
    </row>
    <row r="4889" spans="2:16" ht="14.25">
      <c r="B4889" s="4"/>
      <c r="I4889" s="5"/>
      <c r="J4889" s="5"/>
      <c r="K4889" s="6"/>
      <c r="N4889" s="2"/>
      <c r="O4889" s="2"/>
      <c r="P4889" s="2"/>
    </row>
    <row r="4890" spans="2:16" ht="14.25">
      <c r="B4890" s="4"/>
      <c r="I4890" s="5"/>
      <c r="J4890" s="5"/>
      <c r="K4890" s="6"/>
      <c r="N4890" s="2"/>
      <c r="O4890" s="2"/>
      <c r="P4890" s="2"/>
    </row>
    <row r="4891" spans="2:16" ht="14.25">
      <c r="B4891" s="4"/>
      <c r="I4891" s="5"/>
      <c r="J4891" s="5"/>
      <c r="K4891" s="6"/>
      <c r="N4891" s="2"/>
      <c r="O4891" s="2"/>
      <c r="P4891" s="2"/>
    </row>
    <row r="4892" spans="2:16" ht="14.25">
      <c r="B4892" s="4"/>
      <c r="I4892" s="5"/>
      <c r="J4892" s="5"/>
      <c r="K4892" s="6"/>
      <c r="N4892" s="2"/>
      <c r="O4892" s="2"/>
      <c r="P4892" s="2"/>
    </row>
    <row r="4893" spans="2:16" ht="14.25">
      <c r="B4893" s="4"/>
      <c r="I4893" s="5"/>
      <c r="J4893" s="5"/>
      <c r="K4893" s="6"/>
      <c r="N4893" s="2"/>
      <c r="O4893" s="2"/>
      <c r="P4893" s="2"/>
    </row>
    <row r="4894" spans="2:16" ht="14.25">
      <c r="B4894" s="4"/>
      <c r="I4894" s="5"/>
      <c r="J4894" s="5"/>
      <c r="K4894" s="6"/>
      <c r="N4894" s="2"/>
      <c r="O4894" s="2"/>
      <c r="P4894" s="2"/>
    </row>
    <row r="4895" spans="2:16" ht="14.25">
      <c r="B4895" s="4"/>
      <c r="I4895" s="5"/>
      <c r="J4895" s="5"/>
      <c r="K4895" s="6"/>
      <c r="N4895" s="2"/>
      <c r="O4895" s="2"/>
      <c r="P4895" s="2"/>
    </row>
    <row r="4896" spans="2:16" ht="14.25">
      <c r="B4896" s="4"/>
      <c r="I4896" s="5"/>
      <c r="J4896" s="5"/>
      <c r="K4896" s="6"/>
      <c r="N4896" s="2"/>
      <c r="O4896" s="2"/>
      <c r="P4896" s="2"/>
    </row>
    <row r="4897" spans="2:16" ht="14.25">
      <c r="B4897" s="4"/>
      <c r="I4897" s="5"/>
      <c r="J4897" s="5"/>
      <c r="K4897" s="6"/>
      <c r="N4897" s="2"/>
      <c r="O4897" s="2"/>
      <c r="P4897" s="2"/>
    </row>
    <row r="4898" spans="2:16" ht="14.25">
      <c r="B4898" s="4"/>
      <c r="I4898" s="5"/>
      <c r="J4898" s="5"/>
      <c r="K4898" s="6"/>
      <c r="N4898" s="2"/>
      <c r="O4898" s="2"/>
      <c r="P4898" s="2"/>
    </row>
    <row r="4899" spans="2:16" ht="14.25">
      <c r="B4899" s="4"/>
      <c r="I4899" s="5"/>
      <c r="J4899" s="5"/>
      <c r="K4899" s="6"/>
      <c r="N4899" s="2"/>
      <c r="O4899" s="2"/>
      <c r="P4899" s="2"/>
    </row>
    <row r="4900" spans="2:16" ht="14.25">
      <c r="B4900" s="4"/>
      <c r="I4900" s="5"/>
      <c r="J4900" s="5"/>
      <c r="K4900" s="6"/>
      <c r="N4900" s="2"/>
      <c r="O4900" s="2"/>
      <c r="P4900" s="2"/>
    </row>
    <row r="4901" spans="2:16" ht="14.25">
      <c r="B4901" s="4"/>
      <c r="I4901" s="5"/>
      <c r="J4901" s="5"/>
      <c r="K4901" s="6"/>
      <c r="N4901" s="2"/>
      <c r="O4901" s="2"/>
      <c r="P4901" s="2"/>
    </row>
    <row r="4902" spans="2:16" ht="14.25">
      <c r="B4902" s="4"/>
      <c r="I4902" s="5"/>
      <c r="J4902" s="5"/>
      <c r="K4902" s="6"/>
      <c r="N4902" s="2"/>
      <c r="O4902" s="2"/>
      <c r="P4902" s="2"/>
    </row>
    <row r="4903" spans="2:16" ht="14.25">
      <c r="B4903" s="4"/>
      <c r="I4903" s="5"/>
      <c r="J4903" s="5"/>
      <c r="K4903" s="6"/>
      <c r="N4903" s="2"/>
      <c r="O4903" s="2"/>
      <c r="P4903" s="2"/>
    </row>
    <row r="4904" spans="2:16" ht="14.25">
      <c r="B4904" s="4"/>
      <c r="I4904" s="5"/>
      <c r="J4904" s="5"/>
      <c r="K4904" s="6"/>
      <c r="N4904" s="2"/>
      <c r="O4904" s="2"/>
      <c r="P4904" s="2"/>
    </row>
    <row r="4905" spans="2:16" ht="14.25">
      <c r="B4905" s="4"/>
      <c r="I4905" s="5"/>
      <c r="J4905" s="5"/>
      <c r="K4905" s="6"/>
      <c r="N4905" s="2"/>
      <c r="O4905" s="2"/>
      <c r="P4905" s="2"/>
    </row>
    <row r="4906" spans="2:16" ht="14.25">
      <c r="B4906" s="4"/>
      <c r="I4906" s="5"/>
      <c r="J4906" s="5"/>
      <c r="K4906" s="6"/>
      <c r="N4906" s="2"/>
      <c r="O4906" s="2"/>
      <c r="P4906" s="2"/>
    </row>
    <row r="4907" spans="2:16" ht="14.25">
      <c r="B4907" s="4"/>
      <c r="I4907" s="5"/>
      <c r="J4907" s="5"/>
      <c r="K4907" s="6"/>
      <c r="N4907" s="2"/>
      <c r="O4907" s="2"/>
      <c r="P4907" s="2"/>
    </row>
    <row r="4908" spans="2:16" ht="14.25">
      <c r="B4908" s="4"/>
      <c r="I4908" s="5"/>
      <c r="J4908" s="5"/>
      <c r="K4908" s="6"/>
      <c r="N4908" s="2"/>
      <c r="O4908" s="2"/>
      <c r="P4908" s="2"/>
    </row>
    <row r="4909" spans="2:16" ht="14.25">
      <c r="B4909" s="4"/>
      <c r="I4909" s="5"/>
      <c r="J4909" s="5"/>
      <c r="K4909" s="6"/>
      <c r="N4909" s="2"/>
      <c r="O4909" s="2"/>
      <c r="P4909" s="2"/>
    </row>
    <row r="4910" spans="2:16" ht="14.25">
      <c r="B4910" s="4"/>
      <c r="I4910" s="5"/>
      <c r="J4910" s="5"/>
      <c r="K4910" s="6"/>
      <c r="N4910" s="2"/>
      <c r="O4910" s="2"/>
      <c r="P4910" s="2"/>
    </row>
    <row r="4911" spans="2:16" ht="14.25">
      <c r="B4911" s="4"/>
      <c r="I4911" s="5"/>
      <c r="J4911" s="5"/>
      <c r="K4911" s="6"/>
      <c r="N4911" s="2"/>
      <c r="O4911" s="2"/>
      <c r="P4911" s="2"/>
    </row>
    <row r="4912" spans="2:16" ht="14.25">
      <c r="B4912" s="4"/>
      <c r="I4912" s="5"/>
      <c r="J4912" s="5"/>
      <c r="K4912" s="6"/>
      <c r="N4912" s="2"/>
      <c r="O4912" s="2"/>
      <c r="P4912" s="2"/>
    </row>
    <row r="4913" spans="2:16" ht="14.25">
      <c r="B4913" s="4"/>
      <c r="I4913" s="5"/>
      <c r="J4913" s="5"/>
      <c r="K4913" s="6"/>
      <c r="N4913" s="2"/>
      <c r="O4913" s="2"/>
      <c r="P4913" s="2"/>
    </row>
    <row r="4914" spans="2:16" ht="14.25">
      <c r="B4914" s="4"/>
      <c r="I4914" s="5"/>
      <c r="J4914" s="5"/>
      <c r="K4914" s="6"/>
      <c r="N4914" s="2"/>
      <c r="O4914" s="2"/>
      <c r="P4914" s="2"/>
    </row>
    <row r="4915" spans="2:16" ht="14.25">
      <c r="B4915" s="4"/>
      <c r="I4915" s="5"/>
      <c r="J4915" s="5"/>
      <c r="K4915" s="6"/>
      <c r="N4915" s="2"/>
      <c r="O4915" s="2"/>
      <c r="P4915" s="2"/>
    </row>
    <row r="4916" spans="2:16" ht="14.25">
      <c r="B4916" s="4"/>
      <c r="I4916" s="5"/>
      <c r="J4916" s="5"/>
      <c r="K4916" s="6"/>
      <c r="N4916" s="2"/>
      <c r="O4916" s="2"/>
      <c r="P4916" s="2"/>
    </row>
    <row r="4917" spans="2:16" ht="14.25">
      <c r="B4917" s="4"/>
      <c r="I4917" s="5"/>
      <c r="J4917" s="5"/>
      <c r="K4917" s="6"/>
      <c r="N4917" s="2"/>
      <c r="O4917" s="2"/>
      <c r="P4917" s="2"/>
    </row>
    <row r="4918" spans="2:16" ht="14.25">
      <c r="B4918" s="4"/>
      <c r="I4918" s="5"/>
      <c r="J4918" s="5"/>
      <c r="K4918" s="6"/>
      <c r="N4918" s="2"/>
      <c r="O4918" s="2"/>
      <c r="P4918" s="2"/>
    </row>
    <row r="4919" spans="2:16" ht="14.25">
      <c r="B4919" s="4"/>
      <c r="I4919" s="5"/>
      <c r="J4919" s="5"/>
      <c r="K4919" s="6"/>
      <c r="N4919" s="2"/>
      <c r="O4919" s="2"/>
      <c r="P4919" s="2"/>
    </row>
    <row r="4920" spans="2:16" ht="14.25">
      <c r="B4920" s="4"/>
      <c r="I4920" s="5"/>
      <c r="J4920" s="5"/>
      <c r="K4920" s="6"/>
      <c r="N4920" s="2"/>
      <c r="O4920" s="2"/>
      <c r="P4920" s="2"/>
    </row>
    <row r="4921" spans="2:16" ht="14.25">
      <c r="B4921" s="4"/>
      <c r="I4921" s="5"/>
      <c r="J4921" s="5"/>
      <c r="K4921" s="6"/>
      <c r="N4921" s="2"/>
      <c r="O4921" s="2"/>
      <c r="P4921" s="2"/>
    </row>
    <row r="4922" spans="2:16" ht="14.25">
      <c r="B4922" s="4"/>
      <c r="I4922" s="5"/>
      <c r="J4922" s="5"/>
      <c r="K4922" s="6"/>
      <c r="N4922" s="2"/>
      <c r="O4922" s="2"/>
      <c r="P4922" s="2"/>
    </row>
    <row r="4923" spans="2:16" ht="14.25">
      <c r="B4923" s="4"/>
      <c r="I4923" s="5"/>
      <c r="J4923" s="5"/>
      <c r="K4923" s="6"/>
      <c r="N4923" s="2"/>
      <c r="O4923" s="2"/>
      <c r="P4923" s="2"/>
    </row>
    <row r="4924" spans="2:16" ht="14.25">
      <c r="B4924" s="4"/>
      <c r="I4924" s="5"/>
      <c r="J4924" s="5"/>
      <c r="K4924" s="6"/>
      <c r="N4924" s="2"/>
      <c r="O4924" s="2"/>
      <c r="P4924" s="2"/>
    </row>
    <row r="4925" spans="2:16" ht="14.25">
      <c r="B4925" s="4"/>
      <c r="I4925" s="5"/>
      <c r="J4925" s="5"/>
      <c r="K4925" s="6"/>
      <c r="N4925" s="2"/>
      <c r="O4925" s="2"/>
      <c r="P4925" s="2"/>
    </row>
    <row r="4926" spans="2:16" ht="14.25">
      <c r="B4926" s="4"/>
      <c r="I4926" s="5"/>
      <c r="J4926" s="5"/>
      <c r="K4926" s="6"/>
      <c r="N4926" s="2"/>
      <c r="O4926" s="2"/>
      <c r="P4926" s="2"/>
    </row>
    <row r="4927" spans="2:16" ht="14.25">
      <c r="B4927" s="4"/>
      <c r="I4927" s="5"/>
      <c r="J4927" s="5"/>
      <c r="K4927" s="6"/>
      <c r="N4927" s="2"/>
      <c r="O4927" s="2"/>
      <c r="P4927" s="2"/>
    </row>
    <row r="4928" spans="2:16" ht="14.25">
      <c r="B4928" s="4"/>
      <c r="I4928" s="5"/>
      <c r="J4928" s="5"/>
      <c r="K4928" s="6"/>
      <c r="N4928" s="2"/>
      <c r="O4928" s="2"/>
      <c r="P4928" s="2"/>
    </row>
    <row r="4929" spans="2:16" ht="14.25">
      <c r="B4929" s="4"/>
      <c r="I4929" s="5"/>
      <c r="J4929" s="5"/>
      <c r="K4929" s="6"/>
      <c r="N4929" s="2"/>
      <c r="O4929" s="2"/>
      <c r="P4929" s="2"/>
    </row>
    <row r="4930" spans="2:16" ht="14.25">
      <c r="B4930" s="4"/>
      <c r="I4930" s="5"/>
      <c r="J4930" s="5"/>
      <c r="K4930" s="6"/>
      <c r="N4930" s="2"/>
      <c r="O4930" s="2"/>
      <c r="P4930" s="2"/>
    </row>
    <row r="4931" spans="2:16" ht="14.25">
      <c r="B4931" s="4"/>
      <c r="I4931" s="5"/>
      <c r="J4931" s="5"/>
      <c r="K4931" s="6"/>
      <c r="N4931" s="2"/>
      <c r="O4931" s="2"/>
      <c r="P4931" s="2"/>
    </row>
    <row r="4932" spans="2:16" ht="14.25">
      <c r="B4932" s="4"/>
      <c r="I4932" s="5"/>
      <c r="J4932" s="5"/>
      <c r="K4932" s="6"/>
      <c r="N4932" s="2"/>
      <c r="O4932" s="2"/>
      <c r="P4932" s="2"/>
    </row>
    <row r="4933" spans="2:16" ht="14.25">
      <c r="B4933" s="4"/>
      <c r="I4933" s="5"/>
      <c r="J4933" s="5"/>
      <c r="K4933" s="6"/>
      <c r="N4933" s="2"/>
      <c r="O4933" s="2"/>
      <c r="P4933" s="2"/>
    </row>
    <row r="4934" spans="2:16" ht="14.25">
      <c r="B4934" s="4"/>
      <c r="I4934" s="5"/>
      <c r="J4934" s="5"/>
      <c r="K4934" s="6"/>
      <c r="N4934" s="2"/>
      <c r="O4934" s="2"/>
      <c r="P4934" s="2"/>
    </row>
    <row r="4935" spans="2:16" ht="14.25">
      <c r="B4935" s="4"/>
      <c r="I4935" s="5"/>
      <c r="J4935" s="5"/>
      <c r="K4935" s="6"/>
      <c r="N4935" s="2"/>
      <c r="O4935" s="2"/>
      <c r="P4935" s="2"/>
    </row>
    <row r="4936" spans="2:16" ht="14.25">
      <c r="B4936" s="4"/>
      <c r="I4936" s="5"/>
      <c r="J4936" s="5"/>
      <c r="K4936" s="6"/>
      <c r="N4936" s="2"/>
      <c r="O4936" s="2"/>
      <c r="P4936" s="2"/>
    </row>
    <row r="4937" spans="2:16" ht="14.25">
      <c r="B4937" s="4"/>
      <c r="I4937" s="5"/>
      <c r="J4937" s="5"/>
      <c r="K4937" s="6"/>
      <c r="N4937" s="2"/>
      <c r="O4937" s="2"/>
      <c r="P4937" s="2"/>
    </row>
    <row r="4938" spans="2:16" ht="14.25">
      <c r="B4938" s="4"/>
      <c r="I4938" s="5"/>
      <c r="J4938" s="5"/>
      <c r="K4938" s="6"/>
      <c r="N4938" s="2"/>
      <c r="O4938" s="2"/>
      <c r="P4938" s="2"/>
    </row>
    <row r="4939" spans="2:16" ht="14.25">
      <c r="B4939" s="4"/>
      <c r="I4939" s="5"/>
      <c r="J4939" s="5"/>
      <c r="K4939" s="6"/>
      <c r="N4939" s="2"/>
      <c r="O4939" s="2"/>
      <c r="P4939" s="2"/>
    </row>
    <row r="4940" spans="2:16" ht="14.25">
      <c r="B4940" s="4"/>
      <c r="I4940" s="5"/>
      <c r="J4940" s="5"/>
      <c r="K4940" s="6"/>
      <c r="N4940" s="2"/>
      <c r="O4940" s="2"/>
      <c r="P4940" s="2"/>
    </row>
    <row r="4941" spans="2:16" ht="14.25">
      <c r="B4941" s="4"/>
      <c r="I4941" s="5"/>
      <c r="J4941" s="5"/>
      <c r="K4941" s="6"/>
      <c r="N4941" s="2"/>
      <c r="O4941" s="2"/>
      <c r="P4941" s="2"/>
    </row>
    <row r="4942" spans="2:16" ht="14.25">
      <c r="B4942" s="4"/>
      <c r="I4942" s="5"/>
      <c r="J4942" s="5"/>
      <c r="K4942" s="6"/>
      <c r="N4942" s="2"/>
      <c r="O4942" s="2"/>
      <c r="P4942" s="2"/>
    </row>
    <row r="4943" spans="2:16" ht="14.25">
      <c r="B4943" s="4"/>
      <c r="I4943" s="5"/>
      <c r="J4943" s="5"/>
      <c r="K4943" s="6"/>
      <c r="N4943" s="2"/>
      <c r="O4943" s="2"/>
      <c r="P4943" s="2"/>
    </row>
    <row r="4944" spans="2:16" ht="14.25">
      <c r="B4944" s="4"/>
      <c r="I4944" s="5"/>
      <c r="J4944" s="5"/>
      <c r="K4944" s="6"/>
      <c r="N4944" s="2"/>
      <c r="O4944" s="2"/>
      <c r="P4944" s="2"/>
    </row>
    <row r="4945" spans="2:16" ht="14.25">
      <c r="B4945" s="4"/>
      <c r="I4945" s="5"/>
      <c r="J4945" s="5"/>
      <c r="K4945" s="6"/>
      <c r="N4945" s="2"/>
      <c r="O4945" s="2"/>
      <c r="P4945" s="2"/>
    </row>
    <row r="4946" spans="2:16" ht="14.25">
      <c r="B4946" s="4"/>
      <c r="I4946" s="5"/>
      <c r="J4946" s="5"/>
      <c r="K4946" s="6"/>
      <c r="N4946" s="2"/>
      <c r="O4946" s="2"/>
      <c r="P4946" s="2"/>
    </row>
    <row r="4947" spans="2:16" ht="14.25">
      <c r="B4947" s="4"/>
      <c r="I4947" s="5"/>
      <c r="J4947" s="5"/>
      <c r="K4947" s="6"/>
      <c r="N4947" s="2"/>
      <c r="O4947" s="2"/>
      <c r="P4947" s="2"/>
    </row>
    <row r="4948" spans="2:16" ht="14.25">
      <c r="B4948" s="4"/>
      <c r="I4948" s="5"/>
      <c r="J4948" s="5"/>
      <c r="K4948" s="6"/>
      <c r="N4948" s="2"/>
      <c r="O4948" s="2"/>
      <c r="P4948" s="2"/>
    </row>
    <row r="4949" spans="2:16" ht="14.25">
      <c r="B4949" s="4"/>
      <c r="I4949" s="5"/>
      <c r="J4949" s="5"/>
      <c r="K4949" s="6"/>
      <c r="N4949" s="2"/>
      <c r="O4949" s="2"/>
      <c r="P4949" s="2"/>
    </row>
    <row r="4950" spans="2:16" ht="14.25">
      <c r="B4950" s="4"/>
      <c r="I4950" s="5"/>
      <c r="J4950" s="5"/>
      <c r="K4950" s="6"/>
      <c r="N4950" s="2"/>
      <c r="O4950" s="2"/>
      <c r="P4950" s="2"/>
    </row>
    <row r="4951" spans="2:16" ht="14.25">
      <c r="B4951" s="4"/>
      <c r="I4951" s="5"/>
      <c r="J4951" s="5"/>
      <c r="K4951" s="6"/>
      <c r="N4951" s="2"/>
      <c r="O4951" s="2"/>
      <c r="P4951" s="2"/>
    </row>
    <row r="4952" spans="2:16" ht="14.25">
      <c r="B4952" s="4"/>
      <c r="I4952" s="5"/>
      <c r="J4952" s="5"/>
      <c r="K4952" s="6"/>
      <c r="N4952" s="2"/>
      <c r="O4952" s="2"/>
      <c r="P4952" s="2"/>
    </row>
    <row r="4953" spans="2:16" ht="14.25">
      <c r="B4953" s="4"/>
      <c r="I4953" s="5"/>
      <c r="J4953" s="5"/>
      <c r="K4953" s="6"/>
      <c r="N4953" s="2"/>
      <c r="O4953" s="2"/>
      <c r="P4953" s="2"/>
    </row>
    <row r="4954" spans="2:16" ht="14.25">
      <c r="B4954" s="4"/>
      <c r="I4954" s="5"/>
      <c r="J4954" s="5"/>
      <c r="K4954" s="6"/>
      <c r="N4954" s="2"/>
      <c r="O4954" s="2"/>
      <c r="P4954" s="2"/>
    </row>
    <row r="4955" spans="2:16" ht="14.25">
      <c r="B4955" s="4"/>
      <c r="I4955" s="5"/>
      <c r="J4955" s="5"/>
      <c r="K4955" s="6"/>
      <c r="N4955" s="2"/>
      <c r="O4955" s="2"/>
      <c r="P4955" s="2"/>
    </row>
    <row r="4956" spans="2:16" ht="14.25">
      <c r="B4956" s="4"/>
      <c r="I4956" s="5"/>
      <c r="J4956" s="5"/>
      <c r="K4956" s="6"/>
      <c r="N4956" s="2"/>
      <c r="O4956" s="2"/>
      <c r="P4956" s="2"/>
    </row>
    <row r="4957" spans="2:16" ht="14.25">
      <c r="B4957" s="4"/>
      <c r="I4957" s="5"/>
      <c r="J4957" s="5"/>
      <c r="K4957" s="6"/>
      <c r="N4957" s="2"/>
      <c r="O4957" s="2"/>
      <c r="P4957" s="2"/>
    </row>
    <row r="4958" spans="2:16" ht="14.25">
      <c r="B4958" s="4"/>
      <c r="I4958" s="5"/>
      <c r="J4958" s="5"/>
      <c r="K4958" s="6"/>
      <c r="N4958" s="2"/>
      <c r="O4958" s="2"/>
      <c r="P4958" s="2"/>
    </row>
    <row r="4959" spans="2:16" ht="14.25">
      <c r="B4959" s="4"/>
      <c r="I4959" s="5"/>
      <c r="J4959" s="5"/>
      <c r="K4959" s="6"/>
      <c r="N4959" s="2"/>
      <c r="O4959" s="2"/>
      <c r="P4959" s="2"/>
    </row>
    <row r="4960" spans="2:16" ht="14.25">
      <c r="B4960" s="4"/>
      <c r="I4960" s="5"/>
      <c r="J4960" s="5"/>
      <c r="K4960" s="6"/>
      <c r="N4960" s="2"/>
      <c r="O4960" s="2"/>
      <c r="P4960" s="2"/>
    </row>
    <row r="4961" spans="2:16" ht="14.25">
      <c r="B4961" s="4"/>
      <c r="I4961" s="5"/>
      <c r="J4961" s="5"/>
      <c r="K4961" s="6"/>
      <c r="N4961" s="2"/>
      <c r="O4961" s="2"/>
      <c r="P4961" s="2"/>
    </row>
    <row r="4962" spans="2:16" ht="14.25">
      <c r="B4962" s="4"/>
      <c r="I4962" s="5"/>
      <c r="J4962" s="5"/>
      <c r="K4962" s="6"/>
      <c r="N4962" s="2"/>
      <c r="O4962" s="2"/>
      <c r="P4962" s="2"/>
    </row>
    <row r="4963" spans="2:16" ht="14.25">
      <c r="B4963" s="4"/>
      <c r="I4963" s="5"/>
      <c r="J4963" s="5"/>
      <c r="K4963" s="6"/>
      <c r="N4963" s="2"/>
      <c r="O4963" s="2"/>
      <c r="P4963" s="2"/>
    </row>
    <row r="4964" spans="2:16" ht="14.25">
      <c r="B4964" s="4"/>
      <c r="I4964" s="5"/>
      <c r="J4964" s="5"/>
      <c r="K4964" s="6"/>
      <c r="N4964" s="2"/>
      <c r="O4964" s="2"/>
      <c r="P4964" s="2"/>
    </row>
    <row r="4965" spans="2:16" ht="14.25">
      <c r="B4965" s="4"/>
      <c r="I4965" s="5"/>
      <c r="J4965" s="5"/>
      <c r="K4965" s="6"/>
      <c r="N4965" s="2"/>
      <c r="O4965" s="2"/>
      <c r="P4965" s="2"/>
    </row>
    <row r="4966" spans="2:16" ht="14.25">
      <c r="B4966" s="4"/>
      <c r="I4966" s="5"/>
      <c r="J4966" s="5"/>
      <c r="K4966" s="6"/>
      <c r="N4966" s="2"/>
      <c r="O4966" s="2"/>
      <c r="P4966" s="2"/>
    </row>
    <row r="4967" spans="2:16" ht="14.25">
      <c r="B4967" s="4"/>
      <c r="I4967" s="5"/>
      <c r="J4967" s="5"/>
      <c r="K4967" s="6"/>
      <c r="N4967" s="2"/>
      <c r="O4967" s="2"/>
      <c r="P4967" s="2"/>
    </row>
    <row r="4968" spans="2:16" ht="14.25">
      <c r="B4968" s="4"/>
      <c r="I4968" s="5"/>
      <c r="J4968" s="5"/>
      <c r="K4968" s="6"/>
      <c r="N4968" s="2"/>
      <c r="O4968" s="2"/>
      <c r="P4968" s="2"/>
    </row>
    <row r="4969" spans="2:16" ht="14.25">
      <c r="B4969" s="4"/>
      <c r="I4969" s="5"/>
      <c r="J4969" s="5"/>
      <c r="K4969" s="6"/>
      <c r="N4969" s="2"/>
      <c r="O4969" s="2"/>
      <c r="P4969" s="2"/>
    </row>
    <row r="4970" spans="2:16" ht="14.25">
      <c r="B4970" s="4"/>
      <c r="I4970" s="5"/>
      <c r="J4970" s="5"/>
      <c r="K4970" s="6"/>
      <c r="N4970" s="2"/>
      <c r="O4970" s="2"/>
      <c r="P4970" s="2"/>
    </row>
    <row r="4971" spans="2:16" ht="14.25">
      <c r="B4971" s="4"/>
      <c r="I4971" s="5"/>
      <c r="J4971" s="5"/>
      <c r="K4971" s="6"/>
      <c r="N4971" s="2"/>
      <c r="O4971" s="2"/>
      <c r="P4971" s="2"/>
    </row>
    <row r="4972" spans="2:16" ht="14.25">
      <c r="B4972" s="4"/>
      <c r="I4972" s="5"/>
      <c r="J4972" s="5"/>
      <c r="K4972" s="6"/>
      <c r="N4972" s="2"/>
      <c r="O4972" s="2"/>
      <c r="P4972" s="2"/>
    </row>
    <row r="4973" spans="2:16" ht="14.25">
      <c r="B4973" s="4"/>
      <c r="I4973" s="5"/>
      <c r="J4973" s="5"/>
      <c r="K4973" s="6"/>
      <c r="N4973" s="2"/>
      <c r="O4973" s="2"/>
      <c r="P4973" s="2"/>
    </row>
    <row r="4974" spans="2:16" ht="14.25">
      <c r="B4974" s="4"/>
      <c r="I4974" s="5"/>
      <c r="J4974" s="5"/>
      <c r="K4974" s="6"/>
      <c r="N4974" s="2"/>
      <c r="O4974" s="2"/>
      <c r="P4974" s="2"/>
    </row>
    <row r="4975" spans="2:16" ht="14.25">
      <c r="B4975" s="4"/>
      <c r="I4975" s="5"/>
      <c r="J4975" s="5"/>
      <c r="K4975" s="6"/>
      <c r="N4975" s="2"/>
      <c r="O4975" s="2"/>
      <c r="P4975" s="2"/>
    </row>
    <row r="4976" spans="2:16" ht="14.25">
      <c r="B4976" s="4"/>
      <c r="I4976" s="5"/>
      <c r="J4976" s="5"/>
      <c r="K4976" s="6"/>
      <c r="N4976" s="2"/>
      <c r="O4976" s="2"/>
      <c r="P4976" s="2"/>
    </row>
    <row r="4977" spans="2:16" ht="14.25">
      <c r="B4977" s="4"/>
      <c r="I4977" s="5"/>
      <c r="J4977" s="5"/>
      <c r="K4977" s="6"/>
      <c r="N4977" s="2"/>
      <c r="O4977" s="2"/>
      <c r="P4977" s="2"/>
    </row>
    <row r="4978" spans="2:16" ht="14.25">
      <c r="B4978" s="4"/>
      <c r="I4978" s="5"/>
      <c r="J4978" s="5"/>
      <c r="K4978" s="6"/>
      <c r="N4978" s="2"/>
      <c r="O4978" s="2"/>
      <c r="P4978" s="2"/>
    </row>
    <row r="4979" spans="2:16" ht="14.25">
      <c r="B4979" s="4"/>
      <c r="I4979" s="5"/>
      <c r="J4979" s="5"/>
      <c r="K4979" s="6"/>
      <c r="N4979" s="2"/>
      <c r="O4979" s="2"/>
      <c r="P4979" s="2"/>
    </row>
    <row r="4980" spans="2:16" ht="14.25">
      <c r="B4980" s="4"/>
      <c r="I4980" s="5"/>
      <c r="J4980" s="5"/>
      <c r="K4980" s="6"/>
      <c r="N4980" s="2"/>
      <c r="O4980" s="2"/>
      <c r="P4980" s="2"/>
    </row>
    <row r="4981" spans="2:16" ht="14.25">
      <c r="B4981" s="4"/>
      <c r="I4981" s="5"/>
      <c r="J4981" s="5"/>
      <c r="K4981" s="6"/>
      <c r="N4981" s="2"/>
      <c r="O4981" s="2"/>
      <c r="P4981" s="2"/>
    </row>
    <row r="4982" spans="2:16" ht="14.25">
      <c r="B4982" s="4"/>
      <c r="I4982" s="5"/>
      <c r="J4982" s="5"/>
      <c r="K4982" s="6"/>
      <c r="N4982" s="2"/>
      <c r="O4982" s="2"/>
      <c r="P4982" s="2"/>
    </row>
    <row r="4983" spans="2:16" ht="14.25">
      <c r="B4983" s="4"/>
      <c r="I4983" s="5"/>
      <c r="J4983" s="5"/>
      <c r="K4983" s="6"/>
      <c r="N4983" s="2"/>
      <c r="O4983" s="2"/>
      <c r="P4983" s="2"/>
    </row>
    <row r="4984" spans="2:16" ht="14.25">
      <c r="B4984" s="4"/>
      <c r="I4984" s="5"/>
      <c r="J4984" s="5"/>
      <c r="K4984" s="6"/>
      <c r="N4984" s="2"/>
      <c r="O4984" s="2"/>
      <c r="P4984" s="2"/>
    </row>
    <row r="4985" spans="2:16" ht="14.25">
      <c r="B4985" s="4"/>
      <c r="I4985" s="5"/>
      <c r="J4985" s="5"/>
      <c r="K4985" s="6"/>
      <c r="N4985" s="2"/>
      <c r="O4985" s="2"/>
      <c r="P4985" s="2"/>
    </row>
    <row r="4986" spans="2:16" ht="14.25">
      <c r="B4986" s="4"/>
      <c r="I4986" s="5"/>
      <c r="J4986" s="5"/>
      <c r="K4986" s="6"/>
      <c r="N4986" s="2"/>
      <c r="O4986" s="2"/>
      <c r="P4986" s="2"/>
    </row>
    <row r="4987" spans="2:16" ht="14.25">
      <c r="B4987" s="4"/>
      <c r="I4987" s="5"/>
      <c r="J4987" s="5"/>
      <c r="K4987" s="6"/>
      <c r="N4987" s="2"/>
      <c r="O4987" s="2"/>
      <c r="P4987" s="2"/>
    </row>
    <row r="4988" spans="2:16" ht="14.25">
      <c r="B4988" s="4"/>
      <c r="I4988" s="5"/>
      <c r="J4988" s="5"/>
      <c r="K4988" s="6"/>
      <c r="N4988" s="2"/>
      <c r="O4988" s="2"/>
      <c r="P4988" s="2"/>
    </row>
    <row r="4989" spans="2:16" ht="14.25">
      <c r="B4989" s="4"/>
      <c r="I4989" s="5"/>
      <c r="J4989" s="5"/>
      <c r="K4989" s="6"/>
      <c r="N4989" s="2"/>
      <c r="O4989" s="2"/>
      <c r="P4989" s="2"/>
    </row>
    <row r="4990" spans="2:16" ht="14.25">
      <c r="B4990" s="4"/>
      <c r="I4990" s="5"/>
      <c r="J4990" s="5"/>
      <c r="K4990" s="6"/>
      <c r="N4990" s="2"/>
      <c r="O4990" s="2"/>
      <c r="P4990" s="2"/>
    </row>
    <row r="4991" spans="2:16" ht="14.25">
      <c r="B4991" s="4"/>
      <c r="I4991" s="5"/>
      <c r="J4991" s="5"/>
      <c r="K4991" s="6"/>
      <c r="N4991" s="2"/>
      <c r="O4991" s="2"/>
      <c r="P4991" s="2"/>
    </row>
    <row r="4992" spans="2:16" ht="14.25">
      <c r="B4992" s="4"/>
      <c r="I4992" s="5"/>
      <c r="J4992" s="5"/>
      <c r="K4992" s="6"/>
      <c r="N4992" s="2"/>
      <c r="O4992" s="2"/>
      <c r="P4992" s="2"/>
    </row>
    <row r="4993" spans="2:16" ht="14.25">
      <c r="B4993" s="4"/>
      <c r="I4993" s="5"/>
      <c r="J4993" s="5"/>
      <c r="K4993" s="6"/>
      <c r="N4993" s="2"/>
      <c r="O4993" s="2"/>
      <c r="P4993" s="2"/>
    </row>
    <row r="4994" spans="2:16" ht="14.25">
      <c r="B4994" s="4"/>
      <c r="I4994" s="5"/>
      <c r="J4994" s="5"/>
      <c r="K4994" s="6"/>
      <c r="N4994" s="2"/>
      <c r="O4994" s="2"/>
      <c r="P4994" s="2"/>
    </row>
    <row r="4995" spans="2:16" ht="14.25">
      <c r="B4995" s="4"/>
      <c r="I4995" s="5"/>
      <c r="J4995" s="5"/>
      <c r="K4995" s="6"/>
      <c r="N4995" s="2"/>
      <c r="O4995" s="2"/>
      <c r="P4995" s="2"/>
    </row>
    <row r="4996" spans="2:16" ht="14.25">
      <c r="B4996" s="4"/>
      <c r="I4996" s="5"/>
      <c r="J4996" s="5"/>
      <c r="K4996" s="6"/>
      <c r="N4996" s="2"/>
      <c r="O4996" s="2"/>
      <c r="P4996" s="2"/>
    </row>
    <row r="4997" spans="2:16" ht="14.25">
      <c r="B4997" s="4"/>
      <c r="I4997" s="5"/>
      <c r="J4997" s="5"/>
      <c r="K4997" s="6"/>
      <c r="N4997" s="2"/>
      <c r="O4997" s="2"/>
      <c r="P4997" s="2"/>
    </row>
    <row r="4998" spans="2:16" ht="14.25">
      <c r="B4998" s="4"/>
      <c r="I4998" s="5"/>
      <c r="J4998" s="5"/>
      <c r="K4998" s="6"/>
      <c r="N4998" s="2"/>
      <c r="O4998" s="2"/>
      <c r="P4998" s="2"/>
    </row>
    <row r="4999" spans="2:16" ht="14.25">
      <c r="B4999" s="4"/>
      <c r="I4999" s="5"/>
      <c r="J4999" s="5"/>
      <c r="K4999" s="6"/>
      <c r="N4999" s="2"/>
      <c r="O4999" s="2"/>
      <c r="P4999" s="2"/>
    </row>
    <row r="5000" spans="2:16" ht="14.25">
      <c r="B5000" s="4"/>
      <c r="I5000" s="5"/>
      <c r="J5000" s="5"/>
      <c r="K5000" s="6"/>
      <c r="N5000" s="2"/>
      <c r="O5000" s="2"/>
      <c r="P5000" s="2"/>
    </row>
    <row r="5001" spans="2:16" ht="14.25">
      <c r="B5001" s="4"/>
      <c r="I5001" s="5"/>
      <c r="J5001" s="5"/>
      <c r="K5001" s="6"/>
      <c r="N5001" s="2"/>
      <c r="O5001" s="2"/>
      <c r="P5001" s="2"/>
    </row>
    <row r="5002" spans="2:16" ht="14.25">
      <c r="B5002" s="4"/>
      <c r="I5002" s="5"/>
      <c r="J5002" s="5"/>
      <c r="K5002" s="6"/>
      <c r="N5002" s="2"/>
      <c r="O5002" s="2"/>
      <c r="P5002" s="2"/>
    </row>
    <row r="5003" spans="2:16" ht="14.25">
      <c r="B5003" s="4"/>
      <c r="I5003" s="5"/>
      <c r="J5003" s="5"/>
      <c r="K5003" s="6"/>
      <c r="N5003" s="2"/>
      <c r="O5003" s="2"/>
      <c r="P5003" s="2"/>
    </row>
    <row r="5004" spans="2:16" ht="14.25">
      <c r="B5004" s="4"/>
      <c r="I5004" s="5"/>
      <c r="J5004" s="5"/>
      <c r="K5004" s="6"/>
      <c r="N5004" s="2"/>
      <c r="O5004" s="2"/>
      <c r="P5004" s="2"/>
    </row>
    <row r="5005" spans="2:16" ht="14.25">
      <c r="B5005" s="4"/>
      <c r="I5005" s="5"/>
      <c r="J5005" s="5"/>
      <c r="K5005" s="6"/>
      <c r="N5005" s="2"/>
      <c r="O5005" s="2"/>
      <c r="P5005" s="2"/>
    </row>
    <row r="5006" spans="2:16" ht="14.25">
      <c r="B5006" s="4"/>
      <c r="I5006" s="5"/>
      <c r="J5006" s="5"/>
      <c r="K5006" s="6"/>
      <c r="N5006" s="2"/>
      <c r="O5006" s="2"/>
      <c r="P5006" s="2"/>
    </row>
    <row r="5007" spans="2:16" ht="14.25">
      <c r="B5007" s="4"/>
      <c r="I5007" s="5"/>
      <c r="J5007" s="5"/>
      <c r="K5007" s="6"/>
      <c r="N5007" s="2"/>
      <c r="O5007" s="2"/>
      <c r="P5007" s="2"/>
    </row>
    <row r="5008" spans="2:16" ht="14.25">
      <c r="B5008" s="4"/>
      <c r="I5008" s="5"/>
      <c r="J5008" s="5"/>
      <c r="K5008" s="6"/>
      <c r="N5008" s="2"/>
      <c r="O5008" s="2"/>
      <c r="P5008" s="2"/>
    </row>
    <row r="5009" spans="2:16" ht="14.25">
      <c r="B5009" s="4"/>
      <c r="I5009" s="5"/>
      <c r="J5009" s="5"/>
      <c r="K5009" s="6"/>
      <c r="N5009" s="2"/>
      <c r="O5009" s="2"/>
      <c r="P5009" s="2"/>
    </row>
    <row r="5010" spans="2:16" ht="14.25">
      <c r="B5010" s="4"/>
      <c r="I5010" s="5"/>
      <c r="J5010" s="5"/>
      <c r="K5010" s="6"/>
      <c r="N5010" s="2"/>
      <c r="O5010" s="2"/>
      <c r="P5010" s="2"/>
    </row>
    <row r="5011" spans="2:16" ht="14.25">
      <c r="B5011" s="4"/>
      <c r="I5011" s="5"/>
      <c r="J5011" s="5"/>
      <c r="K5011" s="6"/>
      <c r="N5011" s="2"/>
      <c r="O5011" s="2"/>
      <c r="P5011" s="2"/>
    </row>
    <row r="5012" spans="2:16" ht="14.25">
      <c r="B5012" s="4"/>
      <c r="I5012" s="5"/>
      <c r="J5012" s="5"/>
      <c r="K5012" s="6"/>
      <c r="N5012" s="2"/>
      <c r="O5012" s="2"/>
      <c r="P5012" s="2"/>
    </row>
    <row r="5013" spans="2:16" ht="14.25">
      <c r="B5013" s="4"/>
      <c r="I5013" s="5"/>
      <c r="J5013" s="5"/>
      <c r="K5013" s="6"/>
      <c r="N5013" s="2"/>
      <c r="O5013" s="2"/>
      <c r="P5013" s="2"/>
    </row>
    <row r="5014" spans="2:16" ht="14.25">
      <c r="B5014" s="4"/>
      <c r="I5014" s="5"/>
      <c r="J5014" s="5"/>
      <c r="K5014" s="6"/>
      <c r="N5014" s="2"/>
      <c r="O5014" s="2"/>
      <c r="P5014" s="2"/>
    </row>
    <row r="5015" spans="2:16" ht="14.25">
      <c r="B5015" s="4"/>
      <c r="I5015" s="5"/>
      <c r="J5015" s="5"/>
      <c r="K5015" s="6"/>
      <c r="N5015" s="2"/>
      <c r="O5015" s="2"/>
      <c r="P5015" s="2"/>
    </row>
    <row r="5016" spans="2:16" ht="14.25">
      <c r="B5016" s="4"/>
      <c r="I5016" s="5"/>
      <c r="J5016" s="5"/>
      <c r="K5016" s="6"/>
      <c r="N5016" s="2"/>
      <c r="O5016" s="2"/>
      <c r="P5016" s="2"/>
    </row>
    <row r="5017" spans="2:16" ht="14.25">
      <c r="B5017" s="4"/>
      <c r="I5017" s="5"/>
      <c r="J5017" s="5"/>
      <c r="K5017" s="6"/>
      <c r="N5017" s="2"/>
      <c r="O5017" s="2"/>
      <c r="P5017" s="2"/>
    </row>
    <row r="5018" spans="2:16" ht="14.25">
      <c r="B5018" s="4"/>
      <c r="I5018" s="5"/>
      <c r="J5018" s="5"/>
      <c r="K5018" s="6"/>
      <c r="N5018" s="2"/>
      <c r="O5018" s="2"/>
      <c r="P5018" s="2"/>
    </row>
    <row r="5019" spans="2:16" ht="14.25">
      <c r="B5019" s="4"/>
      <c r="I5019" s="5"/>
      <c r="J5019" s="5"/>
      <c r="K5019" s="6"/>
      <c r="N5019" s="2"/>
      <c r="O5019" s="2"/>
      <c r="P5019" s="2"/>
    </row>
    <row r="5020" spans="2:16" ht="14.25">
      <c r="B5020" s="4"/>
      <c r="I5020" s="5"/>
      <c r="J5020" s="5"/>
      <c r="K5020" s="6"/>
      <c r="N5020" s="2"/>
      <c r="O5020" s="2"/>
      <c r="P5020" s="2"/>
    </row>
    <row r="5021" spans="2:16" ht="14.25">
      <c r="B5021" s="4"/>
      <c r="I5021" s="5"/>
      <c r="J5021" s="5"/>
      <c r="K5021" s="6"/>
      <c r="N5021" s="2"/>
      <c r="O5021" s="2"/>
      <c r="P5021" s="2"/>
    </row>
    <row r="5022" spans="2:16" ht="14.25">
      <c r="B5022" s="4"/>
      <c r="I5022" s="5"/>
      <c r="J5022" s="5"/>
      <c r="K5022" s="6"/>
      <c r="N5022" s="2"/>
      <c r="O5022" s="2"/>
      <c r="P5022" s="2"/>
    </row>
    <row r="5023" spans="2:16" ht="14.25">
      <c r="B5023" s="4"/>
      <c r="I5023" s="5"/>
      <c r="J5023" s="5"/>
      <c r="K5023" s="6"/>
      <c r="N5023" s="2"/>
      <c r="O5023" s="2"/>
      <c r="P5023" s="2"/>
    </row>
    <row r="5024" spans="2:16" ht="14.25">
      <c r="B5024" s="4"/>
      <c r="I5024" s="5"/>
      <c r="J5024" s="5"/>
      <c r="K5024" s="6"/>
      <c r="N5024" s="2"/>
      <c r="O5024" s="2"/>
      <c r="P5024" s="2"/>
    </row>
    <row r="5025" spans="2:16" ht="14.25">
      <c r="B5025" s="4"/>
      <c r="I5025" s="5"/>
      <c r="J5025" s="5"/>
      <c r="K5025" s="6"/>
      <c r="N5025" s="2"/>
      <c r="O5025" s="2"/>
      <c r="P5025" s="2"/>
    </row>
    <row r="5026" spans="2:16" ht="14.25">
      <c r="B5026" s="4"/>
      <c r="I5026" s="5"/>
      <c r="J5026" s="5"/>
      <c r="K5026" s="6"/>
      <c r="N5026" s="2"/>
      <c r="O5026" s="2"/>
      <c r="P5026" s="2"/>
    </row>
    <row r="5027" spans="2:16" ht="14.25">
      <c r="B5027" s="4"/>
      <c r="I5027" s="5"/>
      <c r="J5027" s="5"/>
      <c r="K5027" s="6"/>
      <c r="N5027" s="2"/>
      <c r="O5027" s="2"/>
      <c r="P5027" s="2"/>
    </row>
    <row r="5028" spans="2:16" ht="14.25">
      <c r="B5028" s="4"/>
      <c r="I5028" s="5"/>
      <c r="J5028" s="5"/>
      <c r="K5028" s="6"/>
      <c r="N5028" s="2"/>
      <c r="O5028" s="2"/>
      <c r="P5028" s="2"/>
    </row>
    <row r="5029" spans="2:16" ht="14.25">
      <c r="B5029" s="4"/>
      <c r="I5029" s="5"/>
      <c r="J5029" s="5"/>
      <c r="K5029" s="6"/>
      <c r="N5029" s="2"/>
      <c r="O5029" s="2"/>
      <c r="P5029" s="2"/>
    </row>
    <row r="5030" spans="2:16" ht="14.25">
      <c r="B5030" s="4"/>
      <c r="I5030" s="5"/>
      <c r="J5030" s="5"/>
      <c r="K5030" s="6"/>
      <c r="N5030" s="2"/>
      <c r="O5030" s="2"/>
      <c r="P5030" s="2"/>
    </row>
    <row r="5031" spans="2:16" ht="14.25">
      <c r="B5031" s="4"/>
      <c r="I5031" s="5"/>
      <c r="J5031" s="5"/>
      <c r="K5031" s="6"/>
      <c r="N5031" s="2"/>
      <c r="O5031" s="2"/>
      <c r="P5031" s="2"/>
    </row>
    <row r="5032" spans="2:16" ht="14.25">
      <c r="B5032" s="4"/>
      <c r="I5032" s="5"/>
      <c r="J5032" s="5"/>
      <c r="K5032" s="6"/>
      <c r="N5032" s="2"/>
      <c r="O5032" s="2"/>
      <c r="P5032" s="2"/>
    </row>
    <row r="5033" spans="2:16" ht="14.25">
      <c r="B5033" s="4"/>
      <c r="I5033" s="5"/>
      <c r="J5033" s="5"/>
      <c r="K5033" s="6"/>
      <c r="N5033" s="2"/>
      <c r="O5033" s="2"/>
      <c r="P5033" s="2"/>
    </row>
    <row r="5034" spans="2:16" ht="14.25">
      <c r="B5034" s="4"/>
      <c r="I5034" s="5"/>
      <c r="J5034" s="5"/>
      <c r="K5034" s="6"/>
      <c r="N5034" s="2"/>
      <c r="O5034" s="2"/>
      <c r="P5034" s="2"/>
    </row>
    <row r="5035" spans="2:16" ht="14.25">
      <c r="B5035" s="4"/>
      <c r="I5035" s="5"/>
      <c r="J5035" s="5"/>
      <c r="K5035" s="6"/>
      <c r="N5035" s="2"/>
      <c r="O5035" s="2"/>
      <c r="P5035" s="2"/>
    </row>
    <row r="5036" spans="2:16" ht="14.25">
      <c r="B5036" s="4"/>
      <c r="I5036" s="5"/>
      <c r="J5036" s="5"/>
      <c r="K5036" s="6"/>
      <c r="N5036" s="2"/>
      <c r="O5036" s="2"/>
      <c r="P5036" s="2"/>
    </row>
    <row r="5037" spans="2:16" ht="14.25">
      <c r="B5037" s="4"/>
      <c r="I5037" s="5"/>
      <c r="J5037" s="5"/>
      <c r="K5037" s="6"/>
      <c r="N5037" s="2"/>
      <c r="O5037" s="2"/>
      <c r="P5037" s="2"/>
    </row>
    <row r="5038" spans="2:16" ht="14.25">
      <c r="B5038" s="4"/>
      <c r="I5038" s="5"/>
      <c r="J5038" s="5"/>
      <c r="K5038" s="6"/>
      <c r="N5038" s="2"/>
      <c r="O5038" s="2"/>
      <c r="P5038" s="2"/>
    </row>
    <row r="5039" spans="2:16" ht="14.25">
      <c r="B5039" s="4"/>
      <c r="I5039" s="5"/>
      <c r="J5039" s="5"/>
      <c r="K5039" s="6"/>
      <c r="N5039" s="2"/>
      <c r="O5039" s="2"/>
      <c r="P5039" s="2"/>
    </row>
    <row r="5040" spans="2:16" ht="14.25">
      <c r="B5040" s="4"/>
      <c r="I5040" s="5"/>
      <c r="J5040" s="5"/>
      <c r="K5040" s="6"/>
      <c r="N5040" s="2"/>
      <c r="O5040" s="2"/>
      <c r="P5040" s="2"/>
    </row>
    <row r="5041" spans="2:16" ht="14.25">
      <c r="B5041" s="4"/>
      <c r="I5041" s="5"/>
      <c r="J5041" s="5"/>
      <c r="K5041" s="6"/>
      <c r="N5041" s="2"/>
      <c r="O5041" s="2"/>
      <c r="P5041" s="2"/>
    </row>
    <row r="5042" spans="2:16" ht="14.25">
      <c r="B5042" s="4"/>
      <c r="I5042" s="5"/>
      <c r="J5042" s="5"/>
      <c r="K5042" s="6"/>
      <c r="N5042" s="2"/>
      <c r="O5042" s="2"/>
      <c r="P5042" s="2"/>
    </row>
    <row r="5043" spans="2:16" ht="14.25">
      <c r="B5043" s="4"/>
      <c r="I5043" s="5"/>
      <c r="J5043" s="5"/>
      <c r="K5043" s="6"/>
      <c r="N5043" s="2"/>
      <c r="O5043" s="2"/>
      <c r="P5043" s="2"/>
    </row>
    <row r="5044" spans="2:16" ht="14.25">
      <c r="B5044" s="4"/>
      <c r="I5044" s="5"/>
      <c r="J5044" s="5"/>
      <c r="K5044" s="6"/>
      <c r="N5044" s="2"/>
      <c r="O5044" s="2"/>
      <c r="P5044" s="2"/>
    </row>
    <row r="5045" spans="2:16" ht="14.25">
      <c r="B5045" s="4"/>
      <c r="I5045" s="5"/>
      <c r="J5045" s="5"/>
      <c r="K5045" s="6"/>
      <c r="N5045" s="2"/>
      <c r="O5045" s="2"/>
      <c r="P5045" s="2"/>
    </row>
    <row r="5046" spans="2:16" ht="14.25">
      <c r="B5046" s="4"/>
      <c r="I5046" s="5"/>
      <c r="J5046" s="5"/>
      <c r="K5046" s="6"/>
      <c r="N5046" s="2"/>
      <c r="O5046" s="2"/>
      <c r="P5046" s="2"/>
    </row>
    <row r="5047" spans="2:16" ht="14.25">
      <c r="B5047" s="4"/>
      <c r="I5047" s="5"/>
      <c r="J5047" s="5"/>
      <c r="K5047" s="6"/>
      <c r="N5047" s="2"/>
      <c r="O5047" s="2"/>
      <c r="P5047" s="2"/>
    </row>
    <row r="5048" spans="2:16" ht="14.25">
      <c r="B5048" s="4"/>
      <c r="I5048" s="5"/>
      <c r="J5048" s="5"/>
      <c r="K5048" s="6"/>
      <c r="N5048" s="2"/>
      <c r="O5048" s="2"/>
      <c r="P5048" s="2"/>
    </row>
    <row r="5049" spans="2:16" ht="14.25">
      <c r="B5049" s="4"/>
      <c r="I5049" s="5"/>
      <c r="J5049" s="5"/>
      <c r="K5049" s="6"/>
      <c r="N5049" s="2"/>
      <c r="O5049" s="2"/>
      <c r="P5049" s="2"/>
    </row>
    <row r="5050" spans="2:16" ht="14.25">
      <c r="B5050" s="4"/>
      <c r="I5050" s="5"/>
      <c r="J5050" s="5"/>
      <c r="K5050" s="6"/>
      <c r="N5050" s="2"/>
      <c r="O5050" s="2"/>
      <c r="P5050" s="2"/>
    </row>
    <row r="5051" spans="2:16" ht="14.25">
      <c r="B5051" s="4"/>
      <c r="I5051" s="5"/>
      <c r="J5051" s="5"/>
      <c r="K5051" s="6"/>
      <c r="N5051" s="2"/>
      <c r="O5051" s="2"/>
      <c r="P5051" s="2"/>
    </row>
    <row r="5052" spans="2:16" ht="14.25">
      <c r="B5052" s="4"/>
      <c r="I5052" s="5"/>
      <c r="J5052" s="5"/>
      <c r="K5052" s="6"/>
      <c r="N5052" s="2"/>
      <c r="O5052" s="2"/>
      <c r="P5052" s="2"/>
    </row>
    <row r="5053" spans="2:16" ht="14.25">
      <c r="B5053" s="4"/>
      <c r="I5053" s="5"/>
      <c r="J5053" s="5"/>
      <c r="K5053" s="6"/>
      <c r="N5053" s="2"/>
      <c r="O5053" s="2"/>
      <c r="P5053" s="2"/>
    </row>
    <row r="5054" spans="2:16" ht="14.25">
      <c r="B5054" s="4"/>
      <c r="I5054" s="5"/>
      <c r="J5054" s="5"/>
      <c r="K5054" s="6"/>
      <c r="N5054" s="2"/>
      <c r="O5054" s="2"/>
      <c r="P5054" s="2"/>
    </row>
    <row r="5055" spans="2:16" ht="14.25">
      <c r="B5055" s="4"/>
      <c r="I5055" s="5"/>
      <c r="J5055" s="5"/>
      <c r="K5055" s="6"/>
      <c r="N5055" s="2"/>
      <c r="O5055" s="2"/>
      <c r="P5055" s="2"/>
    </row>
    <row r="5056" spans="2:16" ht="14.25">
      <c r="B5056" s="4"/>
      <c r="I5056" s="5"/>
      <c r="J5056" s="5"/>
      <c r="K5056" s="6"/>
      <c r="N5056" s="2"/>
      <c r="O5056" s="2"/>
      <c r="P5056" s="2"/>
    </row>
    <row r="5057" spans="2:16" ht="14.25">
      <c r="B5057" s="4"/>
      <c r="I5057" s="5"/>
      <c r="J5057" s="5"/>
      <c r="K5057" s="6"/>
      <c r="N5057" s="2"/>
      <c r="O5057" s="2"/>
      <c r="P5057" s="2"/>
    </row>
    <row r="5058" spans="2:16" ht="14.25">
      <c r="B5058" s="4"/>
      <c r="I5058" s="5"/>
      <c r="J5058" s="5"/>
      <c r="K5058" s="6"/>
      <c r="N5058" s="2"/>
      <c r="O5058" s="2"/>
      <c r="P5058" s="2"/>
    </row>
    <row r="5059" spans="2:16" ht="14.25">
      <c r="B5059" s="4"/>
      <c r="I5059" s="5"/>
      <c r="J5059" s="5"/>
      <c r="K5059" s="6"/>
      <c r="N5059" s="2"/>
      <c r="O5059" s="2"/>
      <c r="P5059" s="2"/>
    </row>
    <row r="5060" spans="2:16" ht="14.25">
      <c r="B5060" s="4"/>
      <c r="I5060" s="5"/>
      <c r="J5060" s="5"/>
      <c r="K5060" s="6"/>
      <c r="N5060" s="2"/>
      <c r="O5060" s="2"/>
      <c r="P5060" s="2"/>
    </row>
    <row r="5061" spans="2:16" ht="14.25">
      <c r="B5061" s="4"/>
      <c r="I5061" s="5"/>
      <c r="J5061" s="5"/>
      <c r="K5061" s="6"/>
      <c r="N5061" s="2"/>
      <c r="O5061" s="2"/>
      <c r="P5061" s="2"/>
    </row>
    <row r="5062" spans="2:16" ht="14.25">
      <c r="B5062" s="4"/>
      <c r="I5062" s="5"/>
      <c r="J5062" s="5"/>
      <c r="K5062" s="6"/>
      <c r="N5062" s="2"/>
      <c r="O5062" s="2"/>
      <c r="P5062" s="2"/>
    </row>
    <row r="5063" spans="2:16" ht="14.25">
      <c r="B5063" s="4"/>
      <c r="I5063" s="5"/>
      <c r="J5063" s="5"/>
      <c r="K5063" s="6"/>
      <c r="N5063" s="2"/>
      <c r="O5063" s="2"/>
      <c r="P5063" s="2"/>
    </row>
    <row r="5064" spans="2:16" ht="14.25">
      <c r="B5064" s="4"/>
      <c r="I5064" s="5"/>
      <c r="J5064" s="5"/>
      <c r="K5064" s="6"/>
      <c r="N5064" s="2"/>
      <c r="O5064" s="2"/>
      <c r="P5064" s="2"/>
    </row>
    <row r="5065" spans="2:16" ht="14.25">
      <c r="B5065" s="4"/>
      <c r="I5065" s="5"/>
      <c r="J5065" s="5"/>
      <c r="K5065" s="6"/>
      <c r="N5065" s="2"/>
      <c r="O5065" s="2"/>
      <c r="P5065" s="2"/>
    </row>
    <row r="5066" spans="2:16" ht="14.25">
      <c r="B5066" s="4"/>
      <c r="I5066" s="5"/>
      <c r="J5066" s="5"/>
      <c r="K5066" s="6"/>
      <c r="N5066" s="2"/>
      <c r="O5066" s="2"/>
      <c r="P5066" s="2"/>
    </row>
    <row r="5067" spans="2:16" ht="14.25">
      <c r="B5067" s="4"/>
      <c r="I5067" s="5"/>
      <c r="J5067" s="5"/>
      <c r="K5067" s="6"/>
      <c r="N5067" s="2"/>
      <c r="O5067" s="2"/>
      <c r="P5067" s="2"/>
    </row>
    <row r="5068" spans="2:16" ht="14.25">
      <c r="B5068" s="4"/>
      <c r="I5068" s="5"/>
      <c r="J5068" s="5"/>
      <c r="K5068" s="6"/>
      <c r="N5068" s="2"/>
      <c r="O5068" s="2"/>
      <c r="P5068" s="2"/>
    </row>
    <row r="5069" spans="2:16" ht="14.25">
      <c r="B5069" s="4"/>
      <c r="I5069" s="5"/>
      <c r="J5069" s="5"/>
      <c r="K5069" s="6"/>
      <c r="N5069" s="2"/>
      <c r="O5069" s="2"/>
      <c r="P5069" s="2"/>
    </row>
    <row r="5070" spans="2:16" ht="14.25">
      <c r="B5070" s="4"/>
      <c r="I5070" s="5"/>
      <c r="J5070" s="5"/>
      <c r="K5070" s="6"/>
      <c r="N5070" s="2"/>
      <c r="O5070" s="2"/>
      <c r="P5070" s="2"/>
    </row>
    <row r="5071" spans="2:16" ht="14.25">
      <c r="B5071" s="4"/>
      <c r="I5071" s="5"/>
      <c r="J5071" s="5"/>
      <c r="K5071" s="6"/>
      <c r="N5071" s="2"/>
      <c r="O5071" s="2"/>
      <c r="P5071" s="2"/>
    </row>
    <row r="5072" spans="2:16" ht="14.25">
      <c r="B5072" s="4"/>
      <c r="I5072" s="5"/>
      <c r="J5072" s="5"/>
      <c r="K5072" s="6"/>
      <c r="N5072" s="2"/>
      <c r="O5072" s="2"/>
      <c r="P5072" s="2"/>
    </row>
    <row r="5073" spans="2:16" ht="14.25">
      <c r="B5073" s="4"/>
      <c r="I5073" s="5"/>
      <c r="J5073" s="5"/>
      <c r="K5073" s="6"/>
      <c r="N5073" s="2"/>
      <c r="O5073" s="2"/>
      <c r="P5073" s="2"/>
    </row>
    <row r="5074" spans="2:16" ht="14.25">
      <c r="B5074" s="4"/>
      <c r="I5074" s="5"/>
      <c r="J5074" s="5"/>
      <c r="K5074" s="6"/>
      <c r="N5074" s="2"/>
      <c r="O5074" s="2"/>
      <c r="P5074" s="2"/>
    </row>
    <row r="5075" spans="2:16" ht="14.25">
      <c r="B5075" s="4"/>
      <c r="I5075" s="5"/>
      <c r="J5075" s="5"/>
      <c r="K5075" s="6"/>
      <c r="N5075" s="2"/>
      <c r="O5075" s="2"/>
      <c r="P5075" s="2"/>
    </row>
    <row r="5076" spans="2:16" ht="14.25">
      <c r="B5076" s="4"/>
      <c r="I5076" s="5"/>
      <c r="J5076" s="5"/>
      <c r="K5076" s="6"/>
      <c r="N5076" s="2"/>
      <c r="O5076" s="2"/>
      <c r="P5076" s="2"/>
    </row>
    <row r="5077" spans="2:16" ht="14.25">
      <c r="B5077" s="4"/>
      <c r="I5077" s="5"/>
      <c r="J5077" s="5"/>
      <c r="K5077" s="6"/>
      <c r="N5077" s="2"/>
      <c r="O5077" s="2"/>
      <c r="P5077" s="2"/>
    </row>
    <row r="5078" spans="2:16" ht="14.25">
      <c r="B5078" s="4"/>
      <c r="I5078" s="5"/>
      <c r="J5078" s="5"/>
      <c r="K5078" s="6"/>
      <c r="N5078" s="2"/>
      <c r="O5078" s="2"/>
      <c r="P5078" s="2"/>
    </row>
    <row r="5079" spans="2:16" ht="14.25">
      <c r="B5079" s="4"/>
      <c r="I5079" s="5"/>
      <c r="J5079" s="5"/>
      <c r="K5079" s="6"/>
      <c r="N5079" s="2"/>
      <c r="O5079" s="2"/>
      <c r="P5079" s="2"/>
    </row>
    <row r="5080" spans="2:16" ht="14.25">
      <c r="B5080" s="4"/>
      <c r="I5080" s="5"/>
      <c r="J5080" s="5"/>
      <c r="K5080" s="6"/>
      <c r="N5080" s="2"/>
      <c r="O5080" s="2"/>
      <c r="P5080" s="2"/>
    </row>
    <row r="5081" spans="2:16" ht="14.25">
      <c r="B5081" s="4"/>
      <c r="I5081" s="5"/>
      <c r="J5081" s="5"/>
      <c r="K5081" s="6"/>
      <c r="N5081" s="2"/>
      <c r="O5081" s="2"/>
      <c r="P5081" s="2"/>
    </row>
    <row r="5082" spans="2:16" ht="14.25">
      <c r="B5082" s="4"/>
      <c r="I5082" s="5"/>
      <c r="J5082" s="5"/>
      <c r="K5082" s="6"/>
      <c r="N5082" s="2"/>
      <c r="O5082" s="2"/>
      <c r="P5082" s="2"/>
    </row>
    <row r="5083" spans="2:16" ht="14.25">
      <c r="B5083" s="4"/>
      <c r="I5083" s="5"/>
      <c r="J5083" s="5"/>
      <c r="K5083" s="6"/>
      <c r="N5083" s="2"/>
      <c r="O5083" s="2"/>
      <c r="P5083" s="2"/>
    </row>
    <row r="5084" spans="2:16" ht="14.25">
      <c r="B5084" s="4"/>
      <c r="I5084" s="5"/>
      <c r="J5084" s="5"/>
      <c r="K5084" s="6"/>
      <c r="N5084" s="2"/>
      <c r="O5084" s="2"/>
      <c r="P5084" s="2"/>
    </row>
    <row r="5085" spans="2:16" ht="14.25">
      <c r="B5085" s="4"/>
      <c r="I5085" s="5"/>
      <c r="J5085" s="5"/>
      <c r="K5085" s="6"/>
      <c r="N5085" s="2"/>
      <c r="O5085" s="2"/>
      <c r="P5085" s="2"/>
    </row>
    <row r="5086" spans="2:16" ht="14.25">
      <c r="B5086" s="4"/>
      <c r="I5086" s="5"/>
      <c r="J5086" s="5"/>
      <c r="K5086" s="6"/>
      <c r="N5086" s="2"/>
      <c r="O5086" s="2"/>
      <c r="P5086" s="2"/>
    </row>
    <row r="5087" spans="2:16" ht="14.25">
      <c r="B5087" s="4"/>
      <c r="I5087" s="5"/>
      <c r="J5087" s="5"/>
      <c r="K5087" s="6"/>
      <c r="N5087" s="2"/>
      <c r="O5087" s="2"/>
      <c r="P5087" s="2"/>
    </row>
    <row r="5088" spans="2:16" ht="14.25">
      <c r="B5088" s="4"/>
      <c r="I5088" s="5"/>
      <c r="J5088" s="5"/>
      <c r="K5088" s="6"/>
      <c r="N5088" s="2"/>
      <c r="O5088" s="2"/>
      <c r="P5088" s="2"/>
    </row>
    <row r="5089" spans="2:16" ht="14.25">
      <c r="B5089" s="4"/>
      <c r="I5089" s="5"/>
      <c r="J5089" s="5"/>
      <c r="K5089" s="6"/>
      <c r="N5089" s="2"/>
      <c r="O5089" s="2"/>
      <c r="P5089" s="2"/>
    </row>
    <row r="5090" spans="2:16" ht="14.25">
      <c r="B5090" s="4"/>
      <c r="I5090" s="5"/>
      <c r="J5090" s="5"/>
      <c r="K5090" s="6"/>
      <c r="N5090" s="2"/>
      <c r="O5090" s="2"/>
      <c r="P5090" s="2"/>
    </row>
    <row r="5091" spans="2:16" ht="14.25">
      <c r="B5091" s="4"/>
      <c r="I5091" s="5"/>
      <c r="J5091" s="5"/>
      <c r="K5091" s="6"/>
      <c r="N5091" s="2"/>
      <c r="O5091" s="2"/>
      <c r="P5091" s="2"/>
    </row>
    <row r="5092" spans="2:16" ht="14.25">
      <c r="B5092" s="4"/>
      <c r="I5092" s="5"/>
      <c r="J5092" s="5"/>
      <c r="K5092" s="6"/>
      <c r="N5092" s="2"/>
      <c r="O5092" s="2"/>
      <c r="P5092" s="2"/>
    </row>
    <row r="5093" spans="2:16" ht="14.25">
      <c r="B5093" s="4"/>
      <c r="I5093" s="5"/>
      <c r="J5093" s="5"/>
      <c r="K5093" s="6"/>
      <c r="N5093" s="2"/>
      <c r="O5093" s="2"/>
      <c r="P5093" s="2"/>
    </row>
    <row r="5094" spans="2:16" ht="14.25">
      <c r="B5094" s="4"/>
      <c r="I5094" s="5"/>
      <c r="J5094" s="5"/>
      <c r="K5094" s="6"/>
      <c r="N5094" s="2"/>
      <c r="O5094" s="2"/>
      <c r="P5094" s="2"/>
    </row>
    <row r="5095" spans="2:16" ht="14.25">
      <c r="B5095" s="4"/>
      <c r="I5095" s="5"/>
      <c r="J5095" s="5"/>
      <c r="K5095" s="6"/>
      <c r="N5095" s="2"/>
      <c r="O5095" s="2"/>
      <c r="P5095" s="2"/>
    </row>
    <row r="5096" spans="2:16" ht="14.25">
      <c r="B5096" s="4"/>
      <c r="I5096" s="5"/>
      <c r="J5096" s="5"/>
      <c r="K5096" s="6"/>
      <c r="N5096" s="2"/>
      <c r="O5096" s="2"/>
      <c r="P5096" s="2"/>
    </row>
    <row r="5097" spans="2:16" ht="14.25">
      <c r="B5097" s="4"/>
      <c r="I5097" s="5"/>
      <c r="J5097" s="5"/>
      <c r="K5097" s="6"/>
      <c r="N5097" s="2"/>
      <c r="O5097" s="2"/>
      <c r="P5097" s="2"/>
    </row>
    <row r="5098" spans="2:16" ht="14.25">
      <c r="B5098" s="4"/>
      <c r="I5098" s="5"/>
      <c r="J5098" s="5"/>
      <c r="K5098" s="6"/>
      <c r="N5098" s="2"/>
      <c r="O5098" s="2"/>
      <c r="P5098" s="2"/>
    </row>
    <row r="5099" spans="2:16" ht="14.25">
      <c r="B5099" s="4"/>
      <c r="I5099" s="5"/>
      <c r="J5099" s="5"/>
      <c r="K5099" s="6"/>
      <c r="N5099" s="2"/>
      <c r="O5099" s="2"/>
      <c r="P5099" s="2"/>
    </row>
    <row r="5100" spans="2:16" ht="14.25">
      <c r="B5100" s="4"/>
      <c r="I5100" s="5"/>
      <c r="J5100" s="5"/>
      <c r="K5100" s="6"/>
      <c r="N5100" s="2"/>
      <c r="O5100" s="2"/>
      <c r="P5100" s="2"/>
    </row>
    <row r="5101" spans="2:16" ht="14.25">
      <c r="B5101" s="4"/>
      <c r="I5101" s="5"/>
      <c r="J5101" s="5"/>
      <c r="K5101" s="6"/>
      <c r="N5101" s="2"/>
      <c r="O5101" s="2"/>
      <c r="P5101" s="2"/>
    </row>
    <row r="5102" spans="2:16" ht="14.25">
      <c r="B5102" s="4"/>
      <c r="I5102" s="5"/>
      <c r="J5102" s="5"/>
      <c r="K5102" s="6"/>
      <c r="N5102" s="2"/>
      <c r="O5102" s="2"/>
      <c r="P5102" s="2"/>
    </row>
    <row r="5103" spans="2:16" ht="14.25">
      <c r="B5103" s="4"/>
      <c r="I5103" s="5"/>
      <c r="J5103" s="5"/>
      <c r="K5103" s="6"/>
      <c r="N5103" s="2"/>
      <c r="O5103" s="2"/>
      <c r="P5103" s="2"/>
    </row>
    <row r="5104" spans="2:16" ht="14.25">
      <c r="B5104" s="4"/>
      <c r="I5104" s="5"/>
      <c r="J5104" s="5"/>
      <c r="K5104" s="6"/>
      <c r="N5104" s="2"/>
      <c r="O5104" s="2"/>
      <c r="P5104" s="2"/>
    </row>
    <row r="5105" spans="2:16" ht="14.25">
      <c r="B5105" s="4"/>
      <c r="I5105" s="5"/>
      <c r="J5105" s="5"/>
      <c r="K5105" s="6"/>
      <c r="N5105" s="2"/>
      <c r="O5105" s="2"/>
      <c r="P5105" s="2"/>
    </row>
    <row r="5106" spans="2:16" ht="14.25">
      <c r="B5106" s="4"/>
      <c r="I5106" s="5"/>
      <c r="J5106" s="5"/>
      <c r="K5106" s="6"/>
      <c r="N5106" s="2"/>
      <c r="O5106" s="2"/>
      <c r="P5106" s="2"/>
    </row>
    <row r="5107" spans="2:16" ht="14.25">
      <c r="B5107" s="4"/>
      <c r="I5107" s="5"/>
      <c r="J5107" s="5"/>
      <c r="K5107" s="6"/>
      <c r="N5107" s="2"/>
      <c r="O5107" s="2"/>
      <c r="P5107" s="2"/>
    </row>
    <row r="5108" spans="2:16" ht="14.25">
      <c r="B5108" s="4"/>
      <c r="I5108" s="5"/>
      <c r="J5108" s="5"/>
      <c r="K5108" s="6"/>
      <c r="N5108" s="2"/>
      <c r="O5108" s="2"/>
      <c r="P5108" s="2"/>
    </row>
    <row r="5109" spans="2:16" ht="14.25">
      <c r="B5109" s="4"/>
      <c r="I5109" s="5"/>
      <c r="J5109" s="5"/>
      <c r="K5109" s="6"/>
      <c r="N5109" s="2"/>
      <c r="O5109" s="2"/>
      <c r="P5109" s="2"/>
    </row>
    <row r="5110" spans="2:16" ht="14.25">
      <c r="B5110" s="4"/>
      <c r="I5110" s="5"/>
      <c r="J5110" s="5"/>
      <c r="K5110" s="6"/>
      <c r="N5110" s="2"/>
      <c r="O5110" s="2"/>
      <c r="P5110" s="2"/>
    </row>
    <row r="5111" spans="2:16" ht="14.25">
      <c r="B5111" s="4"/>
      <c r="I5111" s="5"/>
      <c r="J5111" s="5"/>
      <c r="K5111" s="6"/>
      <c r="N5111" s="2"/>
      <c r="O5111" s="2"/>
      <c r="P5111" s="2"/>
    </row>
    <row r="5112" spans="2:16" ht="14.25">
      <c r="B5112" s="4"/>
      <c r="I5112" s="5"/>
      <c r="J5112" s="5"/>
      <c r="K5112" s="6"/>
      <c r="N5112" s="2"/>
      <c r="O5112" s="2"/>
      <c r="P5112" s="2"/>
    </row>
    <row r="5113" spans="2:16" ht="14.25">
      <c r="B5113" s="4"/>
      <c r="I5113" s="5"/>
      <c r="J5113" s="5"/>
      <c r="K5113" s="6"/>
      <c r="N5113" s="2"/>
      <c r="O5113" s="2"/>
      <c r="P5113" s="2"/>
    </row>
    <row r="5114" spans="2:16" ht="14.25">
      <c r="B5114" s="4"/>
      <c r="I5114" s="5"/>
      <c r="J5114" s="5"/>
      <c r="K5114" s="6"/>
      <c r="N5114" s="2"/>
      <c r="O5114" s="2"/>
      <c r="P5114" s="2"/>
    </row>
    <row r="5115" spans="2:16" ht="14.25">
      <c r="B5115" s="4"/>
      <c r="I5115" s="5"/>
      <c r="J5115" s="5"/>
      <c r="K5115" s="6"/>
      <c r="N5115" s="2"/>
      <c r="O5115" s="2"/>
      <c r="P5115" s="2"/>
    </row>
    <row r="5116" spans="2:16" ht="14.25">
      <c r="B5116" s="4"/>
      <c r="I5116" s="5"/>
      <c r="J5116" s="5"/>
      <c r="K5116" s="6"/>
      <c r="N5116" s="2"/>
      <c r="O5116" s="2"/>
      <c r="P5116" s="2"/>
    </row>
    <row r="5117" spans="2:16" ht="14.25">
      <c r="B5117" s="4"/>
      <c r="I5117" s="5"/>
      <c r="J5117" s="5"/>
      <c r="K5117" s="6"/>
      <c r="N5117" s="2"/>
      <c r="O5117" s="2"/>
      <c r="P5117" s="2"/>
    </row>
    <row r="5118" spans="2:16" ht="14.25">
      <c r="B5118" s="4"/>
      <c r="I5118" s="5"/>
      <c r="J5118" s="5"/>
      <c r="K5118" s="6"/>
      <c r="N5118" s="2"/>
      <c r="O5118" s="2"/>
      <c r="P5118" s="2"/>
    </row>
    <row r="5119" spans="2:16" ht="14.25">
      <c r="B5119" s="4"/>
      <c r="I5119" s="5"/>
      <c r="J5119" s="5"/>
      <c r="K5119" s="6"/>
      <c r="N5119" s="2"/>
      <c r="O5119" s="2"/>
      <c r="P5119" s="2"/>
    </row>
    <row r="5120" spans="2:16" ht="14.25">
      <c r="B5120" s="4"/>
      <c r="I5120" s="5"/>
      <c r="J5120" s="5"/>
      <c r="K5120" s="6"/>
      <c r="N5120" s="2"/>
      <c r="O5120" s="2"/>
      <c r="P5120" s="2"/>
    </row>
    <row r="5121" spans="2:16" ht="14.25">
      <c r="B5121" s="4"/>
      <c r="I5121" s="5"/>
      <c r="J5121" s="5"/>
      <c r="K5121" s="6"/>
      <c r="N5121" s="2"/>
      <c r="O5121" s="2"/>
      <c r="P5121" s="2"/>
    </row>
    <row r="5122" spans="2:16" ht="14.25">
      <c r="B5122" s="4"/>
      <c r="I5122" s="5"/>
      <c r="J5122" s="5"/>
      <c r="K5122" s="6"/>
      <c r="N5122" s="2"/>
      <c r="O5122" s="2"/>
      <c r="P5122" s="2"/>
    </row>
    <row r="5123" spans="2:16" ht="14.25">
      <c r="B5123" s="4"/>
      <c r="I5123" s="5"/>
      <c r="J5123" s="5"/>
      <c r="K5123" s="6"/>
      <c r="N5123" s="2"/>
      <c r="O5123" s="2"/>
      <c r="P5123" s="2"/>
    </row>
    <row r="5124" spans="2:16" ht="14.25">
      <c r="B5124" s="4"/>
      <c r="I5124" s="5"/>
      <c r="J5124" s="5"/>
      <c r="K5124" s="6"/>
      <c r="N5124" s="2"/>
      <c r="O5124" s="2"/>
      <c r="P5124" s="2"/>
    </row>
    <row r="5125" spans="2:16" ht="14.25">
      <c r="B5125" s="4"/>
      <c r="I5125" s="5"/>
      <c r="J5125" s="5"/>
      <c r="K5125" s="6"/>
      <c r="N5125" s="2"/>
      <c r="O5125" s="2"/>
      <c r="P5125" s="2"/>
    </row>
    <row r="5126" spans="2:16" ht="14.25">
      <c r="B5126" s="4"/>
      <c r="I5126" s="5"/>
      <c r="J5126" s="5"/>
      <c r="K5126" s="6"/>
      <c r="N5126" s="2"/>
      <c r="O5126" s="2"/>
      <c r="P5126" s="2"/>
    </row>
    <row r="5127" spans="2:16" ht="14.25">
      <c r="B5127" s="4"/>
      <c r="I5127" s="5"/>
      <c r="J5127" s="5"/>
      <c r="K5127" s="6"/>
      <c r="N5127" s="2"/>
      <c r="O5127" s="2"/>
      <c r="P5127" s="2"/>
    </row>
    <row r="5128" spans="2:16" ht="14.25">
      <c r="B5128" s="4"/>
      <c r="I5128" s="5"/>
      <c r="J5128" s="5"/>
      <c r="K5128" s="6"/>
      <c r="N5128" s="2"/>
      <c r="O5128" s="2"/>
      <c r="P5128" s="2"/>
    </row>
    <row r="5129" spans="2:16" ht="14.25">
      <c r="B5129" s="4"/>
      <c r="I5129" s="5"/>
      <c r="J5129" s="5"/>
      <c r="K5129" s="6"/>
      <c r="N5129" s="2"/>
      <c r="O5129" s="2"/>
      <c r="P5129" s="2"/>
    </row>
    <row r="5130" spans="2:16" ht="14.25">
      <c r="B5130" s="4"/>
      <c r="I5130" s="5"/>
      <c r="J5130" s="5"/>
      <c r="K5130" s="6"/>
      <c r="N5130" s="2"/>
      <c r="O5130" s="2"/>
      <c r="P5130" s="2"/>
    </row>
    <row r="5131" spans="2:16" ht="14.25">
      <c r="B5131" s="4"/>
      <c r="I5131" s="5"/>
      <c r="J5131" s="5"/>
      <c r="K5131" s="6"/>
      <c r="N5131" s="2"/>
      <c r="O5131" s="2"/>
      <c r="P5131" s="2"/>
    </row>
    <row r="5132" spans="2:16" ht="14.25">
      <c r="B5132" s="4"/>
      <c r="I5132" s="5"/>
      <c r="J5132" s="5"/>
      <c r="K5132" s="6"/>
      <c r="N5132" s="2"/>
      <c r="O5132" s="2"/>
      <c r="P5132" s="2"/>
    </row>
    <row r="5133" spans="2:16" ht="14.25">
      <c r="B5133" s="4"/>
      <c r="I5133" s="5"/>
      <c r="J5133" s="5"/>
      <c r="K5133" s="6"/>
      <c r="N5133" s="2"/>
      <c r="O5133" s="2"/>
      <c r="P5133" s="2"/>
    </row>
    <row r="5134" spans="2:16" ht="14.25">
      <c r="B5134" s="4"/>
      <c r="I5134" s="5"/>
      <c r="J5134" s="5"/>
      <c r="K5134" s="6"/>
      <c r="N5134" s="2"/>
      <c r="O5134" s="2"/>
      <c r="P5134" s="2"/>
    </row>
    <row r="5135" spans="2:16" ht="14.25">
      <c r="B5135" s="4"/>
      <c r="I5135" s="5"/>
      <c r="J5135" s="5"/>
      <c r="K5135" s="6"/>
      <c r="N5135" s="2"/>
      <c r="O5135" s="2"/>
      <c r="P5135" s="2"/>
    </row>
    <row r="5136" spans="2:16" ht="14.25">
      <c r="B5136" s="4"/>
      <c r="I5136" s="5"/>
      <c r="J5136" s="5"/>
      <c r="K5136" s="6"/>
      <c r="N5136" s="2"/>
      <c r="O5136" s="2"/>
      <c r="P5136" s="2"/>
    </row>
    <row r="5137" spans="2:16" ht="14.25">
      <c r="B5137" s="4"/>
      <c r="I5137" s="5"/>
      <c r="J5137" s="5"/>
      <c r="K5137" s="6"/>
      <c r="N5137" s="2"/>
      <c r="O5137" s="2"/>
      <c r="P5137" s="2"/>
    </row>
    <row r="5138" spans="2:16" ht="14.25">
      <c r="B5138" s="4"/>
      <c r="I5138" s="5"/>
      <c r="J5138" s="5"/>
      <c r="K5138" s="6"/>
      <c r="N5138" s="2"/>
      <c r="O5138" s="2"/>
      <c r="P5138" s="2"/>
    </row>
    <row r="5139" spans="2:16" ht="14.25">
      <c r="B5139" s="4"/>
      <c r="I5139" s="5"/>
      <c r="J5139" s="5"/>
      <c r="K5139" s="6"/>
      <c r="N5139" s="2"/>
      <c r="O5139" s="2"/>
      <c r="P5139" s="2"/>
    </row>
    <row r="5140" spans="2:16" ht="14.25">
      <c r="B5140" s="4"/>
      <c r="I5140" s="5"/>
      <c r="J5140" s="5"/>
      <c r="K5140" s="6"/>
      <c r="N5140" s="2"/>
      <c r="O5140" s="2"/>
      <c r="P5140" s="2"/>
    </row>
    <row r="5141" spans="2:16" ht="14.25">
      <c r="B5141" s="4"/>
      <c r="I5141" s="5"/>
      <c r="J5141" s="5"/>
      <c r="K5141" s="6"/>
      <c r="N5141" s="2"/>
      <c r="O5141" s="2"/>
      <c r="P5141" s="2"/>
    </row>
    <row r="5142" spans="2:16" ht="14.25">
      <c r="B5142" s="4"/>
      <c r="I5142" s="5"/>
      <c r="J5142" s="5"/>
      <c r="K5142" s="6"/>
      <c r="N5142" s="2"/>
      <c r="O5142" s="2"/>
      <c r="P5142" s="2"/>
    </row>
    <row r="5143" spans="2:16" ht="14.25">
      <c r="B5143" s="4"/>
      <c r="I5143" s="5"/>
      <c r="J5143" s="5"/>
      <c r="K5143" s="6"/>
      <c r="N5143" s="2"/>
      <c r="O5143" s="2"/>
      <c r="P5143" s="2"/>
    </row>
    <row r="5144" spans="2:16" ht="14.25">
      <c r="B5144" s="4"/>
      <c r="I5144" s="5"/>
      <c r="J5144" s="5"/>
      <c r="K5144" s="6"/>
      <c r="N5144" s="2"/>
      <c r="O5144" s="2"/>
      <c r="P5144" s="2"/>
    </row>
    <row r="5145" spans="2:16" ht="14.25">
      <c r="B5145" s="4"/>
      <c r="I5145" s="5"/>
      <c r="J5145" s="5"/>
      <c r="K5145" s="6"/>
      <c r="N5145" s="2"/>
      <c r="O5145" s="2"/>
      <c r="P5145" s="2"/>
    </row>
    <row r="5146" spans="2:16" ht="14.25">
      <c r="B5146" s="4"/>
      <c r="I5146" s="5"/>
      <c r="J5146" s="5"/>
      <c r="K5146" s="6"/>
      <c r="N5146" s="2"/>
      <c r="O5146" s="2"/>
      <c r="P5146" s="2"/>
    </row>
    <row r="5147" spans="2:16" ht="14.25">
      <c r="B5147" s="4"/>
      <c r="I5147" s="5"/>
      <c r="J5147" s="5"/>
      <c r="K5147" s="6"/>
      <c r="N5147" s="2"/>
      <c r="O5147" s="2"/>
      <c r="P5147" s="2"/>
    </row>
    <row r="5148" spans="2:16" ht="14.25">
      <c r="B5148" s="4"/>
      <c r="I5148" s="5"/>
      <c r="J5148" s="5"/>
      <c r="K5148" s="6"/>
      <c r="N5148" s="2"/>
      <c r="O5148" s="2"/>
      <c r="P5148" s="2"/>
    </row>
    <row r="5149" spans="2:16" ht="14.25">
      <c r="B5149" s="4"/>
      <c r="I5149" s="5"/>
      <c r="J5149" s="5"/>
      <c r="K5149" s="6"/>
      <c r="N5149" s="2"/>
      <c r="O5149" s="2"/>
      <c r="P5149" s="2"/>
    </row>
    <row r="5150" spans="2:16" ht="14.25">
      <c r="B5150" s="4"/>
      <c r="I5150" s="5"/>
      <c r="J5150" s="5"/>
      <c r="K5150" s="6"/>
      <c r="N5150" s="2"/>
      <c r="O5150" s="2"/>
      <c r="P5150" s="2"/>
    </row>
    <row r="5151" spans="2:16" ht="14.25">
      <c r="B5151" s="4"/>
      <c r="I5151" s="5"/>
      <c r="J5151" s="5"/>
      <c r="K5151" s="6"/>
      <c r="N5151" s="2"/>
      <c r="O5151" s="2"/>
      <c r="P5151" s="2"/>
    </row>
    <row r="5152" spans="2:16" ht="14.25">
      <c r="B5152" s="4"/>
      <c r="I5152" s="5"/>
      <c r="J5152" s="5"/>
      <c r="K5152" s="6"/>
      <c r="N5152" s="2"/>
      <c r="O5152" s="2"/>
      <c r="P5152" s="2"/>
    </row>
    <row r="5153" spans="2:16" ht="14.25">
      <c r="B5153" s="4"/>
      <c r="I5153" s="5"/>
      <c r="J5153" s="5"/>
      <c r="K5153" s="6"/>
      <c r="N5153" s="2"/>
      <c r="O5153" s="2"/>
      <c r="P5153" s="2"/>
    </row>
    <row r="5154" spans="2:16" ht="14.25">
      <c r="B5154" s="4"/>
      <c r="I5154" s="5"/>
      <c r="J5154" s="5"/>
      <c r="K5154" s="6"/>
      <c r="N5154" s="2"/>
      <c r="O5154" s="2"/>
      <c r="P5154" s="2"/>
    </row>
    <row r="5155" spans="2:16" ht="14.25">
      <c r="B5155" s="4"/>
      <c r="I5155" s="5"/>
      <c r="J5155" s="5"/>
      <c r="K5155" s="6"/>
      <c r="N5155" s="2"/>
      <c r="O5155" s="2"/>
      <c r="P5155" s="2"/>
    </row>
    <row r="5156" spans="2:16" ht="14.25">
      <c r="B5156" s="4"/>
      <c r="I5156" s="5"/>
      <c r="J5156" s="5"/>
      <c r="K5156" s="6"/>
      <c r="N5156" s="2"/>
      <c r="O5156" s="2"/>
      <c r="P5156" s="2"/>
    </row>
    <row r="5157" spans="2:16" ht="14.25">
      <c r="B5157" s="4"/>
      <c r="I5157" s="5"/>
      <c r="J5157" s="5"/>
      <c r="K5157" s="6"/>
      <c r="N5157" s="2"/>
      <c r="O5157" s="2"/>
      <c r="P5157" s="2"/>
    </row>
    <row r="5158" spans="2:16" ht="14.25">
      <c r="B5158" s="4"/>
      <c r="I5158" s="5"/>
      <c r="J5158" s="5"/>
      <c r="K5158" s="6"/>
      <c r="N5158" s="2"/>
      <c r="O5158" s="2"/>
      <c r="P5158" s="2"/>
    </row>
    <row r="5159" spans="2:16" ht="14.25">
      <c r="B5159" s="4"/>
      <c r="I5159" s="5"/>
      <c r="J5159" s="5"/>
      <c r="K5159" s="6"/>
      <c r="N5159" s="2"/>
      <c r="O5159" s="2"/>
      <c r="P5159" s="2"/>
    </row>
    <row r="5160" spans="2:16" ht="14.25">
      <c r="B5160" s="4"/>
      <c r="I5160" s="5"/>
      <c r="J5160" s="5"/>
      <c r="K5160" s="6"/>
      <c r="N5160" s="2"/>
      <c r="O5160" s="2"/>
      <c r="P5160" s="2"/>
    </row>
    <row r="5161" spans="2:16" ht="14.25">
      <c r="B5161" s="4"/>
      <c r="I5161" s="5"/>
      <c r="J5161" s="5"/>
      <c r="K5161" s="6"/>
      <c r="N5161" s="2"/>
      <c r="O5161" s="2"/>
      <c r="P5161" s="2"/>
    </row>
    <row r="5162" spans="2:16" ht="14.25">
      <c r="B5162" s="4"/>
      <c r="I5162" s="5"/>
      <c r="J5162" s="5"/>
      <c r="K5162" s="6"/>
      <c r="N5162" s="2"/>
      <c r="O5162" s="2"/>
      <c r="P5162" s="2"/>
    </row>
    <row r="5163" spans="2:16" ht="14.25">
      <c r="B5163" s="4"/>
      <c r="I5163" s="5"/>
      <c r="J5163" s="5"/>
      <c r="K5163" s="6"/>
      <c r="N5163" s="2"/>
      <c r="O5163" s="2"/>
      <c r="P5163" s="2"/>
    </row>
    <row r="5164" spans="2:16" ht="14.25">
      <c r="B5164" s="4"/>
      <c r="I5164" s="5"/>
      <c r="J5164" s="5"/>
      <c r="K5164" s="6"/>
      <c r="N5164" s="2"/>
      <c r="O5164" s="2"/>
      <c r="P5164" s="2"/>
    </row>
    <row r="5165" spans="2:16" ht="14.25">
      <c r="B5165" s="4"/>
      <c r="I5165" s="5"/>
      <c r="J5165" s="5"/>
      <c r="K5165" s="6"/>
      <c r="N5165" s="2"/>
      <c r="O5165" s="2"/>
      <c r="P5165" s="2"/>
    </row>
    <row r="5166" spans="2:16" ht="14.25">
      <c r="B5166" s="4"/>
      <c r="I5166" s="5"/>
      <c r="J5166" s="5"/>
      <c r="K5166" s="6"/>
      <c r="N5166" s="2"/>
      <c r="O5166" s="2"/>
      <c r="P5166" s="2"/>
    </row>
    <row r="5167" spans="2:16" ht="14.25">
      <c r="B5167" s="4"/>
      <c r="I5167" s="5"/>
      <c r="J5167" s="5"/>
      <c r="K5167" s="6"/>
      <c r="N5167" s="2"/>
      <c r="O5167" s="2"/>
      <c r="P5167" s="2"/>
    </row>
    <row r="5168" spans="2:16" ht="14.25">
      <c r="B5168" s="4"/>
      <c r="I5168" s="5"/>
      <c r="J5168" s="5"/>
      <c r="K5168" s="6"/>
      <c r="N5168" s="2"/>
      <c r="O5168" s="2"/>
      <c r="P5168" s="2"/>
    </row>
    <row r="5169" spans="2:16" ht="14.25">
      <c r="B5169" s="4"/>
      <c r="I5169" s="5"/>
      <c r="J5169" s="5"/>
      <c r="K5169" s="6"/>
      <c r="N5169" s="2"/>
      <c r="O5169" s="2"/>
      <c r="P5169" s="2"/>
    </row>
    <row r="5170" spans="2:16" ht="14.25">
      <c r="B5170" s="4"/>
      <c r="I5170" s="5"/>
      <c r="J5170" s="5"/>
      <c r="K5170" s="6"/>
      <c r="N5170" s="2"/>
      <c r="O5170" s="2"/>
      <c r="P5170" s="2"/>
    </row>
    <row r="5171" spans="2:16" ht="14.25">
      <c r="B5171" s="4"/>
      <c r="I5171" s="5"/>
      <c r="J5171" s="5"/>
      <c r="K5171" s="6"/>
      <c r="N5171" s="2"/>
      <c r="O5171" s="2"/>
      <c r="P5171" s="2"/>
    </row>
    <row r="5172" spans="2:16" ht="14.25">
      <c r="B5172" s="4"/>
      <c r="I5172" s="5"/>
      <c r="J5172" s="5"/>
      <c r="K5172" s="6"/>
      <c r="N5172" s="2"/>
      <c r="O5172" s="2"/>
      <c r="P5172" s="2"/>
    </row>
    <row r="5173" spans="2:16" ht="14.25">
      <c r="B5173" s="4"/>
      <c r="I5173" s="5"/>
      <c r="J5173" s="5"/>
      <c r="K5173" s="6"/>
      <c r="N5173" s="2"/>
      <c r="O5173" s="2"/>
      <c r="P5173" s="2"/>
    </row>
    <row r="5174" spans="2:16" ht="14.25">
      <c r="B5174" s="4"/>
      <c r="I5174" s="5"/>
      <c r="J5174" s="5"/>
      <c r="K5174" s="6"/>
      <c r="N5174" s="2"/>
      <c r="O5174" s="2"/>
      <c r="P5174" s="2"/>
    </row>
    <row r="5175" spans="2:16" ht="14.25">
      <c r="B5175" s="4"/>
      <c r="I5175" s="5"/>
      <c r="J5175" s="5"/>
      <c r="K5175" s="6"/>
      <c r="N5175" s="2"/>
      <c r="O5175" s="2"/>
      <c r="P5175" s="2"/>
    </row>
    <row r="5176" spans="2:16" ht="14.25">
      <c r="B5176" s="4"/>
      <c r="I5176" s="5"/>
      <c r="J5176" s="5"/>
      <c r="K5176" s="6"/>
      <c r="N5176" s="2"/>
      <c r="O5176" s="2"/>
      <c r="P5176" s="2"/>
    </row>
    <row r="5177" spans="2:16" ht="14.25">
      <c r="B5177" s="4"/>
      <c r="I5177" s="5"/>
      <c r="J5177" s="5"/>
      <c r="K5177" s="6"/>
      <c r="N5177" s="2"/>
      <c r="O5177" s="2"/>
      <c r="P5177" s="2"/>
    </row>
    <row r="5178" spans="2:16" ht="14.25">
      <c r="B5178" s="4"/>
      <c r="I5178" s="5"/>
      <c r="J5178" s="5"/>
      <c r="K5178" s="6"/>
      <c r="N5178" s="2"/>
      <c r="O5178" s="2"/>
      <c r="P5178" s="2"/>
    </row>
    <row r="5179" spans="2:16" ht="14.25">
      <c r="B5179" s="4"/>
      <c r="I5179" s="5"/>
      <c r="J5179" s="5"/>
      <c r="K5179" s="6"/>
      <c r="N5179" s="2"/>
      <c r="O5179" s="2"/>
      <c r="P5179" s="2"/>
    </row>
    <row r="5180" spans="2:16" ht="14.25">
      <c r="B5180" s="4"/>
      <c r="I5180" s="5"/>
      <c r="J5180" s="5"/>
      <c r="K5180" s="6"/>
      <c r="N5180" s="2"/>
      <c r="O5180" s="2"/>
      <c r="P5180" s="2"/>
    </row>
    <row r="5181" spans="2:16" ht="14.25">
      <c r="B5181" s="4"/>
      <c r="I5181" s="5"/>
      <c r="J5181" s="5"/>
      <c r="K5181" s="6"/>
      <c r="N5181" s="2"/>
      <c r="O5181" s="2"/>
      <c r="P5181" s="2"/>
    </row>
    <row r="5182" spans="2:16" ht="14.25">
      <c r="B5182" s="4"/>
      <c r="I5182" s="5"/>
      <c r="J5182" s="5"/>
      <c r="K5182" s="6"/>
      <c r="N5182" s="2"/>
      <c r="O5182" s="2"/>
      <c r="P5182" s="2"/>
    </row>
    <row r="5183" spans="2:16" ht="14.25">
      <c r="B5183" s="4"/>
      <c r="I5183" s="5"/>
      <c r="J5183" s="5"/>
      <c r="K5183" s="6"/>
      <c r="N5183" s="2"/>
      <c r="O5183" s="2"/>
      <c r="P5183" s="2"/>
    </row>
    <row r="5184" spans="2:16" ht="14.25">
      <c r="B5184" s="4"/>
      <c r="I5184" s="5"/>
      <c r="J5184" s="5"/>
      <c r="K5184" s="6"/>
      <c r="N5184" s="2"/>
      <c r="O5184" s="2"/>
      <c r="P5184" s="2"/>
    </row>
    <row r="5185" spans="2:16" ht="14.25">
      <c r="B5185" s="4"/>
      <c r="I5185" s="5"/>
      <c r="J5185" s="5"/>
      <c r="K5185" s="6"/>
      <c r="N5185" s="2"/>
      <c r="O5185" s="2"/>
      <c r="P5185" s="2"/>
    </row>
    <row r="5186" spans="2:16" ht="14.25">
      <c r="B5186" s="4"/>
      <c r="I5186" s="5"/>
      <c r="J5186" s="5"/>
      <c r="K5186" s="6"/>
      <c r="N5186" s="2"/>
      <c r="O5186" s="2"/>
      <c r="P5186" s="2"/>
    </row>
    <row r="5187" spans="2:16" ht="14.25">
      <c r="B5187" s="4"/>
      <c r="I5187" s="5"/>
      <c r="J5187" s="5"/>
      <c r="K5187" s="6"/>
      <c r="N5187" s="2"/>
      <c r="O5187" s="2"/>
      <c r="P5187" s="2"/>
    </row>
    <row r="5188" spans="2:16" ht="14.25">
      <c r="B5188" s="4"/>
      <c r="I5188" s="5"/>
      <c r="J5188" s="5"/>
      <c r="K5188" s="6"/>
      <c r="N5188" s="2"/>
      <c r="O5188" s="2"/>
      <c r="P5188" s="2"/>
    </row>
    <row r="5189" spans="2:16" ht="14.25">
      <c r="B5189" s="4"/>
      <c r="I5189" s="5"/>
      <c r="J5189" s="5"/>
      <c r="K5189" s="6"/>
      <c r="N5189" s="2"/>
      <c r="O5189" s="2"/>
      <c r="P5189" s="2"/>
    </row>
    <row r="5190" spans="2:16" ht="14.25">
      <c r="B5190" s="4"/>
      <c r="I5190" s="5"/>
      <c r="J5190" s="5"/>
      <c r="K5190" s="6"/>
      <c r="N5190" s="2"/>
      <c r="O5190" s="2"/>
      <c r="P5190" s="2"/>
    </row>
    <row r="5191" spans="2:16" ht="14.25">
      <c r="B5191" s="4"/>
      <c r="I5191" s="5"/>
      <c r="J5191" s="5"/>
      <c r="K5191" s="6"/>
      <c r="N5191" s="2"/>
      <c r="O5191" s="2"/>
      <c r="P5191" s="2"/>
    </row>
    <row r="5192" spans="2:16" ht="14.25">
      <c r="B5192" s="4"/>
      <c r="I5192" s="5"/>
      <c r="J5192" s="5"/>
      <c r="K5192" s="6"/>
      <c r="N5192" s="2"/>
      <c r="O5192" s="2"/>
      <c r="P5192" s="2"/>
    </row>
    <row r="5193" spans="2:16" ht="14.25">
      <c r="B5193" s="4"/>
      <c r="I5193" s="5"/>
      <c r="J5193" s="5"/>
      <c r="K5193" s="6"/>
      <c r="N5193" s="2"/>
      <c r="O5193" s="2"/>
      <c r="P5193" s="2"/>
    </row>
    <row r="5194" spans="2:16" ht="14.25">
      <c r="B5194" s="4"/>
      <c r="I5194" s="5"/>
      <c r="J5194" s="5"/>
      <c r="K5194" s="6"/>
      <c r="N5194" s="2"/>
      <c r="O5194" s="2"/>
      <c r="P5194" s="2"/>
    </row>
    <row r="5195" spans="2:16" ht="14.25">
      <c r="B5195" s="4"/>
      <c r="I5195" s="5"/>
      <c r="J5195" s="5"/>
      <c r="K5195" s="6"/>
      <c r="N5195" s="2"/>
      <c r="O5195" s="2"/>
      <c r="P5195" s="2"/>
    </row>
    <row r="5196" spans="2:16" ht="14.25">
      <c r="B5196" s="4"/>
      <c r="I5196" s="5"/>
      <c r="J5196" s="5"/>
      <c r="K5196" s="6"/>
      <c r="N5196" s="2"/>
      <c r="O5196" s="2"/>
      <c r="P5196" s="2"/>
    </row>
    <row r="5197" spans="2:16" ht="14.25">
      <c r="B5197" s="4"/>
      <c r="I5197" s="5"/>
      <c r="J5197" s="5"/>
      <c r="K5197" s="6"/>
      <c r="N5197" s="2"/>
      <c r="O5197" s="2"/>
      <c r="P5197" s="2"/>
    </row>
    <row r="5198" spans="2:16" ht="14.25">
      <c r="B5198" s="4"/>
      <c r="I5198" s="5"/>
      <c r="J5198" s="5"/>
      <c r="K5198" s="6"/>
      <c r="N5198" s="2"/>
      <c r="O5198" s="2"/>
      <c r="P5198" s="2"/>
    </row>
    <row r="5199" spans="2:16" ht="14.25">
      <c r="B5199" s="4"/>
      <c r="I5199" s="5"/>
      <c r="J5199" s="5"/>
      <c r="K5199" s="6"/>
      <c r="N5199" s="2"/>
      <c r="O5199" s="2"/>
      <c r="P5199" s="2"/>
    </row>
    <row r="5200" spans="2:16" ht="14.25">
      <c r="B5200" s="4"/>
      <c r="I5200" s="5"/>
      <c r="J5200" s="5"/>
      <c r="K5200" s="6"/>
      <c r="N5200" s="2"/>
      <c r="O5200" s="2"/>
      <c r="P5200" s="2"/>
    </row>
    <row r="5201" spans="2:16" ht="14.25">
      <c r="B5201" s="4"/>
      <c r="I5201" s="5"/>
      <c r="J5201" s="5"/>
      <c r="K5201" s="6"/>
      <c r="N5201" s="2"/>
      <c r="O5201" s="2"/>
      <c r="P5201" s="2"/>
    </row>
    <row r="5202" spans="2:16" ht="14.25">
      <c r="B5202" s="4"/>
      <c r="I5202" s="5"/>
      <c r="J5202" s="5"/>
      <c r="K5202" s="6"/>
      <c r="N5202" s="2"/>
      <c r="O5202" s="2"/>
      <c r="P5202" s="2"/>
    </row>
    <row r="5203" spans="2:16" ht="14.25">
      <c r="B5203" s="4"/>
      <c r="I5203" s="5"/>
      <c r="J5203" s="5"/>
      <c r="K5203" s="6"/>
      <c r="N5203" s="2"/>
      <c r="O5203" s="2"/>
      <c r="P5203" s="2"/>
    </row>
    <row r="5204" spans="2:16" ht="14.25">
      <c r="B5204" s="4"/>
      <c r="I5204" s="5"/>
      <c r="J5204" s="5"/>
      <c r="K5204" s="6"/>
      <c r="N5204" s="2"/>
      <c r="O5204" s="2"/>
      <c r="P5204" s="2"/>
    </row>
    <row r="5205" spans="2:16" ht="14.25">
      <c r="B5205" s="4"/>
      <c r="I5205" s="5"/>
      <c r="J5205" s="5"/>
      <c r="K5205" s="6"/>
      <c r="N5205" s="2"/>
      <c r="O5205" s="2"/>
      <c r="P5205" s="2"/>
    </row>
    <row r="5206" spans="2:16" ht="14.25">
      <c r="B5206" s="4"/>
      <c r="I5206" s="5"/>
      <c r="J5206" s="5"/>
      <c r="K5206" s="6"/>
      <c r="N5206" s="2"/>
      <c r="O5206" s="2"/>
      <c r="P5206" s="2"/>
    </row>
    <row r="5207" spans="2:16" ht="14.25">
      <c r="B5207" s="4"/>
      <c r="I5207" s="5"/>
      <c r="J5207" s="5"/>
      <c r="K5207" s="6"/>
      <c r="N5207" s="2"/>
      <c r="O5207" s="2"/>
      <c r="P5207" s="2"/>
    </row>
    <row r="5208" spans="2:16" ht="14.25">
      <c r="B5208" s="4"/>
      <c r="I5208" s="5"/>
      <c r="J5208" s="5"/>
      <c r="K5208" s="6"/>
      <c r="N5208" s="2"/>
      <c r="O5208" s="2"/>
      <c r="P5208" s="2"/>
    </row>
    <row r="5209" spans="2:16" ht="14.25">
      <c r="B5209" s="4"/>
      <c r="I5209" s="5"/>
      <c r="J5209" s="5"/>
      <c r="K5209" s="6"/>
      <c r="N5209" s="2"/>
      <c r="O5209" s="2"/>
      <c r="P5209" s="2"/>
    </row>
    <row r="5210" spans="2:16" ht="14.25">
      <c r="B5210" s="4"/>
      <c r="I5210" s="5"/>
      <c r="J5210" s="5"/>
      <c r="K5210" s="6"/>
      <c r="N5210" s="2"/>
      <c r="O5210" s="2"/>
      <c r="P5210" s="2"/>
    </row>
    <row r="5211" spans="2:16" ht="14.25">
      <c r="B5211" s="4"/>
      <c r="I5211" s="5"/>
      <c r="J5211" s="5"/>
      <c r="K5211" s="6"/>
      <c r="N5211" s="2"/>
      <c r="O5211" s="2"/>
      <c r="P5211" s="2"/>
    </row>
    <row r="5212" spans="2:16" ht="14.25">
      <c r="B5212" s="4"/>
      <c r="I5212" s="5"/>
      <c r="J5212" s="5"/>
      <c r="K5212" s="6"/>
      <c r="N5212" s="2"/>
      <c r="O5212" s="2"/>
      <c r="P5212" s="2"/>
    </row>
    <row r="5213" spans="2:16" ht="14.25">
      <c r="B5213" s="4"/>
      <c r="I5213" s="5"/>
      <c r="J5213" s="5"/>
      <c r="K5213" s="6"/>
      <c r="N5213" s="2"/>
      <c r="O5213" s="2"/>
      <c r="P5213" s="2"/>
    </row>
    <row r="5214" spans="2:16" ht="14.25">
      <c r="B5214" s="4"/>
      <c r="I5214" s="5"/>
      <c r="J5214" s="5"/>
      <c r="K5214" s="6"/>
      <c r="N5214" s="2"/>
      <c r="O5214" s="2"/>
      <c r="P5214" s="2"/>
    </row>
    <row r="5215" spans="2:16" ht="14.25">
      <c r="B5215" s="4"/>
      <c r="I5215" s="5"/>
      <c r="J5215" s="5"/>
      <c r="K5215" s="6"/>
      <c r="N5215" s="2"/>
      <c r="O5215" s="2"/>
      <c r="P5215" s="2"/>
    </row>
    <row r="5216" spans="2:16" ht="14.25">
      <c r="B5216" s="4"/>
      <c r="I5216" s="5"/>
      <c r="J5216" s="5"/>
      <c r="K5216" s="6"/>
      <c r="N5216" s="2"/>
      <c r="O5216" s="2"/>
      <c r="P5216" s="2"/>
    </row>
    <row r="5217" spans="2:16" ht="14.25">
      <c r="B5217" s="4"/>
      <c r="I5217" s="5"/>
      <c r="J5217" s="5"/>
      <c r="K5217" s="6"/>
      <c r="N5217" s="2"/>
      <c r="O5217" s="2"/>
      <c r="P5217" s="2"/>
    </row>
    <row r="5218" spans="2:16" ht="14.25">
      <c r="B5218" s="4"/>
      <c r="I5218" s="5"/>
      <c r="J5218" s="5"/>
      <c r="K5218" s="6"/>
      <c r="N5218" s="2"/>
      <c r="O5218" s="2"/>
      <c r="P5218" s="2"/>
    </row>
    <row r="5219" spans="2:16" ht="14.25">
      <c r="B5219" s="4"/>
      <c r="I5219" s="5"/>
      <c r="J5219" s="5"/>
      <c r="K5219" s="6"/>
      <c r="N5219" s="2"/>
      <c r="O5219" s="2"/>
      <c r="P5219" s="2"/>
    </row>
    <row r="5220" spans="2:16" ht="14.25">
      <c r="B5220" s="4"/>
      <c r="I5220" s="5"/>
      <c r="J5220" s="5"/>
      <c r="K5220" s="6"/>
      <c r="N5220" s="2"/>
      <c r="O5220" s="2"/>
      <c r="P5220" s="2"/>
    </row>
    <row r="5221" spans="2:16" ht="14.25">
      <c r="B5221" s="4"/>
      <c r="I5221" s="5"/>
      <c r="J5221" s="5"/>
      <c r="K5221" s="6"/>
      <c r="N5221" s="2"/>
      <c r="O5221" s="2"/>
      <c r="P5221" s="2"/>
    </row>
    <row r="5222" spans="2:16" ht="14.25">
      <c r="B5222" s="4"/>
      <c r="I5222" s="5"/>
      <c r="J5222" s="5"/>
      <c r="K5222" s="6"/>
      <c r="N5222" s="2"/>
      <c r="O5222" s="2"/>
      <c r="P5222" s="2"/>
    </row>
    <row r="5223" spans="2:16" ht="14.25">
      <c r="B5223" s="4"/>
      <c r="I5223" s="5"/>
      <c r="J5223" s="5"/>
      <c r="K5223" s="6"/>
      <c r="N5223" s="2"/>
      <c r="O5223" s="2"/>
      <c r="P5223" s="2"/>
    </row>
    <row r="5224" spans="2:16" ht="14.25">
      <c r="B5224" s="4"/>
      <c r="I5224" s="5"/>
      <c r="J5224" s="5"/>
      <c r="K5224" s="6"/>
      <c r="N5224" s="2"/>
      <c r="O5224" s="2"/>
      <c r="P5224" s="2"/>
    </row>
    <row r="5225" spans="2:16" ht="14.25">
      <c r="B5225" s="4"/>
      <c r="I5225" s="5"/>
      <c r="J5225" s="5"/>
      <c r="K5225" s="6"/>
      <c r="N5225" s="2"/>
      <c r="O5225" s="2"/>
      <c r="P5225" s="2"/>
    </row>
    <row r="5226" spans="2:16" ht="14.25">
      <c r="B5226" s="4"/>
      <c r="I5226" s="5"/>
      <c r="J5226" s="5"/>
      <c r="K5226" s="6"/>
      <c r="N5226" s="2"/>
      <c r="O5226" s="2"/>
      <c r="P5226" s="2"/>
    </row>
    <row r="5227" spans="2:16" ht="14.25">
      <c r="B5227" s="4"/>
      <c r="I5227" s="5"/>
      <c r="J5227" s="5"/>
      <c r="K5227" s="6"/>
      <c r="N5227" s="2"/>
      <c r="O5227" s="2"/>
      <c r="P5227" s="2"/>
    </row>
    <row r="5228" spans="2:16" ht="14.25">
      <c r="B5228" s="4"/>
      <c r="I5228" s="5"/>
      <c r="J5228" s="5"/>
      <c r="K5228" s="6"/>
      <c r="N5228" s="2"/>
      <c r="O5228" s="2"/>
      <c r="P5228" s="2"/>
    </row>
    <row r="5229" spans="2:16" ht="14.25">
      <c r="B5229" s="4"/>
      <c r="I5229" s="5"/>
      <c r="J5229" s="5"/>
      <c r="K5229" s="6"/>
      <c r="N5229" s="2"/>
      <c r="O5229" s="2"/>
      <c r="P5229" s="2"/>
    </row>
    <row r="5230" spans="2:16" ht="14.25">
      <c r="B5230" s="4"/>
      <c r="I5230" s="5"/>
      <c r="J5230" s="5"/>
      <c r="K5230" s="6"/>
      <c r="N5230" s="2"/>
      <c r="O5230" s="2"/>
      <c r="P5230" s="2"/>
    </row>
    <row r="5231" spans="2:16" ht="14.25">
      <c r="B5231" s="4"/>
      <c r="I5231" s="5"/>
      <c r="J5231" s="5"/>
      <c r="K5231" s="6"/>
      <c r="N5231" s="2"/>
      <c r="O5231" s="2"/>
      <c r="P5231" s="2"/>
    </row>
    <row r="5232" spans="2:16" ht="14.25">
      <c r="B5232" s="4"/>
      <c r="I5232" s="5"/>
      <c r="J5232" s="5"/>
      <c r="K5232" s="6"/>
      <c r="N5232" s="2"/>
      <c r="O5232" s="2"/>
      <c r="P5232" s="2"/>
    </row>
    <row r="5233" spans="2:16" ht="14.25">
      <c r="B5233" s="4"/>
      <c r="I5233" s="5"/>
      <c r="J5233" s="5"/>
      <c r="K5233" s="6"/>
      <c r="N5233" s="2"/>
      <c r="O5233" s="2"/>
      <c r="P5233" s="2"/>
    </row>
    <row r="5234" spans="2:16" ht="14.25">
      <c r="B5234" s="4"/>
      <c r="I5234" s="5"/>
      <c r="J5234" s="5"/>
      <c r="K5234" s="6"/>
      <c r="N5234" s="2"/>
      <c r="O5234" s="2"/>
      <c r="P5234" s="2"/>
    </row>
    <row r="5235" spans="2:16" ht="14.25">
      <c r="B5235" s="4"/>
      <c r="I5235" s="5"/>
      <c r="J5235" s="5"/>
      <c r="K5235" s="6"/>
      <c r="N5235" s="2"/>
      <c r="O5235" s="2"/>
      <c r="P5235" s="2"/>
    </row>
    <row r="5236" spans="2:16" ht="14.25">
      <c r="B5236" s="4"/>
      <c r="I5236" s="5"/>
      <c r="J5236" s="5"/>
      <c r="K5236" s="6"/>
      <c r="N5236" s="2"/>
      <c r="O5236" s="2"/>
      <c r="P5236" s="2"/>
    </row>
    <row r="5237" spans="2:16" ht="14.25">
      <c r="B5237" s="4"/>
      <c r="I5237" s="5"/>
      <c r="J5237" s="5"/>
      <c r="K5237" s="6"/>
      <c r="N5237" s="2"/>
      <c r="O5237" s="2"/>
      <c r="P5237" s="2"/>
    </row>
    <row r="5238" spans="2:16" ht="14.25">
      <c r="B5238" s="4"/>
      <c r="I5238" s="5"/>
      <c r="J5238" s="5"/>
      <c r="K5238" s="6"/>
      <c r="N5238" s="2"/>
      <c r="O5238" s="2"/>
      <c r="P5238" s="2"/>
    </row>
  </sheetData>
  <mergeCells count="2">
    <mergeCell ref="A1:S1"/>
    <mergeCell ref="A2:S2"/>
  </mergeCells>
  <conditionalFormatting sqref="Q5:Q5238">
    <cfRule type="containsText" dxfId="0" priority="1" operator="containsText" text="EM ABERTO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7"/>
  <sheetViews>
    <sheetView showGridLines="0" workbookViewId="0">
      <selection activeCell="B4" sqref="B4"/>
    </sheetView>
  </sheetViews>
  <sheetFormatPr defaultRowHeight="14.1"/>
  <cols>
    <col min="1" max="1" width="14.875" customWidth="1"/>
    <col min="2" max="2" width="34" customWidth="1"/>
    <col min="3" max="3" width="4.75" customWidth="1"/>
    <col min="4" max="4" width="9.375" customWidth="1"/>
    <col min="5" max="5" width="8.75" customWidth="1"/>
    <col min="6" max="6" width="9.875" customWidth="1"/>
    <col min="7" max="7" width="13.625" customWidth="1"/>
    <col min="8" max="8" width="9.625" customWidth="1"/>
    <col min="9" max="9" width="7.75" customWidth="1"/>
    <col min="10" max="10" width="10.375" customWidth="1"/>
    <col min="11" max="11" width="12.5" customWidth="1"/>
    <col min="12" max="12" width="6.375" customWidth="1"/>
    <col min="13" max="13" width="13.875" customWidth="1"/>
    <col min="14" max="14" width="9.5" customWidth="1"/>
  </cols>
  <sheetData>
    <row r="1" spans="1:14" ht="30" customHeight="1">
      <c r="A1" s="46" t="s">
        <v>1399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33.950000000000003" customHeight="1">
      <c r="A2" s="47" t="s">
        <v>1400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4" spans="1:14">
      <c r="A4" s="27" t="s">
        <v>1401</v>
      </c>
      <c r="B4" s="38" t="s">
        <v>1162</v>
      </c>
    </row>
    <row r="6" spans="1:14" ht="27.95">
      <c r="A6" s="28" t="s">
        <v>14</v>
      </c>
      <c r="B6" s="28" t="s">
        <v>3</v>
      </c>
      <c r="C6" s="28" t="s">
        <v>15</v>
      </c>
      <c r="D6" s="28" t="s">
        <v>1402</v>
      </c>
      <c r="E6" s="28" t="s">
        <v>1403</v>
      </c>
      <c r="F6" s="28" t="s">
        <v>1404</v>
      </c>
      <c r="G6" s="28" t="s">
        <v>1405</v>
      </c>
      <c r="H6" s="28" t="s">
        <v>16</v>
      </c>
      <c r="I6" s="28" t="s">
        <v>17</v>
      </c>
      <c r="J6" s="28" t="s">
        <v>18</v>
      </c>
      <c r="K6" s="28" t="s">
        <v>1406</v>
      </c>
      <c r="L6" s="28" t="s">
        <v>1407</v>
      </c>
      <c r="M6" s="28" t="s">
        <v>1408</v>
      </c>
      <c r="N6" s="28" t="s">
        <v>1409</v>
      </c>
    </row>
    <row r="7" spans="1:14">
      <c r="A7" s="9">
        <v>1001</v>
      </c>
      <c r="B7" s="10" t="s">
        <v>21</v>
      </c>
      <c r="C7" s="10" t="s">
        <v>22</v>
      </c>
      <c r="D7" s="18">
        <f>SUMIFS(tblRegistros[Horas],tblRegistros[ID],A7,tblRegistros[Tipo de dia],"DIA ÚTIL",tblRegistros[Mês],$B$4,tblRegistros[Status],"CONCLUÍDO")</f>
        <v>27.731111111410428</v>
      </c>
      <c r="E7" s="18">
        <f>SUMIFS(tblRegistros[Horas],tblRegistros[ID],A7,tblRegistros[Tipo de dia],"FDS/FERIADO",tblRegistros[Mês],$B$4,tblRegistros[Status],"CONCLUÍDO")</f>
        <v>42.495833333465271</v>
      </c>
      <c r="F7" s="18">
        <f t="shared" ref="F7:F21" si="0">D7+E7</f>
        <v>70.226944444875699</v>
      </c>
      <c r="G7" s="18">
        <f>SUMIFS(tblRegistros[1º do dia],tblRegistros[ID],A7,tblRegistros[Mês],$B$4,tblRegistros[Status],"CONCLUÍDO")</f>
        <v>7</v>
      </c>
      <c r="H7" s="21">
        <f>IFERROR(INDEX('Cadastro Pessoas'!$D$5:$D$104,MATCH(A7,'Cadastro Pessoas'!$A$5:$A$104,0)),0)</f>
        <v>17</v>
      </c>
      <c r="I7" s="21">
        <f>IFERROR(INDEX('Cadastro Pessoas'!$E$5:$E$104,MATCH(A7,'Cadastro Pessoas'!$A$5:$A$104,0)),0)</f>
        <v>20</v>
      </c>
      <c r="J7" s="21">
        <f>IFERROR(INDEX('Cadastro Pessoas'!$F$5:$F$104,MATCH(A7,'Cadastro Pessoas'!$A$5:$A$104,0)),0)</f>
        <v>0</v>
      </c>
      <c r="K7" s="21">
        <f>SUMIFS(tblRegistros[Valor],tblRegistros[ID],A7,tblRegistros[Mês],$B$4,tblRegistros[Status],"CONCLUÍDO")</f>
        <v>1321.3455555632827</v>
      </c>
      <c r="L7" s="29">
        <v>0</v>
      </c>
      <c r="M7" s="21">
        <f t="shared" ref="M7:M21" si="1">K7+L7</f>
        <v>1321.3455555632827</v>
      </c>
      <c r="N7" s="11">
        <f>COUNTIFS(tblRegistros[ID],A7,tblRegistros[Mês],$B$4,tblRegistros[Status],"EM ABERTO")</f>
        <v>0</v>
      </c>
    </row>
    <row r="8" spans="1:14">
      <c r="A8" s="12">
        <v>1002</v>
      </c>
      <c r="B8" s="13" t="s">
        <v>25</v>
      </c>
      <c r="C8" s="13" t="s">
        <v>22</v>
      </c>
      <c r="D8" s="19">
        <f>SUMIFS(tblRegistros[Horas],tblRegistros[ID],A8,tblRegistros[Tipo de dia],"DIA ÚTIL",tblRegistros[Mês],$B$4,tblRegistros[Status],"CONCLUÍDO")</f>
        <v>37.779444444284309</v>
      </c>
      <c r="E8" s="19">
        <f>SUMIFS(tblRegistros[Horas],tblRegistros[ID],A8,tblRegistros[Tipo de dia],"FDS/FERIADO",tblRegistros[Mês],$B$4,tblRegistros[Status],"CONCLUÍDO")</f>
        <v>0</v>
      </c>
      <c r="F8" s="19">
        <f t="shared" si="0"/>
        <v>37.779444444284309</v>
      </c>
      <c r="G8" s="19">
        <f>SUMIFS(tblRegistros[1º do dia],tblRegistros[ID],A8,tblRegistros[Mês],$B$4,tblRegistros[Status],"CONCLUÍDO")</f>
        <v>4</v>
      </c>
      <c r="H8" s="22">
        <f>IFERROR(INDEX('Cadastro Pessoas'!$D$5:$D$104,MATCH(A8,'Cadastro Pessoas'!$A$5:$A$104,0)),0)</f>
        <v>23.5</v>
      </c>
      <c r="I8" s="22">
        <f>IFERROR(INDEX('Cadastro Pessoas'!$E$5:$E$104,MATCH(A8,'Cadastro Pessoas'!$A$5:$A$104,0)),0)</f>
        <v>23.5</v>
      </c>
      <c r="J8" s="22">
        <f>IFERROR(INDEX('Cadastro Pessoas'!$F$5:$F$104,MATCH(A8,'Cadastro Pessoas'!$A$5:$A$104,0)),0)</f>
        <v>0</v>
      </c>
      <c r="K8" s="22">
        <f>SUMIFS(tblRegistros[Valor],tblRegistros[ID],A8,tblRegistros[Mês],$B$4,tblRegistros[Status],"CONCLUÍDO")</f>
        <v>887.81694444068125</v>
      </c>
      <c r="L8" s="30">
        <v>0</v>
      </c>
      <c r="M8" s="22">
        <f t="shared" si="1"/>
        <v>887.81694444068125</v>
      </c>
      <c r="N8" s="14">
        <f>COUNTIFS(tblRegistros[ID],A8,tblRegistros[Mês],$B$4,tblRegistros[Status],"EM ABERTO")</f>
        <v>0</v>
      </c>
    </row>
    <row r="9" spans="1:14">
      <c r="A9" s="12">
        <v>1003</v>
      </c>
      <c r="B9" s="13" t="s">
        <v>27</v>
      </c>
      <c r="C9" s="13" t="s">
        <v>22</v>
      </c>
      <c r="D9" s="19">
        <f>SUMIFS(tblRegistros[Horas],tblRegistros[ID],A9,tblRegistros[Tipo de dia],"DIA ÚTIL",tblRegistros[Mês],$B$4,tblRegistros[Status],"CONCLUÍDO")</f>
        <v>31.022222222120035</v>
      </c>
      <c r="E9" s="19">
        <f>SUMIFS(tblRegistros[Horas],tblRegistros[ID],A9,tblRegistros[Tipo de dia],"FDS/FERIADO",tblRegistros[Mês],$B$4,tblRegistros[Status],"CONCLUÍDO")</f>
        <v>0</v>
      </c>
      <c r="F9" s="19">
        <f t="shared" si="0"/>
        <v>31.022222222120035</v>
      </c>
      <c r="G9" s="19">
        <f>SUMIFS(tblRegistros[1º do dia],tblRegistros[ID],A9,tblRegistros[Mês],$B$4,tblRegistros[Status],"CONCLUÍDO")</f>
        <v>4</v>
      </c>
      <c r="H9" s="22">
        <f>IFERROR(INDEX('Cadastro Pessoas'!$D$5:$D$104,MATCH(A9,'Cadastro Pessoas'!$A$5:$A$104,0)),0)</f>
        <v>23.5</v>
      </c>
      <c r="I9" s="22">
        <f>IFERROR(INDEX('Cadastro Pessoas'!$E$5:$E$104,MATCH(A9,'Cadastro Pessoas'!$A$5:$A$104,0)),0)</f>
        <v>23.5</v>
      </c>
      <c r="J9" s="22">
        <f>IFERROR(INDEX('Cadastro Pessoas'!$F$5:$F$104,MATCH(A9,'Cadastro Pessoas'!$A$5:$A$104,0)),0)</f>
        <v>0</v>
      </c>
      <c r="K9" s="22">
        <f>SUMIFS(tblRegistros[Valor],tblRegistros[ID],A9,tblRegistros[Mês],$B$4,tblRegistros[Status],"CONCLUÍDO")</f>
        <v>729.02222221982083</v>
      </c>
      <c r="L9" s="30">
        <v>0</v>
      </c>
      <c r="M9" s="22">
        <f t="shared" si="1"/>
        <v>729.02222221982083</v>
      </c>
      <c r="N9" s="14">
        <f>COUNTIFS(tblRegistros[ID],A9,tblRegistros[Mês],$B$4,tblRegistros[Status],"EM ABERTO")</f>
        <v>0</v>
      </c>
    </row>
    <row r="10" spans="1:14">
      <c r="A10" s="12">
        <v>1004</v>
      </c>
      <c r="B10" s="13" t="s">
        <v>29</v>
      </c>
      <c r="C10" s="13" t="s">
        <v>22</v>
      </c>
      <c r="D10" s="19">
        <f>SUMIFS(tblRegistros[Horas],tblRegistros[ID],A10,tblRegistros[Tipo de dia],"DIA ÚTIL",tblRegistros[Mês],$B$4,tblRegistros[Status],"CONCLUÍDO")</f>
        <v>10.766388888820074</v>
      </c>
      <c r="E10" s="19">
        <f>SUMIFS(tblRegistros[Horas],tblRegistros[ID],A10,tblRegistros[Tipo de dia],"FDS/FERIADO",tblRegistros[Mês],$B$4,tblRegistros[Status],"CONCLUÍDO")</f>
        <v>5.1861111110192724</v>
      </c>
      <c r="F10" s="19">
        <f t="shared" si="0"/>
        <v>15.952499999839347</v>
      </c>
      <c r="G10" s="19">
        <f>SUMIFS(tblRegistros[1º do dia],tblRegistros[ID],A10,tblRegistros[Mês],$B$4,tblRegistros[Status],"CONCLUÍDO")</f>
        <v>3</v>
      </c>
      <c r="H10" s="22">
        <f>IFERROR(INDEX('Cadastro Pessoas'!$D$5:$D$104,MATCH(A10,'Cadastro Pessoas'!$A$5:$A$104,0)),0)</f>
        <v>21.5</v>
      </c>
      <c r="I10" s="22">
        <f>IFERROR(INDEX('Cadastro Pessoas'!$E$5:$E$104,MATCH(A10,'Cadastro Pessoas'!$A$5:$A$104,0)),0)</f>
        <v>20</v>
      </c>
      <c r="J10" s="22">
        <f>IFERROR(INDEX('Cadastro Pessoas'!$F$5:$F$104,MATCH(A10,'Cadastro Pessoas'!$A$5:$A$104,0)),0)</f>
        <v>0</v>
      </c>
      <c r="K10" s="22">
        <f>SUMIFS(tblRegistros[Valor],tblRegistros[ID],A10,tblRegistros[Mês],$B$4,tblRegistros[Status],"CONCLUÍDO")</f>
        <v>335.19958333001705</v>
      </c>
      <c r="L10" s="30">
        <v>0</v>
      </c>
      <c r="M10" s="22">
        <f t="shared" si="1"/>
        <v>335.19958333001705</v>
      </c>
      <c r="N10" s="14">
        <f>COUNTIFS(tblRegistros[ID],A10,tblRegistros[Mês],$B$4,tblRegistros[Status],"EM ABERTO")</f>
        <v>0</v>
      </c>
    </row>
    <row r="11" spans="1:14">
      <c r="A11" s="12">
        <v>1005</v>
      </c>
      <c r="B11" s="13" t="s">
        <v>31</v>
      </c>
      <c r="C11" s="13" t="s">
        <v>22</v>
      </c>
      <c r="D11" s="19">
        <f>SUMIFS(tblRegistros[Horas],tblRegistros[ID],A11,tblRegistros[Tipo de dia],"DIA ÚTIL",tblRegistros[Mês],$B$4,tblRegistros[Status],"CONCLUÍDO")</f>
        <v>0</v>
      </c>
      <c r="E11" s="19">
        <f>SUMIFS(tblRegistros[Horas],tblRegistros[ID],A11,tblRegistros[Tipo de dia],"FDS/FERIADO",tblRegistros[Mês],$B$4,tblRegistros[Status],"CONCLUÍDO")</f>
        <v>0</v>
      </c>
      <c r="F11" s="19">
        <f t="shared" si="0"/>
        <v>0</v>
      </c>
      <c r="G11" s="19">
        <f>SUMIFS(tblRegistros[1º do dia],tblRegistros[ID],A11,tblRegistros[Mês],$B$4,tblRegistros[Status],"CONCLUÍDO")</f>
        <v>0</v>
      </c>
      <c r="H11" s="22">
        <f>IFERROR(INDEX('Cadastro Pessoas'!$D$5:$D$104,MATCH(A11,'Cadastro Pessoas'!$A$5:$A$104,0)),0)</f>
        <v>13</v>
      </c>
      <c r="I11" s="22">
        <f>IFERROR(INDEX('Cadastro Pessoas'!$E$5:$E$104,MATCH(A11,'Cadastro Pessoas'!$A$5:$A$104,0)),0)</f>
        <v>16.5</v>
      </c>
      <c r="J11" s="22">
        <f>IFERROR(INDEX('Cadastro Pessoas'!$F$5:$F$104,MATCH(A11,'Cadastro Pessoas'!$A$5:$A$104,0)),0)</f>
        <v>0</v>
      </c>
      <c r="K11" s="22">
        <f>SUMIFS(tblRegistros[Valor],tblRegistros[ID],A11,tblRegistros[Mês],$B$4,tblRegistros[Status],"CONCLUÍDO")</f>
        <v>0</v>
      </c>
      <c r="L11" s="30">
        <v>0</v>
      </c>
      <c r="M11" s="22">
        <f t="shared" si="1"/>
        <v>0</v>
      </c>
      <c r="N11" s="14">
        <f>COUNTIFS(tblRegistros[ID],A11,tblRegistros[Mês],$B$4,tblRegistros[Status],"EM ABERTO")</f>
        <v>0</v>
      </c>
    </row>
    <row r="12" spans="1:14">
      <c r="A12" s="12">
        <v>1006</v>
      </c>
      <c r="B12" s="13" t="s">
        <v>33</v>
      </c>
      <c r="C12" s="13" t="s">
        <v>22</v>
      </c>
      <c r="D12" s="19">
        <f>SUMIFS(tblRegistros[Horas],tblRegistros[ID],A12,tblRegistros[Tipo de dia],"DIA ÚTIL",tblRegistros[Mês],$B$4,tblRegistros[Status],"CONCLUÍDO")</f>
        <v>45.032499999913853</v>
      </c>
      <c r="E12" s="19">
        <f>SUMIFS(tblRegistros[Horas],tblRegistros[ID],A12,tblRegistros[Tipo de dia],"FDS/FERIADO",tblRegistros[Mês],$B$4,tblRegistros[Status],"CONCLUÍDO")</f>
        <v>15.579722222231794</v>
      </c>
      <c r="F12" s="19">
        <f t="shared" si="0"/>
        <v>60.612222222145647</v>
      </c>
      <c r="G12" s="19">
        <f>SUMIFS(tblRegistros[1º do dia],tblRegistros[ID],A12,tblRegistros[Mês],$B$4,tblRegistros[Status],"CONCLUÍDO")</f>
        <v>6</v>
      </c>
      <c r="H12" s="22">
        <f>IFERROR(INDEX('Cadastro Pessoas'!$D$5:$D$104,MATCH(A12,'Cadastro Pessoas'!$A$5:$A$104,0)),0)</f>
        <v>14</v>
      </c>
      <c r="I12" s="22">
        <f>IFERROR(INDEX('Cadastro Pessoas'!$E$5:$E$104,MATCH(A12,'Cadastro Pessoas'!$A$5:$A$104,0)),0)</f>
        <v>17</v>
      </c>
      <c r="J12" s="22">
        <f>IFERROR(INDEX('Cadastro Pessoas'!$F$5:$F$104,MATCH(A12,'Cadastro Pessoas'!$A$5:$A$104,0)),0)</f>
        <v>0</v>
      </c>
      <c r="K12" s="22">
        <f>SUMIFS(tblRegistros[Valor],tblRegistros[ID],A12,tblRegistros[Mês],$B$4,tblRegistros[Status],"CONCLUÍDO")</f>
        <v>895.31027777673444</v>
      </c>
      <c r="L12" s="30">
        <v>0</v>
      </c>
      <c r="M12" s="22">
        <f t="shared" si="1"/>
        <v>895.31027777673444</v>
      </c>
      <c r="N12" s="14">
        <f>COUNTIFS(tblRegistros[ID],A12,tblRegistros[Mês],$B$4,tblRegistros[Status],"EM ABERTO")</f>
        <v>0</v>
      </c>
    </row>
    <row r="13" spans="1:14">
      <c r="A13" s="12">
        <v>1007</v>
      </c>
      <c r="B13" s="13" t="s">
        <v>35</v>
      </c>
      <c r="C13" s="13" t="s">
        <v>22</v>
      </c>
      <c r="D13" s="19">
        <f>SUMIFS(tblRegistros[Horas],tblRegistros[ID],A13,tblRegistros[Tipo de dia],"DIA ÚTIL",tblRegistros[Mês],$B$4,tblRegistros[Status],"CONCLUÍDO")</f>
        <v>0</v>
      </c>
      <c r="E13" s="19">
        <f>SUMIFS(tblRegistros[Horas],tblRegistros[ID],A13,tblRegistros[Tipo de dia],"FDS/FERIADO",tblRegistros[Mês],$B$4,tblRegistros[Status],"CONCLUÍDO")</f>
        <v>0</v>
      </c>
      <c r="F13" s="19">
        <f t="shared" si="0"/>
        <v>0</v>
      </c>
      <c r="G13" s="19">
        <f>SUMIFS(tblRegistros[1º do dia],tblRegistros[ID],A13,tblRegistros[Mês],$B$4,tblRegistros[Status],"CONCLUÍDO")</f>
        <v>0</v>
      </c>
      <c r="H13" s="22">
        <f>IFERROR(INDEX('Cadastro Pessoas'!$D$5:$D$104,MATCH(A13,'Cadastro Pessoas'!$A$5:$A$104,0)),0)</f>
        <v>23.5</v>
      </c>
      <c r="I13" s="22">
        <f>IFERROR(INDEX('Cadastro Pessoas'!$E$5:$E$104,MATCH(A13,'Cadastro Pessoas'!$A$5:$A$104,0)),0)</f>
        <v>23.5</v>
      </c>
      <c r="J13" s="22">
        <f>IFERROR(INDEX('Cadastro Pessoas'!$F$5:$F$104,MATCH(A13,'Cadastro Pessoas'!$A$5:$A$104,0)),0)</f>
        <v>0</v>
      </c>
      <c r="K13" s="22">
        <f>SUMIFS(tblRegistros[Valor],tblRegistros[ID],A13,tblRegistros[Mês],$B$4,tblRegistros[Status],"CONCLUÍDO")</f>
        <v>0</v>
      </c>
      <c r="L13" s="30">
        <v>0</v>
      </c>
      <c r="M13" s="22">
        <f t="shared" si="1"/>
        <v>0</v>
      </c>
      <c r="N13" s="14">
        <f>COUNTIFS(tblRegistros[ID],A13,tblRegistros[Mês],$B$4,tblRegistros[Status],"EM ABERTO")</f>
        <v>0</v>
      </c>
    </row>
    <row r="14" spans="1:14">
      <c r="A14" s="12">
        <v>1008</v>
      </c>
      <c r="B14" s="13" t="s">
        <v>37</v>
      </c>
      <c r="C14" s="13" t="s">
        <v>22</v>
      </c>
      <c r="D14" s="19">
        <f>SUMIFS(tblRegistros[Horas],tblRegistros[ID],A14,tblRegistros[Tipo de dia],"DIA ÚTIL",tblRegistros[Mês],$B$4,tblRegistros[Status],"CONCLUÍDO")</f>
        <v>0</v>
      </c>
      <c r="E14" s="19">
        <f>SUMIFS(tblRegistros[Horas],tblRegistros[ID],A14,tblRegistros[Tipo de dia],"FDS/FERIADO",tblRegistros[Mês],$B$4,tblRegistros[Status],"CONCLUÍDO")</f>
        <v>0</v>
      </c>
      <c r="F14" s="19">
        <f t="shared" si="0"/>
        <v>0</v>
      </c>
      <c r="G14" s="19">
        <f>SUMIFS(tblRegistros[1º do dia],tblRegistros[ID],A14,tblRegistros[Mês],$B$4,tblRegistros[Status],"CONCLUÍDO")</f>
        <v>0</v>
      </c>
      <c r="H14" s="22">
        <f>IFERROR(INDEX('Cadastro Pessoas'!$D$5:$D$104,MATCH(A14,'Cadastro Pessoas'!$A$5:$A$104,0)),0)</f>
        <v>14</v>
      </c>
      <c r="I14" s="22">
        <f>IFERROR(INDEX('Cadastro Pessoas'!$E$5:$E$104,MATCH(A14,'Cadastro Pessoas'!$A$5:$A$104,0)),0)</f>
        <v>17</v>
      </c>
      <c r="J14" s="22">
        <f>IFERROR(INDEX('Cadastro Pessoas'!$F$5:$F$104,MATCH(A14,'Cadastro Pessoas'!$A$5:$A$104,0)),0)</f>
        <v>0</v>
      </c>
      <c r="K14" s="22">
        <f>SUMIFS(tblRegistros[Valor],tblRegistros[ID],A14,tblRegistros[Mês],$B$4,tblRegistros[Status],"CONCLUÍDO")</f>
        <v>0</v>
      </c>
      <c r="L14" s="30">
        <v>0</v>
      </c>
      <c r="M14" s="22">
        <f t="shared" si="1"/>
        <v>0</v>
      </c>
      <c r="N14" s="14">
        <f>COUNTIFS(tblRegistros[ID],A14,tblRegistros[Mês],$B$4,tblRegistros[Status],"EM ABERTO")</f>
        <v>0</v>
      </c>
    </row>
    <row r="15" spans="1:14">
      <c r="A15" s="12">
        <v>1009</v>
      </c>
      <c r="B15" s="13" t="s">
        <v>38</v>
      </c>
      <c r="C15" s="13" t="s">
        <v>22</v>
      </c>
      <c r="D15" s="19">
        <f>SUMIFS(tblRegistros[Horas],tblRegistros[ID],A15,tblRegistros[Tipo de dia],"DIA ÚTIL",tblRegistros[Mês],$B$4,tblRegistros[Status],"CONCLUÍDO")</f>
        <v>0</v>
      </c>
      <c r="E15" s="19">
        <f>SUMIFS(tblRegistros[Horas],tblRegistros[ID],A15,tblRegistros[Tipo de dia],"FDS/FERIADO",tblRegistros[Mês],$B$4,tblRegistros[Status],"CONCLUÍDO")</f>
        <v>0</v>
      </c>
      <c r="F15" s="19">
        <f t="shared" si="0"/>
        <v>0</v>
      </c>
      <c r="G15" s="19">
        <f>SUMIFS(tblRegistros[1º do dia],tblRegistros[ID],A15,tblRegistros[Mês],$B$4,tblRegistros[Status],"CONCLUÍDO")</f>
        <v>0</v>
      </c>
      <c r="H15" s="22">
        <f>IFERROR(INDEX('Cadastro Pessoas'!$D$5:$D$104,MATCH(A15,'Cadastro Pessoas'!$A$5:$A$104,0)),0)</f>
        <v>14</v>
      </c>
      <c r="I15" s="22">
        <f>IFERROR(INDEX('Cadastro Pessoas'!$E$5:$E$104,MATCH(A15,'Cadastro Pessoas'!$A$5:$A$104,0)),0)</f>
        <v>17</v>
      </c>
      <c r="J15" s="22">
        <f>IFERROR(INDEX('Cadastro Pessoas'!$F$5:$F$104,MATCH(A15,'Cadastro Pessoas'!$A$5:$A$104,0)),0)</f>
        <v>0</v>
      </c>
      <c r="K15" s="22">
        <f>SUMIFS(tblRegistros[Valor],tblRegistros[ID],A15,tblRegistros[Mês],$B$4,tblRegistros[Status],"CONCLUÍDO")</f>
        <v>0</v>
      </c>
      <c r="L15" s="30">
        <v>0</v>
      </c>
      <c r="M15" s="22">
        <f t="shared" si="1"/>
        <v>0</v>
      </c>
      <c r="N15" s="14">
        <f>COUNTIFS(tblRegistros[ID],A15,tblRegistros[Mês],$B$4,tblRegistros[Status],"EM ABERTO")</f>
        <v>0</v>
      </c>
    </row>
    <row r="16" spans="1:14">
      <c r="A16" s="12">
        <v>1010</v>
      </c>
      <c r="B16" s="13" t="s">
        <v>39</v>
      </c>
      <c r="C16" s="13" t="s">
        <v>22</v>
      </c>
      <c r="D16" s="19">
        <f>SUMIFS(tblRegistros[Horas],tblRegistros[ID],A16,tblRegistros[Tipo de dia],"DIA ÚTIL",tblRegistros[Mês],$B$4,tblRegistros[Status],"CONCLUÍDO")</f>
        <v>0</v>
      </c>
      <c r="E16" s="19">
        <f>SUMIFS(tblRegistros[Horas],tblRegistros[ID],A16,tblRegistros[Tipo de dia],"FDS/FERIADO",tblRegistros[Mês],$B$4,tblRegistros[Status],"CONCLUÍDO")</f>
        <v>0</v>
      </c>
      <c r="F16" s="19">
        <f t="shared" si="0"/>
        <v>0</v>
      </c>
      <c r="G16" s="19">
        <f>SUMIFS(tblRegistros[1º do dia],tblRegistros[ID],A16,tblRegistros[Mês],$B$4,tblRegistros[Status],"CONCLUÍDO")</f>
        <v>0</v>
      </c>
      <c r="H16" s="22">
        <f>IFERROR(INDEX('Cadastro Pessoas'!$D$5:$D$104,MATCH(A16,'Cadastro Pessoas'!$A$5:$A$104,0)),0)</f>
        <v>14</v>
      </c>
      <c r="I16" s="22">
        <f>IFERROR(INDEX('Cadastro Pessoas'!$E$5:$E$104,MATCH(A16,'Cadastro Pessoas'!$A$5:$A$104,0)),0)</f>
        <v>17</v>
      </c>
      <c r="J16" s="22">
        <f>IFERROR(INDEX('Cadastro Pessoas'!$F$5:$F$104,MATCH(A16,'Cadastro Pessoas'!$A$5:$A$104,0)),0)</f>
        <v>0</v>
      </c>
      <c r="K16" s="22">
        <f>SUMIFS(tblRegistros[Valor],tblRegistros[ID],A16,tblRegistros[Mês],$B$4,tblRegistros[Status],"CONCLUÍDO")</f>
        <v>0</v>
      </c>
      <c r="L16" s="30">
        <v>0</v>
      </c>
      <c r="M16" s="22">
        <f t="shared" si="1"/>
        <v>0</v>
      </c>
      <c r="N16" s="14">
        <f>COUNTIFS(tblRegistros[ID],A16,tblRegistros[Mês],$B$4,tblRegistros[Status],"EM ABERTO")</f>
        <v>0</v>
      </c>
    </row>
    <row r="17" spans="1:14">
      <c r="A17" s="12">
        <v>1011</v>
      </c>
      <c r="B17" s="13" t="s">
        <v>40</v>
      </c>
      <c r="C17" s="13" t="s">
        <v>22</v>
      </c>
      <c r="D17" s="19">
        <f>SUMIFS(tblRegistros[Horas],tblRegistros[ID],A17,tblRegistros[Tipo de dia],"DIA ÚTIL",tblRegistros[Mês],$B$4,tblRegistros[Status],"CONCLUÍDO")</f>
        <v>186.84194444428431</v>
      </c>
      <c r="E17" s="19">
        <f>SUMIFS(tblRegistros[Horas],tblRegistros[ID],A17,tblRegistros[Tipo de dia],"FDS/FERIADO",tblRegistros[Mês],$B$4,tblRegistros[Status],"CONCLUÍDO")</f>
        <v>0</v>
      </c>
      <c r="F17" s="19">
        <f t="shared" si="0"/>
        <v>186.84194444428431</v>
      </c>
      <c r="G17" s="19">
        <f>SUMIFS(tblRegistros[1º do dia],tblRegistros[ID],A17,tblRegistros[Mês],$B$4,tblRegistros[Status],"CONCLUÍDO")</f>
        <v>2</v>
      </c>
      <c r="H17" s="22">
        <f>IFERROR(INDEX('Cadastro Pessoas'!$D$5:$D$104,MATCH(A17,'Cadastro Pessoas'!$A$5:$A$104,0)),0)</f>
        <v>23.5</v>
      </c>
      <c r="I17" s="22">
        <f>IFERROR(INDEX('Cadastro Pessoas'!$E$5:$E$104,MATCH(A17,'Cadastro Pessoas'!$A$5:$A$104,0)),0)</f>
        <v>23.5</v>
      </c>
      <c r="J17" s="22">
        <f>IFERROR(INDEX('Cadastro Pessoas'!$F$5:$F$104,MATCH(A17,'Cadastro Pessoas'!$A$5:$A$104,0)),0)</f>
        <v>0</v>
      </c>
      <c r="K17" s="22">
        <f>SUMIFS(tblRegistros[Valor],tblRegistros[ID],A17,tblRegistros[Mês],$B$4,tblRegistros[Status],"CONCLUÍDO")</f>
        <v>4390.7856944406813</v>
      </c>
      <c r="L17" s="30">
        <v>0</v>
      </c>
      <c r="M17" s="22">
        <f t="shared" si="1"/>
        <v>4390.7856944406813</v>
      </c>
      <c r="N17" s="14">
        <f>COUNTIFS(tblRegistros[ID],A17,tblRegistros[Mês],$B$4,tblRegistros[Status],"EM ABERTO")</f>
        <v>0</v>
      </c>
    </row>
    <row r="18" spans="1:14">
      <c r="A18" s="12">
        <v>1012</v>
      </c>
      <c r="B18" s="13" t="s">
        <v>42</v>
      </c>
      <c r="C18" s="13" t="s">
        <v>43</v>
      </c>
      <c r="D18" s="19">
        <f>SUMIFS(tblRegistros[Horas],tblRegistros[ID],A18,tblRegistros[Tipo de dia],"DIA ÚTIL",tblRegistros[Mês],$B$4,tblRegistros[Status],"CONCLUÍDO")</f>
        <v>9.8125000001164153</v>
      </c>
      <c r="E18" s="19">
        <f>SUMIFS(tblRegistros[Horas],tblRegistros[ID],A18,tblRegistros[Tipo de dia],"FDS/FERIADO",tblRegistros[Mês],$B$4,tblRegistros[Status],"CONCLUÍDO")</f>
        <v>0</v>
      </c>
      <c r="F18" s="19">
        <f t="shared" si="0"/>
        <v>9.8125000001164153</v>
      </c>
      <c r="G18" s="19">
        <f>SUMIFS(tblRegistros[1º do dia],tblRegistros[ID],A18,tblRegistros[Mês],$B$4,tblRegistros[Status],"CONCLUÍDO")</f>
        <v>2</v>
      </c>
      <c r="H18" s="22">
        <f>IFERROR(INDEX('Cadastro Pessoas'!$D$5:$D$104,MATCH(A18,'Cadastro Pessoas'!$A$5:$A$104,0)),0)</f>
        <v>0</v>
      </c>
      <c r="I18" s="22">
        <f>IFERROR(INDEX('Cadastro Pessoas'!$E$5:$E$104,MATCH(A18,'Cadastro Pessoas'!$A$5:$A$104,0)),0)</f>
        <v>0</v>
      </c>
      <c r="J18" s="22">
        <f>IFERROR(INDEX('Cadastro Pessoas'!$F$5:$F$104,MATCH(A18,'Cadastro Pessoas'!$A$5:$A$104,0)),0)</f>
        <v>222.72</v>
      </c>
      <c r="K18" s="22">
        <f>SUMIFS(tblRegistros[Valor],tblRegistros[ID],A18,tblRegistros[Mês],$B$4,tblRegistros[Status],"CONCLUÍDO")</f>
        <v>445.44</v>
      </c>
      <c r="L18" s="30">
        <v>0</v>
      </c>
      <c r="M18" s="22">
        <f t="shared" si="1"/>
        <v>445.44</v>
      </c>
      <c r="N18" s="14">
        <f>COUNTIFS(tblRegistros[ID],A18,tblRegistros[Mês],$B$4,tblRegistros[Status],"EM ABERTO")</f>
        <v>1</v>
      </c>
    </row>
    <row r="19" spans="1:14">
      <c r="A19" s="12">
        <v>1013</v>
      </c>
      <c r="B19" s="13" t="s">
        <v>45</v>
      </c>
      <c r="C19" s="13" t="s">
        <v>22</v>
      </c>
      <c r="D19" s="19">
        <f>SUMIFS(tblRegistros[Horas],tblRegistros[ID],A19,tblRegistros[Tipo de dia],"DIA ÚTIL",tblRegistros[Mês],$B$4,tblRegistros[Status],"CONCLUÍDO")</f>
        <v>0</v>
      </c>
      <c r="E19" s="19">
        <f>SUMIFS(tblRegistros[Horas],tblRegistros[ID],A19,tblRegistros[Tipo de dia],"FDS/FERIADO",tblRegistros[Mês],$B$4,tblRegistros[Status],"CONCLUÍDO")</f>
        <v>0</v>
      </c>
      <c r="F19" s="19">
        <f t="shared" si="0"/>
        <v>0</v>
      </c>
      <c r="G19" s="19">
        <f>SUMIFS(tblRegistros[1º do dia],tblRegistros[ID],A19,tblRegistros[Mês],$B$4,tblRegistros[Status],"CONCLUÍDO")</f>
        <v>0</v>
      </c>
      <c r="H19" s="22">
        <f>IFERROR(INDEX('Cadastro Pessoas'!$D$5:$D$104,MATCH(A19,'Cadastro Pessoas'!$A$5:$A$104,0)),0)</f>
        <v>23.5</v>
      </c>
      <c r="I19" s="22">
        <f>IFERROR(INDEX('Cadastro Pessoas'!$E$5:$E$104,MATCH(A19,'Cadastro Pessoas'!$A$5:$A$104,0)),0)</f>
        <v>23.5</v>
      </c>
      <c r="J19" s="22">
        <f>IFERROR(INDEX('Cadastro Pessoas'!$F$5:$F$104,MATCH(A19,'Cadastro Pessoas'!$A$5:$A$104,0)),0)</f>
        <v>0</v>
      </c>
      <c r="K19" s="22">
        <f>SUMIFS(tblRegistros[Valor],tblRegistros[ID],A19,tblRegistros[Mês],$B$4,tblRegistros[Status],"CONCLUÍDO")</f>
        <v>0</v>
      </c>
      <c r="L19" s="30">
        <v>0</v>
      </c>
      <c r="M19" s="22">
        <f t="shared" si="1"/>
        <v>0</v>
      </c>
      <c r="N19" s="14">
        <f>COUNTIFS(tblRegistros[ID],A19,tblRegistros[Mês],$B$4,tblRegistros[Status],"EM ABERTO")</f>
        <v>1</v>
      </c>
    </row>
    <row r="20" spans="1:14">
      <c r="A20" s="12">
        <v>1014</v>
      </c>
      <c r="B20" s="13" t="s">
        <v>46</v>
      </c>
      <c r="C20" s="13" t="s">
        <v>22</v>
      </c>
      <c r="D20" s="19">
        <f>SUMIFS(tblRegistros[Horas],tblRegistros[ID],A20,tblRegistros[Tipo de dia],"DIA ÚTIL",tblRegistros[Mês],$B$4,tblRegistros[Status],"CONCLUÍDO")</f>
        <v>27.99083333305316</v>
      </c>
      <c r="E20" s="19">
        <f>SUMIFS(tblRegistros[Horas],tblRegistros[ID],A20,tblRegistros[Tipo de dia],"FDS/FERIADO",tblRegistros[Mês],$B$4,tblRegistros[Status],"CONCLUÍDO")</f>
        <v>0</v>
      </c>
      <c r="F20" s="19">
        <f t="shared" si="0"/>
        <v>27.99083333305316</v>
      </c>
      <c r="G20" s="19">
        <f>SUMIFS(tblRegistros[1º do dia],tblRegistros[ID],A20,tblRegistros[Mês],$B$4,tblRegistros[Status],"CONCLUÍDO")</f>
        <v>4</v>
      </c>
      <c r="H20" s="22">
        <f>IFERROR(INDEX('Cadastro Pessoas'!$D$5:$D$104,MATCH(A20,'Cadastro Pessoas'!$A$5:$A$104,0)),0)</f>
        <v>21.5</v>
      </c>
      <c r="I20" s="22">
        <f>IFERROR(INDEX('Cadastro Pessoas'!$E$5:$E$104,MATCH(A20,'Cadastro Pessoas'!$A$5:$A$104,0)),0)</f>
        <v>21.5</v>
      </c>
      <c r="J20" s="22">
        <f>IFERROR(INDEX('Cadastro Pessoas'!$F$5:$F$104,MATCH(A20,'Cadastro Pessoas'!$A$5:$A$104,0)),0)</f>
        <v>0</v>
      </c>
      <c r="K20" s="22">
        <f>SUMIFS(tblRegistros[Valor],tblRegistros[ID],A20,tblRegistros[Mês],$B$4,tblRegistros[Status],"CONCLUÍDO")</f>
        <v>601.80291666064295</v>
      </c>
      <c r="L20" s="30">
        <v>0</v>
      </c>
      <c r="M20" s="22">
        <f t="shared" si="1"/>
        <v>601.80291666064295</v>
      </c>
      <c r="N20" s="14">
        <f>COUNTIFS(tblRegistros[ID],A20,tblRegistros[Mês],$B$4,tblRegistros[Status],"EM ABERTO")</f>
        <v>0</v>
      </c>
    </row>
    <row r="21" spans="1:14">
      <c r="A21" s="12">
        <v>1015</v>
      </c>
      <c r="B21" s="13" t="s">
        <v>47</v>
      </c>
      <c r="C21" s="13" t="s">
        <v>22</v>
      </c>
      <c r="D21" s="19">
        <f>SUMIFS(Registros!$K$5:$K$30237,Registros!$E$5:$E$30237,A21,Registros!$D$5:$D$30237,"DIA ÚTIL",Registros!$S$5:$S$30237,$B$4,Registros!$Q$5:$Q$30237,"CONCLUÍDO")</f>
        <v>32.846666666620877</v>
      </c>
      <c r="E21" s="19">
        <f>SUMIFS(Registros!$K$5:$K$30237,Registros!$E$5:$E$30237,A21,Registros!$D$5:$D$30237,"FDS/FERIADO",Registros!$S$5:$S$30237,$B$4,Registros!$Q$5:$Q$30237,"CONCLUÍDO")</f>
        <v>0</v>
      </c>
      <c r="F21" s="19">
        <f t="shared" si="0"/>
        <v>32.846666666620877</v>
      </c>
      <c r="G21" s="19">
        <f>SUMIFS(Registros!$R$5:$R$30237,Registros!$E$5:$E$30237,A21,Registros!$S$5:$S$30237,$B$4,Registros!$Q$5:$Q$30237,"CONCLUÍDO")</f>
        <v>5</v>
      </c>
      <c r="H21" s="22">
        <v>21.5</v>
      </c>
      <c r="I21" s="22">
        <v>21.5</v>
      </c>
      <c r="J21" s="22">
        <v>0</v>
      </c>
      <c r="K21" s="22">
        <f>SUMIFS(Registros!$P$5:$P$30237,Registros!$E$5:$E$30237,A21,Registros!$S$5:$S$30237,$B$4,Registros!$Q$5:$Q$30237,"CONCLUÍDO")</f>
        <v>706.20333333234885</v>
      </c>
      <c r="L21" s="30">
        <v>0</v>
      </c>
      <c r="M21" s="22">
        <f t="shared" si="1"/>
        <v>706.20333333234885</v>
      </c>
      <c r="N21" s="14">
        <f>COUNTIFS(Registros!$E$5:$E$30237,A21,Registros!$S$5:$S$30237,$B$4,Registros!$Q$5:$Q$30237,"EM ABERTO")</f>
        <v>0</v>
      </c>
    </row>
    <row r="22" spans="1:14">
      <c r="A22" s="12">
        <v>1016</v>
      </c>
      <c r="B22" s="13" t="s">
        <v>49</v>
      </c>
      <c r="C22" s="13" t="s">
        <v>22</v>
      </c>
      <c r="D22" s="19">
        <f>SUMIFS(Registros!$K$5:$K$30229,Registros!$E$5:$E$30229,A22,Registros!$D$5:$D$30229,"DIA ÚTIL",Registros!$S$5:$S$30229,$B$4,Registros!$Q$5:$Q$30229,"CONCLUÍDO")</f>
        <v>110.63555555557832</v>
      </c>
      <c r="E22" s="19">
        <f>SUMIFS(Registros!$K$5:$K$30229,Registros!$E$5:$E$30229,A22,Registros!$D$5:$D$30229,"FDS/FERIADO",Registros!$S$5:$S$30229,$B$4,Registros!$Q$5:$Q$30229,"CONCLUÍDO")</f>
        <v>0</v>
      </c>
      <c r="F22" s="19">
        <f>D22+E22</f>
        <v>110.63555555557832</v>
      </c>
      <c r="G22" s="19">
        <f>SUMIFS(Registros!$R$5:$R$30229,Registros!$E$5:$E$30229,A22,Registros!$S$5:$S$30229,$B$4,Registros!$Q$5:$Q$30229,"CONCLUÍDO")</f>
        <v>4</v>
      </c>
      <c r="H22" s="22">
        <v>23.5</v>
      </c>
      <c r="I22" s="22">
        <v>23.5</v>
      </c>
      <c r="J22" s="22">
        <v>0</v>
      </c>
      <c r="K22" s="22">
        <f>SUMIFS(Registros!$P$5:$P$30229,Registros!$E$5:$E$30229,A22,Registros!$S$5:$S$30229,$B$4,Registros!$Q$5:$Q$30229,"CONCLUÍDO")</f>
        <v>2599.9355555560905</v>
      </c>
      <c r="L22" s="30">
        <v>0</v>
      </c>
      <c r="M22" s="22">
        <f>K22+L22</f>
        <v>2599.9355555560905</v>
      </c>
      <c r="N22" s="14">
        <f>COUNTIFS(Registros!$E$5:$E$30229,A22,Registros!$S$5:$S$30229,$B$4,Registros!$Q$5:$Q$30229,"EM ABERTO")</f>
        <v>0</v>
      </c>
    </row>
    <row r="23" spans="1:14">
      <c r="A23" s="12">
        <v>1017</v>
      </c>
      <c r="B23" s="13" t="s">
        <v>50</v>
      </c>
      <c r="C23" s="13" t="s">
        <v>22</v>
      </c>
      <c r="D23" s="19">
        <f>SUMIFS(Registros!$K$5:$K$30065,Registros!$E$5:$E$30065,A23,Registros!$D$5:$D$30065,"DIA ÚTIL",Registros!$S$5:$S$30065,$B$4,Registros!$Q$5:$Q$30065,"CONCLUÍDO")</f>
        <v>0</v>
      </c>
      <c r="E23" s="19">
        <f>SUMIFS(Registros!$K$5:$K$30065,Registros!$E$5:$E$30065,A23,Registros!$D$5:$D$30065,"FDS/FERIADO",Registros!$S$5:$S$30065,$B$4,Registros!$Q$5:$Q$30065,"CONCLUÍDO")</f>
        <v>0</v>
      </c>
      <c r="F23" s="19">
        <f>D23+E23</f>
        <v>0</v>
      </c>
      <c r="G23" s="19">
        <f>SUMIFS(Registros!$R$5:$R$30065,Registros!$E$5:$E$30065,A23,Registros!$S$5:$S$30065,$B$4,Registros!$Q$5:$Q$30065,"CONCLUÍDO")</f>
        <v>0</v>
      </c>
      <c r="H23" s="22">
        <v>14</v>
      </c>
      <c r="I23" s="22">
        <v>17</v>
      </c>
      <c r="J23" s="22">
        <v>0</v>
      </c>
      <c r="K23" s="22">
        <f>SUMIFS(Registros!$P$5:$P$30065,Registros!$E$5:$E$30065,A23,Registros!$S$5:$S$30065,$B$4,Registros!$Q$5:$Q$30065,"CONCLUÍDO")</f>
        <v>0</v>
      </c>
      <c r="L23" s="30">
        <v>0</v>
      </c>
      <c r="M23" s="22">
        <f>K23+L23</f>
        <v>0</v>
      </c>
      <c r="N23" s="14">
        <f>COUNTIFS(Registros!$E$5:$E$30065,A23,Registros!$S$5:$S$30065,$B$4,Registros!$Q$5:$Q$30065,"EM ABERTO")</f>
        <v>0</v>
      </c>
    </row>
    <row r="24" spans="1:14">
      <c r="A24" s="12"/>
      <c r="B24" s="13"/>
      <c r="C24" s="13"/>
      <c r="D24" s="19"/>
      <c r="E24" s="19"/>
      <c r="F24" s="19"/>
      <c r="G24" s="19"/>
      <c r="H24" s="22"/>
      <c r="I24" s="22"/>
      <c r="J24" s="22"/>
      <c r="K24" s="22"/>
      <c r="L24" s="30"/>
      <c r="M24" s="22"/>
      <c r="N24" s="14"/>
    </row>
    <row r="25" spans="1:14">
      <c r="A25" s="12"/>
      <c r="B25" s="13"/>
      <c r="C25" s="13"/>
      <c r="D25" s="19"/>
      <c r="E25" s="19"/>
      <c r="F25" s="19"/>
      <c r="G25" s="19"/>
      <c r="H25" s="22"/>
      <c r="I25" s="22"/>
      <c r="J25" s="22"/>
      <c r="K25" s="22"/>
      <c r="L25" s="30"/>
      <c r="M25" s="22"/>
      <c r="N25" s="14"/>
    </row>
    <row r="26" spans="1:14">
      <c r="A26" s="12"/>
      <c r="B26" s="13"/>
      <c r="C26" s="13"/>
      <c r="D26" s="19"/>
      <c r="E26" s="19"/>
      <c r="F26" s="19"/>
      <c r="G26" s="19"/>
      <c r="H26" s="22"/>
      <c r="I26" s="22"/>
      <c r="J26" s="22"/>
      <c r="K26" s="22"/>
      <c r="L26" s="30"/>
      <c r="M26" s="22"/>
      <c r="N26" s="14"/>
    </row>
    <row r="27" spans="1:14">
      <c r="A27" s="12"/>
      <c r="B27" s="13"/>
      <c r="C27" s="13"/>
      <c r="D27" s="19"/>
      <c r="E27" s="19"/>
      <c r="F27" s="19"/>
      <c r="G27" s="19"/>
      <c r="H27" s="22"/>
      <c r="I27" s="22"/>
      <c r="J27" s="22"/>
      <c r="K27" s="22"/>
      <c r="L27" s="30"/>
      <c r="M27" s="22"/>
      <c r="N27" s="14"/>
    </row>
    <row r="28" spans="1:14">
      <c r="A28" s="12"/>
      <c r="B28" s="13"/>
      <c r="C28" s="13"/>
      <c r="D28" s="19"/>
      <c r="E28" s="19"/>
      <c r="F28" s="19"/>
      <c r="G28" s="19"/>
      <c r="H28" s="22"/>
      <c r="I28" s="22"/>
      <c r="J28" s="22"/>
      <c r="K28" s="22"/>
      <c r="L28" s="30"/>
      <c r="M28" s="22"/>
      <c r="N28" s="14"/>
    </row>
    <row r="29" spans="1:14">
      <c r="A29" s="12"/>
      <c r="B29" s="13"/>
      <c r="C29" s="13"/>
      <c r="D29" s="19"/>
      <c r="E29" s="19"/>
      <c r="F29" s="19"/>
      <c r="G29" s="19"/>
      <c r="H29" s="22"/>
      <c r="I29" s="22"/>
      <c r="J29" s="22"/>
      <c r="K29" s="22"/>
      <c r="L29" s="30"/>
      <c r="M29" s="22"/>
      <c r="N29" s="14"/>
    </row>
    <row r="30" spans="1:14">
      <c r="A30" s="12"/>
      <c r="B30" s="13"/>
      <c r="C30" s="13"/>
      <c r="D30" s="19"/>
      <c r="E30" s="19"/>
      <c r="F30" s="19"/>
      <c r="G30" s="19"/>
      <c r="H30" s="22"/>
      <c r="I30" s="22"/>
      <c r="J30" s="22"/>
      <c r="K30" s="22"/>
      <c r="L30" s="30"/>
      <c r="M30" s="22"/>
      <c r="N30" s="14"/>
    </row>
    <row r="31" spans="1:14">
      <c r="A31" s="12"/>
      <c r="B31" s="13"/>
      <c r="C31" s="13"/>
      <c r="D31" s="19"/>
      <c r="E31" s="19"/>
      <c r="F31" s="19"/>
      <c r="G31" s="19"/>
      <c r="H31" s="22"/>
      <c r="I31" s="22"/>
      <c r="J31" s="22"/>
      <c r="K31" s="22"/>
      <c r="L31" s="30"/>
      <c r="M31" s="22"/>
      <c r="N31" s="14"/>
    </row>
    <row r="32" spans="1:14">
      <c r="A32" s="12"/>
      <c r="B32" s="13"/>
      <c r="C32" s="13"/>
      <c r="D32" s="19"/>
      <c r="E32" s="19"/>
      <c r="F32" s="19"/>
      <c r="G32" s="19"/>
      <c r="H32" s="22"/>
      <c r="I32" s="22"/>
      <c r="J32" s="22"/>
      <c r="K32" s="22"/>
      <c r="L32" s="30"/>
      <c r="M32" s="22"/>
      <c r="N32" s="14"/>
    </row>
    <row r="33" spans="1:14">
      <c r="A33" s="12"/>
      <c r="B33" s="13"/>
      <c r="C33" s="13"/>
      <c r="D33" s="19"/>
      <c r="E33" s="19"/>
      <c r="F33" s="19"/>
      <c r="G33" s="19"/>
      <c r="H33" s="22"/>
      <c r="I33" s="22"/>
      <c r="J33" s="22"/>
      <c r="K33" s="22"/>
      <c r="L33" s="30"/>
      <c r="M33" s="22"/>
      <c r="N33" s="14"/>
    </row>
    <row r="34" spans="1:14">
      <c r="A34" s="12"/>
      <c r="B34" s="13"/>
      <c r="C34" s="13"/>
      <c r="D34" s="19"/>
      <c r="E34" s="19"/>
      <c r="F34" s="19"/>
      <c r="G34" s="19"/>
      <c r="H34" s="22"/>
      <c r="I34" s="22"/>
      <c r="J34" s="22"/>
      <c r="K34" s="22"/>
      <c r="L34" s="30"/>
      <c r="M34" s="22"/>
      <c r="N34" s="14"/>
    </row>
    <row r="35" spans="1:14">
      <c r="A35" s="12"/>
      <c r="B35" s="13"/>
      <c r="C35" s="13"/>
      <c r="D35" s="19"/>
      <c r="E35" s="19"/>
      <c r="F35" s="19"/>
      <c r="G35" s="19"/>
      <c r="H35" s="22"/>
      <c r="I35" s="22"/>
      <c r="J35" s="22"/>
      <c r="K35" s="22"/>
      <c r="L35" s="30"/>
      <c r="M35" s="22"/>
      <c r="N35" s="14"/>
    </row>
    <row r="36" spans="1:14">
      <c r="A36" s="12"/>
      <c r="B36" s="13"/>
      <c r="C36" s="13"/>
      <c r="D36" s="19"/>
      <c r="E36" s="19"/>
      <c r="F36" s="19"/>
      <c r="G36" s="19"/>
      <c r="H36" s="22"/>
      <c r="I36" s="22"/>
      <c r="J36" s="22"/>
      <c r="K36" s="22"/>
      <c r="L36" s="30"/>
      <c r="M36" s="22"/>
      <c r="N36" s="14"/>
    </row>
    <row r="37" spans="1:14">
      <c r="A37" s="12"/>
      <c r="B37" s="13"/>
      <c r="C37" s="13"/>
      <c r="D37" s="19"/>
      <c r="E37" s="19"/>
      <c r="F37" s="19"/>
      <c r="G37" s="19"/>
      <c r="H37" s="22"/>
      <c r="I37" s="22"/>
      <c r="J37" s="22"/>
      <c r="K37" s="22"/>
      <c r="L37" s="30"/>
      <c r="M37" s="22"/>
      <c r="N37" s="14"/>
    </row>
    <row r="38" spans="1:14">
      <c r="A38" s="12"/>
      <c r="B38" s="13"/>
      <c r="C38" s="13"/>
      <c r="D38" s="19"/>
      <c r="E38" s="19"/>
      <c r="F38" s="19"/>
      <c r="G38" s="19"/>
      <c r="H38" s="22"/>
      <c r="I38" s="22"/>
      <c r="J38" s="22"/>
      <c r="K38" s="22"/>
      <c r="L38" s="30"/>
      <c r="M38" s="22"/>
      <c r="N38" s="14"/>
    </row>
    <row r="39" spans="1:14">
      <c r="A39" s="12"/>
      <c r="B39" s="13"/>
      <c r="C39" s="13"/>
      <c r="D39" s="19"/>
      <c r="E39" s="19"/>
      <c r="F39" s="19"/>
      <c r="G39" s="19"/>
      <c r="H39" s="22"/>
      <c r="I39" s="22"/>
      <c r="J39" s="22"/>
      <c r="K39" s="22"/>
      <c r="L39" s="30"/>
      <c r="M39" s="22"/>
      <c r="N39" s="14"/>
    </row>
    <row r="40" spans="1:14">
      <c r="A40" s="12"/>
      <c r="B40" s="13"/>
      <c r="C40" s="13"/>
      <c r="D40" s="19"/>
      <c r="E40" s="19"/>
      <c r="F40" s="19"/>
      <c r="G40" s="19"/>
      <c r="H40" s="22"/>
      <c r="I40" s="22"/>
      <c r="J40" s="22"/>
      <c r="K40" s="22"/>
      <c r="L40" s="30"/>
      <c r="M40" s="22"/>
      <c r="N40" s="14"/>
    </row>
    <row r="41" spans="1:14">
      <c r="A41" s="12"/>
      <c r="B41" s="13"/>
      <c r="C41" s="13"/>
      <c r="D41" s="19"/>
      <c r="E41" s="19"/>
      <c r="F41" s="19"/>
      <c r="G41" s="19"/>
      <c r="H41" s="22"/>
      <c r="I41" s="22"/>
      <c r="J41" s="22"/>
      <c r="K41" s="22"/>
      <c r="L41" s="30"/>
      <c r="M41" s="22"/>
      <c r="N41" s="14"/>
    </row>
    <row r="42" spans="1:14">
      <c r="A42" s="12"/>
      <c r="B42" s="13"/>
      <c r="C42" s="13"/>
      <c r="D42" s="19"/>
      <c r="E42" s="19"/>
      <c r="F42" s="19"/>
      <c r="G42" s="19"/>
      <c r="H42" s="22"/>
      <c r="I42" s="22"/>
      <c r="J42" s="22"/>
      <c r="K42" s="22"/>
      <c r="L42" s="30"/>
      <c r="M42" s="22"/>
      <c r="N42" s="14"/>
    </row>
    <row r="43" spans="1:14">
      <c r="A43" s="12"/>
      <c r="B43" s="13"/>
      <c r="C43" s="13"/>
      <c r="D43" s="19"/>
      <c r="E43" s="19"/>
      <c r="F43" s="19"/>
      <c r="G43" s="19"/>
      <c r="H43" s="22"/>
      <c r="I43" s="22"/>
      <c r="J43" s="22"/>
      <c r="K43" s="22"/>
      <c r="L43" s="30"/>
      <c r="M43" s="22"/>
      <c r="N43" s="14"/>
    </row>
    <row r="44" spans="1:14">
      <c r="A44" s="12"/>
      <c r="B44" s="13"/>
      <c r="C44" s="13"/>
      <c r="D44" s="19"/>
      <c r="E44" s="19"/>
      <c r="F44" s="19"/>
      <c r="G44" s="19"/>
      <c r="H44" s="22"/>
      <c r="I44" s="22"/>
      <c r="J44" s="22"/>
      <c r="K44" s="22"/>
      <c r="L44" s="30"/>
      <c r="M44" s="22"/>
      <c r="N44" s="14"/>
    </row>
    <row r="45" spans="1:14">
      <c r="A45" s="12"/>
      <c r="B45" s="13"/>
      <c r="C45" s="13"/>
      <c r="D45" s="19"/>
      <c r="E45" s="19"/>
      <c r="F45" s="19"/>
      <c r="G45" s="19"/>
      <c r="H45" s="22"/>
      <c r="I45" s="22"/>
      <c r="J45" s="22"/>
      <c r="K45" s="22"/>
      <c r="L45" s="30"/>
      <c r="M45" s="22"/>
      <c r="N45" s="14"/>
    </row>
    <row r="46" spans="1:14">
      <c r="A46" s="12"/>
      <c r="B46" s="13"/>
      <c r="C46" s="13"/>
      <c r="D46" s="19"/>
      <c r="E46" s="19"/>
      <c r="F46" s="19"/>
      <c r="G46" s="19"/>
      <c r="H46" s="22"/>
      <c r="I46" s="22"/>
      <c r="J46" s="22"/>
      <c r="K46" s="22"/>
      <c r="L46" s="30"/>
      <c r="M46" s="22"/>
      <c r="N46" s="14"/>
    </row>
    <row r="47" spans="1:14">
      <c r="A47" s="12"/>
      <c r="B47" s="13"/>
      <c r="C47" s="13"/>
      <c r="D47" s="19"/>
      <c r="E47" s="19"/>
      <c r="F47" s="19"/>
      <c r="G47" s="19"/>
      <c r="H47" s="22"/>
      <c r="I47" s="22"/>
      <c r="J47" s="22"/>
      <c r="K47" s="22"/>
      <c r="L47" s="30"/>
      <c r="M47" s="22"/>
      <c r="N47" s="14"/>
    </row>
    <row r="48" spans="1:14">
      <c r="A48" s="12"/>
      <c r="B48" s="13"/>
      <c r="C48" s="13"/>
      <c r="D48" s="19"/>
      <c r="E48" s="19"/>
      <c r="F48" s="19"/>
      <c r="G48" s="19"/>
      <c r="H48" s="22"/>
      <c r="I48" s="22"/>
      <c r="J48" s="22"/>
      <c r="K48" s="22"/>
      <c r="L48" s="30"/>
      <c r="M48" s="22"/>
      <c r="N48" s="14"/>
    </row>
    <row r="49" spans="1:14">
      <c r="A49" s="12"/>
      <c r="B49" s="13"/>
      <c r="C49" s="13"/>
      <c r="D49" s="19"/>
      <c r="E49" s="19"/>
      <c r="F49" s="19"/>
      <c r="G49" s="19"/>
      <c r="H49" s="22"/>
      <c r="I49" s="22"/>
      <c r="J49" s="22"/>
      <c r="K49" s="22"/>
      <c r="L49" s="30"/>
      <c r="M49" s="22"/>
      <c r="N49" s="14"/>
    </row>
    <row r="50" spans="1:14">
      <c r="A50" s="12"/>
      <c r="B50" s="13"/>
      <c r="C50" s="13"/>
      <c r="D50" s="19"/>
      <c r="E50" s="19"/>
      <c r="F50" s="19"/>
      <c r="G50" s="19"/>
      <c r="H50" s="22"/>
      <c r="I50" s="22"/>
      <c r="J50" s="22"/>
      <c r="K50" s="22"/>
      <c r="L50" s="30"/>
      <c r="M50" s="22"/>
      <c r="N50" s="14"/>
    </row>
    <row r="51" spans="1:14">
      <c r="A51" s="12"/>
      <c r="B51" s="13"/>
      <c r="C51" s="13"/>
      <c r="D51" s="19"/>
      <c r="E51" s="19"/>
      <c r="F51" s="19"/>
      <c r="G51" s="19"/>
      <c r="H51" s="22"/>
      <c r="I51" s="22"/>
      <c r="J51" s="22"/>
      <c r="K51" s="22"/>
      <c r="L51" s="30"/>
      <c r="M51" s="22"/>
      <c r="N51" s="14"/>
    </row>
    <row r="52" spans="1:14">
      <c r="A52" s="12"/>
      <c r="B52" s="13"/>
      <c r="C52" s="13"/>
      <c r="D52" s="19"/>
      <c r="E52" s="19"/>
      <c r="F52" s="19"/>
      <c r="G52" s="19"/>
      <c r="H52" s="22"/>
      <c r="I52" s="22"/>
      <c r="J52" s="22"/>
      <c r="K52" s="22"/>
      <c r="L52" s="30"/>
      <c r="M52" s="22"/>
      <c r="N52" s="14"/>
    </row>
    <row r="53" spans="1:14">
      <c r="A53" s="12"/>
      <c r="B53" s="13"/>
      <c r="C53" s="13"/>
      <c r="D53" s="19"/>
      <c r="E53" s="19"/>
      <c r="F53" s="19"/>
      <c r="G53" s="19"/>
      <c r="H53" s="22"/>
      <c r="I53" s="22"/>
      <c r="J53" s="22"/>
      <c r="K53" s="22"/>
      <c r="L53" s="30"/>
      <c r="M53" s="22"/>
      <c r="N53" s="14"/>
    </row>
    <row r="54" spans="1:14">
      <c r="A54" s="12"/>
      <c r="B54" s="13"/>
      <c r="C54" s="13"/>
      <c r="D54" s="19"/>
      <c r="E54" s="19"/>
      <c r="F54" s="19"/>
      <c r="G54" s="19"/>
      <c r="H54" s="22"/>
      <c r="I54" s="22"/>
      <c r="J54" s="22"/>
      <c r="K54" s="22"/>
      <c r="L54" s="30"/>
      <c r="M54" s="22"/>
      <c r="N54" s="14"/>
    </row>
    <row r="55" spans="1:14">
      <c r="A55" s="12"/>
      <c r="B55" s="13"/>
      <c r="C55" s="13"/>
      <c r="D55" s="19"/>
      <c r="E55" s="19"/>
      <c r="F55" s="19"/>
      <c r="G55" s="19"/>
      <c r="H55" s="22"/>
      <c r="I55" s="22"/>
      <c r="J55" s="22"/>
      <c r="K55" s="22"/>
      <c r="L55" s="30"/>
      <c r="M55" s="22"/>
      <c r="N55" s="14"/>
    </row>
    <row r="56" spans="1:14">
      <c r="A56" s="12"/>
      <c r="B56" s="13"/>
      <c r="C56" s="13"/>
      <c r="D56" s="19"/>
      <c r="E56" s="19"/>
      <c r="F56" s="19"/>
      <c r="G56" s="19"/>
      <c r="H56" s="22"/>
      <c r="I56" s="22"/>
      <c r="J56" s="22"/>
      <c r="K56" s="22"/>
      <c r="L56" s="30"/>
      <c r="M56" s="22"/>
      <c r="N56" s="14"/>
    </row>
    <row r="57" spans="1:14">
      <c r="A57" s="12"/>
      <c r="B57" s="13"/>
      <c r="C57" s="13"/>
      <c r="D57" s="19"/>
      <c r="E57" s="19"/>
      <c r="F57" s="19"/>
      <c r="G57" s="19"/>
      <c r="H57" s="22"/>
      <c r="I57" s="22"/>
      <c r="J57" s="22"/>
      <c r="K57" s="22"/>
      <c r="L57" s="30"/>
      <c r="M57" s="22"/>
      <c r="N57" s="14"/>
    </row>
    <row r="58" spans="1:14">
      <c r="A58" s="12"/>
      <c r="B58" s="13"/>
      <c r="C58" s="13"/>
      <c r="D58" s="19"/>
      <c r="E58" s="19"/>
      <c r="F58" s="19"/>
      <c r="G58" s="19"/>
      <c r="H58" s="22"/>
      <c r="I58" s="22"/>
      <c r="J58" s="22"/>
      <c r="K58" s="22"/>
      <c r="L58" s="30"/>
      <c r="M58" s="22"/>
      <c r="N58" s="14"/>
    </row>
    <row r="59" spans="1:14">
      <c r="A59" s="12"/>
      <c r="B59" s="13"/>
      <c r="C59" s="13"/>
      <c r="D59" s="19"/>
      <c r="E59" s="19"/>
      <c r="F59" s="19"/>
      <c r="G59" s="19"/>
      <c r="H59" s="22"/>
      <c r="I59" s="22"/>
      <c r="J59" s="22"/>
      <c r="K59" s="22"/>
      <c r="L59" s="30"/>
      <c r="M59" s="22"/>
      <c r="N59" s="14"/>
    </row>
    <row r="60" spans="1:14">
      <c r="A60" s="12"/>
      <c r="B60" s="13"/>
      <c r="C60" s="13"/>
      <c r="D60" s="19"/>
      <c r="E60" s="19"/>
      <c r="F60" s="19"/>
      <c r="G60" s="19"/>
      <c r="H60" s="22"/>
      <c r="I60" s="22"/>
      <c r="J60" s="22"/>
      <c r="K60" s="22"/>
      <c r="L60" s="30"/>
      <c r="M60" s="22"/>
      <c r="N60" s="14"/>
    </row>
    <row r="61" spans="1:14">
      <c r="A61" s="12"/>
      <c r="B61" s="13"/>
      <c r="C61" s="13"/>
      <c r="D61" s="19"/>
      <c r="E61" s="19"/>
      <c r="F61" s="19"/>
      <c r="G61" s="19"/>
      <c r="H61" s="22"/>
      <c r="I61" s="22"/>
      <c r="J61" s="22"/>
      <c r="K61" s="22"/>
      <c r="L61" s="30"/>
      <c r="M61" s="22"/>
      <c r="N61" s="14"/>
    </row>
    <row r="62" spans="1:14">
      <c r="A62" s="12"/>
      <c r="B62" s="13"/>
      <c r="C62" s="13"/>
      <c r="D62" s="19"/>
      <c r="E62" s="19"/>
      <c r="F62" s="19"/>
      <c r="G62" s="19"/>
      <c r="H62" s="22"/>
      <c r="I62" s="22"/>
      <c r="J62" s="22"/>
      <c r="K62" s="22"/>
      <c r="L62" s="30"/>
      <c r="M62" s="22"/>
      <c r="N62" s="14"/>
    </row>
    <row r="63" spans="1:14">
      <c r="A63" s="12"/>
      <c r="B63" s="13"/>
      <c r="C63" s="13"/>
      <c r="D63" s="19"/>
      <c r="E63" s="19"/>
      <c r="F63" s="19"/>
      <c r="G63" s="19"/>
      <c r="H63" s="22"/>
      <c r="I63" s="22"/>
      <c r="J63" s="22"/>
      <c r="K63" s="22"/>
      <c r="L63" s="30"/>
      <c r="M63" s="22"/>
      <c r="N63" s="14"/>
    </row>
    <row r="64" spans="1:14">
      <c r="A64" s="12"/>
      <c r="B64" s="13"/>
      <c r="C64" s="13"/>
      <c r="D64" s="19"/>
      <c r="E64" s="19"/>
      <c r="F64" s="19"/>
      <c r="G64" s="19"/>
      <c r="H64" s="22"/>
      <c r="I64" s="22"/>
      <c r="J64" s="22"/>
      <c r="K64" s="22"/>
      <c r="L64" s="30"/>
      <c r="M64" s="22"/>
      <c r="N64" s="14"/>
    </row>
    <row r="65" spans="1:14">
      <c r="A65" s="12"/>
      <c r="B65" s="13"/>
      <c r="C65" s="13"/>
      <c r="D65" s="19"/>
      <c r="E65" s="19"/>
      <c r="F65" s="19"/>
      <c r="G65" s="19"/>
      <c r="H65" s="22"/>
      <c r="I65" s="22"/>
      <c r="J65" s="22"/>
      <c r="K65" s="22"/>
      <c r="L65" s="30"/>
      <c r="M65" s="22"/>
      <c r="N65" s="14"/>
    </row>
    <row r="66" spans="1:14">
      <c r="A66" s="12"/>
      <c r="B66" s="13"/>
      <c r="C66" s="13"/>
      <c r="D66" s="19"/>
      <c r="E66" s="19"/>
      <c r="F66" s="19"/>
      <c r="G66" s="19"/>
      <c r="H66" s="22"/>
      <c r="I66" s="22"/>
      <c r="J66" s="22"/>
      <c r="K66" s="22"/>
      <c r="L66" s="30"/>
      <c r="M66" s="22"/>
      <c r="N66" s="14"/>
    </row>
    <row r="67" spans="1:14">
      <c r="A67" s="12"/>
      <c r="B67" s="13"/>
      <c r="C67" s="13"/>
      <c r="D67" s="19"/>
      <c r="E67" s="19"/>
      <c r="F67" s="19"/>
      <c r="G67" s="19"/>
      <c r="H67" s="22"/>
      <c r="I67" s="22"/>
      <c r="J67" s="22"/>
      <c r="K67" s="22"/>
      <c r="L67" s="30"/>
      <c r="M67" s="22"/>
      <c r="N67" s="14"/>
    </row>
    <row r="68" spans="1:14">
      <c r="A68" s="12"/>
      <c r="B68" s="13"/>
      <c r="C68" s="13"/>
      <c r="D68" s="19"/>
      <c r="E68" s="19"/>
      <c r="F68" s="19"/>
      <c r="G68" s="19"/>
      <c r="H68" s="22"/>
      <c r="I68" s="22"/>
      <c r="J68" s="22"/>
      <c r="K68" s="22"/>
      <c r="L68" s="30"/>
      <c r="M68" s="22"/>
      <c r="N68" s="14"/>
    </row>
    <row r="69" spans="1:14">
      <c r="A69" s="12"/>
      <c r="B69" s="13"/>
      <c r="C69" s="13"/>
      <c r="D69" s="19"/>
      <c r="E69" s="19"/>
      <c r="F69" s="19"/>
      <c r="G69" s="19"/>
      <c r="H69" s="22"/>
      <c r="I69" s="22"/>
      <c r="J69" s="22"/>
      <c r="K69" s="22"/>
      <c r="L69" s="30"/>
      <c r="M69" s="22"/>
      <c r="N69" s="14"/>
    </row>
    <row r="70" spans="1:14">
      <c r="A70" s="12"/>
      <c r="B70" s="13"/>
      <c r="C70" s="13"/>
      <c r="D70" s="19"/>
      <c r="E70" s="19"/>
      <c r="F70" s="19"/>
      <c r="G70" s="19"/>
      <c r="H70" s="22"/>
      <c r="I70" s="22"/>
      <c r="J70" s="22"/>
      <c r="K70" s="22"/>
      <c r="L70" s="30"/>
      <c r="M70" s="22"/>
      <c r="N70" s="14"/>
    </row>
    <row r="71" spans="1:14">
      <c r="A71" s="12"/>
      <c r="B71" s="13"/>
      <c r="C71" s="13"/>
      <c r="D71" s="19"/>
      <c r="E71" s="19"/>
      <c r="F71" s="19"/>
      <c r="G71" s="19"/>
      <c r="H71" s="22"/>
      <c r="I71" s="22"/>
      <c r="J71" s="22"/>
      <c r="K71" s="22"/>
      <c r="L71" s="30"/>
      <c r="M71" s="22"/>
      <c r="N71" s="14"/>
    </row>
    <row r="72" spans="1:14">
      <c r="A72" s="12"/>
      <c r="B72" s="13"/>
      <c r="C72" s="13"/>
      <c r="D72" s="19"/>
      <c r="E72" s="19"/>
      <c r="F72" s="19"/>
      <c r="G72" s="19"/>
      <c r="H72" s="22"/>
      <c r="I72" s="22"/>
      <c r="J72" s="22"/>
      <c r="K72" s="22"/>
      <c r="L72" s="30"/>
      <c r="M72" s="22"/>
      <c r="N72" s="14"/>
    </row>
    <row r="73" spans="1:14">
      <c r="A73" s="12"/>
      <c r="B73" s="13"/>
      <c r="C73" s="13"/>
      <c r="D73" s="19"/>
      <c r="E73" s="19"/>
      <c r="F73" s="19"/>
      <c r="G73" s="19"/>
      <c r="H73" s="22"/>
      <c r="I73" s="22"/>
      <c r="J73" s="22"/>
      <c r="K73" s="22"/>
      <c r="L73" s="30"/>
      <c r="M73" s="22"/>
      <c r="N73" s="14"/>
    </row>
    <row r="74" spans="1:14">
      <c r="A74" s="12"/>
      <c r="B74" s="13"/>
      <c r="C74" s="13"/>
      <c r="D74" s="19"/>
      <c r="E74" s="19"/>
      <c r="F74" s="19"/>
      <c r="G74" s="19"/>
      <c r="H74" s="22"/>
      <c r="I74" s="22"/>
      <c r="J74" s="22"/>
      <c r="K74" s="22"/>
      <c r="L74" s="30"/>
      <c r="M74" s="22"/>
      <c r="N74" s="14"/>
    </row>
    <row r="75" spans="1:14">
      <c r="A75" s="12"/>
      <c r="B75" s="13"/>
      <c r="C75" s="13"/>
      <c r="D75" s="19"/>
      <c r="E75" s="19"/>
      <c r="F75" s="19"/>
      <c r="G75" s="19"/>
      <c r="H75" s="22"/>
      <c r="I75" s="22"/>
      <c r="J75" s="22"/>
      <c r="K75" s="22"/>
      <c r="L75" s="30"/>
      <c r="M75" s="22"/>
      <c r="N75" s="14"/>
    </row>
    <row r="76" spans="1:14">
      <c r="A76" s="12"/>
      <c r="B76" s="13"/>
      <c r="C76" s="13"/>
      <c r="D76" s="19"/>
      <c r="E76" s="19"/>
      <c r="F76" s="19"/>
      <c r="G76" s="19"/>
      <c r="H76" s="22"/>
      <c r="I76" s="22"/>
      <c r="J76" s="22"/>
      <c r="K76" s="22"/>
      <c r="L76" s="30"/>
      <c r="M76" s="22"/>
      <c r="N76" s="14"/>
    </row>
    <row r="77" spans="1:14">
      <c r="A77" s="12"/>
      <c r="B77" s="13"/>
      <c r="C77" s="13"/>
      <c r="D77" s="19"/>
      <c r="E77" s="19"/>
      <c r="F77" s="19"/>
      <c r="G77" s="19"/>
      <c r="H77" s="22"/>
      <c r="I77" s="22"/>
      <c r="J77" s="22"/>
      <c r="K77" s="22"/>
      <c r="L77" s="30"/>
      <c r="M77" s="22"/>
      <c r="N77" s="14"/>
    </row>
    <row r="78" spans="1:14">
      <c r="A78" s="12"/>
      <c r="B78" s="13"/>
      <c r="C78" s="13"/>
      <c r="D78" s="19"/>
      <c r="E78" s="19"/>
      <c r="F78" s="19"/>
      <c r="G78" s="19"/>
      <c r="H78" s="22"/>
      <c r="I78" s="22"/>
      <c r="J78" s="22"/>
      <c r="K78" s="22"/>
      <c r="L78" s="30"/>
      <c r="M78" s="22"/>
      <c r="N78" s="14"/>
    </row>
    <row r="79" spans="1:14">
      <c r="A79" s="12"/>
      <c r="B79" s="13"/>
      <c r="C79" s="13"/>
      <c r="D79" s="19"/>
      <c r="E79" s="19"/>
      <c r="F79" s="19"/>
      <c r="G79" s="19"/>
      <c r="H79" s="22"/>
      <c r="I79" s="22"/>
      <c r="J79" s="22"/>
      <c r="K79" s="22"/>
      <c r="L79" s="30"/>
      <c r="M79" s="22"/>
      <c r="N79" s="14"/>
    </row>
    <row r="80" spans="1:14">
      <c r="A80" s="12"/>
      <c r="B80" s="13"/>
      <c r="C80" s="13"/>
      <c r="D80" s="19"/>
      <c r="E80" s="19"/>
      <c r="F80" s="19"/>
      <c r="G80" s="19"/>
      <c r="H80" s="22"/>
      <c r="I80" s="22"/>
      <c r="J80" s="22"/>
      <c r="K80" s="22"/>
      <c r="L80" s="30"/>
      <c r="M80" s="22"/>
      <c r="N80" s="14"/>
    </row>
    <row r="81" spans="1:14">
      <c r="A81" s="12"/>
      <c r="B81" s="13"/>
      <c r="C81" s="13"/>
      <c r="D81" s="19"/>
      <c r="E81" s="19"/>
      <c r="F81" s="19"/>
      <c r="G81" s="19"/>
      <c r="H81" s="22"/>
      <c r="I81" s="22"/>
      <c r="J81" s="22"/>
      <c r="K81" s="22"/>
      <c r="L81" s="30"/>
      <c r="M81" s="22"/>
      <c r="N81" s="14"/>
    </row>
    <row r="82" spans="1:14">
      <c r="A82" s="12"/>
      <c r="B82" s="13"/>
      <c r="C82" s="13"/>
      <c r="D82" s="19"/>
      <c r="E82" s="19"/>
      <c r="F82" s="19"/>
      <c r="G82" s="19"/>
      <c r="H82" s="22"/>
      <c r="I82" s="22"/>
      <c r="J82" s="22"/>
      <c r="K82" s="22"/>
      <c r="L82" s="30"/>
      <c r="M82" s="22"/>
      <c r="N82" s="14"/>
    </row>
    <row r="83" spans="1:14">
      <c r="A83" s="12"/>
      <c r="B83" s="13"/>
      <c r="C83" s="13"/>
      <c r="D83" s="19"/>
      <c r="E83" s="19"/>
      <c r="F83" s="19"/>
      <c r="G83" s="19"/>
      <c r="H83" s="22"/>
      <c r="I83" s="22"/>
      <c r="J83" s="22"/>
      <c r="K83" s="22"/>
      <c r="L83" s="30"/>
      <c r="M83" s="22"/>
      <c r="N83" s="14"/>
    </row>
    <row r="84" spans="1:14">
      <c r="A84" s="12"/>
      <c r="B84" s="13"/>
      <c r="C84" s="13"/>
      <c r="D84" s="19"/>
      <c r="E84" s="19"/>
      <c r="F84" s="19"/>
      <c r="G84" s="19"/>
      <c r="H84" s="22"/>
      <c r="I84" s="22"/>
      <c r="J84" s="22"/>
      <c r="K84" s="22"/>
      <c r="L84" s="30"/>
      <c r="M84" s="22"/>
      <c r="N84" s="14"/>
    </row>
    <row r="85" spans="1:14">
      <c r="A85" s="12"/>
      <c r="B85" s="13"/>
      <c r="C85" s="13"/>
      <c r="D85" s="19"/>
      <c r="E85" s="19"/>
      <c r="F85" s="19"/>
      <c r="G85" s="19"/>
      <c r="H85" s="22"/>
      <c r="I85" s="22"/>
      <c r="J85" s="22"/>
      <c r="K85" s="22"/>
      <c r="L85" s="30"/>
      <c r="M85" s="22"/>
      <c r="N85" s="14"/>
    </row>
    <row r="86" spans="1:14">
      <c r="A86" s="12"/>
      <c r="B86" s="13"/>
      <c r="C86" s="13"/>
      <c r="D86" s="19"/>
      <c r="E86" s="19"/>
      <c r="F86" s="19"/>
      <c r="G86" s="19"/>
      <c r="H86" s="22"/>
      <c r="I86" s="22"/>
      <c r="J86" s="22"/>
      <c r="K86" s="22"/>
      <c r="L86" s="30"/>
      <c r="M86" s="22"/>
      <c r="N86" s="14"/>
    </row>
    <row r="87" spans="1:14">
      <c r="A87" s="12"/>
      <c r="B87" s="13"/>
      <c r="C87" s="13"/>
      <c r="D87" s="19"/>
      <c r="E87" s="19"/>
      <c r="F87" s="19"/>
      <c r="G87" s="19"/>
      <c r="H87" s="22"/>
      <c r="I87" s="22"/>
      <c r="J87" s="22"/>
      <c r="K87" s="22"/>
      <c r="L87" s="30"/>
      <c r="M87" s="22"/>
      <c r="N87" s="14"/>
    </row>
    <row r="88" spans="1:14">
      <c r="A88" s="12"/>
      <c r="B88" s="13"/>
      <c r="C88" s="13"/>
      <c r="D88" s="19"/>
      <c r="E88" s="19"/>
      <c r="F88" s="19"/>
      <c r="G88" s="19"/>
      <c r="H88" s="22"/>
      <c r="I88" s="22"/>
      <c r="J88" s="22"/>
      <c r="K88" s="22"/>
      <c r="L88" s="30"/>
      <c r="M88" s="22"/>
      <c r="N88" s="14"/>
    </row>
    <row r="89" spans="1:14">
      <c r="A89" s="12"/>
      <c r="B89" s="13"/>
      <c r="C89" s="13"/>
      <c r="D89" s="19"/>
      <c r="E89" s="19"/>
      <c r="F89" s="19"/>
      <c r="G89" s="19"/>
      <c r="H89" s="22"/>
      <c r="I89" s="22"/>
      <c r="J89" s="22"/>
      <c r="K89" s="22"/>
      <c r="L89" s="30"/>
      <c r="M89" s="22"/>
      <c r="N89" s="14"/>
    </row>
    <row r="90" spans="1:14">
      <c r="A90" s="12"/>
      <c r="B90" s="13"/>
      <c r="C90" s="13"/>
      <c r="D90" s="19"/>
      <c r="E90" s="19"/>
      <c r="F90" s="19"/>
      <c r="G90" s="19"/>
      <c r="H90" s="22"/>
      <c r="I90" s="22"/>
      <c r="J90" s="22"/>
      <c r="K90" s="22"/>
      <c r="L90" s="30"/>
      <c r="M90" s="22"/>
      <c r="N90" s="14"/>
    </row>
    <row r="91" spans="1:14">
      <c r="A91" s="12"/>
      <c r="B91" s="13"/>
      <c r="C91" s="13"/>
      <c r="D91" s="19"/>
      <c r="E91" s="19"/>
      <c r="F91" s="19"/>
      <c r="G91" s="19"/>
      <c r="H91" s="22"/>
      <c r="I91" s="22"/>
      <c r="J91" s="22"/>
      <c r="K91" s="22"/>
      <c r="L91" s="30"/>
      <c r="M91" s="22"/>
      <c r="N91" s="14"/>
    </row>
    <row r="92" spans="1:14">
      <c r="A92" s="12"/>
      <c r="B92" s="13"/>
      <c r="C92" s="13"/>
      <c r="D92" s="19"/>
      <c r="E92" s="19"/>
      <c r="F92" s="19"/>
      <c r="G92" s="19"/>
      <c r="H92" s="22"/>
      <c r="I92" s="22"/>
      <c r="J92" s="22"/>
      <c r="K92" s="22"/>
      <c r="L92" s="30"/>
      <c r="M92" s="22"/>
      <c r="N92" s="14"/>
    </row>
    <row r="93" spans="1:14">
      <c r="A93" s="12"/>
      <c r="B93" s="13"/>
      <c r="C93" s="13"/>
      <c r="D93" s="19"/>
      <c r="E93" s="19"/>
      <c r="F93" s="19"/>
      <c r="G93" s="19"/>
      <c r="H93" s="22"/>
      <c r="I93" s="22"/>
      <c r="J93" s="22"/>
      <c r="K93" s="22"/>
      <c r="L93" s="30"/>
      <c r="M93" s="22"/>
      <c r="N93" s="14"/>
    </row>
    <row r="94" spans="1:14">
      <c r="A94" s="12"/>
      <c r="B94" s="13"/>
      <c r="C94" s="13"/>
      <c r="D94" s="19"/>
      <c r="E94" s="19"/>
      <c r="F94" s="19"/>
      <c r="G94" s="19"/>
      <c r="H94" s="22"/>
      <c r="I94" s="22"/>
      <c r="J94" s="22"/>
      <c r="K94" s="22"/>
      <c r="L94" s="30"/>
      <c r="M94" s="22"/>
      <c r="N94" s="14"/>
    </row>
    <row r="95" spans="1:14">
      <c r="A95" s="12"/>
      <c r="B95" s="13"/>
      <c r="C95" s="13"/>
      <c r="D95" s="19"/>
      <c r="E95" s="19"/>
      <c r="F95" s="19"/>
      <c r="G95" s="19"/>
      <c r="H95" s="22"/>
      <c r="I95" s="22"/>
      <c r="J95" s="22"/>
      <c r="K95" s="22"/>
      <c r="L95" s="30"/>
      <c r="M95" s="22"/>
      <c r="N95" s="14"/>
    </row>
    <row r="96" spans="1:14">
      <c r="A96" s="12"/>
      <c r="B96" s="13"/>
      <c r="C96" s="13"/>
      <c r="D96" s="19"/>
      <c r="E96" s="19"/>
      <c r="F96" s="19"/>
      <c r="G96" s="19"/>
      <c r="H96" s="22"/>
      <c r="I96" s="22"/>
      <c r="J96" s="22"/>
      <c r="K96" s="22"/>
      <c r="L96" s="30"/>
      <c r="M96" s="22"/>
      <c r="N96" s="14"/>
    </row>
    <row r="97" spans="1:14">
      <c r="A97" s="12"/>
      <c r="B97" s="13"/>
      <c r="C97" s="13"/>
      <c r="D97" s="19"/>
      <c r="E97" s="19"/>
      <c r="F97" s="19"/>
      <c r="G97" s="19"/>
      <c r="H97" s="22"/>
      <c r="I97" s="22"/>
      <c r="J97" s="22"/>
      <c r="K97" s="22"/>
      <c r="L97" s="30"/>
      <c r="M97" s="22"/>
      <c r="N97" s="14"/>
    </row>
    <row r="98" spans="1:14">
      <c r="A98" s="12"/>
      <c r="B98" s="13"/>
      <c r="C98" s="13"/>
      <c r="D98" s="19"/>
      <c r="E98" s="19"/>
      <c r="F98" s="19"/>
      <c r="G98" s="19"/>
      <c r="H98" s="22"/>
      <c r="I98" s="22"/>
      <c r="J98" s="22"/>
      <c r="K98" s="22"/>
      <c r="L98" s="30"/>
      <c r="M98" s="22"/>
      <c r="N98" s="14"/>
    </row>
    <row r="99" spans="1:14">
      <c r="A99" s="12"/>
      <c r="B99" s="13"/>
      <c r="C99" s="13"/>
      <c r="D99" s="19"/>
      <c r="E99" s="19"/>
      <c r="F99" s="19"/>
      <c r="G99" s="19"/>
      <c r="H99" s="22"/>
      <c r="I99" s="22"/>
      <c r="J99" s="22"/>
      <c r="K99" s="22"/>
      <c r="L99" s="30"/>
      <c r="M99" s="22"/>
      <c r="N99" s="14"/>
    </row>
    <row r="100" spans="1:14">
      <c r="A100" s="12"/>
      <c r="B100" s="13"/>
      <c r="C100" s="13"/>
      <c r="D100" s="19"/>
      <c r="E100" s="19"/>
      <c r="F100" s="19"/>
      <c r="G100" s="19"/>
      <c r="H100" s="22"/>
      <c r="I100" s="22"/>
      <c r="J100" s="22"/>
      <c r="K100" s="22"/>
      <c r="L100" s="30"/>
      <c r="M100" s="22"/>
      <c r="N100" s="14"/>
    </row>
    <row r="101" spans="1:14">
      <c r="A101" s="12"/>
      <c r="B101" s="13"/>
      <c r="C101" s="13"/>
      <c r="D101" s="19"/>
      <c r="E101" s="19"/>
      <c r="F101" s="19"/>
      <c r="G101" s="19"/>
      <c r="H101" s="22"/>
      <c r="I101" s="22"/>
      <c r="J101" s="22"/>
      <c r="K101" s="22"/>
      <c r="L101" s="30"/>
      <c r="M101" s="22"/>
      <c r="N101" s="14"/>
    </row>
    <row r="102" spans="1:14">
      <c r="A102" s="12"/>
      <c r="B102" s="13"/>
      <c r="C102" s="13"/>
      <c r="D102" s="19"/>
      <c r="E102" s="19"/>
      <c r="F102" s="19"/>
      <c r="G102" s="19"/>
      <c r="H102" s="22"/>
      <c r="I102" s="22"/>
      <c r="J102" s="22"/>
      <c r="K102" s="22"/>
      <c r="L102" s="30"/>
      <c r="M102" s="22"/>
      <c r="N102" s="14"/>
    </row>
    <row r="103" spans="1:14">
      <c r="A103" s="12"/>
      <c r="B103" s="13"/>
      <c r="C103" s="13"/>
      <c r="D103" s="19"/>
      <c r="E103" s="19"/>
      <c r="F103" s="19"/>
      <c r="G103" s="19"/>
      <c r="H103" s="22"/>
      <c r="I103" s="22"/>
      <c r="J103" s="22"/>
      <c r="K103" s="22"/>
      <c r="L103" s="30"/>
      <c r="M103" s="22"/>
      <c r="N103" s="14"/>
    </row>
    <row r="104" spans="1:14">
      <c r="A104" s="12"/>
      <c r="B104" s="13"/>
      <c r="C104" s="13"/>
      <c r="D104" s="19"/>
      <c r="E104" s="19"/>
      <c r="F104" s="19"/>
      <c r="G104" s="19"/>
      <c r="H104" s="22"/>
      <c r="I104" s="22"/>
      <c r="J104" s="22"/>
      <c r="K104" s="22"/>
      <c r="L104" s="30"/>
      <c r="M104" s="22"/>
      <c r="N104" s="14"/>
    </row>
    <row r="105" spans="1:14">
      <c r="A105" s="12"/>
      <c r="B105" s="13"/>
      <c r="C105" s="13"/>
      <c r="D105" s="19"/>
      <c r="E105" s="19"/>
      <c r="F105" s="19"/>
      <c r="G105" s="19"/>
      <c r="H105" s="22"/>
      <c r="I105" s="22"/>
      <c r="J105" s="22"/>
      <c r="K105" s="22"/>
      <c r="L105" s="30"/>
      <c r="M105" s="22"/>
      <c r="N105" s="14"/>
    </row>
    <row r="106" spans="1:14">
      <c r="A106" s="15"/>
      <c r="B106" s="16"/>
      <c r="C106" s="16"/>
      <c r="D106" s="20"/>
      <c r="E106" s="20"/>
      <c r="F106" s="20"/>
      <c r="G106" s="20"/>
      <c r="H106" s="23"/>
      <c r="I106" s="23"/>
      <c r="J106" s="23"/>
      <c r="K106" s="23"/>
      <c r="L106" s="31"/>
      <c r="M106" s="23"/>
      <c r="N106" s="17"/>
    </row>
    <row r="107" spans="1:14">
      <c r="A107" s="120" t="s">
        <v>1410</v>
      </c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32">
        <f>SUM(M7:M106)</f>
        <v>12912.8620833203</v>
      </c>
      <c r="N107" s="32"/>
    </row>
  </sheetData>
  <mergeCells count="3">
    <mergeCell ref="A1:N1"/>
    <mergeCell ref="A2:N2"/>
    <mergeCell ref="A107:L10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7"/>
  <sheetViews>
    <sheetView showGridLines="0" workbookViewId="0">
      <selection activeCell="B9" sqref="B9"/>
    </sheetView>
  </sheetViews>
  <sheetFormatPr defaultRowHeight="14.1"/>
  <cols>
    <col min="1" max="1" width="17" customWidth="1"/>
    <col min="2" max="2" width="30" customWidth="1"/>
    <col min="3" max="3" width="9.375" customWidth="1"/>
    <col min="4" max="4" width="8.75" customWidth="1"/>
    <col min="5" max="5" width="9.875" customWidth="1"/>
    <col min="6" max="6" width="7.875" customWidth="1"/>
    <col min="7" max="7" width="7.125" customWidth="1"/>
    <col min="8" max="8" width="9" customWidth="1"/>
  </cols>
  <sheetData>
    <row r="1" spans="1:8" ht="30" customHeight="1">
      <c r="A1" s="46" t="s">
        <v>1411</v>
      </c>
      <c r="B1" s="46"/>
      <c r="C1" s="46"/>
      <c r="D1" s="46"/>
      <c r="E1" s="46"/>
      <c r="F1" s="46"/>
      <c r="G1" s="46"/>
      <c r="H1" s="46"/>
    </row>
    <row r="2" spans="1:8" ht="33.950000000000003" customHeight="1">
      <c r="A2" s="47" t="s">
        <v>1412</v>
      </c>
      <c r="B2" s="47"/>
      <c r="C2" s="47"/>
      <c r="D2" s="47"/>
      <c r="E2" s="47"/>
      <c r="F2" s="47"/>
      <c r="G2" s="47"/>
      <c r="H2" s="47"/>
    </row>
    <row r="4" spans="1:8">
      <c r="A4" s="27" t="s">
        <v>1401</v>
      </c>
      <c r="B4" s="38" t="s">
        <v>1162</v>
      </c>
    </row>
    <row r="6" spans="1:8" ht="27.95">
      <c r="A6" s="28" t="s">
        <v>53</v>
      </c>
      <c r="B6" s="28" t="s">
        <v>6</v>
      </c>
      <c r="C6" s="28" t="s">
        <v>1402</v>
      </c>
      <c r="D6" s="28" t="s">
        <v>1403</v>
      </c>
      <c r="E6" s="28" t="s">
        <v>1404</v>
      </c>
      <c r="F6" s="28" t="s">
        <v>1413</v>
      </c>
      <c r="G6" s="28" t="s">
        <v>1414</v>
      </c>
      <c r="H6" s="28" t="s">
        <v>1415</v>
      </c>
    </row>
    <row r="7" spans="1:8">
      <c r="A7" s="9" t="s">
        <v>56</v>
      </c>
      <c r="B7" s="10" t="s">
        <v>1416</v>
      </c>
      <c r="C7" s="18">
        <f>SUMIFS(tblRegistros[Horas],tblRegistros[Projeto],B7,tblRegistros[Tipo de dia],"DIA ÚTIL",tblRegistros[Mês],$B$4,tblRegistros[Status],"CONCLUÍDO")</f>
        <v>0</v>
      </c>
      <c r="D7" s="18">
        <f>SUMIFS(tblRegistros[Horas],tblRegistros[Projeto],B7,tblRegistros[Tipo de dia],"FDS/FERIADO",tblRegistros[Mês],$B$4,tblRegistros[Status],"CONCLUÍDO")</f>
        <v>0</v>
      </c>
      <c r="E7" s="18">
        <f t="shared" ref="E7:E16" si="0">C7+D7</f>
        <v>0</v>
      </c>
      <c r="F7" s="10">
        <f>COUNTIFS(tblRegistros[Projeto],B7,tblRegistros[Mês],$B$4,tblRegistros[Status],"CONCLUÍDO")</f>
        <v>0</v>
      </c>
      <c r="G7" s="10">
        <f>IF(F7=0,0,IFERROR(ROWS(_xlfn.UNIQUE(_xlfn._xlws.FILTER(tblRegistros[ID],(tblRegistros[Projeto]=B7)*(tblRegistros[Mês]=$B$4)*(tblRegistros[Status]="CONCLUÍDO")))),0))</f>
        <v>0</v>
      </c>
      <c r="H7" s="24">
        <f>SUMIFS(tblRegistros[Valor],tblRegistros[Projeto],B7,tblRegistros[Mês],$B$4,tblRegistros[Status],"CONCLUÍDO")</f>
        <v>0</v>
      </c>
    </row>
    <row r="8" spans="1:8">
      <c r="A8" s="12" t="s">
        <v>59</v>
      </c>
      <c r="B8" s="13" t="s">
        <v>60</v>
      </c>
      <c r="C8" s="19">
        <f>SUMIFS(tblRegistros[Horas],tblRegistros[Projeto],B8,tblRegistros[Tipo de dia],"DIA ÚTIL",tblRegistros[Mês],$B$4,tblRegistros[Status],"CONCLUÍDO")</f>
        <v>148.41499999986263</v>
      </c>
      <c r="D8" s="19">
        <f>SUMIFS(tblRegistros[Horas],tblRegistros[Projeto],B8,tblRegistros[Tipo de dia],"FDS/FERIADO",tblRegistros[Mês],$B$4,tblRegistros[Status],"CONCLUÍDO")</f>
        <v>0</v>
      </c>
      <c r="E8" s="19">
        <f t="shared" si="0"/>
        <v>148.41499999986263</v>
      </c>
      <c r="F8" s="13">
        <f>COUNTIFS(tblRegistros[Projeto],B8,tblRegistros[Mês],$B$4,tblRegistros[Status],"CONCLUÍDO")</f>
        <v>8</v>
      </c>
      <c r="G8" s="13">
        <f>IF(F8=0,0,IFERROR(ROWS(_xlfn.UNIQUE(_xlfn._xlws.FILTER(tblRegistros[ID],(tblRegistros[Projeto]=B8)*(tblRegistros[Mês]=$B$4)*(tblRegistros[Status]="CONCLUÍDO")))),0))</f>
        <v>2</v>
      </c>
      <c r="H8" s="25">
        <f>SUMIFS(tblRegistros[Valor],tblRegistros[Projeto],B8,tblRegistros[Mês],$B$4,tblRegistros[Status],"CONCLUÍDO")</f>
        <v>3487.7524999967718</v>
      </c>
    </row>
    <row r="9" spans="1:8">
      <c r="A9" s="12" t="s">
        <v>62</v>
      </c>
      <c r="B9" s="13" t="s">
        <v>63</v>
      </c>
      <c r="C9" s="19">
        <f>SUMIFS(tblRegistros[Horas],tblRegistros[Projeto],B9,tblRegistros[Tipo de dia],"DIA ÚTIL",tblRegistros[Mês],$B$4,tblRegistros[Status],"CONCLUÍDO")</f>
        <v>25.981944444123656</v>
      </c>
      <c r="D9" s="19">
        <f>SUMIFS(tblRegistros[Horas],tblRegistros[Projeto],B9,tblRegistros[Tipo de dia],"FDS/FERIADO",tblRegistros[Mês],$B$4,tblRegistros[Status],"CONCLUÍDO")</f>
        <v>44.792777777882293</v>
      </c>
      <c r="E9" s="19">
        <f t="shared" si="0"/>
        <v>70.774722222005948</v>
      </c>
      <c r="F9" s="13">
        <f>COUNTIFS(tblRegistros[Projeto],B9,tblRegistros[Mês],$B$4,tblRegistros[Status],"CONCLUÍDO")</f>
        <v>15</v>
      </c>
      <c r="G9" s="13">
        <f>IF(F9=0,0,IFERROR(ROWS(_xlfn.UNIQUE(_xlfn._xlws.FILTER(tblRegistros[ID],(tblRegistros[Projeto]=B9)*(tblRegistros[Mês]=$B$4)*(tblRegistros[Status]="CONCLUÍDO")))),0))</f>
        <v>4</v>
      </c>
      <c r="H9" s="25">
        <f>SUMIFS(tblRegistros[Valor],tblRegistros[Projeto],B9,tblRegistros[Mês],$B$4,tblRegistros[Status],"CONCLUÍDO")</f>
        <v>1819.3731944398291</v>
      </c>
    </row>
    <row r="10" spans="1:8">
      <c r="A10" s="12" t="s">
        <v>65</v>
      </c>
      <c r="B10" s="13" t="s">
        <v>1417</v>
      </c>
      <c r="C10" s="19">
        <f>SUMIFS(tblRegistros[Horas],tblRegistros[Projeto],B10,tblRegistros[Tipo de dia],"DIA ÚTIL",tblRegistros[Mês],$B$4,tblRegistros[Status],"CONCLUÍDO")</f>
        <v>0</v>
      </c>
      <c r="D10" s="19">
        <f>SUMIFS(tblRegistros[Horas],tblRegistros[Projeto],B10,tblRegistros[Tipo de dia],"FDS/FERIADO",tblRegistros[Mês],$B$4,tblRegistros[Status],"CONCLUÍDO")</f>
        <v>0</v>
      </c>
      <c r="E10" s="19">
        <f t="shared" si="0"/>
        <v>0</v>
      </c>
      <c r="F10" s="13">
        <f>COUNTIFS(tblRegistros[Projeto],B10,tblRegistros[Mês],$B$4,tblRegistros[Status],"CONCLUÍDO")</f>
        <v>0</v>
      </c>
      <c r="G10" s="13">
        <f>IF(F10=0,0,IFERROR(ROWS(_xlfn.UNIQUE(_xlfn._xlws.FILTER(tblRegistros[ID],(tblRegistros[Projeto]=B10)*(tblRegistros[Mês]=$B$4)*(tblRegistros[Status]="CONCLUÍDO")))),0))</f>
        <v>0</v>
      </c>
      <c r="H10" s="25">
        <f>SUMIFS(tblRegistros[Valor],tblRegistros[Projeto],B10,tblRegistros[Mês],$B$4,tblRegistros[Status],"CONCLUÍDO")</f>
        <v>0</v>
      </c>
    </row>
    <row r="11" spans="1:8">
      <c r="A11" s="12" t="s">
        <v>68</v>
      </c>
      <c r="B11" s="13" t="s">
        <v>1418</v>
      </c>
      <c r="C11" s="19">
        <f>SUMIFS(tblRegistros[Horas],tblRegistros[Projeto],B11,tblRegistros[Tipo de dia],"DIA ÚTIL",tblRegistros[Mês],$B$4,tblRegistros[Status],"CONCLUÍDO")</f>
        <v>0</v>
      </c>
      <c r="D11" s="19">
        <f>SUMIFS(tblRegistros[Horas],tblRegistros[Projeto],B11,tblRegistros[Tipo de dia],"FDS/FERIADO",tblRegistros[Mês],$B$4,tblRegistros[Status],"CONCLUÍDO")</f>
        <v>0</v>
      </c>
      <c r="E11" s="19">
        <f t="shared" si="0"/>
        <v>0</v>
      </c>
      <c r="F11" s="13">
        <f>COUNTIFS(tblRegistros[Projeto],B11,tblRegistros[Mês],$B$4,tblRegistros[Status],"CONCLUÍDO")</f>
        <v>0</v>
      </c>
      <c r="G11" s="13">
        <f>IF(F11=0,0,IFERROR(ROWS(_xlfn.UNIQUE(_xlfn._xlws.FILTER(tblRegistros[ID],(tblRegistros[Projeto]=B11)*(tblRegistros[Mês]=$B$4)*(tblRegistros[Status]="CONCLUÍDO")))),0))</f>
        <v>0</v>
      </c>
      <c r="H11" s="25">
        <f>SUMIFS(tblRegistros[Valor],tblRegistros[Projeto],B11,tblRegistros[Mês],$B$4,tblRegistros[Status],"CONCLUÍDO")</f>
        <v>0</v>
      </c>
    </row>
    <row r="12" spans="1:8">
      <c r="A12" s="12" t="s">
        <v>71</v>
      </c>
      <c r="B12" s="13" t="s">
        <v>1419</v>
      </c>
      <c r="C12" s="19">
        <f>SUMIFS(tblRegistros[Horas],tblRegistros[Projeto],B12,tblRegistros[Tipo de dia],"DIA ÚTIL",tblRegistros[Mês],$B$4,tblRegistros[Status],"CONCLUÍDO")</f>
        <v>0</v>
      </c>
      <c r="D12" s="19">
        <f>SUMIFS(tblRegistros[Horas],tblRegistros[Projeto],B12,tblRegistros[Tipo de dia],"FDS/FERIADO",tblRegistros[Mês],$B$4,tblRegistros[Status],"CONCLUÍDO")</f>
        <v>0</v>
      </c>
      <c r="E12" s="19">
        <f t="shared" si="0"/>
        <v>0</v>
      </c>
      <c r="F12" s="13">
        <f>COUNTIFS(tblRegistros[Projeto],B12,tblRegistros[Mês],$B$4,tblRegistros[Status],"CONCLUÍDO")</f>
        <v>0</v>
      </c>
      <c r="G12" s="13">
        <f>IF(F12=0,0,IFERROR(ROWS(_xlfn.UNIQUE(_xlfn._xlws.FILTER(tblRegistros[ID],(tblRegistros[Projeto]=B12)*(tblRegistros[Mês]=$B$4)*(tblRegistros[Status]="CONCLUÍDO")))),0))</f>
        <v>0</v>
      </c>
      <c r="H12" s="25">
        <f>SUMIFS(tblRegistros[Valor],tblRegistros[Projeto],B12,tblRegistros[Mês],$B$4,tblRegistros[Status],"CONCLUÍDO")</f>
        <v>0</v>
      </c>
    </row>
    <row r="13" spans="1:8">
      <c r="A13" s="12" t="s">
        <v>74</v>
      </c>
      <c r="B13" s="13" t="s">
        <v>75</v>
      </c>
      <c r="C13" s="19">
        <f>SUMIFS(tblRegistros[Horas],tblRegistros[Projeto],B13,tblRegistros[Tipo de dia],"DIA ÚTIL",tblRegistros[Mês],$B$4,tblRegistros[Status],"CONCLUÍDO")</f>
        <v>64.531944444752298</v>
      </c>
      <c r="D13" s="19">
        <f>SUMIFS(tblRegistros[Horas],tblRegistros[Projeto],B13,tblRegistros[Tipo de dia],"FDS/FERIADO",tblRegistros[Mês],$B$4,tblRegistros[Status],"CONCLUÍDO")</f>
        <v>2.8891666666022502</v>
      </c>
      <c r="E13" s="19">
        <f t="shared" si="0"/>
        <v>67.421111111354548</v>
      </c>
      <c r="F13" s="13">
        <f>COUNTIFS(tblRegistros[Projeto],B13,tblRegistros[Mês],$B$4,tblRegistros[Status],"CONCLUÍDO")</f>
        <v>13</v>
      </c>
      <c r="G13" s="13">
        <f>IF(F13=0,0,IFERROR(ROWS(_xlfn.UNIQUE(_xlfn._xlws.FILTER(tblRegistros[ID],(tblRegistros[Projeto]=B13)*(tblRegistros[Mês]=$B$4)*(tblRegistros[Status]="CONCLUÍDO")))),0))</f>
        <v>5</v>
      </c>
      <c r="H13" s="25">
        <f>SUMIFS(tblRegistros[Valor],tblRegistros[Projeto],B13,tblRegistros[Mês],$B$4,tblRegistros[Status],"CONCLUÍDO")</f>
        <v>1000.2652777819312</v>
      </c>
    </row>
    <row r="14" spans="1:8">
      <c r="A14" s="12" t="s">
        <v>77</v>
      </c>
      <c r="B14" s="13" t="s">
        <v>1420</v>
      </c>
      <c r="C14" s="19">
        <f>SUMIFS(tblRegistros[Horas],tblRegistros[Projeto],B14,tblRegistros[Tipo de dia],"DIA ÚTIL",tblRegistros[Mês],$B$4,tblRegistros[Status],"CONCLUÍDO")</f>
        <v>0</v>
      </c>
      <c r="D14" s="19">
        <f>SUMIFS(tblRegistros[Horas],tblRegistros[Projeto],B14,tblRegistros[Tipo de dia],"FDS/FERIADO",tblRegistros[Mês],$B$4,tblRegistros[Status],"CONCLUÍDO")</f>
        <v>0</v>
      </c>
      <c r="E14" s="19">
        <f t="shared" si="0"/>
        <v>0</v>
      </c>
      <c r="F14" s="13">
        <f>COUNTIFS(tblRegistros[Projeto],B14,tblRegistros[Mês],$B$4,tblRegistros[Status],"CONCLUÍDO")</f>
        <v>0</v>
      </c>
      <c r="G14" s="13">
        <f>IF(F14=0,0,IFERROR(ROWS(_xlfn.UNIQUE(_xlfn._xlws.FILTER(tblRegistros[ID],(tblRegistros[Projeto]=B14)*(tblRegistros[Mês]=$B$4)*(tblRegistros[Status]="CONCLUÍDO")))),0))</f>
        <v>0</v>
      </c>
      <c r="H14" s="25">
        <f>SUMIFS(tblRegistros[Valor],tblRegistros[Projeto],B14,tblRegistros[Mês],$B$4,tblRegistros[Status],"CONCLUÍDO")</f>
        <v>0</v>
      </c>
    </row>
    <row r="15" spans="1:8">
      <c r="A15" s="12" t="s">
        <v>80</v>
      </c>
      <c r="B15" s="13" t="s">
        <v>81</v>
      </c>
      <c r="C15" s="19">
        <f>SUMIFS(tblRegistros[Horas],tblRegistros[Projeto],B15,tblRegistros[Tipo de dia],"DIA ÚTIL",tblRegistros[Mês],$B$4,tblRegistros[Status],"CONCLUÍDO")</f>
        <v>32.846666666620877</v>
      </c>
      <c r="D15" s="19">
        <f>SUMIFS(tblRegistros[Horas],tblRegistros[Projeto],B15,tblRegistros[Tipo de dia],"FDS/FERIADO",tblRegistros[Mês],$B$4,tblRegistros[Status],"CONCLUÍDO")</f>
        <v>0</v>
      </c>
      <c r="E15" s="19">
        <f t="shared" si="0"/>
        <v>32.846666666620877</v>
      </c>
      <c r="F15" s="13">
        <f>COUNTIFS(tblRegistros[Projeto],B15,tblRegistros[Mês],$B$4,tblRegistros[Status],"CONCLUÍDO")</f>
        <v>10</v>
      </c>
      <c r="G15" s="13">
        <f>IF(F15=0,0,IFERROR(ROWS(_xlfn.UNIQUE(_xlfn._xlws.FILTER(tblRegistros[ID],(tblRegistros[Projeto]=B15)*(tblRegistros[Mês]=$B$4)*(tblRegistros[Status]="CONCLUÍDO")))),0))</f>
        <v>1</v>
      </c>
      <c r="H15" s="25">
        <f>SUMIFS(tblRegistros[Valor],tblRegistros[Projeto],B15,tblRegistros[Mês],$B$4,tblRegistros[Status],"CONCLUÍDO")</f>
        <v>706.20333333234885</v>
      </c>
    </row>
    <row r="16" spans="1:8">
      <c r="A16" s="12" t="s">
        <v>83</v>
      </c>
      <c r="B16" s="13" t="s">
        <v>84</v>
      </c>
      <c r="C16" s="19">
        <f>SUMIFS(tblRegistros[Horas],tblRegistros[Projeto],B16,tblRegistros[Tipo de dia],"DIA ÚTIL",tblRegistros[Mês],$B$4,tblRegistros[Status],"CONCLUÍDO")</f>
        <v>0</v>
      </c>
      <c r="D16" s="19">
        <f>SUMIFS(tblRegistros[Horas],tblRegistros[Projeto],B16,tblRegistros[Tipo de dia],"FDS/FERIADO",tblRegistros[Mês],$B$4,tblRegistros[Status],"CONCLUÍDO")</f>
        <v>0</v>
      </c>
      <c r="E16" s="19">
        <f t="shared" si="0"/>
        <v>0</v>
      </c>
      <c r="F16" s="13">
        <f>COUNTIFS(tblRegistros[Projeto],B16,tblRegistros[Mês],$B$4,tblRegistros[Status],"CONCLUÍDO")</f>
        <v>0</v>
      </c>
      <c r="G16" s="13">
        <f>IF(F16=0,0,IFERROR(ROWS(_xlfn.UNIQUE(_xlfn._xlws.FILTER(tblRegistros[ID],(tblRegistros[Projeto]=B16)*(tblRegistros[Mês]=$B$4)*(tblRegistros[Status]="CONCLUÍDO")))),0))</f>
        <v>0</v>
      </c>
      <c r="H16" s="25">
        <f>SUMIFS(tblRegistros[Valor],tblRegistros[Projeto],B16,tblRegistros[Mês],$B$4,tblRegistros[Status],"CONCLUÍDO")</f>
        <v>0</v>
      </c>
    </row>
    <row r="17" spans="1:8">
      <c r="A17" s="12" t="s">
        <v>68</v>
      </c>
      <c r="B17" s="13" t="s">
        <v>69</v>
      </c>
      <c r="C17" s="19">
        <f>SUMIFS(Registros!$K$5:$K$30236,Registros!$G$5:$G$30236,B17,Registros!$D$5:$D$30236,"DIA ÚTIL",Registros!$S$5:$S$30236,$B$4,Registros!$Q$5:$Q$30236,"CONCLUÍDO")</f>
        <v>181.45305555540835</v>
      </c>
      <c r="D17" s="19">
        <f>SUMIFS(Registros!$K$5:$K$30236,Registros!$G$5:$G$30236,B17,Registros!$D$5:$D$30236,"FDS/FERIADO",Registros!$S$5:$S$30236,$B$4,Registros!$Q$5:$Q$30236,"CONCLUÍDO")</f>
        <v>0</v>
      </c>
      <c r="E17" s="19">
        <f>C17+D17</f>
        <v>181.45305555540835</v>
      </c>
      <c r="F17" s="13">
        <f>COUNTIFS(Registros!$G$5:$G$30236,B17,Registros!$S$5:$S$30236,$B$4,Registros!$Q$5:$Q$30236,"CONCLUÍDO")</f>
        <v>3</v>
      </c>
      <c r="G17" s="13" cm="1">
        <f t="array" ref="G17">IF(F17=0,0,IFERROR(ROWS(_xlfn.UNIQUE(_xlfn._xlws.FILTER(Registros!$E$5:$E$30236,(Registros!$G$5:$G$30236=B17)*(Registros!$S$5:$S$30236=$B$4)*(Registros!$Q$5:$Q$30236="CONCLUÍDO")))),0))</f>
        <v>2</v>
      </c>
      <c r="H17" s="25">
        <f>SUMIFS(Registros!$P$5:$P$30236,Registros!$G$5:$G$30236,B17,Registros!$S$5:$S$30236,$B$4,Registros!$Q$5:$Q$30236,"CONCLUÍDO")</f>
        <v>4264.0799999968149</v>
      </c>
    </row>
    <row r="18" spans="1:8">
      <c r="A18" s="12" t="s">
        <v>65</v>
      </c>
      <c r="B18" s="13" t="s">
        <v>66</v>
      </c>
      <c r="C18" s="19">
        <f>SUMIFS(Registros!$K$5:$K$30233,Registros!$G$5:$G$30233,B18,Registros!$D$5:$D$30233,"DIA ÚTIL",Registros!$S$5:$S$30233,$B$4,Registros!$Q$5:$Q$30233,"CONCLUÍDO")</f>
        <v>67.230555555433966</v>
      </c>
      <c r="D18" s="19">
        <f>SUMIFS(Registros!$K$5:$K$30233,Registros!$G$5:$G$30233,B18,Registros!$D$5:$D$30233,"FDS/FERIADO",Registros!$S$5:$S$30233,$B$4,Registros!$Q$5:$Q$30233,"CONCLUÍDO")</f>
        <v>15.579722222231794</v>
      </c>
      <c r="E18" s="19">
        <f>C18+D18</f>
        <v>82.81027777766576</v>
      </c>
      <c r="F18" s="13">
        <f>COUNTIFS(Registros!$G$5:$G$30233,B18,Registros!$S$5:$S$30233,$B$4,Registros!$Q$5:$Q$30233,"CONCLUÍDO")</f>
        <v>19</v>
      </c>
      <c r="G18" s="13" cm="1">
        <f t="array" ref="G18">IF(F18=0,0,IFERROR(ROWS(_xlfn.UNIQUE(_xlfn._xlws.FILTER(Registros!$E$5:$E$30233,(Registros!$G$5:$G$30233=B18)*(Registros!$S$5:$S$30233=$B$4)*(Registros!$Q$5:$Q$30233="CONCLUÍDO")))),0))</f>
        <v>5</v>
      </c>
      <c r="H18" s="25">
        <f>SUMIFS(Registros!$P$5:$P$30233,Registros!$G$5:$G$30233,B18,Registros!$S$5:$S$30233,$B$4,Registros!$Q$5:$Q$30233,"CONCLUÍDO")</f>
        <v>1635.187777772604</v>
      </c>
    </row>
    <row r="19" spans="1:8">
      <c r="A19" s="12" t="s">
        <v>56</v>
      </c>
      <c r="B19" s="13" t="s">
        <v>57</v>
      </c>
      <c r="C19" s="19">
        <f>SUMIFS(Registros!$K$5:$K$30232,Registros!$G$5:$G$30232,B19,Registros!$D$5:$D$30232,"DIA ÚTIL",Registros!$S$5:$S$30232,$B$4,Registros!$Q$5:$Q$30232,"CONCLUÍDO")</f>
        <v>0</v>
      </c>
      <c r="D19" s="19">
        <f>SUMIFS(Registros!$K$5:$K$30232,Registros!$G$5:$G$30232,B19,Registros!$D$5:$D$30232,"FDS/FERIADO",Registros!$S$5:$S$30232,$B$4,Registros!$Q$5:$Q$30232,"CONCLUÍDO")</f>
        <v>0</v>
      </c>
      <c r="E19" s="19">
        <f>C19+D19</f>
        <v>0</v>
      </c>
      <c r="F19" s="13">
        <f>COUNTIFS(Registros!$G$5:$G$30232,B19,Registros!$S$5:$S$30232,$B$4,Registros!$Q$5:$Q$30232,"CONCLUÍDO")</f>
        <v>0</v>
      </c>
      <c r="G19" s="13" cm="1">
        <f t="array" ref="G19">IF(F19=0,0,IFERROR(ROWS(_xlfn.UNIQUE(_xlfn._xlws.FILTER(Registros!$E$5:$E$30232,(Registros!$G$5:$G$30232=B19)*(Registros!$S$5:$S$30232=$B$4)*(Registros!$Q$5:$Q$30232="CONCLUÍDO")))),0))</f>
        <v>0</v>
      </c>
      <c r="H19" s="25">
        <f>SUMIFS(Registros!$P$5:$P$30232,Registros!$G$5:$G$30232,B19,Registros!$S$5:$S$30232,$B$4,Registros!$Q$5:$Q$30232,"CONCLUÍDO")</f>
        <v>0</v>
      </c>
    </row>
    <row r="20" spans="1:8">
      <c r="A20" s="12" t="s">
        <v>77</v>
      </c>
      <c r="B20" s="13" t="s">
        <v>78</v>
      </c>
      <c r="C20" s="19">
        <f>SUMIFS(Registros!$K$5:$K$30103,Registros!$G$5:$G$30103,B20,Registros!$D$5:$D$30103,"DIA ÚTIL",Registros!$S$5:$S$30103,$B$4,Registros!$Q$5:$Q$30103,"CONCLUÍDO")</f>
        <v>0</v>
      </c>
      <c r="D20" s="19">
        <f>SUMIFS(Registros!$K$5:$K$30103,Registros!$G$5:$G$30103,B20,Registros!$D$5:$D$30103,"FDS/FERIADO",Registros!$S$5:$S$30103,$B$4,Registros!$Q$5:$Q$30103,"CONCLUÍDO")</f>
        <v>0</v>
      </c>
      <c r="E20" s="19">
        <f>C20+D20</f>
        <v>0</v>
      </c>
      <c r="F20" s="13">
        <f>COUNTIFS(Registros!$G$5:$G$30103,B20,Registros!$S$5:$S$30103,$B$4,Registros!$Q$5:$Q$30103,"CONCLUÍDO")</f>
        <v>0</v>
      </c>
      <c r="G20" s="13" cm="1">
        <f t="array" ref="G20">IF(F20=0,0,IFERROR(ROWS(_xlfn.UNIQUE(_xlfn._xlws.FILTER(Registros!$E$5:$E$30103,(Registros!$G$5:$G$30103=B20)*(Registros!$S$5:$S$30103=$B$4)*(Registros!$Q$5:$Q$30103="CONCLUÍDO")))),0))</f>
        <v>0</v>
      </c>
      <c r="H20" s="25">
        <f>SUMIFS(Registros!$P$5:$P$30103,Registros!$G$5:$G$30103,B20,Registros!$S$5:$S$30103,$B$4,Registros!$Q$5:$Q$30103,"CONCLUÍDO")</f>
        <v>0</v>
      </c>
    </row>
    <row r="21" spans="1:8">
      <c r="A21" s="12" t="s">
        <v>86</v>
      </c>
      <c r="B21" s="13" t="s">
        <v>87</v>
      </c>
      <c r="C21" s="19">
        <f>SUMIFS(Registros!$K$5:$K$30084,Registros!$G$5:$G$30084,B21,Registros!$D$5:$D$30084,"DIA ÚTIL",Registros!$S$5:$S$30084,$B$4,Registros!$Q$5:$Q$30084,"CONCLUÍDO")</f>
        <v>0</v>
      </c>
      <c r="D21" s="19">
        <f>SUMIFS(Registros!$K$5:$K$30084,Registros!$G$5:$G$30084,B21,Registros!$D$5:$D$30084,"FDS/FERIADO",Registros!$S$5:$S$30084,$B$4,Registros!$Q$5:$Q$30084,"CONCLUÍDO")</f>
        <v>0</v>
      </c>
      <c r="E21" s="19">
        <f>C21+D21</f>
        <v>0</v>
      </c>
      <c r="F21" s="13">
        <f>COUNTIFS(Registros!$G$5:$G$30084,B21,Registros!$S$5:$S$30084,$B$4,Registros!$Q$5:$Q$30084,"CONCLUÍDO")</f>
        <v>0</v>
      </c>
      <c r="G21" s="13" cm="1">
        <f t="array" ref="G21">IF(F21=0,0,IFERROR(ROWS(_xlfn.UNIQUE(_xlfn._xlws.FILTER(Registros!$E$5:$E$30084,(Registros!$G$5:$G$30084=B21)*(Registros!$S$5:$S$30084=$B$4)*(Registros!$Q$5:$Q$30084="CONCLUÍDO")))),0))</f>
        <v>0</v>
      </c>
      <c r="H21" s="25">
        <f>SUMIFS(Registros!$P$5:$P$30084,Registros!$G$5:$G$30084,B21,Registros!$S$5:$S$30084,$B$4,Registros!$Q$5:$Q$30084,"CONCLUÍDO")</f>
        <v>0</v>
      </c>
    </row>
    <row r="22" spans="1:8">
      <c r="A22" s="12"/>
      <c r="B22" s="13"/>
      <c r="C22" s="19"/>
      <c r="D22" s="19"/>
      <c r="E22" s="19"/>
      <c r="F22" s="13"/>
      <c r="G22" s="13"/>
      <c r="H22" s="25"/>
    </row>
    <row r="23" spans="1:8">
      <c r="A23" s="12"/>
      <c r="B23" s="13"/>
      <c r="C23" s="19"/>
      <c r="D23" s="19"/>
      <c r="E23" s="19"/>
      <c r="F23" s="13"/>
      <c r="G23" s="13"/>
      <c r="H23" s="25"/>
    </row>
    <row r="24" spans="1:8">
      <c r="A24" s="12"/>
      <c r="B24" s="13"/>
      <c r="C24" s="19"/>
      <c r="D24" s="19"/>
      <c r="E24" s="19"/>
      <c r="F24" s="13"/>
      <c r="G24" s="13"/>
      <c r="H24" s="25"/>
    </row>
    <row r="25" spans="1:8">
      <c r="A25" s="12"/>
      <c r="B25" s="13"/>
      <c r="C25" s="19"/>
      <c r="D25" s="19"/>
      <c r="E25" s="19"/>
      <c r="F25" s="13"/>
      <c r="G25" s="13"/>
      <c r="H25" s="25"/>
    </row>
    <row r="26" spans="1:8">
      <c r="A26" s="12"/>
      <c r="B26" s="13"/>
      <c r="C26" s="19"/>
      <c r="D26" s="19"/>
      <c r="E26" s="19"/>
      <c r="F26" s="13"/>
      <c r="G26" s="13"/>
      <c r="H26" s="25"/>
    </row>
    <row r="27" spans="1:8">
      <c r="A27" s="12"/>
      <c r="B27" s="13"/>
      <c r="C27" s="19"/>
      <c r="D27" s="19"/>
      <c r="E27" s="19"/>
      <c r="F27" s="13"/>
      <c r="G27" s="13"/>
      <c r="H27" s="25"/>
    </row>
    <row r="28" spans="1:8">
      <c r="A28" s="12"/>
      <c r="B28" s="13"/>
      <c r="C28" s="19"/>
      <c r="D28" s="19"/>
      <c r="E28" s="19"/>
      <c r="F28" s="13"/>
      <c r="G28" s="13"/>
      <c r="H28" s="25"/>
    </row>
    <row r="29" spans="1:8">
      <c r="A29" s="12"/>
      <c r="B29" s="13"/>
      <c r="C29" s="19"/>
      <c r="D29" s="19"/>
      <c r="E29" s="19"/>
      <c r="F29" s="13"/>
      <c r="G29" s="13"/>
      <c r="H29" s="25"/>
    </row>
    <row r="30" spans="1:8">
      <c r="A30" s="12"/>
      <c r="B30" s="13"/>
      <c r="C30" s="19"/>
      <c r="D30" s="19"/>
      <c r="E30" s="19"/>
      <c r="F30" s="13"/>
      <c r="G30" s="13"/>
      <c r="H30" s="25"/>
    </row>
    <row r="31" spans="1:8">
      <c r="A31" s="12"/>
      <c r="B31" s="13"/>
      <c r="C31" s="19"/>
      <c r="D31" s="19"/>
      <c r="E31" s="19"/>
      <c r="F31" s="13"/>
      <c r="G31" s="13"/>
      <c r="H31" s="25"/>
    </row>
    <row r="32" spans="1:8">
      <c r="A32" s="12"/>
      <c r="B32" s="13"/>
      <c r="C32" s="19"/>
      <c r="D32" s="19"/>
      <c r="E32" s="19"/>
      <c r="F32" s="13"/>
      <c r="G32" s="13"/>
      <c r="H32" s="25"/>
    </row>
    <row r="33" spans="1:8">
      <c r="A33" s="12"/>
      <c r="B33" s="13"/>
      <c r="C33" s="19"/>
      <c r="D33" s="19"/>
      <c r="E33" s="19"/>
      <c r="F33" s="13"/>
      <c r="G33" s="13"/>
      <c r="H33" s="25"/>
    </row>
    <row r="34" spans="1:8">
      <c r="A34" s="12"/>
      <c r="B34" s="13"/>
      <c r="C34" s="19"/>
      <c r="D34" s="19"/>
      <c r="E34" s="19"/>
      <c r="F34" s="13"/>
      <c r="G34" s="13"/>
      <c r="H34" s="25"/>
    </row>
    <row r="35" spans="1:8">
      <c r="A35" s="12"/>
      <c r="B35" s="13"/>
      <c r="C35" s="19"/>
      <c r="D35" s="19"/>
      <c r="E35" s="19"/>
      <c r="F35" s="13"/>
      <c r="G35" s="13"/>
      <c r="H35" s="25"/>
    </row>
    <row r="36" spans="1:8">
      <c r="A36" s="12"/>
      <c r="B36" s="13"/>
      <c r="C36" s="19"/>
      <c r="D36" s="19"/>
      <c r="E36" s="19"/>
      <c r="F36" s="13"/>
      <c r="G36" s="13"/>
      <c r="H36" s="25"/>
    </row>
    <row r="37" spans="1:8">
      <c r="A37" s="12"/>
      <c r="B37" s="13"/>
      <c r="C37" s="19"/>
      <c r="D37" s="19"/>
      <c r="E37" s="19"/>
      <c r="F37" s="13"/>
      <c r="G37" s="13"/>
      <c r="H37" s="25"/>
    </row>
    <row r="38" spans="1:8">
      <c r="A38" s="12"/>
      <c r="B38" s="13"/>
      <c r="C38" s="19"/>
      <c r="D38" s="19"/>
      <c r="E38" s="19"/>
      <c r="F38" s="13"/>
      <c r="G38" s="13"/>
      <c r="H38" s="25"/>
    </row>
    <row r="39" spans="1:8">
      <c r="A39" s="12"/>
      <c r="B39" s="13"/>
      <c r="C39" s="19"/>
      <c r="D39" s="19"/>
      <c r="E39" s="19"/>
      <c r="F39" s="13"/>
      <c r="G39" s="13"/>
      <c r="H39" s="25"/>
    </row>
    <row r="40" spans="1:8">
      <c r="A40" s="12"/>
      <c r="B40" s="13"/>
      <c r="C40" s="19"/>
      <c r="D40" s="19"/>
      <c r="E40" s="19"/>
      <c r="F40" s="13"/>
      <c r="G40" s="13"/>
      <c r="H40" s="25"/>
    </row>
    <row r="41" spans="1:8">
      <c r="A41" s="12"/>
      <c r="B41" s="13"/>
      <c r="C41" s="19"/>
      <c r="D41" s="19"/>
      <c r="E41" s="19"/>
      <c r="F41" s="13"/>
      <c r="G41" s="13"/>
      <c r="H41" s="25"/>
    </row>
    <row r="42" spans="1:8">
      <c r="A42" s="12"/>
      <c r="B42" s="13"/>
      <c r="C42" s="19"/>
      <c r="D42" s="19"/>
      <c r="E42" s="19"/>
      <c r="F42" s="13"/>
      <c r="G42" s="13"/>
      <c r="H42" s="25"/>
    </row>
    <row r="43" spans="1:8">
      <c r="A43" s="12"/>
      <c r="B43" s="13"/>
      <c r="C43" s="19"/>
      <c r="D43" s="19"/>
      <c r="E43" s="19"/>
      <c r="F43" s="13"/>
      <c r="G43" s="13"/>
      <c r="H43" s="25"/>
    </row>
    <row r="44" spans="1:8">
      <c r="A44" s="12"/>
      <c r="B44" s="13"/>
      <c r="C44" s="19"/>
      <c r="D44" s="19"/>
      <c r="E44" s="19"/>
      <c r="F44" s="13"/>
      <c r="G44" s="13"/>
      <c r="H44" s="25"/>
    </row>
    <row r="45" spans="1:8">
      <c r="A45" s="12"/>
      <c r="B45" s="13"/>
      <c r="C45" s="19"/>
      <c r="D45" s="19"/>
      <c r="E45" s="19"/>
      <c r="F45" s="13"/>
      <c r="G45" s="13"/>
      <c r="H45" s="25"/>
    </row>
    <row r="46" spans="1:8">
      <c r="A46" s="12"/>
      <c r="B46" s="13"/>
      <c r="C46" s="19"/>
      <c r="D46" s="19"/>
      <c r="E46" s="19"/>
      <c r="F46" s="13"/>
      <c r="G46" s="13"/>
      <c r="H46" s="25"/>
    </row>
    <row r="47" spans="1:8">
      <c r="A47" s="12"/>
      <c r="B47" s="13"/>
      <c r="C47" s="19"/>
      <c r="D47" s="19"/>
      <c r="E47" s="19"/>
      <c r="F47" s="13"/>
      <c r="G47" s="13"/>
      <c r="H47" s="25"/>
    </row>
    <row r="48" spans="1:8">
      <c r="A48" s="12"/>
      <c r="B48" s="13"/>
      <c r="C48" s="19"/>
      <c r="D48" s="19"/>
      <c r="E48" s="19"/>
      <c r="F48" s="13"/>
      <c r="G48" s="13"/>
      <c r="H48" s="25"/>
    </row>
    <row r="49" spans="1:8">
      <c r="A49" s="12"/>
      <c r="B49" s="13"/>
      <c r="C49" s="19"/>
      <c r="D49" s="19"/>
      <c r="E49" s="19"/>
      <c r="F49" s="13"/>
      <c r="G49" s="13"/>
      <c r="H49" s="25"/>
    </row>
    <row r="50" spans="1:8">
      <c r="A50" s="12"/>
      <c r="B50" s="13"/>
      <c r="C50" s="19"/>
      <c r="D50" s="19"/>
      <c r="E50" s="19"/>
      <c r="F50" s="13"/>
      <c r="G50" s="13"/>
      <c r="H50" s="25"/>
    </row>
    <row r="51" spans="1:8">
      <c r="A51" s="12"/>
      <c r="B51" s="13"/>
      <c r="C51" s="19"/>
      <c r="D51" s="19"/>
      <c r="E51" s="19"/>
      <c r="F51" s="13"/>
      <c r="G51" s="13"/>
      <c r="H51" s="25"/>
    </row>
    <row r="52" spans="1:8">
      <c r="A52" s="12"/>
      <c r="B52" s="13"/>
      <c r="C52" s="19"/>
      <c r="D52" s="19"/>
      <c r="E52" s="19"/>
      <c r="F52" s="13"/>
      <c r="G52" s="13"/>
      <c r="H52" s="25"/>
    </row>
    <row r="53" spans="1:8">
      <c r="A53" s="12"/>
      <c r="B53" s="13"/>
      <c r="C53" s="19"/>
      <c r="D53" s="19"/>
      <c r="E53" s="19"/>
      <c r="F53" s="13"/>
      <c r="G53" s="13"/>
      <c r="H53" s="25"/>
    </row>
    <row r="54" spans="1:8">
      <c r="A54" s="12"/>
      <c r="B54" s="13"/>
      <c r="C54" s="19"/>
      <c r="D54" s="19"/>
      <c r="E54" s="19"/>
      <c r="F54" s="13"/>
      <c r="G54" s="13"/>
      <c r="H54" s="25"/>
    </row>
    <row r="55" spans="1:8">
      <c r="A55" s="12"/>
      <c r="B55" s="13"/>
      <c r="C55" s="19"/>
      <c r="D55" s="19"/>
      <c r="E55" s="19"/>
      <c r="F55" s="13"/>
      <c r="G55" s="13"/>
      <c r="H55" s="25"/>
    </row>
    <row r="56" spans="1:8">
      <c r="A56" s="12"/>
      <c r="B56" s="13"/>
      <c r="C56" s="19"/>
      <c r="D56" s="19"/>
      <c r="E56" s="19"/>
      <c r="F56" s="13"/>
      <c r="G56" s="13"/>
      <c r="H56" s="25"/>
    </row>
    <row r="57" spans="1:8">
      <c r="A57" s="12"/>
      <c r="B57" s="13"/>
      <c r="C57" s="19"/>
      <c r="D57" s="19"/>
      <c r="E57" s="19"/>
      <c r="F57" s="13"/>
      <c r="G57" s="13"/>
      <c r="H57" s="25"/>
    </row>
    <row r="58" spans="1:8">
      <c r="A58" s="12"/>
      <c r="B58" s="13"/>
      <c r="C58" s="19"/>
      <c r="D58" s="19"/>
      <c r="E58" s="19"/>
      <c r="F58" s="13"/>
      <c r="G58" s="13"/>
      <c r="H58" s="25"/>
    </row>
    <row r="59" spans="1:8">
      <c r="A59" s="12"/>
      <c r="B59" s="13"/>
      <c r="C59" s="19"/>
      <c r="D59" s="19"/>
      <c r="E59" s="19"/>
      <c r="F59" s="13"/>
      <c r="G59" s="13"/>
      <c r="H59" s="25"/>
    </row>
    <row r="60" spans="1:8">
      <c r="A60" s="12"/>
      <c r="B60" s="13"/>
      <c r="C60" s="19"/>
      <c r="D60" s="19"/>
      <c r="E60" s="19"/>
      <c r="F60" s="13"/>
      <c r="G60" s="13"/>
      <c r="H60" s="25"/>
    </row>
    <row r="61" spans="1:8">
      <c r="A61" s="12"/>
      <c r="B61" s="13"/>
      <c r="C61" s="19"/>
      <c r="D61" s="19"/>
      <c r="E61" s="19"/>
      <c r="F61" s="13"/>
      <c r="G61" s="13"/>
      <c r="H61" s="25"/>
    </row>
    <row r="62" spans="1:8">
      <c r="A62" s="12"/>
      <c r="B62" s="13"/>
      <c r="C62" s="19"/>
      <c r="D62" s="19"/>
      <c r="E62" s="19"/>
      <c r="F62" s="13"/>
      <c r="G62" s="13"/>
      <c r="H62" s="25"/>
    </row>
    <row r="63" spans="1:8">
      <c r="A63" s="12"/>
      <c r="B63" s="13"/>
      <c r="C63" s="19"/>
      <c r="D63" s="19"/>
      <c r="E63" s="19"/>
      <c r="F63" s="13"/>
      <c r="G63" s="13"/>
      <c r="H63" s="25"/>
    </row>
    <row r="64" spans="1:8">
      <c r="A64" s="12"/>
      <c r="B64" s="13"/>
      <c r="C64" s="19"/>
      <c r="D64" s="19"/>
      <c r="E64" s="19"/>
      <c r="F64" s="13"/>
      <c r="G64" s="13"/>
      <c r="H64" s="25"/>
    </row>
    <row r="65" spans="1:8">
      <c r="A65" s="12"/>
      <c r="B65" s="13"/>
      <c r="C65" s="19"/>
      <c r="D65" s="19"/>
      <c r="E65" s="19"/>
      <c r="F65" s="13"/>
      <c r="G65" s="13"/>
      <c r="H65" s="25"/>
    </row>
    <row r="66" spans="1:8">
      <c r="A66" s="12"/>
      <c r="B66" s="13"/>
      <c r="C66" s="19"/>
      <c r="D66" s="19"/>
      <c r="E66" s="19"/>
      <c r="F66" s="13"/>
      <c r="G66" s="13"/>
      <c r="H66" s="25"/>
    </row>
    <row r="67" spans="1:8">
      <c r="A67" s="12"/>
      <c r="B67" s="13"/>
      <c r="C67" s="19"/>
      <c r="D67" s="19"/>
      <c r="E67" s="19"/>
      <c r="F67" s="13"/>
      <c r="G67" s="13"/>
      <c r="H67" s="25"/>
    </row>
    <row r="68" spans="1:8">
      <c r="A68" s="12"/>
      <c r="B68" s="13"/>
      <c r="C68" s="19"/>
      <c r="D68" s="19"/>
      <c r="E68" s="19"/>
      <c r="F68" s="13"/>
      <c r="G68" s="13"/>
      <c r="H68" s="25"/>
    </row>
    <row r="69" spans="1:8">
      <c r="A69" s="12"/>
      <c r="B69" s="13"/>
      <c r="C69" s="19"/>
      <c r="D69" s="19"/>
      <c r="E69" s="19"/>
      <c r="F69" s="13"/>
      <c r="G69" s="13"/>
      <c r="H69" s="25"/>
    </row>
    <row r="70" spans="1:8">
      <c r="A70" s="12"/>
      <c r="B70" s="13"/>
      <c r="C70" s="19"/>
      <c r="D70" s="19"/>
      <c r="E70" s="19"/>
      <c r="F70" s="13"/>
      <c r="G70" s="13"/>
      <c r="H70" s="25"/>
    </row>
    <row r="71" spans="1:8">
      <c r="A71" s="12"/>
      <c r="B71" s="13"/>
      <c r="C71" s="19"/>
      <c r="D71" s="19"/>
      <c r="E71" s="19"/>
      <c r="F71" s="13"/>
      <c r="G71" s="13"/>
      <c r="H71" s="25"/>
    </row>
    <row r="72" spans="1:8">
      <c r="A72" s="12"/>
      <c r="B72" s="13"/>
      <c r="C72" s="19"/>
      <c r="D72" s="19"/>
      <c r="E72" s="19"/>
      <c r="F72" s="13"/>
      <c r="G72" s="13"/>
      <c r="H72" s="25"/>
    </row>
    <row r="73" spans="1:8">
      <c r="A73" s="12"/>
      <c r="B73" s="13"/>
      <c r="C73" s="19"/>
      <c r="D73" s="19"/>
      <c r="E73" s="19"/>
      <c r="F73" s="13"/>
      <c r="G73" s="13"/>
      <c r="H73" s="25"/>
    </row>
    <row r="74" spans="1:8">
      <c r="A74" s="12"/>
      <c r="B74" s="13"/>
      <c r="C74" s="19"/>
      <c r="D74" s="19"/>
      <c r="E74" s="19"/>
      <c r="F74" s="13"/>
      <c r="G74" s="13"/>
      <c r="H74" s="25"/>
    </row>
    <row r="75" spans="1:8">
      <c r="A75" s="12"/>
      <c r="B75" s="13"/>
      <c r="C75" s="19"/>
      <c r="D75" s="19"/>
      <c r="E75" s="19"/>
      <c r="F75" s="13"/>
      <c r="G75" s="13"/>
      <c r="H75" s="25"/>
    </row>
    <row r="76" spans="1:8">
      <c r="A76" s="12"/>
      <c r="B76" s="13"/>
      <c r="C76" s="19"/>
      <c r="D76" s="19"/>
      <c r="E76" s="19"/>
      <c r="F76" s="13"/>
      <c r="G76" s="13"/>
      <c r="H76" s="25"/>
    </row>
    <row r="77" spans="1:8">
      <c r="A77" s="12"/>
      <c r="B77" s="13"/>
      <c r="C77" s="19"/>
      <c r="D77" s="19"/>
      <c r="E77" s="19"/>
      <c r="F77" s="13"/>
      <c r="G77" s="13"/>
      <c r="H77" s="25"/>
    </row>
    <row r="78" spans="1:8">
      <c r="A78" s="12"/>
      <c r="B78" s="13"/>
      <c r="C78" s="19"/>
      <c r="D78" s="19"/>
      <c r="E78" s="19"/>
      <c r="F78" s="13"/>
      <c r="G78" s="13"/>
      <c r="H78" s="25"/>
    </row>
    <row r="79" spans="1:8">
      <c r="A79" s="12"/>
      <c r="B79" s="13"/>
      <c r="C79" s="19"/>
      <c r="D79" s="19"/>
      <c r="E79" s="19"/>
      <c r="F79" s="13"/>
      <c r="G79" s="13"/>
      <c r="H79" s="25"/>
    </row>
    <row r="80" spans="1:8">
      <c r="A80" s="12"/>
      <c r="B80" s="13"/>
      <c r="C80" s="19"/>
      <c r="D80" s="19"/>
      <c r="E80" s="19"/>
      <c r="F80" s="13"/>
      <c r="G80" s="13"/>
      <c r="H80" s="25"/>
    </row>
    <row r="81" spans="1:8">
      <c r="A81" s="12"/>
      <c r="B81" s="13"/>
      <c r="C81" s="19"/>
      <c r="D81" s="19"/>
      <c r="E81" s="19"/>
      <c r="F81" s="13"/>
      <c r="G81" s="13"/>
      <c r="H81" s="25"/>
    </row>
    <row r="82" spans="1:8">
      <c r="A82" s="12"/>
      <c r="B82" s="13"/>
      <c r="C82" s="19"/>
      <c r="D82" s="19"/>
      <c r="E82" s="19"/>
      <c r="F82" s="13"/>
      <c r="G82" s="13"/>
      <c r="H82" s="25"/>
    </row>
    <row r="83" spans="1:8">
      <c r="A83" s="12"/>
      <c r="B83" s="13"/>
      <c r="C83" s="19"/>
      <c r="D83" s="19"/>
      <c r="E83" s="19"/>
      <c r="F83" s="13"/>
      <c r="G83" s="13"/>
      <c r="H83" s="25"/>
    </row>
    <row r="84" spans="1:8">
      <c r="A84" s="12"/>
      <c r="B84" s="13"/>
      <c r="C84" s="19"/>
      <c r="D84" s="19"/>
      <c r="E84" s="19"/>
      <c r="F84" s="13"/>
      <c r="G84" s="13"/>
      <c r="H84" s="25"/>
    </row>
    <row r="85" spans="1:8">
      <c r="A85" s="12"/>
      <c r="B85" s="13"/>
      <c r="C85" s="19"/>
      <c r="D85" s="19"/>
      <c r="E85" s="19"/>
      <c r="F85" s="13"/>
      <c r="G85" s="13"/>
      <c r="H85" s="25"/>
    </row>
    <row r="86" spans="1:8">
      <c r="A86" s="12"/>
      <c r="B86" s="13"/>
      <c r="C86" s="19"/>
      <c r="D86" s="19"/>
      <c r="E86" s="19"/>
      <c r="F86" s="13"/>
      <c r="G86" s="13"/>
      <c r="H86" s="25"/>
    </row>
    <row r="87" spans="1:8">
      <c r="A87" s="12"/>
      <c r="B87" s="13"/>
      <c r="C87" s="19"/>
      <c r="D87" s="19"/>
      <c r="E87" s="19"/>
      <c r="F87" s="13"/>
      <c r="G87" s="13"/>
      <c r="H87" s="25"/>
    </row>
    <row r="88" spans="1:8">
      <c r="A88" s="12"/>
      <c r="B88" s="13"/>
      <c r="C88" s="19"/>
      <c r="D88" s="19"/>
      <c r="E88" s="19"/>
      <c r="F88" s="13"/>
      <c r="G88" s="13"/>
      <c r="H88" s="25"/>
    </row>
    <row r="89" spans="1:8">
      <c r="A89" s="12"/>
      <c r="B89" s="13"/>
      <c r="C89" s="19"/>
      <c r="D89" s="19"/>
      <c r="E89" s="19"/>
      <c r="F89" s="13"/>
      <c r="G89" s="13"/>
      <c r="H89" s="25"/>
    </row>
    <row r="90" spans="1:8">
      <c r="A90" s="12"/>
      <c r="B90" s="13"/>
      <c r="C90" s="19"/>
      <c r="D90" s="19"/>
      <c r="E90" s="19"/>
      <c r="F90" s="13"/>
      <c r="G90" s="13"/>
      <c r="H90" s="25"/>
    </row>
    <row r="91" spans="1:8">
      <c r="A91" s="12"/>
      <c r="B91" s="13"/>
      <c r="C91" s="19"/>
      <c r="D91" s="19"/>
      <c r="E91" s="19"/>
      <c r="F91" s="13"/>
      <c r="G91" s="13"/>
      <c r="H91" s="25"/>
    </row>
    <row r="92" spans="1:8">
      <c r="A92" s="12"/>
      <c r="B92" s="13"/>
      <c r="C92" s="19"/>
      <c r="D92" s="19"/>
      <c r="E92" s="19"/>
      <c r="F92" s="13"/>
      <c r="G92" s="13"/>
      <c r="H92" s="25"/>
    </row>
    <row r="93" spans="1:8">
      <c r="A93" s="12"/>
      <c r="B93" s="13"/>
      <c r="C93" s="19"/>
      <c r="D93" s="19"/>
      <c r="E93" s="19"/>
      <c r="F93" s="13"/>
      <c r="G93" s="13"/>
      <c r="H93" s="25"/>
    </row>
    <row r="94" spans="1:8">
      <c r="A94" s="12"/>
      <c r="B94" s="13"/>
      <c r="C94" s="19"/>
      <c r="D94" s="19"/>
      <c r="E94" s="19"/>
      <c r="F94" s="13"/>
      <c r="G94" s="13"/>
      <c r="H94" s="25"/>
    </row>
    <row r="95" spans="1:8">
      <c r="A95" s="12"/>
      <c r="B95" s="13"/>
      <c r="C95" s="19"/>
      <c r="D95" s="19"/>
      <c r="E95" s="19"/>
      <c r="F95" s="13"/>
      <c r="G95" s="13"/>
      <c r="H95" s="25"/>
    </row>
    <row r="96" spans="1:8">
      <c r="A96" s="12"/>
      <c r="B96" s="13"/>
      <c r="C96" s="19"/>
      <c r="D96" s="19"/>
      <c r="E96" s="19"/>
      <c r="F96" s="13"/>
      <c r="G96" s="13"/>
      <c r="H96" s="25"/>
    </row>
    <row r="97" spans="1:8">
      <c r="A97" s="12"/>
      <c r="B97" s="13"/>
      <c r="C97" s="19"/>
      <c r="D97" s="19"/>
      <c r="E97" s="19"/>
      <c r="F97" s="13"/>
      <c r="G97" s="13"/>
      <c r="H97" s="25"/>
    </row>
    <row r="98" spans="1:8">
      <c r="A98" s="12"/>
      <c r="B98" s="13"/>
      <c r="C98" s="19"/>
      <c r="D98" s="19"/>
      <c r="E98" s="19"/>
      <c r="F98" s="13"/>
      <c r="G98" s="13"/>
      <c r="H98" s="25"/>
    </row>
    <row r="99" spans="1:8">
      <c r="A99" s="12"/>
      <c r="B99" s="13"/>
      <c r="C99" s="19"/>
      <c r="D99" s="19"/>
      <c r="E99" s="19"/>
      <c r="F99" s="13"/>
      <c r="G99" s="13"/>
      <c r="H99" s="25"/>
    </row>
    <row r="100" spans="1:8">
      <c r="A100" s="12"/>
      <c r="B100" s="13"/>
      <c r="C100" s="19"/>
      <c r="D100" s="19"/>
      <c r="E100" s="19"/>
      <c r="F100" s="13"/>
      <c r="G100" s="13"/>
      <c r="H100" s="25"/>
    </row>
    <row r="101" spans="1:8">
      <c r="A101" s="12"/>
      <c r="B101" s="13"/>
      <c r="C101" s="19"/>
      <c r="D101" s="19"/>
      <c r="E101" s="19"/>
      <c r="F101" s="13"/>
      <c r="G101" s="13"/>
      <c r="H101" s="25"/>
    </row>
    <row r="102" spans="1:8">
      <c r="A102" s="12"/>
      <c r="B102" s="13"/>
      <c r="C102" s="19"/>
      <c r="D102" s="19"/>
      <c r="E102" s="19"/>
      <c r="F102" s="13"/>
      <c r="G102" s="13"/>
      <c r="H102" s="25"/>
    </row>
    <row r="103" spans="1:8">
      <c r="A103" s="12"/>
      <c r="B103" s="13"/>
      <c r="C103" s="19"/>
      <c r="D103" s="19"/>
      <c r="E103" s="19"/>
      <c r="F103" s="13"/>
      <c r="G103" s="13"/>
      <c r="H103" s="25"/>
    </row>
    <row r="104" spans="1:8">
      <c r="A104" s="12"/>
      <c r="B104" s="13"/>
      <c r="C104" s="19"/>
      <c r="D104" s="19"/>
      <c r="E104" s="19"/>
      <c r="F104" s="13"/>
      <c r="G104" s="13"/>
      <c r="H104" s="25"/>
    </row>
    <row r="105" spans="1:8">
      <c r="A105" s="12"/>
      <c r="B105" s="13"/>
      <c r="C105" s="19"/>
      <c r="D105" s="19"/>
      <c r="E105" s="19"/>
      <c r="F105" s="13"/>
      <c r="G105" s="13"/>
      <c r="H105" s="25"/>
    </row>
    <row r="106" spans="1:8">
      <c r="A106" s="12"/>
      <c r="B106" s="13"/>
      <c r="C106" s="19"/>
      <c r="D106" s="19"/>
      <c r="E106" s="19"/>
      <c r="F106" s="13"/>
      <c r="G106" s="13"/>
      <c r="H106" s="25"/>
    </row>
    <row r="107" spans="1:8">
      <c r="A107" s="12"/>
      <c r="B107" s="13"/>
      <c r="C107" s="19"/>
      <c r="D107" s="19"/>
      <c r="E107" s="19"/>
      <c r="F107" s="13"/>
      <c r="G107" s="13"/>
      <c r="H107" s="25"/>
    </row>
    <row r="108" spans="1:8">
      <c r="A108" s="12"/>
      <c r="B108" s="13"/>
      <c r="C108" s="19"/>
      <c r="D108" s="19"/>
      <c r="E108" s="19"/>
      <c r="F108" s="13"/>
      <c r="G108" s="13"/>
      <c r="H108" s="25"/>
    </row>
    <row r="109" spans="1:8">
      <c r="A109" s="12"/>
      <c r="B109" s="13"/>
      <c r="C109" s="19"/>
      <c r="D109" s="19"/>
      <c r="E109" s="19"/>
      <c r="F109" s="13"/>
      <c r="G109" s="13"/>
      <c r="H109" s="25"/>
    </row>
    <row r="110" spans="1:8">
      <c r="A110" s="12"/>
      <c r="B110" s="13"/>
      <c r="C110" s="19"/>
      <c r="D110" s="19"/>
      <c r="E110" s="19"/>
      <c r="F110" s="13"/>
      <c r="G110" s="13"/>
      <c r="H110" s="25"/>
    </row>
    <row r="111" spans="1:8">
      <c r="A111" s="12"/>
      <c r="B111" s="13"/>
      <c r="C111" s="19"/>
      <c r="D111" s="19"/>
      <c r="E111" s="19"/>
      <c r="F111" s="13"/>
      <c r="G111" s="13"/>
      <c r="H111" s="25"/>
    </row>
    <row r="112" spans="1:8">
      <c r="A112" s="12"/>
      <c r="B112" s="13"/>
      <c r="C112" s="19"/>
      <c r="D112" s="19"/>
      <c r="E112" s="19"/>
      <c r="F112" s="13"/>
      <c r="G112" s="13"/>
      <c r="H112" s="25"/>
    </row>
    <row r="113" spans="1:8">
      <c r="A113" s="12"/>
      <c r="B113" s="13"/>
      <c r="C113" s="19"/>
      <c r="D113" s="19"/>
      <c r="E113" s="19"/>
      <c r="F113" s="13"/>
      <c r="G113" s="13"/>
      <c r="H113" s="25"/>
    </row>
    <row r="114" spans="1:8">
      <c r="A114" s="12"/>
      <c r="B114" s="13"/>
      <c r="C114" s="19"/>
      <c r="D114" s="19"/>
      <c r="E114" s="19"/>
      <c r="F114" s="13"/>
      <c r="G114" s="13"/>
      <c r="H114" s="25"/>
    </row>
    <row r="115" spans="1:8">
      <c r="A115" s="12"/>
      <c r="B115" s="13"/>
      <c r="C115" s="19"/>
      <c r="D115" s="19"/>
      <c r="E115" s="19"/>
      <c r="F115" s="13"/>
      <c r="G115" s="13"/>
      <c r="H115" s="25"/>
    </row>
    <row r="116" spans="1:8">
      <c r="A116" s="12"/>
      <c r="B116" s="13"/>
      <c r="C116" s="19"/>
      <c r="D116" s="19"/>
      <c r="E116" s="19"/>
      <c r="F116" s="13"/>
      <c r="G116" s="13"/>
      <c r="H116" s="25"/>
    </row>
    <row r="117" spans="1:8">
      <c r="A117" s="12"/>
      <c r="B117" s="13"/>
      <c r="C117" s="19"/>
      <c r="D117" s="19"/>
      <c r="E117" s="19"/>
      <c r="F117" s="13"/>
      <c r="G117" s="13"/>
      <c r="H117" s="25"/>
    </row>
    <row r="118" spans="1:8">
      <c r="A118" s="12"/>
      <c r="B118" s="13"/>
      <c r="C118" s="19"/>
      <c r="D118" s="19"/>
      <c r="E118" s="19"/>
      <c r="F118" s="13"/>
      <c r="G118" s="13"/>
      <c r="H118" s="25"/>
    </row>
    <row r="119" spans="1:8">
      <c r="A119" s="12"/>
      <c r="B119" s="13"/>
      <c r="C119" s="19"/>
      <c r="D119" s="19"/>
      <c r="E119" s="19"/>
      <c r="F119" s="13"/>
      <c r="G119" s="13"/>
      <c r="H119" s="25"/>
    </row>
    <row r="120" spans="1:8">
      <c r="A120" s="12"/>
      <c r="B120" s="13"/>
      <c r="C120" s="19"/>
      <c r="D120" s="19"/>
      <c r="E120" s="19"/>
      <c r="F120" s="13"/>
      <c r="G120" s="13"/>
      <c r="H120" s="25"/>
    </row>
    <row r="121" spans="1:8">
      <c r="A121" s="12"/>
      <c r="B121" s="13"/>
      <c r="C121" s="19"/>
      <c r="D121" s="19"/>
      <c r="E121" s="19"/>
      <c r="F121" s="13"/>
      <c r="G121" s="13"/>
      <c r="H121" s="25"/>
    </row>
    <row r="122" spans="1:8">
      <c r="A122" s="12"/>
      <c r="B122" s="13"/>
      <c r="C122" s="19"/>
      <c r="D122" s="19"/>
      <c r="E122" s="19"/>
      <c r="F122" s="13"/>
      <c r="G122" s="13"/>
      <c r="H122" s="25"/>
    </row>
    <row r="123" spans="1:8">
      <c r="A123" s="12"/>
      <c r="B123" s="13"/>
      <c r="C123" s="19"/>
      <c r="D123" s="19"/>
      <c r="E123" s="19"/>
      <c r="F123" s="13"/>
      <c r="G123" s="13"/>
      <c r="H123" s="25"/>
    </row>
    <row r="124" spans="1:8">
      <c r="A124" s="12"/>
      <c r="B124" s="13"/>
      <c r="C124" s="19"/>
      <c r="D124" s="19"/>
      <c r="E124" s="19"/>
      <c r="F124" s="13"/>
      <c r="G124" s="13"/>
      <c r="H124" s="25"/>
    </row>
    <row r="125" spans="1:8">
      <c r="A125" s="12"/>
      <c r="B125" s="13"/>
      <c r="C125" s="19"/>
      <c r="D125" s="19"/>
      <c r="E125" s="19"/>
      <c r="F125" s="13"/>
      <c r="G125" s="13"/>
      <c r="H125" s="25"/>
    </row>
    <row r="126" spans="1:8">
      <c r="A126" s="12"/>
      <c r="B126" s="13"/>
      <c r="C126" s="19"/>
      <c r="D126" s="19"/>
      <c r="E126" s="19"/>
      <c r="F126" s="13"/>
      <c r="G126" s="13"/>
      <c r="H126" s="25"/>
    </row>
    <row r="127" spans="1:8">
      <c r="A127" s="12"/>
      <c r="B127" s="13"/>
      <c r="C127" s="19"/>
      <c r="D127" s="19"/>
      <c r="E127" s="19"/>
      <c r="F127" s="13"/>
      <c r="G127" s="13"/>
      <c r="H127" s="25"/>
    </row>
    <row r="128" spans="1:8">
      <c r="A128" s="12"/>
      <c r="B128" s="13"/>
      <c r="C128" s="19"/>
      <c r="D128" s="19"/>
      <c r="E128" s="19"/>
      <c r="F128" s="13"/>
      <c r="G128" s="13"/>
      <c r="H128" s="25"/>
    </row>
    <row r="129" spans="1:8">
      <c r="A129" s="12"/>
      <c r="B129" s="13"/>
      <c r="C129" s="19"/>
      <c r="D129" s="19"/>
      <c r="E129" s="19"/>
      <c r="F129" s="13"/>
      <c r="G129" s="13"/>
      <c r="H129" s="25"/>
    </row>
    <row r="130" spans="1:8">
      <c r="A130" s="12"/>
      <c r="B130" s="13"/>
      <c r="C130" s="19"/>
      <c r="D130" s="19"/>
      <c r="E130" s="19"/>
      <c r="F130" s="13"/>
      <c r="G130" s="13"/>
      <c r="H130" s="25"/>
    </row>
    <row r="131" spans="1:8">
      <c r="A131" s="12"/>
      <c r="B131" s="13"/>
      <c r="C131" s="19"/>
      <c r="D131" s="19"/>
      <c r="E131" s="19"/>
      <c r="F131" s="13"/>
      <c r="G131" s="13"/>
      <c r="H131" s="25"/>
    </row>
    <row r="132" spans="1:8">
      <c r="A132" s="12"/>
      <c r="B132" s="13"/>
      <c r="C132" s="19"/>
      <c r="D132" s="19"/>
      <c r="E132" s="19"/>
      <c r="F132" s="13"/>
      <c r="G132" s="13"/>
      <c r="H132" s="25"/>
    </row>
    <row r="133" spans="1:8">
      <c r="A133" s="12"/>
      <c r="B133" s="13"/>
      <c r="C133" s="19"/>
      <c r="D133" s="19"/>
      <c r="E133" s="19"/>
      <c r="F133" s="13"/>
      <c r="G133" s="13"/>
      <c r="H133" s="25"/>
    </row>
    <row r="134" spans="1:8">
      <c r="A134" s="12"/>
      <c r="B134" s="13"/>
      <c r="C134" s="19"/>
      <c r="D134" s="19"/>
      <c r="E134" s="19"/>
      <c r="F134" s="13"/>
      <c r="G134" s="13"/>
      <c r="H134" s="25"/>
    </row>
    <row r="135" spans="1:8">
      <c r="A135" s="12"/>
      <c r="B135" s="13"/>
      <c r="C135" s="19"/>
      <c r="D135" s="19"/>
      <c r="E135" s="19"/>
      <c r="F135" s="13"/>
      <c r="G135" s="13"/>
      <c r="H135" s="25"/>
    </row>
    <row r="136" spans="1:8">
      <c r="A136" s="12"/>
      <c r="B136" s="13"/>
      <c r="C136" s="19"/>
      <c r="D136" s="19"/>
      <c r="E136" s="19"/>
      <c r="F136" s="13"/>
      <c r="G136" s="13"/>
      <c r="H136" s="25"/>
    </row>
    <row r="137" spans="1:8">
      <c r="A137" s="12"/>
      <c r="B137" s="13"/>
      <c r="C137" s="19"/>
      <c r="D137" s="19"/>
      <c r="E137" s="19"/>
      <c r="F137" s="13"/>
      <c r="G137" s="13"/>
      <c r="H137" s="25"/>
    </row>
    <row r="138" spans="1:8">
      <c r="A138" s="12"/>
      <c r="B138" s="13"/>
      <c r="C138" s="19"/>
      <c r="D138" s="19"/>
      <c r="E138" s="19"/>
      <c r="F138" s="13"/>
      <c r="G138" s="13"/>
      <c r="H138" s="25"/>
    </row>
    <row r="139" spans="1:8">
      <c r="A139" s="12"/>
      <c r="B139" s="13"/>
      <c r="C139" s="19"/>
      <c r="D139" s="19"/>
      <c r="E139" s="19"/>
      <c r="F139" s="13"/>
      <c r="G139" s="13"/>
      <c r="H139" s="25"/>
    </row>
    <row r="140" spans="1:8">
      <c r="A140" s="12"/>
      <c r="B140" s="13"/>
      <c r="C140" s="19"/>
      <c r="D140" s="19"/>
      <c r="E140" s="19"/>
      <c r="F140" s="13"/>
      <c r="G140" s="13"/>
      <c r="H140" s="25"/>
    </row>
    <row r="141" spans="1:8">
      <c r="A141" s="12"/>
      <c r="B141" s="13"/>
      <c r="C141" s="19"/>
      <c r="D141" s="19"/>
      <c r="E141" s="19"/>
      <c r="F141" s="13"/>
      <c r="G141" s="13"/>
      <c r="H141" s="25"/>
    </row>
    <row r="142" spans="1:8">
      <c r="A142" s="12"/>
      <c r="B142" s="13"/>
      <c r="C142" s="19"/>
      <c r="D142" s="19"/>
      <c r="E142" s="19"/>
      <c r="F142" s="13"/>
      <c r="G142" s="13"/>
      <c r="H142" s="25"/>
    </row>
    <row r="143" spans="1:8">
      <c r="A143" s="12"/>
      <c r="B143" s="13"/>
      <c r="C143" s="19"/>
      <c r="D143" s="19"/>
      <c r="E143" s="19"/>
      <c r="F143" s="13"/>
      <c r="G143" s="13"/>
      <c r="H143" s="25"/>
    </row>
    <row r="144" spans="1:8">
      <c r="A144" s="12"/>
      <c r="B144" s="13"/>
      <c r="C144" s="19"/>
      <c r="D144" s="19"/>
      <c r="E144" s="19"/>
      <c r="F144" s="13"/>
      <c r="G144" s="13"/>
      <c r="H144" s="25"/>
    </row>
    <row r="145" spans="1:8">
      <c r="A145" s="12"/>
      <c r="B145" s="13"/>
      <c r="C145" s="19"/>
      <c r="D145" s="19"/>
      <c r="E145" s="19"/>
      <c r="F145" s="13"/>
      <c r="G145" s="13"/>
      <c r="H145" s="25"/>
    </row>
    <row r="146" spans="1:8">
      <c r="A146" s="12"/>
      <c r="B146" s="13"/>
      <c r="C146" s="19"/>
      <c r="D146" s="19"/>
      <c r="E146" s="19"/>
      <c r="F146" s="13"/>
      <c r="G146" s="13"/>
      <c r="H146" s="25"/>
    </row>
    <row r="147" spans="1:8">
      <c r="A147" s="12"/>
      <c r="B147" s="13"/>
      <c r="C147" s="19"/>
      <c r="D147" s="19"/>
      <c r="E147" s="19"/>
      <c r="F147" s="13"/>
      <c r="G147" s="13"/>
      <c r="H147" s="25"/>
    </row>
    <row r="148" spans="1:8">
      <c r="A148" s="12"/>
      <c r="B148" s="13"/>
      <c r="C148" s="19"/>
      <c r="D148" s="19"/>
      <c r="E148" s="19"/>
      <c r="F148" s="13"/>
      <c r="G148" s="13"/>
      <c r="H148" s="25"/>
    </row>
    <row r="149" spans="1:8">
      <c r="A149" s="12"/>
      <c r="B149" s="13"/>
      <c r="C149" s="19"/>
      <c r="D149" s="19"/>
      <c r="E149" s="19"/>
      <c r="F149" s="13"/>
      <c r="G149" s="13"/>
      <c r="H149" s="25"/>
    </row>
    <row r="150" spans="1:8">
      <c r="A150" s="12"/>
      <c r="B150" s="13"/>
      <c r="C150" s="19"/>
      <c r="D150" s="19"/>
      <c r="E150" s="19"/>
      <c r="F150" s="13"/>
      <c r="G150" s="13"/>
      <c r="H150" s="25"/>
    </row>
    <row r="151" spans="1:8">
      <c r="A151" s="12"/>
      <c r="B151" s="13"/>
      <c r="C151" s="19"/>
      <c r="D151" s="19"/>
      <c r="E151" s="19"/>
      <c r="F151" s="13"/>
      <c r="G151" s="13"/>
      <c r="H151" s="25"/>
    </row>
    <row r="152" spans="1:8">
      <c r="A152" s="12"/>
      <c r="B152" s="13"/>
      <c r="C152" s="19"/>
      <c r="D152" s="19"/>
      <c r="E152" s="19"/>
      <c r="F152" s="13"/>
      <c r="G152" s="13"/>
      <c r="H152" s="25"/>
    </row>
    <row r="153" spans="1:8">
      <c r="A153" s="12"/>
      <c r="B153" s="13"/>
      <c r="C153" s="19"/>
      <c r="D153" s="19"/>
      <c r="E153" s="19"/>
      <c r="F153" s="13"/>
      <c r="G153" s="13"/>
      <c r="H153" s="25"/>
    </row>
    <row r="154" spans="1:8">
      <c r="A154" s="12"/>
      <c r="B154" s="13"/>
      <c r="C154" s="19"/>
      <c r="D154" s="19"/>
      <c r="E154" s="19"/>
      <c r="F154" s="13"/>
      <c r="G154" s="13"/>
      <c r="H154" s="25"/>
    </row>
    <row r="155" spans="1:8">
      <c r="A155" s="12"/>
      <c r="B155" s="13"/>
      <c r="C155" s="19"/>
      <c r="D155" s="19"/>
      <c r="E155" s="19"/>
      <c r="F155" s="13"/>
      <c r="G155" s="13"/>
      <c r="H155" s="25"/>
    </row>
    <row r="156" spans="1:8">
      <c r="A156" s="15"/>
      <c r="B156" s="16"/>
      <c r="C156" s="20"/>
      <c r="D156" s="20"/>
      <c r="E156" s="20"/>
      <c r="F156" s="16"/>
      <c r="G156" s="16"/>
      <c r="H156" s="26"/>
    </row>
    <row r="157" spans="1:8">
      <c r="A157" s="120" t="s">
        <v>1421</v>
      </c>
      <c r="B157" s="120"/>
      <c r="C157" s="120"/>
      <c r="D157" s="120"/>
      <c r="E157" s="120"/>
      <c r="F157" s="120"/>
      <c r="G157" s="120"/>
      <c r="H157" s="32">
        <f>SUM(H7:H156)</f>
        <v>12912.8620833203</v>
      </c>
    </row>
  </sheetData>
  <mergeCells count="3">
    <mergeCell ref="A1:H1"/>
    <mergeCell ref="A2:H2"/>
    <mergeCell ref="A157:G15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"/>
  <sheetViews>
    <sheetView showGridLines="0" workbookViewId="0">
      <selection activeCell="I16" sqref="I16"/>
    </sheetView>
  </sheetViews>
  <sheetFormatPr defaultRowHeight="14.1"/>
  <cols>
    <col min="1" max="1" width="7.875" customWidth="1"/>
    <col min="2" max="8" width="17" customWidth="1"/>
  </cols>
  <sheetData>
    <row r="1" spans="1:8" ht="30" customHeight="1">
      <c r="A1" s="46" t="s">
        <v>1422</v>
      </c>
      <c r="B1" s="46"/>
      <c r="C1" s="46"/>
      <c r="D1" s="46"/>
      <c r="E1" s="46"/>
      <c r="F1" s="46"/>
      <c r="G1" s="46"/>
      <c r="H1" s="46"/>
    </row>
    <row r="2" spans="1:8" ht="33.950000000000003" customHeight="1">
      <c r="A2" s="47" t="s">
        <v>1423</v>
      </c>
      <c r="B2" s="47"/>
      <c r="C2" s="47"/>
      <c r="D2" s="47"/>
      <c r="E2" s="47"/>
      <c r="F2" s="47"/>
      <c r="G2" s="47"/>
      <c r="H2" s="47"/>
    </row>
    <row r="4" spans="1:8">
      <c r="A4" s="48" t="s">
        <v>1424</v>
      </c>
      <c r="B4" s="49"/>
      <c r="C4" s="49"/>
      <c r="D4" s="49"/>
      <c r="E4" s="49"/>
      <c r="F4" s="49"/>
      <c r="G4" s="49"/>
      <c r="H4" s="50"/>
    </row>
    <row r="6" spans="1:8">
      <c r="A6" s="80" t="s">
        <v>1425</v>
      </c>
      <c r="B6" s="81" t="s">
        <v>1426</v>
      </c>
      <c r="C6" s="82"/>
      <c r="D6" s="82"/>
      <c r="E6" s="82"/>
      <c r="F6" s="82"/>
      <c r="G6" s="82"/>
      <c r="H6" s="83"/>
    </row>
    <row r="7" spans="1:8">
      <c r="A7" s="80"/>
      <c r="B7" s="84"/>
      <c r="C7" s="85"/>
      <c r="D7" s="85"/>
      <c r="E7" s="85"/>
      <c r="F7" s="85"/>
      <c r="G7" s="85"/>
      <c r="H7" s="86"/>
    </row>
    <row r="8" spans="1:8">
      <c r="A8" s="80" t="s">
        <v>1427</v>
      </c>
      <c r="B8" s="87" t="s">
        <v>1428</v>
      </c>
      <c r="C8" s="88"/>
      <c r="D8" s="88"/>
      <c r="E8" s="88"/>
      <c r="F8" s="88"/>
      <c r="G8" s="88"/>
      <c r="H8" s="89"/>
    </row>
    <row r="9" spans="1:8">
      <c r="A9" s="80"/>
      <c r="B9" s="90"/>
      <c r="C9" s="91"/>
      <c r="D9" s="91"/>
      <c r="E9" s="91"/>
      <c r="F9" s="91"/>
      <c r="G9" s="91"/>
      <c r="H9" s="92"/>
    </row>
    <row r="10" spans="1:8">
      <c r="A10" s="80" t="s">
        <v>1429</v>
      </c>
      <c r="B10" s="81" t="s">
        <v>1430</v>
      </c>
      <c r="C10" s="82"/>
      <c r="D10" s="82"/>
      <c r="E10" s="82"/>
      <c r="F10" s="82"/>
      <c r="G10" s="82"/>
      <c r="H10" s="83"/>
    </row>
    <row r="11" spans="1:8">
      <c r="A11" s="80"/>
      <c r="B11" s="84"/>
      <c r="C11" s="85"/>
      <c r="D11" s="85"/>
      <c r="E11" s="85"/>
      <c r="F11" s="85"/>
      <c r="G11" s="85"/>
      <c r="H11" s="86"/>
    </row>
    <row r="12" spans="1:8">
      <c r="A12" s="80" t="s">
        <v>1431</v>
      </c>
      <c r="B12" s="87" t="s">
        <v>1432</v>
      </c>
      <c r="C12" s="88"/>
      <c r="D12" s="88"/>
      <c r="E12" s="88"/>
      <c r="F12" s="88"/>
      <c r="G12" s="88"/>
      <c r="H12" s="89"/>
    </row>
    <row r="13" spans="1:8">
      <c r="A13" s="80"/>
      <c r="B13" s="90"/>
      <c r="C13" s="91"/>
      <c r="D13" s="91"/>
      <c r="E13" s="91"/>
      <c r="F13" s="91"/>
      <c r="G13" s="91"/>
      <c r="H13" s="92"/>
    </row>
    <row r="14" spans="1:8">
      <c r="A14" s="80" t="s">
        <v>1433</v>
      </c>
      <c r="B14" s="81" t="s">
        <v>1434</v>
      </c>
      <c r="C14" s="82"/>
      <c r="D14" s="82"/>
      <c r="E14" s="82"/>
      <c r="F14" s="82"/>
      <c r="G14" s="82"/>
      <c r="H14" s="83"/>
    </row>
    <row r="15" spans="1:8">
      <c r="A15" s="80"/>
      <c r="B15" s="84"/>
      <c r="C15" s="85"/>
      <c r="D15" s="85"/>
      <c r="E15" s="85"/>
      <c r="F15" s="85"/>
      <c r="G15" s="85"/>
      <c r="H15" s="86"/>
    </row>
    <row r="16" spans="1:8">
      <c r="A16" s="80" t="s">
        <v>1435</v>
      </c>
      <c r="B16" s="87" t="s">
        <v>1436</v>
      </c>
      <c r="C16" s="88"/>
      <c r="D16" s="88"/>
      <c r="E16" s="88"/>
      <c r="F16" s="88"/>
      <c r="G16" s="88"/>
      <c r="H16" s="89"/>
    </row>
    <row r="17" spans="1:8">
      <c r="A17" s="80"/>
      <c r="B17" s="90"/>
      <c r="C17" s="91"/>
      <c r="D17" s="91"/>
      <c r="E17" s="91"/>
      <c r="F17" s="91"/>
      <c r="G17" s="91"/>
      <c r="H17" s="92"/>
    </row>
    <row r="18" spans="1:8">
      <c r="A18" s="80" t="s">
        <v>1437</v>
      </c>
      <c r="B18" s="81" t="s">
        <v>1438</v>
      </c>
      <c r="C18" s="82"/>
      <c r="D18" s="82"/>
      <c r="E18" s="82"/>
      <c r="F18" s="82"/>
      <c r="G18" s="82"/>
      <c r="H18" s="83"/>
    </row>
    <row r="19" spans="1:8">
      <c r="A19" s="80"/>
      <c r="B19" s="84"/>
      <c r="C19" s="85"/>
      <c r="D19" s="85"/>
      <c r="E19" s="85"/>
      <c r="F19" s="85"/>
      <c r="G19" s="85"/>
      <c r="H19" s="86"/>
    </row>
    <row r="22" spans="1:8">
      <c r="A22" s="93" t="s">
        <v>1439</v>
      </c>
      <c r="B22" s="94"/>
      <c r="C22" s="94"/>
      <c r="D22" s="94"/>
      <c r="E22" s="94"/>
      <c r="F22" s="94"/>
      <c r="G22" s="94"/>
      <c r="H22" s="95"/>
    </row>
    <row r="23" spans="1:8">
      <c r="A23" s="96"/>
      <c r="B23" s="97"/>
      <c r="C23" s="97"/>
      <c r="D23" s="97"/>
      <c r="E23" s="97"/>
      <c r="F23" s="97"/>
      <c r="G23" s="97"/>
      <c r="H23" s="98"/>
    </row>
    <row r="24" spans="1:8">
      <c r="A24" s="99"/>
      <c r="B24" s="100"/>
      <c r="C24" s="100"/>
      <c r="D24" s="100"/>
      <c r="E24" s="100"/>
      <c r="F24" s="100"/>
      <c r="G24" s="100"/>
      <c r="H24" s="101"/>
    </row>
    <row r="26" spans="1:8">
      <c r="A26" s="102" t="s">
        <v>1440</v>
      </c>
      <c r="B26" s="103"/>
      <c r="C26" s="103"/>
      <c r="D26" s="103"/>
      <c r="E26" s="103"/>
      <c r="F26" s="103"/>
      <c r="G26" s="103"/>
      <c r="H26" s="104"/>
    </row>
    <row r="27" spans="1:8">
      <c r="A27" s="105"/>
      <c r="B27" s="106"/>
      <c r="C27" s="106"/>
      <c r="D27" s="106"/>
      <c r="E27" s="106"/>
      <c r="F27" s="106"/>
      <c r="G27" s="106"/>
      <c r="H27" s="107"/>
    </row>
    <row r="28" spans="1:8">
      <c r="A28" s="108"/>
      <c r="B28" s="109"/>
      <c r="C28" s="109"/>
      <c r="D28" s="109"/>
      <c r="E28" s="109"/>
      <c r="F28" s="109"/>
      <c r="G28" s="109"/>
      <c r="H28" s="110"/>
    </row>
    <row r="30" spans="1:8">
      <c r="A30" s="111" t="s">
        <v>1441</v>
      </c>
      <c r="B30" s="112"/>
      <c r="C30" s="112"/>
      <c r="D30" s="112"/>
      <c r="E30" s="112"/>
      <c r="F30" s="112"/>
      <c r="G30" s="112"/>
      <c r="H30" s="113"/>
    </row>
    <row r="31" spans="1:8">
      <c r="A31" s="114"/>
      <c r="B31" s="115"/>
      <c r="C31" s="115"/>
      <c r="D31" s="115"/>
      <c r="E31" s="115"/>
      <c r="F31" s="115"/>
      <c r="G31" s="115"/>
      <c r="H31" s="116"/>
    </row>
    <row r="32" spans="1:8">
      <c r="A32" s="114"/>
      <c r="B32" s="115"/>
      <c r="C32" s="115"/>
      <c r="D32" s="115"/>
      <c r="E32" s="115"/>
      <c r="F32" s="115"/>
      <c r="G32" s="115"/>
      <c r="H32" s="116"/>
    </row>
    <row r="33" spans="1:8">
      <c r="A33" s="114"/>
      <c r="B33" s="115"/>
      <c r="C33" s="115"/>
      <c r="D33" s="115"/>
      <c r="E33" s="115"/>
      <c r="F33" s="115"/>
      <c r="G33" s="115"/>
      <c r="H33" s="116"/>
    </row>
    <row r="34" spans="1:8">
      <c r="A34" s="117"/>
      <c r="B34" s="118"/>
      <c r="C34" s="118"/>
      <c r="D34" s="118"/>
      <c r="E34" s="118"/>
      <c r="F34" s="118"/>
      <c r="G34" s="118"/>
      <c r="H34" s="119"/>
    </row>
  </sheetData>
  <mergeCells count="20">
    <mergeCell ref="A22:H24"/>
    <mergeCell ref="A26:H28"/>
    <mergeCell ref="A30:H34"/>
    <mergeCell ref="A14:A15"/>
    <mergeCell ref="B14:H15"/>
    <mergeCell ref="A16:A17"/>
    <mergeCell ref="B16:H17"/>
    <mergeCell ref="A18:A19"/>
    <mergeCell ref="B18:H19"/>
    <mergeCell ref="A8:A9"/>
    <mergeCell ref="B8:H9"/>
    <mergeCell ref="A10:A11"/>
    <mergeCell ref="B10:H11"/>
    <mergeCell ref="A12:A13"/>
    <mergeCell ref="B12:H13"/>
    <mergeCell ref="A1:H1"/>
    <mergeCell ref="A2:H2"/>
    <mergeCell ref="A4:H4"/>
    <mergeCell ref="A6:A7"/>
    <mergeCell ref="B6:H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7"/>
  <sheetViews>
    <sheetView showGridLines="0" workbookViewId="0">
      <selection activeCell="A2" sqref="A2:A108"/>
    </sheetView>
  </sheetViews>
  <sheetFormatPr defaultRowHeight="14.1"/>
  <cols>
    <col min="1" max="1" width="120" customWidth="1"/>
  </cols>
  <sheetData>
    <row r="1" spans="1:1" ht="30" customHeight="1">
      <c r="A1" s="34" t="s">
        <v>1442</v>
      </c>
    </row>
    <row r="2" spans="1:1" ht="33.950000000000003" customHeight="1">
      <c r="A2" s="7" t="s">
        <v>1443</v>
      </c>
    </row>
    <row r="3" spans="1:1">
      <c r="A3" s="8" t="s">
        <v>1444</v>
      </c>
    </row>
    <row r="4" spans="1:1">
      <c r="A4" s="8" t="s">
        <v>1445</v>
      </c>
    </row>
    <row r="5" spans="1:1">
      <c r="A5" s="8" t="s">
        <v>1446</v>
      </c>
    </row>
    <row r="6" spans="1:1">
      <c r="A6" s="8" t="s">
        <v>1447</v>
      </c>
    </row>
    <row r="7" spans="1:1">
      <c r="A7" s="8" t="s">
        <v>1448</v>
      </c>
    </row>
    <row r="8" spans="1:1">
      <c r="A8" s="8" t="s">
        <v>1449</v>
      </c>
    </row>
    <row r="9" spans="1:1">
      <c r="A9" s="8" t="s">
        <v>1450</v>
      </c>
    </row>
    <row r="10" spans="1:1">
      <c r="A10" s="8" t="s">
        <v>1451</v>
      </c>
    </row>
    <row r="11" spans="1:1">
      <c r="A11" s="8" t="s">
        <v>1452</v>
      </c>
    </row>
    <row r="12" spans="1:1">
      <c r="A12" s="8" t="s">
        <v>1453</v>
      </c>
    </row>
    <row r="13" spans="1:1">
      <c r="A13" s="8" t="s">
        <v>1454</v>
      </c>
    </row>
    <row r="14" spans="1:1">
      <c r="A14" s="8" t="s">
        <v>1455</v>
      </c>
    </row>
    <row r="15" spans="1:1">
      <c r="A15" s="8" t="s">
        <v>1456</v>
      </c>
    </row>
    <row r="16" spans="1:1">
      <c r="A16" s="8" t="s">
        <v>1457</v>
      </c>
    </row>
    <row r="17" spans="1:1">
      <c r="A17" s="8" t="s">
        <v>1458</v>
      </c>
    </row>
    <row r="18" spans="1:1">
      <c r="A18" s="8" t="s">
        <v>1459</v>
      </c>
    </row>
    <row r="19" spans="1:1">
      <c r="A19" s="8" t="s">
        <v>1460</v>
      </c>
    </row>
    <row r="20" spans="1:1">
      <c r="A20" s="8" t="s">
        <v>1461</v>
      </c>
    </row>
    <row r="21" spans="1:1">
      <c r="A21" s="8" t="s">
        <v>1462</v>
      </c>
    </row>
    <row r="22" spans="1:1">
      <c r="A22" s="8" t="s">
        <v>1463</v>
      </c>
    </row>
    <row r="23" spans="1:1">
      <c r="A23" s="8" t="s">
        <v>1464</v>
      </c>
    </row>
    <row r="24" spans="1:1">
      <c r="A24" s="8" t="s">
        <v>1465</v>
      </c>
    </row>
    <row r="25" spans="1:1">
      <c r="A25" s="8" t="s">
        <v>1466</v>
      </c>
    </row>
    <row r="26" spans="1:1">
      <c r="A26" s="8" t="s">
        <v>1467</v>
      </c>
    </row>
    <row r="27" spans="1:1">
      <c r="A27" s="8" t="s">
        <v>1468</v>
      </c>
    </row>
    <row r="28" spans="1:1">
      <c r="A28" s="8" t="s">
        <v>1469</v>
      </c>
    </row>
    <row r="29" spans="1:1">
      <c r="A29" s="8" t="s">
        <v>1470</v>
      </c>
    </row>
    <row r="30" spans="1:1">
      <c r="A30" s="8" t="s">
        <v>1471</v>
      </c>
    </row>
    <row r="31" spans="1:1">
      <c r="A31" s="8" t="s">
        <v>1472</v>
      </c>
    </row>
    <row r="32" spans="1:1">
      <c r="A32" s="8" t="s">
        <v>1473</v>
      </c>
    </row>
    <row r="33" spans="1:1">
      <c r="A33" s="8" t="s">
        <v>1474</v>
      </c>
    </row>
    <row r="34" spans="1:1">
      <c r="A34" s="8" t="s">
        <v>1475</v>
      </c>
    </row>
    <row r="35" spans="1:1">
      <c r="A35" s="8" t="s">
        <v>1476</v>
      </c>
    </row>
    <row r="36" spans="1:1">
      <c r="A36" s="8" t="s">
        <v>1477</v>
      </c>
    </row>
    <row r="37" spans="1:1">
      <c r="A37" s="8" t="s">
        <v>1478</v>
      </c>
    </row>
    <row r="38" spans="1:1">
      <c r="A38" s="8" t="s">
        <v>1479</v>
      </c>
    </row>
    <row r="39" spans="1:1">
      <c r="A39" s="8" t="s">
        <v>1480</v>
      </c>
    </row>
    <row r="40" spans="1:1">
      <c r="A40" s="8" t="s">
        <v>1481</v>
      </c>
    </row>
    <row r="41" spans="1:1">
      <c r="A41" s="8" t="s">
        <v>1482</v>
      </c>
    </row>
    <row r="42" spans="1:1">
      <c r="A42" s="8" t="s">
        <v>1483</v>
      </c>
    </row>
    <row r="43" spans="1:1">
      <c r="A43" s="8" t="s">
        <v>1484</v>
      </c>
    </row>
    <row r="44" spans="1:1">
      <c r="A44" s="8" t="s">
        <v>1485</v>
      </c>
    </row>
    <row r="45" spans="1:1">
      <c r="A45" s="8" t="s">
        <v>1486</v>
      </c>
    </row>
    <row r="46" spans="1:1">
      <c r="A46" s="8" t="s">
        <v>1458</v>
      </c>
    </row>
    <row r="47" spans="1:1">
      <c r="A47" s="8" t="s">
        <v>1487</v>
      </c>
    </row>
    <row r="48" spans="1:1">
      <c r="A48" s="8" t="s">
        <v>1488</v>
      </c>
    </row>
    <row r="49" spans="1:1">
      <c r="A49" s="8" t="s">
        <v>1489</v>
      </c>
    </row>
    <row r="50" spans="1:1">
      <c r="A50" s="8" t="s">
        <v>1490</v>
      </c>
    </row>
    <row r="51" spans="1:1">
      <c r="A51" s="8" t="s">
        <v>1491</v>
      </c>
    </row>
    <row r="52" spans="1:1">
      <c r="A52" s="8" t="s">
        <v>1492</v>
      </c>
    </row>
    <row r="53" spans="1:1">
      <c r="A53" s="8" t="s">
        <v>1493</v>
      </c>
    </row>
    <row r="54" spans="1:1">
      <c r="A54" s="8" t="s">
        <v>1494</v>
      </c>
    </row>
    <row r="55" spans="1:1">
      <c r="A55" s="8" t="s">
        <v>1495</v>
      </c>
    </row>
    <row r="56" spans="1:1">
      <c r="A56" s="8" t="s">
        <v>1496</v>
      </c>
    </row>
    <row r="57" spans="1:1">
      <c r="A57" s="8" t="s">
        <v>1497</v>
      </c>
    </row>
    <row r="58" spans="1:1">
      <c r="A58" s="8" t="s">
        <v>1498</v>
      </c>
    </row>
    <row r="59" spans="1:1">
      <c r="A59" s="8" t="s">
        <v>1499</v>
      </c>
    </row>
    <row r="60" spans="1:1">
      <c r="A60" s="8" t="s">
        <v>1500</v>
      </c>
    </row>
    <row r="61" spans="1:1">
      <c r="A61" s="8" t="s">
        <v>1501</v>
      </c>
    </row>
    <row r="62" spans="1:1">
      <c r="A62" s="8" t="s">
        <v>1458</v>
      </c>
    </row>
    <row r="63" spans="1:1">
      <c r="A63" s="8" t="s">
        <v>1502</v>
      </c>
    </row>
    <row r="64" spans="1:1">
      <c r="A64" s="8" t="s">
        <v>1503</v>
      </c>
    </row>
    <row r="65" spans="1:1">
      <c r="A65" s="8" t="s">
        <v>1504</v>
      </c>
    </row>
    <row r="66" spans="1:1">
      <c r="A66" s="8" t="s">
        <v>1505</v>
      </c>
    </row>
    <row r="67" spans="1:1">
      <c r="A67" s="8" t="s">
        <v>1506</v>
      </c>
    </row>
    <row r="68" spans="1:1">
      <c r="A68" s="8" t="s">
        <v>1507</v>
      </c>
    </row>
    <row r="69" spans="1:1">
      <c r="A69" s="8" t="s">
        <v>1508</v>
      </c>
    </row>
    <row r="70" spans="1:1">
      <c r="A70" s="8" t="s">
        <v>1509</v>
      </c>
    </row>
    <row r="71" spans="1:1">
      <c r="A71" s="8" t="s">
        <v>1510</v>
      </c>
    </row>
    <row r="72" spans="1:1">
      <c r="A72" s="8" t="s">
        <v>1511</v>
      </c>
    </row>
    <row r="73" spans="1:1">
      <c r="A73" t="s">
        <v>1512</v>
      </c>
    </row>
    <row r="74" spans="1:1">
      <c r="A74" t="s">
        <v>1513</v>
      </c>
    </row>
    <row r="75" spans="1:1">
      <c r="A75" t="s">
        <v>1514</v>
      </c>
    </row>
    <row r="76" spans="1:1">
      <c r="A76" t="s">
        <v>1515</v>
      </c>
    </row>
    <row r="77" spans="1:1">
      <c r="A77" t="s">
        <v>1516</v>
      </c>
    </row>
    <row r="78" spans="1:1">
      <c r="A78" t="s">
        <v>1458</v>
      </c>
    </row>
    <row r="79" spans="1:1">
      <c r="A79" t="s">
        <v>1517</v>
      </c>
    </row>
    <row r="80" spans="1:1">
      <c r="A80" t="s">
        <v>1518</v>
      </c>
    </row>
    <row r="81" spans="1:1">
      <c r="A81" t="s">
        <v>1519</v>
      </c>
    </row>
    <row r="82" spans="1:1">
      <c r="A82" t="s">
        <v>1520</v>
      </c>
    </row>
    <row r="83" spans="1:1">
      <c r="A83" t="s">
        <v>1521</v>
      </c>
    </row>
    <row r="84" spans="1:1">
      <c r="A84" t="s">
        <v>1522</v>
      </c>
    </row>
    <row r="85" spans="1:1">
      <c r="A85" t="s">
        <v>1523</v>
      </c>
    </row>
    <row r="86" spans="1:1">
      <c r="A86" t="s">
        <v>1524</v>
      </c>
    </row>
    <row r="87" spans="1:1">
      <c r="A87" t="s">
        <v>1525</v>
      </c>
    </row>
    <row r="88" spans="1:1">
      <c r="A88" t="s">
        <v>1526</v>
      </c>
    </row>
    <row r="89" spans="1:1">
      <c r="A89" t="s">
        <v>1527</v>
      </c>
    </row>
    <row r="90" spans="1:1">
      <c r="A90" t="s">
        <v>1528</v>
      </c>
    </row>
    <row r="91" spans="1:1">
      <c r="A91" t="s">
        <v>1529</v>
      </c>
    </row>
    <row r="92" spans="1:1">
      <c r="A92" t="s">
        <v>1530</v>
      </c>
    </row>
    <row r="93" spans="1:1">
      <c r="A93" t="s">
        <v>1531</v>
      </c>
    </row>
    <row r="94" spans="1:1">
      <c r="A94" t="s">
        <v>1532</v>
      </c>
    </row>
    <row r="95" spans="1:1">
      <c r="A95" t="s">
        <v>1533</v>
      </c>
    </row>
    <row r="96" spans="1:1">
      <c r="A96" t="s">
        <v>1534</v>
      </c>
    </row>
    <row r="97" spans="1:1">
      <c r="A97" t="s">
        <v>1535</v>
      </c>
    </row>
    <row r="98" spans="1:1">
      <c r="A98" t="s">
        <v>1536</v>
      </c>
    </row>
    <row r="99" spans="1:1">
      <c r="A99" t="s">
        <v>1458</v>
      </c>
    </row>
    <row r="100" spans="1:1">
      <c r="A100" t="s">
        <v>1537</v>
      </c>
    </row>
    <row r="101" spans="1:1">
      <c r="A101" t="s">
        <v>1538</v>
      </c>
    </row>
    <row r="102" spans="1:1">
      <c r="A102" t="s">
        <v>1539</v>
      </c>
    </row>
    <row r="103" spans="1:1">
      <c r="A103" t="s">
        <v>1540</v>
      </c>
    </row>
    <row r="104" spans="1:1">
      <c r="A104" t="s">
        <v>1541</v>
      </c>
    </row>
    <row r="105" spans="1:1">
      <c r="A105" t="s">
        <v>1542</v>
      </c>
    </row>
    <row r="106" spans="1:1">
      <c r="A106" t="s">
        <v>1543</v>
      </c>
    </row>
    <row r="107" spans="1:1">
      <c r="A107" t="s">
        <v>1458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5IC62F2EONLXL7UYZZAYGWYM6RBZYN2P:ms-officescript%3A%2F%2Fonedrive_business_sharinglink%2Fu!aHR0cHM6Ly9zYWRhY29ycC1teS5zaGFyZXBvaW50LmNvbS86dTovZy9wZXJzb25hbC9wYXRyaWNpYV9maWd1ZWlyZWRvX2RhdGF0ZW1wb19jb21fYnIvSVFCRWMxZDFfcGpPUVlOYkRQUkRuRGRQQWVtU05MUS0xWkIyeDhrSFRwRzhKTDA"/>
</scriptId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455F4F8719E842910807FE58C77F55" ma:contentTypeVersion="16" ma:contentTypeDescription="Create a new document." ma:contentTypeScope="" ma:versionID="bda437da1f0e958cf808842f0bcf9131">
  <xsd:schema xmlns:xsd="http://www.w3.org/2001/XMLSchema" xmlns:xs="http://www.w3.org/2001/XMLSchema" xmlns:p="http://schemas.microsoft.com/office/2006/metadata/properties" xmlns:ns2="2117aa22-4f11-4ef1-bfd6-cd73ae4a3076" xmlns:ns3="38e641a7-69b6-4984-9eb9-14f8171c6c4d" targetNamespace="http://schemas.microsoft.com/office/2006/metadata/properties" ma:root="true" ma:fieldsID="e42edfc1eac92bcecf2111e37589339a" ns2:_="" ns3:_="">
    <xsd:import namespace="2117aa22-4f11-4ef1-bfd6-cd73ae4a3076"/>
    <xsd:import namespace="38e641a7-69b6-4984-9eb9-14f8171c6c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7aa22-4f11-4ef1-bfd6-cd73ae4a30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4189fc5-3f21-48a4-bca3-691203a38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e641a7-69b6-4984-9eb9-14f8171c6c4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5f21b20-9bef-4e08-b04c-60dcc86863ad}" ma:internalName="TaxCatchAll" ma:showField="CatchAllData" ma:web="38e641a7-69b6-4984-9eb9-14f8171c6c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17aa22-4f11-4ef1-bfd6-cd73ae4a3076">
      <Terms xmlns="http://schemas.microsoft.com/office/infopath/2007/PartnerControls"/>
    </lcf76f155ced4ddcb4097134ff3c332f>
    <TaxCatchAll xmlns="38e641a7-69b6-4984-9eb9-14f8171c6c4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BBE01B-D352-46DD-AC12-CE9A56CDCC55}"/>
</file>

<file path=customXml/itemProps2.xml><?xml version="1.0" encoding="utf-8"?>
<ds:datastoreItem xmlns:ds="http://schemas.openxmlformats.org/officeDocument/2006/customXml" ds:itemID="{646E75E6-9085-402B-ACB3-25645569F792}"/>
</file>

<file path=customXml/itemProps3.xml><?xml version="1.0" encoding="utf-8"?>
<ds:datastoreItem xmlns:ds="http://schemas.openxmlformats.org/officeDocument/2006/customXml" ds:itemID="{A81BE812-3FF8-477F-98BA-351FFF570FAB}"/>
</file>

<file path=customXml/itemProps4.xml><?xml version="1.0" encoding="utf-8"?>
<ds:datastoreItem xmlns:ds="http://schemas.openxmlformats.org/officeDocument/2006/customXml" ds:itemID="{BD42688A-A850-43A6-A8FF-8DEB51A95304}"/>
</file>

<file path=docMetadata/LabelInfo.xml><?xml version="1.0" encoding="utf-8"?>
<clbl:labelList xmlns:clbl="http://schemas.microsoft.com/office/2020/mipLabelMetadata">
  <clbl:label id="{4198ecdb-379e-4e6d-8ae3-b710a7e51541}" enabled="0" method="" siteId="{4198ecdb-379e-4e6d-8ae3-b710a7e515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2026-08-25T19:11:31Z</dcterms:created>
  <dcterms:modified xsi:type="dcterms:W3CDTF">2026-09-28T20:53:27Z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0x010100A2455F4F8719E842910807FE58C77F55</vt:lpwstr>
  </property>
  <property fmtid="{D5CDD505-2E9C-101B-9397-08002B2CF9AE}" pid="3" name="MediaServiceImageTags">
    <vt:lpwstr/>
  </property>
</Properties>
</file>
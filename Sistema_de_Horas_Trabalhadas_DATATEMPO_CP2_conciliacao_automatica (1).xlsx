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P2\sistema_ponto\"/>
    </mc:Choice>
  </mc:AlternateContent>
  <xr:revisionPtr revIDLastSave="0" documentId="8_{67FFF247-59C5-4E76-AE14-A366818962C7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Registrar Ponto" sheetId="1" r:id="rId1"/>
    <sheet name="Cartão de Ponto" sheetId="2" r:id="rId2"/>
    <sheet name="Resumo Pagamentos" sheetId="3" r:id="rId3"/>
    <sheet name="Custo por Projeto" sheetId="4" r:id="rId4"/>
    <sheet name="Registros" sheetId="5" r:id="rId5"/>
    <sheet name="Batidas" sheetId="6" r:id="rId6"/>
    <sheet name="Conferência" sheetId="7" r:id="rId7"/>
    <sheet name="Cadastro Pessoas" sheetId="8" r:id="rId8"/>
    <sheet name="Cadastro Projetos" sheetId="9" r:id="rId9"/>
    <sheet name="Cadastro Atividades" sheetId="10" r:id="rId10"/>
    <sheet name="Configuração" sheetId="11" r:id="rId11"/>
    <sheet name="Office Scrip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12" i="6" l="1"/>
  <c r="C812" i="6"/>
  <c r="D812" i="6" s="1"/>
  <c r="M811" i="6"/>
  <c r="C811" i="6"/>
  <c r="D811" i="6" s="1"/>
  <c r="M810" i="6"/>
  <c r="C810" i="6"/>
  <c r="D810" i="6" s="1"/>
  <c r="M809" i="6"/>
  <c r="C809" i="6"/>
  <c r="D809" i="6" s="1"/>
  <c r="M808" i="6"/>
  <c r="C808" i="6"/>
  <c r="D808" i="6" s="1"/>
  <c r="M807" i="6"/>
  <c r="C807" i="6"/>
  <c r="D807" i="6" s="1"/>
  <c r="M806" i="6"/>
  <c r="C806" i="6"/>
  <c r="D806" i="6" s="1"/>
  <c r="M805" i="6"/>
  <c r="C805" i="6"/>
  <c r="D805" i="6" s="1"/>
  <c r="M804" i="6"/>
  <c r="C804" i="6"/>
  <c r="D804" i="6" s="1"/>
  <c r="M803" i="6"/>
  <c r="D803" i="6"/>
  <c r="C803" i="6"/>
  <c r="M802" i="6"/>
  <c r="C802" i="6"/>
  <c r="D802" i="6" s="1"/>
  <c r="M801" i="6"/>
  <c r="D801" i="6"/>
  <c r="C801" i="6"/>
  <c r="M800" i="6"/>
  <c r="C800" i="6"/>
  <c r="D800" i="6" s="1"/>
  <c r="M799" i="6"/>
  <c r="C799" i="6"/>
  <c r="D799" i="6" s="1"/>
  <c r="M798" i="6"/>
  <c r="C798" i="6"/>
  <c r="D798" i="6" s="1"/>
  <c r="M797" i="6"/>
  <c r="C797" i="6"/>
  <c r="D797" i="6" s="1"/>
  <c r="M796" i="6"/>
  <c r="C796" i="6"/>
  <c r="D796" i="6" s="1"/>
  <c r="M795" i="6"/>
  <c r="C795" i="6"/>
  <c r="D795" i="6" s="1"/>
  <c r="M794" i="6"/>
  <c r="C794" i="6"/>
  <c r="D794" i="6" s="1"/>
  <c r="M793" i="6"/>
  <c r="D793" i="6"/>
  <c r="C793" i="6"/>
  <c r="M792" i="6"/>
  <c r="C792" i="6"/>
  <c r="D792" i="6" s="1"/>
  <c r="M791" i="6"/>
  <c r="C791" i="6"/>
  <c r="D791" i="6" s="1"/>
  <c r="M790" i="6"/>
  <c r="D790" i="6"/>
  <c r="C790" i="6"/>
  <c r="M789" i="6"/>
  <c r="C789" i="6"/>
  <c r="D789" i="6" s="1"/>
  <c r="M788" i="6"/>
  <c r="C788" i="6"/>
  <c r="D788" i="6" s="1"/>
  <c r="M787" i="6"/>
  <c r="C787" i="6"/>
  <c r="D787" i="6" s="1"/>
  <c r="M786" i="6"/>
  <c r="D786" i="6"/>
  <c r="C786" i="6"/>
  <c r="M785" i="6"/>
  <c r="C785" i="6"/>
  <c r="D785" i="6" s="1"/>
  <c r="M784" i="6"/>
  <c r="C784" i="6"/>
  <c r="D784" i="6" s="1"/>
  <c r="M783" i="6"/>
  <c r="C783" i="6"/>
  <c r="D783" i="6" s="1"/>
  <c r="M782" i="6"/>
  <c r="C782" i="6"/>
  <c r="D782" i="6" s="1"/>
  <c r="M781" i="6"/>
  <c r="C781" i="6"/>
  <c r="D781" i="6" s="1"/>
  <c r="M780" i="6"/>
  <c r="C780" i="6"/>
  <c r="D780" i="6" s="1"/>
  <c r="M779" i="6"/>
  <c r="D779" i="6"/>
  <c r="C779" i="6"/>
  <c r="M778" i="6"/>
  <c r="C778" i="6"/>
  <c r="D778" i="6" s="1"/>
  <c r="M777" i="6"/>
  <c r="C777" i="6"/>
  <c r="D777" i="6" s="1"/>
  <c r="M776" i="6"/>
  <c r="D776" i="6"/>
  <c r="C776" i="6"/>
  <c r="M775" i="6"/>
  <c r="C775" i="6"/>
  <c r="D775" i="6" s="1"/>
  <c r="M774" i="6"/>
  <c r="C774" i="6"/>
  <c r="D774" i="6" s="1"/>
  <c r="M773" i="6"/>
  <c r="C773" i="6"/>
  <c r="D773" i="6" s="1"/>
  <c r="M772" i="6"/>
  <c r="D772" i="6"/>
  <c r="C772" i="6"/>
  <c r="M771" i="6"/>
  <c r="D771" i="6"/>
  <c r="C771" i="6"/>
  <c r="M770" i="6"/>
  <c r="C770" i="6"/>
  <c r="D770" i="6" s="1"/>
  <c r="M769" i="6"/>
  <c r="C769" i="6"/>
  <c r="D769" i="6" s="1"/>
  <c r="M768" i="6"/>
  <c r="C768" i="6"/>
  <c r="D768" i="6" s="1"/>
  <c r="M767" i="6"/>
  <c r="C767" i="6"/>
  <c r="D767" i="6" s="1"/>
  <c r="M766" i="6"/>
  <c r="C766" i="6"/>
  <c r="D766" i="6" s="1"/>
  <c r="M765" i="6"/>
  <c r="C765" i="6"/>
  <c r="D765" i="6" s="1"/>
  <c r="M764" i="6"/>
  <c r="C764" i="6"/>
  <c r="D764" i="6" s="1"/>
  <c r="M763" i="6"/>
  <c r="C763" i="6"/>
  <c r="D763" i="6" s="1"/>
  <c r="M762" i="6"/>
  <c r="D762" i="6"/>
  <c r="C762" i="6"/>
  <c r="M761" i="6"/>
  <c r="C761" i="6"/>
  <c r="D761" i="6" s="1"/>
  <c r="M760" i="6"/>
  <c r="C760" i="6"/>
  <c r="D760" i="6" s="1"/>
  <c r="M759" i="6"/>
  <c r="C759" i="6"/>
  <c r="D759" i="6" s="1"/>
  <c r="M758" i="6"/>
  <c r="C758" i="6"/>
  <c r="D758" i="6" s="1"/>
  <c r="M757" i="6"/>
  <c r="D757" i="6"/>
  <c r="C757" i="6"/>
  <c r="M756" i="6"/>
  <c r="C756" i="6"/>
  <c r="D756" i="6" s="1"/>
  <c r="M755" i="6"/>
  <c r="C755" i="6"/>
  <c r="D755" i="6" s="1"/>
  <c r="M754" i="6"/>
  <c r="C754" i="6"/>
  <c r="D754" i="6" s="1"/>
  <c r="M753" i="6"/>
  <c r="C753" i="6"/>
  <c r="D753" i="6" s="1"/>
  <c r="M752" i="6"/>
  <c r="C752" i="6"/>
  <c r="D752" i="6" s="1"/>
  <c r="M751" i="6"/>
  <c r="C751" i="6"/>
  <c r="D751" i="6" s="1"/>
  <c r="M750" i="6"/>
  <c r="D750" i="6"/>
  <c r="C750" i="6"/>
  <c r="M749" i="6"/>
  <c r="C749" i="6"/>
  <c r="D749" i="6" s="1"/>
  <c r="M748" i="6"/>
  <c r="D748" i="6"/>
  <c r="C748" i="6"/>
  <c r="M747" i="6"/>
  <c r="C747" i="6"/>
  <c r="D747" i="6" s="1"/>
  <c r="M746" i="6"/>
  <c r="C746" i="6"/>
  <c r="D746" i="6" s="1"/>
  <c r="M745" i="6"/>
  <c r="D745" i="6"/>
  <c r="C745" i="6"/>
  <c r="M744" i="6"/>
  <c r="C744" i="6"/>
  <c r="D744" i="6" s="1"/>
  <c r="M743" i="6"/>
  <c r="C743" i="6"/>
  <c r="D743" i="6" s="1"/>
  <c r="M742" i="6"/>
  <c r="C742" i="6"/>
  <c r="D742" i="6" s="1"/>
  <c r="M741" i="6"/>
  <c r="C741" i="6"/>
  <c r="D741" i="6" s="1"/>
  <c r="M740" i="6"/>
  <c r="C740" i="6"/>
  <c r="D740" i="6" s="1"/>
  <c r="M739" i="6"/>
  <c r="C739" i="6"/>
  <c r="D739" i="6" s="1"/>
  <c r="M738" i="6"/>
  <c r="C738" i="6"/>
  <c r="D738" i="6" s="1"/>
  <c r="M737" i="6"/>
  <c r="D737" i="6"/>
  <c r="C737" i="6"/>
  <c r="M736" i="6"/>
  <c r="C736" i="6"/>
  <c r="D736" i="6" s="1"/>
  <c r="M735" i="6"/>
  <c r="C735" i="6"/>
  <c r="D735" i="6" s="1"/>
  <c r="M734" i="6"/>
  <c r="C734" i="6"/>
  <c r="D734" i="6" s="1"/>
  <c r="M733" i="6"/>
  <c r="C733" i="6"/>
  <c r="D733" i="6" s="1"/>
  <c r="M732" i="6"/>
  <c r="C732" i="6"/>
  <c r="D732" i="6" s="1"/>
  <c r="M731" i="6"/>
  <c r="C731" i="6"/>
  <c r="D731" i="6" s="1"/>
  <c r="M730" i="6"/>
  <c r="D730" i="6"/>
  <c r="C730" i="6"/>
  <c r="M729" i="6"/>
  <c r="D729" i="6"/>
  <c r="C729" i="6"/>
  <c r="M728" i="6"/>
  <c r="C728" i="6"/>
  <c r="D728" i="6" s="1"/>
  <c r="M727" i="6"/>
  <c r="C727" i="6"/>
  <c r="D727" i="6" s="1"/>
  <c r="M726" i="6"/>
  <c r="C726" i="6"/>
  <c r="D726" i="6" s="1"/>
  <c r="M725" i="6"/>
  <c r="C725" i="6"/>
  <c r="D725" i="6" s="1"/>
  <c r="M724" i="6"/>
  <c r="C724" i="6"/>
  <c r="D724" i="6" s="1"/>
  <c r="M723" i="6"/>
  <c r="C723" i="6"/>
  <c r="D723" i="6" s="1"/>
  <c r="M722" i="6"/>
  <c r="D722" i="6"/>
  <c r="C722" i="6"/>
  <c r="M721" i="6"/>
  <c r="C721" i="6"/>
  <c r="D721" i="6" s="1"/>
  <c r="M720" i="6"/>
  <c r="D720" i="6"/>
  <c r="C720" i="6"/>
  <c r="M719" i="6"/>
  <c r="C719" i="6"/>
  <c r="D719" i="6" s="1"/>
  <c r="M718" i="6"/>
  <c r="C718" i="6"/>
  <c r="D718" i="6" s="1"/>
  <c r="M717" i="6"/>
  <c r="D717" i="6"/>
  <c r="C717" i="6"/>
  <c r="M716" i="6"/>
  <c r="C716" i="6"/>
  <c r="D716" i="6" s="1"/>
  <c r="M715" i="6"/>
  <c r="D715" i="6"/>
  <c r="C715" i="6"/>
  <c r="M714" i="6"/>
  <c r="C714" i="6"/>
  <c r="D714" i="6" s="1"/>
  <c r="M713" i="6"/>
  <c r="C713" i="6"/>
  <c r="D713" i="6" s="1"/>
  <c r="M712" i="6"/>
  <c r="C712" i="6"/>
  <c r="D712" i="6" s="1"/>
  <c r="M711" i="6"/>
  <c r="C711" i="6"/>
  <c r="D711" i="6" s="1"/>
  <c r="M710" i="6"/>
  <c r="C710" i="6"/>
  <c r="D710" i="6" s="1"/>
  <c r="M709" i="6"/>
  <c r="C709" i="6"/>
  <c r="D709" i="6" s="1"/>
  <c r="M708" i="6"/>
  <c r="C708" i="6"/>
  <c r="D708" i="6" s="1"/>
  <c r="M707" i="6"/>
  <c r="C707" i="6"/>
  <c r="D707" i="6" s="1"/>
  <c r="M706" i="6"/>
  <c r="C706" i="6"/>
  <c r="D706" i="6" s="1"/>
  <c r="M705" i="6"/>
  <c r="C705" i="6"/>
  <c r="D705" i="6" s="1"/>
  <c r="M704" i="6"/>
  <c r="D704" i="6"/>
  <c r="C704" i="6"/>
  <c r="M703" i="6"/>
  <c r="D703" i="6"/>
  <c r="C703" i="6"/>
  <c r="M702" i="6"/>
  <c r="D702" i="6"/>
  <c r="C702" i="6"/>
  <c r="M701" i="6"/>
  <c r="C701" i="6"/>
  <c r="D701" i="6" s="1"/>
  <c r="M700" i="6"/>
  <c r="C700" i="6"/>
  <c r="D700" i="6" s="1"/>
  <c r="M699" i="6"/>
  <c r="C699" i="6"/>
  <c r="D699" i="6" s="1"/>
  <c r="M698" i="6"/>
  <c r="C698" i="6"/>
  <c r="D698" i="6" s="1"/>
  <c r="M697" i="6"/>
  <c r="C697" i="6"/>
  <c r="D697" i="6" s="1"/>
  <c r="M696" i="6"/>
  <c r="C696" i="6"/>
  <c r="D696" i="6" s="1"/>
  <c r="M695" i="6"/>
  <c r="C695" i="6"/>
  <c r="D695" i="6" s="1"/>
  <c r="M694" i="6"/>
  <c r="D694" i="6"/>
  <c r="C694" i="6"/>
  <c r="M693" i="6"/>
  <c r="C693" i="6"/>
  <c r="D693" i="6" s="1"/>
  <c r="M692" i="6"/>
  <c r="C692" i="6"/>
  <c r="D692" i="6" s="1"/>
  <c r="M691" i="6"/>
  <c r="C691" i="6"/>
  <c r="D691" i="6" s="1"/>
  <c r="M690" i="6"/>
  <c r="C690" i="6"/>
  <c r="D690" i="6" s="1"/>
  <c r="M689" i="6"/>
  <c r="D689" i="6"/>
  <c r="C689" i="6"/>
  <c r="M688" i="6"/>
  <c r="D688" i="6"/>
  <c r="C688" i="6"/>
  <c r="M687" i="6"/>
  <c r="C687" i="6"/>
  <c r="D687" i="6" s="1"/>
  <c r="M686" i="6"/>
  <c r="C686" i="6"/>
  <c r="D686" i="6" s="1"/>
  <c r="M685" i="6"/>
  <c r="C685" i="6"/>
  <c r="D685" i="6" s="1"/>
  <c r="M684" i="6"/>
  <c r="C684" i="6"/>
  <c r="D684" i="6" s="1"/>
  <c r="M683" i="6"/>
  <c r="C683" i="6"/>
  <c r="D683" i="6" s="1"/>
  <c r="M682" i="6"/>
  <c r="D682" i="6"/>
  <c r="C682" i="6"/>
  <c r="M681" i="6"/>
  <c r="C681" i="6"/>
  <c r="D681" i="6" s="1"/>
  <c r="M680" i="6"/>
  <c r="D680" i="6"/>
  <c r="C680" i="6"/>
  <c r="M679" i="6"/>
  <c r="C679" i="6"/>
  <c r="D679" i="6" s="1"/>
  <c r="M678" i="6"/>
  <c r="C678" i="6"/>
  <c r="D678" i="6" s="1"/>
  <c r="M677" i="6"/>
  <c r="C677" i="6"/>
  <c r="D677" i="6" s="1"/>
  <c r="M676" i="6"/>
  <c r="D676" i="6"/>
  <c r="C676" i="6"/>
  <c r="M675" i="6"/>
  <c r="C675" i="6"/>
  <c r="D675" i="6" s="1"/>
  <c r="M674" i="6"/>
  <c r="C674" i="6"/>
  <c r="D674" i="6" s="1"/>
  <c r="M673" i="6"/>
  <c r="C673" i="6"/>
  <c r="D673" i="6" s="1"/>
  <c r="M672" i="6"/>
  <c r="C672" i="6"/>
  <c r="D672" i="6" s="1"/>
  <c r="M671" i="6"/>
  <c r="C671" i="6"/>
  <c r="D671" i="6" s="1"/>
  <c r="M670" i="6"/>
  <c r="C670" i="6"/>
  <c r="D670" i="6" s="1"/>
  <c r="M669" i="6"/>
  <c r="C669" i="6"/>
  <c r="D669" i="6" s="1"/>
  <c r="M668" i="6"/>
  <c r="D668" i="6"/>
  <c r="C668" i="6"/>
  <c r="M667" i="6"/>
  <c r="D667" i="6"/>
  <c r="C667" i="6"/>
  <c r="M666" i="6"/>
  <c r="C666" i="6"/>
  <c r="D666" i="6" s="1"/>
  <c r="M665" i="6"/>
  <c r="C665" i="6"/>
  <c r="D665" i="6" s="1"/>
  <c r="M664" i="6"/>
  <c r="D664" i="6"/>
  <c r="C664" i="6"/>
  <c r="M663" i="6"/>
  <c r="C663" i="6"/>
  <c r="D663" i="6" s="1"/>
  <c r="M662" i="6"/>
  <c r="D662" i="6"/>
  <c r="C662" i="6"/>
  <c r="M661" i="6"/>
  <c r="D661" i="6"/>
  <c r="C661" i="6"/>
  <c r="M660" i="6"/>
  <c r="C660" i="6"/>
  <c r="D660" i="6" s="1"/>
  <c r="M659" i="6"/>
  <c r="C659" i="6"/>
  <c r="D659" i="6" s="1"/>
  <c r="M658" i="6"/>
  <c r="C658" i="6"/>
  <c r="D658" i="6" s="1"/>
  <c r="M657" i="6"/>
  <c r="C657" i="6"/>
  <c r="D657" i="6" s="1"/>
  <c r="M656" i="6"/>
  <c r="C656" i="6"/>
  <c r="D656" i="6" s="1"/>
  <c r="M655" i="6"/>
  <c r="C655" i="6"/>
  <c r="D655" i="6" s="1"/>
  <c r="M654" i="6"/>
  <c r="C654" i="6"/>
  <c r="D654" i="6" s="1"/>
  <c r="M653" i="6"/>
  <c r="C653" i="6"/>
  <c r="D653" i="6" s="1"/>
  <c r="M652" i="6"/>
  <c r="D652" i="6"/>
  <c r="C652" i="6"/>
  <c r="M651" i="6"/>
  <c r="C651" i="6"/>
  <c r="D651" i="6" s="1"/>
  <c r="M650" i="6"/>
  <c r="D650" i="6"/>
  <c r="C650" i="6"/>
  <c r="M649" i="6"/>
  <c r="D649" i="6"/>
  <c r="C649" i="6"/>
  <c r="M648" i="6"/>
  <c r="C648" i="6"/>
  <c r="D648" i="6" s="1"/>
  <c r="M647" i="6"/>
  <c r="D647" i="6"/>
  <c r="C647" i="6"/>
  <c r="M646" i="6"/>
  <c r="D646" i="6"/>
  <c r="C646" i="6"/>
  <c r="M645" i="6"/>
  <c r="C645" i="6"/>
  <c r="D645" i="6" s="1"/>
  <c r="M644" i="6"/>
  <c r="C644" i="6"/>
  <c r="D644" i="6" s="1"/>
  <c r="M643" i="6"/>
  <c r="C643" i="6"/>
  <c r="D643" i="6" s="1"/>
  <c r="M642" i="6"/>
  <c r="C642" i="6"/>
  <c r="D642" i="6" s="1"/>
  <c r="M641" i="6"/>
  <c r="C641" i="6"/>
  <c r="D641" i="6" s="1"/>
  <c r="M640" i="6"/>
  <c r="C640" i="6"/>
  <c r="D640" i="6" s="1"/>
  <c r="M639" i="6"/>
  <c r="C639" i="6"/>
  <c r="D639" i="6" s="1"/>
  <c r="M638" i="6"/>
  <c r="C638" i="6"/>
  <c r="D638" i="6" s="1"/>
  <c r="M637" i="6"/>
  <c r="C637" i="6"/>
  <c r="D637" i="6" s="1"/>
  <c r="M636" i="6"/>
  <c r="D636" i="6"/>
  <c r="C636" i="6"/>
  <c r="M635" i="6"/>
  <c r="D635" i="6"/>
  <c r="C635" i="6"/>
  <c r="M634" i="6"/>
  <c r="C634" i="6"/>
  <c r="D634" i="6" s="1"/>
  <c r="M633" i="6"/>
  <c r="D633" i="6"/>
  <c r="C633" i="6"/>
  <c r="M632" i="6"/>
  <c r="C632" i="6"/>
  <c r="D632" i="6" s="1"/>
  <c r="M631" i="6"/>
  <c r="C631" i="6"/>
  <c r="D631" i="6" s="1"/>
  <c r="M630" i="6"/>
  <c r="C630" i="6"/>
  <c r="D630" i="6" s="1"/>
  <c r="M629" i="6"/>
  <c r="C629" i="6"/>
  <c r="D629" i="6" s="1"/>
  <c r="M628" i="6"/>
  <c r="C628" i="6"/>
  <c r="D628" i="6" s="1"/>
  <c r="M627" i="6"/>
  <c r="C627" i="6"/>
  <c r="D627" i="6" s="1"/>
  <c r="M626" i="6"/>
  <c r="C626" i="6"/>
  <c r="D626" i="6" s="1"/>
  <c r="M625" i="6"/>
  <c r="C625" i="6"/>
  <c r="D625" i="6" s="1"/>
  <c r="M624" i="6"/>
  <c r="D624" i="6"/>
  <c r="C624" i="6"/>
  <c r="M623" i="6"/>
  <c r="C623" i="6"/>
  <c r="D623" i="6" s="1"/>
  <c r="M622" i="6"/>
  <c r="D622" i="6"/>
  <c r="C622" i="6"/>
  <c r="M621" i="6"/>
  <c r="D621" i="6"/>
  <c r="C621" i="6"/>
  <c r="M620" i="6"/>
  <c r="C620" i="6"/>
  <c r="D620" i="6" s="1"/>
  <c r="M619" i="6"/>
  <c r="D619" i="6"/>
  <c r="C619" i="6"/>
  <c r="M618" i="6"/>
  <c r="C618" i="6"/>
  <c r="D618" i="6" s="1"/>
  <c r="M617" i="6"/>
  <c r="C617" i="6"/>
  <c r="D617" i="6" s="1"/>
  <c r="M616" i="6"/>
  <c r="C616" i="6"/>
  <c r="D616" i="6" s="1"/>
  <c r="M615" i="6"/>
  <c r="C615" i="6"/>
  <c r="D615" i="6" s="1"/>
  <c r="M614" i="6"/>
  <c r="C614" i="6"/>
  <c r="D614" i="6" s="1"/>
  <c r="M613" i="6"/>
  <c r="C613" i="6"/>
  <c r="D613" i="6" s="1"/>
  <c r="M612" i="6"/>
  <c r="C612" i="6"/>
  <c r="D612" i="6" s="1"/>
  <c r="M611" i="6"/>
  <c r="C611" i="6"/>
  <c r="D611" i="6" s="1"/>
  <c r="M610" i="6"/>
  <c r="D610" i="6"/>
  <c r="C610" i="6"/>
  <c r="M609" i="6"/>
  <c r="C609" i="6"/>
  <c r="D609" i="6" s="1"/>
  <c r="M608" i="6"/>
  <c r="D608" i="6"/>
  <c r="C608" i="6"/>
  <c r="M607" i="6"/>
  <c r="C607" i="6"/>
  <c r="D607" i="6" s="1"/>
  <c r="M606" i="6"/>
  <c r="C606" i="6"/>
  <c r="D606" i="6" s="1"/>
  <c r="M605" i="6"/>
  <c r="D605" i="6"/>
  <c r="C605" i="6"/>
  <c r="M604" i="6"/>
  <c r="D604" i="6"/>
  <c r="C604" i="6"/>
  <c r="M603" i="6"/>
  <c r="D603" i="6"/>
  <c r="C603" i="6"/>
  <c r="M602" i="6"/>
  <c r="C602" i="6"/>
  <c r="D602" i="6" s="1"/>
  <c r="M601" i="6"/>
  <c r="C601" i="6"/>
  <c r="D601" i="6" s="1"/>
  <c r="M600" i="6"/>
  <c r="C600" i="6"/>
  <c r="D600" i="6" s="1"/>
  <c r="M599" i="6"/>
  <c r="C599" i="6"/>
  <c r="D599" i="6" s="1"/>
  <c r="M598" i="6"/>
  <c r="C598" i="6"/>
  <c r="D598" i="6" s="1"/>
  <c r="M597" i="6"/>
  <c r="C597" i="6"/>
  <c r="D597" i="6" s="1"/>
  <c r="M596" i="6"/>
  <c r="C596" i="6"/>
  <c r="D596" i="6" s="1"/>
  <c r="M595" i="6"/>
  <c r="C595" i="6"/>
  <c r="D595" i="6" s="1"/>
  <c r="M594" i="6"/>
  <c r="D594" i="6"/>
  <c r="C594" i="6"/>
  <c r="M593" i="6"/>
  <c r="D593" i="6"/>
  <c r="C593" i="6"/>
  <c r="M592" i="6"/>
  <c r="C592" i="6"/>
  <c r="D592" i="6" s="1"/>
  <c r="M591" i="6"/>
  <c r="C591" i="6"/>
  <c r="D591" i="6" s="1"/>
  <c r="M590" i="6"/>
  <c r="D590" i="6"/>
  <c r="C590" i="6"/>
  <c r="M589" i="6"/>
  <c r="C589" i="6"/>
  <c r="D589" i="6" s="1"/>
  <c r="M588" i="6"/>
  <c r="C588" i="6"/>
  <c r="D588" i="6" s="1"/>
  <c r="M587" i="6"/>
  <c r="C587" i="6"/>
  <c r="D587" i="6" s="1"/>
  <c r="M586" i="6"/>
  <c r="C586" i="6"/>
  <c r="D586" i="6" s="1"/>
  <c r="M585" i="6"/>
  <c r="C585" i="6"/>
  <c r="D585" i="6" s="1"/>
  <c r="M584" i="6"/>
  <c r="C584" i="6"/>
  <c r="D584" i="6" s="1"/>
  <c r="M583" i="6"/>
  <c r="C583" i="6"/>
  <c r="D583" i="6" s="1"/>
  <c r="M582" i="6"/>
  <c r="D582" i="6"/>
  <c r="C582" i="6"/>
  <c r="M581" i="6"/>
  <c r="C581" i="6"/>
  <c r="D581" i="6" s="1"/>
  <c r="M580" i="6"/>
  <c r="D580" i="6"/>
  <c r="C580" i="6"/>
  <c r="M579" i="6"/>
  <c r="C579" i="6"/>
  <c r="D579" i="6" s="1"/>
  <c r="M578" i="6"/>
  <c r="D578" i="6"/>
  <c r="C578" i="6"/>
  <c r="M577" i="6"/>
  <c r="D577" i="6"/>
  <c r="C577" i="6"/>
  <c r="M576" i="6"/>
  <c r="C576" i="6"/>
  <c r="D576" i="6" s="1"/>
  <c r="M575" i="6"/>
  <c r="C575" i="6"/>
  <c r="D575" i="6" s="1"/>
  <c r="M574" i="6"/>
  <c r="C574" i="6"/>
  <c r="D574" i="6" s="1"/>
  <c r="M573" i="6"/>
  <c r="D573" i="6"/>
  <c r="C573" i="6"/>
  <c r="M572" i="6"/>
  <c r="C572" i="6"/>
  <c r="D572" i="6" s="1"/>
  <c r="M571" i="6"/>
  <c r="C571" i="6"/>
  <c r="D571" i="6" s="1"/>
  <c r="M570" i="6"/>
  <c r="C570" i="6"/>
  <c r="D570" i="6" s="1"/>
  <c r="M569" i="6"/>
  <c r="C569" i="6"/>
  <c r="D569" i="6" s="1"/>
  <c r="M568" i="6"/>
  <c r="D568" i="6"/>
  <c r="C568" i="6"/>
  <c r="M567" i="6"/>
  <c r="C567" i="6"/>
  <c r="D567" i="6" s="1"/>
  <c r="M566" i="6"/>
  <c r="D566" i="6"/>
  <c r="C566" i="6"/>
  <c r="M565" i="6"/>
  <c r="D565" i="6"/>
  <c r="C565" i="6"/>
  <c r="M564" i="6"/>
  <c r="D564" i="6"/>
  <c r="C564" i="6"/>
  <c r="M563" i="6"/>
  <c r="D563" i="6"/>
  <c r="C563" i="6"/>
  <c r="M562" i="6"/>
  <c r="D562" i="6"/>
  <c r="C562" i="6"/>
  <c r="M561" i="6"/>
  <c r="D561" i="6"/>
  <c r="C561" i="6"/>
  <c r="M560" i="6"/>
  <c r="C560" i="6"/>
  <c r="D560" i="6" s="1"/>
  <c r="M559" i="6"/>
  <c r="D559" i="6"/>
  <c r="C559" i="6"/>
  <c r="M558" i="6"/>
  <c r="C558" i="6"/>
  <c r="D558" i="6" s="1"/>
  <c r="M557" i="6"/>
  <c r="C557" i="6"/>
  <c r="D557" i="6" s="1"/>
  <c r="M556" i="6"/>
  <c r="C556" i="6"/>
  <c r="D556" i="6" s="1"/>
  <c r="M555" i="6"/>
  <c r="C555" i="6"/>
  <c r="D555" i="6" s="1"/>
  <c r="M554" i="6"/>
  <c r="D554" i="6"/>
  <c r="C554" i="6"/>
  <c r="M553" i="6"/>
  <c r="C553" i="6"/>
  <c r="D553" i="6" s="1"/>
  <c r="M552" i="6"/>
  <c r="D552" i="6"/>
  <c r="C552" i="6"/>
  <c r="M551" i="6"/>
  <c r="C551" i="6"/>
  <c r="D551" i="6" s="1"/>
  <c r="M550" i="6"/>
  <c r="D550" i="6"/>
  <c r="C550" i="6"/>
  <c r="M549" i="6"/>
  <c r="D549" i="6"/>
  <c r="C549" i="6"/>
  <c r="M548" i="6"/>
  <c r="D548" i="6"/>
  <c r="C548" i="6"/>
  <c r="M547" i="6"/>
  <c r="D547" i="6"/>
  <c r="C547" i="6"/>
  <c r="M546" i="6"/>
  <c r="C546" i="6"/>
  <c r="D546" i="6" s="1"/>
  <c r="M545" i="6"/>
  <c r="D545" i="6"/>
  <c r="C545" i="6"/>
  <c r="M544" i="6"/>
  <c r="C544" i="6"/>
  <c r="D544" i="6" s="1"/>
  <c r="M543" i="6"/>
  <c r="C543" i="6"/>
  <c r="D543" i="6" s="1"/>
  <c r="M542" i="6"/>
  <c r="C542" i="6"/>
  <c r="D542" i="6" s="1"/>
  <c r="M541" i="6"/>
  <c r="C541" i="6"/>
  <c r="D541" i="6" s="1"/>
  <c r="M540" i="6"/>
  <c r="C540" i="6"/>
  <c r="D540" i="6" s="1"/>
  <c r="M539" i="6"/>
  <c r="C539" i="6"/>
  <c r="D539" i="6" s="1"/>
  <c r="M538" i="6"/>
  <c r="C538" i="6"/>
  <c r="D538" i="6" s="1"/>
  <c r="M537" i="6"/>
  <c r="D537" i="6"/>
  <c r="C537" i="6"/>
  <c r="M536" i="6"/>
  <c r="D536" i="6"/>
  <c r="C536" i="6"/>
  <c r="M535" i="6"/>
  <c r="C535" i="6"/>
  <c r="D535" i="6" s="1"/>
  <c r="M534" i="6"/>
  <c r="D534" i="6"/>
  <c r="C534" i="6"/>
  <c r="M533" i="6"/>
  <c r="D533" i="6"/>
  <c r="C533" i="6"/>
  <c r="M532" i="6"/>
  <c r="C532" i="6"/>
  <c r="D532" i="6" s="1"/>
  <c r="M531" i="6"/>
  <c r="D531" i="6"/>
  <c r="C531" i="6"/>
  <c r="M530" i="6"/>
  <c r="C530" i="6"/>
  <c r="D530" i="6" s="1"/>
  <c r="M529" i="6"/>
  <c r="C529" i="6"/>
  <c r="D529" i="6" s="1"/>
  <c r="M528" i="6"/>
  <c r="C528" i="6"/>
  <c r="D528" i="6" s="1"/>
  <c r="M527" i="6"/>
  <c r="C527" i="6"/>
  <c r="D527" i="6" s="1"/>
  <c r="M526" i="6"/>
  <c r="D526" i="6"/>
  <c r="C526" i="6"/>
  <c r="M525" i="6"/>
  <c r="C525" i="6"/>
  <c r="D525" i="6" s="1"/>
  <c r="M524" i="6"/>
  <c r="C524" i="6"/>
  <c r="D524" i="6" s="1"/>
  <c r="M523" i="6"/>
  <c r="D523" i="6"/>
  <c r="C523" i="6"/>
  <c r="M522" i="6"/>
  <c r="D522" i="6"/>
  <c r="C522" i="6"/>
  <c r="M521" i="6"/>
  <c r="C521" i="6"/>
  <c r="D521" i="6" s="1"/>
  <c r="M520" i="6"/>
  <c r="C520" i="6"/>
  <c r="D520" i="6" s="1"/>
  <c r="M519" i="6"/>
  <c r="D519" i="6"/>
  <c r="C519" i="6"/>
  <c r="M518" i="6"/>
  <c r="C518" i="6"/>
  <c r="D518" i="6" s="1"/>
  <c r="M517" i="6"/>
  <c r="D517" i="6"/>
  <c r="C517" i="6"/>
  <c r="M516" i="6"/>
  <c r="C516" i="6"/>
  <c r="D516" i="6" s="1"/>
  <c r="M515" i="6"/>
  <c r="C515" i="6"/>
  <c r="D515" i="6" s="1"/>
  <c r="M514" i="6"/>
  <c r="C514" i="6"/>
  <c r="D514" i="6" s="1"/>
  <c r="M513" i="6"/>
  <c r="C513" i="6"/>
  <c r="D513" i="6" s="1"/>
  <c r="M512" i="6"/>
  <c r="D512" i="6"/>
  <c r="C512" i="6"/>
  <c r="M511" i="6"/>
  <c r="C511" i="6"/>
  <c r="D511" i="6" s="1"/>
  <c r="M510" i="6"/>
  <c r="D510" i="6"/>
  <c r="C510" i="6"/>
  <c r="M509" i="6"/>
  <c r="D509" i="6"/>
  <c r="C509" i="6"/>
  <c r="M508" i="6"/>
  <c r="C508" i="6"/>
  <c r="D508" i="6" s="1"/>
  <c r="M507" i="6"/>
  <c r="C507" i="6"/>
  <c r="D507" i="6" s="1"/>
  <c r="M506" i="6"/>
  <c r="D506" i="6"/>
  <c r="C506" i="6"/>
  <c r="M505" i="6"/>
  <c r="D505" i="6"/>
  <c r="C505" i="6"/>
  <c r="M504" i="6"/>
  <c r="C504" i="6"/>
  <c r="D504" i="6" s="1"/>
  <c r="M503" i="6"/>
  <c r="C503" i="6"/>
  <c r="D503" i="6" s="1"/>
  <c r="M502" i="6"/>
  <c r="C502" i="6"/>
  <c r="D502" i="6" s="1"/>
  <c r="M501" i="6"/>
  <c r="C501" i="6"/>
  <c r="D501" i="6" s="1"/>
  <c r="M500" i="6"/>
  <c r="C500" i="6"/>
  <c r="D500" i="6" s="1"/>
  <c r="M499" i="6"/>
  <c r="C499" i="6"/>
  <c r="D499" i="6" s="1"/>
  <c r="M498" i="6"/>
  <c r="C498" i="6"/>
  <c r="D498" i="6" s="1"/>
  <c r="M497" i="6"/>
  <c r="C497" i="6"/>
  <c r="D497" i="6" s="1"/>
  <c r="M496" i="6"/>
  <c r="C496" i="6"/>
  <c r="D496" i="6" s="1"/>
  <c r="M495" i="6"/>
  <c r="D495" i="6"/>
  <c r="C495" i="6"/>
  <c r="M494" i="6"/>
  <c r="D494" i="6"/>
  <c r="C494" i="6"/>
  <c r="M493" i="6"/>
  <c r="C493" i="6"/>
  <c r="D493" i="6" s="1"/>
  <c r="M492" i="6"/>
  <c r="C492" i="6"/>
  <c r="D492" i="6" s="1"/>
  <c r="M491" i="6"/>
  <c r="D491" i="6"/>
  <c r="C491" i="6"/>
  <c r="M490" i="6"/>
  <c r="C490" i="6"/>
  <c r="D490" i="6" s="1"/>
  <c r="M489" i="6"/>
  <c r="D489" i="6"/>
  <c r="C489" i="6"/>
  <c r="M488" i="6"/>
  <c r="C488" i="6"/>
  <c r="D488" i="6" s="1"/>
  <c r="M487" i="6"/>
  <c r="C487" i="6"/>
  <c r="D487" i="6" s="1"/>
  <c r="M486" i="6"/>
  <c r="C486" i="6"/>
  <c r="D486" i="6" s="1"/>
  <c r="M485" i="6"/>
  <c r="C485" i="6"/>
  <c r="D485" i="6" s="1"/>
  <c r="M484" i="6"/>
  <c r="D484" i="6"/>
  <c r="C484" i="6"/>
  <c r="M483" i="6"/>
  <c r="C483" i="6"/>
  <c r="D483" i="6" s="1"/>
  <c r="M482" i="6"/>
  <c r="D482" i="6"/>
  <c r="C482" i="6"/>
  <c r="M481" i="6"/>
  <c r="D481" i="6"/>
  <c r="C481" i="6"/>
  <c r="M480" i="6"/>
  <c r="C480" i="6"/>
  <c r="D480" i="6" s="1"/>
  <c r="M479" i="6"/>
  <c r="D479" i="6"/>
  <c r="C479" i="6"/>
  <c r="M478" i="6"/>
  <c r="D478" i="6"/>
  <c r="C478" i="6"/>
  <c r="M477" i="6"/>
  <c r="C477" i="6"/>
  <c r="D477" i="6" s="1"/>
  <c r="M476" i="6"/>
  <c r="C476" i="6"/>
  <c r="D476" i="6" s="1"/>
  <c r="M475" i="6"/>
  <c r="C475" i="6"/>
  <c r="D475" i="6" s="1"/>
  <c r="M474" i="6"/>
  <c r="C474" i="6"/>
  <c r="D474" i="6" s="1"/>
  <c r="M473" i="6"/>
  <c r="C473" i="6"/>
  <c r="D473" i="6" s="1"/>
  <c r="M472" i="6"/>
  <c r="C472" i="6"/>
  <c r="D472" i="6" s="1"/>
  <c r="M471" i="6"/>
  <c r="C471" i="6"/>
  <c r="D471" i="6" s="1"/>
  <c r="M470" i="6"/>
  <c r="D470" i="6"/>
  <c r="C470" i="6"/>
  <c r="M469" i="6"/>
  <c r="C469" i="6"/>
  <c r="D469" i="6" s="1"/>
  <c r="M468" i="6"/>
  <c r="C468" i="6"/>
  <c r="D468" i="6" s="1"/>
  <c r="M467" i="6"/>
  <c r="D467" i="6"/>
  <c r="C467" i="6"/>
  <c r="M466" i="6"/>
  <c r="D466" i="6"/>
  <c r="C466" i="6"/>
  <c r="M465" i="6"/>
  <c r="D465" i="6"/>
  <c r="C465" i="6"/>
  <c r="M464" i="6"/>
  <c r="C464" i="6"/>
  <c r="D464" i="6" s="1"/>
  <c r="M463" i="6"/>
  <c r="D463" i="6"/>
  <c r="C463" i="6"/>
  <c r="M462" i="6"/>
  <c r="C462" i="6"/>
  <c r="D462" i="6" s="1"/>
  <c r="M461" i="6"/>
  <c r="D461" i="6"/>
  <c r="C461" i="6"/>
  <c r="M460" i="6"/>
  <c r="C460" i="6"/>
  <c r="D460" i="6" s="1"/>
  <c r="M459" i="6"/>
  <c r="C459" i="6"/>
  <c r="D459" i="6" s="1"/>
  <c r="M458" i="6"/>
  <c r="C458" i="6"/>
  <c r="D458" i="6" s="1"/>
  <c r="M457" i="6"/>
  <c r="C457" i="6"/>
  <c r="D457" i="6" s="1"/>
  <c r="M456" i="6"/>
  <c r="D456" i="6"/>
  <c r="C456" i="6"/>
  <c r="M455" i="6"/>
  <c r="C455" i="6"/>
  <c r="D455" i="6" s="1"/>
  <c r="M454" i="6"/>
  <c r="D454" i="6"/>
  <c r="C454" i="6"/>
  <c r="M453" i="6"/>
  <c r="D453" i="6"/>
  <c r="C453" i="6"/>
  <c r="M452" i="6"/>
  <c r="C452" i="6"/>
  <c r="D452" i="6" s="1"/>
  <c r="M451" i="6"/>
  <c r="D451" i="6"/>
  <c r="C451" i="6"/>
  <c r="M450" i="6"/>
  <c r="D450" i="6"/>
  <c r="C450" i="6"/>
  <c r="M449" i="6"/>
  <c r="D449" i="6"/>
  <c r="C449" i="6"/>
  <c r="M448" i="6"/>
  <c r="C448" i="6"/>
  <c r="D448" i="6" s="1"/>
  <c r="M447" i="6"/>
  <c r="C447" i="6"/>
  <c r="D447" i="6" s="1"/>
  <c r="M446" i="6"/>
  <c r="C446" i="6"/>
  <c r="D446" i="6" s="1"/>
  <c r="M445" i="6"/>
  <c r="C445" i="6"/>
  <c r="D445" i="6" s="1"/>
  <c r="M444" i="6"/>
  <c r="C444" i="6"/>
  <c r="D444" i="6" s="1"/>
  <c r="M443" i="6"/>
  <c r="C443" i="6"/>
  <c r="D443" i="6" s="1"/>
  <c r="M442" i="6"/>
  <c r="D442" i="6"/>
  <c r="C442" i="6"/>
  <c r="M441" i="6"/>
  <c r="C441" i="6"/>
  <c r="D441" i="6" s="1"/>
  <c r="M440" i="6"/>
  <c r="C440" i="6"/>
  <c r="D440" i="6" s="1"/>
  <c r="M439" i="6"/>
  <c r="C439" i="6"/>
  <c r="D439" i="6" s="1"/>
  <c r="M438" i="6"/>
  <c r="D438" i="6"/>
  <c r="C438" i="6"/>
  <c r="M437" i="6"/>
  <c r="D437" i="6"/>
  <c r="C437" i="6"/>
  <c r="M436" i="6"/>
  <c r="C436" i="6"/>
  <c r="D436" i="6" s="1"/>
  <c r="M435" i="6"/>
  <c r="D435" i="6"/>
  <c r="C435" i="6"/>
  <c r="M434" i="6"/>
  <c r="C434" i="6"/>
  <c r="D434" i="6" s="1"/>
  <c r="M433" i="6"/>
  <c r="D433" i="6"/>
  <c r="C433" i="6"/>
  <c r="M432" i="6"/>
  <c r="C432" i="6"/>
  <c r="D432" i="6" s="1"/>
  <c r="M431" i="6"/>
  <c r="C431" i="6"/>
  <c r="D431" i="6" s="1"/>
  <c r="M430" i="6"/>
  <c r="C430" i="6"/>
  <c r="D430" i="6" s="1"/>
  <c r="M429" i="6"/>
  <c r="C429" i="6"/>
  <c r="D429" i="6" s="1"/>
  <c r="M428" i="6"/>
  <c r="C428" i="6"/>
  <c r="D428" i="6" s="1"/>
  <c r="M427" i="6"/>
  <c r="C427" i="6"/>
  <c r="D427" i="6" s="1"/>
  <c r="M426" i="6"/>
  <c r="C426" i="6"/>
  <c r="D426" i="6" s="1"/>
  <c r="M425" i="6"/>
  <c r="C425" i="6"/>
  <c r="D425" i="6" s="1"/>
  <c r="M424" i="6"/>
  <c r="D424" i="6"/>
  <c r="C424" i="6"/>
  <c r="M423" i="6"/>
  <c r="D423" i="6"/>
  <c r="C423" i="6"/>
  <c r="M422" i="6"/>
  <c r="C422" i="6"/>
  <c r="D422" i="6" s="1"/>
  <c r="M421" i="6"/>
  <c r="C421" i="6"/>
  <c r="D421" i="6" s="1"/>
  <c r="M420" i="6"/>
  <c r="C420" i="6"/>
  <c r="D420" i="6" s="1"/>
  <c r="M419" i="6"/>
  <c r="D419" i="6"/>
  <c r="C419" i="6"/>
  <c r="M418" i="6"/>
  <c r="C418" i="6"/>
  <c r="D418" i="6" s="1"/>
  <c r="M417" i="6"/>
  <c r="C417" i="6"/>
  <c r="D417" i="6" s="1"/>
  <c r="M416" i="6"/>
  <c r="C416" i="6"/>
  <c r="D416" i="6" s="1"/>
  <c r="M415" i="6"/>
  <c r="C415" i="6"/>
  <c r="D415" i="6" s="1"/>
  <c r="M414" i="6"/>
  <c r="C414" i="6"/>
  <c r="D414" i="6" s="1"/>
  <c r="M413" i="6"/>
  <c r="C413" i="6"/>
  <c r="D413" i="6" s="1"/>
  <c r="M412" i="6"/>
  <c r="D412" i="6"/>
  <c r="C412" i="6"/>
  <c r="M411" i="6"/>
  <c r="D411" i="6"/>
  <c r="C411" i="6"/>
  <c r="M410" i="6"/>
  <c r="C410" i="6"/>
  <c r="D410" i="6" s="1"/>
  <c r="M409" i="6"/>
  <c r="D409" i="6"/>
  <c r="C409" i="6"/>
  <c r="M408" i="6"/>
  <c r="C408" i="6"/>
  <c r="D408" i="6" s="1"/>
  <c r="M407" i="6"/>
  <c r="D407" i="6"/>
  <c r="C407" i="6"/>
  <c r="M406" i="6"/>
  <c r="C406" i="6"/>
  <c r="D406" i="6" s="1"/>
  <c r="M405" i="6"/>
  <c r="C405" i="6"/>
  <c r="D405" i="6" s="1"/>
  <c r="M404" i="6"/>
  <c r="C404" i="6"/>
  <c r="D404" i="6" s="1"/>
  <c r="M403" i="6"/>
  <c r="C403" i="6"/>
  <c r="D403" i="6" s="1"/>
  <c r="M402" i="6"/>
  <c r="C402" i="6"/>
  <c r="D402" i="6" s="1"/>
  <c r="M401" i="6"/>
  <c r="C401" i="6"/>
  <c r="D401" i="6" s="1"/>
  <c r="M400" i="6"/>
  <c r="D400" i="6"/>
  <c r="C400" i="6"/>
  <c r="M399" i="6"/>
  <c r="C399" i="6"/>
  <c r="D399" i="6" s="1"/>
  <c r="M398" i="6"/>
  <c r="D398" i="6"/>
  <c r="C398" i="6"/>
  <c r="M397" i="6"/>
  <c r="C397" i="6"/>
  <c r="D397" i="6" s="1"/>
  <c r="M396" i="6"/>
  <c r="D396" i="6"/>
  <c r="C396" i="6"/>
  <c r="M395" i="6"/>
  <c r="D395" i="6"/>
  <c r="C395" i="6"/>
  <c r="M394" i="6"/>
  <c r="C394" i="6"/>
  <c r="D394" i="6" s="1"/>
  <c r="M393" i="6"/>
  <c r="C393" i="6"/>
  <c r="D393" i="6" s="1"/>
  <c r="M392" i="6"/>
  <c r="C392" i="6"/>
  <c r="D392" i="6" s="1"/>
  <c r="M391" i="6"/>
  <c r="D391" i="6"/>
  <c r="C391" i="6"/>
  <c r="M390" i="6"/>
  <c r="C390" i="6"/>
  <c r="D390" i="6" s="1"/>
  <c r="M389" i="6"/>
  <c r="C389" i="6"/>
  <c r="D389" i="6" s="1"/>
  <c r="M388" i="6"/>
  <c r="C388" i="6"/>
  <c r="D388" i="6" s="1"/>
  <c r="M387" i="6"/>
  <c r="C387" i="6"/>
  <c r="D387" i="6" s="1"/>
  <c r="M386" i="6"/>
  <c r="C386" i="6"/>
  <c r="D386" i="6" s="1"/>
  <c r="M385" i="6"/>
  <c r="C385" i="6"/>
  <c r="D385" i="6" s="1"/>
  <c r="M384" i="6"/>
  <c r="D384" i="6"/>
  <c r="C384" i="6"/>
  <c r="M383" i="6"/>
  <c r="D383" i="6"/>
  <c r="C383" i="6"/>
  <c r="M382" i="6"/>
  <c r="D382" i="6"/>
  <c r="C382" i="6"/>
  <c r="M381" i="6"/>
  <c r="C381" i="6"/>
  <c r="D381" i="6" s="1"/>
  <c r="M380" i="6"/>
  <c r="D380" i="6"/>
  <c r="C380" i="6"/>
  <c r="M379" i="6"/>
  <c r="D379" i="6"/>
  <c r="C379" i="6"/>
  <c r="M378" i="6"/>
  <c r="C378" i="6"/>
  <c r="D378" i="6" s="1"/>
  <c r="M377" i="6"/>
  <c r="D377" i="6"/>
  <c r="C377" i="6"/>
  <c r="M376" i="6"/>
  <c r="C376" i="6"/>
  <c r="D376" i="6" s="1"/>
  <c r="M375" i="6"/>
  <c r="C375" i="6"/>
  <c r="D375" i="6" s="1"/>
  <c r="M374" i="6"/>
  <c r="C374" i="6"/>
  <c r="D374" i="6" s="1"/>
  <c r="M373" i="6"/>
  <c r="C373" i="6"/>
  <c r="D373" i="6" s="1"/>
  <c r="M372" i="6"/>
  <c r="D372" i="6"/>
  <c r="C372" i="6"/>
  <c r="M371" i="6"/>
  <c r="C371" i="6"/>
  <c r="D371" i="6" s="1"/>
  <c r="M370" i="6"/>
  <c r="D370" i="6"/>
  <c r="C370" i="6"/>
  <c r="M369" i="6"/>
  <c r="C369" i="6"/>
  <c r="D369" i="6" s="1"/>
  <c r="M368" i="6"/>
  <c r="D368" i="6"/>
  <c r="C368" i="6"/>
  <c r="M367" i="6"/>
  <c r="D367" i="6"/>
  <c r="C367" i="6"/>
  <c r="M366" i="6"/>
  <c r="D366" i="6"/>
  <c r="C366" i="6"/>
  <c r="M365" i="6"/>
  <c r="C365" i="6"/>
  <c r="D365" i="6" s="1"/>
  <c r="M364" i="6"/>
  <c r="C364" i="6"/>
  <c r="D364" i="6" s="1"/>
  <c r="M363" i="6"/>
  <c r="D363" i="6"/>
  <c r="C363" i="6"/>
  <c r="M362" i="6"/>
  <c r="C362" i="6"/>
  <c r="D362" i="6" s="1"/>
  <c r="M361" i="6"/>
  <c r="C361" i="6"/>
  <c r="D361" i="6" s="1"/>
  <c r="M360" i="6"/>
  <c r="C360" i="6"/>
  <c r="D360" i="6" s="1"/>
  <c r="M359" i="6"/>
  <c r="C359" i="6"/>
  <c r="D359" i="6" s="1"/>
  <c r="M358" i="6"/>
  <c r="C358" i="6"/>
  <c r="D358" i="6" s="1"/>
  <c r="M357" i="6"/>
  <c r="C357" i="6"/>
  <c r="D357" i="6" s="1"/>
  <c r="M356" i="6"/>
  <c r="C356" i="6"/>
  <c r="D356" i="6" s="1"/>
  <c r="M355" i="6"/>
  <c r="D355" i="6"/>
  <c r="C355" i="6"/>
  <c r="M354" i="6"/>
  <c r="D354" i="6"/>
  <c r="C354" i="6"/>
  <c r="M353" i="6"/>
  <c r="C353" i="6"/>
  <c r="D353" i="6" s="1"/>
  <c r="M352" i="6"/>
  <c r="D352" i="6"/>
  <c r="C352" i="6"/>
  <c r="M351" i="6"/>
  <c r="D351" i="6"/>
  <c r="C351" i="6"/>
  <c r="M350" i="6"/>
  <c r="C350" i="6"/>
  <c r="D350" i="6" s="1"/>
  <c r="M349" i="6"/>
  <c r="D349" i="6"/>
  <c r="C349" i="6"/>
  <c r="M348" i="6"/>
  <c r="C348" i="6"/>
  <c r="D348" i="6" s="1"/>
  <c r="M347" i="6"/>
  <c r="C347" i="6"/>
  <c r="D347" i="6" s="1"/>
  <c r="M346" i="6"/>
  <c r="C346" i="6"/>
  <c r="D346" i="6" s="1"/>
  <c r="M345" i="6"/>
  <c r="C345" i="6"/>
  <c r="D345" i="6" s="1"/>
  <c r="M344" i="6"/>
  <c r="D344" i="6"/>
  <c r="C344" i="6"/>
  <c r="M343" i="6"/>
  <c r="C343" i="6"/>
  <c r="D343" i="6" s="1"/>
  <c r="M342" i="6"/>
  <c r="C342" i="6"/>
  <c r="D342" i="6" s="1"/>
  <c r="M341" i="6"/>
  <c r="C341" i="6"/>
  <c r="D341" i="6" s="1"/>
  <c r="M340" i="6"/>
  <c r="C340" i="6"/>
  <c r="D340" i="6" s="1"/>
  <c r="M339" i="6"/>
  <c r="D339" i="6"/>
  <c r="C339" i="6"/>
  <c r="M338" i="6"/>
  <c r="D338" i="6"/>
  <c r="C338" i="6"/>
  <c r="M337" i="6"/>
  <c r="C337" i="6"/>
  <c r="D337" i="6" s="1"/>
  <c r="M336" i="6"/>
  <c r="C336" i="6"/>
  <c r="D336" i="6" s="1"/>
  <c r="M335" i="6"/>
  <c r="C335" i="6"/>
  <c r="D335" i="6" s="1"/>
  <c r="M334" i="6"/>
  <c r="C334" i="6"/>
  <c r="D334" i="6" s="1"/>
  <c r="M333" i="6"/>
  <c r="C333" i="6"/>
  <c r="D333" i="6" s="1"/>
  <c r="M332" i="6"/>
  <c r="C332" i="6"/>
  <c r="D332" i="6" s="1"/>
  <c r="M331" i="6"/>
  <c r="C331" i="6"/>
  <c r="D331" i="6" s="1"/>
  <c r="M330" i="6"/>
  <c r="C330" i="6"/>
  <c r="D330" i="6" s="1"/>
  <c r="M329" i="6"/>
  <c r="C329" i="6"/>
  <c r="D329" i="6" s="1"/>
  <c r="M328" i="6"/>
  <c r="C328" i="6"/>
  <c r="D328" i="6" s="1"/>
  <c r="M327" i="6"/>
  <c r="D327" i="6"/>
  <c r="C327" i="6"/>
  <c r="M326" i="6"/>
  <c r="C326" i="6"/>
  <c r="D326" i="6" s="1"/>
  <c r="M325" i="6"/>
  <c r="D325" i="6"/>
  <c r="C325" i="6"/>
  <c r="M324" i="6"/>
  <c r="D324" i="6"/>
  <c r="C324" i="6"/>
  <c r="M323" i="6"/>
  <c r="C323" i="6"/>
  <c r="D323" i="6" s="1"/>
  <c r="M322" i="6"/>
  <c r="C322" i="6"/>
  <c r="D322" i="6" s="1"/>
  <c r="M321" i="6"/>
  <c r="C321" i="6"/>
  <c r="D321" i="6" s="1"/>
  <c r="M320" i="6"/>
  <c r="C320" i="6"/>
  <c r="D320" i="6" s="1"/>
  <c r="M319" i="6"/>
  <c r="C319" i="6"/>
  <c r="D319" i="6" s="1"/>
  <c r="M318" i="6"/>
  <c r="C318" i="6"/>
  <c r="D318" i="6" s="1"/>
  <c r="M317" i="6"/>
  <c r="C317" i="6"/>
  <c r="D317" i="6" s="1"/>
  <c r="M316" i="6"/>
  <c r="D316" i="6"/>
  <c r="C316" i="6"/>
  <c r="M315" i="6"/>
  <c r="C315" i="6"/>
  <c r="D315" i="6" s="1"/>
  <c r="M314" i="6"/>
  <c r="C314" i="6"/>
  <c r="D314" i="6" s="1"/>
  <c r="M313" i="6"/>
  <c r="C313" i="6"/>
  <c r="D313" i="6" s="1"/>
  <c r="M312" i="6"/>
  <c r="C312" i="6"/>
  <c r="D312" i="6" s="1"/>
  <c r="M311" i="6"/>
  <c r="C311" i="6"/>
  <c r="D311" i="6" s="1"/>
  <c r="M310" i="6"/>
  <c r="C310" i="6"/>
  <c r="D310" i="6" s="1"/>
  <c r="M309" i="6"/>
  <c r="C309" i="6"/>
  <c r="D309" i="6" s="1"/>
  <c r="M308" i="6"/>
  <c r="C308" i="6"/>
  <c r="D308" i="6" s="1"/>
  <c r="M307" i="6"/>
  <c r="C307" i="6"/>
  <c r="D307" i="6" s="1"/>
  <c r="M306" i="6"/>
  <c r="C306" i="6"/>
  <c r="D306" i="6" s="1"/>
  <c r="M305" i="6"/>
  <c r="C305" i="6"/>
  <c r="D305" i="6" s="1"/>
  <c r="M304" i="6"/>
  <c r="C304" i="6"/>
  <c r="D304" i="6" s="1"/>
  <c r="M303" i="6"/>
  <c r="C303" i="6"/>
  <c r="D303" i="6" s="1"/>
  <c r="M302" i="6"/>
  <c r="C302" i="6"/>
  <c r="D302" i="6" s="1"/>
  <c r="M301" i="6"/>
  <c r="C301" i="6"/>
  <c r="D301" i="6" s="1"/>
  <c r="M300" i="6"/>
  <c r="C300" i="6"/>
  <c r="D300" i="6" s="1"/>
  <c r="M299" i="6"/>
  <c r="D299" i="6"/>
  <c r="C299" i="6"/>
  <c r="M298" i="6"/>
  <c r="C298" i="6"/>
  <c r="D298" i="6" s="1"/>
  <c r="M297" i="6"/>
  <c r="D297" i="6"/>
  <c r="C297" i="6"/>
  <c r="M296" i="6"/>
  <c r="C296" i="6"/>
  <c r="D296" i="6" s="1"/>
  <c r="M295" i="6"/>
  <c r="C295" i="6"/>
  <c r="D295" i="6" s="1"/>
  <c r="M294" i="6"/>
  <c r="C294" i="6"/>
  <c r="D294" i="6" s="1"/>
  <c r="M293" i="6"/>
  <c r="C293" i="6"/>
  <c r="D293" i="6" s="1"/>
  <c r="M292" i="6"/>
  <c r="C292" i="6"/>
  <c r="D292" i="6" s="1"/>
  <c r="M291" i="6"/>
  <c r="C291" i="6"/>
  <c r="D291" i="6" s="1"/>
  <c r="M290" i="6"/>
  <c r="C290" i="6"/>
  <c r="D290" i="6" s="1"/>
  <c r="M289" i="6"/>
  <c r="C289" i="6"/>
  <c r="D289" i="6" s="1"/>
  <c r="M288" i="6"/>
  <c r="D288" i="6"/>
  <c r="C288" i="6"/>
  <c r="M287" i="6"/>
  <c r="C287" i="6"/>
  <c r="D287" i="6" s="1"/>
  <c r="M286" i="6"/>
  <c r="D286" i="6"/>
  <c r="C286" i="6"/>
  <c r="M285" i="6"/>
  <c r="C285" i="6"/>
  <c r="D285" i="6" s="1"/>
  <c r="M284" i="6"/>
  <c r="D284" i="6"/>
  <c r="C284" i="6"/>
  <c r="M283" i="6"/>
  <c r="D283" i="6"/>
  <c r="C283" i="6"/>
  <c r="M282" i="6"/>
  <c r="D282" i="6"/>
  <c r="C282" i="6"/>
  <c r="M281" i="6"/>
  <c r="C281" i="6"/>
  <c r="D281" i="6" s="1"/>
  <c r="M280" i="6"/>
  <c r="C280" i="6"/>
  <c r="D280" i="6" s="1"/>
  <c r="M279" i="6"/>
  <c r="D279" i="6"/>
  <c r="C279" i="6"/>
  <c r="M278" i="6"/>
  <c r="C278" i="6"/>
  <c r="D278" i="6" s="1"/>
  <c r="M277" i="6"/>
  <c r="C277" i="6"/>
  <c r="D277" i="6" s="1"/>
  <c r="M276" i="6"/>
  <c r="C276" i="6"/>
  <c r="D276" i="6" s="1"/>
  <c r="M275" i="6"/>
  <c r="C275" i="6"/>
  <c r="D275" i="6" s="1"/>
  <c r="M274" i="6"/>
  <c r="C274" i="6"/>
  <c r="D274" i="6" s="1"/>
  <c r="M273" i="6"/>
  <c r="C273" i="6"/>
  <c r="D273" i="6" s="1"/>
  <c r="M272" i="6"/>
  <c r="C272" i="6"/>
  <c r="D272" i="6" s="1"/>
  <c r="M271" i="6"/>
  <c r="D271" i="6"/>
  <c r="C271" i="6"/>
  <c r="M270" i="6"/>
  <c r="D270" i="6"/>
  <c r="C270" i="6"/>
  <c r="M269" i="6"/>
  <c r="C269" i="6"/>
  <c r="D269" i="6" s="1"/>
  <c r="M268" i="6"/>
  <c r="D268" i="6"/>
  <c r="C268" i="6"/>
  <c r="M267" i="6"/>
  <c r="D267" i="6"/>
  <c r="C267" i="6"/>
  <c r="M266" i="6"/>
  <c r="C266" i="6"/>
  <c r="D266" i="6" s="1"/>
  <c r="M265" i="6"/>
  <c r="D265" i="6"/>
  <c r="C265" i="6"/>
  <c r="M264" i="6"/>
  <c r="C264" i="6"/>
  <c r="D264" i="6" s="1"/>
  <c r="M263" i="6"/>
  <c r="C263" i="6"/>
  <c r="D263" i="6" s="1"/>
  <c r="M262" i="6"/>
  <c r="C262" i="6"/>
  <c r="D262" i="6" s="1"/>
  <c r="M261" i="6"/>
  <c r="C261" i="6"/>
  <c r="D261" i="6" s="1"/>
  <c r="M260" i="6"/>
  <c r="D260" i="6"/>
  <c r="C260" i="6"/>
  <c r="M259" i="6"/>
  <c r="C259" i="6"/>
  <c r="D259" i="6" s="1"/>
  <c r="M258" i="6"/>
  <c r="D258" i="6"/>
  <c r="C258" i="6"/>
  <c r="M257" i="6"/>
  <c r="C257" i="6"/>
  <c r="D257" i="6" s="1"/>
  <c r="M256" i="6"/>
  <c r="C256" i="6"/>
  <c r="D256" i="6" s="1"/>
  <c r="M255" i="6"/>
  <c r="D255" i="6"/>
  <c r="C255" i="6"/>
  <c r="M254" i="6"/>
  <c r="D254" i="6"/>
  <c r="C254" i="6"/>
  <c r="M253" i="6"/>
  <c r="C253" i="6"/>
  <c r="D253" i="6" s="1"/>
  <c r="M252" i="6"/>
  <c r="C252" i="6"/>
  <c r="D252" i="6" s="1"/>
  <c r="M251" i="6"/>
  <c r="C251" i="6"/>
  <c r="D251" i="6" s="1"/>
  <c r="M250" i="6"/>
  <c r="C250" i="6"/>
  <c r="D250" i="6" s="1"/>
  <c r="M249" i="6"/>
  <c r="C249" i="6"/>
  <c r="D249" i="6" s="1"/>
  <c r="M248" i="6"/>
  <c r="C248" i="6"/>
  <c r="D248" i="6" s="1"/>
  <c r="M247" i="6"/>
  <c r="C247" i="6"/>
  <c r="D247" i="6" s="1"/>
  <c r="M246" i="6"/>
  <c r="C246" i="6"/>
  <c r="D246" i="6" s="1"/>
  <c r="M245" i="6"/>
  <c r="C245" i="6"/>
  <c r="D245" i="6" s="1"/>
  <c r="M244" i="6"/>
  <c r="C244" i="6"/>
  <c r="D244" i="6" s="1"/>
  <c r="M243" i="6"/>
  <c r="C243" i="6"/>
  <c r="D243" i="6" s="1"/>
  <c r="M242" i="6"/>
  <c r="D242" i="6"/>
  <c r="C242" i="6"/>
  <c r="M241" i="6"/>
  <c r="C241" i="6"/>
  <c r="D241" i="6" s="1"/>
  <c r="M240" i="6"/>
  <c r="C240" i="6"/>
  <c r="D240" i="6" s="1"/>
  <c r="M239" i="6"/>
  <c r="D239" i="6"/>
  <c r="C239" i="6"/>
  <c r="M238" i="6"/>
  <c r="D238" i="6"/>
  <c r="C238" i="6"/>
  <c r="M237" i="6"/>
  <c r="C237" i="6"/>
  <c r="D237" i="6" s="1"/>
  <c r="M236" i="6"/>
  <c r="C236" i="6"/>
  <c r="D236" i="6" s="1"/>
  <c r="M235" i="6"/>
  <c r="C235" i="6"/>
  <c r="D235" i="6" s="1"/>
  <c r="M234" i="6"/>
  <c r="C234" i="6"/>
  <c r="D234" i="6" s="1"/>
  <c r="M233" i="6"/>
  <c r="C233" i="6"/>
  <c r="D233" i="6" s="1"/>
  <c r="M232" i="6"/>
  <c r="C232" i="6"/>
  <c r="D232" i="6" s="1"/>
  <c r="M231" i="6"/>
  <c r="C231" i="6"/>
  <c r="D231" i="6" s="1"/>
  <c r="M230" i="6"/>
  <c r="C230" i="6"/>
  <c r="D230" i="6" s="1"/>
  <c r="M229" i="6"/>
  <c r="D229" i="6"/>
  <c r="C229" i="6"/>
  <c r="M228" i="6"/>
  <c r="C228" i="6"/>
  <c r="D228" i="6" s="1"/>
  <c r="M227" i="6"/>
  <c r="D227" i="6"/>
  <c r="C227" i="6"/>
  <c r="M226" i="6"/>
  <c r="D226" i="6"/>
  <c r="C226" i="6"/>
  <c r="M225" i="6"/>
  <c r="C225" i="6"/>
  <c r="D225" i="6" s="1"/>
  <c r="M224" i="6"/>
  <c r="C224" i="6"/>
  <c r="D224" i="6" s="1"/>
  <c r="M223" i="6"/>
  <c r="C223" i="6"/>
  <c r="D223" i="6" s="1"/>
  <c r="M222" i="6"/>
  <c r="C222" i="6"/>
  <c r="D222" i="6" s="1"/>
  <c r="M221" i="6"/>
  <c r="C221" i="6"/>
  <c r="D221" i="6" s="1"/>
  <c r="M220" i="6"/>
  <c r="C220" i="6"/>
  <c r="D220" i="6" s="1"/>
  <c r="M219" i="6"/>
  <c r="C219" i="6"/>
  <c r="D219" i="6" s="1"/>
  <c r="M218" i="6"/>
  <c r="D218" i="6"/>
  <c r="C218" i="6"/>
  <c r="M217" i="6"/>
  <c r="C217" i="6"/>
  <c r="D217" i="6" s="1"/>
  <c r="M216" i="6"/>
  <c r="D216" i="6"/>
  <c r="C216" i="6"/>
  <c r="M215" i="6"/>
  <c r="C215" i="6"/>
  <c r="D215" i="6" s="1"/>
  <c r="M214" i="6"/>
  <c r="C214" i="6"/>
  <c r="D214" i="6" s="1"/>
  <c r="M213" i="6"/>
  <c r="C213" i="6"/>
  <c r="D213" i="6" s="1"/>
  <c r="M212" i="6"/>
  <c r="D212" i="6"/>
  <c r="C212" i="6"/>
  <c r="M211" i="6"/>
  <c r="D211" i="6"/>
  <c r="C211" i="6"/>
  <c r="M210" i="6"/>
  <c r="C210" i="6"/>
  <c r="D210" i="6" s="1"/>
  <c r="M209" i="6"/>
  <c r="C209" i="6"/>
  <c r="D209" i="6" s="1"/>
  <c r="M208" i="6"/>
  <c r="C208" i="6"/>
  <c r="D208" i="6" s="1"/>
  <c r="M207" i="6"/>
  <c r="C207" i="6"/>
  <c r="D207" i="6" s="1"/>
  <c r="M206" i="6"/>
  <c r="C206" i="6"/>
  <c r="D206" i="6" s="1"/>
  <c r="M205" i="6"/>
  <c r="C205" i="6"/>
  <c r="D205" i="6" s="1"/>
  <c r="M204" i="6"/>
  <c r="C204" i="6"/>
  <c r="D204" i="6" s="1"/>
  <c r="M203" i="6"/>
  <c r="C203" i="6"/>
  <c r="D203" i="6" s="1"/>
  <c r="M202" i="6"/>
  <c r="C202" i="6"/>
  <c r="D202" i="6" s="1"/>
  <c r="M201" i="6"/>
  <c r="C201" i="6"/>
  <c r="D201" i="6" s="1"/>
  <c r="M200" i="6"/>
  <c r="D200" i="6"/>
  <c r="C200" i="6"/>
  <c r="M199" i="6"/>
  <c r="D199" i="6"/>
  <c r="C199" i="6"/>
  <c r="M198" i="6"/>
  <c r="C198" i="6"/>
  <c r="D198" i="6" s="1"/>
  <c r="M197" i="6"/>
  <c r="D197" i="6"/>
  <c r="C197" i="6"/>
  <c r="M196" i="6"/>
  <c r="C196" i="6"/>
  <c r="D196" i="6" s="1"/>
  <c r="M195" i="6"/>
  <c r="D195" i="6"/>
  <c r="C195" i="6"/>
  <c r="M194" i="6"/>
  <c r="C194" i="6"/>
  <c r="D194" i="6" s="1"/>
  <c r="M193" i="6"/>
  <c r="C193" i="6"/>
  <c r="D193" i="6" s="1"/>
  <c r="M192" i="6"/>
  <c r="C192" i="6"/>
  <c r="D192" i="6" s="1"/>
  <c r="M191" i="6"/>
  <c r="C191" i="6"/>
  <c r="D191" i="6" s="1"/>
  <c r="M190" i="6"/>
  <c r="C190" i="6"/>
  <c r="D190" i="6" s="1"/>
  <c r="M189" i="6"/>
  <c r="C189" i="6"/>
  <c r="D189" i="6" s="1"/>
  <c r="M188" i="6"/>
  <c r="C188" i="6"/>
  <c r="D188" i="6" s="1"/>
  <c r="M187" i="6"/>
  <c r="C187" i="6"/>
  <c r="D187" i="6" s="1"/>
  <c r="M186" i="6"/>
  <c r="C186" i="6"/>
  <c r="D186" i="6" s="1"/>
  <c r="M185" i="6"/>
  <c r="D185" i="6"/>
  <c r="C185" i="6"/>
  <c r="M184" i="6"/>
  <c r="D184" i="6"/>
  <c r="C184" i="6"/>
  <c r="M183" i="6"/>
  <c r="D183" i="6"/>
  <c r="C183" i="6"/>
  <c r="M182" i="6"/>
  <c r="C182" i="6"/>
  <c r="D182" i="6" s="1"/>
  <c r="M181" i="6"/>
  <c r="C181" i="6"/>
  <c r="D181" i="6" s="1"/>
  <c r="M180" i="6"/>
  <c r="C180" i="6"/>
  <c r="D180" i="6" s="1"/>
  <c r="M179" i="6"/>
  <c r="C179" i="6"/>
  <c r="D179" i="6" s="1"/>
  <c r="M178" i="6"/>
  <c r="C178" i="6"/>
  <c r="D178" i="6" s="1"/>
  <c r="M177" i="6"/>
  <c r="C177" i="6"/>
  <c r="D177" i="6" s="1"/>
  <c r="M176" i="6"/>
  <c r="C176" i="6"/>
  <c r="D176" i="6" s="1"/>
  <c r="M175" i="6"/>
  <c r="C175" i="6"/>
  <c r="D175" i="6" s="1"/>
  <c r="M174" i="6"/>
  <c r="C174" i="6"/>
  <c r="D174" i="6" s="1"/>
  <c r="M173" i="6"/>
  <c r="D173" i="6"/>
  <c r="C173" i="6"/>
  <c r="M172" i="6"/>
  <c r="C172" i="6"/>
  <c r="D172" i="6" s="1"/>
  <c r="M171" i="6"/>
  <c r="C171" i="6"/>
  <c r="D171" i="6" s="1"/>
  <c r="M170" i="6"/>
  <c r="D170" i="6"/>
  <c r="C170" i="6"/>
  <c r="M169" i="6"/>
  <c r="D169" i="6"/>
  <c r="C169" i="6"/>
  <c r="M168" i="6"/>
  <c r="C168" i="6"/>
  <c r="D168" i="6" s="1"/>
  <c r="M167" i="6"/>
  <c r="C167" i="6"/>
  <c r="D167" i="6" s="1"/>
  <c r="M166" i="6"/>
  <c r="C166" i="6"/>
  <c r="D166" i="6" s="1"/>
  <c r="M165" i="6"/>
  <c r="C165" i="6"/>
  <c r="D165" i="6" s="1"/>
  <c r="M164" i="6"/>
  <c r="C164" i="6"/>
  <c r="D164" i="6" s="1"/>
  <c r="M163" i="6"/>
  <c r="C163" i="6"/>
  <c r="D163" i="6" s="1"/>
  <c r="M162" i="6"/>
  <c r="D162" i="6"/>
  <c r="C162" i="6"/>
  <c r="M161" i="6"/>
  <c r="C161" i="6"/>
  <c r="D161" i="6" s="1"/>
  <c r="M160" i="6"/>
  <c r="C160" i="6"/>
  <c r="D160" i="6" s="1"/>
  <c r="M159" i="6"/>
  <c r="C159" i="6"/>
  <c r="D159" i="6" s="1"/>
  <c r="M158" i="6"/>
  <c r="C158" i="6"/>
  <c r="D158" i="6" s="1"/>
  <c r="M157" i="6"/>
  <c r="D157" i="6"/>
  <c r="C157" i="6"/>
  <c r="M156" i="6"/>
  <c r="D156" i="6"/>
  <c r="C156" i="6"/>
  <c r="M155" i="6"/>
  <c r="D155" i="6"/>
  <c r="C155" i="6"/>
  <c r="M154" i="6"/>
  <c r="C154" i="6"/>
  <c r="D154" i="6" s="1"/>
  <c r="M153" i="6"/>
  <c r="C153" i="6"/>
  <c r="D153" i="6" s="1"/>
  <c r="M152" i="6"/>
  <c r="C152" i="6"/>
  <c r="D152" i="6" s="1"/>
  <c r="M151" i="6"/>
  <c r="C151" i="6"/>
  <c r="D151" i="6" s="1"/>
  <c r="M150" i="6"/>
  <c r="C150" i="6"/>
  <c r="D150" i="6" s="1"/>
  <c r="M149" i="6"/>
  <c r="C149" i="6"/>
  <c r="D149" i="6" s="1"/>
  <c r="M148" i="6"/>
  <c r="C148" i="6"/>
  <c r="D148" i="6" s="1"/>
  <c r="M147" i="6"/>
  <c r="C147" i="6"/>
  <c r="D147" i="6" s="1"/>
  <c r="M146" i="6"/>
  <c r="C146" i="6"/>
  <c r="D146" i="6" s="1"/>
  <c r="M145" i="6"/>
  <c r="D145" i="6"/>
  <c r="C145" i="6"/>
  <c r="M144" i="6"/>
  <c r="C144" i="6"/>
  <c r="D144" i="6" s="1"/>
  <c r="M143" i="6"/>
  <c r="C143" i="6"/>
  <c r="D143" i="6" s="1"/>
  <c r="M142" i="6"/>
  <c r="D142" i="6"/>
  <c r="C142" i="6"/>
  <c r="M141" i="6"/>
  <c r="C141" i="6"/>
  <c r="D141" i="6" s="1"/>
  <c r="M140" i="6"/>
  <c r="C140" i="6"/>
  <c r="D140" i="6" s="1"/>
  <c r="M139" i="6"/>
  <c r="C139" i="6"/>
  <c r="D139" i="6" s="1"/>
  <c r="M138" i="6"/>
  <c r="C138" i="6"/>
  <c r="D138" i="6" s="1"/>
  <c r="M137" i="6"/>
  <c r="C137" i="6"/>
  <c r="D137" i="6" s="1"/>
  <c r="M136" i="6"/>
  <c r="C136" i="6"/>
  <c r="D136" i="6" s="1"/>
  <c r="M135" i="6"/>
  <c r="C135" i="6"/>
  <c r="D135" i="6" s="1"/>
  <c r="M134" i="6"/>
  <c r="D134" i="6"/>
  <c r="C134" i="6"/>
  <c r="M133" i="6"/>
  <c r="C133" i="6"/>
  <c r="D133" i="6" s="1"/>
  <c r="M132" i="6"/>
  <c r="C132" i="6"/>
  <c r="D132" i="6" s="1"/>
  <c r="M131" i="6"/>
  <c r="C131" i="6"/>
  <c r="D131" i="6" s="1"/>
  <c r="M130" i="6"/>
  <c r="C130" i="6"/>
  <c r="D130" i="6" s="1"/>
  <c r="M129" i="6"/>
  <c r="D129" i="6"/>
  <c r="C129" i="6"/>
  <c r="M128" i="6"/>
  <c r="D128" i="6"/>
  <c r="C128" i="6"/>
  <c r="M127" i="6"/>
  <c r="D127" i="6"/>
  <c r="C127" i="6"/>
  <c r="M126" i="6"/>
  <c r="C126" i="6"/>
  <c r="D126" i="6" s="1"/>
  <c r="M125" i="6"/>
  <c r="C125" i="6"/>
  <c r="D125" i="6" s="1"/>
  <c r="M124" i="6"/>
  <c r="C124" i="6"/>
  <c r="D124" i="6" s="1"/>
  <c r="M123" i="6"/>
  <c r="C123" i="6"/>
  <c r="D123" i="6" s="1"/>
  <c r="M122" i="6"/>
  <c r="C122" i="6"/>
  <c r="D122" i="6" s="1"/>
  <c r="M121" i="6"/>
  <c r="C121" i="6"/>
  <c r="D121" i="6" s="1"/>
  <c r="M120" i="6"/>
  <c r="C120" i="6"/>
  <c r="D120" i="6" s="1"/>
  <c r="M119" i="6"/>
  <c r="C119" i="6"/>
  <c r="D119" i="6" s="1"/>
  <c r="M118" i="6"/>
  <c r="C118" i="6"/>
  <c r="D118" i="6" s="1"/>
  <c r="M117" i="6"/>
  <c r="D117" i="6"/>
  <c r="C117" i="6"/>
  <c r="M116" i="6"/>
  <c r="D116" i="6"/>
  <c r="C116" i="6"/>
  <c r="M115" i="6"/>
  <c r="D115" i="6"/>
  <c r="C115" i="6"/>
  <c r="M114" i="6"/>
  <c r="C114" i="6"/>
  <c r="D114" i="6" s="1"/>
  <c r="M113" i="6"/>
  <c r="C113" i="6"/>
  <c r="D113" i="6" s="1"/>
  <c r="M112" i="6"/>
  <c r="C112" i="6"/>
  <c r="D112" i="6" s="1"/>
  <c r="M111" i="6"/>
  <c r="D111" i="6"/>
  <c r="C111" i="6"/>
  <c r="M110" i="6"/>
  <c r="C110" i="6"/>
  <c r="D110" i="6" s="1"/>
  <c r="M109" i="6"/>
  <c r="C109" i="6"/>
  <c r="D109" i="6" s="1"/>
  <c r="M108" i="6"/>
  <c r="C108" i="6"/>
  <c r="D108" i="6" s="1"/>
  <c r="M107" i="6"/>
  <c r="C107" i="6"/>
  <c r="D107" i="6" s="1"/>
  <c r="M106" i="6"/>
  <c r="D106" i="6"/>
  <c r="C106" i="6"/>
  <c r="M105" i="6"/>
  <c r="D105" i="6"/>
  <c r="C105" i="6"/>
  <c r="M104" i="6"/>
  <c r="D104" i="6"/>
  <c r="C104" i="6"/>
  <c r="M103" i="6"/>
  <c r="C103" i="6"/>
  <c r="D103" i="6" s="1"/>
  <c r="M102" i="6"/>
  <c r="C102" i="6"/>
  <c r="D102" i="6" s="1"/>
  <c r="M101" i="6"/>
  <c r="D101" i="6"/>
  <c r="C101" i="6"/>
  <c r="M100" i="6"/>
  <c r="D100" i="6"/>
  <c r="C100" i="6"/>
  <c r="M99" i="6"/>
  <c r="D99" i="6"/>
  <c r="C99" i="6"/>
  <c r="M98" i="6"/>
  <c r="C98" i="6"/>
  <c r="D98" i="6" s="1"/>
  <c r="M97" i="6"/>
  <c r="C97" i="6"/>
  <c r="D97" i="6" s="1"/>
  <c r="M96" i="6"/>
  <c r="C96" i="6"/>
  <c r="D96" i="6" s="1"/>
  <c r="M95" i="6"/>
  <c r="C95" i="6"/>
  <c r="D95" i="6" s="1"/>
  <c r="M94" i="6"/>
  <c r="C94" i="6"/>
  <c r="D94" i="6" s="1"/>
  <c r="M93" i="6"/>
  <c r="C93" i="6"/>
  <c r="D93" i="6" s="1"/>
  <c r="M92" i="6"/>
  <c r="C92" i="6"/>
  <c r="D92" i="6" s="1"/>
  <c r="M91" i="6"/>
  <c r="C91" i="6"/>
  <c r="D91" i="6" s="1"/>
  <c r="M90" i="6"/>
  <c r="C90" i="6"/>
  <c r="D90" i="6" s="1"/>
  <c r="M89" i="6"/>
  <c r="D89" i="6"/>
  <c r="C89" i="6"/>
  <c r="M88" i="6"/>
  <c r="C88" i="6"/>
  <c r="D88" i="6" s="1"/>
  <c r="M87" i="6"/>
  <c r="C87" i="6"/>
  <c r="D87" i="6" s="1"/>
  <c r="M86" i="6"/>
  <c r="D86" i="6"/>
  <c r="C86" i="6"/>
  <c r="M85" i="6"/>
  <c r="C85" i="6"/>
  <c r="D85" i="6" s="1"/>
  <c r="M84" i="6"/>
  <c r="C84" i="6"/>
  <c r="D84" i="6" s="1"/>
  <c r="M83" i="6"/>
  <c r="C83" i="6"/>
  <c r="D83" i="6" s="1"/>
  <c r="M82" i="6"/>
  <c r="C82" i="6"/>
  <c r="D82" i="6" s="1"/>
  <c r="M81" i="6"/>
  <c r="C81" i="6"/>
  <c r="D81" i="6" s="1"/>
  <c r="M80" i="6"/>
  <c r="C80" i="6"/>
  <c r="D80" i="6" s="1"/>
  <c r="M79" i="6"/>
  <c r="C79" i="6"/>
  <c r="D79" i="6" s="1"/>
  <c r="M78" i="6"/>
  <c r="C78" i="6"/>
  <c r="D78" i="6" s="1"/>
  <c r="M77" i="6"/>
  <c r="D77" i="6"/>
  <c r="C77" i="6"/>
  <c r="M76" i="6"/>
  <c r="C76" i="6"/>
  <c r="D76" i="6" s="1"/>
  <c r="M75" i="6"/>
  <c r="D75" i="6"/>
  <c r="C75" i="6"/>
  <c r="M74" i="6"/>
  <c r="C74" i="6"/>
  <c r="D74" i="6" s="1"/>
  <c r="M73" i="6"/>
  <c r="C73" i="6"/>
  <c r="D73" i="6" s="1"/>
  <c r="M72" i="6"/>
  <c r="C72" i="6"/>
  <c r="D72" i="6" s="1"/>
  <c r="M71" i="6"/>
  <c r="D71" i="6"/>
  <c r="C71" i="6"/>
  <c r="M70" i="6"/>
  <c r="C70" i="6"/>
  <c r="D70" i="6" s="1"/>
  <c r="M69" i="6"/>
  <c r="C69" i="6"/>
  <c r="D69" i="6" s="1"/>
  <c r="M68" i="6"/>
  <c r="C68" i="6"/>
  <c r="D68" i="6" s="1"/>
  <c r="M67" i="6"/>
  <c r="C67" i="6"/>
  <c r="D67" i="6" s="1"/>
  <c r="M66" i="6"/>
  <c r="C66" i="6"/>
  <c r="D66" i="6" s="1"/>
  <c r="M65" i="6"/>
  <c r="C65" i="6"/>
  <c r="D65" i="6" s="1"/>
  <c r="M64" i="6"/>
  <c r="D64" i="6"/>
  <c r="C64" i="6"/>
  <c r="M63" i="6"/>
  <c r="C63" i="6"/>
  <c r="D63" i="6" s="1"/>
  <c r="M62" i="6"/>
  <c r="C62" i="6"/>
  <c r="D62" i="6" s="1"/>
  <c r="M61" i="6"/>
  <c r="D61" i="6"/>
  <c r="C61" i="6"/>
  <c r="M60" i="6"/>
  <c r="C60" i="6"/>
  <c r="D60" i="6" s="1"/>
  <c r="M59" i="6"/>
  <c r="C59" i="6"/>
  <c r="D59" i="6" s="1"/>
  <c r="M58" i="6"/>
  <c r="C58" i="6"/>
  <c r="D58" i="6" s="1"/>
  <c r="M57" i="6"/>
  <c r="D57" i="6"/>
  <c r="C57" i="6"/>
  <c r="M56" i="6"/>
  <c r="C56" i="6"/>
  <c r="D56" i="6" s="1"/>
  <c r="M55" i="6"/>
  <c r="C55" i="6"/>
  <c r="D55" i="6" s="1"/>
  <c r="M54" i="6"/>
  <c r="C54" i="6"/>
  <c r="D54" i="6" s="1"/>
  <c r="M53" i="6"/>
  <c r="C53" i="6"/>
  <c r="D53" i="6" s="1"/>
  <c r="M52" i="6"/>
  <c r="C52" i="6"/>
  <c r="D52" i="6" s="1"/>
  <c r="M51" i="6"/>
  <c r="C51" i="6"/>
  <c r="D51" i="6" s="1"/>
  <c r="M50" i="6"/>
  <c r="C50" i="6"/>
  <c r="D50" i="6" s="1"/>
  <c r="M49" i="6"/>
  <c r="C49" i="6"/>
  <c r="D49" i="6" s="1"/>
  <c r="M48" i="6"/>
  <c r="C48" i="6"/>
  <c r="D48" i="6" s="1"/>
  <c r="M47" i="6"/>
  <c r="D47" i="6"/>
  <c r="C47" i="6"/>
  <c r="M46" i="6"/>
  <c r="D46" i="6"/>
  <c r="C46" i="6"/>
  <c r="M45" i="6"/>
  <c r="C45" i="6"/>
  <c r="D45" i="6" s="1"/>
  <c r="M44" i="6"/>
  <c r="C44" i="6"/>
  <c r="D44" i="6" s="1"/>
  <c r="M43" i="6"/>
  <c r="D43" i="6"/>
  <c r="C43" i="6"/>
  <c r="M42" i="6"/>
  <c r="C42" i="6"/>
  <c r="D42" i="6" s="1"/>
  <c r="M41" i="6"/>
  <c r="D41" i="6"/>
  <c r="C41" i="6"/>
  <c r="M40" i="6"/>
  <c r="C40" i="6"/>
  <c r="D40" i="6" s="1"/>
  <c r="M39" i="6"/>
  <c r="C39" i="6"/>
  <c r="D39" i="6" s="1"/>
  <c r="M38" i="6"/>
  <c r="C38" i="6"/>
  <c r="D38" i="6" s="1"/>
  <c r="M37" i="6"/>
  <c r="C37" i="6"/>
  <c r="D37" i="6" s="1"/>
  <c r="M36" i="6"/>
  <c r="D36" i="6"/>
  <c r="C36" i="6"/>
  <c r="M35" i="6"/>
  <c r="D35" i="6"/>
  <c r="C35" i="6"/>
  <c r="M34" i="6"/>
  <c r="C34" i="6"/>
  <c r="D34" i="6" s="1"/>
  <c r="M33" i="6"/>
  <c r="C33" i="6"/>
  <c r="D33" i="6" s="1"/>
  <c r="M32" i="6"/>
  <c r="C32" i="6"/>
  <c r="D32" i="6" s="1"/>
  <c r="M31" i="6"/>
  <c r="C31" i="6"/>
  <c r="D31" i="6" s="1"/>
  <c r="M30" i="6"/>
  <c r="C30" i="6"/>
  <c r="D30" i="6" s="1"/>
  <c r="M29" i="6"/>
  <c r="D29" i="6"/>
  <c r="C29" i="6"/>
  <c r="M28" i="6"/>
  <c r="C28" i="6"/>
  <c r="D28" i="6" s="1"/>
  <c r="M27" i="6"/>
  <c r="C27" i="6"/>
  <c r="D27" i="6" s="1"/>
  <c r="M26" i="6"/>
  <c r="C26" i="6"/>
  <c r="D26" i="6" s="1"/>
  <c r="M25" i="6"/>
  <c r="C25" i="6"/>
  <c r="D25" i="6" s="1"/>
  <c r="M24" i="6"/>
  <c r="C24" i="6"/>
  <c r="D24" i="6" s="1"/>
  <c r="M23" i="6"/>
  <c r="C23" i="6"/>
  <c r="D23" i="6" s="1"/>
  <c r="M22" i="6"/>
  <c r="C22" i="6"/>
  <c r="D22" i="6" s="1"/>
  <c r="M21" i="6"/>
  <c r="D21" i="6"/>
  <c r="C21" i="6"/>
  <c r="M20" i="6"/>
  <c r="C20" i="6"/>
  <c r="D20" i="6" s="1"/>
  <c r="M19" i="6"/>
  <c r="D19" i="6"/>
  <c r="C19" i="6"/>
  <c r="M18" i="6"/>
  <c r="C18" i="6"/>
  <c r="D18" i="6" s="1"/>
  <c r="M17" i="6"/>
  <c r="D17" i="6"/>
  <c r="C17" i="6"/>
  <c r="M16" i="6"/>
  <c r="D16" i="6"/>
  <c r="C16" i="6"/>
  <c r="M15" i="6"/>
  <c r="C15" i="6"/>
  <c r="D15" i="6" s="1"/>
  <c r="M14" i="6"/>
  <c r="C14" i="6"/>
  <c r="D14" i="6" s="1"/>
  <c r="M13" i="6"/>
  <c r="C13" i="6"/>
  <c r="D13" i="6" s="1"/>
  <c r="M12" i="6"/>
  <c r="C12" i="6"/>
  <c r="D12" i="6" s="1"/>
  <c r="M11" i="6"/>
  <c r="C11" i="6"/>
  <c r="D11" i="6" s="1"/>
  <c r="M10" i="6"/>
  <c r="C10" i="6"/>
  <c r="D10" i="6" s="1"/>
  <c r="M9" i="6"/>
  <c r="C9" i="6"/>
  <c r="D9" i="6" s="1"/>
  <c r="M8" i="6"/>
  <c r="D8" i="6"/>
  <c r="C8" i="6"/>
  <c r="M7" i="6"/>
  <c r="C7" i="6"/>
  <c r="D7" i="6" s="1"/>
  <c r="M6" i="6"/>
  <c r="D6" i="6"/>
  <c r="C6" i="6"/>
  <c r="M5" i="6"/>
  <c r="D5" i="6"/>
  <c r="C5" i="6"/>
  <c r="M398" i="5"/>
  <c r="L398" i="5"/>
  <c r="K398" i="5"/>
  <c r="J398" i="5"/>
  <c r="I398" i="5"/>
  <c r="H398" i="5"/>
  <c r="G398" i="5"/>
  <c r="E398" i="5"/>
  <c r="B398" i="5"/>
  <c r="S398" i="5" s="1"/>
  <c r="S397" i="5"/>
  <c r="L397" i="5"/>
  <c r="K397" i="5"/>
  <c r="J397" i="5"/>
  <c r="I397" i="5"/>
  <c r="H397" i="5"/>
  <c r="G397" i="5"/>
  <c r="E397" i="5"/>
  <c r="B397" i="5"/>
  <c r="C397" i="5" s="1"/>
  <c r="L396" i="5"/>
  <c r="K396" i="5"/>
  <c r="J396" i="5"/>
  <c r="I396" i="5"/>
  <c r="H396" i="5"/>
  <c r="G396" i="5"/>
  <c r="E396" i="5"/>
  <c r="M396" i="5" s="1"/>
  <c r="B396" i="5"/>
  <c r="D396" i="5" s="1"/>
  <c r="S395" i="5"/>
  <c r="L395" i="5"/>
  <c r="K395" i="5"/>
  <c r="J395" i="5"/>
  <c r="I395" i="5"/>
  <c r="H395" i="5"/>
  <c r="G395" i="5"/>
  <c r="E395" i="5"/>
  <c r="D395" i="5"/>
  <c r="N395" i="5" s="1"/>
  <c r="B395" i="5"/>
  <c r="C395" i="5" s="1"/>
  <c r="L394" i="5"/>
  <c r="K394" i="5"/>
  <c r="J394" i="5"/>
  <c r="I394" i="5"/>
  <c r="H394" i="5"/>
  <c r="G394" i="5"/>
  <c r="E394" i="5"/>
  <c r="B394" i="5"/>
  <c r="O393" i="5"/>
  <c r="L393" i="5"/>
  <c r="K393" i="5"/>
  <c r="J393" i="5"/>
  <c r="I393" i="5"/>
  <c r="H393" i="5"/>
  <c r="G393" i="5"/>
  <c r="E393" i="5"/>
  <c r="M393" i="5" s="1"/>
  <c r="B393" i="5"/>
  <c r="L392" i="5"/>
  <c r="K392" i="5"/>
  <c r="J392" i="5"/>
  <c r="I392" i="5"/>
  <c r="H392" i="5"/>
  <c r="G392" i="5"/>
  <c r="E392" i="5"/>
  <c r="B392" i="5"/>
  <c r="D392" i="5" s="1"/>
  <c r="S391" i="5"/>
  <c r="O391" i="5"/>
  <c r="M391" i="5"/>
  <c r="L391" i="5"/>
  <c r="K391" i="5"/>
  <c r="J391" i="5"/>
  <c r="I391" i="5"/>
  <c r="H391" i="5"/>
  <c r="G391" i="5"/>
  <c r="F391" i="5"/>
  <c r="E391" i="5"/>
  <c r="B391" i="5"/>
  <c r="D391" i="5" s="1"/>
  <c r="N391" i="5" s="1"/>
  <c r="L390" i="5"/>
  <c r="K390" i="5"/>
  <c r="J390" i="5"/>
  <c r="I390" i="5"/>
  <c r="H390" i="5"/>
  <c r="G390" i="5"/>
  <c r="E390" i="5"/>
  <c r="D390" i="5"/>
  <c r="B390" i="5"/>
  <c r="S390" i="5" s="1"/>
  <c r="S389" i="5"/>
  <c r="O389" i="5"/>
  <c r="N389" i="5"/>
  <c r="M389" i="5"/>
  <c r="L389" i="5"/>
  <c r="K389" i="5"/>
  <c r="Q389" i="5" s="1"/>
  <c r="J389" i="5"/>
  <c r="I389" i="5"/>
  <c r="H389" i="5"/>
  <c r="G389" i="5"/>
  <c r="F389" i="5"/>
  <c r="E389" i="5"/>
  <c r="B389" i="5"/>
  <c r="D389" i="5" s="1"/>
  <c r="Q388" i="5"/>
  <c r="P388" i="5" s="1"/>
  <c r="M388" i="5"/>
  <c r="L388" i="5"/>
  <c r="K388" i="5"/>
  <c r="J388" i="5"/>
  <c r="I388" i="5"/>
  <c r="H388" i="5"/>
  <c r="G388" i="5"/>
  <c r="E388" i="5"/>
  <c r="O388" i="5" s="1"/>
  <c r="B388" i="5"/>
  <c r="Q387" i="5"/>
  <c r="L387" i="5"/>
  <c r="K387" i="5"/>
  <c r="J387" i="5"/>
  <c r="I387" i="5"/>
  <c r="H387" i="5"/>
  <c r="G387" i="5"/>
  <c r="E387" i="5"/>
  <c r="B387" i="5"/>
  <c r="O386" i="5"/>
  <c r="L386" i="5"/>
  <c r="K386" i="5"/>
  <c r="J386" i="5"/>
  <c r="I386" i="5"/>
  <c r="H386" i="5"/>
  <c r="G386" i="5"/>
  <c r="F386" i="5"/>
  <c r="E386" i="5"/>
  <c r="M386" i="5" s="1"/>
  <c r="B386" i="5"/>
  <c r="S386" i="5" s="1"/>
  <c r="S385" i="5"/>
  <c r="L385" i="5"/>
  <c r="K385" i="5"/>
  <c r="J385" i="5"/>
  <c r="I385" i="5"/>
  <c r="H385" i="5"/>
  <c r="G385" i="5"/>
  <c r="F385" i="5"/>
  <c r="E385" i="5"/>
  <c r="O385" i="5" s="1"/>
  <c r="B385" i="5"/>
  <c r="D385" i="5" s="1"/>
  <c r="O384" i="5"/>
  <c r="L384" i="5"/>
  <c r="K384" i="5"/>
  <c r="J384" i="5"/>
  <c r="I384" i="5"/>
  <c r="H384" i="5"/>
  <c r="G384" i="5"/>
  <c r="E384" i="5"/>
  <c r="B384" i="5"/>
  <c r="L383" i="5"/>
  <c r="K383" i="5"/>
  <c r="J383" i="5"/>
  <c r="I383" i="5"/>
  <c r="H383" i="5"/>
  <c r="G383" i="5"/>
  <c r="E383" i="5"/>
  <c r="B383" i="5"/>
  <c r="L382" i="5"/>
  <c r="K382" i="5"/>
  <c r="J382" i="5"/>
  <c r="I382" i="5"/>
  <c r="H382" i="5"/>
  <c r="G382" i="5"/>
  <c r="E382" i="5"/>
  <c r="B382" i="5"/>
  <c r="O381" i="5"/>
  <c r="M381" i="5"/>
  <c r="L381" i="5"/>
  <c r="K381" i="5"/>
  <c r="J381" i="5"/>
  <c r="I381" i="5"/>
  <c r="H381" i="5"/>
  <c r="G381" i="5"/>
  <c r="E381" i="5"/>
  <c r="B381" i="5"/>
  <c r="Q380" i="5"/>
  <c r="R380" i="5" s="1"/>
  <c r="L380" i="5"/>
  <c r="K380" i="5"/>
  <c r="J380" i="5"/>
  <c r="I380" i="5"/>
  <c r="H380" i="5"/>
  <c r="G380" i="5"/>
  <c r="F380" i="5"/>
  <c r="E380" i="5"/>
  <c r="B380" i="5"/>
  <c r="Q379" i="5"/>
  <c r="L379" i="5"/>
  <c r="K379" i="5"/>
  <c r="J379" i="5"/>
  <c r="I379" i="5"/>
  <c r="H379" i="5"/>
  <c r="G379" i="5"/>
  <c r="E379" i="5"/>
  <c r="B379" i="5"/>
  <c r="D379" i="5" s="1"/>
  <c r="M378" i="5"/>
  <c r="L378" i="5"/>
  <c r="K378" i="5"/>
  <c r="J378" i="5"/>
  <c r="I378" i="5"/>
  <c r="H378" i="5"/>
  <c r="G378" i="5"/>
  <c r="F378" i="5"/>
  <c r="E378" i="5"/>
  <c r="O378" i="5" s="1"/>
  <c r="D378" i="5"/>
  <c r="N378" i="5" s="1"/>
  <c r="B378" i="5"/>
  <c r="L377" i="5"/>
  <c r="K377" i="5"/>
  <c r="J377" i="5"/>
  <c r="I377" i="5"/>
  <c r="H377" i="5"/>
  <c r="G377" i="5"/>
  <c r="E377" i="5"/>
  <c r="B377" i="5"/>
  <c r="D377" i="5" s="1"/>
  <c r="O376" i="5"/>
  <c r="M376" i="5"/>
  <c r="L376" i="5"/>
  <c r="K376" i="5"/>
  <c r="Q376" i="5" s="1"/>
  <c r="J376" i="5"/>
  <c r="I376" i="5"/>
  <c r="H376" i="5"/>
  <c r="G376" i="5"/>
  <c r="F376" i="5"/>
  <c r="E376" i="5"/>
  <c r="B376" i="5"/>
  <c r="L375" i="5"/>
  <c r="K375" i="5"/>
  <c r="J375" i="5"/>
  <c r="I375" i="5"/>
  <c r="H375" i="5"/>
  <c r="G375" i="5"/>
  <c r="E375" i="5"/>
  <c r="B375" i="5"/>
  <c r="C375" i="5" s="1"/>
  <c r="L374" i="5"/>
  <c r="K374" i="5"/>
  <c r="J374" i="5"/>
  <c r="I374" i="5"/>
  <c r="H374" i="5"/>
  <c r="G374" i="5"/>
  <c r="E374" i="5"/>
  <c r="B374" i="5"/>
  <c r="S374" i="5" s="1"/>
  <c r="L373" i="5"/>
  <c r="K373" i="5"/>
  <c r="J373" i="5"/>
  <c r="I373" i="5"/>
  <c r="H373" i="5"/>
  <c r="G373" i="5"/>
  <c r="E373" i="5"/>
  <c r="B373" i="5"/>
  <c r="L372" i="5"/>
  <c r="K372" i="5"/>
  <c r="J372" i="5"/>
  <c r="I372" i="5"/>
  <c r="H372" i="5"/>
  <c r="G372" i="5"/>
  <c r="F372" i="5"/>
  <c r="E372" i="5"/>
  <c r="M372" i="5" s="1"/>
  <c r="B372" i="5"/>
  <c r="Q371" i="5"/>
  <c r="L371" i="5"/>
  <c r="K371" i="5"/>
  <c r="J371" i="5"/>
  <c r="I371" i="5"/>
  <c r="H371" i="5"/>
  <c r="G371" i="5"/>
  <c r="F371" i="5"/>
  <c r="E371" i="5"/>
  <c r="O371" i="5" s="1"/>
  <c r="B371" i="5"/>
  <c r="L370" i="5"/>
  <c r="K370" i="5"/>
  <c r="J370" i="5"/>
  <c r="I370" i="5"/>
  <c r="H370" i="5"/>
  <c r="G370" i="5"/>
  <c r="E370" i="5"/>
  <c r="B370" i="5"/>
  <c r="D370" i="5" s="1"/>
  <c r="N370" i="5" s="1"/>
  <c r="L369" i="5"/>
  <c r="K369" i="5"/>
  <c r="J369" i="5"/>
  <c r="I369" i="5"/>
  <c r="H369" i="5"/>
  <c r="G369" i="5"/>
  <c r="E369" i="5"/>
  <c r="O369" i="5" s="1"/>
  <c r="D369" i="5"/>
  <c r="C369" i="5"/>
  <c r="B369" i="5"/>
  <c r="S369" i="5" s="1"/>
  <c r="L368" i="5"/>
  <c r="K368" i="5"/>
  <c r="J368" i="5"/>
  <c r="I368" i="5"/>
  <c r="H368" i="5"/>
  <c r="G368" i="5"/>
  <c r="E368" i="5"/>
  <c r="M368" i="5" s="1"/>
  <c r="B368" i="5"/>
  <c r="Q367" i="5"/>
  <c r="O367" i="5"/>
  <c r="L367" i="5"/>
  <c r="K367" i="5"/>
  <c r="J367" i="5"/>
  <c r="I367" i="5"/>
  <c r="H367" i="5"/>
  <c r="G367" i="5"/>
  <c r="E367" i="5"/>
  <c r="B367" i="5"/>
  <c r="C367" i="5" s="1"/>
  <c r="L366" i="5"/>
  <c r="K366" i="5"/>
  <c r="J366" i="5"/>
  <c r="I366" i="5"/>
  <c r="H366" i="5"/>
  <c r="G366" i="5"/>
  <c r="E366" i="5"/>
  <c r="F366" i="5" s="1"/>
  <c r="B366" i="5"/>
  <c r="L365" i="5"/>
  <c r="K365" i="5"/>
  <c r="J365" i="5"/>
  <c r="I365" i="5"/>
  <c r="H365" i="5"/>
  <c r="G365" i="5"/>
  <c r="E365" i="5"/>
  <c r="O365" i="5" s="1"/>
  <c r="B365" i="5"/>
  <c r="L364" i="5"/>
  <c r="K364" i="5"/>
  <c r="J364" i="5"/>
  <c r="I364" i="5"/>
  <c r="H364" i="5"/>
  <c r="G364" i="5"/>
  <c r="E364" i="5"/>
  <c r="B364" i="5"/>
  <c r="Q363" i="5"/>
  <c r="P363" i="5" s="1"/>
  <c r="M363" i="5"/>
  <c r="L363" i="5"/>
  <c r="K363" i="5"/>
  <c r="J363" i="5"/>
  <c r="I363" i="5"/>
  <c r="H363" i="5"/>
  <c r="G363" i="5"/>
  <c r="E363" i="5"/>
  <c r="F363" i="5" s="1"/>
  <c r="B363" i="5"/>
  <c r="L362" i="5"/>
  <c r="K362" i="5"/>
  <c r="J362" i="5"/>
  <c r="I362" i="5"/>
  <c r="H362" i="5"/>
  <c r="G362" i="5"/>
  <c r="F362" i="5"/>
  <c r="E362" i="5"/>
  <c r="O362" i="5" s="1"/>
  <c r="B362" i="5"/>
  <c r="D362" i="5" s="1"/>
  <c r="N362" i="5" s="1"/>
  <c r="O361" i="5"/>
  <c r="L361" i="5"/>
  <c r="K361" i="5"/>
  <c r="Q361" i="5" s="1"/>
  <c r="J361" i="5"/>
  <c r="I361" i="5"/>
  <c r="H361" i="5"/>
  <c r="G361" i="5"/>
  <c r="E361" i="5"/>
  <c r="M361" i="5" s="1"/>
  <c r="D361" i="5"/>
  <c r="N361" i="5" s="1"/>
  <c r="C361" i="5"/>
  <c r="B361" i="5"/>
  <c r="S361" i="5" s="1"/>
  <c r="Q360" i="5"/>
  <c r="L360" i="5"/>
  <c r="K360" i="5"/>
  <c r="J360" i="5"/>
  <c r="I360" i="5"/>
  <c r="H360" i="5"/>
  <c r="G360" i="5"/>
  <c r="E360" i="5"/>
  <c r="O360" i="5" s="1"/>
  <c r="B360" i="5"/>
  <c r="S359" i="5"/>
  <c r="L359" i="5"/>
  <c r="K359" i="5"/>
  <c r="J359" i="5"/>
  <c r="I359" i="5"/>
  <c r="H359" i="5"/>
  <c r="G359" i="5"/>
  <c r="E359" i="5"/>
  <c r="B359" i="5"/>
  <c r="D359" i="5" s="1"/>
  <c r="L358" i="5"/>
  <c r="K358" i="5"/>
  <c r="J358" i="5"/>
  <c r="I358" i="5"/>
  <c r="H358" i="5"/>
  <c r="G358" i="5"/>
  <c r="E358" i="5"/>
  <c r="B358" i="5"/>
  <c r="S358" i="5" s="1"/>
  <c r="M357" i="5"/>
  <c r="L357" i="5"/>
  <c r="K357" i="5"/>
  <c r="J357" i="5"/>
  <c r="I357" i="5"/>
  <c r="H357" i="5"/>
  <c r="G357" i="5"/>
  <c r="E357" i="5"/>
  <c r="O357" i="5" s="1"/>
  <c r="D357" i="5"/>
  <c r="N357" i="5" s="1"/>
  <c r="C357" i="5"/>
  <c r="B357" i="5"/>
  <c r="Q357" i="5" s="1"/>
  <c r="O356" i="5"/>
  <c r="L356" i="5"/>
  <c r="K356" i="5"/>
  <c r="J356" i="5"/>
  <c r="I356" i="5"/>
  <c r="H356" i="5"/>
  <c r="G356" i="5"/>
  <c r="F356" i="5"/>
  <c r="E356" i="5"/>
  <c r="M356" i="5" s="1"/>
  <c r="B356" i="5"/>
  <c r="D356" i="5" s="1"/>
  <c r="N356" i="5" s="1"/>
  <c r="L355" i="5"/>
  <c r="K355" i="5"/>
  <c r="J355" i="5"/>
  <c r="I355" i="5"/>
  <c r="H355" i="5"/>
  <c r="G355" i="5"/>
  <c r="F355" i="5"/>
  <c r="E355" i="5"/>
  <c r="O355" i="5" s="1"/>
  <c r="B355" i="5"/>
  <c r="S355" i="5" s="1"/>
  <c r="L354" i="5"/>
  <c r="K354" i="5"/>
  <c r="J354" i="5"/>
  <c r="I354" i="5"/>
  <c r="H354" i="5"/>
  <c r="G354" i="5"/>
  <c r="E354" i="5"/>
  <c r="D354" i="5"/>
  <c r="N354" i="5" s="1"/>
  <c r="B354" i="5"/>
  <c r="C354" i="5" s="1"/>
  <c r="Q353" i="5"/>
  <c r="R353" i="5" s="1"/>
  <c r="M353" i="5"/>
  <c r="L353" i="5"/>
  <c r="K353" i="5"/>
  <c r="J353" i="5"/>
  <c r="I353" i="5"/>
  <c r="H353" i="5"/>
  <c r="G353" i="5"/>
  <c r="E353" i="5"/>
  <c r="B353" i="5"/>
  <c r="S353" i="5" s="1"/>
  <c r="Q352" i="5"/>
  <c r="P352" i="5" s="1"/>
  <c r="L352" i="5"/>
  <c r="K352" i="5"/>
  <c r="J352" i="5"/>
  <c r="I352" i="5"/>
  <c r="H352" i="5"/>
  <c r="G352" i="5"/>
  <c r="F352" i="5"/>
  <c r="E352" i="5"/>
  <c r="B352" i="5"/>
  <c r="S351" i="5"/>
  <c r="Q351" i="5"/>
  <c r="L351" i="5"/>
  <c r="K351" i="5"/>
  <c r="J351" i="5"/>
  <c r="I351" i="5"/>
  <c r="H351" i="5"/>
  <c r="G351" i="5"/>
  <c r="E351" i="5"/>
  <c r="M351" i="5" s="1"/>
  <c r="B351" i="5"/>
  <c r="D351" i="5" s="1"/>
  <c r="Q350" i="5"/>
  <c r="L350" i="5"/>
  <c r="K350" i="5"/>
  <c r="J350" i="5"/>
  <c r="I350" i="5"/>
  <c r="H350" i="5"/>
  <c r="G350" i="5"/>
  <c r="F350" i="5"/>
  <c r="E350" i="5"/>
  <c r="O350" i="5" s="1"/>
  <c r="C350" i="5"/>
  <c r="B350" i="5"/>
  <c r="L349" i="5"/>
  <c r="K349" i="5"/>
  <c r="J349" i="5"/>
  <c r="I349" i="5"/>
  <c r="H349" i="5"/>
  <c r="G349" i="5"/>
  <c r="E349" i="5"/>
  <c r="B349" i="5"/>
  <c r="C349" i="5" s="1"/>
  <c r="Q348" i="5"/>
  <c r="P348" i="5" s="1"/>
  <c r="M348" i="5"/>
  <c r="L348" i="5"/>
  <c r="K348" i="5"/>
  <c r="J348" i="5"/>
  <c r="I348" i="5"/>
  <c r="H348" i="5"/>
  <c r="G348" i="5"/>
  <c r="E348" i="5"/>
  <c r="B348" i="5"/>
  <c r="S348" i="5" s="1"/>
  <c r="Q347" i="5"/>
  <c r="P347" i="5" s="1"/>
  <c r="L347" i="5"/>
  <c r="K347" i="5"/>
  <c r="J347" i="5"/>
  <c r="I347" i="5"/>
  <c r="H347" i="5"/>
  <c r="G347" i="5"/>
  <c r="E347" i="5"/>
  <c r="B347" i="5"/>
  <c r="D347" i="5" s="1"/>
  <c r="L346" i="5"/>
  <c r="K346" i="5"/>
  <c r="J346" i="5"/>
  <c r="I346" i="5"/>
  <c r="H346" i="5"/>
  <c r="G346" i="5"/>
  <c r="F346" i="5"/>
  <c r="E346" i="5"/>
  <c r="B346" i="5"/>
  <c r="O345" i="5"/>
  <c r="L345" i="5"/>
  <c r="K345" i="5"/>
  <c r="J345" i="5"/>
  <c r="I345" i="5"/>
  <c r="H345" i="5"/>
  <c r="G345" i="5"/>
  <c r="E345" i="5"/>
  <c r="D345" i="5"/>
  <c r="N345" i="5" s="1"/>
  <c r="B345" i="5"/>
  <c r="S345" i="5" s="1"/>
  <c r="M344" i="5"/>
  <c r="L344" i="5"/>
  <c r="K344" i="5"/>
  <c r="J344" i="5"/>
  <c r="I344" i="5"/>
  <c r="H344" i="5"/>
  <c r="G344" i="5"/>
  <c r="E344" i="5"/>
  <c r="O344" i="5" s="1"/>
  <c r="B344" i="5"/>
  <c r="S344" i="5" s="1"/>
  <c r="Q343" i="5"/>
  <c r="O343" i="5"/>
  <c r="L343" i="5"/>
  <c r="K343" i="5"/>
  <c r="J343" i="5"/>
  <c r="I343" i="5"/>
  <c r="H343" i="5"/>
  <c r="G343" i="5"/>
  <c r="E343" i="5"/>
  <c r="M343" i="5" s="1"/>
  <c r="B343" i="5"/>
  <c r="S343" i="5" s="1"/>
  <c r="L342" i="5"/>
  <c r="K342" i="5"/>
  <c r="J342" i="5"/>
  <c r="I342" i="5"/>
  <c r="H342" i="5"/>
  <c r="G342" i="5"/>
  <c r="E342" i="5"/>
  <c r="C342" i="5"/>
  <c r="B342" i="5"/>
  <c r="L341" i="5"/>
  <c r="K341" i="5"/>
  <c r="J341" i="5"/>
  <c r="I341" i="5"/>
  <c r="H341" i="5"/>
  <c r="G341" i="5"/>
  <c r="E341" i="5"/>
  <c r="B341" i="5"/>
  <c r="D341" i="5" s="1"/>
  <c r="M340" i="5"/>
  <c r="L340" i="5"/>
  <c r="K340" i="5"/>
  <c r="J340" i="5"/>
  <c r="I340" i="5"/>
  <c r="H340" i="5"/>
  <c r="G340" i="5"/>
  <c r="F340" i="5"/>
  <c r="E340" i="5"/>
  <c r="B340" i="5"/>
  <c r="Q339" i="5"/>
  <c r="L339" i="5"/>
  <c r="K339" i="5"/>
  <c r="J339" i="5"/>
  <c r="I339" i="5"/>
  <c r="H339" i="5"/>
  <c r="G339" i="5"/>
  <c r="E339" i="5"/>
  <c r="F339" i="5" s="1"/>
  <c r="B339" i="5"/>
  <c r="R338" i="5"/>
  <c r="Q338" i="5"/>
  <c r="P338" i="5" s="1"/>
  <c r="O338" i="5"/>
  <c r="M338" i="5"/>
  <c r="L338" i="5"/>
  <c r="K338" i="5"/>
  <c r="J338" i="5"/>
  <c r="I338" i="5"/>
  <c r="H338" i="5"/>
  <c r="G338" i="5"/>
  <c r="F338" i="5"/>
  <c r="E338" i="5"/>
  <c r="D338" i="5"/>
  <c r="N338" i="5" s="1"/>
  <c r="B338" i="5"/>
  <c r="L337" i="5"/>
  <c r="K337" i="5"/>
  <c r="J337" i="5"/>
  <c r="I337" i="5"/>
  <c r="H337" i="5"/>
  <c r="G337" i="5"/>
  <c r="E337" i="5"/>
  <c r="B337" i="5"/>
  <c r="C337" i="5" s="1"/>
  <c r="L336" i="5"/>
  <c r="K336" i="5"/>
  <c r="J336" i="5"/>
  <c r="I336" i="5"/>
  <c r="H336" i="5"/>
  <c r="G336" i="5"/>
  <c r="E336" i="5"/>
  <c r="B336" i="5"/>
  <c r="S336" i="5" s="1"/>
  <c r="M335" i="5"/>
  <c r="L335" i="5"/>
  <c r="K335" i="5"/>
  <c r="Q335" i="5" s="1"/>
  <c r="J335" i="5"/>
  <c r="I335" i="5"/>
  <c r="H335" i="5"/>
  <c r="G335" i="5"/>
  <c r="E335" i="5"/>
  <c r="O335" i="5" s="1"/>
  <c r="B335" i="5"/>
  <c r="D335" i="5" s="1"/>
  <c r="L334" i="5"/>
  <c r="K334" i="5"/>
  <c r="J334" i="5"/>
  <c r="I334" i="5"/>
  <c r="H334" i="5"/>
  <c r="G334" i="5"/>
  <c r="E334" i="5"/>
  <c r="B334" i="5"/>
  <c r="S333" i="5"/>
  <c r="M333" i="5"/>
  <c r="L333" i="5"/>
  <c r="K333" i="5"/>
  <c r="J333" i="5"/>
  <c r="I333" i="5"/>
  <c r="H333" i="5"/>
  <c r="G333" i="5"/>
  <c r="E333" i="5"/>
  <c r="B333" i="5"/>
  <c r="D333" i="5" s="1"/>
  <c r="N333" i="5" s="1"/>
  <c r="O332" i="5"/>
  <c r="M332" i="5"/>
  <c r="L332" i="5"/>
  <c r="K332" i="5"/>
  <c r="J332" i="5"/>
  <c r="I332" i="5"/>
  <c r="H332" i="5"/>
  <c r="G332" i="5"/>
  <c r="F332" i="5"/>
  <c r="E332" i="5"/>
  <c r="B332" i="5"/>
  <c r="L331" i="5"/>
  <c r="K331" i="5"/>
  <c r="J331" i="5"/>
  <c r="I331" i="5"/>
  <c r="H331" i="5"/>
  <c r="G331" i="5"/>
  <c r="E331" i="5"/>
  <c r="B331" i="5"/>
  <c r="Q330" i="5"/>
  <c r="P330" i="5" s="1"/>
  <c r="L330" i="5"/>
  <c r="K330" i="5"/>
  <c r="J330" i="5"/>
  <c r="I330" i="5"/>
  <c r="H330" i="5"/>
  <c r="G330" i="5"/>
  <c r="E330" i="5"/>
  <c r="B330" i="5"/>
  <c r="C330" i="5" s="1"/>
  <c r="S329" i="5"/>
  <c r="L329" i="5"/>
  <c r="K329" i="5"/>
  <c r="J329" i="5"/>
  <c r="I329" i="5"/>
  <c r="H329" i="5"/>
  <c r="G329" i="5"/>
  <c r="E329" i="5"/>
  <c r="B329" i="5"/>
  <c r="D329" i="5" s="1"/>
  <c r="O328" i="5"/>
  <c r="L328" i="5"/>
  <c r="K328" i="5"/>
  <c r="J328" i="5"/>
  <c r="I328" i="5"/>
  <c r="H328" i="5"/>
  <c r="G328" i="5"/>
  <c r="F328" i="5"/>
  <c r="E328" i="5"/>
  <c r="M328" i="5" s="1"/>
  <c r="B328" i="5"/>
  <c r="S328" i="5" s="1"/>
  <c r="S327" i="5"/>
  <c r="L327" i="5"/>
  <c r="K327" i="5"/>
  <c r="Q327" i="5" s="1"/>
  <c r="J327" i="5"/>
  <c r="I327" i="5"/>
  <c r="H327" i="5"/>
  <c r="G327" i="5"/>
  <c r="E327" i="5"/>
  <c r="D327" i="5"/>
  <c r="C327" i="5"/>
  <c r="B327" i="5"/>
  <c r="Q326" i="5"/>
  <c r="L326" i="5"/>
  <c r="K326" i="5"/>
  <c r="J326" i="5"/>
  <c r="I326" i="5"/>
  <c r="H326" i="5"/>
  <c r="G326" i="5"/>
  <c r="E326" i="5"/>
  <c r="D326" i="5"/>
  <c r="N326" i="5" s="1"/>
  <c r="B326" i="5"/>
  <c r="S326" i="5" s="1"/>
  <c r="Q325" i="5"/>
  <c r="R325" i="5" s="1"/>
  <c r="M325" i="5"/>
  <c r="L325" i="5"/>
  <c r="K325" i="5"/>
  <c r="J325" i="5"/>
  <c r="I325" i="5"/>
  <c r="H325" i="5"/>
  <c r="G325" i="5"/>
  <c r="E325" i="5"/>
  <c r="F325" i="5" s="1"/>
  <c r="B325" i="5"/>
  <c r="O324" i="5"/>
  <c r="M324" i="5"/>
  <c r="L324" i="5"/>
  <c r="K324" i="5"/>
  <c r="J324" i="5"/>
  <c r="I324" i="5"/>
  <c r="H324" i="5"/>
  <c r="G324" i="5"/>
  <c r="F324" i="5"/>
  <c r="E324" i="5"/>
  <c r="B324" i="5"/>
  <c r="O323" i="5"/>
  <c r="L323" i="5"/>
  <c r="K323" i="5"/>
  <c r="J323" i="5"/>
  <c r="I323" i="5"/>
  <c r="H323" i="5"/>
  <c r="G323" i="5"/>
  <c r="E323" i="5"/>
  <c r="M323" i="5" s="1"/>
  <c r="B323" i="5"/>
  <c r="L322" i="5"/>
  <c r="K322" i="5"/>
  <c r="J322" i="5"/>
  <c r="I322" i="5"/>
  <c r="H322" i="5"/>
  <c r="G322" i="5"/>
  <c r="E322" i="5"/>
  <c r="B322" i="5"/>
  <c r="Q321" i="5"/>
  <c r="O321" i="5"/>
  <c r="N321" i="5"/>
  <c r="L321" i="5"/>
  <c r="K321" i="5"/>
  <c r="J321" i="5"/>
  <c r="I321" i="5"/>
  <c r="H321" i="5"/>
  <c r="G321" i="5"/>
  <c r="E321" i="5"/>
  <c r="M321" i="5" s="1"/>
  <c r="B321" i="5"/>
  <c r="D321" i="5" s="1"/>
  <c r="L320" i="5"/>
  <c r="K320" i="5"/>
  <c r="J320" i="5"/>
  <c r="I320" i="5"/>
  <c r="H320" i="5"/>
  <c r="G320" i="5"/>
  <c r="E320" i="5"/>
  <c r="F320" i="5" s="1"/>
  <c r="B320" i="5"/>
  <c r="M319" i="5"/>
  <c r="L319" i="5"/>
  <c r="K319" i="5"/>
  <c r="J319" i="5"/>
  <c r="I319" i="5"/>
  <c r="H319" i="5"/>
  <c r="G319" i="5"/>
  <c r="E319" i="5"/>
  <c r="B319" i="5"/>
  <c r="S319" i="5" s="1"/>
  <c r="L318" i="5"/>
  <c r="K318" i="5"/>
  <c r="J318" i="5"/>
  <c r="I318" i="5"/>
  <c r="H318" i="5"/>
  <c r="G318" i="5"/>
  <c r="E318" i="5"/>
  <c r="B318" i="5"/>
  <c r="O317" i="5"/>
  <c r="M317" i="5"/>
  <c r="L317" i="5"/>
  <c r="K317" i="5"/>
  <c r="J317" i="5"/>
  <c r="I317" i="5"/>
  <c r="H317" i="5"/>
  <c r="G317" i="5"/>
  <c r="E317" i="5"/>
  <c r="B317" i="5"/>
  <c r="D317" i="5" s="1"/>
  <c r="L316" i="5"/>
  <c r="K316" i="5"/>
  <c r="J316" i="5"/>
  <c r="I316" i="5"/>
  <c r="H316" i="5"/>
  <c r="G316" i="5"/>
  <c r="E316" i="5"/>
  <c r="B316" i="5"/>
  <c r="L315" i="5"/>
  <c r="K315" i="5"/>
  <c r="J315" i="5"/>
  <c r="I315" i="5"/>
  <c r="H315" i="5"/>
  <c r="G315" i="5"/>
  <c r="E315" i="5"/>
  <c r="B315" i="5"/>
  <c r="S315" i="5" s="1"/>
  <c r="L314" i="5"/>
  <c r="K314" i="5"/>
  <c r="J314" i="5"/>
  <c r="I314" i="5"/>
  <c r="H314" i="5"/>
  <c r="G314" i="5"/>
  <c r="F314" i="5"/>
  <c r="E314" i="5"/>
  <c r="B314" i="5"/>
  <c r="C314" i="5" s="1"/>
  <c r="Q313" i="5"/>
  <c r="L313" i="5"/>
  <c r="K313" i="5"/>
  <c r="J313" i="5"/>
  <c r="I313" i="5"/>
  <c r="H313" i="5"/>
  <c r="G313" i="5"/>
  <c r="E313" i="5"/>
  <c r="B313" i="5"/>
  <c r="M312" i="5"/>
  <c r="L312" i="5"/>
  <c r="K312" i="5"/>
  <c r="J312" i="5"/>
  <c r="I312" i="5"/>
  <c r="H312" i="5"/>
  <c r="G312" i="5"/>
  <c r="F312" i="5"/>
  <c r="E312" i="5"/>
  <c r="O312" i="5" s="1"/>
  <c r="B312" i="5"/>
  <c r="S312" i="5" s="1"/>
  <c r="Q311" i="5"/>
  <c r="P311" i="5" s="1"/>
  <c r="L311" i="5"/>
  <c r="K311" i="5"/>
  <c r="J311" i="5"/>
  <c r="I311" i="5"/>
  <c r="H311" i="5"/>
  <c r="G311" i="5"/>
  <c r="E311" i="5"/>
  <c r="B311" i="5"/>
  <c r="D311" i="5" s="1"/>
  <c r="N311" i="5" s="1"/>
  <c r="Q310" i="5"/>
  <c r="R310" i="5" s="1"/>
  <c r="L310" i="5"/>
  <c r="K310" i="5"/>
  <c r="J310" i="5"/>
  <c r="I310" i="5"/>
  <c r="H310" i="5"/>
  <c r="G310" i="5"/>
  <c r="E310" i="5"/>
  <c r="B310" i="5"/>
  <c r="O309" i="5"/>
  <c r="M309" i="5"/>
  <c r="L309" i="5"/>
  <c r="K309" i="5"/>
  <c r="J309" i="5"/>
  <c r="I309" i="5"/>
  <c r="H309" i="5"/>
  <c r="G309" i="5"/>
  <c r="E309" i="5"/>
  <c r="B309" i="5"/>
  <c r="L308" i="5"/>
  <c r="K308" i="5"/>
  <c r="J308" i="5"/>
  <c r="I308" i="5"/>
  <c r="H308" i="5"/>
  <c r="G308" i="5"/>
  <c r="E308" i="5"/>
  <c r="B308" i="5"/>
  <c r="L307" i="5"/>
  <c r="K307" i="5"/>
  <c r="J307" i="5"/>
  <c r="I307" i="5"/>
  <c r="H307" i="5"/>
  <c r="G307" i="5"/>
  <c r="E307" i="5"/>
  <c r="B307" i="5"/>
  <c r="L306" i="5"/>
  <c r="K306" i="5"/>
  <c r="J306" i="5"/>
  <c r="I306" i="5"/>
  <c r="H306" i="5"/>
  <c r="G306" i="5"/>
  <c r="E306" i="5"/>
  <c r="B306" i="5"/>
  <c r="L305" i="5"/>
  <c r="K305" i="5"/>
  <c r="J305" i="5"/>
  <c r="I305" i="5"/>
  <c r="H305" i="5"/>
  <c r="G305" i="5"/>
  <c r="E305" i="5"/>
  <c r="F305" i="5" s="1"/>
  <c r="B305" i="5"/>
  <c r="D305" i="5" s="1"/>
  <c r="L304" i="5"/>
  <c r="K304" i="5"/>
  <c r="J304" i="5"/>
  <c r="I304" i="5"/>
  <c r="H304" i="5"/>
  <c r="G304" i="5"/>
  <c r="E304" i="5"/>
  <c r="B304" i="5"/>
  <c r="Q303" i="5"/>
  <c r="P303" i="5" s="1"/>
  <c r="O303" i="5"/>
  <c r="L303" i="5"/>
  <c r="K303" i="5"/>
  <c r="J303" i="5"/>
  <c r="I303" i="5"/>
  <c r="H303" i="5"/>
  <c r="G303" i="5"/>
  <c r="E303" i="5"/>
  <c r="M303" i="5" s="1"/>
  <c r="B303" i="5"/>
  <c r="S303" i="5" s="1"/>
  <c r="L302" i="5"/>
  <c r="K302" i="5"/>
  <c r="J302" i="5"/>
  <c r="I302" i="5"/>
  <c r="H302" i="5"/>
  <c r="G302" i="5"/>
  <c r="F302" i="5"/>
  <c r="E302" i="5"/>
  <c r="O302" i="5" s="1"/>
  <c r="B302" i="5"/>
  <c r="C302" i="5" s="1"/>
  <c r="L301" i="5"/>
  <c r="K301" i="5"/>
  <c r="J301" i="5"/>
  <c r="I301" i="5"/>
  <c r="H301" i="5"/>
  <c r="G301" i="5"/>
  <c r="E301" i="5"/>
  <c r="O301" i="5" s="1"/>
  <c r="B301" i="5"/>
  <c r="O300" i="5"/>
  <c r="L300" i="5"/>
  <c r="K300" i="5"/>
  <c r="J300" i="5"/>
  <c r="I300" i="5"/>
  <c r="H300" i="5"/>
  <c r="G300" i="5"/>
  <c r="F300" i="5"/>
  <c r="E300" i="5"/>
  <c r="M300" i="5" s="1"/>
  <c r="B300" i="5"/>
  <c r="M299" i="5"/>
  <c r="L299" i="5"/>
  <c r="K299" i="5"/>
  <c r="J299" i="5"/>
  <c r="I299" i="5"/>
  <c r="H299" i="5"/>
  <c r="G299" i="5"/>
  <c r="E299" i="5"/>
  <c r="B299" i="5"/>
  <c r="D299" i="5" s="1"/>
  <c r="Q298" i="5"/>
  <c r="R298" i="5" s="1"/>
  <c r="M298" i="5"/>
  <c r="L298" i="5"/>
  <c r="K298" i="5"/>
  <c r="J298" i="5"/>
  <c r="I298" i="5"/>
  <c r="H298" i="5"/>
  <c r="G298" i="5"/>
  <c r="F298" i="5"/>
  <c r="E298" i="5"/>
  <c r="O298" i="5" s="1"/>
  <c r="B298" i="5"/>
  <c r="M297" i="5"/>
  <c r="L297" i="5"/>
  <c r="K297" i="5"/>
  <c r="J297" i="5"/>
  <c r="I297" i="5"/>
  <c r="H297" i="5"/>
  <c r="G297" i="5"/>
  <c r="F297" i="5"/>
  <c r="E297" i="5"/>
  <c r="O297" i="5" s="1"/>
  <c r="B297" i="5"/>
  <c r="Q296" i="5"/>
  <c r="R296" i="5" s="1"/>
  <c r="L296" i="5"/>
  <c r="K296" i="5"/>
  <c r="J296" i="5"/>
  <c r="I296" i="5"/>
  <c r="H296" i="5"/>
  <c r="G296" i="5"/>
  <c r="E296" i="5"/>
  <c r="F296" i="5" s="1"/>
  <c r="D296" i="5"/>
  <c r="N296" i="5" s="1"/>
  <c r="B296" i="5"/>
  <c r="L295" i="5"/>
  <c r="K295" i="5"/>
  <c r="J295" i="5"/>
  <c r="I295" i="5"/>
  <c r="H295" i="5"/>
  <c r="G295" i="5"/>
  <c r="F295" i="5"/>
  <c r="E295" i="5"/>
  <c r="B295" i="5"/>
  <c r="C295" i="5" s="1"/>
  <c r="Q294" i="5"/>
  <c r="R294" i="5" s="1"/>
  <c r="L294" i="5"/>
  <c r="K294" i="5"/>
  <c r="J294" i="5"/>
  <c r="I294" i="5"/>
  <c r="H294" i="5"/>
  <c r="G294" i="5"/>
  <c r="E294" i="5"/>
  <c r="F294" i="5" s="1"/>
  <c r="B294" i="5"/>
  <c r="C294" i="5" s="1"/>
  <c r="Q293" i="5"/>
  <c r="L293" i="5"/>
  <c r="K293" i="5"/>
  <c r="J293" i="5"/>
  <c r="I293" i="5"/>
  <c r="H293" i="5"/>
  <c r="G293" i="5"/>
  <c r="E293" i="5"/>
  <c r="B293" i="5"/>
  <c r="D293" i="5" s="1"/>
  <c r="O292" i="5"/>
  <c r="M292" i="5"/>
  <c r="L292" i="5"/>
  <c r="K292" i="5"/>
  <c r="J292" i="5"/>
  <c r="I292" i="5"/>
  <c r="H292" i="5"/>
  <c r="G292" i="5"/>
  <c r="F292" i="5"/>
  <c r="E292" i="5"/>
  <c r="B292" i="5"/>
  <c r="S292" i="5" s="1"/>
  <c r="L291" i="5"/>
  <c r="K291" i="5"/>
  <c r="J291" i="5"/>
  <c r="I291" i="5"/>
  <c r="H291" i="5"/>
  <c r="G291" i="5"/>
  <c r="E291" i="5"/>
  <c r="D291" i="5"/>
  <c r="C291" i="5"/>
  <c r="B291" i="5"/>
  <c r="S291" i="5" s="1"/>
  <c r="L290" i="5"/>
  <c r="K290" i="5"/>
  <c r="Q290" i="5" s="1"/>
  <c r="J290" i="5"/>
  <c r="I290" i="5"/>
  <c r="H290" i="5"/>
  <c r="G290" i="5"/>
  <c r="E290" i="5"/>
  <c r="F290" i="5" s="1"/>
  <c r="B290" i="5"/>
  <c r="C290" i="5" s="1"/>
  <c r="L289" i="5"/>
  <c r="K289" i="5"/>
  <c r="J289" i="5"/>
  <c r="I289" i="5"/>
  <c r="H289" i="5"/>
  <c r="G289" i="5"/>
  <c r="E289" i="5"/>
  <c r="B289" i="5"/>
  <c r="D289" i="5" s="1"/>
  <c r="N289" i="5" s="1"/>
  <c r="O288" i="5"/>
  <c r="L288" i="5"/>
  <c r="K288" i="5"/>
  <c r="J288" i="5"/>
  <c r="I288" i="5"/>
  <c r="H288" i="5"/>
  <c r="G288" i="5"/>
  <c r="E288" i="5"/>
  <c r="B288" i="5"/>
  <c r="S288" i="5" s="1"/>
  <c r="S287" i="5"/>
  <c r="O287" i="5"/>
  <c r="L287" i="5"/>
  <c r="K287" i="5"/>
  <c r="J287" i="5"/>
  <c r="I287" i="5"/>
  <c r="H287" i="5"/>
  <c r="G287" i="5"/>
  <c r="E287" i="5"/>
  <c r="M287" i="5" s="1"/>
  <c r="B287" i="5"/>
  <c r="D287" i="5" s="1"/>
  <c r="N287" i="5" s="1"/>
  <c r="L286" i="5"/>
  <c r="K286" i="5"/>
  <c r="J286" i="5"/>
  <c r="I286" i="5"/>
  <c r="H286" i="5"/>
  <c r="G286" i="5"/>
  <c r="E286" i="5"/>
  <c r="B286" i="5"/>
  <c r="Q285" i="5"/>
  <c r="L285" i="5"/>
  <c r="K285" i="5"/>
  <c r="J285" i="5"/>
  <c r="I285" i="5"/>
  <c r="H285" i="5"/>
  <c r="G285" i="5"/>
  <c r="E285" i="5"/>
  <c r="M285" i="5" s="1"/>
  <c r="B285" i="5"/>
  <c r="S284" i="5"/>
  <c r="Q284" i="5"/>
  <c r="P284" i="5" s="1"/>
  <c r="L284" i="5"/>
  <c r="K284" i="5"/>
  <c r="J284" i="5"/>
  <c r="I284" i="5"/>
  <c r="H284" i="5"/>
  <c r="G284" i="5"/>
  <c r="E284" i="5"/>
  <c r="F284" i="5" s="1"/>
  <c r="B284" i="5"/>
  <c r="C284" i="5" s="1"/>
  <c r="L283" i="5"/>
  <c r="K283" i="5"/>
  <c r="J283" i="5"/>
  <c r="I283" i="5"/>
  <c r="H283" i="5"/>
  <c r="G283" i="5"/>
  <c r="E283" i="5"/>
  <c r="B283" i="5"/>
  <c r="Q282" i="5"/>
  <c r="R282" i="5" s="1"/>
  <c r="L282" i="5"/>
  <c r="K282" i="5"/>
  <c r="J282" i="5"/>
  <c r="I282" i="5"/>
  <c r="H282" i="5"/>
  <c r="G282" i="5"/>
  <c r="E282" i="5"/>
  <c r="B282" i="5"/>
  <c r="S282" i="5" s="1"/>
  <c r="S281" i="5"/>
  <c r="Q281" i="5"/>
  <c r="P281" i="5" s="1"/>
  <c r="L281" i="5"/>
  <c r="K281" i="5"/>
  <c r="J281" i="5"/>
  <c r="I281" i="5"/>
  <c r="H281" i="5"/>
  <c r="G281" i="5"/>
  <c r="E281" i="5"/>
  <c r="M281" i="5" s="1"/>
  <c r="B281" i="5"/>
  <c r="C281" i="5" s="1"/>
  <c r="Q280" i="5"/>
  <c r="L280" i="5"/>
  <c r="K280" i="5"/>
  <c r="J280" i="5"/>
  <c r="I280" i="5"/>
  <c r="H280" i="5"/>
  <c r="G280" i="5"/>
  <c r="E280" i="5"/>
  <c r="B280" i="5"/>
  <c r="S280" i="5" s="1"/>
  <c r="Q279" i="5"/>
  <c r="R279" i="5" s="1"/>
  <c r="P279" i="5"/>
  <c r="M279" i="5"/>
  <c r="L279" i="5"/>
  <c r="K279" i="5"/>
  <c r="J279" i="5"/>
  <c r="I279" i="5"/>
  <c r="H279" i="5"/>
  <c r="G279" i="5"/>
  <c r="F279" i="5"/>
  <c r="E279" i="5"/>
  <c r="O279" i="5" s="1"/>
  <c r="B279" i="5"/>
  <c r="D279" i="5" s="1"/>
  <c r="N279" i="5" s="1"/>
  <c r="S278" i="5"/>
  <c r="Q278" i="5"/>
  <c r="R278" i="5" s="1"/>
  <c r="P278" i="5"/>
  <c r="L278" i="5"/>
  <c r="K278" i="5"/>
  <c r="J278" i="5"/>
  <c r="I278" i="5"/>
  <c r="H278" i="5"/>
  <c r="G278" i="5"/>
  <c r="E278" i="5"/>
  <c r="F278" i="5" s="1"/>
  <c r="C278" i="5"/>
  <c r="B278" i="5"/>
  <c r="D278" i="5" s="1"/>
  <c r="Q277" i="5"/>
  <c r="R277" i="5" s="1"/>
  <c r="O277" i="5"/>
  <c r="M277" i="5"/>
  <c r="L277" i="5"/>
  <c r="K277" i="5"/>
  <c r="J277" i="5"/>
  <c r="I277" i="5"/>
  <c r="H277" i="5"/>
  <c r="G277" i="5"/>
  <c r="E277" i="5"/>
  <c r="D277" i="5"/>
  <c r="N277" i="5" s="1"/>
  <c r="B277" i="5"/>
  <c r="Q276" i="5"/>
  <c r="R276" i="5" s="1"/>
  <c r="L276" i="5"/>
  <c r="K276" i="5"/>
  <c r="J276" i="5"/>
  <c r="I276" i="5"/>
  <c r="H276" i="5"/>
  <c r="G276" i="5"/>
  <c r="E276" i="5"/>
  <c r="B276" i="5"/>
  <c r="S275" i="5"/>
  <c r="L275" i="5"/>
  <c r="K275" i="5"/>
  <c r="J275" i="5"/>
  <c r="I275" i="5"/>
  <c r="H275" i="5"/>
  <c r="G275" i="5"/>
  <c r="F275" i="5"/>
  <c r="E275" i="5"/>
  <c r="B275" i="5"/>
  <c r="C275" i="5" s="1"/>
  <c r="O274" i="5"/>
  <c r="L274" i="5"/>
  <c r="K274" i="5"/>
  <c r="J274" i="5"/>
  <c r="I274" i="5"/>
  <c r="H274" i="5"/>
  <c r="G274" i="5"/>
  <c r="E274" i="5"/>
  <c r="B274" i="5"/>
  <c r="S274" i="5" s="1"/>
  <c r="Q273" i="5"/>
  <c r="L273" i="5"/>
  <c r="K273" i="5"/>
  <c r="J273" i="5"/>
  <c r="I273" i="5"/>
  <c r="H273" i="5"/>
  <c r="G273" i="5"/>
  <c r="E273" i="5"/>
  <c r="B273" i="5"/>
  <c r="Q272" i="5"/>
  <c r="P272" i="5" s="1"/>
  <c r="L272" i="5"/>
  <c r="K272" i="5"/>
  <c r="J272" i="5"/>
  <c r="I272" i="5"/>
  <c r="H272" i="5"/>
  <c r="G272" i="5"/>
  <c r="E272" i="5"/>
  <c r="F272" i="5" s="1"/>
  <c r="B272" i="5"/>
  <c r="C272" i="5" s="1"/>
  <c r="L271" i="5"/>
  <c r="K271" i="5"/>
  <c r="J271" i="5"/>
  <c r="I271" i="5"/>
  <c r="H271" i="5"/>
  <c r="G271" i="5"/>
  <c r="E271" i="5"/>
  <c r="B271" i="5"/>
  <c r="O270" i="5"/>
  <c r="L270" i="5"/>
  <c r="K270" i="5"/>
  <c r="J270" i="5"/>
  <c r="I270" i="5"/>
  <c r="H270" i="5"/>
  <c r="G270" i="5"/>
  <c r="F270" i="5"/>
  <c r="E270" i="5"/>
  <c r="M270" i="5" s="1"/>
  <c r="B270" i="5"/>
  <c r="C270" i="5" s="1"/>
  <c r="Q269" i="5"/>
  <c r="R269" i="5" s="1"/>
  <c r="P269" i="5"/>
  <c r="L269" i="5"/>
  <c r="K269" i="5"/>
  <c r="J269" i="5"/>
  <c r="I269" i="5"/>
  <c r="H269" i="5"/>
  <c r="G269" i="5"/>
  <c r="E269" i="5"/>
  <c r="B269" i="5"/>
  <c r="S269" i="5" s="1"/>
  <c r="S268" i="5"/>
  <c r="L268" i="5"/>
  <c r="K268" i="5"/>
  <c r="J268" i="5"/>
  <c r="I268" i="5"/>
  <c r="H268" i="5"/>
  <c r="G268" i="5"/>
  <c r="E268" i="5"/>
  <c r="B268" i="5"/>
  <c r="C268" i="5" s="1"/>
  <c r="L267" i="5"/>
  <c r="K267" i="5"/>
  <c r="J267" i="5"/>
  <c r="I267" i="5"/>
  <c r="H267" i="5"/>
  <c r="G267" i="5"/>
  <c r="E267" i="5"/>
  <c r="B267" i="5"/>
  <c r="L266" i="5"/>
  <c r="K266" i="5"/>
  <c r="J266" i="5"/>
  <c r="I266" i="5"/>
  <c r="H266" i="5"/>
  <c r="G266" i="5"/>
  <c r="F266" i="5"/>
  <c r="E266" i="5"/>
  <c r="B266" i="5"/>
  <c r="S266" i="5" s="1"/>
  <c r="L265" i="5"/>
  <c r="K265" i="5"/>
  <c r="J265" i="5"/>
  <c r="I265" i="5"/>
  <c r="H265" i="5"/>
  <c r="G265" i="5"/>
  <c r="E265" i="5"/>
  <c r="M265" i="5" s="1"/>
  <c r="B265" i="5"/>
  <c r="D265" i="5" s="1"/>
  <c r="N265" i="5" s="1"/>
  <c r="S264" i="5"/>
  <c r="L264" i="5"/>
  <c r="K264" i="5"/>
  <c r="J264" i="5"/>
  <c r="I264" i="5"/>
  <c r="H264" i="5"/>
  <c r="G264" i="5"/>
  <c r="E264" i="5"/>
  <c r="B264" i="5"/>
  <c r="C264" i="5" s="1"/>
  <c r="L263" i="5"/>
  <c r="K263" i="5"/>
  <c r="J263" i="5"/>
  <c r="I263" i="5"/>
  <c r="H263" i="5"/>
  <c r="G263" i="5"/>
  <c r="E263" i="5"/>
  <c r="B263" i="5"/>
  <c r="D263" i="5" s="1"/>
  <c r="Q262" i="5"/>
  <c r="L262" i="5"/>
  <c r="K262" i="5"/>
  <c r="J262" i="5"/>
  <c r="I262" i="5"/>
  <c r="H262" i="5"/>
  <c r="G262" i="5"/>
  <c r="F262" i="5"/>
  <c r="E262" i="5"/>
  <c r="B262" i="5"/>
  <c r="L261" i="5"/>
  <c r="K261" i="5"/>
  <c r="J261" i="5"/>
  <c r="I261" i="5"/>
  <c r="H261" i="5"/>
  <c r="G261" i="5"/>
  <c r="F261" i="5"/>
  <c r="E261" i="5"/>
  <c r="B261" i="5"/>
  <c r="O260" i="5"/>
  <c r="M260" i="5"/>
  <c r="L260" i="5"/>
  <c r="K260" i="5"/>
  <c r="J260" i="5"/>
  <c r="I260" i="5"/>
  <c r="H260" i="5"/>
  <c r="G260" i="5"/>
  <c r="E260" i="5"/>
  <c r="B260" i="5"/>
  <c r="S259" i="5"/>
  <c r="L259" i="5"/>
  <c r="K259" i="5"/>
  <c r="J259" i="5"/>
  <c r="I259" i="5"/>
  <c r="H259" i="5"/>
  <c r="G259" i="5"/>
  <c r="E259" i="5"/>
  <c r="B259" i="5"/>
  <c r="D259" i="5" s="1"/>
  <c r="S258" i="5"/>
  <c r="Q258" i="5"/>
  <c r="P258" i="5" s="1"/>
  <c r="L258" i="5"/>
  <c r="K258" i="5"/>
  <c r="J258" i="5"/>
  <c r="I258" i="5"/>
  <c r="H258" i="5"/>
  <c r="G258" i="5"/>
  <c r="E258" i="5"/>
  <c r="F258" i="5" s="1"/>
  <c r="B258" i="5"/>
  <c r="C258" i="5" s="1"/>
  <c r="L257" i="5"/>
  <c r="K257" i="5"/>
  <c r="J257" i="5"/>
  <c r="I257" i="5"/>
  <c r="H257" i="5"/>
  <c r="G257" i="5"/>
  <c r="E257" i="5"/>
  <c r="D257" i="5"/>
  <c r="N257" i="5" s="1"/>
  <c r="B257" i="5"/>
  <c r="O256" i="5"/>
  <c r="L256" i="5"/>
  <c r="K256" i="5"/>
  <c r="J256" i="5"/>
  <c r="I256" i="5"/>
  <c r="H256" i="5"/>
  <c r="G256" i="5"/>
  <c r="E256" i="5"/>
  <c r="M256" i="5" s="1"/>
  <c r="B256" i="5"/>
  <c r="C256" i="5" s="1"/>
  <c r="S255" i="5"/>
  <c r="M255" i="5"/>
  <c r="L255" i="5"/>
  <c r="K255" i="5"/>
  <c r="J255" i="5"/>
  <c r="I255" i="5"/>
  <c r="H255" i="5"/>
  <c r="G255" i="5"/>
  <c r="F255" i="5"/>
  <c r="E255" i="5"/>
  <c r="O255" i="5" s="1"/>
  <c r="B255" i="5"/>
  <c r="S254" i="5"/>
  <c r="L254" i="5"/>
  <c r="K254" i="5"/>
  <c r="J254" i="5"/>
  <c r="I254" i="5"/>
  <c r="H254" i="5"/>
  <c r="G254" i="5"/>
  <c r="E254" i="5"/>
  <c r="D254" i="5"/>
  <c r="B254" i="5"/>
  <c r="C254" i="5" s="1"/>
  <c r="Q253" i="5"/>
  <c r="R253" i="5" s="1"/>
  <c r="L253" i="5"/>
  <c r="K253" i="5"/>
  <c r="J253" i="5"/>
  <c r="I253" i="5"/>
  <c r="H253" i="5"/>
  <c r="G253" i="5"/>
  <c r="F253" i="5"/>
  <c r="E253" i="5"/>
  <c r="M253" i="5" s="1"/>
  <c r="B253" i="5"/>
  <c r="Q252" i="5"/>
  <c r="O252" i="5"/>
  <c r="M252" i="5"/>
  <c r="L252" i="5"/>
  <c r="K252" i="5"/>
  <c r="J252" i="5"/>
  <c r="I252" i="5"/>
  <c r="H252" i="5"/>
  <c r="G252" i="5"/>
  <c r="F252" i="5"/>
  <c r="E252" i="5"/>
  <c r="B252" i="5"/>
  <c r="S252" i="5" s="1"/>
  <c r="S251" i="5"/>
  <c r="L251" i="5"/>
  <c r="K251" i="5"/>
  <c r="J251" i="5"/>
  <c r="I251" i="5"/>
  <c r="H251" i="5"/>
  <c r="G251" i="5"/>
  <c r="E251" i="5"/>
  <c r="B251" i="5"/>
  <c r="L250" i="5"/>
  <c r="K250" i="5"/>
  <c r="J250" i="5"/>
  <c r="I250" i="5"/>
  <c r="H250" i="5"/>
  <c r="G250" i="5"/>
  <c r="E250" i="5"/>
  <c r="C250" i="5"/>
  <c r="B250" i="5"/>
  <c r="D250" i="5" s="1"/>
  <c r="L249" i="5"/>
  <c r="K249" i="5"/>
  <c r="J249" i="5"/>
  <c r="I249" i="5"/>
  <c r="H249" i="5"/>
  <c r="G249" i="5"/>
  <c r="E249" i="5"/>
  <c r="O249" i="5" s="1"/>
  <c r="B249" i="5"/>
  <c r="D249" i="5" s="1"/>
  <c r="N249" i="5" s="1"/>
  <c r="L248" i="5"/>
  <c r="K248" i="5"/>
  <c r="J248" i="5"/>
  <c r="I248" i="5"/>
  <c r="H248" i="5"/>
  <c r="G248" i="5"/>
  <c r="E248" i="5"/>
  <c r="F248" i="5" s="1"/>
  <c r="B248" i="5"/>
  <c r="L247" i="5"/>
  <c r="K247" i="5"/>
  <c r="J247" i="5"/>
  <c r="I247" i="5"/>
  <c r="H247" i="5"/>
  <c r="G247" i="5"/>
  <c r="F247" i="5"/>
  <c r="E247" i="5"/>
  <c r="B247" i="5"/>
  <c r="D247" i="5" s="1"/>
  <c r="M246" i="5"/>
  <c r="L246" i="5"/>
  <c r="K246" i="5"/>
  <c r="J246" i="5"/>
  <c r="I246" i="5"/>
  <c r="H246" i="5"/>
  <c r="G246" i="5"/>
  <c r="E246" i="5"/>
  <c r="O246" i="5" s="1"/>
  <c r="B246" i="5"/>
  <c r="L245" i="5"/>
  <c r="K245" i="5"/>
  <c r="J245" i="5"/>
  <c r="I245" i="5"/>
  <c r="H245" i="5"/>
  <c r="G245" i="5"/>
  <c r="E245" i="5"/>
  <c r="B245" i="5"/>
  <c r="L244" i="5"/>
  <c r="K244" i="5"/>
  <c r="J244" i="5"/>
  <c r="I244" i="5"/>
  <c r="H244" i="5"/>
  <c r="G244" i="5"/>
  <c r="E244" i="5"/>
  <c r="O244" i="5" s="1"/>
  <c r="B244" i="5"/>
  <c r="D244" i="5" s="1"/>
  <c r="N244" i="5" s="1"/>
  <c r="Q243" i="5"/>
  <c r="P243" i="5" s="1"/>
  <c r="L243" i="5"/>
  <c r="K243" i="5"/>
  <c r="J243" i="5"/>
  <c r="I243" i="5"/>
  <c r="H243" i="5"/>
  <c r="G243" i="5"/>
  <c r="E243" i="5"/>
  <c r="O243" i="5" s="1"/>
  <c r="B243" i="5"/>
  <c r="S243" i="5" s="1"/>
  <c r="L242" i="5"/>
  <c r="K242" i="5"/>
  <c r="J242" i="5"/>
  <c r="I242" i="5"/>
  <c r="H242" i="5"/>
  <c r="G242" i="5"/>
  <c r="E242" i="5"/>
  <c r="B242" i="5"/>
  <c r="C242" i="5" s="1"/>
  <c r="M241" i="5"/>
  <c r="L241" i="5"/>
  <c r="K241" i="5"/>
  <c r="J241" i="5"/>
  <c r="I241" i="5"/>
  <c r="H241" i="5"/>
  <c r="G241" i="5"/>
  <c r="F241" i="5"/>
  <c r="E241" i="5"/>
  <c r="O241" i="5" s="1"/>
  <c r="B241" i="5"/>
  <c r="O240" i="5"/>
  <c r="L240" i="5"/>
  <c r="K240" i="5"/>
  <c r="J240" i="5"/>
  <c r="I240" i="5"/>
  <c r="H240" i="5"/>
  <c r="G240" i="5"/>
  <c r="E240" i="5"/>
  <c r="B240" i="5"/>
  <c r="L239" i="5"/>
  <c r="K239" i="5"/>
  <c r="J239" i="5"/>
  <c r="I239" i="5"/>
  <c r="H239" i="5"/>
  <c r="G239" i="5"/>
  <c r="E239" i="5"/>
  <c r="O239" i="5" s="1"/>
  <c r="B239" i="5"/>
  <c r="M238" i="5"/>
  <c r="L238" i="5"/>
  <c r="K238" i="5"/>
  <c r="J238" i="5"/>
  <c r="I238" i="5"/>
  <c r="H238" i="5"/>
  <c r="G238" i="5"/>
  <c r="E238" i="5"/>
  <c r="O238" i="5" s="1"/>
  <c r="B238" i="5"/>
  <c r="S237" i="5"/>
  <c r="L237" i="5"/>
  <c r="K237" i="5"/>
  <c r="J237" i="5"/>
  <c r="I237" i="5"/>
  <c r="H237" i="5"/>
  <c r="G237" i="5"/>
  <c r="E237" i="5"/>
  <c r="B237" i="5"/>
  <c r="L236" i="5"/>
  <c r="K236" i="5"/>
  <c r="J236" i="5"/>
  <c r="I236" i="5"/>
  <c r="H236" i="5"/>
  <c r="G236" i="5"/>
  <c r="E236" i="5"/>
  <c r="D236" i="5"/>
  <c r="C236" i="5"/>
  <c r="B236" i="5"/>
  <c r="S236" i="5" s="1"/>
  <c r="L235" i="5"/>
  <c r="K235" i="5"/>
  <c r="J235" i="5"/>
  <c r="I235" i="5"/>
  <c r="H235" i="5"/>
  <c r="G235" i="5"/>
  <c r="E235" i="5"/>
  <c r="B235" i="5"/>
  <c r="L234" i="5"/>
  <c r="K234" i="5"/>
  <c r="J234" i="5"/>
  <c r="I234" i="5"/>
  <c r="H234" i="5"/>
  <c r="G234" i="5"/>
  <c r="E234" i="5"/>
  <c r="O234" i="5" s="1"/>
  <c r="C234" i="5"/>
  <c r="B234" i="5"/>
  <c r="S234" i="5" s="1"/>
  <c r="L233" i="5"/>
  <c r="K233" i="5"/>
  <c r="J233" i="5"/>
  <c r="I233" i="5"/>
  <c r="H233" i="5"/>
  <c r="G233" i="5"/>
  <c r="E233" i="5"/>
  <c r="O233" i="5" s="1"/>
  <c r="B233" i="5"/>
  <c r="D233" i="5" s="1"/>
  <c r="N233" i="5" s="1"/>
  <c r="O232" i="5"/>
  <c r="L232" i="5"/>
  <c r="K232" i="5"/>
  <c r="J232" i="5"/>
  <c r="I232" i="5"/>
  <c r="H232" i="5"/>
  <c r="G232" i="5"/>
  <c r="E232" i="5"/>
  <c r="M232" i="5" s="1"/>
  <c r="B232" i="5"/>
  <c r="C232" i="5" s="1"/>
  <c r="M231" i="5"/>
  <c r="L231" i="5"/>
  <c r="K231" i="5"/>
  <c r="J231" i="5"/>
  <c r="I231" i="5"/>
  <c r="H231" i="5"/>
  <c r="G231" i="5"/>
  <c r="E231" i="5"/>
  <c r="O231" i="5" s="1"/>
  <c r="D231" i="5"/>
  <c r="N231" i="5" s="1"/>
  <c r="B231" i="5"/>
  <c r="L230" i="5"/>
  <c r="K230" i="5"/>
  <c r="J230" i="5"/>
  <c r="I230" i="5"/>
  <c r="H230" i="5"/>
  <c r="G230" i="5"/>
  <c r="E230" i="5"/>
  <c r="B230" i="5"/>
  <c r="Q229" i="5"/>
  <c r="R229" i="5" s="1"/>
  <c r="L229" i="5"/>
  <c r="K229" i="5"/>
  <c r="J229" i="5"/>
  <c r="I229" i="5"/>
  <c r="H229" i="5"/>
  <c r="G229" i="5"/>
  <c r="E229" i="5"/>
  <c r="F229" i="5" s="1"/>
  <c r="B229" i="5"/>
  <c r="C229" i="5" s="1"/>
  <c r="S228" i="5"/>
  <c r="L228" i="5"/>
  <c r="K228" i="5"/>
  <c r="J228" i="5"/>
  <c r="I228" i="5"/>
  <c r="H228" i="5"/>
  <c r="G228" i="5"/>
  <c r="F228" i="5"/>
  <c r="E228" i="5"/>
  <c r="M228" i="5" s="1"/>
  <c r="B228" i="5"/>
  <c r="C228" i="5" s="1"/>
  <c r="O227" i="5"/>
  <c r="N227" i="5"/>
  <c r="M227" i="5"/>
  <c r="L227" i="5"/>
  <c r="K227" i="5"/>
  <c r="J227" i="5"/>
  <c r="I227" i="5"/>
  <c r="H227" i="5"/>
  <c r="G227" i="5"/>
  <c r="E227" i="5"/>
  <c r="F227" i="5" s="1"/>
  <c r="B227" i="5"/>
  <c r="D227" i="5" s="1"/>
  <c r="S226" i="5"/>
  <c r="O226" i="5"/>
  <c r="M226" i="5"/>
  <c r="L226" i="5"/>
  <c r="K226" i="5"/>
  <c r="Q226" i="5" s="1"/>
  <c r="J226" i="5"/>
  <c r="I226" i="5"/>
  <c r="H226" i="5"/>
  <c r="G226" i="5"/>
  <c r="E226" i="5"/>
  <c r="F226" i="5" s="1"/>
  <c r="D226" i="5"/>
  <c r="B226" i="5"/>
  <c r="C226" i="5" s="1"/>
  <c r="L225" i="5"/>
  <c r="K225" i="5"/>
  <c r="J225" i="5"/>
  <c r="I225" i="5"/>
  <c r="H225" i="5"/>
  <c r="G225" i="5"/>
  <c r="E225" i="5"/>
  <c r="B225" i="5"/>
  <c r="C225" i="5" s="1"/>
  <c r="L224" i="5"/>
  <c r="K224" i="5"/>
  <c r="J224" i="5"/>
  <c r="I224" i="5"/>
  <c r="H224" i="5"/>
  <c r="G224" i="5"/>
  <c r="E224" i="5"/>
  <c r="B224" i="5"/>
  <c r="L223" i="5"/>
  <c r="K223" i="5"/>
  <c r="J223" i="5"/>
  <c r="I223" i="5"/>
  <c r="H223" i="5"/>
  <c r="G223" i="5"/>
  <c r="E223" i="5"/>
  <c r="B223" i="5"/>
  <c r="Q223" i="5" s="1"/>
  <c r="S222" i="5"/>
  <c r="L222" i="5"/>
  <c r="K222" i="5"/>
  <c r="J222" i="5"/>
  <c r="I222" i="5"/>
  <c r="H222" i="5"/>
  <c r="G222" i="5"/>
  <c r="E222" i="5"/>
  <c r="B222" i="5"/>
  <c r="C222" i="5" s="1"/>
  <c r="L221" i="5"/>
  <c r="K221" i="5"/>
  <c r="J221" i="5"/>
  <c r="I221" i="5"/>
  <c r="H221" i="5"/>
  <c r="G221" i="5"/>
  <c r="E221" i="5"/>
  <c r="B221" i="5"/>
  <c r="C221" i="5" s="1"/>
  <c r="L220" i="5"/>
  <c r="K220" i="5"/>
  <c r="J220" i="5"/>
  <c r="I220" i="5"/>
  <c r="H220" i="5"/>
  <c r="G220" i="5"/>
  <c r="E220" i="5"/>
  <c r="B220" i="5"/>
  <c r="S219" i="5"/>
  <c r="L219" i="5"/>
  <c r="K219" i="5"/>
  <c r="J219" i="5"/>
  <c r="I219" i="5"/>
  <c r="H219" i="5"/>
  <c r="G219" i="5"/>
  <c r="E219" i="5"/>
  <c r="B219" i="5"/>
  <c r="C219" i="5" s="1"/>
  <c r="L218" i="5"/>
  <c r="K218" i="5"/>
  <c r="J218" i="5"/>
  <c r="I218" i="5"/>
  <c r="H218" i="5"/>
  <c r="G218" i="5"/>
  <c r="E218" i="5"/>
  <c r="B218" i="5"/>
  <c r="L217" i="5"/>
  <c r="K217" i="5"/>
  <c r="J217" i="5"/>
  <c r="I217" i="5"/>
  <c r="H217" i="5"/>
  <c r="G217" i="5"/>
  <c r="E217" i="5"/>
  <c r="B217" i="5"/>
  <c r="D217" i="5" s="1"/>
  <c r="N217" i="5" s="1"/>
  <c r="L216" i="5"/>
  <c r="K216" i="5"/>
  <c r="J216" i="5"/>
  <c r="I216" i="5"/>
  <c r="H216" i="5"/>
  <c r="G216" i="5"/>
  <c r="E216" i="5"/>
  <c r="O216" i="5" s="1"/>
  <c r="B216" i="5"/>
  <c r="C216" i="5" s="1"/>
  <c r="O215" i="5"/>
  <c r="M215" i="5"/>
  <c r="L215" i="5"/>
  <c r="K215" i="5"/>
  <c r="J215" i="5"/>
  <c r="I215" i="5"/>
  <c r="H215" i="5"/>
  <c r="G215" i="5"/>
  <c r="F215" i="5"/>
  <c r="E215" i="5"/>
  <c r="B215" i="5"/>
  <c r="O214" i="5"/>
  <c r="L214" i="5"/>
  <c r="K214" i="5"/>
  <c r="J214" i="5"/>
  <c r="I214" i="5"/>
  <c r="H214" i="5"/>
  <c r="G214" i="5"/>
  <c r="F214" i="5"/>
  <c r="E214" i="5"/>
  <c r="M214" i="5" s="1"/>
  <c r="D214" i="5"/>
  <c r="N214" i="5" s="1"/>
  <c r="B214" i="5"/>
  <c r="C214" i="5" s="1"/>
  <c r="L213" i="5"/>
  <c r="K213" i="5"/>
  <c r="J213" i="5"/>
  <c r="I213" i="5"/>
  <c r="H213" i="5"/>
  <c r="G213" i="5"/>
  <c r="E213" i="5"/>
  <c r="O213" i="5" s="1"/>
  <c r="B213" i="5"/>
  <c r="D213" i="5" s="1"/>
  <c r="L212" i="5"/>
  <c r="K212" i="5"/>
  <c r="J212" i="5"/>
  <c r="I212" i="5"/>
  <c r="H212" i="5"/>
  <c r="G212" i="5"/>
  <c r="E212" i="5"/>
  <c r="B212" i="5"/>
  <c r="D212" i="5" s="1"/>
  <c r="N212" i="5" s="1"/>
  <c r="S211" i="5"/>
  <c r="Q211" i="5"/>
  <c r="R211" i="5" s="1"/>
  <c r="L211" i="5"/>
  <c r="K211" i="5"/>
  <c r="J211" i="5"/>
  <c r="I211" i="5"/>
  <c r="H211" i="5"/>
  <c r="G211" i="5"/>
  <c r="F211" i="5"/>
  <c r="E211" i="5"/>
  <c r="B211" i="5"/>
  <c r="C211" i="5" s="1"/>
  <c r="O210" i="5"/>
  <c r="M210" i="5"/>
  <c r="L210" i="5"/>
  <c r="K210" i="5"/>
  <c r="J210" i="5"/>
  <c r="I210" i="5"/>
  <c r="H210" i="5"/>
  <c r="G210" i="5"/>
  <c r="F210" i="5"/>
  <c r="E210" i="5"/>
  <c r="C210" i="5"/>
  <c r="B210" i="5"/>
  <c r="L209" i="5"/>
  <c r="K209" i="5"/>
  <c r="J209" i="5"/>
  <c r="I209" i="5"/>
  <c r="H209" i="5"/>
  <c r="G209" i="5"/>
  <c r="E209" i="5"/>
  <c r="F209" i="5" s="1"/>
  <c r="C209" i="5"/>
  <c r="B209" i="5"/>
  <c r="S209" i="5" s="1"/>
  <c r="L208" i="5"/>
  <c r="K208" i="5"/>
  <c r="J208" i="5"/>
  <c r="I208" i="5"/>
  <c r="H208" i="5"/>
  <c r="G208" i="5"/>
  <c r="E208" i="5"/>
  <c r="B208" i="5"/>
  <c r="L207" i="5"/>
  <c r="K207" i="5"/>
  <c r="J207" i="5"/>
  <c r="I207" i="5"/>
  <c r="H207" i="5"/>
  <c r="G207" i="5"/>
  <c r="E207" i="5"/>
  <c r="B207" i="5"/>
  <c r="D207" i="5" s="1"/>
  <c r="N207" i="5" s="1"/>
  <c r="L206" i="5"/>
  <c r="K206" i="5"/>
  <c r="J206" i="5"/>
  <c r="I206" i="5"/>
  <c r="H206" i="5"/>
  <c r="G206" i="5"/>
  <c r="E206" i="5"/>
  <c r="B206" i="5"/>
  <c r="S206" i="5" s="1"/>
  <c r="S205" i="5"/>
  <c r="L205" i="5"/>
  <c r="K205" i="5"/>
  <c r="J205" i="5"/>
  <c r="I205" i="5"/>
  <c r="H205" i="5"/>
  <c r="G205" i="5"/>
  <c r="E205" i="5"/>
  <c r="F205" i="5" s="1"/>
  <c r="B205" i="5"/>
  <c r="D205" i="5" s="1"/>
  <c r="L204" i="5"/>
  <c r="K204" i="5"/>
  <c r="J204" i="5"/>
  <c r="I204" i="5"/>
  <c r="H204" i="5"/>
  <c r="G204" i="5"/>
  <c r="E204" i="5"/>
  <c r="O204" i="5" s="1"/>
  <c r="B204" i="5"/>
  <c r="C204" i="5" s="1"/>
  <c r="M203" i="5"/>
  <c r="L203" i="5"/>
  <c r="K203" i="5"/>
  <c r="J203" i="5"/>
  <c r="I203" i="5"/>
  <c r="H203" i="5"/>
  <c r="G203" i="5"/>
  <c r="E203" i="5"/>
  <c r="F203" i="5" s="1"/>
  <c r="B203" i="5"/>
  <c r="C203" i="5" s="1"/>
  <c r="O202" i="5"/>
  <c r="L202" i="5"/>
  <c r="K202" i="5"/>
  <c r="J202" i="5"/>
  <c r="I202" i="5"/>
  <c r="H202" i="5"/>
  <c r="G202" i="5"/>
  <c r="E202" i="5"/>
  <c r="M202" i="5" s="1"/>
  <c r="B202" i="5"/>
  <c r="L201" i="5"/>
  <c r="K201" i="5"/>
  <c r="J201" i="5"/>
  <c r="I201" i="5"/>
  <c r="H201" i="5"/>
  <c r="G201" i="5"/>
  <c r="F201" i="5"/>
  <c r="E201" i="5"/>
  <c r="O201" i="5" s="1"/>
  <c r="B201" i="5"/>
  <c r="O200" i="5"/>
  <c r="L200" i="5"/>
  <c r="K200" i="5"/>
  <c r="J200" i="5"/>
  <c r="I200" i="5"/>
  <c r="H200" i="5"/>
  <c r="G200" i="5"/>
  <c r="F200" i="5"/>
  <c r="E200" i="5"/>
  <c r="M200" i="5" s="1"/>
  <c r="B200" i="5"/>
  <c r="Q200" i="5" s="1"/>
  <c r="S199" i="5"/>
  <c r="L199" i="5"/>
  <c r="K199" i="5"/>
  <c r="J199" i="5"/>
  <c r="I199" i="5"/>
  <c r="H199" i="5"/>
  <c r="G199" i="5"/>
  <c r="E199" i="5"/>
  <c r="B199" i="5"/>
  <c r="C199" i="5" s="1"/>
  <c r="S198" i="5"/>
  <c r="L198" i="5"/>
  <c r="K198" i="5"/>
  <c r="J198" i="5"/>
  <c r="I198" i="5"/>
  <c r="H198" i="5"/>
  <c r="G198" i="5"/>
  <c r="E198" i="5"/>
  <c r="B198" i="5"/>
  <c r="D198" i="5" s="1"/>
  <c r="Q197" i="5"/>
  <c r="R197" i="5" s="1"/>
  <c r="L197" i="5"/>
  <c r="K197" i="5"/>
  <c r="J197" i="5"/>
  <c r="I197" i="5"/>
  <c r="H197" i="5"/>
  <c r="G197" i="5"/>
  <c r="E197" i="5"/>
  <c r="D197" i="5"/>
  <c r="B197" i="5"/>
  <c r="C197" i="5" s="1"/>
  <c r="L196" i="5"/>
  <c r="K196" i="5"/>
  <c r="J196" i="5"/>
  <c r="I196" i="5"/>
  <c r="H196" i="5"/>
  <c r="G196" i="5"/>
  <c r="E196" i="5"/>
  <c r="B196" i="5"/>
  <c r="S196" i="5" s="1"/>
  <c r="M195" i="5"/>
  <c r="L195" i="5"/>
  <c r="K195" i="5"/>
  <c r="J195" i="5"/>
  <c r="I195" i="5"/>
  <c r="H195" i="5"/>
  <c r="G195" i="5"/>
  <c r="F195" i="5"/>
  <c r="E195" i="5"/>
  <c r="O195" i="5" s="1"/>
  <c r="B195" i="5"/>
  <c r="S194" i="5"/>
  <c r="L194" i="5"/>
  <c r="K194" i="5"/>
  <c r="J194" i="5"/>
  <c r="I194" i="5"/>
  <c r="H194" i="5"/>
  <c r="G194" i="5"/>
  <c r="E194" i="5"/>
  <c r="D194" i="5"/>
  <c r="N194" i="5" s="1"/>
  <c r="B194" i="5"/>
  <c r="C194" i="5" s="1"/>
  <c r="O193" i="5"/>
  <c r="M193" i="5"/>
  <c r="L193" i="5"/>
  <c r="K193" i="5"/>
  <c r="J193" i="5"/>
  <c r="I193" i="5"/>
  <c r="H193" i="5"/>
  <c r="G193" i="5"/>
  <c r="E193" i="5"/>
  <c r="B193" i="5"/>
  <c r="D193" i="5" s="1"/>
  <c r="N193" i="5" s="1"/>
  <c r="Q192" i="5"/>
  <c r="P192" i="5" s="1"/>
  <c r="L192" i="5"/>
  <c r="K192" i="5"/>
  <c r="J192" i="5"/>
  <c r="I192" i="5"/>
  <c r="H192" i="5"/>
  <c r="G192" i="5"/>
  <c r="E192" i="5"/>
  <c r="M192" i="5" s="1"/>
  <c r="B192" i="5"/>
  <c r="C192" i="5" s="1"/>
  <c r="L191" i="5"/>
  <c r="K191" i="5"/>
  <c r="J191" i="5"/>
  <c r="I191" i="5"/>
  <c r="H191" i="5"/>
  <c r="G191" i="5"/>
  <c r="F191" i="5"/>
  <c r="E191" i="5"/>
  <c r="O191" i="5" s="1"/>
  <c r="D191" i="5"/>
  <c r="N191" i="5" s="1"/>
  <c r="C191" i="5"/>
  <c r="B191" i="5"/>
  <c r="S191" i="5" s="1"/>
  <c r="L190" i="5"/>
  <c r="K190" i="5"/>
  <c r="J190" i="5"/>
  <c r="I190" i="5"/>
  <c r="H190" i="5"/>
  <c r="G190" i="5"/>
  <c r="E190" i="5"/>
  <c r="B190" i="5"/>
  <c r="L189" i="5"/>
  <c r="K189" i="5"/>
  <c r="J189" i="5"/>
  <c r="I189" i="5"/>
  <c r="H189" i="5"/>
  <c r="G189" i="5"/>
  <c r="E189" i="5"/>
  <c r="B189" i="5"/>
  <c r="S189" i="5" s="1"/>
  <c r="O188" i="5"/>
  <c r="L188" i="5"/>
  <c r="K188" i="5"/>
  <c r="J188" i="5"/>
  <c r="I188" i="5"/>
  <c r="H188" i="5"/>
  <c r="G188" i="5"/>
  <c r="F188" i="5"/>
  <c r="E188" i="5"/>
  <c r="M188" i="5" s="1"/>
  <c r="B188" i="5"/>
  <c r="Q187" i="5"/>
  <c r="R187" i="5" s="1"/>
  <c r="L187" i="5"/>
  <c r="K187" i="5"/>
  <c r="J187" i="5"/>
  <c r="I187" i="5"/>
  <c r="H187" i="5"/>
  <c r="G187" i="5"/>
  <c r="E187" i="5"/>
  <c r="B187" i="5"/>
  <c r="D187" i="5" s="1"/>
  <c r="Q186" i="5"/>
  <c r="L186" i="5"/>
  <c r="K186" i="5"/>
  <c r="J186" i="5"/>
  <c r="I186" i="5"/>
  <c r="H186" i="5"/>
  <c r="G186" i="5"/>
  <c r="E186" i="5"/>
  <c r="M186" i="5" s="1"/>
  <c r="B186" i="5"/>
  <c r="S185" i="5"/>
  <c r="L185" i="5"/>
  <c r="K185" i="5"/>
  <c r="J185" i="5"/>
  <c r="I185" i="5"/>
  <c r="H185" i="5"/>
  <c r="G185" i="5"/>
  <c r="E185" i="5"/>
  <c r="M185" i="5" s="1"/>
  <c r="C185" i="5"/>
  <c r="B185" i="5"/>
  <c r="D185" i="5" s="1"/>
  <c r="N185" i="5" s="1"/>
  <c r="Q184" i="5"/>
  <c r="P184" i="5" s="1"/>
  <c r="O184" i="5"/>
  <c r="L184" i="5"/>
  <c r="K184" i="5"/>
  <c r="J184" i="5"/>
  <c r="I184" i="5"/>
  <c r="H184" i="5"/>
  <c r="G184" i="5"/>
  <c r="F184" i="5"/>
  <c r="E184" i="5"/>
  <c r="M184" i="5" s="1"/>
  <c r="D184" i="5"/>
  <c r="N184" i="5" s="1"/>
  <c r="C184" i="5"/>
  <c r="B184" i="5"/>
  <c r="S184" i="5" s="1"/>
  <c r="Q183" i="5"/>
  <c r="P183" i="5" s="1"/>
  <c r="L183" i="5"/>
  <c r="K183" i="5"/>
  <c r="J183" i="5"/>
  <c r="I183" i="5"/>
  <c r="H183" i="5"/>
  <c r="G183" i="5"/>
  <c r="E183" i="5"/>
  <c r="B183" i="5"/>
  <c r="D183" i="5" s="1"/>
  <c r="O182" i="5"/>
  <c r="M182" i="5"/>
  <c r="L182" i="5"/>
  <c r="K182" i="5"/>
  <c r="J182" i="5"/>
  <c r="I182" i="5"/>
  <c r="H182" i="5"/>
  <c r="G182" i="5"/>
  <c r="E182" i="5"/>
  <c r="F182" i="5" s="1"/>
  <c r="B182" i="5"/>
  <c r="L181" i="5"/>
  <c r="K181" i="5"/>
  <c r="J181" i="5"/>
  <c r="I181" i="5"/>
  <c r="H181" i="5"/>
  <c r="G181" i="5"/>
  <c r="E181" i="5"/>
  <c r="O181" i="5" s="1"/>
  <c r="B181" i="5"/>
  <c r="Q180" i="5"/>
  <c r="R180" i="5" s="1"/>
  <c r="P180" i="5"/>
  <c r="M180" i="5"/>
  <c r="L180" i="5"/>
  <c r="K180" i="5"/>
  <c r="J180" i="5"/>
  <c r="I180" i="5"/>
  <c r="H180" i="5"/>
  <c r="G180" i="5"/>
  <c r="E180" i="5"/>
  <c r="O180" i="5" s="1"/>
  <c r="B180" i="5"/>
  <c r="D180" i="5" s="1"/>
  <c r="N180" i="5" s="1"/>
  <c r="M179" i="5"/>
  <c r="L179" i="5"/>
  <c r="K179" i="5"/>
  <c r="J179" i="5"/>
  <c r="I179" i="5"/>
  <c r="H179" i="5"/>
  <c r="G179" i="5"/>
  <c r="E179" i="5"/>
  <c r="O179" i="5" s="1"/>
  <c r="B179" i="5"/>
  <c r="L178" i="5"/>
  <c r="K178" i="5"/>
  <c r="J178" i="5"/>
  <c r="I178" i="5"/>
  <c r="H178" i="5"/>
  <c r="G178" i="5"/>
  <c r="E178" i="5"/>
  <c r="B178" i="5"/>
  <c r="C178" i="5" s="1"/>
  <c r="Q177" i="5"/>
  <c r="L177" i="5"/>
  <c r="K177" i="5"/>
  <c r="J177" i="5"/>
  <c r="I177" i="5"/>
  <c r="H177" i="5"/>
  <c r="G177" i="5"/>
  <c r="E177" i="5"/>
  <c r="B177" i="5"/>
  <c r="S177" i="5" s="1"/>
  <c r="Q176" i="5"/>
  <c r="M176" i="5"/>
  <c r="L176" i="5"/>
  <c r="K176" i="5"/>
  <c r="J176" i="5"/>
  <c r="I176" i="5"/>
  <c r="H176" i="5"/>
  <c r="G176" i="5"/>
  <c r="E176" i="5"/>
  <c r="D176" i="5"/>
  <c r="N176" i="5" s="1"/>
  <c r="C176" i="5"/>
  <c r="B176" i="5"/>
  <c r="S176" i="5" s="1"/>
  <c r="L175" i="5"/>
  <c r="K175" i="5"/>
  <c r="J175" i="5"/>
  <c r="I175" i="5"/>
  <c r="H175" i="5"/>
  <c r="G175" i="5"/>
  <c r="E175" i="5"/>
  <c r="B175" i="5"/>
  <c r="S175" i="5" s="1"/>
  <c r="L174" i="5"/>
  <c r="K174" i="5"/>
  <c r="J174" i="5"/>
  <c r="I174" i="5"/>
  <c r="H174" i="5"/>
  <c r="G174" i="5"/>
  <c r="E174" i="5"/>
  <c r="B174" i="5"/>
  <c r="L173" i="5"/>
  <c r="K173" i="5"/>
  <c r="J173" i="5"/>
  <c r="I173" i="5"/>
  <c r="H173" i="5"/>
  <c r="G173" i="5"/>
  <c r="E173" i="5"/>
  <c r="B173" i="5"/>
  <c r="C173" i="5" s="1"/>
  <c r="S172" i="5"/>
  <c r="L172" i="5"/>
  <c r="K172" i="5"/>
  <c r="J172" i="5"/>
  <c r="I172" i="5"/>
  <c r="H172" i="5"/>
  <c r="G172" i="5"/>
  <c r="E172" i="5"/>
  <c r="B172" i="5"/>
  <c r="S171" i="5"/>
  <c r="M171" i="5"/>
  <c r="L171" i="5"/>
  <c r="K171" i="5"/>
  <c r="J171" i="5"/>
  <c r="I171" i="5"/>
  <c r="H171" i="5"/>
  <c r="G171" i="5"/>
  <c r="F171" i="5"/>
  <c r="E171" i="5"/>
  <c r="O171" i="5" s="1"/>
  <c r="B171" i="5"/>
  <c r="L170" i="5"/>
  <c r="K170" i="5"/>
  <c r="J170" i="5"/>
  <c r="I170" i="5"/>
  <c r="H170" i="5"/>
  <c r="G170" i="5"/>
  <c r="F170" i="5"/>
  <c r="E170" i="5"/>
  <c r="O170" i="5" s="1"/>
  <c r="D170" i="5"/>
  <c r="N170" i="5" s="1"/>
  <c r="C170" i="5"/>
  <c r="B170" i="5"/>
  <c r="S170" i="5" s="1"/>
  <c r="Q169" i="5"/>
  <c r="R169" i="5" s="1"/>
  <c r="L169" i="5"/>
  <c r="K169" i="5"/>
  <c r="J169" i="5"/>
  <c r="I169" i="5"/>
  <c r="H169" i="5"/>
  <c r="G169" i="5"/>
  <c r="E169" i="5"/>
  <c r="B169" i="5"/>
  <c r="D169" i="5" s="1"/>
  <c r="Q168" i="5"/>
  <c r="P168" i="5" s="1"/>
  <c r="L168" i="5"/>
  <c r="K168" i="5"/>
  <c r="J168" i="5"/>
  <c r="I168" i="5"/>
  <c r="H168" i="5"/>
  <c r="G168" i="5"/>
  <c r="F168" i="5"/>
  <c r="E168" i="5"/>
  <c r="B168" i="5"/>
  <c r="S168" i="5" s="1"/>
  <c r="Q167" i="5"/>
  <c r="O167" i="5"/>
  <c r="M167" i="5"/>
  <c r="L167" i="5"/>
  <c r="K167" i="5"/>
  <c r="J167" i="5"/>
  <c r="I167" i="5"/>
  <c r="H167" i="5"/>
  <c r="G167" i="5"/>
  <c r="E167" i="5"/>
  <c r="F167" i="5" s="1"/>
  <c r="B167" i="5"/>
  <c r="D167" i="5" s="1"/>
  <c r="Q166" i="5"/>
  <c r="L166" i="5"/>
  <c r="K166" i="5"/>
  <c r="J166" i="5"/>
  <c r="I166" i="5"/>
  <c r="H166" i="5"/>
  <c r="G166" i="5"/>
  <c r="E166" i="5"/>
  <c r="F166" i="5" s="1"/>
  <c r="B166" i="5"/>
  <c r="Q165" i="5"/>
  <c r="R165" i="5" s="1"/>
  <c r="O165" i="5"/>
  <c r="L165" i="5"/>
  <c r="K165" i="5"/>
  <c r="J165" i="5"/>
  <c r="I165" i="5"/>
  <c r="H165" i="5"/>
  <c r="G165" i="5"/>
  <c r="E165" i="5"/>
  <c r="B165" i="5"/>
  <c r="S165" i="5" s="1"/>
  <c r="S164" i="5"/>
  <c r="L164" i="5"/>
  <c r="K164" i="5"/>
  <c r="J164" i="5"/>
  <c r="I164" i="5"/>
  <c r="H164" i="5"/>
  <c r="G164" i="5"/>
  <c r="E164" i="5"/>
  <c r="M164" i="5" s="1"/>
  <c r="B164" i="5"/>
  <c r="D164" i="5" s="1"/>
  <c r="N164" i="5" s="1"/>
  <c r="S163" i="5"/>
  <c r="Q163" i="5"/>
  <c r="O163" i="5"/>
  <c r="M163" i="5"/>
  <c r="L163" i="5"/>
  <c r="K163" i="5"/>
  <c r="J163" i="5"/>
  <c r="I163" i="5"/>
  <c r="H163" i="5"/>
  <c r="G163" i="5"/>
  <c r="E163" i="5"/>
  <c r="F163" i="5" s="1"/>
  <c r="B163" i="5"/>
  <c r="M162" i="5"/>
  <c r="L162" i="5"/>
  <c r="K162" i="5"/>
  <c r="Q162" i="5" s="1"/>
  <c r="J162" i="5"/>
  <c r="I162" i="5"/>
  <c r="H162" i="5"/>
  <c r="G162" i="5"/>
  <c r="E162" i="5"/>
  <c r="D162" i="5"/>
  <c r="B162" i="5"/>
  <c r="S162" i="5" s="1"/>
  <c r="S161" i="5"/>
  <c r="O161" i="5"/>
  <c r="M161" i="5"/>
  <c r="L161" i="5"/>
  <c r="K161" i="5"/>
  <c r="J161" i="5"/>
  <c r="I161" i="5"/>
  <c r="H161" i="5"/>
  <c r="G161" i="5"/>
  <c r="F161" i="5"/>
  <c r="E161" i="5"/>
  <c r="D161" i="5"/>
  <c r="N161" i="5" s="1"/>
  <c r="C161" i="5"/>
  <c r="B161" i="5"/>
  <c r="L160" i="5"/>
  <c r="K160" i="5"/>
  <c r="J160" i="5"/>
  <c r="I160" i="5"/>
  <c r="H160" i="5"/>
  <c r="G160" i="5"/>
  <c r="E160" i="5"/>
  <c r="B160" i="5"/>
  <c r="D160" i="5" s="1"/>
  <c r="L159" i="5"/>
  <c r="K159" i="5"/>
  <c r="J159" i="5"/>
  <c r="I159" i="5"/>
  <c r="H159" i="5"/>
  <c r="G159" i="5"/>
  <c r="E159" i="5"/>
  <c r="F159" i="5" s="1"/>
  <c r="B159" i="5"/>
  <c r="S159" i="5" s="1"/>
  <c r="L158" i="5"/>
  <c r="K158" i="5"/>
  <c r="J158" i="5"/>
  <c r="I158" i="5"/>
  <c r="H158" i="5"/>
  <c r="G158" i="5"/>
  <c r="E158" i="5"/>
  <c r="B158" i="5"/>
  <c r="D158" i="5" s="1"/>
  <c r="N158" i="5" s="1"/>
  <c r="Q157" i="5"/>
  <c r="R157" i="5" s="1"/>
  <c r="L157" i="5"/>
  <c r="K157" i="5"/>
  <c r="J157" i="5"/>
  <c r="I157" i="5"/>
  <c r="H157" i="5"/>
  <c r="G157" i="5"/>
  <c r="E157" i="5"/>
  <c r="O157" i="5" s="1"/>
  <c r="B157" i="5"/>
  <c r="D157" i="5" s="1"/>
  <c r="N157" i="5" s="1"/>
  <c r="O156" i="5"/>
  <c r="L156" i="5"/>
  <c r="K156" i="5"/>
  <c r="J156" i="5"/>
  <c r="I156" i="5"/>
  <c r="H156" i="5"/>
  <c r="G156" i="5"/>
  <c r="E156" i="5"/>
  <c r="M156" i="5" s="1"/>
  <c r="B156" i="5"/>
  <c r="S156" i="5" s="1"/>
  <c r="S155" i="5"/>
  <c r="O155" i="5"/>
  <c r="L155" i="5"/>
  <c r="K155" i="5"/>
  <c r="J155" i="5"/>
  <c r="I155" i="5"/>
  <c r="H155" i="5"/>
  <c r="G155" i="5"/>
  <c r="E155" i="5"/>
  <c r="B155" i="5"/>
  <c r="C155" i="5" s="1"/>
  <c r="L154" i="5"/>
  <c r="K154" i="5"/>
  <c r="J154" i="5"/>
  <c r="I154" i="5"/>
  <c r="H154" i="5"/>
  <c r="G154" i="5"/>
  <c r="E154" i="5"/>
  <c r="M154" i="5" s="1"/>
  <c r="C154" i="5"/>
  <c r="B154" i="5"/>
  <c r="S154" i="5" s="1"/>
  <c r="S153" i="5"/>
  <c r="L153" i="5"/>
  <c r="K153" i="5"/>
  <c r="J153" i="5"/>
  <c r="I153" i="5"/>
  <c r="H153" i="5"/>
  <c r="G153" i="5"/>
  <c r="E153" i="5"/>
  <c r="M153" i="5" s="1"/>
  <c r="B153" i="5"/>
  <c r="D153" i="5" s="1"/>
  <c r="N153" i="5" s="1"/>
  <c r="S152" i="5"/>
  <c r="L152" i="5"/>
  <c r="K152" i="5"/>
  <c r="Q152" i="5" s="1"/>
  <c r="J152" i="5"/>
  <c r="I152" i="5"/>
  <c r="H152" i="5"/>
  <c r="G152" i="5"/>
  <c r="E152" i="5"/>
  <c r="M152" i="5" s="1"/>
  <c r="B152" i="5"/>
  <c r="D152" i="5" s="1"/>
  <c r="L151" i="5"/>
  <c r="K151" i="5"/>
  <c r="J151" i="5"/>
  <c r="I151" i="5"/>
  <c r="H151" i="5"/>
  <c r="G151" i="5"/>
  <c r="F151" i="5"/>
  <c r="E151" i="5"/>
  <c r="M151" i="5" s="1"/>
  <c r="B151" i="5"/>
  <c r="L150" i="5"/>
  <c r="K150" i="5"/>
  <c r="J150" i="5"/>
  <c r="I150" i="5"/>
  <c r="H150" i="5"/>
  <c r="G150" i="5"/>
  <c r="E150" i="5"/>
  <c r="O150" i="5" s="1"/>
  <c r="B150" i="5"/>
  <c r="Q150" i="5" s="1"/>
  <c r="O149" i="5"/>
  <c r="M149" i="5"/>
  <c r="L149" i="5"/>
  <c r="K149" i="5"/>
  <c r="Q149" i="5" s="1"/>
  <c r="J149" i="5"/>
  <c r="I149" i="5"/>
  <c r="H149" i="5"/>
  <c r="G149" i="5"/>
  <c r="E149" i="5"/>
  <c r="F149" i="5" s="1"/>
  <c r="B149" i="5"/>
  <c r="L148" i="5"/>
  <c r="K148" i="5"/>
  <c r="J148" i="5"/>
  <c r="I148" i="5"/>
  <c r="H148" i="5"/>
  <c r="G148" i="5"/>
  <c r="F148" i="5"/>
  <c r="E148" i="5"/>
  <c r="B148" i="5"/>
  <c r="L147" i="5"/>
  <c r="K147" i="5"/>
  <c r="J147" i="5"/>
  <c r="I147" i="5"/>
  <c r="H147" i="5"/>
  <c r="G147" i="5"/>
  <c r="E147" i="5"/>
  <c r="B147" i="5"/>
  <c r="L146" i="5"/>
  <c r="K146" i="5"/>
  <c r="J146" i="5"/>
  <c r="I146" i="5"/>
  <c r="H146" i="5"/>
  <c r="G146" i="5"/>
  <c r="E146" i="5"/>
  <c r="B146" i="5"/>
  <c r="D146" i="5" s="1"/>
  <c r="L145" i="5"/>
  <c r="K145" i="5"/>
  <c r="J145" i="5"/>
  <c r="I145" i="5"/>
  <c r="H145" i="5"/>
  <c r="G145" i="5"/>
  <c r="E145" i="5"/>
  <c r="F145" i="5" s="1"/>
  <c r="B145" i="5"/>
  <c r="L144" i="5"/>
  <c r="K144" i="5"/>
  <c r="J144" i="5"/>
  <c r="I144" i="5"/>
  <c r="H144" i="5"/>
  <c r="G144" i="5"/>
  <c r="E144" i="5"/>
  <c r="F144" i="5" s="1"/>
  <c r="B144" i="5"/>
  <c r="S144" i="5" s="1"/>
  <c r="S143" i="5"/>
  <c r="L143" i="5"/>
  <c r="K143" i="5"/>
  <c r="J143" i="5"/>
  <c r="I143" i="5"/>
  <c r="H143" i="5"/>
  <c r="G143" i="5"/>
  <c r="E143" i="5"/>
  <c r="B143" i="5"/>
  <c r="C143" i="5" s="1"/>
  <c r="L142" i="5"/>
  <c r="K142" i="5"/>
  <c r="Q142" i="5" s="1"/>
  <c r="J142" i="5"/>
  <c r="I142" i="5"/>
  <c r="H142" i="5"/>
  <c r="G142" i="5"/>
  <c r="F142" i="5"/>
  <c r="E142" i="5"/>
  <c r="B142" i="5"/>
  <c r="C142" i="5" s="1"/>
  <c r="Q141" i="5"/>
  <c r="P141" i="5" s="1"/>
  <c r="L141" i="5"/>
  <c r="K141" i="5"/>
  <c r="J141" i="5"/>
  <c r="I141" i="5"/>
  <c r="H141" i="5"/>
  <c r="G141" i="5"/>
  <c r="E141" i="5"/>
  <c r="O141" i="5" s="1"/>
  <c r="B141" i="5"/>
  <c r="S141" i="5" s="1"/>
  <c r="S140" i="5"/>
  <c r="L140" i="5"/>
  <c r="K140" i="5"/>
  <c r="J140" i="5"/>
  <c r="I140" i="5"/>
  <c r="H140" i="5"/>
  <c r="G140" i="5"/>
  <c r="E140" i="5"/>
  <c r="O140" i="5" s="1"/>
  <c r="B140" i="5"/>
  <c r="D140" i="5" s="1"/>
  <c r="N140" i="5" s="1"/>
  <c r="L139" i="5"/>
  <c r="K139" i="5"/>
  <c r="J139" i="5"/>
  <c r="I139" i="5"/>
  <c r="H139" i="5"/>
  <c r="G139" i="5"/>
  <c r="F139" i="5"/>
  <c r="E139" i="5"/>
  <c r="O139" i="5" s="1"/>
  <c r="B139" i="5"/>
  <c r="C139" i="5" s="1"/>
  <c r="O138" i="5"/>
  <c r="L138" i="5"/>
  <c r="K138" i="5"/>
  <c r="J138" i="5"/>
  <c r="I138" i="5"/>
  <c r="H138" i="5"/>
  <c r="G138" i="5"/>
  <c r="F138" i="5"/>
  <c r="E138" i="5"/>
  <c r="M138" i="5" s="1"/>
  <c r="B138" i="5"/>
  <c r="S137" i="5"/>
  <c r="Q137" i="5"/>
  <c r="O137" i="5"/>
  <c r="L137" i="5"/>
  <c r="K137" i="5"/>
  <c r="J137" i="5"/>
  <c r="I137" i="5"/>
  <c r="H137" i="5"/>
  <c r="G137" i="5"/>
  <c r="E137" i="5"/>
  <c r="M137" i="5" s="1"/>
  <c r="B137" i="5"/>
  <c r="C137" i="5" s="1"/>
  <c r="Q136" i="5"/>
  <c r="L136" i="5"/>
  <c r="K136" i="5"/>
  <c r="J136" i="5"/>
  <c r="I136" i="5"/>
  <c r="H136" i="5"/>
  <c r="G136" i="5"/>
  <c r="E136" i="5"/>
  <c r="B136" i="5"/>
  <c r="S135" i="5"/>
  <c r="L135" i="5"/>
  <c r="K135" i="5"/>
  <c r="J135" i="5"/>
  <c r="I135" i="5"/>
  <c r="H135" i="5"/>
  <c r="G135" i="5"/>
  <c r="E135" i="5"/>
  <c r="O135" i="5" s="1"/>
  <c r="C135" i="5"/>
  <c r="B135" i="5"/>
  <c r="D135" i="5" s="1"/>
  <c r="O134" i="5"/>
  <c r="M134" i="5"/>
  <c r="L134" i="5"/>
  <c r="K134" i="5"/>
  <c r="J134" i="5"/>
  <c r="I134" i="5"/>
  <c r="H134" i="5"/>
  <c r="G134" i="5"/>
  <c r="E134" i="5"/>
  <c r="F134" i="5" s="1"/>
  <c r="B134" i="5"/>
  <c r="O133" i="5"/>
  <c r="M133" i="5"/>
  <c r="L133" i="5"/>
  <c r="K133" i="5"/>
  <c r="Q133" i="5" s="1"/>
  <c r="J133" i="5"/>
  <c r="I133" i="5"/>
  <c r="H133" i="5"/>
  <c r="G133" i="5"/>
  <c r="F133" i="5"/>
  <c r="E133" i="5"/>
  <c r="B133" i="5"/>
  <c r="S133" i="5" s="1"/>
  <c r="O132" i="5"/>
  <c r="M132" i="5"/>
  <c r="L132" i="5"/>
  <c r="K132" i="5"/>
  <c r="Q132" i="5" s="1"/>
  <c r="J132" i="5"/>
  <c r="I132" i="5"/>
  <c r="H132" i="5"/>
  <c r="G132" i="5"/>
  <c r="F132" i="5"/>
  <c r="E132" i="5"/>
  <c r="B132" i="5"/>
  <c r="S132" i="5" s="1"/>
  <c r="L131" i="5"/>
  <c r="K131" i="5"/>
  <c r="J131" i="5"/>
  <c r="I131" i="5"/>
  <c r="H131" i="5"/>
  <c r="G131" i="5"/>
  <c r="E131" i="5"/>
  <c r="B131" i="5"/>
  <c r="L130" i="5"/>
  <c r="K130" i="5"/>
  <c r="J130" i="5"/>
  <c r="I130" i="5"/>
  <c r="H130" i="5"/>
  <c r="G130" i="5"/>
  <c r="E130" i="5"/>
  <c r="M130" i="5" s="1"/>
  <c r="B130" i="5"/>
  <c r="S130" i="5" s="1"/>
  <c r="M129" i="5"/>
  <c r="L129" i="5"/>
  <c r="K129" i="5"/>
  <c r="J129" i="5"/>
  <c r="I129" i="5"/>
  <c r="H129" i="5"/>
  <c r="G129" i="5"/>
  <c r="E129" i="5"/>
  <c r="O129" i="5" s="1"/>
  <c r="B129" i="5"/>
  <c r="S128" i="5"/>
  <c r="O128" i="5"/>
  <c r="L128" i="5"/>
  <c r="K128" i="5"/>
  <c r="Q128" i="5" s="1"/>
  <c r="J128" i="5"/>
  <c r="I128" i="5"/>
  <c r="H128" i="5"/>
  <c r="G128" i="5"/>
  <c r="E128" i="5"/>
  <c r="B128" i="5"/>
  <c r="D128" i="5" s="1"/>
  <c r="N128" i="5" s="1"/>
  <c r="O127" i="5"/>
  <c r="M127" i="5"/>
  <c r="L127" i="5"/>
  <c r="K127" i="5"/>
  <c r="J127" i="5"/>
  <c r="I127" i="5"/>
  <c r="H127" i="5"/>
  <c r="G127" i="5"/>
  <c r="F127" i="5"/>
  <c r="E127" i="5"/>
  <c r="B127" i="5"/>
  <c r="S127" i="5" s="1"/>
  <c r="L126" i="5"/>
  <c r="K126" i="5"/>
  <c r="J126" i="5"/>
  <c r="I126" i="5"/>
  <c r="H126" i="5"/>
  <c r="G126" i="5"/>
  <c r="E126" i="5"/>
  <c r="F126" i="5" s="1"/>
  <c r="B126" i="5"/>
  <c r="Q125" i="5"/>
  <c r="R125" i="5" s="1"/>
  <c r="P125" i="5"/>
  <c r="L125" i="5"/>
  <c r="K125" i="5"/>
  <c r="J125" i="5"/>
  <c r="I125" i="5"/>
  <c r="H125" i="5"/>
  <c r="G125" i="5"/>
  <c r="E125" i="5"/>
  <c r="B125" i="5"/>
  <c r="Q124" i="5"/>
  <c r="L124" i="5"/>
  <c r="K124" i="5"/>
  <c r="J124" i="5"/>
  <c r="I124" i="5"/>
  <c r="H124" i="5"/>
  <c r="G124" i="5"/>
  <c r="E124" i="5"/>
  <c r="B124" i="5"/>
  <c r="C124" i="5" s="1"/>
  <c r="L123" i="5"/>
  <c r="K123" i="5"/>
  <c r="J123" i="5"/>
  <c r="I123" i="5"/>
  <c r="H123" i="5"/>
  <c r="G123" i="5"/>
  <c r="E123" i="5"/>
  <c r="M123" i="5" s="1"/>
  <c r="B123" i="5"/>
  <c r="Q123" i="5" s="1"/>
  <c r="Q122" i="5"/>
  <c r="R122" i="5" s="1"/>
  <c r="L122" i="5"/>
  <c r="K122" i="5"/>
  <c r="J122" i="5"/>
  <c r="I122" i="5"/>
  <c r="H122" i="5"/>
  <c r="G122" i="5"/>
  <c r="E122" i="5"/>
  <c r="B122" i="5"/>
  <c r="C122" i="5" s="1"/>
  <c r="L121" i="5"/>
  <c r="K121" i="5"/>
  <c r="J121" i="5"/>
  <c r="I121" i="5"/>
  <c r="H121" i="5"/>
  <c r="G121" i="5"/>
  <c r="F121" i="5"/>
  <c r="E121" i="5"/>
  <c r="B121" i="5"/>
  <c r="C121" i="5" s="1"/>
  <c r="L120" i="5"/>
  <c r="K120" i="5"/>
  <c r="J120" i="5"/>
  <c r="I120" i="5"/>
  <c r="H120" i="5"/>
  <c r="G120" i="5"/>
  <c r="E120" i="5"/>
  <c r="B120" i="5"/>
  <c r="C120" i="5" s="1"/>
  <c r="L119" i="5"/>
  <c r="K119" i="5"/>
  <c r="J119" i="5"/>
  <c r="I119" i="5"/>
  <c r="H119" i="5"/>
  <c r="G119" i="5"/>
  <c r="F119" i="5"/>
  <c r="E119" i="5"/>
  <c r="O119" i="5" s="1"/>
  <c r="B119" i="5"/>
  <c r="O118" i="5"/>
  <c r="L118" i="5"/>
  <c r="K118" i="5"/>
  <c r="J118" i="5"/>
  <c r="I118" i="5"/>
  <c r="H118" i="5"/>
  <c r="G118" i="5"/>
  <c r="F118" i="5"/>
  <c r="E118" i="5"/>
  <c r="M118" i="5" s="1"/>
  <c r="B118" i="5"/>
  <c r="D118" i="5" s="1"/>
  <c r="N118" i="5" s="1"/>
  <c r="L117" i="5"/>
  <c r="K117" i="5"/>
  <c r="J117" i="5"/>
  <c r="I117" i="5"/>
  <c r="H117" i="5"/>
  <c r="G117" i="5"/>
  <c r="E117" i="5"/>
  <c r="B117" i="5"/>
  <c r="D117" i="5" s="1"/>
  <c r="N117" i="5" s="1"/>
  <c r="L116" i="5"/>
  <c r="K116" i="5"/>
  <c r="J116" i="5"/>
  <c r="I116" i="5"/>
  <c r="H116" i="5"/>
  <c r="G116" i="5"/>
  <c r="E116" i="5"/>
  <c r="M116" i="5" s="1"/>
  <c r="D116" i="5"/>
  <c r="C116" i="5"/>
  <c r="B116" i="5"/>
  <c r="S116" i="5" s="1"/>
  <c r="M115" i="5"/>
  <c r="L115" i="5"/>
  <c r="K115" i="5"/>
  <c r="J115" i="5"/>
  <c r="I115" i="5"/>
  <c r="H115" i="5"/>
  <c r="G115" i="5"/>
  <c r="E115" i="5"/>
  <c r="B115" i="5"/>
  <c r="D115" i="5" s="1"/>
  <c r="N115" i="5" s="1"/>
  <c r="M114" i="5"/>
  <c r="L114" i="5"/>
  <c r="K114" i="5"/>
  <c r="Q114" i="5" s="1"/>
  <c r="J114" i="5"/>
  <c r="I114" i="5"/>
  <c r="H114" i="5"/>
  <c r="G114" i="5"/>
  <c r="E114" i="5"/>
  <c r="O114" i="5" s="1"/>
  <c r="B114" i="5"/>
  <c r="S114" i="5" s="1"/>
  <c r="O113" i="5"/>
  <c r="L113" i="5"/>
  <c r="K113" i="5"/>
  <c r="J113" i="5"/>
  <c r="I113" i="5"/>
  <c r="H113" i="5"/>
  <c r="G113" i="5"/>
  <c r="E113" i="5"/>
  <c r="B113" i="5"/>
  <c r="L112" i="5"/>
  <c r="K112" i="5"/>
  <c r="J112" i="5"/>
  <c r="I112" i="5"/>
  <c r="H112" i="5"/>
  <c r="G112" i="5"/>
  <c r="E112" i="5"/>
  <c r="B112" i="5"/>
  <c r="D112" i="5" s="1"/>
  <c r="O111" i="5"/>
  <c r="L111" i="5"/>
  <c r="K111" i="5"/>
  <c r="J111" i="5"/>
  <c r="I111" i="5"/>
  <c r="H111" i="5"/>
  <c r="G111" i="5"/>
  <c r="F111" i="5"/>
  <c r="E111" i="5"/>
  <c r="M111" i="5" s="1"/>
  <c r="B111" i="5"/>
  <c r="L110" i="5"/>
  <c r="K110" i="5"/>
  <c r="J110" i="5"/>
  <c r="I110" i="5"/>
  <c r="H110" i="5"/>
  <c r="G110" i="5"/>
  <c r="F110" i="5"/>
  <c r="E110" i="5"/>
  <c r="B110" i="5"/>
  <c r="Q109" i="5"/>
  <c r="P109" i="5" s="1"/>
  <c r="L109" i="5"/>
  <c r="K109" i="5"/>
  <c r="J109" i="5"/>
  <c r="I109" i="5"/>
  <c r="H109" i="5"/>
  <c r="G109" i="5"/>
  <c r="E109" i="5"/>
  <c r="B109" i="5"/>
  <c r="L108" i="5"/>
  <c r="K108" i="5"/>
  <c r="J108" i="5"/>
  <c r="I108" i="5"/>
  <c r="H108" i="5"/>
  <c r="G108" i="5"/>
  <c r="E108" i="5"/>
  <c r="B108" i="5"/>
  <c r="S107" i="5"/>
  <c r="N107" i="5"/>
  <c r="M107" i="5"/>
  <c r="L107" i="5"/>
  <c r="K107" i="5"/>
  <c r="Q107" i="5" s="1"/>
  <c r="J107" i="5"/>
  <c r="I107" i="5"/>
  <c r="H107" i="5"/>
  <c r="G107" i="5"/>
  <c r="F107" i="5"/>
  <c r="E107" i="5"/>
  <c r="O107" i="5" s="1"/>
  <c r="C107" i="5"/>
  <c r="B107" i="5"/>
  <c r="D107" i="5" s="1"/>
  <c r="Q106" i="5"/>
  <c r="P106" i="5" s="1"/>
  <c r="O106" i="5"/>
  <c r="L106" i="5"/>
  <c r="K106" i="5"/>
  <c r="J106" i="5"/>
  <c r="I106" i="5"/>
  <c r="H106" i="5"/>
  <c r="G106" i="5"/>
  <c r="E106" i="5"/>
  <c r="B106" i="5"/>
  <c r="D106" i="5" s="1"/>
  <c r="N106" i="5" s="1"/>
  <c r="O105" i="5"/>
  <c r="M105" i="5"/>
  <c r="L105" i="5"/>
  <c r="K105" i="5"/>
  <c r="J105" i="5"/>
  <c r="I105" i="5"/>
  <c r="H105" i="5"/>
  <c r="G105" i="5"/>
  <c r="F105" i="5"/>
  <c r="E105" i="5"/>
  <c r="B105" i="5"/>
  <c r="L104" i="5"/>
  <c r="K104" i="5"/>
  <c r="J104" i="5"/>
  <c r="I104" i="5"/>
  <c r="H104" i="5"/>
  <c r="G104" i="5"/>
  <c r="E104" i="5"/>
  <c r="F104" i="5" s="1"/>
  <c r="B104" i="5"/>
  <c r="L103" i="5"/>
  <c r="K103" i="5"/>
  <c r="J103" i="5"/>
  <c r="I103" i="5"/>
  <c r="H103" i="5"/>
  <c r="G103" i="5"/>
  <c r="F103" i="5"/>
  <c r="E103" i="5"/>
  <c r="O103" i="5" s="1"/>
  <c r="B103" i="5"/>
  <c r="M102" i="5"/>
  <c r="L102" i="5"/>
  <c r="K102" i="5"/>
  <c r="J102" i="5"/>
  <c r="I102" i="5"/>
  <c r="H102" i="5"/>
  <c r="G102" i="5"/>
  <c r="E102" i="5"/>
  <c r="B102" i="5"/>
  <c r="S102" i="5" s="1"/>
  <c r="L101" i="5"/>
  <c r="K101" i="5"/>
  <c r="J101" i="5"/>
  <c r="I101" i="5"/>
  <c r="H101" i="5"/>
  <c r="G101" i="5"/>
  <c r="E101" i="5"/>
  <c r="O101" i="5" s="1"/>
  <c r="D101" i="5"/>
  <c r="N101" i="5" s="1"/>
  <c r="B101" i="5"/>
  <c r="C101" i="5" s="1"/>
  <c r="L100" i="5"/>
  <c r="K100" i="5"/>
  <c r="J100" i="5"/>
  <c r="I100" i="5"/>
  <c r="H100" i="5"/>
  <c r="G100" i="5"/>
  <c r="E100" i="5"/>
  <c r="B100" i="5"/>
  <c r="S100" i="5" s="1"/>
  <c r="S99" i="5"/>
  <c r="Q99" i="5"/>
  <c r="P99" i="5" s="1"/>
  <c r="L99" i="5"/>
  <c r="K99" i="5"/>
  <c r="J99" i="5"/>
  <c r="I99" i="5"/>
  <c r="H99" i="5"/>
  <c r="G99" i="5"/>
  <c r="E99" i="5"/>
  <c r="B99" i="5"/>
  <c r="D99" i="5" s="1"/>
  <c r="Q98" i="5"/>
  <c r="P98" i="5" s="1"/>
  <c r="L98" i="5"/>
  <c r="K98" i="5"/>
  <c r="J98" i="5"/>
  <c r="I98" i="5"/>
  <c r="H98" i="5"/>
  <c r="G98" i="5"/>
  <c r="E98" i="5"/>
  <c r="B98" i="5"/>
  <c r="S98" i="5" s="1"/>
  <c r="L97" i="5"/>
  <c r="K97" i="5"/>
  <c r="J97" i="5"/>
  <c r="I97" i="5"/>
  <c r="H97" i="5"/>
  <c r="G97" i="5"/>
  <c r="E97" i="5"/>
  <c r="B97" i="5"/>
  <c r="C97" i="5" s="1"/>
  <c r="S96" i="5"/>
  <c r="L96" i="5"/>
  <c r="K96" i="5"/>
  <c r="J96" i="5"/>
  <c r="I96" i="5"/>
  <c r="H96" i="5"/>
  <c r="G96" i="5"/>
  <c r="E96" i="5"/>
  <c r="F96" i="5" s="1"/>
  <c r="B96" i="5"/>
  <c r="C96" i="5" s="1"/>
  <c r="L95" i="5"/>
  <c r="K95" i="5"/>
  <c r="J95" i="5"/>
  <c r="I95" i="5"/>
  <c r="H95" i="5"/>
  <c r="G95" i="5"/>
  <c r="E95" i="5"/>
  <c r="M95" i="5" s="1"/>
  <c r="B95" i="5"/>
  <c r="L94" i="5"/>
  <c r="K94" i="5"/>
  <c r="J94" i="5"/>
  <c r="I94" i="5"/>
  <c r="H94" i="5"/>
  <c r="G94" i="5"/>
  <c r="E94" i="5"/>
  <c r="B94" i="5"/>
  <c r="C94" i="5" s="1"/>
  <c r="M93" i="5"/>
  <c r="L93" i="5"/>
  <c r="K93" i="5"/>
  <c r="J93" i="5"/>
  <c r="I93" i="5"/>
  <c r="H93" i="5"/>
  <c r="G93" i="5"/>
  <c r="E93" i="5"/>
  <c r="F93" i="5" s="1"/>
  <c r="B93" i="5"/>
  <c r="D93" i="5" s="1"/>
  <c r="L92" i="5"/>
  <c r="K92" i="5"/>
  <c r="J92" i="5"/>
  <c r="I92" i="5"/>
  <c r="H92" i="5"/>
  <c r="G92" i="5"/>
  <c r="E92" i="5"/>
  <c r="B92" i="5"/>
  <c r="Q91" i="5"/>
  <c r="R91" i="5" s="1"/>
  <c r="M91" i="5"/>
  <c r="L91" i="5"/>
  <c r="K91" i="5"/>
  <c r="J91" i="5"/>
  <c r="I91" i="5"/>
  <c r="H91" i="5"/>
  <c r="G91" i="5"/>
  <c r="F91" i="5"/>
  <c r="E91" i="5"/>
  <c r="O91" i="5" s="1"/>
  <c r="B91" i="5"/>
  <c r="Q90" i="5"/>
  <c r="O90" i="5"/>
  <c r="L90" i="5"/>
  <c r="K90" i="5"/>
  <c r="J90" i="5"/>
  <c r="I90" i="5"/>
  <c r="H90" i="5"/>
  <c r="G90" i="5"/>
  <c r="F90" i="5"/>
  <c r="E90" i="5"/>
  <c r="M90" i="5" s="1"/>
  <c r="B90" i="5"/>
  <c r="S90" i="5" s="1"/>
  <c r="S89" i="5"/>
  <c r="Q89" i="5"/>
  <c r="R89" i="5" s="1"/>
  <c r="P89" i="5"/>
  <c r="L89" i="5"/>
  <c r="K89" i="5"/>
  <c r="J89" i="5"/>
  <c r="I89" i="5"/>
  <c r="H89" i="5"/>
  <c r="G89" i="5"/>
  <c r="E89" i="5"/>
  <c r="F89" i="5" s="1"/>
  <c r="B89" i="5"/>
  <c r="D89" i="5" s="1"/>
  <c r="S88" i="5"/>
  <c r="Q88" i="5"/>
  <c r="P88" i="5" s="1"/>
  <c r="L88" i="5"/>
  <c r="K88" i="5"/>
  <c r="J88" i="5"/>
  <c r="I88" i="5"/>
  <c r="H88" i="5"/>
  <c r="G88" i="5"/>
  <c r="E88" i="5"/>
  <c r="B88" i="5"/>
  <c r="Q87" i="5"/>
  <c r="L87" i="5"/>
  <c r="K87" i="5"/>
  <c r="J87" i="5"/>
  <c r="I87" i="5"/>
  <c r="H87" i="5"/>
  <c r="G87" i="5"/>
  <c r="E87" i="5"/>
  <c r="M87" i="5" s="1"/>
  <c r="B87" i="5"/>
  <c r="Q86" i="5"/>
  <c r="L86" i="5"/>
  <c r="K86" i="5"/>
  <c r="J86" i="5"/>
  <c r="I86" i="5"/>
  <c r="H86" i="5"/>
  <c r="G86" i="5"/>
  <c r="E86" i="5"/>
  <c r="F86" i="5" s="1"/>
  <c r="B86" i="5"/>
  <c r="D86" i="5" s="1"/>
  <c r="N86" i="5" s="1"/>
  <c r="S85" i="5"/>
  <c r="L85" i="5"/>
  <c r="K85" i="5"/>
  <c r="J85" i="5"/>
  <c r="I85" i="5"/>
  <c r="H85" i="5"/>
  <c r="G85" i="5"/>
  <c r="F85" i="5"/>
  <c r="E85" i="5"/>
  <c r="B85" i="5"/>
  <c r="O84" i="5"/>
  <c r="M84" i="5"/>
  <c r="L84" i="5"/>
  <c r="K84" i="5"/>
  <c r="J84" i="5"/>
  <c r="I84" i="5"/>
  <c r="H84" i="5"/>
  <c r="G84" i="5"/>
  <c r="E84" i="5"/>
  <c r="B84" i="5"/>
  <c r="C84" i="5" s="1"/>
  <c r="L83" i="5"/>
  <c r="K83" i="5"/>
  <c r="J83" i="5"/>
  <c r="I83" i="5"/>
  <c r="H83" i="5"/>
  <c r="G83" i="5"/>
  <c r="E83" i="5"/>
  <c r="B83" i="5"/>
  <c r="L82" i="5"/>
  <c r="K82" i="5"/>
  <c r="J82" i="5"/>
  <c r="I82" i="5"/>
  <c r="H82" i="5"/>
  <c r="G82" i="5"/>
  <c r="E82" i="5"/>
  <c r="B82" i="5"/>
  <c r="O81" i="5"/>
  <c r="M81" i="5"/>
  <c r="L81" i="5"/>
  <c r="K81" i="5"/>
  <c r="J81" i="5"/>
  <c r="I81" i="5"/>
  <c r="H81" i="5"/>
  <c r="G81" i="5"/>
  <c r="F81" i="5"/>
  <c r="E81" i="5"/>
  <c r="B81" i="5"/>
  <c r="C81" i="5" s="1"/>
  <c r="L80" i="5"/>
  <c r="K80" i="5"/>
  <c r="J80" i="5"/>
  <c r="I80" i="5"/>
  <c r="H80" i="5"/>
  <c r="G80" i="5"/>
  <c r="E80" i="5"/>
  <c r="F80" i="5" s="1"/>
  <c r="B80" i="5"/>
  <c r="L79" i="5"/>
  <c r="K79" i="5"/>
  <c r="J79" i="5"/>
  <c r="I79" i="5"/>
  <c r="H79" i="5"/>
  <c r="G79" i="5"/>
  <c r="F79" i="5"/>
  <c r="E79" i="5"/>
  <c r="M79" i="5" s="1"/>
  <c r="B79" i="5"/>
  <c r="D79" i="5" s="1"/>
  <c r="N79" i="5" s="1"/>
  <c r="Q78" i="5"/>
  <c r="P78" i="5" s="1"/>
  <c r="L78" i="5"/>
  <c r="K78" i="5"/>
  <c r="J78" i="5"/>
  <c r="I78" i="5"/>
  <c r="H78" i="5"/>
  <c r="G78" i="5"/>
  <c r="E78" i="5"/>
  <c r="M78" i="5" s="1"/>
  <c r="B78" i="5"/>
  <c r="S78" i="5" s="1"/>
  <c r="O77" i="5"/>
  <c r="L77" i="5"/>
  <c r="K77" i="5"/>
  <c r="J77" i="5"/>
  <c r="I77" i="5"/>
  <c r="H77" i="5"/>
  <c r="G77" i="5"/>
  <c r="E77" i="5"/>
  <c r="B77" i="5"/>
  <c r="C77" i="5" s="1"/>
  <c r="L76" i="5"/>
  <c r="K76" i="5"/>
  <c r="J76" i="5"/>
  <c r="I76" i="5"/>
  <c r="H76" i="5"/>
  <c r="G76" i="5"/>
  <c r="E76" i="5"/>
  <c r="O76" i="5" s="1"/>
  <c r="B76" i="5"/>
  <c r="S75" i="5"/>
  <c r="Q75" i="5"/>
  <c r="L75" i="5"/>
  <c r="K75" i="5"/>
  <c r="J75" i="5"/>
  <c r="I75" i="5"/>
  <c r="H75" i="5"/>
  <c r="G75" i="5"/>
  <c r="F75" i="5"/>
  <c r="E75" i="5"/>
  <c r="B75" i="5"/>
  <c r="D75" i="5" s="1"/>
  <c r="S74" i="5"/>
  <c r="M74" i="5"/>
  <c r="L74" i="5"/>
  <c r="K74" i="5"/>
  <c r="J74" i="5"/>
  <c r="I74" i="5"/>
  <c r="H74" i="5"/>
  <c r="G74" i="5"/>
  <c r="F74" i="5"/>
  <c r="E74" i="5"/>
  <c r="O74" i="5" s="1"/>
  <c r="B74" i="5"/>
  <c r="L73" i="5"/>
  <c r="K73" i="5"/>
  <c r="J73" i="5"/>
  <c r="I73" i="5"/>
  <c r="H73" i="5"/>
  <c r="G73" i="5"/>
  <c r="E73" i="5"/>
  <c r="B73" i="5"/>
  <c r="C73" i="5" s="1"/>
  <c r="L72" i="5"/>
  <c r="K72" i="5"/>
  <c r="J72" i="5"/>
  <c r="I72" i="5"/>
  <c r="H72" i="5"/>
  <c r="G72" i="5"/>
  <c r="E72" i="5"/>
  <c r="O72" i="5" s="1"/>
  <c r="B72" i="5"/>
  <c r="D72" i="5" s="1"/>
  <c r="N72" i="5" s="1"/>
  <c r="Q71" i="5"/>
  <c r="O71" i="5"/>
  <c r="L71" i="5"/>
  <c r="K71" i="5"/>
  <c r="J71" i="5"/>
  <c r="I71" i="5"/>
  <c r="H71" i="5"/>
  <c r="G71" i="5"/>
  <c r="E71" i="5"/>
  <c r="B71" i="5"/>
  <c r="S71" i="5" s="1"/>
  <c r="O70" i="5"/>
  <c r="M70" i="5"/>
  <c r="L70" i="5"/>
  <c r="K70" i="5"/>
  <c r="J70" i="5"/>
  <c r="I70" i="5"/>
  <c r="H70" i="5"/>
  <c r="G70" i="5"/>
  <c r="F70" i="5"/>
  <c r="E70" i="5"/>
  <c r="B70" i="5"/>
  <c r="S70" i="5" s="1"/>
  <c r="Q69" i="5"/>
  <c r="R69" i="5" s="1"/>
  <c r="L69" i="5"/>
  <c r="K69" i="5"/>
  <c r="J69" i="5"/>
  <c r="I69" i="5"/>
  <c r="H69" i="5"/>
  <c r="G69" i="5"/>
  <c r="E69" i="5"/>
  <c r="F69" i="5" s="1"/>
  <c r="B69" i="5"/>
  <c r="D69" i="5" s="1"/>
  <c r="Q68" i="5"/>
  <c r="R68" i="5" s="1"/>
  <c r="P68" i="5"/>
  <c r="O68" i="5"/>
  <c r="L68" i="5"/>
  <c r="K68" i="5"/>
  <c r="J68" i="5"/>
  <c r="I68" i="5"/>
  <c r="H68" i="5"/>
  <c r="G68" i="5"/>
  <c r="E68" i="5"/>
  <c r="M68" i="5" s="1"/>
  <c r="B68" i="5"/>
  <c r="Q67" i="5"/>
  <c r="R67" i="5" s="1"/>
  <c r="P67" i="5"/>
  <c r="L67" i="5"/>
  <c r="K67" i="5"/>
  <c r="J67" i="5"/>
  <c r="I67" i="5"/>
  <c r="H67" i="5"/>
  <c r="G67" i="5"/>
  <c r="E67" i="5"/>
  <c r="D67" i="5"/>
  <c r="B67" i="5"/>
  <c r="C67" i="5" s="1"/>
  <c r="L66" i="5"/>
  <c r="K66" i="5"/>
  <c r="J66" i="5"/>
  <c r="I66" i="5"/>
  <c r="H66" i="5"/>
  <c r="G66" i="5"/>
  <c r="E66" i="5"/>
  <c r="B66" i="5"/>
  <c r="S66" i="5" s="1"/>
  <c r="L65" i="5"/>
  <c r="K65" i="5"/>
  <c r="J65" i="5"/>
  <c r="I65" i="5"/>
  <c r="H65" i="5"/>
  <c r="G65" i="5"/>
  <c r="E65" i="5"/>
  <c r="B65" i="5"/>
  <c r="L64" i="5"/>
  <c r="K64" i="5"/>
  <c r="J64" i="5"/>
  <c r="I64" i="5"/>
  <c r="H64" i="5"/>
  <c r="G64" i="5"/>
  <c r="E64" i="5"/>
  <c r="M64" i="5" s="1"/>
  <c r="B64" i="5"/>
  <c r="L63" i="5"/>
  <c r="K63" i="5"/>
  <c r="J63" i="5"/>
  <c r="I63" i="5"/>
  <c r="H63" i="5"/>
  <c r="G63" i="5"/>
  <c r="E63" i="5"/>
  <c r="B63" i="5"/>
  <c r="O62" i="5"/>
  <c r="M62" i="5"/>
  <c r="L62" i="5"/>
  <c r="K62" i="5"/>
  <c r="J62" i="5"/>
  <c r="I62" i="5"/>
  <c r="H62" i="5"/>
  <c r="G62" i="5"/>
  <c r="E62" i="5"/>
  <c r="F62" i="5" s="1"/>
  <c r="B62" i="5"/>
  <c r="Q61" i="5"/>
  <c r="R61" i="5" s="1"/>
  <c r="O61" i="5"/>
  <c r="M61" i="5"/>
  <c r="L61" i="5"/>
  <c r="K61" i="5"/>
  <c r="J61" i="5"/>
  <c r="I61" i="5"/>
  <c r="H61" i="5"/>
  <c r="G61" i="5"/>
  <c r="F61" i="5"/>
  <c r="E61" i="5"/>
  <c r="B61" i="5"/>
  <c r="L60" i="5"/>
  <c r="K60" i="5"/>
  <c r="J60" i="5"/>
  <c r="I60" i="5"/>
  <c r="H60" i="5"/>
  <c r="G60" i="5"/>
  <c r="E60" i="5"/>
  <c r="F60" i="5" s="1"/>
  <c r="B60" i="5"/>
  <c r="S60" i="5" s="1"/>
  <c r="L59" i="5"/>
  <c r="K59" i="5"/>
  <c r="J59" i="5"/>
  <c r="I59" i="5"/>
  <c r="H59" i="5"/>
  <c r="G59" i="5"/>
  <c r="E59" i="5"/>
  <c r="B59" i="5"/>
  <c r="L58" i="5"/>
  <c r="K58" i="5"/>
  <c r="J58" i="5"/>
  <c r="I58" i="5"/>
  <c r="H58" i="5"/>
  <c r="G58" i="5"/>
  <c r="E58" i="5"/>
  <c r="F58" i="5" s="1"/>
  <c r="B58" i="5"/>
  <c r="S58" i="5" s="1"/>
  <c r="Q57" i="5"/>
  <c r="P57" i="5" s="1"/>
  <c r="L57" i="5"/>
  <c r="K57" i="5"/>
  <c r="J57" i="5"/>
  <c r="I57" i="5"/>
  <c r="H57" i="5"/>
  <c r="G57" i="5"/>
  <c r="F57" i="5"/>
  <c r="E57" i="5"/>
  <c r="O57" i="5" s="1"/>
  <c r="B57" i="5"/>
  <c r="D57" i="5" s="1"/>
  <c r="N57" i="5" s="1"/>
  <c r="L56" i="5"/>
  <c r="K56" i="5"/>
  <c r="J56" i="5"/>
  <c r="I56" i="5"/>
  <c r="H56" i="5"/>
  <c r="G56" i="5"/>
  <c r="F56" i="5"/>
  <c r="E56" i="5"/>
  <c r="B56" i="5"/>
  <c r="C56" i="5" s="1"/>
  <c r="L55" i="5"/>
  <c r="K55" i="5"/>
  <c r="J55" i="5"/>
  <c r="I55" i="5"/>
  <c r="H55" i="5"/>
  <c r="G55" i="5"/>
  <c r="E55" i="5"/>
  <c r="O55" i="5" s="1"/>
  <c r="B55" i="5"/>
  <c r="S55" i="5" s="1"/>
  <c r="O54" i="5"/>
  <c r="L54" i="5"/>
  <c r="K54" i="5"/>
  <c r="J54" i="5"/>
  <c r="I54" i="5"/>
  <c r="H54" i="5"/>
  <c r="G54" i="5"/>
  <c r="F54" i="5"/>
  <c r="E54" i="5"/>
  <c r="M54" i="5" s="1"/>
  <c r="B54" i="5"/>
  <c r="O53" i="5"/>
  <c r="L53" i="5"/>
  <c r="K53" i="5"/>
  <c r="J53" i="5"/>
  <c r="I53" i="5"/>
  <c r="H53" i="5"/>
  <c r="G53" i="5"/>
  <c r="E53" i="5"/>
  <c r="M53" i="5" s="1"/>
  <c r="B53" i="5"/>
  <c r="C53" i="5" s="1"/>
  <c r="O52" i="5"/>
  <c r="L52" i="5"/>
  <c r="K52" i="5"/>
  <c r="J52" i="5"/>
  <c r="I52" i="5"/>
  <c r="H52" i="5"/>
  <c r="G52" i="5"/>
  <c r="E52" i="5"/>
  <c r="M52" i="5" s="1"/>
  <c r="B52" i="5"/>
  <c r="D52" i="5" s="1"/>
  <c r="N52" i="5" s="1"/>
  <c r="O51" i="5"/>
  <c r="M51" i="5"/>
  <c r="L51" i="5"/>
  <c r="K51" i="5"/>
  <c r="J51" i="5"/>
  <c r="I51" i="5"/>
  <c r="H51" i="5"/>
  <c r="G51" i="5"/>
  <c r="F51" i="5"/>
  <c r="E51" i="5"/>
  <c r="B51" i="5"/>
  <c r="L50" i="5"/>
  <c r="K50" i="5"/>
  <c r="J50" i="5"/>
  <c r="I50" i="5"/>
  <c r="H50" i="5"/>
  <c r="G50" i="5"/>
  <c r="E50" i="5"/>
  <c r="B50" i="5"/>
  <c r="C50" i="5" s="1"/>
  <c r="L49" i="5"/>
  <c r="K49" i="5"/>
  <c r="J49" i="5"/>
  <c r="I49" i="5"/>
  <c r="H49" i="5"/>
  <c r="G49" i="5"/>
  <c r="F49" i="5"/>
  <c r="E49" i="5"/>
  <c r="B49" i="5"/>
  <c r="L48" i="5"/>
  <c r="K48" i="5"/>
  <c r="J48" i="5"/>
  <c r="I48" i="5"/>
  <c r="H48" i="5"/>
  <c r="G48" i="5"/>
  <c r="E48" i="5"/>
  <c r="B48" i="5"/>
  <c r="Q47" i="5"/>
  <c r="R47" i="5" s="1"/>
  <c r="M47" i="5"/>
  <c r="L47" i="5"/>
  <c r="K47" i="5"/>
  <c r="J47" i="5"/>
  <c r="I47" i="5"/>
  <c r="H47" i="5"/>
  <c r="G47" i="5"/>
  <c r="E47" i="5"/>
  <c r="O47" i="5" s="1"/>
  <c r="B47" i="5"/>
  <c r="C47" i="5" s="1"/>
  <c r="S46" i="5"/>
  <c r="Q46" i="5"/>
  <c r="L46" i="5"/>
  <c r="K46" i="5"/>
  <c r="J46" i="5"/>
  <c r="I46" i="5"/>
  <c r="H46" i="5"/>
  <c r="G46" i="5"/>
  <c r="F46" i="5"/>
  <c r="E46" i="5"/>
  <c r="B46" i="5"/>
  <c r="D46" i="5" s="1"/>
  <c r="S45" i="5"/>
  <c r="Q45" i="5"/>
  <c r="P45" i="5" s="1"/>
  <c r="O45" i="5"/>
  <c r="L45" i="5"/>
  <c r="K45" i="5"/>
  <c r="J45" i="5"/>
  <c r="I45" i="5"/>
  <c r="H45" i="5"/>
  <c r="G45" i="5"/>
  <c r="E45" i="5"/>
  <c r="M45" i="5" s="1"/>
  <c r="C45" i="5"/>
  <c r="B45" i="5"/>
  <c r="D45" i="5" s="1"/>
  <c r="O44" i="5"/>
  <c r="M44" i="5"/>
  <c r="L44" i="5"/>
  <c r="K44" i="5"/>
  <c r="Q44" i="5" s="1"/>
  <c r="J44" i="5"/>
  <c r="I44" i="5"/>
  <c r="H44" i="5"/>
  <c r="G44" i="5"/>
  <c r="E44" i="5"/>
  <c r="B44" i="5"/>
  <c r="Q43" i="5"/>
  <c r="P43" i="5" s="1"/>
  <c r="L43" i="5"/>
  <c r="K43" i="5"/>
  <c r="J43" i="5"/>
  <c r="I43" i="5"/>
  <c r="H43" i="5"/>
  <c r="G43" i="5"/>
  <c r="E43" i="5"/>
  <c r="O43" i="5" s="1"/>
  <c r="D43" i="5"/>
  <c r="C43" i="5"/>
  <c r="B43" i="5"/>
  <c r="S43" i="5" s="1"/>
  <c r="Q42" i="5"/>
  <c r="L42" i="5"/>
  <c r="K42" i="5"/>
  <c r="J42" i="5"/>
  <c r="I42" i="5"/>
  <c r="H42" i="5"/>
  <c r="G42" i="5"/>
  <c r="F42" i="5"/>
  <c r="E42" i="5"/>
  <c r="O42" i="5" s="1"/>
  <c r="B42" i="5"/>
  <c r="C42" i="5" s="1"/>
  <c r="Q41" i="5"/>
  <c r="L41" i="5"/>
  <c r="K41" i="5"/>
  <c r="J41" i="5"/>
  <c r="I41" i="5"/>
  <c r="H41" i="5"/>
  <c r="G41" i="5"/>
  <c r="E41" i="5"/>
  <c r="O41" i="5" s="1"/>
  <c r="B41" i="5"/>
  <c r="D41" i="5" s="1"/>
  <c r="N41" i="5" s="1"/>
  <c r="Q40" i="5"/>
  <c r="R40" i="5" s="1"/>
  <c r="P40" i="5"/>
  <c r="L40" i="5"/>
  <c r="K40" i="5"/>
  <c r="J40" i="5"/>
  <c r="I40" i="5"/>
  <c r="H40" i="5"/>
  <c r="G40" i="5"/>
  <c r="E40" i="5"/>
  <c r="B40" i="5"/>
  <c r="M39" i="5"/>
  <c r="L39" i="5"/>
  <c r="K39" i="5"/>
  <c r="J39" i="5"/>
  <c r="I39" i="5"/>
  <c r="H39" i="5"/>
  <c r="G39" i="5"/>
  <c r="E39" i="5"/>
  <c r="B39" i="5"/>
  <c r="Q38" i="5"/>
  <c r="L38" i="5"/>
  <c r="K38" i="5"/>
  <c r="J38" i="5"/>
  <c r="I38" i="5"/>
  <c r="H38" i="5"/>
  <c r="G38" i="5"/>
  <c r="E38" i="5"/>
  <c r="M38" i="5" s="1"/>
  <c r="B38" i="5"/>
  <c r="S38" i="5" s="1"/>
  <c r="L37" i="5"/>
  <c r="K37" i="5"/>
  <c r="J37" i="5"/>
  <c r="I37" i="5"/>
  <c r="H37" i="5"/>
  <c r="G37" i="5"/>
  <c r="E37" i="5"/>
  <c r="B37" i="5"/>
  <c r="L36" i="5"/>
  <c r="K36" i="5"/>
  <c r="J36" i="5"/>
  <c r="I36" i="5"/>
  <c r="H36" i="5"/>
  <c r="G36" i="5"/>
  <c r="E36" i="5"/>
  <c r="M36" i="5" s="1"/>
  <c r="B36" i="5"/>
  <c r="S36" i="5" s="1"/>
  <c r="O35" i="5"/>
  <c r="M35" i="5"/>
  <c r="L35" i="5"/>
  <c r="K35" i="5"/>
  <c r="J35" i="5"/>
  <c r="I35" i="5"/>
  <c r="H35" i="5"/>
  <c r="G35" i="5"/>
  <c r="E35" i="5"/>
  <c r="F35" i="5" s="1"/>
  <c r="B35" i="5"/>
  <c r="Q34" i="5"/>
  <c r="L34" i="5"/>
  <c r="K34" i="5"/>
  <c r="J34" i="5"/>
  <c r="I34" i="5"/>
  <c r="H34" i="5"/>
  <c r="G34" i="5"/>
  <c r="E34" i="5"/>
  <c r="O34" i="5" s="1"/>
  <c r="D34" i="5"/>
  <c r="N34" i="5" s="1"/>
  <c r="B34" i="5"/>
  <c r="S34" i="5" s="1"/>
  <c r="L33" i="5"/>
  <c r="K33" i="5"/>
  <c r="J33" i="5"/>
  <c r="I33" i="5"/>
  <c r="H33" i="5"/>
  <c r="G33" i="5"/>
  <c r="E33" i="5"/>
  <c r="B33" i="5"/>
  <c r="Q32" i="5"/>
  <c r="R32" i="5" s="1"/>
  <c r="P32" i="5"/>
  <c r="L32" i="5"/>
  <c r="K32" i="5"/>
  <c r="J32" i="5"/>
  <c r="I32" i="5"/>
  <c r="H32" i="5"/>
  <c r="G32" i="5"/>
  <c r="E32" i="5"/>
  <c r="F32" i="5" s="1"/>
  <c r="B32" i="5"/>
  <c r="D32" i="5" s="1"/>
  <c r="N32" i="5" s="1"/>
  <c r="O31" i="5"/>
  <c r="L31" i="5"/>
  <c r="K31" i="5"/>
  <c r="J31" i="5"/>
  <c r="I31" i="5"/>
  <c r="H31" i="5"/>
  <c r="G31" i="5"/>
  <c r="E31" i="5"/>
  <c r="M31" i="5" s="1"/>
  <c r="B31" i="5"/>
  <c r="S31" i="5" s="1"/>
  <c r="L30" i="5"/>
  <c r="K30" i="5"/>
  <c r="J30" i="5"/>
  <c r="I30" i="5"/>
  <c r="H30" i="5"/>
  <c r="G30" i="5"/>
  <c r="E30" i="5"/>
  <c r="O30" i="5" s="1"/>
  <c r="B30" i="5"/>
  <c r="L29" i="5"/>
  <c r="K29" i="5"/>
  <c r="J29" i="5"/>
  <c r="I29" i="5"/>
  <c r="H29" i="5"/>
  <c r="G29" i="5"/>
  <c r="E29" i="5"/>
  <c r="B29" i="5"/>
  <c r="D29" i="5" s="1"/>
  <c r="O28" i="5"/>
  <c r="M28" i="5"/>
  <c r="L28" i="5"/>
  <c r="K28" i="5"/>
  <c r="J28" i="5"/>
  <c r="I28" i="5"/>
  <c r="H28" i="5"/>
  <c r="G28" i="5"/>
  <c r="F28" i="5"/>
  <c r="E28" i="5"/>
  <c r="B28" i="5"/>
  <c r="D28" i="5" s="1"/>
  <c r="N28" i="5" s="1"/>
  <c r="O27" i="5"/>
  <c r="M27" i="5"/>
  <c r="L27" i="5"/>
  <c r="K27" i="5"/>
  <c r="Q27" i="5" s="1"/>
  <c r="J27" i="5"/>
  <c r="I27" i="5"/>
  <c r="H27" i="5"/>
  <c r="G27" i="5"/>
  <c r="E27" i="5"/>
  <c r="F27" i="5" s="1"/>
  <c r="B27" i="5"/>
  <c r="S27" i="5" s="1"/>
  <c r="Q26" i="5"/>
  <c r="R26" i="5" s="1"/>
  <c r="M26" i="5"/>
  <c r="L26" i="5"/>
  <c r="K26" i="5"/>
  <c r="J26" i="5"/>
  <c r="I26" i="5"/>
  <c r="H26" i="5"/>
  <c r="G26" i="5"/>
  <c r="E26" i="5"/>
  <c r="O26" i="5" s="1"/>
  <c r="B26" i="5"/>
  <c r="C26" i="5" s="1"/>
  <c r="O25" i="5"/>
  <c r="M25" i="5"/>
  <c r="L25" i="5"/>
  <c r="K25" i="5"/>
  <c r="Q25" i="5" s="1"/>
  <c r="J25" i="5"/>
  <c r="I25" i="5"/>
  <c r="H25" i="5"/>
  <c r="G25" i="5"/>
  <c r="F25" i="5"/>
  <c r="E25" i="5"/>
  <c r="B25" i="5"/>
  <c r="L24" i="5"/>
  <c r="K24" i="5"/>
  <c r="J24" i="5"/>
  <c r="I24" i="5"/>
  <c r="H24" i="5"/>
  <c r="G24" i="5"/>
  <c r="E24" i="5"/>
  <c r="O24" i="5" s="1"/>
  <c r="B24" i="5"/>
  <c r="L23" i="5"/>
  <c r="K23" i="5"/>
  <c r="J23" i="5"/>
  <c r="I23" i="5"/>
  <c r="H23" i="5"/>
  <c r="G23" i="5"/>
  <c r="E23" i="5"/>
  <c r="B23" i="5"/>
  <c r="D23" i="5" s="1"/>
  <c r="L22" i="5"/>
  <c r="K22" i="5"/>
  <c r="J22" i="5"/>
  <c r="I22" i="5"/>
  <c r="H22" i="5"/>
  <c r="G22" i="5"/>
  <c r="E22" i="5"/>
  <c r="D22" i="5"/>
  <c r="B22" i="5"/>
  <c r="C22" i="5" s="1"/>
  <c r="L21" i="5"/>
  <c r="K21" i="5"/>
  <c r="J21" i="5"/>
  <c r="I21" i="5"/>
  <c r="H21" i="5"/>
  <c r="G21" i="5"/>
  <c r="E21" i="5"/>
  <c r="O21" i="5" s="1"/>
  <c r="B21" i="5"/>
  <c r="O20" i="5"/>
  <c r="L20" i="5"/>
  <c r="K20" i="5"/>
  <c r="J20" i="5"/>
  <c r="I20" i="5"/>
  <c r="H20" i="5"/>
  <c r="G20" i="5"/>
  <c r="E20" i="5"/>
  <c r="M20" i="5" s="1"/>
  <c r="B20" i="5"/>
  <c r="S20" i="5" s="1"/>
  <c r="S19" i="5"/>
  <c r="O19" i="5"/>
  <c r="L19" i="5"/>
  <c r="K19" i="5"/>
  <c r="Q19" i="5" s="1"/>
  <c r="J19" i="5"/>
  <c r="I19" i="5"/>
  <c r="H19" i="5"/>
  <c r="G19" i="5"/>
  <c r="E19" i="5"/>
  <c r="M19" i="5" s="1"/>
  <c r="B19" i="5"/>
  <c r="C19" i="5" s="1"/>
  <c r="M18" i="5"/>
  <c r="L18" i="5"/>
  <c r="K18" i="5"/>
  <c r="J18" i="5"/>
  <c r="I18" i="5"/>
  <c r="H18" i="5"/>
  <c r="G18" i="5"/>
  <c r="E18" i="5"/>
  <c r="B18" i="5"/>
  <c r="S18" i="5" s="1"/>
  <c r="O17" i="5"/>
  <c r="M17" i="5"/>
  <c r="L17" i="5"/>
  <c r="K17" i="5"/>
  <c r="J17" i="5"/>
  <c r="I17" i="5"/>
  <c r="H17" i="5"/>
  <c r="G17" i="5"/>
  <c r="E17" i="5"/>
  <c r="B17" i="5"/>
  <c r="O16" i="5"/>
  <c r="M16" i="5"/>
  <c r="L16" i="5"/>
  <c r="K16" i="5"/>
  <c r="Q16" i="5" s="1"/>
  <c r="J16" i="5"/>
  <c r="I16" i="5"/>
  <c r="H16" i="5"/>
  <c r="G16" i="5"/>
  <c r="F16" i="5"/>
  <c r="E16" i="5"/>
  <c r="B16" i="5"/>
  <c r="S15" i="5"/>
  <c r="L15" i="5"/>
  <c r="K15" i="5"/>
  <c r="Q15" i="5" s="1"/>
  <c r="J15" i="5"/>
  <c r="I15" i="5"/>
  <c r="H15" i="5"/>
  <c r="G15" i="5"/>
  <c r="E15" i="5"/>
  <c r="M15" i="5" s="1"/>
  <c r="B15" i="5"/>
  <c r="D15" i="5" s="1"/>
  <c r="N15" i="5" s="1"/>
  <c r="L14" i="5"/>
  <c r="K14" i="5"/>
  <c r="J14" i="5"/>
  <c r="I14" i="5"/>
  <c r="H14" i="5"/>
  <c r="G14" i="5"/>
  <c r="F14" i="5"/>
  <c r="E14" i="5"/>
  <c r="O14" i="5" s="1"/>
  <c r="D14" i="5"/>
  <c r="N14" i="5" s="1"/>
  <c r="B14" i="5"/>
  <c r="C14" i="5" s="1"/>
  <c r="L13" i="5"/>
  <c r="K13" i="5"/>
  <c r="J13" i="5"/>
  <c r="I13" i="5"/>
  <c r="H13" i="5"/>
  <c r="G13" i="5"/>
  <c r="E13" i="5"/>
  <c r="M13" i="5" s="1"/>
  <c r="B13" i="5"/>
  <c r="S13" i="5" s="1"/>
  <c r="S12" i="5"/>
  <c r="L12" i="5"/>
  <c r="K12" i="5"/>
  <c r="J12" i="5"/>
  <c r="I12" i="5"/>
  <c r="H12" i="5"/>
  <c r="G12" i="5"/>
  <c r="E12" i="5"/>
  <c r="B12" i="5"/>
  <c r="L11" i="5"/>
  <c r="K11" i="5"/>
  <c r="J11" i="5"/>
  <c r="I11" i="5"/>
  <c r="H11" i="5"/>
  <c r="G11" i="5"/>
  <c r="E11" i="5"/>
  <c r="B11" i="5"/>
  <c r="D11" i="5" s="1"/>
  <c r="O10" i="5"/>
  <c r="L10" i="5"/>
  <c r="K10" i="5"/>
  <c r="J10" i="5"/>
  <c r="I10" i="5"/>
  <c r="H10" i="5"/>
  <c r="G10" i="5"/>
  <c r="E10" i="5"/>
  <c r="M10" i="5" s="1"/>
  <c r="B10" i="5"/>
  <c r="Q9" i="5"/>
  <c r="R9" i="5" s="1"/>
  <c r="P9" i="5"/>
  <c r="L9" i="5"/>
  <c r="K9" i="5"/>
  <c r="J9" i="5"/>
  <c r="I9" i="5"/>
  <c r="H9" i="5"/>
  <c r="G9" i="5"/>
  <c r="E9" i="5"/>
  <c r="F9" i="5" s="1"/>
  <c r="B9" i="5"/>
  <c r="Q8" i="5"/>
  <c r="R8" i="5" s="1"/>
  <c r="L8" i="5"/>
  <c r="K8" i="5"/>
  <c r="J8" i="5"/>
  <c r="I8" i="5"/>
  <c r="H8" i="5"/>
  <c r="G8" i="5"/>
  <c r="E8" i="5"/>
  <c r="B8" i="5"/>
  <c r="Q7" i="5"/>
  <c r="R7" i="5" s="1"/>
  <c r="L7" i="5"/>
  <c r="K7" i="5"/>
  <c r="J7" i="5"/>
  <c r="I7" i="5"/>
  <c r="H7" i="5"/>
  <c r="G7" i="5"/>
  <c r="E7" i="5"/>
  <c r="O7" i="5" s="1"/>
  <c r="B7" i="5"/>
  <c r="Q6" i="5"/>
  <c r="L6" i="5"/>
  <c r="K6" i="5"/>
  <c r="J6" i="5"/>
  <c r="I6" i="5"/>
  <c r="H6" i="5"/>
  <c r="G6" i="5"/>
  <c r="E6" i="5"/>
  <c r="F6" i="5" s="1"/>
  <c r="C6" i="5"/>
  <c r="B6" i="5"/>
  <c r="L5" i="5"/>
  <c r="K5" i="5"/>
  <c r="J5" i="5"/>
  <c r="I5" i="5"/>
  <c r="H5" i="5"/>
  <c r="G5" i="5"/>
  <c r="E5" i="5"/>
  <c r="D5" i="5"/>
  <c r="C5" i="5"/>
  <c r="B5" i="5"/>
  <c r="S5" i="5" s="1"/>
  <c r="D3" i="2"/>
  <c r="C9" i="1"/>
  <c r="C8" i="1"/>
  <c r="P277" i="5" l="1"/>
  <c r="R99" i="5"/>
  <c r="R141" i="5"/>
  <c r="R388" i="5"/>
  <c r="R192" i="5"/>
  <c r="R43" i="5"/>
  <c r="R243" i="5"/>
  <c r="R88" i="5"/>
  <c r="R352" i="5"/>
  <c r="R348" i="5"/>
  <c r="R272" i="5"/>
  <c r="P61" i="5"/>
  <c r="P380" i="5"/>
  <c r="Q59" i="5"/>
  <c r="Q151" i="5"/>
  <c r="Q238" i="5"/>
  <c r="Q37" i="5"/>
  <c r="R330" i="5"/>
  <c r="P165" i="5"/>
  <c r="P211" i="5"/>
  <c r="S330" i="5"/>
  <c r="Q398" i="5"/>
  <c r="C266" i="5"/>
  <c r="R281" i="5"/>
  <c r="R284" i="5"/>
  <c r="S294" i="5"/>
  <c r="P298" i="5"/>
  <c r="C326" i="5"/>
  <c r="C345" i="5"/>
  <c r="C11" i="5"/>
  <c r="C57" i="5"/>
  <c r="D398" i="5"/>
  <c r="N398" i="5" s="1"/>
  <c r="C90" i="5"/>
  <c r="D232" i="5"/>
  <c r="N232" i="5" s="1"/>
  <c r="D268" i="5"/>
  <c r="N268" i="5" s="1"/>
  <c r="D154" i="5"/>
  <c r="N154" i="5" s="1"/>
  <c r="D141" i="5"/>
  <c r="C153" i="5"/>
  <c r="Q148" i="5"/>
  <c r="R258" i="5"/>
  <c r="D295" i="5"/>
  <c r="C341" i="5"/>
  <c r="C206" i="5"/>
  <c r="C213" i="5"/>
  <c r="Q105" i="5"/>
  <c r="D275" i="5"/>
  <c r="N275" i="5" s="1"/>
  <c r="C140" i="5"/>
  <c r="Q193" i="5"/>
  <c r="P193" i="5" s="1"/>
  <c r="C205" i="5"/>
  <c r="D219" i="5"/>
  <c r="Q236" i="5"/>
  <c r="C329" i="5"/>
  <c r="C333" i="5"/>
  <c r="C351" i="5"/>
  <c r="C359" i="5"/>
  <c r="C78" i="5"/>
  <c r="C144" i="5"/>
  <c r="C167" i="5"/>
  <c r="P197" i="5"/>
  <c r="D216" i="5"/>
  <c r="N216" i="5" s="1"/>
  <c r="S223" i="5"/>
  <c r="D258" i="5"/>
  <c r="D336" i="5"/>
  <c r="C343" i="5"/>
  <c r="Q345" i="5"/>
  <c r="C386" i="5"/>
  <c r="C391" i="5"/>
  <c r="D97" i="5"/>
  <c r="D272" i="5"/>
  <c r="N272" i="5" s="1"/>
  <c r="D330" i="5"/>
  <c r="C175" i="5"/>
  <c r="D294" i="5"/>
  <c r="N294" i="5" s="1"/>
  <c r="C132" i="5"/>
  <c r="Q70" i="5"/>
  <c r="D114" i="5"/>
  <c r="N114" i="5" s="1"/>
  <c r="D132" i="5"/>
  <c r="N132" i="5" s="1"/>
  <c r="D168" i="5"/>
  <c r="R183" i="5"/>
  <c r="R184" i="5"/>
  <c r="S11" i="5"/>
  <c r="S14" i="5"/>
  <c r="Q33" i="5"/>
  <c r="R33" i="5" s="1"/>
  <c r="D78" i="5"/>
  <c r="N78" i="5" s="1"/>
  <c r="S124" i="5"/>
  <c r="D144" i="5"/>
  <c r="N144" i="5" s="1"/>
  <c r="S158" i="5"/>
  <c r="Q181" i="5"/>
  <c r="S187" i="5"/>
  <c r="Q288" i="5"/>
  <c r="D343" i="5"/>
  <c r="D386" i="5"/>
  <c r="N386" i="5" s="1"/>
  <c r="D90" i="5"/>
  <c r="N90" i="5" s="1"/>
  <c r="Q256" i="5"/>
  <c r="R256" i="5" s="1"/>
  <c r="D319" i="5"/>
  <c r="C319" i="5"/>
  <c r="C348" i="5"/>
  <c r="D137" i="5"/>
  <c r="C141" i="5"/>
  <c r="C305" i="5"/>
  <c r="D281" i="5"/>
  <c r="C93" i="5"/>
  <c r="C114" i="5"/>
  <c r="S121" i="5"/>
  <c r="Q302" i="5"/>
  <c r="C15" i="5"/>
  <c r="D31" i="5"/>
  <c r="N31" i="5" s="1"/>
  <c r="Q53" i="5"/>
  <c r="S57" i="5"/>
  <c r="Q175" i="5"/>
  <c r="R175" i="5" s="1"/>
  <c r="C198" i="5"/>
  <c r="D221" i="5"/>
  <c r="N221" i="5" s="1"/>
  <c r="Q222" i="5"/>
  <c r="C227" i="5"/>
  <c r="D234" i="5"/>
  <c r="N234" i="5" s="1"/>
  <c r="Q235" i="5"/>
  <c r="S256" i="5"/>
  <c r="D264" i="5"/>
  <c r="P276" i="5"/>
  <c r="S341" i="5"/>
  <c r="S357" i="5"/>
  <c r="C385" i="5"/>
  <c r="D73" i="5"/>
  <c r="C89" i="5"/>
  <c r="D209" i="5"/>
  <c r="N209" i="5" s="1"/>
  <c r="D50" i="5"/>
  <c r="N50" i="5" s="1"/>
  <c r="R78" i="5"/>
  <c r="D96" i="5"/>
  <c r="C168" i="5"/>
  <c r="F14" i="4"/>
  <c r="G14" i="4" s="1"/>
  <c r="P26" i="5"/>
  <c r="C34" i="5"/>
  <c r="P47" i="5"/>
  <c r="S50" i="5"/>
  <c r="P69" i="5"/>
  <c r="D155" i="5"/>
  <c r="N155" i="5" s="1"/>
  <c r="C183" i="5"/>
  <c r="D204" i="5"/>
  <c r="N204" i="5" s="1"/>
  <c r="S213" i="5"/>
  <c r="P229" i="5"/>
  <c r="S295" i="5"/>
  <c r="S299" i="5"/>
  <c r="S302" i="5"/>
  <c r="S305" i="5"/>
  <c r="S377" i="5"/>
  <c r="C389" i="5"/>
  <c r="C390" i="5"/>
  <c r="P157" i="5"/>
  <c r="P294" i="5"/>
  <c r="P310" i="5"/>
  <c r="D19" i="5"/>
  <c r="N19" i="5" s="1"/>
  <c r="M100" i="5"/>
  <c r="O100" i="5"/>
  <c r="F100" i="5"/>
  <c r="D163" i="5"/>
  <c r="N163" i="5" s="1"/>
  <c r="C163" i="5"/>
  <c r="F185" i="5"/>
  <c r="C27" i="5"/>
  <c r="D211" i="5"/>
  <c r="N211" i="5" s="1"/>
  <c r="O224" i="5"/>
  <c r="M224" i="5"/>
  <c r="M6" i="5"/>
  <c r="F19" i="5"/>
  <c r="C23" i="5"/>
  <c r="F157" i="5"/>
  <c r="F224" i="5"/>
  <c r="D228" i="5"/>
  <c r="N228" i="5" s="1"/>
  <c r="D239" i="5"/>
  <c r="N239" i="5" s="1"/>
  <c r="S239" i="5"/>
  <c r="Q239" i="5"/>
  <c r="M280" i="5"/>
  <c r="O280" i="5"/>
  <c r="D284" i="5"/>
  <c r="Q297" i="5"/>
  <c r="C323" i="5"/>
  <c r="S323" i="5"/>
  <c r="P326" i="5"/>
  <c r="R326" i="5"/>
  <c r="D365" i="5"/>
  <c r="N365" i="5" s="1"/>
  <c r="C365" i="5"/>
  <c r="M395" i="5"/>
  <c r="F395" i="5"/>
  <c r="O395" i="5"/>
  <c r="C230" i="5"/>
  <c r="S230" i="5"/>
  <c r="S80" i="5"/>
  <c r="D80" i="5"/>
  <c r="N80" i="5" s="1"/>
  <c r="F186" i="5"/>
  <c r="C13" i="5"/>
  <c r="D47" i="5"/>
  <c r="N47" i="5" s="1"/>
  <c r="C59" i="5"/>
  <c r="C159" i="5"/>
  <c r="M289" i="5"/>
  <c r="O289" i="5"/>
  <c r="O318" i="5"/>
  <c r="M318" i="5"/>
  <c r="F21" i="5"/>
  <c r="Q134" i="5"/>
  <c r="C134" i="5"/>
  <c r="D139" i="5"/>
  <c r="N139" i="5" s="1"/>
  <c r="R168" i="5"/>
  <c r="M267" i="5"/>
  <c r="F267" i="5"/>
  <c r="O267" i="5"/>
  <c r="F369" i="5"/>
  <c r="R124" i="5"/>
  <c r="P124" i="5"/>
  <c r="D130" i="5"/>
  <c r="N130" i="5" s="1"/>
  <c r="D173" i="5"/>
  <c r="N173" i="5" s="1"/>
  <c r="F257" i="5"/>
  <c r="O257" i="5"/>
  <c r="M257" i="5"/>
  <c r="S332" i="5"/>
  <c r="D332" i="5"/>
  <c r="N332" i="5" s="1"/>
  <c r="P332" i="5" s="1"/>
  <c r="C332" i="5"/>
  <c r="C28" i="5"/>
  <c r="F34" i="5"/>
  <c r="C98" i="5"/>
  <c r="O12" i="5"/>
  <c r="M12" i="5"/>
  <c r="F20" i="5"/>
  <c r="C70" i="5"/>
  <c r="D71" i="5"/>
  <c r="C74" i="5"/>
  <c r="D74" i="5"/>
  <c r="N74" i="5" s="1"/>
  <c r="C79" i="5"/>
  <c r="R136" i="5"/>
  <c r="P136" i="5"/>
  <c r="C158" i="5"/>
  <c r="Q208" i="5"/>
  <c r="C218" i="5"/>
  <c r="D218" i="5"/>
  <c r="S218" i="5"/>
  <c r="Q5" i="5"/>
  <c r="R5" i="5" s="1"/>
  <c r="O6" i="5"/>
  <c r="F12" i="5"/>
  <c r="M14" i="5"/>
  <c r="O15" i="5"/>
  <c r="C32" i="5"/>
  <c r="S67" i="5"/>
  <c r="D70" i="5"/>
  <c r="N70" i="5" s="1"/>
  <c r="P70" i="5" s="1"/>
  <c r="N71" i="5"/>
  <c r="M71" i="5"/>
  <c r="D85" i="5"/>
  <c r="C85" i="5"/>
  <c r="O87" i="5"/>
  <c r="O93" i="5"/>
  <c r="S106" i="5"/>
  <c r="D108" i="5"/>
  <c r="N108" i="5" s="1"/>
  <c r="S108" i="5"/>
  <c r="S120" i="5"/>
  <c r="O143" i="5"/>
  <c r="M143" i="5"/>
  <c r="O151" i="5"/>
  <c r="N167" i="5"/>
  <c r="N168" i="5"/>
  <c r="O207" i="5"/>
  <c r="M207" i="5"/>
  <c r="C239" i="5"/>
  <c r="Q240" i="5"/>
  <c r="D242" i="5"/>
  <c r="N242" i="5" s="1"/>
  <c r="R262" i="5"/>
  <c r="P262" i="5"/>
  <c r="F280" i="5"/>
  <c r="O291" i="5"/>
  <c r="M291" i="5"/>
  <c r="F291" i="5"/>
  <c r="N295" i="5"/>
  <c r="F311" i="5"/>
  <c r="M311" i="5"/>
  <c r="O311" i="5"/>
  <c r="D323" i="5"/>
  <c r="N323" i="5" s="1"/>
  <c r="Q359" i="5"/>
  <c r="N359" i="5"/>
  <c r="M174" i="5"/>
  <c r="O174" i="5"/>
  <c r="O304" i="5"/>
  <c r="M304" i="5"/>
  <c r="F304" i="5"/>
  <c r="M334" i="5"/>
  <c r="O334" i="5"/>
  <c r="M341" i="5"/>
  <c r="F341" i="5"/>
  <c r="N341" i="5"/>
  <c r="M48" i="5"/>
  <c r="F48" i="5"/>
  <c r="Q217" i="5"/>
  <c r="D230" i="5"/>
  <c r="N230" i="5" s="1"/>
  <c r="C100" i="5"/>
  <c r="F123" i="5"/>
  <c r="F135" i="5"/>
  <c r="F204" i="5"/>
  <c r="C243" i="5"/>
  <c r="C29" i="5"/>
  <c r="F76" i="5"/>
  <c r="C92" i="5"/>
  <c r="D92" i="5"/>
  <c r="N92" i="5" s="1"/>
  <c r="P92" i="5" s="1"/>
  <c r="D100" i="5"/>
  <c r="N100" i="5" s="1"/>
  <c r="D159" i="5"/>
  <c r="N159" i="5" s="1"/>
  <c r="D253" i="5"/>
  <c r="C253" i="5"/>
  <c r="S253" i="5"/>
  <c r="M271" i="5"/>
  <c r="O271" i="5"/>
  <c r="C8" i="5"/>
  <c r="S8" i="5"/>
  <c r="Q113" i="5"/>
  <c r="F244" i="5"/>
  <c r="F243" i="5"/>
  <c r="D270" i="5"/>
  <c r="N270" i="5" s="1"/>
  <c r="S270" i="5"/>
  <c r="Q270" i="5"/>
  <c r="R270" i="5" s="1"/>
  <c r="S279" i="5"/>
  <c r="C279" i="5"/>
  <c r="C280" i="5"/>
  <c r="D18" i="5"/>
  <c r="N18" i="5" s="1"/>
  <c r="D26" i="5"/>
  <c r="N26" i="5" s="1"/>
  <c r="D27" i="5"/>
  <c r="N27" i="5" s="1"/>
  <c r="S32" i="5"/>
  <c r="O37" i="5"/>
  <c r="M37" i="5"/>
  <c r="M98" i="5"/>
  <c r="F98" i="5"/>
  <c r="C138" i="5"/>
  <c r="D138" i="5"/>
  <c r="N138" i="5" s="1"/>
  <c r="S138" i="5"/>
  <c r="Q21" i="5"/>
  <c r="R21" i="5" s="1"/>
  <c r="M30" i="5"/>
  <c r="R42" i="5"/>
  <c r="P42" i="5"/>
  <c r="O48" i="5"/>
  <c r="S52" i="5"/>
  <c r="N69" i="5"/>
  <c r="Q80" i="5"/>
  <c r="R87" i="5"/>
  <c r="P87" i="5"/>
  <c r="D94" i="5"/>
  <c r="S94" i="5"/>
  <c r="M101" i="5"/>
  <c r="N137" i="5"/>
  <c r="D142" i="5"/>
  <c r="N142" i="5" s="1"/>
  <c r="P142" i="5" s="1"/>
  <c r="S142" i="5"/>
  <c r="O168" i="5"/>
  <c r="M168" i="5"/>
  <c r="M242" i="5"/>
  <c r="O242" i="5"/>
  <c r="F242" i="5"/>
  <c r="N263" i="5"/>
  <c r="O266" i="5"/>
  <c r="M266" i="5"/>
  <c r="D273" i="5"/>
  <c r="N273" i="5" s="1"/>
  <c r="C273" i="5"/>
  <c r="S273" i="5"/>
  <c r="O346" i="5"/>
  <c r="M346" i="5"/>
  <c r="R98" i="5"/>
  <c r="Q31" i="5"/>
  <c r="P31" i="5" s="1"/>
  <c r="F63" i="5"/>
  <c r="M63" i="5"/>
  <c r="C99" i="5"/>
  <c r="S157" i="5"/>
  <c r="O196" i="5"/>
  <c r="M196" i="5"/>
  <c r="Q63" i="5"/>
  <c r="C115" i="5"/>
  <c r="S115" i="5"/>
  <c r="F285" i="5"/>
  <c r="O82" i="5"/>
  <c r="M82" i="5"/>
  <c r="F82" i="5"/>
  <c r="C88" i="5"/>
  <c r="D88" i="5"/>
  <c r="N88" i="5" s="1"/>
  <c r="M135" i="5"/>
  <c r="Q154" i="5"/>
  <c r="P154" i="5" s="1"/>
  <c r="O162" i="5"/>
  <c r="F162" i="5"/>
  <c r="Q170" i="5"/>
  <c r="P170" i="5" s="1"/>
  <c r="Q203" i="5"/>
  <c r="M204" i="5"/>
  <c r="O263" i="5"/>
  <c r="M263" i="5"/>
  <c r="C244" i="5"/>
  <c r="S244" i="5"/>
  <c r="R45" i="5"/>
  <c r="C315" i="5"/>
  <c r="Q64" i="5"/>
  <c r="Q52" i="5"/>
  <c r="R52" i="5" s="1"/>
  <c r="R57" i="5"/>
  <c r="P90" i="5"/>
  <c r="R90" i="5"/>
  <c r="Q143" i="5"/>
  <c r="R143" i="5" s="1"/>
  <c r="D143" i="5"/>
  <c r="N143" i="5" s="1"/>
  <c r="G13" i="3"/>
  <c r="Q13" i="5"/>
  <c r="O38" i="5"/>
  <c r="Q55" i="5"/>
  <c r="Q92" i="5"/>
  <c r="Q116" i="5"/>
  <c r="O123" i="5"/>
  <c r="F12" i="4"/>
  <c r="G12" i="4" s="1"/>
  <c r="O9" i="5"/>
  <c r="C31" i="5"/>
  <c r="O63" i="5"/>
  <c r="F68" i="5"/>
  <c r="Q72" i="5"/>
  <c r="R72" i="5" s="1"/>
  <c r="M76" i="5"/>
  <c r="O88" i="5"/>
  <c r="M88" i="5"/>
  <c r="S101" i="5"/>
  <c r="M104" i="5"/>
  <c r="F137" i="5"/>
  <c r="Q139" i="5"/>
  <c r="O142" i="5"/>
  <c r="M142" i="5"/>
  <c r="M150" i="5"/>
  <c r="M175" i="5"/>
  <c r="F175" i="5"/>
  <c r="O175" i="5"/>
  <c r="S204" i="5"/>
  <c r="O235" i="5"/>
  <c r="M235" i="5"/>
  <c r="C238" i="5"/>
  <c r="O379" i="5"/>
  <c r="M379" i="5"/>
  <c r="D394" i="5"/>
  <c r="N394" i="5" s="1"/>
  <c r="S394" i="5"/>
  <c r="Q213" i="5"/>
  <c r="R213" i="5" s="1"/>
  <c r="S261" i="5"/>
  <c r="D261" i="5"/>
  <c r="N261" i="5" s="1"/>
  <c r="C233" i="5"/>
  <c r="D243" i="5"/>
  <c r="N243" i="5" s="1"/>
  <c r="C75" i="5"/>
  <c r="R167" i="5"/>
  <c r="P167" i="5"/>
  <c r="D8" i="5"/>
  <c r="F95" i="5"/>
  <c r="F196" i="5"/>
  <c r="Q65" i="5"/>
  <c r="M97" i="5"/>
  <c r="F97" i="5"/>
  <c r="Q100" i="5"/>
  <c r="R100" i="5" s="1"/>
  <c r="Q102" i="5"/>
  <c r="R102" i="5" s="1"/>
  <c r="O104" i="5"/>
  <c r="C113" i="5"/>
  <c r="S113" i="5"/>
  <c r="F124" i="5"/>
  <c r="O124" i="5"/>
  <c r="M124" i="5"/>
  <c r="C145" i="5"/>
  <c r="S145" i="5"/>
  <c r="O185" i="5"/>
  <c r="O190" i="5"/>
  <c r="M190" i="5"/>
  <c r="Q191" i="5"/>
  <c r="O206" i="5"/>
  <c r="M206" i="5"/>
  <c r="Q233" i="5"/>
  <c r="R233" i="5" s="1"/>
  <c r="M244" i="5"/>
  <c r="S247" i="5"/>
  <c r="Q257" i="5"/>
  <c r="P257" i="5" s="1"/>
  <c r="C276" i="5"/>
  <c r="S276" i="5"/>
  <c r="D276" i="5"/>
  <c r="N276" i="5" s="1"/>
  <c r="O310" i="5"/>
  <c r="M310" i="5"/>
  <c r="F310" i="5"/>
  <c r="C165" i="5"/>
  <c r="D165" i="5"/>
  <c r="F174" i="5"/>
  <c r="M286" i="5"/>
  <c r="O286" i="5"/>
  <c r="Q318" i="5"/>
  <c r="C318" i="5"/>
  <c r="F334" i="5"/>
  <c r="S372" i="5"/>
  <c r="C372" i="5"/>
  <c r="F38" i="5"/>
  <c r="D13" i="5"/>
  <c r="N13" i="5" s="1"/>
  <c r="C126" i="5"/>
  <c r="D126" i="5"/>
  <c r="N126" i="5" s="1"/>
  <c r="F150" i="5"/>
  <c r="D203" i="5"/>
  <c r="Q300" i="5"/>
  <c r="C300" i="5"/>
  <c r="S300" i="5"/>
  <c r="D300" i="5"/>
  <c r="N300" i="5" s="1"/>
  <c r="D315" i="5"/>
  <c r="F318" i="5"/>
  <c r="F55" i="5"/>
  <c r="D122" i="5"/>
  <c r="S122" i="5"/>
  <c r="Q268" i="5"/>
  <c r="R268" i="5" s="1"/>
  <c r="F271" i="5"/>
  <c r="Q127" i="5"/>
  <c r="C64" i="5"/>
  <c r="D64" i="5"/>
  <c r="N64" i="5" s="1"/>
  <c r="S29" i="5"/>
  <c r="M34" i="5"/>
  <c r="O39" i="5"/>
  <c r="F39" i="5"/>
  <c r="C52" i="5"/>
  <c r="P86" i="5"/>
  <c r="R86" i="5"/>
  <c r="O95" i="5"/>
  <c r="Q104" i="5"/>
  <c r="R104" i="5" s="1"/>
  <c r="D113" i="5"/>
  <c r="N113" i="5" s="1"/>
  <c r="D127" i="5"/>
  <c r="N127" i="5" s="1"/>
  <c r="C127" i="5"/>
  <c r="M128" i="5"/>
  <c r="F128" i="5"/>
  <c r="S139" i="5"/>
  <c r="D145" i="5"/>
  <c r="Q153" i="5"/>
  <c r="P153" i="5" s="1"/>
  <c r="S173" i="5"/>
  <c r="Q188" i="5"/>
  <c r="R188" i="5" s="1"/>
  <c r="F190" i="5"/>
  <c r="O194" i="5"/>
  <c r="M194" i="5"/>
  <c r="F194" i="5"/>
  <c r="S203" i="5"/>
  <c r="F206" i="5"/>
  <c r="Q218" i="5"/>
  <c r="Q232" i="5"/>
  <c r="S233" i="5"/>
  <c r="F238" i="5"/>
  <c r="M243" i="5"/>
  <c r="C248" i="5"/>
  <c r="S248" i="5"/>
  <c r="O276" i="5"/>
  <c r="M276" i="5"/>
  <c r="F276" i="5"/>
  <c r="O285" i="5"/>
  <c r="D307" i="5"/>
  <c r="S307" i="5"/>
  <c r="S322" i="5"/>
  <c r="D322" i="5"/>
  <c r="N322" i="5" s="1"/>
  <c r="C322" i="5"/>
  <c r="D337" i="5"/>
  <c r="S337" i="5"/>
  <c r="R347" i="5"/>
  <c r="R387" i="5"/>
  <c r="P387" i="5"/>
  <c r="D66" i="5"/>
  <c r="C66" i="5"/>
  <c r="D208" i="5"/>
  <c r="N208" i="5" s="1"/>
  <c r="C208" i="5"/>
  <c r="S208" i="5"/>
  <c r="F30" i="5"/>
  <c r="D177" i="5"/>
  <c r="C177" i="5"/>
  <c r="C112" i="5"/>
  <c r="S112" i="5"/>
  <c r="C247" i="5"/>
  <c r="C261" i="5"/>
  <c r="D20" i="5"/>
  <c r="N20" i="5" s="1"/>
  <c r="C18" i="5"/>
  <c r="D65" i="5"/>
  <c r="C65" i="5"/>
  <c r="C71" i="5"/>
  <c r="M55" i="5"/>
  <c r="P8" i="5"/>
  <c r="S47" i="5"/>
  <c r="S65" i="5"/>
  <c r="O98" i="5"/>
  <c r="D120" i="5"/>
  <c r="N120" i="5" s="1"/>
  <c r="O131" i="5"/>
  <c r="F131" i="5"/>
  <c r="M131" i="5"/>
  <c r="N135" i="5"/>
  <c r="M157" i="5"/>
  <c r="C174" i="5"/>
  <c r="D174" i="5"/>
  <c r="N174" i="5" s="1"/>
  <c r="S174" i="5"/>
  <c r="O217" i="5"/>
  <c r="M217" i="5"/>
  <c r="M245" i="5"/>
  <c r="O245" i="5"/>
  <c r="D248" i="5"/>
  <c r="O262" i="5"/>
  <c r="M262" i="5"/>
  <c r="S297" i="5"/>
  <c r="C297" i="5"/>
  <c r="S334" i="5"/>
  <c r="D334" i="5"/>
  <c r="N334" i="5" s="1"/>
  <c r="F382" i="5"/>
  <c r="M382" i="5"/>
  <c r="O382" i="5"/>
  <c r="M320" i="5"/>
  <c r="Q324" i="5"/>
  <c r="R324" i="5" s="1"/>
  <c r="O325" i="5"/>
  <c r="P343" i="5"/>
  <c r="R343" i="5"/>
  <c r="C388" i="5"/>
  <c r="D388" i="5"/>
  <c r="N388" i="5" s="1"/>
  <c r="N390" i="5"/>
  <c r="M390" i="5"/>
  <c r="O396" i="5"/>
  <c r="Q54" i="5"/>
  <c r="R54" i="5" s="1"/>
  <c r="M140" i="5"/>
  <c r="M144" i="5"/>
  <c r="Q172" i="5"/>
  <c r="R172" i="5" s="1"/>
  <c r="D172" i="5"/>
  <c r="Q174" i="5"/>
  <c r="R174" i="5" s="1"/>
  <c r="C188" i="5"/>
  <c r="S188" i="5"/>
  <c r="Q190" i="5"/>
  <c r="Q221" i="5"/>
  <c r="M249" i="5"/>
  <c r="M272" i="5"/>
  <c r="M288" i="5"/>
  <c r="F288" i="5"/>
  <c r="M290" i="5"/>
  <c r="M296" i="5"/>
  <c r="C303" i="5"/>
  <c r="N317" i="5"/>
  <c r="O320" i="5"/>
  <c r="F333" i="5"/>
  <c r="O333" i="5"/>
  <c r="O351" i="5"/>
  <c r="F368" i="5"/>
  <c r="D371" i="5"/>
  <c r="N371" i="5" s="1"/>
  <c r="S371" i="5"/>
  <c r="C371" i="5"/>
  <c r="C377" i="5"/>
  <c r="C381" i="5"/>
  <c r="S381" i="5"/>
  <c r="F390" i="5"/>
  <c r="Q286" i="5"/>
  <c r="Q51" i="5"/>
  <c r="R51" i="5" s="1"/>
  <c r="P7" i="5"/>
  <c r="M42" i="5"/>
  <c r="N45" i="5"/>
  <c r="F47" i="5"/>
  <c r="F52" i="5"/>
  <c r="N93" i="5"/>
  <c r="M103" i="5"/>
  <c r="M119" i="5"/>
  <c r="C128" i="5"/>
  <c r="D133" i="5"/>
  <c r="N133" i="5" s="1"/>
  <c r="P133" i="5" s="1"/>
  <c r="M139" i="5"/>
  <c r="O153" i="5"/>
  <c r="C164" i="5"/>
  <c r="M170" i="5"/>
  <c r="C172" i="5"/>
  <c r="C180" i="5"/>
  <c r="S180" i="5"/>
  <c r="Q185" i="5"/>
  <c r="P185" i="5" s="1"/>
  <c r="D188" i="5"/>
  <c r="N188" i="5" s="1"/>
  <c r="S197" i="5"/>
  <c r="M201" i="5"/>
  <c r="N226" i="5"/>
  <c r="P226" i="5" s="1"/>
  <c r="Q271" i="5"/>
  <c r="R271" i="5" s="1"/>
  <c r="O272" i="5"/>
  <c r="Q289" i="5"/>
  <c r="R289" i="5" s="1"/>
  <c r="O290" i="5"/>
  <c r="O296" i="5"/>
  <c r="Q301" i="5"/>
  <c r="N11" i="3" s="1"/>
  <c r="D303" i="5"/>
  <c r="N303" i="5" s="1"/>
  <c r="O348" i="5"/>
  <c r="F348" i="5"/>
  <c r="R360" i="5"/>
  <c r="P360" i="5"/>
  <c r="D367" i="5"/>
  <c r="N367" i="5" s="1"/>
  <c r="S367" i="5"/>
  <c r="S375" i="5"/>
  <c r="D381" i="5"/>
  <c r="N381" i="5" s="1"/>
  <c r="M384" i="5"/>
  <c r="F384" i="5"/>
  <c r="O79" i="5"/>
  <c r="N97" i="5"/>
  <c r="Q130" i="5"/>
  <c r="P130" i="5" s="1"/>
  <c r="F156" i="5"/>
  <c r="N162" i="5"/>
  <c r="P169" i="5"/>
  <c r="S214" i="5"/>
  <c r="S221" i="5"/>
  <c r="P296" i="5"/>
  <c r="C299" i="5"/>
  <c r="Q333" i="5"/>
  <c r="P333" i="5" s="1"/>
  <c r="C347" i="5"/>
  <c r="S347" i="5"/>
  <c r="S376" i="5"/>
  <c r="C376" i="5"/>
  <c r="Q195" i="5"/>
  <c r="Q244" i="5"/>
  <c r="R244" i="5" s="1"/>
  <c r="Q251" i="5"/>
  <c r="F299" i="5"/>
  <c r="O299" i="5"/>
  <c r="D313" i="5"/>
  <c r="N313" i="5" s="1"/>
  <c r="S313" i="5"/>
  <c r="C325" i="5"/>
  <c r="S325" i="5"/>
  <c r="Q385" i="5"/>
  <c r="R385" i="5" s="1"/>
  <c r="Q93" i="5"/>
  <c r="N116" i="5"/>
  <c r="Q135" i="5"/>
  <c r="R149" i="5" s="1"/>
  <c r="F180" i="5"/>
  <c r="F181" i="5"/>
  <c r="C187" i="5"/>
  <c r="F192" i="5"/>
  <c r="N198" i="5"/>
  <c r="F202" i="5"/>
  <c r="S207" i="5"/>
  <c r="D222" i="5"/>
  <c r="S272" i="5"/>
  <c r="N291" i="5"/>
  <c r="C306" i="5"/>
  <c r="S306" i="5"/>
  <c r="Q307" i="5"/>
  <c r="C313" i="5"/>
  <c r="D325" i="5"/>
  <c r="N325" i="5" s="1"/>
  <c r="C331" i="5"/>
  <c r="D331" i="5"/>
  <c r="N331" i="5" s="1"/>
  <c r="S331" i="5"/>
  <c r="N343" i="5"/>
  <c r="O352" i="5"/>
  <c r="M352" i="5"/>
  <c r="D364" i="5"/>
  <c r="S364" i="5"/>
  <c r="Q394" i="5"/>
  <c r="N396" i="5"/>
  <c r="Q368" i="5"/>
  <c r="Q228" i="5"/>
  <c r="R228" i="5" s="1"/>
  <c r="Q261" i="5"/>
  <c r="R261" i="5" s="1"/>
  <c r="O265" i="5"/>
  <c r="R285" i="5"/>
  <c r="P285" i="5"/>
  <c r="R311" i="5"/>
  <c r="Q322" i="5"/>
  <c r="M365" i="5"/>
  <c r="F396" i="5"/>
  <c r="Q156" i="5"/>
  <c r="N160" i="5"/>
  <c r="Q161" i="5"/>
  <c r="R161" i="5" s="1"/>
  <c r="R166" i="5"/>
  <c r="P166" i="5"/>
  <c r="C169" i="5"/>
  <c r="S169" i="5"/>
  <c r="Q206" i="5"/>
  <c r="P206" i="5" s="1"/>
  <c r="D206" i="5"/>
  <c r="N206" i="5" s="1"/>
  <c r="C207" i="5"/>
  <c r="Q227" i="5"/>
  <c r="P227" i="5" s="1"/>
  <c r="C252" i="5"/>
  <c r="S257" i="5"/>
  <c r="C257" i="5"/>
  <c r="Q275" i="5"/>
  <c r="Q332" i="5"/>
  <c r="D342" i="5"/>
  <c r="N342" i="5" s="1"/>
  <c r="S342" i="5"/>
  <c r="S346" i="5"/>
  <c r="D346" i="5"/>
  <c r="N346" i="5" s="1"/>
  <c r="S350" i="5"/>
  <c r="D350" i="5"/>
  <c r="N350" i="5" s="1"/>
  <c r="F351" i="5"/>
  <c r="D355" i="5"/>
  <c r="N355" i="5" s="1"/>
  <c r="C355" i="5"/>
  <c r="M360" i="5"/>
  <c r="F360" i="5"/>
  <c r="O368" i="5"/>
  <c r="O370" i="5"/>
  <c r="M370" i="5"/>
  <c r="F370" i="5"/>
  <c r="O390" i="5"/>
  <c r="P353" i="5"/>
  <c r="Q395" i="5"/>
  <c r="R395" i="5" s="1"/>
  <c r="N379" i="5"/>
  <c r="Q349" i="5"/>
  <c r="R349" i="5" s="1"/>
  <c r="N351" i="5"/>
  <c r="N369" i="5"/>
  <c r="Q381" i="5"/>
  <c r="Q391" i="5"/>
  <c r="P391" i="5" s="1"/>
  <c r="Q259" i="5"/>
  <c r="Q265" i="5"/>
  <c r="R265" i="5" s="1"/>
  <c r="Q266" i="5"/>
  <c r="S335" i="5"/>
  <c r="M355" i="5"/>
  <c r="M362" i="5"/>
  <c r="M371" i="5"/>
  <c r="O372" i="5"/>
  <c r="N213" i="5"/>
  <c r="D348" i="5"/>
  <c r="N348" i="5" s="1"/>
  <c r="S354" i="5"/>
  <c r="Q369" i="5"/>
  <c r="P369" i="5" s="1"/>
  <c r="S379" i="5"/>
  <c r="N385" i="5"/>
  <c r="Q390" i="5"/>
  <c r="P390" i="5" s="1"/>
  <c r="O11" i="5"/>
  <c r="T11" i="5"/>
  <c r="M11" i="5"/>
  <c r="F11" i="5"/>
  <c r="Q11" i="5"/>
  <c r="T386" i="5"/>
  <c r="T385" i="5"/>
  <c r="T376" i="5"/>
  <c r="T391" i="5"/>
  <c r="T356" i="5"/>
  <c r="T355" i="5"/>
  <c r="T348" i="5"/>
  <c r="T294" i="5"/>
  <c r="T276" i="5"/>
  <c r="T257" i="5"/>
  <c r="T252" i="5"/>
  <c r="T247" i="5"/>
  <c r="T341" i="5"/>
  <c r="T291" i="5"/>
  <c r="T346" i="5"/>
  <c r="T266" i="5"/>
  <c r="T280" i="5"/>
  <c r="T362" i="5"/>
  <c r="T351" i="5"/>
  <c r="T319" i="5"/>
  <c r="T210" i="5"/>
  <c r="T204" i="5"/>
  <c r="T371" i="5"/>
  <c r="T370" i="5"/>
  <c r="T284" i="5"/>
  <c r="T255" i="5"/>
  <c r="T253" i="5"/>
  <c r="T191" i="5"/>
  <c r="T322" i="5"/>
  <c r="T286" i="5"/>
  <c r="T275" i="5"/>
  <c r="T216" i="5"/>
  <c r="T273" i="5"/>
  <c r="T334" i="5"/>
  <c r="T333" i="5"/>
  <c r="T227" i="5"/>
  <c r="T163" i="5"/>
  <c r="R333" i="5"/>
  <c r="T332" i="5"/>
  <c r="T157" i="5"/>
  <c r="T202" i="5"/>
  <c r="T238" i="5"/>
  <c r="T279" i="5"/>
  <c r="T292" i="5"/>
  <c r="T269" i="5"/>
  <c r="T271" i="5"/>
  <c r="T243" i="5"/>
  <c r="T222" i="5"/>
  <c r="T137" i="5"/>
  <c r="T213" i="5"/>
  <c r="T244" i="5"/>
  <c r="T182" i="5"/>
  <c r="T224" i="5"/>
  <c r="T225" i="5"/>
  <c r="T306" i="5"/>
  <c r="R139" i="5"/>
  <c r="T132" i="5"/>
  <c r="T172" i="5"/>
  <c r="T90" i="5"/>
  <c r="T174" i="5"/>
  <c r="T142" i="5"/>
  <c r="R239" i="5"/>
  <c r="T97" i="5"/>
  <c r="T34" i="5"/>
  <c r="M5" i="5"/>
  <c r="E15" i="3"/>
  <c r="E13" i="3"/>
  <c r="T140" i="5"/>
  <c r="T139" i="5"/>
  <c r="T79" i="5"/>
  <c r="T78" i="5"/>
  <c r="T71" i="5"/>
  <c r="T68" i="5"/>
  <c r="T127" i="5"/>
  <c r="T27" i="5"/>
  <c r="O5" i="5"/>
  <c r="N13" i="3"/>
  <c r="T57" i="5"/>
  <c r="T188" i="5"/>
  <c r="T187" i="5"/>
  <c r="T164" i="5"/>
  <c r="D13" i="3"/>
  <c r="F13" i="3" s="1"/>
  <c r="T170" i="5"/>
  <c r="T168" i="5"/>
  <c r="T47" i="5"/>
  <c r="T43" i="5"/>
  <c r="T350" i="5"/>
  <c r="T99" i="5"/>
  <c r="T113" i="5"/>
  <c r="D15" i="3"/>
  <c r="F15" i="3" s="1"/>
  <c r="T100" i="5"/>
  <c r="G14" i="3"/>
  <c r="T124" i="5"/>
  <c r="T117" i="5"/>
  <c r="T50" i="5"/>
  <c r="T118" i="5"/>
  <c r="T52" i="5"/>
  <c r="T162" i="5"/>
  <c r="T108" i="5"/>
  <c r="T83" i="5"/>
  <c r="R105" i="5"/>
  <c r="N15" i="3"/>
  <c r="K15" i="3"/>
  <c r="M15" i="3" s="1"/>
  <c r="G15" i="3"/>
  <c r="T35" i="5"/>
  <c r="T15" i="5"/>
  <c r="K14" i="3"/>
  <c r="M14" i="3" s="1"/>
  <c r="T70" i="5"/>
  <c r="R15" i="5"/>
  <c r="T14" i="5"/>
  <c r="E14" i="3"/>
  <c r="D14" i="3"/>
  <c r="T37" i="5"/>
  <c r="T20" i="5"/>
  <c r="T33" i="5"/>
  <c r="F5" i="5"/>
  <c r="T5" i="5"/>
  <c r="K13" i="3"/>
  <c r="M13" i="3" s="1"/>
  <c r="T396" i="5"/>
  <c r="T29" i="5"/>
  <c r="S62" i="5"/>
  <c r="D62" i="5"/>
  <c r="N62" i="5" s="1"/>
  <c r="T62" i="5"/>
  <c r="C62" i="5"/>
  <c r="N14" i="3"/>
  <c r="D10" i="5"/>
  <c r="N10" i="5" s="1"/>
  <c r="C10" i="5"/>
  <c r="Q10" i="5"/>
  <c r="S10" i="5"/>
  <c r="R6" i="5"/>
  <c r="P6" i="5"/>
  <c r="M8" i="5"/>
  <c r="F8" i="5"/>
  <c r="T8" i="5"/>
  <c r="O8" i="5"/>
  <c r="C12" i="5"/>
  <c r="D12" i="5"/>
  <c r="N12" i="5" s="1"/>
  <c r="D21" i="5"/>
  <c r="N21" i="5" s="1"/>
  <c r="S21" i="5"/>
  <c r="C21" i="5"/>
  <c r="S24" i="5"/>
  <c r="D24" i="5"/>
  <c r="N24" i="5" s="1"/>
  <c r="Q24" i="5"/>
  <c r="T24" i="5"/>
  <c r="C24" i="5"/>
  <c r="S6" i="5"/>
  <c r="T6" i="5"/>
  <c r="D6" i="5"/>
  <c r="N6" i="5" s="1"/>
  <c r="T7" i="5"/>
  <c r="F7" i="5"/>
  <c r="M7" i="5"/>
  <c r="M23" i="5"/>
  <c r="F23" i="5"/>
  <c r="T23" i="5"/>
  <c r="O23" i="5"/>
  <c r="P38" i="5"/>
  <c r="R38" i="5"/>
  <c r="N5" i="5"/>
  <c r="R37" i="5"/>
  <c r="D38" i="5"/>
  <c r="N38" i="5" s="1"/>
  <c r="C38" i="5"/>
  <c r="R25" i="5"/>
  <c r="T49" i="5"/>
  <c r="C49" i="5"/>
  <c r="Q49" i="5"/>
  <c r="R55" i="5" s="1"/>
  <c r="D49" i="5"/>
  <c r="N49" i="5" s="1"/>
  <c r="S49" i="5"/>
  <c r="P52" i="5"/>
  <c r="T55" i="5"/>
  <c r="T84" i="5"/>
  <c r="M29" i="5"/>
  <c r="O29" i="5"/>
  <c r="Q29" i="5"/>
  <c r="F29" i="5"/>
  <c r="R70" i="5"/>
  <c r="T36" i="5"/>
  <c r="O22" i="5"/>
  <c r="M22" i="5"/>
  <c r="F22" i="5"/>
  <c r="T22" i="5"/>
  <c r="Q23" i="5"/>
  <c r="C40" i="5"/>
  <c r="D40" i="5"/>
  <c r="N40" i="5" s="1"/>
  <c r="S40" i="5"/>
  <c r="S48" i="5"/>
  <c r="D48" i="5"/>
  <c r="N48" i="5" s="1"/>
  <c r="C48" i="5"/>
  <c r="T48" i="5"/>
  <c r="P19" i="5"/>
  <c r="R19" i="5"/>
  <c r="S84" i="5"/>
  <c r="D84" i="5"/>
  <c r="N84" i="5" s="1"/>
  <c r="Q84" i="5"/>
  <c r="O85" i="5"/>
  <c r="T85" i="5"/>
  <c r="M85" i="5"/>
  <c r="C12" i="4"/>
  <c r="C17" i="4"/>
  <c r="F17" i="4"/>
  <c r="G17" i="4" s="1"/>
  <c r="H14" i="4"/>
  <c r="F16" i="4"/>
  <c r="G16" i="4" s="1"/>
  <c r="C14" i="4"/>
  <c r="H16" i="4"/>
  <c r="C16" i="4"/>
  <c r="D7" i="4"/>
  <c r="D9" i="5"/>
  <c r="N9" i="5" s="1"/>
  <c r="S9" i="5"/>
  <c r="C9" i="5"/>
  <c r="P15" i="5"/>
  <c r="H7" i="4" s="1"/>
  <c r="R46" i="5"/>
  <c r="P46" i="5"/>
  <c r="P71" i="5"/>
  <c r="R71" i="5"/>
  <c r="T73" i="5"/>
  <c r="F73" i="5"/>
  <c r="O73" i="5"/>
  <c r="N73" i="5"/>
  <c r="M73" i="5"/>
  <c r="T80" i="5"/>
  <c r="S129" i="5"/>
  <c r="D129" i="5"/>
  <c r="N129" i="5" s="1"/>
  <c r="C129" i="5"/>
  <c r="Q129" i="5"/>
  <c r="D12" i="4"/>
  <c r="N8" i="5"/>
  <c r="M9" i="5"/>
  <c r="T9" i="5"/>
  <c r="N11" i="5"/>
  <c r="T12" i="5"/>
  <c r="R16" i="5"/>
  <c r="Q22" i="5"/>
  <c r="D37" i="5"/>
  <c r="N37" i="5" s="1"/>
  <c r="P37" i="5" s="1"/>
  <c r="S37" i="5"/>
  <c r="C37" i="5"/>
  <c r="R65" i="5"/>
  <c r="H12" i="4"/>
  <c r="D16" i="4"/>
  <c r="T13" i="5"/>
  <c r="F13" i="5"/>
  <c r="O13" i="5"/>
  <c r="N67" i="5"/>
  <c r="M69" i="5"/>
  <c r="T69" i="5"/>
  <c r="O69" i="5"/>
  <c r="C36" i="5"/>
  <c r="D36" i="5"/>
  <c r="N36" i="5" s="1"/>
  <c r="R44" i="5"/>
  <c r="P44" i="5" s="1"/>
  <c r="O67" i="5"/>
  <c r="F67" i="5"/>
  <c r="M67" i="5"/>
  <c r="T67" i="5"/>
  <c r="D109" i="5"/>
  <c r="N109" i="5" s="1"/>
  <c r="S109" i="5"/>
  <c r="C109" i="5"/>
  <c r="R63" i="5"/>
  <c r="D17" i="4"/>
  <c r="S30" i="5"/>
  <c r="T30" i="5"/>
  <c r="Q30" i="5"/>
  <c r="P41" i="5"/>
  <c r="R41" i="5"/>
  <c r="S42" i="5"/>
  <c r="T61" i="5"/>
  <c r="S61" i="5"/>
  <c r="D61" i="5"/>
  <c r="N61" i="5" s="1"/>
  <c r="C61" i="5"/>
  <c r="R106" i="5"/>
  <c r="Q18" i="5"/>
  <c r="C30" i="5"/>
  <c r="T42" i="5"/>
  <c r="M66" i="5"/>
  <c r="T66" i="5"/>
  <c r="O66" i="5"/>
  <c r="F66" i="5"/>
  <c r="C7" i="4"/>
  <c r="D14" i="4"/>
  <c r="H17" i="4"/>
  <c r="Q17" i="5"/>
  <c r="D30" i="5"/>
  <c r="N30" i="5" s="1"/>
  <c r="D42" i="5"/>
  <c r="N42" i="5" s="1"/>
  <c r="S44" i="5"/>
  <c r="D44" i="5"/>
  <c r="N44" i="5" s="1"/>
  <c r="C44" i="5"/>
  <c r="F7" i="4"/>
  <c r="N22" i="5"/>
  <c r="S25" i="5"/>
  <c r="T25" i="5"/>
  <c r="D25" i="5"/>
  <c r="N25" i="5" s="1"/>
  <c r="P25" i="5" s="1"/>
  <c r="C25" i="5"/>
  <c r="N29" i="5"/>
  <c r="M56" i="5"/>
  <c r="T56" i="5"/>
  <c r="O56" i="5"/>
  <c r="C60" i="5"/>
  <c r="Q60" i="5"/>
  <c r="D60" i="5"/>
  <c r="N60" i="5" s="1"/>
  <c r="T60" i="5"/>
  <c r="N85" i="5"/>
  <c r="P107" i="5"/>
  <c r="P163" i="5"/>
  <c r="R163" i="5"/>
  <c r="T313" i="5"/>
  <c r="O313" i="5"/>
  <c r="M313" i="5"/>
  <c r="F313" i="5"/>
  <c r="P34" i="5"/>
  <c r="R34" i="5"/>
  <c r="S39" i="5"/>
  <c r="D39" i="5"/>
  <c r="N39" i="5" s="1"/>
  <c r="C39" i="5"/>
  <c r="T40" i="5"/>
  <c r="F40" i="5"/>
  <c r="M40" i="5"/>
  <c r="S104" i="5"/>
  <c r="T104" i="5"/>
  <c r="D104" i="5"/>
  <c r="N104" i="5" s="1"/>
  <c r="S105" i="5"/>
  <c r="D105" i="5"/>
  <c r="N105" i="5" s="1"/>
  <c r="P105" i="5" s="1"/>
  <c r="T105" i="5"/>
  <c r="S33" i="5"/>
  <c r="D33" i="5"/>
  <c r="N33" i="5" s="1"/>
  <c r="C35" i="5"/>
  <c r="S35" i="5"/>
  <c r="F37" i="5"/>
  <c r="D77" i="5"/>
  <c r="N77" i="5" s="1"/>
  <c r="S77" i="5"/>
  <c r="Q77" i="5"/>
  <c r="C104" i="5"/>
  <c r="C105" i="5"/>
  <c r="O32" i="5"/>
  <c r="M32" i="5"/>
  <c r="T32" i="5"/>
  <c r="C33" i="5"/>
  <c r="D35" i="5"/>
  <c r="N35" i="5" s="1"/>
  <c r="F36" i="5"/>
  <c r="S53" i="5"/>
  <c r="D53" i="5"/>
  <c r="N53" i="5" s="1"/>
  <c r="T112" i="5"/>
  <c r="S119" i="5"/>
  <c r="T119" i="5"/>
  <c r="D119" i="5"/>
  <c r="N119" i="5" s="1"/>
  <c r="C119" i="5"/>
  <c r="Q119" i="5"/>
  <c r="O120" i="5"/>
  <c r="T120" i="5"/>
  <c r="M120" i="5"/>
  <c r="M33" i="5"/>
  <c r="O33" i="5"/>
  <c r="D51" i="5"/>
  <c r="N51" i="5" s="1"/>
  <c r="S51" i="5"/>
  <c r="C51" i="5"/>
  <c r="Q62" i="5"/>
  <c r="S76" i="5"/>
  <c r="T76" i="5"/>
  <c r="D76" i="5"/>
  <c r="N76" i="5" s="1"/>
  <c r="Q76" i="5"/>
  <c r="C76" i="5"/>
  <c r="O83" i="5"/>
  <c r="M83" i="5"/>
  <c r="F83" i="5"/>
  <c r="O92" i="5"/>
  <c r="M92" i="5"/>
  <c r="F92" i="5"/>
  <c r="T92" i="5"/>
  <c r="S95" i="5"/>
  <c r="D95" i="5"/>
  <c r="N95" i="5" s="1"/>
  <c r="C95" i="5"/>
  <c r="S118" i="5"/>
  <c r="C118" i="5"/>
  <c r="F120" i="5"/>
  <c r="O126" i="5"/>
  <c r="M126" i="5"/>
  <c r="T126" i="5"/>
  <c r="S16" i="5"/>
  <c r="D16" i="5"/>
  <c r="N16" i="5" s="1"/>
  <c r="P16" i="5" s="1"/>
  <c r="S22" i="5"/>
  <c r="F33" i="5"/>
  <c r="T51" i="5"/>
  <c r="T91" i="5"/>
  <c r="P116" i="5"/>
  <c r="R116" i="5"/>
  <c r="C125" i="5"/>
  <c r="D125" i="5"/>
  <c r="N125" i="5" s="1"/>
  <c r="S125" i="5"/>
  <c r="M173" i="5"/>
  <c r="O173" i="5"/>
  <c r="F173" i="5"/>
  <c r="T173" i="5"/>
  <c r="S7" i="5"/>
  <c r="D7" i="5"/>
  <c r="N7" i="5" s="1"/>
  <c r="C7" i="5"/>
  <c r="F15" i="5"/>
  <c r="C16" i="5"/>
  <c r="S17" i="5"/>
  <c r="D17" i="5"/>
  <c r="N17" i="5" s="1"/>
  <c r="C17" i="5"/>
  <c r="T19" i="5"/>
  <c r="C20" i="5"/>
  <c r="Q20" i="5"/>
  <c r="S23" i="5"/>
  <c r="T16" i="5"/>
  <c r="T17" i="5"/>
  <c r="F17" i="5"/>
  <c r="O18" i="5"/>
  <c r="F18" i="5"/>
  <c r="T18" i="5"/>
  <c r="N23" i="5"/>
  <c r="R31" i="5"/>
  <c r="Q36" i="5"/>
  <c r="O40" i="5"/>
  <c r="M50" i="5"/>
  <c r="O50" i="5"/>
  <c r="F50" i="5"/>
  <c r="O75" i="5"/>
  <c r="T75" i="5"/>
  <c r="M75" i="5"/>
  <c r="O86" i="5"/>
  <c r="M86" i="5"/>
  <c r="T86" i="5"/>
  <c r="O110" i="5"/>
  <c r="M110" i="5"/>
  <c r="T110" i="5"/>
  <c r="R92" i="5"/>
  <c r="T21" i="5"/>
  <c r="M21" i="5"/>
  <c r="M24" i="5"/>
  <c r="F24" i="5"/>
  <c r="S28" i="5"/>
  <c r="Q28" i="5"/>
  <c r="T28" i="5"/>
  <c r="O36" i="5"/>
  <c r="S69" i="5"/>
  <c r="C69" i="5"/>
  <c r="P114" i="5"/>
  <c r="R114" i="5"/>
  <c r="T106" i="5"/>
  <c r="M109" i="5"/>
  <c r="F109" i="5"/>
  <c r="T109" i="5"/>
  <c r="O109" i="5"/>
  <c r="M125" i="5"/>
  <c r="T125" i="5"/>
  <c r="O125" i="5"/>
  <c r="F125" i="5"/>
  <c r="S41" i="5"/>
  <c r="C41" i="5"/>
  <c r="F65" i="5"/>
  <c r="O65" i="5"/>
  <c r="T65" i="5"/>
  <c r="N65" i="5"/>
  <c r="T72" i="5"/>
  <c r="D83" i="5"/>
  <c r="N83" i="5" s="1"/>
  <c r="S83" i="5"/>
  <c r="C83" i="5"/>
  <c r="Q83" i="5"/>
  <c r="S103" i="5"/>
  <c r="D103" i="5"/>
  <c r="N103" i="5" s="1"/>
  <c r="C103" i="5"/>
  <c r="C106" i="5"/>
  <c r="S117" i="5"/>
  <c r="C117" i="5"/>
  <c r="Q117" i="5"/>
  <c r="T254" i="5"/>
  <c r="F254" i="5"/>
  <c r="O254" i="5"/>
  <c r="M254" i="5"/>
  <c r="D283" i="5"/>
  <c r="N283" i="5" s="1"/>
  <c r="C283" i="5"/>
  <c r="S283" i="5"/>
  <c r="Q14" i="5"/>
  <c r="T41" i="5"/>
  <c r="F41" i="5"/>
  <c r="M41" i="5"/>
  <c r="N43" i="5"/>
  <c r="T44" i="5"/>
  <c r="F44" i="5"/>
  <c r="Q74" i="5"/>
  <c r="M94" i="5"/>
  <c r="F94" i="5"/>
  <c r="T94" i="5"/>
  <c r="Q94" i="5"/>
  <c r="O94" i="5"/>
  <c r="N94" i="5"/>
  <c r="N99" i="5"/>
  <c r="O99" i="5"/>
  <c r="M99" i="5"/>
  <c r="D102" i="5"/>
  <c r="N102" i="5" s="1"/>
  <c r="C102" i="5"/>
  <c r="O117" i="5"/>
  <c r="M117" i="5"/>
  <c r="F117" i="5"/>
  <c r="N122" i="5"/>
  <c r="M158" i="5"/>
  <c r="O158" i="5"/>
  <c r="T158" i="5"/>
  <c r="D166" i="5"/>
  <c r="N166" i="5" s="1"/>
  <c r="C166" i="5"/>
  <c r="S166" i="5"/>
  <c r="N169" i="5"/>
  <c r="T177" i="5"/>
  <c r="Q35" i="5"/>
  <c r="M43" i="5"/>
  <c r="F43" i="5"/>
  <c r="O46" i="5"/>
  <c r="M46" i="5"/>
  <c r="T46" i="5"/>
  <c r="Q56" i="5"/>
  <c r="O60" i="5"/>
  <c r="M60" i="5"/>
  <c r="S63" i="5"/>
  <c r="D63" i="5"/>
  <c r="N63" i="5" s="1"/>
  <c r="P63" i="5" s="1"/>
  <c r="C63" i="5"/>
  <c r="T64" i="5"/>
  <c r="F64" i="5"/>
  <c r="O64" i="5"/>
  <c r="Q66" i="5"/>
  <c r="R80" i="5" s="1"/>
  <c r="Q73" i="5"/>
  <c r="F99" i="5"/>
  <c r="O145" i="5"/>
  <c r="T145" i="5"/>
  <c r="Q145" i="5"/>
  <c r="N145" i="5"/>
  <c r="M145" i="5"/>
  <c r="R152" i="5"/>
  <c r="F158" i="5"/>
  <c r="T166" i="5"/>
  <c r="M169" i="5"/>
  <c r="O169" i="5"/>
  <c r="T169" i="5"/>
  <c r="F169" i="5"/>
  <c r="S26" i="5"/>
  <c r="D59" i="5"/>
  <c r="N59" i="5" s="1"/>
  <c r="S59" i="5"/>
  <c r="Q79" i="5"/>
  <c r="C82" i="5"/>
  <c r="D82" i="5"/>
  <c r="N82" i="5" s="1"/>
  <c r="T82" i="5"/>
  <c r="S82" i="5"/>
  <c r="C111" i="5"/>
  <c r="S111" i="5"/>
  <c r="D111" i="5"/>
  <c r="N111" i="5" s="1"/>
  <c r="N112" i="5"/>
  <c r="M113" i="5"/>
  <c r="F113" i="5"/>
  <c r="M122" i="5"/>
  <c r="F122" i="5"/>
  <c r="O122" i="5"/>
  <c r="T122" i="5"/>
  <c r="T111" i="5"/>
  <c r="O112" i="5"/>
  <c r="M112" i="5"/>
  <c r="T155" i="5"/>
  <c r="T59" i="5"/>
  <c r="F59" i="5"/>
  <c r="M59" i="5"/>
  <c r="O59" i="5"/>
  <c r="S86" i="5"/>
  <c r="R93" i="5"/>
  <c r="F112" i="5"/>
  <c r="P132" i="5"/>
  <c r="R132" i="5"/>
  <c r="T136" i="5"/>
  <c r="Q39" i="5"/>
  <c r="M65" i="5"/>
  <c r="C86" i="5"/>
  <c r="R109" i="5"/>
  <c r="M121" i="5"/>
  <c r="O121" i="5"/>
  <c r="T121" i="5"/>
  <c r="R128" i="5"/>
  <c r="Q48" i="5"/>
  <c r="T58" i="5"/>
  <c r="O58" i="5"/>
  <c r="M58" i="5"/>
  <c r="R64" i="5"/>
  <c r="P64" i="5"/>
  <c r="N75" i="5"/>
  <c r="S87" i="5"/>
  <c r="D87" i="5"/>
  <c r="N87" i="5" s="1"/>
  <c r="C87" i="5"/>
  <c r="O96" i="5"/>
  <c r="T96" i="5"/>
  <c r="M96" i="5"/>
  <c r="R107" i="5"/>
  <c r="C110" i="5"/>
  <c r="S110" i="5"/>
  <c r="D110" i="5"/>
  <c r="N110" i="5" s="1"/>
  <c r="O147" i="5"/>
  <c r="M147" i="5"/>
  <c r="T147" i="5"/>
  <c r="F147" i="5"/>
  <c r="R148" i="5"/>
  <c r="R181" i="5"/>
  <c r="F77" i="5"/>
  <c r="T77" i="5"/>
  <c r="Q82" i="5"/>
  <c r="Q96" i="5"/>
  <c r="O283" i="5"/>
  <c r="T283" i="5"/>
  <c r="M283" i="5"/>
  <c r="F283" i="5"/>
  <c r="T53" i="5"/>
  <c r="M57" i="5"/>
  <c r="S72" i="5"/>
  <c r="Q95" i="5"/>
  <c r="T101" i="5"/>
  <c r="F101" i="5"/>
  <c r="F106" i="5"/>
  <c r="M106" i="5"/>
  <c r="Q115" i="5"/>
  <c r="Q126" i="5"/>
  <c r="R137" i="5"/>
  <c r="P137" i="5"/>
  <c r="S149" i="5"/>
  <c r="T149" i="5"/>
  <c r="D149" i="5"/>
  <c r="N149" i="5" s="1"/>
  <c r="P149" i="5" s="1"/>
  <c r="O152" i="5"/>
  <c r="F152" i="5"/>
  <c r="T152" i="5"/>
  <c r="R156" i="5"/>
  <c r="P176" i="5"/>
  <c r="R176" i="5"/>
  <c r="S178" i="5"/>
  <c r="D178" i="5"/>
  <c r="N178" i="5" s="1"/>
  <c r="Q178" i="5"/>
  <c r="C212" i="5"/>
  <c r="T212" i="5"/>
  <c r="S212" i="5"/>
  <c r="T10" i="5"/>
  <c r="Q12" i="5"/>
  <c r="T26" i="5"/>
  <c r="N46" i="5"/>
  <c r="Q50" i="5"/>
  <c r="F53" i="5"/>
  <c r="C54" i="5"/>
  <c r="S54" i="5"/>
  <c r="D54" i="5"/>
  <c r="N54" i="5" s="1"/>
  <c r="T54" i="5"/>
  <c r="T63" i="5"/>
  <c r="C72" i="5"/>
  <c r="F78" i="5"/>
  <c r="O78" i="5"/>
  <c r="T88" i="5"/>
  <c r="O97" i="5"/>
  <c r="M108" i="5"/>
  <c r="O108" i="5"/>
  <c r="F108" i="5"/>
  <c r="Q111" i="5"/>
  <c r="F114" i="5"/>
  <c r="T114" i="5"/>
  <c r="R133" i="5"/>
  <c r="C149" i="5"/>
  <c r="P161" i="5"/>
  <c r="R208" i="5"/>
  <c r="D241" i="5"/>
  <c r="N241" i="5" s="1"/>
  <c r="C241" i="5"/>
  <c r="S241" i="5"/>
  <c r="F10" i="5"/>
  <c r="F26" i="5"/>
  <c r="T39" i="5"/>
  <c r="T45" i="5"/>
  <c r="F45" i="5"/>
  <c r="C46" i="5"/>
  <c r="D55" i="5"/>
  <c r="N55" i="5" s="1"/>
  <c r="C55" i="5"/>
  <c r="S56" i="5"/>
  <c r="D56" i="5"/>
  <c r="N56" i="5" s="1"/>
  <c r="S64" i="5"/>
  <c r="N66" i="5"/>
  <c r="F71" i="5"/>
  <c r="S73" i="5"/>
  <c r="C80" i="5"/>
  <c r="F88" i="5"/>
  <c r="N89" i="5"/>
  <c r="Q110" i="5"/>
  <c r="Q118" i="5"/>
  <c r="P122" i="5"/>
  <c r="C133" i="5"/>
  <c r="T133" i="5"/>
  <c r="Q146" i="5"/>
  <c r="S146" i="5"/>
  <c r="C146" i="5"/>
  <c r="T178" i="5"/>
  <c r="M178" i="5"/>
  <c r="F178" i="5"/>
  <c r="O178" i="5"/>
  <c r="M72" i="5"/>
  <c r="F72" i="5"/>
  <c r="P91" i="5"/>
  <c r="Q112" i="5"/>
  <c r="T115" i="5"/>
  <c r="F115" i="5"/>
  <c r="O115" i="5"/>
  <c r="R127" i="5"/>
  <c r="T134" i="5"/>
  <c r="D134" i="5"/>
  <c r="N134" i="5" s="1"/>
  <c r="S134" i="5"/>
  <c r="N146" i="5"/>
  <c r="N177" i="5"/>
  <c r="P75" i="5"/>
  <c r="R75" i="5"/>
  <c r="M80" i="5"/>
  <c r="O80" i="5"/>
  <c r="T81" i="5"/>
  <c r="S81" i="5"/>
  <c r="D81" i="5"/>
  <c r="N81" i="5" s="1"/>
  <c r="Q81" i="5"/>
  <c r="M89" i="5"/>
  <c r="T89" i="5"/>
  <c r="O89" i="5"/>
  <c r="S92" i="5"/>
  <c r="R123" i="5"/>
  <c r="D136" i="5"/>
  <c r="N136" i="5" s="1"/>
  <c r="C136" i="5"/>
  <c r="S136" i="5"/>
  <c r="T138" i="5"/>
  <c r="T146" i="5"/>
  <c r="F146" i="5"/>
  <c r="O146" i="5"/>
  <c r="M146" i="5"/>
  <c r="O177" i="5"/>
  <c r="M177" i="5"/>
  <c r="F177" i="5"/>
  <c r="R200" i="5"/>
  <c r="T230" i="5"/>
  <c r="Q103" i="5"/>
  <c r="S131" i="5"/>
  <c r="D131" i="5"/>
  <c r="N131" i="5" s="1"/>
  <c r="C131" i="5"/>
  <c r="Q131" i="5"/>
  <c r="T141" i="5"/>
  <c r="F141" i="5"/>
  <c r="M141" i="5"/>
  <c r="D148" i="5"/>
  <c r="N148" i="5" s="1"/>
  <c r="C148" i="5"/>
  <c r="S148" i="5"/>
  <c r="D201" i="5"/>
  <c r="N201" i="5" s="1"/>
  <c r="T201" i="5"/>
  <c r="C201" i="5"/>
  <c r="S201" i="5"/>
  <c r="R226" i="5"/>
  <c r="T229" i="5"/>
  <c r="D58" i="5"/>
  <c r="N58" i="5" s="1"/>
  <c r="Q58" i="5"/>
  <c r="C58" i="5"/>
  <c r="C68" i="5"/>
  <c r="S68" i="5"/>
  <c r="D68" i="5"/>
  <c r="N68" i="5" s="1"/>
  <c r="M77" i="5"/>
  <c r="S91" i="5"/>
  <c r="D91" i="5"/>
  <c r="N91" i="5" s="1"/>
  <c r="C91" i="5"/>
  <c r="S93" i="5"/>
  <c r="N96" i="5"/>
  <c r="D98" i="5"/>
  <c r="N98" i="5" s="1"/>
  <c r="T98" i="5"/>
  <c r="Q108" i="5"/>
  <c r="D121" i="5"/>
  <c r="N121" i="5" s="1"/>
  <c r="Q121" i="5"/>
  <c r="S123" i="5"/>
  <c r="D123" i="5"/>
  <c r="N123" i="5" s="1"/>
  <c r="P123" i="5" s="1"/>
  <c r="C123" i="5"/>
  <c r="S126" i="5"/>
  <c r="M159" i="5"/>
  <c r="O159" i="5"/>
  <c r="T159" i="5"/>
  <c r="R191" i="5"/>
  <c r="S215" i="5"/>
  <c r="T215" i="5"/>
  <c r="D215" i="5"/>
  <c r="N215" i="5" s="1"/>
  <c r="C215" i="5"/>
  <c r="Q215" i="5"/>
  <c r="F160" i="5"/>
  <c r="T160" i="5"/>
  <c r="M160" i="5"/>
  <c r="O160" i="5"/>
  <c r="D179" i="5"/>
  <c r="N179" i="5" s="1"/>
  <c r="S179" i="5"/>
  <c r="C179" i="5"/>
  <c r="S181" i="5"/>
  <c r="D181" i="5"/>
  <c r="N181" i="5" s="1"/>
  <c r="C181" i="5"/>
  <c r="Q147" i="5"/>
  <c r="S151" i="5"/>
  <c r="D151" i="5"/>
  <c r="N151" i="5" s="1"/>
  <c r="P151" i="5" s="1"/>
  <c r="T151" i="5"/>
  <c r="D171" i="5"/>
  <c r="N171" i="5" s="1"/>
  <c r="T171" i="5"/>
  <c r="C171" i="5"/>
  <c r="T176" i="5"/>
  <c r="P186" i="5"/>
  <c r="R186" i="5"/>
  <c r="C189" i="5"/>
  <c r="D189" i="5"/>
  <c r="N189" i="5" s="1"/>
  <c r="O337" i="5"/>
  <c r="T337" i="5"/>
  <c r="Q337" i="5"/>
  <c r="M337" i="5"/>
  <c r="F337" i="5"/>
  <c r="T93" i="5"/>
  <c r="Q101" i="5"/>
  <c r="Q138" i="5"/>
  <c r="R150" i="5" s="1"/>
  <c r="Q140" i="5"/>
  <c r="R142" i="5"/>
  <c r="Q144" i="5"/>
  <c r="S150" i="5"/>
  <c r="D150" i="5"/>
  <c r="N150" i="5" s="1"/>
  <c r="P150" i="5" s="1"/>
  <c r="C150" i="5"/>
  <c r="C151" i="5"/>
  <c r="N152" i="5"/>
  <c r="P152" i="5" s="1"/>
  <c r="N172" i="5"/>
  <c r="S183" i="5"/>
  <c r="M189" i="5"/>
  <c r="F189" i="5"/>
  <c r="T189" i="5"/>
  <c r="O189" i="5"/>
  <c r="S200" i="5"/>
  <c r="D200" i="5"/>
  <c r="N200" i="5" s="1"/>
  <c r="P200" i="5" s="1"/>
  <c r="P273" i="5"/>
  <c r="R273" i="5"/>
  <c r="R318" i="5"/>
  <c r="O49" i="5"/>
  <c r="M49" i="5"/>
  <c r="Q85" i="5"/>
  <c r="S97" i="5"/>
  <c r="T107" i="5"/>
  <c r="C108" i="5"/>
  <c r="T128" i="5"/>
  <c r="F140" i="5"/>
  <c r="N141" i="5"/>
  <c r="T150" i="5"/>
  <c r="C152" i="5"/>
  <c r="M172" i="5"/>
  <c r="F172" i="5"/>
  <c r="O172" i="5"/>
  <c r="R190" i="5"/>
  <c r="C200" i="5"/>
  <c r="R223" i="5"/>
  <c r="R236" i="5"/>
  <c r="T263" i="5"/>
  <c r="Q158" i="5"/>
  <c r="O187" i="5"/>
  <c r="N187" i="5"/>
  <c r="M187" i="5"/>
  <c r="R222" i="5"/>
  <c r="M342" i="5"/>
  <c r="O342" i="5"/>
  <c r="F342" i="5"/>
  <c r="T342" i="5"/>
  <c r="Q342" i="5"/>
  <c r="Q120" i="5"/>
  <c r="T135" i="5"/>
  <c r="P139" i="5"/>
  <c r="M148" i="5"/>
  <c r="T148" i="5"/>
  <c r="O148" i="5"/>
  <c r="C156" i="5"/>
  <c r="P162" i="5"/>
  <c r="N183" i="5"/>
  <c r="F187" i="5"/>
  <c r="D199" i="5"/>
  <c r="N199" i="5" s="1"/>
  <c r="Q199" i="5"/>
  <c r="M136" i="5"/>
  <c r="O136" i="5"/>
  <c r="D156" i="5"/>
  <c r="N156" i="5" s="1"/>
  <c r="P156" i="5" s="1"/>
  <c r="S182" i="5"/>
  <c r="C182" i="5"/>
  <c r="T184" i="5"/>
  <c r="D186" i="5"/>
  <c r="N186" i="5" s="1"/>
  <c r="S186" i="5"/>
  <c r="C186" i="5"/>
  <c r="P217" i="5"/>
  <c r="R218" i="5"/>
  <c r="D220" i="5"/>
  <c r="N220" i="5" s="1"/>
  <c r="Q220" i="5"/>
  <c r="C220" i="5"/>
  <c r="S220" i="5"/>
  <c r="T237" i="5"/>
  <c r="S245" i="5"/>
  <c r="Q245" i="5"/>
  <c r="C245" i="5"/>
  <c r="D245" i="5"/>
  <c r="N245" i="5" s="1"/>
  <c r="T129" i="5"/>
  <c r="F129" i="5"/>
  <c r="F136" i="5"/>
  <c r="M155" i="5"/>
  <c r="F155" i="5"/>
  <c r="D182" i="5"/>
  <c r="N182" i="5" s="1"/>
  <c r="M183" i="5"/>
  <c r="F183" i="5"/>
  <c r="O183" i="5"/>
  <c r="T183" i="5"/>
  <c r="O199" i="5"/>
  <c r="M199" i="5"/>
  <c r="T199" i="5"/>
  <c r="Q201" i="5"/>
  <c r="T206" i="5"/>
  <c r="T208" i="5"/>
  <c r="T220" i="5"/>
  <c r="F220" i="5"/>
  <c r="O220" i="5"/>
  <c r="M220" i="5"/>
  <c r="T245" i="5"/>
  <c r="R301" i="5"/>
  <c r="G11" i="3" s="1"/>
  <c r="Q308" i="5"/>
  <c r="C308" i="5"/>
  <c r="T308" i="5"/>
  <c r="S308" i="5"/>
  <c r="T31" i="5"/>
  <c r="F31" i="5"/>
  <c r="T38" i="5"/>
  <c r="S79" i="5"/>
  <c r="T116" i="5"/>
  <c r="F116" i="5"/>
  <c r="O116" i="5"/>
  <c r="C130" i="5"/>
  <c r="S147" i="5"/>
  <c r="D147" i="5"/>
  <c r="N147" i="5" s="1"/>
  <c r="C147" i="5"/>
  <c r="Q159" i="5"/>
  <c r="T161" i="5"/>
  <c r="C162" i="5"/>
  <c r="T185" i="5"/>
  <c r="F199" i="5"/>
  <c r="D223" i="5"/>
  <c r="N223" i="5" s="1"/>
  <c r="C223" i="5"/>
  <c r="D308" i="5"/>
  <c r="N308" i="5" s="1"/>
  <c r="O222" i="5"/>
  <c r="M222" i="5"/>
  <c r="F222" i="5"/>
  <c r="Q247" i="5"/>
  <c r="T251" i="5"/>
  <c r="F251" i="5"/>
  <c r="O251" i="5"/>
  <c r="M251" i="5"/>
  <c r="O264" i="5"/>
  <c r="M264" i="5"/>
  <c r="T264" i="5"/>
  <c r="S309" i="5"/>
  <c r="C309" i="5"/>
  <c r="D309" i="5"/>
  <c r="N309" i="5" s="1"/>
  <c r="S190" i="5"/>
  <c r="T190" i="5"/>
  <c r="D190" i="5"/>
  <c r="N190" i="5" s="1"/>
  <c r="C190" i="5"/>
  <c r="N205" i="5"/>
  <c r="M205" i="5"/>
  <c r="Q205" i="5"/>
  <c r="O205" i="5"/>
  <c r="D246" i="5"/>
  <c r="N246" i="5" s="1"/>
  <c r="C246" i="5"/>
  <c r="S246" i="5"/>
  <c r="T262" i="5"/>
  <c r="S262" i="5"/>
  <c r="D262" i="5"/>
  <c r="N262" i="5" s="1"/>
  <c r="C262" i="5"/>
  <c r="S263" i="5"/>
  <c r="C263" i="5"/>
  <c r="F264" i="5"/>
  <c r="T298" i="5"/>
  <c r="R203" i="5"/>
  <c r="Q204" i="5"/>
  <c r="R240" i="5"/>
  <c r="O250" i="5"/>
  <c r="F250" i="5"/>
  <c r="T250" i="5"/>
  <c r="Q250" i="5"/>
  <c r="M250" i="5"/>
  <c r="T261" i="5"/>
  <c r="R290" i="5"/>
  <c r="M295" i="5"/>
  <c r="O295" i="5"/>
  <c r="T295" i="5"/>
  <c r="S317" i="5"/>
  <c r="C317" i="5"/>
  <c r="R359" i="5"/>
  <c r="S249" i="5"/>
  <c r="C249" i="5"/>
  <c r="D260" i="5"/>
  <c r="N260" i="5" s="1"/>
  <c r="C260" i="5"/>
  <c r="S260" i="5"/>
  <c r="T277" i="5"/>
  <c r="N278" i="5"/>
  <c r="P345" i="5"/>
  <c r="R345" i="5"/>
  <c r="O278" i="5"/>
  <c r="M278" i="5"/>
  <c r="T278" i="5"/>
  <c r="R280" i="5"/>
  <c r="P280" i="5"/>
  <c r="T317" i="5"/>
  <c r="P361" i="5"/>
  <c r="R361" i="5"/>
  <c r="T364" i="5"/>
  <c r="F364" i="5"/>
  <c r="O364" i="5"/>
  <c r="M364" i="5"/>
  <c r="T74" i="5"/>
  <c r="T87" i="5"/>
  <c r="F87" i="5"/>
  <c r="Q97" i="5"/>
  <c r="T102" i="5"/>
  <c r="F102" i="5"/>
  <c r="O102" i="5"/>
  <c r="T123" i="5"/>
  <c r="T130" i="5"/>
  <c r="F130" i="5"/>
  <c r="O130" i="5"/>
  <c r="T143" i="5"/>
  <c r="F143" i="5"/>
  <c r="T154" i="5"/>
  <c r="F154" i="5"/>
  <c r="O154" i="5"/>
  <c r="T156" i="5"/>
  <c r="S193" i="5"/>
  <c r="T198" i="5"/>
  <c r="F198" i="5"/>
  <c r="M198" i="5"/>
  <c r="Q198" i="5"/>
  <c r="O198" i="5"/>
  <c r="T205" i="5"/>
  <c r="M212" i="5"/>
  <c r="O212" i="5"/>
  <c r="O219" i="5"/>
  <c r="T219" i="5"/>
  <c r="Q219" i="5"/>
  <c r="N219" i="5"/>
  <c r="M219" i="5"/>
  <c r="R259" i="5"/>
  <c r="D269" i="5"/>
  <c r="N269" i="5" s="1"/>
  <c r="C269" i="5"/>
  <c r="T282" i="5"/>
  <c r="F282" i="5"/>
  <c r="M282" i="5"/>
  <c r="O282" i="5"/>
  <c r="O336" i="5"/>
  <c r="M336" i="5"/>
  <c r="T336" i="5"/>
  <c r="Q336" i="5"/>
  <c r="F336" i="5"/>
  <c r="F84" i="5"/>
  <c r="Q160" i="5"/>
  <c r="N165" i="5"/>
  <c r="S167" i="5"/>
  <c r="Q179" i="5"/>
  <c r="C193" i="5"/>
  <c r="F197" i="5"/>
  <c r="T197" i="5"/>
  <c r="O197" i="5"/>
  <c r="M197" i="5"/>
  <c r="O211" i="5"/>
  <c r="T211" i="5"/>
  <c r="M211" i="5"/>
  <c r="F212" i="5"/>
  <c r="F219" i="5"/>
  <c r="M223" i="5"/>
  <c r="T223" i="5"/>
  <c r="F223" i="5"/>
  <c r="O223" i="5"/>
  <c r="N248" i="5"/>
  <c r="C259" i="5"/>
  <c r="T329" i="5"/>
  <c r="F329" i="5"/>
  <c r="O329" i="5"/>
  <c r="N329" i="5"/>
  <c r="M329" i="5"/>
  <c r="T95" i="5"/>
  <c r="T103" i="5"/>
  <c r="D124" i="5"/>
  <c r="N124" i="5" s="1"/>
  <c r="T131" i="5"/>
  <c r="T165" i="5"/>
  <c r="F165" i="5"/>
  <c r="M165" i="5"/>
  <c r="O166" i="5"/>
  <c r="M166" i="5"/>
  <c r="Q173" i="5"/>
  <c r="N218" i="5"/>
  <c r="T240" i="5"/>
  <c r="F240" i="5"/>
  <c r="M240" i="5"/>
  <c r="Q248" i="5"/>
  <c r="O248" i="5"/>
  <c r="T248" i="5"/>
  <c r="M248" i="5"/>
  <c r="M258" i="5"/>
  <c r="T258" i="5"/>
  <c r="O258" i="5"/>
  <c r="N259" i="5"/>
  <c r="R288" i="5"/>
  <c r="P288" i="5"/>
  <c r="S310" i="5"/>
  <c r="C310" i="5"/>
  <c r="T310" i="5"/>
  <c r="D310" i="5"/>
  <c r="N310" i="5" s="1"/>
  <c r="C316" i="5"/>
  <c r="S316" i="5"/>
  <c r="D316" i="5"/>
  <c r="N316" i="5" s="1"/>
  <c r="F164" i="5"/>
  <c r="Q164" i="5"/>
  <c r="O164" i="5"/>
  <c r="Q171" i="5"/>
  <c r="S195" i="5"/>
  <c r="T195" i="5"/>
  <c r="D195" i="5"/>
  <c r="N195" i="5" s="1"/>
  <c r="C195" i="5"/>
  <c r="T218" i="5"/>
  <c r="F218" i="5"/>
  <c r="O218" i="5"/>
  <c r="M218" i="5"/>
  <c r="N222" i="5"/>
  <c r="P228" i="5"/>
  <c r="D237" i="5"/>
  <c r="N237" i="5" s="1"/>
  <c r="C237" i="5"/>
  <c r="Q254" i="5"/>
  <c r="M259" i="5"/>
  <c r="P259" i="5" s="1"/>
  <c r="T259" i="5"/>
  <c r="F259" i="5"/>
  <c r="O259" i="5"/>
  <c r="R275" i="5"/>
  <c r="O316" i="5"/>
  <c r="F316" i="5"/>
  <c r="M316" i="5"/>
  <c r="T316" i="5"/>
  <c r="S320" i="5"/>
  <c r="T320" i="5"/>
  <c r="D320" i="5"/>
  <c r="N320" i="5" s="1"/>
  <c r="Q320" i="5"/>
  <c r="C320" i="5"/>
  <c r="O203" i="5"/>
  <c r="M209" i="5"/>
  <c r="M213" i="5"/>
  <c r="P213" i="5" s="1"/>
  <c r="F213" i="5"/>
  <c r="M216" i="5"/>
  <c r="T221" i="5"/>
  <c r="F221" i="5"/>
  <c r="S224" i="5"/>
  <c r="D224" i="5"/>
  <c r="N224" i="5" s="1"/>
  <c r="C224" i="5"/>
  <c r="S225" i="5"/>
  <c r="D225" i="5"/>
  <c r="N225" i="5" s="1"/>
  <c r="Q225" i="5"/>
  <c r="R235" i="5" s="1"/>
  <c r="O230" i="5"/>
  <c r="M233" i="5"/>
  <c r="S238" i="5"/>
  <c r="D238" i="5"/>
  <c r="N238" i="5" s="1"/>
  <c r="P238" i="5" s="1"/>
  <c r="S240" i="5"/>
  <c r="D240" i="5"/>
  <c r="N240" i="5" s="1"/>
  <c r="C240" i="5"/>
  <c r="T293" i="5"/>
  <c r="F293" i="5"/>
  <c r="O293" i="5"/>
  <c r="N293" i="5"/>
  <c r="M293" i="5"/>
  <c r="N336" i="5"/>
  <c r="N364" i="5"/>
  <c r="T153" i="5"/>
  <c r="Q155" i="5"/>
  <c r="R162" i="5" s="1"/>
  <c r="T167" i="5"/>
  <c r="D175" i="5"/>
  <c r="N175" i="5" s="1"/>
  <c r="P175" i="5" s="1"/>
  <c r="M191" i="5"/>
  <c r="O209" i="5"/>
  <c r="O225" i="5"/>
  <c r="M225" i="5"/>
  <c r="T226" i="5"/>
  <c r="S229" i="5"/>
  <c r="S232" i="5"/>
  <c r="Q234" i="5"/>
  <c r="O237" i="5"/>
  <c r="M237" i="5"/>
  <c r="M239" i="5"/>
  <c r="P239" i="5" s="1"/>
  <c r="F239" i="5"/>
  <c r="T239" i="5"/>
  <c r="Q264" i="5"/>
  <c r="R266" i="5"/>
  <c r="O269" i="5"/>
  <c r="M269" i="5"/>
  <c r="S271" i="5"/>
  <c r="D271" i="5"/>
  <c r="N271" i="5" s="1"/>
  <c r="P271" i="5" s="1"/>
  <c r="C271" i="5"/>
  <c r="Q274" i="5"/>
  <c r="N307" i="5"/>
  <c r="Q315" i="5"/>
  <c r="T358" i="5"/>
  <c r="F358" i="5"/>
  <c r="O358" i="5"/>
  <c r="M358" i="5"/>
  <c r="C383" i="5"/>
  <c r="S383" i="5"/>
  <c r="O144" i="5"/>
  <c r="F153" i="5"/>
  <c r="C157" i="5"/>
  <c r="C160" i="5"/>
  <c r="S160" i="5"/>
  <c r="T175" i="5"/>
  <c r="O176" i="5"/>
  <c r="M181" i="5"/>
  <c r="P181" i="5" s="1"/>
  <c r="C202" i="5"/>
  <c r="S202" i="5"/>
  <c r="D202" i="5"/>
  <c r="N202" i="5" s="1"/>
  <c r="Q209" i="5"/>
  <c r="F225" i="5"/>
  <c r="D229" i="5"/>
  <c r="N229" i="5" s="1"/>
  <c r="T233" i="5"/>
  <c r="F237" i="5"/>
  <c r="O253" i="5"/>
  <c r="Q260" i="5"/>
  <c r="F269" i="5"/>
  <c r="Q295" i="5"/>
  <c r="C307" i="5"/>
  <c r="D383" i="5"/>
  <c r="N383" i="5" s="1"/>
  <c r="T179" i="5"/>
  <c r="F179" i="5"/>
  <c r="Q182" i="5"/>
  <c r="O186" i="5"/>
  <c r="O192" i="5"/>
  <c r="N203" i="5"/>
  <c r="P203" i="5" s="1"/>
  <c r="Q212" i="5"/>
  <c r="S216" i="5"/>
  <c r="O229" i="5"/>
  <c r="M229" i="5"/>
  <c r="S231" i="5"/>
  <c r="Q231" i="5"/>
  <c r="C231" i="5"/>
  <c r="T272" i="5"/>
  <c r="R286" i="5"/>
  <c r="D306" i="5"/>
  <c r="N306" i="5" s="1"/>
  <c r="Q306" i="5"/>
  <c r="T307" i="5"/>
  <c r="F307" i="5"/>
  <c r="O307" i="5"/>
  <c r="M307" i="5"/>
  <c r="N315" i="5"/>
  <c r="F377" i="5"/>
  <c r="T377" i="5"/>
  <c r="O377" i="5"/>
  <c r="M377" i="5"/>
  <c r="Q196" i="5"/>
  <c r="T203" i="5"/>
  <c r="S235" i="5"/>
  <c r="D235" i="5"/>
  <c r="N235" i="5" s="1"/>
  <c r="C235" i="5"/>
  <c r="Q241" i="5"/>
  <c r="Q246" i="5"/>
  <c r="D274" i="5"/>
  <c r="N274" i="5" s="1"/>
  <c r="C274" i="5"/>
  <c r="C288" i="5"/>
  <c r="T288" i="5"/>
  <c r="D288" i="5"/>
  <c r="N288" i="5" s="1"/>
  <c r="T315" i="5"/>
  <c r="F315" i="5"/>
  <c r="O315" i="5"/>
  <c r="M315" i="5"/>
  <c r="T327" i="5"/>
  <c r="T340" i="5"/>
  <c r="C196" i="5"/>
  <c r="O208" i="5"/>
  <c r="F208" i="5"/>
  <c r="M208" i="5"/>
  <c r="P208" i="5" s="1"/>
  <c r="T209" i="5"/>
  <c r="S217" i="5"/>
  <c r="M230" i="5"/>
  <c r="F230" i="5"/>
  <c r="T231" i="5"/>
  <c r="T235" i="5"/>
  <c r="O236" i="5"/>
  <c r="F236" i="5"/>
  <c r="T236" i="5"/>
  <c r="M236" i="5"/>
  <c r="T267" i="5"/>
  <c r="D267" i="5"/>
  <c r="N267" i="5" s="1"/>
  <c r="S267" i="5"/>
  <c r="C267" i="5"/>
  <c r="Q267" i="5"/>
  <c r="T268" i="5"/>
  <c r="F268" i="5"/>
  <c r="O268" i="5"/>
  <c r="M268" i="5"/>
  <c r="T274" i="5"/>
  <c r="F274" i="5"/>
  <c r="M274" i="5"/>
  <c r="R300" i="5"/>
  <c r="P300" i="5"/>
  <c r="O306" i="5"/>
  <c r="M306" i="5"/>
  <c r="Q314" i="5"/>
  <c r="R368" i="5"/>
  <c r="T373" i="5"/>
  <c r="F373" i="5"/>
  <c r="O373" i="5"/>
  <c r="M373" i="5"/>
  <c r="Q373" i="5"/>
  <c r="T144" i="5"/>
  <c r="Q189" i="5"/>
  <c r="D196" i="5"/>
  <c r="N196" i="5" s="1"/>
  <c r="T196" i="5"/>
  <c r="S210" i="5"/>
  <c r="D210" i="5"/>
  <c r="N210" i="5" s="1"/>
  <c r="Q210" i="5"/>
  <c r="F216" i="5"/>
  <c r="C217" i="5"/>
  <c r="M221" i="5"/>
  <c r="P221" i="5" s="1"/>
  <c r="Q224" i="5"/>
  <c r="R232" i="5" s="1"/>
  <c r="P232" i="5" s="1"/>
  <c r="F233" i="5"/>
  <c r="M234" i="5"/>
  <c r="T234" i="5"/>
  <c r="F234" i="5"/>
  <c r="Q242" i="5"/>
  <c r="D255" i="5"/>
  <c r="N255" i="5" s="1"/>
  <c r="C255" i="5"/>
  <c r="S265" i="5"/>
  <c r="O273" i="5"/>
  <c r="M273" i="5"/>
  <c r="S285" i="5"/>
  <c r="D285" i="5"/>
  <c r="N285" i="5" s="1"/>
  <c r="F306" i="5"/>
  <c r="F176" i="5"/>
  <c r="T186" i="5"/>
  <c r="P187" i="5"/>
  <c r="D192" i="5"/>
  <c r="N192" i="5" s="1"/>
  <c r="S192" i="5"/>
  <c r="Q194" i="5"/>
  <c r="Q214" i="5"/>
  <c r="T217" i="5"/>
  <c r="F217" i="5"/>
  <c r="O221" i="5"/>
  <c r="Q237" i="5"/>
  <c r="S242" i="5"/>
  <c r="S250" i="5"/>
  <c r="N253" i="5"/>
  <c r="D256" i="5"/>
  <c r="N256" i="5" s="1"/>
  <c r="P256" i="5" s="1"/>
  <c r="C265" i="5"/>
  <c r="F273" i="5"/>
  <c r="N284" i="5"/>
  <c r="C285" i="5"/>
  <c r="S286" i="5"/>
  <c r="D286" i="5"/>
  <c r="N286" i="5" s="1"/>
  <c r="C286" i="5"/>
  <c r="S296" i="5"/>
  <c r="C296" i="5"/>
  <c r="T296" i="5"/>
  <c r="M314" i="5"/>
  <c r="O314" i="5"/>
  <c r="T314" i="5"/>
  <c r="N330" i="5"/>
  <c r="T331" i="5"/>
  <c r="F331" i="5"/>
  <c r="M331" i="5"/>
  <c r="O331" i="5"/>
  <c r="S339" i="5"/>
  <c r="D339" i="5"/>
  <c r="N339" i="5" s="1"/>
  <c r="C339" i="5"/>
  <c r="P177" i="5"/>
  <c r="R177" i="5"/>
  <c r="T181" i="5"/>
  <c r="T192" i="5"/>
  <c r="N197" i="5"/>
  <c r="Q207" i="5"/>
  <c r="R221" i="5"/>
  <c r="N250" i="5"/>
  <c r="D251" i="5"/>
  <c r="N251" i="5" s="1"/>
  <c r="C251" i="5"/>
  <c r="N254" i="5"/>
  <c r="N264" i="5"/>
  <c r="T265" i="5"/>
  <c r="F265" i="5"/>
  <c r="M284" i="5"/>
  <c r="O284" i="5"/>
  <c r="T285" i="5"/>
  <c r="D298" i="5"/>
  <c r="N298" i="5" s="1"/>
  <c r="C298" i="5"/>
  <c r="S298" i="5"/>
  <c r="T305" i="5"/>
  <c r="O305" i="5"/>
  <c r="M305" i="5"/>
  <c r="S318" i="5"/>
  <c r="D318" i="5"/>
  <c r="N318" i="5" s="1"/>
  <c r="T318" i="5"/>
  <c r="O330" i="5"/>
  <c r="F330" i="5"/>
  <c r="T330" i="5"/>
  <c r="M330" i="5"/>
  <c r="R335" i="5"/>
  <c r="T339" i="5"/>
  <c r="O339" i="5"/>
  <c r="M339" i="5"/>
  <c r="P350" i="5"/>
  <c r="R350" i="5"/>
  <c r="O375" i="5"/>
  <c r="M375" i="5"/>
  <c r="T375" i="5"/>
  <c r="F375" i="5"/>
  <c r="T180" i="5"/>
  <c r="T193" i="5"/>
  <c r="F193" i="5"/>
  <c r="T200" i="5"/>
  <c r="Q202" i="5"/>
  <c r="S227" i="5"/>
  <c r="O228" i="5"/>
  <c r="T249" i="5"/>
  <c r="T270" i="5"/>
  <c r="O281" i="5"/>
  <c r="Q287" i="5"/>
  <c r="C287" i="5"/>
  <c r="T287" i="5"/>
  <c r="Q299" i="5"/>
  <c r="R307" i="5" s="1"/>
  <c r="M301" i="5"/>
  <c r="O308" i="5"/>
  <c r="M308" i="5"/>
  <c r="F308" i="5"/>
  <c r="N319" i="5"/>
  <c r="R321" i="5"/>
  <c r="P321" i="5"/>
  <c r="T323" i="5"/>
  <c r="P325" i="5"/>
  <c r="M327" i="5"/>
  <c r="P367" i="5"/>
  <c r="R367" i="5"/>
  <c r="M383" i="5"/>
  <c r="O383" i="5"/>
  <c r="F383" i="5"/>
  <c r="T383" i="5"/>
  <c r="M392" i="5"/>
  <c r="F392" i="5"/>
  <c r="T392" i="5"/>
  <c r="O392" i="5"/>
  <c r="T309" i="5"/>
  <c r="Q319" i="5"/>
  <c r="O319" i="5"/>
  <c r="S324" i="5"/>
  <c r="C324" i="5"/>
  <c r="R327" i="5"/>
  <c r="Q329" i="5"/>
  <c r="Q340" i="5"/>
  <c r="T352" i="5"/>
  <c r="S352" i="5"/>
  <c r="C352" i="5"/>
  <c r="D352" i="5"/>
  <c r="N352" i="5" s="1"/>
  <c r="D353" i="5"/>
  <c r="N353" i="5" s="1"/>
  <c r="C353" i="5"/>
  <c r="S382" i="5"/>
  <c r="C382" i="5"/>
  <c r="T382" i="5"/>
  <c r="D382" i="5"/>
  <c r="N382" i="5" s="1"/>
  <c r="N247" i="5"/>
  <c r="T256" i="5"/>
  <c r="Q263" i="5"/>
  <c r="Q283" i="5"/>
  <c r="Q291" i="5"/>
  <c r="N299" i="5"/>
  <c r="T299" i="5"/>
  <c r="T302" i="5"/>
  <c r="C311" i="5"/>
  <c r="S311" i="5"/>
  <c r="F319" i="5"/>
  <c r="D324" i="5"/>
  <c r="N324" i="5" s="1"/>
  <c r="T324" i="5"/>
  <c r="D363" i="5"/>
  <c r="N363" i="5" s="1"/>
  <c r="C363" i="5"/>
  <c r="S363" i="5"/>
  <c r="T369" i="5"/>
  <c r="R379" i="5"/>
  <c r="P379" i="5"/>
  <c r="T194" i="5"/>
  <c r="T207" i="5"/>
  <c r="F207" i="5"/>
  <c r="T214" i="5"/>
  <c r="Q216" i="5"/>
  <c r="F231" i="5"/>
  <c r="T241" i="5"/>
  <c r="F245" i="5"/>
  <c r="F256" i="5"/>
  <c r="T260" i="5"/>
  <c r="F260" i="5"/>
  <c r="O275" i="5"/>
  <c r="M275" i="5"/>
  <c r="P275" i="5" s="1"/>
  <c r="F286" i="5"/>
  <c r="F287" i="5"/>
  <c r="S289" i="5"/>
  <c r="C289" i="5"/>
  <c r="S290" i="5"/>
  <c r="D290" i="5"/>
  <c r="N290" i="5" s="1"/>
  <c r="P290" i="5" s="1"/>
  <c r="T290" i="5"/>
  <c r="T297" i="5"/>
  <c r="R303" i="5"/>
  <c r="T311" i="5"/>
  <c r="Q316" i="5"/>
  <c r="F323" i="5"/>
  <c r="Q362" i="5"/>
  <c r="C362" i="5"/>
  <c r="S362" i="5"/>
  <c r="Q305" i="5"/>
  <c r="Q317" i="5"/>
  <c r="T321" i="5"/>
  <c r="F321" i="5"/>
  <c r="Q328" i="5"/>
  <c r="T360" i="5"/>
  <c r="S360" i="5"/>
  <c r="D360" i="5"/>
  <c r="N360" i="5" s="1"/>
  <c r="C360" i="5"/>
  <c r="R376" i="5"/>
  <c r="T228" i="5"/>
  <c r="Q230" i="5"/>
  <c r="N236" i="5"/>
  <c r="Q249" i="5"/>
  <c r="R252" i="5"/>
  <c r="P252" i="5"/>
  <c r="P253" i="5"/>
  <c r="O261" i="5"/>
  <c r="M261" i="5"/>
  <c r="P261" i="5" s="1"/>
  <c r="N281" i="5"/>
  <c r="T281" i="5"/>
  <c r="P282" i="5"/>
  <c r="T289" i="5"/>
  <c r="D302" i="5"/>
  <c r="N302" i="5" s="1"/>
  <c r="T303" i="5"/>
  <c r="C312" i="5"/>
  <c r="Q312" i="5"/>
  <c r="C328" i="5"/>
  <c r="D349" i="5"/>
  <c r="N349" i="5" s="1"/>
  <c r="S349" i="5"/>
  <c r="Q355" i="5"/>
  <c r="Q383" i="5"/>
  <c r="R389" i="5" s="1"/>
  <c r="T246" i="5"/>
  <c r="F246" i="5"/>
  <c r="Q255" i="5"/>
  <c r="S301" i="5"/>
  <c r="D301" i="5"/>
  <c r="N301" i="5" s="1"/>
  <c r="C301" i="5"/>
  <c r="S304" i="5"/>
  <c r="T304" i="5"/>
  <c r="Q309" i="5"/>
  <c r="D312" i="5"/>
  <c r="N312" i="5" s="1"/>
  <c r="R313" i="5"/>
  <c r="P313" i="5"/>
  <c r="T326" i="5"/>
  <c r="O327" i="5"/>
  <c r="N327" i="5"/>
  <c r="D328" i="5"/>
  <c r="N328" i="5" s="1"/>
  <c r="R339" i="5"/>
  <c r="P339" i="5"/>
  <c r="D344" i="5"/>
  <c r="N344" i="5" s="1"/>
  <c r="C344" i="5"/>
  <c r="T344" i="5"/>
  <c r="P357" i="5"/>
  <c r="R357" i="5"/>
  <c r="S366" i="5"/>
  <c r="C366" i="5"/>
  <c r="Q366" i="5"/>
  <c r="T366" i="5"/>
  <c r="P389" i="5"/>
  <c r="T232" i="5"/>
  <c r="F232" i="5"/>
  <c r="T242" i="5"/>
  <c r="S277" i="5"/>
  <c r="C277" i="5"/>
  <c r="F281" i="5"/>
  <c r="C282" i="5"/>
  <c r="C292" i="5"/>
  <c r="Q292" i="5"/>
  <c r="R293" i="5"/>
  <c r="P293" i="5"/>
  <c r="T301" i="5"/>
  <c r="F301" i="5"/>
  <c r="F303" i="5"/>
  <c r="C304" i="5"/>
  <c r="Q304" i="5"/>
  <c r="T312" i="5"/>
  <c r="F327" i="5"/>
  <c r="N337" i="5"/>
  <c r="S338" i="5"/>
  <c r="C338" i="5"/>
  <c r="T338" i="5"/>
  <c r="M345" i="5"/>
  <c r="T345" i="5"/>
  <c r="F345" i="5"/>
  <c r="T347" i="5"/>
  <c r="F347" i="5"/>
  <c r="O347" i="5"/>
  <c r="M347" i="5"/>
  <c r="T349" i="5"/>
  <c r="F349" i="5"/>
  <c r="O349" i="5"/>
  <c r="M349" i="5"/>
  <c r="D366" i="5"/>
  <c r="N366" i="5" s="1"/>
  <c r="D393" i="5"/>
  <c r="N393" i="5" s="1"/>
  <c r="C393" i="5"/>
  <c r="S393" i="5"/>
  <c r="Q393" i="5"/>
  <c r="O247" i="5"/>
  <c r="M247" i="5"/>
  <c r="N258" i="5"/>
  <c r="D282" i="5"/>
  <c r="N282" i="5" s="1"/>
  <c r="D292" i="5"/>
  <c r="N292" i="5" s="1"/>
  <c r="D304" i="5"/>
  <c r="N304" i="5" s="1"/>
  <c r="S314" i="5"/>
  <c r="D314" i="5"/>
  <c r="N314" i="5" s="1"/>
  <c r="Q323" i="5"/>
  <c r="C340" i="5"/>
  <c r="S340" i="5"/>
  <c r="D340" i="5"/>
  <c r="N340" i="5" s="1"/>
  <c r="Q341" i="5"/>
  <c r="O341" i="5"/>
  <c r="D358" i="5"/>
  <c r="N358" i="5" s="1"/>
  <c r="C358" i="5"/>
  <c r="O359" i="5"/>
  <c r="M359" i="5"/>
  <c r="P359" i="5" s="1"/>
  <c r="T359" i="5"/>
  <c r="F359" i="5"/>
  <c r="R371" i="5"/>
  <c r="P371" i="5"/>
  <c r="S373" i="5"/>
  <c r="D373" i="5"/>
  <c r="N373" i="5" s="1"/>
  <c r="C373" i="5"/>
  <c r="T384" i="5"/>
  <c r="S384" i="5"/>
  <c r="D384" i="5"/>
  <c r="N384" i="5" s="1"/>
  <c r="C384" i="5"/>
  <c r="P351" i="5"/>
  <c r="R351" i="5"/>
  <c r="Q358" i="5"/>
  <c r="Q370" i="5"/>
  <c r="C370" i="5"/>
  <c r="S370" i="5"/>
  <c r="Q375" i="5"/>
  <c r="Q377" i="5"/>
  <c r="R381" i="5" s="1"/>
  <c r="T300" i="5"/>
  <c r="M302" i="5"/>
  <c r="M326" i="5"/>
  <c r="T328" i="5"/>
  <c r="T354" i="5"/>
  <c r="T367" i="5"/>
  <c r="F367" i="5"/>
  <c r="Q378" i="5"/>
  <c r="C378" i="5"/>
  <c r="S378" i="5"/>
  <c r="T378" i="5"/>
  <c r="T380" i="5"/>
  <c r="D380" i="5"/>
  <c r="N380" i="5" s="1"/>
  <c r="S380" i="5"/>
  <c r="C380" i="5"/>
  <c r="T397" i="5"/>
  <c r="F397" i="5"/>
  <c r="O397" i="5"/>
  <c r="M397" i="5"/>
  <c r="T381" i="5"/>
  <c r="D252" i="5"/>
  <c r="N252" i="5" s="1"/>
  <c r="D266" i="5"/>
  <c r="N266" i="5" s="1"/>
  <c r="D280" i="5"/>
  <c r="N280" i="5" s="1"/>
  <c r="S293" i="5"/>
  <c r="D297" i="5"/>
  <c r="N297" i="5" s="1"/>
  <c r="S321" i="5"/>
  <c r="T325" i="5"/>
  <c r="O326" i="5"/>
  <c r="T343" i="5"/>
  <c r="F343" i="5"/>
  <c r="O354" i="5"/>
  <c r="M354" i="5"/>
  <c r="R363" i="5"/>
  <c r="C379" i="5"/>
  <c r="F235" i="5"/>
  <c r="F249" i="5"/>
  <c r="F263" i="5"/>
  <c r="F277" i="5"/>
  <c r="F289" i="5"/>
  <c r="C293" i="5"/>
  <c r="N305" i="5"/>
  <c r="F309" i="5"/>
  <c r="F317" i="5"/>
  <c r="C321" i="5"/>
  <c r="C334" i="5"/>
  <c r="Q334" i="5"/>
  <c r="O340" i="5"/>
  <c r="F344" i="5"/>
  <c r="C346" i="5"/>
  <c r="Q346" i="5"/>
  <c r="T353" i="5"/>
  <c r="F353" i="5"/>
  <c r="O353" i="5"/>
  <c r="F354" i="5"/>
  <c r="S356" i="5"/>
  <c r="Q356" i="5"/>
  <c r="C356" i="5"/>
  <c r="D375" i="5"/>
  <c r="N375" i="5" s="1"/>
  <c r="S388" i="5"/>
  <c r="Q384" i="5"/>
  <c r="P398" i="5"/>
  <c r="O294" i="5"/>
  <c r="M294" i="5"/>
  <c r="O322" i="5"/>
  <c r="M322" i="5"/>
  <c r="P322" i="5" s="1"/>
  <c r="Q331" i="5"/>
  <c r="N335" i="5"/>
  <c r="P335" i="5" s="1"/>
  <c r="T357" i="5"/>
  <c r="F357" i="5"/>
  <c r="C374" i="5"/>
  <c r="D374" i="5"/>
  <c r="N374" i="5" s="1"/>
  <c r="P381" i="5"/>
  <c r="S387" i="5"/>
  <c r="C387" i="5"/>
  <c r="T389" i="5"/>
  <c r="F322" i="5"/>
  <c r="F326" i="5"/>
  <c r="C335" i="5"/>
  <c r="C336" i="5"/>
  <c r="T361" i="5"/>
  <c r="M367" i="5"/>
  <c r="O374" i="5"/>
  <c r="T374" i="5"/>
  <c r="M374" i="5"/>
  <c r="F374" i="5"/>
  <c r="D387" i="5"/>
  <c r="N387" i="5" s="1"/>
  <c r="B5" i="7"/>
  <c r="T335" i="5"/>
  <c r="F335" i="5"/>
  <c r="Q344" i="5"/>
  <c r="N347" i="5"/>
  <c r="Q354" i="5"/>
  <c r="Q365" i="5"/>
  <c r="T387" i="5"/>
  <c r="F387" i="5"/>
  <c r="O387" i="5"/>
  <c r="M387" i="5"/>
  <c r="N392" i="5"/>
  <c r="Q396" i="5"/>
  <c r="O363" i="5"/>
  <c r="O366" i="5"/>
  <c r="M366" i="5"/>
  <c r="Q392" i="5"/>
  <c r="C392" i="5"/>
  <c r="S392" i="5"/>
  <c r="Q397" i="5"/>
  <c r="T388" i="5"/>
  <c r="T394" i="5"/>
  <c r="M350" i="5"/>
  <c r="T363" i="5"/>
  <c r="M369" i="5"/>
  <c r="Q372" i="5"/>
  <c r="T379" i="5"/>
  <c r="F379" i="5"/>
  <c r="M385" i="5"/>
  <c r="F388" i="5"/>
  <c r="T393" i="5"/>
  <c r="F393" i="5"/>
  <c r="C394" i="5"/>
  <c r="S368" i="5"/>
  <c r="C368" i="5"/>
  <c r="Q374" i="5"/>
  <c r="Q382" i="5"/>
  <c r="O394" i="5"/>
  <c r="M394" i="5"/>
  <c r="C364" i="5"/>
  <c r="Q364" i="5"/>
  <c r="D368" i="5"/>
  <c r="N368" i="5" s="1"/>
  <c r="P368" i="5" s="1"/>
  <c r="T368" i="5"/>
  <c r="D372" i="5"/>
  <c r="N372" i="5" s="1"/>
  <c r="D376" i="5"/>
  <c r="N376" i="5" s="1"/>
  <c r="P376" i="5" s="1"/>
  <c r="O380" i="5"/>
  <c r="M380" i="5"/>
  <c r="F394" i="5"/>
  <c r="T395" i="5"/>
  <c r="T372" i="5"/>
  <c r="S396" i="5"/>
  <c r="C396" i="5"/>
  <c r="F361" i="5"/>
  <c r="S365" i="5"/>
  <c r="N377" i="5"/>
  <c r="F381" i="5"/>
  <c r="Q386" i="5"/>
  <c r="T390" i="5"/>
  <c r="D397" i="5"/>
  <c r="N397" i="5" s="1"/>
  <c r="C398" i="5"/>
  <c r="T365" i="5"/>
  <c r="F365" i="5"/>
  <c r="T398" i="5"/>
  <c r="F398" i="5"/>
  <c r="O398" i="5"/>
  <c r="B4" i="7"/>
  <c r="P72" i="5" l="1"/>
  <c r="P349" i="5"/>
  <c r="R151" i="5"/>
  <c r="R369" i="5"/>
  <c r="P143" i="5"/>
  <c r="P33" i="5"/>
  <c r="P135" i="5"/>
  <c r="R135" i="5"/>
  <c r="P395" i="5"/>
  <c r="P54" i="5"/>
  <c r="P191" i="5"/>
  <c r="P55" i="5"/>
  <c r="P59" i="5"/>
  <c r="P102" i="5"/>
  <c r="R154" i="5"/>
  <c r="R398" i="5"/>
  <c r="R53" i="5"/>
  <c r="P233" i="5"/>
  <c r="R170" i="5"/>
  <c r="R193" i="5"/>
  <c r="P93" i="5"/>
  <c r="P289" i="5"/>
  <c r="R153" i="5"/>
  <c r="R257" i="5"/>
  <c r="P318" i="5"/>
  <c r="P53" i="5"/>
  <c r="E17" i="4"/>
  <c r="P113" i="5"/>
  <c r="P127" i="5"/>
  <c r="P100" i="5"/>
  <c r="P244" i="5"/>
  <c r="R394" i="5"/>
  <c r="P13" i="5"/>
  <c r="P236" i="5"/>
  <c r="P235" i="5"/>
  <c r="F14" i="3"/>
  <c r="P266" i="5"/>
  <c r="P394" i="5"/>
  <c r="P195" i="5"/>
  <c r="P148" i="5"/>
  <c r="P51" i="5"/>
  <c r="P297" i="5"/>
  <c r="N20" i="3"/>
  <c r="P270" i="5"/>
  <c r="P21" i="5"/>
  <c r="R27" i="5"/>
  <c r="P27" i="5" s="1"/>
  <c r="P268" i="5"/>
  <c r="D23" i="3"/>
  <c r="R185" i="5"/>
  <c r="P134" i="5"/>
  <c r="P65" i="5"/>
  <c r="R113" i="5"/>
  <c r="C8" i="4"/>
  <c r="P265" i="5"/>
  <c r="E8" i="3"/>
  <c r="R227" i="5"/>
  <c r="N22" i="3"/>
  <c r="N8" i="3"/>
  <c r="P188" i="5"/>
  <c r="N7" i="3"/>
  <c r="P385" i="5"/>
  <c r="R390" i="5"/>
  <c r="P302" i="5"/>
  <c r="P190" i="5"/>
  <c r="P172" i="5"/>
  <c r="R13" i="5"/>
  <c r="P251" i="5"/>
  <c r="P307" i="5"/>
  <c r="P218" i="5"/>
  <c r="N10" i="3"/>
  <c r="D13" i="4"/>
  <c r="C11" i="4"/>
  <c r="P327" i="5"/>
  <c r="R297" i="5"/>
  <c r="P240" i="5"/>
  <c r="P80" i="5"/>
  <c r="E16" i="4"/>
  <c r="E23" i="3"/>
  <c r="E19" i="3"/>
  <c r="P301" i="5"/>
  <c r="K11" i="3" s="1"/>
  <c r="M11" i="3" s="1"/>
  <c r="B7" i="7"/>
  <c r="L387" i="2"/>
  <c r="D387" i="2" s="1"/>
  <c r="P5" i="5"/>
  <c r="P174" i="5"/>
  <c r="D11" i="3"/>
  <c r="P324" i="5"/>
  <c r="P104" i="5"/>
  <c r="P286" i="5"/>
  <c r="P222" i="5"/>
  <c r="P128" i="5"/>
  <c r="R241" i="5"/>
  <c r="P241" i="5"/>
  <c r="L505" i="2"/>
  <c r="P392" i="5"/>
  <c r="R392" i="5"/>
  <c r="R287" i="5"/>
  <c r="P287" i="5"/>
  <c r="R214" i="5"/>
  <c r="P214" i="5"/>
  <c r="R210" i="5"/>
  <c r="P210" i="5"/>
  <c r="P314" i="5"/>
  <c r="R314" i="5"/>
  <c r="R260" i="5"/>
  <c r="P260" i="5"/>
  <c r="R171" i="5"/>
  <c r="P171" i="5"/>
  <c r="P219" i="5"/>
  <c r="R219" i="5"/>
  <c r="P158" i="5"/>
  <c r="R158" i="5"/>
  <c r="R138" i="5"/>
  <c r="P138" i="5"/>
  <c r="P28" i="5"/>
  <c r="R28" i="5"/>
  <c r="F11" i="4"/>
  <c r="G11" i="4" s="1"/>
  <c r="L223" i="2"/>
  <c r="L466" i="2"/>
  <c r="L413" i="2"/>
  <c r="L352" i="2"/>
  <c r="L492" i="2"/>
  <c r="L218" i="2"/>
  <c r="L316" i="2"/>
  <c r="D21" i="3"/>
  <c r="L443" i="2"/>
  <c r="N12" i="3"/>
  <c r="L382" i="2"/>
  <c r="D22" i="3"/>
  <c r="N23" i="3"/>
  <c r="L249" i="2"/>
  <c r="R103" i="5"/>
  <c r="P103" i="5"/>
  <c r="R205" i="5"/>
  <c r="P205" i="5" s="1"/>
  <c r="L502" i="2"/>
  <c r="P386" i="5"/>
  <c r="R386" i="5"/>
  <c r="R304" i="5"/>
  <c r="P304" i="5"/>
  <c r="R255" i="5"/>
  <c r="P255" i="5"/>
  <c r="R194" i="5"/>
  <c r="P194" i="5" s="1"/>
  <c r="R204" i="5"/>
  <c r="P204" i="5"/>
  <c r="P120" i="5"/>
  <c r="R120" i="5"/>
  <c r="E12" i="3"/>
  <c r="R101" i="5"/>
  <c r="P101" i="5"/>
  <c r="R73" i="5"/>
  <c r="P73" i="5"/>
  <c r="F13" i="4"/>
  <c r="G13" i="4" s="1"/>
  <c r="R129" i="5"/>
  <c r="P129" i="5"/>
  <c r="E14" i="4"/>
  <c r="F15" i="4"/>
  <c r="G15" i="4" s="1"/>
  <c r="L469" i="2"/>
  <c r="D8" i="3"/>
  <c r="L412" i="2"/>
  <c r="L225" i="2"/>
  <c r="L323" i="2"/>
  <c r="L500" i="2"/>
  <c r="L462" i="2"/>
  <c r="L416" i="2"/>
  <c r="E21" i="3"/>
  <c r="L219" i="2"/>
  <c r="R246" i="5"/>
  <c r="P246" i="5"/>
  <c r="R74" i="5"/>
  <c r="P74" i="5"/>
  <c r="P18" i="5"/>
  <c r="R18" i="5"/>
  <c r="L232" i="2"/>
  <c r="R216" i="5"/>
  <c r="P216" i="5"/>
  <c r="L265" i="2"/>
  <c r="L246" i="2"/>
  <c r="L431" i="2"/>
  <c r="R393" i="5"/>
  <c r="P393" i="5"/>
  <c r="R242" i="5"/>
  <c r="P242" i="5"/>
  <c r="R189" i="5"/>
  <c r="P189" i="5"/>
  <c r="R306" i="5"/>
  <c r="P306" i="5"/>
  <c r="R179" i="5"/>
  <c r="P179" i="5" s="1"/>
  <c r="N18" i="3"/>
  <c r="D18" i="3"/>
  <c r="R195" i="5"/>
  <c r="P85" i="5"/>
  <c r="R85" i="5"/>
  <c r="R337" i="5"/>
  <c r="P337" i="5"/>
  <c r="P110" i="5"/>
  <c r="R110" i="5"/>
  <c r="R130" i="5"/>
  <c r="R115" i="5"/>
  <c r="P115" i="5"/>
  <c r="N17" i="3"/>
  <c r="R35" i="5"/>
  <c r="P35" i="5"/>
  <c r="P117" i="5"/>
  <c r="R117" i="5"/>
  <c r="P22" i="5"/>
  <c r="R22" i="5"/>
  <c r="F9" i="4"/>
  <c r="G9" i="4" s="1"/>
  <c r="P49" i="5"/>
  <c r="R49" i="5"/>
  <c r="L450" i="2"/>
  <c r="L280" i="2"/>
  <c r="L290" i="2"/>
  <c r="L253" i="2"/>
  <c r="L419" i="2"/>
  <c r="L465" i="2"/>
  <c r="L410" i="2"/>
  <c r="L486" i="2"/>
  <c r="C10" i="4"/>
  <c r="L245" i="2"/>
  <c r="L395" i="2"/>
  <c r="P319" i="5"/>
  <c r="R319" i="5"/>
  <c r="L255" i="2"/>
  <c r="N19" i="3"/>
  <c r="R355" i="5"/>
  <c r="P355" i="5"/>
  <c r="R341" i="5"/>
  <c r="P341" i="5"/>
  <c r="P366" i="5"/>
  <c r="R366" i="5"/>
  <c r="R202" i="5"/>
  <c r="P202" i="5"/>
  <c r="P209" i="5"/>
  <c r="R209" i="5"/>
  <c r="P264" i="5"/>
  <c r="R264" i="5"/>
  <c r="P96" i="5"/>
  <c r="R96" i="5"/>
  <c r="R17" i="5"/>
  <c r="P17" i="5"/>
  <c r="F8" i="4"/>
  <c r="G8" i="4" s="1"/>
  <c r="D10" i="4"/>
  <c r="C15" i="4"/>
  <c r="L423" i="2"/>
  <c r="L499" i="2"/>
  <c r="L326" i="2"/>
  <c r="L305" i="2"/>
  <c r="L473" i="2"/>
  <c r="L260" i="2"/>
  <c r="L438" i="2"/>
  <c r="L470" i="2"/>
  <c r="L444" i="2"/>
  <c r="L507" i="2"/>
  <c r="L236" i="2"/>
  <c r="P164" i="5"/>
  <c r="R164" i="5"/>
  <c r="L437" i="2"/>
  <c r="L250" i="2"/>
  <c r="L426" i="2"/>
  <c r="R328" i="5"/>
  <c r="P328" i="5"/>
  <c r="R126" i="5"/>
  <c r="P126" i="5"/>
  <c r="D9" i="3"/>
  <c r="E7" i="2"/>
  <c r="F7" i="2"/>
  <c r="A7" i="2"/>
  <c r="B7" i="2"/>
  <c r="L405" i="2"/>
  <c r="R373" i="5"/>
  <c r="P373" i="5"/>
  <c r="P182" i="5"/>
  <c r="R182" i="5"/>
  <c r="P223" i="5"/>
  <c r="P198" i="5"/>
  <c r="R198" i="5"/>
  <c r="P82" i="5"/>
  <c r="R82" i="5"/>
  <c r="R134" i="5"/>
  <c r="L495" i="2"/>
  <c r="L430" i="2"/>
  <c r="L320" i="2"/>
  <c r="L267" i="2"/>
  <c r="L460" i="2"/>
  <c r="L390" i="2"/>
  <c r="L334" i="2"/>
  <c r="L363" i="2"/>
  <c r="L475" i="2"/>
  <c r="L449" i="2"/>
  <c r="D9" i="4"/>
  <c r="L506" i="2"/>
  <c r="R396" i="5"/>
  <c r="P396" i="5"/>
  <c r="P178" i="5"/>
  <c r="R178" i="5"/>
  <c r="L365" i="2"/>
  <c r="R199" i="5"/>
  <c r="P199" i="5"/>
  <c r="C13" i="4"/>
  <c r="E13" i="4" s="1"/>
  <c r="L508" i="2"/>
  <c r="L375" i="2"/>
  <c r="N9" i="3"/>
  <c r="P382" i="5"/>
  <c r="R382" i="5"/>
  <c r="R331" i="5"/>
  <c r="P331" i="5"/>
  <c r="R375" i="5"/>
  <c r="P375" i="5"/>
  <c r="R292" i="5"/>
  <c r="P292" i="5"/>
  <c r="R249" i="5"/>
  <c r="P249" i="5"/>
  <c r="P305" i="5"/>
  <c r="R305" i="5"/>
  <c r="R155" i="5"/>
  <c r="P155" i="5"/>
  <c r="P248" i="5"/>
  <c r="K16" i="3" s="1"/>
  <c r="M16" i="3" s="1"/>
  <c r="R248" i="5"/>
  <c r="G16" i="3" s="1"/>
  <c r="E16" i="3"/>
  <c r="R160" i="5"/>
  <c r="P160" i="5"/>
  <c r="R332" i="5"/>
  <c r="R201" i="5"/>
  <c r="P201" i="5"/>
  <c r="R217" i="5"/>
  <c r="R215" i="5"/>
  <c r="P215" i="5"/>
  <c r="P111" i="5"/>
  <c r="R111" i="5"/>
  <c r="R79" i="5"/>
  <c r="P79" i="5"/>
  <c r="P145" i="5"/>
  <c r="R145" i="5"/>
  <c r="P29" i="5"/>
  <c r="R29" i="5"/>
  <c r="L476" i="2"/>
  <c r="L340" i="2"/>
  <c r="L324" i="2"/>
  <c r="L233" i="2"/>
  <c r="D17" i="3"/>
  <c r="L274" i="2"/>
  <c r="L463" i="2"/>
  <c r="L434" i="2"/>
  <c r="L339" i="2"/>
  <c r="L402" i="2"/>
  <c r="L480" i="2"/>
  <c r="L454" i="2"/>
  <c r="E7" i="3"/>
  <c r="L455" i="2"/>
  <c r="R66" i="5"/>
  <c r="P66" i="5"/>
  <c r="L330" i="2"/>
  <c r="L421" i="2"/>
  <c r="E20" i="3"/>
  <c r="R39" i="5"/>
  <c r="P39" i="5"/>
  <c r="P118" i="5"/>
  <c r="R118" i="5"/>
  <c r="P207" i="5"/>
  <c r="R207" i="5"/>
  <c r="R374" i="5"/>
  <c r="P374" i="5"/>
  <c r="R365" i="5"/>
  <c r="P365" i="5"/>
  <c r="R309" i="5"/>
  <c r="P309" i="5"/>
  <c r="R302" i="5"/>
  <c r="R196" i="5"/>
  <c r="P196" i="5"/>
  <c r="R250" i="5"/>
  <c r="P250" i="5"/>
  <c r="R159" i="5"/>
  <c r="P159" i="5"/>
  <c r="R251" i="5"/>
  <c r="R322" i="5"/>
  <c r="R81" i="5"/>
  <c r="P81" i="5"/>
  <c r="R50" i="5"/>
  <c r="P50" i="5" s="1"/>
  <c r="R48" i="5"/>
  <c r="P48" i="5"/>
  <c r="P14" i="5"/>
  <c r="R14" i="5"/>
  <c r="E7" i="4"/>
  <c r="D8" i="4"/>
  <c r="E12" i="4"/>
  <c r="R24" i="5"/>
  <c r="P24" i="5"/>
  <c r="L435" i="2"/>
  <c r="L379" i="2"/>
  <c r="L360" i="2"/>
  <c r="L272" i="2"/>
  <c r="L429" i="2"/>
  <c r="D20" i="3"/>
  <c r="L281" i="2"/>
  <c r="L482" i="2"/>
  <c r="L453" i="2"/>
  <c r="L380" i="2"/>
  <c r="L424" i="2"/>
  <c r="L459" i="2"/>
  <c r="E9" i="3"/>
  <c r="P342" i="5"/>
  <c r="R342" i="5"/>
  <c r="L457" i="2"/>
  <c r="L386" i="2"/>
  <c r="L491" i="2"/>
  <c r="L461" i="2"/>
  <c r="L483" i="2"/>
  <c r="L477" i="2"/>
  <c r="L358" i="2"/>
  <c r="L351" i="2"/>
  <c r="L344" i="2"/>
  <c r="L328" i="2"/>
  <c r="L254" i="2"/>
  <c r="L226" i="2"/>
  <c r="L471" i="2"/>
  <c r="L451" i="2"/>
  <c r="L397" i="2"/>
  <c r="L337" i="2"/>
  <c r="L317" i="2"/>
  <c r="L315" i="2"/>
  <c r="L313" i="2"/>
  <c r="L311" i="2"/>
  <c r="L303" i="2"/>
  <c r="L425" i="2"/>
  <c r="L389" i="2"/>
  <c r="L332" i="2"/>
  <c r="L488" i="2"/>
  <c r="L442" i="2"/>
  <c r="L446" i="2"/>
  <c r="L433" i="2"/>
  <c r="L404" i="2"/>
  <c r="L376" i="2"/>
  <c r="L348" i="2"/>
  <c r="L464" i="2"/>
  <c r="L441" i="2"/>
  <c r="L420" i="2"/>
  <c r="L428" i="2"/>
  <c r="L415" i="2"/>
  <c r="L388" i="2"/>
  <c r="L364" i="2"/>
  <c r="L357" i="2"/>
  <c r="L350" i="2"/>
  <c r="L432" i="2"/>
  <c r="L407" i="2"/>
  <c r="L403" i="2"/>
  <c r="L343" i="2"/>
  <c r="L310" i="2"/>
  <c r="L458" i="2"/>
  <c r="L391" i="2"/>
  <c r="L384" i="2"/>
  <c r="L381" i="2"/>
  <c r="L338" i="2"/>
  <c r="L327" i="2"/>
  <c r="L314" i="2"/>
  <c r="L312" i="2"/>
  <c r="L436" i="2"/>
  <c r="L378" i="2"/>
  <c r="L359" i="2"/>
  <c r="L354" i="2"/>
  <c r="L345" i="2"/>
  <c r="L329" i="2"/>
  <c r="L306" i="2"/>
  <c r="L304" i="2"/>
  <c r="L472" i="2"/>
  <c r="L342" i="2"/>
  <c r="L270" i="2"/>
  <c r="L496" i="2"/>
  <c r="L456" i="2"/>
  <c r="L452" i="2"/>
  <c r="L439" i="2"/>
  <c r="L417" i="2"/>
  <c r="L291" i="2"/>
  <c r="L282" i="2"/>
  <c r="L251" i="2"/>
  <c r="L238" i="2"/>
  <c r="L231" i="2"/>
  <c r="L216" i="2"/>
  <c r="L361" i="2"/>
  <c r="L355" i="2"/>
  <c r="L298" i="2"/>
  <c r="L277" i="2"/>
  <c r="L262" i="2"/>
  <c r="L247" i="2"/>
  <c r="L205" i="2"/>
  <c r="L178" i="2"/>
  <c r="L385" i="2"/>
  <c r="L300" i="2"/>
  <c r="L293" i="2"/>
  <c r="L284" i="2"/>
  <c r="L279" i="2"/>
  <c r="L266" i="2"/>
  <c r="L394" i="2"/>
  <c r="L318" i="2"/>
  <c r="L308" i="2"/>
  <c r="L217" i="2"/>
  <c r="L206" i="2"/>
  <c r="L366" i="2"/>
  <c r="L353" i="2"/>
  <c r="L347" i="2"/>
  <c r="L333" i="2"/>
  <c r="L321" i="2"/>
  <c r="L241" i="2"/>
  <c r="L191" i="2"/>
  <c r="L173" i="2"/>
  <c r="L392" i="2"/>
  <c r="L374" i="2"/>
  <c r="L325" i="2"/>
  <c r="L224" i="2"/>
  <c r="L214" i="2"/>
  <c r="L210" i="2"/>
  <c r="L276" i="2"/>
  <c r="L227" i="2"/>
  <c r="L221" i="2"/>
  <c r="L184" i="2"/>
  <c r="L180" i="2"/>
  <c r="L373" i="2"/>
  <c r="L259" i="2"/>
  <c r="L248" i="2"/>
  <c r="L237" i="2"/>
  <c r="L230" i="2"/>
  <c r="L207" i="2"/>
  <c r="L427" i="2"/>
  <c r="L341" i="2"/>
  <c r="L299" i="2"/>
  <c r="L285" i="2"/>
  <c r="L263" i="2"/>
  <c r="L261" i="2"/>
  <c r="L235" i="2"/>
  <c r="L175" i="2"/>
  <c r="L336" i="2"/>
  <c r="L292" i="2"/>
  <c r="L257" i="2"/>
  <c r="L215" i="2"/>
  <c r="L211" i="2"/>
  <c r="L200" i="2"/>
  <c r="L196" i="2"/>
  <c r="L479" i="2"/>
  <c r="L398" i="2"/>
  <c r="L356" i="2"/>
  <c r="L289" i="2"/>
  <c r="L273" i="2"/>
  <c r="L271" i="2"/>
  <c r="L286" i="2"/>
  <c r="L275" i="2"/>
  <c r="L203" i="2"/>
  <c r="L183" i="2"/>
  <c r="L170" i="2"/>
  <c r="L163" i="2"/>
  <c r="L335" i="2"/>
  <c r="L296" i="2"/>
  <c r="L244" i="2"/>
  <c r="L234" i="2"/>
  <c r="L176" i="2"/>
  <c r="L164" i="2"/>
  <c r="L371" i="2"/>
  <c r="L331" i="2"/>
  <c r="L192" i="2"/>
  <c r="L179" i="2"/>
  <c r="L171" i="2"/>
  <c r="L294" i="2"/>
  <c r="L229" i="2"/>
  <c r="L220" i="2"/>
  <c r="L190" i="2"/>
  <c r="L362" i="2"/>
  <c r="L264" i="2"/>
  <c r="L243" i="2"/>
  <c r="L198" i="2"/>
  <c r="L186" i="2"/>
  <c r="L177" i="2"/>
  <c r="L166" i="2"/>
  <c r="L159" i="2"/>
  <c r="L152" i="2"/>
  <c r="L145" i="2"/>
  <c r="L242" i="2"/>
  <c r="L212" i="2"/>
  <c r="L209" i="2"/>
  <c r="L204" i="2"/>
  <c r="L202" i="2"/>
  <c r="L301" i="2"/>
  <c r="L269" i="2"/>
  <c r="L167" i="2"/>
  <c r="L160" i="2"/>
  <c r="L153" i="2"/>
  <c r="L408" i="2"/>
  <c r="L319" i="2"/>
  <c r="L193" i="2"/>
  <c r="L174" i="2"/>
  <c r="L126" i="2"/>
  <c r="L168" i="2"/>
  <c r="L161" i="2"/>
  <c r="L154" i="2"/>
  <c r="L147" i="2"/>
  <c r="L140" i="2"/>
  <c r="L133" i="2"/>
  <c r="L148" i="2"/>
  <c r="L116" i="2"/>
  <c r="L113" i="2"/>
  <c r="L110" i="2"/>
  <c r="L67" i="2"/>
  <c r="L287" i="2"/>
  <c r="L187" i="2"/>
  <c r="L141" i="2"/>
  <c r="L128" i="2"/>
  <c r="L107" i="2"/>
  <c r="L172" i="2"/>
  <c r="L146" i="2"/>
  <c r="L136" i="2"/>
  <c r="L95" i="2"/>
  <c r="L92" i="2"/>
  <c r="L89" i="2"/>
  <c r="L213" i="2"/>
  <c r="L197" i="2"/>
  <c r="L182" i="2"/>
  <c r="L169" i="2"/>
  <c r="L131" i="2"/>
  <c r="L155" i="2"/>
  <c r="L144" i="2"/>
  <c r="L157" i="2"/>
  <c r="L139" i="2"/>
  <c r="L134" i="2"/>
  <c r="L114" i="2"/>
  <c r="L111" i="2"/>
  <c r="L108" i="2"/>
  <c r="L268" i="2"/>
  <c r="L195" i="2"/>
  <c r="L149" i="2"/>
  <c r="L142" i="2"/>
  <c r="L93" i="2"/>
  <c r="L240" i="2"/>
  <c r="L208" i="2"/>
  <c r="L201" i="2"/>
  <c r="L189" i="2"/>
  <c r="L137" i="2"/>
  <c r="L132" i="2"/>
  <c r="L127" i="2"/>
  <c r="L121" i="2"/>
  <c r="L118" i="2"/>
  <c r="L115" i="2"/>
  <c r="L112" i="2"/>
  <c r="L194" i="2"/>
  <c r="L165" i="2"/>
  <c r="L109" i="2"/>
  <c r="L106" i="2"/>
  <c r="L103" i="2"/>
  <c r="L60" i="2"/>
  <c r="L199" i="2"/>
  <c r="L188" i="2"/>
  <c r="L162" i="2"/>
  <c r="L156" i="2"/>
  <c r="L143" i="2"/>
  <c r="L105" i="2"/>
  <c r="L98" i="2"/>
  <c r="L78" i="2"/>
  <c r="L37" i="2"/>
  <c r="L34" i="2"/>
  <c r="L31" i="2"/>
  <c r="L28" i="2"/>
  <c r="L11" i="2"/>
  <c r="L91" i="2"/>
  <c r="L76" i="2"/>
  <c r="L74" i="2"/>
  <c r="L63" i="2"/>
  <c r="L58" i="2"/>
  <c r="L25" i="2"/>
  <c r="L22" i="2"/>
  <c r="L15" i="2"/>
  <c r="L68" i="2"/>
  <c r="L61" i="2"/>
  <c r="L50" i="2"/>
  <c r="L12" i="2"/>
  <c r="L84" i="2"/>
  <c r="L43" i="2"/>
  <c r="L125" i="2"/>
  <c r="L122" i="2"/>
  <c r="L119" i="2"/>
  <c r="L100" i="2"/>
  <c r="L19" i="2"/>
  <c r="L72" i="2"/>
  <c r="L53" i="2"/>
  <c r="L35" i="2"/>
  <c r="L16" i="2"/>
  <c r="L14" i="2"/>
  <c r="L135" i="2"/>
  <c r="L87" i="2"/>
  <c r="L70" i="2"/>
  <c r="L56" i="2"/>
  <c r="L47" i="2"/>
  <c r="L29" i="2"/>
  <c r="L46" i="2"/>
  <c r="L85" i="2"/>
  <c r="L83" i="2"/>
  <c r="L44" i="2"/>
  <c r="L41" i="2"/>
  <c r="L38" i="2"/>
  <c r="L26" i="2"/>
  <c r="L55" i="2"/>
  <c r="L256" i="2"/>
  <c r="L102" i="2"/>
  <c r="L66" i="2"/>
  <c r="L59" i="2"/>
  <c r="L32" i="2"/>
  <c r="L69" i="2"/>
  <c r="L124" i="2"/>
  <c r="L104" i="2"/>
  <c r="L97" i="2"/>
  <c r="L81" i="2"/>
  <c r="L77" i="2"/>
  <c r="L23" i="2"/>
  <c r="L20" i="2"/>
  <c r="L120" i="2"/>
  <c r="L151" i="2"/>
  <c r="L79" i="2"/>
  <c r="L64" i="2"/>
  <c r="L54" i="2"/>
  <c r="L138" i="2"/>
  <c r="L130" i="2"/>
  <c r="L75" i="2"/>
  <c r="L51" i="2"/>
  <c r="L48" i="2"/>
  <c r="L45" i="2"/>
  <c r="L42" i="2"/>
  <c r="L17" i="2"/>
  <c r="L13" i="2"/>
  <c r="L117" i="2"/>
  <c r="L40" i="2"/>
  <c r="L222" i="2"/>
  <c r="L150" i="2"/>
  <c r="L99" i="2"/>
  <c r="L90" i="2"/>
  <c r="L73" i="2"/>
  <c r="L71" i="2"/>
  <c r="L62" i="2"/>
  <c r="L57" i="2"/>
  <c r="L39" i="2"/>
  <c r="L36" i="2"/>
  <c r="L33" i="2"/>
  <c r="L123" i="2"/>
  <c r="L65" i="2"/>
  <c r="L185" i="2"/>
  <c r="L101" i="2"/>
  <c r="L94" i="2"/>
  <c r="L88" i="2"/>
  <c r="L86" i="2"/>
  <c r="L30" i="2"/>
  <c r="L27" i="2"/>
  <c r="L24" i="2"/>
  <c r="L21" i="2"/>
  <c r="L10" i="2"/>
  <c r="L158" i="2"/>
  <c r="L96" i="2"/>
  <c r="L129" i="2"/>
  <c r="L82" i="2"/>
  <c r="L80" i="2"/>
  <c r="L52" i="2"/>
  <c r="L49" i="2"/>
  <c r="L18" i="2"/>
  <c r="L181" i="2"/>
  <c r="R364" i="5"/>
  <c r="P364" i="5"/>
  <c r="R212" i="5"/>
  <c r="P212" i="5"/>
  <c r="R112" i="5"/>
  <c r="P112" i="5" s="1"/>
  <c r="P62" i="5"/>
  <c r="R62" i="5"/>
  <c r="L239" i="2"/>
  <c r="L474" i="2"/>
  <c r="L490" i="2"/>
  <c r="P356" i="5"/>
  <c r="R356" i="5"/>
  <c r="P377" i="5"/>
  <c r="R377" i="5"/>
  <c r="R317" i="5"/>
  <c r="P317" i="5"/>
  <c r="R312" i="5"/>
  <c r="P312" i="5"/>
  <c r="P291" i="5"/>
  <c r="R291" i="5"/>
  <c r="R397" i="5"/>
  <c r="P397" i="5"/>
  <c r="P354" i="5"/>
  <c r="R354" i="5"/>
  <c r="P323" i="5"/>
  <c r="R323" i="5"/>
  <c r="P230" i="5"/>
  <c r="R230" i="5"/>
  <c r="R283" i="5"/>
  <c r="P283" i="5"/>
  <c r="R340" i="5"/>
  <c r="P340" i="5"/>
  <c r="R237" i="5"/>
  <c r="P237" i="5"/>
  <c r="R224" i="5"/>
  <c r="P224" i="5" s="1"/>
  <c r="R315" i="5"/>
  <c r="P315" i="5"/>
  <c r="R225" i="5"/>
  <c r="P225" i="5"/>
  <c r="R320" i="5"/>
  <c r="P320" i="5"/>
  <c r="R254" i="5"/>
  <c r="P254" i="5"/>
  <c r="P247" i="5"/>
  <c r="R247" i="5"/>
  <c r="R206" i="5"/>
  <c r="R147" i="5"/>
  <c r="P147" i="5"/>
  <c r="R121" i="5"/>
  <c r="P121" i="5"/>
  <c r="E22" i="3"/>
  <c r="R95" i="5"/>
  <c r="P95" i="5"/>
  <c r="R20" i="5"/>
  <c r="P20" i="5"/>
  <c r="L367" i="2"/>
  <c r="L393" i="2"/>
  <c r="L411" i="2"/>
  <c r="L368" i="2"/>
  <c r="L307" i="2"/>
  <c r="L445" i="2"/>
  <c r="L288" i="2"/>
  <c r="L501" i="2"/>
  <c r="L478" i="2"/>
  <c r="L396" i="2"/>
  <c r="L468" i="2"/>
  <c r="D12" i="3"/>
  <c r="F12" i="3" s="1"/>
  <c r="L493" i="2"/>
  <c r="D16" i="3"/>
  <c r="E11" i="3"/>
  <c r="F11" i="3" s="1"/>
  <c r="L369" i="2"/>
  <c r="B6" i="7"/>
  <c r="R384" i="5"/>
  <c r="P384" i="5"/>
  <c r="R372" i="5"/>
  <c r="P372" i="5"/>
  <c r="P329" i="5"/>
  <c r="R329" i="5"/>
  <c r="R336" i="5"/>
  <c r="P336" i="5"/>
  <c r="R97" i="5"/>
  <c r="P97" i="5"/>
  <c r="P144" i="5"/>
  <c r="R144" i="5"/>
  <c r="R58" i="5"/>
  <c r="P58" i="5"/>
  <c r="R56" i="5"/>
  <c r="P56" i="5"/>
  <c r="R36" i="5"/>
  <c r="P36" i="5"/>
  <c r="G7" i="4"/>
  <c r="R30" i="5"/>
  <c r="P30" i="5"/>
  <c r="L297" i="2"/>
  <c r="L401" i="2"/>
  <c r="L422" i="2"/>
  <c r="L370" i="2"/>
  <c r="L322" i="2"/>
  <c r="L448" i="2"/>
  <c r="L295" i="2"/>
  <c r="L504" i="2"/>
  <c r="L494" i="2"/>
  <c r="L399" i="2"/>
  <c r="L487" i="2"/>
  <c r="L498" i="2"/>
  <c r="E18" i="3"/>
  <c r="L283" i="2"/>
  <c r="N21" i="3"/>
  <c r="P334" i="5"/>
  <c r="R334" i="5"/>
  <c r="R77" i="5"/>
  <c r="P77" i="5"/>
  <c r="L509" i="2"/>
  <c r="L400" i="2"/>
  <c r="P11" i="5"/>
  <c r="H11" i="4" s="1"/>
  <c r="R11" i="5"/>
  <c r="D11" i="4"/>
  <c r="E11" i="4" s="1"/>
  <c r="R362" i="5"/>
  <c r="P362" i="5"/>
  <c r="R299" i="5"/>
  <c r="P299" i="5"/>
  <c r="R358" i="5"/>
  <c r="P358" i="5"/>
  <c r="P267" i="5"/>
  <c r="R267" i="5"/>
  <c r="R231" i="5"/>
  <c r="P231" i="5"/>
  <c r="P295" i="5"/>
  <c r="K23" i="3" s="1"/>
  <c r="M23" i="3" s="1"/>
  <c r="R295" i="5"/>
  <c r="R274" i="5"/>
  <c r="P274" i="5"/>
  <c r="R234" i="5"/>
  <c r="P234" i="5"/>
  <c r="R308" i="5"/>
  <c r="P308" i="5" s="1"/>
  <c r="R245" i="5"/>
  <c r="P245" i="5" s="1"/>
  <c r="R238" i="5"/>
  <c r="R108" i="5"/>
  <c r="P108" i="5"/>
  <c r="R131" i="5"/>
  <c r="P131" i="5"/>
  <c r="P12" i="5"/>
  <c r="R12" i="5"/>
  <c r="R94" i="5"/>
  <c r="P94" i="5"/>
  <c r="R83" i="5"/>
  <c r="P83" i="5"/>
  <c r="R119" i="5"/>
  <c r="P119" i="5"/>
  <c r="R23" i="5"/>
  <c r="P23" i="5"/>
  <c r="L258" i="2"/>
  <c r="L406" i="2"/>
  <c r="L447" i="2"/>
  <c r="L383" i="2"/>
  <c r="L346" i="2"/>
  <c r="L467" i="2"/>
  <c r="L302" i="2"/>
  <c r="L497" i="2"/>
  <c r="L418" i="2"/>
  <c r="D7" i="3"/>
  <c r="L372" i="2"/>
  <c r="N16" i="3"/>
  <c r="L503" i="2"/>
  <c r="R391" i="5"/>
  <c r="L278" i="2"/>
  <c r="P10" i="5"/>
  <c r="R10" i="5"/>
  <c r="D15" i="4"/>
  <c r="L481" i="2"/>
  <c r="R220" i="5"/>
  <c r="P220" i="5"/>
  <c r="D19" i="3"/>
  <c r="L484" i="2"/>
  <c r="P383" i="5"/>
  <c r="R383" i="5"/>
  <c r="R370" i="5"/>
  <c r="P370" i="5"/>
  <c r="R263" i="5"/>
  <c r="P263" i="5"/>
  <c r="R344" i="5"/>
  <c r="P344" i="5"/>
  <c r="P346" i="5"/>
  <c r="R346" i="5"/>
  <c r="R378" i="5"/>
  <c r="P378" i="5"/>
  <c r="R316" i="5"/>
  <c r="P316" i="5" s="1"/>
  <c r="P173" i="5"/>
  <c r="R173" i="5"/>
  <c r="R140" i="5"/>
  <c r="P140" i="5"/>
  <c r="P146" i="5"/>
  <c r="R146" i="5"/>
  <c r="R76" i="5"/>
  <c r="P76" i="5"/>
  <c r="R60" i="5"/>
  <c r="P60" i="5"/>
  <c r="R59" i="5"/>
  <c r="C9" i="4"/>
  <c r="P84" i="5"/>
  <c r="R84" i="5"/>
  <c r="L228" i="2"/>
  <c r="L414" i="2"/>
  <c r="L485" i="2"/>
  <c r="L409" i="2"/>
  <c r="L349" i="2"/>
  <c r="L489" i="2"/>
  <c r="L309" i="2"/>
  <c r="L440" i="2"/>
  <c r="D10" i="3"/>
  <c r="L377" i="2"/>
  <c r="E10" i="3"/>
  <c r="E17" i="3"/>
  <c r="L252" i="2"/>
  <c r="F10" i="4"/>
  <c r="G10" i="4" s="1"/>
  <c r="F23" i="3" l="1"/>
  <c r="F8" i="3"/>
  <c r="E10" i="4"/>
  <c r="K387" i="2"/>
  <c r="A387" i="2"/>
  <c r="J387" i="2"/>
  <c r="C387" i="2"/>
  <c r="F387" i="2"/>
  <c r="H8" i="4"/>
  <c r="G387" i="2"/>
  <c r="H387" i="2"/>
  <c r="H15" i="4"/>
  <c r="G20" i="3"/>
  <c r="G8" i="3"/>
  <c r="G23" i="3"/>
  <c r="F10" i="3"/>
  <c r="K10" i="3"/>
  <c r="M10" i="3" s="1"/>
  <c r="C7" i="2"/>
  <c r="K9" i="3"/>
  <c r="M9" i="3" s="1"/>
  <c r="G10" i="3"/>
  <c r="K20" i="3"/>
  <c r="M20" i="3" s="1"/>
  <c r="F16" i="3"/>
  <c r="K19" i="3"/>
  <c r="M19" i="3" s="1"/>
  <c r="H13" i="4"/>
  <c r="G9" i="3"/>
  <c r="B387" i="2"/>
  <c r="G19" i="3"/>
  <c r="K22" i="3"/>
  <c r="M22" i="3" s="1"/>
  <c r="K17" i="3"/>
  <c r="M17" i="3" s="1"/>
  <c r="H9" i="4"/>
  <c r="I387" i="2"/>
  <c r="F7" i="3"/>
  <c r="N5" i="3"/>
  <c r="G22" i="3"/>
  <c r="E8" i="4"/>
  <c r="G21" i="3"/>
  <c r="F19" i="3"/>
  <c r="G17" i="3"/>
  <c r="K8" i="3"/>
  <c r="M8" i="3" s="1"/>
  <c r="K7" i="3"/>
  <c r="M7" i="3" s="1"/>
  <c r="K12" i="3"/>
  <c r="M12" i="3" s="1"/>
  <c r="E387" i="2"/>
  <c r="G7" i="3"/>
  <c r="D7" i="2"/>
  <c r="F22" i="3"/>
  <c r="K18" i="3"/>
  <c r="M18" i="3" s="1"/>
  <c r="H10" i="4"/>
  <c r="C33" i="2"/>
  <c r="I33" i="2"/>
  <c r="F33" i="2"/>
  <c r="E33" i="2"/>
  <c r="A33" i="2"/>
  <c r="D33" i="2"/>
  <c r="B33" i="2"/>
  <c r="J33" i="2"/>
  <c r="G33" i="2"/>
  <c r="K33" i="2"/>
  <c r="H33" i="2"/>
  <c r="I164" i="2"/>
  <c r="H164" i="2"/>
  <c r="F164" i="2"/>
  <c r="E164" i="2"/>
  <c r="D164" i="2"/>
  <c r="K164" i="2"/>
  <c r="J164" i="2"/>
  <c r="G164" i="2"/>
  <c r="C164" i="2"/>
  <c r="B164" i="2"/>
  <c r="A164" i="2"/>
  <c r="E368" i="2"/>
  <c r="A368" i="2"/>
  <c r="I368" i="2"/>
  <c r="C368" i="2"/>
  <c r="B368" i="2"/>
  <c r="K368" i="2"/>
  <c r="J368" i="2"/>
  <c r="H368" i="2"/>
  <c r="F368" i="2"/>
  <c r="G368" i="2"/>
  <c r="D368" i="2"/>
  <c r="G105" i="2"/>
  <c r="C105" i="2"/>
  <c r="A105" i="2"/>
  <c r="J105" i="2"/>
  <c r="H105" i="2"/>
  <c r="F105" i="2"/>
  <c r="K105" i="2"/>
  <c r="I105" i="2"/>
  <c r="E105" i="2"/>
  <c r="D105" i="2"/>
  <c r="B105" i="2"/>
  <c r="H258" i="2"/>
  <c r="F258" i="2"/>
  <c r="J258" i="2"/>
  <c r="D258" i="2"/>
  <c r="I258" i="2"/>
  <c r="G258" i="2"/>
  <c r="E258" i="2"/>
  <c r="C258" i="2"/>
  <c r="B258" i="2"/>
  <c r="A258" i="2"/>
  <c r="K258" i="2"/>
  <c r="K44" i="2"/>
  <c r="G44" i="2"/>
  <c r="C44" i="2"/>
  <c r="B44" i="2"/>
  <c r="J44" i="2"/>
  <c r="I44" i="2"/>
  <c r="H44" i="2"/>
  <c r="F44" i="2"/>
  <c r="E44" i="2"/>
  <c r="D44" i="2"/>
  <c r="A44" i="2"/>
  <c r="F243" i="2"/>
  <c r="E243" i="2"/>
  <c r="A243" i="2"/>
  <c r="K243" i="2"/>
  <c r="J243" i="2"/>
  <c r="I243" i="2"/>
  <c r="H243" i="2"/>
  <c r="G243" i="2"/>
  <c r="D243" i="2"/>
  <c r="C243" i="2"/>
  <c r="B243" i="2"/>
  <c r="H314" i="2"/>
  <c r="J314" i="2"/>
  <c r="B314" i="2"/>
  <c r="D314" i="2"/>
  <c r="K314" i="2"/>
  <c r="A314" i="2"/>
  <c r="I314" i="2"/>
  <c r="E314" i="2"/>
  <c r="G314" i="2"/>
  <c r="F314" i="2"/>
  <c r="C314" i="2"/>
  <c r="C75" i="2"/>
  <c r="I75" i="2"/>
  <c r="E75" i="2"/>
  <c r="B75" i="2"/>
  <c r="J75" i="2"/>
  <c r="A75" i="2"/>
  <c r="D75" i="2"/>
  <c r="G75" i="2"/>
  <c r="K75" i="2"/>
  <c r="H75" i="2"/>
  <c r="F75" i="2"/>
  <c r="E139" i="2"/>
  <c r="A139" i="2"/>
  <c r="K139" i="2"/>
  <c r="J139" i="2"/>
  <c r="H139" i="2"/>
  <c r="G139" i="2"/>
  <c r="F139" i="2"/>
  <c r="D139" i="2"/>
  <c r="I139" i="2"/>
  <c r="C139" i="2"/>
  <c r="B139" i="2"/>
  <c r="C200" i="2"/>
  <c r="A200" i="2"/>
  <c r="G200" i="2"/>
  <c r="B200" i="2"/>
  <c r="K200" i="2"/>
  <c r="J200" i="2"/>
  <c r="H200" i="2"/>
  <c r="F200" i="2"/>
  <c r="E200" i="2"/>
  <c r="I200" i="2"/>
  <c r="D200" i="2"/>
  <c r="K381" i="2"/>
  <c r="I381" i="2"/>
  <c r="A381" i="2"/>
  <c r="J381" i="2"/>
  <c r="C381" i="2"/>
  <c r="B381" i="2"/>
  <c r="H381" i="2"/>
  <c r="E381" i="2"/>
  <c r="G381" i="2"/>
  <c r="F381" i="2"/>
  <c r="D381" i="2"/>
  <c r="C309" i="2"/>
  <c r="E309" i="2"/>
  <c r="G309" i="2"/>
  <c r="K309" i="2"/>
  <c r="I309" i="2"/>
  <c r="D309" i="2"/>
  <c r="B309" i="2"/>
  <c r="A309" i="2"/>
  <c r="H309" i="2"/>
  <c r="J309" i="2"/>
  <c r="F309" i="2"/>
  <c r="A467" i="2"/>
  <c r="G467" i="2"/>
  <c r="C467" i="2"/>
  <c r="F467" i="2"/>
  <c r="E467" i="2"/>
  <c r="B467" i="2"/>
  <c r="I467" i="2"/>
  <c r="K467" i="2"/>
  <c r="H467" i="2"/>
  <c r="D467" i="2"/>
  <c r="J467" i="2"/>
  <c r="C489" i="2"/>
  <c r="J489" i="2"/>
  <c r="F489" i="2"/>
  <c r="E489" i="2"/>
  <c r="B489" i="2"/>
  <c r="K489" i="2"/>
  <c r="D489" i="2"/>
  <c r="H489" i="2"/>
  <c r="G489" i="2"/>
  <c r="A489" i="2"/>
  <c r="I489" i="2"/>
  <c r="D346" i="2"/>
  <c r="E346" i="2"/>
  <c r="K346" i="2"/>
  <c r="B346" i="2"/>
  <c r="J346" i="2"/>
  <c r="C346" i="2"/>
  <c r="A346" i="2"/>
  <c r="I346" i="2"/>
  <c r="H346" i="2"/>
  <c r="G346" i="2"/>
  <c r="F346" i="2"/>
  <c r="H487" i="2"/>
  <c r="D487" i="2"/>
  <c r="K487" i="2"/>
  <c r="I487" i="2"/>
  <c r="E487" i="2"/>
  <c r="B487" i="2"/>
  <c r="A487" i="2"/>
  <c r="F487" i="2"/>
  <c r="G487" i="2"/>
  <c r="J487" i="2"/>
  <c r="C487" i="2"/>
  <c r="C288" i="2"/>
  <c r="K288" i="2"/>
  <c r="D288" i="2"/>
  <c r="J288" i="2"/>
  <c r="B288" i="2"/>
  <c r="F288" i="2"/>
  <c r="I288" i="2"/>
  <c r="H288" i="2"/>
  <c r="G288" i="2"/>
  <c r="E288" i="2"/>
  <c r="A288" i="2"/>
  <c r="A239" i="2"/>
  <c r="H239" i="2"/>
  <c r="K239" i="2"/>
  <c r="I239" i="2"/>
  <c r="F239" i="2"/>
  <c r="J239" i="2"/>
  <c r="G239" i="2"/>
  <c r="E239" i="2"/>
  <c r="D239" i="2"/>
  <c r="C239" i="2"/>
  <c r="B239" i="2"/>
  <c r="C82" i="2"/>
  <c r="I82" i="2"/>
  <c r="J82" i="2"/>
  <c r="G82" i="2"/>
  <c r="H82" i="2"/>
  <c r="F82" i="2"/>
  <c r="E82" i="2"/>
  <c r="D82" i="2"/>
  <c r="B82" i="2"/>
  <c r="K82" i="2"/>
  <c r="A82" i="2"/>
  <c r="K65" i="2"/>
  <c r="G65" i="2"/>
  <c r="C65" i="2"/>
  <c r="E65" i="2"/>
  <c r="J65" i="2"/>
  <c r="I65" i="2"/>
  <c r="F65" i="2"/>
  <c r="H65" i="2"/>
  <c r="D65" i="2"/>
  <c r="B65" i="2"/>
  <c r="A65" i="2"/>
  <c r="C117" i="2"/>
  <c r="I117" i="2"/>
  <c r="K117" i="2"/>
  <c r="H117" i="2"/>
  <c r="F117" i="2"/>
  <c r="E117" i="2"/>
  <c r="D117" i="2"/>
  <c r="B117" i="2"/>
  <c r="A117" i="2"/>
  <c r="G117" i="2"/>
  <c r="J117" i="2"/>
  <c r="I120" i="2"/>
  <c r="E120" i="2"/>
  <c r="A120" i="2"/>
  <c r="K120" i="2"/>
  <c r="H120" i="2"/>
  <c r="F120" i="2"/>
  <c r="D120" i="2"/>
  <c r="C120" i="2"/>
  <c r="B120" i="2"/>
  <c r="G120" i="2"/>
  <c r="J120" i="2"/>
  <c r="E55" i="2"/>
  <c r="A55" i="2"/>
  <c r="K55" i="2"/>
  <c r="J55" i="2"/>
  <c r="I55" i="2"/>
  <c r="H55" i="2"/>
  <c r="G55" i="2"/>
  <c r="F55" i="2"/>
  <c r="D55" i="2"/>
  <c r="C55" i="2"/>
  <c r="B55" i="2"/>
  <c r="G14" i="2"/>
  <c r="I14" i="2"/>
  <c r="H14" i="2"/>
  <c r="D14" i="2"/>
  <c r="C14" i="2"/>
  <c r="F14" i="2"/>
  <c r="E14" i="2"/>
  <c r="J14" i="2"/>
  <c r="B14" i="2"/>
  <c r="A14" i="2"/>
  <c r="K14" i="2"/>
  <c r="C61" i="2"/>
  <c r="I61" i="2"/>
  <c r="J61" i="2"/>
  <c r="A61" i="2"/>
  <c r="K61" i="2"/>
  <c r="H61" i="2"/>
  <c r="G61" i="2"/>
  <c r="F61" i="2"/>
  <c r="E61" i="2"/>
  <c r="D61" i="2"/>
  <c r="B61" i="2"/>
  <c r="K37" i="2"/>
  <c r="G37" i="2"/>
  <c r="C37" i="2"/>
  <c r="J37" i="2"/>
  <c r="I37" i="2"/>
  <c r="H37" i="2"/>
  <c r="F37" i="2"/>
  <c r="E37" i="2"/>
  <c r="D37" i="2"/>
  <c r="B37" i="2"/>
  <c r="A37" i="2"/>
  <c r="E194" i="2"/>
  <c r="C194" i="2"/>
  <c r="I194" i="2"/>
  <c r="G194" i="2"/>
  <c r="D194" i="2"/>
  <c r="B194" i="2"/>
  <c r="K194" i="2"/>
  <c r="J194" i="2"/>
  <c r="H194" i="2"/>
  <c r="A194" i="2"/>
  <c r="F194" i="2"/>
  <c r="K149" i="2"/>
  <c r="G149" i="2"/>
  <c r="F149" i="2"/>
  <c r="C149" i="2"/>
  <c r="B149" i="2"/>
  <c r="J149" i="2"/>
  <c r="I149" i="2"/>
  <c r="H149" i="2"/>
  <c r="D149" i="2"/>
  <c r="E149" i="2"/>
  <c r="A149" i="2"/>
  <c r="K197" i="2"/>
  <c r="I197" i="2"/>
  <c r="J197" i="2"/>
  <c r="E197" i="2"/>
  <c r="C197" i="2"/>
  <c r="A197" i="2"/>
  <c r="G197" i="2"/>
  <c r="F197" i="2"/>
  <c r="D197" i="2"/>
  <c r="H197" i="2"/>
  <c r="B197" i="2"/>
  <c r="C110" i="2"/>
  <c r="I110" i="2"/>
  <c r="K110" i="2"/>
  <c r="J110" i="2"/>
  <c r="F110" i="2"/>
  <c r="D110" i="2"/>
  <c r="A110" i="2"/>
  <c r="H110" i="2"/>
  <c r="G110" i="2"/>
  <c r="E110" i="2"/>
  <c r="B110" i="2"/>
  <c r="I408" i="2"/>
  <c r="F408" i="2"/>
  <c r="B408" i="2"/>
  <c r="K408" i="2"/>
  <c r="J408" i="2"/>
  <c r="G408" i="2"/>
  <c r="C408" i="2"/>
  <c r="D408" i="2"/>
  <c r="H408" i="2"/>
  <c r="A408" i="2"/>
  <c r="E408" i="2"/>
  <c r="D166" i="2"/>
  <c r="C166" i="2"/>
  <c r="B166" i="2"/>
  <c r="J166" i="2"/>
  <c r="I166" i="2"/>
  <c r="H166" i="2"/>
  <c r="K166" i="2"/>
  <c r="F166" i="2"/>
  <c r="E166" i="2"/>
  <c r="A166" i="2"/>
  <c r="G166" i="2"/>
  <c r="E331" i="2"/>
  <c r="B331" i="2"/>
  <c r="J331" i="2"/>
  <c r="I331" i="2"/>
  <c r="H331" i="2"/>
  <c r="F331" i="2"/>
  <c r="C331" i="2"/>
  <c r="A331" i="2"/>
  <c r="G331" i="2"/>
  <c r="K331" i="2"/>
  <c r="D331" i="2"/>
  <c r="F271" i="2"/>
  <c r="I271" i="2"/>
  <c r="A271" i="2"/>
  <c r="K271" i="2"/>
  <c r="B271" i="2"/>
  <c r="H271" i="2"/>
  <c r="G271" i="2"/>
  <c r="E271" i="2"/>
  <c r="C271" i="2"/>
  <c r="J271" i="2"/>
  <c r="D271" i="2"/>
  <c r="D235" i="2"/>
  <c r="C235" i="2"/>
  <c r="K235" i="2"/>
  <c r="G235" i="2"/>
  <c r="E235" i="2"/>
  <c r="B235" i="2"/>
  <c r="A235" i="2"/>
  <c r="J235" i="2"/>
  <c r="F235" i="2"/>
  <c r="H235" i="2"/>
  <c r="I235" i="2"/>
  <c r="K184" i="2"/>
  <c r="C184" i="2"/>
  <c r="I184" i="2"/>
  <c r="J184" i="2"/>
  <c r="G184" i="2"/>
  <c r="F184" i="2"/>
  <c r="E184" i="2"/>
  <c r="A184" i="2"/>
  <c r="D184" i="2"/>
  <c r="H184" i="2"/>
  <c r="B184" i="2"/>
  <c r="I333" i="2"/>
  <c r="D333" i="2"/>
  <c r="K333" i="2"/>
  <c r="B333" i="2"/>
  <c r="E333" i="2"/>
  <c r="G333" i="2"/>
  <c r="C333" i="2"/>
  <c r="F333" i="2"/>
  <c r="A333" i="2"/>
  <c r="J333" i="2"/>
  <c r="H333" i="2"/>
  <c r="E385" i="2"/>
  <c r="K385" i="2"/>
  <c r="G385" i="2"/>
  <c r="D385" i="2"/>
  <c r="C385" i="2"/>
  <c r="J385" i="2"/>
  <c r="F385" i="2"/>
  <c r="I385" i="2"/>
  <c r="B385" i="2"/>
  <c r="H385" i="2"/>
  <c r="A385" i="2"/>
  <c r="I291" i="2"/>
  <c r="D291" i="2"/>
  <c r="H291" i="2"/>
  <c r="B291" i="2"/>
  <c r="K291" i="2"/>
  <c r="J291" i="2"/>
  <c r="F291" i="2"/>
  <c r="E291" i="2"/>
  <c r="C291" i="2"/>
  <c r="A291" i="2"/>
  <c r="G291" i="2"/>
  <c r="K359" i="2"/>
  <c r="H359" i="2"/>
  <c r="F359" i="2"/>
  <c r="A359" i="2"/>
  <c r="J359" i="2"/>
  <c r="E359" i="2"/>
  <c r="C359" i="2"/>
  <c r="D359" i="2"/>
  <c r="I359" i="2"/>
  <c r="G359" i="2"/>
  <c r="B359" i="2"/>
  <c r="G407" i="2"/>
  <c r="C407" i="2"/>
  <c r="E407" i="2"/>
  <c r="D407" i="2"/>
  <c r="A407" i="2"/>
  <c r="K407" i="2"/>
  <c r="J407" i="2"/>
  <c r="I407" i="2"/>
  <c r="H407" i="2"/>
  <c r="F407" i="2"/>
  <c r="B407" i="2"/>
  <c r="C433" i="2"/>
  <c r="H433" i="2"/>
  <c r="D433" i="2"/>
  <c r="J433" i="2"/>
  <c r="I433" i="2"/>
  <c r="F433" i="2"/>
  <c r="A433" i="2"/>
  <c r="E433" i="2"/>
  <c r="K433" i="2"/>
  <c r="G433" i="2"/>
  <c r="B433" i="2"/>
  <c r="K451" i="2"/>
  <c r="C451" i="2"/>
  <c r="E451" i="2"/>
  <c r="D451" i="2"/>
  <c r="A451" i="2"/>
  <c r="J451" i="2"/>
  <c r="H451" i="2"/>
  <c r="B451" i="2"/>
  <c r="I451" i="2"/>
  <c r="G451" i="2"/>
  <c r="F451" i="2"/>
  <c r="G435" i="2"/>
  <c r="J435" i="2"/>
  <c r="C435" i="2"/>
  <c r="B435" i="2"/>
  <c r="I435" i="2"/>
  <c r="H435" i="2"/>
  <c r="D435" i="2"/>
  <c r="F435" i="2"/>
  <c r="A435" i="2"/>
  <c r="K435" i="2"/>
  <c r="E435" i="2"/>
  <c r="F9" i="3"/>
  <c r="G18" i="3"/>
  <c r="G290" i="2"/>
  <c r="B290" i="2"/>
  <c r="D290" i="2"/>
  <c r="F290" i="2"/>
  <c r="K290" i="2"/>
  <c r="A290" i="2"/>
  <c r="E290" i="2"/>
  <c r="J290" i="2"/>
  <c r="I290" i="2"/>
  <c r="H290" i="2"/>
  <c r="C290" i="2"/>
  <c r="E469" i="2"/>
  <c r="I469" i="2"/>
  <c r="J469" i="2"/>
  <c r="F469" i="2"/>
  <c r="K469" i="2"/>
  <c r="H469" i="2"/>
  <c r="D469" i="2"/>
  <c r="A469" i="2"/>
  <c r="G469" i="2"/>
  <c r="C469" i="2"/>
  <c r="B469" i="2"/>
  <c r="D466" i="2"/>
  <c r="A466" i="2"/>
  <c r="J466" i="2"/>
  <c r="G466" i="2"/>
  <c r="F466" i="2"/>
  <c r="E466" i="2"/>
  <c r="H466" i="2"/>
  <c r="B466" i="2"/>
  <c r="K466" i="2"/>
  <c r="I466" i="2"/>
  <c r="C466" i="2"/>
  <c r="H307" i="2"/>
  <c r="D307" i="2"/>
  <c r="K307" i="2"/>
  <c r="J307" i="2"/>
  <c r="I307" i="2"/>
  <c r="G307" i="2"/>
  <c r="F307" i="2"/>
  <c r="E307" i="2"/>
  <c r="B307" i="2"/>
  <c r="C307" i="2"/>
  <c r="A307" i="2"/>
  <c r="G98" i="2"/>
  <c r="C98" i="2"/>
  <c r="K98" i="2"/>
  <c r="E98" i="2"/>
  <c r="B98" i="2"/>
  <c r="A98" i="2"/>
  <c r="J98" i="2"/>
  <c r="I98" i="2"/>
  <c r="H98" i="2"/>
  <c r="F98" i="2"/>
  <c r="D98" i="2"/>
  <c r="I485" i="2"/>
  <c r="B485" i="2"/>
  <c r="A485" i="2"/>
  <c r="K485" i="2"/>
  <c r="H485" i="2"/>
  <c r="G485" i="2"/>
  <c r="J485" i="2"/>
  <c r="F485" i="2"/>
  <c r="C485" i="2"/>
  <c r="E485" i="2"/>
  <c r="D485" i="2"/>
  <c r="I92" i="2"/>
  <c r="E92" i="2"/>
  <c r="A92" i="2"/>
  <c r="C92" i="2"/>
  <c r="B92" i="2"/>
  <c r="D92" i="2"/>
  <c r="F92" i="2"/>
  <c r="H92" i="2"/>
  <c r="K92" i="2"/>
  <c r="J92" i="2"/>
  <c r="G92" i="2"/>
  <c r="I45" i="2"/>
  <c r="E45" i="2"/>
  <c r="D45" i="2"/>
  <c r="C45" i="2"/>
  <c r="B45" i="2"/>
  <c r="A45" i="2"/>
  <c r="H45" i="2"/>
  <c r="F45" i="2"/>
  <c r="K45" i="2"/>
  <c r="J45" i="2"/>
  <c r="G45" i="2"/>
  <c r="G133" i="2"/>
  <c r="C133" i="2"/>
  <c r="K133" i="2"/>
  <c r="J133" i="2"/>
  <c r="I133" i="2"/>
  <c r="H133" i="2"/>
  <c r="E133" i="2"/>
  <c r="B133" i="2"/>
  <c r="A133" i="2"/>
  <c r="D133" i="2"/>
  <c r="F133" i="2"/>
  <c r="G456" i="2"/>
  <c r="C456" i="2"/>
  <c r="K456" i="2"/>
  <c r="H456" i="2"/>
  <c r="D456" i="2"/>
  <c r="B456" i="2"/>
  <c r="J456" i="2"/>
  <c r="E456" i="2"/>
  <c r="I456" i="2"/>
  <c r="F456" i="2"/>
  <c r="A456" i="2"/>
  <c r="E349" i="2"/>
  <c r="H349" i="2"/>
  <c r="C349" i="2"/>
  <c r="G349" i="2"/>
  <c r="F349" i="2"/>
  <c r="B349" i="2"/>
  <c r="J349" i="2"/>
  <c r="I349" i="2"/>
  <c r="D349" i="2"/>
  <c r="K349" i="2"/>
  <c r="A349" i="2"/>
  <c r="K278" i="2"/>
  <c r="F278" i="2"/>
  <c r="A278" i="2"/>
  <c r="I278" i="2"/>
  <c r="C278" i="2"/>
  <c r="E278" i="2"/>
  <c r="B278" i="2"/>
  <c r="J278" i="2"/>
  <c r="G278" i="2"/>
  <c r="H278" i="2"/>
  <c r="D278" i="2"/>
  <c r="A383" i="2"/>
  <c r="E383" i="2"/>
  <c r="K383" i="2"/>
  <c r="J383" i="2"/>
  <c r="D383" i="2"/>
  <c r="C383" i="2"/>
  <c r="B383" i="2"/>
  <c r="I383" i="2"/>
  <c r="H383" i="2"/>
  <c r="G383" i="2"/>
  <c r="F383" i="2"/>
  <c r="E399" i="2"/>
  <c r="I399" i="2"/>
  <c r="D399" i="2"/>
  <c r="J399" i="2"/>
  <c r="F399" i="2"/>
  <c r="H399" i="2"/>
  <c r="G399" i="2"/>
  <c r="A399" i="2"/>
  <c r="K399" i="2"/>
  <c r="C399" i="2"/>
  <c r="B399" i="2"/>
  <c r="J445" i="2"/>
  <c r="F445" i="2"/>
  <c r="E445" i="2"/>
  <c r="C445" i="2"/>
  <c r="K445" i="2"/>
  <c r="I445" i="2"/>
  <c r="D445" i="2"/>
  <c r="H445" i="2"/>
  <c r="G445" i="2"/>
  <c r="B445" i="2"/>
  <c r="A445" i="2"/>
  <c r="I129" i="2"/>
  <c r="E129" i="2"/>
  <c r="D129" i="2"/>
  <c r="A129" i="2"/>
  <c r="K129" i="2"/>
  <c r="H129" i="2"/>
  <c r="G129" i="2"/>
  <c r="F129" i="2"/>
  <c r="C129" i="2"/>
  <c r="B129" i="2"/>
  <c r="J129" i="2"/>
  <c r="A123" i="2"/>
  <c r="K123" i="2"/>
  <c r="G123" i="2"/>
  <c r="J123" i="2"/>
  <c r="H123" i="2"/>
  <c r="E123" i="2"/>
  <c r="D123" i="2"/>
  <c r="C123" i="2"/>
  <c r="B123" i="2"/>
  <c r="F123" i="2"/>
  <c r="I123" i="2"/>
  <c r="E13" i="2"/>
  <c r="K13" i="2"/>
  <c r="D13" i="2"/>
  <c r="C13" i="2"/>
  <c r="B13" i="2"/>
  <c r="A13" i="2"/>
  <c r="H13" i="2"/>
  <c r="F13" i="2"/>
  <c r="J13" i="2"/>
  <c r="I13" i="2"/>
  <c r="G13" i="2"/>
  <c r="E20" i="2"/>
  <c r="K20" i="2"/>
  <c r="B20" i="2"/>
  <c r="A20" i="2"/>
  <c r="F20" i="2"/>
  <c r="C20" i="2"/>
  <c r="J20" i="2"/>
  <c r="I20" i="2"/>
  <c r="H20" i="2"/>
  <c r="G20" i="2"/>
  <c r="D20" i="2"/>
  <c r="C26" i="2"/>
  <c r="I26" i="2"/>
  <c r="A26" i="2"/>
  <c r="E26" i="2"/>
  <c r="B26" i="2"/>
  <c r="K26" i="2"/>
  <c r="J26" i="2"/>
  <c r="H26" i="2"/>
  <c r="G26" i="2"/>
  <c r="F26" i="2"/>
  <c r="D26" i="2"/>
  <c r="K16" i="2"/>
  <c r="C16" i="2"/>
  <c r="A16" i="2"/>
  <c r="E16" i="2"/>
  <c r="B16" i="2"/>
  <c r="J16" i="2"/>
  <c r="I16" i="2"/>
  <c r="H16" i="2"/>
  <c r="G16" i="2"/>
  <c r="F16" i="2"/>
  <c r="D16" i="2"/>
  <c r="C68" i="2"/>
  <c r="I68" i="2"/>
  <c r="E68" i="2"/>
  <c r="A68" i="2"/>
  <c r="K68" i="2"/>
  <c r="J68" i="2"/>
  <c r="H68" i="2"/>
  <c r="G68" i="2"/>
  <c r="F68" i="2"/>
  <c r="D68" i="2"/>
  <c r="B68" i="2"/>
  <c r="I78" i="2"/>
  <c r="E78" i="2"/>
  <c r="A78" i="2"/>
  <c r="D78" i="2"/>
  <c r="B78" i="2"/>
  <c r="J78" i="2"/>
  <c r="K78" i="2"/>
  <c r="H78" i="2"/>
  <c r="G78" i="2"/>
  <c r="F78" i="2"/>
  <c r="C78" i="2"/>
  <c r="G112" i="2"/>
  <c r="C112" i="2"/>
  <c r="F112" i="2"/>
  <c r="E112" i="2"/>
  <c r="D112" i="2"/>
  <c r="K112" i="2"/>
  <c r="A112" i="2"/>
  <c r="J112" i="2"/>
  <c r="I112" i="2"/>
  <c r="H112" i="2"/>
  <c r="B112" i="2"/>
  <c r="G195" i="2"/>
  <c r="E195" i="2"/>
  <c r="A195" i="2"/>
  <c r="K195" i="2"/>
  <c r="I195" i="2"/>
  <c r="H195" i="2"/>
  <c r="D195" i="2"/>
  <c r="C195" i="2"/>
  <c r="B195" i="2"/>
  <c r="J195" i="2"/>
  <c r="F195" i="2"/>
  <c r="A213" i="2"/>
  <c r="J213" i="2"/>
  <c r="I213" i="2"/>
  <c r="H213" i="2"/>
  <c r="G213" i="2"/>
  <c r="F213" i="2"/>
  <c r="E213" i="2"/>
  <c r="D213" i="2"/>
  <c r="K213" i="2"/>
  <c r="C213" i="2"/>
  <c r="B213" i="2"/>
  <c r="I113" i="2"/>
  <c r="E113" i="2"/>
  <c r="A113" i="2"/>
  <c r="K113" i="2"/>
  <c r="J113" i="2"/>
  <c r="F113" i="2"/>
  <c r="C113" i="2"/>
  <c r="H113" i="2"/>
  <c r="G113" i="2"/>
  <c r="D113" i="2"/>
  <c r="B113" i="2"/>
  <c r="E153" i="2"/>
  <c r="A153" i="2"/>
  <c r="K153" i="2"/>
  <c r="J153" i="2"/>
  <c r="I153" i="2"/>
  <c r="G153" i="2"/>
  <c r="F153" i="2"/>
  <c r="D153" i="2"/>
  <c r="C153" i="2"/>
  <c r="H153" i="2"/>
  <c r="B153" i="2"/>
  <c r="F177" i="2"/>
  <c r="B177" i="2"/>
  <c r="C177" i="2"/>
  <c r="A177" i="2"/>
  <c r="J177" i="2"/>
  <c r="I177" i="2"/>
  <c r="H177" i="2"/>
  <c r="K177" i="2"/>
  <c r="G177" i="2"/>
  <c r="E177" i="2"/>
  <c r="D177" i="2"/>
  <c r="E371" i="2"/>
  <c r="I371" i="2"/>
  <c r="G371" i="2"/>
  <c r="J371" i="2"/>
  <c r="C371" i="2"/>
  <c r="K371" i="2"/>
  <c r="H371" i="2"/>
  <c r="F371" i="2"/>
  <c r="B371" i="2"/>
  <c r="D371" i="2"/>
  <c r="A371" i="2"/>
  <c r="J273" i="2"/>
  <c r="G273" i="2"/>
  <c r="D273" i="2"/>
  <c r="I273" i="2"/>
  <c r="H273" i="2"/>
  <c r="F273" i="2"/>
  <c r="C273" i="2"/>
  <c r="B273" i="2"/>
  <c r="A273" i="2"/>
  <c r="K273" i="2"/>
  <c r="E273" i="2"/>
  <c r="H261" i="2"/>
  <c r="A261" i="2"/>
  <c r="K261" i="2"/>
  <c r="I261" i="2"/>
  <c r="J261" i="2"/>
  <c r="C261" i="2"/>
  <c r="B261" i="2"/>
  <c r="G261" i="2"/>
  <c r="D261" i="2"/>
  <c r="F261" i="2"/>
  <c r="E261" i="2"/>
  <c r="D221" i="2"/>
  <c r="F221" i="2"/>
  <c r="C221" i="2"/>
  <c r="B221" i="2"/>
  <c r="A221" i="2"/>
  <c r="K221" i="2"/>
  <c r="J221" i="2"/>
  <c r="I221" i="2"/>
  <c r="H221" i="2"/>
  <c r="G221" i="2"/>
  <c r="E221" i="2"/>
  <c r="A347" i="2"/>
  <c r="G347" i="2"/>
  <c r="B347" i="2"/>
  <c r="J347" i="2"/>
  <c r="K347" i="2"/>
  <c r="F347" i="2"/>
  <c r="D347" i="2"/>
  <c r="E347" i="2"/>
  <c r="C347" i="2"/>
  <c r="I347" i="2"/>
  <c r="H347" i="2"/>
  <c r="H178" i="2"/>
  <c r="D178" i="2"/>
  <c r="G178" i="2"/>
  <c r="F178" i="2"/>
  <c r="E178" i="2"/>
  <c r="A178" i="2"/>
  <c r="K178" i="2"/>
  <c r="J178" i="2"/>
  <c r="I178" i="2"/>
  <c r="C178" i="2"/>
  <c r="B178" i="2"/>
  <c r="D417" i="2"/>
  <c r="H417" i="2"/>
  <c r="G417" i="2"/>
  <c r="E417" i="2"/>
  <c r="A417" i="2"/>
  <c r="F417" i="2"/>
  <c r="J417" i="2"/>
  <c r="B417" i="2"/>
  <c r="K417" i="2"/>
  <c r="I417" i="2"/>
  <c r="C417" i="2"/>
  <c r="E378" i="2"/>
  <c r="D378" i="2"/>
  <c r="A378" i="2"/>
  <c r="K378" i="2"/>
  <c r="F378" i="2"/>
  <c r="J378" i="2"/>
  <c r="B378" i="2"/>
  <c r="G378" i="2"/>
  <c r="H378" i="2"/>
  <c r="C378" i="2"/>
  <c r="I378" i="2"/>
  <c r="A432" i="2"/>
  <c r="E432" i="2"/>
  <c r="D432" i="2"/>
  <c r="C432" i="2"/>
  <c r="J432" i="2"/>
  <c r="F432" i="2"/>
  <c r="B432" i="2"/>
  <c r="G432" i="2"/>
  <c r="I432" i="2"/>
  <c r="K432" i="2"/>
  <c r="H432" i="2"/>
  <c r="A446" i="2"/>
  <c r="C446" i="2"/>
  <c r="K446" i="2"/>
  <c r="J446" i="2"/>
  <c r="H446" i="2"/>
  <c r="E446" i="2"/>
  <c r="I446" i="2"/>
  <c r="D446" i="2"/>
  <c r="G446" i="2"/>
  <c r="F446" i="2"/>
  <c r="B446" i="2"/>
  <c r="I471" i="2"/>
  <c r="D471" i="2"/>
  <c r="K471" i="2"/>
  <c r="J471" i="2"/>
  <c r="G471" i="2"/>
  <c r="C471" i="2"/>
  <c r="A471" i="2"/>
  <c r="F471" i="2"/>
  <c r="H471" i="2"/>
  <c r="E471" i="2"/>
  <c r="B471" i="2"/>
  <c r="C454" i="2"/>
  <c r="H454" i="2"/>
  <c r="D454" i="2"/>
  <c r="B454" i="2"/>
  <c r="J454" i="2"/>
  <c r="K454" i="2"/>
  <c r="A454" i="2"/>
  <c r="F454" i="2"/>
  <c r="I454" i="2"/>
  <c r="G454" i="2"/>
  <c r="E454" i="2"/>
  <c r="K506" i="2"/>
  <c r="I506" i="2"/>
  <c r="F506" i="2"/>
  <c r="B506" i="2"/>
  <c r="J506" i="2"/>
  <c r="E506" i="2"/>
  <c r="C506" i="2"/>
  <c r="A506" i="2"/>
  <c r="H506" i="2"/>
  <c r="G506" i="2"/>
  <c r="D506" i="2"/>
  <c r="H438" i="2"/>
  <c r="D438" i="2"/>
  <c r="B438" i="2"/>
  <c r="A438" i="2"/>
  <c r="I438" i="2"/>
  <c r="K438" i="2"/>
  <c r="C438" i="2"/>
  <c r="J438" i="2"/>
  <c r="G438" i="2"/>
  <c r="E438" i="2"/>
  <c r="F438" i="2"/>
  <c r="B255" i="2"/>
  <c r="E255" i="2"/>
  <c r="J255" i="2"/>
  <c r="G255" i="2"/>
  <c r="F255" i="2"/>
  <c r="A255" i="2"/>
  <c r="I255" i="2"/>
  <c r="H255" i="2"/>
  <c r="D255" i="2"/>
  <c r="C255" i="2"/>
  <c r="K255" i="2"/>
  <c r="A280" i="2"/>
  <c r="J280" i="2"/>
  <c r="I280" i="2"/>
  <c r="B280" i="2"/>
  <c r="K280" i="2"/>
  <c r="G280" i="2"/>
  <c r="C280" i="2"/>
  <c r="E280" i="2"/>
  <c r="F280" i="2"/>
  <c r="D280" i="2"/>
  <c r="H280" i="2"/>
  <c r="H223" i="2"/>
  <c r="J223" i="2"/>
  <c r="I223" i="2"/>
  <c r="G223" i="2"/>
  <c r="F223" i="2"/>
  <c r="E223" i="2"/>
  <c r="D223" i="2"/>
  <c r="C223" i="2"/>
  <c r="B223" i="2"/>
  <c r="K223" i="2"/>
  <c r="A223" i="2"/>
  <c r="K409" i="2"/>
  <c r="I409" i="2"/>
  <c r="E409" i="2"/>
  <c r="H409" i="2"/>
  <c r="A409" i="2"/>
  <c r="J409" i="2"/>
  <c r="F409" i="2"/>
  <c r="D409" i="2"/>
  <c r="B409" i="2"/>
  <c r="G409" i="2"/>
  <c r="C409" i="2"/>
  <c r="I115" i="2"/>
  <c r="E115" i="2"/>
  <c r="F115" i="2"/>
  <c r="D115" i="2"/>
  <c r="C115" i="2"/>
  <c r="K115" i="2"/>
  <c r="A115" i="2"/>
  <c r="J115" i="2"/>
  <c r="H115" i="2"/>
  <c r="G115" i="2"/>
  <c r="B115" i="2"/>
  <c r="B227" i="2"/>
  <c r="I227" i="2"/>
  <c r="G227" i="2"/>
  <c r="C227" i="2"/>
  <c r="A227" i="2"/>
  <c r="K227" i="2"/>
  <c r="J227" i="2"/>
  <c r="H227" i="2"/>
  <c r="F227" i="2"/>
  <c r="E227" i="2"/>
  <c r="D227" i="2"/>
  <c r="J353" i="2"/>
  <c r="E353" i="2"/>
  <c r="H353" i="2"/>
  <c r="K353" i="2"/>
  <c r="A353" i="2"/>
  <c r="F353" i="2"/>
  <c r="C353" i="2"/>
  <c r="I353" i="2"/>
  <c r="D353" i="2"/>
  <c r="B353" i="2"/>
  <c r="G353" i="2"/>
  <c r="K205" i="2"/>
  <c r="G205" i="2"/>
  <c r="E205" i="2"/>
  <c r="C205" i="2"/>
  <c r="B205" i="2"/>
  <c r="J205" i="2"/>
  <c r="I205" i="2"/>
  <c r="F205" i="2"/>
  <c r="D205" i="2"/>
  <c r="A205" i="2"/>
  <c r="H205" i="2"/>
  <c r="A439" i="2"/>
  <c r="K439" i="2"/>
  <c r="G439" i="2"/>
  <c r="H439" i="2"/>
  <c r="F439" i="2"/>
  <c r="D439" i="2"/>
  <c r="B439" i="2"/>
  <c r="I439" i="2"/>
  <c r="E439" i="2"/>
  <c r="J439" i="2"/>
  <c r="C439" i="2"/>
  <c r="I436" i="2"/>
  <c r="B436" i="2"/>
  <c r="H436" i="2"/>
  <c r="G436" i="2"/>
  <c r="E436" i="2"/>
  <c r="A436" i="2"/>
  <c r="K436" i="2"/>
  <c r="J436" i="2"/>
  <c r="F436" i="2"/>
  <c r="D436" i="2"/>
  <c r="C436" i="2"/>
  <c r="G350" i="2"/>
  <c r="A350" i="2"/>
  <c r="K350" i="2"/>
  <c r="I350" i="2"/>
  <c r="E350" i="2"/>
  <c r="J350" i="2"/>
  <c r="H350" i="2"/>
  <c r="F350" i="2"/>
  <c r="B350" i="2"/>
  <c r="D350" i="2"/>
  <c r="C350" i="2"/>
  <c r="G442" i="2"/>
  <c r="E442" i="2"/>
  <c r="A442" i="2"/>
  <c r="H442" i="2"/>
  <c r="F442" i="2"/>
  <c r="C442" i="2"/>
  <c r="I442" i="2"/>
  <c r="D442" i="2"/>
  <c r="K442" i="2"/>
  <c r="B442" i="2"/>
  <c r="J442" i="2"/>
  <c r="F226" i="2"/>
  <c r="D226" i="2"/>
  <c r="I226" i="2"/>
  <c r="H226" i="2"/>
  <c r="G226" i="2"/>
  <c r="E226" i="2"/>
  <c r="C226" i="2"/>
  <c r="B226" i="2"/>
  <c r="A226" i="2"/>
  <c r="K226" i="2"/>
  <c r="J226" i="2"/>
  <c r="B480" i="2"/>
  <c r="H480" i="2"/>
  <c r="G480" i="2"/>
  <c r="E480" i="2"/>
  <c r="A480" i="2"/>
  <c r="K480" i="2"/>
  <c r="J480" i="2"/>
  <c r="I480" i="2"/>
  <c r="D480" i="2"/>
  <c r="F480" i="2"/>
  <c r="C480" i="2"/>
  <c r="E260" i="2"/>
  <c r="F260" i="2"/>
  <c r="C260" i="2"/>
  <c r="A260" i="2"/>
  <c r="D260" i="2"/>
  <c r="I260" i="2"/>
  <c r="H260" i="2"/>
  <c r="G260" i="2"/>
  <c r="B260" i="2"/>
  <c r="K260" i="2"/>
  <c r="J260" i="2"/>
  <c r="I450" i="2"/>
  <c r="K450" i="2"/>
  <c r="H450" i="2"/>
  <c r="E450" i="2"/>
  <c r="F450" i="2"/>
  <c r="D450" i="2"/>
  <c r="J450" i="2"/>
  <c r="G450" i="2"/>
  <c r="C450" i="2"/>
  <c r="B450" i="2"/>
  <c r="A450" i="2"/>
  <c r="D249" i="2"/>
  <c r="A249" i="2"/>
  <c r="I249" i="2"/>
  <c r="J249" i="2"/>
  <c r="K249" i="2"/>
  <c r="F249" i="2"/>
  <c r="E249" i="2"/>
  <c r="C249" i="2"/>
  <c r="B249" i="2"/>
  <c r="H249" i="2"/>
  <c r="G249" i="2"/>
  <c r="E17" i="2"/>
  <c r="F17" i="2"/>
  <c r="D17" i="2"/>
  <c r="A17" i="2"/>
  <c r="C17" i="2"/>
  <c r="B17" i="2"/>
  <c r="I17" i="2"/>
  <c r="G17" i="2"/>
  <c r="K17" i="2"/>
  <c r="J17" i="2"/>
  <c r="H17" i="2"/>
  <c r="C186" i="2"/>
  <c r="A186" i="2"/>
  <c r="K186" i="2"/>
  <c r="G186" i="2"/>
  <c r="E186" i="2"/>
  <c r="B186" i="2"/>
  <c r="J186" i="2"/>
  <c r="H186" i="2"/>
  <c r="F186" i="2"/>
  <c r="D186" i="2"/>
  <c r="I186" i="2"/>
  <c r="A53" i="2"/>
  <c r="K53" i="2"/>
  <c r="G53" i="2"/>
  <c r="B53" i="2"/>
  <c r="J53" i="2"/>
  <c r="I53" i="2"/>
  <c r="H53" i="2"/>
  <c r="F53" i="2"/>
  <c r="E53" i="2"/>
  <c r="D53" i="2"/>
  <c r="C53" i="2"/>
  <c r="D176" i="2"/>
  <c r="I176" i="2"/>
  <c r="H176" i="2"/>
  <c r="F176" i="2"/>
  <c r="E176" i="2"/>
  <c r="C176" i="2"/>
  <c r="B176" i="2"/>
  <c r="A176" i="2"/>
  <c r="J176" i="2"/>
  <c r="K176" i="2"/>
  <c r="G176" i="2"/>
  <c r="E356" i="2"/>
  <c r="D356" i="2"/>
  <c r="H356" i="2"/>
  <c r="F356" i="2"/>
  <c r="I356" i="2"/>
  <c r="G356" i="2"/>
  <c r="C356" i="2"/>
  <c r="A356" i="2"/>
  <c r="K356" i="2"/>
  <c r="B356" i="2"/>
  <c r="J356" i="2"/>
  <c r="K285" i="2"/>
  <c r="F285" i="2"/>
  <c r="G285" i="2"/>
  <c r="I285" i="2"/>
  <c r="J285" i="2"/>
  <c r="B285" i="2"/>
  <c r="A285" i="2"/>
  <c r="H285" i="2"/>
  <c r="D285" i="2"/>
  <c r="E285" i="2"/>
  <c r="C285" i="2"/>
  <c r="B276" i="2"/>
  <c r="I276" i="2"/>
  <c r="A276" i="2"/>
  <c r="D276" i="2"/>
  <c r="E276" i="2"/>
  <c r="G276" i="2"/>
  <c r="K276" i="2"/>
  <c r="J276" i="2"/>
  <c r="H276" i="2"/>
  <c r="C276" i="2"/>
  <c r="F276" i="2"/>
  <c r="A366" i="2"/>
  <c r="K366" i="2"/>
  <c r="G366" i="2"/>
  <c r="F366" i="2"/>
  <c r="E366" i="2"/>
  <c r="B366" i="2"/>
  <c r="D366" i="2"/>
  <c r="C366" i="2"/>
  <c r="I366" i="2"/>
  <c r="J366" i="2"/>
  <c r="H366" i="2"/>
  <c r="J247" i="2"/>
  <c r="C247" i="2"/>
  <c r="D247" i="2"/>
  <c r="A247" i="2"/>
  <c r="H247" i="2"/>
  <c r="G247" i="2"/>
  <c r="F247" i="2"/>
  <c r="E247" i="2"/>
  <c r="B247" i="2"/>
  <c r="K247" i="2"/>
  <c r="I247" i="2"/>
  <c r="F452" i="2"/>
  <c r="B452" i="2"/>
  <c r="J452" i="2"/>
  <c r="I452" i="2"/>
  <c r="G452" i="2"/>
  <c r="C452" i="2"/>
  <c r="K452" i="2"/>
  <c r="H452" i="2"/>
  <c r="E452" i="2"/>
  <c r="D452" i="2"/>
  <c r="A452" i="2"/>
  <c r="I312" i="2"/>
  <c r="D312" i="2"/>
  <c r="A312" i="2"/>
  <c r="J312" i="2"/>
  <c r="H312" i="2"/>
  <c r="B312" i="2"/>
  <c r="K312" i="2"/>
  <c r="E312" i="2"/>
  <c r="F312" i="2"/>
  <c r="C312" i="2"/>
  <c r="G312" i="2"/>
  <c r="G357" i="2"/>
  <c r="H357" i="2"/>
  <c r="B357" i="2"/>
  <c r="D357" i="2"/>
  <c r="C357" i="2"/>
  <c r="F357" i="2"/>
  <c r="A357" i="2"/>
  <c r="K357" i="2"/>
  <c r="J357" i="2"/>
  <c r="I357" i="2"/>
  <c r="E357" i="2"/>
  <c r="A488" i="2"/>
  <c r="K488" i="2"/>
  <c r="G488" i="2"/>
  <c r="J488" i="2"/>
  <c r="H488" i="2"/>
  <c r="F488" i="2"/>
  <c r="I488" i="2"/>
  <c r="E488" i="2"/>
  <c r="D488" i="2"/>
  <c r="B488" i="2"/>
  <c r="C488" i="2"/>
  <c r="B254" i="2"/>
  <c r="I254" i="2"/>
  <c r="G254" i="2"/>
  <c r="E254" i="2"/>
  <c r="K254" i="2"/>
  <c r="J254" i="2"/>
  <c r="H254" i="2"/>
  <c r="F254" i="2"/>
  <c r="D254" i="2"/>
  <c r="C254" i="2"/>
  <c r="A254" i="2"/>
  <c r="H459" i="2"/>
  <c r="J459" i="2"/>
  <c r="F459" i="2"/>
  <c r="C459" i="2"/>
  <c r="G459" i="2"/>
  <c r="E459" i="2"/>
  <c r="K459" i="2"/>
  <c r="I459" i="2"/>
  <c r="B459" i="2"/>
  <c r="D459" i="2"/>
  <c r="A459" i="2"/>
  <c r="K402" i="2"/>
  <c r="C402" i="2"/>
  <c r="J402" i="2"/>
  <c r="H402" i="2"/>
  <c r="E402" i="2"/>
  <c r="I402" i="2"/>
  <c r="B402" i="2"/>
  <c r="A402" i="2"/>
  <c r="F402" i="2"/>
  <c r="G402" i="2"/>
  <c r="D402" i="2"/>
  <c r="G449" i="2"/>
  <c r="H449" i="2"/>
  <c r="K449" i="2"/>
  <c r="J449" i="2"/>
  <c r="F449" i="2"/>
  <c r="C449" i="2"/>
  <c r="D449" i="2"/>
  <c r="I449" i="2"/>
  <c r="E449" i="2"/>
  <c r="A449" i="2"/>
  <c r="B449" i="2"/>
  <c r="J473" i="2"/>
  <c r="F473" i="2"/>
  <c r="D473" i="2"/>
  <c r="C473" i="2"/>
  <c r="A473" i="2"/>
  <c r="K473" i="2"/>
  <c r="E473" i="2"/>
  <c r="B473" i="2"/>
  <c r="G473" i="2"/>
  <c r="I473" i="2"/>
  <c r="H473" i="2"/>
  <c r="G35" i="2"/>
  <c r="C35" i="2"/>
  <c r="D35" i="2"/>
  <c r="K35" i="2"/>
  <c r="A35" i="2"/>
  <c r="J35" i="2"/>
  <c r="I35" i="2"/>
  <c r="H35" i="2"/>
  <c r="F35" i="2"/>
  <c r="E35" i="2"/>
  <c r="B35" i="2"/>
  <c r="E289" i="2"/>
  <c r="H289" i="2"/>
  <c r="F289" i="2"/>
  <c r="C289" i="2"/>
  <c r="J289" i="2"/>
  <c r="I289" i="2"/>
  <c r="G289" i="2"/>
  <c r="B289" i="2"/>
  <c r="A289" i="2"/>
  <c r="K289" i="2"/>
  <c r="D289" i="2"/>
  <c r="I22" i="2"/>
  <c r="E22" i="2"/>
  <c r="A22" i="2"/>
  <c r="H22" i="2"/>
  <c r="K22" i="2"/>
  <c r="J22" i="2"/>
  <c r="G22" i="2"/>
  <c r="F22" i="2"/>
  <c r="D22" i="2"/>
  <c r="C22" i="2"/>
  <c r="B22" i="2"/>
  <c r="G414" i="2"/>
  <c r="J414" i="2"/>
  <c r="E414" i="2"/>
  <c r="I414" i="2"/>
  <c r="H414" i="2"/>
  <c r="D414" i="2"/>
  <c r="A414" i="2"/>
  <c r="C414" i="2"/>
  <c r="K414" i="2"/>
  <c r="F414" i="2"/>
  <c r="B414" i="2"/>
  <c r="A39" i="2"/>
  <c r="K39" i="2"/>
  <c r="G39" i="2"/>
  <c r="E39" i="2"/>
  <c r="D39" i="2"/>
  <c r="C39" i="2"/>
  <c r="B39" i="2"/>
  <c r="I39" i="2"/>
  <c r="F39" i="2"/>
  <c r="J39" i="2"/>
  <c r="H39" i="2"/>
  <c r="A95" i="2"/>
  <c r="K95" i="2"/>
  <c r="G95" i="2"/>
  <c r="E95" i="2"/>
  <c r="C95" i="2"/>
  <c r="B95" i="2"/>
  <c r="J95" i="2"/>
  <c r="I95" i="2"/>
  <c r="H95" i="2"/>
  <c r="F95" i="2"/>
  <c r="D95" i="2"/>
  <c r="B262" i="2"/>
  <c r="K262" i="2"/>
  <c r="D262" i="2"/>
  <c r="A262" i="2"/>
  <c r="H262" i="2"/>
  <c r="G262" i="2"/>
  <c r="F262" i="2"/>
  <c r="E262" i="2"/>
  <c r="C262" i="2"/>
  <c r="J262" i="2"/>
  <c r="I262" i="2"/>
  <c r="G339" i="2"/>
  <c r="I339" i="2"/>
  <c r="A339" i="2"/>
  <c r="D339" i="2"/>
  <c r="F339" i="2"/>
  <c r="C339" i="2"/>
  <c r="B339" i="2"/>
  <c r="K339" i="2"/>
  <c r="J339" i="2"/>
  <c r="H339" i="2"/>
  <c r="E339" i="2"/>
  <c r="J252" i="2"/>
  <c r="K252" i="2"/>
  <c r="C252" i="2"/>
  <c r="I252" i="2"/>
  <c r="H252" i="2"/>
  <c r="G252" i="2"/>
  <c r="F252" i="2"/>
  <c r="E252" i="2"/>
  <c r="D252" i="2"/>
  <c r="B252" i="2"/>
  <c r="A252" i="2"/>
  <c r="D228" i="2"/>
  <c r="J228" i="2"/>
  <c r="F228" i="2"/>
  <c r="I228" i="2"/>
  <c r="H228" i="2"/>
  <c r="C228" i="2"/>
  <c r="B228" i="2"/>
  <c r="A228" i="2"/>
  <c r="K228" i="2"/>
  <c r="G228" i="2"/>
  <c r="E228" i="2"/>
  <c r="C503" i="2"/>
  <c r="H503" i="2"/>
  <c r="K503" i="2"/>
  <c r="J503" i="2"/>
  <c r="F503" i="2"/>
  <c r="D503" i="2"/>
  <c r="B503" i="2"/>
  <c r="A503" i="2"/>
  <c r="I503" i="2"/>
  <c r="G503" i="2"/>
  <c r="E503" i="2"/>
  <c r="E448" i="2"/>
  <c r="I448" i="2"/>
  <c r="D448" i="2"/>
  <c r="F448" i="2"/>
  <c r="C448" i="2"/>
  <c r="A448" i="2"/>
  <c r="B448" i="2"/>
  <c r="G448" i="2"/>
  <c r="J448" i="2"/>
  <c r="H448" i="2"/>
  <c r="K448" i="2"/>
  <c r="G369" i="2"/>
  <c r="C369" i="2"/>
  <c r="D369" i="2"/>
  <c r="B369" i="2"/>
  <c r="K369" i="2"/>
  <c r="A369" i="2"/>
  <c r="J369" i="2"/>
  <c r="F369" i="2"/>
  <c r="I369" i="2"/>
  <c r="H369" i="2"/>
  <c r="E369" i="2"/>
  <c r="G393" i="2"/>
  <c r="E393" i="2"/>
  <c r="A393" i="2"/>
  <c r="K393" i="2"/>
  <c r="H393" i="2"/>
  <c r="F393" i="2"/>
  <c r="D393" i="2"/>
  <c r="J393" i="2"/>
  <c r="I393" i="2"/>
  <c r="B393" i="2"/>
  <c r="C393" i="2"/>
  <c r="G21" i="2"/>
  <c r="C21" i="2"/>
  <c r="H21" i="2"/>
  <c r="F21" i="2"/>
  <c r="B21" i="2"/>
  <c r="E21" i="2"/>
  <c r="D21" i="2"/>
  <c r="A21" i="2"/>
  <c r="K21" i="2"/>
  <c r="I21" i="2"/>
  <c r="J21" i="2"/>
  <c r="I57" i="2"/>
  <c r="E57" i="2"/>
  <c r="A57" i="2"/>
  <c r="D57" i="2"/>
  <c r="F57" i="2"/>
  <c r="C57" i="2"/>
  <c r="B57" i="2"/>
  <c r="J57" i="2"/>
  <c r="G57" i="2"/>
  <c r="K57" i="2"/>
  <c r="H57" i="2"/>
  <c r="E48" i="2"/>
  <c r="A48" i="2"/>
  <c r="K48" i="2"/>
  <c r="D48" i="2"/>
  <c r="C48" i="2"/>
  <c r="F48" i="2"/>
  <c r="B48" i="2"/>
  <c r="H48" i="2"/>
  <c r="J48" i="2"/>
  <c r="I48" i="2"/>
  <c r="G48" i="2"/>
  <c r="E97" i="2"/>
  <c r="A97" i="2"/>
  <c r="K97" i="2"/>
  <c r="H97" i="2"/>
  <c r="F97" i="2"/>
  <c r="C97" i="2"/>
  <c r="J97" i="2"/>
  <c r="I97" i="2"/>
  <c r="G97" i="2"/>
  <c r="D97" i="2"/>
  <c r="B97" i="2"/>
  <c r="E83" i="2"/>
  <c r="A83" i="2"/>
  <c r="K83" i="2"/>
  <c r="C83" i="2"/>
  <c r="J83" i="2"/>
  <c r="B83" i="2"/>
  <c r="I83" i="2"/>
  <c r="H83" i="2"/>
  <c r="G83" i="2"/>
  <c r="F83" i="2"/>
  <c r="D83" i="2"/>
  <c r="C19" i="2"/>
  <c r="I19" i="2"/>
  <c r="J19" i="2"/>
  <c r="K19" i="2"/>
  <c r="H19" i="2"/>
  <c r="A19" i="2"/>
  <c r="G19" i="2"/>
  <c r="F19" i="2"/>
  <c r="E19" i="2"/>
  <c r="D19" i="2"/>
  <c r="B19" i="2"/>
  <c r="K58" i="2"/>
  <c r="G58" i="2"/>
  <c r="C58" i="2"/>
  <c r="J58" i="2"/>
  <c r="I58" i="2"/>
  <c r="H58" i="2"/>
  <c r="F58" i="2"/>
  <c r="E58" i="2"/>
  <c r="D58" i="2"/>
  <c r="B58" i="2"/>
  <c r="A58" i="2"/>
  <c r="K156" i="2"/>
  <c r="G156" i="2"/>
  <c r="F156" i="2"/>
  <c r="D156" i="2"/>
  <c r="C156" i="2"/>
  <c r="B156" i="2"/>
  <c r="I156" i="2"/>
  <c r="H156" i="2"/>
  <c r="E156" i="2"/>
  <c r="A156" i="2"/>
  <c r="J156" i="2"/>
  <c r="I127" i="2"/>
  <c r="E127" i="2"/>
  <c r="A127" i="2"/>
  <c r="F127" i="2"/>
  <c r="D127" i="2"/>
  <c r="C127" i="2"/>
  <c r="K127" i="2"/>
  <c r="J127" i="2"/>
  <c r="H127" i="2"/>
  <c r="G127" i="2"/>
  <c r="B127" i="2"/>
  <c r="K114" i="2"/>
  <c r="G114" i="2"/>
  <c r="C114" i="2"/>
  <c r="I114" i="2"/>
  <c r="F114" i="2"/>
  <c r="E114" i="2"/>
  <c r="D114" i="2"/>
  <c r="B114" i="2"/>
  <c r="A114" i="2"/>
  <c r="H114" i="2"/>
  <c r="J114" i="2"/>
  <c r="I136" i="2"/>
  <c r="E136" i="2"/>
  <c r="D136" i="2"/>
  <c r="K136" i="2"/>
  <c r="H136" i="2"/>
  <c r="F136" i="2"/>
  <c r="B136" i="2"/>
  <c r="A136" i="2"/>
  <c r="J136" i="2"/>
  <c r="G136" i="2"/>
  <c r="C136" i="2"/>
  <c r="G140" i="2"/>
  <c r="C140" i="2"/>
  <c r="F140" i="2"/>
  <c r="E140" i="2"/>
  <c r="D140" i="2"/>
  <c r="B140" i="2"/>
  <c r="K140" i="2"/>
  <c r="J140" i="2"/>
  <c r="I140" i="2"/>
  <c r="H140" i="2"/>
  <c r="A140" i="2"/>
  <c r="A301" i="2"/>
  <c r="J301" i="2"/>
  <c r="C301" i="2"/>
  <c r="K301" i="2"/>
  <c r="G301" i="2"/>
  <c r="E301" i="2"/>
  <c r="B301" i="2"/>
  <c r="F301" i="2"/>
  <c r="D301" i="2"/>
  <c r="I301" i="2"/>
  <c r="H301" i="2"/>
  <c r="F264" i="2"/>
  <c r="B264" i="2"/>
  <c r="J264" i="2"/>
  <c r="K264" i="2"/>
  <c r="H264" i="2"/>
  <c r="G264" i="2"/>
  <c r="E264" i="2"/>
  <c r="D264" i="2"/>
  <c r="C264" i="2"/>
  <c r="A264" i="2"/>
  <c r="I264" i="2"/>
  <c r="H244" i="2"/>
  <c r="A244" i="2"/>
  <c r="I244" i="2"/>
  <c r="D244" i="2"/>
  <c r="B244" i="2"/>
  <c r="J244" i="2"/>
  <c r="F244" i="2"/>
  <c r="E244" i="2"/>
  <c r="K244" i="2"/>
  <c r="G244" i="2"/>
  <c r="C244" i="2"/>
  <c r="K479" i="2"/>
  <c r="I479" i="2"/>
  <c r="C479" i="2"/>
  <c r="B479" i="2"/>
  <c r="J479" i="2"/>
  <c r="H479" i="2"/>
  <c r="G479" i="2"/>
  <c r="E479" i="2"/>
  <c r="A479" i="2"/>
  <c r="F479" i="2"/>
  <c r="D479" i="2"/>
  <c r="C341" i="2"/>
  <c r="D341" i="2"/>
  <c r="B341" i="2"/>
  <c r="K341" i="2"/>
  <c r="J341" i="2"/>
  <c r="G341" i="2"/>
  <c r="E341" i="2"/>
  <c r="H341" i="2"/>
  <c r="F341" i="2"/>
  <c r="A341" i="2"/>
  <c r="I341" i="2"/>
  <c r="C214" i="2"/>
  <c r="A214" i="2"/>
  <c r="B214" i="2"/>
  <c r="K214" i="2"/>
  <c r="J214" i="2"/>
  <c r="I214" i="2"/>
  <c r="H214" i="2"/>
  <c r="F214" i="2"/>
  <c r="E214" i="2"/>
  <c r="D214" i="2"/>
  <c r="G214" i="2"/>
  <c r="I217" i="2"/>
  <c r="G217" i="2"/>
  <c r="K217" i="2"/>
  <c r="J217" i="2"/>
  <c r="H217" i="2"/>
  <c r="F217" i="2"/>
  <c r="E217" i="2"/>
  <c r="D217" i="2"/>
  <c r="C217" i="2"/>
  <c r="A217" i="2"/>
  <c r="B217" i="2"/>
  <c r="I277" i="2"/>
  <c r="D277" i="2"/>
  <c r="E277" i="2"/>
  <c r="J277" i="2"/>
  <c r="F277" i="2"/>
  <c r="B277" i="2"/>
  <c r="K277" i="2"/>
  <c r="G277" i="2"/>
  <c r="C277" i="2"/>
  <c r="A277" i="2"/>
  <c r="H277" i="2"/>
  <c r="C496" i="2"/>
  <c r="F496" i="2"/>
  <c r="A496" i="2"/>
  <c r="J496" i="2"/>
  <c r="I496" i="2"/>
  <c r="G496" i="2"/>
  <c r="B496" i="2"/>
  <c r="E496" i="2"/>
  <c r="D496" i="2"/>
  <c r="K496" i="2"/>
  <c r="H496" i="2"/>
  <c r="K327" i="2"/>
  <c r="F327" i="2"/>
  <c r="A327" i="2"/>
  <c r="I327" i="2"/>
  <c r="J327" i="2"/>
  <c r="H327" i="2"/>
  <c r="G327" i="2"/>
  <c r="C327" i="2"/>
  <c r="D327" i="2"/>
  <c r="B327" i="2"/>
  <c r="E327" i="2"/>
  <c r="K388" i="2"/>
  <c r="E388" i="2"/>
  <c r="A388" i="2"/>
  <c r="D388" i="2"/>
  <c r="C388" i="2"/>
  <c r="H388" i="2"/>
  <c r="J388" i="2"/>
  <c r="F388" i="2"/>
  <c r="I388" i="2"/>
  <c r="G388" i="2"/>
  <c r="B388" i="2"/>
  <c r="H389" i="2"/>
  <c r="D389" i="2"/>
  <c r="J389" i="2"/>
  <c r="I389" i="2"/>
  <c r="B389" i="2"/>
  <c r="F389" i="2"/>
  <c r="E389" i="2"/>
  <c r="G389" i="2"/>
  <c r="C389" i="2"/>
  <c r="K389" i="2"/>
  <c r="A389" i="2"/>
  <c r="I344" i="2"/>
  <c r="G344" i="2"/>
  <c r="B344" i="2"/>
  <c r="K344" i="2"/>
  <c r="E344" i="2"/>
  <c r="J344" i="2"/>
  <c r="H344" i="2"/>
  <c r="F344" i="2"/>
  <c r="D344" i="2"/>
  <c r="C344" i="2"/>
  <c r="A344" i="2"/>
  <c r="I380" i="2"/>
  <c r="K380" i="2"/>
  <c r="F380" i="2"/>
  <c r="D380" i="2"/>
  <c r="B380" i="2"/>
  <c r="G380" i="2"/>
  <c r="C380" i="2"/>
  <c r="J380" i="2"/>
  <c r="H380" i="2"/>
  <c r="E380" i="2"/>
  <c r="A380" i="2"/>
  <c r="K21" i="3"/>
  <c r="M21" i="3" s="1"/>
  <c r="E434" i="2"/>
  <c r="K434" i="2"/>
  <c r="G434" i="2"/>
  <c r="H434" i="2"/>
  <c r="C434" i="2"/>
  <c r="F434" i="2"/>
  <c r="D434" i="2"/>
  <c r="A434" i="2"/>
  <c r="J434" i="2"/>
  <c r="I434" i="2"/>
  <c r="B434" i="2"/>
  <c r="J375" i="2"/>
  <c r="F375" i="2"/>
  <c r="B375" i="2"/>
  <c r="A375" i="2"/>
  <c r="G375" i="2"/>
  <c r="H375" i="2"/>
  <c r="E375" i="2"/>
  <c r="C375" i="2"/>
  <c r="D375" i="2"/>
  <c r="K375" i="2"/>
  <c r="I375" i="2"/>
  <c r="E363" i="2"/>
  <c r="K363" i="2"/>
  <c r="F363" i="2"/>
  <c r="B363" i="2"/>
  <c r="C363" i="2"/>
  <c r="G363" i="2"/>
  <c r="A363" i="2"/>
  <c r="I363" i="2"/>
  <c r="H363" i="2"/>
  <c r="D363" i="2"/>
  <c r="J363" i="2"/>
  <c r="C426" i="2"/>
  <c r="A426" i="2"/>
  <c r="F426" i="2"/>
  <c r="E426" i="2"/>
  <c r="B426" i="2"/>
  <c r="K426" i="2"/>
  <c r="H426" i="2"/>
  <c r="G426" i="2"/>
  <c r="I426" i="2"/>
  <c r="D426" i="2"/>
  <c r="J426" i="2"/>
  <c r="I326" i="2"/>
  <c r="D326" i="2"/>
  <c r="E326" i="2"/>
  <c r="B326" i="2"/>
  <c r="A326" i="2"/>
  <c r="K326" i="2"/>
  <c r="J326" i="2"/>
  <c r="H326" i="2"/>
  <c r="G326" i="2"/>
  <c r="F326" i="2"/>
  <c r="C326" i="2"/>
  <c r="J245" i="2"/>
  <c r="D245" i="2"/>
  <c r="I245" i="2"/>
  <c r="G245" i="2"/>
  <c r="K245" i="2"/>
  <c r="H245" i="2"/>
  <c r="F245" i="2"/>
  <c r="E245" i="2"/>
  <c r="C245" i="2"/>
  <c r="B245" i="2"/>
  <c r="A245" i="2"/>
  <c r="I219" i="2"/>
  <c r="H219" i="2"/>
  <c r="E219" i="2"/>
  <c r="D219" i="2"/>
  <c r="C219" i="2"/>
  <c r="B219" i="2"/>
  <c r="A219" i="2"/>
  <c r="K219" i="2"/>
  <c r="J219" i="2"/>
  <c r="G219" i="2"/>
  <c r="F219" i="2"/>
  <c r="B382" i="2"/>
  <c r="F382" i="2"/>
  <c r="E382" i="2"/>
  <c r="K382" i="2"/>
  <c r="A382" i="2"/>
  <c r="C382" i="2"/>
  <c r="I382" i="2"/>
  <c r="J382" i="2"/>
  <c r="G382" i="2"/>
  <c r="D382" i="2"/>
  <c r="H382" i="2"/>
  <c r="J494" i="2"/>
  <c r="H494" i="2"/>
  <c r="F494" i="2"/>
  <c r="E494" i="2"/>
  <c r="A494" i="2"/>
  <c r="C494" i="2"/>
  <c r="D494" i="2"/>
  <c r="B494" i="2"/>
  <c r="I494" i="2"/>
  <c r="K494" i="2"/>
  <c r="G494" i="2"/>
  <c r="G268" i="2"/>
  <c r="K268" i="2"/>
  <c r="A268" i="2"/>
  <c r="J268" i="2"/>
  <c r="I268" i="2"/>
  <c r="H268" i="2"/>
  <c r="F268" i="2"/>
  <c r="E268" i="2"/>
  <c r="D268" i="2"/>
  <c r="C268" i="2"/>
  <c r="B268" i="2"/>
  <c r="G400" i="2"/>
  <c r="H400" i="2"/>
  <c r="A400" i="2"/>
  <c r="K400" i="2"/>
  <c r="I400" i="2"/>
  <c r="E400" i="2"/>
  <c r="D400" i="2"/>
  <c r="B400" i="2"/>
  <c r="F400" i="2"/>
  <c r="C400" i="2"/>
  <c r="J400" i="2"/>
  <c r="E41" i="2"/>
  <c r="A41" i="2"/>
  <c r="K41" i="2"/>
  <c r="C41" i="2"/>
  <c r="J41" i="2"/>
  <c r="I41" i="2"/>
  <c r="H41" i="2"/>
  <c r="G41" i="2"/>
  <c r="F41" i="2"/>
  <c r="D41" i="2"/>
  <c r="B41" i="2"/>
  <c r="K198" i="2"/>
  <c r="I198" i="2"/>
  <c r="G198" i="2"/>
  <c r="E198" i="2"/>
  <c r="D198" i="2"/>
  <c r="J198" i="2"/>
  <c r="F198" i="2"/>
  <c r="C198" i="2"/>
  <c r="B198" i="2"/>
  <c r="H198" i="2"/>
  <c r="A198" i="2"/>
  <c r="A411" i="2"/>
  <c r="K411" i="2"/>
  <c r="I411" i="2"/>
  <c r="H411" i="2"/>
  <c r="F411" i="2"/>
  <c r="C411" i="2"/>
  <c r="J411" i="2"/>
  <c r="G411" i="2"/>
  <c r="E411" i="2"/>
  <c r="D411" i="2"/>
  <c r="B411" i="2"/>
  <c r="E111" i="2"/>
  <c r="A111" i="2"/>
  <c r="K111" i="2"/>
  <c r="I111" i="2"/>
  <c r="G111" i="2"/>
  <c r="F111" i="2"/>
  <c r="D111" i="2"/>
  <c r="C111" i="2"/>
  <c r="B111" i="2"/>
  <c r="H111" i="2"/>
  <c r="J111" i="2"/>
  <c r="A206" i="2"/>
  <c r="K206" i="2"/>
  <c r="I206" i="2"/>
  <c r="G206" i="2"/>
  <c r="F206" i="2"/>
  <c r="B206" i="2"/>
  <c r="J206" i="2"/>
  <c r="H206" i="2"/>
  <c r="C206" i="2"/>
  <c r="E206" i="2"/>
  <c r="D206" i="2"/>
  <c r="A322" i="2"/>
  <c r="J322" i="2"/>
  <c r="D322" i="2"/>
  <c r="C322" i="2"/>
  <c r="F322" i="2"/>
  <c r="B322" i="2"/>
  <c r="H322" i="2"/>
  <c r="G322" i="2"/>
  <c r="K322" i="2"/>
  <c r="I322" i="2"/>
  <c r="E322" i="2"/>
  <c r="C367" i="2"/>
  <c r="K367" i="2"/>
  <c r="J367" i="2"/>
  <c r="E367" i="2"/>
  <c r="D367" i="2"/>
  <c r="A367" i="2"/>
  <c r="H367" i="2"/>
  <c r="I367" i="2"/>
  <c r="G367" i="2"/>
  <c r="F367" i="2"/>
  <c r="B367" i="2"/>
  <c r="I24" i="2"/>
  <c r="E24" i="2"/>
  <c r="G24" i="2"/>
  <c r="F24" i="2"/>
  <c r="B24" i="2"/>
  <c r="D24" i="2"/>
  <c r="C24" i="2"/>
  <c r="A24" i="2"/>
  <c r="K24" i="2"/>
  <c r="H24" i="2"/>
  <c r="J24" i="2"/>
  <c r="E62" i="2"/>
  <c r="A62" i="2"/>
  <c r="K62" i="2"/>
  <c r="F62" i="2"/>
  <c r="D62" i="2"/>
  <c r="C62" i="2"/>
  <c r="B62" i="2"/>
  <c r="I62" i="2"/>
  <c r="G62" i="2"/>
  <c r="J62" i="2"/>
  <c r="H62" i="2"/>
  <c r="K51" i="2"/>
  <c r="G51" i="2"/>
  <c r="C51" i="2"/>
  <c r="D51" i="2"/>
  <c r="B51" i="2"/>
  <c r="A51" i="2"/>
  <c r="H51" i="2"/>
  <c r="E51" i="2"/>
  <c r="J51" i="2"/>
  <c r="I51" i="2"/>
  <c r="F51" i="2"/>
  <c r="E104" i="2"/>
  <c r="A104" i="2"/>
  <c r="K104" i="2"/>
  <c r="J104" i="2"/>
  <c r="D104" i="2"/>
  <c r="B104" i="2"/>
  <c r="C104" i="2"/>
  <c r="I104" i="2"/>
  <c r="H104" i="2"/>
  <c r="G104" i="2"/>
  <c r="F104" i="2"/>
  <c r="I85" i="2"/>
  <c r="E85" i="2"/>
  <c r="A85" i="2"/>
  <c r="J85" i="2"/>
  <c r="G85" i="2"/>
  <c r="K85" i="2"/>
  <c r="H85" i="2"/>
  <c r="F85" i="2"/>
  <c r="D85" i="2"/>
  <c r="C85" i="2"/>
  <c r="B85" i="2"/>
  <c r="K100" i="2"/>
  <c r="G100" i="2"/>
  <c r="C100" i="2"/>
  <c r="H100" i="2"/>
  <c r="E100" i="2"/>
  <c r="J100" i="2"/>
  <c r="I100" i="2"/>
  <c r="F100" i="2"/>
  <c r="D100" i="2"/>
  <c r="B100" i="2"/>
  <c r="A100" i="2"/>
  <c r="G63" i="2"/>
  <c r="C63" i="2"/>
  <c r="D63" i="2"/>
  <c r="K63" i="2"/>
  <c r="I63" i="2"/>
  <c r="J63" i="2"/>
  <c r="H63" i="2"/>
  <c r="F63" i="2"/>
  <c r="E63" i="2"/>
  <c r="B63" i="2"/>
  <c r="A63" i="2"/>
  <c r="I162" i="2"/>
  <c r="E162" i="2"/>
  <c r="D162" i="2"/>
  <c r="B162" i="2"/>
  <c r="A162" i="2"/>
  <c r="J162" i="2"/>
  <c r="H162" i="2"/>
  <c r="G162" i="2"/>
  <c r="F162" i="2"/>
  <c r="C162" i="2"/>
  <c r="K162" i="2"/>
  <c r="E132" i="2"/>
  <c r="A132" i="2"/>
  <c r="K132" i="2"/>
  <c r="J132" i="2"/>
  <c r="D132" i="2"/>
  <c r="C132" i="2"/>
  <c r="B132" i="2"/>
  <c r="I132" i="2"/>
  <c r="H132" i="2"/>
  <c r="G132" i="2"/>
  <c r="F132" i="2"/>
  <c r="I134" i="2"/>
  <c r="E134" i="2"/>
  <c r="A134" i="2"/>
  <c r="J134" i="2"/>
  <c r="G134" i="2"/>
  <c r="F134" i="2"/>
  <c r="K134" i="2"/>
  <c r="H134" i="2"/>
  <c r="D134" i="2"/>
  <c r="B134" i="2"/>
  <c r="C134" i="2"/>
  <c r="E146" i="2"/>
  <c r="A146" i="2"/>
  <c r="K146" i="2"/>
  <c r="J146" i="2"/>
  <c r="I146" i="2"/>
  <c r="H146" i="2"/>
  <c r="G146" i="2"/>
  <c r="D146" i="2"/>
  <c r="C146" i="2"/>
  <c r="B146" i="2"/>
  <c r="F146" i="2"/>
  <c r="G147" i="2"/>
  <c r="C147" i="2"/>
  <c r="B147" i="2"/>
  <c r="D147" i="2"/>
  <c r="A147" i="2"/>
  <c r="K147" i="2"/>
  <c r="J147" i="2"/>
  <c r="I147" i="2"/>
  <c r="F147" i="2"/>
  <c r="H147" i="2"/>
  <c r="E147" i="2"/>
  <c r="G202" i="2"/>
  <c r="E202" i="2"/>
  <c r="K202" i="2"/>
  <c r="I202" i="2"/>
  <c r="F202" i="2"/>
  <c r="D202" i="2"/>
  <c r="J202" i="2"/>
  <c r="H202" i="2"/>
  <c r="C202" i="2"/>
  <c r="A202" i="2"/>
  <c r="B202" i="2"/>
  <c r="C362" i="2"/>
  <c r="H362" i="2"/>
  <c r="B362" i="2"/>
  <c r="F362" i="2"/>
  <c r="E362" i="2"/>
  <c r="K362" i="2"/>
  <c r="I362" i="2"/>
  <c r="G362" i="2"/>
  <c r="D362" i="2"/>
  <c r="A362" i="2"/>
  <c r="J362" i="2"/>
  <c r="E296" i="2"/>
  <c r="F296" i="2"/>
  <c r="J296" i="2"/>
  <c r="C296" i="2"/>
  <c r="A296" i="2"/>
  <c r="B296" i="2"/>
  <c r="G296" i="2"/>
  <c r="K296" i="2"/>
  <c r="I296" i="2"/>
  <c r="H296" i="2"/>
  <c r="D296" i="2"/>
  <c r="I196" i="2"/>
  <c r="G196" i="2"/>
  <c r="E196" i="2"/>
  <c r="A196" i="2"/>
  <c r="K196" i="2"/>
  <c r="J196" i="2"/>
  <c r="H196" i="2"/>
  <c r="D196" i="2"/>
  <c r="C196" i="2"/>
  <c r="B196" i="2"/>
  <c r="F196" i="2"/>
  <c r="E427" i="2"/>
  <c r="D427" i="2"/>
  <c r="K427" i="2"/>
  <c r="J427" i="2"/>
  <c r="H427" i="2"/>
  <c r="C427" i="2"/>
  <c r="I427" i="2"/>
  <c r="G427" i="2"/>
  <c r="B427" i="2"/>
  <c r="A427" i="2"/>
  <c r="F427" i="2"/>
  <c r="J224" i="2"/>
  <c r="C224" i="2"/>
  <c r="B224" i="2"/>
  <c r="K224" i="2"/>
  <c r="I224" i="2"/>
  <c r="H224" i="2"/>
  <c r="G224" i="2"/>
  <c r="F224" i="2"/>
  <c r="E224" i="2"/>
  <c r="D224" i="2"/>
  <c r="A224" i="2"/>
  <c r="A308" i="2"/>
  <c r="J308" i="2"/>
  <c r="H308" i="2"/>
  <c r="D308" i="2"/>
  <c r="B308" i="2"/>
  <c r="C308" i="2"/>
  <c r="K308" i="2"/>
  <c r="F308" i="2"/>
  <c r="I308" i="2"/>
  <c r="G308" i="2"/>
  <c r="E308" i="2"/>
  <c r="I298" i="2"/>
  <c r="D298" i="2"/>
  <c r="F298" i="2"/>
  <c r="E298" i="2"/>
  <c r="B298" i="2"/>
  <c r="G298" i="2"/>
  <c r="K298" i="2"/>
  <c r="H298" i="2"/>
  <c r="C298" i="2"/>
  <c r="A298" i="2"/>
  <c r="J298" i="2"/>
  <c r="D270" i="2"/>
  <c r="F270" i="2"/>
  <c r="E270" i="2"/>
  <c r="K270" i="2"/>
  <c r="I270" i="2"/>
  <c r="J270" i="2"/>
  <c r="H270" i="2"/>
  <c r="G270" i="2"/>
  <c r="C270" i="2"/>
  <c r="B270" i="2"/>
  <c r="A270" i="2"/>
  <c r="K338" i="2"/>
  <c r="I338" i="2"/>
  <c r="D338" i="2"/>
  <c r="C338" i="2"/>
  <c r="F338" i="2"/>
  <c r="A338" i="2"/>
  <c r="J338" i="2"/>
  <c r="E338" i="2"/>
  <c r="H338" i="2"/>
  <c r="G338" i="2"/>
  <c r="B338" i="2"/>
  <c r="I415" i="2"/>
  <c r="H415" i="2"/>
  <c r="K415" i="2"/>
  <c r="F415" i="2"/>
  <c r="C415" i="2"/>
  <c r="B415" i="2"/>
  <c r="G415" i="2"/>
  <c r="D415" i="2"/>
  <c r="J415" i="2"/>
  <c r="E415" i="2"/>
  <c r="A415" i="2"/>
  <c r="A425" i="2"/>
  <c r="I425" i="2"/>
  <c r="J425" i="2"/>
  <c r="F425" i="2"/>
  <c r="E425" i="2"/>
  <c r="D425" i="2"/>
  <c r="B425" i="2"/>
  <c r="K425" i="2"/>
  <c r="G425" i="2"/>
  <c r="C425" i="2"/>
  <c r="H425" i="2"/>
  <c r="I351" i="2"/>
  <c r="D351" i="2"/>
  <c r="F351" i="2"/>
  <c r="C351" i="2"/>
  <c r="G351" i="2"/>
  <c r="B351" i="2"/>
  <c r="K351" i="2"/>
  <c r="J351" i="2"/>
  <c r="E351" i="2"/>
  <c r="H351" i="2"/>
  <c r="A351" i="2"/>
  <c r="A453" i="2"/>
  <c r="I453" i="2"/>
  <c r="E453" i="2"/>
  <c r="H453" i="2"/>
  <c r="D453" i="2"/>
  <c r="K453" i="2"/>
  <c r="B453" i="2"/>
  <c r="J453" i="2"/>
  <c r="C453" i="2"/>
  <c r="G453" i="2"/>
  <c r="F453" i="2"/>
  <c r="G463" i="2"/>
  <c r="J463" i="2"/>
  <c r="E463" i="2"/>
  <c r="A463" i="2"/>
  <c r="H463" i="2"/>
  <c r="B463" i="2"/>
  <c r="C463" i="2"/>
  <c r="K463" i="2"/>
  <c r="I463" i="2"/>
  <c r="F463" i="2"/>
  <c r="D463" i="2"/>
  <c r="A508" i="2"/>
  <c r="J508" i="2"/>
  <c r="H508" i="2"/>
  <c r="G508" i="2"/>
  <c r="F508" i="2"/>
  <c r="E508" i="2"/>
  <c r="B508" i="2"/>
  <c r="K508" i="2"/>
  <c r="I508" i="2"/>
  <c r="D508" i="2"/>
  <c r="C508" i="2"/>
  <c r="C334" i="2"/>
  <c r="G334" i="2"/>
  <c r="H334" i="2"/>
  <c r="B334" i="2"/>
  <c r="F334" i="2"/>
  <c r="E334" i="2"/>
  <c r="D334" i="2"/>
  <c r="K334" i="2"/>
  <c r="J334" i="2"/>
  <c r="I334" i="2"/>
  <c r="A334" i="2"/>
  <c r="F250" i="2"/>
  <c r="D250" i="2"/>
  <c r="B250" i="2"/>
  <c r="A250" i="2"/>
  <c r="K250" i="2"/>
  <c r="J250" i="2"/>
  <c r="I250" i="2"/>
  <c r="H250" i="2"/>
  <c r="G250" i="2"/>
  <c r="E250" i="2"/>
  <c r="C250" i="2"/>
  <c r="I499" i="2"/>
  <c r="K499" i="2"/>
  <c r="H499" i="2"/>
  <c r="G499" i="2"/>
  <c r="E499" i="2"/>
  <c r="B499" i="2"/>
  <c r="A499" i="2"/>
  <c r="C499" i="2"/>
  <c r="J499" i="2"/>
  <c r="F499" i="2"/>
  <c r="D499" i="2"/>
  <c r="A81" i="2"/>
  <c r="K81" i="2"/>
  <c r="G81" i="2"/>
  <c r="D81" i="2"/>
  <c r="B81" i="2"/>
  <c r="I81" i="2"/>
  <c r="C81" i="2"/>
  <c r="J81" i="2"/>
  <c r="H81" i="2"/>
  <c r="F81" i="2"/>
  <c r="E81" i="2"/>
  <c r="B269" i="2"/>
  <c r="C269" i="2"/>
  <c r="J269" i="2"/>
  <c r="G269" i="2"/>
  <c r="E269" i="2"/>
  <c r="A269" i="2"/>
  <c r="H269" i="2"/>
  <c r="F269" i="2"/>
  <c r="D269" i="2"/>
  <c r="K269" i="2"/>
  <c r="I269" i="2"/>
  <c r="A46" i="2"/>
  <c r="K46" i="2"/>
  <c r="G46" i="2"/>
  <c r="J46" i="2"/>
  <c r="I46" i="2"/>
  <c r="H46" i="2"/>
  <c r="F46" i="2"/>
  <c r="E46" i="2"/>
  <c r="D46" i="2"/>
  <c r="C46" i="2"/>
  <c r="B46" i="2"/>
  <c r="B172" i="2"/>
  <c r="A172" i="2"/>
  <c r="K172" i="2"/>
  <c r="J172" i="2"/>
  <c r="H172" i="2"/>
  <c r="G172" i="2"/>
  <c r="F172" i="2"/>
  <c r="I172" i="2"/>
  <c r="E172" i="2"/>
  <c r="D172" i="2"/>
  <c r="C172" i="2"/>
  <c r="C207" i="2"/>
  <c r="A207" i="2"/>
  <c r="E207" i="2"/>
  <c r="K207" i="2"/>
  <c r="J207" i="2"/>
  <c r="H207" i="2"/>
  <c r="G207" i="2"/>
  <c r="F207" i="2"/>
  <c r="D207" i="2"/>
  <c r="B207" i="2"/>
  <c r="I207" i="2"/>
  <c r="G428" i="2"/>
  <c r="H428" i="2"/>
  <c r="C428" i="2"/>
  <c r="J428" i="2"/>
  <c r="E428" i="2"/>
  <c r="K428" i="2"/>
  <c r="A428" i="2"/>
  <c r="I428" i="2"/>
  <c r="F428" i="2"/>
  <c r="D428" i="2"/>
  <c r="B428" i="2"/>
  <c r="A390" i="2"/>
  <c r="K390" i="2"/>
  <c r="G390" i="2"/>
  <c r="H390" i="2"/>
  <c r="E390" i="2"/>
  <c r="B390" i="2"/>
  <c r="I390" i="2"/>
  <c r="D390" i="2"/>
  <c r="C390" i="2"/>
  <c r="J390" i="2"/>
  <c r="F390" i="2"/>
  <c r="K416" i="2"/>
  <c r="A416" i="2"/>
  <c r="C416" i="2"/>
  <c r="B416" i="2"/>
  <c r="H416" i="2"/>
  <c r="E416" i="2"/>
  <c r="D416" i="2"/>
  <c r="F416" i="2"/>
  <c r="I416" i="2"/>
  <c r="J416" i="2"/>
  <c r="G416" i="2"/>
  <c r="I73" i="2"/>
  <c r="E73" i="2"/>
  <c r="K73" i="2"/>
  <c r="H73" i="2"/>
  <c r="C73" i="2"/>
  <c r="B73" i="2"/>
  <c r="D73" i="2"/>
  <c r="A73" i="2"/>
  <c r="G73" i="2"/>
  <c r="J73" i="2"/>
  <c r="F73" i="2"/>
  <c r="I29" i="2"/>
  <c r="E29" i="2"/>
  <c r="A29" i="2"/>
  <c r="D29" i="2"/>
  <c r="B29" i="2"/>
  <c r="K29" i="2"/>
  <c r="J29" i="2"/>
  <c r="H29" i="2"/>
  <c r="G29" i="2"/>
  <c r="F29" i="2"/>
  <c r="C29" i="2"/>
  <c r="I122" i="2"/>
  <c r="E122" i="2"/>
  <c r="K122" i="2"/>
  <c r="J122" i="2"/>
  <c r="H122" i="2"/>
  <c r="D122" i="2"/>
  <c r="B122" i="2"/>
  <c r="G122" i="2"/>
  <c r="F122" i="2"/>
  <c r="C122" i="2"/>
  <c r="A122" i="2"/>
  <c r="E76" i="2"/>
  <c r="A76" i="2"/>
  <c r="K76" i="2"/>
  <c r="J76" i="2"/>
  <c r="H76" i="2"/>
  <c r="I76" i="2"/>
  <c r="G76" i="2"/>
  <c r="F76" i="2"/>
  <c r="D76" i="2"/>
  <c r="C76" i="2"/>
  <c r="B76" i="2"/>
  <c r="A199" i="2"/>
  <c r="C199" i="2"/>
  <c r="K199" i="2"/>
  <c r="I199" i="2"/>
  <c r="H199" i="2"/>
  <c r="G199" i="2"/>
  <c r="F199" i="2"/>
  <c r="E199" i="2"/>
  <c r="B199" i="2"/>
  <c r="D199" i="2"/>
  <c r="J199" i="2"/>
  <c r="I189" i="2"/>
  <c r="G189" i="2"/>
  <c r="H189" i="2"/>
  <c r="C189" i="2"/>
  <c r="A189" i="2"/>
  <c r="F189" i="2"/>
  <c r="E189" i="2"/>
  <c r="D189" i="2"/>
  <c r="K189" i="2"/>
  <c r="J189" i="2"/>
  <c r="B189" i="2"/>
  <c r="I157" i="2"/>
  <c r="H157" i="2"/>
  <c r="F157" i="2"/>
  <c r="E157" i="2"/>
  <c r="D157" i="2"/>
  <c r="J157" i="2"/>
  <c r="G157" i="2"/>
  <c r="C157" i="2"/>
  <c r="B157" i="2"/>
  <c r="A157" i="2"/>
  <c r="K157" i="2"/>
  <c r="K107" i="2"/>
  <c r="G107" i="2"/>
  <c r="C107" i="2"/>
  <c r="J107" i="2"/>
  <c r="D107" i="2"/>
  <c r="A107" i="2"/>
  <c r="I107" i="2"/>
  <c r="H107" i="2"/>
  <c r="F107" i="2"/>
  <c r="E107" i="2"/>
  <c r="B107" i="2"/>
  <c r="G161" i="2"/>
  <c r="C161" i="2"/>
  <c r="B161" i="2"/>
  <c r="K161" i="2"/>
  <c r="I161" i="2"/>
  <c r="H161" i="2"/>
  <c r="F161" i="2"/>
  <c r="E161" i="2"/>
  <c r="A161" i="2"/>
  <c r="J161" i="2"/>
  <c r="D161" i="2"/>
  <c r="G209" i="2"/>
  <c r="E209" i="2"/>
  <c r="J209" i="2"/>
  <c r="I209" i="2"/>
  <c r="F209" i="2"/>
  <c r="D209" i="2"/>
  <c r="C209" i="2"/>
  <c r="B209" i="2"/>
  <c r="K209" i="2"/>
  <c r="H209" i="2"/>
  <c r="A209" i="2"/>
  <c r="B220" i="2"/>
  <c r="C220" i="2"/>
  <c r="J220" i="2"/>
  <c r="I220" i="2"/>
  <c r="H220" i="2"/>
  <c r="G220" i="2"/>
  <c r="F220" i="2"/>
  <c r="E220" i="2"/>
  <c r="D220" i="2"/>
  <c r="K220" i="2"/>
  <c r="A220" i="2"/>
  <c r="K163" i="2"/>
  <c r="G163" i="2"/>
  <c r="F163" i="2"/>
  <c r="D163" i="2"/>
  <c r="C163" i="2"/>
  <c r="B163" i="2"/>
  <c r="J163" i="2"/>
  <c r="I163" i="2"/>
  <c r="H163" i="2"/>
  <c r="E163" i="2"/>
  <c r="A163" i="2"/>
  <c r="K211" i="2"/>
  <c r="I211" i="2"/>
  <c r="E211" i="2"/>
  <c r="B211" i="2"/>
  <c r="A211" i="2"/>
  <c r="F211" i="2"/>
  <c r="D211" i="2"/>
  <c r="C211" i="2"/>
  <c r="J211" i="2"/>
  <c r="H211" i="2"/>
  <c r="G211" i="2"/>
  <c r="H230" i="2"/>
  <c r="C230" i="2"/>
  <c r="A230" i="2"/>
  <c r="E230" i="2"/>
  <c r="D230" i="2"/>
  <c r="K230" i="2"/>
  <c r="J230" i="2"/>
  <c r="G230" i="2"/>
  <c r="F230" i="2"/>
  <c r="B230" i="2"/>
  <c r="I230" i="2"/>
  <c r="K374" i="2"/>
  <c r="G374" i="2"/>
  <c r="C374" i="2"/>
  <c r="F374" i="2"/>
  <c r="H374" i="2"/>
  <c r="E374" i="2"/>
  <c r="J374" i="2"/>
  <c r="I374" i="2"/>
  <c r="D374" i="2"/>
  <c r="A374" i="2"/>
  <c r="B374" i="2"/>
  <c r="I394" i="2"/>
  <c r="H394" i="2"/>
  <c r="D394" i="2"/>
  <c r="B394" i="2"/>
  <c r="A394" i="2"/>
  <c r="G394" i="2"/>
  <c r="E394" i="2"/>
  <c r="F394" i="2"/>
  <c r="C394" i="2"/>
  <c r="K394" i="2"/>
  <c r="J394" i="2"/>
  <c r="A361" i="2"/>
  <c r="E361" i="2"/>
  <c r="I361" i="2"/>
  <c r="G361" i="2"/>
  <c r="F361" i="2"/>
  <c r="C361" i="2"/>
  <c r="D361" i="2"/>
  <c r="B361" i="2"/>
  <c r="J361" i="2"/>
  <c r="K361" i="2"/>
  <c r="H361" i="2"/>
  <c r="K472" i="2"/>
  <c r="G472" i="2"/>
  <c r="C472" i="2"/>
  <c r="I472" i="2"/>
  <c r="E472" i="2"/>
  <c r="B472" i="2"/>
  <c r="J472" i="2"/>
  <c r="H472" i="2"/>
  <c r="A472" i="2"/>
  <c r="D472" i="2"/>
  <c r="F472" i="2"/>
  <c r="C384" i="2"/>
  <c r="H384" i="2"/>
  <c r="D384" i="2"/>
  <c r="J384" i="2"/>
  <c r="K384" i="2"/>
  <c r="E384" i="2"/>
  <c r="I384" i="2"/>
  <c r="B384" i="2"/>
  <c r="G384" i="2"/>
  <c r="F384" i="2"/>
  <c r="A384" i="2"/>
  <c r="E420" i="2"/>
  <c r="I420" i="2"/>
  <c r="G420" i="2"/>
  <c r="F420" i="2"/>
  <c r="C420" i="2"/>
  <c r="K420" i="2"/>
  <c r="J420" i="2"/>
  <c r="H420" i="2"/>
  <c r="D420" i="2"/>
  <c r="B420" i="2"/>
  <c r="A420" i="2"/>
  <c r="G311" i="2"/>
  <c r="B311" i="2"/>
  <c r="E311" i="2"/>
  <c r="A311" i="2"/>
  <c r="I311" i="2"/>
  <c r="F311" i="2"/>
  <c r="K311" i="2"/>
  <c r="J311" i="2"/>
  <c r="H311" i="2"/>
  <c r="D311" i="2"/>
  <c r="C311" i="2"/>
  <c r="G477" i="2"/>
  <c r="H477" i="2"/>
  <c r="C477" i="2"/>
  <c r="J477" i="2"/>
  <c r="I477" i="2"/>
  <c r="E477" i="2"/>
  <c r="A477" i="2"/>
  <c r="B477" i="2"/>
  <c r="K477" i="2"/>
  <c r="F477" i="2"/>
  <c r="D477" i="2"/>
  <c r="C281" i="2"/>
  <c r="F281" i="2"/>
  <c r="K281" i="2"/>
  <c r="J281" i="2"/>
  <c r="I281" i="2"/>
  <c r="H281" i="2"/>
  <c r="G281" i="2"/>
  <c r="E281" i="2"/>
  <c r="D281" i="2"/>
  <c r="A281" i="2"/>
  <c r="B281" i="2"/>
  <c r="F17" i="3"/>
  <c r="A460" i="2"/>
  <c r="K460" i="2"/>
  <c r="C460" i="2"/>
  <c r="B460" i="2"/>
  <c r="H460" i="2"/>
  <c r="I460" i="2"/>
  <c r="J460" i="2"/>
  <c r="G460" i="2"/>
  <c r="F460" i="2"/>
  <c r="E460" i="2"/>
  <c r="D460" i="2"/>
  <c r="H410" i="2"/>
  <c r="D410" i="2"/>
  <c r="C410" i="2"/>
  <c r="A410" i="2"/>
  <c r="K410" i="2"/>
  <c r="J410" i="2"/>
  <c r="I410" i="2"/>
  <c r="B410" i="2"/>
  <c r="F410" i="2"/>
  <c r="E410" i="2"/>
  <c r="G410" i="2"/>
  <c r="G246" i="2"/>
  <c r="E246" i="2"/>
  <c r="D246" i="2"/>
  <c r="C246" i="2"/>
  <c r="K246" i="2"/>
  <c r="J246" i="2"/>
  <c r="A246" i="2"/>
  <c r="I246" i="2"/>
  <c r="H246" i="2"/>
  <c r="F246" i="2"/>
  <c r="B246" i="2"/>
  <c r="E462" i="2"/>
  <c r="G462" i="2"/>
  <c r="B462" i="2"/>
  <c r="J462" i="2"/>
  <c r="F462" i="2"/>
  <c r="A462" i="2"/>
  <c r="I462" i="2"/>
  <c r="H462" i="2"/>
  <c r="D462" i="2"/>
  <c r="C462" i="2"/>
  <c r="K462" i="2"/>
  <c r="F21" i="3"/>
  <c r="K493" i="2"/>
  <c r="G493" i="2"/>
  <c r="J493" i="2"/>
  <c r="I493" i="2"/>
  <c r="F493" i="2"/>
  <c r="C493" i="2"/>
  <c r="A493" i="2"/>
  <c r="H493" i="2"/>
  <c r="E493" i="2"/>
  <c r="D493" i="2"/>
  <c r="B493" i="2"/>
  <c r="K30" i="2"/>
  <c r="G30" i="2"/>
  <c r="C30" i="2"/>
  <c r="F30" i="2"/>
  <c r="E30" i="2"/>
  <c r="A30" i="2"/>
  <c r="D30" i="2"/>
  <c r="B30" i="2"/>
  <c r="J30" i="2"/>
  <c r="H30" i="2"/>
  <c r="I30" i="2"/>
  <c r="E69" i="2"/>
  <c r="A69" i="2"/>
  <c r="K69" i="2"/>
  <c r="F69" i="2"/>
  <c r="C69" i="2"/>
  <c r="J69" i="2"/>
  <c r="G69" i="2"/>
  <c r="D69" i="2"/>
  <c r="B69" i="2"/>
  <c r="H69" i="2"/>
  <c r="I69" i="2"/>
  <c r="I401" i="2"/>
  <c r="K401" i="2"/>
  <c r="F401" i="2"/>
  <c r="E401" i="2"/>
  <c r="C401" i="2"/>
  <c r="J401" i="2"/>
  <c r="H401" i="2"/>
  <c r="G401" i="2"/>
  <c r="D401" i="2"/>
  <c r="A401" i="2"/>
  <c r="B401" i="2"/>
  <c r="E181" i="2"/>
  <c r="G181" i="2"/>
  <c r="B181" i="2"/>
  <c r="K181" i="2"/>
  <c r="J181" i="2"/>
  <c r="I181" i="2"/>
  <c r="D181" i="2"/>
  <c r="C181" i="2"/>
  <c r="H181" i="2"/>
  <c r="F181" i="2"/>
  <c r="A181" i="2"/>
  <c r="K86" i="2"/>
  <c r="G86" i="2"/>
  <c r="C86" i="2"/>
  <c r="B86" i="2"/>
  <c r="F86" i="2"/>
  <c r="E86" i="2"/>
  <c r="D86" i="2"/>
  <c r="A86" i="2"/>
  <c r="H86" i="2"/>
  <c r="J86" i="2"/>
  <c r="I86" i="2"/>
  <c r="E90" i="2"/>
  <c r="A90" i="2"/>
  <c r="K90" i="2"/>
  <c r="C90" i="2"/>
  <c r="H90" i="2"/>
  <c r="D90" i="2"/>
  <c r="B90" i="2"/>
  <c r="I90" i="2"/>
  <c r="F90" i="2"/>
  <c r="J90" i="2"/>
  <c r="G90" i="2"/>
  <c r="C138" i="2"/>
  <c r="I138" i="2"/>
  <c r="H138" i="2"/>
  <c r="K138" i="2"/>
  <c r="J138" i="2"/>
  <c r="G138" i="2"/>
  <c r="F138" i="2"/>
  <c r="D138" i="2"/>
  <c r="A138" i="2"/>
  <c r="E138" i="2"/>
  <c r="B138" i="2"/>
  <c r="A32" i="2"/>
  <c r="K32" i="2"/>
  <c r="G32" i="2"/>
  <c r="D32" i="2"/>
  <c r="B32" i="2"/>
  <c r="J32" i="2"/>
  <c r="I32" i="2"/>
  <c r="H32" i="2"/>
  <c r="F32" i="2"/>
  <c r="E32" i="2"/>
  <c r="C32" i="2"/>
  <c r="C47" i="2"/>
  <c r="I47" i="2"/>
  <c r="B47" i="2"/>
  <c r="K47" i="2"/>
  <c r="J47" i="2"/>
  <c r="H47" i="2"/>
  <c r="G47" i="2"/>
  <c r="F47" i="2"/>
  <c r="E47" i="2"/>
  <c r="D47" i="2"/>
  <c r="A47" i="2"/>
  <c r="E125" i="2"/>
  <c r="A125" i="2"/>
  <c r="K125" i="2"/>
  <c r="J125" i="2"/>
  <c r="I125" i="2"/>
  <c r="H125" i="2"/>
  <c r="D125" i="2"/>
  <c r="B125" i="2"/>
  <c r="G125" i="2"/>
  <c r="F125" i="2"/>
  <c r="C125" i="2"/>
  <c r="G91" i="2"/>
  <c r="C91" i="2"/>
  <c r="I91" i="2"/>
  <c r="F91" i="2"/>
  <c r="K91" i="2"/>
  <c r="J91" i="2"/>
  <c r="H91" i="2"/>
  <c r="E91" i="2"/>
  <c r="D91" i="2"/>
  <c r="B91" i="2"/>
  <c r="A91" i="2"/>
  <c r="A60" i="2"/>
  <c r="K60" i="2"/>
  <c r="G60" i="2"/>
  <c r="D60" i="2"/>
  <c r="H60" i="2"/>
  <c r="F60" i="2"/>
  <c r="E60" i="2"/>
  <c r="C60" i="2"/>
  <c r="B60" i="2"/>
  <c r="I60" i="2"/>
  <c r="J60" i="2"/>
  <c r="E201" i="2"/>
  <c r="C201" i="2"/>
  <c r="K201" i="2"/>
  <c r="G201" i="2"/>
  <c r="D201" i="2"/>
  <c r="A201" i="2"/>
  <c r="J201" i="2"/>
  <c r="I201" i="2"/>
  <c r="H201" i="2"/>
  <c r="B201" i="2"/>
  <c r="F201" i="2"/>
  <c r="A144" i="2"/>
  <c r="K144" i="2"/>
  <c r="G144" i="2"/>
  <c r="F144" i="2"/>
  <c r="J144" i="2"/>
  <c r="H144" i="2"/>
  <c r="E144" i="2"/>
  <c r="D144" i="2"/>
  <c r="C144" i="2"/>
  <c r="I144" i="2"/>
  <c r="B144" i="2"/>
  <c r="K128" i="2"/>
  <c r="G128" i="2"/>
  <c r="C128" i="2"/>
  <c r="B128" i="2"/>
  <c r="J128" i="2"/>
  <c r="F128" i="2"/>
  <c r="D128" i="2"/>
  <c r="I128" i="2"/>
  <c r="H128" i="2"/>
  <c r="E128" i="2"/>
  <c r="A128" i="2"/>
  <c r="H168" i="2"/>
  <c r="G168" i="2"/>
  <c r="F168" i="2"/>
  <c r="C168" i="2"/>
  <c r="B168" i="2"/>
  <c r="K168" i="2"/>
  <c r="J168" i="2"/>
  <c r="I168" i="2"/>
  <c r="D168" i="2"/>
  <c r="A168" i="2"/>
  <c r="E168" i="2"/>
  <c r="K212" i="2"/>
  <c r="I212" i="2"/>
  <c r="F212" i="2"/>
  <c r="E212" i="2"/>
  <c r="D212" i="2"/>
  <c r="C212" i="2"/>
  <c r="B212" i="2"/>
  <c r="A212" i="2"/>
  <c r="J212" i="2"/>
  <c r="H212" i="2"/>
  <c r="G212" i="2"/>
  <c r="F229" i="2"/>
  <c r="K229" i="2"/>
  <c r="J229" i="2"/>
  <c r="I229" i="2"/>
  <c r="H229" i="2"/>
  <c r="G229" i="2"/>
  <c r="E229" i="2"/>
  <c r="D229" i="2"/>
  <c r="C229" i="2"/>
  <c r="B229" i="2"/>
  <c r="A229" i="2"/>
  <c r="K170" i="2"/>
  <c r="J170" i="2"/>
  <c r="G170" i="2"/>
  <c r="F170" i="2"/>
  <c r="D170" i="2"/>
  <c r="C170" i="2"/>
  <c r="B170" i="2"/>
  <c r="H170" i="2"/>
  <c r="E170" i="2"/>
  <c r="A170" i="2"/>
  <c r="I170" i="2"/>
  <c r="E215" i="2"/>
  <c r="C215" i="2"/>
  <c r="G215" i="2"/>
  <c r="B215" i="2"/>
  <c r="A215" i="2"/>
  <c r="K215" i="2"/>
  <c r="J215" i="2"/>
  <c r="I215" i="2"/>
  <c r="H215" i="2"/>
  <c r="F215" i="2"/>
  <c r="D215" i="2"/>
  <c r="H237" i="2"/>
  <c r="J237" i="2"/>
  <c r="B237" i="2"/>
  <c r="K237" i="2"/>
  <c r="C237" i="2"/>
  <c r="A237" i="2"/>
  <c r="I237" i="2"/>
  <c r="G237" i="2"/>
  <c r="F237" i="2"/>
  <c r="E237" i="2"/>
  <c r="D237" i="2"/>
  <c r="E392" i="2"/>
  <c r="B392" i="2"/>
  <c r="I392" i="2"/>
  <c r="H392" i="2"/>
  <c r="F392" i="2"/>
  <c r="A392" i="2"/>
  <c r="G392" i="2"/>
  <c r="J392" i="2"/>
  <c r="D392" i="2"/>
  <c r="K392" i="2"/>
  <c r="C392" i="2"/>
  <c r="J266" i="2"/>
  <c r="H266" i="2"/>
  <c r="A266" i="2"/>
  <c r="E266" i="2"/>
  <c r="C266" i="2"/>
  <c r="I266" i="2"/>
  <c r="G266" i="2"/>
  <c r="F266" i="2"/>
  <c r="D266" i="2"/>
  <c r="B266" i="2"/>
  <c r="K266" i="2"/>
  <c r="G216" i="2"/>
  <c r="E216" i="2"/>
  <c r="K216" i="2"/>
  <c r="H216" i="2"/>
  <c r="F216" i="2"/>
  <c r="D216" i="2"/>
  <c r="C216" i="2"/>
  <c r="B216" i="2"/>
  <c r="A216" i="2"/>
  <c r="J216" i="2"/>
  <c r="I216" i="2"/>
  <c r="G304" i="2"/>
  <c r="B304" i="2"/>
  <c r="H304" i="2"/>
  <c r="J304" i="2"/>
  <c r="K304" i="2"/>
  <c r="F304" i="2"/>
  <c r="A304" i="2"/>
  <c r="D304" i="2"/>
  <c r="I304" i="2"/>
  <c r="C304" i="2"/>
  <c r="E304" i="2"/>
  <c r="C391" i="2"/>
  <c r="J391" i="2"/>
  <c r="D391" i="2"/>
  <c r="B391" i="2"/>
  <c r="G391" i="2"/>
  <c r="F391" i="2"/>
  <c r="E391" i="2"/>
  <c r="A391" i="2"/>
  <c r="K391" i="2"/>
  <c r="I391" i="2"/>
  <c r="H391" i="2"/>
  <c r="E441" i="2"/>
  <c r="B441" i="2"/>
  <c r="A441" i="2"/>
  <c r="K441" i="2"/>
  <c r="H441" i="2"/>
  <c r="F441" i="2"/>
  <c r="D441" i="2"/>
  <c r="J441" i="2"/>
  <c r="I441" i="2"/>
  <c r="G441" i="2"/>
  <c r="C441" i="2"/>
  <c r="K313" i="2"/>
  <c r="F313" i="2"/>
  <c r="E313" i="2"/>
  <c r="D313" i="2"/>
  <c r="B313" i="2"/>
  <c r="A313" i="2"/>
  <c r="J313" i="2"/>
  <c r="I313" i="2"/>
  <c r="H313" i="2"/>
  <c r="C313" i="2"/>
  <c r="G313" i="2"/>
  <c r="E483" i="2"/>
  <c r="K483" i="2"/>
  <c r="G483" i="2"/>
  <c r="H483" i="2"/>
  <c r="F483" i="2"/>
  <c r="C483" i="2"/>
  <c r="I483" i="2"/>
  <c r="D483" i="2"/>
  <c r="B483" i="2"/>
  <c r="J483" i="2"/>
  <c r="A483" i="2"/>
  <c r="F20" i="3"/>
  <c r="G421" i="2"/>
  <c r="A421" i="2"/>
  <c r="K421" i="2"/>
  <c r="I421" i="2"/>
  <c r="E421" i="2"/>
  <c r="B421" i="2"/>
  <c r="J421" i="2"/>
  <c r="H421" i="2"/>
  <c r="F421" i="2"/>
  <c r="C421" i="2"/>
  <c r="D421" i="2"/>
  <c r="J233" i="2"/>
  <c r="F233" i="2"/>
  <c r="E233" i="2"/>
  <c r="B233" i="2"/>
  <c r="A233" i="2"/>
  <c r="K233" i="2"/>
  <c r="I233" i="2"/>
  <c r="H233" i="2"/>
  <c r="G233" i="2"/>
  <c r="D233" i="2"/>
  <c r="C233" i="2"/>
  <c r="K267" i="2"/>
  <c r="D267" i="2"/>
  <c r="F267" i="2"/>
  <c r="I267" i="2"/>
  <c r="A267" i="2"/>
  <c r="C267" i="2"/>
  <c r="E267" i="2"/>
  <c r="B267" i="2"/>
  <c r="G267" i="2"/>
  <c r="J267" i="2"/>
  <c r="H267" i="2"/>
  <c r="C405" i="2"/>
  <c r="H405" i="2"/>
  <c r="K405" i="2"/>
  <c r="J405" i="2"/>
  <c r="G405" i="2"/>
  <c r="D405" i="2"/>
  <c r="I405" i="2"/>
  <c r="F405" i="2"/>
  <c r="E405" i="2"/>
  <c r="B405" i="2"/>
  <c r="A405" i="2"/>
  <c r="E15" i="4"/>
  <c r="K465" i="2"/>
  <c r="A465" i="2"/>
  <c r="J465" i="2"/>
  <c r="H465" i="2"/>
  <c r="E465" i="2"/>
  <c r="B465" i="2"/>
  <c r="D465" i="2"/>
  <c r="G465" i="2"/>
  <c r="C465" i="2"/>
  <c r="I465" i="2"/>
  <c r="F465" i="2"/>
  <c r="F18" i="3"/>
  <c r="H265" i="2"/>
  <c r="E265" i="2"/>
  <c r="C265" i="2"/>
  <c r="F265" i="2"/>
  <c r="B265" i="2"/>
  <c r="A265" i="2"/>
  <c r="K265" i="2"/>
  <c r="J265" i="2"/>
  <c r="I265" i="2"/>
  <c r="G265" i="2"/>
  <c r="D265" i="2"/>
  <c r="K500" i="2"/>
  <c r="C500" i="2"/>
  <c r="J500" i="2"/>
  <c r="G500" i="2"/>
  <c r="E500" i="2"/>
  <c r="D500" i="2"/>
  <c r="B500" i="2"/>
  <c r="H500" i="2"/>
  <c r="I500" i="2"/>
  <c r="F500" i="2"/>
  <c r="A500" i="2"/>
  <c r="C316" i="2"/>
  <c r="B316" i="2"/>
  <c r="J316" i="2"/>
  <c r="H316" i="2"/>
  <c r="K316" i="2"/>
  <c r="G316" i="2"/>
  <c r="A316" i="2"/>
  <c r="E316" i="2"/>
  <c r="F316" i="2"/>
  <c r="I316" i="2"/>
  <c r="D316" i="2"/>
  <c r="C447" i="2"/>
  <c r="F447" i="2"/>
  <c r="A447" i="2"/>
  <c r="J447" i="2"/>
  <c r="G447" i="2"/>
  <c r="B447" i="2"/>
  <c r="H447" i="2"/>
  <c r="K447" i="2"/>
  <c r="I447" i="2"/>
  <c r="E447" i="2"/>
  <c r="D447" i="2"/>
  <c r="K23" i="2"/>
  <c r="G23" i="2"/>
  <c r="C23" i="2"/>
  <c r="A23" i="2"/>
  <c r="E23" i="2"/>
  <c r="B23" i="2"/>
  <c r="J23" i="2"/>
  <c r="I23" i="2"/>
  <c r="H23" i="2"/>
  <c r="F23" i="2"/>
  <c r="D23" i="2"/>
  <c r="C89" i="2"/>
  <c r="I89" i="2"/>
  <c r="B89" i="2"/>
  <c r="K89" i="2"/>
  <c r="J89" i="2"/>
  <c r="H89" i="2"/>
  <c r="G89" i="2"/>
  <c r="F89" i="2"/>
  <c r="E89" i="2"/>
  <c r="D89" i="2"/>
  <c r="A89" i="2"/>
  <c r="E406" i="2"/>
  <c r="K406" i="2"/>
  <c r="I406" i="2"/>
  <c r="J406" i="2"/>
  <c r="A406" i="2"/>
  <c r="F406" i="2"/>
  <c r="C406" i="2"/>
  <c r="B406" i="2"/>
  <c r="G406" i="2"/>
  <c r="H406" i="2"/>
  <c r="D406" i="2"/>
  <c r="I36" i="2"/>
  <c r="E36" i="2"/>
  <c r="A36" i="2"/>
  <c r="F36" i="2"/>
  <c r="D36" i="2"/>
  <c r="C36" i="2"/>
  <c r="B36" i="2"/>
  <c r="J36" i="2"/>
  <c r="G36" i="2"/>
  <c r="K36" i="2"/>
  <c r="H36" i="2"/>
  <c r="E118" i="2"/>
  <c r="A118" i="2"/>
  <c r="K118" i="2"/>
  <c r="F118" i="2"/>
  <c r="D118" i="2"/>
  <c r="C118" i="2"/>
  <c r="J118" i="2"/>
  <c r="I118" i="2"/>
  <c r="H118" i="2"/>
  <c r="G118" i="2"/>
  <c r="B118" i="2"/>
  <c r="E10" i="2"/>
  <c r="H10" i="2"/>
  <c r="G10" i="2"/>
  <c r="B10" i="2"/>
  <c r="F10" i="2"/>
  <c r="D10" i="2"/>
  <c r="C10" i="2"/>
  <c r="K10" i="2"/>
  <c r="I10" i="2"/>
  <c r="A10" i="2"/>
  <c r="J10" i="2"/>
  <c r="K121" i="2"/>
  <c r="G121" i="2"/>
  <c r="C121" i="2"/>
  <c r="E121" i="2"/>
  <c r="D121" i="2"/>
  <c r="B121" i="2"/>
  <c r="J121" i="2"/>
  <c r="I121" i="2"/>
  <c r="H121" i="2"/>
  <c r="F121" i="2"/>
  <c r="A121" i="2"/>
  <c r="K299" i="2"/>
  <c r="F299" i="2"/>
  <c r="J299" i="2"/>
  <c r="B299" i="2"/>
  <c r="H299" i="2"/>
  <c r="E299" i="2"/>
  <c r="A299" i="2"/>
  <c r="I299" i="2"/>
  <c r="D299" i="2"/>
  <c r="C299" i="2"/>
  <c r="G299" i="2"/>
  <c r="G332" i="2"/>
  <c r="B332" i="2"/>
  <c r="F332" i="2"/>
  <c r="H332" i="2"/>
  <c r="D332" i="2"/>
  <c r="C332" i="2"/>
  <c r="A332" i="2"/>
  <c r="K332" i="2"/>
  <c r="J332" i="2"/>
  <c r="I332" i="2"/>
  <c r="E332" i="2"/>
  <c r="C475" i="2"/>
  <c r="A475" i="2"/>
  <c r="K475" i="2"/>
  <c r="H475" i="2"/>
  <c r="F475" i="2"/>
  <c r="E475" i="2"/>
  <c r="J475" i="2"/>
  <c r="I475" i="2"/>
  <c r="B475" i="2"/>
  <c r="G475" i="2"/>
  <c r="D475" i="2"/>
  <c r="G484" i="2"/>
  <c r="J484" i="2"/>
  <c r="I484" i="2"/>
  <c r="E484" i="2"/>
  <c r="C484" i="2"/>
  <c r="B484" i="2"/>
  <c r="K484" i="2"/>
  <c r="D484" i="2"/>
  <c r="H484" i="2"/>
  <c r="A484" i="2"/>
  <c r="F484" i="2"/>
  <c r="G372" i="2"/>
  <c r="A372" i="2"/>
  <c r="C372" i="2"/>
  <c r="B372" i="2"/>
  <c r="I372" i="2"/>
  <c r="E372" i="2"/>
  <c r="K372" i="2"/>
  <c r="H372" i="2"/>
  <c r="D372" i="2"/>
  <c r="J372" i="2"/>
  <c r="F372" i="2"/>
  <c r="C124" i="2"/>
  <c r="I124" i="2"/>
  <c r="E124" i="2"/>
  <c r="D124" i="2"/>
  <c r="B124" i="2"/>
  <c r="K124" i="2"/>
  <c r="J124" i="2"/>
  <c r="H124" i="2"/>
  <c r="G124" i="2"/>
  <c r="F124" i="2"/>
  <c r="A124" i="2"/>
  <c r="G188" i="2"/>
  <c r="E188" i="2"/>
  <c r="C188" i="2"/>
  <c r="K188" i="2"/>
  <c r="J188" i="2"/>
  <c r="I188" i="2"/>
  <c r="F188" i="2"/>
  <c r="D188" i="2"/>
  <c r="B188" i="2"/>
  <c r="A188" i="2"/>
  <c r="H188" i="2"/>
  <c r="E335" i="2"/>
  <c r="J335" i="2"/>
  <c r="D335" i="2"/>
  <c r="A335" i="2"/>
  <c r="K335" i="2"/>
  <c r="G335" i="2"/>
  <c r="C335" i="2"/>
  <c r="I335" i="2"/>
  <c r="H335" i="2"/>
  <c r="F335" i="2"/>
  <c r="B335" i="2"/>
  <c r="C355" i="2"/>
  <c r="A355" i="2"/>
  <c r="K355" i="2"/>
  <c r="J355" i="2"/>
  <c r="B355" i="2"/>
  <c r="G355" i="2"/>
  <c r="F355" i="2"/>
  <c r="D355" i="2"/>
  <c r="I355" i="2"/>
  <c r="H355" i="2"/>
  <c r="E355" i="2"/>
  <c r="C482" i="2"/>
  <c r="H482" i="2"/>
  <c r="D482" i="2"/>
  <c r="A482" i="2"/>
  <c r="J482" i="2"/>
  <c r="I482" i="2"/>
  <c r="E482" i="2"/>
  <c r="G482" i="2"/>
  <c r="K482" i="2"/>
  <c r="F482" i="2"/>
  <c r="B482" i="2"/>
  <c r="K437" i="2"/>
  <c r="E437" i="2"/>
  <c r="A437" i="2"/>
  <c r="J437" i="2"/>
  <c r="G437" i="2"/>
  <c r="C437" i="2"/>
  <c r="F437" i="2"/>
  <c r="I437" i="2"/>
  <c r="H437" i="2"/>
  <c r="D437" i="2"/>
  <c r="B437" i="2"/>
  <c r="B431" i="2"/>
  <c r="K431" i="2"/>
  <c r="H431" i="2"/>
  <c r="E431" i="2"/>
  <c r="C431" i="2"/>
  <c r="J431" i="2"/>
  <c r="A431" i="2"/>
  <c r="F431" i="2"/>
  <c r="D431" i="2"/>
  <c r="I431" i="2"/>
  <c r="G431" i="2"/>
  <c r="I443" i="2"/>
  <c r="H443" i="2"/>
  <c r="D443" i="2"/>
  <c r="J443" i="2"/>
  <c r="E443" i="2"/>
  <c r="A443" i="2"/>
  <c r="G443" i="2"/>
  <c r="F443" i="2"/>
  <c r="K443" i="2"/>
  <c r="C443" i="2"/>
  <c r="B443" i="2"/>
  <c r="E9" i="4"/>
  <c r="I422" i="2"/>
  <c r="D422" i="2"/>
  <c r="A422" i="2"/>
  <c r="K422" i="2"/>
  <c r="G422" i="2"/>
  <c r="B422" i="2"/>
  <c r="C422" i="2"/>
  <c r="F422" i="2"/>
  <c r="E422" i="2"/>
  <c r="J422" i="2"/>
  <c r="H422" i="2"/>
  <c r="A130" i="2"/>
  <c r="K130" i="2"/>
  <c r="G130" i="2"/>
  <c r="F130" i="2"/>
  <c r="I130" i="2"/>
  <c r="H130" i="2"/>
  <c r="E130" i="2"/>
  <c r="B130" i="2"/>
  <c r="J130" i="2"/>
  <c r="C130" i="2"/>
  <c r="D130" i="2"/>
  <c r="A418" i="2"/>
  <c r="G418" i="2"/>
  <c r="C418" i="2"/>
  <c r="J418" i="2"/>
  <c r="F418" i="2"/>
  <c r="B418" i="2"/>
  <c r="H418" i="2"/>
  <c r="E418" i="2"/>
  <c r="I418" i="2"/>
  <c r="D418" i="2"/>
  <c r="K418" i="2"/>
  <c r="C377" i="2"/>
  <c r="A377" i="2"/>
  <c r="K377" i="2"/>
  <c r="F377" i="2"/>
  <c r="E377" i="2"/>
  <c r="I377" i="2"/>
  <c r="H377" i="2"/>
  <c r="J377" i="2"/>
  <c r="G377" i="2"/>
  <c r="D377" i="2"/>
  <c r="B377" i="2"/>
  <c r="A481" i="2"/>
  <c r="E481" i="2"/>
  <c r="J481" i="2"/>
  <c r="G481" i="2"/>
  <c r="D481" i="2"/>
  <c r="C481" i="2"/>
  <c r="B481" i="2"/>
  <c r="K481" i="2"/>
  <c r="I481" i="2"/>
  <c r="H481" i="2"/>
  <c r="F481" i="2"/>
  <c r="E497" i="2"/>
  <c r="I497" i="2"/>
  <c r="D497" i="2"/>
  <c r="H497" i="2"/>
  <c r="F497" i="2"/>
  <c r="C497" i="2"/>
  <c r="J497" i="2"/>
  <c r="B497" i="2"/>
  <c r="K497" i="2"/>
  <c r="A497" i="2"/>
  <c r="G497" i="2"/>
  <c r="G297" i="2"/>
  <c r="B297" i="2"/>
  <c r="A297" i="2"/>
  <c r="J297" i="2"/>
  <c r="I297" i="2"/>
  <c r="K297" i="2"/>
  <c r="H297" i="2"/>
  <c r="F297" i="2"/>
  <c r="E297" i="2"/>
  <c r="C297" i="2"/>
  <c r="D297" i="2"/>
  <c r="C468" i="2"/>
  <c r="J468" i="2"/>
  <c r="F468" i="2"/>
  <c r="K468" i="2"/>
  <c r="H468" i="2"/>
  <c r="D468" i="2"/>
  <c r="I468" i="2"/>
  <c r="G468" i="2"/>
  <c r="E468" i="2"/>
  <c r="A468" i="2"/>
  <c r="B468" i="2"/>
  <c r="A18" i="2"/>
  <c r="G18" i="2"/>
  <c r="J18" i="2"/>
  <c r="I18" i="2"/>
  <c r="E18" i="2"/>
  <c r="H18" i="2"/>
  <c r="F18" i="2"/>
  <c r="D18" i="2"/>
  <c r="K18" i="2"/>
  <c r="C18" i="2"/>
  <c r="B18" i="2"/>
  <c r="A88" i="2"/>
  <c r="K88" i="2"/>
  <c r="G88" i="2"/>
  <c r="I88" i="2"/>
  <c r="F88" i="2"/>
  <c r="D88" i="2"/>
  <c r="C88" i="2"/>
  <c r="J88" i="2"/>
  <c r="E88" i="2"/>
  <c r="B88" i="2"/>
  <c r="H88" i="2"/>
  <c r="I99" i="2"/>
  <c r="E99" i="2"/>
  <c r="A99" i="2"/>
  <c r="B99" i="2"/>
  <c r="K99" i="2"/>
  <c r="H99" i="2"/>
  <c r="G99" i="2"/>
  <c r="F99" i="2"/>
  <c r="J99" i="2"/>
  <c r="C99" i="2"/>
  <c r="D99" i="2"/>
  <c r="C54" i="2"/>
  <c r="I54" i="2"/>
  <c r="D54" i="2"/>
  <c r="B54" i="2"/>
  <c r="A54" i="2"/>
  <c r="E54" i="2"/>
  <c r="G54" i="2"/>
  <c r="K54" i="2"/>
  <c r="J54" i="2"/>
  <c r="H54" i="2"/>
  <c r="F54" i="2"/>
  <c r="I59" i="2"/>
  <c r="E59" i="2"/>
  <c r="A59" i="2"/>
  <c r="B59" i="2"/>
  <c r="D59" i="2"/>
  <c r="K59" i="2"/>
  <c r="J59" i="2"/>
  <c r="H59" i="2"/>
  <c r="G59" i="2"/>
  <c r="F59" i="2"/>
  <c r="C59" i="2"/>
  <c r="G56" i="2"/>
  <c r="C56" i="2"/>
  <c r="B56" i="2"/>
  <c r="K56" i="2"/>
  <c r="J56" i="2"/>
  <c r="I56" i="2"/>
  <c r="H56" i="2"/>
  <c r="F56" i="2"/>
  <c r="E56" i="2"/>
  <c r="D56" i="2"/>
  <c r="A56" i="2"/>
  <c r="I43" i="2"/>
  <c r="E43" i="2"/>
  <c r="A43" i="2"/>
  <c r="K43" i="2"/>
  <c r="J43" i="2"/>
  <c r="H43" i="2"/>
  <c r="G43" i="2"/>
  <c r="F43" i="2"/>
  <c r="D43" i="2"/>
  <c r="C43" i="2"/>
  <c r="B43" i="2"/>
  <c r="A11" i="2"/>
  <c r="G11" i="2"/>
  <c r="K11" i="2"/>
  <c r="F11" i="2"/>
  <c r="J11" i="2"/>
  <c r="I11" i="2"/>
  <c r="H11" i="2"/>
  <c r="E11" i="2"/>
  <c r="D11" i="2"/>
  <c r="C11" i="2"/>
  <c r="B11" i="2"/>
  <c r="C103" i="2"/>
  <c r="I103" i="2"/>
  <c r="G103" i="2"/>
  <c r="E103" i="2"/>
  <c r="H103" i="2"/>
  <c r="F103" i="2"/>
  <c r="D103" i="2"/>
  <c r="B103" i="2"/>
  <c r="J103" i="2"/>
  <c r="A103" i="2"/>
  <c r="K103" i="2"/>
  <c r="E208" i="2"/>
  <c r="C208" i="2"/>
  <c r="I208" i="2"/>
  <c r="F208" i="2"/>
  <c r="D208" i="2"/>
  <c r="A208" i="2"/>
  <c r="H208" i="2"/>
  <c r="G208" i="2"/>
  <c r="B208" i="2"/>
  <c r="K208" i="2"/>
  <c r="J208" i="2"/>
  <c r="I155" i="2"/>
  <c r="E155" i="2"/>
  <c r="D155" i="2"/>
  <c r="B155" i="2"/>
  <c r="A155" i="2"/>
  <c r="K155" i="2"/>
  <c r="H155" i="2"/>
  <c r="G155" i="2"/>
  <c r="F155" i="2"/>
  <c r="C155" i="2"/>
  <c r="J155" i="2"/>
  <c r="I141" i="2"/>
  <c r="E141" i="2"/>
  <c r="A141" i="2"/>
  <c r="K141" i="2"/>
  <c r="J141" i="2"/>
  <c r="G141" i="2"/>
  <c r="D141" i="2"/>
  <c r="C141" i="2"/>
  <c r="B141" i="2"/>
  <c r="F141" i="2"/>
  <c r="H141" i="2"/>
  <c r="G126" i="2"/>
  <c r="C126" i="2"/>
  <c r="J126" i="2"/>
  <c r="H126" i="2"/>
  <c r="E126" i="2"/>
  <c r="D126" i="2"/>
  <c r="B126" i="2"/>
  <c r="A126" i="2"/>
  <c r="F126" i="2"/>
  <c r="K126" i="2"/>
  <c r="I126" i="2"/>
  <c r="D242" i="2"/>
  <c r="J242" i="2"/>
  <c r="B242" i="2"/>
  <c r="K242" i="2"/>
  <c r="H242" i="2"/>
  <c r="G242" i="2"/>
  <c r="F242" i="2"/>
  <c r="A242" i="2"/>
  <c r="I242" i="2"/>
  <c r="E242" i="2"/>
  <c r="C242" i="2"/>
  <c r="A294" i="2"/>
  <c r="J294" i="2"/>
  <c r="E294" i="2"/>
  <c r="G294" i="2"/>
  <c r="D294" i="2"/>
  <c r="B294" i="2"/>
  <c r="F294" i="2"/>
  <c r="H294" i="2"/>
  <c r="C294" i="2"/>
  <c r="K294" i="2"/>
  <c r="I294" i="2"/>
  <c r="K183" i="2"/>
  <c r="I183" i="2"/>
  <c r="J183" i="2"/>
  <c r="G183" i="2"/>
  <c r="E183" i="2"/>
  <c r="H183" i="2"/>
  <c r="F183" i="2"/>
  <c r="B183" i="2"/>
  <c r="A183" i="2"/>
  <c r="D183" i="2"/>
  <c r="C183" i="2"/>
  <c r="F257" i="2"/>
  <c r="K257" i="2"/>
  <c r="C257" i="2"/>
  <c r="G257" i="2"/>
  <c r="D257" i="2"/>
  <c r="E257" i="2"/>
  <c r="B257" i="2"/>
  <c r="J257" i="2"/>
  <c r="I257" i="2"/>
  <c r="H257" i="2"/>
  <c r="A257" i="2"/>
  <c r="B248" i="2"/>
  <c r="F248" i="2"/>
  <c r="I248" i="2"/>
  <c r="G248" i="2"/>
  <c r="A248" i="2"/>
  <c r="C248" i="2"/>
  <c r="K248" i="2"/>
  <c r="J248" i="2"/>
  <c r="H248" i="2"/>
  <c r="E248" i="2"/>
  <c r="D248" i="2"/>
  <c r="D173" i="2"/>
  <c r="C173" i="2"/>
  <c r="B173" i="2"/>
  <c r="J173" i="2"/>
  <c r="I173" i="2"/>
  <c r="H173" i="2"/>
  <c r="E173" i="2"/>
  <c r="A173" i="2"/>
  <c r="G173" i="2"/>
  <c r="K173" i="2"/>
  <c r="F173" i="2"/>
  <c r="H279" i="2"/>
  <c r="E279" i="2"/>
  <c r="D279" i="2"/>
  <c r="B279" i="2"/>
  <c r="J279" i="2"/>
  <c r="I279" i="2"/>
  <c r="G279" i="2"/>
  <c r="F279" i="2"/>
  <c r="C279" i="2"/>
  <c r="A279" i="2"/>
  <c r="K279" i="2"/>
  <c r="J231" i="2"/>
  <c r="F231" i="2"/>
  <c r="D231" i="2"/>
  <c r="E231" i="2"/>
  <c r="K231" i="2"/>
  <c r="G231" i="2"/>
  <c r="C231" i="2"/>
  <c r="B231" i="2"/>
  <c r="A231" i="2"/>
  <c r="H231" i="2"/>
  <c r="I231" i="2"/>
  <c r="K306" i="2"/>
  <c r="F306" i="2"/>
  <c r="H306" i="2"/>
  <c r="D306" i="2"/>
  <c r="G306" i="2"/>
  <c r="C306" i="2"/>
  <c r="A306" i="2"/>
  <c r="E306" i="2"/>
  <c r="J306" i="2"/>
  <c r="I306" i="2"/>
  <c r="B306" i="2"/>
  <c r="K458" i="2"/>
  <c r="I458" i="2"/>
  <c r="E458" i="2"/>
  <c r="H458" i="2"/>
  <c r="G458" i="2"/>
  <c r="D458" i="2"/>
  <c r="A458" i="2"/>
  <c r="F458" i="2"/>
  <c r="C458" i="2"/>
  <c r="J458" i="2"/>
  <c r="B458" i="2"/>
  <c r="I464" i="2"/>
  <c r="H464" i="2"/>
  <c r="F464" i="2"/>
  <c r="E464" i="2"/>
  <c r="C464" i="2"/>
  <c r="B464" i="2"/>
  <c r="A464" i="2"/>
  <c r="D464" i="2"/>
  <c r="K464" i="2"/>
  <c r="J464" i="2"/>
  <c r="G464" i="2"/>
  <c r="A315" i="2"/>
  <c r="J315" i="2"/>
  <c r="F315" i="2"/>
  <c r="K315" i="2"/>
  <c r="B315" i="2"/>
  <c r="C315" i="2"/>
  <c r="I315" i="2"/>
  <c r="H315" i="2"/>
  <c r="G315" i="2"/>
  <c r="E315" i="2"/>
  <c r="D315" i="2"/>
  <c r="C461" i="2"/>
  <c r="D461" i="2"/>
  <c r="H461" i="2"/>
  <c r="G461" i="2"/>
  <c r="E461" i="2"/>
  <c r="K461" i="2"/>
  <c r="J461" i="2"/>
  <c r="B461" i="2"/>
  <c r="F461" i="2"/>
  <c r="A461" i="2"/>
  <c r="I461" i="2"/>
  <c r="I429" i="2"/>
  <c r="K429" i="2"/>
  <c r="F429" i="2"/>
  <c r="D429" i="2"/>
  <c r="C429" i="2"/>
  <c r="A429" i="2"/>
  <c r="J429" i="2"/>
  <c r="E429" i="2"/>
  <c r="B429" i="2"/>
  <c r="H429" i="2"/>
  <c r="G429" i="2"/>
  <c r="C330" i="2"/>
  <c r="F330" i="2"/>
  <c r="B330" i="2"/>
  <c r="K330" i="2"/>
  <c r="D330" i="2"/>
  <c r="A330" i="2"/>
  <c r="J330" i="2"/>
  <c r="I330" i="2"/>
  <c r="H330" i="2"/>
  <c r="G330" i="2"/>
  <c r="E330" i="2"/>
  <c r="E324" i="2"/>
  <c r="D324" i="2"/>
  <c r="H324" i="2"/>
  <c r="C324" i="2"/>
  <c r="A324" i="2"/>
  <c r="J324" i="2"/>
  <c r="I324" i="2"/>
  <c r="K324" i="2"/>
  <c r="G324" i="2"/>
  <c r="B324" i="2"/>
  <c r="F324" i="2"/>
  <c r="I365" i="2"/>
  <c r="C365" i="2"/>
  <c r="B365" i="2"/>
  <c r="G365" i="2"/>
  <c r="A365" i="2"/>
  <c r="H365" i="2"/>
  <c r="E365" i="2"/>
  <c r="K365" i="2"/>
  <c r="F365" i="2"/>
  <c r="J365" i="2"/>
  <c r="D365" i="2"/>
  <c r="K320" i="2"/>
  <c r="F320" i="2"/>
  <c r="C320" i="2"/>
  <c r="H320" i="2"/>
  <c r="G320" i="2"/>
  <c r="D320" i="2"/>
  <c r="E320" i="2"/>
  <c r="B320" i="2"/>
  <c r="J320" i="2"/>
  <c r="A320" i="2"/>
  <c r="I320" i="2"/>
  <c r="F236" i="2"/>
  <c r="G236" i="2"/>
  <c r="J236" i="2"/>
  <c r="B236" i="2"/>
  <c r="H236" i="2"/>
  <c r="E236" i="2"/>
  <c r="D236" i="2"/>
  <c r="C236" i="2"/>
  <c r="A236" i="2"/>
  <c r="K236" i="2"/>
  <c r="I236" i="2"/>
  <c r="C419" i="2"/>
  <c r="J419" i="2"/>
  <c r="F419" i="2"/>
  <c r="A419" i="2"/>
  <c r="H419" i="2"/>
  <c r="I419" i="2"/>
  <c r="D419" i="2"/>
  <c r="B419" i="2"/>
  <c r="K419" i="2"/>
  <c r="G419" i="2"/>
  <c r="E419" i="2"/>
  <c r="C323" i="2"/>
  <c r="H323" i="2"/>
  <c r="J323" i="2"/>
  <c r="A323" i="2"/>
  <c r="G323" i="2"/>
  <c r="F323" i="2"/>
  <c r="E323" i="2"/>
  <c r="I323" i="2"/>
  <c r="D323" i="2"/>
  <c r="B323" i="2"/>
  <c r="K323" i="2"/>
  <c r="K218" i="2"/>
  <c r="I218" i="2"/>
  <c r="D218" i="2"/>
  <c r="C218" i="2"/>
  <c r="J218" i="2"/>
  <c r="H218" i="2"/>
  <c r="B218" i="2"/>
  <c r="A218" i="2"/>
  <c r="G218" i="2"/>
  <c r="E218" i="2"/>
  <c r="F218" i="2"/>
  <c r="C96" i="2"/>
  <c r="I96" i="2"/>
  <c r="B96" i="2"/>
  <c r="K96" i="2"/>
  <c r="H96" i="2"/>
  <c r="G96" i="2"/>
  <c r="J96" i="2"/>
  <c r="F96" i="2"/>
  <c r="E96" i="2"/>
  <c r="D96" i="2"/>
  <c r="A96" i="2"/>
  <c r="A116" i="2"/>
  <c r="K116" i="2"/>
  <c r="G116" i="2"/>
  <c r="J116" i="2"/>
  <c r="I116" i="2"/>
  <c r="E116" i="2"/>
  <c r="C116" i="2"/>
  <c r="H116" i="2"/>
  <c r="F116" i="2"/>
  <c r="D116" i="2"/>
  <c r="B116" i="2"/>
  <c r="G77" i="2"/>
  <c r="C77" i="2"/>
  <c r="D77" i="2"/>
  <c r="A77" i="2"/>
  <c r="F77" i="2"/>
  <c r="K77" i="2"/>
  <c r="J77" i="2"/>
  <c r="B77" i="2"/>
  <c r="I77" i="2"/>
  <c r="H77" i="2"/>
  <c r="E77" i="2"/>
  <c r="I148" i="2"/>
  <c r="E148" i="2"/>
  <c r="D148" i="2"/>
  <c r="A148" i="2"/>
  <c r="K148" i="2"/>
  <c r="J148" i="2"/>
  <c r="H148" i="2"/>
  <c r="G148" i="2"/>
  <c r="F148" i="2"/>
  <c r="B148" i="2"/>
  <c r="C148" i="2"/>
  <c r="C295" i="2"/>
  <c r="I295" i="2"/>
  <c r="A295" i="2"/>
  <c r="D295" i="2"/>
  <c r="K295" i="2"/>
  <c r="J295" i="2"/>
  <c r="H295" i="2"/>
  <c r="G295" i="2"/>
  <c r="F295" i="2"/>
  <c r="E295" i="2"/>
  <c r="B295" i="2"/>
  <c r="K72" i="2"/>
  <c r="G72" i="2"/>
  <c r="C72" i="2"/>
  <c r="E72" i="2"/>
  <c r="B72" i="2"/>
  <c r="J72" i="2"/>
  <c r="I72" i="2"/>
  <c r="H72" i="2"/>
  <c r="F72" i="2"/>
  <c r="D72" i="2"/>
  <c r="A72" i="2"/>
  <c r="B234" i="2"/>
  <c r="H234" i="2"/>
  <c r="A234" i="2"/>
  <c r="F234" i="2"/>
  <c r="J234" i="2"/>
  <c r="I234" i="2"/>
  <c r="G234" i="2"/>
  <c r="E234" i="2"/>
  <c r="D234" i="2"/>
  <c r="C234" i="2"/>
  <c r="K234" i="2"/>
  <c r="H328" i="2"/>
  <c r="E328" i="2"/>
  <c r="G328" i="2"/>
  <c r="A328" i="2"/>
  <c r="K328" i="2"/>
  <c r="B328" i="2"/>
  <c r="J328" i="2"/>
  <c r="I328" i="2"/>
  <c r="F328" i="2"/>
  <c r="C328" i="2"/>
  <c r="D328" i="2"/>
  <c r="K395" i="2"/>
  <c r="G395" i="2"/>
  <c r="H395" i="2"/>
  <c r="F395" i="2"/>
  <c r="D395" i="2"/>
  <c r="A395" i="2"/>
  <c r="I395" i="2"/>
  <c r="E395" i="2"/>
  <c r="B395" i="2"/>
  <c r="J395" i="2"/>
  <c r="C395" i="2"/>
  <c r="G119" i="2"/>
  <c r="C119" i="2"/>
  <c r="K119" i="2"/>
  <c r="J119" i="2"/>
  <c r="I119" i="2"/>
  <c r="E119" i="2"/>
  <c r="B119" i="2"/>
  <c r="H119" i="2"/>
  <c r="F119" i="2"/>
  <c r="D119" i="2"/>
  <c r="A119" i="2"/>
  <c r="G154" i="2"/>
  <c r="C154" i="2"/>
  <c r="B154" i="2"/>
  <c r="H154" i="2"/>
  <c r="F154" i="2"/>
  <c r="E154" i="2"/>
  <c r="D154" i="2"/>
  <c r="A154" i="2"/>
  <c r="J154" i="2"/>
  <c r="K154" i="2"/>
  <c r="I154" i="2"/>
  <c r="G318" i="2"/>
  <c r="B318" i="2"/>
  <c r="K318" i="2"/>
  <c r="C318" i="2"/>
  <c r="D318" i="2"/>
  <c r="I318" i="2"/>
  <c r="F318" i="2"/>
  <c r="A318" i="2"/>
  <c r="H318" i="2"/>
  <c r="J318" i="2"/>
  <c r="E318" i="2"/>
  <c r="I358" i="2"/>
  <c r="K358" i="2"/>
  <c r="E358" i="2"/>
  <c r="J358" i="2"/>
  <c r="A358" i="2"/>
  <c r="B358" i="2"/>
  <c r="H358" i="2"/>
  <c r="G358" i="2"/>
  <c r="D358" i="2"/>
  <c r="F358" i="2"/>
  <c r="C358" i="2"/>
  <c r="K423" i="2"/>
  <c r="G423" i="2"/>
  <c r="C423" i="2"/>
  <c r="F423" i="2"/>
  <c r="E423" i="2"/>
  <c r="B423" i="2"/>
  <c r="A423" i="2"/>
  <c r="I423" i="2"/>
  <c r="J423" i="2"/>
  <c r="H423" i="2"/>
  <c r="D423" i="2"/>
  <c r="G283" i="2"/>
  <c r="B283" i="2"/>
  <c r="F283" i="2"/>
  <c r="K283" i="2"/>
  <c r="J283" i="2"/>
  <c r="I283" i="2"/>
  <c r="H283" i="2"/>
  <c r="E283" i="2"/>
  <c r="C283" i="2"/>
  <c r="D283" i="2"/>
  <c r="A283" i="2"/>
  <c r="J396" i="2"/>
  <c r="I396" i="2"/>
  <c r="F396" i="2"/>
  <c r="G396" i="2"/>
  <c r="E396" i="2"/>
  <c r="K396" i="2"/>
  <c r="D396" i="2"/>
  <c r="C396" i="2"/>
  <c r="B396" i="2"/>
  <c r="A396" i="2"/>
  <c r="H396" i="2"/>
  <c r="G49" i="2"/>
  <c r="C49" i="2"/>
  <c r="J49" i="2"/>
  <c r="I49" i="2"/>
  <c r="H49" i="2"/>
  <c r="F49" i="2"/>
  <c r="E49" i="2"/>
  <c r="D49" i="2"/>
  <c r="B49" i="2"/>
  <c r="A49" i="2"/>
  <c r="K49" i="2"/>
  <c r="I94" i="2"/>
  <c r="E94" i="2"/>
  <c r="H94" i="2"/>
  <c r="F94" i="2"/>
  <c r="D94" i="2"/>
  <c r="C94" i="2"/>
  <c r="K94" i="2"/>
  <c r="B94" i="2"/>
  <c r="A94" i="2"/>
  <c r="G94" i="2"/>
  <c r="J94" i="2"/>
  <c r="I150" i="2"/>
  <c r="H150" i="2"/>
  <c r="E150" i="2"/>
  <c r="D150" i="2"/>
  <c r="K150" i="2"/>
  <c r="J150" i="2"/>
  <c r="G150" i="2"/>
  <c r="F150" i="2"/>
  <c r="C150" i="2"/>
  <c r="B150" i="2"/>
  <c r="A150" i="2"/>
  <c r="I64" i="2"/>
  <c r="E64" i="2"/>
  <c r="A64" i="2"/>
  <c r="J64" i="2"/>
  <c r="B64" i="2"/>
  <c r="C64" i="2"/>
  <c r="F64" i="2"/>
  <c r="K64" i="2"/>
  <c r="H64" i="2"/>
  <c r="G64" i="2"/>
  <c r="D64" i="2"/>
  <c r="I66" i="2"/>
  <c r="E66" i="2"/>
  <c r="C66" i="2"/>
  <c r="K66" i="2"/>
  <c r="B66" i="2"/>
  <c r="J66" i="2"/>
  <c r="H66" i="2"/>
  <c r="G66" i="2"/>
  <c r="F66" i="2"/>
  <c r="D66" i="2"/>
  <c r="A66" i="2"/>
  <c r="G70" i="2"/>
  <c r="C70" i="2"/>
  <c r="K70" i="2"/>
  <c r="I70" i="2"/>
  <c r="J70" i="2"/>
  <c r="H70" i="2"/>
  <c r="F70" i="2"/>
  <c r="E70" i="2"/>
  <c r="D70" i="2"/>
  <c r="B70" i="2"/>
  <c r="A70" i="2"/>
  <c r="G84" i="2"/>
  <c r="C84" i="2"/>
  <c r="D84" i="2"/>
  <c r="A84" i="2"/>
  <c r="I84" i="2"/>
  <c r="H84" i="2"/>
  <c r="F84" i="2"/>
  <c r="E84" i="2"/>
  <c r="B84" i="2"/>
  <c r="J84" i="2"/>
  <c r="K84" i="2"/>
  <c r="G28" i="2"/>
  <c r="C28" i="2"/>
  <c r="K28" i="2"/>
  <c r="H28" i="2"/>
  <c r="J28" i="2"/>
  <c r="I28" i="2"/>
  <c r="F28" i="2"/>
  <c r="E28" i="2"/>
  <c r="D28" i="2"/>
  <c r="B28" i="2"/>
  <c r="A28" i="2"/>
  <c r="I106" i="2"/>
  <c r="E106" i="2"/>
  <c r="A106" i="2"/>
  <c r="G106" i="2"/>
  <c r="D106" i="2"/>
  <c r="B106" i="2"/>
  <c r="F106" i="2"/>
  <c r="K106" i="2"/>
  <c r="J106" i="2"/>
  <c r="H106" i="2"/>
  <c r="C106" i="2"/>
  <c r="D240" i="2"/>
  <c r="K240" i="2"/>
  <c r="I240" i="2"/>
  <c r="H240" i="2"/>
  <c r="E240" i="2"/>
  <c r="C240" i="2"/>
  <c r="B240" i="2"/>
  <c r="A240" i="2"/>
  <c r="G240" i="2"/>
  <c r="F240" i="2"/>
  <c r="J240" i="2"/>
  <c r="C131" i="2"/>
  <c r="I131" i="2"/>
  <c r="H131" i="2"/>
  <c r="J131" i="2"/>
  <c r="F131" i="2"/>
  <c r="D131" i="2"/>
  <c r="B131" i="2"/>
  <c r="K131" i="2"/>
  <c r="G131" i="2"/>
  <c r="E131" i="2"/>
  <c r="A131" i="2"/>
  <c r="E187" i="2"/>
  <c r="C187" i="2"/>
  <c r="K187" i="2"/>
  <c r="I187" i="2"/>
  <c r="G187" i="2"/>
  <c r="H187" i="2"/>
  <c r="F187" i="2"/>
  <c r="D187" i="2"/>
  <c r="J187" i="2"/>
  <c r="B187" i="2"/>
  <c r="A187" i="2"/>
  <c r="G174" i="2"/>
  <c r="F174" i="2"/>
  <c r="E174" i="2"/>
  <c r="B174" i="2"/>
  <c r="A174" i="2"/>
  <c r="K174" i="2"/>
  <c r="I174" i="2"/>
  <c r="H174" i="2"/>
  <c r="D174" i="2"/>
  <c r="C174" i="2"/>
  <c r="J174" i="2"/>
  <c r="C145" i="2"/>
  <c r="I145" i="2"/>
  <c r="H145" i="2"/>
  <c r="E145" i="2"/>
  <c r="D145" i="2"/>
  <c r="B145" i="2"/>
  <c r="A145" i="2"/>
  <c r="K145" i="2"/>
  <c r="G145" i="2"/>
  <c r="J145" i="2"/>
  <c r="F145" i="2"/>
  <c r="I171" i="2"/>
  <c r="H171" i="2"/>
  <c r="F171" i="2"/>
  <c r="E171" i="2"/>
  <c r="D171" i="2"/>
  <c r="K171" i="2"/>
  <c r="J171" i="2"/>
  <c r="G171" i="2"/>
  <c r="C171" i="2"/>
  <c r="A171" i="2"/>
  <c r="B171" i="2"/>
  <c r="I203" i="2"/>
  <c r="G203" i="2"/>
  <c r="C203" i="2"/>
  <c r="K203" i="2"/>
  <c r="J203" i="2"/>
  <c r="H203" i="2"/>
  <c r="F203" i="2"/>
  <c r="D203" i="2"/>
  <c r="B203" i="2"/>
  <c r="A203" i="2"/>
  <c r="E203" i="2"/>
  <c r="K292" i="2"/>
  <c r="F292" i="2"/>
  <c r="D292" i="2"/>
  <c r="A292" i="2"/>
  <c r="J292" i="2"/>
  <c r="H292" i="2"/>
  <c r="B292" i="2"/>
  <c r="E292" i="2"/>
  <c r="G292" i="2"/>
  <c r="I292" i="2"/>
  <c r="C292" i="2"/>
  <c r="J259" i="2"/>
  <c r="B259" i="2"/>
  <c r="I259" i="2"/>
  <c r="D259" i="2"/>
  <c r="C259" i="2"/>
  <c r="K259" i="2"/>
  <c r="H259" i="2"/>
  <c r="G259" i="2"/>
  <c r="F259" i="2"/>
  <c r="E259" i="2"/>
  <c r="A259" i="2"/>
  <c r="K191" i="2"/>
  <c r="A191" i="2"/>
  <c r="I191" i="2"/>
  <c r="G191" i="2"/>
  <c r="E191" i="2"/>
  <c r="D191" i="2"/>
  <c r="C191" i="2"/>
  <c r="J191" i="2"/>
  <c r="H191" i="2"/>
  <c r="F191" i="2"/>
  <c r="B191" i="2"/>
  <c r="I284" i="2"/>
  <c r="D284" i="2"/>
  <c r="K284" i="2"/>
  <c r="B284" i="2"/>
  <c r="A284" i="2"/>
  <c r="E284" i="2"/>
  <c r="C284" i="2"/>
  <c r="G284" i="2"/>
  <c r="H284" i="2"/>
  <c r="F284" i="2"/>
  <c r="J284" i="2"/>
  <c r="J238" i="2"/>
  <c r="E238" i="2"/>
  <c r="F238" i="2"/>
  <c r="C238" i="2"/>
  <c r="K238" i="2"/>
  <c r="G238" i="2"/>
  <c r="D238" i="2"/>
  <c r="B238" i="2"/>
  <c r="A238" i="2"/>
  <c r="I238" i="2"/>
  <c r="H238" i="2"/>
  <c r="A329" i="2"/>
  <c r="J329" i="2"/>
  <c r="I329" i="2"/>
  <c r="B329" i="2"/>
  <c r="E329" i="2"/>
  <c r="K329" i="2"/>
  <c r="G329" i="2"/>
  <c r="D329" i="2"/>
  <c r="H329" i="2"/>
  <c r="F329" i="2"/>
  <c r="C329" i="2"/>
  <c r="E310" i="2"/>
  <c r="I310" i="2"/>
  <c r="A310" i="2"/>
  <c r="C310" i="2"/>
  <c r="B310" i="2"/>
  <c r="J310" i="2"/>
  <c r="F310" i="2"/>
  <c r="K310" i="2"/>
  <c r="H310" i="2"/>
  <c r="G310" i="2"/>
  <c r="D310" i="2"/>
  <c r="C348" i="2"/>
  <c r="J348" i="2"/>
  <c r="E348" i="2"/>
  <c r="G348" i="2"/>
  <c r="I348" i="2"/>
  <c r="F348" i="2"/>
  <c r="D348" i="2"/>
  <c r="B348" i="2"/>
  <c r="K348" i="2"/>
  <c r="H348" i="2"/>
  <c r="A348" i="2"/>
  <c r="E317" i="2"/>
  <c r="G317" i="2"/>
  <c r="F317" i="2"/>
  <c r="C317" i="2"/>
  <c r="B317" i="2"/>
  <c r="A317" i="2"/>
  <c r="K317" i="2"/>
  <c r="J317" i="2"/>
  <c r="I317" i="2"/>
  <c r="H317" i="2"/>
  <c r="D317" i="2"/>
  <c r="G491" i="2"/>
  <c r="E491" i="2"/>
  <c r="A491" i="2"/>
  <c r="J491" i="2"/>
  <c r="H491" i="2"/>
  <c r="F491" i="2"/>
  <c r="C491" i="2"/>
  <c r="B491" i="2"/>
  <c r="K491" i="2"/>
  <c r="I491" i="2"/>
  <c r="D491" i="2"/>
  <c r="H272" i="2"/>
  <c r="D272" i="2"/>
  <c r="I272" i="2"/>
  <c r="F272" i="2"/>
  <c r="G272" i="2"/>
  <c r="K272" i="2"/>
  <c r="J272" i="2"/>
  <c r="E272" i="2"/>
  <c r="C272" i="2"/>
  <c r="B272" i="2"/>
  <c r="A272" i="2"/>
  <c r="A340" i="2"/>
  <c r="J340" i="2"/>
  <c r="F340" i="2"/>
  <c r="C340" i="2"/>
  <c r="E340" i="2"/>
  <c r="D340" i="2"/>
  <c r="B340" i="2"/>
  <c r="H340" i="2"/>
  <c r="I340" i="2"/>
  <c r="K340" i="2"/>
  <c r="G340" i="2"/>
  <c r="K430" i="2"/>
  <c r="I430" i="2"/>
  <c r="J430" i="2"/>
  <c r="H430" i="2"/>
  <c r="F430" i="2"/>
  <c r="C430" i="2"/>
  <c r="A430" i="2"/>
  <c r="G430" i="2"/>
  <c r="E430" i="2"/>
  <c r="D430" i="2"/>
  <c r="B430" i="2"/>
  <c r="J507" i="2"/>
  <c r="F507" i="2"/>
  <c r="B507" i="2"/>
  <c r="A507" i="2"/>
  <c r="I507" i="2"/>
  <c r="H507" i="2"/>
  <c r="G507" i="2"/>
  <c r="E507" i="2"/>
  <c r="C507" i="2"/>
  <c r="K507" i="2"/>
  <c r="D507" i="2"/>
  <c r="F253" i="2"/>
  <c r="B253" i="2"/>
  <c r="D253" i="2"/>
  <c r="I253" i="2"/>
  <c r="H253" i="2"/>
  <c r="C253" i="2"/>
  <c r="A253" i="2"/>
  <c r="K253" i="2"/>
  <c r="J253" i="2"/>
  <c r="G253" i="2"/>
  <c r="E253" i="2"/>
  <c r="C225" i="2"/>
  <c r="A225" i="2"/>
  <c r="H225" i="2"/>
  <c r="G225" i="2"/>
  <c r="D225" i="2"/>
  <c r="B225" i="2"/>
  <c r="K225" i="2"/>
  <c r="J225" i="2"/>
  <c r="I225" i="2"/>
  <c r="E225" i="2"/>
  <c r="F225" i="2"/>
  <c r="A502" i="2"/>
  <c r="I502" i="2"/>
  <c r="E502" i="2"/>
  <c r="H502" i="2"/>
  <c r="G502" i="2"/>
  <c r="F502" i="2"/>
  <c r="D502" i="2"/>
  <c r="J502" i="2"/>
  <c r="B502" i="2"/>
  <c r="K502" i="2"/>
  <c r="C502" i="2"/>
  <c r="I492" i="2"/>
  <c r="H492" i="2"/>
  <c r="D492" i="2"/>
  <c r="E492" i="2"/>
  <c r="C492" i="2"/>
  <c r="A492" i="2"/>
  <c r="G492" i="2"/>
  <c r="F492" i="2"/>
  <c r="B492" i="2"/>
  <c r="K492" i="2"/>
  <c r="J492" i="2"/>
  <c r="I38" i="2"/>
  <c r="E38" i="2"/>
  <c r="C38" i="2"/>
  <c r="K38" i="2"/>
  <c r="A38" i="2"/>
  <c r="J38" i="2"/>
  <c r="H38" i="2"/>
  <c r="G38" i="2"/>
  <c r="F38" i="2"/>
  <c r="D38" i="2"/>
  <c r="B38" i="2"/>
  <c r="E160" i="2"/>
  <c r="A160" i="2"/>
  <c r="K160" i="2"/>
  <c r="J160" i="2"/>
  <c r="H160" i="2"/>
  <c r="G160" i="2"/>
  <c r="F160" i="2"/>
  <c r="D160" i="2"/>
  <c r="C160" i="2"/>
  <c r="B160" i="2"/>
  <c r="I160" i="2"/>
  <c r="E504" i="2"/>
  <c r="K504" i="2"/>
  <c r="B504" i="2"/>
  <c r="A504" i="2"/>
  <c r="I504" i="2"/>
  <c r="H504" i="2"/>
  <c r="G504" i="2"/>
  <c r="F504" i="2"/>
  <c r="J504" i="2"/>
  <c r="D504" i="2"/>
  <c r="C504" i="2"/>
  <c r="G42" i="2"/>
  <c r="C42" i="2"/>
  <c r="E42" i="2"/>
  <c r="D42" i="2"/>
  <c r="B42" i="2"/>
  <c r="A42" i="2"/>
  <c r="I42" i="2"/>
  <c r="F42" i="2"/>
  <c r="K42" i="2"/>
  <c r="J42" i="2"/>
  <c r="H42" i="2"/>
  <c r="I108" i="2"/>
  <c r="E108" i="2"/>
  <c r="A108" i="2"/>
  <c r="J108" i="2"/>
  <c r="G108" i="2"/>
  <c r="F108" i="2"/>
  <c r="D108" i="2"/>
  <c r="C108" i="2"/>
  <c r="B108" i="2"/>
  <c r="H108" i="2"/>
  <c r="K108" i="2"/>
  <c r="C509" i="2"/>
  <c r="D509" i="2"/>
  <c r="B509" i="2"/>
  <c r="K509" i="2"/>
  <c r="H509" i="2"/>
  <c r="F509" i="2"/>
  <c r="E509" i="2"/>
  <c r="A509" i="2"/>
  <c r="I509" i="2"/>
  <c r="G509" i="2"/>
  <c r="J509" i="2"/>
  <c r="I143" i="2"/>
  <c r="E143" i="2"/>
  <c r="D143" i="2"/>
  <c r="J143" i="2"/>
  <c r="H143" i="2"/>
  <c r="G143" i="2"/>
  <c r="F143" i="2"/>
  <c r="B143" i="2"/>
  <c r="K143" i="2"/>
  <c r="C143" i="2"/>
  <c r="A143" i="2"/>
  <c r="C398" i="2"/>
  <c r="F398" i="2"/>
  <c r="A398" i="2"/>
  <c r="H398" i="2"/>
  <c r="G398" i="2"/>
  <c r="D398" i="2"/>
  <c r="J398" i="2"/>
  <c r="I398" i="2"/>
  <c r="B398" i="2"/>
  <c r="K398" i="2"/>
  <c r="E398" i="2"/>
  <c r="G364" i="2"/>
  <c r="I364" i="2"/>
  <c r="J364" i="2"/>
  <c r="A364" i="2"/>
  <c r="C364" i="2"/>
  <c r="K364" i="2"/>
  <c r="H364" i="2"/>
  <c r="F364" i="2"/>
  <c r="B364" i="2"/>
  <c r="E364" i="2"/>
  <c r="D364" i="2"/>
  <c r="I305" i="2"/>
  <c r="D305" i="2"/>
  <c r="C305" i="2"/>
  <c r="K305" i="2"/>
  <c r="H305" i="2"/>
  <c r="G305" i="2"/>
  <c r="F305" i="2"/>
  <c r="E305" i="2"/>
  <c r="B305" i="2"/>
  <c r="A305" i="2"/>
  <c r="J305" i="2"/>
  <c r="I71" i="2"/>
  <c r="E71" i="2"/>
  <c r="A71" i="2"/>
  <c r="D71" i="2"/>
  <c r="F71" i="2"/>
  <c r="C71" i="2"/>
  <c r="B71" i="2"/>
  <c r="G71" i="2"/>
  <c r="J71" i="2"/>
  <c r="K71" i="2"/>
  <c r="H71" i="2"/>
  <c r="A137" i="2"/>
  <c r="K137" i="2"/>
  <c r="G137" i="2"/>
  <c r="F137" i="2"/>
  <c r="C137" i="2"/>
  <c r="B137" i="2"/>
  <c r="J137" i="2"/>
  <c r="I137" i="2"/>
  <c r="H137" i="2"/>
  <c r="D137" i="2"/>
  <c r="E137" i="2"/>
  <c r="K204" i="2"/>
  <c r="I204" i="2"/>
  <c r="G204" i="2"/>
  <c r="C204" i="2"/>
  <c r="A204" i="2"/>
  <c r="J204" i="2"/>
  <c r="H204" i="2"/>
  <c r="F204" i="2"/>
  <c r="E204" i="2"/>
  <c r="D204" i="2"/>
  <c r="B204" i="2"/>
  <c r="G325" i="2"/>
  <c r="B325" i="2"/>
  <c r="I325" i="2"/>
  <c r="E325" i="2"/>
  <c r="K325" i="2"/>
  <c r="J325" i="2"/>
  <c r="H325" i="2"/>
  <c r="F325" i="2"/>
  <c r="A325" i="2"/>
  <c r="D325" i="2"/>
  <c r="C325" i="2"/>
  <c r="E303" i="2"/>
  <c r="K303" i="2"/>
  <c r="C303" i="2"/>
  <c r="B303" i="2"/>
  <c r="A303" i="2"/>
  <c r="I303" i="2"/>
  <c r="H303" i="2"/>
  <c r="G303" i="2"/>
  <c r="D303" i="2"/>
  <c r="J303" i="2"/>
  <c r="F303" i="2"/>
  <c r="K486" i="2"/>
  <c r="E486" i="2"/>
  <c r="A486" i="2"/>
  <c r="G486" i="2"/>
  <c r="F486" i="2"/>
  <c r="C486" i="2"/>
  <c r="B486" i="2"/>
  <c r="I486" i="2"/>
  <c r="H486" i="2"/>
  <c r="J486" i="2"/>
  <c r="D486" i="2"/>
  <c r="C440" i="2"/>
  <c r="J440" i="2"/>
  <c r="I440" i="2"/>
  <c r="F440" i="2"/>
  <c r="B440" i="2"/>
  <c r="D440" i="2"/>
  <c r="K440" i="2"/>
  <c r="H440" i="2"/>
  <c r="A440" i="2"/>
  <c r="G440" i="2"/>
  <c r="E440" i="2"/>
  <c r="C302" i="2"/>
  <c r="G302" i="2"/>
  <c r="J302" i="2"/>
  <c r="B302" i="2"/>
  <c r="E302" i="2"/>
  <c r="K302" i="2"/>
  <c r="I302" i="2"/>
  <c r="H302" i="2"/>
  <c r="F302" i="2"/>
  <c r="D302" i="2"/>
  <c r="A302" i="2"/>
  <c r="I478" i="2"/>
  <c r="K478" i="2"/>
  <c r="F478" i="2"/>
  <c r="G478" i="2"/>
  <c r="D478" i="2"/>
  <c r="C478" i="2"/>
  <c r="E478" i="2"/>
  <c r="B478" i="2"/>
  <c r="J478" i="2"/>
  <c r="H478" i="2"/>
  <c r="A478" i="2"/>
  <c r="E490" i="2"/>
  <c r="B490" i="2"/>
  <c r="K490" i="2"/>
  <c r="J490" i="2"/>
  <c r="H490" i="2"/>
  <c r="D490" i="2"/>
  <c r="A490" i="2"/>
  <c r="I490" i="2"/>
  <c r="F490" i="2"/>
  <c r="C490" i="2"/>
  <c r="G490" i="2"/>
  <c r="I52" i="2"/>
  <c r="E52" i="2"/>
  <c r="J52" i="2"/>
  <c r="H52" i="2"/>
  <c r="F52" i="2"/>
  <c r="K52" i="2"/>
  <c r="G52" i="2"/>
  <c r="D52" i="2"/>
  <c r="C52" i="2"/>
  <c r="B52" i="2"/>
  <c r="A52" i="2"/>
  <c r="I101" i="2"/>
  <c r="E101" i="2"/>
  <c r="K101" i="2"/>
  <c r="D101" i="2"/>
  <c r="B101" i="2"/>
  <c r="A101" i="2"/>
  <c r="F101" i="2"/>
  <c r="C101" i="2"/>
  <c r="J101" i="2"/>
  <c r="G101" i="2"/>
  <c r="H101" i="2"/>
  <c r="F222" i="2"/>
  <c r="I222" i="2"/>
  <c r="G222" i="2"/>
  <c r="J222" i="2"/>
  <c r="H222" i="2"/>
  <c r="C222" i="2"/>
  <c r="B222" i="2"/>
  <c r="A222" i="2"/>
  <c r="D222" i="2"/>
  <c r="K222" i="2"/>
  <c r="E222" i="2"/>
  <c r="K79" i="2"/>
  <c r="G79" i="2"/>
  <c r="C79" i="2"/>
  <c r="J79" i="2"/>
  <c r="H79" i="2"/>
  <c r="A79" i="2"/>
  <c r="D79" i="2"/>
  <c r="I79" i="2"/>
  <c r="F79" i="2"/>
  <c r="E79" i="2"/>
  <c r="B79" i="2"/>
  <c r="A102" i="2"/>
  <c r="K102" i="2"/>
  <c r="G102" i="2"/>
  <c r="B102" i="2"/>
  <c r="J102" i="2"/>
  <c r="H102" i="2"/>
  <c r="F102" i="2"/>
  <c r="I102" i="2"/>
  <c r="E102" i="2"/>
  <c r="D102" i="2"/>
  <c r="C102" i="2"/>
  <c r="I87" i="2"/>
  <c r="E87" i="2"/>
  <c r="C87" i="2"/>
  <c r="A87" i="2"/>
  <c r="H87" i="2"/>
  <c r="K87" i="2"/>
  <c r="J87" i="2"/>
  <c r="G87" i="2"/>
  <c r="F87" i="2"/>
  <c r="D87" i="2"/>
  <c r="B87" i="2"/>
  <c r="C12" i="2"/>
  <c r="I12" i="2"/>
  <c r="K12" i="2"/>
  <c r="D12" i="2"/>
  <c r="A12" i="2"/>
  <c r="J12" i="2"/>
  <c r="H12" i="2"/>
  <c r="G12" i="2"/>
  <c r="F12" i="2"/>
  <c r="E12" i="2"/>
  <c r="B12" i="2"/>
  <c r="I31" i="2"/>
  <c r="E31" i="2"/>
  <c r="K31" i="2"/>
  <c r="G31" i="2"/>
  <c r="J31" i="2"/>
  <c r="H31" i="2"/>
  <c r="F31" i="2"/>
  <c r="D31" i="2"/>
  <c r="C31" i="2"/>
  <c r="B31" i="2"/>
  <c r="A31" i="2"/>
  <c r="A109" i="2"/>
  <c r="K109" i="2"/>
  <c r="G109" i="2"/>
  <c r="F109" i="2"/>
  <c r="E109" i="2"/>
  <c r="D109" i="2"/>
  <c r="B109" i="2"/>
  <c r="J109" i="2"/>
  <c r="I109" i="2"/>
  <c r="H109" i="2"/>
  <c r="C109" i="2"/>
  <c r="K93" i="2"/>
  <c r="G93" i="2"/>
  <c r="C93" i="2"/>
  <c r="B93" i="2"/>
  <c r="I93" i="2"/>
  <c r="H93" i="2"/>
  <c r="J93" i="2"/>
  <c r="F93" i="2"/>
  <c r="E93" i="2"/>
  <c r="D93" i="2"/>
  <c r="A93" i="2"/>
  <c r="J169" i="2"/>
  <c r="I169" i="2"/>
  <c r="H169" i="2"/>
  <c r="E169" i="2"/>
  <c r="D169" i="2"/>
  <c r="B169" i="2"/>
  <c r="A169" i="2"/>
  <c r="K169" i="2"/>
  <c r="G169" i="2"/>
  <c r="C169" i="2"/>
  <c r="F169" i="2"/>
  <c r="A287" i="2"/>
  <c r="J287" i="2"/>
  <c r="G287" i="2"/>
  <c r="D287" i="2"/>
  <c r="I287" i="2"/>
  <c r="F287" i="2"/>
  <c r="E287" i="2"/>
  <c r="C287" i="2"/>
  <c r="B287" i="2"/>
  <c r="K287" i="2"/>
  <c r="H287" i="2"/>
  <c r="C193" i="2"/>
  <c r="A193" i="2"/>
  <c r="I193" i="2"/>
  <c r="E193" i="2"/>
  <c r="B193" i="2"/>
  <c r="F193" i="2"/>
  <c r="D193" i="2"/>
  <c r="K193" i="2"/>
  <c r="G193" i="2"/>
  <c r="J193" i="2"/>
  <c r="H193" i="2"/>
  <c r="C152" i="2"/>
  <c r="I152" i="2"/>
  <c r="H152" i="2"/>
  <c r="G152" i="2"/>
  <c r="F152" i="2"/>
  <c r="E152" i="2"/>
  <c r="D152" i="2"/>
  <c r="B152" i="2"/>
  <c r="A152" i="2"/>
  <c r="K152" i="2"/>
  <c r="J152" i="2"/>
  <c r="A179" i="2"/>
  <c r="K179" i="2"/>
  <c r="G179" i="2"/>
  <c r="H179" i="2"/>
  <c r="F179" i="2"/>
  <c r="D179" i="2"/>
  <c r="C179" i="2"/>
  <c r="B179" i="2"/>
  <c r="I179" i="2"/>
  <c r="E179" i="2"/>
  <c r="J179" i="2"/>
  <c r="F275" i="2"/>
  <c r="J275" i="2"/>
  <c r="H275" i="2"/>
  <c r="K275" i="2"/>
  <c r="I275" i="2"/>
  <c r="G275" i="2"/>
  <c r="D275" i="2"/>
  <c r="C275" i="2"/>
  <c r="B275" i="2"/>
  <c r="A275" i="2"/>
  <c r="E275" i="2"/>
  <c r="G336" i="2"/>
  <c r="C336" i="2"/>
  <c r="J336" i="2"/>
  <c r="A336" i="2"/>
  <c r="I336" i="2"/>
  <c r="K336" i="2"/>
  <c r="H336" i="2"/>
  <c r="F336" i="2"/>
  <c r="B336" i="2"/>
  <c r="D336" i="2"/>
  <c r="E336" i="2"/>
  <c r="I373" i="2"/>
  <c r="D373" i="2"/>
  <c r="H373" i="2"/>
  <c r="G373" i="2"/>
  <c r="A373" i="2"/>
  <c r="J373" i="2"/>
  <c r="E373" i="2"/>
  <c r="K373" i="2"/>
  <c r="F373" i="2"/>
  <c r="C373" i="2"/>
  <c r="B373" i="2"/>
  <c r="B241" i="2"/>
  <c r="G241" i="2"/>
  <c r="E241" i="2"/>
  <c r="C241" i="2"/>
  <c r="D241" i="2"/>
  <c r="K241" i="2"/>
  <c r="J241" i="2"/>
  <c r="I241" i="2"/>
  <c r="H241" i="2"/>
  <c r="F241" i="2"/>
  <c r="A241" i="2"/>
  <c r="H293" i="2"/>
  <c r="A293" i="2"/>
  <c r="I293" i="2"/>
  <c r="G293" i="2"/>
  <c r="J293" i="2"/>
  <c r="F293" i="2"/>
  <c r="E293" i="2"/>
  <c r="D293" i="2"/>
  <c r="C293" i="2"/>
  <c r="B293" i="2"/>
  <c r="K293" i="2"/>
  <c r="H251" i="2"/>
  <c r="G251" i="2"/>
  <c r="I251" i="2"/>
  <c r="E251" i="2"/>
  <c r="F251" i="2"/>
  <c r="K251" i="2"/>
  <c r="C251" i="2"/>
  <c r="B251" i="2"/>
  <c r="A251" i="2"/>
  <c r="J251" i="2"/>
  <c r="D251" i="2"/>
  <c r="K345" i="2"/>
  <c r="A345" i="2"/>
  <c r="J345" i="2"/>
  <c r="G345" i="2"/>
  <c r="D345" i="2"/>
  <c r="F345" i="2"/>
  <c r="C345" i="2"/>
  <c r="E345" i="2"/>
  <c r="H345" i="2"/>
  <c r="I345" i="2"/>
  <c r="B345" i="2"/>
  <c r="G343" i="2"/>
  <c r="J343" i="2"/>
  <c r="D343" i="2"/>
  <c r="E343" i="2"/>
  <c r="H343" i="2"/>
  <c r="F343" i="2"/>
  <c r="B343" i="2"/>
  <c r="K343" i="2"/>
  <c r="I343" i="2"/>
  <c r="C343" i="2"/>
  <c r="A343" i="2"/>
  <c r="A376" i="2"/>
  <c r="I376" i="2"/>
  <c r="G376" i="2"/>
  <c r="F376" i="2"/>
  <c r="E376" i="2"/>
  <c r="J376" i="2"/>
  <c r="H376" i="2"/>
  <c r="D376" i="2"/>
  <c r="C376" i="2"/>
  <c r="B376" i="2"/>
  <c r="K376" i="2"/>
  <c r="I337" i="2"/>
  <c r="F337" i="2"/>
  <c r="A337" i="2"/>
  <c r="G337" i="2"/>
  <c r="H337" i="2"/>
  <c r="E337" i="2"/>
  <c r="C337" i="2"/>
  <c r="K337" i="2"/>
  <c r="J337" i="2"/>
  <c r="D337" i="2"/>
  <c r="B337" i="2"/>
  <c r="G386" i="2"/>
  <c r="J386" i="2"/>
  <c r="K386" i="2"/>
  <c r="I386" i="2"/>
  <c r="C386" i="2"/>
  <c r="H386" i="2"/>
  <c r="E386" i="2"/>
  <c r="F386" i="2"/>
  <c r="D386" i="2"/>
  <c r="A386" i="2"/>
  <c r="B386" i="2"/>
  <c r="B360" i="2"/>
  <c r="K360" i="2"/>
  <c r="D360" i="2"/>
  <c r="H360" i="2"/>
  <c r="J360" i="2"/>
  <c r="G360" i="2"/>
  <c r="E360" i="2"/>
  <c r="C360" i="2"/>
  <c r="A360" i="2"/>
  <c r="I360" i="2"/>
  <c r="F360" i="2"/>
  <c r="E476" i="2"/>
  <c r="D476" i="2"/>
  <c r="C476" i="2"/>
  <c r="B476" i="2"/>
  <c r="K476" i="2"/>
  <c r="J476" i="2"/>
  <c r="F476" i="2"/>
  <c r="H476" i="2"/>
  <c r="I476" i="2"/>
  <c r="G476" i="2"/>
  <c r="A476" i="2"/>
  <c r="A495" i="2"/>
  <c r="C495" i="2"/>
  <c r="E495" i="2"/>
  <c r="D495" i="2"/>
  <c r="K495" i="2"/>
  <c r="J495" i="2"/>
  <c r="B495" i="2"/>
  <c r="H495" i="2"/>
  <c r="I495" i="2"/>
  <c r="G495" i="2"/>
  <c r="F495" i="2"/>
  <c r="K444" i="2"/>
  <c r="G444" i="2"/>
  <c r="A444" i="2"/>
  <c r="J444" i="2"/>
  <c r="F444" i="2"/>
  <c r="I444" i="2"/>
  <c r="B444" i="2"/>
  <c r="D444" i="2"/>
  <c r="E444" i="2"/>
  <c r="C444" i="2"/>
  <c r="H444" i="2"/>
  <c r="I232" i="2"/>
  <c r="G232" i="2"/>
  <c r="K232" i="2"/>
  <c r="J232" i="2"/>
  <c r="H232" i="2"/>
  <c r="F232" i="2"/>
  <c r="E232" i="2"/>
  <c r="D232" i="2"/>
  <c r="C232" i="2"/>
  <c r="B232" i="2"/>
  <c r="A232" i="2"/>
  <c r="C412" i="2"/>
  <c r="D412" i="2"/>
  <c r="K412" i="2"/>
  <c r="H412" i="2"/>
  <c r="A412" i="2"/>
  <c r="E412" i="2"/>
  <c r="G412" i="2"/>
  <c r="B412" i="2"/>
  <c r="I412" i="2"/>
  <c r="J412" i="2"/>
  <c r="F412" i="2"/>
  <c r="K352" i="2"/>
  <c r="G352" i="2"/>
  <c r="B352" i="2"/>
  <c r="C352" i="2"/>
  <c r="A352" i="2"/>
  <c r="J352" i="2"/>
  <c r="I352" i="2"/>
  <c r="E352" i="2"/>
  <c r="H352" i="2"/>
  <c r="F352" i="2"/>
  <c r="D352" i="2"/>
  <c r="I15" i="2"/>
  <c r="A15" i="2"/>
  <c r="H15" i="2"/>
  <c r="G15" i="2"/>
  <c r="K15" i="2"/>
  <c r="J15" i="2"/>
  <c r="F15" i="2"/>
  <c r="E15" i="2"/>
  <c r="D15" i="2"/>
  <c r="C15" i="2"/>
  <c r="B15" i="2"/>
  <c r="D263" i="2"/>
  <c r="G263" i="2"/>
  <c r="E263" i="2"/>
  <c r="B263" i="2"/>
  <c r="H263" i="2"/>
  <c r="J263" i="2"/>
  <c r="A263" i="2"/>
  <c r="K263" i="2"/>
  <c r="I263" i="2"/>
  <c r="F263" i="2"/>
  <c r="C263" i="2"/>
  <c r="A158" i="2"/>
  <c r="K158" i="2"/>
  <c r="J158" i="2"/>
  <c r="H158" i="2"/>
  <c r="G158" i="2"/>
  <c r="F158" i="2"/>
  <c r="I158" i="2"/>
  <c r="E158" i="2"/>
  <c r="D158" i="2"/>
  <c r="C158" i="2"/>
  <c r="B158" i="2"/>
  <c r="F167" i="2"/>
  <c r="E167" i="2"/>
  <c r="D167" i="2"/>
  <c r="A167" i="2"/>
  <c r="K167" i="2"/>
  <c r="J167" i="2"/>
  <c r="I167" i="2"/>
  <c r="H167" i="2"/>
  <c r="G167" i="2"/>
  <c r="C167" i="2"/>
  <c r="B167" i="2"/>
  <c r="A25" i="2"/>
  <c r="K25" i="2"/>
  <c r="G25" i="2"/>
  <c r="H25" i="2"/>
  <c r="J25" i="2"/>
  <c r="I25" i="2"/>
  <c r="F25" i="2"/>
  <c r="E25" i="2"/>
  <c r="D25" i="2"/>
  <c r="C25" i="2"/>
  <c r="B25" i="2"/>
  <c r="I210" i="2"/>
  <c r="G210" i="2"/>
  <c r="A210" i="2"/>
  <c r="K210" i="2"/>
  <c r="J210" i="2"/>
  <c r="H210" i="2"/>
  <c r="F210" i="2"/>
  <c r="D210" i="2"/>
  <c r="C210" i="2"/>
  <c r="B210" i="2"/>
  <c r="E210" i="2"/>
  <c r="J424" i="2"/>
  <c r="F424" i="2"/>
  <c r="K424" i="2"/>
  <c r="H424" i="2"/>
  <c r="D424" i="2"/>
  <c r="A424" i="2"/>
  <c r="C424" i="2"/>
  <c r="I424" i="2"/>
  <c r="G424" i="2"/>
  <c r="E424" i="2"/>
  <c r="B424" i="2"/>
  <c r="C370" i="2"/>
  <c r="J370" i="2"/>
  <c r="F370" i="2"/>
  <c r="I370" i="2"/>
  <c r="H370" i="2"/>
  <c r="A370" i="2"/>
  <c r="B370" i="2"/>
  <c r="E370" i="2"/>
  <c r="K370" i="2"/>
  <c r="G370" i="2"/>
  <c r="D370" i="2"/>
  <c r="E27" i="2"/>
  <c r="A27" i="2"/>
  <c r="K27" i="2"/>
  <c r="G27" i="2"/>
  <c r="F27" i="2"/>
  <c r="B27" i="2"/>
  <c r="D27" i="2"/>
  <c r="C27" i="2"/>
  <c r="J27" i="2"/>
  <c r="H27" i="2"/>
  <c r="I27" i="2"/>
  <c r="A74" i="2"/>
  <c r="K74" i="2"/>
  <c r="G74" i="2"/>
  <c r="D74" i="2"/>
  <c r="J74" i="2"/>
  <c r="I74" i="2"/>
  <c r="H74" i="2"/>
  <c r="F74" i="2"/>
  <c r="E74" i="2"/>
  <c r="C74" i="2"/>
  <c r="B74" i="2"/>
  <c r="K190" i="2"/>
  <c r="I190" i="2"/>
  <c r="G190" i="2"/>
  <c r="E190" i="2"/>
  <c r="C190" i="2"/>
  <c r="J190" i="2"/>
  <c r="H190" i="2"/>
  <c r="D190" i="2"/>
  <c r="B190" i="2"/>
  <c r="A190" i="2"/>
  <c r="F190" i="2"/>
  <c r="E342" i="2"/>
  <c r="G342" i="2"/>
  <c r="A342" i="2"/>
  <c r="I342" i="2"/>
  <c r="J342" i="2"/>
  <c r="H342" i="2"/>
  <c r="F342" i="2"/>
  <c r="D342" i="2"/>
  <c r="K342" i="2"/>
  <c r="C342" i="2"/>
  <c r="B342" i="2"/>
  <c r="C274" i="2"/>
  <c r="J274" i="2"/>
  <c r="I274" i="2"/>
  <c r="D274" i="2"/>
  <c r="A274" i="2"/>
  <c r="F274" i="2"/>
  <c r="H274" i="2"/>
  <c r="K274" i="2"/>
  <c r="G274" i="2"/>
  <c r="E274" i="2"/>
  <c r="B274" i="2"/>
  <c r="G498" i="2"/>
  <c r="H498" i="2"/>
  <c r="C498" i="2"/>
  <c r="B498" i="2"/>
  <c r="K498" i="2"/>
  <c r="J498" i="2"/>
  <c r="I498" i="2"/>
  <c r="A498" i="2"/>
  <c r="E498" i="2"/>
  <c r="F498" i="2"/>
  <c r="D498" i="2"/>
  <c r="F501" i="2"/>
  <c r="B501" i="2"/>
  <c r="C501" i="2"/>
  <c r="A501" i="2"/>
  <c r="J501" i="2"/>
  <c r="I501" i="2"/>
  <c r="H501" i="2"/>
  <c r="G501" i="2"/>
  <c r="K501" i="2"/>
  <c r="E501" i="2"/>
  <c r="D501" i="2"/>
  <c r="A474" i="2"/>
  <c r="I474" i="2"/>
  <c r="J474" i="2"/>
  <c r="H474" i="2"/>
  <c r="F474" i="2"/>
  <c r="C474" i="2"/>
  <c r="G474" i="2"/>
  <c r="E474" i="2"/>
  <c r="K474" i="2"/>
  <c r="D474" i="2"/>
  <c r="B474" i="2"/>
  <c r="I80" i="2"/>
  <c r="E80" i="2"/>
  <c r="C80" i="2"/>
  <c r="J80" i="2"/>
  <c r="H80" i="2"/>
  <c r="G80" i="2"/>
  <c r="F80" i="2"/>
  <c r="D80" i="2"/>
  <c r="B80" i="2"/>
  <c r="A80" i="2"/>
  <c r="K80" i="2"/>
  <c r="A185" i="2"/>
  <c r="G185" i="2"/>
  <c r="C185" i="2"/>
  <c r="I185" i="2"/>
  <c r="H185" i="2"/>
  <c r="F185" i="2"/>
  <c r="B185" i="2"/>
  <c r="K185" i="2"/>
  <c r="J185" i="2"/>
  <c r="E185" i="2"/>
  <c r="D185" i="2"/>
  <c r="C40" i="2"/>
  <c r="I40" i="2"/>
  <c r="K40" i="2"/>
  <c r="J40" i="2"/>
  <c r="H40" i="2"/>
  <c r="G40" i="2"/>
  <c r="F40" i="2"/>
  <c r="E40" i="2"/>
  <c r="D40" i="2"/>
  <c r="B40" i="2"/>
  <c r="A40" i="2"/>
  <c r="A151" i="2"/>
  <c r="K151" i="2"/>
  <c r="J151" i="2"/>
  <c r="G151" i="2"/>
  <c r="F151" i="2"/>
  <c r="I151" i="2"/>
  <c r="H151" i="2"/>
  <c r="E151" i="2"/>
  <c r="D151" i="2"/>
  <c r="B151" i="2"/>
  <c r="C151" i="2"/>
  <c r="D256" i="2"/>
  <c r="H256" i="2"/>
  <c r="A256" i="2"/>
  <c r="I256" i="2"/>
  <c r="K256" i="2"/>
  <c r="J256" i="2"/>
  <c r="G256" i="2"/>
  <c r="F256" i="2"/>
  <c r="E256" i="2"/>
  <c r="C256" i="2"/>
  <c r="B256" i="2"/>
  <c r="K135" i="2"/>
  <c r="G135" i="2"/>
  <c r="C135" i="2"/>
  <c r="B135" i="2"/>
  <c r="H135" i="2"/>
  <c r="F135" i="2"/>
  <c r="E135" i="2"/>
  <c r="D135" i="2"/>
  <c r="J135" i="2"/>
  <c r="I135" i="2"/>
  <c r="A135" i="2"/>
  <c r="I50" i="2"/>
  <c r="E50" i="2"/>
  <c r="A50" i="2"/>
  <c r="B50" i="2"/>
  <c r="K50" i="2"/>
  <c r="J50" i="2"/>
  <c r="H50" i="2"/>
  <c r="G50" i="2"/>
  <c r="F50" i="2"/>
  <c r="D50" i="2"/>
  <c r="C50" i="2"/>
  <c r="E34" i="2"/>
  <c r="A34" i="2"/>
  <c r="K34" i="2"/>
  <c r="J34" i="2"/>
  <c r="G34" i="2"/>
  <c r="I34" i="2"/>
  <c r="H34" i="2"/>
  <c r="F34" i="2"/>
  <c r="D34" i="2"/>
  <c r="C34" i="2"/>
  <c r="B34" i="2"/>
  <c r="B165" i="2"/>
  <c r="A165" i="2"/>
  <c r="K165" i="2"/>
  <c r="J165" i="2"/>
  <c r="H165" i="2"/>
  <c r="G165" i="2"/>
  <c r="F165" i="2"/>
  <c r="C165" i="2"/>
  <c r="E165" i="2"/>
  <c r="I165" i="2"/>
  <c r="D165" i="2"/>
  <c r="K142" i="2"/>
  <c r="G142" i="2"/>
  <c r="C142" i="2"/>
  <c r="B142" i="2"/>
  <c r="A142" i="2"/>
  <c r="J142" i="2"/>
  <c r="I142" i="2"/>
  <c r="H142" i="2"/>
  <c r="E142" i="2"/>
  <c r="F142" i="2"/>
  <c r="D142" i="2"/>
  <c r="I182" i="2"/>
  <c r="G182" i="2"/>
  <c r="K182" i="2"/>
  <c r="E182" i="2"/>
  <c r="C182" i="2"/>
  <c r="A182" i="2"/>
  <c r="J182" i="2"/>
  <c r="H182" i="2"/>
  <c r="F182" i="2"/>
  <c r="D182" i="2"/>
  <c r="B182" i="2"/>
  <c r="A67" i="2"/>
  <c r="K67" i="2"/>
  <c r="G67" i="2"/>
  <c r="I67" i="2"/>
  <c r="F67" i="2"/>
  <c r="E67" i="2"/>
  <c r="C67" i="2"/>
  <c r="D67" i="2"/>
  <c r="B67" i="2"/>
  <c r="H67" i="2"/>
  <c r="J67" i="2"/>
  <c r="I319" i="2"/>
  <c r="D319" i="2"/>
  <c r="G319" i="2"/>
  <c r="A319" i="2"/>
  <c r="K319" i="2"/>
  <c r="E319" i="2"/>
  <c r="C319" i="2"/>
  <c r="B319" i="2"/>
  <c r="J319" i="2"/>
  <c r="H319" i="2"/>
  <c r="F319" i="2"/>
  <c r="C159" i="2"/>
  <c r="J159" i="2"/>
  <c r="I159" i="2"/>
  <c r="H159" i="2"/>
  <c r="G159" i="2"/>
  <c r="F159" i="2"/>
  <c r="E159" i="2"/>
  <c r="D159" i="2"/>
  <c r="A159" i="2"/>
  <c r="K159" i="2"/>
  <c r="B159" i="2"/>
  <c r="A192" i="2"/>
  <c r="E192" i="2"/>
  <c r="K192" i="2"/>
  <c r="I192" i="2"/>
  <c r="H192" i="2"/>
  <c r="G192" i="2"/>
  <c r="D192" i="2"/>
  <c r="C192" i="2"/>
  <c r="B192" i="2"/>
  <c r="J192" i="2"/>
  <c r="F192" i="2"/>
  <c r="H286" i="2"/>
  <c r="C286" i="2"/>
  <c r="K286" i="2"/>
  <c r="A286" i="2"/>
  <c r="D286" i="2"/>
  <c r="F286" i="2"/>
  <c r="J286" i="2"/>
  <c r="I286" i="2"/>
  <c r="G286" i="2"/>
  <c r="E286" i="2"/>
  <c r="B286" i="2"/>
  <c r="B175" i="2"/>
  <c r="J175" i="2"/>
  <c r="I175" i="2"/>
  <c r="H175" i="2"/>
  <c r="E175" i="2"/>
  <c r="D175" i="2"/>
  <c r="A175" i="2"/>
  <c r="K175" i="2"/>
  <c r="G175" i="2"/>
  <c r="F175" i="2"/>
  <c r="C175" i="2"/>
  <c r="C180" i="2"/>
  <c r="D180" i="2"/>
  <c r="J180" i="2"/>
  <c r="B180" i="2"/>
  <c r="A180" i="2"/>
  <c r="K180" i="2"/>
  <c r="I180" i="2"/>
  <c r="H180" i="2"/>
  <c r="G180" i="2"/>
  <c r="E180" i="2"/>
  <c r="F180" i="2"/>
  <c r="H321" i="2"/>
  <c r="G321" i="2"/>
  <c r="E321" i="2"/>
  <c r="F321" i="2"/>
  <c r="D321" i="2"/>
  <c r="C321" i="2"/>
  <c r="K321" i="2"/>
  <c r="J321" i="2"/>
  <c r="I321" i="2"/>
  <c r="B321" i="2"/>
  <c r="A321" i="2"/>
  <c r="H300" i="2"/>
  <c r="F300" i="2"/>
  <c r="A300" i="2"/>
  <c r="C300" i="2"/>
  <c r="E300" i="2"/>
  <c r="J300" i="2"/>
  <c r="I300" i="2"/>
  <c r="G300" i="2"/>
  <c r="D300" i="2"/>
  <c r="B300" i="2"/>
  <c r="K300" i="2"/>
  <c r="E282" i="2"/>
  <c r="B282" i="2"/>
  <c r="J282" i="2"/>
  <c r="G282" i="2"/>
  <c r="H282" i="2"/>
  <c r="D282" i="2"/>
  <c r="A282" i="2"/>
  <c r="F282" i="2"/>
  <c r="K282" i="2"/>
  <c r="I282" i="2"/>
  <c r="C282" i="2"/>
  <c r="A354" i="2"/>
  <c r="H354" i="2"/>
  <c r="E354" i="2"/>
  <c r="I354" i="2"/>
  <c r="D354" i="2"/>
  <c r="C354" i="2"/>
  <c r="B354" i="2"/>
  <c r="G354" i="2"/>
  <c r="K354" i="2"/>
  <c r="J354" i="2"/>
  <c r="F354" i="2"/>
  <c r="F403" i="2"/>
  <c r="B403" i="2"/>
  <c r="J403" i="2"/>
  <c r="I403" i="2"/>
  <c r="H403" i="2"/>
  <c r="C403" i="2"/>
  <c r="E403" i="2"/>
  <c r="A403" i="2"/>
  <c r="K403" i="2"/>
  <c r="G403" i="2"/>
  <c r="D403" i="2"/>
  <c r="A404" i="2"/>
  <c r="I404" i="2"/>
  <c r="E404" i="2"/>
  <c r="F404" i="2"/>
  <c r="D404" i="2"/>
  <c r="B404" i="2"/>
  <c r="K404" i="2"/>
  <c r="G404" i="2"/>
  <c r="J404" i="2"/>
  <c r="C404" i="2"/>
  <c r="H404" i="2"/>
  <c r="A397" i="2"/>
  <c r="C397" i="2"/>
  <c r="B397" i="2"/>
  <c r="K397" i="2"/>
  <c r="H397" i="2"/>
  <c r="G397" i="2"/>
  <c r="J397" i="2"/>
  <c r="E397" i="2"/>
  <c r="I397" i="2"/>
  <c r="D397" i="2"/>
  <c r="F397" i="2"/>
  <c r="I457" i="2"/>
  <c r="F457" i="2"/>
  <c r="B457" i="2"/>
  <c r="C457" i="2"/>
  <c r="A457" i="2"/>
  <c r="J457" i="2"/>
  <c r="E457" i="2"/>
  <c r="D457" i="2"/>
  <c r="K457" i="2"/>
  <c r="G457" i="2"/>
  <c r="H457" i="2"/>
  <c r="G379" i="2"/>
  <c r="H379" i="2"/>
  <c r="C379" i="2"/>
  <c r="F379" i="2"/>
  <c r="E379" i="2"/>
  <c r="B379" i="2"/>
  <c r="K379" i="2"/>
  <c r="I379" i="2"/>
  <c r="D379" i="2"/>
  <c r="A379" i="2"/>
  <c r="J379" i="2"/>
  <c r="E455" i="2"/>
  <c r="K455" i="2"/>
  <c r="I455" i="2"/>
  <c r="H455" i="2"/>
  <c r="F455" i="2"/>
  <c r="B455" i="2"/>
  <c r="A455" i="2"/>
  <c r="G455" i="2"/>
  <c r="J455" i="2"/>
  <c r="D455" i="2"/>
  <c r="C455" i="2"/>
  <c r="G470" i="2"/>
  <c r="A470" i="2"/>
  <c r="E470" i="2"/>
  <c r="D470" i="2"/>
  <c r="B470" i="2"/>
  <c r="K470" i="2"/>
  <c r="J470" i="2"/>
  <c r="I470" i="2"/>
  <c r="H470" i="2"/>
  <c r="F470" i="2"/>
  <c r="C470" i="2"/>
  <c r="G12" i="3"/>
  <c r="E413" i="2"/>
  <c r="G413" i="2"/>
  <c r="B413" i="2"/>
  <c r="C413" i="2"/>
  <c r="A413" i="2"/>
  <c r="K413" i="2"/>
  <c r="H413" i="2"/>
  <c r="J413" i="2"/>
  <c r="I413" i="2"/>
  <c r="F413" i="2"/>
  <c r="D413" i="2"/>
  <c r="G505" i="2"/>
  <c r="C505" i="2"/>
  <c r="H505" i="2"/>
  <c r="F505" i="2"/>
  <c r="E505" i="2"/>
  <c r="D505" i="2"/>
  <c r="K505" i="2"/>
  <c r="B505" i="2"/>
  <c r="A505" i="2"/>
  <c r="J505" i="2"/>
  <c r="I505" i="2"/>
  <c r="H5" i="4" l="1"/>
  <c r="F5" i="3"/>
  <c r="E5" i="4"/>
  <c r="M5" i="3"/>
</calcChain>
</file>

<file path=xl/sharedStrings.xml><?xml version="1.0" encoding="utf-8"?>
<sst xmlns="http://schemas.openxmlformats.org/spreadsheetml/2006/main" count="6289" uniqueCount="1676">
  <si>
    <t>REGISTRO DE PONTO — DATATEMPO/CP2</t>
  </si>
  <si>
    <t>IDENTIFICAÇÃO E LANÇAMENTO</t>
  </si>
  <si>
    <t>Número/ID</t>
  </si>
  <si>
    <t>Pessoa</t>
  </si>
  <si>
    <t>Situação atual</t>
  </si>
  <si>
    <t>Tipo de registro</t>
  </si>
  <si>
    <t>Projeto</t>
  </si>
  <si>
    <t>Atividade</t>
  </si>
  <si>
    <t>Observação</t>
  </si>
  <si>
    <t>Mensagem</t>
  </si>
  <si>
    <t>PREENCHA OS CAMPOS AMARELOS E EXECUTE O OFFICE SCRIPT "REGISTRAR PONTO".</t>
  </si>
  <si>
    <t>CARTÃO DE PONTO E MEDIÇÃO — DATATEMPO/CP2</t>
  </si>
  <si>
    <t>Preencha as células amarelas. Cada linha corresponde a um início, inclusive quando houver mais de uma atividade no dia. Pendências exigem conferência das batidas.</t>
  </si>
  <si>
    <t>ID do pesquisador</t>
  </si>
  <si>
    <t>Data inicial</t>
  </si>
  <si>
    <t>Data final</t>
  </si>
  <si>
    <t>Horas úteis</t>
  </si>
  <si>
    <t>Horas FDS</t>
  </si>
  <si>
    <t>Horas totais</t>
  </si>
  <si>
    <t>Valor medido</t>
  </si>
  <si>
    <t>Registros</t>
  </si>
  <si>
    <t>Pendências</t>
  </si>
  <si>
    <t>O cartão exibe até 500 registros por seleção. Para períodos maiores, consulte intervalos menores.</t>
  </si>
  <si>
    <t>Data</t>
  </si>
  <si>
    <t>Início</t>
  </si>
  <si>
    <t>Fim</t>
  </si>
  <si>
    <t>Horas</t>
  </si>
  <si>
    <t>Base</t>
  </si>
  <si>
    <t>Taxa aplicada</t>
  </si>
  <si>
    <t>Valor</t>
  </si>
  <si>
    <t>Status</t>
  </si>
  <si>
    <t>Índice</t>
  </si>
  <si>
    <t>RESUMO DE PAGAMENTOS POR PERÍODO</t>
  </si>
  <si>
    <t>Informe o primeiro e o último dia para recalcular horas e pagamentos.</t>
  </si>
  <si>
    <t>TOTAL DO PERÍODO</t>
  </si>
  <si>
    <t>ID</t>
  </si>
  <si>
    <t>Dias trabalhados</t>
  </si>
  <si>
    <t>R$/h útil</t>
  </si>
  <si>
    <t>R$/h FDS</t>
  </si>
  <si>
    <t>R$/diária</t>
  </si>
  <si>
    <t>Valor calculado</t>
  </si>
  <si>
    <t>Ajustes</t>
  </si>
  <si>
    <t>TOTAL A PAGAR</t>
  </si>
  <si>
    <t>Adriana Pereira dos Santos</t>
  </si>
  <si>
    <t>Hora</t>
  </si>
  <si>
    <t>Alex de Almeida Mariano</t>
  </si>
  <si>
    <t>Amanda do Carmo Ribeiro</t>
  </si>
  <si>
    <t>Angela Bertoli</t>
  </si>
  <si>
    <t>Carolina Fantini Vidigal Diniz Dias</t>
  </si>
  <si>
    <t>Eliane dos Santos Oliveira</t>
  </si>
  <si>
    <t>Fernanda Lopes</t>
  </si>
  <si>
    <t>Flávia Reis</t>
  </si>
  <si>
    <t>Junia Maria Santos</t>
  </si>
  <si>
    <t>Nataly Tayê</t>
  </si>
  <si>
    <t>Nathalia Arruda</t>
  </si>
  <si>
    <t>Nelma Lucia dos S. B. Brandão</t>
  </si>
  <si>
    <t>Diária</t>
  </si>
  <si>
    <t>Rafaela Maria Resende Lara</t>
  </si>
  <si>
    <t>Robert Filipe Orlando de Souza</t>
  </si>
  <si>
    <t>Vitor Guilherme Miguel Rocha</t>
  </si>
  <si>
    <t>Ana Luisa Nardin</t>
  </si>
  <si>
    <t>Renato Inácio da Silva</t>
  </si>
  <si>
    <t>CUSTO POR PROJETO POR PERÍODO</t>
  </si>
  <si>
    <t>Informe o primeiro e o último dia para recalcular o custo por projeto.</t>
  </si>
  <si>
    <t>Código</t>
  </si>
  <si>
    <t>Pessoas</t>
  </si>
  <si>
    <t>Custo total</t>
  </si>
  <si>
    <t>PRJ-001</t>
  </si>
  <si>
    <t>BC - CONFIANÇA PIX</t>
  </si>
  <si>
    <t>PRJ-002</t>
  </si>
  <si>
    <t>CFI / ACCION</t>
  </si>
  <si>
    <t>PRJ-003</t>
  </si>
  <si>
    <t>SICOOB CREDICOM</t>
  </si>
  <si>
    <t>PRJ-004</t>
  </si>
  <si>
    <t>OTEMPO</t>
  </si>
  <si>
    <t>PRJ-005</t>
  </si>
  <si>
    <t>ESTADUAL - OTEMPO</t>
  </si>
  <si>
    <t>PRJ-006</t>
  </si>
  <si>
    <t>CDL/BH</t>
  </si>
  <si>
    <t>PRJ-007</t>
  </si>
  <si>
    <t>TOOLKIT</t>
  </si>
  <si>
    <t>PRJ-008</t>
  </si>
  <si>
    <t>CAMPANHA</t>
  </si>
  <si>
    <t>PRJ-009</t>
  </si>
  <si>
    <t>ADMINISTRATIVO</t>
  </si>
  <si>
    <t>PRJ-010</t>
  </si>
  <si>
    <t>OUTROS</t>
  </si>
  <si>
    <t>PRJ-011</t>
  </si>
  <si>
    <t>BETIM - TRACKING</t>
  </si>
  <si>
    <t>REGISTROS CONSOLIDADOS DE HORAS</t>
  </si>
  <si>
    <t>Esta aba é calculada a partir das Batidas. Corrija as marcações na origem; registros REVISAR não entram no pagamento.</t>
  </si>
  <si>
    <t>Registro ID</t>
  </si>
  <si>
    <t>Dia da semana</t>
  </si>
  <si>
    <t>Tipo de dia</t>
  </si>
  <si>
    <t>1º do dia</t>
  </si>
  <si>
    <t>Mês</t>
  </si>
  <si>
    <t>Chave do cartão</t>
  </si>
  <si>
    <t>R20260825152719-1001</t>
  </si>
  <si>
    <t>R20260825161730-1015</t>
  </si>
  <si>
    <t>R20260825161753-1015</t>
  </si>
  <si>
    <t>R20260825161841-1015</t>
  </si>
  <si>
    <t>R20260825161948-1015</t>
  </si>
  <si>
    <t>R20260825162022-1015</t>
  </si>
  <si>
    <t>R20260825162622-1001</t>
  </si>
  <si>
    <t>R20260825170543-1015</t>
  </si>
  <si>
    <t>R20260826075539-1011</t>
  </si>
  <si>
    <t>R20260826080734-1003</t>
  </si>
  <si>
    <t>R20260826081141-1013</t>
  </si>
  <si>
    <t>R20260826085132-1015</t>
  </si>
  <si>
    <t>R20260826085335-1002</t>
  </si>
  <si>
    <t>R20260826090744-1016</t>
  </si>
  <si>
    <t>R20260826093319-1001</t>
  </si>
  <si>
    <t>R20260826095033-1014</t>
  </si>
  <si>
    <t>R20260826103220-1012</t>
  </si>
  <si>
    <t>R20260826120410-1004</t>
  </si>
  <si>
    <t>R20260826124010-1011</t>
  </si>
  <si>
    <t>R20260826124602-1003</t>
  </si>
  <si>
    <t>R20260826124635-1013</t>
  </si>
  <si>
    <t>R20260826132605-1016</t>
  </si>
  <si>
    <t>R20260826134239-1012</t>
  </si>
  <si>
    <t>R20260826134356-1014</t>
  </si>
  <si>
    <t>R20260826140218-1015</t>
  </si>
  <si>
    <t>R20260826150208-1001</t>
  </si>
  <si>
    <t>R20260826151516-1006</t>
  </si>
  <si>
    <t>R20260826233229-1006</t>
  </si>
  <si>
    <t>R20260827080038-1013</t>
  </si>
  <si>
    <t>R20260827080506-1003</t>
  </si>
  <si>
    <t>R20260827080943-1002</t>
  </si>
  <si>
    <t>R20260827083241-1001</t>
  </si>
  <si>
    <t>R20260827085251-1015</t>
  </si>
  <si>
    <t>R20260827085347-1011</t>
  </si>
  <si>
    <t>R20260827091115-1004</t>
  </si>
  <si>
    <t>R20260827094103-1016</t>
  </si>
  <si>
    <t>R20260827094115-1016</t>
  </si>
  <si>
    <t>R20260827094126-1016</t>
  </si>
  <si>
    <t>R20260827094314-1016</t>
  </si>
  <si>
    <t>R20260827094456-1012</t>
  </si>
  <si>
    <t>R20260827094608-1016</t>
  </si>
  <si>
    <t>R20260827094621-1016</t>
  </si>
  <si>
    <t>R20260827094707-1016</t>
  </si>
  <si>
    <t>R20260827094727-1016</t>
  </si>
  <si>
    <t>R20260827100504-1014</t>
  </si>
  <si>
    <t>R20260827112349-1012</t>
  </si>
  <si>
    <t>R20260827123905-1006</t>
  </si>
  <si>
    <t>R20260827133731-1003</t>
  </si>
  <si>
    <t>R20260827135002-1016</t>
  </si>
  <si>
    <t>R20260827135430-1015</t>
  </si>
  <si>
    <t>R20260827135528-1014</t>
  </si>
  <si>
    <t>R20260827135651-1011</t>
  </si>
  <si>
    <t>R20260827141731-1012</t>
  </si>
  <si>
    <t>R20260827150635-1004</t>
  </si>
  <si>
    <t>R20260827163244-1001</t>
  </si>
  <si>
    <t>R20260828075856-1003</t>
  </si>
  <si>
    <t>R20260828081433-1011</t>
  </si>
  <si>
    <t>R20260828082230-1013</t>
  </si>
  <si>
    <t>R20260828083311-1001</t>
  </si>
  <si>
    <t>R20260828085129-1006</t>
  </si>
  <si>
    <t>R20260828085206-1002</t>
  </si>
  <si>
    <t>R20260828090110-1015</t>
  </si>
  <si>
    <t>R20260828093935-1012</t>
  </si>
  <si>
    <t>R20260828093948-1012</t>
  </si>
  <si>
    <t>R20260828094103-1012</t>
  </si>
  <si>
    <t>R20260828095204-1014</t>
  </si>
  <si>
    <t>R20260828101846-1016</t>
  </si>
  <si>
    <t>R20260828104211-1006</t>
  </si>
  <si>
    <t>R20260828104739-1014</t>
  </si>
  <si>
    <t>R20260828122214-1013</t>
  </si>
  <si>
    <t>R20260828131842-1011</t>
  </si>
  <si>
    <t>R20260828134412-1003</t>
  </si>
  <si>
    <t>R20260828135456-1014</t>
  </si>
  <si>
    <t>R20260828140957-1012</t>
  </si>
  <si>
    <t>R20260828142623-1014</t>
  </si>
  <si>
    <t>R20260828143020-1015</t>
  </si>
  <si>
    <t>R20260828151048-1001</t>
  </si>
  <si>
    <t>R20260828155736-1014</t>
  </si>
  <si>
    <t>R20260828165818-1006</t>
  </si>
  <si>
    <t>R20260829081715-1001</t>
  </si>
  <si>
    <t>R20260829085913-1006</t>
  </si>
  <si>
    <t>R20260829091240-1012</t>
  </si>
  <si>
    <t>R20260829091300-1012</t>
  </si>
  <si>
    <t>R20260829091449-1012</t>
  </si>
  <si>
    <t>R20260829092204-1012</t>
  </si>
  <si>
    <t>R20260829113047-1012</t>
  </si>
  <si>
    <t>R20260829123436-1012</t>
  </si>
  <si>
    <t>R20260829124808-1004</t>
  </si>
  <si>
    <t>R20260829150623-1004</t>
  </si>
  <si>
    <t>R20260829161342-1006</t>
  </si>
  <si>
    <t>R20260830082523-1001</t>
  </si>
  <si>
    <t>R20260830091019-1006</t>
  </si>
  <si>
    <t>R20260830135122-1006</t>
  </si>
  <si>
    <t>R20260830145938-1001</t>
  </si>
  <si>
    <t>R20260831081545-1011</t>
  </si>
  <si>
    <t>R20260831082308-1002</t>
  </si>
  <si>
    <t>R20260831082726-1013</t>
  </si>
  <si>
    <t>R20260831084144-1003</t>
  </si>
  <si>
    <t>R20260831085345-1015</t>
  </si>
  <si>
    <t>R20260831090239-1006</t>
  </si>
  <si>
    <t>R20260831102715-1014</t>
  </si>
  <si>
    <t>R20260831114905-1016</t>
  </si>
  <si>
    <t>R20260831114919-1016</t>
  </si>
  <si>
    <t>R20260831123303-1011</t>
  </si>
  <si>
    <t>R20260831123907-1013</t>
  </si>
  <si>
    <t>R20260831135828-1015</t>
  </si>
  <si>
    <t>R20260831140206-1014</t>
  </si>
  <si>
    <t>R20260831141704-1012</t>
  </si>
  <si>
    <t>R20260831162351-1006</t>
  </si>
  <si>
    <t>R20260901075616-1003</t>
  </si>
  <si>
    <t>R20260901075902-1011</t>
  </si>
  <si>
    <t>R20260901083201-1001</t>
  </si>
  <si>
    <t>R20260901083457-1013</t>
  </si>
  <si>
    <t>R20260901084306-1015</t>
  </si>
  <si>
    <t>R20260901085435-1002</t>
  </si>
  <si>
    <t>R20260901090343-1006</t>
  </si>
  <si>
    <t>R20260901092334-1016</t>
  </si>
  <si>
    <t>R20260901092410-1012</t>
  </si>
  <si>
    <t>R20260901093644-1014</t>
  </si>
  <si>
    <t>R20260901123023-1013</t>
  </si>
  <si>
    <t>R20260901125347-1011</t>
  </si>
  <si>
    <t>R20260901133042-1003</t>
  </si>
  <si>
    <t>R20260901133501-1016</t>
  </si>
  <si>
    <t>R20260901134010-1012</t>
  </si>
  <si>
    <t>R20260901134143-1006</t>
  </si>
  <si>
    <t>R20260901135759-1015</t>
  </si>
  <si>
    <t>R20260901141738-1004</t>
  </si>
  <si>
    <t>R20260901142131-1001</t>
  </si>
  <si>
    <t>R20260901145826-1014</t>
  </si>
  <si>
    <t>R20260901204543-1004</t>
  </si>
  <si>
    <t>R20260902075740-1003</t>
  </si>
  <si>
    <t>R20260902081721-1011</t>
  </si>
  <si>
    <t>R20260902084447-1001</t>
  </si>
  <si>
    <t>R20260902085459-1015</t>
  </si>
  <si>
    <t>R20260902090356-1002</t>
  </si>
  <si>
    <t>R20260902091526-1013</t>
  </si>
  <si>
    <t>R20260902092131-1012</t>
  </si>
  <si>
    <t>R20260902092324-1016</t>
  </si>
  <si>
    <t>R20260902092749-1004</t>
  </si>
  <si>
    <t>R20260902094729-1014</t>
  </si>
  <si>
    <t>R20260902123901-1013</t>
  </si>
  <si>
    <t>R20260902130111-1006</t>
  </si>
  <si>
    <t>R20260902134525-1016</t>
  </si>
  <si>
    <t>R20260902134831-1001</t>
  </si>
  <si>
    <t>R20260902134938-1003</t>
  </si>
  <si>
    <t>R20260902135938-1015</t>
  </si>
  <si>
    <t>R20260902170832-1004</t>
  </si>
  <si>
    <t>R20260903074015-1002</t>
  </si>
  <si>
    <t>R20260903075838-1011</t>
  </si>
  <si>
    <t>R20260903075938-1003</t>
  </si>
  <si>
    <t>R20260903084239-1013</t>
  </si>
  <si>
    <t>R20260903084720-1015</t>
  </si>
  <si>
    <t>R20260903085746-1012</t>
  </si>
  <si>
    <t>R20260903090054-1004</t>
  </si>
  <si>
    <t>R20260903092259-1016</t>
  </si>
  <si>
    <t>R20260903095151-1014</t>
  </si>
  <si>
    <t>R20260903103924-1001</t>
  </si>
  <si>
    <t>R20260903130243-1013</t>
  </si>
  <si>
    <t>R20260903132059-1016</t>
  </si>
  <si>
    <t>R20260903132328-1015</t>
  </si>
  <si>
    <t>R20260903133506-1003</t>
  </si>
  <si>
    <t>R20260903135242-1012</t>
  </si>
  <si>
    <t>R20260903142158-1014</t>
  </si>
  <si>
    <t>R20260903152758-1011</t>
  </si>
  <si>
    <t>R20260903162030-1014</t>
  </si>
  <si>
    <t>R20260904080607-1003</t>
  </si>
  <si>
    <t>R20260904082333-1013</t>
  </si>
  <si>
    <t>R20260904085251-1002</t>
  </si>
  <si>
    <t>R20260904085600-1015</t>
  </si>
  <si>
    <t>R20260904085850-1004</t>
  </si>
  <si>
    <t>R20260904090557-1001</t>
  </si>
  <si>
    <t>R20260904091336-1012</t>
  </si>
  <si>
    <t>R20260904091402-1012</t>
  </si>
  <si>
    <t>R20260904095147-1014</t>
  </si>
  <si>
    <t>R20260904130805-1012</t>
  </si>
  <si>
    <t>R20260904132511-1013</t>
  </si>
  <si>
    <t>R20260904134441-1016</t>
  </si>
  <si>
    <t>R20260904134530-1014</t>
  </si>
  <si>
    <t>R20260904135114-1003</t>
  </si>
  <si>
    <t>R20260904135935-1015</t>
  </si>
  <si>
    <t>R20260904140704-1002</t>
  </si>
  <si>
    <t>R20260904150813-1014</t>
  </si>
  <si>
    <t>R20260904161037-1001</t>
  </si>
  <si>
    <t>R20260905075600-1013</t>
  </si>
  <si>
    <t>R20260905081213-1003</t>
  </si>
  <si>
    <t>R20260905091040-1001</t>
  </si>
  <si>
    <t>R20260905092640-1012</t>
  </si>
  <si>
    <t>R20260905123445-1016</t>
  </si>
  <si>
    <t>R20260905131148-1013</t>
  </si>
  <si>
    <t>R20260905141051-1012</t>
  </si>
  <si>
    <t>R20260905143108-1003</t>
  </si>
  <si>
    <t>R20260905160033-1001</t>
  </si>
  <si>
    <t>R20260906081946-1001</t>
  </si>
  <si>
    <t>R20260906082127-1011</t>
  </si>
  <si>
    <t>R20260906082156-1003</t>
  </si>
  <si>
    <t>R20260906100545-1013</t>
  </si>
  <si>
    <t>R20260906125518-1003</t>
  </si>
  <si>
    <t>R20260906125650-1013</t>
  </si>
  <si>
    <t>R20260906140226-1002</t>
  </si>
  <si>
    <t>R20260906142712-1004</t>
  </si>
  <si>
    <t>R20260906163101-1012</t>
  </si>
  <si>
    <t>R20260906164629-1011</t>
  </si>
  <si>
    <t>R20260907084819-1011</t>
  </si>
  <si>
    <t>R20260907094422-1004</t>
  </si>
  <si>
    <t>R20260907094910-1013</t>
  </si>
  <si>
    <t>R20260907095023-1001</t>
  </si>
  <si>
    <t>R20260907113842-1012</t>
  </si>
  <si>
    <t>R20260907125823-1002</t>
  </si>
  <si>
    <t>R20260907130045-1003</t>
  </si>
  <si>
    <t>R20260907140200-1011</t>
  </si>
  <si>
    <t>R20260907143616-1004</t>
  </si>
  <si>
    <t>R20260907144248-1013</t>
  </si>
  <si>
    <t>R20260907173933-1001</t>
  </si>
  <si>
    <t>R20260908075452-1011</t>
  </si>
  <si>
    <t>R20260908081803-1003</t>
  </si>
  <si>
    <t>R20260908082959-1002</t>
  </si>
  <si>
    <t>R20260908083808-1015</t>
  </si>
  <si>
    <t>R20260908090417-1006</t>
  </si>
  <si>
    <t>R20260908090639-1016</t>
  </si>
  <si>
    <t>R20260908091114-1012</t>
  </si>
  <si>
    <t>R20260908092924-1004</t>
  </si>
  <si>
    <t>R20260908101242-1014</t>
  </si>
  <si>
    <t>R20260908105410-1004</t>
  </si>
  <si>
    <t>R20260908125725-1011</t>
  </si>
  <si>
    <t>R20260908132435-1003</t>
  </si>
  <si>
    <t>R20260908133211-1002</t>
  </si>
  <si>
    <t>R20260908134657-1016</t>
  </si>
  <si>
    <t>R20260908134821-1012</t>
  </si>
  <si>
    <t>R20260908135250-1015</t>
  </si>
  <si>
    <t>R20260908140315-1014</t>
  </si>
  <si>
    <t>R20260908144643-1004</t>
  </si>
  <si>
    <t>R20260908170428-1001</t>
  </si>
  <si>
    <t>R20260908182055-1006</t>
  </si>
  <si>
    <t>R20260908194546-1004</t>
  </si>
  <si>
    <t>R20260909065456-1001</t>
  </si>
  <si>
    <t>R20260909074551-1006</t>
  </si>
  <si>
    <t>R20260909075619-1011</t>
  </si>
  <si>
    <t>R20260909080006-1013</t>
  </si>
  <si>
    <t>R20260909083040-1002</t>
  </si>
  <si>
    <t>R20260909083701-1016</t>
  </si>
  <si>
    <t>R20260909091402-1012</t>
  </si>
  <si>
    <t>R20260909092826-1014</t>
  </si>
  <si>
    <t>R20260909093322-1015</t>
  </si>
  <si>
    <t>R20260909094452-1010</t>
  </si>
  <si>
    <t>R20260909102805-1004</t>
  </si>
  <si>
    <t>R20260909115810-1013</t>
  </si>
  <si>
    <t>R20260909125356-1011</t>
  </si>
  <si>
    <t>R20260909132039-1002</t>
  </si>
  <si>
    <t>R20260909133242-1003</t>
  </si>
  <si>
    <t>R20260909134554-1014</t>
  </si>
  <si>
    <t>R20260909135550-1015</t>
  </si>
  <si>
    <t>R20260909141216-1010</t>
  </si>
  <si>
    <t>R20260909141434-1016</t>
  </si>
  <si>
    <t>R20260909141813-1012</t>
  </si>
  <si>
    <t>R20260909144044-1006</t>
  </si>
  <si>
    <t>R20260909145412-1004</t>
  </si>
  <si>
    <t>R20260909162853-1001</t>
  </si>
  <si>
    <t>R20260910074701-1011</t>
  </si>
  <si>
    <t>R20260910075537-1002</t>
  </si>
  <si>
    <t>R20260910080244-1013</t>
  </si>
  <si>
    <t>R20260910081607-1003</t>
  </si>
  <si>
    <t>R20260910082332-1001</t>
  </si>
  <si>
    <t>R20260910084749-1016</t>
  </si>
  <si>
    <t>R20260910084910-1015</t>
  </si>
  <si>
    <t>R20260910091201-1006</t>
  </si>
  <si>
    <t>R20260910091522-1012</t>
  </si>
  <si>
    <t>R20260910091855-1010</t>
  </si>
  <si>
    <t>R20260910092557-1006</t>
  </si>
  <si>
    <t>R20260910092605-1006</t>
  </si>
  <si>
    <t>R20260910095254-1014</t>
  </si>
  <si>
    <t>R20260910100152-1004</t>
  </si>
  <si>
    <t>R20260910120911-1011</t>
  </si>
  <si>
    <t>R20260910122751-1013</t>
  </si>
  <si>
    <t>R20260910130347-1004</t>
  </si>
  <si>
    <t>R20260910130359-1004</t>
  </si>
  <si>
    <t>R20260910131913-1002</t>
  </si>
  <si>
    <t>R20260910132233-1011</t>
  </si>
  <si>
    <t>R20260910132627-1016</t>
  </si>
  <si>
    <t>R20260910183208-1004</t>
  </si>
  <si>
    <t>R20260910220000-1006</t>
  </si>
  <si>
    <t>R20260911075125-1002</t>
  </si>
  <si>
    <t>R20260911080859-1013</t>
  </si>
  <si>
    <t>R20260911081004-1003</t>
  </si>
  <si>
    <t>R20260911081354-1011</t>
  </si>
  <si>
    <t>R20260911082645-1006</t>
  </si>
  <si>
    <t>R20260911082744-1006</t>
  </si>
  <si>
    <t>R20260911084354-1004</t>
  </si>
  <si>
    <t>R20260911085045-1015</t>
  </si>
  <si>
    <t>R20260911090632-1012</t>
  </si>
  <si>
    <t>R20260911091055-1017</t>
  </si>
  <si>
    <t>R20260911092144-1004</t>
  </si>
  <si>
    <t>R20260911092147-1004</t>
  </si>
  <si>
    <t>R20260911094405-1004</t>
  </si>
  <si>
    <t>R20260911094412-1014</t>
  </si>
  <si>
    <t>R20260911095447-1016</t>
  </si>
  <si>
    <t>R20260911100646-1005</t>
  </si>
  <si>
    <t>R20260911120809-1013</t>
  </si>
  <si>
    <t>R20260911130213-1012</t>
  </si>
  <si>
    <t>R20260911130542-1002</t>
  </si>
  <si>
    <t>R20260911130657-1011</t>
  </si>
  <si>
    <t>R20260911134328-1003</t>
  </si>
  <si>
    <t>R20260911135610-1014</t>
  </si>
  <si>
    <t>R20260911135828-1012</t>
  </si>
  <si>
    <t>R20260911141745-1017</t>
  </si>
  <si>
    <t>R20260911142446-1010</t>
  </si>
  <si>
    <t>R20260911144116-1016</t>
  </si>
  <si>
    <t>R20260911150402-1004</t>
  </si>
  <si>
    <t>R20260911150726-1005</t>
  </si>
  <si>
    <t>R20260911151317-1006</t>
  </si>
  <si>
    <t>R20260911164751-1001</t>
  </si>
  <si>
    <t>R20260911192059-1012</t>
  </si>
  <si>
    <t>R20260911205702-1006</t>
  </si>
  <si>
    <t>R20260912082334-1003</t>
  </si>
  <si>
    <t>R20260912082430-1003</t>
  </si>
  <si>
    <t>R20260912091619-1017</t>
  </si>
  <si>
    <t>R20260912104346-1011</t>
  </si>
  <si>
    <t>R20260912131756-1003</t>
  </si>
  <si>
    <t>R20260913080826-1003</t>
  </si>
  <si>
    <t>R20260913105754-1011</t>
  </si>
  <si>
    <t>R20260913133647-1003</t>
  </si>
  <si>
    <t>R20260914080958-1003</t>
  </si>
  <si>
    <t>R20260914081159-1002</t>
  </si>
  <si>
    <t>R20260914081428-1011</t>
  </si>
  <si>
    <t>R20260914083333-1013</t>
  </si>
  <si>
    <t>R20260914093500-1009</t>
  </si>
  <si>
    <t>R20260914124901-1013</t>
  </si>
  <si>
    <t>R20260914125231-1011</t>
  </si>
  <si>
    <t>R20260914130538-1002</t>
  </si>
  <si>
    <t>R20260914135426-1003</t>
  </si>
  <si>
    <t>R20260915075307-1002</t>
  </si>
  <si>
    <t>R20260915080833-1003</t>
  </si>
  <si>
    <t>R20260915081029-1011</t>
  </si>
  <si>
    <t>R20260915090441-1013</t>
  </si>
  <si>
    <t>R20260915115117-1013</t>
  </si>
  <si>
    <t>R20260915123243-1013</t>
  </si>
  <si>
    <t>R20260915130023-1002</t>
  </si>
  <si>
    <t>R20260915140052-1003</t>
  </si>
  <si>
    <t>R20260916075707-1011</t>
  </si>
  <si>
    <t>R20260916080046-1003</t>
  </si>
  <si>
    <t>R20260916084039-1013</t>
  </si>
  <si>
    <t>R20260916084827-1002</t>
  </si>
  <si>
    <t>R20260916125137-1013</t>
  </si>
  <si>
    <t>R20260916125242-1002</t>
  </si>
  <si>
    <t>R20260916125619-1011</t>
  </si>
  <si>
    <t>R20260916175910-1002</t>
  </si>
  <si>
    <t>R20260917075700-1003</t>
  </si>
  <si>
    <t>R20260917080656-1011</t>
  </si>
  <si>
    <t>R20260917082119-1013</t>
  </si>
  <si>
    <t>R20260917083425-1002</t>
  </si>
  <si>
    <t>R20260917125307-1003</t>
  </si>
  <si>
    <t>R20260917125352-1013</t>
  </si>
  <si>
    <t>R20260917125918-1011</t>
  </si>
  <si>
    <t>R20260917131604-1002</t>
  </si>
  <si>
    <t>R20260918072939-1002</t>
  </si>
  <si>
    <t>R20260918080022-1003</t>
  </si>
  <si>
    <t>R20260918080311-1011</t>
  </si>
  <si>
    <t>R20260918082015-1013</t>
  </si>
  <si>
    <t>R20260918120424-1003</t>
  </si>
  <si>
    <t>R20260918125507-1003</t>
  </si>
  <si>
    <t>R20260918125636-1013</t>
  </si>
  <si>
    <t>R20260918131309-1002</t>
  </si>
  <si>
    <t>R20260918132048-1011</t>
  </si>
  <si>
    <t>R20260919082025-1011</t>
  </si>
  <si>
    <t>R20260919092814-1013</t>
  </si>
  <si>
    <t>R20260919123455-1013</t>
  </si>
  <si>
    <t>R20260919125939-1003</t>
  </si>
  <si>
    <t>R20260919141522-1002</t>
  </si>
  <si>
    <t>R20260919153250-1011</t>
  </si>
  <si>
    <t>R20260920130507-1003</t>
  </si>
  <si>
    <t>R20260921072332-1003</t>
  </si>
  <si>
    <t>R20260921080648-1011</t>
  </si>
  <si>
    <t>R20260921081637-1002</t>
  </si>
  <si>
    <t>R20260921084705-1013</t>
  </si>
  <si>
    <t>R20260921125336-1011</t>
  </si>
  <si>
    <t>R20260921130515-1013</t>
  </si>
  <si>
    <t>R20260921131602-1002</t>
  </si>
  <si>
    <t>R20260921141229-1003</t>
  </si>
  <si>
    <t>R20260922073111-1013</t>
  </si>
  <si>
    <t>R20260922075759-1003</t>
  </si>
  <si>
    <t>R20260922080902-1011</t>
  </si>
  <si>
    <t>R20260922090635-1002</t>
  </si>
  <si>
    <t>R20260922121803-1011</t>
  </si>
  <si>
    <t>R20260922130307-1011</t>
  </si>
  <si>
    <t>R20260922130406-1013</t>
  </si>
  <si>
    <t>R20260922132220-1003</t>
  </si>
  <si>
    <t>R20260922132600-1002</t>
  </si>
  <si>
    <t>R20260923074841-1003</t>
  </si>
  <si>
    <t>R20260923080241-1011</t>
  </si>
  <si>
    <t>R20260923085257-1002</t>
  </si>
  <si>
    <t>R20260923091742-1013</t>
  </si>
  <si>
    <t>R20260923123324-1013</t>
  </si>
  <si>
    <t>R20260923125238-1011</t>
  </si>
  <si>
    <t>R20260923130129-1002</t>
  </si>
  <si>
    <t>BATIDAS — TRILHA DE AUDITORIA</t>
  </si>
  <si>
    <t>Edite B (data/hora), E (ID), H (projeto), I (atividade) ou L (vínculo do FIM). A coluna A identifica a batida e deve permanecer estável.</t>
  </si>
  <si>
    <t>Batida ID</t>
  </si>
  <si>
    <t>Data e hora</t>
  </si>
  <si>
    <t>Tipo</t>
  </si>
  <si>
    <t>Origem</t>
  </si>
  <si>
    <t>Início vinculado</t>
  </si>
  <si>
    <t>Conferência</t>
  </si>
  <si>
    <t>B20260825152719-1001</t>
  </si>
  <si>
    <t>INÍCIO</t>
  </si>
  <si>
    <t>SUPERVISÃO</t>
  </si>
  <si>
    <t>SharePoint / Office Script</t>
  </si>
  <si>
    <t>B20260825153010-1001</t>
  </si>
  <si>
    <t>FIM</t>
  </si>
  <si>
    <t>supervisão e checagem</t>
  </si>
  <si>
    <t>B20260825161730-1015</t>
  </si>
  <si>
    <t>B20260825161753-1015</t>
  </si>
  <si>
    <t>B20260825161841-1015</t>
  </si>
  <si>
    <t>B20260825161948-1015</t>
  </si>
  <si>
    <t>B20260825162022-1015</t>
  </si>
  <si>
    <t>B20260825162049-1015</t>
  </si>
  <si>
    <t>B20260825162622-1001</t>
  </si>
  <si>
    <t>CHECAGEM</t>
  </si>
  <si>
    <t>B20260825162659-1001</t>
  </si>
  <si>
    <t>B20260825170543-1015</t>
  </si>
  <si>
    <t>B20260825175354-1015</t>
  </si>
  <si>
    <t>B20260826075539-1011</t>
  </si>
  <si>
    <t>ANÁLISE</t>
  </si>
  <si>
    <t>Preparação dos materias para campo</t>
  </si>
  <si>
    <t>B20260826080734-1003</t>
  </si>
  <si>
    <t>B20260826081141-1013</t>
  </si>
  <si>
    <t>B20260826085132-1015</t>
  </si>
  <si>
    <t>B20260826085335-1002</t>
  </si>
  <si>
    <t>B20260826090744-1016</t>
  </si>
  <si>
    <t>B20260826093319-1001</t>
  </si>
  <si>
    <t>ESTOU NA SUPERVISÃO DO SICOOB CREDICOM TAMÉM</t>
  </si>
  <si>
    <t>B20260826095033-1014</t>
  </si>
  <si>
    <t>TRANSCRIÇÃO</t>
  </si>
  <si>
    <t>B20260826102453-1012</t>
  </si>
  <si>
    <t>APLICAÇÃO / ENTREVISTA</t>
  </si>
  <si>
    <t>Finalizei o teste encaminhei as observações</t>
  </si>
  <si>
    <t>B20260826102513-1012</t>
  </si>
  <si>
    <t>B20260826102558-1012</t>
  </si>
  <si>
    <t>B20260826102955-1012</t>
  </si>
  <si>
    <t>B20260826103220-1012</t>
  </si>
  <si>
    <t>B20260826115043-1013</t>
  </si>
  <si>
    <t>B20260826115321-1003</t>
  </si>
  <si>
    <t>B20260826120410-1004</t>
  </si>
  <si>
    <t>CODIFICAÇÃO</t>
  </si>
  <si>
    <t>Controle das entrevistas por link e  pagamento da bonificação dos médicos</t>
  </si>
  <si>
    <t>B20260826120943-1011</t>
  </si>
  <si>
    <t>ajustes de materiais</t>
  </si>
  <si>
    <t>B20260826123026-1016</t>
  </si>
  <si>
    <t>B20260826123837-1012</t>
  </si>
  <si>
    <t>B20260826123934-1014</t>
  </si>
  <si>
    <t>B20260826124010-1011</t>
  </si>
  <si>
    <t>revisão questionario</t>
  </si>
  <si>
    <t>B20260826124602-1003</t>
  </si>
  <si>
    <t>B20260826124635-1013</t>
  </si>
  <si>
    <t>B20260826130346-1015</t>
  </si>
  <si>
    <t>B20260826132605-1016</t>
  </si>
  <si>
    <t>B20260826133905-1004</t>
  </si>
  <si>
    <t>Codificação e controle dos pix</t>
  </si>
  <si>
    <t>B20260826134239-1012</t>
  </si>
  <si>
    <t>B20260826134356-1014</t>
  </si>
  <si>
    <t>B20260826140218-1015</t>
  </si>
  <si>
    <t>B20260826143112-1001</t>
  </si>
  <si>
    <t>SUPERVISAÕ SICOOB TAMBE´M</t>
  </si>
  <si>
    <t>B20260826150208-1001</t>
  </si>
  <si>
    <t>SUPERVISÃO SICCOB</t>
  </si>
  <si>
    <t>B20260826151516-1006</t>
  </si>
  <si>
    <t>B20260826175038-1015</t>
  </si>
  <si>
    <t>B20260826175932-1002</t>
  </si>
  <si>
    <t>B20260826180108-1013</t>
  </si>
  <si>
    <t>B20260826180239-1003</t>
  </si>
  <si>
    <t>B20260826180305-1014</t>
  </si>
  <si>
    <t>B20260826180407-1011</t>
  </si>
  <si>
    <t>rteste e revisão de questionario</t>
  </si>
  <si>
    <t>B20260826180850-1012</t>
  </si>
  <si>
    <t>B20260826180858-1012</t>
  </si>
  <si>
    <t>B20260826180917-1012</t>
  </si>
  <si>
    <t>B20260826185549-1001</t>
  </si>
  <si>
    <t>SICOOB SUPERVISÃO TAMBÉM</t>
  </si>
  <si>
    <t>B20260826191424-1004</t>
  </si>
  <si>
    <t>Codificação Sicoob e Toolkit</t>
  </si>
  <si>
    <t>B20260826191439-1004</t>
  </si>
  <si>
    <t>B20260826233046-1006</t>
  </si>
  <si>
    <t>checagem toolkit</t>
  </si>
  <si>
    <t>B20260826233229-1006</t>
  </si>
  <si>
    <t>inicio da checagem iniciou as15:15 mas parece que nao resgitrou</t>
  </si>
  <si>
    <t>B20260827080038-1013</t>
  </si>
  <si>
    <t>B20260827080506-1003</t>
  </si>
  <si>
    <t>B20260827080943-1002</t>
  </si>
  <si>
    <t>B20260827083241-1001</t>
  </si>
  <si>
    <t>SUPERVISÃO DO SICCOB</t>
  </si>
  <si>
    <t>B20260827085251-1015</t>
  </si>
  <si>
    <t>B20260827085347-1011</t>
  </si>
  <si>
    <t>preparação de materiais</t>
  </si>
  <si>
    <t>B20260827091115-1004</t>
  </si>
  <si>
    <t>Controle dos links e pagamentos  dos médicos</t>
  </si>
  <si>
    <t>B20260827094103-1016</t>
  </si>
  <si>
    <t>B20260827094115-1016</t>
  </si>
  <si>
    <t>B20260827094126-1016</t>
  </si>
  <si>
    <t>B20260827094314-1016</t>
  </si>
  <si>
    <t>B20260827094456-1012</t>
  </si>
  <si>
    <t>B20260827094608-1016</t>
  </si>
  <si>
    <t>B20260827094621-1016</t>
  </si>
  <si>
    <t>B20260827094707-1016</t>
  </si>
  <si>
    <t>B20260827094727-1016</t>
  </si>
  <si>
    <t>B20260827100504-1014</t>
  </si>
  <si>
    <t>B20260827112248-1012</t>
  </si>
  <si>
    <t>B20260827112349-1012</t>
  </si>
  <si>
    <t>APOIO OPERACIONAL</t>
  </si>
  <si>
    <t>Organização e envio de material de campo para entrevistadores e equipe de checagem.</t>
  </si>
  <si>
    <t>B20260827123624-1016</t>
  </si>
  <si>
    <t>B20260827123905-1006</t>
  </si>
  <si>
    <t>iniciando checagem toolkit</t>
  </si>
  <si>
    <t>B20260827124117-1003</t>
  </si>
  <si>
    <t>B20260827124816-1014</t>
  </si>
  <si>
    <t>B20260827125241-1011</t>
  </si>
  <si>
    <t>Revisão de Plano</t>
  </si>
  <si>
    <t>B20260827125531-1015</t>
  </si>
  <si>
    <t>B20260827130147-1012</t>
  </si>
  <si>
    <t>Intervalo para almoço</t>
  </si>
  <si>
    <t>B20260827130950-1004</t>
  </si>
  <si>
    <t>controle dos links e pagamento dos médicos</t>
  </si>
  <si>
    <t>B20260827133731-1003</t>
  </si>
  <si>
    <t>B20260827135002-1016</t>
  </si>
  <si>
    <t>B20260827135430-1015</t>
  </si>
  <si>
    <t>B20260827135528-1014</t>
  </si>
  <si>
    <t>B20260827135651-1011</t>
  </si>
  <si>
    <t>B20260827141731-1012</t>
  </si>
  <si>
    <t>Envio de Material para entrevistadores</t>
  </si>
  <si>
    <t>B20260827150635-1004</t>
  </si>
  <si>
    <t>controle dos links</t>
  </si>
  <si>
    <t>B20260827160139-1001</t>
  </si>
  <si>
    <t>supervisão sicoob credicom</t>
  </si>
  <si>
    <t>B20260827163244-1001</t>
  </si>
  <si>
    <t>B20260827175529-1015</t>
  </si>
  <si>
    <t>B20260827180013-1003</t>
  </si>
  <si>
    <t>B20260827180346-1002</t>
  </si>
  <si>
    <t>B20260827180503-1013</t>
  </si>
  <si>
    <t>Plano de processamento, manual de checagem crítica e codificação e teste de questionário</t>
  </si>
  <si>
    <t>B20260827180712-1016</t>
  </si>
  <si>
    <t>B20260827181147-1014</t>
  </si>
  <si>
    <t>B20260827181249-1001</t>
  </si>
  <si>
    <t>Supervisao toolikit</t>
  </si>
  <si>
    <t>B20260827181451-1001</t>
  </si>
  <si>
    <t>Supervisao toolkit e sicoob</t>
  </si>
  <si>
    <t>B20260827181504-1001</t>
  </si>
  <si>
    <t>B20260827181605-1012</t>
  </si>
  <si>
    <t>B20260827181625-1012</t>
  </si>
  <si>
    <t>B20260827190527-1011</t>
  </si>
  <si>
    <t>Preparando materiais</t>
  </si>
  <si>
    <t>B20260827192051-1011</t>
  </si>
  <si>
    <t>B20260827192648-1006</t>
  </si>
  <si>
    <t>B20260827192740-1006</t>
  </si>
  <si>
    <t>checagm toolkit</t>
  </si>
  <si>
    <t>B20260827195237-1006</t>
  </si>
  <si>
    <t>B20260827201745-1006</t>
  </si>
  <si>
    <t>B20260827201755-1006</t>
  </si>
  <si>
    <t>B20260827201904-1004</t>
  </si>
  <si>
    <t>links e os pix</t>
  </si>
  <si>
    <t>B20260828075856-1003</t>
  </si>
  <si>
    <t>Elaboração do manual de checagem, crítica e codificação e do plano de processamento.</t>
  </si>
  <si>
    <t>B20260828081433-1011</t>
  </si>
  <si>
    <t>Produção de questionario e materiais</t>
  </si>
  <si>
    <t>B20260828082230-1013</t>
  </si>
  <si>
    <t>B20260828083311-1001</t>
  </si>
  <si>
    <t>SICOOB SUPERVOISAO TAMBEM</t>
  </si>
  <si>
    <t>B20260828085129-1006</t>
  </si>
  <si>
    <t>B20260828085206-1002</t>
  </si>
  <si>
    <t>B20260828090110-1015</t>
  </si>
  <si>
    <t>B20260828093935-1012</t>
  </si>
  <si>
    <t>Supervisão do projeto Marca o Tempo, supervisão da checagem Toolkit</t>
  </si>
  <si>
    <t>B20260828093948-1012</t>
  </si>
  <si>
    <t>B20260828094103-1012</t>
  </si>
  <si>
    <t>B20260828095204-1014</t>
  </si>
  <si>
    <t>B20260828101846-1016</t>
  </si>
  <si>
    <t>B20260828104043-1006</t>
  </si>
  <si>
    <t>B20260828104211-1006</t>
  </si>
  <si>
    <t>checagem otempo</t>
  </si>
  <si>
    <t>B20260828104720-1014</t>
  </si>
  <si>
    <t>B20260828104739-1014</t>
  </si>
  <si>
    <t>B20260828105155-1013</t>
  </si>
  <si>
    <t>Plano de checagem crítica e codificação</t>
  </si>
  <si>
    <t>B20260828122214-1013</t>
  </si>
  <si>
    <t>B20260828124236-1011</t>
  </si>
  <si>
    <t>Finalização do Plano CCC</t>
  </si>
  <si>
    <t>B20260828124329-1003</t>
  </si>
  <si>
    <t>Manual de checagem, crítica e codificação</t>
  </si>
  <si>
    <t>B20260828124708-1014</t>
  </si>
  <si>
    <t>B20260828130141-1016</t>
  </si>
  <si>
    <t>B20260828130213-1016</t>
  </si>
  <si>
    <t>B20260828130309-1016</t>
  </si>
  <si>
    <t>B20260828130625-1012</t>
  </si>
  <si>
    <t>B20260828131842-1011</t>
  </si>
  <si>
    <t>B20260828132940-1015</t>
  </si>
  <si>
    <t>B20260828134412-1003</t>
  </si>
  <si>
    <t>B20260828135456-1014</t>
  </si>
  <si>
    <t>B20260828140957-1012</t>
  </si>
  <si>
    <t>B20260828141050-1016</t>
  </si>
  <si>
    <t>B20260828142604-1014</t>
  </si>
  <si>
    <t>B20260828142623-1014</t>
  </si>
  <si>
    <t>B20260828143020-1015</t>
  </si>
  <si>
    <t>B20260828143425-1001</t>
  </si>
  <si>
    <t>B20260828151048-1001</t>
  </si>
  <si>
    <t>SUPERVISAO TOOLKIT E SICOOB</t>
  </si>
  <si>
    <t>B20260828154925-1006</t>
  </si>
  <si>
    <t>Checagem Otempo</t>
  </si>
  <si>
    <t>B20260828155657-1014</t>
  </si>
  <si>
    <t>B20260828155736-1014</t>
  </si>
  <si>
    <t>B20260828165818-1006</t>
  </si>
  <si>
    <t>checagem  otempo</t>
  </si>
  <si>
    <t>B20260828175204-1013</t>
  </si>
  <si>
    <t>B20260828175424-1002</t>
  </si>
  <si>
    <t>B20260828175509-1015</t>
  </si>
  <si>
    <t>B20260828180035-1003</t>
  </si>
  <si>
    <t>B20260828180822-1011</t>
  </si>
  <si>
    <t>B20260828180858-1014</t>
  </si>
  <si>
    <t>B20260828182214-1012</t>
  </si>
  <si>
    <t>Supervisão do campo, checagem toolkit, realizeio voltas de 3 entrevistas para Analista Rafaela.</t>
  </si>
  <si>
    <t>B20260828183623-1012</t>
  </si>
  <si>
    <t>B20260828183701-1012</t>
  </si>
  <si>
    <t>B20260828183937-1012</t>
  </si>
  <si>
    <t>B20260828184351-1012</t>
  </si>
  <si>
    <t>B20260828184710-1012</t>
  </si>
  <si>
    <t>B20260828184721-1012</t>
  </si>
  <si>
    <t>B20260828184834-1006</t>
  </si>
  <si>
    <t>checagem do toolkit e do otempo</t>
  </si>
  <si>
    <t>B20260828184921-1001</t>
  </si>
  <si>
    <t>Supervisão sicoob</t>
  </si>
  <si>
    <t>B20260829081715-1001</t>
  </si>
  <si>
    <t>FINALIZACÇÃO TOOLKIT</t>
  </si>
  <si>
    <t>B20260829085913-1006</t>
  </si>
  <si>
    <t>B20260829090929-1012</t>
  </si>
  <si>
    <t>Supervisão/ resolver inconsistêcias toolkit/ checagem para finalizar campo</t>
  </si>
  <si>
    <t>B20260829090932-1012</t>
  </si>
  <si>
    <t>B20260829091240-1012</t>
  </si>
  <si>
    <t>inicio as 7:15, conferência das cotas finalizadas, atendimento a entrevistadores que chamaram para deslocamento para campo, o ponto está travando, ontem encerrei na Cp2, hoje sábado estava constando que não tinha finalizado.</t>
  </si>
  <si>
    <t>B20260829091300-1012</t>
  </si>
  <si>
    <t>B20260829091449-1012</t>
  </si>
  <si>
    <t>B20260829092204-1012</t>
  </si>
  <si>
    <t>B20260829113047-1012</t>
  </si>
  <si>
    <t>B20260829123436-1012</t>
  </si>
  <si>
    <t>B20260829124808-1004</t>
  </si>
  <si>
    <t>codificação e controle dos pix e os links</t>
  </si>
  <si>
    <t>B20260829150557-1004</t>
  </si>
  <si>
    <t>Verificção dos lins e pagamento dos médicos</t>
  </si>
  <si>
    <t>B20260829150623-1004</t>
  </si>
  <si>
    <t>B20260829150846-1006</t>
  </si>
  <si>
    <t>CHECAGEM OTEMPO</t>
  </si>
  <si>
    <t>B20260829161342-1006</t>
  </si>
  <si>
    <t>B20260829175944-1004</t>
  </si>
  <si>
    <t>Sicoob também</t>
  </si>
  <si>
    <t>B20260829180059-1001</t>
  </si>
  <si>
    <t>SUPERVISÃO SICOOB</t>
  </si>
  <si>
    <t>B20260829180413-1006</t>
  </si>
  <si>
    <t>CHRCAGEM OTEMPO</t>
  </si>
  <si>
    <t>B20260830082523-1001</t>
  </si>
  <si>
    <t>B20260830091019-1006</t>
  </si>
  <si>
    <t>Checagem otempo</t>
  </si>
  <si>
    <t>B20260830131708-1006</t>
  </si>
  <si>
    <t>B20260830135122-1006</t>
  </si>
  <si>
    <t>B20260830135900-1001</t>
  </si>
  <si>
    <t>B20260830145938-1001</t>
  </si>
  <si>
    <t>B20260830170639-1006</t>
  </si>
  <si>
    <t>Finalixado a coordenação mas cedo, não ha mais pesquisas e dúvidas da parte dos pesquisadores</t>
  </si>
  <si>
    <t>B20260830171517-1006</t>
  </si>
  <si>
    <t>B20260830171916-1006</t>
  </si>
  <si>
    <t>B20260831081545-1011</t>
  </si>
  <si>
    <t>Produção de materiais</t>
  </si>
  <si>
    <t>B20260831082308-1002</t>
  </si>
  <si>
    <t>B20260831082726-1013</t>
  </si>
  <si>
    <t>B20260831084144-1003</t>
  </si>
  <si>
    <t>B20260831085345-1015</t>
  </si>
  <si>
    <t>B20260831090239-1006</t>
  </si>
  <si>
    <t>B20260831102715-1014</t>
  </si>
  <si>
    <t>B20260831114511-1013</t>
  </si>
  <si>
    <t>B20260831114905-1016</t>
  </si>
  <si>
    <t>Esqueci de bater o ponto 8h40</t>
  </si>
  <si>
    <t>B20260831114919-1016</t>
  </si>
  <si>
    <t>B20260831115803-1011</t>
  </si>
  <si>
    <t>B20260831123303-1011</t>
  </si>
  <si>
    <t>B20260831123907-1013</t>
  </si>
  <si>
    <t>B20260831125531-1014</t>
  </si>
  <si>
    <t>B20260831125836-1015</t>
  </si>
  <si>
    <t>B20260831135828-1015</t>
  </si>
  <si>
    <t>B20260831140206-1014</t>
  </si>
  <si>
    <t>B20260831141704-1012</t>
  </si>
  <si>
    <t>B20260831152311-1006</t>
  </si>
  <si>
    <t>B20260831162351-1006</t>
  </si>
  <si>
    <t>B20260831170114-1003</t>
  </si>
  <si>
    <t>Plano de processamento e manual de checagem, crítica e codificação</t>
  </si>
  <si>
    <t>B20260831175523-1015</t>
  </si>
  <si>
    <t>B20260831175841-1013</t>
  </si>
  <si>
    <t>B20260831180016-1011</t>
  </si>
  <si>
    <t>B20260831180643-1016</t>
  </si>
  <si>
    <t>B20260831180736-1002</t>
  </si>
  <si>
    <t>B20260831180843-1006</t>
  </si>
  <si>
    <t>checagem Otempo</t>
  </si>
  <si>
    <t>B20260831181202-1001</t>
  </si>
  <si>
    <t>SUPERVISÃO SICOOB CREDICOM</t>
  </si>
  <si>
    <t>B20260831181435-1012</t>
  </si>
  <si>
    <t>B20260831181747-1014</t>
  </si>
  <si>
    <t>B20260901075616-1003</t>
  </si>
  <si>
    <t>B20260901075902-1011</t>
  </si>
  <si>
    <t>B20260901083201-1001</t>
  </si>
  <si>
    <t>Recrutamento Trackung Betim estadual 4,1 e 5</t>
  </si>
  <si>
    <t>B20260901083457-1013</t>
  </si>
  <si>
    <t>Plano de processamento e relatório analítico</t>
  </si>
  <si>
    <t>B20260901084306-1015</t>
  </si>
  <si>
    <t>B20260901085435-1002</t>
  </si>
  <si>
    <t>B20260901090343-1006</t>
  </si>
  <si>
    <t>B20260901092334-1016</t>
  </si>
  <si>
    <t>B20260901092410-1012</t>
  </si>
  <si>
    <t>B20260901093644-1014</t>
  </si>
  <si>
    <t>B20260901114139-1013</t>
  </si>
  <si>
    <t>Plano de processamento</t>
  </si>
  <si>
    <t>B20260901122442-1011</t>
  </si>
  <si>
    <t>B20260901123023-1013</t>
  </si>
  <si>
    <t>B20260901123146-1016</t>
  </si>
  <si>
    <t>B20260901123202-1016</t>
  </si>
  <si>
    <t>B20260901123526-1014</t>
  </si>
  <si>
    <t>B20260901123731-1003</t>
  </si>
  <si>
    <t>B20260901124425-1006</t>
  </si>
  <si>
    <t>B20260901125347-1011</t>
  </si>
  <si>
    <t>B20260901130055-1015</t>
  </si>
  <si>
    <t>B20260901133042-1003</t>
  </si>
  <si>
    <t>B20260901133501-1016</t>
  </si>
  <si>
    <t>B20260901134010-1012</t>
  </si>
  <si>
    <t>B20260901134143-1006</t>
  </si>
  <si>
    <t>B20260901134956-1001</t>
  </si>
  <si>
    <t>Estou realizando recrutamento para estadual rodada 5, e recrutamento tracking betim.</t>
  </si>
  <si>
    <t>B20260901135759-1015</t>
  </si>
  <si>
    <t>B20260901141738-1004</t>
  </si>
  <si>
    <t>Marca o tempo</t>
  </si>
  <si>
    <t>B20260901142131-1001</t>
  </si>
  <si>
    <t>B20260901145826-1014</t>
  </si>
  <si>
    <t>B20260901175718-1014</t>
  </si>
  <si>
    <t>B20260901180015-1015</t>
  </si>
  <si>
    <t>Relatório analítico</t>
  </si>
  <si>
    <t>B20260901180051-1015</t>
  </si>
  <si>
    <t>B20260901180315-1002</t>
  </si>
  <si>
    <t>B20260901180411-1003</t>
  </si>
  <si>
    <t>Elaboração do plano de processamento</t>
  </si>
  <si>
    <t>B20260901180640-1012</t>
  </si>
  <si>
    <t>B20260901180724-1016</t>
  </si>
  <si>
    <t>B20260901181457-1011</t>
  </si>
  <si>
    <t>B20260901181714-1006</t>
  </si>
  <si>
    <t>cchecagem otempo</t>
  </si>
  <si>
    <t>B20260901182701-1001</t>
  </si>
  <si>
    <t>SUPERVISAO SICOOB</t>
  </si>
  <si>
    <t>B20260901191158-1004</t>
  </si>
  <si>
    <t>B20260901204543-1004</t>
  </si>
  <si>
    <t>B20260901221334-1004</t>
  </si>
  <si>
    <t>controle dos links e organiação dos pix dos médicos</t>
  </si>
  <si>
    <t>B20260902075740-1003</t>
  </si>
  <si>
    <t>Elaboração do plano de processamento e do manual de checagem, crítica e codificação</t>
  </si>
  <si>
    <t>B20260902081721-1011</t>
  </si>
  <si>
    <t>B20260902084447-1001</t>
  </si>
  <si>
    <t>Suoervisão tracking, estadual 4.1 estadual 5 recrutamento,planulha e retorno as dúvidas de pesquisadores</t>
  </si>
  <si>
    <t>B20260902085459-1015</t>
  </si>
  <si>
    <t>B20260902090356-1002</t>
  </si>
  <si>
    <t>B20260902091526-1013</t>
  </si>
  <si>
    <t>B20260902092131-1012</t>
  </si>
  <si>
    <t>B20260902092324-1016</t>
  </si>
  <si>
    <t>B20260902092749-1004</t>
  </si>
  <si>
    <t>B20260902094729-1014</t>
  </si>
  <si>
    <t>B20260902120018-1013</t>
  </si>
  <si>
    <t>B20260902122943-1014</t>
  </si>
  <si>
    <t>B20260902123012-1016</t>
  </si>
  <si>
    <t>B20260902123524-1011</t>
  </si>
  <si>
    <t>B20260902123901-1013</t>
  </si>
  <si>
    <t>B20260902124456-1003</t>
  </si>
  <si>
    <t>Elaboração do plano de processamento.</t>
  </si>
  <si>
    <t>B20260902130111-1006</t>
  </si>
  <si>
    <t>checagem OTEMPO</t>
  </si>
  <si>
    <t>B20260902130333-1015</t>
  </si>
  <si>
    <t>B20260902131408-1012</t>
  </si>
  <si>
    <t>B20260902134525-1016</t>
  </si>
  <si>
    <t>Supervisão Tracnkig Betim/ Estadual 4.1 e Estadual 5, recrutamento, material e etc</t>
  </si>
  <si>
    <t>B20260902134831-1001</t>
  </si>
  <si>
    <t>B20260902134938-1003</t>
  </si>
  <si>
    <t>B20260902135938-1015</t>
  </si>
  <si>
    <t>B20260902145916-1004</t>
  </si>
  <si>
    <t>B20260902170605-1006</t>
  </si>
  <si>
    <t>B20260902170832-1004</t>
  </si>
  <si>
    <t>B20260902173353-1001</t>
  </si>
  <si>
    <t>B20260902175514-1014</t>
  </si>
  <si>
    <t>B20260902175810-1012</t>
  </si>
  <si>
    <t>B20260902175825-1003</t>
  </si>
  <si>
    <t>B20260902180030-1013</t>
  </si>
  <si>
    <t>B20260902180218-1016</t>
  </si>
  <si>
    <t>B20260902180427-1015</t>
  </si>
  <si>
    <t>B20260902180459-1011</t>
  </si>
  <si>
    <t>B20260902180718-1002</t>
  </si>
  <si>
    <t>B20260902200541-1004</t>
  </si>
  <si>
    <t>B20260903074015-1002</t>
  </si>
  <si>
    <t>B20260903075838-1011</t>
  </si>
  <si>
    <t>B20260903075938-1003</t>
  </si>
  <si>
    <t>B20260903084239-1013</t>
  </si>
  <si>
    <t>B20260903084720-1015</t>
  </si>
  <si>
    <t>B20260903085746-1012</t>
  </si>
  <si>
    <t>B20260903090054-1004</t>
  </si>
  <si>
    <t>B20260903092259-1016</t>
  </si>
  <si>
    <t>B20260903095151-1014</t>
  </si>
  <si>
    <t>B20260903103924-1001</t>
  </si>
  <si>
    <t>Inicio do expediente 09:18 iniciei com atendimento Angelica, Selma, Simara, Warley</t>
  </si>
  <si>
    <t>B20260903115845-1013</t>
  </si>
  <si>
    <t>B20260903122447-1015</t>
  </si>
  <si>
    <t>B20260903123413-1016</t>
  </si>
  <si>
    <t>B20260903124026-1004</t>
  </si>
  <si>
    <t>B20260903124605-1003</t>
  </si>
  <si>
    <t>Elaboração da estrutura da análise do OTEMPO e do Sicoob Credicom</t>
  </si>
  <si>
    <t>B20260903124847-1014</t>
  </si>
  <si>
    <t>B20260903130243-1013</t>
  </si>
  <si>
    <t>B20260903132059-1016</t>
  </si>
  <si>
    <t>B20260903132328-1015</t>
  </si>
  <si>
    <t>B20260903133506-1003</t>
  </si>
  <si>
    <t>Elaboração da estrutura da análise.</t>
  </si>
  <si>
    <t>B20260903135242-1012</t>
  </si>
  <si>
    <t>B20260903135435-1001</t>
  </si>
  <si>
    <t>Lembrando que estou na supervisão do tracnkig betim, estadual 4.1 e estadual 5</t>
  </si>
  <si>
    <t>B20260903140504-1011</t>
  </si>
  <si>
    <t>B20260903140532-1004</t>
  </si>
  <si>
    <t>B20260903142158-1014</t>
  </si>
  <si>
    <t>B20260903152758-1011</t>
  </si>
  <si>
    <t>B20260903162030-1014</t>
  </si>
  <si>
    <t>B20260903174648-1001</t>
  </si>
  <si>
    <t>Organização material tracking 4.1 e Estadual</t>
  </si>
  <si>
    <t>B20260903174715-1001</t>
  </si>
  <si>
    <t>B20260903175047-1015</t>
  </si>
  <si>
    <t>B20260903175939-1016</t>
  </si>
  <si>
    <t>B20260903180116-1013</t>
  </si>
  <si>
    <t>B20260903180141-1003</t>
  </si>
  <si>
    <t>B20260903180617-1011</t>
  </si>
  <si>
    <t>B20260903180636-1011</t>
  </si>
  <si>
    <t>B20260903180811-1002</t>
  </si>
  <si>
    <t>B20260903211113-1004</t>
  </si>
  <si>
    <t>B20260903211121-1004</t>
  </si>
  <si>
    <t>B20260904080607-1003</t>
  </si>
  <si>
    <t>B20260904082333-1013</t>
  </si>
  <si>
    <t>B20260904085251-1002</t>
  </si>
  <si>
    <t>B20260904085600-1015</t>
  </si>
  <si>
    <t>B20260904085850-1004</t>
  </si>
  <si>
    <t>B20260904090557-1001</t>
  </si>
  <si>
    <t>Supervisão Trankcing Betim/Estadual 4.1 e estadual 4.5</t>
  </si>
  <si>
    <t>B20260904091336-1012</t>
  </si>
  <si>
    <t>Checagem do Marca O Tempo/ apio na organização material projetos politica inicio 08/09</t>
  </si>
  <si>
    <t>B20260904091402-1012</t>
  </si>
  <si>
    <t>B20260904095147-1014</t>
  </si>
  <si>
    <t>B20260904121726-1014</t>
  </si>
  <si>
    <t>B20260904121757-1016</t>
  </si>
  <si>
    <t>B20260904122114-1013</t>
  </si>
  <si>
    <t>B20260904122130-1013</t>
  </si>
  <si>
    <t>B20260904122203-1002</t>
  </si>
  <si>
    <t>B20260904123449-1004</t>
  </si>
  <si>
    <t>B20260904125903-1003</t>
  </si>
  <si>
    <t>B20260904130054-1015</t>
  </si>
  <si>
    <t>B20260904130805-1012</t>
  </si>
  <si>
    <t>Entrega de material para os projetos Minas 4.1 e tracking</t>
  </si>
  <si>
    <t>B20260904132511-1013</t>
  </si>
  <si>
    <t>B20260904134441-1016</t>
  </si>
  <si>
    <t>B20260904134530-1014</t>
  </si>
  <si>
    <t>B20260904135114-1003</t>
  </si>
  <si>
    <t>O início já estava em aberto, posso ter confundido no último ponto antes de sair do almoço e colocado o registro como início, mas era fim.</t>
  </si>
  <si>
    <t>B20260904135935-1015</t>
  </si>
  <si>
    <t>B20260904140704-1002</t>
  </si>
  <si>
    <t>Esqueci de bater o ponto no horário correto de retorno que foi as 13:20</t>
  </si>
  <si>
    <t>B20260904150558-1004</t>
  </si>
  <si>
    <t>B20260904150638-1004</t>
  </si>
  <si>
    <t>B20260904150754-1014</t>
  </si>
  <si>
    <t>B20260904150813-1014</t>
  </si>
  <si>
    <t>B20260904153810-1001</t>
  </si>
  <si>
    <t>B20260904161037-1001</t>
  </si>
  <si>
    <t>B20260904174427-1014</t>
  </si>
  <si>
    <t>B20260904175929-1002</t>
  </si>
  <si>
    <t>B20260904180039-1016</t>
  </si>
  <si>
    <t>B20260904180100-1003</t>
  </si>
  <si>
    <t>B20260904180142-1013</t>
  </si>
  <si>
    <t>B20260904180207-1012</t>
  </si>
  <si>
    <t>B20260904184844-1001</t>
  </si>
  <si>
    <t>Ocorreu várias desistencia no projeto betim e estadual</t>
  </si>
  <si>
    <t>B20260904184918-1001</t>
  </si>
  <si>
    <t>B20260904195222-1004</t>
  </si>
  <si>
    <t>B20260905075600-1013</t>
  </si>
  <si>
    <t>B20260905081213-1003</t>
  </si>
  <si>
    <t>B20260905091040-1001</t>
  </si>
  <si>
    <t>Spervisão da estadual 4.1 estadual 5 e tracnkig betim primeira rodada</t>
  </si>
  <si>
    <t>B20260905092640-1012</t>
  </si>
  <si>
    <t>B20260905122824-1013</t>
  </si>
  <si>
    <t>B20260905123445-1016</t>
  </si>
  <si>
    <t>B20260905130321-1003</t>
  </si>
  <si>
    <t>B20260905131125-1013</t>
  </si>
  <si>
    <t>B20260905131148-1013</t>
  </si>
  <si>
    <t>B20260905131951-1012</t>
  </si>
  <si>
    <t>Checagem</t>
  </si>
  <si>
    <t>B20260905141051-1012</t>
  </si>
  <si>
    <t>B20260905143108-1003</t>
  </si>
  <si>
    <t>B20260905152905-1001</t>
  </si>
  <si>
    <t>B20260905160033-1001</t>
  </si>
  <si>
    <t>B20260905180020-1013</t>
  </si>
  <si>
    <t>B20260905180139-1012</t>
  </si>
  <si>
    <t>B20260905180235-1012</t>
  </si>
  <si>
    <t>B20260905184319-1001</t>
  </si>
  <si>
    <t>B20260905184754-1003</t>
  </si>
  <si>
    <t>B20260906081946-1001</t>
  </si>
  <si>
    <t>Supervisão Estadual 4.1 a 5 e Betim primeira rodada</t>
  </si>
  <si>
    <t>B20260906082127-1011</t>
  </si>
  <si>
    <t>passagem de dados</t>
  </si>
  <si>
    <t>B20260906082156-1003</t>
  </si>
  <si>
    <t>B20260906100545-1013</t>
  </si>
  <si>
    <t>B20260906114534-1003</t>
  </si>
  <si>
    <t>B20260906122034-1013</t>
  </si>
  <si>
    <t>B20260906125518-1003</t>
  </si>
  <si>
    <t>B20260906125650-1013</t>
  </si>
  <si>
    <t>B20260906140226-1002</t>
  </si>
  <si>
    <t>B20260906142712-1004</t>
  </si>
  <si>
    <t>B20260906155153-1011</t>
  </si>
  <si>
    <t>B20260906155538-1013</t>
  </si>
  <si>
    <t>B20260906163101-1012</t>
  </si>
  <si>
    <t>B20260906164629-1011</t>
  </si>
  <si>
    <t>B20260906170059-1002</t>
  </si>
  <si>
    <t>B20260906174628-1003</t>
  </si>
  <si>
    <t>B20260906181200-1012</t>
  </si>
  <si>
    <t>B20260906203102-1011</t>
  </si>
  <si>
    <t>B20260906205322-1004</t>
  </si>
  <si>
    <t>B20260907084819-1011</t>
  </si>
  <si>
    <t>B20260907094422-1004</t>
  </si>
  <si>
    <t>B20260907094910-1013</t>
  </si>
  <si>
    <t>B20260907095023-1001</t>
  </si>
  <si>
    <t>Estadual 4.1 a 5 e betim primeira rodada</t>
  </si>
  <si>
    <t>B20260907113842-1012</t>
  </si>
  <si>
    <t>Emissão nota fiscal do Esdras, projeto Toolkit</t>
  </si>
  <si>
    <t>B20260907115538-1003</t>
  </si>
  <si>
    <t>B20260907120040-1013</t>
  </si>
  <si>
    <t>B20260907125316-1004</t>
  </si>
  <si>
    <t>B20260907125823-1002</t>
  </si>
  <si>
    <t>B20260907130045-1003</t>
  </si>
  <si>
    <t>B20260907132926-1011</t>
  </si>
  <si>
    <t>B20260907140200-1011</t>
  </si>
  <si>
    <t>B20260907143616-1004</t>
  </si>
  <si>
    <t>B20260907144248-1013</t>
  </si>
  <si>
    <t>B20260907171052-1001</t>
  </si>
  <si>
    <t>B20260907173933-1001</t>
  </si>
  <si>
    <t>B20260907175532-1002</t>
  </si>
  <si>
    <t>B20260907181855-1003</t>
  </si>
  <si>
    <t>B20260907182312-1001</t>
  </si>
  <si>
    <t>B20260907183204-1011</t>
  </si>
  <si>
    <t>B20260907184124-1013</t>
  </si>
  <si>
    <t>B20260907195519-1004</t>
  </si>
  <si>
    <t>B20260908075452-1011</t>
  </si>
  <si>
    <t>B20260908081803-1003</t>
  </si>
  <si>
    <t>B20260908082959-1002</t>
  </si>
  <si>
    <t>B20260908083808-1015</t>
  </si>
  <si>
    <t>B20260908090417-1006</t>
  </si>
  <si>
    <t>checagem eleiçao estadual 4.1</t>
  </si>
  <si>
    <t>B20260908090639-1016</t>
  </si>
  <si>
    <t>B20260908091114-1012</t>
  </si>
  <si>
    <t>Surpervisão da checagem tracking Betim</t>
  </si>
  <si>
    <t>B20260908092924-1004</t>
  </si>
  <si>
    <t>Codificação e controle dos links</t>
  </si>
  <si>
    <t>B20260908101242-1014</t>
  </si>
  <si>
    <t>B20260908105305-1004</t>
  </si>
  <si>
    <t>B20260908105410-1004</t>
  </si>
  <si>
    <t>Tracking Betim</t>
  </si>
  <si>
    <t>B20260908115918-1003</t>
  </si>
  <si>
    <t>B20260908121012-1004</t>
  </si>
  <si>
    <t>B20260908121046-1004</t>
  </si>
  <si>
    <t>B20260908122540-1011</t>
  </si>
  <si>
    <t>B20260908122635-1002</t>
  </si>
  <si>
    <t>B20260908123237-1016</t>
  </si>
  <si>
    <t>B20260908125147-1012</t>
  </si>
  <si>
    <t>B20260908125402-1015</t>
  </si>
  <si>
    <t>B20260908125725-1011</t>
  </si>
  <si>
    <t>B20260908130001-1014</t>
  </si>
  <si>
    <t>B20260908132435-1003</t>
  </si>
  <si>
    <t>B20260908133211-1002</t>
  </si>
  <si>
    <t>B20260908134657-1016</t>
  </si>
  <si>
    <t>B20260908134821-1012</t>
  </si>
  <si>
    <t>B20260908135250-1015</t>
  </si>
  <si>
    <t>B20260908140315-1014</t>
  </si>
  <si>
    <t>B20260908144643-1004</t>
  </si>
  <si>
    <t>B20260908160446-1001</t>
  </si>
  <si>
    <t>Supervisão de Betim primeira rodada, estadual 4.1 e 5 e sicoob</t>
  </si>
  <si>
    <t>B20260908160500-1001</t>
  </si>
  <si>
    <t>B20260908160558-1001</t>
  </si>
  <si>
    <t>B20260908170428-1001</t>
  </si>
  <si>
    <t>B20260908171613-1006</t>
  </si>
  <si>
    <t>checagem politica betim</t>
  </si>
  <si>
    <t>B20260908174716-1015</t>
  </si>
  <si>
    <t>B20260908175543-1003</t>
  </si>
  <si>
    <t>B20260908175857-1002</t>
  </si>
  <si>
    <t>B20260908180034-1011</t>
  </si>
  <si>
    <t>B20260908181354-1012</t>
  </si>
  <si>
    <t>Inconsistencias do Marca o Tempo/ impressão e entrega de material estadual/ checagem tracking</t>
  </si>
  <si>
    <t>B20260908181524-1014</t>
  </si>
  <si>
    <t>B20260908181818-1016</t>
  </si>
  <si>
    <t>B20260908182055-1006</t>
  </si>
  <si>
    <t>CHECAGEM POLITICA BETIM</t>
  </si>
  <si>
    <t>B20260908183830-1004</t>
  </si>
  <si>
    <t>B20260908194546-1004</t>
  </si>
  <si>
    <t>B20260908213956-1006</t>
  </si>
  <si>
    <t>B20260908214249-1001</t>
  </si>
  <si>
    <t>Primeiro dia do campo betim primeira rodada, dia de viagem da estafual 4.1 e 4.5</t>
  </si>
  <si>
    <t>B20260908221031-1004</t>
  </si>
  <si>
    <t>Tracking  Betim</t>
  </si>
  <si>
    <t>B20260909065456-1001</t>
  </si>
  <si>
    <t>Inicio da estadual 4.1, Betim tracking 1 rodada,estadual 5 recrutamento</t>
  </si>
  <si>
    <t>B20260909074551-1006</t>
  </si>
  <si>
    <t>checagem politicas</t>
  </si>
  <si>
    <t>B20260909075619-1011</t>
  </si>
  <si>
    <t>B20260909080006-1013</t>
  </si>
  <si>
    <t>B20260909083040-1002</t>
  </si>
  <si>
    <t>B20260909083701-1016</t>
  </si>
  <si>
    <t>B20260909091402-1012</t>
  </si>
  <si>
    <t>Apoio na supervisão da checagem Marca o Tempo/ tracking/ estadual</t>
  </si>
  <si>
    <t>B20260909092826-1014</t>
  </si>
  <si>
    <t>Checagem/ tracking/ estadual</t>
  </si>
  <si>
    <t>B20260909093322-1015</t>
  </si>
  <si>
    <t>B20260909094452-1010</t>
  </si>
  <si>
    <t>B20260909102805-1004</t>
  </si>
  <si>
    <t>B20260909110150-1006</t>
  </si>
  <si>
    <t>checagem politica betim e estadual</t>
  </si>
  <si>
    <t>B20260909110223-1006</t>
  </si>
  <si>
    <t>B20260909110255-1006</t>
  </si>
  <si>
    <t>B20260909110302-1006</t>
  </si>
  <si>
    <t>B20260909110313-1006</t>
  </si>
  <si>
    <t>B20260909110329-1006</t>
  </si>
  <si>
    <t>B20260909112709-1013</t>
  </si>
  <si>
    <t>B20260909115810-1013</t>
  </si>
  <si>
    <t>B20260909121800-1011</t>
  </si>
  <si>
    <t>B20260909123432-1003</t>
  </si>
  <si>
    <t>B20260909123507-1014</t>
  </si>
  <si>
    <t>Tracking</t>
  </si>
  <si>
    <t>B20260909124853-1004</t>
  </si>
  <si>
    <t>B20260909125356-1011</t>
  </si>
  <si>
    <t>B20260909125702-1015</t>
  </si>
  <si>
    <t>B20260909130103-1010</t>
  </si>
  <si>
    <t>B20260909130813-1016</t>
  </si>
  <si>
    <t>B20260909132039-1002</t>
  </si>
  <si>
    <t>B20260909132735-1012</t>
  </si>
  <si>
    <t>B20260909132801-1012</t>
  </si>
  <si>
    <t>B20260909133242-1003</t>
  </si>
  <si>
    <t>B20260909134554-1014</t>
  </si>
  <si>
    <t>B20260909135550-1015</t>
  </si>
  <si>
    <t>B20260909141216-1010</t>
  </si>
  <si>
    <t>B20260909141434-1016</t>
  </si>
  <si>
    <t>B20260909141813-1012</t>
  </si>
  <si>
    <t>Auxilo checagem/ fechamento quantitativo de  entrevistas Marca o Tempo para pagamento</t>
  </si>
  <si>
    <t>B20260909144044-1006</t>
  </si>
  <si>
    <t>checagem politica betim estadual</t>
  </si>
  <si>
    <t>B20260909145412-1004</t>
  </si>
  <si>
    <t>B20260909155224-1001</t>
  </si>
  <si>
    <t>Primeiro dia de campo Estadual 4.1, Segundo dia de Betim tracking</t>
  </si>
  <si>
    <t>B20260909162853-1001</t>
  </si>
  <si>
    <t>B20260909173412-1010</t>
  </si>
  <si>
    <t>B20260909175456-1011</t>
  </si>
  <si>
    <t>B20260909180017-1003</t>
  </si>
  <si>
    <t>B20260909180123-1015</t>
  </si>
  <si>
    <t>B20260909180213-1013</t>
  </si>
  <si>
    <t>B20260909180545-1014</t>
  </si>
  <si>
    <t>B20260909180623-1016</t>
  </si>
  <si>
    <t>B20260909181123-1012</t>
  </si>
  <si>
    <t>Encerramento projeto, checagem Minas Estadual</t>
  </si>
  <si>
    <t>B20260909193008-1001</t>
  </si>
  <si>
    <t>B20260909193128-1004</t>
  </si>
  <si>
    <t>TRACKING BETIM</t>
  </si>
  <si>
    <t>B20260909203944-1001</t>
  </si>
  <si>
    <t>B20260909223932-1006</t>
  </si>
  <si>
    <t>B20260909224230-1006</t>
  </si>
  <si>
    <t>CHECAGEM politica</t>
  </si>
  <si>
    <t>B20260909224255-1006</t>
  </si>
  <si>
    <t>B20260910074701-1011</t>
  </si>
  <si>
    <t>B20260910075537-1002</t>
  </si>
  <si>
    <t>B20260910080244-1013</t>
  </si>
  <si>
    <t>B20260910081607-1003</t>
  </si>
  <si>
    <t>B20260910082332-1001</t>
  </si>
  <si>
    <t>B20260910084749-1016</t>
  </si>
  <si>
    <t>B20260910084910-1015</t>
  </si>
  <si>
    <t>B20260910091201-1006</t>
  </si>
  <si>
    <t>B20260910091522-1012</t>
  </si>
  <si>
    <t>B20260910091855-1010</t>
  </si>
  <si>
    <t>B20260910092557-1006</t>
  </si>
  <si>
    <t>checagem estadual politica comecei as 09:00 da manha</t>
  </si>
  <si>
    <t>B20260910092605-1006</t>
  </si>
  <si>
    <t>B20260910095254-1014</t>
  </si>
  <si>
    <t>B20260910100152-1004</t>
  </si>
  <si>
    <t>B20260910115836-1013</t>
  </si>
  <si>
    <t>B20260910120911-1011</t>
  </si>
  <si>
    <t>B20260910121341-1002</t>
  </si>
  <si>
    <t>B20260910122751-1013</t>
  </si>
  <si>
    <t>B20260910124037-1003</t>
  </si>
  <si>
    <t>Elaboração da estrutura da análise</t>
  </si>
  <si>
    <t>B20260910124435-1016</t>
  </si>
  <si>
    <t>B20260910124651-1012</t>
  </si>
  <si>
    <t>B20260910125415-1014</t>
  </si>
  <si>
    <t>B20260910130347-1004</t>
  </si>
  <si>
    <t>B20260910130359-1004</t>
  </si>
  <si>
    <t>B20260910131913-1002</t>
  </si>
  <si>
    <t>B20260910132233-1011</t>
  </si>
  <si>
    <t>B20260910132627-1016</t>
  </si>
  <si>
    <t>B20260910180232-1015</t>
  </si>
  <si>
    <t>B20260910180401-1001</t>
  </si>
  <si>
    <t>B20260910180547-1016</t>
  </si>
  <si>
    <t>B20260910180611-1014</t>
  </si>
  <si>
    <t>B20260910180713-1005</t>
  </si>
  <si>
    <t>B20260910181024-1005</t>
  </si>
  <si>
    <t>B20260910181134-1005</t>
  </si>
  <si>
    <t>B20260910183055-1004</t>
  </si>
  <si>
    <t>B20260910183123-1004</t>
  </si>
  <si>
    <t>B20260910183208-1004</t>
  </si>
  <si>
    <t>B20260910193905-1012</t>
  </si>
  <si>
    <t>B20260910203415-1017</t>
  </si>
  <si>
    <t>B20260910220000-1006</t>
  </si>
  <si>
    <t>B20260910220055-1004</t>
  </si>
  <si>
    <t>Codificaçã da Estadual tb</t>
  </si>
  <si>
    <t>B20260910220100-1004</t>
  </si>
  <si>
    <t>B20260910220103-1004</t>
  </si>
  <si>
    <t>B20260910220107-1004</t>
  </si>
  <si>
    <t>B20260910220314-1001</t>
  </si>
  <si>
    <t>B20260910221413-1010</t>
  </si>
  <si>
    <t>B20260911075125-1002</t>
  </si>
  <si>
    <t>CHECAGEM POLITICA ESTADUAL</t>
  </si>
  <si>
    <t>B20260911080859-1013</t>
  </si>
  <si>
    <t>Educação financeira para Mulheres- BC</t>
  </si>
  <si>
    <t>B20260911081004-1003</t>
  </si>
  <si>
    <t>B20260911081354-1011</t>
  </si>
  <si>
    <t>B20260911082645-1006</t>
  </si>
  <si>
    <t>B20260911082655-1006</t>
  </si>
  <si>
    <t>B20260911082744-1006</t>
  </si>
  <si>
    <t>B20260911084354-1004</t>
  </si>
  <si>
    <t>Controle do links</t>
  </si>
  <si>
    <t>B20260911085045-1015</t>
  </si>
  <si>
    <t>B20260911090632-1012</t>
  </si>
  <si>
    <t>Apoio checagem e entrevistadores em campo</t>
  </si>
  <si>
    <t>B20260911091055-1017</t>
  </si>
  <si>
    <t>B20260911092055-1004</t>
  </si>
  <si>
    <t>B20260911092106-1004</t>
  </si>
  <si>
    <t>B20260911092144-1004</t>
  </si>
  <si>
    <t>Estadual</t>
  </si>
  <si>
    <t>B20260911092147-1004</t>
  </si>
  <si>
    <t>B20260911094405-1004</t>
  </si>
  <si>
    <t>B20260911094412-1014</t>
  </si>
  <si>
    <t>B20260911095447-1016</t>
  </si>
  <si>
    <t>B20260911100646-1005</t>
  </si>
  <si>
    <t>B20260911114714-1013</t>
  </si>
  <si>
    <t>B20260911120742-1002</t>
  </si>
  <si>
    <t>B20260911120809-1013</t>
  </si>
  <si>
    <t>B20260911123546-1011</t>
  </si>
  <si>
    <t>B20260911124225-1003</t>
  </si>
  <si>
    <t>B20260911124536-1014</t>
  </si>
  <si>
    <t>B20260911130213-1012</t>
  </si>
  <si>
    <t>B20260911130320-1010</t>
  </si>
  <si>
    <t>B20260911130441-1004</t>
  </si>
  <si>
    <t>B20260911130542-1002</t>
  </si>
  <si>
    <t>B20260911130637-1004</t>
  </si>
  <si>
    <t>Estadual 4.1</t>
  </si>
  <si>
    <t>B20260911130657-1011</t>
  </si>
  <si>
    <t>B20260911132533-1016</t>
  </si>
  <si>
    <t>B20260911133912-1017</t>
  </si>
  <si>
    <t>B20260911134328-1003</t>
  </si>
  <si>
    <t>B20260911135610-1014</t>
  </si>
  <si>
    <t>B20260911135828-1012</t>
  </si>
  <si>
    <t>B20260911140604-1005</t>
  </si>
  <si>
    <t>B20260911141148-1006</t>
  </si>
  <si>
    <t>B20260911141745-1017</t>
  </si>
  <si>
    <t>B20260911142446-1010</t>
  </si>
  <si>
    <t>B20260911144116-1016</t>
  </si>
  <si>
    <t>B20260911150402-1004</t>
  </si>
  <si>
    <t>B20260911150726-1005</t>
  </si>
  <si>
    <t>B20260911151317-1006</t>
  </si>
  <si>
    <t>checagem politica estadual</t>
  </si>
  <si>
    <t>B20260911155413-1001</t>
  </si>
  <si>
    <t>Supervisão do trackinkg betim e estadual 4.1</t>
  </si>
  <si>
    <t>B20260911164751-1001</t>
  </si>
  <si>
    <t>B20260911175243-1002</t>
  </si>
  <si>
    <t>B20260911175804-1016</t>
  </si>
  <si>
    <t>B20260911175854-1012</t>
  </si>
  <si>
    <t>B20260911175908-1014</t>
  </si>
  <si>
    <t>B20260911175945-1003</t>
  </si>
  <si>
    <t>B20260911180118-1013</t>
  </si>
  <si>
    <t>B20260911180330-1011</t>
  </si>
  <si>
    <t>B20260911183731-1006</t>
  </si>
  <si>
    <t>B20260911192059-1012</t>
  </si>
  <si>
    <t>B20260911194130-1012</t>
  </si>
  <si>
    <t>B20260911200648-1017</t>
  </si>
  <si>
    <t>B20260911205702-1006</t>
  </si>
  <si>
    <t>B20260911210457-1004</t>
  </si>
  <si>
    <t>B20260911214016-1001</t>
  </si>
  <si>
    <t>B20260911231548-1006</t>
  </si>
  <si>
    <t>B20260912082334-1003</t>
  </si>
  <si>
    <t>B20260912082430-1003</t>
  </si>
  <si>
    <t>B20260912091619-1017</t>
  </si>
  <si>
    <t>B20260912104346-1011</t>
  </si>
  <si>
    <t>B20260912120132-1003</t>
  </si>
  <si>
    <t>B20260912131212-1003</t>
  </si>
  <si>
    <t>B20260912131756-1003</t>
  </si>
  <si>
    <t>B20260912184216-1003</t>
  </si>
  <si>
    <t>B20260912190216-1017</t>
  </si>
  <si>
    <t>B20260912190131-1017</t>
  </si>
  <si>
    <t>B20260913080826-1003</t>
  </si>
  <si>
    <t>B20260913105754-1011</t>
  </si>
  <si>
    <t>B20260913114550-1003</t>
  </si>
  <si>
    <t>B20260913133647-1003</t>
  </si>
  <si>
    <t>B20260913145020-1011</t>
  </si>
  <si>
    <t>B20260914080958-1003</t>
  </si>
  <si>
    <t>B20260914081159-1002</t>
  </si>
  <si>
    <t>B20260914081428-1011</t>
  </si>
  <si>
    <t>B20260914083333-1013</t>
  </si>
  <si>
    <t>B20260914093500-1009</t>
  </si>
  <si>
    <t>B20260914115631-1013</t>
  </si>
  <si>
    <t>B20260914115843-1011</t>
  </si>
  <si>
    <t>B20260914120654-1002</t>
  </si>
  <si>
    <t>B20260914124634-1003</t>
  </si>
  <si>
    <t>B20260914124901-1013</t>
  </si>
  <si>
    <t>B20260914125231-1011</t>
  </si>
  <si>
    <t>B20260914130538-1002</t>
  </si>
  <si>
    <t>B20260914135426-1003</t>
  </si>
  <si>
    <t>B20260914175455-1002</t>
  </si>
  <si>
    <t>B20260914175520-1002</t>
  </si>
  <si>
    <t>B20260914175945-1013</t>
  </si>
  <si>
    <t>B20260914180308-1011</t>
  </si>
  <si>
    <t>B20260914183506-1003</t>
  </si>
  <si>
    <t>B20260915075307-1002</t>
  </si>
  <si>
    <t>B20260915080833-1003</t>
  </si>
  <si>
    <t>B20260915081029-1011</t>
  </si>
  <si>
    <t>B20260915090441-1013</t>
  </si>
  <si>
    <t>B20260915115117-1013</t>
  </si>
  <si>
    <t>B20260915120436-1002</t>
  </si>
  <si>
    <t>B20260915121812-1011</t>
  </si>
  <si>
    <t>B20260915123243-1013</t>
  </si>
  <si>
    <t>B20260915123603-1003</t>
  </si>
  <si>
    <t>B20260915130023-1002</t>
  </si>
  <si>
    <t>B20260915140052-1003</t>
  </si>
  <si>
    <t>B20260915175523-1002</t>
  </si>
  <si>
    <t>B20260915180022-1013</t>
  </si>
  <si>
    <t>B20260915180204-1011</t>
  </si>
  <si>
    <t>B20260915191055-1003</t>
  </si>
  <si>
    <t>B20260916075707-1011</t>
  </si>
  <si>
    <t>B20260916080046-1003</t>
  </si>
  <si>
    <t>B20260916084039-1013</t>
  </si>
  <si>
    <t>B20260916084827-1002</t>
  </si>
  <si>
    <t>B20260916115901-1013</t>
  </si>
  <si>
    <t>B20260916115930-1003</t>
  </si>
  <si>
    <t>B20260916120320-1002</t>
  </si>
  <si>
    <t>B20260916122139-1011</t>
  </si>
  <si>
    <t>B20260916125021-1003</t>
  </si>
  <si>
    <t>B20260916125137-1013</t>
  </si>
  <si>
    <t>CDL- Black Friday</t>
  </si>
  <si>
    <t>B20260916125242-1002</t>
  </si>
  <si>
    <t>B20260916125619-1011</t>
  </si>
  <si>
    <t>B20260916175352-1011</t>
  </si>
  <si>
    <t>B20260916175910-1002</t>
  </si>
  <si>
    <t>B20260916180012-1003</t>
  </si>
  <si>
    <t>B20260916180041-1013</t>
  </si>
  <si>
    <t>B20260917075700-1003</t>
  </si>
  <si>
    <t>B20260917080656-1011</t>
  </si>
  <si>
    <t>B20260917082119-1013</t>
  </si>
  <si>
    <t>B20260917083425-1002</t>
  </si>
  <si>
    <t>B20260917120222-1003</t>
  </si>
  <si>
    <t>B20260917120327-1013</t>
  </si>
  <si>
    <t>Educação Financeira para Mulheres</t>
  </si>
  <si>
    <t>B20260917120428-1002</t>
  </si>
  <si>
    <t>B20260917121420-1011</t>
  </si>
  <si>
    <t>B20260917125307-1003</t>
  </si>
  <si>
    <t>B20260917125352-1013</t>
  </si>
  <si>
    <t>Educação financeira para mulheres</t>
  </si>
  <si>
    <t>B20260917125918-1011</t>
  </si>
  <si>
    <t>B20260917131604-1002</t>
  </si>
  <si>
    <t>B20260917175611-1002</t>
  </si>
  <si>
    <t>B20260917180022-1003</t>
  </si>
  <si>
    <t>B20260917180056-1013</t>
  </si>
  <si>
    <t>Educação financeira para Mulheres-BC</t>
  </si>
  <si>
    <t>B20260917203249-1011</t>
  </si>
  <si>
    <t>B20260918072939-1002</t>
  </si>
  <si>
    <t>B20260918080022-1003</t>
  </si>
  <si>
    <t>B20260918080311-1011</t>
  </si>
  <si>
    <t>B20260918082015-1013</t>
  </si>
  <si>
    <t>B20260918120341-1013</t>
  </si>
  <si>
    <t>B20260918120424-1003</t>
  </si>
  <si>
    <t>B20260918121053-1011</t>
  </si>
  <si>
    <t>B20260918121727-1002</t>
  </si>
  <si>
    <t>B20260918125507-1003</t>
  </si>
  <si>
    <t>B20260918125636-1013</t>
  </si>
  <si>
    <t>B20260918131309-1002</t>
  </si>
  <si>
    <t>B20260918132048-1011</t>
  </si>
  <si>
    <t>B20260918170008-1002</t>
  </si>
  <si>
    <t>B20260918180345-1003</t>
  </si>
  <si>
    <t>B20260918183219-1013</t>
  </si>
  <si>
    <t>Educação Financeira para mulheres</t>
  </si>
  <si>
    <t>B20260919082025-1011</t>
  </si>
  <si>
    <t>B20260919092814-1013</t>
  </si>
  <si>
    <t>B20260919120400-1003</t>
  </si>
  <si>
    <t>B20260919121357-1013</t>
  </si>
  <si>
    <t>B20260919123455-1013</t>
  </si>
  <si>
    <t>B20260919125939-1003</t>
  </si>
  <si>
    <t>B20260919141522-1002</t>
  </si>
  <si>
    <t>B20260919142044-1011</t>
  </si>
  <si>
    <t>B20260919153250-1011</t>
  </si>
  <si>
    <t>B20260919161504-1002</t>
  </si>
  <si>
    <t>B20260919162006-1013</t>
  </si>
  <si>
    <t>B20260919164903-1011</t>
  </si>
  <si>
    <t>B20260919175554-1003</t>
  </si>
  <si>
    <t>B20260920075446-1003</t>
  </si>
  <si>
    <t>B20260920120036-1003</t>
  </si>
  <si>
    <t>B20260920120107-1003</t>
  </si>
  <si>
    <t>O ponto de início de hoje de manhã marquei fim sem querer, eu acho.</t>
  </si>
  <si>
    <t>B20260920130507-1003</t>
  </si>
  <si>
    <t>B20260920180242-1003</t>
  </si>
  <si>
    <t>B20260921072332-1003</t>
  </si>
  <si>
    <t>B20260921080648-1011</t>
  </si>
  <si>
    <t>B20260921081637-1002</t>
  </si>
  <si>
    <t>B20260921084705-1013</t>
  </si>
  <si>
    <t>Educação financeira para mulheres- BC</t>
  </si>
  <si>
    <t>B20260921120552-1011</t>
  </si>
  <si>
    <t>B20260921121546-1002</t>
  </si>
  <si>
    <t>B20260921121650-1013</t>
  </si>
  <si>
    <t>B20260921125336-1011</t>
  </si>
  <si>
    <t>B20260921130515-1013</t>
  </si>
  <si>
    <t>B20260921131602-1002</t>
  </si>
  <si>
    <t>B20260921134353-1003</t>
  </si>
  <si>
    <t>B20260921141229-1003</t>
  </si>
  <si>
    <t>B20260921175424-1002</t>
  </si>
  <si>
    <t>B20260921180042-1013</t>
  </si>
  <si>
    <t>Análise de codificação</t>
  </si>
  <si>
    <t>B20260921192407-1003</t>
  </si>
  <si>
    <t>B20260922073111-1013</t>
  </si>
  <si>
    <t>B20260922075759-1003</t>
  </si>
  <si>
    <t>B20260922080902-1011</t>
  </si>
  <si>
    <t>B20260922090635-1002</t>
  </si>
  <si>
    <t>B20260922120531-1013</t>
  </si>
  <si>
    <t>B20260922121622-1002</t>
  </si>
  <si>
    <t>B20260922121803-1011</t>
  </si>
  <si>
    <t>B20260922124158-1003</t>
  </si>
  <si>
    <t>B20260922130307-1011</t>
  </si>
  <si>
    <t>B20260922130406-1013</t>
  </si>
  <si>
    <t>CDL Black Friday</t>
  </si>
  <si>
    <t>B20260922132220-1003</t>
  </si>
  <si>
    <t>B20260922132600-1002</t>
  </si>
  <si>
    <t>B20260922175645-1002</t>
  </si>
  <si>
    <t>B20260922175732-1003</t>
  </si>
  <si>
    <t>B20260922175806-1011</t>
  </si>
  <si>
    <t>B20260922180010-1013</t>
  </si>
  <si>
    <t>B20260923074841-1003</t>
  </si>
  <si>
    <t>B20260923080241-1011</t>
  </si>
  <si>
    <t>B20260923085257-1002</t>
  </si>
  <si>
    <t>B20260923091742-1013</t>
  </si>
  <si>
    <t>B20260923114503-1013</t>
  </si>
  <si>
    <t>B20260923114708-1002</t>
  </si>
  <si>
    <t>B20260923121049-1003</t>
  </si>
  <si>
    <t>B20260923122319-1011</t>
  </si>
  <si>
    <t>B20260923123324-1013</t>
  </si>
  <si>
    <t>B20260923125238-1011</t>
  </si>
  <si>
    <t>B20260923130129-1002</t>
  </si>
  <si>
    <t>B20260923131030-1003</t>
  </si>
  <si>
    <t>B20260923175552-1002</t>
  </si>
  <si>
    <t>B20260923180037-1013</t>
  </si>
  <si>
    <t>B20260923180112-1003</t>
  </si>
  <si>
    <t>B20260923180147-1011</t>
  </si>
  <si>
    <t>CONFERÊNCIA DE BATIDAS E REGISTROS</t>
  </si>
  <si>
    <t>Indicador</t>
  </si>
  <si>
    <t>Quantidade</t>
  </si>
  <si>
    <t>Fins sem vínculo</t>
  </si>
  <si>
    <t>Vínculos inválidos ou divergentes</t>
  </si>
  <si>
    <t>Registros a revisar</t>
  </si>
  <si>
    <t>Inícios sem fim</t>
  </si>
  <si>
    <t>Em Batidas, filtre SEM VÍNCULO e preencha L com o ID de início.</t>
  </si>
  <si>
    <t>Corrija o INÍCIO ou FIM em Batidas; Registros, cartão e relatórios recalculam.</t>
  </si>
  <si>
    <t>CADASTRO DE PESSOAS</t>
  </si>
  <si>
    <t>Cadastro expansível para até 100 pessoas. Preencha uma linha vazia da tabela, use ID único e status ATIVO.</t>
  </si>
  <si>
    <t>Função/Regra</t>
  </si>
  <si>
    <t>Supervisão</t>
  </si>
  <si>
    <t>ATIVO</t>
  </si>
  <si>
    <t>Analista/Revisor</t>
  </si>
  <si>
    <t>Analista de Pesquisa Júnior</t>
  </si>
  <si>
    <t>Coordenação/Supervisão</t>
  </si>
  <si>
    <t>Assistente de Pesquisa</t>
  </si>
  <si>
    <t>Assistente de Pesquisa — confirmar taxa</t>
  </si>
  <si>
    <t>Analista</t>
  </si>
  <si>
    <t>Apoio/Checagem</t>
  </si>
  <si>
    <t>Assistente Financeiro</t>
  </si>
  <si>
    <t>CADASTRO PADRONIZADO DE PROJETOS</t>
  </si>
  <si>
    <t>Cadastro expansível para até 150 projetos. Código e nome devem ser únicos; use status ATIVO.</t>
  </si>
  <si>
    <t>Projeto padronizado</t>
  </si>
  <si>
    <t>Descrição</t>
  </si>
  <si>
    <t>Banco Central do Brasil</t>
  </si>
  <si>
    <t>MAP II MSE Demand — São Paulo</t>
  </si>
  <si>
    <t>Tracking de Marca</t>
  </si>
  <si>
    <t>Imagem, percepção e reputação</t>
  </si>
  <si>
    <t>Pesquisas eleitorais e tracking</t>
  </si>
  <si>
    <t>Pesquisas de levantamento do comércio</t>
  </si>
  <si>
    <t>Projetos Toolkit</t>
  </si>
  <si>
    <t>Pesquisa Prof. Luiz Felizardo</t>
  </si>
  <si>
    <t>Atividades administrativas internas</t>
  </si>
  <si>
    <t>Usar apenas após autorização</t>
  </si>
  <si>
    <t>pesquisa de levantamento eleitoral VM</t>
  </si>
  <si>
    <t>CADASTRO PADRONIZADO DE ATIVIDADES</t>
  </si>
  <si>
    <t>Cadastro expansível para até 200 atividades. Código e nome devem ser únicos; use status ATIVO.</t>
  </si>
  <si>
    <t>Atividade padronizada</t>
  </si>
  <si>
    <t>ATV-001</t>
  </si>
  <si>
    <t>Coordenação e supervisão operacional</t>
  </si>
  <si>
    <t>ATV-002</t>
  </si>
  <si>
    <t>Checagem e controle de qualidade</t>
  </si>
  <si>
    <t>ATV-003</t>
  </si>
  <si>
    <t>Codificação de respostas</t>
  </si>
  <si>
    <t>ATV-004</t>
  </si>
  <si>
    <t>Análise estatística ou qualitativa</t>
  </si>
  <si>
    <t>ATV-005</t>
  </si>
  <si>
    <t>RECRUTAMENTO</t>
  </si>
  <si>
    <t>Recrutamento de participantes</t>
  </si>
  <si>
    <t>ATV-006</t>
  </si>
  <si>
    <t>Aplicação de questionários ou entrevistas</t>
  </si>
  <si>
    <t>ATV-007</t>
  </si>
  <si>
    <t>TRATAMENTO DE DADOS</t>
  </si>
  <si>
    <t>Limpeza, crítica, harmonização ou ETL</t>
  </si>
  <si>
    <t>ATV-008</t>
  </si>
  <si>
    <t>RELATÓRIO</t>
  </si>
  <si>
    <t>Redação, revisão ou apresentação de resultados</t>
  </si>
  <si>
    <t>ATV-009</t>
  </si>
  <si>
    <t>Rotinas administrativas e financeiras</t>
  </si>
  <si>
    <t>ATV-010</t>
  </si>
  <si>
    <t>Apoio geral à operação</t>
  </si>
  <si>
    <t>ATV-011</t>
  </si>
  <si>
    <t>Transcrição de Entrevistas e Grupos de Discussão</t>
  </si>
  <si>
    <t>ATV-012</t>
  </si>
  <si>
    <t>MODERAÇÃO</t>
  </si>
  <si>
    <t>Moderação de EP e GD</t>
  </si>
  <si>
    <t>CONFIGURAÇÃO NO EXCEL DO SHAREPOINT</t>
  </si>
  <si>
    <t>1</t>
  </si>
  <si>
    <t>A aba Batidas é a origem. Corrija a data e hora na coluna B; a data e o dia da semana são calculados.</t>
  </si>
  <si>
    <t>2</t>
  </si>
  <si>
    <t>Para vincular um FIM a um INÍCIO, preencha a coluna L da batida de FIM com o ID da batida de INÍCIO.</t>
  </si>
  <si>
    <t>3</t>
  </si>
  <si>
    <t>Não altere o Batida ID da coluna A. Corrija o ID da pessoa, projeto ou atividade nas colunas E, H e I.</t>
  </si>
  <si>
    <t>4</t>
  </si>
  <si>
    <t>Registros, cartão de ponto, custos e pagamentos se recalculam automaticamente no Excel.</t>
  </si>
  <si>
    <t>5</t>
  </si>
  <si>
    <t>Filtre Conferência = SEM VÍNCULO ou VÍNCULO INVÁLIDO em Batidas para resolver pendências.</t>
  </si>
  <si>
    <t>6</t>
  </si>
  <si>
    <t>Para novas batidas no SharePoint, substitua o Office Script anterior pelo código da aba Office Script.</t>
  </si>
  <si>
    <t>7</t>
  </si>
  <si>
    <t>Em Automatizar &gt; Novo Script, cole o código completo a partir da linha A2.</t>
  </si>
  <si>
    <t>8</t>
  </si>
  <si>
    <t>Antes de pagar, revise registros marcados REVISAR na aba Registros.</t>
  </si>
  <si>
    <t>OFFICE SCRIPT — REGISTRAR PONTO</t>
  </si>
  <si>
    <t>function validarBatida(r: number): string{</t>
  </si>
  <si>
    <t>const m=`MATCH(L${r},tblBatidas[Batida ID],0)`;</t>
  </si>
  <si>
    <t>const start=c=&gt;`INDEX(tblBatidas[${c}],${m})`;</t>
  </si>
  <si>
    <t>let f='"VINCULADO"';</t>
  </si>
  <si>
    <t>f=`IF(OR(B${r}&lt;=${start('Data e hora')},(B${r}-${start('Data e hora')})*24&gt;16),"HORÁRIO INVÁLIDO",${f})`;</t>
  </si>
  <si>
    <t>f=`IF(I${r}&lt;&gt;${start('Atividade')},"DIVERGÊNCIA DE ATIVIDADE",${f})`;</t>
  </si>
  <si>
    <t>f=`IF(H${r}&lt;&gt;${start('Projeto')},"DIVERGÊNCIA DE PROJETO",${f})`;</t>
  </si>
  <si>
    <t>f=`IF(E${r}&lt;&gt;${start('ID')},"DIVERGÊNCIA DE ID",${f})`;</t>
  </si>
  <si>
    <t>f=`IF(COUNTIF(tblBatidas[Início vinculado],L${r})&gt;1,"VÍNCULO DUPLICADO",${f})`;</t>
  </si>
  <si>
    <t>f=`IF(COUNTIF(tblBatidas[Batida ID],L${r})=0,"VÍNCULO INVÁLIDO",${f})`;</t>
  </si>
  <si>
    <t>return `=IF(G${r}="FIM",IF(L${r}="","SEM VÍNCULO",${f}),"INÍCIO")`;</t>
  </si>
  <si>
    <t>}</t>
  </si>
  <si>
    <t>function linkedRow(r: number): string[]{</t>
  </si>
  <si>
    <t>const sid=`\"B\"&amp;MID($A${r},2,99)`,start=`MATCH(${sid},tblBatidas[Batida ID],0)`,end=`MATCH(${sid},tblBatidas[Início vinculado],0)`;</t>
  </si>
  <si>
    <t>const sb=`INDEX(tblBatidas[Data e hora],${start})`,eb=`INDEX(tblBatidas[Data e hora],${end})`,be=`INDEX(tblBatidas[ID],${start})`;</t>
  </si>
  <si>
    <t>const row=[</t>
  </si>
  <si>
    <t>`=IFERROR(INT(${sb}),\"\")`,</t>
  </si>
  <si>
    <t>`=IF(B${r}=\"\",\"\",CHOOSE(WEEKDAY(B${r},2),\"SEGUNDA-FEIRA\",\"TERÇA-FEIRA\",\"QUARTA-FEIRA\",\"QUINTA-FEIRA\",\"SEXTA-FEIRA\",\"SÁBADO\",\"DOMINGO\"))`,</t>
  </si>
  <si>
    <t>`=IF(B${r}=\"\",\"\",IF(WEEKDAY(B${r},2)&gt;5,\"FDS/FERIADO\",\"DIA ÚTIL\"))`,</t>
  </si>
  <si>
    <t>`=IFERROR(${be},\"\")`,</t>
  </si>
  <si>
    <t>`=IFERROR(INDEX(tblPessoas[Pessoa],MATCH(E${r},tblPessoas[ID],0)),\"\")`,</t>
  </si>
  <si>
    <t>`=IFERROR(INDEX(tblBatidas[Projeto],${start}),\"\")`,</t>
  </si>
  <si>
    <t>`=IFERROR(INDEX(tblBatidas[Atividade],${start}),\"\")`,</t>
  </si>
  <si>
    <t>`=IFERROR(MOD(${sb},1),\"\")`,</t>
  </si>
  <si>
    <t>`=IFERROR(MOD(${eb},1),\"\")`,</t>
  </si>
  <si>
    <t>`=IFERROR((${eb}-${sb})*24,\"\")`,</t>
  </si>
  <si>
    <t>`=IFERROR(INDEX(tblBatidas[Observação],${end}),\"\")`,</t>
  </si>
  <si>
    <t>`=IFERROR(INDEX(tblPessoas[Base],MATCH(E${r},tblPessoas[ID],0)),\"\")`,</t>
  </si>
  <si>
    <t>`=IFERROR(IF(D${r}=\"DIA ÚTIL\",INDEX(tblPessoas[R$/h útil],MATCH(E${r},tblPessoas[ID],0)),INDEX(tblPessoas[R$/h FDS],MATCH(E${r},tblPessoas[ID],0))),0)`,</t>
  </si>
  <si>
    <t>`=IFERROR(INDEX(tblPessoas[R$/diária],MATCH(E${r},tblPessoas[ID],0)),0)`,</t>
  </si>
  <si>
    <t>`=IF(Q${r}&lt;&gt;\"CONCLUÍDO\",\"\",IF(M${r}=\"Diária\",O${r}*R${r},K${r}*N${r}))`,</t>
  </si>
  <si>
    <t>`=IF(A${r}=\"\",\"\",IF(COUNTIF(tblBatidas[Início vinculado],${sid})=0,\"EM ABERTO\",IF(OR(COUNTIF(tblBatidas[Início vinculado],${sid})&gt;1,K${r}&lt;0,K${r}&gt;16,INT(${eb})&lt;&gt;B${r},INDEX(tblBatidas[ID],${end})&lt;&gt;E${r},INDEX(tblBatidas[Projeto],${end})&lt;&gt;G${r},INDEX(tblBatidas[Atividade],${end})&lt;&gt;H${r}),\"REVISAR\",\"CONCLUÍDO\")))`,</t>
  </si>
  <si>
    <t>`=IF(Q${r}&lt;&gt;\"CONCLUÍDO\",0,IF(COUNTIFS($E$5:E${r},E${r},$B$5:B${r},B${r},$Q$5:Q${r},\"CONCLUÍDO\")=1,1,0))`,</t>
  </si>
  <si>
    <t>`=IF(B${r}=\"\",\"\",TEXT(B${r},\"yyyy-mm\"))`,</t>
  </si>
  <si>
    <t>`=IF(E${r}=\"\",\"\",E${r}*100000+COUNTIFS(tblRegistros[ID],E${r},tblRegistros[Data],\"&lt;\"&amp;B${r})+COUNTIFS(tblRegistros[ID],E${r},tblRegistros[Data],B${r},tblRegistros[Início],\"&lt;\"&amp;I${r})+COUNTIFS($E$5:E${r},E${r},$B$5:B${r},B${r},$I$5:I${r},I${r}))`</t>
  </si>
  <si>
    <t>];</t>
  </si>
  <si>
    <t>return row;</t>
  </si>
  <si>
    <t>function main(workbook: ExcelScript.Workbook) {</t>
  </si>
  <si>
    <t>const painel = workbook.getWorksheet("Registrar Ponto");</t>
  </si>
  <si>
    <t>const pessoas = workbook.getWorksheet("Cadastro Pessoas").getTable("tblPessoas");</t>
  </si>
  <si>
    <t>const projetos = workbook.getWorksheet("Cadastro Projetos").getTable("tblProjetos");</t>
  </si>
  <si>
    <t>const atividades = workbook.getWorksheet("Cadastro Atividades").getTable("tblAtividades");</t>
  </si>
  <si>
    <t>const batidas = workbook.getWorksheet("Batidas").getTable("tblBatidas");</t>
  </si>
  <si>
    <t>const registros = workbook.getWorksheet("Registros").getTable("tblRegistros");</t>
  </si>
  <si>
    <t>const id = String(painel.getRange("C6").getValue()).trim();</t>
  </si>
  <si>
    <t>const tipo = String(painel.getRange("C10").getValue()).trim().toUpperCase();</t>
  </si>
  <si>
    <t>const projeto = String(painel.getRange("C12").getValue()).trim();</t>
  </si>
  <si>
    <t>const atividade = String(painel.getRange("C14").getValue()).trim();</t>
  </si>
  <si>
    <t>const observacao = String(painel.getRange("C16").getValue()).trim();</t>
  </si>
  <si>
    <t>if (!id || !["INÍCIO","FIM"].includes(tipo) || !projeto || !atividade) {</t>
  </si>
  <si>
    <t>painel.getRange("C19").setValue("PREENCHA ID, TIPO, PROJETO E ATIVIDADE.");</t>
  </si>
  <si>
    <t>return;</t>
  </si>
  <si>
    <t>const pRows = pessoas.getRangeBetweenHeaderAndTotal().getValues();</t>
  </si>
  <si>
    <t>const p = pRows.find(r =&gt; String(r[0]).trim() === id &amp;&amp; String(r[7]).toUpperCase() === "ATIVO");</t>
  </si>
  <si>
    <t>if (!p) { painel.getRange("C19").setValue("ID NÃO ENCONTRADO OU INATIVO."); return; }</t>
  </si>
  <si>
    <t>const nome = String(p[1]);</t>
  </si>
  <si>
    <t>const base = String(p[2]);</t>
  </si>
  <si>
    <t>const taxaUtil = Number(p[3]) || 0;</t>
  </si>
  <si>
    <t>const taxaFds = Number(p[4]) || 0;</t>
  </si>
  <si>
    <t>const diaria = Number(p[5]) || 0;</t>
  </si>
  <si>
    <t>const prjOk = projetos.getRangeBetweenHeaderAndTotal().getValues().some(r =&gt; String(r[1]) === projeto &amp;&amp; String(r[3]).toUpperCase() === "ATIVO");</t>
  </si>
  <si>
    <t>const atvOk = atividades.getRangeBetweenHeaderAndTotal().getValues().some(r =&gt; String(r[1]) === atividade &amp;&amp; String(r[3]).toUpperCase() === "ATIVO");</t>
  </si>
  <si>
    <t>if (!prjOk || !atvOk) { painel.getRange("C19").setValue("PROJETO OU ATIVIDADE FORA DO CADASTRO ATIVO."); return; }</t>
  </si>
  <si>
    <t>// Integra novos cadastros aos relatórios de período.</t>
  </si>
  <si>
    <t>const resumoSheet = workbook.getWorksheet("Resumo Pagamentos");</t>
  </si>
  <si>
    <t>const resumoIds = resumoSheet.getRange("A7:A106").getValues();</t>
  </si>
  <si>
    <t>let resumoPos = resumoIds.findIndex(r =&gt; String(r[0]) === id);</t>
  </si>
  <si>
    <t>if (resumoPos &lt; 0) resumoPos = resumoIds.findIndex(r =&gt; String(r[0]).trim() === "");</t>
  </si>
  <si>
    <t>if (resumoPos &lt; 0) { painel.getRange("C19").setValue("LIMITE DE PESSOAS NO RESUMO."); return; }</t>
  </si>
  <si>
    <t>const rr = 7 + resumoPos;</t>
  </si>
  <si>
    <t>if (String(resumoIds[resumoPos][0]).trim() === "") {</t>
  </si>
  <si>
    <t>resumoSheet.getRange("A"+rr+":C"+rr).setValues([[Number(id),nome,base]]);</t>
  </si>
  <si>
    <t>resumoSheet.getRange("H"+rr+":J"+rr).setValues([[taxaUtil,taxaFds,diaria]]);</t>
  </si>
  <si>
    <t>resumoSheet.getRange("L"+rr).setValue(0);</t>
  </si>
  <si>
    <t>const crit = "'Registros'!$E$5:$E$3004,A"+rr+",'Registros'!$B$5:$B$3004,\"&gt;=\"&amp;$B$4,'Registros'!$B$5:$B$3004,\"&lt;\"&amp;($D$4+1),'Registros'!$Q$5:$Q$3004,\"CONCLUÍDO\"";</t>
  </si>
  <si>
    <t>resumoSheet.getRange("D"+rr).setFormula("=SUMIFS('Registros'!$K$5:$K$3004,"+crit+",'Registros'!$D$5:$D$3004,\"DIA ÚTIL\")");</t>
  </si>
  <si>
    <t>resumoSheet.getRange("E"+rr).setFormula("=SUMIFS('Registros'!$K$5:$K$3004,"+crit+",'Registros'!$D$5:$D$3004,\"FDS/FERIADO\")");</t>
  </si>
  <si>
    <t>resumoSheet.getRange("F"+rr).setFormula("=D"+rr+"+E"+rr);</t>
  </si>
  <si>
    <t>resumoSheet.getRange("G"+rr).setFormula("=SUMIFS('Registros'!$R$5:$R$3004,"+crit+")");</t>
  </si>
  <si>
    <t>resumoSheet.getRange("K"+rr).setFormula("=SUMIFS('Registros'!$P$5:$P$3004,"+crit+")");</t>
  </si>
  <si>
    <t>resumoSheet.getRange("M"+rr).setFormula("=K"+rr+"+L"+rr);</t>
  </si>
  <si>
    <t>resumoSheet.getRange("N"+rr).setFormula("=COUNTIFS('Registros'!$E$5:$E$3004,A"+rr+",'Registros'!$B$5:$B$3004,\"&gt;=\"&amp;$B$4,'Registros'!$B$5:$B$3004,\"&lt;\"&amp;($D$4+1),'Registros'!$Q$5:$Q$3004,\"EM ABERTO\")+COUNTIFS('Registros'!$E$5:$E$3004,A"+rr+",'Registros'!$B$5:$B$3004,\"&gt;=\"&amp;$B$4,'Registros'!$B$5:$B$3004,\"&lt;\"&amp;($D$4+1),'Registros'!$Q$5:$Q$3004,\"REVISAR\")");</t>
  </si>
  <si>
    <t>const custoSheet = workbook.getWorksheet("Custo por Projeto");</t>
  </si>
  <si>
    <t>const custoProjetos = custoSheet.getRange("B7:B156").getValues();</t>
  </si>
  <si>
    <t>let custoPos = custoProjetos.findIndex(r =&gt; String(r[0]) === projeto);</t>
  </si>
  <si>
    <t>if (custoPos &lt; 0) custoPos = custoProjetos.findIndex(r =&gt; String(r[0]).trim() === "");</t>
  </si>
  <si>
    <t>if (custoPos &lt; 0) { painel.getRange("C19").setValue("LIMITE DE PROJETOS NO RESUMO."); return; }</t>
  </si>
  <si>
    <t>const rc = 7 + custoPos;</t>
  </si>
  <si>
    <t>if (String(custoProjetos[custoPos][0]).trim() === "") {</t>
  </si>
  <si>
    <t>const projetoRow = projetos.getRangeBetweenHeaderAndTotal().getValues().find(r =&gt; String(r[1]) === projeto);</t>
  </si>
  <si>
    <t>custoSheet.getRange("A"+rc+":B"+rc).setValues([[String(projetoRow[0]),projeto]]);</t>
  </si>
  <si>
    <t>const critP = "'Registros'!$G$5:$G$3004,B"+rc+",'Registros'!$B$5:$B$3004,\"&gt;=\"&amp;$B$4,'Registros'!$B$5:$B$3004,\"&lt;\"&amp;($D$4+1),'Registros'!$Q$5:$Q$3004,\"CONCLUÍDO\"";</t>
  </si>
  <si>
    <t>custoSheet.getRange("C"+rc).setFormula("=SUMIFS('Registros'!$K$5:$K$3004,"+critP+",'Registros'!$D$5:$D$3004,\"DIA ÚTIL\")");</t>
  </si>
  <si>
    <t>custoSheet.getRange("D"+rc).setFormula("=SUMIFS('Registros'!$K$5:$K$3004,"+critP+",'Registros'!$D$5:$D$3004,\"FDS/FERIADO\")");</t>
  </si>
  <si>
    <t>custoSheet.getRange("E"+rc).setFormula("=C"+rc+"+D"+rc);</t>
  </si>
  <si>
    <t>custoSheet.getRange("F"+rc).setFormula("=COUNTIFS("+critP+")");</t>
  </si>
  <si>
    <t>custoSheet.getRange("G"+rc).setFormula("=IF(F"+rc+"=0,0,ROWS(UNIQUE(FILTER('Registros'!$E$5:$E$3004,('Registros'!$G$5:$G$3004=B"+rc+")*('Registros'!$B$5:$B$3004&gt;=$B$4)*('Registros'!$B$5:$B$3004&lt;=$D$4)*('Registros'!$Q$5:$Q$3004=\"CONCLUÍDO\")))))");</t>
  </si>
  <si>
    <t>custoSheet.getRange("H"+rc).setFormula("=SUMIFS('Registros'!$P$5:$P$3004,"+critP+")");</t>
  </si>
  <si>
    <t>const agoraUTC = new Date();</t>
  </si>
  <si>
    <t>const agoraBR = new Date(agoraUTC.getTime() - 3 * 60 * 60 * 1000);</t>
  </si>
  <si>
    <t>const serial = (Date.UTC(agoraBR.getUTCFullYear(), agoraBR.getUTCMonth(), agoraBR.getUTCDate(), agoraBR.getUTCHours(), agoraBR.getUTCMinutes(), agoraBR.getUTCSeconds()) - Date.UTC(1899, 11, 30)) / 86400000;</t>
  </si>
  <si>
    <t>const dataSerial = Math.floor(serial);</t>
  </si>
  <si>
    <t>const horaSerial = serial - dataSerial;</t>
  </si>
  <si>
    <t>const dias = ["DOMINGO","SEGUNDA-FEIRA","TERÇA-FEIRA","QUARTA-FEIRA","QUINTA-FEIRA","SEXTA-FEIRA","SÁBADO"];</t>
  </si>
  <si>
    <t>const diaSemana = dias[agoraBR.getUTCDay()];</t>
  </si>
  <si>
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</si>
  <si>
    <t>const rRows = registros.getRangeBetweenHeaderAndTotal().getValues();</t>
  </si>
  <si>
    <t>let aberta = -1;</t>
  </si>
  <si>
    <t>for (let i = rRows.length - 1; i &gt;= 0; i--) {</t>
  </si>
  <si>
    <t>if (String(rRows[i][4]) === id &amp;&amp; Number(rRows[i][1]) === dataSerial &amp;&amp; String(rRows[i][16]).toUpperCase() === "EM ABERTO") { aberta = i; break; }</t>
  </si>
  <si>
    <t>function adicionarBatida(vinculo: string) {</t>
  </si>
  <si>
    <t>batidas.addRow(-1, [batidaId,serial,"","",Number(id),nome,tipo,projeto,atividade,observacao,"SharePoint / Office Script",vinculo,""]);</t>
  </si>
  <si>
    <t>const br = batidas.getRangeBetweenHeaderAndTotal().getRowCount() + 4;</t>
  </si>
  <si>
    <t>const bs = workbook.getWorksheet("Batidas");</t>
  </si>
  <si>
    <t>bs.getRange("C"+br).setFormula("=INT(B"+br+")");</t>
  </si>
  <si>
    <t>bs.getRange("D"+br).setFormula("=CHOOSE(WEEKDAY(C"+br+",2),\"SEGUNDA-FEIRA\",\"TERÇA-FEIRA\",\"QUARTA-FEIRA\",\"QUINTA-FEIRA\",\"SEXTA-FEIRA\",\"SÁBADO\",\"DOMINGO\")");</t>
  </si>
  <si>
    <t>bs.getRange("M"+br).setFormula(validarBatida(br));</t>
  </si>
  <si>
    <t>if (tipo === "INÍCIO") {</t>
  </si>
  <si>
    <t>if (aberta &gt;= 0) { painel.getRange("C19").setValue("JÁ EXISTE UM INÍCIO EM ABERTO HOJE."); return; }</t>
  </si>
  <si>
    <t>adicionarBatida("");</t>
  </si>
  <si>
    <t>const regId = "R" + batidaId.substring(1);</t>
  </si>
  <si>
    <t>registros.addRow(-1,[regId,"","","","","","","","","","","","","","","","","","",""]);</t>
  </si>
  <si>
    <t>const nr = registros.getRangeBetweenHeaderAndTotal().getRowCount() + 4;</t>
  </si>
  <si>
    <t>workbook.getWorksheet("Registros").getRange("B"+nr+":T"+nr).setFormulas([linkedRow(nr)]);</t>
  </si>
  <si>
    <t>} else {</t>
  </si>
  <si>
    <t>if (aberta &lt; 0) { painel.getRange("C19").setValue("NÃO HÁ INÍCIO EM ABERTO HOJE PARA ESTE ID."); return; }</t>
  </si>
  <si>
    <t>if (String(rRows[aberta][6]) !== projeto || String(rRows[aberta][7]) !== atividade) { painel.getRange("C19").setValue("PROJETO/ATIVIDADE DIFERENTES DO INÍCIO."); return; }</t>
  </si>
  <si>
    <t>const horas = (serial - (Number(rRows[aberta][1]) + Number(rRows[aberta][8]))) * 24;</t>
  </si>
  <si>
    <t>if (horas &lt; 0 || horas &gt; 16) { painel.getRange("C19").setValue("INTERVALO INVÁLIDO OU ACIMA DE 16 HORAS."); return; }</t>
  </si>
  <si>
    <t>adicionarBatida("B" + String(rRows[aberta][0]).substring(1));</t>
  </si>
  <si>
    <t>// Limpa os dados somente após um registro válido.</t>
  </si>
  <si>
    <t>painel.getRange("C6").setValue("");</t>
  </si>
  <si>
    <t>painel.getRange("C10").setValue("");</t>
  </si>
  <si>
    <t>painel.getRange("C12").setValue("");</t>
  </si>
  <si>
    <t>painel.getRange("C14").setValue("");</t>
  </si>
  <si>
    <t>painel.getRange("C16").setValue("");</t>
  </si>
  <si>
    <t>painel.getRange("C19").setValue("REGISTRO REALIZADO COM SUCESSO. PAINEL LIMPO PARA O PRÓXIMO USUÁRIO.");</t>
  </si>
  <si>
    <t>corrigida</t>
  </si>
  <si>
    <t>QUARTA-FEIRA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</si>
</sst>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dd/mm/yyyy\ hh:mm:ss"/>
  </numFmts>
  <fonts count="11">
    <font>
      <sz val="11"/>
      <name val="Carlito"/>
    </font>
    <font>
      <b/>
      <sz val="14"/>
      <color rgb="FF17324D"/>
      <name val="Aptos"/>
    </font>
    <font>
      <b/>
      <sz val="10"/>
      <color rgb="FFFFFFFF"/>
      <name val="Aptos"/>
    </font>
    <font>
      <b/>
      <sz val="14"/>
      <color rgb="FFFFFFFF"/>
      <name val="Aptos"/>
    </font>
    <font>
      <i/>
      <sz val="10"/>
      <color rgb="FF667788"/>
      <name val="Aptos"/>
    </font>
    <font>
      <b/>
      <sz val="10"/>
      <color rgb="FF243746"/>
      <name val="Aptos"/>
    </font>
    <font>
      <b/>
      <sz val="10"/>
      <color rgb="FF254D70"/>
      <name val="Aptos"/>
    </font>
    <font>
      <b/>
      <sz val="11"/>
      <color rgb="FF17324D"/>
      <name val="Aptos"/>
    </font>
    <font>
      <sz val="9"/>
      <color rgb="FFFFFFFF"/>
      <name val="Aptos"/>
    </font>
    <font>
      <b/>
      <sz val="10"/>
      <color rgb="FF17324D"/>
      <name val="Aptos"/>
    </font>
    <font>
      <sz val="9"/>
      <color rgb="FF243746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FFF9E9"/>
      </patternFill>
    </fill>
    <fill>
      <patternFill patternType="solid">
        <fgColor rgb="FF183A5A"/>
      </patternFill>
    </fill>
    <fill>
      <patternFill patternType="solid">
        <fgColor rgb="FF17324D"/>
      </patternFill>
    </fill>
    <fill>
      <patternFill patternType="solid">
        <fgColor rgb="FFFFF1C9"/>
      </patternFill>
    </fill>
    <fill>
      <patternFill patternType="solid">
        <fgColor rgb="FFEAF1F7"/>
      </patternFill>
    </fill>
    <fill>
      <patternFill patternType="solid">
        <fgColor rgb="FFFFF9E9"/>
      </patternFill>
    </fill>
    <fill>
      <patternFill patternType="solid">
        <fgColor rgb="FFFFF1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4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5" borderId="0" xfId="0" applyFill="1"/>
    <xf numFmtId="0" fontId="6" fillId="6" borderId="0" xfId="0" applyFont="1" applyFill="1"/>
    <xf numFmtId="14" fontId="0" fillId="5" borderId="0" xfId="0" applyNumberFormat="1" applyFill="1"/>
    <xf numFmtId="0" fontId="7" fillId="6" borderId="0" xfId="0" applyFont="1" applyFill="1"/>
    <xf numFmtId="164" fontId="7" fillId="6" borderId="0" xfId="0" applyNumberFormat="1" applyFont="1" applyFill="1"/>
    <xf numFmtId="2" fontId="0" fillId="0" borderId="0" xfId="0" applyNumberFormat="1"/>
    <xf numFmtId="2" fontId="7" fillId="6" borderId="0" xfId="0" applyNumberFormat="1" applyFont="1" applyFill="1"/>
    <xf numFmtId="0" fontId="8" fillId="0" borderId="0" xfId="0" applyFont="1"/>
    <xf numFmtId="0" fontId="1" fillId="0" borderId="0" xfId="0" applyFont="1"/>
    <xf numFmtId="0" fontId="9" fillId="6" borderId="0" xfId="0" applyFont="1" applyFill="1"/>
    <xf numFmtId="164" fontId="9" fillId="6" borderId="0" xfId="0" applyNumberFormat="1" applyFont="1" applyFill="1"/>
    <xf numFmtId="2" fontId="9" fillId="6" borderId="0" xfId="0" applyNumberFormat="1" applyFont="1" applyFill="1"/>
    <xf numFmtId="165" fontId="0" fillId="2" borderId="0" xfId="0" applyNumberFormat="1" applyFill="1"/>
    <xf numFmtId="0" fontId="10" fillId="0" borderId="0" xfId="0" applyFont="1"/>
    <xf numFmtId="165" fontId="0" fillId="7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Registros" displayName="tblRegistros" ref="A4:T398" totalsRowShown="0">
  <tableColumns count="20">
    <tableColumn id="1" xr3:uid="{00000000-0010-0000-0000-000001000000}" name="Registro ID"/>
    <tableColumn id="2" xr3:uid="{00000000-0010-0000-0000-000002000000}" name="Data"/>
    <tableColumn id="3" xr3:uid="{00000000-0010-0000-0000-000003000000}" name="Dia da semana"/>
    <tableColumn id="4" xr3:uid="{00000000-0010-0000-0000-000004000000}" name="Tipo de dia"/>
    <tableColumn id="5" xr3:uid="{00000000-0010-0000-0000-000005000000}" name="ID"/>
    <tableColumn id="6" xr3:uid="{00000000-0010-0000-0000-000006000000}" name="Pessoa"/>
    <tableColumn id="7" xr3:uid="{00000000-0010-0000-0000-000007000000}" name="Projeto"/>
    <tableColumn id="8" xr3:uid="{00000000-0010-0000-0000-000008000000}" name="Atividade"/>
    <tableColumn id="9" xr3:uid="{00000000-0010-0000-0000-000009000000}" name="Início"/>
    <tableColumn id="10" xr3:uid="{00000000-0010-0000-0000-00000A000000}" name="Fim"/>
    <tableColumn id="11" xr3:uid="{00000000-0010-0000-0000-00000B000000}" name="Horas"/>
    <tableColumn id="12" xr3:uid="{00000000-0010-0000-0000-00000C000000}" name="Observação"/>
    <tableColumn id="13" xr3:uid="{00000000-0010-0000-0000-00000D000000}" name="Base"/>
    <tableColumn id="14" xr3:uid="{00000000-0010-0000-0000-00000E000000}" name="Taxa aplicada"/>
    <tableColumn id="15" xr3:uid="{00000000-0010-0000-0000-00000F000000}" name="Diária"/>
    <tableColumn id="16" xr3:uid="{00000000-0010-0000-0000-000010000000}" name="Valor"/>
    <tableColumn id="17" xr3:uid="{00000000-0010-0000-0000-000011000000}" name="Status"/>
    <tableColumn id="18" xr3:uid="{00000000-0010-0000-0000-000012000000}" name="1º do dia"/>
    <tableColumn id="19" xr3:uid="{00000000-0010-0000-0000-000013000000}" name="Mês"/>
    <tableColumn id="20" xr3:uid="{00000000-0010-0000-0000-000014000000}" name="Chave do car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Batidas" displayName="tblBatidas" ref="A4:M812" totalsRowShown="0">
  <autoFilter ref="A4:M812" xr:uid="{00000000-000C-0000-FFFF-FFFF01000000}">
    <filterColumn colId="5">
      <filters>
        <filter val="Alex de Almeida Mariano"/>
      </filters>
    </filterColumn>
  </autoFilter>
  <tableColumns count="13">
    <tableColumn id="1" xr3:uid="{00000000-0010-0000-0100-000001000000}" name="Batida ID"/>
    <tableColumn id="2" xr3:uid="{00000000-0010-0000-0100-000002000000}" name="Data e hora"/>
    <tableColumn id="3" xr3:uid="{00000000-0010-0000-0100-000003000000}" name="Data"/>
    <tableColumn id="4" xr3:uid="{00000000-0010-0000-0100-000004000000}" name="Dia da semana"/>
    <tableColumn id="5" xr3:uid="{00000000-0010-0000-0100-000005000000}" name="ID"/>
    <tableColumn id="6" xr3:uid="{00000000-0010-0000-0100-000006000000}" name="Pessoa"/>
    <tableColumn id="7" xr3:uid="{00000000-0010-0000-0100-000007000000}" name="Tipo"/>
    <tableColumn id="8" xr3:uid="{00000000-0010-0000-0100-000008000000}" name="Projeto"/>
    <tableColumn id="9" xr3:uid="{00000000-0010-0000-0100-000009000000}" name="Atividade"/>
    <tableColumn id="10" xr3:uid="{00000000-0010-0000-0100-00000A000000}" name="Observação"/>
    <tableColumn id="11" xr3:uid="{00000000-0010-0000-0100-00000B000000}" name="Origem"/>
    <tableColumn id="12" xr3:uid="{00000000-0010-0000-0100-00000C000000}" name="Início vinculado"/>
    <tableColumn id="13" xr3:uid="{00000000-0010-0000-0100-00000D000000}" name="Conferê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Pessoas" displayName="tblPessoas" ref="A4:H104" totalsRowShown="0">
  <tableColumns count="8">
    <tableColumn id="1" xr3:uid="{00000000-0010-0000-0200-000001000000}" name="ID"/>
    <tableColumn id="2" xr3:uid="{00000000-0010-0000-0200-000002000000}" name="Pessoa"/>
    <tableColumn id="3" xr3:uid="{00000000-0010-0000-0200-000003000000}" name="Base"/>
    <tableColumn id="4" xr3:uid="{00000000-0010-0000-0200-000004000000}" name="R$/h útil"/>
    <tableColumn id="5" xr3:uid="{00000000-0010-0000-0200-000005000000}" name="R$/h FDS"/>
    <tableColumn id="6" xr3:uid="{00000000-0010-0000-0200-000006000000}" name="R$/diária"/>
    <tableColumn id="7" xr3:uid="{00000000-0010-0000-0200-000007000000}" name="Função/Regra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Projetos" displayName="tblProjetos" ref="A4:D154" totalsRowShown="0">
  <tableColumns count="4">
    <tableColumn id="1" xr3:uid="{00000000-0010-0000-0300-000001000000}" name="Código"/>
    <tableColumn id="2" xr3:uid="{00000000-0010-0000-0300-000002000000}" name="Projeto padronizado"/>
    <tableColumn id="3" xr3:uid="{00000000-0010-0000-0300-000003000000}" name="Descrição"/>
    <tableColumn id="4" xr3:uid="{00000000-0010-0000-0300-000004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Atividades" displayName="tblAtividades" ref="A4:D204" totalsRowShown="0">
  <tableColumns count="4">
    <tableColumn id="1" xr3:uid="{00000000-0010-0000-0400-000001000000}" name="Código"/>
    <tableColumn id="2" xr3:uid="{00000000-0010-0000-0400-000002000000}" name="Atividade padronizada"/>
    <tableColumn id="3" xr3:uid="{00000000-0010-0000-0400-000003000000}" name="Descrição"/>
    <tableColumn id="4" xr3:uid="{00000000-0010-0000-0400-00000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C22"/>
  <sheetViews>
    <sheetView showGridLines="0" workbookViewId="0">
      <selection activeCell="C6" sqref="C6"/>
    </sheetView>
  </sheetViews>
  <sheetFormatPr defaultRowHeight="14.25"/>
  <cols>
    <col min="1" max="1" width="24.375" customWidth="1"/>
    <col min="2" max="2" width="2" customWidth="1"/>
    <col min="3" max="3" width="50" customWidth="1"/>
    <col min="4" max="4" width="4" customWidth="1"/>
  </cols>
  <sheetData>
    <row r="1" spans="1:3" ht="24" customHeight="1">
      <c r="A1" s="6" t="s">
        <v>0</v>
      </c>
      <c r="B1" s="6"/>
      <c r="C1" s="6"/>
    </row>
    <row r="4" spans="1:3" ht="24" customHeight="1">
      <c r="A4" s="5" t="s">
        <v>1</v>
      </c>
      <c r="B4" s="5"/>
      <c r="C4" s="5"/>
    </row>
    <row r="6" spans="1:3" ht="21.75" customHeight="1">
      <c r="A6" s="8" t="s">
        <v>2</v>
      </c>
      <c r="C6" s="9">
        <v>1001</v>
      </c>
    </row>
    <row r="7" spans="1:3" ht="21.75" customHeight="1">
      <c r="A7" s="8"/>
      <c r="C7" s="1"/>
    </row>
    <row r="8" spans="1:3" ht="21.75" customHeight="1">
      <c r="A8" s="8" t="s">
        <v>3</v>
      </c>
      <c r="C8" s="1" t="str">
        <f>IFERROR(INDEX('Cadastro Pessoas'!$B$5:$B$104,MATCH(C6,'Cadastro Pessoas'!$A$5:$A$104,0)),"")</f>
        <v>Adriana Pereira dos Santos</v>
      </c>
    </row>
    <row r="9" spans="1:3" ht="21.75" customHeight="1">
      <c r="A9" s="8" t="s">
        <v>4</v>
      </c>
      <c r="C9" s="1" t="str">
        <f ca="1">IF(C6="","",IF(COUNTIFS(tblRegistros[ID],C6,tblRegistros[Data],TODAY(),tblRegistros[Status],"EM ABERTO")&gt;0,"INÍCIO EM ABERTO HOJE","SEM INÍCIO EM ABERTO HOJE"))</f>
        <v>SEM INÍCIO EM ABERTO HOJE</v>
      </c>
    </row>
    <row r="10" spans="1:3" ht="21.75" customHeight="1">
      <c r="A10" s="8" t="s">
        <v>5</v>
      </c>
      <c r="C10" s="9"/>
    </row>
    <row r="11" spans="1:3" ht="21.75" customHeight="1">
      <c r="A11" s="8"/>
      <c r="C11" s="1"/>
    </row>
    <row r="12" spans="1:3" ht="21.75" customHeight="1">
      <c r="A12" s="8" t="s">
        <v>6</v>
      </c>
      <c r="C12" s="9"/>
    </row>
    <row r="13" spans="1:3" ht="21.75" customHeight="1">
      <c r="A13" s="8"/>
      <c r="C13" s="1"/>
    </row>
    <row r="14" spans="1:3" ht="21.75" customHeight="1">
      <c r="A14" s="8" t="s">
        <v>7</v>
      </c>
      <c r="C14" s="9"/>
    </row>
    <row r="15" spans="1:3" ht="21.75" customHeight="1">
      <c r="A15" s="8"/>
      <c r="C15" s="1"/>
    </row>
    <row r="16" spans="1:3" ht="21.75" customHeight="1">
      <c r="A16" s="8" t="s">
        <v>8</v>
      </c>
      <c r="C16" s="9"/>
    </row>
    <row r="17" spans="1:3" ht="21.75" customHeight="1">
      <c r="A17" s="8"/>
    </row>
    <row r="18" spans="1:3" ht="21.75" customHeight="1">
      <c r="A18" s="8"/>
    </row>
    <row r="19" spans="1:3" ht="21.75" customHeight="1">
      <c r="A19" s="8" t="s">
        <v>9</v>
      </c>
      <c r="C19" s="10"/>
    </row>
    <row r="22" spans="1:3" ht="19.5" customHeight="1">
      <c r="A22" s="7" t="s">
        <v>10</v>
      </c>
    </row>
  </sheetData>
  <dataValidations count="4">
    <dataValidation type="list" sqref="C6" xr:uid="{00000000-0002-0000-0000-000000000000}">
      <formula1>INDIRECT("tblPessoas[ID]")</formula1>
    </dataValidation>
    <dataValidation type="list" sqref="C10" xr:uid="{00000000-0002-0000-0000-000001000000}">
      <formula1>"INÍCIO,FIM"</formula1>
    </dataValidation>
    <dataValidation type="list" sqref="C12" xr:uid="{00000000-0002-0000-0000-000002000000}">
      <formula1>INDIRECT("tblProjetos[Projeto padronizado]")</formula1>
    </dataValidation>
    <dataValidation type="list" sqref="C14" xr:uid="{00000000-0002-0000-0000-000003000000}">
      <formula1>INDIRECT("tblAtividades[Atividade padronizada]")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24D"/>
  </sheetPr>
  <dimension ref="A1:L509"/>
  <sheetViews>
    <sheetView showGridLines="0" workbookViewId="0">
      <pane ySplit="9" topLeftCell="A10" activePane="bottomLeft" state="frozen"/>
      <selection pane="bottomLeft" activeCell="E23" sqref="E23"/>
    </sheetView>
  </sheetViews>
  <sheetFormatPr defaultRowHeight="14.25"/>
  <cols>
    <col min="1" max="1" width="17.75" customWidth="1"/>
    <col min="2" max="2" width="24.375" customWidth="1"/>
    <col min="3" max="3" width="18.375" customWidth="1"/>
    <col min="4" max="5" width="11.625" customWidth="1"/>
    <col min="6" max="6" width="10.25" customWidth="1"/>
    <col min="7" max="7" width="10" customWidth="1"/>
    <col min="8" max="9" width="12.75" customWidth="1"/>
    <col min="10" max="10" width="14" customWidth="1"/>
    <col min="11" max="11" width="42.25" customWidth="1"/>
    <col min="12" max="12" width="0.875" customWidth="1"/>
  </cols>
  <sheetData>
    <row r="1" spans="1:12" ht="24" customHeight="1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19.5" customHeight="1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ht="22.5" customHeight="1">
      <c r="A3" s="8" t="s">
        <v>13</v>
      </c>
      <c r="B3" s="9">
        <v>1002</v>
      </c>
      <c r="C3" s="8" t="s">
        <v>3</v>
      </c>
      <c r="D3" t="str">
        <f>IFERROR(INDEX('Cadastro Pessoas'!$B$5:$B$104,MATCH(B3,'Cadastro Pessoas'!$A$5:$A$104,0)),"ID não encontrado")</f>
        <v>Alex de Almeida Mariano</v>
      </c>
    </row>
    <row r="4" spans="1:12" ht="22.5" customHeight="1">
      <c r="A4" s="8" t="s">
        <v>14</v>
      </c>
      <c r="B4" s="11">
        <v>46257</v>
      </c>
      <c r="C4" s="8" t="s">
        <v>15</v>
      </c>
      <c r="D4" s="11">
        <v>46288</v>
      </c>
    </row>
    <row r="6" spans="1:12" ht="24" customHeight="1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12" ht="22.5" customHeight="1">
      <c r="A7" s="15">
        <f>SUMIFS(tblRegistros[Horas],tblRegistros[ID],$B$3,tblRegistros[Data],"&gt;="&amp;$B$4,tblRegistros[Data],"&lt;"&amp;($D$4+1),tblRegistros[Status],"CONCLUÍDO",tblRegistros[Tipo de dia],"DIA ÚTIL")</f>
        <v>163.23944444413064</v>
      </c>
      <c r="B7" s="15">
        <f>SUMIFS(tblRegistros[Horas],tblRegistros[ID],$B$3,tblRegistros[Data],"&gt;="&amp;$B$4,tblRegistros[Data],"&lt;"&amp;($D$4+1),tblRegistros[Status],"CONCLUÍDO",tblRegistros[Tipo de dia],"FDS/FERIADO")</f>
        <v>4.97083333338378</v>
      </c>
      <c r="C7" s="15">
        <f>A7+B7</f>
        <v>168.21027777751442</v>
      </c>
      <c r="D7" s="13">
        <f>SUMIFS(tblRegistros[Valor],tblRegistros[ID],$B$3,tblRegistros[Data],"&gt;="&amp;$B$4,tblRegistros[Data],"&lt;"&amp;($D$4+1),tblRegistros[Status],"CONCLUÍDO")</f>
        <v>3952.9415277715889</v>
      </c>
      <c r="E7" s="12">
        <f>COUNTIFS(tblRegistros[ID],$B$3,tblRegistros[Data],"&gt;="&amp;$B$4,tblRegistros[Data],"&lt;"&amp;($D$4+1),tblRegistros[Status],"CONCLUÍDO")</f>
        <v>32</v>
      </c>
      <c r="F7" s="12">
        <f>COUNTIFS(tblRegistros[ID],$B$3,tblRegistros[Data],"&gt;="&amp;$B$4,tblRegistros[Data],"&lt;"&amp;($D$4+1),tblRegistros[Status],"EM ABERTO")+COUNTIFS(tblRegistros[ID],$B$3,tblRegistros[Data],"&gt;="&amp;$B$4,tblRegistros[Data],"&lt;"&amp;($D$4+1),tblRegistros[Status],"REVISAR")</f>
        <v>5</v>
      </c>
      <c r="I7" s="3"/>
    </row>
    <row r="8" spans="1:12" ht="19.5" customHeight="1">
      <c r="A8" s="7" t="s">
        <v>22</v>
      </c>
    </row>
    <row r="9" spans="1:12" ht="24" customHeight="1">
      <c r="A9" s="5" t="s">
        <v>23</v>
      </c>
      <c r="B9" s="5" t="s">
        <v>6</v>
      </c>
      <c r="C9" s="5" t="s">
        <v>7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  <c r="K9" s="5" t="s">
        <v>8</v>
      </c>
      <c r="L9" s="16" t="s">
        <v>31</v>
      </c>
    </row>
    <row r="10" spans="1:12">
      <c r="A10" s="2">
        <f>IF($L10="","",IF(INDEX(tblRegistros[Data],$L10)&gt;$D$4,"",IFERROR(INDEX(tblRegistros[Data],$L10),"")))</f>
        <v>46260</v>
      </c>
      <c r="B10" t="str">
        <f>IF($L10="","",IF(INDEX(tblRegistros[Data],$L10)&gt;$D$4,"",IFERROR(INDEX(tblRegistros[Projeto],$L10),"")))</f>
        <v>CFI / ACCION</v>
      </c>
      <c r="C10" t="str">
        <f>IF($L10="","",IF(INDEX(tblRegistros[Data],$L10)&gt;$D$4,"",IFERROR(INDEX(tblRegistros[Atividade],$L10),"")))</f>
        <v>ANÁLISE</v>
      </c>
      <c r="D10" s="4">
        <f>IF($L10="","",IF(INDEX(tblRegistros[Data],$L10)&gt;$D$4,"",IFERROR(INDEX(tblRegistros[Início],$L10),"")))</f>
        <v>0.37054398148029577</v>
      </c>
      <c r="E10" s="4">
        <f>IF($L10="","",IF(INDEX(tblRegistros[Data],$L10)&gt;$D$4,"",IFERROR(IF(INDEX(tblRegistros[Status],$L10)="EM ABERTO","",INDEX(tblRegistros[Fim],$L10)),"")))</f>
        <v>0.74967592592292931</v>
      </c>
      <c r="F10" s="14">
        <f>IF($L10="","",IF(INDEX(tblRegistros[Data],$L10)&gt;$D$4,"",IFERROR(IF(INDEX(tblRegistros[Status],$L10)="EM ABERTO","",INDEX(tblRegistros[Horas],$L10)),"")))</f>
        <v>9.0991666666232049</v>
      </c>
      <c r="G10" t="str">
        <f>IF($L10="","",IF(INDEX(tblRegistros[Data],$L10)&gt;$D$4,"",IFERROR(INDEX(tblRegistros[Base],$L10),"")))</f>
        <v>Hora</v>
      </c>
      <c r="H10" s="3">
        <f>IF($L10="","",IF(INDEX(tblRegistros[Data],$L10)&gt;$D$4,"",IFERROR(INDEX(tblRegistros[Taxa aplicada],$L10),"")))</f>
        <v>23.5</v>
      </c>
      <c r="I10" s="3">
        <f>IF($L10="","",IF(INDEX(tblRegistros[Data],$L10)&gt;$D$4,"",IFERROR(IF(INDEX(tblRegistros[Status],$L10)="EM ABERTO","",INDEX(tblRegistros[Valor],$L10)),"")))</f>
        <v>213.83041666564532</v>
      </c>
      <c r="J10" t="str">
        <f>IF($L10="","",IF(INDEX(tblRegistros[Data],$L10)&gt;$D$4,"",IFERROR(INDEX(tblRegistros[Status],$L10),"")))</f>
        <v>CONCLUÍDO</v>
      </c>
      <c r="K10">
        <f>IF($L10="","",IF(INDEX(tblRegistros[Data],$L10)&gt;$D$4,"",IFERROR(INDEX(tblRegistros[Observação],$L10),"")))</f>
        <v>0</v>
      </c>
      <c r="L10" s="16">
        <f>IFERROR(MATCH($B$3*100000+COUNTIFS(tblRegistros[ID],$B$3,tblRegistros[Data],"&lt;"&amp;$B$4)+ROWS($L$10:L10),tblRegistros[Chave do cartão],0),"")</f>
        <v>13</v>
      </c>
    </row>
    <row r="11" spans="1:12">
      <c r="A11" s="2">
        <f>IF($L11="","",IF(INDEX(tblRegistros[Data],$L11)&gt;$D$4,"",IFERROR(INDEX(tblRegistros[Data],$L11),"")))</f>
        <v>46261</v>
      </c>
      <c r="B11" t="str">
        <f>IF($L11="","",IF(INDEX(tblRegistros[Data],$L11)&gt;$D$4,"",IFERROR(INDEX(tblRegistros[Projeto],$L11),"")))</f>
        <v>CFI / ACCION</v>
      </c>
      <c r="C11" t="str">
        <f>IF($L11="","",IF(INDEX(tblRegistros[Data],$L11)&gt;$D$4,"",IFERROR(INDEX(tblRegistros[Atividade],$L11),"")))</f>
        <v>ANÁLISE</v>
      </c>
      <c r="D11" s="4">
        <f>IF($L11="","",IF(INDEX(tblRegistros[Data],$L11)&gt;$D$4,"",IFERROR(INDEX(tblRegistros[Início],$L11),"")))</f>
        <v>0.34008101851941319</v>
      </c>
      <c r="E11" s="4">
        <f>IF($L11="","",IF(INDEX(tblRegistros[Data],$L11)&gt;$D$4,"",IFERROR(IF(INDEX(tblRegistros[Status],$L11)="EM ABERTO","",INDEX(tblRegistros[Fim],$L11)),"")))</f>
        <v>0.752615740741021</v>
      </c>
      <c r="F11" s="14">
        <f>IF($L11="","",IF(INDEX(tblRegistros[Data],$L11)&gt;$D$4,"",IFERROR(IF(INDEX(tblRegistros[Status],$L11)="EM ABERTO","",INDEX(tblRegistros[Horas],$L11)),"")))</f>
        <v>9.9008333333185874</v>
      </c>
      <c r="G11" t="str">
        <f>IF($L11="","",IF(INDEX(tblRegistros[Data],$L11)&gt;$D$4,"",IFERROR(INDEX(tblRegistros[Base],$L11),"")))</f>
        <v>Hora</v>
      </c>
      <c r="H11" s="3">
        <f>IF($L11="","",IF(INDEX(tblRegistros[Data],$L11)&gt;$D$4,"",IFERROR(INDEX(tblRegistros[Taxa aplicada],$L11),"")))</f>
        <v>23.5</v>
      </c>
      <c r="I11" s="3">
        <f>IF($L11="","",IF(INDEX(tblRegistros[Data],$L11)&gt;$D$4,"",IFERROR(IF(INDEX(tblRegistros[Status],$L11)="EM ABERTO","",INDEX(tblRegistros[Valor],$L11)),"")))</f>
        <v>232.6695833329868</v>
      </c>
      <c r="J11" t="str">
        <f>IF($L11="","",IF(INDEX(tblRegistros[Data],$L11)&gt;$D$4,"",IFERROR(INDEX(tblRegistros[Status],$L11),"")))</f>
        <v>CONCLUÍDO</v>
      </c>
      <c r="K11">
        <f>IF($L11="","",IF(INDEX(tblRegistros[Data],$L11)&gt;$D$4,"",IFERROR(INDEX(tblRegistros[Observação],$L11),"")))</f>
        <v>0</v>
      </c>
      <c r="L11" s="16">
        <f>IFERROR(MATCH($B$3*100000+COUNTIFS(tblRegistros[ID],$B$3,tblRegistros[Data],"&lt;"&amp;$B$4)+ROWS($L$10:L11),tblRegistros[Chave do cartão],0),"")</f>
        <v>31</v>
      </c>
    </row>
    <row r="12" spans="1:12">
      <c r="A12" s="2">
        <f>IF($L12="","",IF(INDEX(tblRegistros[Data],$L12)&gt;$D$4,"",IFERROR(INDEX(tblRegistros[Data],$L12),"")))</f>
        <v>46262</v>
      </c>
      <c r="B12" t="str">
        <f>IF($L12="","",IF(INDEX(tblRegistros[Data],$L12)&gt;$D$4,"",IFERROR(INDEX(tblRegistros[Projeto],$L12),"")))</f>
        <v>CFI / ACCION</v>
      </c>
      <c r="C12" t="str">
        <f>IF($L12="","",IF(INDEX(tblRegistros[Data],$L12)&gt;$D$4,"",IFERROR(INDEX(tblRegistros[Atividade],$L12),"")))</f>
        <v>ANÁLISE</v>
      </c>
      <c r="D12" s="4">
        <f>IF($L12="","",IF(INDEX(tblRegistros[Data],$L12)&gt;$D$4,"",IFERROR(INDEX(tblRegistros[Início],$L12),"")))</f>
        <v>0.36951388888701331</v>
      </c>
      <c r="E12" s="4">
        <f>IF($L12="","",IF(INDEX(tblRegistros[Data],$L12)&gt;$D$4,"",IFERROR(IF(INDEX(tblRegistros[Status],$L12)="EM ABERTO","",INDEX(tblRegistros[Fim],$L12)),"")))</f>
        <v>0.7461111111115315</v>
      </c>
      <c r="F12" s="14">
        <f>IF($L12="","",IF(INDEX(tblRegistros[Data],$L12)&gt;$D$4,"",IFERROR(IF(INDEX(tblRegistros[Status],$L12)="EM ABERTO","",INDEX(tblRegistros[Horas],$L12)),"")))</f>
        <v>9.0383333333884366</v>
      </c>
      <c r="G12" t="str">
        <f>IF($L12="","",IF(INDEX(tblRegistros[Data],$L12)&gt;$D$4,"",IFERROR(INDEX(tblRegistros[Base],$L12),"")))</f>
        <v>Hora</v>
      </c>
      <c r="H12" s="3">
        <f>IF($L12="","",IF(INDEX(tblRegistros[Data],$L12)&gt;$D$4,"",IFERROR(INDEX(tblRegistros[Taxa aplicada],$L12),"")))</f>
        <v>23.5</v>
      </c>
      <c r="I12" s="3">
        <f>IF($L12="","",IF(INDEX(tblRegistros[Data],$L12)&gt;$D$4,"",IFERROR(IF(INDEX(tblRegistros[Status],$L12)="EM ABERTO","",INDEX(tblRegistros[Valor],$L12)),"")))</f>
        <v>212.40083333462826</v>
      </c>
      <c r="J12" t="str">
        <f>IF($L12="","",IF(INDEX(tblRegistros[Data],$L12)&gt;$D$4,"",IFERROR(INDEX(tblRegistros[Status],$L12),"")))</f>
        <v>CONCLUÍDO</v>
      </c>
      <c r="K12">
        <f>IF($L12="","",IF(INDEX(tblRegistros[Data],$L12)&gt;$D$4,"",IFERROR(INDEX(tblRegistros[Observação],$L12),"")))</f>
        <v>0</v>
      </c>
      <c r="L12" s="16">
        <f>IFERROR(MATCH($B$3*100000+COUNTIFS(tblRegistros[ID],$B$3,tblRegistros[Data],"&lt;"&amp;$B$4)+ROWS($L$10:L12),tblRegistros[Chave do cartão],0),"")</f>
        <v>61</v>
      </c>
    </row>
    <row r="13" spans="1:12">
      <c r="A13" s="2">
        <f>IF($L13="","",IF(INDEX(tblRegistros[Data],$L13)&gt;$D$4,"",IFERROR(INDEX(tblRegistros[Data],$L13),"")))</f>
        <v>46265</v>
      </c>
      <c r="B13" t="str">
        <f>IF($L13="","",IF(INDEX(tblRegistros[Data],$L13)&gt;$D$4,"",IFERROR(INDEX(tblRegistros[Projeto],$L13),"")))</f>
        <v>CFI / ACCION</v>
      </c>
      <c r="C13" t="str">
        <f>IF($L13="","",IF(INDEX(tblRegistros[Data],$L13)&gt;$D$4,"",IFERROR(INDEX(tblRegistros[Atividade],$L13),"")))</f>
        <v>ANÁLISE</v>
      </c>
      <c r="D13" s="4">
        <f>IF($L13="","",IF(INDEX(tblRegistros[Data],$L13)&gt;$D$4,"",IFERROR(INDEX(tblRegistros[Início],$L13),"")))</f>
        <v>0.34939814815152204</v>
      </c>
      <c r="E13" s="4">
        <f>IF($L13="","",IF(INDEX(tblRegistros[Data],$L13)&gt;$D$4,"",IFERROR(IF(INDEX(tblRegistros[Status],$L13)="EM ABERTO","",INDEX(tblRegistros[Fim],$L13)),"")))</f>
        <v>0.75527777777460869</v>
      </c>
      <c r="F13" s="14">
        <f>IF($L13="","",IF(INDEX(tblRegistros[Data],$L13)&gt;$D$4,"",IFERROR(IF(INDEX(tblRegistros[Status],$L13)="EM ABERTO","",INDEX(tblRegistros[Horas],$L13)),"")))</f>
        <v>9.7411111109540798</v>
      </c>
      <c r="G13" t="str">
        <f>IF($L13="","",IF(INDEX(tblRegistros[Data],$L13)&gt;$D$4,"",IFERROR(INDEX(tblRegistros[Base],$L13),"")))</f>
        <v>Hora</v>
      </c>
      <c r="H13" s="3">
        <f>IF($L13="","",IF(INDEX(tblRegistros[Data],$L13)&gt;$D$4,"",IFERROR(INDEX(tblRegistros[Taxa aplicada],$L13),"")))</f>
        <v>23.5</v>
      </c>
      <c r="I13" s="3">
        <f>IF($L13="","",IF(INDEX(tblRegistros[Data],$L13)&gt;$D$4,"",IFERROR(IF(INDEX(tblRegistros[Status],$L13)="EM ABERTO","",INDEX(tblRegistros[Valor],$L13)),"")))</f>
        <v>228.91611110742087</v>
      </c>
      <c r="J13" t="str">
        <f>IF($L13="","",IF(INDEX(tblRegistros[Data],$L13)&gt;$D$4,"",IFERROR(INDEX(tblRegistros[Status],$L13),"")))</f>
        <v>CONCLUÍDO</v>
      </c>
      <c r="K13">
        <f>IF($L13="","",IF(INDEX(tblRegistros[Data],$L13)&gt;$D$4,"",IFERROR(INDEX(tblRegistros[Observação],$L13),"")))</f>
        <v>0</v>
      </c>
      <c r="L13" s="16">
        <f>IFERROR(MATCH($B$3*100000+COUNTIFS(tblRegistros[ID],$B$3,tblRegistros[Data],"&lt;"&amp;$B$4)+ROWS($L$10:L13),tblRegistros[Chave do cartão],0),"")</f>
        <v>96</v>
      </c>
    </row>
    <row r="14" spans="1:12">
      <c r="A14" s="2">
        <f>IF($L14="","",IF(INDEX(tblRegistros[Data],$L14)&gt;$D$4,"",IFERROR(INDEX(tblRegistros[Data],$L14),"")))</f>
        <v>46266</v>
      </c>
      <c r="B14" t="str">
        <f>IF($L14="","",IF(INDEX(tblRegistros[Data],$L14)&gt;$D$4,"",IFERROR(INDEX(tblRegistros[Projeto],$L14),"")))</f>
        <v>CFI / ACCION</v>
      </c>
      <c r="C14" t="str">
        <f>IF($L14="","",IF(INDEX(tblRegistros[Data],$L14)&gt;$D$4,"",IFERROR(INDEX(tblRegistros[Atividade],$L14),"")))</f>
        <v>ANÁLISE</v>
      </c>
      <c r="D14" s="4">
        <f>IF($L14="","",IF(INDEX(tblRegistros[Data],$L14)&gt;$D$4,"",IFERROR(INDEX(tblRegistros[Início],$L14),"")))</f>
        <v>0.37123842592700385</v>
      </c>
      <c r="E14" s="4">
        <f>IF($L14="","",IF(INDEX(tblRegistros[Data],$L14)&gt;$D$4,"",IFERROR(IF(INDEX(tblRegistros[Status],$L14)="EM ABERTO","",INDEX(tblRegistros[Fim],$L14)),"")))</f>
        <v>0.75225694444088731</v>
      </c>
      <c r="F14" s="14">
        <f>IF($L14="","",IF(INDEX(tblRegistros[Data],$L14)&gt;$D$4,"",IFERROR(IF(INDEX(tblRegistros[Status],$L14)="EM ABERTO","",INDEX(tblRegistros[Horas],$L14)),"")))</f>
        <v>9.1444444443332031</v>
      </c>
      <c r="G14" t="str">
        <f>IF($L14="","",IF(INDEX(tblRegistros[Data],$L14)&gt;$D$4,"",IFERROR(INDEX(tblRegistros[Base],$L14),"")))</f>
        <v>Hora</v>
      </c>
      <c r="H14" s="3">
        <f>IF($L14="","",IF(INDEX(tblRegistros[Data],$L14)&gt;$D$4,"",IFERROR(INDEX(tblRegistros[Taxa aplicada],$L14),"")))</f>
        <v>23.5</v>
      </c>
      <c r="I14" s="3">
        <f>IF($L14="","",IF(INDEX(tblRegistros[Data],$L14)&gt;$D$4,"",IFERROR(IF(INDEX(tblRegistros[Status],$L14)="EM ABERTO","",INDEX(tblRegistros[Valor],$L14)),"")))</f>
        <v>214.89444444183027</v>
      </c>
      <c r="J14" t="str">
        <f>IF($L14="","",IF(INDEX(tblRegistros[Data],$L14)&gt;$D$4,"",IFERROR(INDEX(tblRegistros[Status],$L14),"")))</f>
        <v>CONCLUÍDO</v>
      </c>
      <c r="K14">
        <f>IF($L14="","",IF(INDEX(tblRegistros[Data],$L14)&gt;$D$4,"",IFERROR(INDEX(tblRegistros[Observação],$L14),"")))</f>
        <v>0</v>
      </c>
      <c r="L14" s="16">
        <f>IFERROR(MATCH($B$3*100000+COUNTIFS(tblRegistros[ID],$B$3,tblRegistros[Data],"&lt;"&amp;$B$4)+ROWS($L$10:L14),tblRegistros[Chave do cartão],0),"")</f>
        <v>115</v>
      </c>
    </row>
    <row r="15" spans="1:12">
      <c r="A15" s="2">
        <f>IF($L15="","",IF(INDEX(tblRegistros[Data],$L15)&gt;$D$4,"",IFERROR(INDEX(tblRegistros[Data],$L15),"")))</f>
        <v>46267</v>
      </c>
      <c r="B15" t="str">
        <f>IF($L15="","",IF(INDEX(tblRegistros[Data],$L15)&gt;$D$4,"",IFERROR(INDEX(tblRegistros[Projeto],$L15),"")))</f>
        <v>CFI / ACCION</v>
      </c>
      <c r="C15" t="str">
        <f>IF($L15="","",IF(INDEX(tblRegistros[Data],$L15)&gt;$D$4,"",IFERROR(INDEX(tblRegistros[Atividade],$L15),"")))</f>
        <v>ANÁLISE</v>
      </c>
      <c r="D15" s="4">
        <f>IF($L15="","",IF(INDEX(tblRegistros[Data],$L15)&gt;$D$4,"",IFERROR(INDEX(tblRegistros[Início],$L15),"")))</f>
        <v>0.37773148147971369</v>
      </c>
      <c r="E15" s="4">
        <f>IF($L15="","",IF(INDEX(tblRegistros[Data],$L15)&gt;$D$4,"",IFERROR(IF(INDEX(tblRegistros[Status],$L15)="EM ABERTO","",INDEX(tblRegistros[Fim],$L15)),"")))</f>
        <v>0.75506944444350665</v>
      </c>
      <c r="F15" s="14">
        <f>IF($L15="","",IF(INDEX(tblRegistros[Data],$L15)&gt;$D$4,"",IFERROR(IF(INDEX(tblRegistros[Status],$L15)="EM ABERTO","",INDEX(tblRegistros[Horas],$L15)),"")))</f>
        <v>9.0561111111310311</v>
      </c>
      <c r="G15" t="str">
        <f>IF($L15="","",IF(INDEX(tblRegistros[Data],$L15)&gt;$D$4,"",IFERROR(INDEX(tblRegistros[Base],$L15),"")))</f>
        <v>Hora</v>
      </c>
      <c r="H15" s="3">
        <f>IF($L15="","",IF(INDEX(tblRegistros[Data],$L15)&gt;$D$4,"",IFERROR(INDEX(tblRegistros[Taxa aplicada],$L15),"")))</f>
        <v>23.5</v>
      </c>
      <c r="I15" s="3">
        <f>IF($L15="","",IF(INDEX(tblRegistros[Data],$L15)&gt;$D$4,"",IFERROR(IF(INDEX(tblRegistros[Status],$L15)="EM ABERTO","",INDEX(tblRegistros[Valor],$L15)),"")))</f>
        <v>212.81861111157923</v>
      </c>
      <c r="J15" t="str">
        <f>IF($L15="","",IF(INDEX(tblRegistros[Data],$L15)&gt;$D$4,"",IFERROR(INDEX(tblRegistros[Status],$L15),"")))</f>
        <v>CONCLUÍDO</v>
      </c>
      <c r="K15">
        <f>IF($L15="","",IF(INDEX(tblRegistros[Data],$L15)&gt;$D$4,"",IFERROR(INDEX(tblRegistros[Observação],$L15),"")))</f>
        <v>0</v>
      </c>
      <c r="L15" s="16">
        <f>IFERROR(MATCH($B$3*100000+COUNTIFS(tblRegistros[ID],$B$3,tblRegistros[Data],"&lt;"&amp;$B$4)+ROWS($L$10:L15),tblRegistros[Chave do cartão],0),"")</f>
        <v>135</v>
      </c>
    </row>
    <row r="16" spans="1:12">
      <c r="A16" s="2">
        <f>IF($L16="","",IF(INDEX(tblRegistros[Data],$L16)&gt;$D$4,"",IFERROR(INDEX(tblRegistros[Data],$L16),"")))</f>
        <v>46268</v>
      </c>
      <c r="B16" t="str">
        <f>IF($L16="","",IF(INDEX(tblRegistros[Data],$L16)&gt;$D$4,"",IFERROR(INDEX(tblRegistros[Projeto],$L16),"")))</f>
        <v>CFI / ACCION</v>
      </c>
      <c r="C16" t="str">
        <f>IF($L16="","",IF(INDEX(tblRegistros[Data],$L16)&gt;$D$4,"",IFERROR(INDEX(tblRegistros[Atividade],$L16),"")))</f>
        <v>ANÁLISE</v>
      </c>
      <c r="D16" s="4">
        <f>IF($L16="","",IF(INDEX(tblRegistros[Data],$L16)&gt;$D$4,"",IFERROR(INDEX(tblRegistros[Início],$L16),"")))</f>
        <v>0.31961805555329192</v>
      </c>
      <c r="E16" s="4">
        <f>IF($L16="","",IF(INDEX(tblRegistros[Data],$L16)&gt;$D$4,"",IFERROR(IF(INDEX(tblRegistros[Status],$L16)="EM ABERTO","",INDEX(tblRegistros[Fim],$L16)),"")))</f>
        <v>0.75568287036730908</v>
      </c>
      <c r="F16" s="14">
        <f>IF($L16="","",IF(INDEX(tblRegistros[Data],$L16)&gt;$D$4,"",IFERROR(IF(INDEX(tblRegistros[Status],$L16)="EM ABERTO","",INDEX(tblRegistros[Horas],$L16)),"")))</f>
        <v>10.465555555536412</v>
      </c>
      <c r="G16" t="str">
        <f>IF($L16="","",IF(INDEX(tblRegistros[Data],$L16)&gt;$D$4,"",IFERROR(INDEX(tblRegistros[Base],$L16),"")))</f>
        <v>Hora</v>
      </c>
      <c r="H16" s="3">
        <f>IF($L16="","",IF(INDEX(tblRegistros[Data],$L16)&gt;$D$4,"",IFERROR(INDEX(tblRegistros[Taxa aplicada],$L16),"")))</f>
        <v>23.5</v>
      </c>
      <c r="I16" s="3">
        <f>IF($L16="","",IF(INDEX(tblRegistros[Data],$L16)&gt;$D$4,"",IFERROR(IF(INDEX(tblRegistros[Status],$L16)="EM ABERTO","",INDEX(tblRegistros[Valor],$L16)),"")))</f>
        <v>245.94055555510568</v>
      </c>
      <c r="J16" t="str">
        <f>IF($L16="","",IF(INDEX(tblRegistros[Data],$L16)&gt;$D$4,"",IFERROR(INDEX(tblRegistros[Status],$L16),"")))</f>
        <v>CONCLUÍDO</v>
      </c>
      <c r="K16">
        <f>IF($L16="","",IF(INDEX(tblRegistros[Data],$L16)&gt;$D$4,"",IFERROR(INDEX(tblRegistros[Observação],$L16),"")))</f>
        <v>0</v>
      </c>
      <c r="L16" s="16">
        <f>IFERROR(MATCH($B$3*100000+COUNTIFS(tblRegistros[ID],$B$3,tblRegistros[Data],"&lt;"&amp;$B$4)+ROWS($L$10:L16),tblRegistros[Chave do cartão],0),"")</f>
        <v>148</v>
      </c>
    </row>
    <row r="17" spans="1:12">
      <c r="A17" s="2">
        <f>IF($L17="","",IF(INDEX(tblRegistros[Data],$L17)&gt;$D$4,"",IFERROR(INDEX(tblRegistros[Data],$L17),"")))</f>
        <v>46269</v>
      </c>
      <c r="B17" t="str">
        <f>IF($L17="","",IF(INDEX(tblRegistros[Data],$L17)&gt;$D$4,"",IFERROR(INDEX(tblRegistros[Projeto],$L17),"")))</f>
        <v>CFI / ACCION</v>
      </c>
      <c r="C17" t="str">
        <f>IF($L17="","",IF(INDEX(tblRegistros[Data],$L17)&gt;$D$4,"",IFERROR(INDEX(tblRegistros[Atividade],$L17),"")))</f>
        <v>ANÁLISE</v>
      </c>
      <c r="D17" s="4">
        <f>IF($L17="","",IF(INDEX(tblRegistros[Data],$L17)&gt;$D$4,"",IFERROR(INDEX(tblRegistros[Início],$L17),"")))</f>
        <v>0.37003472222568234</v>
      </c>
      <c r="E17" s="4">
        <f>IF($L17="","",IF(INDEX(tblRegistros[Data],$L17)&gt;$D$4,"",IFERROR(IF(INDEX(tblRegistros[Status],$L17)="EM ABERTO","",INDEX(tblRegistros[Fim],$L17)),"")))</f>
        <v>0.51531249999970896</v>
      </c>
      <c r="F17" s="14">
        <f>IF($L17="","",IF(INDEX(tblRegistros[Data],$L17)&gt;$D$4,"",IFERROR(IF(INDEX(tblRegistros[Status],$L17)="EM ABERTO","",INDEX(tblRegistros[Horas],$L17)),"")))</f>
        <v>3.4866666665766388</v>
      </c>
      <c r="G17" t="str">
        <f>IF($L17="","",IF(INDEX(tblRegistros[Data],$L17)&gt;$D$4,"",IFERROR(INDEX(tblRegistros[Base],$L17),"")))</f>
        <v>Hora</v>
      </c>
      <c r="H17" s="3">
        <f>IF($L17="","",IF(INDEX(tblRegistros[Data],$L17)&gt;$D$4,"",IFERROR(INDEX(tblRegistros[Taxa aplicada],$L17),"")))</f>
        <v>23.5</v>
      </c>
      <c r="I17" s="3">
        <f>IF($L17="","",IF(INDEX(tblRegistros[Data],$L17)&gt;$D$4,"",IFERROR(IF(INDEX(tblRegistros[Status],$L17)="EM ABERTO","",INDEX(tblRegistros[Valor],$L17)),"")))</f>
        <v>81.936666664551012</v>
      </c>
      <c r="J17" t="str">
        <f>IF($L17="","",IF(INDEX(tblRegistros[Data],$L17)&gt;$D$4,"",IFERROR(INDEX(tblRegistros[Status],$L17),"")))</f>
        <v>CONCLUÍDO</v>
      </c>
      <c r="K17">
        <f>IF($L17="","",IF(INDEX(tblRegistros[Data],$L17)&gt;$D$4,"",IFERROR(INDEX(tblRegistros[Observação],$L17),"")))</f>
        <v>0</v>
      </c>
      <c r="L17" s="16">
        <f>IFERROR(MATCH($B$3*100000+COUNTIFS(tblRegistros[ID],$B$3,tblRegistros[Data],"&lt;"&amp;$B$4)+ROWS($L$10:L17),tblRegistros[Chave do cartão],0),"")</f>
        <v>168</v>
      </c>
    </row>
    <row r="18" spans="1:12">
      <c r="A18" s="2">
        <f>IF($L18="","",IF(INDEX(tblRegistros[Data],$L18)&gt;$D$4,"",IFERROR(INDEX(tblRegistros[Data],$L18),"")))</f>
        <v>46269</v>
      </c>
      <c r="B18" t="str">
        <f>IF($L18="","",IF(INDEX(tblRegistros[Data],$L18)&gt;$D$4,"",IFERROR(INDEX(tblRegistros[Projeto],$L18),"")))</f>
        <v>CFI / ACCION</v>
      </c>
      <c r="C18" t="str">
        <f>IF($L18="","",IF(INDEX(tblRegistros[Data],$L18)&gt;$D$4,"",IFERROR(INDEX(tblRegistros[Atividade],$L18),"")))</f>
        <v>ANÁLISE</v>
      </c>
      <c r="D18" s="4">
        <f>IF($L18="","",IF(INDEX(tblRegistros[Data],$L18)&gt;$D$4,"",IFERROR(INDEX(tblRegistros[Início],$L18),"")))</f>
        <v>0.55560185185458977</v>
      </c>
      <c r="E18" s="4">
        <f>IF($L18="","",IF(INDEX(tblRegistros[Data],$L18)&gt;$D$4,"",IFERROR(IF(INDEX(tblRegistros[Status],$L18)="EM ABERTO","",INDEX(tblRegistros[Fim],$L18)),"")))</f>
        <v>0.74964120370714227</v>
      </c>
      <c r="F18" s="14">
        <f>IF($L18="","",IF(INDEX(tblRegistros[Data],$L18)&gt;$D$4,"",IFERROR(IF(INDEX(tblRegistros[Status],$L18)="EM ABERTO","",INDEX(tblRegistros[Horas],$L18)),"")))</f>
        <v>4.65694444446126</v>
      </c>
      <c r="G18" t="str">
        <f>IF($L18="","",IF(INDEX(tblRegistros[Data],$L18)&gt;$D$4,"",IFERROR(INDEX(tblRegistros[Base],$L18),"")))</f>
        <v>Hora</v>
      </c>
      <c r="H18" s="3">
        <f>IF($L18="","",IF(INDEX(tblRegistros[Data],$L18)&gt;$D$4,"",IFERROR(INDEX(tblRegistros[Taxa aplicada],$L18),"")))</f>
        <v>23.5</v>
      </c>
      <c r="I18" s="3">
        <f>IF($L18="","",IF(INDEX(tblRegistros[Data],$L18)&gt;$D$4,"",IFERROR(IF(INDEX(tblRegistros[Status],$L18)="EM ABERTO","",INDEX(tblRegistros[Valor],$L18)),"")))</f>
        <v>109.43819444483961</v>
      </c>
      <c r="J18" t="str">
        <f>IF($L18="","",IF(INDEX(tblRegistros[Data],$L18)&gt;$D$4,"",IFERROR(INDEX(tblRegistros[Status],$L18),"")))</f>
        <v>CONCLUÍDO</v>
      </c>
      <c r="K18">
        <f>IF($L18="","",IF(INDEX(tblRegistros[Data],$L18)&gt;$D$4,"",IFERROR(INDEX(tblRegistros[Observação],$L18),"")))</f>
        <v>0</v>
      </c>
      <c r="L18" s="16">
        <f>IFERROR(MATCH($B$3*100000+COUNTIFS(tblRegistros[ID],$B$3,tblRegistros[Data],"&lt;"&amp;$B$4)+ROWS($L$10:L18),tblRegistros[Chave do cartão],0),"")</f>
        <v>181</v>
      </c>
    </row>
    <row r="19" spans="1:12">
      <c r="A19" s="2">
        <f>IF($L19="","",IF(INDEX(tblRegistros[Data],$L19)&gt;$D$4,"",IFERROR(INDEX(tblRegistros[Data],$L19),"")))</f>
        <v>46271</v>
      </c>
      <c r="B19" t="str">
        <f>IF($L19="","",IF(INDEX(tblRegistros[Data],$L19)&gt;$D$4,"",IFERROR(INDEX(tblRegistros[Projeto],$L19),"")))</f>
        <v>TOOLKIT</v>
      </c>
      <c r="C19" t="str">
        <f>IF($L19="","",IF(INDEX(tblRegistros[Data],$L19)&gt;$D$4,"",IFERROR(INDEX(tblRegistros[Atividade],$L19),"")))</f>
        <v>ANÁLISE</v>
      </c>
      <c r="D19" s="4">
        <f>IF($L19="","",IF(INDEX(tblRegistros[Data],$L19)&gt;$D$4,"",IFERROR(INDEX(tblRegistros[Início],$L19),"")))</f>
        <v>0.58502314814541023</v>
      </c>
      <c r="E19" s="4">
        <f>IF($L19="","",IF(INDEX(tblRegistros[Data],$L19)&gt;$D$4,"",IFERROR(IF(INDEX(tblRegistros[Status],$L19)="EM ABERTO","",INDEX(tblRegistros[Fim],$L19)),"")))</f>
        <v>0.70901620370568708</v>
      </c>
      <c r="F19" s="14">
        <f>IF($L19="","",IF(INDEX(tblRegistros[Data],$L19)&gt;$D$4,"",IFERROR(IF(INDEX(tblRegistros[Status],$L19)="EM ABERTO","",INDEX(tblRegistros[Horas],$L19)),"")))</f>
        <v>2.9758333334466442</v>
      </c>
      <c r="G19" t="str">
        <f>IF($L19="","",IF(INDEX(tblRegistros[Data],$L19)&gt;$D$4,"",IFERROR(INDEX(tblRegistros[Base],$L19),"")))</f>
        <v>Hora</v>
      </c>
      <c r="H19" s="3">
        <f>IF($L19="","",IF(INDEX(tblRegistros[Data],$L19)&gt;$D$4,"",IFERROR(INDEX(tblRegistros[Taxa aplicada],$L19),"")))</f>
        <v>23.5</v>
      </c>
      <c r="I19" s="3">
        <f>IF($L19="","",IF(INDEX(tblRegistros[Data],$L19)&gt;$D$4,"",IFERROR(IF(INDEX(tblRegistros[Status],$L19)="EM ABERTO","",INDEX(tblRegistros[Valor],$L19)),"")))</f>
        <v>69.93208333599614</v>
      </c>
      <c r="J19" t="str">
        <f>IF($L19="","",IF(INDEX(tblRegistros[Data],$L19)&gt;$D$4,"",IFERROR(INDEX(tblRegistros[Status],$L19),"")))</f>
        <v>CONCLUÍDO</v>
      </c>
      <c r="K19">
        <f>IF($L19="","",IF(INDEX(tblRegistros[Data],$L19)&gt;$D$4,"",IFERROR(INDEX(tblRegistros[Observação],$L19),"")))</f>
        <v>0</v>
      </c>
      <c r="L19" s="16">
        <f>IFERROR(MATCH($B$3*100000+COUNTIFS(tblRegistros[ID],$B$3,tblRegistros[Data],"&lt;"&amp;$B$4)+ROWS($L$10:L19),tblRegistros[Chave do cartão],0),"")</f>
        <v>199</v>
      </c>
    </row>
    <row r="20" spans="1:12">
      <c r="A20" s="2">
        <f>IF($L20="","",IF(INDEX(tblRegistros[Data],$L20)&gt;$D$4,"",IFERROR(INDEX(tblRegistros[Data],$L20),"")))</f>
        <v>46272</v>
      </c>
      <c r="B20" t="str">
        <f>IF($L20="","",IF(INDEX(tblRegistros[Data],$L20)&gt;$D$4,"",IFERROR(INDEX(tblRegistros[Projeto],$L20),"")))</f>
        <v>TOOLKIT</v>
      </c>
      <c r="C20" t="str">
        <f>IF($L20="","",IF(INDEX(tblRegistros[Data],$L20)&gt;$D$4,"",IFERROR(INDEX(tblRegistros[Atividade],$L20),"")))</f>
        <v>ANÁLISE</v>
      </c>
      <c r="D20" s="4">
        <f>IF($L20="","",IF(INDEX(tblRegistros[Data],$L20)&gt;$D$4,"",IFERROR(INDEX(tblRegistros[Início],$L20),"")))</f>
        <v>0.54054398147854954</v>
      </c>
      <c r="E20" s="4">
        <f>IF($L20="","",IF(INDEX(tblRegistros[Data],$L20)&gt;$D$4,"",IFERROR(IF(INDEX(tblRegistros[Status],$L20)="EM ABERTO","",INDEX(tblRegistros[Fim],$L20)),"")))</f>
        <v>0.74689814815064892</v>
      </c>
      <c r="F20" s="14">
        <f>IF($L20="","",IF(INDEX(tblRegistros[Data],$L20)&gt;$D$4,"",IFERROR(IF(INDEX(tblRegistros[Status],$L20)="EM ABERTO","",INDEX(tblRegistros[Horas],$L20)),"")))</f>
        <v>4.9525000001303852</v>
      </c>
      <c r="G20" t="str">
        <f>IF($L20="","",IF(INDEX(tblRegistros[Data],$L20)&gt;$D$4,"",IFERROR(INDEX(tblRegistros[Base],$L20),"")))</f>
        <v>Hora</v>
      </c>
      <c r="H20" s="3">
        <f>IF($L20="","",IF(INDEX(tblRegistros[Data],$L20)&gt;$D$4,"",IFERROR(INDEX(tblRegistros[Taxa aplicada],$L20),"")))</f>
        <v>23.5</v>
      </c>
      <c r="I20" s="3">
        <f>IF($L20="","",IF(INDEX(tblRegistros[Data],$L20)&gt;$D$4,"",IFERROR(IF(INDEX(tblRegistros[Status],$L20)="EM ABERTO","",INDEX(tblRegistros[Valor],$L20)),"")))</f>
        <v>116.38375000306405</v>
      </c>
      <c r="J20" t="str">
        <f>IF($L20="","",IF(INDEX(tblRegistros[Data],$L20)&gt;$D$4,"",IFERROR(INDEX(tblRegistros[Status],$L20),"")))</f>
        <v>CONCLUÍDO</v>
      </c>
      <c r="K20">
        <f>IF($L20="","",IF(INDEX(tblRegistros[Data],$L20)&gt;$D$4,"",IFERROR(INDEX(tblRegistros[Observação],$L20),"")))</f>
        <v>0</v>
      </c>
      <c r="L20" s="16">
        <f>IFERROR(MATCH($B$3*100000+COUNTIFS(tblRegistros[ID],$B$3,tblRegistros[Data],"&lt;"&amp;$B$4)+ROWS($L$10:L20),tblRegistros[Chave do cartão],0),"")</f>
        <v>208</v>
      </c>
    </row>
    <row r="21" spans="1:12">
      <c r="A21" s="2">
        <f>IF($L21="","",IF(INDEX(tblRegistros[Data],$L21)&gt;$D$4,"",IFERROR(INDEX(tblRegistros[Data],$L21),"")))</f>
        <v>46273</v>
      </c>
      <c r="B21" t="str">
        <f>IF($L21="","",IF(INDEX(tblRegistros[Data],$L21)&gt;$D$4,"",IFERROR(INDEX(tblRegistros[Projeto],$L21),"")))</f>
        <v>TOOLKIT</v>
      </c>
      <c r="C21" t="str">
        <f>IF($L21="","",IF(INDEX(tblRegistros[Data],$L21)&gt;$D$4,"",IFERROR(INDEX(tblRegistros[Atividade],$L21),"")))</f>
        <v>ANÁLISE</v>
      </c>
      <c r="D21" s="4">
        <f>IF($L21="","",IF(INDEX(tblRegistros[Data],$L21)&gt;$D$4,"",IFERROR(INDEX(tblRegistros[Início],$L21),"")))</f>
        <v>0.35415509259473765</v>
      </c>
      <c r="E21" s="4">
        <f>IF($L21="","",IF(INDEX(tblRegistros[Data],$L21)&gt;$D$4,"",IFERROR(IF(INDEX(tblRegistros[Status],$L21)="EM ABERTO","",INDEX(tblRegistros[Fim],$L21)),"")))</f>
        <v>0.51846064814890269</v>
      </c>
      <c r="F21" s="14">
        <f>IF($L21="","",IF(INDEX(tblRegistros[Data],$L21)&gt;$D$4,"",IFERROR(IF(INDEX(tblRegistros[Status],$L21)="EM ABERTO","",INDEX(tblRegistros[Horas],$L21)),"")))</f>
        <v>3.9433333332999609</v>
      </c>
      <c r="G21" t="str">
        <f>IF($L21="","",IF(INDEX(tblRegistros[Data],$L21)&gt;$D$4,"",IFERROR(INDEX(tblRegistros[Base],$L21),"")))</f>
        <v>Hora</v>
      </c>
      <c r="H21" s="3">
        <f>IF($L21="","",IF(INDEX(tblRegistros[Data],$L21)&gt;$D$4,"",IFERROR(INDEX(tblRegistros[Taxa aplicada],$L21),"")))</f>
        <v>23.5</v>
      </c>
      <c r="I21" s="3">
        <f>IF($L21="","",IF(INDEX(tblRegistros[Data],$L21)&gt;$D$4,"",IFERROR(IF(INDEX(tblRegistros[Status],$L21)="EM ABERTO","",INDEX(tblRegistros[Valor],$L21)),"")))</f>
        <v>92.668333332549082</v>
      </c>
      <c r="J21" t="str">
        <f>IF($L21="","",IF(INDEX(tblRegistros[Data],$L21)&gt;$D$4,"",IFERROR(INDEX(tblRegistros[Status],$L21),"")))</f>
        <v>CONCLUÍDO</v>
      </c>
      <c r="K21">
        <f>IF($L21="","",IF(INDEX(tblRegistros[Data],$L21)&gt;$D$4,"",IFERROR(INDEX(tblRegistros[Observação],$L21),"")))</f>
        <v>0</v>
      </c>
      <c r="L21" s="16">
        <f>IFERROR(MATCH($B$3*100000+COUNTIFS(tblRegistros[ID],$B$3,tblRegistros[Data],"&lt;"&amp;$B$4)+ROWS($L$10:L21),tblRegistros[Chave do cartão],0),"")</f>
        <v>216</v>
      </c>
    </row>
    <row r="22" spans="1:12">
      <c r="A22" s="2">
        <f>IF($L22="","",IF(INDEX(tblRegistros[Data],$L22)&gt;$D$4,"",IFERROR(INDEX(tblRegistros[Data],$L22),"")))</f>
        <v>46273</v>
      </c>
      <c r="B22" t="str">
        <f>IF($L22="","",IF(INDEX(tblRegistros[Data],$L22)&gt;$D$4,"",IFERROR(INDEX(tblRegistros[Projeto],$L22),"")))</f>
        <v>CFI / ACCION</v>
      </c>
      <c r="C22" t="str">
        <f>IF($L22="","",IF(INDEX(tblRegistros[Data],$L22)&gt;$D$4,"",IFERROR(INDEX(tblRegistros[Atividade],$L22),"")))</f>
        <v>ANÁLISE</v>
      </c>
      <c r="D22" s="4">
        <f>IF($L22="","",IF(INDEX(tblRegistros[Data],$L22)&gt;$D$4,"",IFERROR(INDEX(tblRegistros[Início],$L22),"")))</f>
        <v>0.56401620370161254</v>
      </c>
      <c r="E22" s="4">
        <f>IF($L22="","",IF(INDEX(tblRegistros[Data],$L22)&gt;$D$4,"",IFERROR(IF(INDEX(tblRegistros[Status],$L22)="EM ABERTO","",INDEX(tblRegistros[Fim],$L22)),"")))</f>
        <v>0.74927083333022892</v>
      </c>
      <c r="F22" s="14">
        <f>IF($L22="","",IF(INDEX(tblRegistros[Data],$L22)&gt;$D$4,"",IFERROR(IF(INDEX(tblRegistros[Status],$L22)="EM ABERTO","",INDEX(tblRegistros[Horas],$L22)),"")))</f>
        <v>4.4461111110867932</v>
      </c>
      <c r="G22" t="str">
        <f>IF($L22="","",IF(INDEX(tblRegistros[Data],$L22)&gt;$D$4,"",IFERROR(INDEX(tblRegistros[Base],$L22),"")))</f>
        <v>Hora</v>
      </c>
      <c r="H22" s="3">
        <f>IF($L22="","",IF(INDEX(tblRegistros[Data],$L22)&gt;$D$4,"",IFERROR(INDEX(tblRegistros[Taxa aplicada],$L22),"")))</f>
        <v>23.5</v>
      </c>
      <c r="I22" s="3">
        <f>IF($L22="","",IF(INDEX(tblRegistros[Data],$L22)&gt;$D$4,"",IFERROR(IF(INDEX(tblRegistros[Status],$L22)="EM ABERTO","",INDEX(tblRegistros[Valor],$L22)),"")))</f>
        <v>104.48361111053964</v>
      </c>
      <c r="J22" t="str">
        <f>IF($L22="","",IF(INDEX(tblRegistros[Data],$L22)&gt;$D$4,"",IFERROR(INDEX(tblRegistros[Status],$L22),"")))</f>
        <v>CONCLUÍDO</v>
      </c>
      <c r="K22">
        <f>IF($L22="","",IF(INDEX(tblRegistros[Data],$L22)&gt;$D$4,"",IFERROR(INDEX(tblRegistros[Observação],$L22),"")))</f>
        <v>0</v>
      </c>
      <c r="L22" s="16">
        <f>IFERROR(MATCH($B$3*100000+COUNTIFS(tblRegistros[ID],$B$3,tblRegistros[Data],"&lt;"&amp;$B$4)+ROWS($L$10:L22),tblRegistros[Chave do cartão],0),"")</f>
        <v>226</v>
      </c>
    </row>
    <row r="23" spans="1:12">
      <c r="A23" s="2">
        <f>IF($L23="","",IF(INDEX(tblRegistros[Data],$L23)&gt;$D$4,"",IFERROR(INDEX(tblRegistros[Data],$L23),"")))</f>
        <v>46274</v>
      </c>
      <c r="B23" t="str">
        <f>IF($L23="","",IF(INDEX(tblRegistros[Data],$L23)&gt;$D$4,"",IFERROR(INDEX(tblRegistros[Projeto],$L23),"")))</f>
        <v>CFI / ACCION</v>
      </c>
      <c r="C23" t="str">
        <f>IF($L23="","",IF(INDEX(tblRegistros[Data],$L23)&gt;$D$4,"",IFERROR(INDEX(tblRegistros[Atividade],$L23),"")))</f>
        <v>ANÁLISE</v>
      </c>
      <c r="D23" s="4">
        <f>IF($L23="","",IF(INDEX(tblRegistros[Data],$L23)&gt;$D$4,"",IFERROR(INDEX(tblRegistros[Início],$L23),"")))</f>
        <v>0.35462962962628808</v>
      </c>
      <c r="E23" s="4" t="str">
        <f>IF($L23="","",IF(INDEX(tblRegistros[Data],$L23)&gt;$D$4,"",IFERROR(IF(INDEX(tblRegistros[Status],$L23)="EM ABERTO","",INDEX(tblRegistros[Fim],$L23)),"")))</f>
        <v/>
      </c>
      <c r="F23" s="14" t="str">
        <f>IF($L23="","",IF(INDEX(tblRegistros[Data],$L23)&gt;$D$4,"",IFERROR(IF(INDEX(tblRegistros[Status],$L23)="EM ABERTO","",INDEX(tblRegistros[Horas],$L23)),"")))</f>
        <v/>
      </c>
      <c r="G23" t="str">
        <f>IF($L23="","",IF(INDEX(tblRegistros[Data],$L23)&gt;$D$4,"",IFERROR(INDEX(tblRegistros[Base],$L23),"")))</f>
        <v>Hora</v>
      </c>
      <c r="H23" s="3">
        <f>IF($L23="","",IF(INDEX(tblRegistros[Data],$L23)&gt;$D$4,"",IFERROR(INDEX(tblRegistros[Taxa aplicada],$L23),"")))</f>
        <v>23.5</v>
      </c>
      <c r="I23" s="3" t="str">
        <f>IF($L23="","",IF(INDEX(tblRegistros[Data],$L23)&gt;$D$4,"",IFERROR(IF(INDEX(tblRegistros[Status],$L23)="EM ABERTO","",INDEX(tblRegistros[Valor],$L23)),"")))</f>
        <v/>
      </c>
      <c r="J23" t="str">
        <f>IF($L23="","",IF(INDEX(tblRegistros[Data],$L23)&gt;$D$4,"",IFERROR(INDEX(tblRegistros[Status],$L23),"")))</f>
        <v>EM ABERTO</v>
      </c>
      <c r="K23" t="str">
        <f>IF($L23="","",IF(INDEX(tblRegistros[Data],$L23)&gt;$D$4,"",IFERROR(INDEX(tblRegistros[Observação],$L23),"")))</f>
        <v/>
      </c>
      <c r="L23" s="16">
        <f>IFERROR(MATCH($B$3*100000+COUNTIFS(tblRegistros[ID],$B$3,tblRegistros[Data],"&lt;"&amp;$B$4)+ROWS($L$10:L23),tblRegistros[Chave do cartão],0),"")</f>
        <v>239</v>
      </c>
    </row>
    <row r="24" spans="1:12">
      <c r="A24" s="2">
        <f>IF($L24="","",IF(INDEX(tblRegistros[Data],$L24)&gt;$D$4,"",IFERROR(INDEX(tblRegistros[Data],$L24),"")))</f>
        <v>46274</v>
      </c>
      <c r="B24" t="str">
        <f>IF($L24="","",IF(INDEX(tblRegistros[Data],$L24)&gt;$D$4,"",IFERROR(INDEX(tblRegistros[Projeto],$L24),"")))</f>
        <v>CFI / ACCION</v>
      </c>
      <c r="C24" t="str">
        <f>IF($L24="","",IF(INDEX(tblRegistros[Data],$L24)&gt;$D$4,"",IFERROR(INDEX(tblRegistros[Atividade],$L24),"")))</f>
        <v>ANÁLISE</v>
      </c>
      <c r="D24" s="4">
        <f>IF($L24="","",IF(INDEX(tblRegistros[Data],$L24)&gt;$D$4,"",IFERROR(INDEX(tblRegistros[Início],$L24),"")))</f>
        <v>0.55600694444729015</v>
      </c>
      <c r="E24" s="4" t="str">
        <f>IF($L24="","",IF(INDEX(tblRegistros[Data],$L24)&gt;$D$4,"",IFERROR(IF(INDEX(tblRegistros[Status],$L24)="EM ABERTO","",INDEX(tblRegistros[Fim],$L24)),"")))</f>
        <v/>
      </c>
      <c r="F24" s="14" t="str">
        <f>IF($L24="","",IF(INDEX(tblRegistros[Data],$L24)&gt;$D$4,"",IFERROR(IF(INDEX(tblRegistros[Status],$L24)="EM ABERTO","",INDEX(tblRegistros[Horas],$L24)),"")))</f>
        <v/>
      </c>
      <c r="G24" t="str">
        <f>IF($L24="","",IF(INDEX(tblRegistros[Data],$L24)&gt;$D$4,"",IFERROR(INDEX(tblRegistros[Base],$L24),"")))</f>
        <v>Hora</v>
      </c>
      <c r="H24" s="3">
        <f>IF($L24="","",IF(INDEX(tblRegistros[Data],$L24)&gt;$D$4,"",IFERROR(INDEX(tblRegistros[Taxa aplicada],$L24),"")))</f>
        <v>23.5</v>
      </c>
      <c r="I24" s="3" t="str">
        <f>IF($L24="","",IF(INDEX(tblRegistros[Data],$L24)&gt;$D$4,"",IFERROR(IF(INDEX(tblRegistros[Status],$L24)="EM ABERTO","",INDEX(tblRegistros[Valor],$L24)),"")))</f>
        <v/>
      </c>
      <c r="J24" t="str">
        <f>IF($L24="","",IF(INDEX(tblRegistros[Data],$L24)&gt;$D$4,"",IFERROR(INDEX(tblRegistros[Status],$L24),"")))</f>
        <v>EM ABERTO</v>
      </c>
      <c r="K24" t="str">
        <f>IF($L24="","",IF(INDEX(tblRegistros[Data],$L24)&gt;$D$4,"",IFERROR(INDEX(tblRegistros[Observação],$L24),"")))</f>
        <v/>
      </c>
      <c r="L24" s="16">
        <f>IFERROR(MATCH($B$3*100000+COUNTIFS(tblRegistros[ID],$B$3,tblRegistros[Data],"&lt;"&amp;$B$4)+ROWS($L$10:L24),tblRegistros[Chave do cartão],0),"")</f>
        <v>248</v>
      </c>
    </row>
    <row r="25" spans="1:12">
      <c r="A25" s="2">
        <f>IF($L25="","",IF(INDEX(tblRegistros[Data],$L25)&gt;$D$4,"",IFERROR(INDEX(tblRegistros[Data],$L25),"")))</f>
        <v>46275</v>
      </c>
      <c r="B25" t="str">
        <f>IF($L25="","",IF(INDEX(tblRegistros[Data],$L25)&gt;$D$4,"",IFERROR(INDEX(tblRegistros[Projeto],$L25),"")))</f>
        <v>CFI / ACCION</v>
      </c>
      <c r="C25" t="str">
        <f>IF($L25="","",IF(INDEX(tblRegistros[Data],$L25)&gt;$D$4,"",IFERROR(INDEX(tblRegistros[Atividade],$L25),"")))</f>
        <v>ANÁLISE</v>
      </c>
      <c r="D25" s="4">
        <f>IF($L25="","",IF(INDEX(tblRegistros[Data],$L25)&gt;$D$4,"",IFERROR(INDEX(tblRegistros[Início],$L25),"")))</f>
        <v>0.33028935184847796</v>
      </c>
      <c r="E25" s="4">
        <f>IF($L25="","",IF(INDEX(tblRegistros[Data],$L25)&gt;$D$4,"",IFERROR(IF(INDEX(tblRegistros[Status],$L25)="EM ABERTO","",INDEX(tblRegistros[Fim],$L25)),"")))</f>
        <v>0.50950231481692754</v>
      </c>
      <c r="F25" s="14">
        <f>IF($L25="","",IF(INDEX(tblRegistros[Data],$L25)&gt;$D$4,"",IFERROR(IF(INDEX(tblRegistros[Status],$L25)="EM ABERTO","",INDEX(tblRegistros[Horas],$L25)),"")))</f>
        <v>4.3011111112427898</v>
      </c>
      <c r="G25" t="str">
        <f>IF($L25="","",IF(INDEX(tblRegistros[Data],$L25)&gt;$D$4,"",IFERROR(INDEX(tblRegistros[Base],$L25),"")))</f>
        <v>Hora</v>
      </c>
      <c r="H25" s="3">
        <f>IF($L25="","",IF(INDEX(tblRegistros[Data],$L25)&gt;$D$4,"",IFERROR(INDEX(tblRegistros[Taxa aplicada],$L25),"")))</f>
        <v>23.5</v>
      </c>
      <c r="I25" s="3">
        <f>IF($L25="","",IF(INDEX(tblRegistros[Data],$L25)&gt;$D$4,"",IFERROR(IF(INDEX(tblRegistros[Status],$L25)="EM ABERTO","",INDEX(tblRegistros[Valor],$L25)),"")))</f>
        <v>101.07611111420556</v>
      </c>
      <c r="J25" t="str">
        <f>IF($L25="","",IF(INDEX(tblRegistros[Data],$L25)&gt;$D$4,"",IFERROR(INDEX(tblRegistros[Status],$L25),"")))</f>
        <v>CONCLUÍDO</v>
      </c>
      <c r="K25">
        <f>IF($L25="","",IF(INDEX(tblRegistros[Data],$L25)&gt;$D$4,"",IFERROR(INDEX(tblRegistros[Observação],$L25),"")))</f>
        <v>0</v>
      </c>
      <c r="L25" s="16">
        <f>IFERROR(MATCH($B$3*100000+COUNTIFS(tblRegistros[ID],$B$3,tblRegistros[Data],"&lt;"&amp;$B$4)+ROWS($L$10:L25),tblRegistros[Chave do cartão],0),"")</f>
        <v>259</v>
      </c>
    </row>
    <row r="26" spans="1:12">
      <c r="A26" s="2">
        <f>IF($L26="","",IF(INDEX(tblRegistros[Data],$L26)&gt;$D$4,"",IFERROR(INDEX(tblRegistros[Data],$L26),"")))</f>
        <v>46275</v>
      </c>
      <c r="B26" t="str">
        <f>IF($L26="","",IF(INDEX(tblRegistros[Data],$L26)&gt;$D$4,"",IFERROR(INDEX(tblRegistros[Projeto],$L26),"")))</f>
        <v>CFI / ACCION</v>
      </c>
      <c r="C26" t="str">
        <f>IF($L26="","",IF(INDEX(tblRegistros[Data],$L26)&gt;$D$4,"",IFERROR(INDEX(tblRegistros[Atividade],$L26),"")))</f>
        <v>ANÁLISE</v>
      </c>
      <c r="D26" s="4">
        <f>IF($L26="","",IF(INDEX(tblRegistros[Data],$L26)&gt;$D$4,"",IFERROR(INDEX(tblRegistros[Início],$L26),"")))</f>
        <v>0.55501157407707069</v>
      </c>
      <c r="E26" s="4" t="str">
        <f>IF($L26="","",IF(INDEX(tblRegistros[Data],$L26)&gt;$D$4,"",IFERROR(IF(INDEX(tblRegistros[Status],$L26)="EM ABERTO","",INDEX(tblRegistros[Fim],$L26)),"")))</f>
        <v/>
      </c>
      <c r="F26" s="14" t="str">
        <f>IF($L26="","",IF(INDEX(tblRegistros[Data],$L26)&gt;$D$4,"",IFERROR(IF(INDEX(tblRegistros[Status],$L26)="EM ABERTO","",INDEX(tblRegistros[Horas],$L26)),"")))</f>
        <v/>
      </c>
      <c r="G26" t="str">
        <f>IF($L26="","",IF(INDEX(tblRegistros[Data],$L26)&gt;$D$4,"",IFERROR(INDEX(tblRegistros[Base],$L26),"")))</f>
        <v>Hora</v>
      </c>
      <c r="H26" s="3">
        <f>IF($L26="","",IF(INDEX(tblRegistros[Data],$L26)&gt;$D$4,"",IFERROR(INDEX(tblRegistros[Taxa aplicada],$L26),"")))</f>
        <v>23.5</v>
      </c>
      <c r="I26" s="3" t="str">
        <f>IF($L26="","",IF(INDEX(tblRegistros[Data],$L26)&gt;$D$4,"",IFERROR(IF(INDEX(tblRegistros[Status],$L26)="EM ABERTO","",INDEX(tblRegistros[Valor],$L26)),"")))</f>
        <v/>
      </c>
      <c r="J26" t="str">
        <f>IF($L26="","",IF(INDEX(tblRegistros[Data],$L26)&gt;$D$4,"",IFERROR(INDEX(tblRegistros[Status],$L26),"")))</f>
        <v>EM ABERTO</v>
      </c>
      <c r="K26" t="str">
        <f>IF($L26="","",IF(INDEX(tblRegistros[Data],$L26)&gt;$D$4,"",IFERROR(INDEX(tblRegistros[Observação],$L26),"")))</f>
        <v/>
      </c>
      <c r="L26" s="16">
        <f>IFERROR(MATCH($B$3*100000+COUNTIFS(tblRegistros[ID],$B$3,tblRegistros[Data],"&lt;"&amp;$B$4)+ROWS($L$10:L26),tblRegistros[Chave do cartão],0),"")</f>
        <v>277</v>
      </c>
    </row>
    <row r="27" spans="1:12">
      <c r="A27" s="2">
        <f>IF($L27="","",IF(INDEX(tblRegistros[Data],$L27)&gt;$D$4,"",IFERROR(INDEX(tblRegistros[Data],$L27),"")))</f>
        <v>46276</v>
      </c>
      <c r="B27" t="str">
        <f>IF($L27="","",IF(INDEX(tblRegistros[Data],$L27)&gt;$D$4,"",IFERROR(INDEX(tblRegistros[Projeto],$L27),"")))</f>
        <v>TOOLKIT</v>
      </c>
      <c r="C27" t="str">
        <f>IF($L27="","",IF(INDEX(tblRegistros[Data],$L27)&gt;$D$4,"",IFERROR(INDEX(tblRegistros[Atividade],$L27),"")))</f>
        <v>ANÁLISE</v>
      </c>
      <c r="D27" s="4">
        <f>IF($L27="","",IF(INDEX(tblRegistros[Data],$L27)&gt;$D$4,"",IFERROR(INDEX(tblRegistros[Início],$L27),"")))</f>
        <v>0.32737268518394558</v>
      </c>
      <c r="E27" s="4">
        <f>IF($L27="","",IF(INDEX(tblRegistros[Data],$L27)&gt;$D$4,"",IFERROR(IF(INDEX(tblRegistros[Status],$L27)="EM ABERTO","",INDEX(tblRegistros[Fim],$L27)),"")))</f>
        <v>0.50534722222073469</v>
      </c>
      <c r="F27" s="14">
        <f>IF($L27="","",IF(INDEX(tblRegistros[Data],$L27)&gt;$D$4,"",IFERROR(IF(INDEX(tblRegistros[Status],$L27)="EM ABERTO","",INDEX(tblRegistros[Horas],$L27)),"")))</f>
        <v>4.2713888888829388</v>
      </c>
      <c r="G27" t="str">
        <f>IF($L27="","",IF(INDEX(tblRegistros[Data],$L27)&gt;$D$4,"",IFERROR(INDEX(tblRegistros[Base],$L27),"")))</f>
        <v>Hora</v>
      </c>
      <c r="H27" s="3">
        <f>IF($L27="","",IF(INDEX(tblRegistros[Data],$L27)&gt;$D$4,"",IFERROR(INDEX(tblRegistros[Taxa aplicada],$L27),"")))</f>
        <v>23.5</v>
      </c>
      <c r="I27" s="3">
        <f>IF($L27="","",IF(INDEX(tblRegistros[Data],$L27)&gt;$D$4,"",IFERROR(IF(INDEX(tblRegistros[Status],$L27)="EM ABERTO","",INDEX(tblRegistros[Valor],$L27)),"")))</f>
        <v>100.37763888874906</v>
      </c>
      <c r="J27" t="str">
        <f>IF($L27="","",IF(INDEX(tblRegistros[Data],$L27)&gt;$D$4,"",IFERROR(INDEX(tblRegistros[Status],$L27),"")))</f>
        <v>CONCLUÍDO</v>
      </c>
      <c r="K27">
        <f>IF($L27="","",IF(INDEX(tblRegistros[Data],$L27)&gt;$D$4,"",IFERROR(INDEX(tblRegistros[Observação],$L27),"")))</f>
        <v>0</v>
      </c>
      <c r="L27" s="16">
        <f>IFERROR(MATCH($B$3*100000+COUNTIFS(tblRegistros[ID],$B$3,tblRegistros[Data],"&lt;"&amp;$B$4)+ROWS($L$10:L27),tblRegistros[Chave do cartão],0),"")</f>
        <v>282</v>
      </c>
    </row>
    <row r="28" spans="1:12">
      <c r="A28" s="2">
        <f>IF($L28="","",IF(INDEX(tblRegistros[Data],$L28)&gt;$D$4,"",IFERROR(INDEX(tblRegistros[Data],$L28),"")))</f>
        <v>46276</v>
      </c>
      <c r="B28" t="str">
        <f>IF($L28="","",IF(INDEX(tblRegistros[Data],$L28)&gt;$D$4,"",IFERROR(INDEX(tblRegistros[Projeto],$L28),"")))</f>
        <v>TOOLKIT</v>
      </c>
      <c r="C28" t="str">
        <f>IF($L28="","",IF(INDEX(tblRegistros[Data],$L28)&gt;$D$4,"",IFERROR(INDEX(tblRegistros[Atividade],$L28),"")))</f>
        <v>ANÁLISE</v>
      </c>
      <c r="D28" s="4">
        <f>IF($L28="","",IF(INDEX(tblRegistros[Data],$L28)&gt;$D$4,"",IFERROR(INDEX(tblRegistros[Início],$L28),"")))</f>
        <v>0.54562499999883585</v>
      </c>
      <c r="E28" s="4">
        <f>IF($L28="","",IF(INDEX(tblRegistros[Data],$L28)&gt;$D$4,"",IFERROR(IF(INDEX(tblRegistros[Status],$L28)="EM ABERTO","",INDEX(tblRegistros[Fim],$L28)),"")))</f>
        <v>0.74494212962599704</v>
      </c>
      <c r="F28" s="14">
        <f>IF($L28="","",IF(INDEX(tblRegistros[Data],$L28)&gt;$D$4,"",IFERROR(IF(INDEX(tblRegistros[Status],$L28)="EM ABERTO","",INDEX(tblRegistros[Horas],$L28)),"")))</f>
        <v>4.7836111110518686</v>
      </c>
      <c r="G28" t="str">
        <f>IF($L28="","",IF(INDEX(tblRegistros[Data],$L28)&gt;$D$4,"",IFERROR(INDEX(tblRegistros[Base],$L28),"")))</f>
        <v>Hora</v>
      </c>
      <c r="H28" s="3">
        <f>IF($L28="","",IF(INDEX(tblRegistros[Data],$L28)&gt;$D$4,"",IFERROR(INDEX(tblRegistros[Taxa aplicada],$L28),"")))</f>
        <v>23.5</v>
      </c>
      <c r="I28" s="3">
        <f>IF($L28="","",IF(INDEX(tblRegistros[Data],$L28)&gt;$D$4,"",IFERROR(IF(INDEX(tblRegistros[Status],$L28)="EM ABERTO","",INDEX(tblRegistros[Valor],$L28)),"")))</f>
        <v>112.41486110971891</v>
      </c>
      <c r="J28" t="str">
        <f>IF($L28="","",IF(INDEX(tblRegistros[Data],$L28)&gt;$D$4,"",IFERROR(INDEX(tblRegistros[Status],$L28),"")))</f>
        <v>CONCLUÍDO</v>
      </c>
      <c r="K28">
        <f>IF($L28="","",IF(INDEX(tblRegistros[Data],$L28)&gt;$D$4,"",IFERROR(INDEX(tblRegistros[Observação],$L28),"")))</f>
        <v>0</v>
      </c>
      <c r="L28" s="16">
        <f>IFERROR(MATCH($B$3*100000+COUNTIFS(tblRegistros[ID],$B$3,tblRegistros[Data],"&lt;"&amp;$B$4)+ROWS($L$10:L28),tblRegistros[Chave do cartão],0),"")</f>
        <v>300</v>
      </c>
    </row>
    <row r="29" spans="1:12">
      <c r="A29" s="2">
        <f>IF($L29="","",IF(INDEX(tblRegistros[Data],$L29)&gt;$D$4,"",IFERROR(INDEX(tblRegistros[Data],$L29),"")))</f>
        <v>46279</v>
      </c>
      <c r="B29" t="str">
        <f>IF($L29="","",IF(INDEX(tblRegistros[Data],$L29)&gt;$D$4,"",IFERROR(INDEX(tblRegistros[Projeto],$L29),"")))</f>
        <v>TOOLKIT</v>
      </c>
      <c r="C29" t="str">
        <f>IF($L29="","",IF(INDEX(tblRegistros[Data],$L29)&gt;$D$4,"",IFERROR(INDEX(tblRegistros[Atividade],$L29),"")))</f>
        <v>ANÁLISE</v>
      </c>
      <c r="D29" s="4">
        <f>IF($L29="","",IF(INDEX(tblRegistros[Data],$L29)&gt;$D$4,"",IFERROR(INDEX(tblRegistros[Início],$L29),"")))</f>
        <v>0.34165509259037208</v>
      </c>
      <c r="E29" s="4">
        <f>IF($L29="","",IF(INDEX(tblRegistros[Data],$L29)&gt;$D$4,"",IFERROR(IF(INDEX(tblRegistros[Status],$L29)="EM ABERTO","",INDEX(tblRegistros[Fim],$L29)),"")))</f>
        <v>0.50479166666627862</v>
      </c>
      <c r="F29" s="14">
        <f>IF($L29="","",IF(INDEX(tblRegistros[Data],$L29)&gt;$D$4,"",IFERROR(IF(INDEX(tblRegistros[Status],$L29)="EM ABERTO","",INDEX(tblRegistros[Horas],$L29)),"")))</f>
        <v>3.9152777778217569</v>
      </c>
      <c r="G29" t="str">
        <f>IF($L29="","",IF(INDEX(tblRegistros[Data],$L29)&gt;$D$4,"",IFERROR(INDEX(tblRegistros[Base],$L29),"")))</f>
        <v>Hora</v>
      </c>
      <c r="H29" s="3">
        <f>IF($L29="","",IF(INDEX(tblRegistros[Data],$L29)&gt;$D$4,"",IFERROR(INDEX(tblRegistros[Taxa aplicada],$L29),"")))</f>
        <v>23.5</v>
      </c>
      <c r="I29" s="3">
        <f>IF($L29="","",IF(INDEX(tblRegistros[Data],$L29)&gt;$D$4,"",IFERROR(IF(INDEX(tblRegistros[Status],$L29)="EM ABERTO","",INDEX(tblRegistros[Valor],$L29)),"")))</f>
        <v>92.009027778811287</v>
      </c>
      <c r="J29" t="str">
        <f>IF($L29="","",IF(INDEX(tblRegistros[Data],$L29)&gt;$D$4,"",IFERROR(INDEX(tblRegistros[Status],$L29),"")))</f>
        <v>CONCLUÍDO</v>
      </c>
      <c r="K29">
        <f>IF($L29="","",IF(INDEX(tblRegistros[Data],$L29)&gt;$D$4,"",IFERROR(INDEX(tblRegistros[Observação],$L29),"")))</f>
        <v>0</v>
      </c>
      <c r="L29" s="16">
        <f>IFERROR(MATCH($B$3*100000+COUNTIFS(tblRegistros[ID],$B$3,tblRegistros[Data],"&lt;"&amp;$B$4)+ROWS($L$10:L29),tblRegistros[Chave do cartão],0),"")</f>
        <v>323</v>
      </c>
    </row>
    <row r="30" spans="1:12">
      <c r="A30" s="2">
        <f>IF($L30="","",IF(INDEX(tblRegistros[Data],$L30)&gt;$D$4,"",IFERROR(INDEX(tblRegistros[Data],$L30),"")))</f>
        <v>46279</v>
      </c>
      <c r="B30" t="str">
        <f>IF($L30="","",IF(INDEX(tblRegistros[Data],$L30)&gt;$D$4,"",IFERROR(INDEX(tblRegistros[Projeto],$L30),"")))</f>
        <v>TOOLKIT</v>
      </c>
      <c r="C30" t="str">
        <f>IF($L30="","",IF(INDEX(tblRegistros[Data],$L30)&gt;$D$4,"",IFERROR(INDEX(tblRegistros[Atividade],$L30),"")))</f>
        <v>ANÁLISE</v>
      </c>
      <c r="D30" s="4">
        <f>IF($L30="","",IF(INDEX(tblRegistros[Data],$L30)&gt;$D$4,"",IFERROR(INDEX(tblRegistros[Início],$L30),"")))</f>
        <v>0.54557870370626915</v>
      </c>
      <c r="E30" s="4">
        <f>IF($L30="","",IF(INDEX(tblRegistros[Data],$L30)&gt;$D$4,"",IFERROR(IF(INDEX(tblRegistros[Status],$L30)="EM ABERTO","",INDEX(tblRegistros[Fim],$L30)),"")))</f>
        <v>0.74646990740438923</v>
      </c>
      <c r="F30" s="14">
        <f>IF($L30="","",IF(INDEX(tblRegistros[Data],$L30)&gt;$D$4,"",IFERROR(IF(INDEX(tblRegistros[Status],$L30)="EM ABERTO","",INDEX(tblRegistros[Horas],$L30)),"")))</f>
        <v>4.8213888887548819</v>
      </c>
      <c r="G30" t="str">
        <f>IF($L30="","",IF(INDEX(tblRegistros[Data],$L30)&gt;$D$4,"",IFERROR(INDEX(tblRegistros[Base],$L30),"")))</f>
        <v>Hora</v>
      </c>
      <c r="H30" s="3">
        <f>IF($L30="","",IF(INDEX(tblRegistros[Data],$L30)&gt;$D$4,"",IFERROR(INDEX(tblRegistros[Taxa aplicada],$L30),"")))</f>
        <v>23.5</v>
      </c>
      <c r="I30" s="3">
        <f>IF($L30="","",IF(INDEX(tblRegistros[Data],$L30)&gt;$D$4,"",IFERROR(IF(INDEX(tblRegistros[Status],$L30)="EM ABERTO","",INDEX(tblRegistros[Valor],$L30)),"")))</f>
        <v>113.30263888573973</v>
      </c>
      <c r="J30" t="str">
        <f>IF($L30="","",IF(INDEX(tblRegistros[Data],$L30)&gt;$D$4,"",IFERROR(INDEX(tblRegistros[Status],$L30),"")))</f>
        <v>CONCLUÍDO</v>
      </c>
      <c r="K30">
        <f>IF($L30="","",IF(INDEX(tblRegistros[Data],$L30)&gt;$D$4,"",IFERROR(INDEX(tblRegistros[Observação],$L30),"")))</f>
        <v>0</v>
      </c>
      <c r="L30" s="16">
        <f>IFERROR(MATCH($B$3*100000+COUNTIFS(tblRegistros[ID],$B$3,tblRegistros[Data],"&lt;"&amp;$B$4)+ROWS($L$10:L30),tblRegistros[Chave do cartão],0),"")</f>
        <v>329</v>
      </c>
    </row>
    <row r="31" spans="1:12">
      <c r="A31" s="2">
        <f>IF($L31="","",IF(INDEX(tblRegistros[Data],$L31)&gt;$D$4,"",IFERROR(INDEX(tblRegistros[Data],$L31),"")))</f>
        <v>46280</v>
      </c>
      <c r="B31" t="str">
        <f>IF($L31="","",IF(INDEX(tblRegistros[Data],$L31)&gt;$D$4,"",IFERROR(INDEX(tblRegistros[Projeto],$L31),"")))</f>
        <v>TOOLKIT</v>
      </c>
      <c r="C31" t="str">
        <f>IF($L31="","",IF(INDEX(tblRegistros[Data],$L31)&gt;$D$4,"",IFERROR(INDEX(tblRegistros[Atividade],$L31),"")))</f>
        <v>ANÁLISE</v>
      </c>
      <c r="D31" s="4">
        <f>IF($L31="","",IF(INDEX(tblRegistros[Data],$L31)&gt;$D$4,"",IFERROR(INDEX(tblRegistros[Início],$L31),"")))</f>
        <v>0.32855324073898373</v>
      </c>
      <c r="E31" s="4">
        <f>IF($L31="","",IF(INDEX(tblRegistros[Data],$L31)&gt;$D$4,"",IFERROR(IF(INDEX(tblRegistros[Status],$L31)="EM ABERTO","",INDEX(tblRegistros[Fim],$L31)),"")))</f>
        <v>0.50319444444176042</v>
      </c>
      <c r="F31" s="14">
        <f>IF($L31="","",IF(INDEX(tblRegistros[Data],$L31)&gt;$D$4,"",IFERROR(IF(INDEX(tblRegistros[Status],$L31)="EM ABERTO","",INDEX(tblRegistros[Horas],$L31)),"")))</f>
        <v>4.1913888888666406</v>
      </c>
      <c r="G31" t="str">
        <f>IF($L31="","",IF(INDEX(tblRegistros[Data],$L31)&gt;$D$4,"",IFERROR(INDEX(tblRegistros[Base],$L31),"")))</f>
        <v>Hora</v>
      </c>
      <c r="H31" s="3">
        <f>IF($L31="","",IF(INDEX(tblRegistros[Data],$L31)&gt;$D$4,"",IFERROR(INDEX(tblRegistros[Taxa aplicada],$L31),"")))</f>
        <v>23.5</v>
      </c>
      <c r="I31" s="3">
        <f>IF($L31="","",IF(INDEX(tblRegistros[Data],$L31)&gt;$D$4,"",IFERROR(IF(INDEX(tblRegistros[Status],$L31)="EM ABERTO","",INDEX(tblRegistros[Valor],$L31)),"")))</f>
        <v>98.497638888366055</v>
      </c>
      <c r="J31" t="str">
        <f>IF($L31="","",IF(INDEX(tblRegistros[Data],$L31)&gt;$D$4,"",IFERROR(INDEX(tblRegistros[Status],$L31),"")))</f>
        <v>CONCLUÍDO</v>
      </c>
      <c r="K31">
        <f>IF($L31="","",IF(INDEX(tblRegistros[Data],$L31)&gt;$D$4,"",IFERROR(INDEX(tblRegistros[Observação],$L31),"")))</f>
        <v>0</v>
      </c>
      <c r="L31" s="16">
        <f>IFERROR(MATCH($B$3*100000+COUNTIFS(tblRegistros[ID],$B$3,tblRegistros[Data],"&lt;"&amp;$B$4)+ROWS($L$10:L31),tblRegistros[Chave do cartão],0),"")</f>
        <v>331</v>
      </c>
    </row>
    <row r="32" spans="1:12">
      <c r="A32" s="2">
        <f>IF($L32="","",IF(INDEX(tblRegistros[Data],$L32)&gt;$D$4,"",IFERROR(INDEX(tblRegistros[Data],$L32),"")))</f>
        <v>46280</v>
      </c>
      <c r="B32" t="str">
        <f>IF($L32="","",IF(INDEX(tblRegistros[Data],$L32)&gt;$D$4,"",IFERROR(INDEX(tblRegistros[Projeto],$L32),"")))</f>
        <v>TOOLKIT</v>
      </c>
      <c r="C32" t="str">
        <f>IF($L32="","",IF(INDEX(tblRegistros[Data],$L32)&gt;$D$4,"",IFERROR(INDEX(tblRegistros[Atividade],$L32),"")))</f>
        <v>ANÁLISE</v>
      </c>
      <c r="D32" s="4">
        <f>IF($L32="","",IF(INDEX(tblRegistros[Data],$L32)&gt;$D$4,"",IFERROR(INDEX(tblRegistros[Início],$L32),"")))</f>
        <v>0.54193287037196569</v>
      </c>
      <c r="E32" s="4">
        <f>IF($L32="","",IF(INDEX(tblRegistros[Data],$L32)&gt;$D$4,"",IFERROR(IF(INDEX(tblRegistros[Status],$L32)="EM ABERTO","",INDEX(tblRegistros[Fim],$L32)),"")))</f>
        <v>0.74679398148145992</v>
      </c>
      <c r="F32" s="14">
        <f>IF($L32="","",IF(INDEX(tblRegistros[Data],$L32)&gt;$D$4,"",IFERROR(IF(INDEX(tblRegistros[Status],$L32)="EM ABERTO","",INDEX(tblRegistros[Horas],$L32)),"")))</f>
        <v>4.9166666666278616</v>
      </c>
      <c r="G32" t="str">
        <f>IF($L32="","",IF(INDEX(tblRegistros[Data],$L32)&gt;$D$4,"",IFERROR(INDEX(tblRegistros[Base],$L32),"")))</f>
        <v>Hora</v>
      </c>
      <c r="H32" s="3">
        <f>IF($L32="","",IF(INDEX(tblRegistros[Data],$L32)&gt;$D$4,"",IFERROR(INDEX(tblRegistros[Taxa aplicada],$L32),"")))</f>
        <v>23.5</v>
      </c>
      <c r="I32" s="3">
        <f>IF($L32="","",IF(INDEX(tblRegistros[Data],$L32)&gt;$D$4,"",IFERROR(IF(INDEX(tblRegistros[Status],$L32)="EM ABERTO","",INDEX(tblRegistros[Valor],$L32)),"")))</f>
        <v>115.54166666575475</v>
      </c>
      <c r="J32" t="str">
        <f>IF($L32="","",IF(INDEX(tblRegistros[Data],$L32)&gt;$D$4,"",IFERROR(INDEX(tblRegistros[Status],$L32),"")))</f>
        <v>CONCLUÍDO</v>
      </c>
      <c r="K32">
        <f>IF($L32="","",IF(INDEX(tblRegistros[Data],$L32)&gt;$D$4,"",IFERROR(INDEX(tblRegistros[Observação],$L32),"")))</f>
        <v>0</v>
      </c>
      <c r="L32" s="16">
        <f>IFERROR(MATCH($B$3*100000+COUNTIFS(tblRegistros[ID],$B$3,tblRegistros[Data],"&lt;"&amp;$B$4)+ROWS($L$10:L32),tblRegistros[Chave do cartão],0),"")</f>
        <v>337</v>
      </c>
    </row>
    <row r="33" spans="1:12">
      <c r="A33" s="2">
        <f>IF($L33="","",IF(INDEX(tblRegistros[Data],$L33)&gt;$D$4,"",IFERROR(INDEX(tblRegistros[Data],$L33),"")))</f>
        <v>46281</v>
      </c>
      <c r="B33" t="str">
        <f>IF($L33="","",IF(INDEX(tblRegistros[Data],$L33)&gt;$D$4,"",IFERROR(INDEX(tblRegistros[Projeto],$L33),"")))</f>
        <v>TOOLKIT</v>
      </c>
      <c r="C33" t="str">
        <f>IF($L33="","",IF(INDEX(tblRegistros[Data],$L33)&gt;$D$4,"",IFERROR(INDEX(tblRegistros[Atividade],$L33),"")))</f>
        <v>ANÁLISE</v>
      </c>
      <c r="D33" s="4">
        <f>IF($L33="","",IF(INDEX(tblRegistros[Data],$L33)&gt;$D$4,"",IFERROR(INDEX(tblRegistros[Início],$L33),"")))</f>
        <v>0.36697916666889796</v>
      </c>
      <c r="E33" s="4">
        <f>IF($L33="","",IF(INDEX(tblRegistros[Data],$L33)&gt;$D$4,"",IFERROR(IF(INDEX(tblRegistros[Status],$L33)="EM ABERTO","",INDEX(tblRegistros[Fim],$L33)),"")))</f>
        <v>0.50231481481750961</v>
      </c>
      <c r="F33" s="14">
        <f>IF($L33="","",IF(INDEX(tblRegistros[Data],$L33)&gt;$D$4,"",IFERROR(IF(INDEX(tblRegistros[Status],$L33)="EM ABERTO","",INDEX(tblRegistros[Horas],$L33)),"")))</f>
        <v>3.2480555555666797</v>
      </c>
      <c r="G33" t="str">
        <f>IF($L33="","",IF(INDEX(tblRegistros[Data],$L33)&gt;$D$4,"",IFERROR(INDEX(tblRegistros[Base],$L33),"")))</f>
        <v>Hora</v>
      </c>
      <c r="H33" s="3">
        <f>IF($L33="","",IF(INDEX(tblRegistros[Data],$L33)&gt;$D$4,"",IFERROR(INDEX(tblRegistros[Taxa aplicada],$L33),"")))</f>
        <v>23.5</v>
      </c>
      <c r="I33" s="3">
        <f>IF($L33="","",IF(INDEX(tblRegistros[Data],$L33)&gt;$D$4,"",IFERROR(IF(INDEX(tblRegistros[Status],$L33)="EM ABERTO","",INDEX(tblRegistros[Valor],$L33)),"")))</f>
        <v>76.329305555816973</v>
      </c>
      <c r="J33" t="str">
        <f>IF($L33="","",IF(INDEX(tblRegistros[Data],$L33)&gt;$D$4,"",IFERROR(INDEX(tblRegistros[Status],$L33),"")))</f>
        <v>CONCLUÍDO</v>
      </c>
      <c r="K33">
        <f>IF($L33="","",IF(INDEX(tblRegistros[Data],$L33)&gt;$D$4,"",IFERROR(INDEX(tblRegistros[Observação],$L33),"")))</f>
        <v>0</v>
      </c>
      <c r="L33" s="16">
        <f>IFERROR(MATCH($B$3*100000+COUNTIFS(tblRegistros[ID],$B$3,tblRegistros[Data],"&lt;"&amp;$B$4)+ROWS($L$10:L33),tblRegistros[Chave do cartão],0),"")</f>
        <v>342</v>
      </c>
    </row>
    <row r="34" spans="1:12">
      <c r="A34" s="2">
        <f>IF($L34="","",IF(INDEX(tblRegistros[Data],$L34)&gt;$D$4,"",IFERROR(INDEX(tblRegistros[Data],$L34),"")))</f>
        <v>46281</v>
      </c>
      <c r="B34" t="str">
        <f>IF($L34="","",IF(INDEX(tblRegistros[Data],$L34)&gt;$D$4,"",IFERROR(INDEX(tblRegistros[Projeto],$L34),"")))</f>
        <v>CFI / ACCION</v>
      </c>
      <c r="C34" t="str">
        <f>IF($L34="","",IF(INDEX(tblRegistros[Data],$L34)&gt;$D$4,"",IFERROR(INDEX(tblRegistros[Atividade],$L34),"")))</f>
        <v>ANÁLISE</v>
      </c>
      <c r="D34" s="4">
        <f>IF($L34="","",IF(INDEX(tblRegistros[Data],$L34)&gt;$D$4,"",IFERROR(INDEX(tblRegistros[Início],$L34),"")))</f>
        <v>0.53659722222073469</v>
      </c>
      <c r="E34" s="4" t="str">
        <f>IF($L34="","",IF(INDEX(tblRegistros[Data],$L34)&gt;$D$4,"",IFERROR(IF(INDEX(tblRegistros[Status],$L34)="EM ABERTO","",INDEX(tblRegistros[Fim],$L34)),"")))</f>
        <v/>
      </c>
      <c r="F34" s="14" t="str">
        <f>IF($L34="","",IF(INDEX(tblRegistros[Data],$L34)&gt;$D$4,"",IFERROR(IF(INDEX(tblRegistros[Status],$L34)="EM ABERTO","",INDEX(tblRegistros[Horas],$L34)),"")))</f>
        <v/>
      </c>
      <c r="G34" t="str">
        <f>IF($L34="","",IF(INDEX(tblRegistros[Data],$L34)&gt;$D$4,"",IFERROR(INDEX(tblRegistros[Base],$L34),"")))</f>
        <v>Hora</v>
      </c>
      <c r="H34" s="3">
        <f>IF($L34="","",IF(INDEX(tblRegistros[Data],$L34)&gt;$D$4,"",IFERROR(INDEX(tblRegistros[Taxa aplicada],$L34),"")))</f>
        <v>23.5</v>
      </c>
      <c r="I34" s="3" t="str">
        <f>IF($L34="","",IF(INDEX(tblRegistros[Data],$L34)&gt;$D$4,"",IFERROR(IF(INDEX(tblRegistros[Status],$L34)="EM ABERTO","",INDEX(tblRegistros[Valor],$L34)),"")))</f>
        <v/>
      </c>
      <c r="J34" t="str">
        <f>IF($L34="","",IF(INDEX(tblRegistros[Data],$L34)&gt;$D$4,"",IFERROR(INDEX(tblRegistros[Status],$L34),"")))</f>
        <v>EM ABERTO</v>
      </c>
      <c r="K34" t="str">
        <f>IF($L34="","",IF(INDEX(tblRegistros[Data],$L34)&gt;$D$4,"",IFERROR(INDEX(tblRegistros[Observação],$L34),"")))</f>
        <v/>
      </c>
      <c r="L34" s="16">
        <f>IFERROR(MATCH($B$3*100000+COUNTIFS(tblRegistros[ID],$B$3,tblRegistros[Data],"&lt;"&amp;$B$4)+ROWS($L$10:L34),tblRegistros[Chave do cartão],0),"")</f>
        <v>344</v>
      </c>
    </row>
    <row r="35" spans="1:12">
      <c r="A35" s="2">
        <f>IF($L35="","",IF(INDEX(tblRegistros[Data],$L35)&gt;$D$4,"",IFERROR(INDEX(tblRegistros[Data],$L35),"")))</f>
        <v>46281</v>
      </c>
      <c r="B35" t="str">
        <f>IF($L35="","",IF(INDEX(tblRegistros[Data],$L35)&gt;$D$4,"",IFERROR(INDEX(tblRegistros[Projeto],$L35),"")))</f>
        <v>CFI / ACCION</v>
      </c>
      <c r="C35" t="str">
        <f>IF($L35="","",IF(INDEX(tblRegistros[Data],$L35)&gt;$D$4,"",IFERROR(INDEX(tblRegistros[Atividade],$L35),"")))</f>
        <v>ANÁLISE</v>
      </c>
      <c r="D35" s="4">
        <f>IF($L35="","",IF(INDEX(tblRegistros[Data],$L35)&gt;$D$4,"",IFERROR(INDEX(tblRegistros[Início],$L35),"")))</f>
        <v>0.74942129629926058</v>
      </c>
      <c r="E35" s="4" t="str">
        <f>IF($L35="","",IF(INDEX(tblRegistros[Data],$L35)&gt;$D$4,"",IFERROR(IF(INDEX(tblRegistros[Status],$L35)="EM ABERTO","",INDEX(tblRegistros[Fim],$L35)),"")))</f>
        <v/>
      </c>
      <c r="F35" s="14" t="str">
        <f>IF($L35="","",IF(INDEX(tblRegistros[Data],$L35)&gt;$D$4,"",IFERROR(IF(INDEX(tblRegistros[Status],$L35)="EM ABERTO","",INDEX(tblRegistros[Horas],$L35)),"")))</f>
        <v/>
      </c>
      <c r="G35" t="str">
        <f>IF($L35="","",IF(INDEX(tblRegistros[Data],$L35)&gt;$D$4,"",IFERROR(INDEX(tblRegistros[Base],$L35),"")))</f>
        <v>Hora</v>
      </c>
      <c r="H35" s="3">
        <f>IF($L35="","",IF(INDEX(tblRegistros[Data],$L35)&gt;$D$4,"",IFERROR(INDEX(tblRegistros[Taxa aplicada],$L35),"")))</f>
        <v>23.5</v>
      </c>
      <c r="I35" s="3" t="str">
        <f>IF($L35="","",IF(INDEX(tblRegistros[Data],$L35)&gt;$D$4,"",IFERROR(IF(INDEX(tblRegistros[Status],$L35)="EM ABERTO","",INDEX(tblRegistros[Valor],$L35)),"")))</f>
        <v/>
      </c>
      <c r="J35" t="str">
        <f>IF($L35="","",IF(INDEX(tblRegistros[Data],$L35)&gt;$D$4,"",IFERROR(INDEX(tblRegistros[Status],$L35),"")))</f>
        <v>EM ABERTO</v>
      </c>
      <c r="K35" t="str">
        <f>IF($L35="","",IF(INDEX(tblRegistros[Data],$L35)&gt;$D$4,"",IFERROR(INDEX(tblRegistros[Observação],$L35),"")))</f>
        <v/>
      </c>
      <c r="L35" s="16">
        <f>IFERROR(MATCH($B$3*100000+COUNTIFS(tblRegistros[ID],$B$3,tblRegistros[Data],"&lt;"&amp;$B$4)+ROWS($L$10:L35),tblRegistros[Chave do cartão],0),"")</f>
        <v>346</v>
      </c>
    </row>
    <row r="36" spans="1:12">
      <c r="A36" s="2">
        <f>IF($L36="","",IF(INDEX(tblRegistros[Data],$L36)&gt;$D$4,"",IFERROR(INDEX(tblRegistros[Data],$L36),"")))</f>
        <v>46282</v>
      </c>
      <c r="B36" t="str">
        <f>IF($L36="","",IF(INDEX(tblRegistros[Data],$L36)&gt;$D$4,"",IFERROR(INDEX(tblRegistros[Projeto],$L36),"")))</f>
        <v>CFI / ACCION</v>
      </c>
      <c r="C36" t="str">
        <f>IF($L36="","",IF(INDEX(tblRegistros[Data],$L36)&gt;$D$4,"",IFERROR(INDEX(tblRegistros[Atividade],$L36),"")))</f>
        <v>ANÁLISE</v>
      </c>
      <c r="D36" s="4">
        <f>IF($L36="","",IF(INDEX(tblRegistros[Data],$L36)&gt;$D$4,"",IFERROR(INDEX(tblRegistros[Início],$L36),"")))</f>
        <v>0.35723379629780538</v>
      </c>
      <c r="E36" s="4">
        <f>IF($L36="","",IF(INDEX(tblRegistros[Data],$L36)&gt;$D$4,"",IFERROR(IF(INDEX(tblRegistros[Status],$L36)="EM ABERTO","",INDEX(tblRegistros[Fim],$L36)),"")))</f>
        <v>0.50310185184935108</v>
      </c>
      <c r="F36" s="14">
        <f>IF($L36="","",IF(INDEX(tblRegistros[Data],$L36)&gt;$D$4,"",IFERROR(IF(INDEX(tblRegistros[Status],$L36)="EM ABERTO","",INDEX(tblRegistros[Horas],$L36)),"")))</f>
        <v>3.5008333332370967</v>
      </c>
      <c r="G36" t="str">
        <f>IF($L36="","",IF(INDEX(tblRegistros[Data],$L36)&gt;$D$4,"",IFERROR(INDEX(tblRegistros[Base],$L36),"")))</f>
        <v>Hora</v>
      </c>
      <c r="H36" s="3">
        <f>IF($L36="","",IF(INDEX(tblRegistros[Data],$L36)&gt;$D$4,"",IFERROR(INDEX(tblRegistros[Taxa aplicada],$L36),"")))</f>
        <v>23.5</v>
      </c>
      <c r="I36" s="3">
        <f>IF($L36="","",IF(INDEX(tblRegistros[Data],$L36)&gt;$D$4,"",IFERROR(IF(INDEX(tblRegistros[Status],$L36)="EM ABERTO","",INDEX(tblRegistros[Valor],$L36)),"")))</f>
        <v>82.269583331071772</v>
      </c>
      <c r="J36" t="str">
        <f>IF($L36="","",IF(INDEX(tblRegistros[Data],$L36)&gt;$D$4,"",IFERROR(INDEX(tblRegistros[Status],$L36),"")))</f>
        <v>CONCLUÍDO</v>
      </c>
      <c r="K36">
        <f>IF($L36="","",IF(INDEX(tblRegistros[Data],$L36)&gt;$D$4,"",IFERROR(INDEX(tblRegistros[Observação],$L36),"")))</f>
        <v>0</v>
      </c>
      <c r="L36" s="16">
        <f>IFERROR(MATCH($B$3*100000+COUNTIFS(tblRegistros[ID],$B$3,tblRegistros[Data],"&lt;"&amp;$B$4)+ROWS($L$10:L36),tblRegistros[Chave do cartão],0),"")</f>
        <v>350</v>
      </c>
    </row>
    <row r="37" spans="1:12">
      <c r="A37" s="2">
        <f>IF($L37="","",IF(INDEX(tblRegistros[Data],$L37)&gt;$D$4,"",IFERROR(INDEX(tblRegistros[Data],$L37),"")))</f>
        <v>46282</v>
      </c>
      <c r="B37" t="str">
        <f>IF($L37="","",IF(INDEX(tblRegistros[Data],$L37)&gt;$D$4,"",IFERROR(INDEX(tblRegistros[Projeto],$L37),"")))</f>
        <v>TOOLKIT</v>
      </c>
      <c r="C37" t="str">
        <f>IF($L37="","",IF(INDEX(tblRegistros[Data],$L37)&gt;$D$4,"",IFERROR(INDEX(tblRegistros[Atividade],$L37),"")))</f>
        <v>ANÁLISE</v>
      </c>
      <c r="D37" s="4">
        <f>IF($L37="","",IF(INDEX(tblRegistros[Data],$L37)&gt;$D$4,"",IFERROR(INDEX(tblRegistros[Início],$L37),"")))</f>
        <v>0.55282407407503342</v>
      </c>
      <c r="E37" s="4">
        <f>IF($L37="","",IF(INDEX(tblRegistros[Data],$L37)&gt;$D$4,"",IFERROR(IF(INDEX(tblRegistros[Status],$L37)="EM ABERTO","",INDEX(tblRegistros[Fim],$L37)),"")))</f>
        <v>0.747349537035916</v>
      </c>
      <c r="F37" s="14">
        <f>IF($L37="","",IF(INDEX(tblRegistros[Data],$L37)&gt;$D$4,"",IFERROR(IF(INDEX(tblRegistros[Status],$L37)="EM ABERTO","",INDEX(tblRegistros[Horas],$L37)),"")))</f>
        <v>4.6686111110611819</v>
      </c>
      <c r="G37" t="str">
        <f>IF($L37="","",IF(INDEX(tblRegistros[Data],$L37)&gt;$D$4,"",IFERROR(INDEX(tblRegistros[Base],$L37),"")))</f>
        <v>Hora</v>
      </c>
      <c r="H37" s="3">
        <f>IF($L37="","",IF(INDEX(tblRegistros[Data],$L37)&gt;$D$4,"",IFERROR(INDEX(tblRegistros[Taxa aplicada],$L37),"")))</f>
        <v>23.5</v>
      </c>
      <c r="I37" s="3">
        <f>IF($L37="","",IF(INDEX(tblRegistros[Data],$L37)&gt;$D$4,"",IFERROR(IF(INDEX(tblRegistros[Status],$L37)="EM ABERTO","",INDEX(tblRegistros[Valor],$L37)),"")))</f>
        <v>109.71236110993777</v>
      </c>
      <c r="J37" t="str">
        <f>IF($L37="","",IF(INDEX(tblRegistros[Data],$L37)&gt;$D$4,"",IFERROR(INDEX(tblRegistros[Status],$L37),"")))</f>
        <v>CONCLUÍDO</v>
      </c>
      <c r="K37">
        <f>IF($L37="","",IF(INDEX(tblRegistros[Data],$L37)&gt;$D$4,"",IFERROR(INDEX(tblRegistros[Observação],$L37),"")))</f>
        <v>0</v>
      </c>
      <c r="L37" s="16">
        <f>IFERROR(MATCH($B$3*100000+COUNTIFS(tblRegistros[ID],$B$3,tblRegistros[Data],"&lt;"&amp;$B$4)+ROWS($L$10:L37),tblRegistros[Chave do cartão],0),"")</f>
        <v>354</v>
      </c>
    </row>
    <row r="38" spans="1:12">
      <c r="A38" s="2">
        <f>IF($L38="","",IF(INDEX(tblRegistros[Data],$L38)&gt;$D$4,"",IFERROR(INDEX(tblRegistros[Data],$L38),"")))</f>
        <v>46283</v>
      </c>
      <c r="B38" t="str">
        <f>IF($L38="","",IF(INDEX(tblRegistros[Data],$L38)&gt;$D$4,"",IFERROR(INDEX(tblRegistros[Projeto],$L38),"")))</f>
        <v>TOOLKIT</v>
      </c>
      <c r="C38" t="str">
        <f>IF($L38="","",IF(INDEX(tblRegistros[Data],$L38)&gt;$D$4,"",IFERROR(INDEX(tblRegistros[Atividade],$L38),"")))</f>
        <v>ANÁLISE</v>
      </c>
      <c r="D38" s="4">
        <f>IF($L38="","",IF(INDEX(tblRegistros[Data],$L38)&gt;$D$4,"",IFERROR(INDEX(tblRegistros[Início],$L38),"")))</f>
        <v>0.31225694444583496</v>
      </c>
      <c r="E38" s="4">
        <f>IF($L38="","",IF(INDEX(tblRegistros[Data],$L38)&gt;$D$4,"",IFERROR(IF(INDEX(tblRegistros[Status],$L38)="EM ABERTO","",INDEX(tblRegistros[Fim],$L38)),"")))</f>
        <v>0.51211805555794854</v>
      </c>
      <c r="F38" s="14">
        <f>IF($L38="","",IF(INDEX(tblRegistros[Data],$L38)&gt;$D$4,"",IFERROR(IF(INDEX(tblRegistros[Status],$L38)="EM ABERTO","",INDEX(tblRegistros[Horas],$L38)),"")))</f>
        <v>4.7966666666907258</v>
      </c>
      <c r="G38" t="str">
        <f>IF($L38="","",IF(INDEX(tblRegistros[Data],$L38)&gt;$D$4,"",IFERROR(INDEX(tblRegistros[Base],$L38),"")))</f>
        <v>Hora</v>
      </c>
      <c r="H38" s="3">
        <f>IF($L38="","",IF(INDEX(tblRegistros[Data],$L38)&gt;$D$4,"",IFERROR(INDEX(tblRegistros[Taxa aplicada],$L38),"")))</f>
        <v>23.5</v>
      </c>
      <c r="I38" s="3">
        <f>IF($L38="","",IF(INDEX(tblRegistros[Data],$L38)&gt;$D$4,"",IFERROR(IF(INDEX(tblRegistros[Status],$L38)="EM ABERTO","",INDEX(tblRegistros[Valor],$L38)),"")))</f>
        <v>112.72166666723206</v>
      </c>
      <c r="J38" t="str">
        <f>IF($L38="","",IF(INDEX(tblRegistros[Data],$L38)&gt;$D$4,"",IFERROR(INDEX(tblRegistros[Status],$L38),"")))</f>
        <v>CONCLUÍDO</v>
      </c>
      <c r="K38">
        <f>IF($L38="","",IF(INDEX(tblRegistros[Data],$L38)&gt;$D$4,"",IFERROR(INDEX(tblRegistros[Observação],$L38),"")))</f>
        <v>0</v>
      </c>
      <c r="L38" s="16">
        <f>IFERROR(MATCH($B$3*100000+COUNTIFS(tblRegistros[ID],$B$3,tblRegistros[Data],"&lt;"&amp;$B$4)+ROWS($L$10:L38),tblRegistros[Chave do cartão],0),"")</f>
        <v>355</v>
      </c>
    </row>
    <row r="39" spans="1:12">
      <c r="A39" s="2">
        <f>IF($L39="","",IF(INDEX(tblRegistros[Data],$L39)&gt;$D$4,"",IFERROR(INDEX(tblRegistros[Data],$L39),"")))</f>
        <v>46283</v>
      </c>
      <c r="B39" t="str">
        <f>IF($L39="","",IF(INDEX(tblRegistros[Data],$L39)&gt;$D$4,"",IFERROR(INDEX(tblRegistros[Projeto],$L39),"")))</f>
        <v>CFI / ACCION</v>
      </c>
      <c r="C39" t="str">
        <f>IF($L39="","",IF(INDEX(tblRegistros[Data],$L39)&gt;$D$4,"",IFERROR(INDEX(tblRegistros[Atividade],$L39),"")))</f>
        <v>ANÁLISE</v>
      </c>
      <c r="D39" s="4">
        <f>IF($L39="","",IF(INDEX(tblRegistros[Data],$L39)&gt;$D$4,"",IFERROR(INDEX(tblRegistros[Início],$L39),"")))</f>
        <v>0.5507986111115315</v>
      </c>
      <c r="E39" s="4">
        <f>IF($L39="","",IF(INDEX(tblRegistros[Data],$L39)&gt;$D$4,"",IFERROR(IF(INDEX(tblRegistros[Status],$L39)="EM ABERTO","",INDEX(tblRegistros[Fim],$L39)),"")))</f>
        <v>0.708425925928168</v>
      </c>
      <c r="F39" s="14">
        <f>IF($L39="","",IF(INDEX(tblRegistros[Data],$L39)&gt;$D$4,"",IFERROR(IF(INDEX(tblRegistros[Status],$L39)="EM ABERTO","",INDEX(tblRegistros[Horas],$L39)),"")))</f>
        <v>3.783055555599276</v>
      </c>
      <c r="G39" t="str">
        <f>IF($L39="","",IF(INDEX(tblRegistros[Data],$L39)&gt;$D$4,"",IFERROR(INDEX(tblRegistros[Base],$L39),"")))</f>
        <v>Hora</v>
      </c>
      <c r="H39" s="3">
        <f>IF($L39="","",IF(INDEX(tblRegistros[Data],$L39)&gt;$D$4,"",IFERROR(INDEX(tblRegistros[Taxa aplicada],$L39),"")))</f>
        <v>23.5</v>
      </c>
      <c r="I39" s="3">
        <f>IF($L39="","",IF(INDEX(tblRegistros[Data],$L39)&gt;$D$4,"",IFERROR(IF(INDEX(tblRegistros[Status],$L39)="EM ABERTO","",INDEX(tblRegistros[Valor],$L39)),"")))</f>
        <v>88.901805556582985</v>
      </c>
      <c r="J39" t="str">
        <f>IF($L39="","",IF(INDEX(tblRegistros[Data],$L39)&gt;$D$4,"",IFERROR(INDEX(tblRegistros[Status],$L39),"")))</f>
        <v>CONCLUÍDO</v>
      </c>
      <c r="K39">
        <f>IF($L39="","",IF(INDEX(tblRegistros[Data],$L39)&gt;$D$4,"",IFERROR(INDEX(tblRegistros[Observação],$L39),"")))</f>
        <v>0</v>
      </c>
      <c r="L39" s="16">
        <f>IFERROR(MATCH($B$3*100000+COUNTIFS(tblRegistros[ID],$B$3,tblRegistros[Data],"&lt;"&amp;$B$4)+ROWS($L$10:L39),tblRegistros[Chave do cartão],0),"")</f>
        <v>362</v>
      </c>
    </row>
    <row r="40" spans="1:12">
      <c r="A40" s="2">
        <f>IF($L40="","",IF(INDEX(tblRegistros[Data],$L40)&gt;$D$4,"",IFERROR(INDEX(tblRegistros[Data],$L40),"")))</f>
        <v>46284</v>
      </c>
      <c r="B40" t="str">
        <f>IF($L40="","",IF(INDEX(tblRegistros[Data],$L40)&gt;$D$4,"",IFERROR(INDEX(tblRegistros[Projeto],$L40),"")))</f>
        <v>TOOLKIT</v>
      </c>
      <c r="C40" t="str">
        <f>IF($L40="","",IF(INDEX(tblRegistros[Data],$L40)&gt;$D$4,"",IFERROR(INDEX(tblRegistros[Atividade],$L40),"")))</f>
        <v>ANÁLISE</v>
      </c>
      <c r="D40" s="4">
        <f>IF($L40="","",IF(INDEX(tblRegistros[Data],$L40)&gt;$D$4,"",IFERROR(INDEX(tblRegistros[Início],$L40),"")))</f>
        <v>0.59400462963094469</v>
      </c>
      <c r="E40" s="4">
        <f>IF($L40="","",IF(INDEX(tblRegistros[Data],$L40)&gt;$D$4,"",IFERROR(IF(INDEX(tblRegistros[Status],$L40)="EM ABERTO","",INDEX(tblRegistros[Fim],$L40)),"")))</f>
        <v>0.67712962962832535</v>
      </c>
      <c r="F40" s="14">
        <f>IF($L40="","",IF(INDEX(tblRegistros[Data],$L40)&gt;$D$4,"",IFERROR(IF(INDEX(tblRegistros[Status],$L40)="EM ABERTO","",INDEX(tblRegistros[Horas],$L40)),"")))</f>
        <v>1.9949999999371357</v>
      </c>
      <c r="G40" t="str">
        <f>IF($L40="","",IF(INDEX(tblRegistros[Data],$L40)&gt;$D$4,"",IFERROR(INDEX(tblRegistros[Base],$L40),"")))</f>
        <v>Hora</v>
      </c>
      <c r="H40" s="3">
        <f>IF($L40="","",IF(INDEX(tblRegistros[Data],$L40)&gt;$D$4,"",IFERROR(INDEX(tblRegistros[Taxa aplicada],$L40),"")))</f>
        <v>23.5</v>
      </c>
      <c r="I40" s="3">
        <f>IF($L40="","",IF(INDEX(tblRegistros[Data],$L40)&gt;$D$4,"",IFERROR(IF(INDEX(tblRegistros[Status],$L40)="EM ABERTO","",INDEX(tblRegistros[Valor],$L40)),"")))</f>
        <v>46.88249999852269</v>
      </c>
      <c r="J40" t="str">
        <f>IF($L40="","",IF(INDEX(tblRegistros[Data],$L40)&gt;$D$4,"",IFERROR(INDEX(tblRegistros[Status],$L40),"")))</f>
        <v>CONCLUÍDO</v>
      </c>
      <c r="K40">
        <f>IF($L40="","",IF(INDEX(tblRegistros[Data],$L40)&gt;$D$4,"",IFERROR(INDEX(tblRegistros[Observação],$L40),"")))</f>
        <v>0</v>
      </c>
      <c r="L40" s="16">
        <f>IFERROR(MATCH($B$3*100000+COUNTIFS(tblRegistros[ID],$B$3,tblRegistros[Data],"&lt;"&amp;$B$4)+ROWS($L$10:L40),tblRegistros[Chave do cartão],0),"")</f>
        <v>368</v>
      </c>
    </row>
    <row r="41" spans="1:12">
      <c r="A41" s="2">
        <f>IF($L41="","",IF(INDEX(tblRegistros[Data],$L41)&gt;$D$4,"",IFERROR(INDEX(tblRegistros[Data],$L41),"")))</f>
        <v>46286</v>
      </c>
      <c r="B41" t="str">
        <f>IF($L41="","",IF(INDEX(tblRegistros[Data],$L41)&gt;$D$4,"",IFERROR(INDEX(tblRegistros[Projeto],$L41),"")))</f>
        <v>TOOLKIT</v>
      </c>
      <c r="C41" t="str">
        <f>IF($L41="","",IF(INDEX(tblRegistros[Data],$L41)&gt;$D$4,"",IFERROR(INDEX(tblRegistros[Atividade],$L41),"")))</f>
        <v>ANÁLISE</v>
      </c>
      <c r="D41" s="4">
        <f>IF($L41="","",IF(INDEX(tblRegistros[Data],$L41)&gt;$D$4,"",IFERROR(INDEX(tblRegistros[Início],$L41),"")))</f>
        <v>0.34487268518569181</v>
      </c>
      <c r="E41" s="4">
        <f>IF($L41="","",IF(INDEX(tblRegistros[Data],$L41)&gt;$D$4,"",IFERROR(IF(INDEX(tblRegistros[Status],$L41)="EM ABERTO","",INDEX(tblRegistros[Fim],$L41)),"")))</f>
        <v>0.51094907407241408</v>
      </c>
      <c r="F41" s="14">
        <f>IF($L41="","",IF(INDEX(tblRegistros[Data],$L41)&gt;$D$4,"",IFERROR(IF(INDEX(tblRegistros[Status],$L41)="EM ABERTO","",INDEX(tblRegistros[Horas],$L41)),"")))</f>
        <v>3.9858333332813345</v>
      </c>
      <c r="G41" t="str">
        <f>IF($L41="","",IF(INDEX(tblRegistros[Data],$L41)&gt;$D$4,"",IFERROR(INDEX(tblRegistros[Base],$L41),"")))</f>
        <v>Hora</v>
      </c>
      <c r="H41" s="3">
        <f>IF($L41="","",IF(INDEX(tblRegistros[Data],$L41)&gt;$D$4,"",IFERROR(INDEX(tblRegistros[Taxa aplicada],$L41),"")))</f>
        <v>23.5</v>
      </c>
      <c r="I41" s="3">
        <f>IF($L41="","",IF(INDEX(tblRegistros[Data],$L41)&gt;$D$4,"",IFERROR(IF(INDEX(tblRegistros[Status],$L41)="EM ABERTO","",INDEX(tblRegistros[Valor],$L41)),"")))</f>
        <v>93.667083332111361</v>
      </c>
      <c r="J41" t="str">
        <f>IF($L41="","",IF(INDEX(tblRegistros[Data],$L41)&gt;$D$4,"",IFERROR(INDEX(tblRegistros[Status],$L41),"")))</f>
        <v>CONCLUÍDO</v>
      </c>
      <c r="K41">
        <f>IF($L41="","",IF(INDEX(tblRegistros[Data],$L41)&gt;$D$4,"",IFERROR(INDEX(tblRegistros[Observação],$L41),"")))</f>
        <v>0</v>
      </c>
      <c r="L41" s="16">
        <f>IFERROR(MATCH($B$3*100000+COUNTIFS(tblRegistros[ID],$B$3,tblRegistros[Data],"&lt;"&amp;$B$4)+ROWS($L$10:L41),tblRegistros[Chave do cartão],0),"")</f>
        <v>373</v>
      </c>
    </row>
    <row r="42" spans="1:12">
      <c r="A42" s="2">
        <f>IF($L42="","",IF(INDEX(tblRegistros[Data],$L42)&gt;$D$4,"",IFERROR(INDEX(tblRegistros[Data],$L42),"")))</f>
        <v>46286</v>
      </c>
      <c r="B42" t="str">
        <f>IF($L42="","",IF(INDEX(tblRegistros[Data],$L42)&gt;$D$4,"",IFERROR(INDEX(tblRegistros[Projeto],$L42),"")))</f>
        <v>OTEMPO</v>
      </c>
      <c r="C42" t="str">
        <f>IF($L42="","",IF(INDEX(tblRegistros[Data],$L42)&gt;$D$4,"",IFERROR(INDEX(tblRegistros[Atividade],$L42),"")))</f>
        <v>ANÁLISE</v>
      </c>
      <c r="D42" s="4">
        <f>IF($L42="","",IF(INDEX(tblRegistros[Data],$L42)&gt;$D$4,"",IFERROR(INDEX(tblRegistros[Início],$L42),"")))</f>
        <v>0.55280092592875008</v>
      </c>
      <c r="E42" s="4">
        <f>IF($L42="","",IF(INDEX(tblRegistros[Data],$L42)&gt;$D$4,"",IFERROR(IF(INDEX(tblRegistros[Status],$L42)="EM ABERTO","",INDEX(tblRegistros[Fim],$L42)),"")))</f>
        <v>0.7461111111115315</v>
      </c>
      <c r="F42" s="14">
        <f>IF($L42="","",IF(INDEX(tblRegistros[Data],$L42)&gt;$D$4,"",IFERROR(IF(INDEX(tblRegistros[Status],$L42)="EM ABERTO","",INDEX(tblRegistros[Horas],$L42)),"")))</f>
        <v>4.6394444443867542</v>
      </c>
      <c r="G42" t="str">
        <f>IF($L42="","",IF(INDEX(tblRegistros[Data],$L42)&gt;$D$4,"",IFERROR(INDEX(tblRegistros[Base],$L42),"")))</f>
        <v>Hora</v>
      </c>
      <c r="H42" s="3">
        <f>IF($L42="","",IF(INDEX(tblRegistros[Data],$L42)&gt;$D$4,"",IFERROR(INDEX(tblRegistros[Taxa aplicada],$L42),"")))</f>
        <v>23.5</v>
      </c>
      <c r="I42" s="3">
        <f>IF($L42="","",IF(INDEX(tblRegistros[Data],$L42)&gt;$D$4,"",IFERROR(IF(INDEX(tblRegistros[Status],$L42)="EM ABERTO","",INDEX(tblRegistros[Valor],$L42)),"")))</f>
        <v>109.02694444308872</v>
      </c>
      <c r="J42" t="str">
        <f>IF($L42="","",IF(INDEX(tblRegistros[Data],$L42)&gt;$D$4,"",IFERROR(INDEX(tblRegistros[Status],$L42),"")))</f>
        <v>CONCLUÍDO</v>
      </c>
      <c r="K42">
        <f>IF($L42="","",IF(INDEX(tblRegistros[Data],$L42)&gt;$D$4,"",IFERROR(INDEX(tblRegistros[Observação],$L42),"")))</f>
        <v>0</v>
      </c>
      <c r="L42" s="16">
        <f>IFERROR(MATCH($B$3*100000+COUNTIFS(tblRegistros[ID],$B$3,tblRegistros[Data],"&lt;"&amp;$B$4)+ROWS($L$10:L42),tblRegistros[Chave do cartão],0),"")</f>
        <v>377</v>
      </c>
    </row>
    <row r="43" spans="1:12">
      <c r="A43" s="2">
        <f>IF($L43="","",IF(INDEX(tblRegistros[Data],$L43)&gt;$D$4,"",IFERROR(INDEX(tblRegistros[Data],$L43),"")))</f>
        <v>46287</v>
      </c>
      <c r="B43" t="str">
        <f>IF($L43="","",IF(INDEX(tblRegistros[Data],$L43)&gt;$D$4,"",IFERROR(INDEX(tblRegistros[Projeto],$L43),"")))</f>
        <v>TOOLKIT</v>
      </c>
      <c r="C43" t="str">
        <f>IF($L43="","",IF(INDEX(tblRegistros[Data],$L43)&gt;$D$4,"",IFERROR(INDEX(tblRegistros[Atividade],$L43),"")))</f>
        <v>ANÁLISE</v>
      </c>
      <c r="D43" s="4">
        <f>IF($L43="","",IF(INDEX(tblRegistros[Data],$L43)&gt;$D$4,"",IFERROR(INDEX(tblRegistros[Início],$L43),"")))</f>
        <v>0.37957175925839692</v>
      </c>
      <c r="E43" s="4">
        <f>IF($L43="","",IF(INDEX(tblRegistros[Data],$L43)&gt;$D$4,"",IFERROR(IF(INDEX(tblRegistros[Status],$L43)="EM ABERTO","",INDEX(tblRegistros[Fim],$L43)),"")))</f>
        <v>0.51136574074189411</v>
      </c>
      <c r="F43" s="14">
        <f>IF($L43="","",IF(INDEX(tblRegistros[Data],$L43)&gt;$D$4,"",IFERROR(IF(INDEX(tblRegistros[Status],$L43)="EM ABERTO","",INDEX(tblRegistros[Horas],$L43)),"")))</f>
        <v>3.1630555556039326</v>
      </c>
      <c r="G43" t="str">
        <f>IF($L43="","",IF(INDEX(tblRegistros[Data],$L43)&gt;$D$4,"",IFERROR(INDEX(tblRegistros[Base],$L43),"")))</f>
        <v>Hora</v>
      </c>
      <c r="H43" s="3">
        <f>IF($L43="","",IF(INDEX(tblRegistros[Data],$L43)&gt;$D$4,"",IFERROR(INDEX(tblRegistros[Taxa aplicada],$L43),"")))</f>
        <v>23.5</v>
      </c>
      <c r="I43" s="3">
        <f>IF($L43="","",IF(INDEX(tblRegistros[Data],$L43)&gt;$D$4,"",IFERROR(IF(INDEX(tblRegistros[Status],$L43)="EM ABERTO","",INDEX(tblRegistros[Valor],$L43)),"")))</f>
        <v>74.331805556692416</v>
      </c>
      <c r="J43" t="str">
        <f>IF($L43="","",IF(INDEX(tblRegistros[Data],$L43)&gt;$D$4,"",IFERROR(INDEX(tblRegistros[Status],$L43),"")))</f>
        <v>CONCLUÍDO</v>
      </c>
      <c r="K43">
        <f>IF($L43="","",IF(INDEX(tblRegistros[Data],$L43)&gt;$D$4,"",IFERROR(INDEX(tblRegistros[Observação],$L43),"")))</f>
        <v>0</v>
      </c>
      <c r="L43" s="16">
        <f>IFERROR(MATCH($B$3*100000+COUNTIFS(tblRegistros[ID],$B$3,tblRegistros[Data],"&lt;"&amp;$B$4)+ROWS($L$10:L43),tblRegistros[Chave do cartão],0),"")</f>
        <v>382</v>
      </c>
    </row>
    <row r="44" spans="1:12">
      <c r="A44" s="2">
        <f>IF($L44="","",IF(INDEX(tblRegistros[Data],$L44)&gt;$D$4,"",IFERROR(INDEX(tblRegistros[Data],$L44),"")))</f>
        <v>46287</v>
      </c>
      <c r="B44" t="str">
        <f>IF($L44="","",IF(INDEX(tblRegistros[Data],$L44)&gt;$D$4,"",IFERROR(INDEX(tblRegistros[Projeto],$L44),"")))</f>
        <v>TOOLKIT</v>
      </c>
      <c r="C44" t="str">
        <f>IF($L44="","",IF(INDEX(tblRegistros[Data],$L44)&gt;$D$4,"",IFERROR(INDEX(tblRegistros[Atividade],$L44),"")))</f>
        <v>ANÁLISE</v>
      </c>
      <c r="D44" s="4">
        <f>IF($L44="","",IF(INDEX(tblRegistros[Data],$L44)&gt;$D$4,"",IFERROR(INDEX(tblRegistros[Início],$L44),"")))</f>
        <v>0.55972222222044365</v>
      </c>
      <c r="E44" s="4">
        <f>IF($L44="","",IF(INDEX(tblRegistros[Data],$L44)&gt;$D$4,"",IFERROR(IF(INDEX(tblRegistros[Status],$L44)="EM ABERTO","",INDEX(tblRegistros[Fim],$L44)),"")))</f>
        <v>0.74774305555911269</v>
      </c>
      <c r="F44" s="14">
        <f>IF($L44="","",IF(INDEX(tblRegistros[Data],$L44)&gt;$D$4,"",IFERROR(IF(INDEX(tblRegistros[Status],$L44)="EM ABERTO","",INDEX(tblRegistros[Horas],$L44)),"")))</f>
        <v>4.5125000001280569</v>
      </c>
      <c r="G44" t="str">
        <f>IF($L44="","",IF(INDEX(tblRegistros[Data],$L44)&gt;$D$4,"",IFERROR(INDEX(tblRegistros[Base],$L44),"")))</f>
        <v>Hora</v>
      </c>
      <c r="H44" s="3">
        <f>IF($L44="","",IF(INDEX(tblRegistros[Data],$L44)&gt;$D$4,"",IFERROR(INDEX(tblRegistros[Taxa aplicada],$L44),"")))</f>
        <v>23.5</v>
      </c>
      <c r="I44" s="3">
        <f>IF($L44="","",IF(INDEX(tblRegistros[Data],$L44)&gt;$D$4,"",IFERROR(IF(INDEX(tblRegistros[Status],$L44)="EM ABERTO","",INDEX(tblRegistros[Valor],$L44)),"")))</f>
        <v>106.04375000300934</v>
      </c>
      <c r="J44" t="str">
        <f>IF($L44="","",IF(INDEX(tblRegistros[Data],$L44)&gt;$D$4,"",IFERROR(INDEX(tblRegistros[Status],$L44),"")))</f>
        <v>CONCLUÍDO</v>
      </c>
      <c r="K44">
        <f>IF($L44="","",IF(INDEX(tblRegistros[Data],$L44)&gt;$D$4,"",IFERROR(INDEX(tblRegistros[Observação],$L44),"")))</f>
        <v>0</v>
      </c>
      <c r="L44" s="16">
        <f>IFERROR(MATCH($B$3*100000+COUNTIFS(tblRegistros[ID],$B$3,tblRegistros[Data],"&lt;"&amp;$B$4)+ROWS($L$10:L44),tblRegistros[Chave do cartão],0),"")</f>
        <v>387</v>
      </c>
    </row>
    <row r="45" spans="1:12">
      <c r="A45" s="2">
        <f>IF($L45="","",IF(INDEX(tblRegistros[Data],$L45)&gt;$D$4,"",IFERROR(INDEX(tblRegistros[Data],$L45),"")))</f>
        <v>46288</v>
      </c>
      <c r="B45" t="str">
        <f>IF($L45="","",IF(INDEX(tblRegistros[Data],$L45)&gt;$D$4,"",IFERROR(INDEX(tblRegistros[Projeto],$L45),"")))</f>
        <v>CFI / ACCION</v>
      </c>
      <c r="C45" t="str">
        <f>IF($L45="","",IF(INDEX(tblRegistros[Data],$L45)&gt;$D$4,"",IFERROR(INDEX(tblRegistros[Atividade],$L45),"")))</f>
        <v>ANÁLISE</v>
      </c>
      <c r="D45" s="4">
        <f>IF($L45="","",IF(INDEX(tblRegistros[Data],$L45)&gt;$D$4,"",IFERROR(INDEX(tblRegistros[Início],$L45),"")))</f>
        <v>0.37010416666453239</v>
      </c>
      <c r="E45" s="4">
        <f>IF($L45="","",IF(INDEX(tblRegistros[Data],$L45)&gt;$D$4,"",IFERROR(IF(INDEX(tblRegistros[Status],$L45)="EM ABERTO","",INDEX(tblRegistros[Fim],$L45)),"")))</f>
        <v>0.49106481481430819</v>
      </c>
      <c r="F45" s="14">
        <f>IF($L45="","",IF(INDEX(tblRegistros[Data],$L45)&gt;$D$4,"",IFERROR(IF(INDEX(tblRegistros[Status],$L45)="EM ABERTO","",INDEX(tblRegistros[Horas],$L45)),"")))</f>
        <v>2.9030555555946194</v>
      </c>
      <c r="G45" t="str">
        <f>IF($L45="","",IF(INDEX(tblRegistros[Data],$L45)&gt;$D$4,"",IFERROR(INDEX(tblRegistros[Base],$L45),"")))</f>
        <v>Hora</v>
      </c>
      <c r="H45" s="3">
        <f>IF($L45="","",IF(INDEX(tblRegistros[Data],$L45)&gt;$D$4,"",IFERROR(INDEX(tblRegistros[Taxa aplicada],$L45),"")))</f>
        <v>23.5</v>
      </c>
      <c r="I45" s="3">
        <f>IF($L45="","",IF(INDEX(tblRegistros[Data],$L45)&gt;$D$4,"",IFERROR(IF(INDEX(tblRegistros[Status],$L45)="EM ABERTO","",INDEX(tblRegistros[Valor],$L45)),"")))</f>
        <v>68.221805556473555</v>
      </c>
      <c r="J45" t="str">
        <f>IF($L45="","",IF(INDEX(tblRegistros[Data],$L45)&gt;$D$4,"",IFERROR(INDEX(tblRegistros[Status],$L45),"")))</f>
        <v>CONCLUÍDO</v>
      </c>
      <c r="K45">
        <f>IF($L45="","",IF(INDEX(tblRegistros[Data],$L45)&gt;$D$4,"",IFERROR(INDEX(tblRegistros[Observação],$L45),"")))</f>
        <v>0</v>
      </c>
      <c r="L45" s="16">
        <f>IFERROR(MATCH($B$3*100000+COUNTIFS(tblRegistros[ID],$B$3,tblRegistros[Data],"&lt;"&amp;$B$4)+ROWS($L$10:L45),tblRegistros[Chave do cartão],0),"")</f>
        <v>390</v>
      </c>
    </row>
    <row r="46" spans="1:12">
      <c r="A46" s="2">
        <f>IF($L46="","",IF(INDEX(tblRegistros[Data],$L46)&gt;$D$4,"",IFERROR(INDEX(tblRegistros[Data],$L46),"")))</f>
        <v>46288</v>
      </c>
      <c r="B46" t="str">
        <f>IF($L46="","",IF(INDEX(tblRegistros[Data],$L46)&gt;$D$4,"",IFERROR(INDEX(tblRegistros[Projeto],$L46),"")))</f>
        <v>CFI / ACCION</v>
      </c>
      <c r="C46" t="str">
        <f>IF($L46="","",IF(INDEX(tblRegistros[Data],$L46)&gt;$D$4,"",IFERROR(INDEX(tblRegistros[Atividade],$L46),"")))</f>
        <v>ANÁLISE</v>
      </c>
      <c r="D46" s="4">
        <f>IF($L46="","",IF(INDEX(tblRegistros[Data],$L46)&gt;$D$4,"",IFERROR(INDEX(tblRegistros[Início],$L46),"")))</f>
        <v>0.54269675925752381</v>
      </c>
      <c r="E46" s="4">
        <f>IF($L46="","",IF(INDEX(tblRegistros[Data],$L46)&gt;$D$4,"",IFERROR(IF(INDEX(tblRegistros[Status],$L46)="EM ABERTO","",INDEX(tblRegistros[Fim],$L46)),"")))</f>
        <v>0.74712962962803431</v>
      </c>
      <c r="F46" s="14">
        <f>IF($L46="","",IF(INDEX(tblRegistros[Data],$L46)&gt;$D$4,"",IFERROR(IF(INDEX(tblRegistros[Status],$L46)="EM ABERTO","",INDEX(tblRegistros[Horas],$L46)),"")))</f>
        <v>4.906388888892252</v>
      </c>
      <c r="G46" t="str">
        <f>IF($L46="","",IF(INDEX(tblRegistros[Data],$L46)&gt;$D$4,"",IFERROR(INDEX(tblRegistros[Base],$L46),"")))</f>
        <v>Hora</v>
      </c>
      <c r="H46" s="3">
        <f>IF($L46="","",IF(INDEX(tblRegistros[Data],$L46)&gt;$D$4,"",IFERROR(INDEX(tblRegistros[Taxa aplicada],$L46),"")))</f>
        <v>23.5</v>
      </c>
      <c r="I46" s="3">
        <f>IF($L46="","",IF(INDEX(tblRegistros[Data],$L46)&gt;$D$4,"",IFERROR(IF(INDEX(tblRegistros[Status],$L46)="EM ABERTO","",INDEX(tblRegistros[Valor],$L46)),"")))</f>
        <v>115.30013888896792</v>
      </c>
      <c r="J46" t="str">
        <f>IF($L46="","",IF(INDEX(tblRegistros[Data],$L46)&gt;$D$4,"",IFERROR(INDEX(tblRegistros[Status],$L46),"")))</f>
        <v>CONCLUÍDO</v>
      </c>
      <c r="K46">
        <f>IF($L46="","",IF(INDEX(tblRegistros[Data],$L46)&gt;$D$4,"",IFERROR(INDEX(tblRegistros[Observação],$L46),"")))</f>
        <v>0</v>
      </c>
      <c r="L46" s="16">
        <f>IFERROR(MATCH($B$3*100000+COUNTIFS(tblRegistros[ID],$B$3,tblRegistros[Data],"&lt;"&amp;$B$4)+ROWS($L$10:L46),tblRegistros[Chave do cartão],0),"")</f>
        <v>394</v>
      </c>
    </row>
    <row r="47" spans="1:12">
      <c r="A47" s="2" t="str">
        <f>IF($L47="","",IF(INDEX(tblRegistros[Data],$L47)&gt;$D$4,"",IFERROR(INDEX(tblRegistros[Data],$L47),"")))</f>
        <v/>
      </c>
      <c r="B47" t="str">
        <f>IF($L47="","",IF(INDEX(tblRegistros[Data],$L47)&gt;$D$4,"",IFERROR(INDEX(tblRegistros[Projeto],$L47),"")))</f>
        <v/>
      </c>
      <c r="C47" t="str">
        <f>IF($L47="","",IF(INDEX(tblRegistros[Data],$L47)&gt;$D$4,"",IFERROR(INDEX(tblRegistros[Atividade],$L47),"")))</f>
        <v/>
      </c>
      <c r="D47" s="4" t="str">
        <f>IF($L47="","",IF(INDEX(tblRegistros[Data],$L47)&gt;$D$4,"",IFERROR(INDEX(tblRegistros[Início],$L47),"")))</f>
        <v/>
      </c>
      <c r="E47" s="4" t="str">
        <f>IF($L47="","",IF(INDEX(tblRegistros[Data],$L47)&gt;$D$4,"",IFERROR(IF(INDEX(tblRegistros[Status],$L47)="EM ABERTO","",INDEX(tblRegistros[Fim],$L47)),"")))</f>
        <v/>
      </c>
      <c r="F47" s="14" t="str">
        <f>IF($L47="","",IF(INDEX(tblRegistros[Data],$L47)&gt;$D$4,"",IFERROR(IF(INDEX(tblRegistros[Status],$L47)="EM ABERTO","",INDEX(tblRegistros[Horas],$L47)),"")))</f>
        <v/>
      </c>
      <c r="G47" t="str">
        <f>IF($L47="","",IF(INDEX(tblRegistros[Data],$L47)&gt;$D$4,"",IFERROR(INDEX(tblRegistros[Base],$L47),"")))</f>
        <v/>
      </c>
      <c r="H47" s="3" t="str">
        <f>IF($L47="","",IF(INDEX(tblRegistros[Data],$L47)&gt;$D$4,"",IFERROR(INDEX(tblRegistros[Taxa aplicada],$L47),"")))</f>
        <v/>
      </c>
      <c r="I47" s="3" t="str">
        <f>IF($L47="","",IF(INDEX(tblRegistros[Data],$L47)&gt;$D$4,"",IFERROR(IF(INDEX(tblRegistros[Status],$L47)="EM ABERTO","",INDEX(tblRegistros[Valor],$L47)),"")))</f>
        <v/>
      </c>
      <c r="J47" t="str">
        <f>IF($L47="","",IF(INDEX(tblRegistros[Data],$L47)&gt;$D$4,"",IFERROR(INDEX(tblRegistros[Status],$L47),"")))</f>
        <v/>
      </c>
      <c r="K47" t="str">
        <f>IF($L47="","",IF(INDEX(tblRegistros[Data],$L47)&gt;$D$4,"",IFERROR(INDEX(tblRegistros[Observação],$L47),"")))</f>
        <v/>
      </c>
      <c r="L47" s="16" t="str">
        <f>IFERROR(MATCH($B$3*100000+COUNTIFS(tblRegistros[ID],$B$3,tblRegistros[Data],"&lt;"&amp;$B$4)+ROWS($L$10:L47),tblRegistros[Chave do cartão],0),"")</f>
        <v/>
      </c>
    </row>
    <row r="48" spans="1:12">
      <c r="A48" s="2" t="str">
        <f>IF($L48="","",IF(INDEX(tblRegistros[Data],$L48)&gt;$D$4,"",IFERROR(INDEX(tblRegistros[Data],$L48),"")))</f>
        <v/>
      </c>
      <c r="B48" t="str">
        <f>IF($L48="","",IF(INDEX(tblRegistros[Data],$L48)&gt;$D$4,"",IFERROR(INDEX(tblRegistros[Projeto],$L48),"")))</f>
        <v/>
      </c>
      <c r="C48" t="str">
        <f>IF($L48="","",IF(INDEX(tblRegistros[Data],$L48)&gt;$D$4,"",IFERROR(INDEX(tblRegistros[Atividade],$L48),"")))</f>
        <v/>
      </c>
      <c r="D48" s="4" t="str">
        <f>IF($L48="","",IF(INDEX(tblRegistros[Data],$L48)&gt;$D$4,"",IFERROR(INDEX(tblRegistros[Início],$L48),"")))</f>
        <v/>
      </c>
      <c r="E48" s="4" t="str">
        <f>IF($L48="","",IF(INDEX(tblRegistros[Data],$L48)&gt;$D$4,"",IFERROR(IF(INDEX(tblRegistros[Status],$L48)="EM ABERTO","",INDEX(tblRegistros[Fim],$L48)),"")))</f>
        <v/>
      </c>
      <c r="F48" s="14" t="str">
        <f>IF($L48="","",IF(INDEX(tblRegistros[Data],$L48)&gt;$D$4,"",IFERROR(IF(INDEX(tblRegistros[Status],$L48)="EM ABERTO","",INDEX(tblRegistros[Horas],$L48)),"")))</f>
        <v/>
      </c>
      <c r="G48" t="str">
        <f>IF($L48="","",IF(INDEX(tblRegistros[Data],$L48)&gt;$D$4,"",IFERROR(INDEX(tblRegistros[Base],$L48),"")))</f>
        <v/>
      </c>
      <c r="H48" s="3" t="str">
        <f>IF($L48="","",IF(INDEX(tblRegistros[Data],$L48)&gt;$D$4,"",IFERROR(INDEX(tblRegistros[Taxa aplicada],$L48),"")))</f>
        <v/>
      </c>
      <c r="I48" s="3" t="str">
        <f>IF($L48="","",IF(INDEX(tblRegistros[Data],$L48)&gt;$D$4,"",IFERROR(IF(INDEX(tblRegistros[Status],$L48)="EM ABERTO","",INDEX(tblRegistros[Valor],$L48)),"")))</f>
        <v/>
      </c>
      <c r="J48" t="str">
        <f>IF($L48="","",IF(INDEX(tblRegistros[Data],$L48)&gt;$D$4,"",IFERROR(INDEX(tblRegistros[Status],$L48),"")))</f>
        <v/>
      </c>
      <c r="K48" t="str">
        <f>IF($L48="","",IF(INDEX(tblRegistros[Data],$L48)&gt;$D$4,"",IFERROR(INDEX(tblRegistros[Observação],$L48),"")))</f>
        <v/>
      </c>
      <c r="L48" s="16" t="str">
        <f>IFERROR(MATCH($B$3*100000+COUNTIFS(tblRegistros[ID],$B$3,tblRegistros[Data],"&lt;"&amp;$B$4)+ROWS($L$10:L48),tblRegistros[Chave do cartão],0),"")</f>
        <v/>
      </c>
    </row>
    <row r="49" spans="1:12">
      <c r="A49" s="2" t="str">
        <f>IF($L49="","",IF(INDEX(tblRegistros[Data],$L49)&gt;$D$4,"",IFERROR(INDEX(tblRegistros[Data],$L49),"")))</f>
        <v/>
      </c>
      <c r="B49" t="str">
        <f>IF($L49="","",IF(INDEX(tblRegistros[Data],$L49)&gt;$D$4,"",IFERROR(INDEX(tblRegistros[Projeto],$L49),"")))</f>
        <v/>
      </c>
      <c r="C49" t="str">
        <f>IF($L49="","",IF(INDEX(tblRegistros[Data],$L49)&gt;$D$4,"",IFERROR(INDEX(tblRegistros[Atividade],$L49),"")))</f>
        <v/>
      </c>
      <c r="D49" s="4" t="str">
        <f>IF($L49="","",IF(INDEX(tblRegistros[Data],$L49)&gt;$D$4,"",IFERROR(INDEX(tblRegistros[Início],$L49),"")))</f>
        <v/>
      </c>
      <c r="E49" s="4" t="str">
        <f>IF($L49="","",IF(INDEX(tblRegistros[Data],$L49)&gt;$D$4,"",IFERROR(IF(INDEX(tblRegistros[Status],$L49)="EM ABERTO","",INDEX(tblRegistros[Fim],$L49)),"")))</f>
        <v/>
      </c>
      <c r="F49" s="14" t="str">
        <f>IF($L49="","",IF(INDEX(tblRegistros[Data],$L49)&gt;$D$4,"",IFERROR(IF(INDEX(tblRegistros[Status],$L49)="EM ABERTO","",INDEX(tblRegistros[Horas],$L49)),"")))</f>
        <v/>
      </c>
      <c r="G49" t="str">
        <f>IF($L49="","",IF(INDEX(tblRegistros[Data],$L49)&gt;$D$4,"",IFERROR(INDEX(tblRegistros[Base],$L49),"")))</f>
        <v/>
      </c>
      <c r="H49" s="3" t="str">
        <f>IF($L49="","",IF(INDEX(tblRegistros[Data],$L49)&gt;$D$4,"",IFERROR(INDEX(tblRegistros[Taxa aplicada],$L49),"")))</f>
        <v/>
      </c>
      <c r="I49" s="3" t="str">
        <f>IF($L49="","",IF(INDEX(tblRegistros[Data],$L49)&gt;$D$4,"",IFERROR(IF(INDEX(tblRegistros[Status],$L49)="EM ABERTO","",INDEX(tblRegistros[Valor],$L49)),"")))</f>
        <v/>
      </c>
      <c r="J49" t="str">
        <f>IF($L49="","",IF(INDEX(tblRegistros[Data],$L49)&gt;$D$4,"",IFERROR(INDEX(tblRegistros[Status],$L49),"")))</f>
        <v/>
      </c>
      <c r="K49" t="str">
        <f>IF($L49="","",IF(INDEX(tblRegistros[Data],$L49)&gt;$D$4,"",IFERROR(INDEX(tblRegistros[Observação],$L49),"")))</f>
        <v/>
      </c>
      <c r="L49" s="16" t="str">
        <f>IFERROR(MATCH($B$3*100000+COUNTIFS(tblRegistros[ID],$B$3,tblRegistros[Data],"&lt;"&amp;$B$4)+ROWS($L$10:L49),tblRegistros[Chave do cartão],0),"")</f>
        <v/>
      </c>
    </row>
    <row r="50" spans="1:12">
      <c r="A50" s="2" t="str">
        <f>IF($L50="","",IF(INDEX(tblRegistros[Data],$L50)&gt;$D$4,"",IFERROR(INDEX(tblRegistros[Data],$L50),"")))</f>
        <v/>
      </c>
      <c r="B50" t="str">
        <f>IF($L50="","",IF(INDEX(tblRegistros[Data],$L50)&gt;$D$4,"",IFERROR(INDEX(tblRegistros[Projeto],$L50),"")))</f>
        <v/>
      </c>
      <c r="C50" t="str">
        <f>IF($L50="","",IF(INDEX(tblRegistros[Data],$L50)&gt;$D$4,"",IFERROR(INDEX(tblRegistros[Atividade],$L50),"")))</f>
        <v/>
      </c>
      <c r="D50" s="4" t="str">
        <f>IF($L50="","",IF(INDEX(tblRegistros[Data],$L50)&gt;$D$4,"",IFERROR(INDEX(tblRegistros[Início],$L50),"")))</f>
        <v/>
      </c>
      <c r="E50" s="4" t="str">
        <f>IF($L50="","",IF(INDEX(tblRegistros[Data],$L50)&gt;$D$4,"",IFERROR(IF(INDEX(tblRegistros[Status],$L50)="EM ABERTO","",INDEX(tblRegistros[Fim],$L50)),"")))</f>
        <v/>
      </c>
      <c r="F50" s="14" t="str">
        <f>IF($L50="","",IF(INDEX(tblRegistros[Data],$L50)&gt;$D$4,"",IFERROR(IF(INDEX(tblRegistros[Status],$L50)="EM ABERTO","",INDEX(tblRegistros[Horas],$L50)),"")))</f>
        <v/>
      </c>
      <c r="G50" t="str">
        <f>IF($L50="","",IF(INDEX(tblRegistros[Data],$L50)&gt;$D$4,"",IFERROR(INDEX(tblRegistros[Base],$L50),"")))</f>
        <v/>
      </c>
      <c r="H50" s="3" t="str">
        <f>IF($L50="","",IF(INDEX(tblRegistros[Data],$L50)&gt;$D$4,"",IFERROR(INDEX(tblRegistros[Taxa aplicada],$L50),"")))</f>
        <v/>
      </c>
      <c r="I50" s="3" t="str">
        <f>IF($L50="","",IF(INDEX(tblRegistros[Data],$L50)&gt;$D$4,"",IFERROR(IF(INDEX(tblRegistros[Status],$L50)="EM ABERTO","",INDEX(tblRegistros[Valor],$L50)),"")))</f>
        <v/>
      </c>
      <c r="J50" t="str">
        <f>IF($L50="","",IF(INDEX(tblRegistros[Data],$L50)&gt;$D$4,"",IFERROR(INDEX(tblRegistros[Status],$L50),"")))</f>
        <v/>
      </c>
      <c r="K50" t="str">
        <f>IF($L50="","",IF(INDEX(tblRegistros[Data],$L50)&gt;$D$4,"",IFERROR(INDEX(tblRegistros[Observação],$L50),"")))</f>
        <v/>
      </c>
      <c r="L50" s="16" t="str">
        <f>IFERROR(MATCH($B$3*100000+COUNTIFS(tblRegistros[ID],$B$3,tblRegistros[Data],"&lt;"&amp;$B$4)+ROWS($L$10:L50),tblRegistros[Chave do cartão],0),"")</f>
        <v/>
      </c>
    </row>
    <row r="51" spans="1:12">
      <c r="A51" s="2" t="str">
        <f>IF($L51="","",IF(INDEX(tblRegistros[Data],$L51)&gt;$D$4,"",IFERROR(INDEX(tblRegistros[Data],$L51),"")))</f>
        <v/>
      </c>
      <c r="B51" t="str">
        <f>IF($L51="","",IF(INDEX(tblRegistros[Data],$L51)&gt;$D$4,"",IFERROR(INDEX(tblRegistros[Projeto],$L51),"")))</f>
        <v/>
      </c>
      <c r="C51" t="str">
        <f>IF($L51="","",IF(INDEX(tblRegistros[Data],$L51)&gt;$D$4,"",IFERROR(INDEX(tblRegistros[Atividade],$L51),"")))</f>
        <v/>
      </c>
      <c r="D51" s="4" t="str">
        <f>IF($L51="","",IF(INDEX(tblRegistros[Data],$L51)&gt;$D$4,"",IFERROR(INDEX(tblRegistros[Início],$L51),"")))</f>
        <v/>
      </c>
      <c r="E51" s="4" t="str">
        <f>IF($L51="","",IF(INDEX(tblRegistros[Data],$L51)&gt;$D$4,"",IFERROR(IF(INDEX(tblRegistros[Status],$L51)="EM ABERTO","",INDEX(tblRegistros[Fim],$L51)),"")))</f>
        <v/>
      </c>
      <c r="F51" s="14" t="str">
        <f>IF($L51="","",IF(INDEX(tblRegistros[Data],$L51)&gt;$D$4,"",IFERROR(IF(INDEX(tblRegistros[Status],$L51)="EM ABERTO","",INDEX(tblRegistros[Horas],$L51)),"")))</f>
        <v/>
      </c>
      <c r="G51" t="str">
        <f>IF($L51="","",IF(INDEX(tblRegistros[Data],$L51)&gt;$D$4,"",IFERROR(INDEX(tblRegistros[Base],$L51),"")))</f>
        <v/>
      </c>
      <c r="H51" s="3" t="str">
        <f>IF($L51="","",IF(INDEX(tblRegistros[Data],$L51)&gt;$D$4,"",IFERROR(INDEX(tblRegistros[Taxa aplicada],$L51),"")))</f>
        <v/>
      </c>
      <c r="I51" s="3" t="str">
        <f>IF($L51="","",IF(INDEX(tblRegistros[Data],$L51)&gt;$D$4,"",IFERROR(IF(INDEX(tblRegistros[Status],$L51)="EM ABERTO","",INDEX(tblRegistros[Valor],$L51)),"")))</f>
        <v/>
      </c>
      <c r="J51" t="str">
        <f>IF($L51="","",IF(INDEX(tblRegistros[Data],$L51)&gt;$D$4,"",IFERROR(INDEX(tblRegistros[Status],$L51),"")))</f>
        <v/>
      </c>
      <c r="K51" t="str">
        <f>IF($L51="","",IF(INDEX(tblRegistros[Data],$L51)&gt;$D$4,"",IFERROR(INDEX(tblRegistros[Observação],$L51),"")))</f>
        <v/>
      </c>
      <c r="L51" s="16" t="str">
        <f>IFERROR(MATCH($B$3*100000+COUNTIFS(tblRegistros[ID],$B$3,tblRegistros[Data],"&lt;"&amp;$B$4)+ROWS($L$10:L51),tblRegistros[Chave do cartão],0),"")</f>
        <v/>
      </c>
    </row>
    <row r="52" spans="1:12">
      <c r="A52" s="2" t="str">
        <f>IF($L52="","",IF(INDEX(tblRegistros[Data],$L52)&gt;$D$4,"",IFERROR(INDEX(tblRegistros[Data],$L52),"")))</f>
        <v/>
      </c>
      <c r="B52" t="str">
        <f>IF($L52="","",IF(INDEX(tblRegistros[Data],$L52)&gt;$D$4,"",IFERROR(INDEX(tblRegistros[Projeto],$L52),"")))</f>
        <v/>
      </c>
      <c r="C52" t="str">
        <f>IF($L52="","",IF(INDEX(tblRegistros[Data],$L52)&gt;$D$4,"",IFERROR(INDEX(tblRegistros[Atividade],$L52),"")))</f>
        <v/>
      </c>
      <c r="D52" s="4" t="str">
        <f>IF($L52="","",IF(INDEX(tblRegistros[Data],$L52)&gt;$D$4,"",IFERROR(INDEX(tblRegistros[Início],$L52),"")))</f>
        <v/>
      </c>
      <c r="E52" s="4" t="str">
        <f>IF($L52="","",IF(INDEX(tblRegistros[Data],$L52)&gt;$D$4,"",IFERROR(IF(INDEX(tblRegistros[Status],$L52)="EM ABERTO","",INDEX(tblRegistros[Fim],$L52)),"")))</f>
        <v/>
      </c>
      <c r="F52" s="14" t="str">
        <f>IF($L52="","",IF(INDEX(tblRegistros[Data],$L52)&gt;$D$4,"",IFERROR(IF(INDEX(tblRegistros[Status],$L52)="EM ABERTO","",INDEX(tblRegistros[Horas],$L52)),"")))</f>
        <v/>
      </c>
      <c r="G52" t="str">
        <f>IF($L52="","",IF(INDEX(tblRegistros[Data],$L52)&gt;$D$4,"",IFERROR(INDEX(tblRegistros[Base],$L52),"")))</f>
        <v/>
      </c>
      <c r="H52" s="3" t="str">
        <f>IF($L52="","",IF(INDEX(tblRegistros[Data],$L52)&gt;$D$4,"",IFERROR(INDEX(tblRegistros[Taxa aplicada],$L52),"")))</f>
        <v/>
      </c>
      <c r="I52" s="3" t="str">
        <f>IF($L52="","",IF(INDEX(tblRegistros[Data],$L52)&gt;$D$4,"",IFERROR(IF(INDEX(tblRegistros[Status],$L52)="EM ABERTO","",INDEX(tblRegistros[Valor],$L52)),"")))</f>
        <v/>
      </c>
      <c r="J52" t="str">
        <f>IF($L52="","",IF(INDEX(tblRegistros[Data],$L52)&gt;$D$4,"",IFERROR(INDEX(tblRegistros[Status],$L52),"")))</f>
        <v/>
      </c>
      <c r="K52" t="str">
        <f>IF($L52="","",IF(INDEX(tblRegistros[Data],$L52)&gt;$D$4,"",IFERROR(INDEX(tblRegistros[Observação],$L52),"")))</f>
        <v/>
      </c>
      <c r="L52" s="16" t="str">
        <f>IFERROR(MATCH($B$3*100000+COUNTIFS(tblRegistros[ID],$B$3,tblRegistros[Data],"&lt;"&amp;$B$4)+ROWS($L$10:L52),tblRegistros[Chave do cartão],0),"")</f>
        <v/>
      </c>
    </row>
    <row r="53" spans="1:12">
      <c r="A53" s="2" t="str">
        <f>IF($L53="","",IF(INDEX(tblRegistros[Data],$L53)&gt;$D$4,"",IFERROR(INDEX(tblRegistros[Data],$L53),"")))</f>
        <v/>
      </c>
      <c r="B53" t="str">
        <f>IF($L53="","",IF(INDEX(tblRegistros[Data],$L53)&gt;$D$4,"",IFERROR(INDEX(tblRegistros[Projeto],$L53),"")))</f>
        <v/>
      </c>
      <c r="C53" t="str">
        <f>IF($L53="","",IF(INDEX(tblRegistros[Data],$L53)&gt;$D$4,"",IFERROR(INDEX(tblRegistros[Atividade],$L53),"")))</f>
        <v/>
      </c>
      <c r="D53" s="4" t="str">
        <f>IF($L53="","",IF(INDEX(tblRegistros[Data],$L53)&gt;$D$4,"",IFERROR(INDEX(tblRegistros[Início],$L53),"")))</f>
        <v/>
      </c>
      <c r="E53" s="4" t="str">
        <f>IF($L53="","",IF(INDEX(tblRegistros[Data],$L53)&gt;$D$4,"",IFERROR(IF(INDEX(tblRegistros[Status],$L53)="EM ABERTO","",INDEX(tblRegistros[Fim],$L53)),"")))</f>
        <v/>
      </c>
      <c r="F53" s="14" t="str">
        <f>IF($L53="","",IF(INDEX(tblRegistros[Data],$L53)&gt;$D$4,"",IFERROR(IF(INDEX(tblRegistros[Status],$L53)="EM ABERTO","",INDEX(tblRegistros[Horas],$L53)),"")))</f>
        <v/>
      </c>
      <c r="G53" t="str">
        <f>IF($L53="","",IF(INDEX(tblRegistros[Data],$L53)&gt;$D$4,"",IFERROR(INDEX(tblRegistros[Base],$L53),"")))</f>
        <v/>
      </c>
      <c r="H53" s="3" t="str">
        <f>IF($L53="","",IF(INDEX(tblRegistros[Data],$L53)&gt;$D$4,"",IFERROR(INDEX(tblRegistros[Taxa aplicada],$L53),"")))</f>
        <v/>
      </c>
      <c r="I53" s="3" t="str">
        <f>IF($L53="","",IF(INDEX(tblRegistros[Data],$L53)&gt;$D$4,"",IFERROR(IF(INDEX(tblRegistros[Status],$L53)="EM ABERTO","",INDEX(tblRegistros[Valor],$L53)),"")))</f>
        <v/>
      </c>
      <c r="J53" t="str">
        <f>IF($L53="","",IF(INDEX(tblRegistros[Data],$L53)&gt;$D$4,"",IFERROR(INDEX(tblRegistros[Status],$L53),"")))</f>
        <v/>
      </c>
      <c r="K53" t="str">
        <f>IF($L53="","",IF(INDEX(tblRegistros[Data],$L53)&gt;$D$4,"",IFERROR(INDEX(tblRegistros[Observação],$L53),"")))</f>
        <v/>
      </c>
      <c r="L53" s="16" t="str">
        <f>IFERROR(MATCH($B$3*100000+COUNTIFS(tblRegistros[ID],$B$3,tblRegistros[Data],"&lt;"&amp;$B$4)+ROWS($L$10:L53),tblRegistros[Chave do cartão],0),"")</f>
        <v/>
      </c>
    </row>
    <row r="54" spans="1:12">
      <c r="A54" s="2" t="str">
        <f>IF($L54="","",IF(INDEX(tblRegistros[Data],$L54)&gt;$D$4,"",IFERROR(INDEX(tblRegistros[Data],$L54),"")))</f>
        <v/>
      </c>
      <c r="B54" t="str">
        <f>IF($L54="","",IF(INDEX(tblRegistros[Data],$L54)&gt;$D$4,"",IFERROR(INDEX(tblRegistros[Projeto],$L54),"")))</f>
        <v/>
      </c>
      <c r="C54" t="str">
        <f>IF($L54="","",IF(INDEX(tblRegistros[Data],$L54)&gt;$D$4,"",IFERROR(INDEX(tblRegistros[Atividade],$L54),"")))</f>
        <v/>
      </c>
      <c r="D54" s="4" t="str">
        <f>IF($L54="","",IF(INDEX(tblRegistros[Data],$L54)&gt;$D$4,"",IFERROR(INDEX(tblRegistros[Início],$L54),"")))</f>
        <v/>
      </c>
      <c r="E54" s="4" t="str">
        <f>IF($L54="","",IF(INDEX(tblRegistros[Data],$L54)&gt;$D$4,"",IFERROR(IF(INDEX(tblRegistros[Status],$L54)="EM ABERTO","",INDEX(tblRegistros[Fim],$L54)),"")))</f>
        <v/>
      </c>
      <c r="F54" s="14" t="str">
        <f>IF($L54="","",IF(INDEX(tblRegistros[Data],$L54)&gt;$D$4,"",IFERROR(IF(INDEX(tblRegistros[Status],$L54)="EM ABERTO","",INDEX(tblRegistros[Horas],$L54)),"")))</f>
        <v/>
      </c>
      <c r="G54" t="str">
        <f>IF($L54="","",IF(INDEX(tblRegistros[Data],$L54)&gt;$D$4,"",IFERROR(INDEX(tblRegistros[Base],$L54),"")))</f>
        <v/>
      </c>
      <c r="H54" s="3" t="str">
        <f>IF($L54="","",IF(INDEX(tblRegistros[Data],$L54)&gt;$D$4,"",IFERROR(INDEX(tblRegistros[Taxa aplicada],$L54),"")))</f>
        <v/>
      </c>
      <c r="I54" s="3" t="str">
        <f>IF($L54="","",IF(INDEX(tblRegistros[Data],$L54)&gt;$D$4,"",IFERROR(IF(INDEX(tblRegistros[Status],$L54)="EM ABERTO","",INDEX(tblRegistros[Valor],$L54)),"")))</f>
        <v/>
      </c>
      <c r="J54" t="str">
        <f>IF($L54="","",IF(INDEX(tblRegistros[Data],$L54)&gt;$D$4,"",IFERROR(INDEX(tblRegistros[Status],$L54),"")))</f>
        <v/>
      </c>
      <c r="K54" t="str">
        <f>IF($L54="","",IF(INDEX(tblRegistros[Data],$L54)&gt;$D$4,"",IFERROR(INDEX(tblRegistros[Observação],$L54),"")))</f>
        <v/>
      </c>
      <c r="L54" s="16" t="str">
        <f>IFERROR(MATCH($B$3*100000+COUNTIFS(tblRegistros[ID],$B$3,tblRegistros[Data],"&lt;"&amp;$B$4)+ROWS($L$10:L54),tblRegistros[Chave do cartão],0),"")</f>
        <v/>
      </c>
    </row>
    <row r="55" spans="1:12">
      <c r="A55" s="2" t="str">
        <f>IF($L55="","",IF(INDEX(tblRegistros[Data],$L55)&gt;$D$4,"",IFERROR(INDEX(tblRegistros[Data],$L55),"")))</f>
        <v/>
      </c>
      <c r="B55" t="str">
        <f>IF($L55="","",IF(INDEX(tblRegistros[Data],$L55)&gt;$D$4,"",IFERROR(INDEX(tblRegistros[Projeto],$L55),"")))</f>
        <v/>
      </c>
      <c r="C55" t="str">
        <f>IF($L55="","",IF(INDEX(tblRegistros[Data],$L55)&gt;$D$4,"",IFERROR(INDEX(tblRegistros[Atividade],$L55),"")))</f>
        <v/>
      </c>
      <c r="D55" s="4" t="str">
        <f>IF($L55="","",IF(INDEX(tblRegistros[Data],$L55)&gt;$D$4,"",IFERROR(INDEX(tblRegistros[Início],$L55),"")))</f>
        <v/>
      </c>
      <c r="E55" s="4" t="str">
        <f>IF($L55="","",IF(INDEX(tblRegistros[Data],$L55)&gt;$D$4,"",IFERROR(IF(INDEX(tblRegistros[Status],$L55)="EM ABERTO","",INDEX(tblRegistros[Fim],$L55)),"")))</f>
        <v/>
      </c>
      <c r="F55" s="14" t="str">
        <f>IF($L55="","",IF(INDEX(tblRegistros[Data],$L55)&gt;$D$4,"",IFERROR(IF(INDEX(tblRegistros[Status],$L55)="EM ABERTO","",INDEX(tblRegistros[Horas],$L55)),"")))</f>
        <v/>
      </c>
      <c r="G55" t="str">
        <f>IF($L55="","",IF(INDEX(tblRegistros[Data],$L55)&gt;$D$4,"",IFERROR(INDEX(tblRegistros[Base],$L55),"")))</f>
        <v/>
      </c>
      <c r="H55" s="3" t="str">
        <f>IF($L55="","",IF(INDEX(tblRegistros[Data],$L55)&gt;$D$4,"",IFERROR(INDEX(tblRegistros[Taxa aplicada],$L55),"")))</f>
        <v/>
      </c>
      <c r="I55" s="3" t="str">
        <f>IF($L55="","",IF(INDEX(tblRegistros[Data],$L55)&gt;$D$4,"",IFERROR(IF(INDEX(tblRegistros[Status],$L55)="EM ABERTO","",INDEX(tblRegistros[Valor],$L55)),"")))</f>
        <v/>
      </c>
      <c r="J55" t="str">
        <f>IF($L55="","",IF(INDEX(tblRegistros[Data],$L55)&gt;$D$4,"",IFERROR(INDEX(tblRegistros[Status],$L55),"")))</f>
        <v/>
      </c>
      <c r="K55" t="str">
        <f>IF($L55="","",IF(INDEX(tblRegistros[Data],$L55)&gt;$D$4,"",IFERROR(INDEX(tblRegistros[Observação],$L55),"")))</f>
        <v/>
      </c>
      <c r="L55" s="16" t="str">
        <f>IFERROR(MATCH($B$3*100000+COUNTIFS(tblRegistros[ID],$B$3,tblRegistros[Data],"&lt;"&amp;$B$4)+ROWS($L$10:L55),tblRegistros[Chave do cartão],0),"")</f>
        <v/>
      </c>
    </row>
    <row r="56" spans="1:12">
      <c r="A56" s="2" t="str">
        <f>IF($L56="","",IF(INDEX(tblRegistros[Data],$L56)&gt;$D$4,"",IFERROR(INDEX(tblRegistros[Data],$L56),"")))</f>
        <v/>
      </c>
      <c r="B56" t="str">
        <f>IF($L56="","",IF(INDEX(tblRegistros[Data],$L56)&gt;$D$4,"",IFERROR(INDEX(tblRegistros[Projeto],$L56),"")))</f>
        <v/>
      </c>
      <c r="C56" t="str">
        <f>IF($L56="","",IF(INDEX(tblRegistros[Data],$L56)&gt;$D$4,"",IFERROR(INDEX(tblRegistros[Atividade],$L56),"")))</f>
        <v/>
      </c>
      <c r="D56" s="4" t="str">
        <f>IF($L56="","",IF(INDEX(tblRegistros[Data],$L56)&gt;$D$4,"",IFERROR(INDEX(tblRegistros[Início],$L56),"")))</f>
        <v/>
      </c>
      <c r="E56" s="4" t="str">
        <f>IF($L56="","",IF(INDEX(tblRegistros[Data],$L56)&gt;$D$4,"",IFERROR(IF(INDEX(tblRegistros[Status],$L56)="EM ABERTO","",INDEX(tblRegistros[Fim],$L56)),"")))</f>
        <v/>
      </c>
      <c r="F56" s="14" t="str">
        <f>IF($L56="","",IF(INDEX(tblRegistros[Data],$L56)&gt;$D$4,"",IFERROR(IF(INDEX(tblRegistros[Status],$L56)="EM ABERTO","",INDEX(tblRegistros[Horas],$L56)),"")))</f>
        <v/>
      </c>
      <c r="G56" t="str">
        <f>IF($L56="","",IF(INDEX(tblRegistros[Data],$L56)&gt;$D$4,"",IFERROR(INDEX(tblRegistros[Base],$L56),"")))</f>
        <v/>
      </c>
      <c r="H56" s="3" t="str">
        <f>IF($L56="","",IF(INDEX(tblRegistros[Data],$L56)&gt;$D$4,"",IFERROR(INDEX(tblRegistros[Taxa aplicada],$L56),"")))</f>
        <v/>
      </c>
      <c r="I56" s="3" t="str">
        <f>IF($L56="","",IF(INDEX(tblRegistros[Data],$L56)&gt;$D$4,"",IFERROR(IF(INDEX(tblRegistros[Status],$L56)="EM ABERTO","",INDEX(tblRegistros[Valor],$L56)),"")))</f>
        <v/>
      </c>
      <c r="J56" t="str">
        <f>IF($L56="","",IF(INDEX(tblRegistros[Data],$L56)&gt;$D$4,"",IFERROR(INDEX(tblRegistros[Status],$L56),"")))</f>
        <v/>
      </c>
      <c r="K56" t="str">
        <f>IF($L56="","",IF(INDEX(tblRegistros[Data],$L56)&gt;$D$4,"",IFERROR(INDEX(tblRegistros[Observação],$L56),"")))</f>
        <v/>
      </c>
      <c r="L56" s="16" t="str">
        <f>IFERROR(MATCH($B$3*100000+COUNTIFS(tblRegistros[ID],$B$3,tblRegistros[Data],"&lt;"&amp;$B$4)+ROWS($L$10:L56),tblRegistros[Chave do cartão],0),"")</f>
        <v/>
      </c>
    </row>
    <row r="57" spans="1:12">
      <c r="A57" s="2" t="str">
        <f>IF($L57="","",IF(INDEX(tblRegistros[Data],$L57)&gt;$D$4,"",IFERROR(INDEX(tblRegistros[Data],$L57),"")))</f>
        <v/>
      </c>
      <c r="B57" t="str">
        <f>IF($L57="","",IF(INDEX(tblRegistros[Data],$L57)&gt;$D$4,"",IFERROR(INDEX(tblRegistros[Projeto],$L57),"")))</f>
        <v/>
      </c>
      <c r="C57" t="str">
        <f>IF($L57="","",IF(INDEX(tblRegistros[Data],$L57)&gt;$D$4,"",IFERROR(INDEX(tblRegistros[Atividade],$L57),"")))</f>
        <v/>
      </c>
      <c r="D57" s="4" t="str">
        <f>IF($L57="","",IF(INDEX(tblRegistros[Data],$L57)&gt;$D$4,"",IFERROR(INDEX(tblRegistros[Início],$L57),"")))</f>
        <v/>
      </c>
      <c r="E57" s="4" t="str">
        <f>IF($L57="","",IF(INDEX(tblRegistros[Data],$L57)&gt;$D$4,"",IFERROR(IF(INDEX(tblRegistros[Status],$L57)="EM ABERTO","",INDEX(tblRegistros[Fim],$L57)),"")))</f>
        <v/>
      </c>
      <c r="F57" s="14" t="str">
        <f>IF($L57="","",IF(INDEX(tblRegistros[Data],$L57)&gt;$D$4,"",IFERROR(IF(INDEX(tblRegistros[Status],$L57)="EM ABERTO","",INDEX(tblRegistros[Horas],$L57)),"")))</f>
        <v/>
      </c>
      <c r="G57" t="str">
        <f>IF($L57="","",IF(INDEX(tblRegistros[Data],$L57)&gt;$D$4,"",IFERROR(INDEX(tblRegistros[Base],$L57),"")))</f>
        <v/>
      </c>
      <c r="H57" s="3" t="str">
        <f>IF($L57="","",IF(INDEX(tblRegistros[Data],$L57)&gt;$D$4,"",IFERROR(INDEX(tblRegistros[Taxa aplicada],$L57),"")))</f>
        <v/>
      </c>
      <c r="I57" s="3" t="str">
        <f>IF($L57="","",IF(INDEX(tblRegistros[Data],$L57)&gt;$D$4,"",IFERROR(IF(INDEX(tblRegistros[Status],$L57)="EM ABERTO","",INDEX(tblRegistros[Valor],$L57)),"")))</f>
        <v/>
      </c>
      <c r="J57" t="str">
        <f>IF($L57="","",IF(INDEX(tblRegistros[Data],$L57)&gt;$D$4,"",IFERROR(INDEX(tblRegistros[Status],$L57),"")))</f>
        <v/>
      </c>
      <c r="K57" t="str">
        <f>IF($L57="","",IF(INDEX(tblRegistros[Data],$L57)&gt;$D$4,"",IFERROR(INDEX(tblRegistros[Observação],$L57),"")))</f>
        <v/>
      </c>
      <c r="L57" s="16" t="str">
        <f>IFERROR(MATCH($B$3*100000+COUNTIFS(tblRegistros[ID],$B$3,tblRegistros[Data],"&lt;"&amp;$B$4)+ROWS($L$10:L57),tblRegistros[Chave do cartão],0),"")</f>
        <v/>
      </c>
    </row>
    <row r="58" spans="1:12">
      <c r="A58" s="2" t="str">
        <f>IF($L58="","",IF(INDEX(tblRegistros[Data],$L58)&gt;$D$4,"",IFERROR(INDEX(tblRegistros[Data],$L58),"")))</f>
        <v/>
      </c>
      <c r="B58" t="str">
        <f>IF($L58="","",IF(INDEX(tblRegistros[Data],$L58)&gt;$D$4,"",IFERROR(INDEX(tblRegistros[Projeto],$L58),"")))</f>
        <v/>
      </c>
      <c r="C58" t="str">
        <f>IF($L58="","",IF(INDEX(tblRegistros[Data],$L58)&gt;$D$4,"",IFERROR(INDEX(tblRegistros[Atividade],$L58),"")))</f>
        <v/>
      </c>
      <c r="D58" s="4" t="str">
        <f>IF($L58="","",IF(INDEX(tblRegistros[Data],$L58)&gt;$D$4,"",IFERROR(INDEX(tblRegistros[Início],$L58),"")))</f>
        <v/>
      </c>
      <c r="E58" s="4" t="str">
        <f>IF($L58="","",IF(INDEX(tblRegistros[Data],$L58)&gt;$D$4,"",IFERROR(IF(INDEX(tblRegistros[Status],$L58)="EM ABERTO","",INDEX(tblRegistros[Fim],$L58)),"")))</f>
        <v/>
      </c>
      <c r="F58" s="14" t="str">
        <f>IF($L58="","",IF(INDEX(tblRegistros[Data],$L58)&gt;$D$4,"",IFERROR(IF(INDEX(tblRegistros[Status],$L58)="EM ABERTO","",INDEX(tblRegistros[Horas],$L58)),"")))</f>
        <v/>
      </c>
      <c r="G58" t="str">
        <f>IF($L58="","",IF(INDEX(tblRegistros[Data],$L58)&gt;$D$4,"",IFERROR(INDEX(tblRegistros[Base],$L58),"")))</f>
        <v/>
      </c>
      <c r="H58" s="3" t="str">
        <f>IF($L58="","",IF(INDEX(tblRegistros[Data],$L58)&gt;$D$4,"",IFERROR(INDEX(tblRegistros[Taxa aplicada],$L58),"")))</f>
        <v/>
      </c>
      <c r="I58" s="3" t="str">
        <f>IF($L58="","",IF(INDEX(tblRegistros[Data],$L58)&gt;$D$4,"",IFERROR(IF(INDEX(tblRegistros[Status],$L58)="EM ABERTO","",INDEX(tblRegistros[Valor],$L58)),"")))</f>
        <v/>
      </c>
      <c r="J58" t="str">
        <f>IF($L58="","",IF(INDEX(tblRegistros[Data],$L58)&gt;$D$4,"",IFERROR(INDEX(tblRegistros[Status],$L58),"")))</f>
        <v/>
      </c>
      <c r="K58" t="str">
        <f>IF($L58="","",IF(INDEX(tblRegistros[Data],$L58)&gt;$D$4,"",IFERROR(INDEX(tblRegistros[Observação],$L58),"")))</f>
        <v/>
      </c>
      <c r="L58" s="16" t="str">
        <f>IFERROR(MATCH($B$3*100000+COUNTIFS(tblRegistros[ID],$B$3,tblRegistros[Data],"&lt;"&amp;$B$4)+ROWS($L$10:L58),tblRegistros[Chave do cartão],0),"")</f>
        <v/>
      </c>
    </row>
    <row r="59" spans="1:12">
      <c r="A59" s="2" t="str">
        <f>IF($L59="","",IF(INDEX(tblRegistros[Data],$L59)&gt;$D$4,"",IFERROR(INDEX(tblRegistros[Data],$L59),"")))</f>
        <v/>
      </c>
      <c r="B59" t="str">
        <f>IF($L59="","",IF(INDEX(tblRegistros[Data],$L59)&gt;$D$4,"",IFERROR(INDEX(tblRegistros[Projeto],$L59),"")))</f>
        <v/>
      </c>
      <c r="C59" t="str">
        <f>IF($L59="","",IF(INDEX(tblRegistros[Data],$L59)&gt;$D$4,"",IFERROR(INDEX(tblRegistros[Atividade],$L59),"")))</f>
        <v/>
      </c>
      <c r="D59" s="4" t="str">
        <f>IF($L59="","",IF(INDEX(tblRegistros[Data],$L59)&gt;$D$4,"",IFERROR(INDEX(tblRegistros[Início],$L59),"")))</f>
        <v/>
      </c>
      <c r="E59" s="4" t="str">
        <f>IF($L59="","",IF(INDEX(tblRegistros[Data],$L59)&gt;$D$4,"",IFERROR(IF(INDEX(tblRegistros[Status],$L59)="EM ABERTO","",INDEX(tblRegistros[Fim],$L59)),"")))</f>
        <v/>
      </c>
      <c r="F59" s="14" t="str">
        <f>IF($L59="","",IF(INDEX(tblRegistros[Data],$L59)&gt;$D$4,"",IFERROR(IF(INDEX(tblRegistros[Status],$L59)="EM ABERTO","",INDEX(tblRegistros[Horas],$L59)),"")))</f>
        <v/>
      </c>
      <c r="G59" t="str">
        <f>IF($L59="","",IF(INDEX(tblRegistros[Data],$L59)&gt;$D$4,"",IFERROR(INDEX(tblRegistros[Base],$L59),"")))</f>
        <v/>
      </c>
      <c r="H59" s="3" t="str">
        <f>IF($L59="","",IF(INDEX(tblRegistros[Data],$L59)&gt;$D$4,"",IFERROR(INDEX(tblRegistros[Taxa aplicada],$L59),"")))</f>
        <v/>
      </c>
      <c r="I59" s="3" t="str">
        <f>IF($L59="","",IF(INDEX(tblRegistros[Data],$L59)&gt;$D$4,"",IFERROR(IF(INDEX(tblRegistros[Status],$L59)="EM ABERTO","",INDEX(tblRegistros[Valor],$L59)),"")))</f>
        <v/>
      </c>
      <c r="J59" t="str">
        <f>IF($L59="","",IF(INDEX(tblRegistros[Data],$L59)&gt;$D$4,"",IFERROR(INDEX(tblRegistros[Status],$L59),"")))</f>
        <v/>
      </c>
      <c r="K59" t="str">
        <f>IF($L59="","",IF(INDEX(tblRegistros[Data],$L59)&gt;$D$4,"",IFERROR(INDEX(tblRegistros[Observação],$L59),"")))</f>
        <v/>
      </c>
      <c r="L59" s="16" t="str">
        <f>IFERROR(MATCH($B$3*100000+COUNTIFS(tblRegistros[ID],$B$3,tblRegistros[Data],"&lt;"&amp;$B$4)+ROWS($L$10:L59),tblRegistros[Chave do cartão],0),"")</f>
        <v/>
      </c>
    </row>
    <row r="60" spans="1:12">
      <c r="A60" s="2" t="str">
        <f>IF($L60="","",IF(INDEX(tblRegistros[Data],$L60)&gt;$D$4,"",IFERROR(INDEX(tblRegistros[Data],$L60),"")))</f>
        <v/>
      </c>
      <c r="B60" t="str">
        <f>IF($L60="","",IF(INDEX(tblRegistros[Data],$L60)&gt;$D$4,"",IFERROR(INDEX(tblRegistros[Projeto],$L60),"")))</f>
        <v/>
      </c>
      <c r="C60" t="str">
        <f>IF($L60="","",IF(INDEX(tblRegistros[Data],$L60)&gt;$D$4,"",IFERROR(INDEX(tblRegistros[Atividade],$L60),"")))</f>
        <v/>
      </c>
      <c r="D60" s="4" t="str">
        <f>IF($L60="","",IF(INDEX(tblRegistros[Data],$L60)&gt;$D$4,"",IFERROR(INDEX(tblRegistros[Início],$L60),"")))</f>
        <v/>
      </c>
      <c r="E60" s="4" t="str">
        <f>IF($L60="","",IF(INDEX(tblRegistros[Data],$L60)&gt;$D$4,"",IFERROR(IF(INDEX(tblRegistros[Status],$L60)="EM ABERTO","",INDEX(tblRegistros[Fim],$L60)),"")))</f>
        <v/>
      </c>
      <c r="F60" s="14" t="str">
        <f>IF($L60="","",IF(INDEX(tblRegistros[Data],$L60)&gt;$D$4,"",IFERROR(IF(INDEX(tblRegistros[Status],$L60)="EM ABERTO","",INDEX(tblRegistros[Horas],$L60)),"")))</f>
        <v/>
      </c>
      <c r="G60" t="str">
        <f>IF($L60="","",IF(INDEX(tblRegistros[Data],$L60)&gt;$D$4,"",IFERROR(INDEX(tblRegistros[Base],$L60),"")))</f>
        <v/>
      </c>
      <c r="H60" s="3" t="str">
        <f>IF($L60="","",IF(INDEX(tblRegistros[Data],$L60)&gt;$D$4,"",IFERROR(INDEX(tblRegistros[Taxa aplicada],$L60),"")))</f>
        <v/>
      </c>
      <c r="I60" s="3" t="str">
        <f>IF($L60="","",IF(INDEX(tblRegistros[Data],$L60)&gt;$D$4,"",IFERROR(IF(INDEX(tblRegistros[Status],$L60)="EM ABERTO","",INDEX(tblRegistros[Valor],$L60)),"")))</f>
        <v/>
      </c>
      <c r="J60" t="str">
        <f>IF($L60="","",IF(INDEX(tblRegistros[Data],$L60)&gt;$D$4,"",IFERROR(INDEX(tblRegistros[Status],$L60),"")))</f>
        <v/>
      </c>
      <c r="K60" t="str">
        <f>IF($L60="","",IF(INDEX(tblRegistros[Data],$L60)&gt;$D$4,"",IFERROR(INDEX(tblRegistros[Observação],$L60),"")))</f>
        <v/>
      </c>
      <c r="L60" s="16" t="str">
        <f>IFERROR(MATCH($B$3*100000+COUNTIFS(tblRegistros[ID],$B$3,tblRegistros[Data],"&lt;"&amp;$B$4)+ROWS($L$10:L60),tblRegistros[Chave do cartão],0),"")</f>
        <v/>
      </c>
    </row>
    <row r="61" spans="1:12">
      <c r="A61" s="2" t="str">
        <f>IF($L61="","",IF(INDEX(tblRegistros[Data],$L61)&gt;$D$4,"",IFERROR(INDEX(tblRegistros[Data],$L61),"")))</f>
        <v/>
      </c>
      <c r="B61" t="str">
        <f>IF($L61="","",IF(INDEX(tblRegistros[Data],$L61)&gt;$D$4,"",IFERROR(INDEX(tblRegistros[Projeto],$L61),"")))</f>
        <v/>
      </c>
      <c r="C61" t="str">
        <f>IF($L61="","",IF(INDEX(tblRegistros[Data],$L61)&gt;$D$4,"",IFERROR(INDEX(tblRegistros[Atividade],$L61),"")))</f>
        <v/>
      </c>
      <c r="D61" s="4" t="str">
        <f>IF($L61="","",IF(INDEX(tblRegistros[Data],$L61)&gt;$D$4,"",IFERROR(INDEX(tblRegistros[Início],$L61),"")))</f>
        <v/>
      </c>
      <c r="E61" s="4" t="str">
        <f>IF($L61="","",IF(INDEX(tblRegistros[Data],$L61)&gt;$D$4,"",IFERROR(IF(INDEX(tblRegistros[Status],$L61)="EM ABERTO","",INDEX(tblRegistros[Fim],$L61)),"")))</f>
        <v/>
      </c>
      <c r="F61" s="14" t="str">
        <f>IF($L61="","",IF(INDEX(tblRegistros[Data],$L61)&gt;$D$4,"",IFERROR(IF(INDEX(tblRegistros[Status],$L61)="EM ABERTO","",INDEX(tblRegistros[Horas],$L61)),"")))</f>
        <v/>
      </c>
      <c r="G61" t="str">
        <f>IF($L61="","",IF(INDEX(tblRegistros[Data],$L61)&gt;$D$4,"",IFERROR(INDEX(tblRegistros[Base],$L61),"")))</f>
        <v/>
      </c>
      <c r="H61" s="3" t="str">
        <f>IF($L61="","",IF(INDEX(tblRegistros[Data],$L61)&gt;$D$4,"",IFERROR(INDEX(tblRegistros[Taxa aplicada],$L61),"")))</f>
        <v/>
      </c>
      <c r="I61" s="3" t="str">
        <f>IF($L61="","",IF(INDEX(tblRegistros[Data],$L61)&gt;$D$4,"",IFERROR(IF(INDEX(tblRegistros[Status],$L61)="EM ABERTO","",INDEX(tblRegistros[Valor],$L61)),"")))</f>
        <v/>
      </c>
      <c r="J61" t="str">
        <f>IF($L61="","",IF(INDEX(tblRegistros[Data],$L61)&gt;$D$4,"",IFERROR(INDEX(tblRegistros[Status],$L61),"")))</f>
        <v/>
      </c>
      <c r="K61" t="str">
        <f>IF($L61="","",IF(INDEX(tblRegistros[Data],$L61)&gt;$D$4,"",IFERROR(INDEX(tblRegistros[Observação],$L61),"")))</f>
        <v/>
      </c>
      <c r="L61" s="16" t="str">
        <f>IFERROR(MATCH($B$3*100000+COUNTIFS(tblRegistros[ID],$B$3,tblRegistros[Data],"&lt;"&amp;$B$4)+ROWS($L$10:L61),tblRegistros[Chave do cartão],0),"")</f>
        <v/>
      </c>
    </row>
    <row r="62" spans="1:12">
      <c r="A62" s="2" t="str">
        <f>IF($L62="","",IF(INDEX(tblRegistros[Data],$L62)&gt;$D$4,"",IFERROR(INDEX(tblRegistros[Data],$L62),"")))</f>
        <v/>
      </c>
      <c r="B62" t="str">
        <f>IF($L62="","",IF(INDEX(tblRegistros[Data],$L62)&gt;$D$4,"",IFERROR(INDEX(tblRegistros[Projeto],$L62),"")))</f>
        <v/>
      </c>
      <c r="C62" t="str">
        <f>IF($L62="","",IF(INDEX(tblRegistros[Data],$L62)&gt;$D$4,"",IFERROR(INDEX(tblRegistros[Atividade],$L62),"")))</f>
        <v/>
      </c>
      <c r="D62" s="4" t="str">
        <f>IF($L62="","",IF(INDEX(tblRegistros[Data],$L62)&gt;$D$4,"",IFERROR(INDEX(tblRegistros[Início],$L62),"")))</f>
        <v/>
      </c>
      <c r="E62" s="4" t="str">
        <f>IF($L62="","",IF(INDEX(tblRegistros[Data],$L62)&gt;$D$4,"",IFERROR(IF(INDEX(tblRegistros[Status],$L62)="EM ABERTO","",INDEX(tblRegistros[Fim],$L62)),"")))</f>
        <v/>
      </c>
      <c r="F62" s="14" t="str">
        <f>IF($L62="","",IF(INDEX(tblRegistros[Data],$L62)&gt;$D$4,"",IFERROR(IF(INDEX(tblRegistros[Status],$L62)="EM ABERTO","",INDEX(tblRegistros[Horas],$L62)),"")))</f>
        <v/>
      </c>
      <c r="G62" t="str">
        <f>IF($L62="","",IF(INDEX(tblRegistros[Data],$L62)&gt;$D$4,"",IFERROR(INDEX(tblRegistros[Base],$L62),"")))</f>
        <v/>
      </c>
      <c r="H62" s="3" t="str">
        <f>IF($L62="","",IF(INDEX(tblRegistros[Data],$L62)&gt;$D$4,"",IFERROR(INDEX(tblRegistros[Taxa aplicada],$L62),"")))</f>
        <v/>
      </c>
      <c r="I62" s="3" t="str">
        <f>IF($L62="","",IF(INDEX(tblRegistros[Data],$L62)&gt;$D$4,"",IFERROR(IF(INDEX(tblRegistros[Status],$L62)="EM ABERTO","",INDEX(tblRegistros[Valor],$L62)),"")))</f>
        <v/>
      </c>
      <c r="J62" t="str">
        <f>IF($L62="","",IF(INDEX(tblRegistros[Data],$L62)&gt;$D$4,"",IFERROR(INDEX(tblRegistros[Status],$L62),"")))</f>
        <v/>
      </c>
      <c r="K62" t="str">
        <f>IF($L62="","",IF(INDEX(tblRegistros[Data],$L62)&gt;$D$4,"",IFERROR(INDEX(tblRegistros[Observação],$L62),"")))</f>
        <v/>
      </c>
      <c r="L62" s="16" t="str">
        <f>IFERROR(MATCH($B$3*100000+COUNTIFS(tblRegistros[ID],$B$3,tblRegistros[Data],"&lt;"&amp;$B$4)+ROWS($L$10:L62),tblRegistros[Chave do cartão],0),"")</f>
        <v/>
      </c>
    </row>
    <row r="63" spans="1:12">
      <c r="A63" s="2" t="str">
        <f>IF($L63="","",IF(INDEX(tblRegistros[Data],$L63)&gt;$D$4,"",IFERROR(INDEX(tblRegistros[Data],$L63),"")))</f>
        <v/>
      </c>
      <c r="B63" t="str">
        <f>IF($L63="","",IF(INDEX(tblRegistros[Data],$L63)&gt;$D$4,"",IFERROR(INDEX(tblRegistros[Projeto],$L63),"")))</f>
        <v/>
      </c>
      <c r="C63" t="str">
        <f>IF($L63="","",IF(INDEX(tblRegistros[Data],$L63)&gt;$D$4,"",IFERROR(INDEX(tblRegistros[Atividade],$L63),"")))</f>
        <v/>
      </c>
      <c r="D63" s="4" t="str">
        <f>IF($L63="","",IF(INDEX(tblRegistros[Data],$L63)&gt;$D$4,"",IFERROR(INDEX(tblRegistros[Início],$L63),"")))</f>
        <v/>
      </c>
      <c r="E63" s="4" t="str">
        <f>IF($L63="","",IF(INDEX(tblRegistros[Data],$L63)&gt;$D$4,"",IFERROR(IF(INDEX(tblRegistros[Status],$L63)="EM ABERTO","",INDEX(tblRegistros[Fim],$L63)),"")))</f>
        <v/>
      </c>
      <c r="F63" s="14" t="str">
        <f>IF($L63="","",IF(INDEX(tblRegistros[Data],$L63)&gt;$D$4,"",IFERROR(IF(INDEX(tblRegistros[Status],$L63)="EM ABERTO","",INDEX(tblRegistros[Horas],$L63)),"")))</f>
        <v/>
      </c>
      <c r="G63" t="str">
        <f>IF($L63="","",IF(INDEX(tblRegistros[Data],$L63)&gt;$D$4,"",IFERROR(INDEX(tblRegistros[Base],$L63),"")))</f>
        <v/>
      </c>
      <c r="H63" s="3" t="str">
        <f>IF($L63="","",IF(INDEX(tblRegistros[Data],$L63)&gt;$D$4,"",IFERROR(INDEX(tblRegistros[Taxa aplicada],$L63),"")))</f>
        <v/>
      </c>
      <c r="I63" s="3" t="str">
        <f>IF($L63="","",IF(INDEX(tblRegistros[Data],$L63)&gt;$D$4,"",IFERROR(IF(INDEX(tblRegistros[Status],$L63)="EM ABERTO","",INDEX(tblRegistros[Valor],$L63)),"")))</f>
        <v/>
      </c>
      <c r="J63" t="str">
        <f>IF($L63="","",IF(INDEX(tblRegistros[Data],$L63)&gt;$D$4,"",IFERROR(INDEX(tblRegistros[Status],$L63),"")))</f>
        <v/>
      </c>
      <c r="K63" t="str">
        <f>IF($L63="","",IF(INDEX(tblRegistros[Data],$L63)&gt;$D$4,"",IFERROR(INDEX(tblRegistros[Observação],$L63),"")))</f>
        <v/>
      </c>
      <c r="L63" s="16" t="str">
        <f>IFERROR(MATCH($B$3*100000+COUNTIFS(tblRegistros[ID],$B$3,tblRegistros[Data],"&lt;"&amp;$B$4)+ROWS($L$10:L63),tblRegistros[Chave do cartão],0),"")</f>
        <v/>
      </c>
    </row>
    <row r="64" spans="1:12">
      <c r="A64" s="2" t="str">
        <f>IF($L64="","",IF(INDEX(tblRegistros[Data],$L64)&gt;$D$4,"",IFERROR(INDEX(tblRegistros[Data],$L64),"")))</f>
        <v/>
      </c>
      <c r="B64" t="str">
        <f>IF($L64="","",IF(INDEX(tblRegistros[Data],$L64)&gt;$D$4,"",IFERROR(INDEX(tblRegistros[Projeto],$L64),"")))</f>
        <v/>
      </c>
      <c r="C64" t="str">
        <f>IF($L64="","",IF(INDEX(tblRegistros[Data],$L64)&gt;$D$4,"",IFERROR(INDEX(tblRegistros[Atividade],$L64),"")))</f>
        <v/>
      </c>
      <c r="D64" s="4" t="str">
        <f>IF($L64="","",IF(INDEX(tblRegistros[Data],$L64)&gt;$D$4,"",IFERROR(INDEX(tblRegistros[Início],$L64),"")))</f>
        <v/>
      </c>
      <c r="E64" s="4" t="str">
        <f>IF($L64="","",IF(INDEX(tblRegistros[Data],$L64)&gt;$D$4,"",IFERROR(IF(INDEX(tblRegistros[Status],$L64)="EM ABERTO","",INDEX(tblRegistros[Fim],$L64)),"")))</f>
        <v/>
      </c>
      <c r="F64" s="14" t="str">
        <f>IF($L64="","",IF(INDEX(tblRegistros[Data],$L64)&gt;$D$4,"",IFERROR(IF(INDEX(tblRegistros[Status],$L64)="EM ABERTO","",INDEX(tblRegistros[Horas],$L64)),"")))</f>
        <v/>
      </c>
      <c r="G64" t="str">
        <f>IF($L64="","",IF(INDEX(tblRegistros[Data],$L64)&gt;$D$4,"",IFERROR(INDEX(tblRegistros[Base],$L64),"")))</f>
        <v/>
      </c>
      <c r="H64" s="3" t="str">
        <f>IF($L64="","",IF(INDEX(tblRegistros[Data],$L64)&gt;$D$4,"",IFERROR(INDEX(tblRegistros[Taxa aplicada],$L64),"")))</f>
        <v/>
      </c>
      <c r="I64" s="3" t="str">
        <f>IF($L64="","",IF(INDEX(tblRegistros[Data],$L64)&gt;$D$4,"",IFERROR(IF(INDEX(tblRegistros[Status],$L64)="EM ABERTO","",INDEX(tblRegistros[Valor],$L64)),"")))</f>
        <v/>
      </c>
      <c r="J64" t="str">
        <f>IF($L64="","",IF(INDEX(tblRegistros[Data],$L64)&gt;$D$4,"",IFERROR(INDEX(tblRegistros[Status],$L64),"")))</f>
        <v/>
      </c>
      <c r="K64" t="str">
        <f>IF($L64="","",IF(INDEX(tblRegistros[Data],$L64)&gt;$D$4,"",IFERROR(INDEX(tblRegistros[Observação],$L64),"")))</f>
        <v/>
      </c>
      <c r="L64" s="16" t="str">
        <f>IFERROR(MATCH($B$3*100000+COUNTIFS(tblRegistros[ID],$B$3,tblRegistros[Data],"&lt;"&amp;$B$4)+ROWS($L$10:L64),tblRegistros[Chave do cartão],0),"")</f>
        <v/>
      </c>
    </row>
    <row r="65" spans="1:12">
      <c r="A65" s="2" t="str">
        <f>IF($L65="","",IF(INDEX(tblRegistros[Data],$L65)&gt;$D$4,"",IFERROR(INDEX(tblRegistros[Data],$L65),"")))</f>
        <v/>
      </c>
      <c r="B65" t="str">
        <f>IF($L65="","",IF(INDEX(tblRegistros[Data],$L65)&gt;$D$4,"",IFERROR(INDEX(tblRegistros[Projeto],$L65),"")))</f>
        <v/>
      </c>
      <c r="C65" t="str">
        <f>IF($L65="","",IF(INDEX(tblRegistros[Data],$L65)&gt;$D$4,"",IFERROR(INDEX(tblRegistros[Atividade],$L65),"")))</f>
        <v/>
      </c>
      <c r="D65" s="4" t="str">
        <f>IF($L65="","",IF(INDEX(tblRegistros[Data],$L65)&gt;$D$4,"",IFERROR(INDEX(tblRegistros[Início],$L65),"")))</f>
        <v/>
      </c>
      <c r="E65" s="4" t="str">
        <f>IF($L65="","",IF(INDEX(tblRegistros[Data],$L65)&gt;$D$4,"",IFERROR(IF(INDEX(tblRegistros[Status],$L65)="EM ABERTO","",INDEX(tblRegistros[Fim],$L65)),"")))</f>
        <v/>
      </c>
      <c r="F65" s="14" t="str">
        <f>IF($L65="","",IF(INDEX(tblRegistros[Data],$L65)&gt;$D$4,"",IFERROR(IF(INDEX(tblRegistros[Status],$L65)="EM ABERTO","",INDEX(tblRegistros[Horas],$L65)),"")))</f>
        <v/>
      </c>
      <c r="G65" t="str">
        <f>IF($L65="","",IF(INDEX(tblRegistros[Data],$L65)&gt;$D$4,"",IFERROR(INDEX(tblRegistros[Base],$L65),"")))</f>
        <v/>
      </c>
      <c r="H65" s="3" t="str">
        <f>IF($L65="","",IF(INDEX(tblRegistros[Data],$L65)&gt;$D$4,"",IFERROR(INDEX(tblRegistros[Taxa aplicada],$L65),"")))</f>
        <v/>
      </c>
      <c r="I65" s="3" t="str">
        <f>IF($L65="","",IF(INDEX(tblRegistros[Data],$L65)&gt;$D$4,"",IFERROR(IF(INDEX(tblRegistros[Status],$L65)="EM ABERTO","",INDEX(tblRegistros[Valor],$L65)),"")))</f>
        <v/>
      </c>
      <c r="J65" t="str">
        <f>IF($L65="","",IF(INDEX(tblRegistros[Data],$L65)&gt;$D$4,"",IFERROR(INDEX(tblRegistros[Status],$L65),"")))</f>
        <v/>
      </c>
      <c r="K65" t="str">
        <f>IF($L65="","",IF(INDEX(tblRegistros[Data],$L65)&gt;$D$4,"",IFERROR(INDEX(tblRegistros[Observação],$L65),"")))</f>
        <v/>
      </c>
      <c r="L65" s="16" t="str">
        <f>IFERROR(MATCH($B$3*100000+COUNTIFS(tblRegistros[ID],$B$3,tblRegistros[Data],"&lt;"&amp;$B$4)+ROWS($L$10:L65),tblRegistros[Chave do cartão],0),"")</f>
        <v/>
      </c>
    </row>
    <row r="66" spans="1:12">
      <c r="A66" s="2" t="str">
        <f>IF($L66="","",IF(INDEX(tblRegistros[Data],$L66)&gt;$D$4,"",IFERROR(INDEX(tblRegistros[Data],$L66),"")))</f>
        <v/>
      </c>
      <c r="B66" t="str">
        <f>IF($L66="","",IF(INDEX(tblRegistros[Data],$L66)&gt;$D$4,"",IFERROR(INDEX(tblRegistros[Projeto],$L66),"")))</f>
        <v/>
      </c>
      <c r="C66" t="str">
        <f>IF($L66="","",IF(INDEX(tblRegistros[Data],$L66)&gt;$D$4,"",IFERROR(INDEX(tblRegistros[Atividade],$L66),"")))</f>
        <v/>
      </c>
      <c r="D66" s="4" t="str">
        <f>IF($L66="","",IF(INDEX(tblRegistros[Data],$L66)&gt;$D$4,"",IFERROR(INDEX(tblRegistros[Início],$L66),"")))</f>
        <v/>
      </c>
      <c r="E66" s="4" t="str">
        <f>IF($L66="","",IF(INDEX(tblRegistros[Data],$L66)&gt;$D$4,"",IFERROR(IF(INDEX(tblRegistros[Status],$L66)="EM ABERTO","",INDEX(tblRegistros[Fim],$L66)),"")))</f>
        <v/>
      </c>
      <c r="F66" s="14" t="str">
        <f>IF($L66="","",IF(INDEX(tblRegistros[Data],$L66)&gt;$D$4,"",IFERROR(IF(INDEX(tblRegistros[Status],$L66)="EM ABERTO","",INDEX(tblRegistros[Horas],$L66)),"")))</f>
        <v/>
      </c>
      <c r="G66" t="str">
        <f>IF($L66="","",IF(INDEX(tblRegistros[Data],$L66)&gt;$D$4,"",IFERROR(INDEX(tblRegistros[Base],$L66),"")))</f>
        <v/>
      </c>
      <c r="H66" s="3" t="str">
        <f>IF($L66="","",IF(INDEX(tblRegistros[Data],$L66)&gt;$D$4,"",IFERROR(INDEX(tblRegistros[Taxa aplicada],$L66),"")))</f>
        <v/>
      </c>
      <c r="I66" s="3" t="str">
        <f>IF($L66="","",IF(INDEX(tblRegistros[Data],$L66)&gt;$D$4,"",IFERROR(IF(INDEX(tblRegistros[Status],$L66)="EM ABERTO","",INDEX(tblRegistros[Valor],$L66)),"")))</f>
        <v/>
      </c>
      <c r="J66" t="str">
        <f>IF($L66="","",IF(INDEX(tblRegistros[Data],$L66)&gt;$D$4,"",IFERROR(INDEX(tblRegistros[Status],$L66),"")))</f>
        <v/>
      </c>
      <c r="K66" t="str">
        <f>IF($L66="","",IF(INDEX(tblRegistros[Data],$L66)&gt;$D$4,"",IFERROR(INDEX(tblRegistros[Observação],$L66),"")))</f>
        <v/>
      </c>
      <c r="L66" s="16" t="str">
        <f>IFERROR(MATCH($B$3*100000+COUNTIFS(tblRegistros[ID],$B$3,tblRegistros[Data],"&lt;"&amp;$B$4)+ROWS($L$10:L66),tblRegistros[Chave do cartão],0),"")</f>
        <v/>
      </c>
    </row>
    <row r="67" spans="1:12">
      <c r="A67" s="2" t="str">
        <f>IF($L67="","",IF(INDEX(tblRegistros[Data],$L67)&gt;$D$4,"",IFERROR(INDEX(tblRegistros[Data],$L67),"")))</f>
        <v/>
      </c>
      <c r="B67" t="str">
        <f>IF($L67="","",IF(INDEX(tblRegistros[Data],$L67)&gt;$D$4,"",IFERROR(INDEX(tblRegistros[Projeto],$L67),"")))</f>
        <v/>
      </c>
      <c r="C67" t="str">
        <f>IF($L67="","",IF(INDEX(tblRegistros[Data],$L67)&gt;$D$4,"",IFERROR(INDEX(tblRegistros[Atividade],$L67),"")))</f>
        <v/>
      </c>
      <c r="D67" s="4" t="str">
        <f>IF($L67="","",IF(INDEX(tblRegistros[Data],$L67)&gt;$D$4,"",IFERROR(INDEX(tblRegistros[Início],$L67),"")))</f>
        <v/>
      </c>
      <c r="E67" s="4" t="str">
        <f>IF($L67="","",IF(INDEX(tblRegistros[Data],$L67)&gt;$D$4,"",IFERROR(IF(INDEX(tblRegistros[Status],$L67)="EM ABERTO","",INDEX(tblRegistros[Fim],$L67)),"")))</f>
        <v/>
      </c>
      <c r="F67" s="14" t="str">
        <f>IF($L67="","",IF(INDEX(tblRegistros[Data],$L67)&gt;$D$4,"",IFERROR(IF(INDEX(tblRegistros[Status],$L67)="EM ABERTO","",INDEX(tblRegistros[Horas],$L67)),"")))</f>
        <v/>
      </c>
      <c r="G67" t="str">
        <f>IF($L67="","",IF(INDEX(tblRegistros[Data],$L67)&gt;$D$4,"",IFERROR(INDEX(tblRegistros[Base],$L67),"")))</f>
        <v/>
      </c>
      <c r="H67" s="3" t="str">
        <f>IF($L67="","",IF(INDEX(tblRegistros[Data],$L67)&gt;$D$4,"",IFERROR(INDEX(tblRegistros[Taxa aplicada],$L67),"")))</f>
        <v/>
      </c>
      <c r="I67" s="3" t="str">
        <f>IF($L67="","",IF(INDEX(tblRegistros[Data],$L67)&gt;$D$4,"",IFERROR(IF(INDEX(tblRegistros[Status],$L67)="EM ABERTO","",INDEX(tblRegistros[Valor],$L67)),"")))</f>
        <v/>
      </c>
      <c r="J67" t="str">
        <f>IF($L67="","",IF(INDEX(tblRegistros[Data],$L67)&gt;$D$4,"",IFERROR(INDEX(tblRegistros[Status],$L67),"")))</f>
        <v/>
      </c>
      <c r="K67" t="str">
        <f>IF($L67="","",IF(INDEX(tblRegistros[Data],$L67)&gt;$D$4,"",IFERROR(INDEX(tblRegistros[Observação],$L67),"")))</f>
        <v/>
      </c>
      <c r="L67" s="16" t="str">
        <f>IFERROR(MATCH($B$3*100000+COUNTIFS(tblRegistros[ID],$B$3,tblRegistros[Data],"&lt;"&amp;$B$4)+ROWS($L$10:L67),tblRegistros[Chave do cartão],0),"")</f>
        <v/>
      </c>
    </row>
    <row r="68" spans="1:12">
      <c r="A68" s="2" t="str">
        <f>IF($L68="","",IF(INDEX(tblRegistros[Data],$L68)&gt;$D$4,"",IFERROR(INDEX(tblRegistros[Data],$L68),"")))</f>
        <v/>
      </c>
      <c r="B68" t="str">
        <f>IF($L68="","",IF(INDEX(tblRegistros[Data],$L68)&gt;$D$4,"",IFERROR(INDEX(tblRegistros[Projeto],$L68),"")))</f>
        <v/>
      </c>
      <c r="C68" t="str">
        <f>IF($L68="","",IF(INDEX(tblRegistros[Data],$L68)&gt;$D$4,"",IFERROR(INDEX(tblRegistros[Atividade],$L68),"")))</f>
        <v/>
      </c>
      <c r="D68" s="4" t="str">
        <f>IF($L68="","",IF(INDEX(tblRegistros[Data],$L68)&gt;$D$4,"",IFERROR(INDEX(tblRegistros[Início],$L68),"")))</f>
        <v/>
      </c>
      <c r="E68" s="4" t="str">
        <f>IF($L68="","",IF(INDEX(tblRegistros[Data],$L68)&gt;$D$4,"",IFERROR(IF(INDEX(tblRegistros[Status],$L68)="EM ABERTO","",INDEX(tblRegistros[Fim],$L68)),"")))</f>
        <v/>
      </c>
      <c r="F68" s="14" t="str">
        <f>IF($L68="","",IF(INDEX(tblRegistros[Data],$L68)&gt;$D$4,"",IFERROR(IF(INDEX(tblRegistros[Status],$L68)="EM ABERTO","",INDEX(tblRegistros[Horas],$L68)),"")))</f>
        <v/>
      </c>
      <c r="G68" t="str">
        <f>IF($L68="","",IF(INDEX(tblRegistros[Data],$L68)&gt;$D$4,"",IFERROR(INDEX(tblRegistros[Base],$L68),"")))</f>
        <v/>
      </c>
      <c r="H68" s="3" t="str">
        <f>IF($L68="","",IF(INDEX(tblRegistros[Data],$L68)&gt;$D$4,"",IFERROR(INDEX(tblRegistros[Taxa aplicada],$L68),"")))</f>
        <v/>
      </c>
      <c r="I68" s="3" t="str">
        <f>IF($L68="","",IF(INDEX(tblRegistros[Data],$L68)&gt;$D$4,"",IFERROR(IF(INDEX(tblRegistros[Status],$L68)="EM ABERTO","",INDEX(tblRegistros[Valor],$L68)),"")))</f>
        <v/>
      </c>
      <c r="J68" t="str">
        <f>IF($L68="","",IF(INDEX(tblRegistros[Data],$L68)&gt;$D$4,"",IFERROR(INDEX(tblRegistros[Status],$L68),"")))</f>
        <v/>
      </c>
      <c r="K68" t="str">
        <f>IF($L68="","",IF(INDEX(tblRegistros[Data],$L68)&gt;$D$4,"",IFERROR(INDEX(tblRegistros[Observação],$L68),"")))</f>
        <v/>
      </c>
      <c r="L68" s="16" t="str">
        <f>IFERROR(MATCH($B$3*100000+COUNTIFS(tblRegistros[ID],$B$3,tblRegistros[Data],"&lt;"&amp;$B$4)+ROWS($L$10:L68),tblRegistros[Chave do cartão],0),"")</f>
        <v/>
      </c>
    </row>
    <row r="69" spans="1:12">
      <c r="A69" s="2" t="str">
        <f>IF($L69="","",IF(INDEX(tblRegistros[Data],$L69)&gt;$D$4,"",IFERROR(INDEX(tblRegistros[Data],$L69),"")))</f>
        <v/>
      </c>
      <c r="B69" t="str">
        <f>IF($L69="","",IF(INDEX(tblRegistros[Data],$L69)&gt;$D$4,"",IFERROR(INDEX(tblRegistros[Projeto],$L69),"")))</f>
        <v/>
      </c>
      <c r="C69" t="str">
        <f>IF($L69="","",IF(INDEX(tblRegistros[Data],$L69)&gt;$D$4,"",IFERROR(INDEX(tblRegistros[Atividade],$L69),"")))</f>
        <v/>
      </c>
      <c r="D69" s="4" t="str">
        <f>IF($L69="","",IF(INDEX(tblRegistros[Data],$L69)&gt;$D$4,"",IFERROR(INDEX(tblRegistros[Início],$L69),"")))</f>
        <v/>
      </c>
      <c r="E69" s="4" t="str">
        <f>IF($L69="","",IF(INDEX(tblRegistros[Data],$L69)&gt;$D$4,"",IFERROR(IF(INDEX(tblRegistros[Status],$L69)="EM ABERTO","",INDEX(tblRegistros[Fim],$L69)),"")))</f>
        <v/>
      </c>
      <c r="F69" s="14" t="str">
        <f>IF($L69="","",IF(INDEX(tblRegistros[Data],$L69)&gt;$D$4,"",IFERROR(IF(INDEX(tblRegistros[Status],$L69)="EM ABERTO","",INDEX(tblRegistros[Horas],$L69)),"")))</f>
        <v/>
      </c>
      <c r="G69" t="str">
        <f>IF($L69="","",IF(INDEX(tblRegistros[Data],$L69)&gt;$D$4,"",IFERROR(INDEX(tblRegistros[Base],$L69),"")))</f>
        <v/>
      </c>
      <c r="H69" s="3" t="str">
        <f>IF($L69="","",IF(INDEX(tblRegistros[Data],$L69)&gt;$D$4,"",IFERROR(INDEX(tblRegistros[Taxa aplicada],$L69),"")))</f>
        <v/>
      </c>
      <c r="I69" s="3" t="str">
        <f>IF($L69="","",IF(INDEX(tblRegistros[Data],$L69)&gt;$D$4,"",IFERROR(IF(INDEX(tblRegistros[Status],$L69)="EM ABERTO","",INDEX(tblRegistros[Valor],$L69)),"")))</f>
        <v/>
      </c>
      <c r="J69" t="str">
        <f>IF($L69="","",IF(INDEX(tblRegistros[Data],$L69)&gt;$D$4,"",IFERROR(INDEX(tblRegistros[Status],$L69),"")))</f>
        <v/>
      </c>
      <c r="K69" t="str">
        <f>IF($L69="","",IF(INDEX(tblRegistros[Data],$L69)&gt;$D$4,"",IFERROR(INDEX(tblRegistros[Observação],$L69),"")))</f>
        <v/>
      </c>
      <c r="L69" s="16" t="str">
        <f>IFERROR(MATCH($B$3*100000+COUNTIFS(tblRegistros[ID],$B$3,tblRegistros[Data],"&lt;"&amp;$B$4)+ROWS($L$10:L69),tblRegistros[Chave do cartão],0),"")</f>
        <v/>
      </c>
    </row>
    <row r="70" spans="1:12">
      <c r="A70" s="2" t="str">
        <f>IF($L70="","",IF(INDEX(tblRegistros[Data],$L70)&gt;$D$4,"",IFERROR(INDEX(tblRegistros[Data],$L70),"")))</f>
        <v/>
      </c>
      <c r="B70" t="str">
        <f>IF($L70="","",IF(INDEX(tblRegistros[Data],$L70)&gt;$D$4,"",IFERROR(INDEX(tblRegistros[Projeto],$L70),"")))</f>
        <v/>
      </c>
      <c r="C70" t="str">
        <f>IF($L70="","",IF(INDEX(tblRegistros[Data],$L70)&gt;$D$4,"",IFERROR(INDEX(tblRegistros[Atividade],$L70),"")))</f>
        <v/>
      </c>
      <c r="D70" s="4" t="str">
        <f>IF($L70="","",IF(INDEX(tblRegistros[Data],$L70)&gt;$D$4,"",IFERROR(INDEX(tblRegistros[Início],$L70),"")))</f>
        <v/>
      </c>
      <c r="E70" s="4" t="str">
        <f>IF($L70="","",IF(INDEX(tblRegistros[Data],$L70)&gt;$D$4,"",IFERROR(IF(INDEX(tblRegistros[Status],$L70)="EM ABERTO","",INDEX(tblRegistros[Fim],$L70)),"")))</f>
        <v/>
      </c>
      <c r="F70" s="14" t="str">
        <f>IF($L70="","",IF(INDEX(tblRegistros[Data],$L70)&gt;$D$4,"",IFERROR(IF(INDEX(tblRegistros[Status],$L70)="EM ABERTO","",INDEX(tblRegistros[Horas],$L70)),"")))</f>
        <v/>
      </c>
      <c r="G70" t="str">
        <f>IF($L70="","",IF(INDEX(tblRegistros[Data],$L70)&gt;$D$4,"",IFERROR(INDEX(tblRegistros[Base],$L70),"")))</f>
        <v/>
      </c>
      <c r="H70" s="3" t="str">
        <f>IF($L70="","",IF(INDEX(tblRegistros[Data],$L70)&gt;$D$4,"",IFERROR(INDEX(tblRegistros[Taxa aplicada],$L70),"")))</f>
        <v/>
      </c>
      <c r="I70" s="3" t="str">
        <f>IF($L70="","",IF(INDEX(tblRegistros[Data],$L70)&gt;$D$4,"",IFERROR(IF(INDEX(tblRegistros[Status],$L70)="EM ABERTO","",INDEX(tblRegistros[Valor],$L70)),"")))</f>
        <v/>
      </c>
      <c r="J70" t="str">
        <f>IF($L70="","",IF(INDEX(tblRegistros[Data],$L70)&gt;$D$4,"",IFERROR(INDEX(tblRegistros[Status],$L70),"")))</f>
        <v/>
      </c>
      <c r="K70" t="str">
        <f>IF($L70="","",IF(INDEX(tblRegistros[Data],$L70)&gt;$D$4,"",IFERROR(INDEX(tblRegistros[Observação],$L70),"")))</f>
        <v/>
      </c>
      <c r="L70" s="16" t="str">
        <f>IFERROR(MATCH($B$3*100000+COUNTIFS(tblRegistros[ID],$B$3,tblRegistros[Data],"&lt;"&amp;$B$4)+ROWS($L$10:L70),tblRegistros[Chave do cartão],0),"")</f>
        <v/>
      </c>
    </row>
    <row r="71" spans="1:12">
      <c r="A71" s="2" t="str">
        <f>IF($L71="","",IF(INDEX(tblRegistros[Data],$L71)&gt;$D$4,"",IFERROR(INDEX(tblRegistros[Data],$L71),"")))</f>
        <v/>
      </c>
      <c r="B71" t="str">
        <f>IF($L71="","",IF(INDEX(tblRegistros[Data],$L71)&gt;$D$4,"",IFERROR(INDEX(tblRegistros[Projeto],$L71),"")))</f>
        <v/>
      </c>
      <c r="C71" t="str">
        <f>IF($L71="","",IF(INDEX(tblRegistros[Data],$L71)&gt;$D$4,"",IFERROR(INDEX(tblRegistros[Atividade],$L71),"")))</f>
        <v/>
      </c>
      <c r="D71" s="4" t="str">
        <f>IF($L71="","",IF(INDEX(tblRegistros[Data],$L71)&gt;$D$4,"",IFERROR(INDEX(tblRegistros[Início],$L71),"")))</f>
        <v/>
      </c>
      <c r="E71" s="4" t="str">
        <f>IF($L71="","",IF(INDEX(tblRegistros[Data],$L71)&gt;$D$4,"",IFERROR(IF(INDEX(tblRegistros[Status],$L71)="EM ABERTO","",INDEX(tblRegistros[Fim],$L71)),"")))</f>
        <v/>
      </c>
      <c r="F71" s="14" t="str">
        <f>IF($L71="","",IF(INDEX(tblRegistros[Data],$L71)&gt;$D$4,"",IFERROR(IF(INDEX(tblRegistros[Status],$L71)="EM ABERTO","",INDEX(tblRegistros[Horas],$L71)),"")))</f>
        <v/>
      </c>
      <c r="G71" t="str">
        <f>IF($L71="","",IF(INDEX(tblRegistros[Data],$L71)&gt;$D$4,"",IFERROR(INDEX(tblRegistros[Base],$L71),"")))</f>
        <v/>
      </c>
      <c r="H71" s="3" t="str">
        <f>IF($L71="","",IF(INDEX(tblRegistros[Data],$L71)&gt;$D$4,"",IFERROR(INDEX(tblRegistros[Taxa aplicada],$L71),"")))</f>
        <v/>
      </c>
      <c r="I71" s="3" t="str">
        <f>IF($L71="","",IF(INDEX(tblRegistros[Data],$L71)&gt;$D$4,"",IFERROR(IF(INDEX(tblRegistros[Status],$L71)="EM ABERTO","",INDEX(tblRegistros[Valor],$L71)),"")))</f>
        <v/>
      </c>
      <c r="J71" t="str">
        <f>IF($L71="","",IF(INDEX(tblRegistros[Data],$L71)&gt;$D$4,"",IFERROR(INDEX(tblRegistros[Status],$L71),"")))</f>
        <v/>
      </c>
      <c r="K71" t="str">
        <f>IF($L71="","",IF(INDEX(tblRegistros[Data],$L71)&gt;$D$4,"",IFERROR(INDEX(tblRegistros[Observação],$L71),"")))</f>
        <v/>
      </c>
      <c r="L71" s="16" t="str">
        <f>IFERROR(MATCH($B$3*100000+COUNTIFS(tblRegistros[ID],$B$3,tblRegistros[Data],"&lt;"&amp;$B$4)+ROWS($L$10:L71),tblRegistros[Chave do cartão],0),"")</f>
        <v/>
      </c>
    </row>
    <row r="72" spans="1:12">
      <c r="A72" s="2" t="str">
        <f>IF($L72="","",IF(INDEX(tblRegistros[Data],$L72)&gt;$D$4,"",IFERROR(INDEX(tblRegistros[Data],$L72),"")))</f>
        <v/>
      </c>
      <c r="B72" t="str">
        <f>IF($L72="","",IF(INDEX(tblRegistros[Data],$L72)&gt;$D$4,"",IFERROR(INDEX(tblRegistros[Projeto],$L72),"")))</f>
        <v/>
      </c>
      <c r="C72" t="str">
        <f>IF($L72="","",IF(INDEX(tblRegistros[Data],$L72)&gt;$D$4,"",IFERROR(INDEX(tblRegistros[Atividade],$L72),"")))</f>
        <v/>
      </c>
      <c r="D72" s="4" t="str">
        <f>IF($L72="","",IF(INDEX(tblRegistros[Data],$L72)&gt;$D$4,"",IFERROR(INDEX(tblRegistros[Início],$L72),"")))</f>
        <v/>
      </c>
      <c r="E72" s="4" t="str">
        <f>IF($L72="","",IF(INDEX(tblRegistros[Data],$L72)&gt;$D$4,"",IFERROR(IF(INDEX(tblRegistros[Status],$L72)="EM ABERTO","",INDEX(tblRegistros[Fim],$L72)),"")))</f>
        <v/>
      </c>
      <c r="F72" s="14" t="str">
        <f>IF($L72="","",IF(INDEX(tblRegistros[Data],$L72)&gt;$D$4,"",IFERROR(IF(INDEX(tblRegistros[Status],$L72)="EM ABERTO","",INDEX(tblRegistros[Horas],$L72)),"")))</f>
        <v/>
      </c>
      <c r="G72" t="str">
        <f>IF($L72="","",IF(INDEX(tblRegistros[Data],$L72)&gt;$D$4,"",IFERROR(INDEX(tblRegistros[Base],$L72),"")))</f>
        <v/>
      </c>
      <c r="H72" s="3" t="str">
        <f>IF($L72="","",IF(INDEX(tblRegistros[Data],$L72)&gt;$D$4,"",IFERROR(INDEX(tblRegistros[Taxa aplicada],$L72),"")))</f>
        <v/>
      </c>
      <c r="I72" s="3" t="str">
        <f>IF($L72="","",IF(INDEX(tblRegistros[Data],$L72)&gt;$D$4,"",IFERROR(IF(INDEX(tblRegistros[Status],$L72)="EM ABERTO","",INDEX(tblRegistros[Valor],$L72)),"")))</f>
        <v/>
      </c>
      <c r="J72" t="str">
        <f>IF($L72="","",IF(INDEX(tblRegistros[Data],$L72)&gt;$D$4,"",IFERROR(INDEX(tblRegistros[Status],$L72),"")))</f>
        <v/>
      </c>
      <c r="K72" t="str">
        <f>IF($L72="","",IF(INDEX(tblRegistros[Data],$L72)&gt;$D$4,"",IFERROR(INDEX(tblRegistros[Observação],$L72),"")))</f>
        <v/>
      </c>
      <c r="L72" s="16" t="str">
        <f>IFERROR(MATCH($B$3*100000+COUNTIFS(tblRegistros[ID],$B$3,tblRegistros[Data],"&lt;"&amp;$B$4)+ROWS($L$10:L72),tblRegistros[Chave do cartão],0),"")</f>
        <v/>
      </c>
    </row>
    <row r="73" spans="1:12">
      <c r="A73" s="2" t="str">
        <f>IF($L73="","",IF(INDEX(tblRegistros[Data],$L73)&gt;$D$4,"",IFERROR(INDEX(tblRegistros[Data],$L73),"")))</f>
        <v/>
      </c>
      <c r="B73" t="str">
        <f>IF($L73="","",IF(INDEX(tblRegistros[Data],$L73)&gt;$D$4,"",IFERROR(INDEX(tblRegistros[Projeto],$L73),"")))</f>
        <v/>
      </c>
      <c r="C73" t="str">
        <f>IF($L73="","",IF(INDEX(tblRegistros[Data],$L73)&gt;$D$4,"",IFERROR(INDEX(tblRegistros[Atividade],$L73),"")))</f>
        <v/>
      </c>
      <c r="D73" s="4" t="str">
        <f>IF($L73="","",IF(INDEX(tblRegistros[Data],$L73)&gt;$D$4,"",IFERROR(INDEX(tblRegistros[Início],$L73),"")))</f>
        <v/>
      </c>
      <c r="E73" s="4" t="str">
        <f>IF($L73="","",IF(INDEX(tblRegistros[Data],$L73)&gt;$D$4,"",IFERROR(IF(INDEX(tblRegistros[Status],$L73)="EM ABERTO","",INDEX(tblRegistros[Fim],$L73)),"")))</f>
        <v/>
      </c>
      <c r="F73" s="14" t="str">
        <f>IF($L73="","",IF(INDEX(tblRegistros[Data],$L73)&gt;$D$4,"",IFERROR(IF(INDEX(tblRegistros[Status],$L73)="EM ABERTO","",INDEX(tblRegistros[Horas],$L73)),"")))</f>
        <v/>
      </c>
      <c r="G73" t="str">
        <f>IF($L73="","",IF(INDEX(tblRegistros[Data],$L73)&gt;$D$4,"",IFERROR(INDEX(tblRegistros[Base],$L73),"")))</f>
        <v/>
      </c>
      <c r="H73" s="3" t="str">
        <f>IF($L73="","",IF(INDEX(tblRegistros[Data],$L73)&gt;$D$4,"",IFERROR(INDEX(tblRegistros[Taxa aplicada],$L73),"")))</f>
        <v/>
      </c>
      <c r="I73" s="3" t="str">
        <f>IF($L73="","",IF(INDEX(tblRegistros[Data],$L73)&gt;$D$4,"",IFERROR(IF(INDEX(tblRegistros[Status],$L73)="EM ABERTO","",INDEX(tblRegistros[Valor],$L73)),"")))</f>
        <v/>
      </c>
      <c r="J73" t="str">
        <f>IF($L73="","",IF(INDEX(tblRegistros[Data],$L73)&gt;$D$4,"",IFERROR(INDEX(tblRegistros[Status],$L73),"")))</f>
        <v/>
      </c>
      <c r="K73" t="str">
        <f>IF($L73="","",IF(INDEX(tblRegistros[Data],$L73)&gt;$D$4,"",IFERROR(INDEX(tblRegistros[Observação],$L73),"")))</f>
        <v/>
      </c>
      <c r="L73" s="16" t="str">
        <f>IFERROR(MATCH($B$3*100000+COUNTIFS(tblRegistros[ID],$B$3,tblRegistros[Data],"&lt;"&amp;$B$4)+ROWS($L$10:L73),tblRegistros[Chave do cartão],0),"")</f>
        <v/>
      </c>
    </row>
    <row r="74" spans="1:12">
      <c r="A74" s="2" t="str">
        <f>IF($L74="","",IF(INDEX(tblRegistros[Data],$L74)&gt;$D$4,"",IFERROR(INDEX(tblRegistros[Data],$L74),"")))</f>
        <v/>
      </c>
      <c r="B74" t="str">
        <f>IF($L74="","",IF(INDEX(tblRegistros[Data],$L74)&gt;$D$4,"",IFERROR(INDEX(tblRegistros[Projeto],$L74),"")))</f>
        <v/>
      </c>
      <c r="C74" t="str">
        <f>IF($L74="","",IF(INDEX(tblRegistros[Data],$L74)&gt;$D$4,"",IFERROR(INDEX(tblRegistros[Atividade],$L74),"")))</f>
        <v/>
      </c>
      <c r="D74" s="4" t="str">
        <f>IF($L74="","",IF(INDEX(tblRegistros[Data],$L74)&gt;$D$4,"",IFERROR(INDEX(tblRegistros[Início],$L74),"")))</f>
        <v/>
      </c>
      <c r="E74" s="4" t="str">
        <f>IF($L74="","",IF(INDEX(tblRegistros[Data],$L74)&gt;$D$4,"",IFERROR(IF(INDEX(tblRegistros[Status],$L74)="EM ABERTO","",INDEX(tblRegistros[Fim],$L74)),"")))</f>
        <v/>
      </c>
      <c r="F74" s="14" t="str">
        <f>IF($L74="","",IF(INDEX(tblRegistros[Data],$L74)&gt;$D$4,"",IFERROR(IF(INDEX(tblRegistros[Status],$L74)="EM ABERTO","",INDEX(tblRegistros[Horas],$L74)),"")))</f>
        <v/>
      </c>
      <c r="G74" t="str">
        <f>IF($L74="","",IF(INDEX(tblRegistros[Data],$L74)&gt;$D$4,"",IFERROR(INDEX(tblRegistros[Base],$L74),"")))</f>
        <v/>
      </c>
      <c r="H74" s="3" t="str">
        <f>IF($L74="","",IF(INDEX(tblRegistros[Data],$L74)&gt;$D$4,"",IFERROR(INDEX(tblRegistros[Taxa aplicada],$L74),"")))</f>
        <v/>
      </c>
      <c r="I74" s="3" t="str">
        <f>IF($L74="","",IF(INDEX(tblRegistros[Data],$L74)&gt;$D$4,"",IFERROR(IF(INDEX(tblRegistros[Status],$L74)="EM ABERTO","",INDEX(tblRegistros[Valor],$L74)),"")))</f>
        <v/>
      </c>
      <c r="J74" t="str">
        <f>IF($L74="","",IF(INDEX(tblRegistros[Data],$L74)&gt;$D$4,"",IFERROR(INDEX(tblRegistros[Status],$L74),"")))</f>
        <v/>
      </c>
      <c r="K74" t="str">
        <f>IF($L74="","",IF(INDEX(tblRegistros[Data],$L74)&gt;$D$4,"",IFERROR(INDEX(tblRegistros[Observação],$L74),"")))</f>
        <v/>
      </c>
      <c r="L74" s="16" t="str">
        <f>IFERROR(MATCH($B$3*100000+COUNTIFS(tblRegistros[ID],$B$3,tblRegistros[Data],"&lt;"&amp;$B$4)+ROWS($L$10:L74),tblRegistros[Chave do cartão],0),"")</f>
        <v/>
      </c>
    </row>
    <row r="75" spans="1:12">
      <c r="A75" s="2" t="str">
        <f>IF($L75="","",IF(INDEX(tblRegistros[Data],$L75)&gt;$D$4,"",IFERROR(INDEX(tblRegistros[Data],$L75),"")))</f>
        <v/>
      </c>
      <c r="B75" t="str">
        <f>IF($L75="","",IF(INDEX(tblRegistros[Data],$L75)&gt;$D$4,"",IFERROR(INDEX(tblRegistros[Projeto],$L75),"")))</f>
        <v/>
      </c>
      <c r="C75" t="str">
        <f>IF($L75="","",IF(INDEX(tblRegistros[Data],$L75)&gt;$D$4,"",IFERROR(INDEX(tblRegistros[Atividade],$L75),"")))</f>
        <v/>
      </c>
      <c r="D75" s="4" t="str">
        <f>IF($L75="","",IF(INDEX(tblRegistros[Data],$L75)&gt;$D$4,"",IFERROR(INDEX(tblRegistros[Início],$L75),"")))</f>
        <v/>
      </c>
      <c r="E75" s="4" t="str">
        <f>IF($L75="","",IF(INDEX(tblRegistros[Data],$L75)&gt;$D$4,"",IFERROR(IF(INDEX(tblRegistros[Status],$L75)="EM ABERTO","",INDEX(tblRegistros[Fim],$L75)),"")))</f>
        <v/>
      </c>
      <c r="F75" s="14" t="str">
        <f>IF($L75="","",IF(INDEX(tblRegistros[Data],$L75)&gt;$D$4,"",IFERROR(IF(INDEX(tblRegistros[Status],$L75)="EM ABERTO","",INDEX(tblRegistros[Horas],$L75)),"")))</f>
        <v/>
      </c>
      <c r="G75" t="str">
        <f>IF($L75="","",IF(INDEX(tblRegistros[Data],$L75)&gt;$D$4,"",IFERROR(INDEX(tblRegistros[Base],$L75),"")))</f>
        <v/>
      </c>
      <c r="H75" s="3" t="str">
        <f>IF($L75="","",IF(INDEX(tblRegistros[Data],$L75)&gt;$D$4,"",IFERROR(INDEX(tblRegistros[Taxa aplicada],$L75),"")))</f>
        <v/>
      </c>
      <c r="I75" s="3" t="str">
        <f>IF($L75="","",IF(INDEX(tblRegistros[Data],$L75)&gt;$D$4,"",IFERROR(IF(INDEX(tblRegistros[Status],$L75)="EM ABERTO","",INDEX(tblRegistros[Valor],$L75)),"")))</f>
        <v/>
      </c>
      <c r="J75" t="str">
        <f>IF($L75="","",IF(INDEX(tblRegistros[Data],$L75)&gt;$D$4,"",IFERROR(INDEX(tblRegistros[Status],$L75),"")))</f>
        <v/>
      </c>
      <c r="K75" t="str">
        <f>IF($L75="","",IF(INDEX(tblRegistros[Data],$L75)&gt;$D$4,"",IFERROR(INDEX(tblRegistros[Observação],$L75),"")))</f>
        <v/>
      </c>
      <c r="L75" s="16" t="str">
        <f>IFERROR(MATCH($B$3*100000+COUNTIFS(tblRegistros[ID],$B$3,tblRegistros[Data],"&lt;"&amp;$B$4)+ROWS($L$10:L75),tblRegistros[Chave do cartão],0),"")</f>
        <v/>
      </c>
    </row>
    <row r="76" spans="1:12">
      <c r="A76" s="2" t="str">
        <f>IF($L76="","",IF(INDEX(tblRegistros[Data],$L76)&gt;$D$4,"",IFERROR(INDEX(tblRegistros[Data],$L76),"")))</f>
        <v/>
      </c>
      <c r="B76" t="str">
        <f>IF($L76="","",IF(INDEX(tblRegistros[Data],$L76)&gt;$D$4,"",IFERROR(INDEX(tblRegistros[Projeto],$L76),"")))</f>
        <v/>
      </c>
      <c r="C76" t="str">
        <f>IF($L76="","",IF(INDEX(tblRegistros[Data],$L76)&gt;$D$4,"",IFERROR(INDEX(tblRegistros[Atividade],$L76),"")))</f>
        <v/>
      </c>
      <c r="D76" s="4" t="str">
        <f>IF($L76="","",IF(INDEX(tblRegistros[Data],$L76)&gt;$D$4,"",IFERROR(INDEX(tblRegistros[Início],$L76),"")))</f>
        <v/>
      </c>
      <c r="E76" s="4" t="str">
        <f>IF($L76="","",IF(INDEX(tblRegistros[Data],$L76)&gt;$D$4,"",IFERROR(IF(INDEX(tblRegistros[Status],$L76)="EM ABERTO","",INDEX(tblRegistros[Fim],$L76)),"")))</f>
        <v/>
      </c>
      <c r="F76" s="14" t="str">
        <f>IF($L76="","",IF(INDEX(tblRegistros[Data],$L76)&gt;$D$4,"",IFERROR(IF(INDEX(tblRegistros[Status],$L76)="EM ABERTO","",INDEX(tblRegistros[Horas],$L76)),"")))</f>
        <v/>
      </c>
      <c r="G76" t="str">
        <f>IF($L76="","",IF(INDEX(tblRegistros[Data],$L76)&gt;$D$4,"",IFERROR(INDEX(tblRegistros[Base],$L76),"")))</f>
        <v/>
      </c>
      <c r="H76" s="3" t="str">
        <f>IF($L76="","",IF(INDEX(tblRegistros[Data],$L76)&gt;$D$4,"",IFERROR(INDEX(tblRegistros[Taxa aplicada],$L76),"")))</f>
        <v/>
      </c>
      <c r="I76" s="3" t="str">
        <f>IF($L76="","",IF(INDEX(tblRegistros[Data],$L76)&gt;$D$4,"",IFERROR(IF(INDEX(tblRegistros[Status],$L76)="EM ABERTO","",INDEX(tblRegistros[Valor],$L76)),"")))</f>
        <v/>
      </c>
      <c r="J76" t="str">
        <f>IF($L76="","",IF(INDEX(tblRegistros[Data],$L76)&gt;$D$4,"",IFERROR(INDEX(tblRegistros[Status],$L76),"")))</f>
        <v/>
      </c>
      <c r="K76" t="str">
        <f>IF($L76="","",IF(INDEX(tblRegistros[Data],$L76)&gt;$D$4,"",IFERROR(INDEX(tblRegistros[Observação],$L76),"")))</f>
        <v/>
      </c>
      <c r="L76" s="16" t="str">
        <f>IFERROR(MATCH($B$3*100000+COUNTIFS(tblRegistros[ID],$B$3,tblRegistros[Data],"&lt;"&amp;$B$4)+ROWS($L$10:L76),tblRegistros[Chave do cartão],0),"")</f>
        <v/>
      </c>
    </row>
    <row r="77" spans="1:12">
      <c r="A77" s="2" t="str">
        <f>IF($L77="","",IF(INDEX(tblRegistros[Data],$L77)&gt;$D$4,"",IFERROR(INDEX(tblRegistros[Data],$L77),"")))</f>
        <v/>
      </c>
      <c r="B77" t="str">
        <f>IF($L77="","",IF(INDEX(tblRegistros[Data],$L77)&gt;$D$4,"",IFERROR(INDEX(tblRegistros[Projeto],$L77),"")))</f>
        <v/>
      </c>
      <c r="C77" t="str">
        <f>IF($L77="","",IF(INDEX(tblRegistros[Data],$L77)&gt;$D$4,"",IFERROR(INDEX(tblRegistros[Atividade],$L77),"")))</f>
        <v/>
      </c>
      <c r="D77" s="4" t="str">
        <f>IF($L77="","",IF(INDEX(tblRegistros[Data],$L77)&gt;$D$4,"",IFERROR(INDEX(tblRegistros[Início],$L77),"")))</f>
        <v/>
      </c>
      <c r="E77" s="4" t="str">
        <f>IF($L77="","",IF(INDEX(tblRegistros[Data],$L77)&gt;$D$4,"",IFERROR(IF(INDEX(tblRegistros[Status],$L77)="EM ABERTO","",INDEX(tblRegistros[Fim],$L77)),"")))</f>
        <v/>
      </c>
      <c r="F77" s="14" t="str">
        <f>IF($L77="","",IF(INDEX(tblRegistros[Data],$L77)&gt;$D$4,"",IFERROR(IF(INDEX(tblRegistros[Status],$L77)="EM ABERTO","",INDEX(tblRegistros[Horas],$L77)),"")))</f>
        <v/>
      </c>
      <c r="G77" t="str">
        <f>IF($L77="","",IF(INDEX(tblRegistros[Data],$L77)&gt;$D$4,"",IFERROR(INDEX(tblRegistros[Base],$L77),"")))</f>
        <v/>
      </c>
      <c r="H77" s="3" t="str">
        <f>IF($L77="","",IF(INDEX(tblRegistros[Data],$L77)&gt;$D$4,"",IFERROR(INDEX(tblRegistros[Taxa aplicada],$L77),"")))</f>
        <v/>
      </c>
      <c r="I77" s="3" t="str">
        <f>IF($L77="","",IF(INDEX(tblRegistros[Data],$L77)&gt;$D$4,"",IFERROR(IF(INDEX(tblRegistros[Status],$L77)="EM ABERTO","",INDEX(tblRegistros[Valor],$L77)),"")))</f>
        <v/>
      </c>
      <c r="J77" t="str">
        <f>IF($L77="","",IF(INDEX(tblRegistros[Data],$L77)&gt;$D$4,"",IFERROR(INDEX(tblRegistros[Status],$L77),"")))</f>
        <v/>
      </c>
      <c r="K77" t="str">
        <f>IF($L77="","",IF(INDEX(tblRegistros[Data],$L77)&gt;$D$4,"",IFERROR(INDEX(tblRegistros[Observação],$L77),"")))</f>
        <v/>
      </c>
      <c r="L77" s="16" t="str">
        <f>IFERROR(MATCH($B$3*100000+COUNTIFS(tblRegistros[ID],$B$3,tblRegistros[Data],"&lt;"&amp;$B$4)+ROWS($L$10:L77),tblRegistros[Chave do cartão],0),"")</f>
        <v/>
      </c>
    </row>
    <row r="78" spans="1:12">
      <c r="A78" s="2" t="str">
        <f>IF($L78="","",IF(INDEX(tblRegistros[Data],$L78)&gt;$D$4,"",IFERROR(INDEX(tblRegistros[Data],$L78),"")))</f>
        <v/>
      </c>
      <c r="B78" t="str">
        <f>IF($L78="","",IF(INDEX(tblRegistros[Data],$L78)&gt;$D$4,"",IFERROR(INDEX(tblRegistros[Projeto],$L78),"")))</f>
        <v/>
      </c>
      <c r="C78" t="str">
        <f>IF($L78="","",IF(INDEX(tblRegistros[Data],$L78)&gt;$D$4,"",IFERROR(INDEX(tblRegistros[Atividade],$L78),"")))</f>
        <v/>
      </c>
      <c r="D78" s="4" t="str">
        <f>IF($L78="","",IF(INDEX(tblRegistros[Data],$L78)&gt;$D$4,"",IFERROR(INDEX(tblRegistros[Início],$L78),"")))</f>
        <v/>
      </c>
      <c r="E78" s="4" t="str">
        <f>IF($L78="","",IF(INDEX(tblRegistros[Data],$L78)&gt;$D$4,"",IFERROR(IF(INDEX(tblRegistros[Status],$L78)="EM ABERTO","",INDEX(tblRegistros[Fim],$L78)),"")))</f>
        <v/>
      </c>
      <c r="F78" s="14" t="str">
        <f>IF($L78="","",IF(INDEX(tblRegistros[Data],$L78)&gt;$D$4,"",IFERROR(IF(INDEX(tblRegistros[Status],$L78)="EM ABERTO","",INDEX(tblRegistros[Horas],$L78)),"")))</f>
        <v/>
      </c>
      <c r="G78" t="str">
        <f>IF($L78="","",IF(INDEX(tblRegistros[Data],$L78)&gt;$D$4,"",IFERROR(INDEX(tblRegistros[Base],$L78),"")))</f>
        <v/>
      </c>
      <c r="H78" s="3" t="str">
        <f>IF($L78="","",IF(INDEX(tblRegistros[Data],$L78)&gt;$D$4,"",IFERROR(INDEX(tblRegistros[Taxa aplicada],$L78),"")))</f>
        <v/>
      </c>
      <c r="I78" s="3" t="str">
        <f>IF($L78="","",IF(INDEX(tblRegistros[Data],$L78)&gt;$D$4,"",IFERROR(IF(INDEX(tblRegistros[Status],$L78)="EM ABERTO","",INDEX(tblRegistros[Valor],$L78)),"")))</f>
        <v/>
      </c>
      <c r="J78" t="str">
        <f>IF($L78="","",IF(INDEX(tblRegistros[Data],$L78)&gt;$D$4,"",IFERROR(INDEX(tblRegistros[Status],$L78),"")))</f>
        <v/>
      </c>
      <c r="K78" t="str">
        <f>IF($L78="","",IF(INDEX(tblRegistros[Data],$L78)&gt;$D$4,"",IFERROR(INDEX(tblRegistros[Observação],$L78),"")))</f>
        <v/>
      </c>
      <c r="L78" s="16" t="str">
        <f>IFERROR(MATCH($B$3*100000+COUNTIFS(tblRegistros[ID],$B$3,tblRegistros[Data],"&lt;"&amp;$B$4)+ROWS($L$10:L78),tblRegistros[Chave do cartão],0),"")</f>
        <v/>
      </c>
    </row>
    <row r="79" spans="1:12">
      <c r="A79" s="2" t="str">
        <f>IF($L79="","",IF(INDEX(tblRegistros[Data],$L79)&gt;$D$4,"",IFERROR(INDEX(tblRegistros[Data],$L79),"")))</f>
        <v/>
      </c>
      <c r="B79" t="str">
        <f>IF($L79="","",IF(INDEX(tblRegistros[Data],$L79)&gt;$D$4,"",IFERROR(INDEX(tblRegistros[Projeto],$L79),"")))</f>
        <v/>
      </c>
      <c r="C79" t="str">
        <f>IF($L79="","",IF(INDEX(tblRegistros[Data],$L79)&gt;$D$4,"",IFERROR(INDEX(tblRegistros[Atividade],$L79),"")))</f>
        <v/>
      </c>
      <c r="D79" s="4" t="str">
        <f>IF($L79="","",IF(INDEX(tblRegistros[Data],$L79)&gt;$D$4,"",IFERROR(INDEX(tblRegistros[Início],$L79),"")))</f>
        <v/>
      </c>
      <c r="E79" s="4" t="str">
        <f>IF($L79="","",IF(INDEX(tblRegistros[Data],$L79)&gt;$D$4,"",IFERROR(IF(INDEX(tblRegistros[Status],$L79)="EM ABERTO","",INDEX(tblRegistros[Fim],$L79)),"")))</f>
        <v/>
      </c>
      <c r="F79" s="14" t="str">
        <f>IF($L79="","",IF(INDEX(tblRegistros[Data],$L79)&gt;$D$4,"",IFERROR(IF(INDEX(tblRegistros[Status],$L79)="EM ABERTO","",INDEX(tblRegistros[Horas],$L79)),"")))</f>
        <v/>
      </c>
      <c r="G79" t="str">
        <f>IF($L79="","",IF(INDEX(tblRegistros[Data],$L79)&gt;$D$4,"",IFERROR(INDEX(tblRegistros[Base],$L79),"")))</f>
        <v/>
      </c>
      <c r="H79" s="3" t="str">
        <f>IF($L79="","",IF(INDEX(tblRegistros[Data],$L79)&gt;$D$4,"",IFERROR(INDEX(tblRegistros[Taxa aplicada],$L79),"")))</f>
        <v/>
      </c>
      <c r="I79" s="3" t="str">
        <f>IF($L79="","",IF(INDEX(tblRegistros[Data],$L79)&gt;$D$4,"",IFERROR(IF(INDEX(tblRegistros[Status],$L79)="EM ABERTO","",INDEX(tblRegistros[Valor],$L79)),"")))</f>
        <v/>
      </c>
      <c r="J79" t="str">
        <f>IF($L79="","",IF(INDEX(tblRegistros[Data],$L79)&gt;$D$4,"",IFERROR(INDEX(tblRegistros[Status],$L79),"")))</f>
        <v/>
      </c>
      <c r="K79" t="str">
        <f>IF($L79="","",IF(INDEX(tblRegistros[Data],$L79)&gt;$D$4,"",IFERROR(INDEX(tblRegistros[Observação],$L79),"")))</f>
        <v/>
      </c>
      <c r="L79" s="16" t="str">
        <f>IFERROR(MATCH($B$3*100000+COUNTIFS(tblRegistros[ID],$B$3,tblRegistros[Data],"&lt;"&amp;$B$4)+ROWS($L$10:L79),tblRegistros[Chave do cartão],0),"")</f>
        <v/>
      </c>
    </row>
    <row r="80" spans="1:12">
      <c r="A80" s="2" t="str">
        <f>IF($L80="","",IF(INDEX(tblRegistros[Data],$L80)&gt;$D$4,"",IFERROR(INDEX(tblRegistros[Data],$L80),"")))</f>
        <v/>
      </c>
      <c r="B80" t="str">
        <f>IF($L80="","",IF(INDEX(tblRegistros[Data],$L80)&gt;$D$4,"",IFERROR(INDEX(tblRegistros[Projeto],$L80),"")))</f>
        <v/>
      </c>
      <c r="C80" t="str">
        <f>IF($L80="","",IF(INDEX(tblRegistros[Data],$L80)&gt;$D$4,"",IFERROR(INDEX(tblRegistros[Atividade],$L80),"")))</f>
        <v/>
      </c>
      <c r="D80" s="4" t="str">
        <f>IF($L80="","",IF(INDEX(tblRegistros[Data],$L80)&gt;$D$4,"",IFERROR(INDEX(tblRegistros[Início],$L80),"")))</f>
        <v/>
      </c>
      <c r="E80" s="4" t="str">
        <f>IF($L80="","",IF(INDEX(tblRegistros[Data],$L80)&gt;$D$4,"",IFERROR(IF(INDEX(tblRegistros[Status],$L80)="EM ABERTO","",INDEX(tblRegistros[Fim],$L80)),"")))</f>
        <v/>
      </c>
      <c r="F80" s="14" t="str">
        <f>IF($L80="","",IF(INDEX(tblRegistros[Data],$L80)&gt;$D$4,"",IFERROR(IF(INDEX(tblRegistros[Status],$L80)="EM ABERTO","",INDEX(tblRegistros[Horas],$L80)),"")))</f>
        <v/>
      </c>
      <c r="G80" t="str">
        <f>IF($L80="","",IF(INDEX(tblRegistros[Data],$L80)&gt;$D$4,"",IFERROR(INDEX(tblRegistros[Base],$L80),"")))</f>
        <v/>
      </c>
      <c r="H80" s="3" t="str">
        <f>IF($L80="","",IF(INDEX(tblRegistros[Data],$L80)&gt;$D$4,"",IFERROR(INDEX(tblRegistros[Taxa aplicada],$L80),"")))</f>
        <v/>
      </c>
      <c r="I80" s="3" t="str">
        <f>IF($L80="","",IF(INDEX(tblRegistros[Data],$L80)&gt;$D$4,"",IFERROR(IF(INDEX(tblRegistros[Status],$L80)="EM ABERTO","",INDEX(tblRegistros[Valor],$L80)),"")))</f>
        <v/>
      </c>
      <c r="J80" t="str">
        <f>IF($L80="","",IF(INDEX(tblRegistros[Data],$L80)&gt;$D$4,"",IFERROR(INDEX(tblRegistros[Status],$L80),"")))</f>
        <v/>
      </c>
      <c r="K80" t="str">
        <f>IF($L80="","",IF(INDEX(tblRegistros[Data],$L80)&gt;$D$4,"",IFERROR(INDEX(tblRegistros[Observação],$L80),"")))</f>
        <v/>
      </c>
      <c r="L80" s="16" t="str">
        <f>IFERROR(MATCH($B$3*100000+COUNTIFS(tblRegistros[ID],$B$3,tblRegistros[Data],"&lt;"&amp;$B$4)+ROWS($L$10:L80),tblRegistros[Chave do cartão],0),"")</f>
        <v/>
      </c>
    </row>
    <row r="81" spans="1:12">
      <c r="A81" s="2" t="str">
        <f>IF($L81="","",IF(INDEX(tblRegistros[Data],$L81)&gt;$D$4,"",IFERROR(INDEX(tblRegistros[Data],$L81),"")))</f>
        <v/>
      </c>
      <c r="B81" t="str">
        <f>IF($L81="","",IF(INDEX(tblRegistros[Data],$L81)&gt;$D$4,"",IFERROR(INDEX(tblRegistros[Projeto],$L81),"")))</f>
        <v/>
      </c>
      <c r="C81" t="str">
        <f>IF($L81="","",IF(INDEX(tblRegistros[Data],$L81)&gt;$D$4,"",IFERROR(INDEX(tblRegistros[Atividade],$L81),"")))</f>
        <v/>
      </c>
      <c r="D81" s="4" t="str">
        <f>IF($L81="","",IF(INDEX(tblRegistros[Data],$L81)&gt;$D$4,"",IFERROR(INDEX(tblRegistros[Início],$L81),"")))</f>
        <v/>
      </c>
      <c r="E81" s="4" t="str">
        <f>IF($L81="","",IF(INDEX(tblRegistros[Data],$L81)&gt;$D$4,"",IFERROR(IF(INDEX(tblRegistros[Status],$L81)="EM ABERTO","",INDEX(tblRegistros[Fim],$L81)),"")))</f>
        <v/>
      </c>
      <c r="F81" s="14" t="str">
        <f>IF($L81="","",IF(INDEX(tblRegistros[Data],$L81)&gt;$D$4,"",IFERROR(IF(INDEX(tblRegistros[Status],$L81)="EM ABERTO","",INDEX(tblRegistros[Horas],$L81)),"")))</f>
        <v/>
      </c>
      <c r="G81" t="str">
        <f>IF($L81="","",IF(INDEX(tblRegistros[Data],$L81)&gt;$D$4,"",IFERROR(INDEX(tblRegistros[Base],$L81),"")))</f>
        <v/>
      </c>
      <c r="H81" s="3" t="str">
        <f>IF($L81="","",IF(INDEX(tblRegistros[Data],$L81)&gt;$D$4,"",IFERROR(INDEX(tblRegistros[Taxa aplicada],$L81),"")))</f>
        <v/>
      </c>
      <c r="I81" s="3" t="str">
        <f>IF($L81="","",IF(INDEX(tblRegistros[Data],$L81)&gt;$D$4,"",IFERROR(IF(INDEX(tblRegistros[Status],$L81)="EM ABERTO","",INDEX(tblRegistros[Valor],$L81)),"")))</f>
        <v/>
      </c>
      <c r="J81" t="str">
        <f>IF($L81="","",IF(INDEX(tblRegistros[Data],$L81)&gt;$D$4,"",IFERROR(INDEX(tblRegistros[Status],$L81),"")))</f>
        <v/>
      </c>
      <c r="K81" t="str">
        <f>IF($L81="","",IF(INDEX(tblRegistros[Data],$L81)&gt;$D$4,"",IFERROR(INDEX(tblRegistros[Observação],$L81),"")))</f>
        <v/>
      </c>
      <c r="L81" s="16" t="str">
        <f>IFERROR(MATCH($B$3*100000+COUNTIFS(tblRegistros[ID],$B$3,tblRegistros[Data],"&lt;"&amp;$B$4)+ROWS($L$10:L81),tblRegistros[Chave do cartão],0),"")</f>
        <v/>
      </c>
    </row>
    <row r="82" spans="1:12">
      <c r="A82" s="2" t="str">
        <f>IF($L82="","",IF(INDEX(tblRegistros[Data],$L82)&gt;$D$4,"",IFERROR(INDEX(tblRegistros[Data],$L82),"")))</f>
        <v/>
      </c>
      <c r="B82" t="str">
        <f>IF($L82="","",IF(INDEX(tblRegistros[Data],$L82)&gt;$D$4,"",IFERROR(INDEX(tblRegistros[Projeto],$L82),"")))</f>
        <v/>
      </c>
      <c r="C82" t="str">
        <f>IF($L82="","",IF(INDEX(tblRegistros[Data],$L82)&gt;$D$4,"",IFERROR(INDEX(tblRegistros[Atividade],$L82),"")))</f>
        <v/>
      </c>
      <c r="D82" s="4" t="str">
        <f>IF($L82="","",IF(INDEX(tblRegistros[Data],$L82)&gt;$D$4,"",IFERROR(INDEX(tblRegistros[Início],$L82),"")))</f>
        <v/>
      </c>
      <c r="E82" s="4" t="str">
        <f>IF($L82="","",IF(INDEX(tblRegistros[Data],$L82)&gt;$D$4,"",IFERROR(IF(INDEX(tblRegistros[Status],$L82)="EM ABERTO","",INDEX(tblRegistros[Fim],$L82)),"")))</f>
        <v/>
      </c>
      <c r="F82" s="14" t="str">
        <f>IF($L82="","",IF(INDEX(tblRegistros[Data],$L82)&gt;$D$4,"",IFERROR(IF(INDEX(tblRegistros[Status],$L82)="EM ABERTO","",INDEX(tblRegistros[Horas],$L82)),"")))</f>
        <v/>
      </c>
      <c r="G82" t="str">
        <f>IF($L82="","",IF(INDEX(tblRegistros[Data],$L82)&gt;$D$4,"",IFERROR(INDEX(tblRegistros[Base],$L82),"")))</f>
        <v/>
      </c>
      <c r="H82" s="3" t="str">
        <f>IF($L82="","",IF(INDEX(tblRegistros[Data],$L82)&gt;$D$4,"",IFERROR(INDEX(tblRegistros[Taxa aplicada],$L82),"")))</f>
        <v/>
      </c>
      <c r="I82" s="3" t="str">
        <f>IF($L82="","",IF(INDEX(tblRegistros[Data],$L82)&gt;$D$4,"",IFERROR(IF(INDEX(tblRegistros[Status],$L82)="EM ABERTO","",INDEX(tblRegistros[Valor],$L82)),"")))</f>
        <v/>
      </c>
      <c r="J82" t="str">
        <f>IF($L82="","",IF(INDEX(tblRegistros[Data],$L82)&gt;$D$4,"",IFERROR(INDEX(tblRegistros[Status],$L82),"")))</f>
        <v/>
      </c>
      <c r="K82" t="str">
        <f>IF($L82="","",IF(INDEX(tblRegistros[Data],$L82)&gt;$D$4,"",IFERROR(INDEX(tblRegistros[Observação],$L82),"")))</f>
        <v/>
      </c>
      <c r="L82" s="16" t="str">
        <f>IFERROR(MATCH($B$3*100000+COUNTIFS(tblRegistros[ID],$B$3,tblRegistros[Data],"&lt;"&amp;$B$4)+ROWS($L$10:L82),tblRegistros[Chave do cartão],0),"")</f>
        <v/>
      </c>
    </row>
    <row r="83" spans="1:12">
      <c r="A83" s="2" t="str">
        <f>IF($L83="","",IF(INDEX(tblRegistros[Data],$L83)&gt;$D$4,"",IFERROR(INDEX(tblRegistros[Data],$L83),"")))</f>
        <v/>
      </c>
      <c r="B83" t="str">
        <f>IF($L83="","",IF(INDEX(tblRegistros[Data],$L83)&gt;$D$4,"",IFERROR(INDEX(tblRegistros[Projeto],$L83),"")))</f>
        <v/>
      </c>
      <c r="C83" t="str">
        <f>IF($L83="","",IF(INDEX(tblRegistros[Data],$L83)&gt;$D$4,"",IFERROR(INDEX(tblRegistros[Atividade],$L83),"")))</f>
        <v/>
      </c>
      <c r="D83" s="4" t="str">
        <f>IF($L83="","",IF(INDEX(tblRegistros[Data],$L83)&gt;$D$4,"",IFERROR(INDEX(tblRegistros[Início],$L83),"")))</f>
        <v/>
      </c>
      <c r="E83" s="4" t="str">
        <f>IF($L83="","",IF(INDEX(tblRegistros[Data],$L83)&gt;$D$4,"",IFERROR(IF(INDEX(tblRegistros[Status],$L83)="EM ABERTO","",INDEX(tblRegistros[Fim],$L83)),"")))</f>
        <v/>
      </c>
      <c r="F83" s="14" t="str">
        <f>IF($L83="","",IF(INDEX(tblRegistros[Data],$L83)&gt;$D$4,"",IFERROR(IF(INDEX(tblRegistros[Status],$L83)="EM ABERTO","",INDEX(tblRegistros[Horas],$L83)),"")))</f>
        <v/>
      </c>
      <c r="G83" t="str">
        <f>IF($L83="","",IF(INDEX(tblRegistros[Data],$L83)&gt;$D$4,"",IFERROR(INDEX(tblRegistros[Base],$L83),"")))</f>
        <v/>
      </c>
      <c r="H83" s="3" t="str">
        <f>IF($L83="","",IF(INDEX(tblRegistros[Data],$L83)&gt;$D$4,"",IFERROR(INDEX(tblRegistros[Taxa aplicada],$L83),"")))</f>
        <v/>
      </c>
      <c r="I83" s="3" t="str">
        <f>IF($L83="","",IF(INDEX(tblRegistros[Data],$L83)&gt;$D$4,"",IFERROR(IF(INDEX(tblRegistros[Status],$L83)="EM ABERTO","",INDEX(tblRegistros[Valor],$L83)),"")))</f>
        <v/>
      </c>
      <c r="J83" t="str">
        <f>IF($L83="","",IF(INDEX(tblRegistros[Data],$L83)&gt;$D$4,"",IFERROR(INDEX(tblRegistros[Status],$L83),"")))</f>
        <v/>
      </c>
      <c r="K83" t="str">
        <f>IF($L83="","",IF(INDEX(tblRegistros[Data],$L83)&gt;$D$4,"",IFERROR(INDEX(tblRegistros[Observação],$L83),"")))</f>
        <v/>
      </c>
      <c r="L83" s="16" t="str">
        <f>IFERROR(MATCH($B$3*100000+COUNTIFS(tblRegistros[ID],$B$3,tblRegistros[Data],"&lt;"&amp;$B$4)+ROWS($L$10:L83),tblRegistros[Chave do cartão],0),"")</f>
        <v/>
      </c>
    </row>
    <row r="84" spans="1:12">
      <c r="A84" s="2" t="str">
        <f>IF($L84="","",IF(INDEX(tblRegistros[Data],$L84)&gt;$D$4,"",IFERROR(INDEX(tblRegistros[Data],$L84),"")))</f>
        <v/>
      </c>
      <c r="B84" t="str">
        <f>IF($L84="","",IF(INDEX(tblRegistros[Data],$L84)&gt;$D$4,"",IFERROR(INDEX(tblRegistros[Projeto],$L84),"")))</f>
        <v/>
      </c>
      <c r="C84" t="str">
        <f>IF($L84="","",IF(INDEX(tblRegistros[Data],$L84)&gt;$D$4,"",IFERROR(INDEX(tblRegistros[Atividade],$L84),"")))</f>
        <v/>
      </c>
      <c r="D84" s="4" t="str">
        <f>IF($L84="","",IF(INDEX(tblRegistros[Data],$L84)&gt;$D$4,"",IFERROR(INDEX(tblRegistros[Início],$L84),"")))</f>
        <v/>
      </c>
      <c r="E84" s="4" t="str">
        <f>IF($L84="","",IF(INDEX(tblRegistros[Data],$L84)&gt;$D$4,"",IFERROR(IF(INDEX(tblRegistros[Status],$L84)="EM ABERTO","",INDEX(tblRegistros[Fim],$L84)),"")))</f>
        <v/>
      </c>
      <c r="F84" s="14" t="str">
        <f>IF($L84="","",IF(INDEX(tblRegistros[Data],$L84)&gt;$D$4,"",IFERROR(IF(INDEX(tblRegistros[Status],$L84)="EM ABERTO","",INDEX(tblRegistros[Horas],$L84)),"")))</f>
        <v/>
      </c>
      <c r="G84" t="str">
        <f>IF($L84="","",IF(INDEX(tblRegistros[Data],$L84)&gt;$D$4,"",IFERROR(INDEX(tblRegistros[Base],$L84),"")))</f>
        <v/>
      </c>
      <c r="H84" s="3" t="str">
        <f>IF($L84="","",IF(INDEX(tblRegistros[Data],$L84)&gt;$D$4,"",IFERROR(INDEX(tblRegistros[Taxa aplicada],$L84),"")))</f>
        <v/>
      </c>
      <c r="I84" s="3" t="str">
        <f>IF($L84="","",IF(INDEX(tblRegistros[Data],$L84)&gt;$D$4,"",IFERROR(IF(INDEX(tblRegistros[Status],$L84)="EM ABERTO","",INDEX(tblRegistros[Valor],$L84)),"")))</f>
        <v/>
      </c>
      <c r="J84" t="str">
        <f>IF($L84="","",IF(INDEX(tblRegistros[Data],$L84)&gt;$D$4,"",IFERROR(INDEX(tblRegistros[Status],$L84),"")))</f>
        <v/>
      </c>
      <c r="K84" t="str">
        <f>IF($L84="","",IF(INDEX(tblRegistros[Data],$L84)&gt;$D$4,"",IFERROR(INDEX(tblRegistros[Observação],$L84),"")))</f>
        <v/>
      </c>
      <c r="L84" s="16" t="str">
        <f>IFERROR(MATCH($B$3*100000+COUNTIFS(tblRegistros[ID],$B$3,tblRegistros[Data],"&lt;"&amp;$B$4)+ROWS($L$10:L84),tblRegistros[Chave do cartão],0),"")</f>
        <v/>
      </c>
    </row>
    <row r="85" spans="1:12">
      <c r="A85" s="2" t="str">
        <f>IF($L85="","",IF(INDEX(tblRegistros[Data],$L85)&gt;$D$4,"",IFERROR(INDEX(tblRegistros[Data],$L85),"")))</f>
        <v/>
      </c>
      <c r="B85" t="str">
        <f>IF($L85="","",IF(INDEX(tblRegistros[Data],$L85)&gt;$D$4,"",IFERROR(INDEX(tblRegistros[Projeto],$L85),"")))</f>
        <v/>
      </c>
      <c r="C85" t="str">
        <f>IF($L85="","",IF(INDEX(tblRegistros[Data],$L85)&gt;$D$4,"",IFERROR(INDEX(tblRegistros[Atividade],$L85),"")))</f>
        <v/>
      </c>
      <c r="D85" s="4" t="str">
        <f>IF($L85="","",IF(INDEX(tblRegistros[Data],$L85)&gt;$D$4,"",IFERROR(INDEX(tblRegistros[Início],$L85),"")))</f>
        <v/>
      </c>
      <c r="E85" s="4" t="str">
        <f>IF($L85="","",IF(INDEX(tblRegistros[Data],$L85)&gt;$D$4,"",IFERROR(IF(INDEX(tblRegistros[Status],$L85)="EM ABERTO","",INDEX(tblRegistros[Fim],$L85)),"")))</f>
        <v/>
      </c>
      <c r="F85" s="14" t="str">
        <f>IF($L85="","",IF(INDEX(tblRegistros[Data],$L85)&gt;$D$4,"",IFERROR(IF(INDEX(tblRegistros[Status],$L85)="EM ABERTO","",INDEX(tblRegistros[Horas],$L85)),"")))</f>
        <v/>
      </c>
      <c r="G85" t="str">
        <f>IF($L85="","",IF(INDEX(tblRegistros[Data],$L85)&gt;$D$4,"",IFERROR(INDEX(tblRegistros[Base],$L85),"")))</f>
        <v/>
      </c>
      <c r="H85" s="3" t="str">
        <f>IF($L85="","",IF(INDEX(tblRegistros[Data],$L85)&gt;$D$4,"",IFERROR(INDEX(tblRegistros[Taxa aplicada],$L85),"")))</f>
        <v/>
      </c>
      <c r="I85" s="3" t="str">
        <f>IF($L85="","",IF(INDEX(tblRegistros[Data],$L85)&gt;$D$4,"",IFERROR(IF(INDEX(tblRegistros[Status],$L85)="EM ABERTO","",INDEX(tblRegistros[Valor],$L85)),"")))</f>
        <v/>
      </c>
      <c r="J85" t="str">
        <f>IF($L85="","",IF(INDEX(tblRegistros[Data],$L85)&gt;$D$4,"",IFERROR(INDEX(tblRegistros[Status],$L85),"")))</f>
        <v/>
      </c>
      <c r="K85" t="str">
        <f>IF($L85="","",IF(INDEX(tblRegistros[Data],$L85)&gt;$D$4,"",IFERROR(INDEX(tblRegistros[Observação],$L85),"")))</f>
        <v/>
      </c>
      <c r="L85" s="16" t="str">
        <f>IFERROR(MATCH($B$3*100000+COUNTIFS(tblRegistros[ID],$B$3,tblRegistros[Data],"&lt;"&amp;$B$4)+ROWS($L$10:L85),tblRegistros[Chave do cartão],0),"")</f>
        <v/>
      </c>
    </row>
    <row r="86" spans="1:12">
      <c r="A86" s="2" t="str">
        <f>IF($L86="","",IF(INDEX(tblRegistros[Data],$L86)&gt;$D$4,"",IFERROR(INDEX(tblRegistros[Data],$L86),"")))</f>
        <v/>
      </c>
      <c r="B86" t="str">
        <f>IF($L86="","",IF(INDEX(tblRegistros[Data],$L86)&gt;$D$4,"",IFERROR(INDEX(tblRegistros[Projeto],$L86),"")))</f>
        <v/>
      </c>
      <c r="C86" t="str">
        <f>IF($L86="","",IF(INDEX(tblRegistros[Data],$L86)&gt;$D$4,"",IFERROR(INDEX(tblRegistros[Atividade],$L86),"")))</f>
        <v/>
      </c>
      <c r="D86" s="4" t="str">
        <f>IF($L86="","",IF(INDEX(tblRegistros[Data],$L86)&gt;$D$4,"",IFERROR(INDEX(tblRegistros[Início],$L86),"")))</f>
        <v/>
      </c>
      <c r="E86" s="4" t="str">
        <f>IF($L86="","",IF(INDEX(tblRegistros[Data],$L86)&gt;$D$4,"",IFERROR(IF(INDEX(tblRegistros[Status],$L86)="EM ABERTO","",INDEX(tblRegistros[Fim],$L86)),"")))</f>
        <v/>
      </c>
      <c r="F86" s="14" t="str">
        <f>IF($L86="","",IF(INDEX(tblRegistros[Data],$L86)&gt;$D$4,"",IFERROR(IF(INDEX(tblRegistros[Status],$L86)="EM ABERTO","",INDEX(tblRegistros[Horas],$L86)),"")))</f>
        <v/>
      </c>
      <c r="G86" t="str">
        <f>IF($L86="","",IF(INDEX(tblRegistros[Data],$L86)&gt;$D$4,"",IFERROR(INDEX(tblRegistros[Base],$L86),"")))</f>
        <v/>
      </c>
      <c r="H86" s="3" t="str">
        <f>IF($L86="","",IF(INDEX(tblRegistros[Data],$L86)&gt;$D$4,"",IFERROR(INDEX(tblRegistros[Taxa aplicada],$L86),"")))</f>
        <v/>
      </c>
      <c r="I86" s="3" t="str">
        <f>IF($L86="","",IF(INDEX(tblRegistros[Data],$L86)&gt;$D$4,"",IFERROR(IF(INDEX(tblRegistros[Status],$L86)="EM ABERTO","",INDEX(tblRegistros[Valor],$L86)),"")))</f>
        <v/>
      </c>
      <c r="J86" t="str">
        <f>IF($L86="","",IF(INDEX(tblRegistros[Data],$L86)&gt;$D$4,"",IFERROR(INDEX(tblRegistros[Status],$L86),"")))</f>
        <v/>
      </c>
      <c r="K86" t="str">
        <f>IF($L86="","",IF(INDEX(tblRegistros[Data],$L86)&gt;$D$4,"",IFERROR(INDEX(tblRegistros[Observação],$L86),"")))</f>
        <v/>
      </c>
      <c r="L86" s="16" t="str">
        <f>IFERROR(MATCH($B$3*100000+COUNTIFS(tblRegistros[ID],$B$3,tblRegistros[Data],"&lt;"&amp;$B$4)+ROWS($L$10:L86),tblRegistros[Chave do cartão],0),"")</f>
        <v/>
      </c>
    </row>
    <row r="87" spans="1:12">
      <c r="A87" s="2" t="str">
        <f>IF($L87="","",IF(INDEX(tblRegistros[Data],$L87)&gt;$D$4,"",IFERROR(INDEX(tblRegistros[Data],$L87),"")))</f>
        <v/>
      </c>
      <c r="B87" t="str">
        <f>IF($L87="","",IF(INDEX(tblRegistros[Data],$L87)&gt;$D$4,"",IFERROR(INDEX(tblRegistros[Projeto],$L87),"")))</f>
        <v/>
      </c>
      <c r="C87" t="str">
        <f>IF($L87="","",IF(INDEX(tblRegistros[Data],$L87)&gt;$D$4,"",IFERROR(INDEX(tblRegistros[Atividade],$L87),"")))</f>
        <v/>
      </c>
      <c r="D87" s="4" t="str">
        <f>IF($L87="","",IF(INDEX(tblRegistros[Data],$L87)&gt;$D$4,"",IFERROR(INDEX(tblRegistros[Início],$L87),"")))</f>
        <v/>
      </c>
      <c r="E87" s="4" t="str">
        <f>IF($L87="","",IF(INDEX(tblRegistros[Data],$L87)&gt;$D$4,"",IFERROR(IF(INDEX(tblRegistros[Status],$L87)="EM ABERTO","",INDEX(tblRegistros[Fim],$L87)),"")))</f>
        <v/>
      </c>
      <c r="F87" s="14" t="str">
        <f>IF($L87="","",IF(INDEX(tblRegistros[Data],$L87)&gt;$D$4,"",IFERROR(IF(INDEX(tblRegistros[Status],$L87)="EM ABERTO","",INDEX(tblRegistros[Horas],$L87)),"")))</f>
        <v/>
      </c>
      <c r="G87" t="str">
        <f>IF($L87="","",IF(INDEX(tblRegistros[Data],$L87)&gt;$D$4,"",IFERROR(INDEX(tblRegistros[Base],$L87),"")))</f>
        <v/>
      </c>
      <c r="H87" s="3" t="str">
        <f>IF($L87="","",IF(INDEX(tblRegistros[Data],$L87)&gt;$D$4,"",IFERROR(INDEX(tblRegistros[Taxa aplicada],$L87),"")))</f>
        <v/>
      </c>
      <c r="I87" s="3" t="str">
        <f>IF($L87="","",IF(INDEX(tblRegistros[Data],$L87)&gt;$D$4,"",IFERROR(IF(INDEX(tblRegistros[Status],$L87)="EM ABERTO","",INDEX(tblRegistros[Valor],$L87)),"")))</f>
        <v/>
      </c>
      <c r="J87" t="str">
        <f>IF($L87="","",IF(INDEX(tblRegistros[Data],$L87)&gt;$D$4,"",IFERROR(INDEX(tblRegistros[Status],$L87),"")))</f>
        <v/>
      </c>
      <c r="K87" t="str">
        <f>IF($L87="","",IF(INDEX(tblRegistros[Data],$L87)&gt;$D$4,"",IFERROR(INDEX(tblRegistros[Observação],$L87),"")))</f>
        <v/>
      </c>
      <c r="L87" s="16" t="str">
        <f>IFERROR(MATCH($B$3*100000+COUNTIFS(tblRegistros[ID],$B$3,tblRegistros[Data],"&lt;"&amp;$B$4)+ROWS($L$10:L87),tblRegistros[Chave do cartão],0),"")</f>
        <v/>
      </c>
    </row>
    <row r="88" spans="1:12">
      <c r="A88" s="2" t="str">
        <f>IF($L88="","",IF(INDEX(tblRegistros[Data],$L88)&gt;$D$4,"",IFERROR(INDEX(tblRegistros[Data],$L88),"")))</f>
        <v/>
      </c>
      <c r="B88" t="str">
        <f>IF($L88="","",IF(INDEX(tblRegistros[Data],$L88)&gt;$D$4,"",IFERROR(INDEX(tblRegistros[Projeto],$L88),"")))</f>
        <v/>
      </c>
      <c r="C88" t="str">
        <f>IF($L88="","",IF(INDEX(tblRegistros[Data],$L88)&gt;$D$4,"",IFERROR(INDEX(tblRegistros[Atividade],$L88),"")))</f>
        <v/>
      </c>
      <c r="D88" s="4" t="str">
        <f>IF($L88="","",IF(INDEX(tblRegistros[Data],$L88)&gt;$D$4,"",IFERROR(INDEX(tblRegistros[Início],$L88),"")))</f>
        <v/>
      </c>
      <c r="E88" s="4" t="str">
        <f>IF($L88="","",IF(INDEX(tblRegistros[Data],$L88)&gt;$D$4,"",IFERROR(IF(INDEX(tblRegistros[Status],$L88)="EM ABERTO","",INDEX(tblRegistros[Fim],$L88)),"")))</f>
        <v/>
      </c>
      <c r="F88" s="14" t="str">
        <f>IF($L88="","",IF(INDEX(tblRegistros[Data],$L88)&gt;$D$4,"",IFERROR(IF(INDEX(tblRegistros[Status],$L88)="EM ABERTO","",INDEX(tblRegistros[Horas],$L88)),"")))</f>
        <v/>
      </c>
      <c r="G88" t="str">
        <f>IF($L88="","",IF(INDEX(tblRegistros[Data],$L88)&gt;$D$4,"",IFERROR(INDEX(tblRegistros[Base],$L88),"")))</f>
        <v/>
      </c>
      <c r="H88" s="3" t="str">
        <f>IF($L88="","",IF(INDEX(tblRegistros[Data],$L88)&gt;$D$4,"",IFERROR(INDEX(tblRegistros[Taxa aplicada],$L88),"")))</f>
        <v/>
      </c>
      <c r="I88" s="3" t="str">
        <f>IF($L88="","",IF(INDEX(tblRegistros[Data],$L88)&gt;$D$4,"",IFERROR(IF(INDEX(tblRegistros[Status],$L88)="EM ABERTO","",INDEX(tblRegistros[Valor],$L88)),"")))</f>
        <v/>
      </c>
      <c r="J88" t="str">
        <f>IF($L88="","",IF(INDEX(tblRegistros[Data],$L88)&gt;$D$4,"",IFERROR(INDEX(tblRegistros[Status],$L88),"")))</f>
        <v/>
      </c>
      <c r="K88" t="str">
        <f>IF($L88="","",IF(INDEX(tblRegistros[Data],$L88)&gt;$D$4,"",IFERROR(INDEX(tblRegistros[Observação],$L88),"")))</f>
        <v/>
      </c>
      <c r="L88" s="16" t="str">
        <f>IFERROR(MATCH($B$3*100000+COUNTIFS(tblRegistros[ID],$B$3,tblRegistros[Data],"&lt;"&amp;$B$4)+ROWS($L$10:L88),tblRegistros[Chave do cartão],0),"")</f>
        <v/>
      </c>
    </row>
    <row r="89" spans="1:12">
      <c r="A89" s="2" t="str">
        <f>IF($L89="","",IF(INDEX(tblRegistros[Data],$L89)&gt;$D$4,"",IFERROR(INDEX(tblRegistros[Data],$L89),"")))</f>
        <v/>
      </c>
      <c r="B89" t="str">
        <f>IF($L89="","",IF(INDEX(tblRegistros[Data],$L89)&gt;$D$4,"",IFERROR(INDEX(tblRegistros[Projeto],$L89),"")))</f>
        <v/>
      </c>
      <c r="C89" t="str">
        <f>IF($L89="","",IF(INDEX(tblRegistros[Data],$L89)&gt;$D$4,"",IFERROR(INDEX(tblRegistros[Atividade],$L89),"")))</f>
        <v/>
      </c>
      <c r="D89" s="4" t="str">
        <f>IF($L89="","",IF(INDEX(tblRegistros[Data],$L89)&gt;$D$4,"",IFERROR(INDEX(tblRegistros[Início],$L89),"")))</f>
        <v/>
      </c>
      <c r="E89" s="4" t="str">
        <f>IF($L89="","",IF(INDEX(tblRegistros[Data],$L89)&gt;$D$4,"",IFERROR(IF(INDEX(tblRegistros[Status],$L89)="EM ABERTO","",INDEX(tblRegistros[Fim],$L89)),"")))</f>
        <v/>
      </c>
      <c r="F89" s="14" t="str">
        <f>IF($L89="","",IF(INDEX(tblRegistros[Data],$L89)&gt;$D$4,"",IFERROR(IF(INDEX(tblRegistros[Status],$L89)="EM ABERTO","",INDEX(tblRegistros[Horas],$L89)),"")))</f>
        <v/>
      </c>
      <c r="G89" t="str">
        <f>IF($L89="","",IF(INDEX(tblRegistros[Data],$L89)&gt;$D$4,"",IFERROR(INDEX(tblRegistros[Base],$L89),"")))</f>
        <v/>
      </c>
      <c r="H89" s="3" t="str">
        <f>IF($L89="","",IF(INDEX(tblRegistros[Data],$L89)&gt;$D$4,"",IFERROR(INDEX(tblRegistros[Taxa aplicada],$L89),"")))</f>
        <v/>
      </c>
      <c r="I89" s="3" t="str">
        <f>IF($L89="","",IF(INDEX(tblRegistros[Data],$L89)&gt;$D$4,"",IFERROR(IF(INDEX(tblRegistros[Status],$L89)="EM ABERTO","",INDEX(tblRegistros[Valor],$L89)),"")))</f>
        <v/>
      </c>
      <c r="J89" t="str">
        <f>IF($L89="","",IF(INDEX(tblRegistros[Data],$L89)&gt;$D$4,"",IFERROR(INDEX(tblRegistros[Status],$L89),"")))</f>
        <v/>
      </c>
      <c r="K89" t="str">
        <f>IF($L89="","",IF(INDEX(tblRegistros[Data],$L89)&gt;$D$4,"",IFERROR(INDEX(tblRegistros[Observação],$L89),"")))</f>
        <v/>
      </c>
      <c r="L89" s="16" t="str">
        <f>IFERROR(MATCH($B$3*100000+COUNTIFS(tblRegistros[ID],$B$3,tblRegistros[Data],"&lt;"&amp;$B$4)+ROWS($L$10:L89),tblRegistros[Chave do cartão],0),"")</f>
        <v/>
      </c>
    </row>
    <row r="90" spans="1:12">
      <c r="A90" s="2" t="str">
        <f>IF($L90="","",IF(INDEX(tblRegistros[Data],$L90)&gt;$D$4,"",IFERROR(INDEX(tblRegistros[Data],$L90),"")))</f>
        <v/>
      </c>
      <c r="B90" t="str">
        <f>IF($L90="","",IF(INDEX(tblRegistros[Data],$L90)&gt;$D$4,"",IFERROR(INDEX(tblRegistros[Projeto],$L90),"")))</f>
        <v/>
      </c>
      <c r="C90" t="str">
        <f>IF($L90="","",IF(INDEX(tblRegistros[Data],$L90)&gt;$D$4,"",IFERROR(INDEX(tblRegistros[Atividade],$L90),"")))</f>
        <v/>
      </c>
      <c r="D90" s="4" t="str">
        <f>IF($L90="","",IF(INDEX(tblRegistros[Data],$L90)&gt;$D$4,"",IFERROR(INDEX(tblRegistros[Início],$L90),"")))</f>
        <v/>
      </c>
      <c r="E90" s="4" t="str">
        <f>IF($L90="","",IF(INDEX(tblRegistros[Data],$L90)&gt;$D$4,"",IFERROR(IF(INDEX(tblRegistros[Status],$L90)="EM ABERTO","",INDEX(tblRegistros[Fim],$L90)),"")))</f>
        <v/>
      </c>
      <c r="F90" s="14" t="str">
        <f>IF($L90="","",IF(INDEX(tblRegistros[Data],$L90)&gt;$D$4,"",IFERROR(IF(INDEX(tblRegistros[Status],$L90)="EM ABERTO","",INDEX(tblRegistros[Horas],$L90)),"")))</f>
        <v/>
      </c>
      <c r="G90" t="str">
        <f>IF($L90="","",IF(INDEX(tblRegistros[Data],$L90)&gt;$D$4,"",IFERROR(INDEX(tblRegistros[Base],$L90),"")))</f>
        <v/>
      </c>
      <c r="H90" s="3" t="str">
        <f>IF($L90="","",IF(INDEX(tblRegistros[Data],$L90)&gt;$D$4,"",IFERROR(INDEX(tblRegistros[Taxa aplicada],$L90),"")))</f>
        <v/>
      </c>
      <c r="I90" s="3" t="str">
        <f>IF($L90="","",IF(INDEX(tblRegistros[Data],$L90)&gt;$D$4,"",IFERROR(IF(INDEX(tblRegistros[Status],$L90)="EM ABERTO","",INDEX(tblRegistros[Valor],$L90)),"")))</f>
        <v/>
      </c>
      <c r="J90" t="str">
        <f>IF($L90="","",IF(INDEX(tblRegistros[Data],$L90)&gt;$D$4,"",IFERROR(INDEX(tblRegistros[Status],$L90),"")))</f>
        <v/>
      </c>
      <c r="K90" t="str">
        <f>IF($L90="","",IF(INDEX(tblRegistros[Data],$L90)&gt;$D$4,"",IFERROR(INDEX(tblRegistros[Observação],$L90),"")))</f>
        <v/>
      </c>
      <c r="L90" s="16" t="str">
        <f>IFERROR(MATCH($B$3*100000+COUNTIFS(tblRegistros[ID],$B$3,tblRegistros[Data],"&lt;"&amp;$B$4)+ROWS($L$10:L90),tblRegistros[Chave do cartão],0),"")</f>
        <v/>
      </c>
    </row>
    <row r="91" spans="1:12">
      <c r="A91" s="2" t="str">
        <f>IF($L91="","",IF(INDEX(tblRegistros[Data],$L91)&gt;$D$4,"",IFERROR(INDEX(tblRegistros[Data],$L91),"")))</f>
        <v/>
      </c>
      <c r="B91" t="str">
        <f>IF($L91="","",IF(INDEX(tblRegistros[Data],$L91)&gt;$D$4,"",IFERROR(INDEX(tblRegistros[Projeto],$L91),"")))</f>
        <v/>
      </c>
      <c r="C91" t="str">
        <f>IF($L91="","",IF(INDEX(tblRegistros[Data],$L91)&gt;$D$4,"",IFERROR(INDEX(tblRegistros[Atividade],$L91),"")))</f>
        <v/>
      </c>
      <c r="D91" s="4" t="str">
        <f>IF($L91="","",IF(INDEX(tblRegistros[Data],$L91)&gt;$D$4,"",IFERROR(INDEX(tblRegistros[Início],$L91),"")))</f>
        <v/>
      </c>
      <c r="E91" s="4" t="str">
        <f>IF($L91="","",IF(INDEX(tblRegistros[Data],$L91)&gt;$D$4,"",IFERROR(IF(INDEX(tblRegistros[Status],$L91)="EM ABERTO","",INDEX(tblRegistros[Fim],$L91)),"")))</f>
        <v/>
      </c>
      <c r="F91" s="14" t="str">
        <f>IF($L91="","",IF(INDEX(tblRegistros[Data],$L91)&gt;$D$4,"",IFERROR(IF(INDEX(tblRegistros[Status],$L91)="EM ABERTO","",INDEX(tblRegistros[Horas],$L91)),"")))</f>
        <v/>
      </c>
      <c r="G91" t="str">
        <f>IF($L91="","",IF(INDEX(tblRegistros[Data],$L91)&gt;$D$4,"",IFERROR(INDEX(tblRegistros[Base],$L91),"")))</f>
        <v/>
      </c>
      <c r="H91" s="3" t="str">
        <f>IF($L91="","",IF(INDEX(tblRegistros[Data],$L91)&gt;$D$4,"",IFERROR(INDEX(tblRegistros[Taxa aplicada],$L91),"")))</f>
        <v/>
      </c>
      <c r="I91" s="3" t="str">
        <f>IF($L91="","",IF(INDEX(tblRegistros[Data],$L91)&gt;$D$4,"",IFERROR(IF(INDEX(tblRegistros[Status],$L91)="EM ABERTO","",INDEX(tblRegistros[Valor],$L91)),"")))</f>
        <v/>
      </c>
      <c r="J91" t="str">
        <f>IF($L91="","",IF(INDEX(tblRegistros[Data],$L91)&gt;$D$4,"",IFERROR(INDEX(tblRegistros[Status],$L91),"")))</f>
        <v/>
      </c>
      <c r="K91" t="str">
        <f>IF($L91="","",IF(INDEX(tblRegistros[Data],$L91)&gt;$D$4,"",IFERROR(INDEX(tblRegistros[Observação],$L91),"")))</f>
        <v/>
      </c>
      <c r="L91" s="16" t="str">
        <f>IFERROR(MATCH($B$3*100000+COUNTIFS(tblRegistros[ID],$B$3,tblRegistros[Data],"&lt;"&amp;$B$4)+ROWS($L$10:L91),tblRegistros[Chave do cartão],0),"")</f>
        <v/>
      </c>
    </row>
    <row r="92" spans="1:12">
      <c r="A92" s="2" t="str">
        <f>IF($L92="","",IF(INDEX(tblRegistros[Data],$L92)&gt;$D$4,"",IFERROR(INDEX(tblRegistros[Data],$L92),"")))</f>
        <v/>
      </c>
      <c r="B92" t="str">
        <f>IF($L92="","",IF(INDEX(tblRegistros[Data],$L92)&gt;$D$4,"",IFERROR(INDEX(tblRegistros[Projeto],$L92),"")))</f>
        <v/>
      </c>
      <c r="C92" t="str">
        <f>IF($L92="","",IF(INDEX(tblRegistros[Data],$L92)&gt;$D$4,"",IFERROR(INDEX(tblRegistros[Atividade],$L92),"")))</f>
        <v/>
      </c>
      <c r="D92" s="4" t="str">
        <f>IF($L92="","",IF(INDEX(tblRegistros[Data],$L92)&gt;$D$4,"",IFERROR(INDEX(tblRegistros[Início],$L92),"")))</f>
        <v/>
      </c>
      <c r="E92" s="4" t="str">
        <f>IF($L92="","",IF(INDEX(tblRegistros[Data],$L92)&gt;$D$4,"",IFERROR(IF(INDEX(tblRegistros[Status],$L92)="EM ABERTO","",INDEX(tblRegistros[Fim],$L92)),"")))</f>
        <v/>
      </c>
      <c r="F92" s="14" t="str">
        <f>IF($L92="","",IF(INDEX(tblRegistros[Data],$L92)&gt;$D$4,"",IFERROR(IF(INDEX(tblRegistros[Status],$L92)="EM ABERTO","",INDEX(tblRegistros[Horas],$L92)),"")))</f>
        <v/>
      </c>
      <c r="G92" t="str">
        <f>IF($L92="","",IF(INDEX(tblRegistros[Data],$L92)&gt;$D$4,"",IFERROR(INDEX(tblRegistros[Base],$L92),"")))</f>
        <v/>
      </c>
      <c r="H92" s="3" t="str">
        <f>IF($L92="","",IF(INDEX(tblRegistros[Data],$L92)&gt;$D$4,"",IFERROR(INDEX(tblRegistros[Taxa aplicada],$L92),"")))</f>
        <v/>
      </c>
      <c r="I92" s="3" t="str">
        <f>IF($L92="","",IF(INDEX(tblRegistros[Data],$L92)&gt;$D$4,"",IFERROR(IF(INDEX(tblRegistros[Status],$L92)="EM ABERTO","",INDEX(tblRegistros[Valor],$L92)),"")))</f>
        <v/>
      </c>
      <c r="J92" t="str">
        <f>IF($L92="","",IF(INDEX(tblRegistros[Data],$L92)&gt;$D$4,"",IFERROR(INDEX(tblRegistros[Status],$L92),"")))</f>
        <v/>
      </c>
      <c r="K92" t="str">
        <f>IF($L92="","",IF(INDEX(tblRegistros[Data],$L92)&gt;$D$4,"",IFERROR(INDEX(tblRegistros[Observação],$L92),"")))</f>
        <v/>
      </c>
      <c r="L92" s="16" t="str">
        <f>IFERROR(MATCH($B$3*100000+COUNTIFS(tblRegistros[ID],$B$3,tblRegistros[Data],"&lt;"&amp;$B$4)+ROWS($L$10:L92),tblRegistros[Chave do cartão],0),"")</f>
        <v/>
      </c>
    </row>
    <row r="93" spans="1:12">
      <c r="A93" s="2" t="str">
        <f>IF($L93="","",IF(INDEX(tblRegistros[Data],$L93)&gt;$D$4,"",IFERROR(INDEX(tblRegistros[Data],$L93),"")))</f>
        <v/>
      </c>
      <c r="B93" t="str">
        <f>IF($L93="","",IF(INDEX(tblRegistros[Data],$L93)&gt;$D$4,"",IFERROR(INDEX(tblRegistros[Projeto],$L93),"")))</f>
        <v/>
      </c>
      <c r="C93" t="str">
        <f>IF($L93="","",IF(INDEX(tblRegistros[Data],$L93)&gt;$D$4,"",IFERROR(INDEX(tblRegistros[Atividade],$L93),"")))</f>
        <v/>
      </c>
      <c r="D93" s="4" t="str">
        <f>IF($L93="","",IF(INDEX(tblRegistros[Data],$L93)&gt;$D$4,"",IFERROR(INDEX(tblRegistros[Início],$L93),"")))</f>
        <v/>
      </c>
      <c r="E93" s="4" t="str">
        <f>IF($L93="","",IF(INDEX(tblRegistros[Data],$L93)&gt;$D$4,"",IFERROR(IF(INDEX(tblRegistros[Status],$L93)="EM ABERTO","",INDEX(tblRegistros[Fim],$L93)),"")))</f>
        <v/>
      </c>
      <c r="F93" s="14" t="str">
        <f>IF($L93="","",IF(INDEX(tblRegistros[Data],$L93)&gt;$D$4,"",IFERROR(IF(INDEX(tblRegistros[Status],$L93)="EM ABERTO","",INDEX(tblRegistros[Horas],$L93)),"")))</f>
        <v/>
      </c>
      <c r="G93" t="str">
        <f>IF($L93="","",IF(INDEX(tblRegistros[Data],$L93)&gt;$D$4,"",IFERROR(INDEX(tblRegistros[Base],$L93),"")))</f>
        <v/>
      </c>
      <c r="H93" s="3" t="str">
        <f>IF($L93="","",IF(INDEX(tblRegistros[Data],$L93)&gt;$D$4,"",IFERROR(INDEX(tblRegistros[Taxa aplicada],$L93),"")))</f>
        <v/>
      </c>
      <c r="I93" s="3" t="str">
        <f>IF($L93="","",IF(INDEX(tblRegistros[Data],$L93)&gt;$D$4,"",IFERROR(IF(INDEX(tblRegistros[Status],$L93)="EM ABERTO","",INDEX(tblRegistros[Valor],$L93)),"")))</f>
        <v/>
      </c>
      <c r="J93" t="str">
        <f>IF($L93="","",IF(INDEX(tblRegistros[Data],$L93)&gt;$D$4,"",IFERROR(INDEX(tblRegistros[Status],$L93),"")))</f>
        <v/>
      </c>
      <c r="K93" t="str">
        <f>IF($L93="","",IF(INDEX(tblRegistros[Data],$L93)&gt;$D$4,"",IFERROR(INDEX(tblRegistros[Observação],$L93),"")))</f>
        <v/>
      </c>
      <c r="L93" s="16" t="str">
        <f>IFERROR(MATCH($B$3*100000+COUNTIFS(tblRegistros[ID],$B$3,tblRegistros[Data],"&lt;"&amp;$B$4)+ROWS($L$10:L93),tblRegistros[Chave do cartão],0),"")</f>
        <v/>
      </c>
    </row>
    <row r="94" spans="1:12">
      <c r="A94" s="2" t="str">
        <f>IF($L94="","",IF(INDEX(tblRegistros[Data],$L94)&gt;$D$4,"",IFERROR(INDEX(tblRegistros[Data],$L94),"")))</f>
        <v/>
      </c>
      <c r="B94" t="str">
        <f>IF($L94="","",IF(INDEX(tblRegistros[Data],$L94)&gt;$D$4,"",IFERROR(INDEX(tblRegistros[Projeto],$L94),"")))</f>
        <v/>
      </c>
      <c r="C94" t="str">
        <f>IF($L94="","",IF(INDEX(tblRegistros[Data],$L94)&gt;$D$4,"",IFERROR(INDEX(tblRegistros[Atividade],$L94),"")))</f>
        <v/>
      </c>
      <c r="D94" s="4" t="str">
        <f>IF($L94="","",IF(INDEX(tblRegistros[Data],$L94)&gt;$D$4,"",IFERROR(INDEX(tblRegistros[Início],$L94),"")))</f>
        <v/>
      </c>
      <c r="E94" s="4" t="str">
        <f>IF($L94="","",IF(INDEX(tblRegistros[Data],$L94)&gt;$D$4,"",IFERROR(IF(INDEX(tblRegistros[Status],$L94)="EM ABERTO","",INDEX(tblRegistros[Fim],$L94)),"")))</f>
        <v/>
      </c>
      <c r="F94" s="14" t="str">
        <f>IF($L94="","",IF(INDEX(tblRegistros[Data],$L94)&gt;$D$4,"",IFERROR(IF(INDEX(tblRegistros[Status],$L94)="EM ABERTO","",INDEX(tblRegistros[Horas],$L94)),"")))</f>
        <v/>
      </c>
      <c r="G94" t="str">
        <f>IF($L94="","",IF(INDEX(tblRegistros[Data],$L94)&gt;$D$4,"",IFERROR(INDEX(tblRegistros[Base],$L94),"")))</f>
        <v/>
      </c>
      <c r="H94" s="3" t="str">
        <f>IF($L94="","",IF(INDEX(tblRegistros[Data],$L94)&gt;$D$4,"",IFERROR(INDEX(tblRegistros[Taxa aplicada],$L94),"")))</f>
        <v/>
      </c>
      <c r="I94" s="3" t="str">
        <f>IF($L94="","",IF(INDEX(tblRegistros[Data],$L94)&gt;$D$4,"",IFERROR(IF(INDEX(tblRegistros[Status],$L94)="EM ABERTO","",INDEX(tblRegistros[Valor],$L94)),"")))</f>
        <v/>
      </c>
      <c r="J94" t="str">
        <f>IF($L94="","",IF(INDEX(tblRegistros[Data],$L94)&gt;$D$4,"",IFERROR(INDEX(tblRegistros[Status],$L94),"")))</f>
        <v/>
      </c>
      <c r="K94" t="str">
        <f>IF($L94="","",IF(INDEX(tblRegistros[Data],$L94)&gt;$D$4,"",IFERROR(INDEX(tblRegistros[Observação],$L94),"")))</f>
        <v/>
      </c>
      <c r="L94" s="16" t="str">
        <f>IFERROR(MATCH($B$3*100000+COUNTIFS(tblRegistros[ID],$B$3,tblRegistros[Data],"&lt;"&amp;$B$4)+ROWS($L$10:L94),tblRegistros[Chave do cartão],0),"")</f>
        <v/>
      </c>
    </row>
    <row r="95" spans="1:12">
      <c r="A95" s="2" t="str">
        <f>IF($L95="","",IF(INDEX(tblRegistros[Data],$L95)&gt;$D$4,"",IFERROR(INDEX(tblRegistros[Data],$L95),"")))</f>
        <v/>
      </c>
      <c r="B95" t="str">
        <f>IF($L95="","",IF(INDEX(tblRegistros[Data],$L95)&gt;$D$4,"",IFERROR(INDEX(tblRegistros[Projeto],$L95),"")))</f>
        <v/>
      </c>
      <c r="C95" t="str">
        <f>IF($L95="","",IF(INDEX(tblRegistros[Data],$L95)&gt;$D$4,"",IFERROR(INDEX(tblRegistros[Atividade],$L95),"")))</f>
        <v/>
      </c>
      <c r="D95" s="4" t="str">
        <f>IF($L95="","",IF(INDEX(tblRegistros[Data],$L95)&gt;$D$4,"",IFERROR(INDEX(tblRegistros[Início],$L95),"")))</f>
        <v/>
      </c>
      <c r="E95" s="4" t="str">
        <f>IF($L95="","",IF(INDEX(tblRegistros[Data],$L95)&gt;$D$4,"",IFERROR(IF(INDEX(tblRegistros[Status],$L95)="EM ABERTO","",INDEX(tblRegistros[Fim],$L95)),"")))</f>
        <v/>
      </c>
      <c r="F95" s="14" t="str">
        <f>IF($L95="","",IF(INDEX(tblRegistros[Data],$L95)&gt;$D$4,"",IFERROR(IF(INDEX(tblRegistros[Status],$L95)="EM ABERTO","",INDEX(tblRegistros[Horas],$L95)),"")))</f>
        <v/>
      </c>
      <c r="G95" t="str">
        <f>IF($L95="","",IF(INDEX(tblRegistros[Data],$L95)&gt;$D$4,"",IFERROR(INDEX(tblRegistros[Base],$L95),"")))</f>
        <v/>
      </c>
      <c r="H95" s="3" t="str">
        <f>IF($L95="","",IF(INDEX(tblRegistros[Data],$L95)&gt;$D$4,"",IFERROR(INDEX(tblRegistros[Taxa aplicada],$L95),"")))</f>
        <v/>
      </c>
      <c r="I95" s="3" t="str">
        <f>IF($L95="","",IF(INDEX(tblRegistros[Data],$L95)&gt;$D$4,"",IFERROR(IF(INDEX(tblRegistros[Status],$L95)="EM ABERTO","",INDEX(tblRegistros[Valor],$L95)),"")))</f>
        <v/>
      </c>
      <c r="J95" t="str">
        <f>IF($L95="","",IF(INDEX(tblRegistros[Data],$L95)&gt;$D$4,"",IFERROR(INDEX(tblRegistros[Status],$L95),"")))</f>
        <v/>
      </c>
      <c r="K95" t="str">
        <f>IF($L95="","",IF(INDEX(tblRegistros[Data],$L95)&gt;$D$4,"",IFERROR(INDEX(tblRegistros[Observação],$L95),"")))</f>
        <v/>
      </c>
      <c r="L95" s="16" t="str">
        <f>IFERROR(MATCH($B$3*100000+COUNTIFS(tblRegistros[ID],$B$3,tblRegistros[Data],"&lt;"&amp;$B$4)+ROWS($L$10:L95),tblRegistros[Chave do cartão],0),"")</f>
        <v/>
      </c>
    </row>
    <row r="96" spans="1:12">
      <c r="A96" s="2" t="str">
        <f>IF($L96="","",IF(INDEX(tblRegistros[Data],$L96)&gt;$D$4,"",IFERROR(INDEX(tblRegistros[Data],$L96),"")))</f>
        <v/>
      </c>
      <c r="B96" t="str">
        <f>IF($L96="","",IF(INDEX(tblRegistros[Data],$L96)&gt;$D$4,"",IFERROR(INDEX(tblRegistros[Projeto],$L96),"")))</f>
        <v/>
      </c>
      <c r="C96" t="str">
        <f>IF($L96="","",IF(INDEX(tblRegistros[Data],$L96)&gt;$D$4,"",IFERROR(INDEX(tblRegistros[Atividade],$L96),"")))</f>
        <v/>
      </c>
      <c r="D96" s="4" t="str">
        <f>IF($L96="","",IF(INDEX(tblRegistros[Data],$L96)&gt;$D$4,"",IFERROR(INDEX(tblRegistros[Início],$L96),"")))</f>
        <v/>
      </c>
      <c r="E96" s="4" t="str">
        <f>IF($L96="","",IF(INDEX(tblRegistros[Data],$L96)&gt;$D$4,"",IFERROR(IF(INDEX(tblRegistros[Status],$L96)="EM ABERTO","",INDEX(tblRegistros[Fim],$L96)),"")))</f>
        <v/>
      </c>
      <c r="F96" s="14" t="str">
        <f>IF($L96="","",IF(INDEX(tblRegistros[Data],$L96)&gt;$D$4,"",IFERROR(IF(INDEX(tblRegistros[Status],$L96)="EM ABERTO","",INDEX(tblRegistros[Horas],$L96)),"")))</f>
        <v/>
      </c>
      <c r="G96" t="str">
        <f>IF($L96="","",IF(INDEX(tblRegistros[Data],$L96)&gt;$D$4,"",IFERROR(INDEX(tblRegistros[Base],$L96),"")))</f>
        <v/>
      </c>
      <c r="H96" s="3" t="str">
        <f>IF($L96="","",IF(INDEX(tblRegistros[Data],$L96)&gt;$D$4,"",IFERROR(INDEX(tblRegistros[Taxa aplicada],$L96),"")))</f>
        <v/>
      </c>
      <c r="I96" s="3" t="str">
        <f>IF($L96="","",IF(INDEX(tblRegistros[Data],$L96)&gt;$D$4,"",IFERROR(IF(INDEX(tblRegistros[Status],$L96)="EM ABERTO","",INDEX(tblRegistros[Valor],$L96)),"")))</f>
        <v/>
      </c>
      <c r="J96" t="str">
        <f>IF($L96="","",IF(INDEX(tblRegistros[Data],$L96)&gt;$D$4,"",IFERROR(INDEX(tblRegistros[Status],$L96),"")))</f>
        <v/>
      </c>
      <c r="K96" t="str">
        <f>IF($L96="","",IF(INDEX(tblRegistros[Data],$L96)&gt;$D$4,"",IFERROR(INDEX(tblRegistros[Observação],$L96),"")))</f>
        <v/>
      </c>
      <c r="L96" s="16" t="str">
        <f>IFERROR(MATCH($B$3*100000+COUNTIFS(tblRegistros[ID],$B$3,tblRegistros[Data],"&lt;"&amp;$B$4)+ROWS($L$10:L96),tblRegistros[Chave do cartão],0),"")</f>
        <v/>
      </c>
    </row>
    <row r="97" spans="1:12">
      <c r="A97" s="2" t="str">
        <f>IF($L97="","",IF(INDEX(tblRegistros[Data],$L97)&gt;$D$4,"",IFERROR(INDEX(tblRegistros[Data],$L97),"")))</f>
        <v/>
      </c>
      <c r="B97" t="str">
        <f>IF($L97="","",IF(INDEX(tblRegistros[Data],$L97)&gt;$D$4,"",IFERROR(INDEX(tblRegistros[Projeto],$L97),"")))</f>
        <v/>
      </c>
      <c r="C97" t="str">
        <f>IF($L97="","",IF(INDEX(tblRegistros[Data],$L97)&gt;$D$4,"",IFERROR(INDEX(tblRegistros[Atividade],$L97),"")))</f>
        <v/>
      </c>
      <c r="D97" s="4" t="str">
        <f>IF($L97="","",IF(INDEX(tblRegistros[Data],$L97)&gt;$D$4,"",IFERROR(INDEX(tblRegistros[Início],$L97),"")))</f>
        <v/>
      </c>
      <c r="E97" s="4" t="str">
        <f>IF($L97="","",IF(INDEX(tblRegistros[Data],$L97)&gt;$D$4,"",IFERROR(IF(INDEX(tblRegistros[Status],$L97)="EM ABERTO","",INDEX(tblRegistros[Fim],$L97)),"")))</f>
        <v/>
      </c>
      <c r="F97" s="14" t="str">
        <f>IF($L97="","",IF(INDEX(tblRegistros[Data],$L97)&gt;$D$4,"",IFERROR(IF(INDEX(tblRegistros[Status],$L97)="EM ABERTO","",INDEX(tblRegistros[Horas],$L97)),"")))</f>
        <v/>
      </c>
      <c r="G97" t="str">
        <f>IF($L97="","",IF(INDEX(tblRegistros[Data],$L97)&gt;$D$4,"",IFERROR(INDEX(tblRegistros[Base],$L97),"")))</f>
        <v/>
      </c>
      <c r="H97" s="3" t="str">
        <f>IF($L97="","",IF(INDEX(tblRegistros[Data],$L97)&gt;$D$4,"",IFERROR(INDEX(tblRegistros[Taxa aplicada],$L97),"")))</f>
        <v/>
      </c>
      <c r="I97" s="3" t="str">
        <f>IF($L97="","",IF(INDEX(tblRegistros[Data],$L97)&gt;$D$4,"",IFERROR(IF(INDEX(tblRegistros[Status],$L97)="EM ABERTO","",INDEX(tblRegistros[Valor],$L97)),"")))</f>
        <v/>
      </c>
      <c r="J97" t="str">
        <f>IF($L97="","",IF(INDEX(tblRegistros[Data],$L97)&gt;$D$4,"",IFERROR(INDEX(tblRegistros[Status],$L97),"")))</f>
        <v/>
      </c>
      <c r="K97" t="str">
        <f>IF($L97="","",IF(INDEX(tblRegistros[Data],$L97)&gt;$D$4,"",IFERROR(INDEX(tblRegistros[Observação],$L97),"")))</f>
        <v/>
      </c>
      <c r="L97" s="16" t="str">
        <f>IFERROR(MATCH($B$3*100000+COUNTIFS(tblRegistros[ID],$B$3,tblRegistros[Data],"&lt;"&amp;$B$4)+ROWS($L$10:L97),tblRegistros[Chave do cartão],0),"")</f>
        <v/>
      </c>
    </row>
    <row r="98" spans="1:12">
      <c r="A98" s="2" t="str">
        <f>IF($L98="","",IF(INDEX(tblRegistros[Data],$L98)&gt;$D$4,"",IFERROR(INDEX(tblRegistros[Data],$L98),"")))</f>
        <v/>
      </c>
      <c r="B98" t="str">
        <f>IF($L98="","",IF(INDEX(tblRegistros[Data],$L98)&gt;$D$4,"",IFERROR(INDEX(tblRegistros[Projeto],$L98),"")))</f>
        <v/>
      </c>
      <c r="C98" t="str">
        <f>IF($L98="","",IF(INDEX(tblRegistros[Data],$L98)&gt;$D$4,"",IFERROR(INDEX(tblRegistros[Atividade],$L98),"")))</f>
        <v/>
      </c>
      <c r="D98" s="4" t="str">
        <f>IF($L98="","",IF(INDEX(tblRegistros[Data],$L98)&gt;$D$4,"",IFERROR(INDEX(tblRegistros[Início],$L98),"")))</f>
        <v/>
      </c>
      <c r="E98" s="4" t="str">
        <f>IF($L98="","",IF(INDEX(tblRegistros[Data],$L98)&gt;$D$4,"",IFERROR(IF(INDEX(tblRegistros[Status],$L98)="EM ABERTO","",INDEX(tblRegistros[Fim],$L98)),"")))</f>
        <v/>
      </c>
      <c r="F98" s="14" t="str">
        <f>IF($L98="","",IF(INDEX(tblRegistros[Data],$L98)&gt;$D$4,"",IFERROR(IF(INDEX(tblRegistros[Status],$L98)="EM ABERTO","",INDEX(tblRegistros[Horas],$L98)),"")))</f>
        <v/>
      </c>
      <c r="G98" t="str">
        <f>IF($L98="","",IF(INDEX(tblRegistros[Data],$L98)&gt;$D$4,"",IFERROR(INDEX(tblRegistros[Base],$L98),"")))</f>
        <v/>
      </c>
      <c r="H98" s="3" t="str">
        <f>IF($L98="","",IF(INDEX(tblRegistros[Data],$L98)&gt;$D$4,"",IFERROR(INDEX(tblRegistros[Taxa aplicada],$L98),"")))</f>
        <v/>
      </c>
      <c r="I98" s="3" t="str">
        <f>IF($L98="","",IF(INDEX(tblRegistros[Data],$L98)&gt;$D$4,"",IFERROR(IF(INDEX(tblRegistros[Status],$L98)="EM ABERTO","",INDEX(tblRegistros[Valor],$L98)),"")))</f>
        <v/>
      </c>
      <c r="J98" t="str">
        <f>IF($L98="","",IF(INDEX(tblRegistros[Data],$L98)&gt;$D$4,"",IFERROR(INDEX(tblRegistros[Status],$L98),"")))</f>
        <v/>
      </c>
      <c r="K98" t="str">
        <f>IF($L98="","",IF(INDEX(tblRegistros[Data],$L98)&gt;$D$4,"",IFERROR(INDEX(tblRegistros[Observação],$L98),"")))</f>
        <v/>
      </c>
      <c r="L98" s="16" t="str">
        <f>IFERROR(MATCH($B$3*100000+COUNTIFS(tblRegistros[ID],$B$3,tblRegistros[Data],"&lt;"&amp;$B$4)+ROWS($L$10:L98),tblRegistros[Chave do cartão],0),"")</f>
        <v/>
      </c>
    </row>
    <row r="99" spans="1:12">
      <c r="A99" s="2" t="str">
        <f>IF($L99="","",IF(INDEX(tblRegistros[Data],$L99)&gt;$D$4,"",IFERROR(INDEX(tblRegistros[Data],$L99),"")))</f>
        <v/>
      </c>
      <c r="B99" t="str">
        <f>IF($L99="","",IF(INDEX(tblRegistros[Data],$L99)&gt;$D$4,"",IFERROR(INDEX(tblRegistros[Projeto],$L99),"")))</f>
        <v/>
      </c>
      <c r="C99" t="str">
        <f>IF($L99="","",IF(INDEX(tblRegistros[Data],$L99)&gt;$D$4,"",IFERROR(INDEX(tblRegistros[Atividade],$L99),"")))</f>
        <v/>
      </c>
      <c r="D99" s="4" t="str">
        <f>IF($L99="","",IF(INDEX(tblRegistros[Data],$L99)&gt;$D$4,"",IFERROR(INDEX(tblRegistros[Início],$L99),"")))</f>
        <v/>
      </c>
      <c r="E99" s="4" t="str">
        <f>IF($L99="","",IF(INDEX(tblRegistros[Data],$L99)&gt;$D$4,"",IFERROR(IF(INDEX(tblRegistros[Status],$L99)="EM ABERTO","",INDEX(tblRegistros[Fim],$L99)),"")))</f>
        <v/>
      </c>
      <c r="F99" s="14" t="str">
        <f>IF($L99="","",IF(INDEX(tblRegistros[Data],$L99)&gt;$D$4,"",IFERROR(IF(INDEX(tblRegistros[Status],$L99)="EM ABERTO","",INDEX(tblRegistros[Horas],$L99)),"")))</f>
        <v/>
      </c>
      <c r="G99" t="str">
        <f>IF($L99="","",IF(INDEX(tblRegistros[Data],$L99)&gt;$D$4,"",IFERROR(INDEX(tblRegistros[Base],$L99),"")))</f>
        <v/>
      </c>
      <c r="H99" s="3" t="str">
        <f>IF($L99="","",IF(INDEX(tblRegistros[Data],$L99)&gt;$D$4,"",IFERROR(INDEX(tblRegistros[Taxa aplicada],$L99),"")))</f>
        <v/>
      </c>
      <c r="I99" s="3" t="str">
        <f>IF($L99="","",IF(INDEX(tblRegistros[Data],$L99)&gt;$D$4,"",IFERROR(IF(INDEX(tblRegistros[Status],$L99)="EM ABERTO","",INDEX(tblRegistros[Valor],$L99)),"")))</f>
        <v/>
      </c>
      <c r="J99" t="str">
        <f>IF($L99="","",IF(INDEX(tblRegistros[Data],$L99)&gt;$D$4,"",IFERROR(INDEX(tblRegistros[Status],$L99),"")))</f>
        <v/>
      </c>
      <c r="K99" t="str">
        <f>IF($L99="","",IF(INDEX(tblRegistros[Data],$L99)&gt;$D$4,"",IFERROR(INDEX(tblRegistros[Observação],$L99),"")))</f>
        <v/>
      </c>
      <c r="L99" s="16" t="str">
        <f>IFERROR(MATCH($B$3*100000+COUNTIFS(tblRegistros[ID],$B$3,tblRegistros[Data],"&lt;"&amp;$B$4)+ROWS($L$10:L99),tblRegistros[Chave do cartão],0),"")</f>
        <v/>
      </c>
    </row>
    <row r="100" spans="1:12">
      <c r="A100" s="2" t="str">
        <f>IF($L100="","",IF(INDEX(tblRegistros[Data],$L100)&gt;$D$4,"",IFERROR(INDEX(tblRegistros[Data],$L100),"")))</f>
        <v/>
      </c>
      <c r="B100" t="str">
        <f>IF($L100="","",IF(INDEX(tblRegistros[Data],$L100)&gt;$D$4,"",IFERROR(INDEX(tblRegistros[Projeto],$L100),"")))</f>
        <v/>
      </c>
      <c r="C100" t="str">
        <f>IF($L100="","",IF(INDEX(tblRegistros[Data],$L100)&gt;$D$4,"",IFERROR(INDEX(tblRegistros[Atividade],$L100),"")))</f>
        <v/>
      </c>
      <c r="D100" s="4" t="str">
        <f>IF($L100="","",IF(INDEX(tblRegistros[Data],$L100)&gt;$D$4,"",IFERROR(INDEX(tblRegistros[Início],$L100),"")))</f>
        <v/>
      </c>
      <c r="E100" s="4" t="str">
        <f>IF($L100="","",IF(INDEX(tblRegistros[Data],$L100)&gt;$D$4,"",IFERROR(IF(INDEX(tblRegistros[Status],$L100)="EM ABERTO","",INDEX(tblRegistros[Fim],$L100)),"")))</f>
        <v/>
      </c>
      <c r="F100" s="14" t="str">
        <f>IF($L100="","",IF(INDEX(tblRegistros[Data],$L100)&gt;$D$4,"",IFERROR(IF(INDEX(tblRegistros[Status],$L100)="EM ABERTO","",INDEX(tblRegistros[Horas],$L100)),"")))</f>
        <v/>
      </c>
      <c r="G100" t="str">
        <f>IF($L100="","",IF(INDEX(tblRegistros[Data],$L100)&gt;$D$4,"",IFERROR(INDEX(tblRegistros[Base],$L100),"")))</f>
        <v/>
      </c>
      <c r="H100" s="3" t="str">
        <f>IF($L100="","",IF(INDEX(tblRegistros[Data],$L100)&gt;$D$4,"",IFERROR(INDEX(tblRegistros[Taxa aplicada],$L100),"")))</f>
        <v/>
      </c>
      <c r="I100" s="3" t="str">
        <f>IF($L100="","",IF(INDEX(tblRegistros[Data],$L100)&gt;$D$4,"",IFERROR(IF(INDEX(tblRegistros[Status],$L100)="EM ABERTO","",INDEX(tblRegistros[Valor],$L100)),"")))</f>
        <v/>
      </c>
      <c r="J100" t="str">
        <f>IF($L100="","",IF(INDEX(tblRegistros[Data],$L100)&gt;$D$4,"",IFERROR(INDEX(tblRegistros[Status],$L100),"")))</f>
        <v/>
      </c>
      <c r="K100" t="str">
        <f>IF($L100="","",IF(INDEX(tblRegistros[Data],$L100)&gt;$D$4,"",IFERROR(INDEX(tblRegistros[Observação],$L100),"")))</f>
        <v/>
      </c>
      <c r="L100" s="16" t="str">
        <f>IFERROR(MATCH($B$3*100000+COUNTIFS(tblRegistros[ID],$B$3,tblRegistros[Data],"&lt;"&amp;$B$4)+ROWS($L$10:L100),tblRegistros[Chave do cartão],0),"")</f>
        <v/>
      </c>
    </row>
    <row r="101" spans="1:12">
      <c r="A101" s="2" t="str">
        <f>IF($L101="","",IF(INDEX(tblRegistros[Data],$L101)&gt;$D$4,"",IFERROR(INDEX(tblRegistros[Data],$L101),"")))</f>
        <v/>
      </c>
      <c r="B101" t="str">
        <f>IF($L101="","",IF(INDEX(tblRegistros[Data],$L101)&gt;$D$4,"",IFERROR(INDEX(tblRegistros[Projeto],$L101),"")))</f>
        <v/>
      </c>
      <c r="C101" t="str">
        <f>IF($L101="","",IF(INDEX(tblRegistros[Data],$L101)&gt;$D$4,"",IFERROR(INDEX(tblRegistros[Atividade],$L101),"")))</f>
        <v/>
      </c>
      <c r="D101" s="4" t="str">
        <f>IF($L101="","",IF(INDEX(tblRegistros[Data],$L101)&gt;$D$4,"",IFERROR(INDEX(tblRegistros[Início],$L101),"")))</f>
        <v/>
      </c>
      <c r="E101" s="4" t="str">
        <f>IF($L101="","",IF(INDEX(tblRegistros[Data],$L101)&gt;$D$4,"",IFERROR(IF(INDEX(tblRegistros[Status],$L101)="EM ABERTO","",INDEX(tblRegistros[Fim],$L101)),"")))</f>
        <v/>
      </c>
      <c r="F101" s="14" t="str">
        <f>IF($L101="","",IF(INDEX(tblRegistros[Data],$L101)&gt;$D$4,"",IFERROR(IF(INDEX(tblRegistros[Status],$L101)="EM ABERTO","",INDEX(tblRegistros[Horas],$L101)),"")))</f>
        <v/>
      </c>
      <c r="G101" t="str">
        <f>IF($L101="","",IF(INDEX(tblRegistros[Data],$L101)&gt;$D$4,"",IFERROR(INDEX(tblRegistros[Base],$L101),"")))</f>
        <v/>
      </c>
      <c r="H101" s="3" t="str">
        <f>IF($L101="","",IF(INDEX(tblRegistros[Data],$L101)&gt;$D$4,"",IFERROR(INDEX(tblRegistros[Taxa aplicada],$L101),"")))</f>
        <v/>
      </c>
      <c r="I101" s="3" t="str">
        <f>IF($L101="","",IF(INDEX(tblRegistros[Data],$L101)&gt;$D$4,"",IFERROR(IF(INDEX(tblRegistros[Status],$L101)="EM ABERTO","",INDEX(tblRegistros[Valor],$L101)),"")))</f>
        <v/>
      </c>
      <c r="J101" t="str">
        <f>IF($L101="","",IF(INDEX(tblRegistros[Data],$L101)&gt;$D$4,"",IFERROR(INDEX(tblRegistros[Status],$L101),"")))</f>
        <v/>
      </c>
      <c r="K101" t="str">
        <f>IF($L101="","",IF(INDEX(tblRegistros[Data],$L101)&gt;$D$4,"",IFERROR(INDEX(tblRegistros[Observação],$L101),"")))</f>
        <v/>
      </c>
      <c r="L101" s="16" t="str">
        <f>IFERROR(MATCH($B$3*100000+COUNTIFS(tblRegistros[ID],$B$3,tblRegistros[Data],"&lt;"&amp;$B$4)+ROWS($L$10:L101),tblRegistros[Chave do cartão],0),"")</f>
        <v/>
      </c>
    </row>
    <row r="102" spans="1:12">
      <c r="A102" s="2" t="str">
        <f>IF($L102="","",IF(INDEX(tblRegistros[Data],$L102)&gt;$D$4,"",IFERROR(INDEX(tblRegistros[Data],$L102),"")))</f>
        <v/>
      </c>
      <c r="B102" t="str">
        <f>IF($L102="","",IF(INDEX(tblRegistros[Data],$L102)&gt;$D$4,"",IFERROR(INDEX(tblRegistros[Projeto],$L102),"")))</f>
        <v/>
      </c>
      <c r="C102" t="str">
        <f>IF($L102="","",IF(INDEX(tblRegistros[Data],$L102)&gt;$D$4,"",IFERROR(INDEX(tblRegistros[Atividade],$L102),"")))</f>
        <v/>
      </c>
      <c r="D102" s="4" t="str">
        <f>IF($L102="","",IF(INDEX(tblRegistros[Data],$L102)&gt;$D$4,"",IFERROR(INDEX(tblRegistros[Início],$L102),"")))</f>
        <v/>
      </c>
      <c r="E102" s="4" t="str">
        <f>IF($L102="","",IF(INDEX(tblRegistros[Data],$L102)&gt;$D$4,"",IFERROR(IF(INDEX(tblRegistros[Status],$L102)="EM ABERTO","",INDEX(tblRegistros[Fim],$L102)),"")))</f>
        <v/>
      </c>
      <c r="F102" s="14" t="str">
        <f>IF($L102="","",IF(INDEX(tblRegistros[Data],$L102)&gt;$D$4,"",IFERROR(IF(INDEX(tblRegistros[Status],$L102)="EM ABERTO","",INDEX(tblRegistros[Horas],$L102)),"")))</f>
        <v/>
      </c>
      <c r="G102" t="str">
        <f>IF($L102="","",IF(INDEX(tblRegistros[Data],$L102)&gt;$D$4,"",IFERROR(INDEX(tblRegistros[Base],$L102),"")))</f>
        <v/>
      </c>
      <c r="H102" s="3" t="str">
        <f>IF($L102="","",IF(INDEX(tblRegistros[Data],$L102)&gt;$D$4,"",IFERROR(INDEX(tblRegistros[Taxa aplicada],$L102),"")))</f>
        <v/>
      </c>
      <c r="I102" s="3" t="str">
        <f>IF($L102="","",IF(INDEX(tblRegistros[Data],$L102)&gt;$D$4,"",IFERROR(IF(INDEX(tblRegistros[Status],$L102)="EM ABERTO","",INDEX(tblRegistros[Valor],$L102)),"")))</f>
        <v/>
      </c>
      <c r="J102" t="str">
        <f>IF($L102="","",IF(INDEX(tblRegistros[Data],$L102)&gt;$D$4,"",IFERROR(INDEX(tblRegistros[Status],$L102),"")))</f>
        <v/>
      </c>
      <c r="K102" t="str">
        <f>IF($L102="","",IF(INDEX(tblRegistros[Data],$L102)&gt;$D$4,"",IFERROR(INDEX(tblRegistros[Observação],$L102),"")))</f>
        <v/>
      </c>
      <c r="L102" s="16" t="str">
        <f>IFERROR(MATCH($B$3*100000+COUNTIFS(tblRegistros[ID],$B$3,tblRegistros[Data],"&lt;"&amp;$B$4)+ROWS($L$10:L102),tblRegistros[Chave do cartão],0),"")</f>
        <v/>
      </c>
    </row>
    <row r="103" spans="1:12">
      <c r="A103" s="2" t="str">
        <f>IF($L103="","",IF(INDEX(tblRegistros[Data],$L103)&gt;$D$4,"",IFERROR(INDEX(tblRegistros[Data],$L103),"")))</f>
        <v/>
      </c>
      <c r="B103" t="str">
        <f>IF($L103="","",IF(INDEX(tblRegistros[Data],$L103)&gt;$D$4,"",IFERROR(INDEX(tblRegistros[Projeto],$L103),"")))</f>
        <v/>
      </c>
      <c r="C103" t="str">
        <f>IF($L103="","",IF(INDEX(tblRegistros[Data],$L103)&gt;$D$4,"",IFERROR(INDEX(tblRegistros[Atividade],$L103),"")))</f>
        <v/>
      </c>
      <c r="D103" s="4" t="str">
        <f>IF($L103="","",IF(INDEX(tblRegistros[Data],$L103)&gt;$D$4,"",IFERROR(INDEX(tblRegistros[Início],$L103),"")))</f>
        <v/>
      </c>
      <c r="E103" s="4" t="str">
        <f>IF($L103="","",IF(INDEX(tblRegistros[Data],$L103)&gt;$D$4,"",IFERROR(IF(INDEX(tblRegistros[Status],$L103)="EM ABERTO","",INDEX(tblRegistros[Fim],$L103)),"")))</f>
        <v/>
      </c>
      <c r="F103" s="14" t="str">
        <f>IF($L103="","",IF(INDEX(tblRegistros[Data],$L103)&gt;$D$4,"",IFERROR(IF(INDEX(tblRegistros[Status],$L103)="EM ABERTO","",INDEX(tblRegistros[Horas],$L103)),"")))</f>
        <v/>
      </c>
      <c r="G103" t="str">
        <f>IF($L103="","",IF(INDEX(tblRegistros[Data],$L103)&gt;$D$4,"",IFERROR(INDEX(tblRegistros[Base],$L103),"")))</f>
        <v/>
      </c>
      <c r="H103" s="3" t="str">
        <f>IF($L103="","",IF(INDEX(tblRegistros[Data],$L103)&gt;$D$4,"",IFERROR(INDEX(tblRegistros[Taxa aplicada],$L103),"")))</f>
        <v/>
      </c>
      <c r="I103" s="3" t="str">
        <f>IF($L103="","",IF(INDEX(tblRegistros[Data],$L103)&gt;$D$4,"",IFERROR(IF(INDEX(tblRegistros[Status],$L103)="EM ABERTO","",INDEX(tblRegistros[Valor],$L103)),"")))</f>
        <v/>
      </c>
      <c r="J103" t="str">
        <f>IF($L103="","",IF(INDEX(tblRegistros[Data],$L103)&gt;$D$4,"",IFERROR(INDEX(tblRegistros[Status],$L103),"")))</f>
        <v/>
      </c>
      <c r="K103" t="str">
        <f>IF($L103="","",IF(INDEX(tblRegistros[Data],$L103)&gt;$D$4,"",IFERROR(INDEX(tblRegistros[Observação],$L103),"")))</f>
        <v/>
      </c>
      <c r="L103" s="16" t="str">
        <f>IFERROR(MATCH($B$3*100000+COUNTIFS(tblRegistros[ID],$B$3,tblRegistros[Data],"&lt;"&amp;$B$4)+ROWS($L$10:L103),tblRegistros[Chave do cartão],0),"")</f>
        <v/>
      </c>
    </row>
    <row r="104" spans="1:12">
      <c r="A104" s="2" t="str">
        <f>IF($L104="","",IF(INDEX(tblRegistros[Data],$L104)&gt;$D$4,"",IFERROR(INDEX(tblRegistros[Data],$L104),"")))</f>
        <v/>
      </c>
      <c r="B104" t="str">
        <f>IF($L104="","",IF(INDEX(tblRegistros[Data],$L104)&gt;$D$4,"",IFERROR(INDEX(tblRegistros[Projeto],$L104),"")))</f>
        <v/>
      </c>
      <c r="C104" t="str">
        <f>IF($L104="","",IF(INDEX(tblRegistros[Data],$L104)&gt;$D$4,"",IFERROR(INDEX(tblRegistros[Atividade],$L104),"")))</f>
        <v/>
      </c>
      <c r="D104" s="4" t="str">
        <f>IF($L104="","",IF(INDEX(tblRegistros[Data],$L104)&gt;$D$4,"",IFERROR(INDEX(tblRegistros[Início],$L104),"")))</f>
        <v/>
      </c>
      <c r="E104" s="4" t="str">
        <f>IF($L104="","",IF(INDEX(tblRegistros[Data],$L104)&gt;$D$4,"",IFERROR(IF(INDEX(tblRegistros[Status],$L104)="EM ABERTO","",INDEX(tblRegistros[Fim],$L104)),"")))</f>
        <v/>
      </c>
      <c r="F104" s="14" t="str">
        <f>IF($L104="","",IF(INDEX(tblRegistros[Data],$L104)&gt;$D$4,"",IFERROR(IF(INDEX(tblRegistros[Status],$L104)="EM ABERTO","",INDEX(tblRegistros[Horas],$L104)),"")))</f>
        <v/>
      </c>
      <c r="G104" t="str">
        <f>IF($L104="","",IF(INDEX(tblRegistros[Data],$L104)&gt;$D$4,"",IFERROR(INDEX(tblRegistros[Base],$L104),"")))</f>
        <v/>
      </c>
      <c r="H104" s="3" t="str">
        <f>IF($L104="","",IF(INDEX(tblRegistros[Data],$L104)&gt;$D$4,"",IFERROR(INDEX(tblRegistros[Taxa aplicada],$L104),"")))</f>
        <v/>
      </c>
      <c r="I104" s="3" t="str">
        <f>IF($L104="","",IF(INDEX(tblRegistros[Data],$L104)&gt;$D$4,"",IFERROR(IF(INDEX(tblRegistros[Status],$L104)="EM ABERTO","",INDEX(tblRegistros[Valor],$L104)),"")))</f>
        <v/>
      </c>
      <c r="J104" t="str">
        <f>IF($L104="","",IF(INDEX(tblRegistros[Data],$L104)&gt;$D$4,"",IFERROR(INDEX(tblRegistros[Status],$L104),"")))</f>
        <v/>
      </c>
      <c r="K104" t="str">
        <f>IF($L104="","",IF(INDEX(tblRegistros[Data],$L104)&gt;$D$4,"",IFERROR(INDEX(tblRegistros[Observação],$L104),"")))</f>
        <v/>
      </c>
      <c r="L104" s="16" t="str">
        <f>IFERROR(MATCH($B$3*100000+COUNTIFS(tblRegistros[ID],$B$3,tblRegistros[Data],"&lt;"&amp;$B$4)+ROWS($L$10:L104),tblRegistros[Chave do cartão],0),"")</f>
        <v/>
      </c>
    </row>
    <row r="105" spans="1:12">
      <c r="A105" s="2" t="str">
        <f>IF($L105="","",IF(INDEX(tblRegistros[Data],$L105)&gt;$D$4,"",IFERROR(INDEX(tblRegistros[Data],$L105),"")))</f>
        <v/>
      </c>
      <c r="B105" t="str">
        <f>IF($L105="","",IF(INDEX(tblRegistros[Data],$L105)&gt;$D$4,"",IFERROR(INDEX(tblRegistros[Projeto],$L105),"")))</f>
        <v/>
      </c>
      <c r="C105" t="str">
        <f>IF($L105="","",IF(INDEX(tblRegistros[Data],$L105)&gt;$D$4,"",IFERROR(INDEX(tblRegistros[Atividade],$L105),"")))</f>
        <v/>
      </c>
      <c r="D105" s="4" t="str">
        <f>IF($L105="","",IF(INDEX(tblRegistros[Data],$L105)&gt;$D$4,"",IFERROR(INDEX(tblRegistros[Início],$L105),"")))</f>
        <v/>
      </c>
      <c r="E105" s="4" t="str">
        <f>IF($L105="","",IF(INDEX(tblRegistros[Data],$L105)&gt;$D$4,"",IFERROR(IF(INDEX(tblRegistros[Status],$L105)="EM ABERTO","",INDEX(tblRegistros[Fim],$L105)),"")))</f>
        <v/>
      </c>
      <c r="F105" s="14" t="str">
        <f>IF($L105="","",IF(INDEX(tblRegistros[Data],$L105)&gt;$D$4,"",IFERROR(IF(INDEX(tblRegistros[Status],$L105)="EM ABERTO","",INDEX(tblRegistros[Horas],$L105)),"")))</f>
        <v/>
      </c>
      <c r="G105" t="str">
        <f>IF($L105="","",IF(INDEX(tblRegistros[Data],$L105)&gt;$D$4,"",IFERROR(INDEX(tblRegistros[Base],$L105),"")))</f>
        <v/>
      </c>
      <c r="H105" s="3" t="str">
        <f>IF($L105="","",IF(INDEX(tblRegistros[Data],$L105)&gt;$D$4,"",IFERROR(INDEX(tblRegistros[Taxa aplicada],$L105),"")))</f>
        <v/>
      </c>
      <c r="I105" s="3" t="str">
        <f>IF($L105="","",IF(INDEX(tblRegistros[Data],$L105)&gt;$D$4,"",IFERROR(IF(INDEX(tblRegistros[Status],$L105)="EM ABERTO","",INDEX(tblRegistros[Valor],$L105)),"")))</f>
        <v/>
      </c>
      <c r="J105" t="str">
        <f>IF($L105="","",IF(INDEX(tblRegistros[Data],$L105)&gt;$D$4,"",IFERROR(INDEX(tblRegistros[Status],$L105),"")))</f>
        <v/>
      </c>
      <c r="K105" t="str">
        <f>IF($L105="","",IF(INDEX(tblRegistros[Data],$L105)&gt;$D$4,"",IFERROR(INDEX(tblRegistros[Observação],$L105),"")))</f>
        <v/>
      </c>
      <c r="L105" s="16" t="str">
        <f>IFERROR(MATCH($B$3*100000+COUNTIFS(tblRegistros[ID],$B$3,tblRegistros[Data],"&lt;"&amp;$B$4)+ROWS($L$10:L105),tblRegistros[Chave do cartão],0),"")</f>
        <v/>
      </c>
    </row>
    <row r="106" spans="1:12">
      <c r="A106" s="2" t="str">
        <f>IF($L106="","",IF(INDEX(tblRegistros[Data],$L106)&gt;$D$4,"",IFERROR(INDEX(tblRegistros[Data],$L106),"")))</f>
        <v/>
      </c>
      <c r="B106" t="str">
        <f>IF($L106="","",IF(INDEX(tblRegistros[Data],$L106)&gt;$D$4,"",IFERROR(INDEX(tblRegistros[Projeto],$L106),"")))</f>
        <v/>
      </c>
      <c r="C106" t="str">
        <f>IF($L106="","",IF(INDEX(tblRegistros[Data],$L106)&gt;$D$4,"",IFERROR(INDEX(tblRegistros[Atividade],$L106),"")))</f>
        <v/>
      </c>
      <c r="D106" s="4" t="str">
        <f>IF($L106="","",IF(INDEX(tblRegistros[Data],$L106)&gt;$D$4,"",IFERROR(INDEX(tblRegistros[Início],$L106),"")))</f>
        <v/>
      </c>
      <c r="E106" s="4" t="str">
        <f>IF($L106="","",IF(INDEX(tblRegistros[Data],$L106)&gt;$D$4,"",IFERROR(IF(INDEX(tblRegistros[Status],$L106)="EM ABERTO","",INDEX(tblRegistros[Fim],$L106)),"")))</f>
        <v/>
      </c>
      <c r="F106" s="14" t="str">
        <f>IF($L106="","",IF(INDEX(tblRegistros[Data],$L106)&gt;$D$4,"",IFERROR(IF(INDEX(tblRegistros[Status],$L106)="EM ABERTO","",INDEX(tblRegistros[Horas],$L106)),"")))</f>
        <v/>
      </c>
      <c r="G106" t="str">
        <f>IF($L106="","",IF(INDEX(tblRegistros[Data],$L106)&gt;$D$4,"",IFERROR(INDEX(tblRegistros[Base],$L106),"")))</f>
        <v/>
      </c>
      <c r="H106" s="3" t="str">
        <f>IF($L106="","",IF(INDEX(tblRegistros[Data],$L106)&gt;$D$4,"",IFERROR(INDEX(tblRegistros[Taxa aplicada],$L106),"")))</f>
        <v/>
      </c>
      <c r="I106" s="3" t="str">
        <f>IF($L106="","",IF(INDEX(tblRegistros[Data],$L106)&gt;$D$4,"",IFERROR(IF(INDEX(tblRegistros[Status],$L106)="EM ABERTO","",INDEX(tblRegistros[Valor],$L106)),"")))</f>
        <v/>
      </c>
      <c r="J106" t="str">
        <f>IF($L106="","",IF(INDEX(tblRegistros[Data],$L106)&gt;$D$4,"",IFERROR(INDEX(tblRegistros[Status],$L106),"")))</f>
        <v/>
      </c>
      <c r="K106" t="str">
        <f>IF($L106="","",IF(INDEX(tblRegistros[Data],$L106)&gt;$D$4,"",IFERROR(INDEX(tblRegistros[Observação],$L106),"")))</f>
        <v/>
      </c>
      <c r="L106" s="16" t="str">
        <f>IFERROR(MATCH($B$3*100000+COUNTIFS(tblRegistros[ID],$B$3,tblRegistros[Data],"&lt;"&amp;$B$4)+ROWS($L$10:L106),tblRegistros[Chave do cartão],0),"")</f>
        <v/>
      </c>
    </row>
    <row r="107" spans="1:12">
      <c r="A107" s="2" t="str">
        <f>IF($L107="","",IF(INDEX(tblRegistros[Data],$L107)&gt;$D$4,"",IFERROR(INDEX(tblRegistros[Data],$L107),"")))</f>
        <v/>
      </c>
      <c r="B107" t="str">
        <f>IF($L107="","",IF(INDEX(tblRegistros[Data],$L107)&gt;$D$4,"",IFERROR(INDEX(tblRegistros[Projeto],$L107),"")))</f>
        <v/>
      </c>
      <c r="C107" t="str">
        <f>IF($L107="","",IF(INDEX(tblRegistros[Data],$L107)&gt;$D$4,"",IFERROR(INDEX(tblRegistros[Atividade],$L107),"")))</f>
        <v/>
      </c>
      <c r="D107" s="4" t="str">
        <f>IF($L107="","",IF(INDEX(tblRegistros[Data],$L107)&gt;$D$4,"",IFERROR(INDEX(tblRegistros[Início],$L107),"")))</f>
        <v/>
      </c>
      <c r="E107" s="4" t="str">
        <f>IF($L107="","",IF(INDEX(tblRegistros[Data],$L107)&gt;$D$4,"",IFERROR(IF(INDEX(tblRegistros[Status],$L107)="EM ABERTO","",INDEX(tblRegistros[Fim],$L107)),"")))</f>
        <v/>
      </c>
      <c r="F107" s="14" t="str">
        <f>IF($L107="","",IF(INDEX(tblRegistros[Data],$L107)&gt;$D$4,"",IFERROR(IF(INDEX(tblRegistros[Status],$L107)="EM ABERTO","",INDEX(tblRegistros[Horas],$L107)),"")))</f>
        <v/>
      </c>
      <c r="G107" t="str">
        <f>IF($L107="","",IF(INDEX(tblRegistros[Data],$L107)&gt;$D$4,"",IFERROR(INDEX(tblRegistros[Base],$L107),"")))</f>
        <v/>
      </c>
      <c r="H107" s="3" t="str">
        <f>IF($L107="","",IF(INDEX(tblRegistros[Data],$L107)&gt;$D$4,"",IFERROR(INDEX(tblRegistros[Taxa aplicada],$L107),"")))</f>
        <v/>
      </c>
      <c r="I107" s="3" t="str">
        <f>IF($L107="","",IF(INDEX(tblRegistros[Data],$L107)&gt;$D$4,"",IFERROR(IF(INDEX(tblRegistros[Status],$L107)="EM ABERTO","",INDEX(tblRegistros[Valor],$L107)),"")))</f>
        <v/>
      </c>
      <c r="J107" t="str">
        <f>IF($L107="","",IF(INDEX(tblRegistros[Data],$L107)&gt;$D$4,"",IFERROR(INDEX(tblRegistros[Status],$L107),"")))</f>
        <v/>
      </c>
      <c r="K107" t="str">
        <f>IF($L107="","",IF(INDEX(tblRegistros[Data],$L107)&gt;$D$4,"",IFERROR(INDEX(tblRegistros[Observação],$L107),"")))</f>
        <v/>
      </c>
      <c r="L107" s="16" t="str">
        <f>IFERROR(MATCH($B$3*100000+COUNTIFS(tblRegistros[ID],$B$3,tblRegistros[Data],"&lt;"&amp;$B$4)+ROWS($L$10:L107),tblRegistros[Chave do cartão],0),"")</f>
        <v/>
      </c>
    </row>
    <row r="108" spans="1:12">
      <c r="A108" s="2" t="str">
        <f>IF($L108="","",IF(INDEX(tblRegistros[Data],$L108)&gt;$D$4,"",IFERROR(INDEX(tblRegistros[Data],$L108),"")))</f>
        <v/>
      </c>
      <c r="B108" t="str">
        <f>IF($L108="","",IF(INDEX(tblRegistros[Data],$L108)&gt;$D$4,"",IFERROR(INDEX(tblRegistros[Projeto],$L108),"")))</f>
        <v/>
      </c>
      <c r="C108" t="str">
        <f>IF($L108="","",IF(INDEX(tblRegistros[Data],$L108)&gt;$D$4,"",IFERROR(INDEX(tblRegistros[Atividade],$L108),"")))</f>
        <v/>
      </c>
      <c r="D108" s="4" t="str">
        <f>IF($L108="","",IF(INDEX(tblRegistros[Data],$L108)&gt;$D$4,"",IFERROR(INDEX(tblRegistros[Início],$L108),"")))</f>
        <v/>
      </c>
      <c r="E108" s="4" t="str">
        <f>IF($L108="","",IF(INDEX(tblRegistros[Data],$L108)&gt;$D$4,"",IFERROR(IF(INDEX(tblRegistros[Status],$L108)="EM ABERTO","",INDEX(tblRegistros[Fim],$L108)),"")))</f>
        <v/>
      </c>
      <c r="F108" s="14" t="str">
        <f>IF($L108="","",IF(INDEX(tblRegistros[Data],$L108)&gt;$D$4,"",IFERROR(IF(INDEX(tblRegistros[Status],$L108)="EM ABERTO","",INDEX(tblRegistros[Horas],$L108)),"")))</f>
        <v/>
      </c>
      <c r="G108" t="str">
        <f>IF($L108="","",IF(INDEX(tblRegistros[Data],$L108)&gt;$D$4,"",IFERROR(INDEX(tblRegistros[Base],$L108),"")))</f>
        <v/>
      </c>
      <c r="H108" s="3" t="str">
        <f>IF($L108="","",IF(INDEX(tblRegistros[Data],$L108)&gt;$D$4,"",IFERROR(INDEX(tblRegistros[Taxa aplicada],$L108),"")))</f>
        <v/>
      </c>
      <c r="I108" s="3" t="str">
        <f>IF($L108="","",IF(INDEX(tblRegistros[Data],$L108)&gt;$D$4,"",IFERROR(IF(INDEX(tblRegistros[Status],$L108)="EM ABERTO","",INDEX(tblRegistros[Valor],$L108)),"")))</f>
        <v/>
      </c>
      <c r="J108" t="str">
        <f>IF($L108="","",IF(INDEX(tblRegistros[Data],$L108)&gt;$D$4,"",IFERROR(INDEX(tblRegistros[Status],$L108),"")))</f>
        <v/>
      </c>
      <c r="K108" t="str">
        <f>IF($L108="","",IF(INDEX(tblRegistros[Data],$L108)&gt;$D$4,"",IFERROR(INDEX(tblRegistros[Observação],$L108),"")))</f>
        <v/>
      </c>
      <c r="L108" s="16" t="str">
        <f>IFERROR(MATCH($B$3*100000+COUNTIFS(tblRegistros[ID],$B$3,tblRegistros[Data],"&lt;"&amp;$B$4)+ROWS($L$10:L108),tblRegistros[Chave do cartão],0),"")</f>
        <v/>
      </c>
    </row>
    <row r="109" spans="1:12">
      <c r="A109" s="2" t="str">
        <f>IF($L109="","",IF(INDEX(tblRegistros[Data],$L109)&gt;$D$4,"",IFERROR(INDEX(tblRegistros[Data],$L109),"")))</f>
        <v/>
      </c>
      <c r="B109" t="str">
        <f>IF($L109="","",IF(INDEX(tblRegistros[Data],$L109)&gt;$D$4,"",IFERROR(INDEX(tblRegistros[Projeto],$L109),"")))</f>
        <v/>
      </c>
      <c r="C109" t="str">
        <f>IF($L109="","",IF(INDEX(tblRegistros[Data],$L109)&gt;$D$4,"",IFERROR(INDEX(tblRegistros[Atividade],$L109),"")))</f>
        <v/>
      </c>
      <c r="D109" s="4" t="str">
        <f>IF($L109="","",IF(INDEX(tblRegistros[Data],$L109)&gt;$D$4,"",IFERROR(INDEX(tblRegistros[Início],$L109),"")))</f>
        <v/>
      </c>
      <c r="E109" s="4" t="str">
        <f>IF($L109="","",IF(INDEX(tblRegistros[Data],$L109)&gt;$D$4,"",IFERROR(IF(INDEX(tblRegistros[Status],$L109)="EM ABERTO","",INDEX(tblRegistros[Fim],$L109)),"")))</f>
        <v/>
      </c>
      <c r="F109" s="14" t="str">
        <f>IF($L109="","",IF(INDEX(tblRegistros[Data],$L109)&gt;$D$4,"",IFERROR(IF(INDEX(tblRegistros[Status],$L109)="EM ABERTO","",INDEX(tblRegistros[Horas],$L109)),"")))</f>
        <v/>
      </c>
      <c r="G109" t="str">
        <f>IF($L109="","",IF(INDEX(tblRegistros[Data],$L109)&gt;$D$4,"",IFERROR(INDEX(tblRegistros[Base],$L109),"")))</f>
        <v/>
      </c>
      <c r="H109" s="3" t="str">
        <f>IF($L109="","",IF(INDEX(tblRegistros[Data],$L109)&gt;$D$4,"",IFERROR(INDEX(tblRegistros[Taxa aplicada],$L109),"")))</f>
        <v/>
      </c>
      <c r="I109" s="3" t="str">
        <f>IF($L109="","",IF(INDEX(tblRegistros[Data],$L109)&gt;$D$4,"",IFERROR(IF(INDEX(tblRegistros[Status],$L109)="EM ABERTO","",INDEX(tblRegistros[Valor],$L109)),"")))</f>
        <v/>
      </c>
      <c r="J109" t="str">
        <f>IF($L109="","",IF(INDEX(tblRegistros[Data],$L109)&gt;$D$4,"",IFERROR(INDEX(tblRegistros[Status],$L109),"")))</f>
        <v/>
      </c>
      <c r="K109" t="str">
        <f>IF($L109="","",IF(INDEX(tblRegistros[Data],$L109)&gt;$D$4,"",IFERROR(INDEX(tblRegistros[Observação],$L109),"")))</f>
        <v/>
      </c>
      <c r="L109" s="16" t="str">
        <f>IFERROR(MATCH($B$3*100000+COUNTIFS(tblRegistros[ID],$B$3,tblRegistros[Data],"&lt;"&amp;$B$4)+ROWS($L$10:L109),tblRegistros[Chave do cartão],0),"")</f>
        <v/>
      </c>
    </row>
    <row r="110" spans="1:12">
      <c r="A110" s="2" t="str">
        <f>IF($L110="","",IF(INDEX(tblRegistros[Data],$L110)&gt;$D$4,"",IFERROR(INDEX(tblRegistros[Data],$L110),"")))</f>
        <v/>
      </c>
      <c r="B110" t="str">
        <f>IF($L110="","",IF(INDEX(tblRegistros[Data],$L110)&gt;$D$4,"",IFERROR(INDEX(tblRegistros[Projeto],$L110),"")))</f>
        <v/>
      </c>
      <c r="C110" t="str">
        <f>IF($L110="","",IF(INDEX(tblRegistros[Data],$L110)&gt;$D$4,"",IFERROR(INDEX(tblRegistros[Atividade],$L110),"")))</f>
        <v/>
      </c>
      <c r="D110" s="4" t="str">
        <f>IF($L110="","",IF(INDEX(tblRegistros[Data],$L110)&gt;$D$4,"",IFERROR(INDEX(tblRegistros[Início],$L110),"")))</f>
        <v/>
      </c>
      <c r="E110" s="4" t="str">
        <f>IF($L110="","",IF(INDEX(tblRegistros[Data],$L110)&gt;$D$4,"",IFERROR(IF(INDEX(tblRegistros[Status],$L110)="EM ABERTO","",INDEX(tblRegistros[Fim],$L110)),"")))</f>
        <v/>
      </c>
      <c r="F110" s="14" t="str">
        <f>IF($L110="","",IF(INDEX(tblRegistros[Data],$L110)&gt;$D$4,"",IFERROR(IF(INDEX(tblRegistros[Status],$L110)="EM ABERTO","",INDEX(tblRegistros[Horas],$L110)),"")))</f>
        <v/>
      </c>
      <c r="G110" t="str">
        <f>IF($L110="","",IF(INDEX(tblRegistros[Data],$L110)&gt;$D$4,"",IFERROR(INDEX(tblRegistros[Base],$L110),"")))</f>
        <v/>
      </c>
      <c r="H110" s="3" t="str">
        <f>IF($L110="","",IF(INDEX(tblRegistros[Data],$L110)&gt;$D$4,"",IFERROR(INDEX(tblRegistros[Taxa aplicada],$L110),"")))</f>
        <v/>
      </c>
      <c r="I110" s="3" t="str">
        <f>IF($L110="","",IF(INDEX(tblRegistros[Data],$L110)&gt;$D$4,"",IFERROR(IF(INDEX(tblRegistros[Status],$L110)="EM ABERTO","",INDEX(tblRegistros[Valor],$L110)),"")))</f>
        <v/>
      </c>
      <c r="J110" t="str">
        <f>IF($L110="","",IF(INDEX(tblRegistros[Data],$L110)&gt;$D$4,"",IFERROR(INDEX(tblRegistros[Status],$L110),"")))</f>
        <v/>
      </c>
      <c r="K110" t="str">
        <f>IF($L110="","",IF(INDEX(tblRegistros[Data],$L110)&gt;$D$4,"",IFERROR(INDEX(tblRegistros[Observação],$L110),"")))</f>
        <v/>
      </c>
      <c r="L110" s="16" t="str">
        <f>IFERROR(MATCH($B$3*100000+COUNTIFS(tblRegistros[ID],$B$3,tblRegistros[Data],"&lt;"&amp;$B$4)+ROWS($L$10:L110),tblRegistros[Chave do cartão],0),"")</f>
        <v/>
      </c>
    </row>
    <row r="111" spans="1:12">
      <c r="A111" s="2" t="str">
        <f>IF($L111="","",IF(INDEX(tblRegistros[Data],$L111)&gt;$D$4,"",IFERROR(INDEX(tblRegistros[Data],$L111),"")))</f>
        <v/>
      </c>
      <c r="B111" t="str">
        <f>IF($L111="","",IF(INDEX(tblRegistros[Data],$L111)&gt;$D$4,"",IFERROR(INDEX(tblRegistros[Projeto],$L111),"")))</f>
        <v/>
      </c>
      <c r="C111" t="str">
        <f>IF($L111="","",IF(INDEX(tblRegistros[Data],$L111)&gt;$D$4,"",IFERROR(INDEX(tblRegistros[Atividade],$L111),"")))</f>
        <v/>
      </c>
      <c r="D111" s="4" t="str">
        <f>IF($L111="","",IF(INDEX(tblRegistros[Data],$L111)&gt;$D$4,"",IFERROR(INDEX(tblRegistros[Início],$L111),"")))</f>
        <v/>
      </c>
      <c r="E111" s="4" t="str">
        <f>IF($L111="","",IF(INDEX(tblRegistros[Data],$L111)&gt;$D$4,"",IFERROR(IF(INDEX(tblRegistros[Status],$L111)="EM ABERTO","",INDEX(tblRegistros[Fim],$L111)),"")))</f>
        <v/>
      </c>
      <c r="F111" s="14" t="str">
        <f>IF($L111="","",IF(INDEX(tblRegistros[Data],$L111)&gt;$D$4,"",IFERROR(IF(INDEX(tblRegistros[Status],$L111)="EM ABERTO","",INDEX(tblRegistros[Horas],$L111)),"")))</f>
        <v/>
      </c>
      <c r="G111" t="str">
        <f>IF($L111="","",IF(INDEX(tblRegistros[Data],$L111)&gt;$D$4,"",IFERROR(INDEX(tblRegistros[Base],$L111),"")))</f>
        <v/>
      </c>
      <c r="H111" s="3" t="str">
        <f>IF($L111="","",IF(INDEX(tblRegistros[Data],$L111)&gt;$D$4,"",IFERROR(INDEX(tblRegistros[Taxa aplicada],$L111),"")))</f>
        <v/>
      </c>
      <c r="I111" s="3" t="str">
        <f>IF($L111="","",IF(INDEX(tblRegistros[Data],$L111)&gt;$D$4,"",IFERROR(IF(INDEX(tblRegistros[Status],$L111)="EM ABERTO","",INDEX(tblRegistros[Valor],$L111)),"")))</f>
        <v/>
      </c>
      <c r="J111" t="str">
        <f>IF($L111="","",IF(INDEX(tblRegistros[Data],$L111)&gt;$D$4,"",IFERROR(INDEX(tblRegistros[Status],$L111),"")))</f>
        <v/>
      </c>
      <c r="K111" t="str">
        <f>IF($L111="","",IF(INDEX(tblRegistros[Data],$L111)&gt;$D$4,"",IFERROR(INDEX(tblRegistros[Observação],$L111),"")))</f>
        <v/>
      </c>
      <c r="L111" s="16" t="str">
        <f>IFERROR(MATCH($B$3*100000+COUNTIFS(tblRegistros[ID],$B$3,tblRegistros[Data],"&lt;"&amp;$B$4)+ROWS($L$10:L111),tblRegistros[Chave do cartão],0),"")</f>
        <v/>
      </c>
    </row>
    <row r="112" spans="1:12">
      <c r="A112" s="2" t="str">
        <f>IF($L112="","",IF(INDEX(tblRegistros[Data],$L112)&gt;$D$4,"",IFERROR(INDEX(tblRegistros[Data],$L112),"")))</f>
        <v/>
      </c>
      <c r="B112" t="str">
        <f>IF($L112="","",IF(INDEX(tblRegistros[Data],$L112)&gt;$D$4,"",IFERROR(INDEX(tblRegistros[Projeto],$L112),"")))</f>
        <v/>
      </c>
      <c r="C112" t="str">
        <f>IF($L112="","",IF(INDEX(tblRegistros[Data],$L112)&gt;$D$4,"",IFERROR(INDEX(tblRegistros[Atividade],$L112),"")))</f>
        <v/>
      </c>
      <c r="D112" s="4" t="str">
        <f>IF($L112="","",IF(INDEX(tblRegistros[Data],$L112)&gt;$D$4,"",IFERROR(INDEX(tblRegistros[Início],$L112),"")))</f>
        <v/>
      </c>
      <c r="E112" s="4" t="str">
        <f>IF($L112="","",IF(INDEX(tblRegistros[Data],$L112)&gt;$D$4,"",IFERROR(IF(INDEX(tblRegistros[Status],$L112)="EM ABERTO","",INDEX(tblRegistros[Fim],$L112)),"")))</f>
        <v/>
      </c>
      <c r="F112" s="14" t="str">
        <f>IF($L112="","",IF(INDEX(tblRegistros[Data],$L112)&gt;$D$4,"",IFERROR(IF(INDEX(tblRegistros[Status],$L112)="EM ABERTO","",INDEX(tblRegistros[Horas],$L112)),"")))</f>
        <v/>
      </c>
      <c r="G112" t="str">
        <f>IF($L112="","",IF(INDEX(tblRegistros[Data],$L112)&gt;$D$4,"",IFERROR(INDEX(tblRegistros[Base],$L112),"")))</f>
        <v/>
      </c>
      <c r="H112" s="3" t="str">
        <f>IF($L112="","",IF(INDEX(tblRegistros[Data],$L112)&gt;$D$4,"",IFERROR(INDEX(tblRegistros[Taxa aplicada],$L112),"")))</f>
        <v/>
      </c>
      <c r="I112" s="3" t="str">
        <f>IF($L112="","",IF(INDEX(tblRegistros[Data],$L112)&gt;$D$4,"",IFERROR(IF(INDEX(tblRegistros[Status],$L112)="EM ABERTO","",INDEX(tblRegistros[Valor],$L112)),"")))</f>
        <v/>
      </c>
      <c r="J112" t="str">
        <f>IF($L112="","",IF(INDEX(tblRegistros[Data],$L112)&gt;$D$4,"",IFERROR(INDEX(tblRegistros[Status],$L112),"")))</f>
        <v/>
      </c>
      <c r="K112" t="str">
        <f>IF($L112="","",IF(INDEX(tblRegistros[Data],$L112)&gt;$D$4,"",IFERROR(INDEX(tblRegistros[Observação],$L112),"")))</f>
        <v/>
      </c>
      <c r="L112" s="16" t="str">
        <f>IFERROR(MATCH($B$3*100000+COUNTIFS(tblRegistros[ID],$B$3,tblRegistros[Data],"&lt;"&amp;$B$4)+ROWS($L$10:L112),tblRegistros[Chave do cartão],0),"")</f>
        <v/>
      </c>
    </row>
    <row r="113" spans="1:12">
      <c r="A113" s="2" t="str">
        <f>IF($L113="","",IF(INDEX(tblRegistros[Data],$L113)&gt;$D$4,"",IFERROR(INDEX(tblRegistros[Data],$L113),"")))</f>
        <v/>
      </c>
      <c r="B113" t="str">
        <f>IF($L113="","",IF(INDEX(tblRegistros[Data],$L113)&gt;$D$4,"",IFERROR(INDEX(tblRegistros[Projeto],$L113),"")))</f>
        <v/>
      </c>
      <c r="C113" t="str">
        <f>IF($L113="","",IF(INDEX(tblRegistros[Data],$L113)&gt;$D$4,"",IFERROR(INDEX(tblRegistros[Atividade],$L113),"")))</f>
        <v/>
      </c>
      <c r="D113" s="4" t="str">
        <f>IF($L113="","",IF(INDEX(tblRegistros[Data],$L113)&gt;$D$4,"",IFERROR(INDEX(tblRegistros[Início],$L113),"")))</f>
        <v/>
      </c>
      <c r="E113" s="4" t="str">
        <f>IF($L113="","",IF(INDEX(tblRegistros[Data],$L113)&gt;$D$4,"",IFERROR(IF(INDEX(tblRegistros[Status],$L113)="EM ABERTO","",INDEX(tblRegistros[Fim],$L113)),"")))</f>
        <v/>
      </c>
      <c r="F113" s="14" t="str">
        <f>IF($L113="","",IF(INDEX(tblRegistros[Data],$L113)&gt;$D$4,"",IFERROR(IF(INDEX(tblRegistros[Status],$L113)="EM ABERTO","",INDEX(tblRegistros[Horas],$L113)),"")))</f>
        <v/>
      </c>
      <c r="G113" t="str">
        <f>IF($L113="","",IF(INDEX(tblRegistros[Data],$L113)&gt;$D$4,"",IFERROR(INDEX(tblRegistros[Base],$L113),"")))</f>
        <v/>
      </c>
      <c r="H113" s="3" t="str">
        <f>IF($L113="","",IF(INDEX(tblRegistros[Data],$L113)&gt;$D$4,"",IFERROR(INDEX(tblRegistros[Taxa aplicada],$L113),"")))</f>
        <v/>
      </c>
      <c r="I113" s="3" t="str">
        <f>IF($L113="","",IF(INDEX(tblRegistros[Data],$L113)&gt;$D$4,"",IFERROR(IF(INDEX(tblRegistros[Status],$L113)="EM ABERTO","",INDEX(tblRegistros[Valor],$L113)),"")))</f>
        <v/>
      </c>
      <c r="J113" t="str">
        <f>IF($L113="","",IF(INDEX(tblRegistros[Data],$L113)&gt;$D$4,"",IFERROR(INDEX(tblRegistros[Status],$L113),"")))</f>
        <v/>
      </c>
      <c r="K113" t="str">
        <f>IF($L113="","",IF(INDEX(tblRegistros[Data],$L113)&gt;$D$4,"",IFERROR(INDEX(tblRegistros[Observação],$L113),"")))</f>
        <v/>
      </c>
      <c r="L113" s="16" t="str">
        <f>IFERROR(MATCH($B$3*100000+COUNTIFS(tblRegistros[ID],$B$3,tblRegistros[Data],"&lt;"&amp;$B$4)+ROWS($L$10:L113),tblRegistros[Chave do cartão],0),"")</f>
        <v/>
      </c>
    </row>
    <row r="114" spans="1:12">
      <c r="A114" s="2" t="str">
        <f>IF($L114="","",IF(INDEX(tblRegistros[Data],$L114)&gt;$D$4,"",IFERROR(INDEX(tblRegistros[Data],$L114),"")))</f>
        <v/>
      </c>
      <c r="B114" t="str">
        <f>IF($L114="","",IF(INDEX(tblRegistros[Data],$L114)&gt;$D$4,"",IFERROR(INDEX(tblRegistros[Projeto],$L114),"")))</f>
        <v/>
      </c>
      <c r="C114" t="str">
        <f>IF($L114="","",IF(INDEX(tblRegistros[Data],$L114)&gt;$D$4,"",IFERROR(INDEX(tblRegistros[Atividade],$L114),"")))</f>
        <v/>
      </c>
      <c r="D114" s="4" t="str">
        <f>IF($L114="","",IF(INDEX(tblRegistros[Data],$L114)&gt;$D$4,"",IFERROR(INDEX(tblRegistros[Início],$L114),"")))</f>
        <v/>
      </c>
      <c r="E114" s="4" t="str">
        <f>IF($L114="","",IF(INDEX(tblRegistros[Data],$L114)&gt;$D$4,"",IFERROR(IF(INDEX(tblRegistros[Status],$L114)="EM ABERTO","",INDEX(tblRegistros[Fim],$L114)),"")))</f>
        <v/>
      </c>
      <c r="F114" s="14" t="str">
        <f>IF($L114="","",IF(INDEX(tblRegistros[Data],$L114)&gt;$D$4,"",IFERROR(IF(INDEX(tblRegistros[Status],$L114)="EM ABERTO","",INDEX(tblRegistros[Horas],$L114)),"")))</f>
        <v/>
      </c>
      <c r="G114" t="str">
        <f>IF($L114="","",IF(INDEX(tblRegistros[Data],$L114)&gt;$D$4,"",IFERROR(INDEX(tblRegistros[Base],$L114),"")))</f>
        <v/>
      </c>
      <c r="H114" s="3" t="str">
        <f>IF($L114="","",IF(INDEX(tblRegistros[Data],$L114)&gt;$D$4,"",IFERROR(INDEX(tblRegistros[Taxa aplicada],$L114),"")))</f>
        <v/>
      </c>
      <c r="I114" s="3" t="str">
        <f>IF($L114="","",IF(INDEX(tblRegistros[Data],$L114)&gt;$D$4,"",IFERROR(IF(INDEX(tblRegistros[Status],$L114)="EM ABERTO","",INDEX(tblRegistros[Valor],$L114)),"")))</f>
        <v/>
      </c>
      <c r="J114" t="str">
        <f>IF($L114="","",IF(INDEX(tblRegistros[Data],$L114)&gt;$D$4,"",IFERROR(INDEX(tblRegistros[Status],$L114),"")))</f>
        <v/>
      </c>
      <c r="K114" t="str">
        <f>IF($L114="","",IF(INDEX(tblRegistros[Data],$L114)&gt;$D$4,"",IFERROR(INDEX(tblRegistros[Observação],$L114),"")))</f>
        <v/>
      </c>
      <c r="L114" s="16" t="str">
        <f>IFERROR(MATCH($B$3*100000+COUNTIFS(tblRegistros[ID],$B$3,tblRegistros[Data],"&lt;"&amp;$B$4)+ROWS($L$10:L114),tblRegistros[Chave do cartão],0),"")</f>
        <v/>
      </c>
    </row>
    <row r="115" spans="1:12">
      <c r="A115" s="2" t="str">
        <f>IF($L115="","",IF(INDEX(tblRegistros[Data],$L115)&gt;$D$4,"",IFERROR(INDEX(tblRegistros[Data],$L115),"")))</f>
        <v/>
      </c>
      <c r="B115" t="str">
        <f>IF($L115="","",IF(INDEX(tblRegistros[Data],$L115)&gt;$D$4,"",IFERROR(INDEX(tblRegistros[Projeto],$L115),"")))</f>
        <v/>
      </c>
      <c r="C115" t="str">
        <f>IF($L115="","",IF(INDEX(tblRegistros[Data],$L115)&gt;$D$4,"",IFERROR(INDEX(tblRegistros[Atividade],$L115),"")))</f>
        <v/>
      </c>
      <c r="D115" s="4" t="str">
        <f>IF($L115="","",IF(INDEX(tblRegistros[Data],$L115)&gt;$D$4,"",IFERROR(INDEX(tblRegistros[Início],$L115),"")))</f>
        <v/>
      </c>
      <c r="E115" s="4" t="str">
        <f>IF($L115="","",IF(INDEX(tblRegistros[Data],$L115)&gt;$D$4,"",IFERROR(IF(INDEX(tblRegistros[Status],$L115)="EM ABERTO","",INDEX(tblRegistros[Fim],$L115)),"")))</f>
        <v/>
      </c>
      <c r="F115" s="14" t="str">
        <f>IF($L115="","",IF(INDEX(tblRegistros[Data],$L115)&gt;$D$4,"",IFERROR(IF(INDEX(tblRegistros[Status],$L115)="EM ABERTO","",INDEX(tblRegistros[Horas],$L115)),"")))</f>
        <v/>
      </c>
      <c r="G115" t="str">
        <f>IF($L115="","",IF(INDEX(tblRegistros[Data],$L115)&gt;$D$4,"",IFERROR(INDEX(tblRegistros[Base],$L115),"")))</f>
        <v/>
      </c>
      <c r="H115" s="3" t="str">
        <f>IF($L115="","",IF(INDEX(tblRegistros[Data],$L115)&gt;$D$4,"",IFERROR(INDEX(tblRegistros[Taxa aplicada],$L115),"")))</f>
        <v/>
      </c>
      <c r="I115" s="3" t="str">
        <f>IF($L115="","",IF(INDEX(tblRegistros[Data],$L115)&gt;$D$4,"",IFERROR(IF(INDEX(tblRegistros[Status],$L115)="EM ABERTO","",INDEX(tblRegistros[Valor],$L115)),"")))</f>
        <v/>
      </c>
      <c r="J115" t="str">
        <f>IF($L115="","",IF(INDEX(tblRegistros[Data],$L115)&gt;$D$4,"",IFERROR(INDEX(tblRegistros[Status],$L115),"")))</f>
        <v/>
      </c>
      <c r="K115" t="str">
        <f>IF($L115="","",IF(INDEX(tblRegistros[Data],$L115)&gt;$D$4,"",IFERROR(INDEX(tblRegistros[Observação],$L115),"")))</f>
        <v/>
      </c>
      <c r="L115" s="16" t="str">
        <f>IFERROR(MATCH($B$3*100000+COUNTIFS(tblRegistros[ID],$B$3,tblRegistros[Data],"&lt;"&amp;$B$4)+ROWS($L$10:L115),tblRegistros[Chave do cartão],0),"")</f>
        <v/>
      </c>
    </row>
    <row r="116" spans="1:12">
      <c r="A116" s="2" t="str">
        <f>IF($L116="","",IF(INDEX(tblRegistros[Data],$L116)&gt;$D$4,"",IFERROR(INDEX(tblRegistros[Data],$L116),"")))</f>
        <v/>
      </c>
      <c r="B116" t="str">
        <f>IF($L116="","",IF(INDEX(tblRegistros[Data],$L116)&gt;$D$4,"",IFERROR(INDEX(tblRegistros[Projeto],$L116),"")))</f>
        <v/>
      </c>
      <c r="C116" t="str">
        <f>IF($L116="","",IF(INDEX(tblRegistros[Data],$L116)&gt;$D$4,"",IFERROR(INDEX(tblRegistros[Atividade],$L116),"")))</f>
        <v/>
      </c>
      <c r="D116" s="4" t="str">
        <f>IF($L116="","",IF(INDEX(tblRegistros[Data],$L116)&gt;$D$4,"",IFERROR(INDEX(tblRegistros[Início],$L116),"")))</f>
        <v/>
      </c>
      <c r="E116" s="4" t="str">
        <f>IF($L116="","",IF(INDEX(tblRegistros[Data],$L116)&gt;$D$4,"",IFERROR(IF(INDEX(tblRegistros[Status],$L116)="EM ABERTO","",INDEX(tblRegistros[Fim],$L116)),"")))</f>
        <v/>
      </c>
      <c r="F116" s="14" t="str">
        <f>IF($L116="","",IF(INDEX(tblRegistros[Data],$L116)&gt;$D$4,"",IFERROR(IF(INDEX(tblRegistros[Status],$L116)="EM ABERTO","",INDEX(tblRegistros[Horas],$L116)),"")))</f>
        <v/>
      </c>
      <c r="G116" t="str">
        <f>IF($L116="","",IF(INDEX(tblRegistros[Data],$L116)&gt;$D$4,"",IFERROR(INDEX(tblRegistros[Base],$L116),"")))</f>
        <v/>
      </c>
      <c r="H116" s="3" t="str">
        <f>IF($L116="","",IF(INDEX(tblRegistros[Data],$L116)&gt;$D$4,"",IFERROR(INDEX(tblRegistros[Taxa aplicada],$L116),"")))</f>
        <v/>
      </c>
      <c r="I116" s="3" t="str">
        <f>IF($L116="","",IF(INDEX(tblRegistros[Data],$L116)&gt;$D$4,"",IFERROR(IF(INDEX(tblRegistros[Status],$L116)="EM ABERTO","",INDEX(tblRegistros[Valor],$L116)),"")))</f>
        <v/>
      </c>
      <c r="J116" t="str">
        <f>IF($L116="","",IF(INDEX(tblRegistros[Data],$L116)&gt;$D$4,"",IFERROR(INDEX(tblRegistros[Status],$L116),"")))</f>
        <v/>
      </c>
      <c r="K116" t="str">
        <f>IF($L116="","",IF(INDEX(tblRegistros[Data],$L116)&gt;$D$4,"",IFERROR(INDEX(tblRegistros[Observação],$L116),"")))</f>
        <v/>
      </c>
      <c r="L116" s="16" t="str">
        <f>IFERROR(MATCH($B$3*100000+COUNTIFS(tblRegistros[ID],$B$3,tblRegistros[Data],"&lt;"&amp;$B$4)+ROWS($L$10:L116),tblRegistros[Chave do cartão],0),"")</f>
        <v/>
      </c>
    </row>
    <row r="117" spans="1:12">
      <c r="A117" s="2" t="str">
        <f>IF($L117="","",IF(INDEX(tblRegistros[Data],$L117)&gt;$D$4,"",IFERROR(INDEX(tblRegistros[Data],$L117),"")))</f>
        <v/>
      </c>
      <c r="B117" t="str">
        <f>IF($L117="","",IF(INDEX(tblRegistros[Data],$L117)&gt;$D$4,"",IFERROR(INDEX(tblRegistros[Projeto],$L117),"")))</f>
        <v/>
      </c>
      <c r="C117" t="str">
        <f>IF($L117="","",IF(INDEX(tblRegistros[Data],$L117)&gt;$D$4,"",IFERROR(INDEX(tblRegistros[Atividade],$L117),"")))</f>
        <v/>
      </c>
      <c r="D117" s="4" t="str">
        <f>IF($L117="","",IF(INDEX(tblRegistros[Data],$L117)&gt;$D$4,"",IFERROR(INDEX(tblRegistros[Início],$L117),"")))</f>
        <v/>
      </c>
      <c r="E117" s="4" t="str">
        <f>IF($L117="","",IF(INDEX(tblRegistros[Data],$L117)&gt;$D$4,"",IFERROR(IF(INDEX(tblRegistros[Status],$L117)="EM ABERTO","",INDEX(tblRegistros[Fim],$L117)),"")))</f>
        <v/>
      </c>
      <c r="F117" s="14" t="str">
        <f>IF($L117="","",IF(INDEX(tblRegistros[Data],$L117)&gt;$D$4,"",IFERROR(IF(INDEX(tblRegistros[Status],$L117)="EM ABERTO","",INDEX(tblRegistros[Horas],$L117)),"")))</f>
        <v/>
      </c>
      <c r="G117" t="str">
        <f>IF($L117="","",IF(INDEX(tblRegistros[Data],$L117)&gt;$D$4,"",IFERROR(INDEX(tblRegistros[Base],$L117),"")))</f>
        <v/>
      </c>
      <c r="H117" s="3" t="str">
        <f>IF($L117="","",IF(INDEX(tblRegistros[Data],$L117)&gt;$D$4,"",IFERROR(INDEX(tblRegistros[Taxa aplicada],$L117),"")))</f>
        <v/>
      </c>
      <c r="I117" s="3" t="str">
        <f>IF($L117="","",IF(INDEX(tblRegistros[Data],$L117)&gt;$D$4,"",IFERROR(IF(INDEX(tblRegistros[Status],$L117)="EM ABERTO","",INDEX(tblRegistros[Valor],$L117)),"")))</f>
        <v/>
      </c>
      <c r="J117" t="str">
        <f>IF($L117="","",IF(INDEX(tblRegistros[Data],$L117)&gt;$D$4,"",IFERROR(INDEX(tblRegistros[Status],$L117),"")))</f>
        <v/>
      </c>
      <c r="K117" t="str">
        <f>IF($L117="","",IF(INDEX(tblRegistros[Data],$L117)&gt;$D$4,"",IFERROR(INDEX(tblRegistros[Observação],$L117),"")))</f>
        <v/>
      </c>
      <c r="L117" s="16" t="str">
        <f>IFERROR(MATCH($B$3*100000+COUNTIFS(tblRegistros[ID],$B$3,tblRegistros[Data],"&lt;"&amp;$B$4)+ROWS($L$10:L117),tblRegistros[Chave do cartão],0),"")</f>
        <v/>
      </c>
    </row>
    <row r="118" spans="1:12">
      <c r="A118" s="2" t="str">
        <f>IF($L118="","",IF(INDEX(tblRegistros[Data],$L118)&gt;$D$4,"",IFERROR(INDEX(tblRegistros[Data],$L118),"")))</f>
        <v/>
      </c>
      <c r="B118" t="str">
        <f>IF($L118="","",IF(INDEX(tblRegistros[Data],$L118)&gt;$D$4,"",IFERROR(INDEX(tblRegistros[Projeto],$L118),"")))</f>
        <v/>
      </c>
      <c r="C118" t="str">
        <f>IF($L118="","",IF(INDEX(tblRegistros[Data],$L118)&gt;$D$4,"",IFERROR(INDEX(tblRegistros[Atividade],$L118),"")))</f>
        <v/>
      </c>
      <c r="D118" s="4" t="str">
        <f>IF($L118="","",IF(INDEX(tblRegistros[Data],$L118)&gt;$D$4,"",IFERROR(INDEX(tblRegistros[Início],$L118),"")))</f>
        <v/>
      </c>
      <c r="E118" s="4" t="str">
        <f>IF($L118="","",IF(INDEX(tblRegistros[Data],$L118)&gt;$D$4,"",IFERROR(IF(INDEX(tblRegistros[Status],$L118)="EM ABERTO","",INDEX(tblRegistros[Fim],$L118)),"")))</f>
        <v/>
      </c>
      <c r="F118" s="14" t="str">
        <f>IF($L118="","",IF(INDEX(tblRegistros[Data],$L118)&gt;$D$4,"",IFERROR(IF(INDEX(tblRegistros[Status],$L118)="EM ABERTO","",INDEX(tblRegistros[Horas],$L118)),"")))</f>
        <v/>
      </c>
      <c r="G118" t="str">
        <f>IF($L118="","",IF(INDEX(tblRegistros[Data],$L118)&gt;$D$4,"",IFERROR(INDEX(tblRegistros[Base],$L118),"")))</f>
        <v/>
      </c>
      <c r="H118" s="3" t="str">
        <f>IF($L118="","",IF(INDEX(tblRegistros[Data],$L118)&gt;$D$4,"",IFERROR(INDEX(tblRegistros[Taxa aplicada],$L118),"")))</f>
        <v/>
      </c>
      <c r="I118" s="3" t="str">
        <f>IF($L118="","",IF(INDEX(tblRegistros[Data],$L118)&gt;$D$4,"",IFERROR(IF(INDEX(tblRegistros[Status],$L118)="EM ABERTO","",INDEX(tblRegistros[Valor],$L118)),"")))</f>
        <v/>
      </c>
      <c r="J118" t="str">
        <f>IF($L118="","",IF(INDEX(tblRegistros[Data],$L118)&gt;$D$4,"",IFERROR(INDEX(tblRegistros[Status],$L118),"")))</f>
        <v/>
      </c>
      <c r="K118" t="str">
        <f>IF($L118="","",IF(INDEX(tblRegistros[Data],$L118)&gt;$D$4,"",IFERROR(INDEX(tblRegistros[Observação],$L118),"")))</f>
        <v/>
      </c>
      <c r="L118" s="16" t="str">
        <f>IFERROR(MATCH($B$3*100000+COUNTIFS(tblRegistros[ID],$B$3,tblRegistros[Data],"&lt;"&amp;$B$4)+ROWS($L$10:L118),tblRegistros[Chave do cartão],0),"")</f>
        <v/>
      </c>
    </row>
    <row r="119" spans="1:12">
      <c r="A119" s="2" t="str">
        <f>IF($L119="","",IF(INDEX(tblRegistros[Data],$L119)&gt;$D$4,"",IFERROR(INDEX(tblRegistros[Data],$L119),"")))</f>
        <v/>
      </c>
      <c r="B119" t="str">
        <f>IF($L119="","",IF(INDEX(tblRegistros[Data],$L119)&gt;$D$4,"",IFERROR(INDEX(tblRegistros[Projeto],$L119),"")))</f>
        <v/>
      </c>
      <c r="C119" t="str">
        <f>IF($L119="","",IF(INDEX(tblRegistros[Data],$L119)&gt;$D$4,"",IFERROR(INDEX(tblRegistros[Atividade],$L119),"")))</f>
        <v/>
      </c>
      <c r="D119" s="4" t="str">
        <f>IF($L119="","",IF(INDEX(tblRegistros[Data],$L119)&gt;$D$4,"",IFERROR(INDEX(tblRegistros[Início],$L119),"")))</f>
        <v/>
      </c>
      <c r="E119" s="4" t="str">
        <f>IF($L119="","",IF(INDEX(tblRegistros[Data],$L119)&gt;$D$4,"",IFERROR(IF(INDEX(tblRegistros[Status],$L119)="EM ABERTO","",INDEX(tblRegistros[Fim],$L119)),"")))</f>
        <v/>
      </c>
      <c r="F119" s="14" t="str">
        <f>IF($L119="","",IF(INDEX(tblRegistros[Data],$L119)&gt;$D$4,"",IFERROR(IF(INDEX(tblRegistros[Status],$L119)="EM ABERTO","",INDEX(tblRegistros[Horas],$L119)),"")))</f>
        <v/>
      </c>
      <c r="G119" t="str">
        <f>IF($L119="","",IF(INDEX(tblRegistros[Data],$L119)&gt;$D$4,"",IFERROR(INDEX(tblRegistros[Base],$L119),"")))</f>
        <v/>
      </c>
      <c r="H119" s="3" t="str">
        <f>IF($L119="","",IF(INDEX(tblRegistros[Data],$L119)&gt;$D$4,"",IFERROR(INDEX(tblRegistros[Taxa aplicada],$L119),"")))</f>
        <v/>
      </c>
      <c r="I119" s="3" t="str">
        <f>IF($L119="","",IF(INDEX(tblRegistros[Data],$L119)&gt;$D$4,"",IFERROR(IF(INDEX(tblRegistros[Status],$L119)="EM ABERTO","",INDEX(tblRegistros[Valor],$L119)),"")))</f>
        <v/>
      </c>
      <c r="J119" t="str">
        <f>IF($L119="","",IF(INDEX(tblRegistros[Data],$L119)&gt;$D$4,"",IFERROR(INDEX(tblRegistros[Status],$L119),"")))</f>
        <v/>
      </c>
      <c r="K119" t="str">
        <f>IF($L119="","",IF(INDEX(tblRegistros[Data],$L119)&gt;$D$4,"",IFERROR(INDEX(tblRegistros[Observação],$L119),"")))</f>
        <v/>
      </c>
      <c r="L119" s="16" t="str">
        <f>IFERROR(MATCH($B$3*100000+COUNTIFS(tblRegistros[ID],$B$3,tblRegistros[Data],"&lt;"&amp;$B$4)+ROWS($L$10:L119),tblRegistros[Chave do cartão],0),"")</f>
        <v/>
      </c>
    </row>
    <row r="120" spans="1:12">
      <c r="A120" s="2" t="str">
        <f>IF($L120="","",IF(INDEX(tblRegistros[Data],$L120)&gt;$D$4,"",IFERROR(INDEX(tblRegistros[Data],$L120),"")))</f>
        <v/>
      </c>
      <c r="B120" t="str">
        <f>IF($L120="","",IF(INDEX(tblRegistros[Data],$L120)&gt;$D$4,"",IFERROR(INDEX(tblRegistros[Projeto],$L120),"")))</f>
        <v/>
      </c>
      <c r="C120" t="str">
        <f>IF($L120="","",IF(INDEX(tblRegistros[Data],$L120)&gt;$D$4,"",IFERROR(INDEX(tblRegistros[Atividade],$L120),"")))</f>
        <v/>
      </c>
      <c r="D120" s="4" t="str">
        <f>IF($L120="","",IF(INDEX(tblRegistros[Data],$L120)&gt;$D$4,"",IFERROR(INDEX(tblRegistros[Início],$L120),"")))</f>
        <v/>
      </c>
      <c r="E120" s="4" t="str">
        <f>IF($L120="","",IF(INDEX(tblRegistros[Data],$L120)&gt;$D$4,"",IFERROR(IF(INDEX(tblRegistros[Status],$L120)="EM ABERTO","",INDEX(tblRegistros[Fim],$L120)),"")))</f>
        <v/>
      </c>
      <c r="F120" s="14" t="str">
        <f>IF($L120="","",IF(INDEX(tblRegistros[Data],$L120)&gt;$D$4,"",IFERROR(IF(INDEX(tblRegistros[Status],$L120)="EM ABERTO","",INDEX(tblRegistros[Horas],$L120)),"")))</f>
        <v/>
      </c>
      <c r="G120" t="str">
        <f>IF($L120="","",IF(INDEX(tblRegistros[Data],$L120)&gt;$D$4,"",IFERROR(INDEX(tblRegistros[Base],$L120),"")))</f>
        <v/>
      </c>
      <c r="H120" s="3" t="str">
        <f>IF($L120="","",IF(INDEX(tblRegistros[Data],$L120)&gt;$D$4,"",IFERROR(INDEX(tblRegistros[Taxa aplicada],$L120),"")))</f>
        <v/>
      </c>
      <c r="I120" s="3" t="str">
        <f>IF($L120="","",IF(INDEX(tblRegistros[Data],$L120)&gt;$D$4,"",IFERROR(IF(INDEX(tblRegistros[Status],$L120)="EM ABERTO","",INDEX(tblRegistros[Valor],$L120)),"")))</f>
        <v/>
      </c>
      <c r="J120" t="str">
        <f>IF($L120="","",IF(INDEX(tblRegistros[Data],$L120)&gt;$D$4,"",IFERROR(INDEX(tblRegistros[Status],$L120),"")))</f>
        <v/>
      </c>
      <c r="K120" t="str">
        <f>IF($L120="","",IF(INDEX(tblRegistros[Data],$L120)&gt;$D$4,"",IFERROR(INDEX(tblRegistros[Observação],$L120),"")))</f>
        <v/>
      </c>
      <c r="L120" s="16" t="str">
        <f>IFERROR(MATCH($B$3*100000+COUNTIFS(tblRegistros[ID],$B$3,tblRegistros[Data],"&lt;"&amp;$B$4)+ROWS($L$10:L120),tblRegistros[Chave do cartão],0),"")</f>
        <v/>
      </c>
    </row>
    <row r="121" spans="1:12">
      <c r="A121" s="2" t="str">
        <f>IF($L121="","",IF(INDEX(tblRegistros[Data],$L121)&gt;$D$4,"",IFERROR(INDEX(tblRegistros[Data],$L121),"")))</f>
        <v/>
      </c>
      <c r="B121" t="str">
        <f>IF($L121="","",IF(INDEX(tblRegistros[Data],$L121)&gt;$D$4,"",IFERROR(INDEX(tblRegistros[Projeto],$L121),"")))</f>
        <v/>
      </c>
      <c r="C121" t="str">
        <f>IF($L121="","",IF(INDEX(tblRegistros[Data],$L121)&gt;$D$4,"",IFERROR(INDEX(tblRegistros[Atividade],$L121),"")))</f>
        <v/>
      </c>
      <c r="D121" s="4" t="str">
        <f>IF($L121="","",IF(INDEX(tblRegistros[Data],$L121)&gt;$D$4,"",IFERROR(INDEX(tblRegistros[Início],$L121),"")))</f>
        <v/>
      </c>
      <c r="E121" s="4" t="str">
        <f>IF($L121="","",IF(INDEX(tblRegistros[Data],$L121)&gt;$D$4,"",IFERROR(IF(INDEX(tblRegistros[Status],$L121)="EM ABERTO","",INDEX(tblRegistros[Fim],$L121)),"")))</f>
        <v/>
      </c>
      <c r="F121" s="14" t="str">
        <f>IF($L121="","",IF(INDEX(tblRegistros[Data],$L121)&gt;$D$4,"",IFERROR(IF(INDEX(tblRegistros[Status],$L121)="EM ABERTO","",INDEX(tblRegistros[Horas],$L121)),"")))</f>
        <v/>
      </c>
      <c r="G121" t="str">
        <f>IF($L121="","",IF(INDEX(tblRegistros[Data],$L121)&gt;$D$4,"",IFERROR(INDEX(tblRegistros[Base],$L121),"")))</f>
        <v/>
      </c>
      <c r="H121" s="3" t="str">
        <f>IF($L121="","",IF(INDEX(tblRegistros[Data],$L121)&gt;$D$4,"",IFERROR(INDEX(tblRegistros[Taxa aplicada],$L121),"")))</f>
        <v/>
      </c>
      <c r="I121" s="3" t="str">
        <f>IF($L121="","",IF(INDEX(tblRegistros[Data],$L121)&gt;$D$4,"",IFERROR(IF(INDEX(tblRegistros[Status],$L121)="EM ABERTO","",INDEX(tblRegistros[Valor],$L121)),"")))</f>
        <v/>
      </c>
      <c r="J121" t="str">
        <f>IF($L121="","",IF(INDEX(tblRegistros[Data],$L121)&gt;$D$4,"",IFERROR(INDEX(tblRegistros[Status],$L121),"")))</f>
        <v/>
      </c>
      <c r="K121" t="str">
        <f>IF($L121="","",IF(INDEX(tblRegistros[Data],$L121)&gt;$D$4,"",IFERROR(INDEX(tblRegistros[Observação],$L121),"")))</f>
        <v/>
      </c>
      <c r="L121" s="16" t="str">
        <f>IFERROR(MATCH($B$3*100000+COUNTIFS(tblRegistros[ID],$B$3,tblRegistros[Data],"&lt;"&amp;$B$4)+ROWS($L$10:L121),tblRegistros[Chave do cartão],0),"")</f>
        <v/>
      </c>
    </row>
    <row r="122" spans="1:12">
      <c r="A122" s="2" t="str">
        <f>IF($L122="","",IF(INDEX(tblRegistros[Data],$L122)&gt;$D$4,"",IFERROR(INDEX(tblRegistros[Data],$L122),"")))</f>
        <v/>
      </c>
      <c r="B122" t="str">
        <f>IF($L122="","",IF(INDEX(tblRegistros[Data],$L122)&gt;$D$4,"",IFERROR(INDEX(tblRegistros[Projeto],$L122),"")))</f>
        <v/>
      </c>
      <c r="C122" t="str">
        <f>IF($L122="","",IF(INDEX(tblRegistros[Data],$L122)&gt;$D$4,"",IFERROR(INDEX(tblRegistros[Atividade],$L122),"")))</f>
        <v/>
      </c>
      <c r="D122" s="4" t="str">
        <f>IF($L122="","",IF(INDEX(tblRegistros[Data],$L122)&gt;$D$4,"",IFERROR(INDEX(tblRegistros[Início],$L122),"")))</f>
        <v/>
      </c>
      <c r="E122" s="4" t="str">
        <f>IF($L122="","",IF(INDEX(tblRegistros[Data],$L122)&gt;$D$4,"",IFERROR(IF(INDEX(tblRegistros[Status],$L122)="EM ABERTO","",INDEX(tblRegistros[Fim],$L122)),"")))</f>
        <v/>
      </c>
      <c r="F122" s="14" t="str">
        <f>IF($L122="","",IF(INDEX(tblRegistros[Data],$L122)&gt;$D$4,"",IFERROR(IF(INDEX(tblRegistros[Status],$L122)="EM ABERTO","",INDEX(tblRegistros[Horas],$L122)),"")))</f>
        <v/>
      </c>
      <c r="G122" t="str">
        <f>IF($L122="","",IF(INDEX(tblRegistros[Data],$L122)&gt;$D$4,"",IFERROR(INDEX(tblRegistros[Base],$L122),"")))</f>
        <v/>
      </c>
      <c r="H122" s="3" t="str">
        <f>IF($L122="","",IF(INDEX(tblRegistros[Data],$L122)&gt;$D$4,"",IFERROR(INDEX(tblRegistros[Taxa aplicada],$L122),"")))</f>
        <v/>
      </c>
      <c r="I122" s="3" t="str">
        <f>IF($L122="","",IF(INDEX(tblRegistros[Data],$L122)&gt;$D$4,"",IFERROR(IF(INDEX(tblRegistros[Status],$L122)="EM ABERTO","",INDEX(tblRegistros[Valor],$L122)),"")))</f>
        <v/>
      </c>
      <c r="J122" t="str">
        <f>IF($L122="","",IF(INDEX(tblRegistros[Data],$L122)&gt;$D$4,"",IFERROR(INDEX(tblRegistros[Status],$L122),"")))</f>
        <v/>
      </c>
      <c r="K122" t="str">
        <f>IF($L122="","",IF(INDEX(tblRegistros[Data],$L122)&gt;$D$4,"",IFERROR(INDEX(tblRegistros[Observação],$L122),"")))</f>
        <v/>
      </c>
      <c r="L122" s="16" t="str">
        <f>IFERROR(MATCH($B$3*100000+COUNTIFS(tblRegistros[ID],$B$3,tblRegistros[Data],"&lt;"&amp;$B$4)+ROWS($L$10:L122),tblRegistros[Chave do cartão],0),"")</f>
        <v/>
      </c>
    </row>
    <row r="123" spans="1:12">
      <c r="A123" s="2" t="str">
        <f>IF($L123="","",IF(INDEX(tblRegistros[Data],$L123)&gt;$D$4,"",IFERROR(INDEX(tblRegistros[Data],$L123),"")))</f>
        <v/>
      </c>
      <c r="B123" t="str">
        <f>IF($L123="","",IF(INDEX(tblRegistros[Data],$L123)&gt;$D$4,"",IFERROR(INDEX(tblRegistros[Projeto],$L123),"")))</f>
        <v/>
      </c>
      <c r="C123" t="str">
        <f>IF($L123="","",IF(INDEX(tblRegistros[Data],$L123)&gt;$D$4,"",IFERROR(INDEX(tblRegistros[Atividade],$L123),"")))</f>
        <v/>
      </c>
      <c r="D123" s="4" t="str">
        <f>IF($L123="","",IF(INDEX(tblRegistros[Data],$L123)&gt;$D$4,"",IFERROR(INDEX(tblRegistros[Início],$L123),"")))</f>
        <v/>
      </c>
      <c r="E123" s="4" t="str">
        <f>IF($L123="","",IF(INDEX(tblRegistros[Data],$L123)&gt;$D$4,"",IFERROR(IF(INDEX(tblRegistros[Status],$L123)="EM ABERTO","",INDEX(tblRegistros[Fim],$L123)),"")))</f>
        <v/>
      </c>
      <c r="F123" s="14" t="str">
        <f>IF($L123="","",IF(INDEX(tblRegistros[Data],$L123)&gt;$D$4,"",IFERROR(IF(INDEX(tblRegistros[Status],$L123)="EM ABERTO","",INDEX(tblRegistros[Horas],$L123)),"")))</f>
        <v/>
      </c>
      <c r="G123" t="str">
        <f>IF($L123="","",IF(INDEX(tblRegistros[Data],$L123)&gt;$D$4,"",IFERROR(INDEX(tblRegistros[Base],$L123),"")))</f>
        <v/>
      </c>
      <c r="H123" s="3" t="str">
        <f>IF($L123="","",IF(INDEX(tblRegistros[Data],$L123)&gt;$D$4,"",IFERROR(INDEX(tblRegistros[Taxa aplicada],$L123),"")))</f>
        <v/>
      </c>
      <c r="I123" s="3" t="str">
        <f>IF($L123="","",IF(INDEX(tblRegistros[Data],$L123)&gt;$D$4,"",IFERROR(IF(INDEX(tblRegistros[Status],$L123)="EM ABERTO","",INDEX(tblRegistros[Valor],$L123)),"")))</f>
        <v/>
      </c>
      <c r="J123" t="str">
        <f>IF($L123="","",IF(INDEX(tblRegistros[Data],$L123)&gt;$D$4,"",IFERROR(INDEX(tblRegistros[Status],$L123),"")))</f>
        <v/>
      </c>
      <c r="K123" t="str">
        <f>IF($L123="","",IF(INDEX(tblRegistros[Data],$L123)&gt;$D$4,"",IFERROR(INDEX(tblRegistros[Observação],$L123),"")))</f>
        <v/>
      </c>
      <c r="L123" s="16" t="str">
        <f>IFERROR(MATCH($B$3*100000+COUNTIFS(tblRegistros[ID],$B$3,tblRegistros[Data],"&lt;"&amp;$B$4)+ROWS($L$10:L123),tblRegistros[Chave do cartão],0),"")</f>
        <v/>
      </c>
    </row>
    <row r="124" spans="1:12">
      <c r="A124" s="2" t="str">
        <f>IF($L124="","",IF(INDEX(tblRegistros[Data],$L124)&gt;$D$4,"",IFERROR(INDEX(tblRegistros[Data],$L124),"")))</f>
        <v/>
      </c>
      <c r="B124" t="str">
        <f>IF($L124="","",IF(INDEX(tblRegistros[Data],$L124)&gt;$D$4,"",IFERROR(INDEX(tblRegistros[Projeto],$L124),"")))</f>
        <v/>
      </c>
      <c r="C124" t="str">
        <f>IF($L124="","",IF(INDEX(tblRegistros[Data],$L124)&gt;$D$4,"",IFERROR(INDEX(tblRegistros[Atividade],$L124),"")))</f>
        <v/>
      </c>
      <c r="D124" s="4" t="str">
        <f>IF($L124="","",IF(INDEX(tblRegistros[Data],$L124)&gt;$D$4,"",IFERROR(INDEX(tblRegistros[Início],$L124),"")))</f>
        <v/>
      </c>
      <c r="E124" s="4" t="str">
        <f>IF($L124="","",IF(INDEX(tblRegistros[Data],$L124)&gt;$D$4,"",IFERROR(IF(INDEX(tblRegistros[Status],$L124)="EM ABERTO","",INDEX(tblRegistros[Fim],$L124)),"")))</f>
        <v/>
      </c>
      <c r="F124" s="14" t="str">
        <f>IF($L124="","",IF(INDEX(tblRegistros[Data],$L124)&gt;$D$4,"",IFERROR(IF(INDEX(tblRegistros[Status],$L124)="EM ABERTO","",INDEX(tblRegistros[Horas],$L124)),"")))</f>
        <v/>
      </c>
      <c r="G124" t="str">
        <f>IF($L124="","",IF(INDEX(tblRegistros[Data],$L124)&gt;$D$4,"",IFERROR(INDEX(tblRegistros[Base],$L124),"")))</f>
        <v/>
      </c>
      <c r="H124" s="3" t="str">
        <f>IF($L124="","",IF(INDEX(tblRegistros[Data],$L124)&gt;$D$4,"",IFERROR(INDEX(tblRegistros[Taxa aplicada],$L124),"")))</f>
        <v/>
      </c>
      <c r="I124" s="3" t="str">
        <f>IF($L124="","",IF(INDEX(tblRegistros[Data],$L124)&gt;$D$4,"",IFERROR(IF(INDEX(tblRegistros[Status],$L124)="EM ABERTO","",INDEX(tblRegistros[Valor],$L124)),"")))</f>
        <v/>
      </c>
      <c r="J124" t="str">
        <f>IF($L124="","",IF(INDEX(tblRegistros[Data],$L124)&gt;$D$4,"",IFERROR(INDEX(tblRegistros[Status],$L124),"")))</f>
        <v/>
      </c>
      <c r="K124" t="str">
        <f>IF($L124="","",IF(INDEX(tblRegistros[Data],$L124)&gt;$D$4,"",IFERROR(INDEX(tblRegistros[Observação],$L124),"")))</f>
        <v/>
      </c>
      <c r="L124" s="16" t="str">
        <f>IFERROR(MATCH($B$3*100000+COUNTIFS(tblRegistros[ID],$B$3,tblRegistros[Data],"&lt;"&amp;$B$4)+ROWS($L$10:L124),tblRegistros[Chave do cartão],0),"")</f>
        <v/>
      </c>
    </row>
    <row r="125" spans="1:12">
      <c r="A125" s="2" t="str">
        <f>IF($L125="","",IF(INDEX(tblRegistros[Data],$L125)&gt;$D$4,"",IFERROR(INDEX(tblRegistros[Data],$L125),"")))</f>
        <v/>
      </c>
      <c r="B125" t="str">
        <f>IF($L125="","",IF(INDEX(tblRegistros[Data],$L125)&gt;$D$4,"",IFERROR(INDEX(tblRegistros[Projeto],$L125),"")))</f>
        <v/>
      </c>
      <c r="C125" t="str">
        <f>IF($L125="","",IF(INDEX(tblRegistros[Data],$L125)&gt;$D$4,"",IFERROR(INDEX(tblRegistros[Atividade],$L125),"")))</f>
        <v/>
      </c>
      <c r="D125" s="4" t="str">
        <f>IF($L125="","",IF(INDEX(tblRegistros[Data],$L125)&gt;$D$4,"",IFERROR(INDEX(tblRegistros[Início],$L125),"")))</f>
        <v/>
      </c>
      <c r="E125" s="4" t="str">
        <f>IF($L125="","",IF(INDEX(tblRegistros[Data],$L125)&gt;$D$4,"",IFERROR(IF(INDEX(tblRegistros[Status],$L125)="EM ABERTO","",INDEX(tblRegistros[Fim],$L125)),"")))</f>
        <v/>
      </c>
      <c r="F125" s="14" t="str">
        <f>IF($L125="","",IF(INDEX(tblRegistros[Data],$L125)&gt;$D$4,"",IFERROR(IF(INDEX(tblRegistros[Status],$L125)="EM ABERTO","",INDEX(tblRegistros[Horas],$L125)),"")))</f>
        <v/>
      </c>
      <c r="G125" t="str">
        <f>IF($L125="","",IF(INDEX(tblRegistros[Data],$L125)&gt;$D$4,"",IFERROR(INDEX(tblRegistros[Base],$L125),"")))</f>
        <v/>
      </c>
      <c r="H125" s="3" t="str">
        <f>IF($L125="","",IF(INDEX(tblRegistros[Data],$L125)&gt;$D$4,"",IFERROR(INDEX(tblRegistros[Taxa aplicada],$L125),"")))</f>
        <v/>
      </c>
      <c r="I125" s="3" t="str">
        <f>IF($L125="","",IF(INDEX(tblRegistros[Data],$L125)&gt;$D$4,"",IFERROR(IF(INDEX(tblRegistros[Status],$L125)="EM ABERTO","",INDEX(tblRegistros[Valor],$L125)),"")))</f>
        <v/>
      </c>
      <c r="J125" t="str">
        <f>IF($L125="","",IF(INDEX(tblRegistros[Data],$L125)&gt;$D$4,"",IFERROR(INDEX(tblRegistros[Status],$L125),"")))</f>
        <v/>
      </c>
      <c r="K125" t="str">
        <f>IF($L125="","",IF(INDEX(tblRegistros[Data],$L125)&gt;$D$4,"",IFERROR(INDEX(tblRegistros[Observação],$L125),"")))</f>
        <v/>
      </c>
      <c r="L125" s="16" t="str">
        <f>IFERROR(MATCH($B$3*100000+COUNTIFS(tblRegistros[ID],$B$3,tblRegistros[Data],"&lt;"&amp;$B$4)+ROWS($L$10:L125),tblRegistros[Chave do cartão],0),"")</f>
        <v/>
      </c>
    </row>
    <row r="126" spans="1:12">
      <c r="A126" s="2" t="str">
        <f>IF($L126="","",IF(INDEX(tblRegistros[Data],$L126)&gt;$D$4,"",IFERROR(INDEX(tblRegistros[Data],$L126),"")))</f>
        <v/>
      </c>
      <c r="B126" t="str">
        <f>IF($L126="","",IF(INDEX(tblRegistros[Data],$L126)&gt;$D$4,"",IFERROR(INDEX(tblRegistros[Projeto],$L126),"")))</f>
        <v/>
      </c>
      <c r="C126" t="str">
        <f>IF($L126="","",IF(INDEX(tblRegistros[Data],$L126)&gt;$D$4,"",IFERROR(INDEX(tblRegistros[Atividade],$L126),"")))</f>
        <v/>
      </c>
      <c r="D126" s="4" t="str">
        <f>IF($L126="","",IF(INDEX(tblRegistros[Data],$L126)&gt;$D$4,"",IFERROR(INDEX(tblRegistros[Início],$L126),"")))</f>
        <v/>
      </c>
      <c r="E126" s="4" t="str">
        <f>IF($L126="","",IF(INDEX(tblRegistros[Data],$L126)&gt;$D$4,"",IFERROR(IF(INDEX(tblRegistros[Status],$L126)="EM ABERTO","",INDEX(tblRegistros[Fim],$L126)),"")))</f>
        <v/>
      </c>
      <c r="F126" s="14" t="str">
        <f>IF($L126="","",IF(INDEX(tblRegistros[Data],$L126)&gt;$D$4,"",IFERROR(IF(INDEX(tblRegistros[Status],$L126)="EM ABERTO","",INDEX(tblRegistros[Horas],$L126)),"")))</f>
        <v/>
      </c>
      <c r="G126" t="str">
        <f>IF($L126="","",IF(INDEX(tblRegistros[Data],$L126)&gt;$D$4,"",IFERROR(INDEX(tblRegistros[Base],$L126),"")))</f>
        <v/>
      </c>
      <c r="H126" s="3" t="str">
        <f>IF($L126="","",IF(INDEX(tblRegistros[Data],$L126)&gt;$D$4,"",IFERROR(INDEX(tblRegistros[Taxa aplicada],$L126),"")))</f>
        <v/>
      </c>
      <c r="I126" s="3" t="str">
        <f>IF($L126="","",IF(INDEX(tblRegistros[Data],$L126)&gt;$D$4,"",IFERROR(IF(INDEX(tblRegistros[Status],$L126)="EM ABERTO","",INDEX(tblRegistros[Valor],$L126)),"")))</f>
        <v/>
      </c>
      <c r="J126" t="str">
        <f>IF($L126="","",IF(INDEX(tblRegistros[Data],$L126)&gt;$D$4,"",IFERROR(INDEX(tblRegistros[Status],$L126),"")))</f>
        <v/>
      </c>
      <c r="K126" t="str">
        <f>IF($L126="","",IF(INDEX(tblRegistros[Data],$L126)&gt;$D$4,"",IFERROR(INDEX(tblRegistros[Observação],$L126),"")))</f>
        <v/>
      </c>
      <c r="L126" s="16" t="str">
        <f>IFERROR(MATCH($B$3*100000+COUNTIFS(tblRegistros[ID],$B$3,tblRegistros[Data],"&lt;"&amp;$B$4)+ROWS($L$10:L126),tblRegistros[Chave do cartão],0),"")</f>
        <v/>
      </c>
    </row>
    <row r="127" spans="1:12">
      <c r="A127" s="2" t="str">
        <f>IF($L127="","",IF(INDEX(tblRegistros[Data],$L127)&gt;$D$4,"",IFERROR(INDEX(tblRegistros[Data],$L127),"")))</f>
        <v/>
      </c>
      <c r="B127" t="str">
        <f>IF($L127="","",IF(INDEX(tblRegistros[Data],$L127)&gt;$D$4,"",IFERROR(INDEX(tblRegistros[Projeto],$L127),"")))</f>
        <v/>
      </c>
      <c r="C127" t="str">
        <f>IF($L127="","",IF(INDEX(tblRegistros[Data],$L127)&gt;$D$4,"",IFERROR(INDEX(tblRegistros[Atividade],$L127),"")))</f>
        <v/>
      </c>
      <c r="D127" s="4" t="str">
        <f>IF($L127="","",IF(INDEX(tblRegistros[Data],$L127)&gt;$D$4,"",IFERROR(INDEX(tblRegistros[Início],$L127),"")))</f>
        <v/>
      </c>
      <c r="E127" s="4" t="str">
        <f>IF($L127="","",IF(INDEX(tblRegistros[Data],$L127)&gt;$D$4,"",IFERROR(IF(INDEX(tblRegistros[Status],$L127)="EM ABERTO","",INDEX(tblRegistros[Fim],$L127)),"")))</f>
        <v/>
      </c>
      <c r="F127" s="14" t="str">
        <f>IF($L127="","",IF(INDEX(tblRegistros[Data],$L127)&gt;$D$4,"",IFERROR(IF(INDEX(tblRegistros[Status],$L127)="EM ABERTO","",INDEX(tblRegistros[Horas],$L127)),"")))</f>
        <v/>
      </c>
      <c r="G127" t="str">
        <f>IF($L127="","",IF(INDEX(tblRegistros[Data],$L127)&gt;$D$4,"",IFERROR(INDEX(tblRegistros[Base],$L127),"")))</f>
        <v/>
      </c>
      <c r="H127" s="3" t="str">
        <f>IF($L127="","",IF(INDEX(tblRegistros[Data],$L127)&gt;$D$4,"",IFERROR(INDEX(tblRegistros[Taxa aplicada],$L127),"")))</f>
        <v/>
      </c>
      <c r="I127" s="3" t="str">
        <f>IF($L127="","",IF(INDEX(tblRegistros[Data],$L127)&gt;$D$4,"",IFERROR(IF(INDEX(tblRegistros[Status],$L127)="EM ABERTO","",INDEX(tblRegistros[Valor],$L127)),"")))</f>
        <v/>
      </c>
      <c r="J127" t="str">
        <f>IF($L127="","",IF(INDEX(tblRegistros[Data],$L127)&gt;$D$4,"",IFERROR(INDEX(tblRegistros[Status],$L127),"")))</f>
        <v/>
      </c>
      <c r="K127" t="str">
        <f>IF($L127="","",IF(INDEX(tblRegistros[Data],$L127)&gt;$D$4,"",IFERROR(INDEX(tblRegistros[Observação],$L127),"")))</f>
        <v/>
      </c>
      <c r="L127" s="16" t="str">
        <f>IFERROR(MATCH($B$3*100000+COUNTIFS(tblRegistros[ID],$B$3,tblRegistros[Data],"&lt;"&amp;$B$4)+ROWS($L$10:L127),tblRegistros[Chave do cartão],0),"")</f>
        <v/>
      </c>
    </row>
    <row r="128" spans="1:12">
      <c r="A128" s="2" t="str">
        <f>IF($L128="","",IF(INDEX(tblRegistros[Data],$L128)&gt;$D$4,"",IFERROR(INDEX(tblRegistros[Data],$L128),"")))</f>
        <v/>
      </c>
      <c r="B128" t="str">
        <f>IF($L128="","",IF(INDEX(tblRegistros[Data],$L128)&gt;$D$4,"",IFERROR(INDEX(tblRegistros[Projeto],$L128),"")))</f>
        <v/>
      </c>
      <c r="C128" t="str">
        <f>IF($L128="","",IF(INDEX(tblRegistros[Data],$L128)&gt;$D$4,"",IFERROR(INDEX(tblRegistros[Atividade],$L128),"")))</f>
        <v/>
      </c>
      <c r="D128" s="4" t="str">
        <f>IF($L128="","",IF(INDEX(tblRegistros[Data],$L128)&gt;$D$4,"",IFERROR(INDEX(tblRegistros[Início],$L128),"")))</f>
        <v/>
      </c>
      <c r="E128" s="4" t="str">
        <f>IF($L128="","",IF(INDEX(tblRegistros[Data],$L128)&gt;$D$4,"",IFERROR(IF(INDEX(tblRegistros[Status],$L128)="EM ABERTO","",INDEX(tblRegistros[Fim],$L128)),"")))</f>
        <v/>
      </c>
      <c r="F128" s="14" t="str">
        <f>IF($L128="","",IF(INDEX(tblRegistros[Data],$L128)&gt;$D$4,"",IFERROR(IF(INDEX(tblRegistros[Status],$L128)="EM ABERTO","",INDEX(tblRegistros[Horas],$L128)),"")))</f>
        <v/>
      </c>
      <c r="G128" t="str">
        <f>IF($L128="","",IF(INDEX(tblRegistros[Data],$L128)&gt;$D$4,"",IFERROR(INDEX(tblRegistros[Base],$L128),"")))</f>
        <v/>
      </c>
      <c r="H128" s="3" t="str">
        <f>IF($L128="","",IF(INDEX(tblRegistros[Data],$L128)&gt;$D$4,"",IFERROR(INDEX(tblRegistros[Taxa aplicada],$L128),"")))</f>
        <v/>
      </c>
      <c r="I128" s="3" t="str">
        <f>IF($L128="","",IF(INDEX(tblRegistros[Data],$L128)&gt;$D$4,"",IFERROR(IF(INDEX(tblRegistros[Status],$L128)="EM ABERTO","",INDEX(tblRegistros[Valor],$L128)),"")))</f>
        <v/>
      </c>
      <c r="J128" t="str">
        <f>IF($L128="","",IF(INDEX(tblRegistros[Data],$L128)&gt;$D$4,"",IFERROR(INDEX(tblRegistros[Status],$L128),"")))</f>
        <v/>
      </c>
      <c r="K128" t="str">
        <f>IF($L128="","",IF(INDEX(tblRegistros[Data],$L128)&gt;$D$4,"",IFERROR(INDEX(tblRegistros[Observação],$L128),"")))</f>
        <v/>
      </c>
      <c r="L128" s="16" t="str">
        <f>IFERROR(MATCH($B$3*100000+COUNTIFS(tblRegistros[ID],$B$3,tblRegistros[Data],"&lt;"&amp;$B$4)+ROWS($L$10:L128),tblRegistros[Chave do cartão],0),"")</f>
        <v/>
      </c>
    </row>
    <row r="129" spans="1:12">
      <c r="A129" s="2" t="str">
        <f>IF($L129="","",IF(INDEX(tblRegistros[Data],$L129)&gt;$D$4,"",IFERROR(INDEX(tblRegistros[Data],$L129),"")))</f>
        <v/>
      </c>
      <c r="B129" t="str">
        <f>IF($L129="","",IF(INDEX(tblRegistros[Data],$L129)&gt;$D$4,"",IFERROR(INDEX(tblRegistros[Projeto],$L129),"")))</f>
        <v/>
      </c>
      <c r="C129" t="str">
        <f>IF($L129="","",IF(INDEX(tblRegistros[Data],$L129)&gt;$D$4,"",IFERROR(INDEX(tblRegistros[Atividade],$L129),"")))</f>
        <v/>
      </c>
      <c r="D129" s="4" t="str">
        <f>IF($L129="","",IF(INDEX(tblRegistros[Data],$L129)&gt;$D$4,"",IFERROR(INDEX(tblRegistros[Início],$L129),"")))</f>
        <v/>
      </c>
      <c r="E129" s="4" t="str">
        <f>IF($L129="","",IF(INDEX(tblRegistros[Data],$L129)&gt;$D$4,"",IFERROR(IF(INDEX(tblRegistros[Status],$L129)="EM ABERTO","",INDEX(tblRegistros[Fim],$L129)),"")))</f>
        <v/>
      </c>
      <c r="F129" s="14" t="str">
        <f>IF($L129="","",IF(INDEX(tblRegistros[Data],$L129)&gt;$D$4,"",IFERROR(IF(INDEX(tblRegistros[Status],$L129)="EM ABERTO","",INDEX(tblRegistros[Horas],$L129)),"")))</f>
        <v/>
      </c>
      <c r="G129" t="str">
        <f>IF($L129="","",IF(INDEX(tblRegistros[Data],$L129)&gt;$D$4,"",IFERROR(INDEX(tblRegistros[Base],$L129),"")))</f>
        <v/>
      </c>
      <c r="H129" s="3" t="str">
        <f>IF($L129="","",IF(INDEX(tblRegistros[Data],$L129)&gt;$D$4,"",IFERROR(INDEX(tblRegistros[Taxa aplicada],$L129),"")))</f>
        <v/>
      </c>
      <c r="I129" s="3" t="str">
        <f>IF($L129="","",IF(INDEX(tblRegistros[Data],$L129)&gt;$D$4,"",IFERROR(IF(INDEX(tblRegistros[Status],$L129)="EM ABERTO","",INDEX(tblRegistros[Valor],$L129)),"")))</f>
        <v/>
      </c>
      <c r="J129" t="str">
        <f>IF($L129="","",IF(INDEX(tblRegistros[Data],$L129)&gt;$D$4,"",IFERROR(INDEX(tblRegistros[Status],$L129),"")))</f>
        <v/>
      </c>
      <c r="K129" t="str">
        <f>IF($L129="","",IF(INDEX(tblRegistros[Data],$L129)&gt;$D$4,"",IFERROR(INDEX(tblRegistros[Observação],$L129),"")))</f>
        <v/>
      </c>
      <c r="L129" s="16" t="str">
        <f>IFERROR(MATCH($B$3*100000+COUNTIFS(tblRegistros[ID],$B$3,tblRegistros[Data],"&lt;"&amp;$B$4)+ROWS($L$10:L129),tblRegistros[Chave do cartão],0),"")</f>
        <v/>
      </c>
    </row>
    <row r="130" spans="1:12">
      <c r="A130" s="2" t="str">
        <f>IF($L130="","",IF(INDEX(tblRegistros[Data],$L130)&gt;$D$4,"",IFERROR(INDEX(tblRegistros[Data],$L130),"")))</f>
        <v/>
      </c>
      <c r="B130" t="str">
        <f>IF($L130="","",IF(INDEX(tblRegistros[Data],$L130)&gt;$D$4,"",IFERROR(INDEX(tblRegistros[Projeto],$L130),"")))</f>
        <v/>
      </c>
      <c r="C130" t="str">
        <f>IF($L130="","",IF(INDEX(tblRegistros[Data],$L130)&gt;$D$4,"",IFERROR(INDEX(tblRegistros[Atividade],$L130),"")))</f>
        <v/>
      </c>
      <c r="D130" s="4" t="str">
        <f>IF($L130="","",IF(INDEX(tblRegistros[Data],$L130)&gt;$D$4,"",IFERROR(INDEX(tblRegistros[Início],$L130),"")))</f>
        <v/>
      </c>
      <c r="E130" s="4" t="str">
        <f>IF($L130="","",IF(INDEX(tblRegistros[Data],$L130)&gt;$D$4,"",IFERROR(IF(INDEX(tblRegistros[Status],$L130)="EM ABERTO","",INDEX(tblRegistros[Fim],$L130)),"")))</f>
        <v/>
      </c>
      <c r="F130" s="14" t="str">
        <f>IF($L130="","",IF(INDEX(tblRegistros[Data],$L130)&gt;$D$4,"",IFERROR(IF(INDEX(tblRegistros[Status],$L130)="EM ABERTO","",INDEX(tblRegistros[Horas],$L130)),"")))</f>
        <v/>
      </c>
      <c r="G130" t="str">
        <f>IF($L130="","",IF(INDEX(tblRegistros[Data],$L130)&gt;$D$4,"",IFERROR(INDEX(tblRegistros[Base],$L130),"")))</f>
        <v/>
      </c>
      <c r="H130" s="3" t="str">
        <f>IF($L130="","",IF(INDEX(tblRegistros[Data],$L130)&gt;$D$4,"",IFERROR(INDEX(tblRegistros[Taxa aplicada],$L130),"")))</f>
        <v/>
      </c>
      <c r="I130" s="3" t="str">
        <f>IF($L130="","",IF(INDEX(tblRegistros[Data],$L130)&gt;$D$4,"",IFERROR(IF(INDEX(tblRegistros[Status],$L130)="EM ABERTO","",INDEX(tblRegistros[Valor],$L130)),"")))</f>
        <v/>
      </c>
      <c r="J130" t="str">
        <f>IF($L130="","",IF(INDEX(tblRegistros[Data],$L130)&gt;$D$4,"",IFERROR(INDEX(tblRegistros[Status],$L130),"")))</f>
        <v/>
      </c>
      <c r="K130" t="str">
        <f>IF($L130="","",IF(INDEX(tblRegistros[Data],$L130)&gt;$D$4,"",IFERROR(INDEX(tblRegistros[Observação],$L130),"")))</f>
        <v/>
      </c>
      <c r="L130" s="16" t="str">
        <f>IFERROR(MATCH($B$3*100000+COUNTIFS(tblRegistros[ID],$B$3,tblRegistros[Data],"&lt;"&amp;$B$4)+ROWS($L$10:L130),tblRegistros[Chave do cartão],0),"")</f>
        <v/>
      </c>
    </row>
    <row r="131" spans="1:12">
      <c r="A131" s="2" t="str">
        <f>IF($L131="","",IF(INDEX(tblRegistros[Data],$L131)&gt;$D$4,"",IFERROR(INDEX(tblRegistros[Data],$L131),"")))</f>
        <v/>
      </c>
      <c r="B131" t="str">
        <f>IF($L131="","",IF(INDEX(tblRegistros[Data],$L131)&gt;$D$4,"",IFERROR(INDEX(tblRegistros[Projeto],$L131),"")))</f>
        <v/>
      </c>
      <c r="C131" t="str">
        <f>IF($L131="","",IF(INDEX(tblRegistros[Data],$L131)&gt;$D$4,"",IFERROR(INDEX(tblRegistros[Atividade],$L131),"")))</f>
        <v/>
      </c>
      <c r="D131" s="4" t="str">
        <f>IF($L131="","",IF(INDEX(tblRegistros[Data],$L131)&gt;$D$4,"",IFERROR(INDEX(tblRegistros[Início],$L131),"")))</f>
        <v/>
      </c>
      <c r="E131" s="4" t="str">
        <f>IF($L131="","",IF(INDEX(tblRegistros[Data],$L131)&gt;$D$4,"",IFERROR(IF(INDEX(tblRegistros[Status],$L131)="EM ABERTO","",INDEX(tblRegistros[Fim],$L131)),"")))</f>
        <v/>
      </c>
      <c r="F131" s="14" t="str">
        <f>IF($L131="","",IF(INDEX(tblRegistros[Data],$L131)&gt;$D$4,"",IFERROR(IF(INDEX(tblRegistros[Status],$L131)="EM ABERTO","",INDEX(tblRegistros[Horas],$L131)),"")))</f>
        <v/>
      </c>
      <c r="G131" t="str">
        <f>IF($L131="","",IF(INDEX(tblRegistros[Data],$L131)&gt;$D$4,"",IFERROR(INDEX(tblRegistros[Base],$L131),"")))</f>
        <v/>
      </c>
      <c r="H131" s="3" t="str">
        <f>IF($L131="","",IF(INDEX(tblRegistros[Data],$L131)&gt;$D$4,"",IFERROR(INDEX(tblRegistros[Taxa aplicada],$L131),"")))</f>
        <v/>
      </c>
      <c r="I131" s="3" t="str">
        <f>IF($L131="","",IF(INDEX(tblRegistros[Data],$L131)&gt;$D$4,"",IFERROR(IF(INDEX(tblRegistros[Status],$L131)="EM ABERTO","",INDEX(tblRegistros[Valor],$L131)),"")))</f>
        <v/>
      </c>
      <c r="J131" t="str">
        <f>IF($L131="","",IF(INDEX(tblRegistros[Data],$L131)&gt;$D$4,"",IFERROR(INDEX(tblRegistros[Status],$L131),"")))</f>
        <v/>
      </c>
      <c r="K131" t="str">
        <f>IF($L131="","",IF(INDEX(tblRegistros[Data],$L131)&gt;$D$4,"",IFERROR(INDEX(tblRegistros[Observação],$L131),"")))</f>
        <v/>
      </c>
      <c r="L131" s="16" t="str">
        <f>IFERROR(MATCH($B$3*100000+COUNTIFS(tblRegistros[ID],$B$3,tblRegistros[Data],"&lt;"&amp;$B$4)+ROWS($L$10:L131),tblRegistros[Chave do cartão],0),"")</f>
        <v/>
      </c>
    </row>
    <row r="132" spans="1:12">
      <c r="A132" s="2" t="str">
        <f>IF($L132="","",IF(INDEX(tblRegistros[Data],$L132)&gt;$D$4,"",IFERROR(INDEX(tblRegistros[Data],$L132),"")))</f>
        <v/>
      </c>
      <c r="B132" t="str">
        <f>IF($L132="","",IF(INDEX(tblRegistros[Data],$L132)&gt;$D$4,"",IFERROR(INDEX(tblRegistros[Projeto],$L132),"")))</f>
        <v/>
      </c>
      <c r="C132" t="str">
        <f>IF($L132="","",IF(INDEX(tblRegistros[Data],$L132)&gt;$D$4,"",IFERROR(INDEX(tblRegistros[Atividade],$L132),"")))</f>
        <v/>
      </c>
      <c r="D132" s="4" t="str">
        <f>IF($L132="","",IF(INDEX(tblRegistros[Data],$L132)&gt;$D$4,"",IFERROR(INDEX(tblRegistros[Início],$L132),"")))</f>
        <v/>
      </c>
      <c r="E132" s="4" t="str">
        <f>IF($L132="","",IF(INDEX(tblRegistros[Data],$L132)&gt;$D$4,"",IFERROR(IF(INDEX(tblRegistros[Status],$L132)="EM ABERTO","",INDEX(tblRegistros[Fim],$L132)),"")))</f>
        <v/>
      </c>
      <c r="F132" s="14" t="str">
        <f>IF($L132="","",IF(INDEX(tblRegistros[Data],$L132)&gt;$D$4,"",IFERROR(IF(INDEX(tblRegistros[Status],$L132)="EM ABERTO","",INDEX(tblRegistros[Horas],$L132)),"")))</f>
        <v/>
      </c>
      <c r="G132" t="str">
        <f>IF($L132="","",IF(INDEX(tblRegistros[Data],$L132)&gt;$D$4,"",IFERROR(INDEX(tblRegistros[Base],$L132),"")))</f>
        <v/>
      </c>
      <c r="H132" s="3" t="str">
        <f>IF($L132="","",IF(INDEX(tblRegistros[Data],$L132)&gt;$D$4,"",IFERROR(INDEX(tblRegistros[Taxa aplicada],$L132),"")))</f>
        <v/>
      </c>
      <c r="I132" s="3" t="str">
        <f>IF($L132="","",IF(INDEX(tblRegistros[Data],$L132)&gt;$D$4,"",IFERROR(IF(INDEX(tblRegistros[Status],$L132)="EM ABERTO","",INDEX(tblRegistros[Valor],$L132)),"")))</f>
        <v/>
      </c>
      <c r="J132" t="str">
        <f>IF($L132="","",IF(INDEX(tblRegistros[Data],$L132)&gt;$D$4,"",IFERROR(INDEX(tblRegistros[Status],$L132),"")))</f>
        <v/>
      </c>
      <c r="K132" t="str">
        <f>IF($L132="","",IF(INDEX(tblRegistros[Data],$L132)&gt;$D$4,"",IFERROR(INDEX(tblRegistros[Observação],$L132),"")))</f>
        <v/>
      </c>
      <c r="L132" s="16" t="str">
        <f>IFERROR(MATCH($B$3*100000+COUNTIFS(tblRegistros[ID],$B$3,tblRegistros[Data],"&lt;"&amp;$B$4)+ROWS($L$10:L132),tblRegistros[Chave do cartão],0),"")</f>
        <v/>
      </c>
    </row>
    <row r="133" spans="1:12">
      <c r="A133" s="2" t="str">
        <f>IF($L133="","",IF(INDEX(tblRegistros[Data],$L133)&gt;$D$4,"",IFERROR(INDEX(tblRegistros[Data],$L133),"")))</f>
        <v/>
      </c>
      <c r="B133" t="str">
        <f>IF($L133="","",IF(INDEX(tblRegistros[Data],$L133)&gt;$D$4,"",IFERROR(INDEX(tblRegistros[Projeto],$L133),"")))</f>
        <v/>
      </c>
      <c r="C133" t="str">
        <f>IF($L133="","",IF(INDEX(tblRegistros[Data],$L133)&gt;$D$4,"",IFERROR(INDEX(tblRegistros[Atividade],$L133),"")))</f>
        <v/>
      </c>
      <c r="D133" s="4" t="str">
        <f>IF($L133="","",IF(INDEX(tblRegistros[Data],$L133)&gt;$D$4,"",IFERROR(INDEX(tblRegistros[Início],$L133),"")))</f>
        <v/>
      </c>
      <c r="E133" s="4" t="str">
        <f>IF($L133="","",IF(INDEX(tblRegistros[Data],$L133)&gt;$D$4,"",IFERROR(IF(INDEX(tblRegistros[Status],$L133)="EM ABERTO","",INDEX(tblRegistros[Fim],$L133)),"")))</f>
        <v/>
      </c>
      <c r="F133" s="14" t="str">
        <f>IF($L133="","",IF(INDEX(tblRegistros[Data],$L133)&gt;$D$4,"",IFERROR(IF(INDEX(tblRegistros[Status],$L133)="EM ABERTO","",INDEX(tblRegistros[Horas],$L133)),"")))</f>
        <v/>
      </c>
      <c r="G133" t="str">
        <f>IF($L133="","",IF(INDEX(tblRegistros[Data],$L133)&gt;$D$4,"",IFERROR(INDEX(tblRegistros[Base],$L133),"")))</f>
        <v/>
      </c>
      <c r="H133" s="3" t="str">
        <f>IF($L133="","",IF(INDEX(tblRegistros[Data],$L133)&gt;$D$4,"",IFERROR(INDEX(tblRegistros[Taxa aplicada],$L133),"")))</f>
        <v/>
      </c>
      <c r="I133" s="3" t="str">
        <f>IF($L133="","",IF(INDEX(tblRegistros[Data],$L133)&gt;$D$4,"",IFERROR(IF(INDEX(tblRegistros[Status],$L133)="EM ABERTO","",INDEX(tblRegistros[Valor],$L133)),"")))</f>
        <v/>
      </c>
      <c r="J133" t="str">
        <f>IF($L133="","",IF(INDEX(tblRegistros[Data],$L133)&gt;$D$4,"",IFERROR(INDEX(tblRegistros[Status],$L133),"")))</f>
        <v/>
      </c>
      <c r="K133" t="str">
        <f>IF($L133="","",IF(INDEX(tblRegistros[Data],$L133)&gt;$D$4,"",IFERROR(INDEX(tblRegistros[Observação],$L133),"")))</f>
        <v/>
      </c>
      <c r="L133" s="16" t="str">
        <f>IFERROR(MATCH($B$3*100000+COUNTIFS(tblRegistros[ID],$B$3,tblRegistros[Data],"&lt;"&amp;$B$4)+ROWS($L$10:L133),tblRegistros[Chave do cartão],0),"")</f>
        <v/>
      </c>
    </row>
    <row r="134" spans="1:12">
      <c r="A134" s="2" t="str">
        <f>IF($L134="","",IF(INDEX(tblRegistros[Data],$L134)&gt;$D$4,"",IFERROR(INDEX(tblRegistros[Data],$L134),"")))</f>
        <v/>
      </c>
      <c r="B134" t="str">
        <f>IF($L134="","",IF(INDEX(tblRegistros[Data],$L134)&gt;$D$4,"",IFERROR(INDEX(tblRegistros[Projeto],$L134),"")))</f>
        <v/>
      </c>
      <c r="C134" t="str">
        <f>IF($L134="","",IF(INDEX(tblRegistros[Data],$L134)&gt;$D$4,"",IFERROR(INDEX(tblRegistros[Atividade],$L134),"")))</f>
        <v/>
      </c>
      <c r="D134" s="4" t="str">
        <f>IF($L134="","",IF(INDEX(tblRegistros[Data],$L134)&gt;$D$4,"",IFERROR(INDEX(tblRegistros[Início],$L134),"")))</f>
        <v/>
      </c>
      <c r="E134" s="4" t="str">
        <f>IF($L134="","",IF(INDEX(tblRegistros[Data],$L134)&gt;$D$4,"",IFERROR(IF(INDEX(tblRegistros[Status],$L134)="EM ABERTO","",INDEX(tblRegistros[Fim],$L134)),"")))</f>
        <v/>
      </c>
      <c r="F134" s="14" t="str">
        <f>IF($L134="","",IF(INDEX(tblRegistros[Data],$L134)&gt;$D$4,"",IFERROR(IF(INDEX(tblRegistros[Status],$L134)="EM ABERTO","",INDEX(tblRegistros[Horas],$L134)),"")))</f>
        <v/>
      </c>
      <c r="G134" t="str">
        <f>IF($L134="","",IF(INDEX(tblRegistros[Data],$L134)&gt;$D$4,"",IFERROR(INDEX(tblRegistros[Base],$L134),"")))</f>
        <v/>
      </c>
      <c r="H134" s="3" t="str">
        <f>IF($L134="","",IF(INDEX(tblRegistros[Data],$L134)&gt;$D$4,"",IFERROR(INDEX(tblRegistros[Taxa aplicada],$L134),"")))</f>
        <v/>
      </c>
      <c r="I134" s="3" t="str">
        <f>IF($L134="","",IF(INDEX(tblRegistros[Data],$L134)&gt;$D$4,"",IFERROR(IF(INDEX(tblRegistros[Status],$L134)="EM ABERTO","",INDEX(tblRegistros[Valor],$L134)),"")))</f>
        <v/>
      </c>
      <c r="J134" t="str">
        <f>IF($L134="","",IF(INDEX(tblRegistros[Data],$L134)&gt;$D$4,"",IFERROR(INDEX(tblRegistros[Status],$L134),"")))</f>
        <v/>
      </c>
      <c r="K134" t="str">
        <f>IF($L134="","",IF(INDEX(tblRegistros[Data],$L134)&gt;$D$4,"",IFERROR(INDEX(tblRegistros[Observação],$L134),"")))</f>
        <v/>
      </c>
      <c r="L134" s="16" t="str">
        <f>IFERROR(MATCH($B$3*100000+COUNTIFS(tblRegistros[ID],$B$3,tblRegistros[Data],"&lt;"&amp;$B$4)+ROWS($L$10:L134),tblRegistros[Chave do cartão],0),"")</f>
        <v/>
      </c>
    </row>
    <row r="135" spans="1:12">
      <c r="A135" s="2" t="str">
        <f>IF($L135="","",IF(INDEX(tblRegistros[Data],$L135)&gt;$D$4,"",IFERROR(INDEX(tblRegistros[Data],$L135),"")))</f>
        <v/>
      </c>
      <c r="B135" t="str">
        <f>IF($L135="","",IF(INDEX(tblRegistros[Data],$L135)&gt;$D$4,"",IFERROR(INDEX(tblRegistros[Projeto],$L135),"")))</f>
        <v/>
      </c>
      <c r="C135" t="str">
        <f>IF($L135="","",IF(INDEX(tblRegistros[Data],$L135)&gt;$D$4,"",IFERROR(INDEX(tblRegistros[Atividade],$L135),"")))</f>
        <v/>
      </c>
      <c r="D135" s="4" t="str">
        <f>IF($L135="","",IF(INDEX(tblRegistros[Data],$L135)&gt;$D$4,"",IFERROR(INDEX(tblRegistros[Início],$L135),"")))</f>
        <v/>
      </c>
      <c r="E135" s="4" t="str">
        <f>IF($L135="","",IF(INDEX(tblRegistros[Data],$L135)&gt;$D$4,"",IFERROR(IF(INDEX(tblRegistros[Status],$L135)="EM ABERTO","",INDEX(tblRegistros[Fim],$L135)),"")))</f>
        <v/>
      </c>
      <c r="F135" s="14" t="str">
        <f>IF($L135="","",IF(INDEX(tblRegistros[Data],$L135)&gt;$D$4,"",IFERROR(IF(INDEX(tblRegistros[Status],$L135)="EM ABERTO","",INDEX(tblRegistros[Horas],$L135)),"")))</f>
        <v/>
      </c>
      <c r="G135" t="str">
        <f>IF($L135="","",IF(INDEX(tblRegistros[Data],$L135)&gt;$D$4,"",IFERROR(INDEX(tblRegistros[Base],$L135),"")))</f>
        <v/>
      </c>
      <c r="H135" s="3" t="str">
        <f>IF($L135="","",IF(INDEX(tblRegistros[Data],$L135)&gt;$D$4,"",IFERROR(INDEX(tblRegistros[Taxa aplicada],$L135),"")))</f>
        <v/>
      </c>
      <c r="I135" s="3" t="str">
        <f>IF($L135="","",IF(INDEX(tblRegistros[Data],$L135)&gt;$D$4,"",IFERROR(IF(INDEX(tblRegistros[Status],$L135)="EM ABERTO","",INDEX(tblRegistros[Valor],$L135)),"")))</f>
        <v/>
      </c>
      <c r="J135" t="str">
        <f>IF($L135="","",IF(INDEX(tblRegistros[Data],$L135)&gt;$D$4,"",IFERROR(INDEX(tblRegistros[Status],$L135),"")))</f>
        <v/>
      </c>
      <c r="K135" t="str">
        <f>IF($L135="","",IF(INDEX(tblRegistros[Data],$L135)&gt;$D$4,"",IFERROR(INDEX(tblRegistros[Observação],$L135),"")))</f>
        <v/>
      </c>
      <c r="L135" s="16" t="str">
        <f>IFERROR(MATCH($B$3*100000+COUNTIFS(tblRegistros[ID],$B$3,tblRegistros[Data],"&lt;"&amp;$B$4)+ROWS($L$10:L135),tblRegistros[Chave do cartão],0),"")</f>
        <v/>
      </c>
    </row>
    <row r="136" spans="1:12">
      <c r="A136" s="2" t="str">
        <f>IF($L136="","",IF(INDEX(tblRegistros[Data],$L136)&gt;$D$4,"",IFERROR(INDEX(tblRegistros[Data],$L136),"")))</f>
        <v/>
      </c>
      <c r="B136" t="str">
        <f>IF($L136="","",IF(INDEX(tblRegistros[Data],$L136)&gt;$D$4,"",IFERROR(INDEX(tblRegistros[Projeto],$L136),"")))</f>
        <v/>
      </c>
      <c r="C136" t="str">
        <f>IF($L136="","",IF(INDEX(tblRegistros[Data],$L136)&gt;$D$4,"",IFERROR(INDEX(tblRegistros[Atividade],$L136),"")))</f>
        <v/>
      </c>
      <c r="D136" s="4" t="str">
        <f>IF($L136="","",IF(INDEX(tblRegistros[Data],$L136)&gt;$D$4,"",IFERROR(INDEX(tblRegistros[Início],$L136),"")))</f>
        <v/>
      </c>
      <c r="E136" s="4" t="str">
        <f>IF($L136="","",IF(INDEX(tblRegistros[Data],$L136)&gt;$D$4,"",IFERROR(IF(INDEX(tblRegistros[Status],$L136)="EM ABERTO","",INDEX(tblRegistros[Fim],$L136)),"")))</f>
        <v/>
      </c>
      <c r="F136" s="14" t="str">
        <f>IF($L136="","",IF(INDEX(tblRegistros[Data],$L136)&gt;$D$4,"",IFERROR(IF(INDEX(tblRegistros[Status],$L136)="EM ABERTO","",INDEX(tblRegistros[Horas],$L136)),"")))</f>
        <v/>
      </c>
      <c r="G136" t="str">
        <f>IF($L136="","",IF(INDEX(tblRegistros[Data],$L136)&gt;$D$4,"",IFERROR(INDEX(tblRegistros[Base],$L136),"")))</f>
        <v/>
      </c>
      <c r="H136" s="3" t="str">
        <f>IF($L136="","",IF(INDEX(tblRegistros[Data],$L136)&gt;$D$4,"",IFERROR(INDEX(tblRegistros[Taxa aplicada],$L136),"")))</f>
        <v/>
      </c>
      <c r="I136" s="3" t="str">
        <f>IF($L136="","",IF(INDEX(tblRegistros[Data],$L136)&gt;$D$4,"",IFERROR(IF(INDEX(tblRegistros[Status],$L136)="EM ABERTO","",INDEX(tblRegistros[Valor],$L136)),"")))</f>
        <v/>
      </c>
      <c r="J136" t="str">
        <f>IF($L136="","",IF(INDEX(tblRegistros[Data],$L136)&gt;$D$4,"",IFERROR(INDEX(tblRegistros[Status],$L136),"")))</f>
        <v/>
      </c>
      <c r="K136" t="str">
        <f>IF($L136="","",IF(INDEX(tblRegistros[Data],$L136)&gt;$D$4,"",IFERROR(INDEX(tblRegistros[Observação],$L136),"")))</f>
        <v/>
      </c>
      <c r="L136" s="16" t="str">
        <f>IFERROR(MATCH($B$3*100000+COUNTIFS(tblRegistros[ID],$B$3,tblRegistros[Data],"&lt;"&amp;$B$4)+ROWS($L$10:L136),tblRegistros[Chave do cartão],0),"")</f>
        <v/>
      </c>
    </row>
    <row r="137" spans="1:12">
      <c r="A137" s="2" t="str">
        <f>IF($L137="","",IF(INDEX(tblRegistros[Data],$L137)&gt;$D$4,"",IFERROR(INDEX(tblRegistros[Data],$L137),"")))</f>
        <v/>
      </c>
      <c r="B137" t="str">
        <f>IF($L137="","",IF(INDEX(tblRegistros[Data],$L137)&gt;$D$4,"",IFERROR(INDEX(tblRegistros[Projeto],$L137),"")))</f>
        <v/>
      </c>
      <c r="C137" t="str">
        <f>IF($L137="","",IF(INDEX(tblRegistros[Data],$L137)&gt;$D$4,"",IFERROR(INDEX(tblRegistros[Atividade],$L137),"")))</f>
        <v/>
      </c>
      <c r="D137" s="4" t="str">
        <f>IF($L137="","",IF(INDEX(tblRegistros[Data],$L137)&gt;$D$4,"",IFERROR(INDEX(tblRegistros[Início],$L137),"")))</f>
        <v/>
      </c>
      <c r="E137" s="4" t="str">
        <f>IF($L137="","",IF(INDEX(tblRegistros[Data],$L137)&gt;$D$4,"",IFERROR(IF(INDEX(tblRegistros[Status],$L137)="EM ABERTO","",INDEX(tblRegistros[Fim],$L137)),"")))</f>
        <v/>
      </c>
      <c r="F137" s="14" t="str">
        <f>IF($L137="","",IF(INDEX(tblRegistros[Data],$L137)&gt;$D$4,"",IFERROR(IF(INDEX(tblRegistros[Status],$L137)="EM ABERTO","",INDEX(tblRegistros[Horas],$L137)),"")))</f>
        <v/>
      </c>
      <c r="G137" t="str">
        <f>IF($L137="","",IF(INDEX(tblRegistros[Data],$L137)&gt;$D$4,"",IFERROR(INDEX(tblRegistros[Base],$L137),"")))</f>
        <v/>
      </c>
      <c r="H137" s="3" t="str">
        <f>IF($L137="","",IF(INDEX(tblRegistros[Data],$L137)&gt;$D$4,"",IFERROR(INDEX(tblRegistros[Taxa aplicada],$L137),"")))</f>
        <v/>
      </c>
      <c r="I137" s="3" t="str">
        <f>IF($L137="","",IF(INDEX(tblRegistros[Data],$L137)&gt;$D$4,"",IFERROR(IF(INDEX(tblRegistros[Status],$L137)="EM ABERTO","",INDEX(tblRegistros[Valor],$L137)),"")))</f>
        <v/>
      </c>
      <c r="J137" t="str">
        <f>IF($L137="","",IF(INDEX(tblRegistros[Data],$L137)&gt;$D$4,"",IFERROR(INDEX(tblRegistros[Status],$L137),"")))</f>
        <v/>
      </c>
      <c r="K137" t="str">
        <f>IF($L137="","",IF(INDEX(tblRegistros[Data],$L137)&gt;$D$4,"",IFERROR(INDEX(tblRegistros[Observação],$L137),"")))</f>
        <v/>
      </c>
      <c r="L137" s="16" t="str">
        <f>IFERROR(MATCH($B$3*100000+COUNTIFS(tblRegistros[ID],$B$3,tblRegistros[Data],"&lt;"&amp;$B$4)+ROWS($L$10:L137),tblRegistros[Chave do cartão],0),"")</f>
        <v/>
      </c>
    </row>
    <row r="138" spans="1:12">
      <c r="A138" s="2" t="str">
        <f>IF($L138="","",IF(INDEX(tblRegistros[Data],$L138)&gt;$D$4,"",IFERROR(INDEX(tblRegistros[Data],$L138),"")))</f>
        <v/>
      </c>
      <c r="B138" t="str">
        <f>IF($L138="","",IF(INDEX(tblRegistros[Data],$L138)&gt;$D$4,"",IFERROR(INDEX(tblRegistros[Projeto],$L138),"")))</f>
        <v/>
      </c>
      <c r="C138" t="str">
        <f>IF($L138="","",IF(INDEX(tblRegistros[Data],$L138)&gt;$D$4,"",IFERROR(INDEX(tblRegistros[Atividade],$L138),"")))</f>
        <v/>
      </c>
      <c r="D138" s="4" t="str">
        <f>IF($L138="","",IF(INDEX(tblRegistros[Data],$L138)&gt;$D$4,"",IFERROR(INDEX(tblRegistros[Início],$L138),"")))</f>
        <v/>
      </c>
      <c r="E138" s="4" t="str">
        <f>IF($L138="","",IF(INDEX(tblRegistros[Data],$L138)&gt;$D$4,"",IFERROR(IF(INDEX(tblRegistros[Status],$L138)="EM ABERTO","",INDEX(tblRegistros[Fim],$L138)),"")))</f>
        <v/>
      </c>
      <c r="F138" s="14" t="str">
        <f>IF($L138="","",IF(INDEX(tblRegistros[Data],$L138)&gt;$D$4,"",IFERROR(IF(INDEX(tblRegistros[Status],$L138)="EM ABERTO","",INDEX(tblRegistros[Horas],$L138)),"")))</f>
        <v/>
      </c>
      <c r="G138" t="str">
        <f>IF($L138="","",IF(INDEX(tblRegistros[Data],$L138)&gt;$D$4,"",IFERROR(INDEX(tblRegistros[Base],$L138),"")))</f>
        <v/>
      </c>
      <c r="H138" s="3" t="str">
        <f>IF($L138="","",IF(INDEX(tblRegistros[Data],$L138)&gt;$D$4,"",IFERROR(INDEX(tblRegistros[Taxa aplicada],$L138),"")))</f>
        <v/>
      </c>
      <c r="I138" s="3" t="str">
        <f>IF($L138="","",IF(INDEX(tblRegistros[Data],$L138)&gt;$D$4,"",IFERROR(IF(INDEX(tblRegistros[Status],$L138)="EM ABERTO","",INDEX(tblRegistros[Valor],$L138)),"")))</f>
        <v/>
      </c>
      <c r="J138" t="str">
        <f>IF($L138="","",IF(INDEX(tblRegistros[Data],$L138)&gt;$D$4,"",IFERROR(INDEX(tblRegistros[Status],$L138),"")))</f>
        <v/>
      </c>
      <c r="K138" t="str">
        <f>IF($L138="","",IF(INDEX(tblRegistros[Data],$L138)&gt;$D$4,"",IFERROR(INDEX(tblRegistros[Observação],$L138),"")))</f>
        <v/>
      </c>
      <c r="L138" s="16" t="str">
        <f>IFERROR(MATCH($B$3*100000+COUNTIFS(tblRegistros[ID],$B$3,tblRegistros[Data],"&lt;"&amp;$B$4)+ROWS($L$10:L138),tblRegistros[Chave do cartão],0),"")</f>
        <v/>
      </c>
    </row>
    <row r="139" spans="1:12">
      <c r="A139" s="2" t="str">
        <f>IF($L139="","",IF(INDEX(tblRegistros[Data],$L139)&gt;$D$4,"",IFERROR(INDEX(tblRegistros[Data],$L139),"")))</f>
        <v/>
      </c>
      <c r="B139" t="str">
        <f>IF($L139="","",IF(INDEX(tblRegistros[Data],$L139)&gt;$D$4,"",IFERROR(INDEX(tblRegistros[Projeto],$L139),"")))</f>
        <v/>
      </c>
      <c r="C139" t="str">
        <f>IF($L139="","",IF(INDEX(tblRegistros[Data],$L139)&gt;$D$4,"",IFERROR(INDEX(tblRegistros[Atividade],$L139),"")))</f>
        <v/>
      </c>
      <c r="D139" s="4" t="str">
        <f>IF($L139="","",IF(INDEX(tblRegistros[Data],$L139)&gt;$D$4,"",IFERROR(INDEX(tblRegistros[Início],$L139),"")))</f>
        <v/>
      </c>
      <c r="E139" s="4" t="str">
        <f>IF($L139="","",IF(INDEX(tblRegistros[Data],$L139)&gt;$D$4,"",IFERROR(IF(INDEX(tblRegistros[Status],$L139)="EM ABERTO","",INDEX(tblRegistros[Fim],$L139)),"")))</f>
        <v/>
      </c>
      <c r="F139" s="14" t="str">
        <f>IF($L139="","",IF(INDEX(tblRegistros[Data],$L139)&gt;$D$4,"",IFERROR(IF(INDEX(tblRegistros[Status],$L139)="EM ABERTO","",INDEX(tblRegistros[Horas],$L139)),"")))</f>
        <v/>
      </c>
      <c r="G139" t="str">
        <f>IF($L139="","",IF(INDEX(tblRegistros[Data],$L139)&gt;$D$4,"",IFERROR(INDEX(tblRegistros[Base],$L139),"")))</f>
        <v/>
      </c>
      <c r="H139" s="3" t="str">
        <f>IF($L139="","",IF(INDEX(tblRegistros[Data],$L139)&gt;$D$4,"",IFERROR(INDEX(tblRegistros[Taxa aplicada],$L139),"")))</f>
        <v/>
      </c>
      <c r="I139" s="3" t="str">
        <f>IF($L139="","",IF(INDEX(tblRegistros[Data],$L139)&gt;$D$4,"",IFERROR(IF(INDEX(tblRegistros[Status],$L139)="EM ABERTO","",INDEX(tblRegistros[Valor],$L139)),"")))</f>
        <v/>
      </c>
      <c r="J139" t="str">
        <f>IF($L139="","",IF(INDEX(tblRegistros[Data],$L139)&gt;$D$4,"",IFERROR(INDEX(tblRegistros[Status],$L139),"")))</f>
        <v/>
      </c>
      <c r="K139" t="str">
        <f>IF($L139="","",IF(INDEX(tblRegistros[Data],$L139)&gt;$D$4,"",IFERROR(INDEX(tblRegistros[Observação],$L139),"")))</f>
        <v/>
      </c>
      <c r="L139" s="16" t="str">
        <f>IFERROR(MATCH($B$3*100000+COUNTIFS(tblRegistros[ID],$B$3,tblRegistros[Data],"&lt;"&amp;$B$4)+ROWS($L$10:L139),tblRegistros[Chave do cartão],0),"")</f>
        <v/>
      </c>
    </row>
    <row r="140" spans="1:12">
      <c r="A140" s="2" t="str">
        <f>IF($L140="","",IF(INDEX(tblRegistros[Data],$L140)&gt;$D$4,"",IFERROR(INDEX(tblRegistros[Data],$L140),"")))</f>
        <v/>
      </c>
      <c r="B140" t="str">
        <f>IF($L140="","",IF(INDEX(tblRegistros[Data],$L140)&gt;$D$4,"",IFERROR(INDEX(tblRegistros[Projeto],$L140),"")))</f>
        <v/>
      </c>
      <c r="C140" t="str">
        <f>IF($L140="","",IF(INDEX(tblRegistros[Data],$L140)&gt;$D$4,"",IFERROR(INDEX(tblRegistros[Atividade],$L140),"")))</f>
        <v/>
      </c>
      <c r="D140" s="4" t="str">
        <f>IF($L140="","",IF(INDEX(tblRegistros[Data],$L140)&gt;$D$4,"",IFERROR(INDEX(tblRegistros[Início],$L140),"")))</f>
        <v/>
      </c>
      <c r="E140" s="4" t="str">
        <f>IF($L140="","",IF(INDEX(tblRegistros[Data],$L140)&gt;$D$4,"",IFERROR(IF(INDEX(tblRegistros[Status],$L140)="EM ABERTO","",INDEX(tblRegistros[Fim],$L140)),"")))</f>
        <v/>
      </c>
      <c r="F140" s="14" t="str">
        <f>IF($L140="","",IF(INDEX(tblRegistros[Data],$L140)&gt;$D$4,"",IFERROR(IF(INDEX(tblRegistros[Status],$L140)="EM ABERTO","",INDEX(tblRegistros[Horas],$L140)),"")))</f>
        <v/>
      </c>
      <c r="G140" t="str">
        <f>IF($L140="","",IF(INDEX(tblRegistros[Data],$L140)&gt;$D$4,"",IFERROR(INDEX(tblRegistros[Base],$L140),"")))</f>
        <v/>
      </c>
      <c r="H140" s="3" t="str">
        <f>IF($L140="","",IF(INDEX(tblRegistros[Data],$L140)&gt;$D$4,"",IFERROR(INDEX(tblRegistros[Taxa aplicada],$L140),"")))</f>
        <v/>
      </c>
      <c r="I140" s="3" t="str">
        <f>IF($L140="","",IF(INDEX(tblRegistros[Data],$L140)&gt;$D$4,"",IFERROR(IF(INDEX(tblRegistros[Status],$L140)="EM ABERTO","",INDEX(tblRegistros[Valor],$L140)),"")))</f>
        <v/>
      </c>
      <c r="J140" t="str">
        <f>IF($L140="","",IF(INDEX(tblRegistros[Data],$L140)&gt;$D$4,"",IFERROR(INDEX(tblRegistros[Status],$L140),"")))</f>
        <v/>
      </c>
      <c r="K140" t="str">
        <f>IF($L140="","",IF(INDEX(tblRegistros[Data],$L140)&gt;$D$4,"",IFERROR(INDEX(tblRegistros[Observação],$L140),"")))</f>
        <v/>
      </c>
      <c r="L140" s="16" t="str">
        <f>IFERROR(MATCH($B$3*100000+COUNTIFS(tblRegistros[ID],$B$3,tblRegistros[Data],"&lt;"&amp;$B$4)+ROWS($L$10:L140),tblRegistros[Chave do cartão],0),"")</f>
        <v/>
      </c>
    </row>
    <row r="141" spans="1:12">
      <c r="A141" s="2" t="str">
        <f>IF($L141="","",IF(INDEX(tblRegistros[Data],$L141)&gt;$D$4,"",IFERROR(INDEX(tblRegistros[Data],$L141),"")))</f>
        <v/>
      </c>
      <c r="B141" t="str">
        <f>IF($L141="","",IF(INDEX(tblRegistros[Data],$L141)&gt;$D$4,"",IFERROR(INDEX(tblRegistros[Projeto],$L141),"")))</f>
        <v/>
      </c>
      <c r="C141" t="str">
        <f>IF($L141="","",IF(INDEX(tblRegistros[Data],$L141)&gt;$D$4,"",IFERROR(INDEX(tblRegistros[Atividade],$L141),"")))</f>
        <v/>
      </c>
      <c r="D141" s="4" t="str">
        <f>IF($L141="","",IF(INDEX(tblRegistros[Data],$L141)&gt;$D$4,"",IFERROR(INDEX(tblRegistros[Início],$L141),"")))</f>
        <v/>
      </c>
      <c r="E141" s="4" t="str">
        <f>IF($L141="","",IF(INDEX(tblRegistros[Data],$L141)&gt;$D$4,"",IFERROR(IF(INDEX(tblRegistros[Status],$L141)="EM ABERTO","",INDEX(tblRegistros[Fim],$L141)),"")))</f>
        <v/>
      </c>
      <c r="F141" s="14" t="str">
        <f>IF($L141="","",IF(INDEX(tblRegistros[Data],$L141)&gt;$D$4,"",IFERROR(IF(INDEX(tblRegistros[Status],$L141)="EM ABERTO","",INDEX(tblRegistros[Horas],$L141)),"")))</f>
        <v/>
      </c>
      <c r="G141" t="str">
        <f>IF($L141="","",IF(INDEX(tblRegistros[Data],$L141)&gt;$D$4,"",IFERROR(INDEX(tblRegistros[Base],$L141),"")))</f>
        <v/>
      </c>
      <c r="H141" s="3" t="str">
        <f>IF($L141="","",IF(INDEX(tblRegistros[Data],$L141)&gt;$D$4,"",IFERROR(INDEX(tblRegistros[Taxa aplicada],$L141),"")))</f>
        <v/>
      </c>
      <c r="I141" s="3" t="str">
        <f>IF($L141="","",IF(INDEX(tblRegistros[Data],$L141)&gt;$D$4,"",IFERROR(IF(INDEX(tblRegistros[Status],$L141)="EM ABERTO","",INDEX(tblRegistros[Valor],$L141)),"")))</f>
        <v/>
      </c>
      <c r="J141" t="str">
        <f>IF($L141="","",IF(INDEX(tblRegistros[Data],$L141)&gt;$D$4,"",IFERROR(INDEX(tblRegistros[Status],$L141),"")))</f>
        <v/>
      </c>
      <c r="K141" t="str">
        <f>IF($L141="","",IF(INDEX(tblRegistros[Data],$L141)&gt;$D$4,"",IFERROR(INDEX(tblRegistros[Observação],$L141),"")))</f>
        <v/>
      </c>
      <c r="L141" s="16" t="str">
        <f>IFERROR(MATCH($B$3*100000+COUNTIFS(tblRegistros[ID],$B$3,tblRegistros[Data],"&lt;"&amp;$B$4)+ROWS($L$10:L141),tblRegistros[Chave do cartão],0),"")</f>
        <v/>
      </c>
    </row>
    <row r="142" spans="1:12">
      <c r="A142" s="2" t="str">
        <f>IF($L142="","",IF(INDEX(tblRegistros[Data],$L142)&gt;$D$4,"",IFERROR(INDEX(tblRegistros[Data],$L142),"")))</f>
        <v/>
      </c>
      <c r="B142" t="str">
        <f>IF($L142="","",IF(INDEX(tblRegistros[Data],$L142)&gt;$D$4,"",IFERROR(INDEX(tblRegistros[Projeto],$L142),"")))</f>
        <v/>
      </c>
      <c r="C142" t="str">
        <f>IF($L142="","",IF(INDEX(tblRegistros[Data],$L142)&gt;$D$4,"",IFERROR(INDEX(tblRegistros[Atividade],$L142),"")))</f>
        <v/>
      </c>
      <c r="D142" s="4" t="str">
        <f>IF($L142="","",IF(INDEX(tblRegistros[Data],$L142)&gt;$D$4,"",IFERROR(INDEX(tblRegistros[Início],$L142),"")))</f>
        <v/>
      </c>
      <c r="E142" s="4" t="str">
        <f>IF($L142="","",IF(INDEX(tblRegistros[Data],$L142)&gt;$D$4,"",IFERROR(IF(INDEX(tblRegistros[Status],$L142)="EM ABERTO","",INDEX(tblRegistros[Fim],$L142)),"")))</f>
        <v/>
      </c>
      <c r="F142" s="14" t="str">
        <f>IF($L142="","",IF(INDEX(tblRegistros[Data],$L142)&gt;$D$4,"",IFERROR(IF(INDEX(tblRegistros[Status],$L142)="EM ABERTO","",INDEX(tblRegistros[Horas],$L142)),"")))</f>
        <v/>
      </c>
      <c r="G142" t="str">
        <f>IF($L142="","",IF(INDEX(tblRegistros[Data],$L142)&gt;$D$4,"",IFERROR(INDEX(tblRegistros[Base],$L142),"")))</f>
        <v/>
      </c>
      <c r="H142" s="3" t="str">
        <f>IF($L142="","",IF(INDEX(tblRegistros[Data],$L142)&gt;$D$4,"",IFERROR(INDEX(tblRegistros[Taxa aplicada],$L142),"")))</f>
        <v/>
      </c>
      <c r="I142" s="3" t="str">
        <f>IF($L142="","",IF(INDEX(tblRegistros[Data],$L142)&gt;$D$4,"",IFERROR(IF(INDEX(tblRegistros[Status],$L142)="EM ABERTO","",INDEX(tblRegistros[Valor],$L142)),"")))</f>
        <v/>
      </c>
      <c r="J142" t="str">
        <f>IF($L142="","",IF(INDEX(tblRegistros[Data],$L142)&gt;$D$4,"",IFERROR(INDEX(tblRegistros[Status],$L142),"")))</f>
        <v/>
      </c>
      <c r="K142" t="str">
        <f>IF($L142="","",IF(INDEX(tblRegistros[Data],$L142)&gt;$D$4,"",IFERROR(INDEX(tblRegistros[Observação],$L142),"")))</f>
        <v/>
      </c>
      <c r="L142" s="16" t="str">
        <f>IFERROR(MATCH($B$3*100000+COUNTIFS(tblRegistros[ID],$B$3,tblRegistros[Data],"&lt;"&amp;$B$4)+ROWS($L$10:L142),tblRegistros[Chave do cartão],0),"")</f>
        <v/>
      </c>
    </row>
    <row r="143" spans="1:12">
      <c r="A143" s="2" t="str">
        <f>IF($L143="","",IF(INDEX(tblRegistros[Data],$L143)&gt;$D$4,"",IFERROR(INDEX(tblRegistros[Data],$L143),"")))</f>
        <v/>
      </c>
      <c r="B143" t="str">
        <f>IF($L143="","",IF(INDEX(tblRegistros[Data],$L143)&gt;$D$4,"",IFERROR(INDEX(tblRegistros[Projeto],$L143),"")))</f>
        <v/>
      </c>
      <c r="C143" t="str">
        <f>IF($L143="","",IF(INDEX(tblRegistros[Data],$L143)&gt;$D$4,"",IFERROR(INDEX(tblRegistros[Atividade],$L143),"")))</f>
        <v/>
      </c>
      <c r="D143" s="4" t="str">
        <f>IF($L143="","",IF(INDEX(tblRegistros[Data],$L143)&gt;$D$4,"",IFERROR(INDEX(tblRegistros[Início],$L143),"")))</f>
        <v/>
      </c>
      <c r="E143" s="4" t="str">
        <f>IF($L143="","",IF(INDEX(tblRegistros[Data],$L143)&gt;$D$4,"",IFERROR(IF(INDEX(tblRegistros[Status],$L143)="EM ABERTO","",INDEX(tblRegistros[Fim],$L143)),"")))</f>
        <v/>
      </c>
      <c r="F143" s="14" t="str">
        <f>IF($L143="","",IF(INDEX(tblRegistros[Data],$L143)&gt;$D$4,"",IFERROR(IF(INDEX(tblRegistros[Status],$L143)="EM ABERTO","",INDEX(tblRegistros[Horas],$L143)),"")))</f>
        <v/>
      </c>
      <c r="G143" t="str">
        <f>IF($L143="","",IF(INDEX(tblRegistros[Data],$L143)&gt;$D$4,"",IFERROR(INDEX(tblRegistros[Base],$L143),"")))</f>
        <v/>
      </c>
      <c r="H143" s="3" t="str">
        <f>IF($L143="","",IF(INDEX(tblRegistros[Data],$L143)&gt;$D$4,"",IFERROR(INDEX(tblRegistros[Taxa aplicada],$L143),"")))</f>
        <v/>
      </c>
      <c r="I143" s="3" t="str">
        <f>IF($L143="","",IF(INDEX(tblRegistros[Data],$L143)&gt;$D$4,"",IFERROR(IF(INDEX(tblRegistros[Status],$L143)="EM ABERTO","",INDEX(tblRegistros[Valor],$L143)),"")))</f>
        <v/>
      </c>
      <c r="J143" t="str">
        <f>IF($L143="","",IF(INDEX(tblRegistros[Data],$L143)&gt;$D$4,"",IFERROR(INDEX(tblRegistros[Status],$L143),"")))</f>
        <v/>
      </c>
      <c r="K143" t="str">
        <f>IF($L143="","",IF(INDEX(tblRegistros[Data],$L143)&gt;$D$4,"",IFERROR(INDEX(tblRegistros[Observação],$L143),"")))</f>
        <v/>
      </c>
      <c r="L143" s="16" t="str">
        <f>IFERROR(MATCH($B$3*100000+COUNTIFS(tblRegistros[ID],$B$3,tblRegistros[Data],"&lt;"&amp;$B$4)+ROWS($L$10:L143),tblRegistros[Chave do cartão],0),"")</f>
        <v/>
      </c>
    </row>
    <row r="144" spans="1:12">
      <c r="A144" s="2" t="str">
        <f>IF($L144="","",IF(INDEX(tblRegistros[Data],$L144)&gt;$D$4,"",IFERROR(INDEX(tblRegistros[Data],$L144),"")))</f>
        <v/>
      </c>
      <c r="B144" t="str">
        <f>IF($L144="","",IF(INDEX(tblRegistros[Data],$L144)&gt;$D$4,"",IFERROR(INDEX(tblRegistros[Projeto],$L144),"")))</f>
        <v/>
      </c>
      <c r="C144" t="str">
        <f>IF($L144="","",IF(INDEX(tblRegistros[Data],$L144)&gt;$D$4,"",IFERROR(INDEX(tblRegistros[Atividade],$L144),"")))</f>
        <v/>
      </c>
      <c r="D144" s="4" t="str">
        <f>IF($L144="","",IF(INDEX(tblRegistros[Data],$L144)&gt;$D$4,"",IFERROR(INDEX(tblRegistros[Início],$L144),"")))</f>
        <v/>
      </c>
      <c r="E144" s="4" t="str">
        <f>IF($L144="","",IF(INDEX(tblRegistros[Data],$L144)&gt;$D$4,"",IFERROR(IF(INDEX(tblRegistros[Status],$L144)="EM ABERTO","",INDEX(tblRegistros[Fim],$L144)),"")))</f>
        <v/>
      </c>
      <c r="F144" s="14" t="str">
        <f>IF($L144="","",IF(INDEX(tblRegistros[Data],$L144)&gt;$D$4,"",IFERROR(IF(INDEX(tblRegistros[Status],$L144)="EM ABERTO","",INDEX(tblRegistros[Horas],$L144)),"")))</f>
        <v/>
      </c>
      <c r="G144" t="str">
        <f>IF($L144="","",IF(INDEX(tblRegistros[Data],$L144)&gt;$D$4,"",IFERROR(INDEX(tblRegistros[Base],$L144),"")))</f>
        <v/>
      </c>
      <c r="H144" s="3" t="str">
        <f>IF($L144="","",IF(INDEX(tblRegistros[Data],$L144)&gt;$D$4,"",IFERROR(INDEX(tblRegistros[Taxa aplicada],$L144),"")))</f>
        <v/>
      </c>
      <c r="I144" s="3" t="str">
        <f>IF($L144="","",IF(INDEX(tblRegistros[Data],$L144)&gt;$D$4,"",IFERROR(IF(INDEX(tblRegistros[Status],$L144)="EM ABERTO","",INDEX(tblRegistros[Valor],$L144)),"")))</f>
        <v/>
      </c>
      <c r="J144" t="str">
        <f>IF($L144="","",IF(INDEX(tblRegistros[Data],$L144)&gt;$D$4,"",IFERROR(INDEX(tblRegistros[Status],$L144),"")))</f>
        <v/>
      </c>
      <c r="K144" t="str">
        <f>IF($L144="","",IF(INDEX(tblRegistros[Data],$L144)&gt;$D$4,"",IFERROR(INDEX(tblRegistros[Observação],$L144),"")))</f>
        <v/>
      </c>
      <c r="L144" s="16" t="str">
        <f>IFERROR(MATCH($B$3*100000+COUNTIFS(tblRegistros[ID],$B$3,tblRegistros[Data],"&lt;"&amp;$B$4)+ROWS($L$10:L144),tblRegistros[Chave do cartão],0),"")</f>
        <v/>
      </c>
    </row>
    <row r="145" spans="1:12">
      <c r="A145" s="2" t="str">
        <f>IF($L145="","",IF(INDEX(tblRegistros[Data],$L145)&gt;$D$4,"",IFERROR(INDEX(tblRegistros[Data],$L145),"")))</f>
        <v/>
      </c>
      <c r="B145" t="str">
        <f>IF($L145="","",IF(INDEX(tblRegistros[Data],$L145)&gt;$D$4,"",IFERROR(INDEX(tblRegistros[Projeto],$L145),"")))</f>
        <v/>
      </c>
      <c r="C145" t="str">
        <f>IF($L145="","",IF(INDEX(tblRegistros[Data],$L145)&gt;$D$4,"",IFERROR(INDEX(tblRegistros[Atividade],$L145),"")))</f>
        <v/>
      </c>
      <c r="D145" s="4" t="str">
        <f>IF($L145="","",IF(INDEX(tblRegistros[Data],$L145)&gt;$D$4,"",IFERROR(INDEX(tblRegistros[Início],$L145),"")))</f>
        <v/>
      </c>
      <c r="E145" s="4" t="str">
        <f>IF($L145="","",IF(INDEX(tblRegistros[Data],$L145)&gt;$D$4,"",IFERROR(IF(INDEX(tblRegistros[Status],$L145)="EM ABERTO","",INDEX(tblRegistros[Fim],$L145)),"")))</f>
        <v/>
      </c>
      <c r="F145" s="14" t="str">
        <f>IF($L145="","",IF(INDEX(tblRegistros[Data],$L145)&gt;$D$4,"",IFERROR(IF(INDEX(tblRegistros[Status],$L145)="EM ABERTO","",INDEX(tblRegistros[Horas],$L145)),"")))</f>
        <v/>
      </c>
      <c r="G145" t="str">
        <f>IF($L145="","",IF(INDEX(tblRegistros[Data],$L145)&gt;$D$4,"",IFERROR(INDEX(tblRegistros[Base],$L145),"")))</f>
        <v/>
      </c>
      <c r="H145" s="3" t="str">
        <f>IF($L145="","",IF(INDEX(tblRegistros[Data],$L145)&gt;$D$4,"",IFERROR(INDEX(tblRegistros[Taxa aplicada],$L145),"")))</f>
        <v/>
      </c>
      <c r="I145" s="3" t="str">
        <f>IF($L145="","",IF(INDEX(tblRegistros[Data],$L145)&gt;$D$4,"",IFERROR(IF(INDEX(tblRegistros[Status],$L145)="EM ABERTO","",INDEX(tblRegistros[Valor],$L145)),"")))</f>
        <v/>
      </c>
      <c r="J145" t="str">
        <f>IF($L145="","",IF(INDEX(tblRegistros[Data],$L145)&gt;$D$4,"",IFERROR(INDEX(tblRegistros[Status],$L145),"")))</f>
        <v/>
      </c>
      <c r="K145" t="str">
        <f>IF($L145="","",IF(INDEX(tblRegistros[Data],$L145)&gt;$D$4,"",IFERROR(INDEX(tblRegistros[Observação],$L145),"")))</f>
        <v/>
      </c>
      <c r="L145" s="16" t="str">
        <f>IFERROR(MATCH($B$3*100000+COUNTIFS(tblRegistros[ID],$B$3,tblRegistros[Data],"&lt;"&amp;$B$4)+ROWS($L$10:L145),tblRegistros[Chave do cartão],0),"")</f>
        <v/>
      </c>
    </row>
    <row r="146" spans="1:12">
      <c r="A146" s="2" t="str">
        <f>IF($L146="","",IF(INDEX(tblRegistros[Data],$L146)&gt;$D$4,"",IFERROR(INDEX(tblRegistros[Data],$L146),"")))</f>
        <v/>
      </c>
      <c r="B146" t="str">
        <f>IF($L146="","",IF(INDEX(tblRegistros[Data],$L146)&gt;$D$4,"",IFERROR(INDEX(tblRegistros[Projeto],$L146),"")))</f>
        <v/>
      </c>
      <c r="C146" t="str">
        <f>IF($L146="","",IF(INDEX(tblRegistros[Data],$L146)&gt;$D$4,"",IFERROR(INDEX(tblRegistros[Atividade],$L146),"")))</f>
        <v/>
      </c>
      <c r="D146" s="4" t="str">
        <f>IF($L146="","",IF(INDEX(tblRegistros[Data],$L146)&gt;$D$4,"",IFERROR(INDEX(tblRegistros[Início],$L146),"")))</f>
        <v/>
      </c>
      <c r="E146" s="4" t="str">
        <f>IF($L146="","",IF(INDEX(tblRegistros[Data],$L146)&gt;$D$4,"",IFERROR(IF(INDEX(tblRegistros[Status],$L146)="EM ABERTO","",INDEX(tblRegistros[Fim],$L146)),"")))</f>
        <v/>
      </c>
      <c r="F146" s="14" t="str">
        <f>IF($L146="","",IF(INDEX(tblRegistros[Data],$L146)&gt;$D$4,"",IFERROR(IF(INDEX(tblRegistros[Status],$L146)="EM ABERTO","",INDEX(tblRegistros[Horas],$L146)),"")))</f>
        <v/>
      </c>
      <c r="G146" t="str">
        <f>IF($L146="","",IF(INDEX(tblRegistros[Data],$L146)&gt;$D$4,"",IFERROR(INDEX(tblRegistros[Base],$L146),"")))</f>
        <v/>
      </c>
      <c r="H146" s="3" t="str">
        <f>IF($L146="","",IF(INDEX(tblRegistros[Data],$L146)&gt;$D$4,"",IFERROR(INDEX(tblRegistros[Taxa aplicada],$L146),"")))</f>
        <v/>
      </c>
      <c r="I146" s="3" t="str">
        <f>IF($L146="","",IF(INDEX(tblRegistros[Data],$L146)&gt;$D$4,"",IFERROR(IF(INDEX(tblRegistros[Status],$L146)="EM ABERTO","",INDEX(tblRegistros[Valor],$L146)),"")))</f>
        <v/>
      </c>
      <c r="J146" t="str">
        <f>IF($L146="","",IF(INDEX(tblRegistros[Data],$L146)&gt;$D$4,"",IFERROR(INDEX(tblRegistros[Status],$L146),"")))</f>
        <v/>
      </c>
      <c r="K146" t="str">
        <f>IF($L146="","",IF(INDEX(tblRegistros[Data],$L146)&gt;$D$4,"",IFERROR(INDEX(tblRegistros[Observação],$L146),"")))</f>
        <v/>
      </c>
      <c r="L146" s="16" t="str">
        <f>IFERROR(MATCH($B$3*100000+COUNTIFS(tblRegistros[ID],$B$3,tblRegistros[Data],"&lt;"&amp;$B$4)+ROWS($L$10:L146),tblRegistros[Chave do cartão],0),"")</f>
        <v/>
      </c>
    </row>
    <row r="147" spans="1:12">
      <c r="A147" s="2" t="str">
        <f>IF($L147="","",IF(INDEX(tblRegistros[Data],$L147)&gt;$D$4,"",IFERROR(INDEX(tblRegistros[Data],$L147),"")))</f>
        <v/>
      </c>
      <c r="B147" t="str">
        <f>IF($L147="","",IF(INDEX(tblRegistros[Data],$L147)&gt;$D$4,"",IFERROR(INDEX(tblRegistros[Projeto],$L147),"")))</f>
        <v/>
      </c>
      <c r="C147" t="str">
        <f>IF($L147="","",IF(INDEX(tblRegistros[Data],$L147)&gt;$D$4,"",IFERROR(INDEX(tblRegistros[Atividade],$L147),"")))</f>
        <v/>
      </c>
      <c r="D147" s="4" t="str">
        <f>IF($L147="","",IF(INDEX(tblRegistros[Data],$L147)&gt;$D$4,"",IFERROR(INDEX(tblRegistros[Início],$L147),"")))</f>
        <v/>
      </c>
      <c r="E147" s="4" t="str">
        <f>IF($L147="","",IF(INDEX(tblRegistros[Data],$L147)&gt;$D$4,"",IFERROR(IF(INDEX(tblRegistros[Status],$L147)="EM ABERTO","",INDEX(tblRegistros[Fim],$L147)),"")))</f>
        <v/>
      </c>
      <c r="F147" s="14" t="str">
        <f>IF($L147="","",IF(INDEX(tblRegistros[Data],$L147)&gt;$D$4,"",IFERROR(IF(INDEX(tblRegistros[Status],$L147)="EM ABERTO","",INDEX(tblRegistros[Horas],$L147)),"")))</f>
        <v/>
      </c>
      <c r="G147" t="str">
        <f>IF($L147="","",IF(INDEX(tblRegistros[Data],$L147)&gt;$D$4,"",IFERROR(INDEX(tblRegistros[Base],$L147),"")))</f>
        <v/>
      </c>
      <c r="H147" s="3" t="str">
        <f>IF($L147="","",IF(INDEX(tblRegistros[Data],$L147)&gt;$D$4,"",IFERROR(INDEX(tblRegistros[Taxa aplicada],$L147),"")))</f>
        <v/>
      </c>
      <c r="I147" s="3" t="str">
        <f>IF($L147="","",IF(INDEX(tblRegistros[Data],$L147)&gt;$D$4,"",IFERROR(IF(INDEX(tblRegistros[Status],$L147)="EM ABERTO","",INDEX(tblRegistros[Valor],$L147)),"")))</f>
        <v/>
      </c>
      <c r="J147" t="str">
        <f>IF($L147="","",IF(INDEX(tblRegistros[Data],$L147)&gt;$D$4,"",IFERROR(INDEX(tblRegistros[Status],$L147),"")))</f>
        <v/>
      </c>
      <c r="K147" t="str">
        <f>IF($L147="","",IF(INDEX(tblRegistros[Data],$L147)&gt;$D$4,"",IFERROR(INDEX(tblRegistros[Observação],$L147),"")))</f>
        <v/>
      </c>
      <c r="L147" s="16" t="str">
        <f>IFERROR(MATCH($B$3*100000+COUNTIFS(tblRegistros[ID],$B$3,tblRegistros[Data],"&lt;"&amp;$B$4)+ROWS($L$10:L147),tblRegistros[Chave do cartão],0),"")</f>
        <v/>
      </c>
    </row>
    <row r="148" spans="1:12">
      <c r="A148" s="2" t="str">
        <f>IF($L148="","",IF(INDEX(tblRegistros[Data],$L148)&gt;$D$4,"",IFERROR(INDEX(tblRegistros[Data],$L148),"")))</f>
        <v/>
      </c>
      <c r="B148" t="str">
        <f>IF($L148="","",IF(INDEX(tblRegistros[Data],$L148)&gt;$D$4,"",IFERROR(INDEX(tblRegistros[Projeto],$L148),"")))</f>
        <v/>
      </c>
      <c r="C148" t="str">
        <f>IF($L148="","",IF(INDEX(tblRegistros[Data],$L148)&gt;$D$4,"",IFERROR(INDEX(tblRegistros[Atividade],$L148),"")))</f>
        <v/>
      </c>
      <c r="D148" s="4" t="str">
        <f>IF($L148="","",IF(INDEX(tblRegistros[Data],$L148)&gt;$D$4,"",IFERROR(INDEX(tblRegistros[Início],$L148),"")))</f>
        <v/>
      </c>
      <c r="E148" s="4" t="str">
        <f>IF($L148="","",IF(INDEX(tblRegistros[Data],$L148)&gt;$D$4,"",IFERROR(IF(INDEX(tblRegistros[Status],$L148)="EM ABERTO","",INDEX(tblRegistros[Fim],$L148)),"")))</f>
        <v/>
      </c>
      <c r="F148" s="14" t="str">
        <f>IF($L148="","",IF(INDEX(tblRegistros[Data],$L148)&gt;$D$4,"",IFERROR(IF(INDEX(tblRegistros[Status],$L148)="EM ABERTO","",INDEX(tblRegistros[Horas],$L148)),"")))</f>
        <v/>
      </c>
      <c r="G148" t="str">
        <f>IF($L148="","",IF(INDEX(tblRegistros[Data],$L148)&gt;$D$4,"",IFERROR(INDEX(tblRegistros[Base],$L148),"")))</f>
        <v/>
      </c>
      <c r="H148" s="3" t="str">
        <f>IF($L148="","",IF(INDEX(tblRegistros[Data],$L148)&gt;$D$4,"",IFERROR(INDEX(tblRegistros[Taxa aplicada],$L148),"")))</f>
        <v/>
      </c>
      <c r="I148" s="3" t="str">
        <f>IF($L148="","",IF(INDEX(tblRegistros[Data],$L148)&gt;$D$4,"",IFERROR(IF(INDEX(tblRegistros[Status],$L148)="EM ABERTO","",INDEX(tblRegistros[Valor],$L148)),"")))</f>
        <v/>
      </c>
      <c r="J148" t="str">
        <f>IF($L148="","",IF(INDEX(tblRegistros[Data],$L148)&gt;$D$4,"",IFERROR(INDEX(tblRegistros[Status],$L148),"")))</f>
        <v/>
      </c>
      <c r="K148" t="str">
        <f>IF($L148="","",IF(INDEX(tblRegistros[Data],$L148)&gt;$D$4,"",IFERROR(INDEX(tblRegistros[Observação],$L148),"")))</f>
        <v/>
      </c>
      <c r="L148" s="16" t="str">
        <f>IFERROR(MATCH($B$3*100000+COUNTIFS(tblRegistros[ID],$B$3,tblRegistros[Data],"&lt;"&amp;$B$4)+ROWS($L$10:L148),tblRegistros[Chave do cartão],0),"")</f>
        <v/>
      </c>
    </row>
    <row r="149" spans="1:12">
      <c r="A149" s="2" t="str">
        <f>IF($L149="","",IF(INDEX(tblRegistros[Data],$L149)&gt;$D$4,"",IFERROR(INDEX(tblRegistros[Data],$L149),"")))</f>
        <v/>
      </c>
      <c r="B149" t="str">
        <f>IF($L149="","",IF(INDEX(tblRegistros[Data],$L149)&gt;$D$4,"",IFERROR(INDEX(tblRegistros[Projeto],$L149),"")))</f>
        <v/>
      </c>
      <c r="C149" t="str">
        <f>IF($L149="","",IF(INDEX(tblRegistros[Data],$L149)&gt;$D$4,"",IFERROR(INDEX(tblRegistros[Atividade],$L149),"")))</f>
        <v/>
      </c>
      <c r="D149" s="4" t="str">
        <f>IF($L149="","",IF(INDEX(tblRegistros[Data],$L149)&gt;$D$4,"",IFERROR(INDEX(tblRegistros[Início],$L149),"")))</f>
        <v/>
      </c>
      <c r="E149" s="4" t="str">
        <f>IF($L149="","",IF(INDEX(tblRegistros[Data],$L149)&gt;$D$4,"",IFERROR(IF(INDEX(tblRegistros[Status],$L149)="EM ABERTO","",INDEX(tblRegistros[Fim],$L149)),"")))</f>
        <v/>
      </c>
      <c r="F149" s="14" t="str">
        <f>IF($L149="","",IF(INDEX(tblRegistros[Data],$L149)&gt;$D$4,"",IFERROR(IF(INDEX(tblRegistros[Status],$L149)="EM ABERTO","",INDEX(tblRegistros[Horas],$L149)),"")))</f>
        <v/>
      </c>
      <c r="G149" t="str">
        <f>IF($L149="","",IF(INDEX(tblRegistros[Data],$L149)&gt;$D$4,"",IFERROR(INDEX(tblRegistros[Base],$L149),"")))</f>
        <v/>
      </c>
      <c r="H149" s="3" t="str">
        <f>IF($L149="","",IF(INDEX(tblRegistros[Data],$L149)&gt;$D$4,"",IFERROR(INDEX(tblRegistros[Taxa aplicada],$L149),"")))</f>
        <v/>
      </c>
      <c r="I149" s="3" t="str">
        <f>IF($L149="","",IF(INDEX(tblRegistros[Data],$L149)&gt;$D$4,"",IFERROR(IF(INDEX(tblRegistros[Status],$L149)="EM ABERTO","",INDEX(tblRegistros[Valor],$L149)),"")))</f>
        <v/>
      </c>
      <c r="J149" t="str">
        <f>IF($L149="","",IF(INDEX(tblRegistros[Data],$L149)&gt;$D$4,"",IFERROR(INDEX(tblRegistros[Status],$L149),"")))</f>
        <v/>
      </c>
      <c r="K149" t="str">
        <f>IF($L149="","",IF(INDEX(tblRegistros[Data],$L149)&gt;$D$4,"",IFERROR(INDEX(tblRegistros[Observação],$L149),"")))</f>
        <v/>
      </c>
      <c r="L149" s="16" t="str">
        <f>IFERROR(MATCH($B$3*100000+COUNTIFS(tblRegistros[ID],$B$3,tblRegistros[Data],"&lt;"&amp;$B$4)+ROWS($L$10:L149),tblRegistros[Chave do cartão],0),"")</f>
        <v/>
      </c>
    </row>
    <row r="150" spans="1:12">
      <c r="A150" s="2" t="str">
        <f>IF($L150="","",IF(INDEX(tblRegistros[Data],$L150)&gt;$D$4,"",IFERROR(INDEX(tblRegistros[Data],$L150),"")))</f>
        <v/>
      </c>
      <c r="B150" t="str">
        <f>IF($L150="","",IF(INDEX(tblRegistros[Data],$L150)&gt;$D$4,"",IFERROR(INDEX(tblRegistros[Projeto],$L150),"")))</f>
        <v/>
      </c>
      <c r="C150" t="str">
        <f>IF($L150="","",IF(INDEX(tblRegistros[Data],$L150)&gt;$D$4,"",IFERROR(INDEX(tblRegistros[Atividade],$L150),"")))</f>
        <v/>
      </c>
      <c r="D150" s="4" t="str">
        <f>IF($L150="","",IF(INDEX(tblRegistros[Data],$L150)&gt;$D$4,"",IFERROR(INDEX(tblRegistros[Início],$L150),"")))</f>
        <v/>
      </c>
      <c r="E150" s="4" t="str">
        <f>IF($L150="","",IF(INDEX(tblRegistros[Data],$L150)&gt;$D$4,"",IFERROR(IF(INDEX(tblRegistros[Status],$L150)="EM ABERTO","",INDEX(tblRegistros[Fim],$L150)),"")))</f>
        <v/>
      </c>
      <c r="F150" s="14" t="str">
        <f>IF($L150="","",IF(INDEX(tblRegistros[Data],$L150)&gt;$D$4,"",IFERROR(IF(INDEX(tblRegistros[Status],$L150)="EM ABERTO","",INDEX(tblRegistros[Horas],$L150)),"")))</f>
        <v/>
      </c>
      <c r="G150" t="str">
        <f>IF($L150="","",IF(INDEX(tblRegistros[Data],$L150)&gt;$D$4,"",IFERROR(INDEX(tblRegistros[Base],$L150),"")))</f>
        <v/>
      </c>
      <c r="H150" s="3" t="str">
        <f>IF($L150="","",IF(INDEX(tblRegistros[Data],$L150)&gt;$D$4,"",IFERROR(INDEX(tblRegistros[Taxa aplicada],$L150),"")))</f>
        <v/>
      </c>
      <c r="I150" s="3" t="str">
        <f>IF($L150="","",IF(INDEX(tblRegistros[Data],$L150)&gt;$D$4,"",IFERROR(IF(INDEX(tblRegistros[Status],$L150)="EM ABERTO","",INDEX(tblRegistros[Valor],$L150)),"")))</f>
        <v/>
      </c>
      <c r="J150" t="str">
        <f>IF($L150="","",IF(INDEX(tblRegistros[Data],$L150)&gt;$D$4,"",IFERROR(INDEX(tblRegistros[Status],$L150),"")))</f>
        <v/>
      </c>
      <c r="K150" t="str">
        <f>IF($L150="","",IF(INDEX(tblRegistros[Data],$L150)&gt;$D$4,"",IFERROR(INDEX(tblRegistros[Observação],$L150),"")))</f>
        <v/>
      </c>
      <c r="L150" s="16" t="str">
        <f>IFERROR(MATCH($B$3*100000+COUNTIFS(tblRegistros[ID],$B$3,tblRegistros[Data],"&lt;"&amp;$B$4)+ROWS($L$10:L150),tblRegistros[Chave do cartão],0),"")</f>
        <v/>
      </c>
    </row>
    <row r="151" spans="1:12">
      <c r="A151" s="2" t="str">
        <f>IF($L151="","",IF(INDEX(tblRegistros[Data],$L151)&gt;$D$4,"",IFERROR(INDEX(tblRegistros[Data],$L151),"")))</f>
        <v/>
      </c>
      <c r="B151" t="str">
        <f>IF($L151="","",IF(INDEX(tblRegistros[Data],$L151)&gt;$D$4,"",IFERROR(INDEX(tblRegistros[Projeto],$L151),"")))</f>
        <v/>
      </c>
      <c r="C151" t="str">
        <f>IF($L151="","",IF(INDEX(tblRegistros[Data],$L151)&gt;$D$4,"",IFERROR(INDEX(tblRegistros[Atividade],$L151),"")))</f>
        <v/>
      </c>
      <c r="D151" s="4" t="str">
        <f>IF($L151="","",IF(INDEX(tblRegistros[Data],$L151)&gt;$D$4,"",IFERROR(INDEX(tblRegistros[Início],$L151),"")))</f>
        <v/>
      </c>
      <c r="E151" s="4" t="str">
        <f>IF($L151="","",IF(INDEX(tblRegistros[Data],$L151)&gt;$D$4,"",IFERROR(IF(INDEX(tblRegistros[Status],$L151)="EM ABERTO","",INDEX(tblRegistros[Fim],$L151)),"")))</f>
        <v/>
      </c>
      <c r="F151" s="14" t="str">
        <f>IF($L151="","",IF(INDEX(tblRegistros[Data],$L151)&gt;$D$4,"",IFERROR(IF(INDEX(tblRegistros[Status],$L151)="EM ABERTO","",INDEX(tblRegistros[Horas],$L151)),"")))</f>
        <v/>
      </c>
      <c r="G151" t="str">
        <f>IF($L151="","",IF(INDEX(tblRegistros[Data],$L151)&gt;$D$4,"",IFERROR(INDEX(tblRegistros[Base],$L151),"")))</f>
        <v/>
      </c>
      <c r="H151" s="3" t="str">
        <f>IF($L151="","",IF(INDEX(tblRegistros[Data],$L151)&gt;$D$4,"",IFERROR(INDEX(tblRegistros[Taxa aplicada],$L151),"")))</f>
        <v/>
      </c>
      <c r="I151" s="3" t="str">
        <f>IF($L151="","",IF(INDEX(tblRegistros[Data],$L151)&gt;$D$4,"",IFERROR(IF(INDEX(tblRegistros[Status],$L151)="EM ABERTO","",INDEX(tblRegistros[Valor],$L151)),"")))</f>
        <v/>
      </c>
      <c r="J151" t="str">
        <f>IF($L151="","",IF(INDEX(tblRegistros[Data],$L151)&gt;$D$4,"",IFERROR(INDEX(tblRegistros[Status],$L151),"")))</f>
        <v/>
      </c>
      <c r="K151" t="str">
        <f>IF($L151="","",IF(INDEX(tblRegistros[Data],$L151)&gt;$D$4,"",IFERROR(INDEX(tblRegistros[Observação],$L151),"")))</f>
        <v/>
      </c>
      <c r="L151" s="16" t="str">
        <f>IFERROR(MATCH($B$3*100000+COUNTIFS(tblRegistros[ID],$B$3,tblRegistros[Data],"&lt;"&amp;$B$4)+ROWS($L$10:L151),tblRegistros[Chave do cartão],0),"")</f>
        <v/>
      </c>
    </row>
    <row r="152" spans="1:12">
      <c r="A152" s="2" t="str">
        <f>IF($L152="","",IF(INDEX(tblRegistros[Data],$L152)&gt;$D$4,"",IFERROR(INDEX(tblRegistros[Data],$L152),"")))</f>
        <v/>
      </c>
      <c r="B152" t="str">
        <f>IF($L152="","",IF(INDEX(tblRegistros[Data],$L152)&gt;$D$4,"",IFERROR(INDEX(tblRegistros[Projeto],$L152),"")))</f>
        <v/>
      </c>
      <c r="C152" t="str">
        <f>IF($L152="","",IF(INDEX(tblRegistros[Data],$L152)&gt;$D$4,"",IFERROR(INDEX(tblRegistros[Atividade],$L152),"")))</f>
        <v/>
      </c>
      <c r="D152" s="4" t="str">
        <f>IF($L152="","",IF(INDEX(tblRegistros[Data],$L152)&gt;$D$4,"",IFERROR(INDEX(tblRegistros[Início],$L152),"")))</f>
        <v/>
      </c>
      <c r="E152" s="4" t="str">
        <f>IF($L152="","",IF(INDEX(tblRegistros[Data],$L152)&gt;$D$4,"",IFERROR(IF(INDEX(tblRegistros[Status],$L152)="EM ABERTO","",INDEX(tblRegistros[Fim],$L152)),"")))</f>
        <v/>
      </c>
      <c r="F152" s="14" t="str">
        <f>IF($L152="","",IF(INDEX(tblRegistros[Data],$L152)&gt;$D$4,"",IFERROR(IF(INDEX(tblRegistros[Status],$L152)="EM ABERTO","",INDEX(tblRegistros[Horas],$L152)),"")))</f>
        <v/>
      </c>
      <c r="G152" t="str">
        <f>IF($L152="","",IF(INDEX(tblRegistros[Data],$L152)&gt;$D$4,"",IFERROR(INDEX(tblRegistros[Base],$L152),"")))</f>
        <v/>
      </c>
      <c r="H152" s="3" t="str">
        <f>IF($L152="","",IF(INDEX(tblRegistros[Data],$L152)&gt;$D$4,"",IFERROR(INDEX(tblRegistros[Taxa aplicada],$L152),"")))</f>
        <v/>
      </c>
      <c r="I152" s="3" t="str">
        <f>IF($L152="","",IF(INDEX(tblRegistros[Data],$L152)&gt;$D$4,"",IFERROR(IF(INDEX(tblRegistros[Status],$L152)="EM ABERTO","",INDEX(tblRegistros[Valor],$L152)),"")))</f>
        <v/>
      </c>
      <c r="J152" t="str">
        <f>IF($L152="","",IF(INDEX(tblRegistros[Data],$L152)&gt;$D$4,"",IFERROR(INDEX(tblRegistros[Status],$L152),"")))</f>
        <v/>
      </c>
      <c r="K152" t="str">
        <f>IF($L152="","",IF(INDEX(tblRegistros[Data],$L152)&gt;$D$4,"",IFERROR(INDEX(tblRegistros[Observação],$L152),"")))</f>
        <v/>
      </c>
      <c r="L152" s="16" t="str">
        <f>IFERROR(MATCH($B$3*100000+COUNTIFS(tblRegistros[ID],$B$3,tblRegistros[Data],"&lt;"&amp;$B$4)+ROWS($L$10:L152),tblRegistros[Chave do cartão],0),"")</f>
        <v/>
      </c>
    </row>
    <row r="153" spans="1:12">
      <c r="A153" s="2" t="str">
        <f>IF($L153="","",IF(INDEX(tblRegistros[Data],$L153)&gt;$D$4,"",IFERROR(INDEX(tblRegistros[Data],$L153),"")))</f>
        <v/>
      </c>
      <c r="B153" t="str">
        <f>IF($L153="","",IF(INDEX(tblRegistros[Data],$L153)&gt;$D$4,"",IFERROR(INDEX(tblRegistros[Projeto],$L153),"")))</f>
        <v/>
      </c>
      <c r="C153" t="str">
        <f>IF($L153="","",IF(INDEX(tblRegistros[Data],$L153)&gt;$D$4,"",IFERROR(INDEX(tblRegistros[Atividade],$L153),"")))</f>
        <v/>
      </c>
      <c r="D153" s="4" t="str">
        <f>IF($L153="","",IF(INDEX(tblRegistros[Data],$L153)&gt;$D$4,"",IFERROR(INDEX(tblRegistros[Início],$L153),"")))</f>
        <v/>
      </c>
      <c r="E153" s="4" t="str">
        <f>IF($L153="","",IF(INDEX(tblRegistros[Data],$L153)&gt;$D$4,"",IFERROR(IF(INDEX(tblRegistros[Status],$L153)="EM ABERTO","",INDEX(tblRegistros[Fim],$L153)),"")))</f>
        <v/>
      </c>
      <c r="F153" s="14" t="str">
        <f>IF($L153="","",IF(INDEX(tblRegistros[Data],$L153)&gt;$D$4,"",IFERROR(IF(INDEX(tblRegistros[Status],$L153)="EM ABERTO","",INDEX(tblRegistros[Horas],$L153)),"")))</f>
        <v/>
      </c>
      <c r="G153" t="str">
        <f>IF($L153="","",IF(INDEX(tblRegistros[Data],$L153)&gt;$D$4,"",IFERROR(INDEX(tblRegistros[Base],$L153),"")))</f>
        <v/>
      </c>
      <c r="H153" s="3" t="str">
        <f>IF($L153="","",IF(INDEX(tblRegistros[Data],$L153)&gt;$D$4,"",IFERROR(INDEX(tblRegistros[Taxa aplicada],$L153),"")))</f>
        <v/>
      </c>
      <c r="I153" s="3" t="str">
        <f>IF($L153="","",IF(INDEX(tblRegistros[Data],$L153)&gt;$D$4,"",IFERROR(IF(INDEX(tblRegistros[Status],$L153)="EM ABERTO","",INDEX(tblRegistros[Valor],$L153)),"")))</f>
        <v/>
      </c>
      <c r="J153" t="str">
        <f>IF($L153="","",IF(INDEX(tblRegistros[Data],$L153)&gt;$D$4,"",IFERROR(INDEX(tblRegistros[Status],$L153),"")))</f>
        <v/>
      </c>
      <c r="K153" t="str">
        <f>IF($L153="","",IF(INDEX(tblRegistros[Data],$L153)&gt;$D$4,"",IFERROR(INDEX(tblRegistros[Observação],$L153),"")))</f>
        <v/>
      </c>
      <c r="L153" s="16" t="str">
        <f>IFERROR(MATCH($B$3*100000+COUNTIFS(tblRegistros[ID],$B$3,tblRegistros[Data],"&lt;"&amp;$B$4)+ROWS($L$10:L153),tblRegistros[Chave do cartão],0),"")</f>
        <v/>
      </c>
    </row>
    <row r="154" spans="1:12">
      <c r="A154" s="2" t="str">
        <f>IF($L154="","",IF(INDEX(tblRegistros[Data],$L154)&gt;$D$4,"",IFERROR(INDEX(tblRegistros[Data],$L154),"")))</f>
        <v/>
      </c>
      <c r="B154" t="str">
        <f>IF($L154="","",IF(INDEX(tblRegistros[Data],$L154)&gt;$D$4,"",IFERROR(INDEX(tblRegistros[Projeto],$L154),"")))</f>
        <v/>
      </c>
      <c r="C154" t="str">
        <f>IF($L154="","",IF(INDEX(tblRegistros[Data],$L154)&gt;$D$4,"",IFERROR(INDEX(tblRegistros[Atividade],$L154),"")))</f>
        <v/>
      </c>
      <c r="D154" s="4" t="str">
        <f>IF($L154="","",IF(INDEX(tblRegistros[Data],$L154)&gt;$D$4,"",IFERROR(INDEX(tblRegistros[Início],$L154),"")))</f>
        <v/>
      </c>
      <c r="E154" s="4" t="str">
        <f>IF($L154="","",IF(INDEX(tblRegistros[Data],$L154)&gt;$D$4,"",IFERROR(IF(INDEX(tblRegistros[Status],$L154)="EM ABERTO","",INDEX(tblRegistros[Fim],$L154)),"")))</f>
        <v/>
      </c>
      <c r="F154" s="14" t="str">
        <f>IF($L154="","",IF(INDEX(tblRegistros[Data],$L154)&gt;$D$4,"",IFERROR(IF(INDEX(tblRegistros[Status],$L154)="EM ABERTO","",INDEX(tblRegistros[Horas],$L154)),"")))</f>
        <v/>
      </c>
      <c r="G154" t="str">
        <f>IF($L154="","",IF(INDEX(tblRegistros[Data],$L154)&gt;$D$4,"",IFERROR(INDEX(tblRegistros[Base],$L154),"")))</f>
        <v/>
      </c>
      <c r="H154" s="3" t="str">
        <f>IF($L154="","",IF(INDEX(tblRegistros[Data],$L154)&gt;$D$4,"",IFERROR(INDEX(tblRegistros[Taxa aplicada],$L154),"")))</f>
        <v/>
      </c>
      <c r="I154" s="3" t="str">
        <f>IF($L154="","",IF(INDEX(tblRegistros[Data],$L154)&gt;$D$4,"",IFERROR(IF(INDEX(tblRegistros[Status],$L154)="EM ABERTO","",INDEX(tblRegistros[Valor],$L154)),"")))</f>
        <v/>
      </c>
      <c r="J154" t="str">
        <f>IF($L154="","",IF(INDEX(tblRegistros[Data],$L154)&gt;$D$4,"",IFERROR(INDEX(tblRegistros[Status],$L154),"")))</f>
        <v/>
      </c>
      <c r="K154" t="str">
        <f>IF($L154="","",IF(INDEX(tblRegistros[Data],$L154)&gt;$D$4,"",IFERROR(INDEX(tblRegistros[Observação],$L154),"")))</f>
        <v/>
      </c>
      <c r="L154" s="16" t="str">
        <f>IFERROR(MATCH($B$3*100000+COUNTIFS(tblRegistros[ID],$B$3,tblRegistros[Data],"&lt;"&amp;$B$4)+ROWS($L$10:L154),tblRegistros[Chave do cartão],0),"")</f>
        <v/>
      </c>
    </row>
    <row r="155" spans="1:12">
      <c r="A155" s="2" t="str">
        <f>IF($L155="","",IF(INDEX(tblRegistros[Data],$L155)&gt;$D$4,"",IFERROR(INDEX(tblRegistros[Data],$L155),"")))</f>
        <v/>
      </c>
      <c r="B155" t="str">
        <f>IF($L155="","",IF(INDEX(tblRegistros[Data],$L155)&gt;$D$4,"",IFERROR(INDEX(tblRegistros[Projeto],$L155),"")))</f>
        <v/>
      </c>
      <c r="C155" t="str">
        <f>IF($L155="","",IF(INDEX(tblRegistros[Data],$L155)&gt;$D$4,"",IFERROR(INDEX(tblRegistros[Atividade],$L155),"")))</f>
        <v/>
      </c>
      <c r="D155" s="4" t="str">
        <f>IF($L155="","",IF(INDEX(tblRegistros[Data],$L155)&gt;$D$4,"",IFERROR(INDEX(tblRegistros[Início],$L155),"")))</f>
        <v/>
      </c>
      <c r="E155" s="4" t="str">
        <f>IF($L155="","",IF(INDEX(tblRegistros[Data],$L155)&gt;$D$4,"",IFERROR(IF(INDEX(tblRegistros[Status],$L155)="EM ABERTO","",INDEX(tblRegistros[Fim],$L155)),"")))</f>
        <v/>
      </c>
      <c r="F155" s="14" t="str">
        <f>IF($L155="","",IF(INDEX(tblRegistros[Data],$L155)&gt;$D$4,"",IFERROR(IF(INDEX(tblRegistros[Status],$L155)="EM ABERTO","",INDEX(tblRegistros[Horas],$L155)),"")))</f>
        <v/>
      </c>
      <c r="G155" t="str">
        <f>IF($L155="","",IF(INDEX(tblRegistros[Data],$L155)&gt;$D$4,"",IFERROR(INDEX(tblRegistros[Base],$L155),"")))</f>
        <v/>
      </c>
      <c r="H155" s="3" t="str">
        <f>IF($L155="","",IF(INDEX(tblRegistros[Data],$L155)&gt;$D$4,"",IFERROR(INDEX(tblRegistros[Taxa aplicada],$L155),"")))</f>
        <v/>
      </c>
      <c r="I155" s="3" t="str">
        <f>IF($L155="","",IF(INDEX(tblRegistros[Data],$L155)&gt;$D$4,"",IFERROR(IF(INDEX(tblRegistros[Status],$L155)="EM ABERTO","",INDEX(tblRegistros[Valor],$L155)),"")))</f>
        <v/>
      </c>
      <c r="J155" t="str">
        <f>IF($L155="","",IF(INDEX(tblRegistros[Data],$L155)&gt;$D$4,"",IFERROR(INDEX(tblRegistros[Status],$L155),"")))</f>
        <v/>
      </c>
      <c r="K155" t="str">
        <f>IF($L155="","",IF(INDEX(tblRegistros[Data],$L155)&gt;$D$4,"",IFERROR(INDEX(tblRegistros[Observação],$L155),"")))</f>
        <v/>
      </c>
      <c r="L155" s="16" t="str">
        <f>IFERROR(MATCH($B$3*100000+COUNTIFS(tblRegistros[ID],$B$3,tblRegistros[Data],"&lt;"&amp;$B$4)+ROWS($L$10:L155),tblRegistros[Chave do cartão],0),"")</f>
        <v/>
      </c>
    </row>
    <row r="156" spans="1:12">
      <c r="A156" s="2" t="str">
        <f>IF($L156="","",IF(INDEX(tblRegistros[Data],$L156)&gt;$D$4,"",IFERROR(INDEX(tblRegistros[Data],$L156),"")))</f>
        <v/>
      </c>
      <c r="B156" t="str">
        <f>IF($L156="","",IF(INDEX(tblRegistros[Data],$L156)&gt;$D$4,"",IFERROR(INDEX(tblRegistros[Projeto],$L156),"")))</f>
        <v/>
      </c>
      <c r="C156" t="str">
        <f>IF($L156="","",IF(INDEX(tblRegistros[Data],$L156)&gt;$D$4,"",IFERROR(INDEX(tblRegistros[Atividade],$L156),"")))</f>
        <v/>
      </c>
      <c r="D156" s="4" t="str">
        <f>IF($L156="","",IF(INDEX(tblRegistros[Data],$L156)&gt;$D$4,"",IFERROR(INDEX(tblRegistros[Início],$L156),"")))</f>
        <v/>
      </c>
      <c r="E156" s="4" t="str">
        <f>IF($L156="","",IF(INDEX(tblRegistros[Data],$L156)&gt;$D$4,"",IFERROR(IF(INDEX(tblRegistros[Status],$L156)="EM ABERTO","",INDEX(tblRegistros[Fim],$L156)),"")))</f>
        <v/>
      </c>
      <c r="F156" s="14" t="str">
        <f>IF($L156="","",IF(INDEX(tblRegistros[Data],$L156)&gt;$D$4,"",IFERROR(IF(INDEX(tblRegistros[Status],$L156)="EM ABERTO","",INDEX(tblRegistros[Horas],$L156)),"")))</f>
        <v/>
      </c>
      <c r="G156" t="str">
        <f>IF($L156="","",IF(INDEX(tblRegistros[Data],$L156)&gt;$D$4,"",IFERROR(INDEX(tblRegistros[Base],$L156),"")))</f>
        <v/>
      </c>
      <c r="H156" s="3" t="str">
        <f>IF($L156="","",IF(INDEX(tblRegistros[Data],$L156)&gt;$D$4,"",IFERROR(INDEX(tblRegistros[Taxa aplicada],$L156),"")))</f>
        <v/>
      </c>
      <c r="I156" s="3" t="str">
        <f>IF($L156="","",IF(INDEX(tblRegistros[Data],$L156)&gt;$D$4,"",IFERROR(IF(INDEX(tblRegistros[Status],$L156)="EM ABERTO","",INDEX(tblRegistros[Valor],$L156)),"")))</f>
        <v/>
      </c>
      <c r="J156" t="str">
        <f>IF($L156="","",IF(INDEX(tblRegistros[Data],$L156)&gt;$D$4,"",IFERROR(INDEX(tblRegistros[Status],$L156),"")))</f>
        <v/>
      </c>
      <c r="K156" t="str">
        <f>IF($L156="","",IF(INDEX(tblRegistros[Data],$L156)&gt;$D$4,"",IFERROR(INDEX(tblRegistros[Observação],$L156),"")))</f>
        <v/>
      </c>
      <c r="L156" s="16" t="str">
        <f>IFERROR(MATCH($B$3*100000+COUNTIFS(tblRegistros[ID],$B$3,tblRegistros[Data],"&lt;"&amp;$B$4)+ROWS($L$10:L156),tblRegistros[Chave do cartão],0),"")</f>
        <v/>
      </c>
    </row>
    <row r="157" spans="1:12">
      <c r="A157" s="2" t="str">
        <f>IF($L157="","",IF(INDEX(tblRegistros[Data],$L157)&gt;$D$4,"",IFERROR(INDEX(tblRegistros[Data],$L157),"")))</f>
        <v/>
      </c>
      <c r="B157" t="str">
        <f>IF($L157="","",IF(INDEX(tblRegistros[Data],$L157)&gt;$D$4,"",IFERROR(INDEX(tblRegistros[Projeto],$L157),"")))</f>
        <v/>
      </c>
      <c r="C157" t="str">
        <f>IF($L157="","",IF(INDEX(tblRegistros[Data],$L157)&gt;$D$4,"",IFERROR(INDEX(tblRegistros[Atividade],$L157),"")))</f>
        <v/>
      </c>
      <c r="D157" s="4" t="str">
        <f>IF($L157="","",IF(INDEX(tblRegistros[Data],$L157)&gt;$D$4,"",IFERROR(INDEX(tblRegistros[Início],$L157),"")))</f>
        <v/>
      </c>
      <c r="E157" s="4" t="str">
        <f>IF($L157="","",IF(INDEX(tblRegistros[Data],$L157)&gt;$D$4,"",IFERROR(IF(INDEX(tblRegistros[Status],$L157)="EM ABERTO","",INDEX(tblRegistros[Fim],$L157)),"")))</f>
        <v/>
      </c>
      <c r="F157" s="14" t="str">
        <f>IF($L157="","",IF(INDEX(tblRegistros[Data],$L157)&gt;$D$4,"",IFERROR(IF(INDEX(tblRegistros[Status],$L157)="EM ABERTO","",INDEX(tblRegistros[Horas],$L157)),"")))</f>
        <v/>
      </c>
      <c r="G157" t="str">
        <f>IF($L157="","",IF(INDEX(tblRegistros[Data],$L157)&gt;$D$4,"",IFERROR(INDEX(tblRegistros[Base],$L157),"")))</f>
        <v/>
      </c>
      <c r="H157" s="3" t="str">
        <f>IF($L157="","",IF(INDEX(tblRegistros[Data],$L157)&gt;$D$4,"",IFERROR(INDEX(tblRegistros[Taxa aplicada],$L157),"")))</f>
        <v/>
      </c>
      <c r="I157" s="3" t="str">
        <f>IF($L157="","",IF(INDEX(tblRegistros[Data],$L157)&gt;$D$4,"",IFERROR(IF(INDEX(tblRegistros[Status],$L157)="EM ABERTO","",INDEX(tblRegistros[Valor],$L157)),"")))</f>
        <v/>
      </c>
      <c r="J157" t="str">
        <f>IF($L157="","",IF(INDEX(tblRegistros[Data],$L157)&gt;$D$4,"",IFERROR(INDEX(tblRegistros[Status],$L157),"")))</f>
        <v/>
      </c>
      <c r="K157" t="str">
        <f>IF($L157="","",IF(INDEX(tblRegistros[Data],$L157)&gt;$D$4,"",IFERROR(INDEX(tblRegistros[Observação],$L157),"")))</f>
        <v/>
      </c>
      <c r="L157" s="16" t="str">
        <f>IFERROR(MATCH($B$3*100000+COUNTIFS(tblRegistros[ID],$B$3,tblRegistros[Data],"&lt;"&amp;$B$4)+ROWS($L$10:L157),tblRegistros[Chave do cartão],0),"")</f>
        <v/>
      </c>
    </row>
    <row r="158" spans="1:12">
      <c r="A158" s="2" t="str">
        <f>IF($L158="","",IF(INDEX(tblRegistros[Data],$L158)&gt;$D$4,"",IFERROR(INDEX(tblRegistros[Data],$L158),"")))</f>
        <v/>
      </c>
      <c r="B158" t="str">
        <f>IF($L158="","",IF(INDEX(tblRegistros[Data],$L158)&gt;$D$4,"",IFERROR(INDEX(tblRegistros[Projeto],$L158),"")))</f>
        <v/>
      </c>
      <c r="C158" t="str">
        <f>IF($L158="","",IF(INDEX(tblRegistros[Data],$L158)&gt;$D$4,"",IFERROR(INDEX(tblRegistros[Atividade],$L158),"")))</f>
        <v/>
      </c>
      <c r="D158" s="4" t="str">
        <f>IF($L158="","",IF(INDEX(tblRegistros[Data],$L158)&gt;$D$4,"",IFERROR(INDEX(tblRegistros[Início],$L158),"")))</f>
        <v/>
      </c>
      <c r="E158" s="4" t="str">
        <f>IF($L158="","",IF(INDEX(tblRegistros[Data],$L158)&gt;$D$4,"",IFERROR(IF(INDEX(tblRegistros[Status],$L158)="EM ABERTO","",INDEX(tblRegistros[Fim],$L158)),"")))</f>
        <v/>
      </c>
      <c r="F158" s="14" t="str">
        <f>IF($L158="","",IF(INDEX(tblRegistros[Data],$L158)&gt;$D$4,"",IFERROR(IF(INDEX(tblRegistros[Status],$L158)="EM ABERTO","",INDEX(tblRegistros[Horas],$L158)),"")))</f>
        <v/>
      </c>
      <c r="G158" t="str">
        <f>IF($L158="","",IF(INDEX(tblRegistros[Data],$L158)&gt;$D$4,"",IFERROR(INDEX(tblRegistros[Base],$L158),"")))</f>
        <v/>
      </c>
      <c r="H158" s="3" t="str">
        <f>IF($L158="","",IF(INDEX(tblRegistros[Data],$L158)&gt;$D$4,"",IFERROR(INDEX(tblRegistros[Taxa aplicada],$L158),"")))</f>
        <v/>
      </c>
      <c r="I158" s="3" t="str">
        <f>IF($L158="","",IF(INDEX(tblRegistros[Data],$L158)&gt;$D$4,"",IFERROR(IF(INDEX(tblRegistros[Status],$L158)="EM ABERTO","",INDEX(tblRegistros[Valor],$L158)),"")))</f>
        <v/>
      </c>
      <c r="J158" t="str">
        <f>IF($L158="","",IF(INDEX(tblRegistros[Data],$L158)&gt;$D$4,"",IFERROR(INDEX(tblRegistros[Status],$L158),"")))</f>
        <v/>
      </c>
      <c r="K158" t="str">
        <f>IF($L158="","",IF(INDEX(tblRegistros[Data],$L158)&gt;$D$4,"",IFERROR(INDEX(tblRegistros[Observação],$L158),"")))</f>
        <v/>
      </c>
      <c r="L158" s="16" t="str">
        <f>IFERROR(MATCH($B$3*100000+COUNTIFS(tblRegistros[ID],$B$3,tblRegistros[Data],"&lt;"&amp;$B$4)+ROWS($L$10:L158),tblRegistros[Chave do cartão],0),"")</f>
        <v/>
      </c>
    </row>
    <row r="159" spans="1:12">
      <c r="A159" s="2" t="str">
        <f>IF($L159="","",IF(INDEX(tblRegistros[Data],$L159)&gt;$D$4,"",IFERROR(INDEX(tblRegistros[Data],$L159),"")))</f>
        <v/>
      </c>
      <c r="B159" t="str">
        <f>IF($L159="","",IF(INDEX(tblRegistros[Data],$L159)&gt;$D$4,"",IFERROR(INDEX(tblRegistros[Projeto],$L159),"")))</f>
        <v/>
      </c>
      <c r="C159" t="str">
        <f>IF($L159="","",IF(INDEX(tblRegistros[Data],$L159)&gt;$D$4,"",IFERROR(INDEX(tblRegistros[Atividade],$L159),"")))</f>
        <v/>
      </c>
      <c r="D159" s="4" t="str">
        <f>IF($L159="","",IF(INDEX(tblRegistros[Data],$L159)&gt;$D$4,"",IFERROR(INDEX(tblRegistros[Início],$L159),"")))</f>
        <v/>
      </c>
      <c r="E159" s="4" t="str">
        <f>IF($L159="","",IF(INDEX(tblRegistros[Data],$L159)&gt;$D$4,"",IFERROR(IF(INDEX(tblRegistros[Status],$L159)="EM ABERTO","",INDEX(tblRegistros[Fim],$L159)),"")))</f>
        <v/>
      </c>
      <c r="F159" s="14" t="str">
        <f>IF($L159="","",IF(INDEX(tblRegistros[Data],$L159)&gt;$D$4,"",IFERROR(IF(INDEX(tblRegistros[Status],$L159)="EM ABERTO","",INDEX(tblRegistros[Horas],$L159)),"")))</f>
        <v/>
      </c>
      <c r="G159" t="str">
        <f>IF($L159="","",IF(INDEX(tblRegistros[Data],$L159)&gt;$D$4,"",IFERROR(INDEX(tblRegistros[Base],$L159),"")))</f>
        <v/>
      </c>
      <c r="H159" s="3" t="str">
        <f>IF($L159="","",IF(INDEX(tblRegistros[Data],$L159)&gt;$D$4,"",IFERROR(INDEX(tblRegistros[Taxa aplicada],$L159),"")))</f>
        <v/>
      </c>
      <c r="I159" s="3" t="str">
        <f>IF($L159="","",IF(INDEX(tblRegistros[Data],$L159)&gt;$D$4,"",IFERROR(IF(INDEX(tblRegistros[Status],$L159)="EM ABERTO","",INDEX(tblRegistros[Valor],$L159)),"")))</f>
        <v/>
      </c>
      <c r="J159" t="str">
        <f>IF($L159="","",IF(INDEX(tblRegistros[Data],$L159)&gt;$D$4,"",IFERROR(INDEX(tblRegistros[Status],$L159),"")))</f>
        <v/>
      </c>
      <c r="K159" t="str">
        <f>IF($L159="","",IF(INDEX(tblRegistros[Data],$L159)&gt;$D$4,"",IFERROR(INDEX(tblRegistros[Observação],$L159),"")))</f>
        <v/>
      </c>
      <c r="L159" s="16" t="str">
        <f>IFERROR(MATCH($B$3*100000+COUNTIFS(tblRegistros[ID],$B$3,tblRegistros[Data],"&lt;"&amp;$B$4)+ROWS($L$10:L159),tblRegistros[Chave do cartão],0),"")</f>
        <v/>
      </c>
    </row>
    <row r="160" spans="1:12">
      <c r="A160" s="2" t="str">
        <f>IF($L160="","",IF(INDEX(tblRegistros[Data],$L160)&gt;$D$4,"",IFERROR(INDEX(tblRegistros[Data],$L160),"")))</f>
        <v/>
      </c>
      <c r="B160" t="str">
        <f>IF($L160="","",IF(INDEX(tblRegistros[Data],$L160)&gt;$D$4,"",IFERROR(INDEX(tblRegistros[Projeto],$L160),"")))</f>
        <v/>
      </c>
      <c r="C160" t="str">
        <f>IF($L160="","",IF(INDEX(tblRegistros[Data],$L160)&gt;$D$4,"",IFERROR(INDEX(tblRegistros[Atividade],$L160),"")))</f>
        <v/>
      </c>
      <c r="D160" s="4" t="str">
        <f>IF($L160="","",IF(INDEX(tblRegistros[Data],$L160)&gt;$D$4,"",IFERROR(INDEX(tblRegistros[Início],$L160),"")))</f>
        <v/>
      </c>
      <c r="E160" s="4" t="str">
        <f>IF($L160="","",IF(INDEX(tblRegistros[Data],$L160)&gt;$D$4,"",IFERROR(IF(INDEX(tblRegistros[Status],$L160)="EM ABERTO","",INDEX(tblRegistros[Fim],$L160)),"")))</f>
        <v/>
      </c>
      <c r="F160" s="14" t="str">
        <f>IF($L160="","",IF(INDEX(tblRegistros[Data],$L160)&gt;$D$4,"",IFERROR(IF(INDEX(tblRegistros[Status],$L160)="EM ABERTO","",INDEX(tblRegistros[Horas],$L160)),"")))</f>
        <v/>
      </c>
      <c r="G160" t="str">
        <f>IF($L160="","",IF(INDEX(tblRegistros[Data],$L160)&gt;$D$4,"",IFERROR(INDEX(tblRegistros[Base],$L160),"")))</f>
        <v/>
      </c>
      <c r="H160" s="3" t="str">
        <f>IF($L160="","",IF(INDEX(tblRegistros[Data],$L160)&gt;$D$4,"",IFERROR(INDEX(tblRegistros[Taxa aplicada],$L160),"")))</f>
        <v/>
      </c>
      <c r="I160" s="3" t="str">
        <f>IF($L160="","",IF(INDEX(tblRegistros[Data],$L160)&gt;$D$4,"",IFERROR(IF(INDEX(tblRegistros[Status],$L160)="EM ABERTO","",INDEX(tblRegistros[Valor],$L160)),"")))</f>
        <v/>
      </c>
      <c r="J160" t="str">
        <f>IF($L160="","",IF(INDEX(tblRegistros[Data],$L160)&gt;$D$4,"",IFERROR(INDEX(tblRegistros[Status],$L160),"")))</f>
        <v/>
      </c>
      <c r="K160" t="str">
        <f>IF($L160="","",IF(INDEX(tblRegistros[Data],$L160)&gt;$D$4,"",IFERROR(INDEX(tblRegistros[Observação],$L160),"")))</f>
        <v/>
      </c>
      <c r="L160" s="16" t="str">
        <f>IFERROR(MATCH($B$3*100000+COUNTIFS(tblRegistros[ID],$B$3,tblRegistros[Data],"&lt;"&amp;$B$4)+ROWS($L$10:L160),tblRegistros[Chave do cartão],0),"")</f>
        <v/>
      </c>
    </row>
    <row r="161" spans="1:12">
      <c r="A161" s="2" t="str">
        <f>IF($L161="","",IF(INDEX(tblRegistros[Data],$L161)&gt;$D$4,"",IFERROR(INDEX(tblRegistros[Data],$L161),"")))</f>
        <v/>
      </c>
      <c r="B161" t="str">
        <f>IF($L161="","",IF(INDEX(tblRegistros[Data],$L161)&gt;$D$4,"",IFERROR(INDEX(tblRegistros[Projeto],$L161),"")))</f>
        <v/>
      </c>
      <c r="C161" t="str">
        <f>IF($L161="","",IF(INDEX(tblRegistros[Data],$L161)&gt;$D$4,"",IFERROR(INDEX(tblRegistros[Atividade],$L161),"")))</f>
        <v/>
      </c>
      <c r="D161" s="4" t="str">
        <f>IF($L161="","",IF(INDEX(tblRegistros[Data],$L161)&gt;$D$4,"",IFERROR(INDEX(tblRegistros[Início],$L161),"")))</f>
        <v/>
      </c>
      <c r="E161" s="4" t="str">
        <f>IF($L161="","",IF(INDEX(tblRegistros[Data],$L161)&gt;$D$4,"",IFERROR(IF(INDEX(tblRegistros[Status],$L161)="EM ABERTO","",INDEX(tblRegistros[Fim],$L161)),"")))</f>
        <v/>
      </c>
      <c r="F161" s="14" t="str">
        <f>IF($L161="","",IF(INDEX(tblRegistros[Data],$L161)&gt;$D$4,"",IFERROR(IF(INDEX(tblRegistros[Status],$L161)="EM ABERTO","",INDEX(tblRegistros[Horas],$L161)),"")))</f>
        <v/>
      </c>
      <c r="G161" t="str">
        <f>IF($L161="","",IF(INDEX(tblRegistros[Data],$L161)&gt;$D$4,"",IFERROR(INDEX(tblRegistros[Base],$L161),"")))</f>
        <v/>
      </c>
      <c r="H161" s="3" t="str">
        <f>IF($L161="","",IF(INDEX(tblRegistros[Data],$L161)&gt;$D$4,"",IFERROR(INDEX(tblRegistros[Taxa aplicada],$L161),"")))</f>
        <v/>
      </c>
      <c r="I161" s="3" t="str">
        <f>IF($L161="","",IF(INDEX(tblRegistros[Data],$L161)&gt;$D$4,"",IFERROR(IF(INDEX(tblRegistros[Status],$L161)="EM ABERTO","",INDEX(tblRegistros[Valor],$L161)),"")))</f>
        <v/>
      </c>
      <c r="J161" t="str">
        <f>IF($L161="","",IF(INDEX(tblRegistros[Data],$L161)&gt;$D$4,"",IFERROR(INDEX(tblRegistros[Status],$L161),"")))</f>
        <v/>
      </c>
      <c r="K161" t="str">
        <f>IF($L161="","",IF(INDEX(tblRegistros[Data],$L161)&gt;$D$4,"",IFERROR(INDEX(tblRegistros[Observação],$L161),"")))</f>
        <v/>
      </c>
      <c r="L161" s="16" t="str">
        <f>IFERROR(MATCH($B$3*100000+COUNTIFS(tblRegistros[ID],$B$3,tblRegistros[Data],"&lt;"&amp;$B$4)+ROWS($L$10:L161),tblRegistros[Chave do cartão],0),"")</f>
        <v/>
      </c>
    </row>
    <row r="162" spans="1:12">
      <c r="A162" s="2" t="str">
        <f>IF($L162="","",IF(INDEX(tblRegistros[Data],$L162)&gt;$D$4,"",IFERROR(INDEX(tblRegistros[Data],$L162),"")))</f>
        <v/>
      </c>
      <c r="B162" t="str">
        <f>IF($L162="","",IF(INDEX(tblRegistros[Data],$L162)&gt;$D$4,"",IFERROR(INDEX(tblRegistros[Projeto],$L162),"")))</f>
        <v/>
      </c>
      <c r="C162" t="str">
        <f>IF($L162="","",IF(INDEX(tblRegistros[Data],$L162)&gt;$D$4,"",IFERROR(INDEX(tblRegistros[Atividade],$L162),"")))</f>
        <v/>
      </c>
      <c r="D162" s="4" t="str">
        <f>IF($L162="","",IF(INDEX(tblRegistros[Data],$L162)&gt;$D$4,"",IFERROR(INDEX(tblRegistros[Início],$L162),"")))</f>
        <v/>
      </c>
      <c r="E162" s="4" t="str">
        <f>IF($L162="","",IF(INDEX(tblRegistros[Data],$L162)&gt;$D$4,"",IFERROR(IF(INDEX(tblRegistros[Status],$L162)="EM ABERTO","",INDEX(tblRegistros[Fim],$L162)),"")))</f>
        <v/>
      </c>
      <c r="F162" s="14" t="str">
        <f>IF($L162="","",IF(INDEX(tblRegistros[Data],$L162)&gt;$D$4,"",IFERROR(IF(INDEX(tblRegistros[Status],$L162)="EM ABERTO","",INDEX(tblRegistros[Horas],$L162)),"")))</f>
        <v/>
      </c>
      <c r="G162" t="str">
        <f>IF($L162="","",IF(INDEX(tblRegistros[Data],$L162)&gt;$D$4,"",IFERROR(INDEX(tblRegistros[Base],$L162),"")))</f>
        <v/>
      </c>
      <c r="H162" s="3" t="str">
        <f>IF($L162="","",IF(INDEX(tblRegistros[Data],$L162)&gt;$D$4,"",IFERROR(INDEX(tblRegistros[Taxa aplicada],$L162),"")))</f>
        <v/>
      </c>
      <c r="I162" s="3" t="str">
        <f>IF($L162="","",IF(INDEX(tblRegistros[Data],$L162)&gt;$D$4,"",IFERROR(IF(INDEX(tblRegistros[Status],$L162)="EM ABERTO","",INDEX(tblRegistros[Valor],$L162)),"")))</f>
        <v/>
      </c>
      <c r="J162" t="str">
        <f>IF($L162="","",IF(INDEX(tblRegistros[Data],$L162)&gt;$D$4,"",IFERROR(INDEX(tblRegistros[Status],$L162),"")))</f>
        <v/>
      </c>
      <c r="K162" t="str">
        <f>IF($L162="","",IF(INDEX(tblRegistros[Data],$L162)&gt;$D$4,"",IFERROR(INDEX(tblRegistros[Observação],$L162),"")))</f>
        <v/>
      </c>
      <c r="L162" s="16" t="str">
        <f>IFERROR(MATCH($B$3*100000+COUNTIFS(tblRegistros[ID],$B$3,tblRegistros[Data],"&lt;"&amp;$B$4)+ROWS($L$10:L162),tblRegistros[Chave do cartão],0),"")</f>
        <v/>
      </c>
    </row>
    <row r="163" spans="1:12">
      <c r="A163" s="2" t="str">
        <f>IF($L163="","",IF(INDEX(tblRegistros[Data],$L163)&gt;$D$4,"",IFERROR(INDEX(tblRegistros[Data],$L163),"")))</f>
        <v/>
      </c>
      <c r="B163" t="str">
        <f>IF($L163="","",IF(INDEX(tblRegistros[Data],$L163)&gt;$D$4,"",IFERROR(INDEX(tblRegistros[Projeto],$L163),"")))</f>
        <v/>
      </c>
      <c r="C163" t="str">
        <f>IF($L163="","",IF(INDEX(tblRegistros[Data],$L163)&gt;$D$4,"",IFERROR(INDEX(tblRegistros[Atividade],$L163),"")))</f>
        <v/>
      </c>
      <c r="D163" s="4" t="str">
        <f>IF($L163="","",IF(INDEX(tblRegistros[Data],$L163)&gt;$D$4,"",IFERROR(INDEX(tblRegistros[Início],$L163),"")))</f>
        <v/>
      </c>
      <c r="E163" s="4" t="str">
        <f>IF($L163="","",IF(INDEX(tblRegistros[Data],$L163)&gt;$D$4,"",IFERROR(IF(INDEX(tblRegistros[Status],$L163)="EM ABERTO","",INDEX(tblRegistros[Fim],$L163)),"")))</f>
        <v/>
      </c>
      <c r="F163" s="14" t="str">
        <f>IF($L163="","",IF(INDEX(tblRegistros[Data],$L163)&gt;$D$4,"",IFERROR(IF(INDEX(tblRegistros[Status],$L163)="EM ABERTO","",INDEX(tblRegistros[Horas],$L163)),"")))</f>
        <v/>
      </c>
      <c r="G163" t="str">
        <f>IF($L163="","",IF(INDEX(tblRegistros[Data],$L163)&gt;$D$4,"",IFERROR(INDEX(tblRegistros[Base],$L163),"")))</f>
        <v/>
      </c>
      <c r="H163" s="3" t="str">
        <f>IF($L163="","",IF(INDEX(tblRegistros[Data],$L163)&gt;$D$4,"",IFERROR(INDEX(tblRegistros[Taxa aplicada],$L163),"")))</f>
        <v/>
      </c>
      <c r="I163" s="3" t="str">
        <f>IF($L163="","",IF(INDEX(tblRegistros[Data],$L163)&gt;$D$4,"",IFERROR(IF(INDEX(tblRegistros[Status],$L163)="EM ABERTO","",INDEX(tblRegistros[Valor],$L163)),"")))</f>
        <v/>
      </c>
      <c r="J163" t="str">
        <f>IF($L163="","",IF(INDEX(tblRegistros[Data],$L163)&gt;$D$4,"",IFERROR(INDEX(tblRegistros[Status],$L163),"")))</f>
        <v/>
      </c>
      <c r="K163" t="str">
        <f>IF($L163="","",IF(INDEX(tblRegistros[Data],$L163)&gt;$D$4,"",IFERROR(INDEX(tblRegistros[Observação],$L163),"")))</f>
        <v/>
      </c>
      <c r="L163" s="16" t="str">
        <f>IFERROR(MATCH($B$3*100000+COUNTIFS(tblRegistros[ID],$B$3,tblRegistros[Data],"&lt;"&amp;$B$4)+ROWS($L$10:L163),tblRegistros[Chave do cartão],0),"")</f>
        <v/>
      </c>
    </row>
    <row r="164" spans="1:12">
      <c r="A164" s="2" t="str">
        <f>IF($L164="","",IF(INDEX(tblRegistros[Data],$L164)&gt;$D$4,"",IFERROR(INDEX(tblRegistros[Data],$L164),"")))</f>
        <v/>
      </c>
      <c r="B164" t="str">
        <f>IF($L164="","",IF(INDEX(tblRegistros[Data],$L164)&gt;$D$4,"",IFERROR(INDEX(tblRegistros[Projeto],$L164),"")))</f>
        <v/>
      </c>
      <c r="C164" t="str">
        <f>IF($L164="","",IF(INDEX(tblRegistros[Data],$L164)&gt;$D$4,"",IFERROR(INDEX(tblRegistros[Atividade],$L164),"")))</f>
        <v/>
      </c>
      <c r="D164" s="4" t="str">
        <f>IF($L164="","",IF(INDEX(tblRegistros[Data],$L164)&gt;$D$4,"",IFERROR(INDEX(tblRegistros[Início],$L164),"")))</f>
        <v/>
      </c>
      <c r="E164" s="4" t="str">
        <f>IF($L164="","",IF(INDEX(tblRegistros[Data],$L164)&gt;$D$4,"",IFERROR(IF(INDEX(tblRegistros[Status],$L164)="EM ABERTO","",INDEX(tblRegistros[Fim],$L164)),"")))</f>
        <v/>
      </c>
      <c r="F164" s="14" t="str">
        <f>IF($L164="","",IF(INDEX(tblRegistros[Data],$L164)&gt;$D$4,"",IFERROR(IF(INDEX(tblRegistros[Status],$L164)="EM ABERTO","",INDEX(tblRegistros[Horas],$L164)),"")))</f>
        <v/>
      </c>
      <c r="G164" t="str">
        <f>IF($L164="","",IF(INDEX(tblRegistros[Data],$L164)&gt;$D$4,"",IFERROR(INDEX(tblRegistros[Base],$L164),"")))</f>
        <v/>
      </c>
      <c r="H164" s="3" t="str">
        <f>IF($L164="","",IF(INDEX(tblRegistros[Data],$L164)&gt;$D$4,"",IFERROR(INDEX(tblRegistros[Taxa aplicada],$L164),"")))</f>
        <v/>
      </c>
      <c r="I164" s="3" t="str">
        <f>IF($L164="","",IF(INDEX(tblRegistros[Data],$L164)&gt;$D$4,"",IFERROR(IF(INDEX(tblRegistros[Status],$L164)="EM ABERTO","",INDEX(tblRegistros[Valor],$L164)),"")))</f>
        <v/>
      </c>
      <c r="J164" t="str">
        <f>IF($L164="","",IF(INDEX(tblRegistros[Data],$L164)&gt;$D$4,"",IFERROR(INDEX(tblRegistros[Status],$L164),"")))</f>
        <v/>
      </c>
      <c r="K164" t="str">
        <f>IF($L164="","",IF(INDEX(tblRegistros[Data],$L164)&gt;$D$4,"",IFERROR(INDEX(tblRegistros[Observação],$L164),"")))</f>
        <v/>
      </c>
      <c r="L164" s="16" t="str">
        <f>IFERROR(MATCH($B$3*100000+COUNTIFS(tblRegistros[ID],$B$3,tblRegistros[Data],"&lt;"&amp;$B$4)+ROWS($L$10:L164),tblRegistros[Chave do cartão],0),"")</f>
        <v/>
      </c>
    </row>
    <row r="165" spans="1:12">
      <c r="A165" s="2" t="str">
        <f>IF($L165="","",IF(INDEX(tblRegistros[Data],$L165)&gt;$D$4,"",IFERROR(INDEX(tblRegistros[Data],$L165),"")))</f>
        <v/>
      </c>
      <c r="B165" t="str">
        <f>IF($L165="","",IF(INDEX(tblRegistros[Data],$L165)&gt;$D$4,"",IFERROR(INDEX(tblRegistros[Projeto],$L165),"")))</f>
        <v/>
      </c>
      <c r="C165" t="str">
        <f>IF($L165="","",IF(INDEX(tblRegistros[Data],$L165)&gt;$D$4,"",IFERROR(INDEX(tblRegistros[Atividade],$L165),"")))</f>
        <v/>
      </c>
      <c r="D165" s="4" t="str">
        <f>IF($L165="","",IF(INDEX(tblRegistros[Data],$L165)&gt;$D$4,"",IFERROR(INDEX(tblRegistros[Início],$L165),"")))</f>
        <v/>
      </c>
      <c r="E165" s="4" t="str">
        <f>IF($L165="","",IF(INDEX(tblRegistros[Data],$L165)&gt;$D$4,"",IFERROR(IF(INDEX(tblRegistros[Status],$L165)="EM ABERTO","",INDEX(tblRegistros[Fim],$L165)),"")))</f>
        <v/>
      </c>
      <c r="F165" s="14" t="str">
        <f>IF($L165="","",IF(INDEX(tblRegistros[Data],$L165)&gt;$D$4,"",IFERROR(IF(INDEX(tblRegistros[Status],$L165)="EM ABERTO","",INDEX(tblRegistros[Horas],$L165)),"")))</f>
        <v/>
      </c>
      <c r="G165" t="str">
        <f>IF($L165="","",IF(INDEX(tblRegistros[Data],$L165)&gt;$D$4,"",IFERROR(INDEX(tblRegistros[Base],$L165),"")))</f>
        <v/>
      </c>
      <c r="H165" s="3" t="str">
        <f>IF($L165="","",IF(INDEX(tblRegistros[Data],$L165)&gt;$D$4,"",IFERROR(INDEX(tblRegistros[Taxa aplicada],$L165),"")))</f>
        <v/>
      </c>
      <c r="I165" s="3" t="str">
        <f>IF($L165="","",IF(INDEX(tblRegistros[Data],$L165)&gt;$D$4,"",IFERROR(IF(INDEX(tblRegistros[Status],$L165)="EM ABERTO","",INDEX(tblRegistros[Valor],$L165)),"")))</f>
        <v/>
      </c>
      <c r="J165" t="str">
        <f>IF($L165="","",IF(INDEX(tblRegistros[Data],$L165)&gt;$D$4,"",IFERROR(INDEX(tblRegistros[Status],$L165),"")))</f>
        <v/>
      </c>
      <c r="K165" t="str">
        <f>IF($L165="","",IF(INDEX(tblRegistros[Data],$L165)&gt;$D$4,"",IFERROR(INDEX(tblRegistros[Observação],$L165),"")))</f>
        <v/>
      </c>
      <c r="L165" s="16" t="str">
        <f>IFERROR(MATCH($B$3*100000+COUNTIFS(tblRegistros[ID],$B$3,tblRegistros[Data],"&lt;"&amp;$B$4)+ROWS($L$10:L165),tblRegistros[Chave do cartão],0),"")</f>
        <v/>
      </c>
    </row>
    <row r="166" spans="1:12">
      <c r="A166" s="2" t="str">
        <f>IF($L166="","",IF(INDEX(tblRegistros[Data],$L166)&gt;$D$4,"",IFERROR(INDEX(tblRegistros[Data],$L166),"")))</f>
        <v/>
      </c>
      <c r="B166" t="str">
        <f>IF($L166="","",IF(INDEX(tblRegistros[Data],$L166)&gt;$D$4,"",IFERROR(INDEX(tblRegistros[Projeto],$L166),"")))</f>
        <v/>
      </c>
      <c r="C166" t="str">
        <f>IF($L166="","",IF(INDEX(tblRegistros[Data],$L166)&gt;$D$4,"",IFERROR(INDEX(tblRegistros[Atividade],$L166),"")))</f>
        <v/>
      </c>
      <c r="D166" s="4" t="str">
        <f>IF($L166="","",IF(INDEX(tblRegistros[Data],$L166)&gt;$D$4,"",IFERROR(INDEX(tblRegistros[Início],$L166),"")))</f>
        <v/>
      </c>
      <c r="E166" s="4" t="str">
        <f>IF($L166="","",IF(INDEX(tblRegistros[Data],$L166)&gt;$D$4,"",IFERROR(IF(INDEX(tblRegistros[Status],$L166)="EM ABERTO","",INDEX(tblRegistros[Fim],$L166)),"")))</f>
        <v/>
      </c>
      <c r="F166" s="14" t="str">
        <f>IF($L166="","",IF(INDEX(tblRegistros[Data],$L166)&gt;$D$4,"",IFERROR(IF(INDEX(tblRegistros[Status],$L166)="EM ABERTO","",INDEX(tblRegistros[Horas],$L166)),"")))</f>
        <v/>
      </c>
      <c r="G166" t="str">
        <f>IF($L166="","",IF(INDEX(tblRegistros[Data],$L166)&gt;$D$4,"",IFERROR(INDEX(tblRegistros[Base],$L166),"")))</f>
        <v/>
      </c>
      <c r="H166" s="3" t="str">
        <f>IF($L166="","",IF(INDEX(tblRegistros[Data],$L166)&gt;$D$4,"",IFERROR(INDEX(tblRegistros[Taxa aplicada],$L166),"")))</f>
        <v/>
      </c>
      <c r="I166" s="3" t="str">
        <f>IF($L166="","",IF(INDEX(tblRegistros[Data],$L166)&gt;$D$4,"",IFERROR(IF(INDEX(tblRegistros[Status],$L166)="EM ABERTO","",INDEX(tblRegistros[Valor],$L166)),"")))</f>
        <v/>
      </c>
      <c r="J166" t="str">
        <f>IF($L166="","",IF(INDEX(tblRegistros[Data],$L166)&gt;$D$4,"",IFERROR(INDEX(tblRegistros[Status],$L166),"")))</f>
        <v/>
      </c>
      <c r="K166" t="str">
        <f>IF($L166="","",IF(INDEX(tblRegistros[Data],$L166)&gt;$D$4,"",IFERROR(INDEX(tblRegistros[Observação],$L166),"")))</f>
        <v/>
      </c>
      <c r="L166" s="16" t="str">
        <f>IFERROR(MATCH($B$3*100000+COUNTIFS(tblRegistros[ID],$B$3,tblRegistros[Data],"&lt;"&amp;$B$4)+ROWS($L$10:L166),tblRegistros[Chave do cartão],0),"")</f>
        <v/>
      </c>
    </row>
    <row r="167" spans="1:12">
      <c r="A167" s="2" t="str">
        <f>IF($L167="","",IF(INDEX(tblRegistros[Data],$L167)&gt;$D$4,"",IFERROR(INDEX(tblRegistros[Data],$L167),"")))</f>
        <v/>
      </c>
      <c r="B167" t="str">
        <f>IF($L167="","",IF(INDEX(tblRegistros[Data],$L167)&gt;$D$4,"",IFERROR(INDEX(tblRegistros[Projeto],$L167),"")))</f>
        <v/>
      </c>
      <c r="C167" t="str">
        <f>IF($L167="","",IF(INDEX(tblRegistros[Data],$L167)&gt;$D$4,"",IFERROR(INDEX(tblRegistros[Atividade],$L167),"")))</f>
        <v/>
      </c>
      <c r="D167" s="4" t="str">
        <f>IF($L167="","",IF(INDEX(tblRegistros[Data],$L167)&gt;$D$4,"",IFERROR(INDEX(tblRegistros[Início],$L167),"")))</f>
        <v/>
      </c>
      <c r="E167" s="4" t="str">
        <f>IF($L167="","",IF(INDEX(tblRegistros[Data],$L167)&gt;$D$4,"",IFERROR(IF(INDEX(tblRegistros[Status],$L167)="EM ABERTO","",INDEX(tblRegistros[Fim],$L167)),"")))</f>
        <v/>
      </c>
      <c r="F167" s="14" t="str">
        <f>IF($L167="","",IF(INDEX(tblRegistros[Data],$L167)&gt;$D$4,"",IFERROR(IF(INDEX(tblRegistros[Status],$L167)="EM ABERTO","",INDEX(tblRegistros[Horas],$L167)),"")))</f>
        <v/>
      </c>
      <c r="G167" t="str">
        <f>IF($L167="","",IF(INDEX(tblRegistros[Data],$L167)&gt;$D$4,"",IFERROR(INDEX(tblRegistros[Base],$L167),"")))</f>
        <v/>
      </c>
      <c r="H167" s="3" t="str">
        <f>IF($L167="","",IF(INDEX(tblRegistros[Data],$L167)&gt;$D$4,"",IFERROR(INDEX(tblRegistros[Taxa aplicada],$L167),"")))</f>
        <v/>
      </c>
      <c r="I167" s="3" t="str">
        <f>IF($L167="","",IF(INDEX(tblRegistros[Data],$L167)&gt;$D$4,"",IFERROR(IF(INDEX(tblRegistros[Status],$L167)="EM ABERTO","",INDEX(tblRegistros[Valor],$L167)),"")))</f>
        <v/>
      </c>
      <c r="J167" t="str">
        <f>IF($L167="","",IF(INDEX(tblRegistros[Data],$L167)&gt;$D$4,"",IFERROR(INDEX(tblRegistros[Status],$L167),"")))</f>
        <v/>
      </c>
      <c r="K167" t="str">
        <f>IF($L167="","",IF(INDEX(tblRegistros[Data],$L167)&gt;$D$4,"",IFERROR(INDEX(tblRegistros[Observação],$L167),"")))</f>
        <v/>
      </c>
      <c r="L167" s="16" t="str">
        <f>IFERROR(MATCH($B$3*100000+COUNTIFS(tblRegistros[ID],$B$3,tblRegistros[Data],"&lt;"&amp;$B$4)+ROWS($L$10:L167),tblRegistros[Chave do cartão],0),"")</f>
        <v/>
      </c>
    </row>
    <row r="168" spans="1:12">
      <c r="A168" s="2" t="str">
        <f>IF($L168="","",IF(INDEX(tblRegistros[Data],$L168)&gt;$D$4,"",IFERROR(INDEX(tblRegistros[Data],$L168),"")))</f>
        <v/>
      </c>
      <c r="B168" t="str">
        <f>IF($L168="","",IF(INDEX(tblRegistros[Data],$L168)&gt;$D$4,"",IFERROR(INDEX(tblRegistros[Projeto],$L168),"")))</f>
        <v/>
      </c>
      <c r="C168" t="str">
        <f>IF($L168="","",IF(INDEX(tblRegistros[Data],$L168)&gt;$D$4,"",IFERROR(INDEX(tblRegistros[Atividade],$L168),"")))</f>
        <v/>
      </c>
      <c r="D168" s="4" t="str">
        <f>IF($L168="","",IF(INDEX(tblRegistros[Data],$L168)&gt;$D$4,"",IFERROR(INDEX(tblRegistros[Início],$L168),"")))</f>
        <v/>
      </c>
      <c r="E168" s="4" t="str">
        <f>IF($L168="","",IF(INDEX(tblRegistros[Data],$L168)&gt;$D$4,"",IFERROR(IF(INDEX(tblRegistros[Status],$L168)="EM ABERTO","",INDEX(tblRegistros[Fim],$L168)),"")))</f>
        <v/>
      </c>
      <c r="F168" s="14" t="str">
        <f>IF($L168="","",IF(INDEX(tblRegistros[Data],$L168)&gt;$D$4,"",IFERROR(IF(INDEX(tblRegistros[Status],$L168)="EM ABERTO","",INDEX(tblRegistros[Horas],$L168)),"")))</f>
        <v/>
      </c>
      <c r="G168" t="str">
        <f>IF($L168="","",IF(INDEX(tblRegistros[Data],$L168)&gt;$D$4,"",IFERROR(INDEX(tblRegistros[Base],$L168),"")))</f>
        <v/>
      </c>
      <c r="H168" s="3" t="str">
        <f>IF($L168="","",IF(INDEX(tblRegistros[Data],$L168)&gt;$D$4,"",IFERROR(INDEX(tblRegistros[Taxa aplicada],$L168),"")))</f>
        <v/>
      </c>
      <c r="I168" s="3" t="str">
        <f>IF($L168="","",IF(INDEX(tblRegistros[Data],$L168)&gt;$D$4,"",IFERROR(IF(INDEX(tblRegistros[Status],$L168)="EM ABERTO","",INDEX(tblRegistros[Valor],$L168)),"")))</f>
        <v/>
      </c>
      <c r="J168" t="str">
        <f>IF($L168="","",IF(INDEX(tblRegistros[Data],$L168)&gt;$D$4,"",IFERROR(INDEX(tblRegistros[Status],$L168),"")))</f>
        <v/>
      </c>
      <c r="K168" t="str">
        <f>IF($L168="","",IF(INDEX(tblRegistros[Data],$L168)&gt;$D$4,"",IFERROR(INDEX(tblRegistros[Observação],$L168),"")))</f>
        <v/>
      </c>
      <c r="L168" s="16" t="str">
        <f>IFERROR(MATCH($B$3*100000+COUNTIFS(tblRegistros[ID],$B$3,tblRegistros[Data],"&lt;"&amp;$B$4)+ROWS($L$10:L168),tblRegistros[Chave do cartão],0),"")</f>
        <v/>
      </c>
    </row>
    <row r="169" spans="1:12">
      <c r="A169" s="2" t="str">
        <f>IF($L169="","",IF(INDEX(tblRegistros[Data],$L169)&gt;$D$4,"",IFERROR(INDEX(tblRegistros[Data],$L169),"")))</f>
        <v/>
      </c>
      <c r="B169" t="str">
        <f>IF($L169="","",IF(INDEX(tblRegistros[Data],$L169)&gt;$D$4,"",IFERROR(INDEX(tblRegistros[Projeto],$L169),"")))</f>
        <v/>
      </c>
      <c r="C169" t="str">
        <f>IF($L169="","",IF(INDEX(tblRegistros[Data],$L169)&gt;$D$4,"",IFERROR(INDEX(tblRegistros[Atividade],$L169),"")))</f>
        <v/>
      </c>
      <c r="D169" s="4" t="str">
        <f>IF($L169="","",IF(INDEX(tblRegistros[Data],$L169)&gt;$D$4,"",IFERROR(INDEX(tblRegistros[Início],$L169),"")))</f>
        <v/>
      </c>
      <c r="E169" s="4" t="str">
        <f>IF($L169="","",IF(INDEX(tblRegistros[Data],$L169)&gt;$D$4,"",IFERROR(IF(INDEX(tblRegistros[Status],$L169)="EM ABERTO","",INDEX(tblRegistros[Fim],$L169)),"")))</f>
        <v/>
      </c>
      <c r="F169" s="14" t="str">
        <f>IF($L169="","",IF(INDEX(tblRegistros[Data],$L169)&gt;$D$4,"",IFERROR(IF(INDEX(tblRegistros[Status],$L169)="EM ABERTO","",INDEX(tblRegistros[Horas],$L169)),"")))</f>
        <v/>
      </c>
      <c r="G169" t="str">
        <f>IF($L169="","",IF(INDEX(tblRegistros[Data],$L169)&gt;$D$4,"",IFERROR(INDEX(tblRegistros[Base],$L169),"")))</f>
        <v/>
      </c>
      <c r="H169" s="3" t="str">
        <f>IF($L169="","",IF(INDEX(tblRegistros[Data],$L169)&gt;$D$4,"",IFERROR(INDEX(tblRegistros[Taxa aplicada],$L169),"")))</f>
        <v/>
      </c>
      <c r="I169" s="3" t="str">
        <f>IF($L169="","",IF(INDEX(tblRegistros[Data],$L169)&gt;$D$4,"",IFERROR(IF(INDEX(tblRegistros[Status],$L169)="EM ABERTO","",INDEX(tblRegistros[Valor],$L169)),"")))</f>
        <v/>
      </c>
      <c r="J169" t="str">
        <f>IF($L169="","",IF(INDEX(tblRegistros[Data],$L169)&gt;$D$4,"",IFERROR(INDEX(tblRegistros[Status],$L169),"")))</f>
        <v/>
      </c>
      <c r="K169" t="str">
        <f>IF($L169="","",IF(INDEX(tblRegistros[Data],$L169)&gt;$D$4,"",IFERROR(INDEX(tblRegistros[Observação],$L169),"")))</f>
        <v/>
      </c>
      <c r="L169" s="16" t="str">
        <f>IFERROR(MATCH($B$3*100000+COUNTIFS(tblRegistros[ID],$B$3,tblRegistros[Data],"&lt;"&amp;$B$4)+ROWS($L$10:L169),tblRegistros[Chave do cartão],0),"")</f>
        <v/>
      </c>
    </row>
    <row r="170" spans="1:12">
      <c r="A170" s="2" t="str">
        <f>IF($L170="","",IF(INDEX(tblRegistros[Data],$L170)&gt;$D$4,"",IFERROR(INDEX(tblRegistros[Data],$L170),"")))</f>
        <v/>
      </c>
      <c r="B170" t="str">
        <f>IF($L170="","",IF(INDEX(tblRegistros[Data],$L170)&gt;$D$4,"",IFERROR(INDEX(tblRegistros[Projeto],$L170),"")))</f>
        <v/>
      </c>
      <c r="C170" t="str">
        <f>IF($L170="","",IF(INDEX(tblRegistros[Data],$L170)&gt;$D$4,"",IFERROR(INDEX(tblRegistros[Atividade],$L170),"")))</f>
        <v/>
      </c>
      <c r="D170" s="4" t="str">
        <f>IF($L170="","",IF(INDEX(tblRegistros[Data],$L170)&gt;$D$4,"",IFERROR(INDEX(tblRegistros[Início],$L170),"")))</f>
        <v/>
      </c>
      <c r="E170" s="4" t="str">
        <f>IF($L170="","",IF(INDEX(tblRegistros[Data],$L170)&gt;$D$4,"",IFERROR(IF(INDEX(tblRegistros[Status],$L170)="EM ABERTO","",INDEX(tblRegistros[Fim],$L170)),"")))</f>
        <v/>
      </c>
      <c r="F170" s="14" t="str">
        <f>IF($L170="","",IF(INDEX(tblRegistros[Data],$L170)&gt;$D$4,"",IFERROR(IF(INDEX(tblRegistros[Status],$L170)="EM ABERTO","",INDEX(tblRegistros[Horas],$L170)),"")))</f>
        <v/>
      </c>
      <c r="G170" t="str">
        <f>IF($L170="","",IF(INDEX(tblRegistros[Data],$L170)&gt;$D$4,"",IFERROR(INDEX(tblRegistros[Base],$L170),"")))</f>
        <v/>
      </c>
      <c r="H170" s="3" t="str">
        <f>IF($L170="","",IF(INDEX(tblRegistros[Data],$L170)&gt;$D$4,"",IFERROR(INDEX(tblRegistros[Taxa aplicada],$L170),"")))</f>
        <v/>
      </c>
      <c r="I170" s="3" t="str">
        <f>IF($L170="","",IF(INDEX(tblRegistros[Data],$L170)&gt;$D$4,"",IFERROR(IF(INDEX(tblRegistros[Status],$L170)="EM ABERTO","",INDEX(tblRegistros[Valor],$L170)),"")))</f>
        <v/>
      </c>
      <c r="J170" t="str">
        <f>IF($L170="","",IF(INDEX(tblRegistros[Data],$L170)&gt;$D$4,"",IFERROR(INDEX(tblRegistros[Status],$L170),"")))</f>
        <v/>
      </c>
      <c r="K170" t="str">
        <f>IF($L170="","",IF(INDEX(tblRegistros[Data],$L170)&gt;$D$4,"",IFERROR(INDEX(tblRegistros[Observação],$L170),"")))</f>
        <v/>
      </c>
      <c r="L170" s="16" t="str">
        <f>IFERROR(MATCH($B$3*100000+COUNTIFS(tblRegistros[ID],$B$3,tblRegistros[Data],"&lt;"&amp;$B$4)+ROWS($L$10:L170),tblRegistros[Chave do cartão],0),"")</f>
        <v/>
      </c>
    </row>
    <row r="171" spans="1:12">
      <c r="A171" s="2" t="str">
        <f>IF($L171="","",IF(INDEX(tblRegistros[Data],$L171)&gt;$D$4,"",IFERROR(INDEX(tblRegistros[Data],$L171),"")))</f>
        <v/>
      </c>
      <c r="B171" t="str">
        <f>IF($L171="","",IF(INDEX(tblRegistros[Data],$L171)&gt;$D$4,"",IFERROR(INDEX(tblRegistros[Projeto],$L171),"")))</f>
        <v/>
      </c>
      <c r="C171" t="str">
        <f>IF($L171="","",IF(INDEX(tblRegistros[Data],$L171)&gt;$D$4,"",IFERROR(INDEX(tblRegistros[Atividade],$L171),"")))</f>
        <v/>
      </c>
      <c r="D171" s="4" t="str">
        <f>IF($L171="","",IF(INDEX(tblRegistros[Data],$L171)&gt;$D$4,"",IFERROR(INDEX(tblRegistros[Início],$L171),"")))</f>
        <v/>
      </c>
      <c r="E171" s="4" t="str">
        <f>IF($L171="","",IF(INDEX(tblRegistros[Data],$L171)&gt;$D$4,"",IFERROR(IF(INDEX(tblRegistros[Status],$L171)="EM ABERTO","",INDEX(tblRegistros[Fim],$L171)),"")))</f>
        <v/>
      </c>
      <c r="F171" s="14" t="str">
        <f>IF($L171="","",IF(INDEX(tblRegistros[Data],$L171)&gt;$D$4,"",IFERROR(IF(INDEX(tblRegistros[Status],$L171)="EM ABERTO","",INDEX(tblRegistros[Horas],$L171)),"")))</f>
        <v/>
      </c>
      <c r="G171" t="str">
        <f>IF($L171="","",IF(INDEX(tblRegistros[Data],$L171)&gt;$D$4,"",IFERROR(INDEX(tblRegistros[Base],$L171),"")))</f>
        <v/>
      </c>
      <c r="H171" s="3" t="str">
        <f>IF($L171="","",IF(INDEX(tblRegistros[Data],$L171)&gt;$D$4,"",IFERROR(INDEX(tblRegistros[Taxa aplicada],$L171),"")))</f>
        <v/>
      </c>
      <c r="I171" s="3" t="str">
        <f>IF($L171="","",IF(INDEX(tblRegistros[Data],$L171)&gt;$D$4,"",IFERROR(IF(INDEX(tblRegistros[Status],$L171)="EM ABERTO","",INDEX(tblRegistros[Valor],$L171)),"")))</f>
        <v/>
      </c>
      <c r="J171" t="str">
        <f>IF($L171="","",IF(INDEX(tblRegistros[Data],$L171)&gt;$D$4,"",IFERROR(INDEX(tblRegistros[Status],$L171),"")))</f>
        <v/>
      </c>
      <c r="K171" t="str">
        <f>IF($L171="","",IF(INDEX(tblRegistros[Data],$L171)&gt;$D$4,"",IFERROR(INDEX(tblRegistros[Observação],$L171),"")))</f>
        <v/>
      </c>
      <c r="L171" s="16" t="str">
        <f>IFERROR(MATCH($B$3*100000+COUNTIFS(tblRegistros[ID],$B$3,tblRegistros[Data],"&lt;"&amp;$B$4)+ROWS($L$10:L171),tblRegistros[Chave do cartão],0),"")</f>
        <v/>
      </c>
    </row>
    <row r="172" spans="1:12">
      <c r="A172" s="2" t="str">
        <f>IF($L172="","",IF(INDEX(tblRegistros[Data],$L172)&gt;$D$4,"",IFERROR(INDEX(tblRegistros[Data],$L172),"")))</f>
        <v/>
      </c>
      <c r="B172" t="str">
        <f>IF($L172="","",IF(INDEX(tblRegistros[Data],$L172)&gt;$D$4,"",IFERROR(INDEX(tblRegistros[Projeto],$L172),"")))</f>
        <v/>
      </c>
      <c r="C172" t="str">
        <f>IF($L172="","",IF(INDEX(tblRegistros[Data],$L172)&gt;$D$4,"",IFERROR(INDEX(tblRegistros[Atividade],$L172),"")))</f>
        <v/>
      </c>
      <c r="D172" s="4" t="str">
        <f>IF($L172="","",IF(INDEX(tblRegistros[Data],$L172)&gt;$D$4,"",IFERROR(INDEX(tblRegistros[Início],$L172),"")))</f>
        <v/>
      </c>
      <c r="E172" s="4" t="str">
        <f>IF($L172="","",IF(INDEX(tblRegistros[Data],$L172)&gt;$D$4,"",IFERROR(IF(INDEX(tblRegistros[Status],$L172)="EM ABERTO","",INDEX(tblRegistros[Fim],$L172)),"")))</f>
        <v/>
      </c>
      <c r="F172" s="14" t="str">
        <f>IF($L172="","",IF(INDEX(tblRegistros[Data],$L172)&gt;$D$4,"",IFERROR(IF(INDEX(tblRegistros[Status],$L172)="EM ABERTO","",INDEX(tblRegistros[Horas],$L172)),"")))</f>
        <v/>
      </c>
      <c r="G172" t="str">
        <f>IF($L172="","",IF(INDEX(tblRegistros[Data],$L172)&gt;$D$4,"",IFERROR(INDEX(tblRegistros[Base],$L172),"")))</f>
        <v/>
      </c>
      <c r="H172" s="3" t="str">
        <f>IF($L172="","",IF(INDEX(tblRegistros[Data],$L172)&gt;$D$4,"",IFERROR(INDEX(tblRegistros[Taxa aplicada],$L172),"")))</f>
        <v/>
      </c>
      <c r="I172" s="3" t="str">
        <f>IF($L172="","",IF(INDEX(tblRegistros[Data],$L172)&gt;$D$4,"",IFERROR(IF(INDEX(tblRegistros[Status],$L172)="EM ABERTO","",INDEX(tblRegistros[Valor],$L172)),"")))</f>
        <v/>
      </c>
      <c r="J172" t="str">
        <f>IF($L172="","",IF(INDEX(tblRegistros[Data],$L172)&gt;$D$4,"",IFERROR(INDEX(tblRegistros[Status],$L172),"")))</f>
        <v/>
      </c>
      <c r="K172" t="str">
        <f>IF($L172="","",IF(INDEX(tblRegistros[Data],$L172)&gt;$D$4,"",IFERROR(INDEX(tblRegistros[Observação],$L172),"")))</f>
        <v/>
      </c>
      <c r="L172" s="16" t="str">
        <f>IFERROR(MATCH($B$3*100000+COUNTIFS(tblRegistros[ID],$B$3,tblRegistros[Data],"&lt;"&amp;$B$4)+ROWS($L$10:L172),tblRegistros[Chave do cartão],0),"")</f>
        <v/>
      </c>
    </row>
    <row r="173" spans="1:12">
      <c r="A173" s="2" t="str">
        <f>IF($L173="","",IF(INDEX(tblRegistros[Data],$L173)&gt;$D$4,"",IFERROR(INDEX(tblRegistros[Data],$L173),"")))</f>
        <v/>
      </c>
      <c r="B173" t="str">
        <f>IF($L173="","",IF(INDEX(tblRegistros[Data],$L173)&gt;$D$4,"",IFERROR(INDEX(tblRegistros[Projeto],$L173),"")))</f>
        <v/>
      </c>
      <c r="C173" t="str">
        <f>IF($L173="","",IF(INDEX(tblRegistros[Data],$L173)&gt;$D$4,"",IFERROR(INDEX(tblRegistros[Atividade],$L173),"")))</f>
        <v/>
      </c>
      <c r="D173" s="4" t="str">
        <f>IF($L173="","",IF(INDEX(tblRegistros[Data],$L173)&gt;$D$4,"",IFERROR(INDEX(tblRegistros[Início],$L173),"")))</f>
        <v/>
      </c>
      <c r="E173" s="4" t="str">
        <f>IF($L173="","",IF(INDEX(tblRegistros[Data],$L173)&gt;$D$4,"",IFERROR(IF(INDEX(tblRegistros[Status],$L173)="EM ABERTO","",INDEX(tblRegistros[Fim],$L173)),"")))</f>
        <v/>
      </c>
      <c r="F173" s="14" t="str">
        <f>IF($L173="","",IF(INDEX(tblRegistros[Data],$L173)&gt;$D$4,"",IFERROR(IF(INDEX(tblRegistros[Status],$L173)="EM ABERTO","",INDEX(tblRegistros[Horas],$L173)),"")))</f>
        <v/>
      </c>
      <c r="G173" t="str">
        <f>IF($L173="","",IF(INDEX(tblRegistros[Data],$L173)&gt;$D$4,"",IFERROR(INDEX(tblRegistros[Base],$L173),"")))</f>
        <v/>
      </c>
      <c r="H173" s="3" t="str">
        <f>IF($L173="","",IF(INDEX(tblRegistros[Data],$L173)&gt;$D$4,"",IFERROR(INDEX(tblRegistros[Taxa aplicada],$L173),"")))</f>
        <v/>
      </c>
      <c r="I173" s="3" t="str">
        <f>IF($L173="","",IF(INDEX(tblRegistros[Data],$L173)&gt;$D$4,"",IFERROR(IF(INDEX(tblRegistros[Status],$L173)="EM ABERTO","",INDEX(tblRegistros[Valor],$L173)),"")))</f>
        <v/>
      </c>
      <c r="J173" t="str">
        <f>IF($L173="","",IF(INDEX(tblRegistros[Data],$L173)&gt;$D$4,"",IFERROR(INDEX(tblRegistros[Status],$L173),"")))</f>
        <v/>
      </c>
      <c r="K173" t="str">
        <f>IF($L173="","",IF(INDEX(tblRegistros[Data],$L173)&gt;$D$4,"",IFERROR(INDEX(tblRegistros[Observação],$L173),"")))</f>
        <v/>
      </c>
      <c r="L173" s="16" t="str">
        <f>IFERROR(MATCH($B$3*100000+COUNTIFS(tblRegistros[ID],$B$3,tblRegistros[Data],"&lt;"&amp;$B$4)+ROWS($L$10:L173),tblRegistros[Chave do cartão],0),"")</f>
        <v/>
      </c>
    </row>
    <row r="174" spans="1:12">
      <c r="A174" s="2" t="str">
        <f>IF($L174="","",IF(INDEX(tblRegistros[Data],$L174)&gt;$D$4,"",IFERROR(INDEX(tblRegistros[Data],$L174),"")))</f>
        <v/>
      </c>
      <c r="B174" t="str">
        <f>IF($L174="","",IF(INDEX(tblRegistros[Data],$L174)&gt;$D$4,"",IFERROR(INDEX(tblRegistros[Projeto],$L174),"")))</f>
        <v/>
      </c>
      <c r="C174" t="str">
        <f>IF($L174="","",IF(INDEX(tblRegistros[Data],$L174)&gt;$D$4,"",IFERROR(INDEX(tblRegistros[Atividade],$L174),"")))</f>
        <v/>
      </c>
      <c r="D174" s="4" t="str">
        <f>IF($L174="","",IF(INDEX(tblRegistros[Data],$L174)&gt;$D$4,"",IFERROR(INDEX(tblRegistros[Início],$L174),"")))</f>
        <v/>
      </c>
      <c r="E174" s="4" t="str">
        <f>IF($L174="","",IF(INDEX(tblRegistros[Data],$L174)&gt;$D$4,"",IFERROR(IF(INDEX(tblRegistros[Status],$L174)="EM ABERTO","",INDEX(tblRegistros[Fim],$L174)),"")))</f>
        <v/>
      </c>
      <c r="F174" s="14" t="str">
        <f>IF($L174="","",IF(INDEX(tblRegistros[Data],$L174)&gt;$D$4,"",IFERROR(IF(INDEX(tblRegistros[Status],$L174)="EM ABERTO","",INDEX(tblRegistros[Horas],$L174)),"")))</f>
        <v/>
      </c>
      <c r="G174" t="str">
        <f>IF($L174="","",IF(INDEX(tblRegistros[Data],$L174)&gt;$D$4,"",IFERROR(INDEX(tblRegistros[Base],$L174),"")))</f>
        <v/>
      </c>
      <c r="H174" s="3" t="str">
        <f>IF($L174="","",IF(INDEX(tblRegistros[Data],$L174)&gt;$D$4,"",IFERROR(INDEX(tblRegistros[Taxa aplicada],$L174),"")))</f>
        <v/>
      </c>
      <c r="I174" s="3" t="str">
        <f>IF($L174="","",IF(INDEX(tblRegistros[Data],$L174)&gt;$D$4,"",IFERROR(IF(INDEX(tblRegistros[Status],$L174)="EM ABERTO","",INDEX(tblRegistros[Valor],$L174)),"")))</f>
        <v/>
      </c>
      <c r="J174" t="str">
        <f>IF($L174="","",IF(INDEX(tblRegistros[Data],$L174)&gt;$D$4,"",IFERROR(INDEX(tblRegistros[Status],$L174),"")))</f>
        <v/>
      </c>
      <c r="K174" t="str">
        <f>IF($L174="","",IF(INDEX(tblRegistros[Data],$L174)&gt;$D$4,"",IFERROR(INDEX(tblRegistros[Observação],$L174),"")))</f>
        <v/>
      </c>
      <c r="L174" s="16" t="str">
        <f>IFERROR(MATCH($B$3*100000+COUNTIFS(tblRegistros[ID],$B$3,tblRegistros[Data],"&lt;"&amp;$B$4)+ROWS($L$10:L174),tblRegistros[Chave do cartão],0),"")</f>
        <v/>
      </c>
    </row>
    <row r="175" spans="1:12">
      <c r="A175" s="2" t="str">
        <f>IF($L175="","",IF(INDEX(tblRegistros[Data],$L175)&gt;$D$4,"",IFERROR(INDEX(tblRegistros[Data],$L175),"")))</f>
        <v/>
      </c>
      <c r="B175" t="str">
        <f>IF($L175="","",IF(INDEX(tblRegistros[Data],$L175)&gt;$D$4,"",IFERROR(INDEX(tblRegistros[Projeto],$L175),"")))</f>
        <v/>
      </c>
      <c r="C175" t="str">
        <f>IF($L175="","",IF(INDEX(tblRegistros[Data],$L175)&gt;$D$4,"",IFERROR(INDEX(tblRegistros[Atividade],$L175),"")))</f>
        <v/>
      </c>
      <c r="D175" s="4" t="str">
        <f>IF($L175="","",IF(INDEX(tblRegistros[Data],$L175)&gt;$D$4,"",IFERROR(INDEX(tblRegistros[Início],$L175),"")))</f>
        <v/>
      </c>
      <c r="E175" s="4" t="str">
        <f>IF($L175="","",IF(INDEX(tblRegistros[Data],$L175)&gt;$D$4,"",IFERROR(IF(INDEX(tblRegistros[Status],$L175)="EM ABERTO","",INDEX(tblRegistros[Fim],$L175)),"")))</f>
        <v/>
      </c>
      <c r="F175" s="14" t="str">
        <f>IF($L175="","",IF(INDEX(tblRegistros[Data],$L175)&gt;$D$4,"",IFERROR(IF(INDEX(tblRegistros[Status],$L175)="EM ABERTO","",INDEX(tblRegistros[Horas],$L175)),"")))</f>
        <v/>
      </c>
      <c r="G175" t="str">
        <f>IF($L175="","",IF(INDEX(tblRegistros[Data],$L175)&gt;$D$4,"",IFERROR(INDEX(tblRegistros[Base],$L175),"")))</f>
        <v/>
      </c>
      <c r="H175" s="3" t="str">
        <f>IF($L175="","",IF(INDEX(tblRegistros[Data],$L175)&gt;$D$4,"",IFERROR(INDEX(tblRegistros[Taxa aplicada],$L175),"")))</f>
        <v/>
      </c>
      <c r="I175" s="3" t="str">
        <f>IF($L175="","",IF(INDEX(tblRegistros[Data],$L175)&gt;$D$4,"",IFERROR(IF(INDEX(tblRegistros[Status],$L175)="EM ABERTO","",INDEX(tblRegistros[Valor],$L175)),"")))</f>
        <v/>
      </c>
      <c r="J175" t="str">
        <f>IF($L175="","",IF(INDEX(tblRegistros[Data],$L175)&gt;$D$4,"",IFERROR(INDEX(tblRegistros[Status],$L175),"")))</f>
        <v/>
      </c>
      <c r="K175" t="str">
        <f>IF($L175="","",IF(INDEX(tblRegistros[Data],$L175)&gt;$D$4,"",IFERROR(INDEX(tblRegistros[Observação],$L175),"")))</f>
        <v/>
      </c>
      <c r="L175" s="16" t="str">
        <f>IFERROR(MATCH($B$3*100000+COUNTIFS(tblRegistros[ID],$B$3,tblRegistros[Data],"&lt;"&amp;$B$4)+ROWS($L$10:L175),tblRegistros[Chave do cartão],0),"")</f>
        <v/>
      </c>
    </row>
    <row r="176" spans="1:12">
      <c r="A176" s="2" t="str">
        <f>IF($L176="","",IF(INDEX(tblRegistros[Data],$L176)&gt;$D$4,"",IFERROR(INDEX(tblRegistros[Data],$L176),"")))</f>
        <v/>
      </c>
      <c r="B176" t="str">
        <f>IF($L176="","",IF(INDEX(tblRegistros[Data],$L176)&gt;$D$4,"",IFERROR(INDEX(tblRegistros[Projeto],$L176),"")))</f>
        <v/>
      </c>
      <c r="C176" t="str">
        <f>IF($L176="","",IF(INDEX(tblRegistros[Data],$L176)&gt;$D$4,"",IFERROR(INDEX(tblRegistros[Atividade],$L176),"")))</f>
        <v/>
      </c>
      <c r="D176" s="4" t="str">
        <f>IF($L176="","",IF(INDEX(tblRegistros[Data],$L176)&gt;$D$4,"",IFERROR(INDEX(tblRegistros[Início],$L176),"")))</f>
        <v/>
      </c>
      <c r="E176" s="4" t="str">
        <f>IF($L176="","",IF(INDEX(tblRegistros[Data],$L176)&gt;$D$4,"",IFERROR(IF(INDEX(tblRegistros[Status],$L176)="EM ABERTO","",INDEX(tblRegistros[Fim],$L176)),"")))</f>
        <v/>
      </c>
      <c r="F176" s="14" t="str">
        <f>IF($L176="","",IF(INDEX(tblRegistros[Data],$L176)&gt;$D$4,"",IFERROR(IF(INDEX(tblRegistros[Status],$L176)="EM ABERTO","",INDEX(tblRegistros[Horas],$L176)),"")))</f>
        <v/>
      </c>
      <c r="G176" t="str">
        <f>IF($L176="","",IF(INDEX(tblRegistros[Data],$L176)&gt;$D$4,"",IFERROR(INDEX(tblRegistros[Base],$L176),"")))</f>
        <v/>
      </c>
      <c r="H176" s="3" t="str">
        <f>IF($L176="","",IF(INDEX(tblRegistros[Data],$L176)&gt;$D$4,"",IFERROR(INDEX(tblRegistros[Taxa aplicada],$L176),"")))</f>
        <v/>
      </c>
      <c r="I176" s="3" t="str">
        <f>IF($L176="","",IF(INDEX(tblRegistros[Data],$L176)&gt;$D$4,"",IFERROR(IF(INDEX(tblRegistros[Status],$L176)="EM ABERTO","",INDEX(tblRegistros[Valor],$L176)),"")))</f>
        <v/>
      </c>
      <c r="J176" t="str">
        <f>IF($L176="","",IF(INDEX(tblRegistros[Data],$L176)&gt;$D$4,"",IFERROR(INDEX(tblRegistros[Status],$L176),"")))</f>
        <v/>
      </c>
      <c r="K176" t="str">
        <f>IF($L176="","",IF(INDEX(tblRegistros[Data],$L176)&gt;$D$4,"",IFERROR(INDEX(tblRegistros[Observação],$L176),"")))</f>
        <v/>
      </c>
      <c r="L176" s="16" t="str">
        <f>IFERROR(MATCH($B$3*100000+COUNTIFS(tblRegistros[ID],$B$3,tblRegistros[Data],"&lt;"&amp;$B$4)+ROWS($L$10:L176),tblRegistros[Chave do cartão],0),"")</f>
        <v/>
      </c>
    </row>
    <row r="177" spans="1:12">
      <c r="A177" s="2" t="str">
        <f>IF($L177="","",IF(INDEX(tblRegistros[Data],$L177)&gt;$D$4,"",IFERROR(INDEX(tblRegistros[Data],$L177),"")))</f>
        <v/>
      </c>
      <c r="B177" t="str">
        <f>IF($L177="","",IF(INDEX(tblRegistros[Data],$L177)&gt;$D$4,"",IFERROR(INDEX(tblRegistros[Projeto],$L177),"")))</f>
        <v/>
      </c>
      <c r="C177" t="str">
        <f>IF($L177="","",IF(INDEX(tblRegistros[Data],$L177)&gt;$D$4,"",IFERROR(INDEX(tblRegistros[Atividade],$L177),"")))</f>
        <v/>
      </c>
      <c r="D177" s="4" t="str">
        <f>IF($L177="","",IF(INDEX(tblRegistros[Data],$L177)&gt;$D$4,"",IFERROR(INDEX(tblRegistros[Início],$L177),"")))</f>
        <v/>
      </c>
      <c r="E177" s="4" t="str">
        <f>IF($L177="","",IF(INDEX(tblRegistros[Data],$L177)&gt;$D$4,"",IFERROR(IF(INDEX(tblRegistros[Status],$L177)="EM ABERTO","",INDEX(tblRegistros[Fim],$L177)),"")))</f>
        <v/>
      </c>
      <c r="F177" s="14" t="str">
        <f>IF($L177="","",IF(INDEX(tblRegistros[Data],$L177)&gt;$D$4,"",IFERROR(IF(INDEX(tblRegistros[Status],$L177)="EM ABERTO","",INDEX(tblRegistros[Horas],$L177)),"")))</f>
        <v/>
      </c>
      <c r="G177" t="str">
        <f>IF($L177="","",IF(INDEX(tblRegistros[Data],$L177)&gt;$D$4,"",IFERROR(INDEX(tblRegistros[Base],$L177),"")))</f>
        <v/>
      </c>
      <c r="H177" s="3" t="str">
        <f>IF($L177="","",IF(INDEX(tblRegistros[Data],$L177)&gt;$D$4,"",IFERROR(INDEX(tblRegistros[Taxa aplicada],$L177),"")))</f>
        <v/>
      </c>
      <c r="I177" s="3" t="str">
        <f>IF($L177="","",IF(INDEX(tblRegistros[Data],$L177)&gt;$D$4,"",IFERROR(IF(INDEX(tblRegistros[Status],$L177)="EM ABERTO","",INDEX(tblRegistros[Valor],$L177)),"")))</f>
        <v/>
      </c>
      <c r="J177" t="str">
        <f>IF($L177="","",IF(INDEX(tblRegistros[Data],$L177)&gt;$D$4,"",IFERROR(INDEX(tblRegistros[Status],$L177),"")))</f>
        <v/>
      </c>
      <c r="K177" t="str">
        <f>IF($L177="","",IF(INDEX(tblRegistros[Data],$L177)&gt;$D$4,"",IFERROR(INDEX(tblRegistros[Observação],$L177),"")))</f>
        <v/>
      </c>
      <c r="L177" s="16" t="str">
        <f>IFERROR(MATCH($B$3*100000+COUNTIFS(tblRegistros[ID],$B$3,tblRegistros[Data],"&lt;"&amp;$B$4)+ROWS($L$10:L177),tblRegistros[Chave do cartão],0),"")</f>
        <v/>
      </c>
    </row>
    <row r="178" spans="1:12">
      <c r="A178" s="2" t="str">
        <f>IF($L178="","",IF(INDEX(tblRegistros[Data],$L178)&gt;$D$4,"",IFERROR(INDEX(tblRegistros[Data],$L178),"")))</f>
        <v/>
      </c>
      <c r="B178" t="str">
        <f>IF($L178="","",IF(INDEX(tblRegistros[Data],$L178)&gt;$D$4,"",IFERROR(INDEX(tblRegistros[Projeto],$L178),"")))</f>
        <v/>
      </c>
      <c r="C178" t="str">
        <f>IF($L178="","",IF(INDEX(tblRegistros[Data],$L178)&gt;$D$4,"",IFERROR(INDEX(tblRegistros[Atividade],$L178),"")))</f>
        <v/>
      </c>
      <c r="D178" s="4" t="str">
        <f>IF($L178="","",IF(INDEX(tblRegistros[Data],$L178)&gt;$D$4,"",IFERROR(INDEX(tblRegistros[Início],$L178),"")))</f>
        <v/>
      </c>
      <c r="E178" s="4" t="str">
        <f>IF($L178="","",IF(INDEX(tblRegistros[Data],$L178)&gt;$D$4,"",IFERROR(IF(INDEX(tblRegistros[Status],$L178)="EM ABERTO","",INDEX(tblRegistros[Fim],$L178)),"")))</f>
        <v/>
      </c>
      <c r="F178" s="14" t="str">
        <f>IF($L178="","",IF(INDEX(tblRegistros[Data],$L178)&gt;$D$4,"",IFERROR(IF(INDEX(tblRegistros[Status],$L178)="EM ABERTO","",INDEX(tblRegistros[Horas],$L178)),"")))</f>
        <v/>
      </c>
      <c r="G178" t="str">
        <f>IF($L178="","",IF(INDEX(tblRegistros[Data],$L178)&gt;$D$4,"",IFERROR(INDEX(tblRegistros[Base],$L178),"")))</f>
        <v/>
      </c>
      <c r="H178" s="3" t="str">
        <f>IF($L178="","",IF(INDEX(tblRegistros[Data],$L178)&gt;$D$4,"",IFERROR(INDEX(tblRegistros[Taxa aplicada],$L178),"")))</f>
        <v/>
      </c>
      <c r="I178" s="3" t="str">
        <f>IF($L178="","",IF(INDEX(tblRegistros[Data],$L178)&gt;$D$4,"",IFERROR(IF(INDEX(tblRegistros[Status],$L178)="EM ABERTO","",INDEX(tblRegistros[Valor],$L178)),"")))</f>
        <v/>
      </c>
      <c r="J178" t="str">
        <f>IF($L178="","",IF(INDEX(tblRegistros[Data],$L178)&gt;$D$4,"",IFERROR(INDEX(tblRegistros[Status],$L178),"")))</f>
        <v/>
      </c>
      <c r="K178" t="str">
        <f>IF($L178="","",IF(INDEX(tblRegistros[Data],$L178)&gt;$D$4,"",IFERROR(INDEX(tblRegistros[Observação],$L178),"")))</f>
        <v/>
      </c>
      <c r="L178" s="16" t="str">
        <f>IFERROR(MATCH($B$3*100000+COUNTIFS(tblRegistros[ID],$B$3,tblRegistros[Data],"&lt;"&amp;$B$4)+ROWS($L$10:L178),tblRegistros[Chave do cartão],0),"")</f>
        <v/>
      </c>
    </row>
    <row r="179" spans="1:12">
      <c r="A179" s="2" t="str">
        <f>IF($L179="","",IF(INDEX(tblRegistros[Data],$L179)&gt;$D$4,"",IFERROR(INDEX(tblRegistros[Data],$L179),"")))</f>
        <v/>
      </c>
      <c r="B179" t="str">
        <f>IF($L179="","",IF(INDEX(tblRegistros[Data],$L179)&gt;$D$4,"",IFERROR(INDEX(tblRegistros[Projeto],$L179),"")))</f>
        <v/>
      </c>
      <c r="C179" t="str">
        <f>IF($L179="","",IF(INDEX(tblRegistros[Data],$L179)&gt;$D$4,"",IFERROR(INDEX(tblRegistros[Atividade],$L179),"")))</f>
        <v/>
      </c>
      <c r="D179" s="4" t="str">
        <f>IF($L179="","",IF(INDEX(tblRegistros[Data],$L179)&gt;$D$4,"",IFERROR(INDEX(tblRegistros[Início],$L179),"")))</f>
        <v/>
      </c>
      <c r="E179" s="4" t="str">
        <f>IF($L179="","",IF(INDEX(tblRegistros[Data],$L179)&gt;$D$4,"",IFERROR(IF(INDEX(tblRegistros[Status],$L179)="EM ABERTO","",INDEX(tblRegistros[Fim],$L179)),"")))</f>
        <v/>
      </c>
      <c r="F179" s="14" t="str">
        <f>IF($L179="","",IF(INDEX(tblRegistros[Data],$L179)&gt;$D$4,"",IFERROR(IF(INDEX(tblRegistros[Status],$L179)="EM ABERTO","",INDEX(tblRegistros[Horas],$L179)),"")))</f>
        <v/>
      </c>
      <c r="G179" t="str">
        <f>IF($L179="","",IF(INDEX(tblRegistros[Data],$L179)&gt;$D$4,"",IFERROR(INDEX(tblRegistros[Base],$L179),"")))</f>
        <v/>
      </c>
      <c r="H179" s="3" t="str">
        <f>IF($L179="","",IF(INDEX(tblRegistros[Data],$L179)&gt;$D$4,"",IFERROR(INDEX(tblRegistros[Taxa aplicada],$L179),"")))</f>
        <v/>
      </c>
      <c r="I179" s="3" t="str">
        <f>IF($L179="","",IF(INDEX(tblRegistros[Data],$L179)&gt;$D$4,"",IFERROR(IF(INDEX(tblRegistros[Status],$L179)="EM ABERTO","",INDEX(tblRegistros[Valor],$L179)),"")))</f>
        <v/>
      </c>
      <c r="J179" t="str">
        <f>IF($L179="","",IF(INDEX(tblRegistros[Data],$L179)&gt;$D$4,"",IFERROR(INDEX(tblRegistros[Status],$L179),"")))</f>
        <v/>
      </c>
      <c r="K179" t="str">
        <f>IF($L179="","",IF(INDEX(tblRegistros[Data],$L179)&gt;$D$4,"",IFERROR(INDEX(tblRegistros[Observação],$L179),"")))</f>
        <v/>
      </c>
      <c r="L179" s="16" t="str">
        <f>IFERROR(MATCH($B$3*100000+COUNTIFS(tblRegistros[ID],$B$3,tblRegistros[Data],"&lt;"&amp;$B$4)+ROWS($L$10:L179),tblRegistros[Chave do cartão],0),"")</f>
        <v/>
      </c>
    </row>
    <row r="180" spans="1:12">
      <c r="A180" s="2" t="str">
        <f>IF($L180="","",IF(INDEX(tblRegistros[Data],$L180)&gt;$D$4,"",IFERROR(INDEX(tblRegistros[Data],$L180),"")))</f>
        <v/>
      </c>
      <c r="B180" t="str">
        <f>IF($L180="","",IF(INDEX(tblRegistros[Data],$L180)&gt;$D$4,"",IFERROR(INDEX(tblRegistros[Projeto],$L180),"")))</f>
        <v/>
      </c>
      <c r="C180" t="str">
        <f>IF($L180="","",IF(INDEX(tblRegistros[Data],$L180)&gt;$D$4,"",IFERROR(INDEX(tblRegistros[Atividade],$L180),"")))</f>
        <v/>
      </c>
      <c r="D180" s="4" t="str">
        <f>IF($L180="","",IF(INDEX(tblRegistros[Data],$L180)&gt;$D$4,"",IFERROR(INDEX(tblRegistros[Início],$L180),"")))</f>
        <v/>
      </c>
      <c r="E180" s="4" t="str">
        <f>IF($L180="","",IF(INDEX(tblRegistros[Data],$L180)&gt;$D$4,"",IFERROR(IF(INDEX(tblRegistros[Status],$L180)="EM ABERTO","",INDEX(tblRegistros[Fim],$L180)),"")))</f>
        <v/>
      </c>
      <c r="F180" s="14" t="str">
        <f>IF($L180="","",IF(INDEX(tblRegistros[Data],$L180)&gt;$D$4,"",IFERROR(IF(INDEX(tblRegistros[Status],$L180)="EM ABERTO","",INDEX(tblRegistros[Horas],$L180)),"")))</f>
        <v/>
      </c>
      <c r="G180" t="str">
        <f>IF($L180="","",IF(INDEX(tblRegistros[Data],$L180)&gt;$D$4,"",IFERROR(INDEX(tblRegistros[Base],$L180),"")))</f>
        <v/>
      </c>
      <c r="H180" s="3" t="str">
        <f>IF($L180="","",IF(INDEX(tblRegistros[Data],$L180)&gt;$D$4,"",IFERROR(INDEX(tblRegistros[Taxa aplicada],$L180),"")))</f>
        <v/>
      </c>
      <c r="I180" s="3" t="str">
        <f>IF($L180="","",IF(INDEX(tblRegistros[Data],$L180)&gt;$D$4,"",IFERROR(IF(INDEX(tblRegistros[Status],$L180)="EM ABERTO","",INDEX(tblRegistros[Valor],$L180)),"")))</f>
        <v/>
      </c>
      <c r="J180" t="str">
        <f>IF($L180="","",IF(INDEX(tblRegistros[Data],$L180)&gt;$D$4,"",IFERROR(INDEX(tblRegistros[Status],$L180),"")))</f>
        <v/>
      </c>
      <c r="K180" t="str">
        <f>IF($L180="","",IF(INDEX(tblRegistros[Data],$L180)&gt;$D$4,"",IFERROR(INDEX(tblRegistros[Observação],$L180),"")))</f>
        <v/>
      </c>
      <c r="L180" s="16" t="str">
        <f>IFERROR(MATCH($B$3*100000+COUNTIFS(tblRegistros[ID],$B$3,tblRegistros[Data],"&lt;"&amp;$B$4)+ROWS($L$10:L180),tblRegistros[Chave do cartão],0),"")</f>
        <v/>
      </c>
    </row>
    <row r="181" spans="1:12">
      <c r="A181" s="2" t="str">
        <f>IF($L181="","",IF(INDEX(tblRegistros[Data],$L181)&gt;$D$4,"",IFERROR(INDEX(tblRegistros[Data],$L181),"")))</f>
        <v/>
      </c>
      <c r="B181" t="str">
        <f>IF($L181="","",IF(INDEX(tblRegistros[Data],$L181)&gt;$D$4,"",IFERROR(INDEX(tblRegistros[Projeto],$L181),"")))</f>
        <v/>
      </c>
      <c r="C181" t="str">
        <f>IF($L181="","",IF(INDEX(tblRegistros[Data],$L181)&gt;$D$4,"",IFERROR(INDEX(tblRegistros[Atividade],$L181),"")))</f>
        <v/>
      </c>
      <c r="D181" s="4" t="str">
        <f>IF($L181="","",IF(INDEX(tblRegistros[Data],$L181)&gt;$D$4,"",IFERROR(INDEX(tblRegistros[Início],$L181),"")))</f>
        <v/>
      </c>
      <c r="E181" s="4" t="str">
        <f>IF($L181="","",IF(INDEX(tblRegistros[Data],$L181)&gt;$D$4,"",IFERROR(IF(INDEX(tblRegistros[Status],$L181)="EM ABERTO","",INDEX(tblRegistros[Fim],$L181)),"")))</f>
        <v/>
      </c>
      <c r="F181" s="14" t="str">
        <f>IF($L181="","",IF(INDEX(tblRegistros[Data],$L181)&gt;$D$4,"",IFERROR(IF(INDEX(tblRegistros[Status],$L181)="EM ABERTO","",INDEX(tblRegistros[Horas],$L181)),"")))</f>
        <v/>
      </c>
      <c r="G181" t="str">
        <f>IF($L181="","",IF(INDEX(tblRegistros[Data],$L181)&gt;$D$4,"",IFERROR(INDEX(tblRegistros[Base],$L181),"")))</f>
        <v/>
      </c>
      <c r="H181" s="3" t="str">
        <f>IF($L181="","",IF(INDEX(tblRegistros[Data],$L181)&gt;$D$4,"",IFERROR(INDEX(tblRegistros[Taxa aplicada],$L181),"")))</f>
        <v/>
      </c>
      <c r="I181" s="3" t="str">
        <f>IF($L181="","",IF(INDEX(tblRegistros[Data],$L181)&gt;$D$4,"",IFERROR(IF(INDEX(tblRegistros[Status],$L181)="EM ABERTO","",INDEX(tblRegistros[Valor],$L181)),"")))</f>
        <v/>
      </c>
      <c r="J181" t="str">
        <f>IF($L181="","",IF(INDEX(tblRegistros[Data],$L181)&gt;$D$4,"",IFERROR(INDEX(tblRegistros[Status],$L181),"")))</f>
        <v/>
      </c>
      <c r="K181" t="str">
        <f>IF($L181="","",IF(INDEX(tblRegistros[Data],$L181)&gt;$D$4,"",IFERROR(INDEX(tblRegistros[Observação],$L181),"")))</f>
        <v/>
      </c>
      <c r="L181" s="16" t="str">
        <f>IFERROR(MATCH($B$3*100000+COUNTIFS(tblRegistros[ID],$B$3,tblRegistros[Data],"&lt;"&amp;$B$4)+ROWS($L$10:L181),tblRegistros[Chave do cartão],0),"")</f>
        <v/>
      </c>
    </row>
    <row r="182" spans="1:12">
      <c r="A182" s="2" t="str">
        <f>IF($L182="","",IF(INDEX(tblRegistros[Data],$L182)&gt;$D$4,"",IFERROR(INDEX(tblRegistros[Data],$L182),"")))</f>
        <v/>
      </c>
      <c r="B182" t="str">
        <f>IF($L182="","",IF(INDEX(tblRegistros[Data],$L182)&gt;$D$4,"",IFERROR(INDEX(tblRegistros[Projeto],$L182),"")))</f>
        <v/>
      </c>
      <c r="C182" t="str">
        <f>IF($L182="","",IF(INDEX(tblRegistros[Data],$L182)&gt;$D$4,"",IFERROR(INDEX(tblRegistros[Atividade],$L182),"")))</f>
        <v/>
      </c>
      <c r="D182" s="4" t="str">
        <f>IF($L182="","",IF(INDEX(tblRegistros[Data],$L182)&gt;$D$4,"",IFERROR(INDEX(tblRegistros[Início],$L182),"")))</f>
        <v/>
      </c>
      <c r="E182" s="4" t="str">
        <f>IF($L182="","",IF(INDEX(tblRegistros[Data],$L182)&gt;$D$4,"",IFERROR(IF(INDEX(tblRegistros[Status],$L182)="EM ABERTO","",INDEX(tblRegistros[Fim],$L182)),"")))</f>
        <v/>
      </c>
      <c r="F182" s="14" t="str">
        <f>IF($L182="","",IF(INDEX(tblRegistros[Data],$L182)&gt;$D$4,"",IFERROR(IF(INDEX(tblRegistros[Status],$L182)="EM ABERTO","",INDEX(tblRegistros[Horas],$L182)),"")))</f>
        <v/>
      </c>
      <c r="G182" t="str">
        <f>IF($L182="","",IF(INDEX(tblRegistros[Data],$L182)&gt;$D$4,"",IFERROR(INDEX(tblRegistros[Base],$L182),"")))</f>
        <v/>
      </c>
      <c r="H182" s="3" t="str">
        <f>IF($L182="","",IF(INDEX(tblRegistros[Data],$L182)&gt;$D$4,"",IFERROR(INDEX(tblRegistros[Taxa aplicada],$L182),"")))</f>
        <v/>
      </c>
      <c r="I182" s="3" t="str">
        <f>IF($L182="","",IF(INDEX(tblRegistros[Data],$L182)&gt;$D$4,"",IFERROR(IF(INDEX(tblRegistros[Status],$L182)="EM ABERTO","",INDEX(tblRegistros[Valor],$L182)),"")))</f>
        <v/>
      </c>
      <c r="J182" t="str">
        <f>IF($L182="","",IF(INDEX(tblRegistros[Data],$L182)&gt;$D$4,"",IFERROR(INDEX(tblRegistros[Status],$L182),"")))</f>
        <v/>
      </c>
      <c r="K182" t="str">
        <f>IF($L182="","",IF(INDEX(tblRegistros[Data],$L182)&gt;$D$4,"",IFERROR(INDEX(tblRegistros[Observação],$L182),"")))</f>
        <v/>
      </c>
      <c r="L182" s="16" t="str">
        <f>IFERROR(MATCH($B$3*100000+COUNTIFS(tblRegistros[ID],$B$3,tblRegistros[Data],"&lt;"&amp;$B$4)+ROWS($L$10:L182),tblRegistros[Chave do cartão],0),"")</f>
        <v/>
      </c>
    </row>
    <row r="183" spans="1:12">
      <c r="A183" s="2" t="str">
        <f>IF($L183="","",IF(INDEX(tblRegistros[Data],$L183)&gt;$D$4,"",IFERROR(INDEX(tblRegistros[Data],$L183),"")))</f>
        <v/>
      </c>
      <c r="B183" t="str">
        <f>IF($L183="","",IF(INDEX(tblRegistros[Data],$L183)&gt;$D$4,"",IFERROR(INDEX(tblRegistros[Projeto],$L183),"")))</f>
        <v/>
      </c>
      <c r="C183" t="str">
        <f>IF($L183="","",IF(INDEX(tblRegistros[Data],$L183)&gt;$D$4,"",IFERROR(INDEX(tblRegistros[Atividade],$L183),"")))</f>
        <v/>
      </c>
      <c r="D183" s="4" t="str">
        <f>IF($L183="","",IF(INDEX(tblRegistros[Data],$L183)&gt;$D$4,"",IFERROR(INDEX(tblRegistros[Início],$L183),"")))</f>
        <v/>
      </c>
      <c r="E183" s="4" t="str">
        <f>IF($L183="","",IF(INDEX(tblRegistros[Data],$L183)&gt;$D$4,"",IFERROR(IF(INDEX(tblRegistros[Status],$L183)="EM ABERTO","",INDEX(tblRegistros[Fim],$L183)),"")))</f>
        <v/>
      </c>
      <c r="F183" s="14" t="str">
        <f>IF($L183="","",IF(INDEX(tblRegistros[Data],$L183)&gt;$D$4,"",IFERROR(IF(INDEX(tblRegistros[Status],$L183)="EM ABERTO","",INDEX(tblRegistros[Horas],$L183)),"")))</f>
        <v/>
      </c>
      <c r="G183" t="str">
        <f>IF($L183="","",IF(INDEX(tblRegistros[Data],$L183)&gt;$D$4,"",IFERROR(INDEX(tblRegistros[Base],$L183),"")))</f>
        <v/>
      </c>
      <c r="H183" s="3" t="str">
        <f>IF($L183="","",IF(INDEX(tblRegistros[Data],$L183)&gt;$D$4,"",IFERROR(INDEX(tblRegistros[Taxa aplicada],$L183),"")))</f>
        <v/>
      </c>
      <c r="I183" s="3" t="str">
        <f>IF($L183="","",IF(INDEX(tblRegistros[Data],$L183)&gt;$D$4,"",IFERROR(IF(INDEX(tblRegistros[Status],$L183)="EM ABERTO","",INDEX(tblRegistros[Valor],$L183)),"")))</f>
        <v/>
      </c>
      <c r="J183" t="str">
        <f>IF($L183="","",IF(INDEX(tblRegistros[Data],$L183)&gt;$D$4,"",IFERROR(INDEX(tblRegistros[Status],$L183),"")))</f>
        <v/>
      </c>
      <c r="K183" t="str">
        <f>IF($L183="","",IF(INDEX(tblRegistros[Data],$L183)&gt;$D$4,"",IFERROR(INDEX(tblRegistros[Observação],$L183),"")))</f>
        <v/>
      </c>
      <c r="L183" s="16" t="str">
        <f>IFERROR(MATCH($B$3*100000+COUNTIFS(tblRegistros[ID],$B$3,tblRegistros[Data],"&lt;"&amp;$B$4)+ROWS($L$10:L183),tblRegistros[Chave do cartão],0),"")</f>
        <v/>
      </c>
    </row>
    <row r="184" spans="1:12">
      <c r="A184" s="2" t="str">
        <f>IF($L184="","",IF(INDEX(tblRegistros[Data],$L184)&gt;$D$4,"",IFERROR(INDEX(tblRegistros[Data],$L184),"")))</f>
        <v/>
      </c>
      <c r="B184" t="str">
        <f>IF($L184="","",IF(INDEX(tblRegistros[Data],$L184)&gt;$D$4,"",IFERROR(INDEX(tblRegistros[Projeto],$L184),"")))</f>
        <v/>
      </c>
      <c r="C184" t="str">
        <f>IF($L184="","",IF(INDEX(tblRegistros[Data],$L184)&gt;$D$4,"",IFERROR(INDEX(tblRegistros[Atividade],$L184),"")))</f>
        <v/>
      </c>
      <c r="D184" s="4" t="str">
        <f>IF($L184="","",IF(INDEX(tblRegistros[Data],$L184)&gt;$D$4,"",IFERROR(INDEX(tblRegistros[Início],$L184),"")))</f>
        <v/>
      </c>
      <c r="E184" s="4" t="str">
        <f>IF($L184="","",IF(INDEX(tblRegistros[Data],$L184)&gt;$D$4,"",IFERROR(IF(INDEX(tblRegistros[Status],$L184)="EM ABERTO","",INDEX(tblRegistros[Fim],$L184)),"")))</f>
        <v/>
      </c>
      <c r="F184" s="14" t="str">
        <f>IF($L184="","",IF(INDEX(tblRegistros[Data],$L184)&gt;$D$4,"",IFERROR(IF(INDEX(tblRegistros[Status],$L184)="EM ABERTO","",INDEX(tblRegistros[Horas],$L184)),"")))</f>
        <v/>
      </c>
      <c r="G184" t="str">
        <f>IF($L184="","",IF(INDEX(tblRegistros[Data],$L184)&gt;$D$4,"",IFERROR(INDEX(tblRegistros[Base],$L184),"")))</f>
        <v/>
      </c>
      <c r="H184" s="3" t="str">
        <f>IF($L184="","",IF(INDEX(tblRegistros[Data],$L184)&gt;$D$4,"",IFERROR(INDEX(tblRegistros[Taxa aplicada],$L184),"")))</f>
        <v/>
      </c>
      <c r="I184" s="3" t="str">
        <f>IF($L184="","",IF(INDEX(tblRegistros[Data],$L184)&gt;$D$4,"",IFERROR(IF(INDEX(tblRegistros[Status],$L184)="EM ABERTO","",INDEX(tblRegistros[Valor],$L184)),"")))</f>
        <v/>
      </c>
      <c r="J184" t="str">
        <f>IF($L184="","",IF(INDEX(tblRegistros[Data],$L184)&gt;$D$4,"",IFERROR(INDEX(tblRegistros[Status],$L184),"")))</f>
        <v/>
      </c>
      <c r="K184" t="str">
        <f>IF($L184="","",IF(INDEX(tblRegistros[Data],$L184)&gt;$D$4,"",IFERROR(INDEX(tblRegistros[Observação],$L184),"")))</f>
        <v/>
      </c>
      <c r="L184" s="16" t="str">
        <f>IFERROR(MATCH($B$3*100000+COUNTIFS(tblRegistros[ID],$B$3,tblRegistros[Data],"&lt;"&amp;$B$4)+ROWS($L$10:L184),tblRegistros[Chave do cartão],0),"")</f>
        <v/>
      </c>
    </row>
    <row r="185" spans="1:12">
      <c r="A185" s="2" t="str">
        <f>IF($L185="","",IF(INDEX(tblRegistros[Data],$L185)&gt;$D$4,"",IFERROR(INDEX(tblRegistros[Data],$L185),"")))</f>
        <v/>
      </c>
      <c r="B185" t="str">
        <f>IF($L185="","",IF(INDEX(tblRegistros[Data],$L185)&gt;$D$4,"",IFERROR(INDEX(tblRegistros[Projeto],$L185),"")))</f>
        <v/>
      </c>
      <c r="C185" t="str">
        <f>IF($L185="","",IF(INDEX(tblRegistros[Data],$L185)&gt;$D$4,"",IFERROR(INDEX(tblRegistros[Atividade],$L185),"")))</f>
        <v/>
      </c>
      <c r="D185" s="4" t="str">
        <f>IF($L185="","",IF(INDEX(tblRegistros[Data],$L185)&gt;$D$4,"",IFERROR(INDEX(tblRegistros[Início],$L185),"")))</f>
        <v/>
      </c>
      <c r="E185" s="4" t="str">
        <f>IF($L185="","",IF(INDEX(tblRegistros[Data],$L185)&gt;$D$4,"",IFERROR(IF(INDEX(tblRegistros[Status],$L185)="EM ABERTO","",INDEX(tblRegistros[Fim],$L185)),"")))</f>
        <v/>
      </c>
      <c r="F185" s="14" t="str">
        <f>IF($L185="","",IF(INDEX(tblRegistros[Data],$L185)&gt;$D$4,"",IFERROR(IF(INDEX(tblRegistros[Status],$L185)="EM ABERTO","",INDEX(tblRegistros[Horas],$L185)),"")))</f>
        <v/>
      </c>
      <c r="G185" t="str">
        <f>IF($L185="","",IF(INDEX(tblRegistros[Data],$L185)&gt;$D$4,"",IFERROR(INDEX(tblRegistros[Base],$L185),"")))</f>
        <v/>
      </c>
      <c r="H185" s="3" t="str">
        <f>IF($L185="","",IF(INDEX(tblRegistros[Data],$L185)&gt;$D$4,"",IFERROR(INDEX(tblRegistros[Taxa aplicada],$L185),"")))</f>
        <v/>
      </c>
      <c r="I185" s="3" t="str">
        <f>IF($L185="","",IF(INDEX(tblRegistros[Data],$L185)&gt;$D$4,"",IFERROR(IF(INDEX(tblRegistros[Status],$L185)="EM ABERTO","",INDEX(tblRegistros[Valor],$L185)),"")))</f>
        <v/>
      </c>
      <c r="J185" t="str">
        <f>IF($L185="","",IF(INDEX(tblRegistros[Data],$L185)&gt;$D$4,"",IFERROR(INDEX(tblRegistros[Status],$L185),"")))</f>
        <v/>
      </c>
      <c r="K185" t="str">
        <f>IF($L185="","",IF(INDEX(tblRegistros[Data],$L185)&gt;$D$4,"",IFERROR(INDEX(tblRegistros[Observação],$L185),"")))</f>
        <v/>
      </c>
      <c r="L185" s="16" t="str">
        <f>IFERROR(MATCH($B$3*100000+COUNTIFS(tblRegistros[ID],$B$3,tblRegistros[Data],"&lt;"&amp;$B$4)+ROWS($L$10:L185),tblRegistros[Chave do cartão],0),"")</f>
        <v/>
      </c>
    </row>
    <row r="186" spans="1:12">
      <c r="A186" s="2" t="str">
        <f>IF($L186="","",IF(INDEX(tblRegistros[Data],$L186)&gt;$D$4,"",IFERROR(INDEX(tblRegistros[Data],$L186),"")))</f>
        <v/>
      </c>
      <c r="B186" t="str">
        <f>IF($L186="","",IF(INDEX(tblRegistros[Data],$L186)&gt;$D$4,"",IFERROR(INDEX(tblRegistros[Projeto],$L186),"")))</f>
        <v/>
      </c>
      <c r="C186" t="str">
        <f>IF($L186="","",IF(INDEX(tblRegistros[Data],$L186)&gt;$D$4,"",IFERROR(INDEX(tblRegistros[Atividade],$L186),"")))</f>
        <v/>
      </c>
      <c r="D186" s="4" t="str">
        <f>IF($L186="","",IF(INDEX(tblRegistros[Data],$L186)&gt;$D$4,"",IFERROR(INDEX(tblRegistros[Início],$L186),"")))</f>
        <v/>
      </c>
      <c r="E186" s="4" t="str">
        <f>IF($L186="","",IF(INDEX(tblRegistros[Data],$L186)&gt;$D$4,"",IFERROR(IF(INDEX(tblRegistros[Status],$L186)="EM ABERTO","",INDEX(tblRegistros[Fim],$L186)),"")))</f>
        <v/>
      </c>
      <c r="F186" s="14" t="str">
        <f>IF($L186="","",IF(INDEX(tblRegistros[Data],$L186)&gt;$D$4,"",IFERROR(IF(INDEX(tblRegistros[Status],$L186)="EM ABERTO","",INDEX(tblRegistros[Horas],$L186)),"")))</f>
        <v/>
      </c>
      <c r="G186" t="str">
        <f>IF($L186="","",IF(INDEX(tblRegistros[Data],$L186)&gt;$D$4,"",IFERROR(INDEX(tblRegistros[Base],$L186),"")))</f>
        <v/>
      </c>
      <c r="H186" s="3" t="str">
        <f>IF($L186="","",IF(INDEX(tblRegistros[Data],$L186)&gt;$D$4,"",IFERROR(INDEX(tblRegistros[Taxa aplicada],$L186),"")))</f>
        <v/>
      </c>
      <c r="I186" s="3" t="str">
        <f>IF($L186="","",IF(INDEX(tblRegistros[Data],$L186)&gt;$D$4,"",IFERROR(IF(INDEX(tblRegistros[Status],$L186)="EM ABERTO","",INDEX(tblRegistros[Valor],$L186)),"")))</f>
        <v/>
      </c>
      <c r="J186" t="str">
        <f>IF($L186="","",IF(INDEX(tblRegistros[Data],$L186)&gt;$D$4,"",IFERROR(INDEX(tblRegistros[Status],$L186),"")))</f>
        <v/>
      </c>
      <c r="K186" t="str">
        <f>IF($L186="","",IF(INDEX(tblRegistros[Data],$L186)&gt;$D$4,"",IFERROR(INDEX(tblRegistros[Observação],$L186),"")))</f>
        <v/>
      </c>
      <c r="L186" s="16" t="str">
        <f>IFERROR(MATCH($B$3*100000+COUNTIFS(tblRegistros[ID],$B$3,tblRegistros[Data],"&lt;"&amp;$B$4)+ROWS($L$10:L186),tblRegistros[Chave do cartão],0),"")</f>
        <v/>
      </c>
    </row>
    <row r="187" spans="1:12">
      <c r="A187" s="2" t="str">
        <f>IF($L187="","",IF(INDEX(tblRegistros[Data],$L187)&gt;$D$4,"",IFERROR(INDEX(tblRegistros[Data],$L187),"")))</f>
        <v/>
      </c>
      <c r="B187" t="str">
        <f>IF($L187="","",IF(INDEX(tblRegistros[Data],$L187)&gt;$D$4,"",IFERROR(INDEX(tblRegistros[Projeto],$L187),"")))</f>
        <v/>
      </c>
      <c r="C187" t="str">
        <f>IF($L187="","",IF(INDEX(tblRegistros[Data],$L187)&gt;$D$4,"",IFERROR(INDEX(tblRegistros[Atividade],$L187),"")))</f>
        <v/>
      </c>
      <c r="D187" s="4" t="str">
        <f>IF($L187="","",IF(INDEX(tblRegistros[Data],$L187)&gt;$D$4,"",IFERROR(INDEX(tblRegistros[Início],$L187),"")))</f>
        <v/>
      </c>
      <c r="E187" s="4" t="str">
        <f>IF($L187="","",IF(INDEX(tblRegistros[Data],$L187)&gt;$D$4,"",IFERROR(IF(INDEX(tblRegistros[Status],$L187)="EM ABERTO","",INDEX(tblRegistros[Fim],$L187)),"")))</f>
        <v/>
      </c>
      <c r="F187" s="14" t="str">
        <f>IF($L187="","",IF(INDEX(tblRegistros[Data],$L187)&gt;$D$4,"",IFERROR(IF(INDEX(tblRegistros[Status],$L187)="EM ABERTO","",INDEX(tblRegistros[Horas],$L187)),"")))</f>
        <v/>
      </c>
      <c r="G187" t="str">
        <f>IF($L187="","",IF(INDEX(tblRegistros[Data],$L187)&gt;$D$4,"",IFERROR(INDEX(tblRegistros[Base],$L187),"")))</f>
        <v/>
      </c>
      <c r="H187" s="3" t="str">
        <f>IF($L187="","",IF(INDEX(tblRegistros[Data],$L187)&gt;$D$4,"",IFERROR(INDEX(tblRegistros[Taxa aplicada],$L187),"")))</f>
        <v/>
      </c>
      <c r="I187" s="3" t="str">
        <f>IF($L187="","",IF(INDEX(tblRegistros[Data],$L187)&gt;$D$4,"",IFERROR(IF(INDEX(tblRegistros[Status],$L187)="EM ABERTO","",INDEX(tblRegistros[Valor],$L187)),"")))</f>
        <v/>
      </c>
      <c r="J187" t="str">
        <f>IF($L187="","",IF(INDEX(tblRegistros[Data],$L187)&gt;$D$4,"",IFERROR(INDEX(tblRegistros[Status],$L187),"")))</f>
        <v/>
      </c>
      <c r="K187" t="str">
        <f>IF($L187="","",IF(INDEX(tblRegistros[Data],$L187)&gt;$D$4,"",IFERROR(INDEX(tblRegistros[Observação],$L187),"")))</f>
        <v/>
      </c>
      <c r="L187" s="16" t="str">
        <f>IFERROR(MATCH($B$3*100000+COUNTIFS(tblRegistros[ID],$B$3,tblRegistros[Data],"&lt;"&amp;$B$4)+ROWS($L$10:L187),tblRegistros[Chave do cartão],0),"")</f>
        <v/>
      </c>
    </row>
    <row r="188" spans="1:12">
      <c r="A188" s="2" t="str">
        <f>IF($L188="","",IF(INDEX(tblRegistros[Data],$L188)&gt;$D$4,"",IFERROR(INDEX(tblRegistros[Data],$L188),"")))</f>
        <v/>
      </c>
      <c r="B188" t="str">
        <f>IF($L188="","",IF(INDEX(tblRegistros[Data],$L188)&gt;$D$4,"",IFERROR(INDEX(tblRegistros[Projeto],$L188),"")))</f>
        <v/>
      </c>
      <c r="C188" t="str">
        <f>IF($L188="","",IF(INDEX(tblRegistros[Data],$L188)&gt;$D$4,"",IFERROR(INDEX(tblRegistros[Atividade],$L188),"")))</f>
        <v/>
      </c>
      <c r="D188" s="4" t="str">
        <f>IF($L188="","",IF(INDEX(tblRegistros[Data],$L188)&gt;$D$4,"",IFERROR(INDEX(tblRegistros[Início],$L188),"")))</f>
        <v/>
      </c>
      <c r="E188" s="4" t="str">
        <f>IF($L188="","",IF(INDEX(tblRegistros[Data],$L188)&gt;$D$4,"",IFERROR(IF(INDEX(tblRegistros[Status],$L188)="EM ABERTO","",INDEX(tblRegistros[Fim],$L188)),"")))</f>
        <v/>
      </c>
      <c r="F188" s="14" t="str">
        <f>IF($L188="","",IF(INDEX(tblRegistros[Data],$L188)&gt;$D$4,"",IFERROR(IF(INDEX(tblRegistros[Status],$L188)="EM ABERTO","",INDEX(tblRegistros[Horas],$L188)),"")))</f>
        <v/>
      </c>
      <c r="G188" t="str">
        <f>IF($L188="","",IF(INDEX(tblRegistros[Data],$L188)&gt;$D$4,"",IFERROR(INDEX(tblRegistros[Base],$L188),"")))</f>
        <v/>
      </c>
      <c r="H188" s="3" t="str">
        <f>IF($L188="","",IF(INDEX(tblRegistros[Data],$L188)&gt;$D$4,"",IFERROR(INDEX(tblRegistros[Taxa aplicada],$L188),"")))</f>
        <v/>
      </c>
      <c r="I188" s="3" t="str">
        <f>IF($L188="","",IF(INDEX(tblRegistros[Data],$L188)&gt;$D$4,"",IFERROR(IF(INDEX(tblRegistros[Status],$L188)="EM ABERTO","",INDEX(tblRegistros[Valor],$L188)),"")))</f>
        <v/>
      </c>
      <c r="J188" t="str">
        <f>IF($L188="","",IF(INDEX(tblRegistros[Data],$L188)&gt;$D$4,"",IFERROR(INDEX(tblRegistros[Status],$L188),"")))</f>
        <v/>
      </c>
      <c r="K188" t="str">
        <f>IF($L188="","",IF(INDEX(tblRegistros[Data],$L188)&gt;$D$4,"",IFERROR(INDEX(tblRegistros[Observação],$L188),"")))</f>
        <v/>
      </c>
      <c r="L188" s="16" t="str">
        <f>IFERROR(MATCH($B$3*100000+COUNTIFS(tblRegistros[ID],$B$3,tblRegistros[Data],"&lt;"&amp;$B$4)+ROWS($L$10:L188),tblRegistros[Chave do cartão],0),"")</f>
        <v/>
      </c>
    </row>
    <row r="189" spans="1:12">
      <c r="A189" s="2" t="str">
        <f>IF($L189="","",IF(INDEX(tblRegistros[Data],$L189)&gt;$D$4,"",IFERROR(INDEX(tblRegistros[Data],$L189),"")))</f>
        <v/>
      </c>
      <c r="B189" t="str">
        <f>IF($L189="","",IF(INDEX(tblRegistros[Data],$L189)&gt;$D$4,"",IFERROR(INDEX(tblRegistros[Projeto],$L189),"")))</f>
        <v/>
      </c>
      <c r="C189" t="str">
        <f>IF($L189="","",IF(INDEX(tblRegistros[Data],$L189)&gt;$D$4,"",IFERROR(INDEX(tblRegistros[Atividade],$L189),"")))</f>
        <v/>
      </c>
      <c r="D189" s="4" t="str">
        <f>IF($L189="","",IF(INDEX(tblRegistros[Data],$L189)&gt;$D$4,"",IFERROR(INDEX(tblRegistros[Início],$L189),"")))</f>
        <v/>
      </c>
      <c r="E189" s="4" t="str">
        <f>IF($L189="","",IF(INDEX(tblRegistros[Data],$L189)&gt;$D$4,"",IFERROR(IF(INDEX(tblRegistros[Status],$L189)="EM ABERTO","",INDEX(tblRegistros[Fim],$L189)),"")))</f>
        <v/>
      </c>
      <c r="F189" s="14" t="str">
        <f>IF($L189="","",IF(INDEX(tblRegistros[Data],$L189)&gt;$D$4,"",IFERROR(IF(INDEX(tblRegistros[Status],$L189)="EM ABERTO","",INDEX(tblRegistros[Horas],$L189)),"")))</f>
        <v/>
      </c>
      <c r="G189" t="str">
        <f>IF($L189="","",IF(INDEX(tblRegistros[Data],$L189)&gt;$D$4,"",IFERROR(INDEX(tblRegistros[Base],$L189),"")))</f>
        <v/>
      </c>
      <c r="H189" s="3" t="str">
        <f>IF($L189="","",IF(INDEX(tblRegistros[Data],$L189)&gt;$D$4,"",IFERROR(INDEX(tblRegistros[Taxa aplicada],$L189),"")))</f>
        <v/>
      </c>
      <c r="I189" s="3" t="str">
        <f>IF($L189="","",IF(INDEX(tblRegistros[Data],$L189)&gt;$D$4,"",IFERROR(IF(INDEX(tblRegistros[Status],$L189)="EM ABERTO","",INDEX(tblRegistros[Valor],$L189)),"")))</f>
        <v/>
      </c>
      <c r="J189" t="str">
        <f>IF($L189="","",IF(INDEX(tblRegistros[Data],$L189)&gt;$D$4,"",IFERROR(INDEX(tblRegistros[Status],$L189),"")))</f>
        <v/>
      </c>
      <c r="K189" t="str">
        <f>IF($L189="","",IF(INDEX(tblRegistros[Data],$L189)&gt;$D$4,"",IFERROR(INDEX(tblRegistros[Observação],$L189),"")))</f>
        <v/>
      </c>
      <c r="L189" s="16" t="str">
        <f>IFERROR(MATCH($B$3*100000+COUNTIFS(tblRegistros[ID],$B$3,tblRegistros[Data],"&lt;"&amp;$B$4)+ROWS($L$10:L189),tblRegistros[Chave do cartão],0),"")</f>
        <v/>
      </c>
    </row>
    <row r="190" spans="1:12">
      <c r="A190" s="2" t="str">
        <f>IF($L190="","",IF(INDEX(tblRegistros[Data],$L190)&gt;$D$4,"",IFERROR(INDEX(tblRegistros[Data],$L190),"")))</f>
        <v/>
      </c>
      <c r="B190" t="str">
        <f>IF($L190="","",IF(INDEX(tblRegistros[Data],$L190)&gt;$D$4,"",IFERROR(INDEX(tblRegistros[Projeto],$L190),"")))</f>
        <v/>
      </c>
      <c r="C190" t="str">
        <f>IF($L190="","",IF(INDEX(tblRegistros[Data],$L190)&gt;$D$4,"",IFERROR(INDEX(tblRegistros[Atividade],$L190),"")))</f>
        <v/>
      </c>
      <c r="D190" s="4" t="str">
        <f>IF($L190="","",IF(INDEX(tblRegistros[Data],$L190)&gt;$D$4,"",IFERROR(INDEX(tblRegistros[Início],$L190),"")))</f>
        <v/>
      </c>
      <c r="E190" s="4" t="str">
        <f>IF($L190="","",IF(INDEX(tblRegistros[Data],$L190)&gt;$D$4,"",IFERROR(IF(INDEX(tblRegistros[Status],$L190)="EM ABERTO","",INDEX(tblRegistros[Fim],$L190)),"")))</f>
        <v/>
      </c>
      <c r="F190" s="14" t="str">
        <f>IF($L190="","",IF(INDEX(tblRegistros[Data],$L190)&gt;$D$4,"",IFERROR(IF(INDEX(tblRegistros[Status],$L190)="EM ABERTO","",INDEX(tblRegistros[Horas],$L190)),"")))</f>
        <v/>
      </c>
      <c r="G190" t="str">
        <f>IF($L190="","",IF(INDEX(tblRegistros[Data],$L190)&gt;$D$4,"",IFERROR(INDEX(tblRegistros[Base],$L190),"")))</f>
        <v/>
      </c>
      <c r="H190" s="3" t="str">
        <f>IF($L190="","",IF(INDEX(tblRegistros[Data],$L190)&gt;$D$4,"",IFERROR(INDEX(tblRegistros[Taxa aplicada],$L190),"")))</f>
        <v/>
      </c>
      <c r="I190" s="3" t="str">
        <f>IF($L190="","",IF(INDEX(tblRegistros[Data],$L190)&gt;$D$4,"",IFERROR(IF(INDEX(tblRegistros[Status],$L190)="EM ABERTO","",INDEX(tblRegistros[Valor],$L190)),"")))</f>
        <v/>
      </c>
      <c r="J190" t="str">
        <f>IF($L190="","",IF(INDEX(tblRegistros[Data],$L190)&gt;$D$4,"",IFERROR(INDEX(tblRegistros[Status],$L190),"")))</f>
        <v/>
      </c>
      <c r="K190" t="str">
        <f>IF($L190="","",IF(INDEX(tblRegistros[Data],$L190)&gt;$D$4,"",IFERROR(INDEX(tblRegistros[Observação],$L190),"")))</f>
        <v/>
      </c>
      <c r="L190" s="16" t="str">
        <f>IFERROR(MATCH($B$3*100000+COUNTIFS(tblRegistros[ID],$B$3,tblRegistros[Data],"&lt;"&amp;$B$4)+ROWS($L$10:L190),tblRegistros[Chave do cartão],0),"")</f>
        <v/>
      </c>
    </row>
    <row r="191" spans="1:12">
      <c r="A191" s="2" t="str">
        <f>IF($L191="","",IF(INDEX(tblRegistros[Data],$L191)&gt;$D$4,"",IFERROR(INDEX(tblRegistros[Data],$L191),"")))</f>
        <v/>
      </c>
      <c r="B191" t="str">
        <f>IF($L191="","",IF(INDEX(tblRegistros[Data],$L191)&gt;$D$4,"",IFERROR(INDEX(tblRegistros[Projeto],$L191),"")))</f>
        <v/>
      </c>
      <c r="C191" t="str">
        <f>IF($L191="","",IF(INDEX(tblRegistros[Data],$L191)&gt;$D$4,"",IFERROR(INDEX(tblRegistros[Atividade],$L191),"")))</f>
        <v/>
      </c>
      <c r="D191" s="4" t="str">
        <f>IF($L191="","",IF(INDEX(tblRegistros[Data],$L191)&gt;$D$4,"",IFERROR(INDEX(tblRegistros[Início],$L191),"")))</f>
        <v/>
      </c>
      <c r="E191" s="4" t="str">
        <f>IF($L191="","",IF(INDEX(tblRegistros[Data],$L191)&gt;$D$4,"",IFERROR(IF(INDEX(tblRegistros[Status],$L191)="EM ABERTO","",INDEX(tblRegistros[Fim],$L191)),"")))</f>
        <v/>
      </c>
      <c r="F191" s="14" t="str">
        <f>IF($L191="","",IF(INDEX(tblRegistros[Data],$L191)&gt;$D$4,"",IFERROR(IF(INDEX(tblRegistros[Status],$L191)="EM ABERTO","",INDEX(tblRegistros[Horas],$L191)),"")))</f>
        <v/>
      </c>
      <c r="G191" t="str">
        <f>IF($L191="","",IF(INDEX(tblRegistros[Data],$L191)&gt;$D$4,"",IFERROR(INDEX(tblRegistros[Base],$L191),"")))</f>
        <v/>
      </c>
      <c r="H191" s="3" t="str">
        <f>IF($L191="","",IF(INDEX(tblRegistros[Data],$L191)&gt;$D$4,"",IFERROR(INDEX(tblRegistros[Taxa aplicada],$L191),"")))</f>
        <v/>
      </c>
      <c r="I191" s="3" t="str">
        <f>IF($L191="","",IF(INDEX(tblRegistros[Data],$L191)&gt;$D$4,"",IFERROR(IF(INDEX(tblRegistros[Status],$L191)="EM ABERTO","",INDEX(tblRegistros[Valor],$L191)),"")))</f>
        <v/>
      </c>
      <c r="J191" t="str">
        <f>IF($L191="","",IF(INDEX(tblRegistros[Data],$L191)&gt;$D$4,"",IFERROR(INDEX(tblRegistros[Status],$L191),"")))</f>
        <v/>
      </c>
      <c r="K191" t="str">
        <f>IF($L191="","",IF(INDEX(tblRegistros[Data],$L191)&gt;$D$4,"",IFERROR(INDEX(tblRegistros[Observação],$L191),"")))</f>
        <v/>
      </c>
      <c r="L191" s="16" t="str">
        <f>IFERROR(MATCH($B$3*100000+COUNTIFS(tblRegistros[ID],$B$3,tblRegistros[Data],"&lt;"&amp;$B$4)+ROWS($L$10:L191),tblRegistros[Chave do cartão],0),"")</f>
        <v/>
      </c>
    </row>
    <row r="192" spans="1:12">
      <c r="A192" s="2" t="str">
        <f>IF($L192="","",IF(INDEX(tblRegistros[Data],$L192)&gt;$D$4,"",IFERROR(INDEX(tblRegistros[Data],$L192),"")))</f>
        <v/>
      </c>
      <c r="B192" t="str">
        <f>IF($L192="","",IF(INDEX(tblRegistros[Data],$L192)&gt;$D$4,"",IFERROR(INDEX(tblRegistros[Projeto],$L192),"")))</f>
        <v/>
      </c>
      <c r="C192" t="str">
        <f>IF($L192="","",IF(INDEX(tblRegistros[Data],$L192)&gt;$D$4,"",IFERROR(INDEX(tblRegistros[Atividade],$L192),"")))</f>
        <v/>
      </c>
      <c r="D192" s="4" t="str">
        <f>IF($L192="","",IF(INDEX(tblRegistros[Data],$L192)&gt;$D$4,"",IFERROR(INDEX(tblRegistros[Início],$L192),"")))</f>
        <v/>
      </c>
      <c r="E192" s="4" t="str">
        <f>IF($L192="","",IF(INDEX(tblRegistros[Data],$L192)&gt;$D$4,"",IFERROR(IF(INDEX(tblRegistros[Status],$L192)="EM ABERTO","",INDEX(tblRegistros[Fim],$L192)),"")))</f>
        <v/>
      </c>
      <c r="F192" s="14" t="str">
        <f>IF($L192="","",IF(INDEX(tblRegistros[Data],$L192)&gt;$D$4,"",IFERROR(IF(INDEX(tblRegistros[Status],$L192)="EM ABERTO","",INDEX(tblRegistros[Horas],$L192)),"")))</f>
        <v/>
      </c>
      <c r="G192" t="str">
        <f>IF($L192="","",IF(INDEX(tblRegistros[Data],$L192)&gt;$D$4,"",IFERROR(INDEX(tblRegistros[Base],$L192),"")))</f>
        <v/>
      </c>
      <c r="H192" s="3" t="str">
        <f>IF($L192="","",IF(INDEX(tblRegistros[Data],$L192)&gt;$D$4,"",IFERROR(INDEX(tblRegistros[Taxa aplicada],$L192),"")))</f>
        <v/>
      </c>
      <c r="I192" s="3" t="str">
        <f>IF($L192="","",IF(INDEX(tblRegistros[Data],$L192)&gt;$D$4,"",IFERROR(IF(INDEX(tblRegistros[Status],$L192)="EM ABERTO","",INDEX(tblRegistros[Valor],$L192)),"")))</f>
        <v/>
      </c>
      <c r="J192" t="str">
        <f>IF($L192="","",IF(INDEX(tblRegistros[Data],$L192)&gt;$D$4,"",IFERROR(INDEX(tblRegistros[Status],$L192),"")))</f>
        <v/>
      </c>
      <c r="K192" t="str">
        <f>IF($L192="","",IF(INDEX(tblRegistros[Data],$L192)&gt;$D$4,"",IFERROR(INDEX(tblRegistros[Observação],$L192),"")))</f>
        <v/>
      </c>
      <c r="L192" s="16" t="str">
        <f>IFERROR(MATCH($B$3*100000+COUNTIFS(tblRegistros[ID],$B$3,tblRegistros[Data],"&lt;"&amp;$B$4)+ROWS($L$10:L192),tblRegistros[Chave do cartão],0),"")</f>
        <v/>
      </c>
    </row>
    <row r="193" spans="1:12">
      <c r="A193" s="2" t="str">
        <f>IF($L193="","",IF(INDEX(tblRegistros[Data],$L193)&gt;$D$4,"",IFERROR(INDEX(tblRegistros[Data],$L193),"")))</f>
        <v/>
      </c>
      <c r="B193" t="str">
        <f>IF($L193="","",IF(INDEX(tblRegistros[Data],$L193)&gt;$D$4,"",IFERROR(INDEX(tblRegistros[Projeto],$L193),"")))</f>
        <v/>
      </c>
      <c r="C193" t="str">
        <f>IF($L193="","",IF(INDEX(tblRegistros[Data],$L193)&gt;$D$4,"",IFERROR(INDEX(tblRegistros[Atividade],$L193),"")))</f>
        <v/>
      </c>
      <c r="D193" s="4" t="str">
        <f>IF($L193="","",IF(INDEX(tblRegistros[Data],$L193)&gt;$D$4,"",IFERROR(INDEX(tblRegistros[Início],$L193),"")))</f>
        <v/>
      </c>
      <c r="E193" s="4" t="str">
        <f>IF($L193="","",IF(INDEX(tblRegistros[Data],$L193)&gt;$D$4,"",IFERROR(IF(INDEX(tblRegistros[Status],$L193)="EM ABERTO","",INDEX(tblRegistros[Fim],$L193)),"")))</f>
        <v/>
      </c>
      <c r="F193" s="14" t="str">
        <f>IF($L193="","",IF(INDEX(tblRegistros[Data],$L193)&gt;$D$4,"",IFERROR(IF(INDEX(tblRegistros[Status],$L193)="EM ABERTO","",INDEX(tblRegistros[Horas],$L193)),"")))</f>
        <v/>
      </c>
      <c r="G193" t="str">
        <f>IF($L193="","",IF(INDEX(tblRegistros[Data],$L193)&gt;$D$4,"",IFERROR(INDEX(tblRegistros[Base],$L193),"")))</f>
        <v/>
      </c>
      <c r="H193" s="3" t="str">
        <f>IF($L193="","",IF(INDEX(tblRegistros[Data],$L193)&gt;$D$4,"",IFERROR(INDEX(tblRegistros[Taxa aplicada],$L193),"")))</f>
        <v/>
      </c>
      <c r="I193" s="3" t="str">
        <f>IF($L193="","",IF(INDEX(tblRegistros[Data],$L193)&gt;$D$4,"",IFERROR(IF(INDEX(tblRegistros[Status],$L193)="EM ABERTO","",INDEX(tblRegistros[Valor],$L193)),"")))</f>
        <v/>
      </c>
      <c r="J193" t="str">
        <f>IF($L193="","",IF(INDEX(tblRegistros[Data],$L193)&gt;$D$4,"",IFERROR(INDEX(tblRegistros[Status],$L193),"")))</f>
        <v/>
      </c>
      <c r="K193" t="str">
        <f>IF($L193="","",IF(INDEX(tblRegistros[Data],$L193)&gt;$D$4,"",IFERROR(INDEX(tblRegistros[Observação],$L193),"")))</f>
        <v/>
      </c>
      <c r="L193" s="16" t="str">
        <f>IFERROR(MATCH($B$3*100000+COUNTIFS(tblRegistros[ID],$B$3,tblRegistros[Data],"&lt;"&amp;$B$4)+ROWS($L$10:L193),tblRegistros[Chave do cartão],0),"")</f>
        <v/>
      </c>
    </row>
    <row r="194" spans="1:12">
      <c r="A194" s="2" t="str">
        <f>IF($L194="","",IF(INDEX(tblRegistros[Data],$L194)&gt;$D$4,"",IFERROR(INDEX(tblRegistros[Data],$L194),"")))</f>
        <v/>
      </c>
      <c r="B194" t="str">
        <f>IF($L194="","",IF(INDEX(tblRegistros[Data],$L194)&gt;$D$4,"",IFERROR(INDEX(tblRegistros[Projeto],$L194),"")))</f>
        <v/>
      </c>
      <c r="C194" t="str">
        <f>IF($L194="","",IF(INDEX(tblRegistros[Data],$L194)&gt;$D$4,"",IFERROR(INDEX(tblRegistros[Atividade],$L194),"")))</f>
        <v/>
      </c>
      <c r="D194" s="4" t="str">
        <f>IF($L194="","",IF(INDEX(tblRegistros[Data],$L194)&gt;$D$4,"",IFERROR(INDEX(tblRegistros[Início],$L194),"")))</f>
        <v/>
      </c>
      <c r="E194" s="4" t="str">
        <f>IF($L194="","",IF(INDEX(tblRegistros[Data],$L194)&gt;$D$4,"",IFERROR(IF(INDEX(tblRegistros[Status],$L194)="EM ABERTO","",INDEX(tblRegistros[Fim],$L194)),"")))</f>
        <v/>
      </c>
      <c r="F194" s="14" t="str">
        <f>IF($L194="","",IF(INDEX(tblRegistros[Data],$L194)&gt;$D$4,"",IFERROR(IF(INDEX(tblRegistros[Status],$L194)="EM ABERTO","",INDEX(tblRegistros[Horas],$L194)),"")))</f>
        <v/>
      </c>
      <c r="G194" t="str">
        <f>IF($L194="","",IF(INDEX(tblRegistros[Data],$L194)&gt;$D$4,"",IFERROR(INDEX(tblRegistros[Base],$L194),"")))</f>
        <v/>
      </c>
      <c r="H194" s="3" t="str">
        <f>IF($L194="","",IF(INDEX(tblRegistros[Data],$L194)&gt;$D$4,"",IFERROR(INDEX(tblRegistros[Taxa aplicada],$L194),"")))</f>
        <v/>
      </c>
      <c r="I194" s="3" t="str">
        <f>IF($L194="","",IF(INDEX(tblRegistros[Data],$L194)&gt;$D$4,"",IFERROR(IF(INDEX(tblRegistros[Status],$L194)="EM ABERTO","",INDEX(tblRegistros[Valor],$L194)),"")))</f>
        <v/>
      </c>
      <c r="J194" t="str">
        <f>IF($L194="","",IF(INDEX(tblRegistros[Data],$L194)&gt;$D$4,"",IFERROR(INDEX(tblRegistros[Status],$L194),"")))</f>
        <v/>
      </c>
      <c r="K194" t="str">
        <f>IF($L194="","",IF(INDEX(tblRegistros[Data],$L194)&gt;$D$4,"",IFERROR(INDEX(tblRegistros[Observação],$L194),"")))</f>
        <v/>
      </c>
      <c r="L194" s="16" t="str">
        <f>IFERROR(MATCH($B$3*100000+COUNTIFS(tblRegistros[ID],$B$3,tblRegistros[Data],"&lt;"&amp;$B$4)+ROWS($L$10:L194),tblRegistros[Chave do cartão],0),"")</f>
        <v/>
      </c>
    </row>
    <row r="195" spans="1:12">
      <c r="A195" s="2" t="str">
        <f>IF($L195="","",IF(INDEX(tblRegistros[Data],$L195)&gt;$D$4,"",IFERROR(INDEX(tblRegistros[Data],$L195),"")))</f>
        <v/>
      </c>
      <c r="B195" t="str">
        <f>IF($L195="","",IF(INDEX(tblRegistros[Data],$L195)&gt;$D$4,"",IFERROR(INDEX(tblRegistros[Projeto],$L195),"")))</f>
        <v/>
      </c>
      <c r="C195" t="str">
        <f>IF($L195="","",IF(INDEX(tblRegistros[Data],$L195)&gt;$D$4,"",IFERROR(INDEX(tblRegistros[Atividade],$L195),"")))</f>
        <v/>
      </c>
      <c r="D195" s="4" t="str">
        <f>IF($L195="","",IF(INDEX(tblRegistros[Data],$L195)&gt;$D$4,"",IFERROR(INDEX(tblRegistros[Início],$L195),"")))</f>
        <v/>
      </c>
      <c r="E195" s="4" t="str">
        <f>IF($L195="","",IF(INDEX(tblRegistros[Data],$L195)&gt;$D$4,"",IFERROR(IF(INDEX(tblRegistros[Status],$L195)="EM ABERTO","",INDEX(tblRegistros[Fim],$L195)),"")))</f>
        <v/>
      </c>
      <c r="F195" s="14" t="str">
        <f>IF($L195="","",IF(INDEX(tblRegistros[Data],$L195)&gt;$D$4,"",IFERROR(IF(INDEX(tblRegistros[Status],$L195)="EM ABERTO","",INDEX(tblRegistros[Horas],$L195)),"")))</f>
        <v/>
      </c>
      <c r="G195" t="str">
        <f>IF($L195="","",IF(INDEX(tblRegistros[Data],$L195)&gt;$D$4,"",IFERROR(INDEX(tblRegistros[Base],$L195),"")))</f>
        <v/>
      </c>
      <c r="H195" s="3" t="str">
        <f>IF($L195="","",IF(INDEX(tblRegistros[Data],$L195)&gt;$D$4,"",IFERROR(INDEX(tblRegistros[Taxa aplicada],$L195),"")))</f>
        <v/>
      </c>
      <c r="I195" s="3" t="str">
        <f>IF($L195="","",IF(INDEX(tblRegistros[Data],$L195)&gt;$D$4,"",IFERROR(IF(INDEX(tblRegistros[Status],$L195)="EM ABERTO","",INDEX(tblRegistros[Valor],$L195)),"")))</f>
        <v/>
      </c>
      <c r="J195" t="str">
        <f>IF($L195="","",IF(INDEX(tblRegistros[Data],$L195)&gt;$D$4,"",IFERROR(INDEX(tblRegistros[Status],$L195),"")))</f>
        <v/>
      </c>
      <c r="K195" t="str">
        <f>IF($L195="","",IF(INDEX(tblRegistros[Data],$L195)&gt;$D$4,"",IFERROR(INDEX(tblRegistros[Observação],$L195),"")))</f>
        <v/>
      </c>
      <c r="L195" s="16" t="str">
        <f>IFERROR(MATCH($B$3*100000+COUNTIFS(tblRegistros[ID],$B$3,tblRegistros[Data],"&lt;"&amp;$B$4)+ROWS($L$10:L195),tblRegistros[Chave do cartão],0),"")</f>
        <v/>
      </c>
    </row>
    <row r="196" spans="1:12">
      <c r="A196" s="2" t="str">
        <f>IF($L196="","",IF(INDEX(tblRegistros[Data],$L196)&gt;$D$4,"",IFERROR(INDEX(tblRegistros[Data],$L196),"")))</f>
        <v/>
      </c>
      <c r="B196" t="str">
        <f>IF($L196="","",IF(INDEX(tblRegistros[Data],$L196)&gt;$D$4,"",IFERROR(INDEX(tblRegistros[Projeto],$L196),"")))</f>
        <v/>
      </c>
      <c r="C196" t="str">
        <f>IF($L196="","",IF(INDEX(tblRegistros[Data],$L196)&gt;$D$4,"",IFERROR(INDEX(tblRegistros[Atividade],$L196),"")))</f>
        <v/>
      </c>
      <c r="D196" s="4" t="str">
        <f>IF($L196="","",IF(INDEX(tblRegistros[Data],$L196)&gt;$D$4,"",IFERROR(INDEX(tblRegistros[Início],$L196),"")))</f>
        <v/>
      </c>
      <c r="E196" s="4" t="str">
        <f>IF($L196="","",IF(INDEX(tblRegistros[Data],$L196)&gt;$D$4,"",IFERROR(IF(INDEX(tblRegistros[Status],$L196)="EM ABERTO","",INDEX(tblRegistros[Fim],$L196)),"")))</f>
        <v/>
      </c>
      <c r="F196" s="14" t="str">
        <f>IF($L196="","",IF(INDEX(tblRegistros[Data],$L196)&gt;$D$4,"",IFERROR(IF(INDEX(tblRegistros[Status],$L196)="EM ABERTO","",INDEX(tblRegistros[Horas],$L196)),"")))</f>
        <v/>
      </c>
      <c r="G196" t="str">
        <f>IF($L196="","",IF(INDEX(tblRegistros[Data],$L196)&gt;$D$4,"",IFERROR(INDEX(tblRegistros[Base],$L196),"")))</f>
        <v/>
      </c>
      <c r="H196" s="3" t="str">
        <f>IF($L196="","",IF(INDEX(tblRegistros[Data],$L196)&gt;$D$4,"",IFERROR(INDEX(tblRegistros[Taxa aplicada],$L196),"")))</f>
        <v/>
      </c>
      <c r="I196" s="3" t="str">
        <f>IF($L196="","",IF(INDEX(tblRegistros[Data],$L196)&gt;$D$4,"",IFERROR(IF(INDEX(tblRegistros[Status],$L196)="EM ABERTO","",INDEX(tblRegistros[Valor],$L196)),"")))</f>
        <v/>
      </c>
      <c r="J196" t="str">
        <f>IF($L196="","",IF(INDEX(tblRegistros[Data],$L196)&gt;$D$4,"",IFERROR(INDEX(tblRegistros[Status],$L196),"")))</f>
        <v/>
      </c>
      <c r="K196" t="str">
        <f>IF($L196="","",IF(INDEX(tblRegistros[Data],$L196)&gt;$D$4,"",IFERROR(INDEX(tblRegistros[Observação],$L196),"")))</f>
        <v/>
      </c>
      <c r="L196" s="16" t="str">
        <f>IFERROR(MATCH($B$3*100000+COUNTIFS(tblRegistros[ID],$B$3,tblRegistros[Data],"&lt;"&amp;$B$4)+ROWS($L$10:L196),tblRegistros[Chave do cartão],0),"")</f>
        <v/>
      </c>
    </row>
    <row r="197" spans="1:12">
      <c r="A197" s="2" t="str">
        <f>IF($L197="","",IF(INDEX(tblRegistros[Data],$L197)&gt;$D$4,"",IFERROR(INDEX(tblRegistros[Data],$L197),"")))</f>
        <v/>
      </c>
      <c r="B197" t="str">
        <f>IF($L197="","",IF(INDEX(tblRegistros[Data],$L197)&gt;$D$4,"",IFERROR(INDEX(tblRegistros[Projeto],$L197),"")))</f>
        <v/>
      </c>
      <c r="C197" t="str">
        <f>IF($L197="","",IF(INDEX(tblRegistros[Data],$L197)&gt;$D$4,"",IFERROR(INDEX(tblRegistros[Atividade],$L197),"")))</f>
        <v/>
      </c>
      <c r="D197" s="4" t="str">
        <f>IF($L197="","",IF(INDEX(tblRegistros[Data],$L197)&gt;$D$4,"",IFERROR(INDEX(tblRegistros[Início],$L197),"")))</f>
        <v/>
      </c>
      <c r="E197" s="4" t="str">
        <f>IF($L197="","",IF(INDEX(tblRegistros[Data],$L197)&gt;$D$4,"",IFERROR(IF(INDEX(tblRegistros[Status],$L197)="EM ABERTO","",INDEX(tblRegistros[Fim],$L197)),"")))</f>
        <v/>
      </c>
      <c r="F197" s="14" t="str">
        <f>IF($L197="","",IF(INDEX(tblRegistros[Data],$L197)&gt;$D$4,"",IFERROR(IF(INDEX(tblRegistros[Status],$L197)="EM ABERTO","",INDEX(tblRegistros[Horas],$L197)),"")))</f>
        <v/>
      </c>
      <c r="G197" t="str">
        <f>IF($L197="","",IF(INDEX(tblRegistros[Data],$L197)&gt;$D$4,"",IFERROR(INDEX(tblRegistros[Base],$L197),"")))</f>
        <v/>
      </c>
      <c r="H197" s="3" t="str">
        <f>IF($L197="","",IF(INDEX(tblRegistros[Data],$L197)&gt;$D$4,"",IFERROR(INDEX(tblRegistros[Taxa aplicada],$L197),"")))</f>
        <v/>
      </c>
      <c r="I197" s="3" t="str">
        <f>IF($L197="","",IF(INDEX(tblRegistros[Data],$L197)&gt;$D$4,"",IFERROR(IF(INDEX(tblRegistros[Status],$L197)="EM ABERTO","",INDEX(tblRegistros[Valor],$L197)),"")))</f>
        <v/>
      </c>
      <c r="J197" t="str">
        <f>IF($L197="","",IF(INDEX(tblRegistros[Data],$L197)&gt;$D$4,"",IFERROR(INDEX(tblRegistros[Status],$L197),"")))</f>
        <v/>
      </c>
      <c r="K197" t="str">
        <f>IF($L197="","",IF(INDEX(tblRegistros[Data],$L197)&gt;$D$4,"",IFERROR(INDEX(tblRegistros[Observação],$L197),"")))</f>
        <v/>
      </c>
      <c r="L197" s="16" t="str">
        <f>IFERROR(MATCH($B$3*100000+COUNTIFS(tblRegistros[ID],$B$3,tblRegistros[Data],"&lt;"&amp;$B$4)+ROWS($L$10:L197),tblRegistros[Chave do cartão],0),"")</f>
        <v/>
      </c>
    </row>
    <row r="198" spans="1:12">
      <c r="A198" s="2" t="str">
        <f>IF($L198="","",IF(INDEX(tblRegistros[Data],$L198)&gt;$D$4,"",IFERROR(INDEX(tblRegistros[Data],$L198),"")))</f>
        <v/>
      </c>
      <c r="B198" t="str">
        <f>IF($L198="","",IF(INDEX(tblRegistros[Data],$L198)&gt;$D$4,"",IFERROR(INDEX(tblRegistros[Projeto],$L198),"")))</f>
        <v/>
      </c>
      <c r="C198" t="str">
        <f>IF($L198="","",IF(INDEX(tblRegistros[Data],$L198)&gt;$D$4,"",IFERROR(INDEX(tblRegistros[Atividade],$L198),"")))</f>
        <v/>
      </c>
      <c r="D198" s="4" t="str">
        <f>IF($L198="","",IF(INDEX(tblRegistros[Data],$L198)&gt;$D$4,"",IFERROR(INDEX(tblRegistros[Início],$L198),"")))</f>
        <v/>
      </c>
      <c r="E198" s="4" t="str">
        <f>IF($L198="","",IF(INDEX(tblRegistros[Data],$L198)&gt;$D$4,"",IFERROR(IF(INDEX(tblRegistros[Status],$L198)="EM ABERTO","",INDEX(tblRegistros[Fim],$L198)),"")))</f>
        <v/>
      </c>
      <c r="F198" s="14" t="str">
        <f>IF($L198="","",IF(INDEX(tblRegistros[Data],$L198)&gt;$D$4,"",IFERROR(IF(INDEX(tblRegistros[Status],$L198)="EM ABERTO","",INDEX(tblRegistros[Horas],$L198)),"")))</f>
        <v/>
      </c>
      <c r="G198" t="str">
        <f>IF($L198="","",IF(INDEX(tblRegistros[Data],$L198)&gt;$D$4,"",IFERROR(INDEX(tblRegistros[Base],$L198),"")))</f>
        <v/>
      </c>
      <c r="H198" s="3" t="str">
        <f>IF($L198="","",IF(INDEX(tblRegistros[Data],$L198)&gt;$D$4,"",IFERROR(INDEX(tblRegistros[Taxa aplicada],$L198),"")))</f>
        <v/>
      </c>
      <c r="I198" s="3" t="str">
        <f>IF($L198="","",IF(INDEX(tblRegistros[Data],$L198)&gt;$D$4,"",IFERROR(IF(INDEX(tblRegistros[Status],$L198)="EM ABERTO","",INDEX(tblRegistros[Valor],$L198)),"")))</f>
        <v/>
      </c>
      <c r="J198" t="str">
        <f>IF($L198="","",IF(INDEX(tblRegistros[Data],$L198)&gt;$D$4,"",IFERROR(INDEX(tblRegistros[Status],$L198),"")))</f>
        <v/>
      </c>
      <c r="K198" t="str">
        <f>IF($L198="","",IF(INDEX(tblRegistros[Data],$L198)&gt;$D$4,"",IFERROR(INDEX(tblRegistros[Observação],$L198),"")))</f>
        <v/>
      </c>
      <c r="L198" s="16" t="str">
        <f>IFERROR(MATCH($B$3*100000+COUNTIFS(tblRegistros[ID],$B$3,tblRegistros[Data],"&lt;"&amp;$B$4)+ROWS($L$10:L198),tblRegistros[Chave do cartão],0),"")</f>
        <v/>
      </c>
    </row>
    <row r="199" spans="1:12">
      <c r="A199" s="2" t="str">
        <f>IF($L199="","",IF(INDEX(tblRegistros[Data],$L199)&gt;$D$4,"",IFERROR(INDEX(tblRegistros[Data],$L199),"")))</f>
        <v/>
      </c>
      <c r="B199" t="str">
        <f>IF($L199="","",IF(INDEX(tblRegistros[Data],$L199)&gt;$D$4,"",IFERROR(INDEX(tblRegistros[Projeto],$L199),"")))</f>
        <v/>
      </c>
      <c r="C199" t="str">
        <f>IF($L199="","",IF(INDEX(tblRegistros[Data],$L199)&gt;$D$4,"",IFERROR(INDEX(tblRegistros[Atividade],$L199),"")))</f>
        <v/>
      </c>
      <c r="D199" s="4" t="str">
        <f>IF($L199="","",IF(INDEX(tblRegistros[Data],$L199)&gt;$D$4,"",IFERROR(INDEX(tblRegistros[Início],$L199),"")))</f>
        <v/>
      </c>
      <c r="E199" s="4" t="str">
        <f>IF($L199="","",IF(INDEX(tblRegistros[Data],$L199)&gt;$D$4,"",IFERROR(IF(INDEX(tblRegistros[Status],$L199)="EM ABERTO","",INDEX(tblRegistros[Fim],$L199)),"")))</f>
        <v/>
      </c>
      <c r="F199" s="14" t="str">
        <f>IF($L199="","",IF(INDEX(tblRegistros[Data],$L199)&gt;$D$4,"",IFERROR(IF(INDEX(tblRegistros[Status],$L199)="EM ABERTO","",INDEX(tblRegistros[Horas],$L199)),"")))</f>
        <v/>
      </c>
      <c r="G199" t="str">
        <f>IF($L199="","",IF(INDEX(tblRegistros[Data],$L199)&gt;$D$4,"",IFERROR(INDEX(tblRegistros[Base],$L199),"")))</f>
        <v/>
      </c>
      <c r="H199" s="3" t="str">
        <f>IF($L199="","",IF(INDEX(tblRegistros[Data],$L199)&gt;$D$4,"",IFERROR(INDEX(tblRegistros[Taxa aplicada],$L199),"")))</f>
        <v/>
      </c>
      <c r="I199" s="3" t="str">
        <f>IF($L199="","",IF(INDEX(tblRegistros[Data],$L199)&gt;$D$4,"",IFERROR(IF(INDEX(tblRegistros[Status],$L199)="EM ABERTO","",INDEX(tblRegistros[Valor],$L199)),"")))</f>
        <v/>
      </c>
      <c r="J199" t="str">
        <f>IF($L199="","",IF(INDEX(tblRegistros[Data],$L199)&gt;$D$4,"",IFERROR(INDEX(tblRegistros[Status],$L199),"")))</f>
        <v/>
      </c>
      <c r="K199" t="str">
        <f>IF($L199="","",IF(INDEX(tblRegistros[Data],$L199)&gt;$D$4,"",IFERROR(INDEX(tblRegistros[Observação],$L199),"")))</f>
        <v/>
      </c>
      <c r="L199" s="16" t="str">
        <f>IFERROR(MATCH($B$3*100000+COUNTIFS(tblRegistros[ID],$B$3,tblRegistros[Data],"&lt;"&amp;$B$4)+ROWS($L$10:L199),tblRegistros[Chave do cartão],0),"")</f>
        <v/>
      </c>
    </row>
    <row r="200" spans="1:12">
      <c r="A200" s="2" t="str">
        <f>IF($L200="","",IF(INDEX(tblRegistros[Data],$L200)&gt;$D$4,"",IFERROR(INDEX(tblRegistros[Data],$L200),"")))</f>
        <v/>
      </c>
      <c r="B200" t="str">
        <f>IF($L200="","",IF(INDEX(tblRegistros[Data],$L200)&gt;$D$4,"",IFERROR(INDEX(tblRegistros[Projeto],$L200),"")))</f>
        <v/>
      </c>
      <c r="C200" t="str">
        <f>IF($L200="","",IF(INDEX(tblRegistros[Data],$L200)&gt;$D$4,"",IFERROR(INDEX(tblRegistros[Atividade],$L200),"")))</f>
        <v/>
      </c>
      <c r="D200" s="4" t="str">
        <f>IF($L200="","",IF(INDEX(tblRegistros[Data],$L200)&gt;$D$4,"",IFERROR(INDEX(tblRegistros[Início],$L200),"")))</f>
        <v/>
      </c>
      <c r="E200" s="4" t="str">
        <f>IF($L200="","",IF(INDEX(tblRegistros[Data],$L200)&gt;$D$4,"",IFERROR(IF(INDEX(tblRegistros[Status],$L200)="EM ABERTO","",INDEX(tblRegistros[Fim],$L200)),"")))</f>
        <v/>
      </c>
      <c r="F200" s="14" t="str">
        <f>IF($L200="","",IF(INDEX(tblRegistros[Data],$L200)&gt;$D$4,"",IFERROR(IF(INDEX(tblRegistros[Status],$L200)="EM ABERTO","",INDEX(tblRegistros[Horas],$L200)),"")))</f>
        <v/>
      </c>
      <c r="G200" t="str">
        <f>IF($L200="","",IF(INDEX(tblRegistros[Data],$L200)&gt;$D$4,"",IFERROR(INDEX(tblRegistros[Base],$L200),"")))</f>
        <v/>
      </c>
      <c r="H200" s="3" t="str">
        <f>IF($L200="","",IF(INDEX(tblRegistros[Data],$L200)&gt;$D$4,"",IFERROR(INDEX(tblRegistros[Taxa aplicada],$L200),"")))</f>
        <v/>
      </c>
      <c r="I200" s="3" t="str">
        <f>IF($L200="","",IF(INDEX(tblRegistros[Data],$L200)&gt;$D$4,"",IFERROR(IF(INDEX(tblRegistros[Status],$L200)="EM ABERTO","",INDEX(tblRegistros[Valor],$L200)),"")))</f>
        <v/>
      </c>
      <c r="J200" t="str">
        <f>IF($L200="","",IF(INDEX(tblRegistros[Data],$L200)&gt;$D$4,"",IFERROR(INDEX(tblRegistros[Status],$L200),"")))</f>
        <v/>
      </c>
      <c r="K200" t="str">
        <f>IF($L200="","",IF(INDEX(tblRegistros[Data],$L200)&gt;$D$4,"",IFERROR(INDEX(tblRegistros[Observação],$L200),"")))</f>
        <v/>
      </c>
      <c r="L200" s="16" t="str">
        <f>IFERROR(MATCH($B$3*100000+COUNTIFS(tblRegistros[ID],$B$3,tblRegistros[Data],"&lt;"&amp;$B$4)+ROWS($L$10:L200),tblRegistros[Chave do cartão],0),"")</f>
        <v/>
      </c>
    </row>
    <row r="201" spans="1:12">
      <c r="A201" s="2" t="str">
        <f>IF($L201="","",IF(INDEX(tblRegistros[Data],$L201)&gt;$D$4,"",IFERROR(INDEX(tblRegistros[Data],$L201),"")))</f>
        <v/>
      </c>
      <c r="B201" t="str">
        <f>IF($L201="","",IF(INDEX(tblRegistros[Data],$L201)&gt;$D$4,"",IFERROR(INDEX(tblRegistros[Projeto],$L201),"")))</f>
        <v/>
      </c>
      <c r="C201" t="str">
        <f>IF($L201="","",IF(INDEX(tblRegistros[Data],$L201)&gt;$D$4,"",IFERROR(INDEX(tblRegistros[Atividade],$L201),"")))</f>
        <v/>
      </c>
      <c r="D201" s="4" t="str">
        <f>IF($L201="","",IF(INDEX(tblRegistros[Data],$L201)&gt;$D$4,"",IFERROR(INDEX(tblRegistros[Início],$L201),"")))</f>
        <v/>
      </c>
      <c r="E201" s="4" t="str">
        <f>IF($L201="","",IF(INDEX(tblRegistros[Data],$L201)&gt;$D$4,"",IFERROR(IF(INDEX(tblRegistros[Status],$L201)="EM ABERTO","",INDEX(tblRegistros[Fim],$L201)),"")))</f>
        <v/>
      </c>
      <c r="F201" s="14" t="str">
        <f>IF($L201="","",IF(INDEX(tblRegistros[Data],$L201)&gt;$D$4,"",IFERROR(IF(INDEX(tblRegistros[Status],$L201)="EM ABERTO","",INDEX(tblRegistros[Horas],$L201)),"")))</f>
        <v/>
      </c>
      <c r="G201" t="str">
        <f>IF($L201="","",IF(INDEX(tblRegistros[Data],$L201)&gt;$D$4,"",IFERROR(INDEX(tblRegistros[Base],$L201),"")))</f>
        <v/>
      </c>
      <c r="H201" s="3" t="str">
        <f>IF($L201="","",IF(INDEX(tblRegistros[Data],$L201)&gt;$D$4,"",IFERROR(INDEX(tblRegistros[Taxa aplicada],$L201),"")))</f>
        <v/>
      </c>
      <c r="I201" s="3" t="str">
        <f>IF($L201="","",IF(INDEX(tblRegistros[Data],$L201)&gt;$D$4,"",IFERROR(IF(INDEX(tblRegistros[Status],$L201)="EM ABERTO","",INDEX(tblRegistros[Valor],$L201)),"")))</f>
        <v/>
      </c>
      <c r="J201" t="str">
        <f>IF($L201="","",IF(INDEX(tblRegistros[Data],$L201)&gt;$D$4,"",IFERROR(INDEX(tblRegistros[Status],$L201),"")))</f>
        <v/>
      </c>
      <c r="K201" t="str">
        <f>IF($L201="","",IF(INDEX(tblRegistros[Data],$L201)&gt;$D$4,"",IFERROR(INDEX(tblRegistros[Observação],$L201),"")))</f>
        <v/>
      </c>
      <c r="L201" s="16" t="str">
        <f>IFERROR(MATCH($B$3*100000+COUNTIFS(tblRegistros[ID],$B$3,tblRegistros[Data],"&lt;"&amp;$B$4)+ROWS($L$10:L201),tblRegistros[Chave do cartão],0),"")</f>
        <v/>
      </c>
    </row>
    <row r="202" spans="1:12">
      <c r="A202" s="2" t="str">
        <f>IF($L202="","",IF(INDEX(tblRegistros[Data],$L202)&gt;$D$4,"",IFERROR(INDEX(tblRegistros[Data],$L202),"")))</f>
        <v/>
      </c>
      <c r="B202" t="str">
        <f>IF($L202="","",IF(INDEX(tblRegistros[Data],$L202)&gt;$D$4,"",IFERROR(INDEX(tblRegistros[Projeto],$L202),"")))</f>
        <v/>
      </c>
      <c r="C202" t="str">
        <f>IF($L202="","",IF(INDEX(tblRegistros[Data],$L202)&gt;$D$4,"",IFERROR(INDEX(tblRegistros[Atividade],$L202),"")))</f>
        <v/>
      </c>
      <c r="D202" s="4" t="str">
        <f>IF($L202="","",IF(INDEX(tblRegistros[Data],$L202)&gt;$D$4,"",IFERROR(INDEX(tblRegistros[Início],$L202),"")))</f>
        <v/>
      </c>
      <c r="E202" s="4" t="str">
        <f>IF($L202="","",IF(INDEX(tblRegistros[Data],$L202)&gt;$D$4,"",IFERROR(IF(INDEX(tblRegistros[Status],$L202)="EM ABERTO","",INDEX(tblRegistros[Fim],$L202)),"")))</f>
        <v/>
      </c>
      <c r="F202" s="14" t="str">
        <f>IF($L202="","",IF(INDEX(tblRegistros[Data],$L202)&gt;$D$4,"",IFERROR(IF(INDEX(tblRegistros[Status],$L202)="EM ABERTO","",INDEX(tblRegistros[Horas],$L202)),"")))</f>
        <v/>
      </c>
      <c r="G202" t="str">
        <f>IF($L202="","",IF(INDEX(tblRegistros[Data],$L202)&gt;$D$4,"",IFERROR(INDEX(tblRegistros[Base],$L202),"")))</f>
        <v/>
      </c>
      <c r="H202" s="3" t="str">
        <f>IF($L202="","",IF(INDEX(tblRegistros[Data],$L202)&gt;$D$4,"",IFERROR(INDEX(tblRegistros[Taxa aplicada],$L202),"")))</f>
        <v/>
      </c>
      <c r="I202" s="3" t="str">
        <f>IF($L202="","",IF(INDEX(tblRegistros[Data],$L202)&gt;$D$4,"",IFERROR(IF(INDEX(tblRegistros[Status],$L202)="EM ABERTO","",INDEX(tblRegistros[Valor],$L202)),"")))</f>
        <v/>
      </c>
      <c r="J202" t="str">
        <f>IF($L202="","",IF(INDEX(tblRegistros[Data],$L202)&gt;$D$4,"",IFERROR(INDEX(tblRegistros[Status],$L202),"")))</f>
        <v/>
      </c>
      <c r="K202" t="str">
        <f>IF($L202="","",IF(INDEX(tblRegistros[Data],$L202)&gt;$D$4,"",IFERROR(INDEX(tblRegistros[Observação],$L202),"")))</f>
        <v/>
      </c>
      <c r="L202" s="16" t="str">
        <f>IFERROR(MATCH($B$3*100000+COUNTIFS(tblRegistros[ID],$B$3,tblRegistros[Data],"&lt;"&amp;$B$4)+ROWS($L$10:L202),tblRegistros[Chave do cartão],0),"")</f>
        <v/>
      </c>
    </row>
    <row r="203" spans="1:12">
      <c r="A203" s="2" t="str">
        <f>IF($L203="","",IF(INDEX(tblRegistros[Data],$L203)&gt;$D$4,"",IFERROR(INDEX(tblRegistros[Data],$L203),"")))</f>
        <v/>
      </c>
      <c r="B203" t="str">
        <f>IF($L203="","",IF(INDEX(tblRegistros[Data],$L203)&gt;$D$4,"",IFERROR(INDEX(tblRegistros[Projeto],$L203),"")))</f>
        <v/>
      </c>
      <c r="C203" t="str">
        <f>IF($L203="","",IF(INDEX(tblRegistros[Data],$L203)&gt;$D$4,"",IFERROR(INDEX(tblRegistros[Atividade],$L203),"")))</f>
        <v/>
      </c>
      <c r="D203" s="4" t="str">
        <f>IF($L203="","",IF(INDEX(tblRegistros[Data],$L203)&gt;$D$4,"",IFERROR(INDEX(tblRegistros[Início],$L203),"")))</f>
        <v/>
      </c>
      <c r="E203" s="4" t="str">
        <f>IF($L203="","",IF(INDEX(tblRegistros[Data],$L203)&gt;$D$4,"",IFERROR(IF(INDEX(tblRegistros[Status],$L203)="EM ABERTO","",INDEX(tblRegistros[Fim],$L203)),"")))</f>
        <v/>
      </c>
      <c r="F203" s="14" t="str">
        <f>IF($L203="","",IF(INDEX(tblRegistros[Data],$L203)&gt;$D$4,"",IFERROR(IF(INDEX(tblRegistros[Status],$L203)="EM ABERTO","",INDEX(tblRegistros[Horas],$L203)),"")))</f>
        <v/>
      </c>
      <c r="G203" t="str">
        <f>IF($L203="","",IF(INDEX(tblRegistros[Data],$L203)&gt;$D$4,"",IFERROR(INDEX(tblRegistros[Base],$L203),"")))</f>
        <v/>
      </c>
      <c r="H203" s="3" t="str">
        <f>IF($L203="","",IF(INDEX(tblRegistros[Data],$L203)&gt;$D$4,"",IFERROR(INDEX(tblRegistros[Taxa aplicada],$L203),"")))</f>
        <v/>
      </c>
      <c r="I203" s="3" t="str">
        <f>IF($L203="","",IF(INDEX(tblRegistros[Data],$L203)&gt;$D$4,"",IFERROR(IF(INDEX(tblRegistros[Status],$L203)="EM ABERTO","",INDEX(tblRegistros[Valor],$L203)),"")))</f>
        <v/>
      </c>
      <c r="J203" t="str">
        <f>IF($L203="","",IF(INDEX(tblRegistros[Data],$L203)&gt;$D$4,"",IFERROR(INDEX(tblRegistros[Status],$L203),"")))</f>
        <v/>
      </c>
      <c r="K203" t="str">
        <f>IF($L203="","",IF(INDEX(tblRegistros[Data],$L203)&gt;$D$4,"",IFERROR(INDEX(tblRegistros[Observação],$L203),"")))</f>
        <v/>
      </c>
      <c r="L203" s="16" t="str">
        <f>IFERROR(MATCH($B$3*100000+COUNTIFS(tblRegistros[ID],$B$3,tblRegistros[Data],"&lt;"&amp;$B$4)+ROWS($L$10:L203),tblRegistros[Chave do cartão],0),"")</f>
        <v/>
      </c>
    </row>
    <row r="204" spans="1:12">
      <c r="A204" s="2" t="str">
        <f>IF($L204="","",IF(INDEX(tblRegistros[Data],$L204)&gt;$D$4,"",IFERROR(INDEX(tblRegistros[Data],$L204),"")))</f>
        <v/>
      </c>
      <c r="B204" t="str">
        <f>IF($L204="","",IF(INDEX(tblRegistros[Data],$L204)&gt;$D$4,"",IFERROR(INDEX(tblRegistros[Projeto],$L204),"")))</f>
        <v/>
      </c>
      <c r="C204" t="str">
        <f>IF($L204="","",IF(INDEX(tblRegistros[Data],$L204)&gt;$D$4,"",IFERROR(INDEX(tblRegistros[Atividade],$L204),"")))</f>
        <v/>
      </c>
      <c r="D204" s="4" t="str">
        <f>IF($L204="","",IF(INDEX(tblRegistros[Data],$L204)&gt;$D$4,"",IFERROR(INDEX(tblRegistros[Início],$L204),"")))</f>
        <v/>
      </c>
      <c r="E204" s="4" t="str">
        <f>IF($L204="","",IF(INDEX(tblRegistros[Data],$L204)&gt;$D$4,"",IFERROR(IF(INDEX(tblRegistros[Status],$L204)="EM ABERTO","",INDEX(tblRegistros[Fim],$L204)),"")))</f>
        <v/>
      </c>
      <c r="F204" s="14" t="str">
        <f>IF($L204="","",IF(INDEX(tblRegistros[Data],$L204)&gt;$D$4,"",IFERROR(IF(INDEX(tblRegistros[Status],$L204)="EM ABERTO","",INDEX(tblRegistros[Horas],$L204)),"")))</f>
        <v/>
      </c>
      <c r="G204" t="str">
        <f>IF($L204="","",IF(INDEX(tblRegistros[Data],$L204)&gt;$D$4,"",IFERROR(INDEX(tblRegistros[Base],$L204),"")))</f>
        <v/>
      </c>
      <c r="H204" s="3" t="str">
        <f>IF($L204="","",IF(INDEX(tblRegistros[Data],$L204)&gt;$D$4,"",IFERROR(INDEX(tblRegistros[Taxa aplicada],$L204),"")))</f>
        <v/>
      </c>
      <c r="I204" s="3" t="str">
        <f>IF($L204="","",IF(INDEX(tblRegistros[Data],$L204)&gt;$D$4,"",IFERROR(IF(INDEX(tblRegistros[Status],$L204)="EM ABERTO","",INDEX(tblRegistros[Valor],$L204)),"")))</f>
        <v/>
      </c>
      <c r="J204" t="str">
        <f>IF($L204="","",IF(INDEX(tblRegistros[Data],$L204)&gt;$D$4,"",IFERROR(INDEX(tblRegistros[Status],$L204),"")))</f>
        <v/>
      </c>
      <c r="K204" t="str">
        <f>IF($L204="","",IF(INDEX(tblRegistros[Data],$L204)&gt;$D$4,"",IFERROR(INDEX(tblRegistros[Observação],$L204),"")))</f>
        <v/>
      </c>
      <c r="L204" s="16" t="str">
        <f>IFERROR(MATCH($B$3*100000+COUNTIFS(tblRegistros[ID],$B$3,tblRegistros[Data],"&lt;"&amp;$B$4)+ROWS($L$10:L204),tblRegistros[Chave do cartão],0),"")</f>
        <v/>
      </c>
    </row>
    <row r="205" spans="1:12">
      <c r="A205" s="2" t="str">
        <f>IF($L205="","",IF(INDEX(tblRegistros[Data],$L205)&gt;$D$4,"",IFERROR(INDEX(tblRegistros[Data],$L205),"")))</f>
        <v/>
      </c>
      <c r="B205" t="str">
        <f>IF($L205="","",IF(INDEX(tblRegistros[Data],$L205)&gt;$D$4,"",IFERROR(INDEX(tblRegistros[Projeto],$L205),"")))</f>
        <v/>
      </c>
      <c r="C205" t="str">
        <f>IF($L205="","",IF(INDEX(tblRegistros[Data],$L205)&gt;$D$4,"",IFERROR(INDEX(tblRegistros[Atividade],$L205),"")))</f>
        <v/>
      </c>
      <c r="D205" s="4" t="str">
        <f>IF($L205="","",IF(INDEX(tblRegistros[Data],$L205)&gt;$D$4,"",IFERROR(INDEX(tblRegistros[Início],$L205),"")))</f>
        <v/>
      </c>
      <c r="E205" s="4" t="str">
        <f>IF($L205="","",IF(INDEX(tblRegistros[Data],$L205)&gt;$D$4,"",IFERROR(IF(INDEX(tblRegistros[Status],$L205)="EM ABERTO","",INDEX(tblRegistros[Fim],$L205)),"")))</f>
        <v/>
      </c>
      <c r="F205" s="14" t="str">
        <f>IF($L205="","",IF(INDEX(tblRegistros[Data],$L205)&gt;$D$4,"",IFERROR(IF(INDEX(tblRegistros[Status],$L205)="EM ABERTO","",INDEX(tblRegistros[Horas],$L205)),"")))</f>
        <v/>
      </c>
      <c r="G205" t="str">
        <f>IF($L205="","",IF(INDEX(tblRegistros[Data],$L205)&gt;$D$4,"",IFERROR(INDEX(tblRegistros[Base],$L205),"")))</f>
        <v/>
      </c>
      <c r="H205" s="3" t="str">
        <f>IF($L205="","",IF(INDEX(tblRegistros[Data],$L205)&gt;$D$4,"",IFERROR(INDEX(tblRegistros[Taxa aplicada],$L205),"")))</f>
        <v/>
      </c>
      <c r="I205" s="3" t="str">
        <f>IF($L205="","",IF(INDEX(tblRegistros[Data],$L205)&gt;$D$4,"",IFERROR(IF(INDEX(tblRegistros[Status],$L205)="EM ABERTO","",INDEX(tblRegistros[Valor],$L205)),"")))</f>
        <v/>
      </c>
      <c r="J205" t="str">
        <f>IF($L205="","",IF(INDEX(tblRegistros[Data],$L205)&gt;$D$4,"",IFERROR(INDEX(tblRegistros[Status],$L205),"")))</f>
        <v/>
      </c>
      <c r="K205" t="str">
        <f>IF($L205="","",IF(INDEX(tblRegistros[Data],$L205)&gt;$D$4,"",IFERROR(INDEX(tblRegistros[Observação],$L205),"")))</f>
        <v/>
      </c>
      <c r="L205" s="16" t="str">
        <f>IFERROR(MATCH($B$3*100000+COUNTIFS(tblRegistros[ID],$B$3,tblRegistros[Data],"&lt;"&amp;$B$4)+ROWS($L$10:L205),tblRegistros[Chave do cartão],0),"")</f>
        <v/>
      </c>
    </row>
    <row r="206" spans="1:12">
      <c r="A206" s="2" t="str">
        <f>IF($L206="","",IF(INDEX(tblRegistros[Data],$L206)&gt;$D$4,"",IFERROR(INDEX(tblRegistros[Data],$L206),"")))</f>
        <v/>
      </c>
      <c r="B206" t="str">
        <f>IF($L206="","",IF(INDEX(tblRegistros[Data],$L206)&gt;$D$4,"",IFERROR(INDEX(tblRegistros[Projeto],$L206),"")))</f>
        <v/>
      </c>
      <c r="C206" t="str">
        <f>IF($L206="","",IF(INDEX(tblRegistros[Data],$L206)&gt;$D$4,"",IFERROR(INDEX(tblRegistros[Atividade],$L206),"")))</f>
        <v/>
      </c>
      <c r="D206" s="4" t="str">
        <f>IF($L206="","",IF(INDEX(tblRegistros[Data],$L206)&gt;$D$4,"",IFERROR(INDEX(tblRegistros[Início],$L206),"")))</f>
        <v/>
      </c>
      <c r="E206" s="4" t="str">
        <f>IF($L206="","",IF(INDEX(tblRegistros[Data],$L206)&gt;$D$4,"",IFERROR(IF(INDEX(tblRegistros[Status],$L206)="EM ABERTO","",INDEX(tblRegistros[Fim],$L206)),"")))</f>
        <v/>
      </c>
      <c r="F206" s="14" t="str">
        <f>IF($L206="","",IF(INDEX(tblRegistros[Data],$L206)&gt;$D$4,"",IFERROR(IF(INDEX(tblRegistros[Status],$L206)="EM ABERTO","",INDEX(tblRegistros[Horas],$L206)),"")))</f>
        <v/>
      </c>
      <c r="G206" t="str">
        <f>IF($L206="","",IF(INDEX(tblRegistros[Data],$L206)&gt;$D$4,"",IFERROR(INDEX(tblRegistros[Base],$L206),"")))</f>
        <v/>
      </c>
      <c r="H206" s="3" t="str">
        <f>IF($L206="","",IF(INDEX(tblRegistros[Data],$L206)&gt;$D$4,"",IFERROR(INDEX(tblRegistros[Taxa aplicada],$L206),"")))</f>
        <v/>
      </c>
      <c r="I206" s="3" t="str">
        <f>IF($L206="","",IF(INDEX(tblRegistros[Data],$L206)&gt;$D$4,"",IFERROR(IF(INDEX(tblRegistros[Status],$L206)="EM ABERTO","",INDEX(tblRegistros[Valor],$L206)),"")))</f>
        <v/>
      </c>
      <c r="J206" t="str">
        <f>IF($L206="","",IF(INDEX(tblRegistros[Data],$L206)&gt;$D$4,"",IFERROR(INDEX(tblRegistros[Status],$L206),"")))</f>
        <v/>
      </c>
      <c r="K206" t="str">
        <f>IF($L206="","",IF(INDEX(tblRegistros[Data],$L206)&gt;$D$4,"",IFERROR(INDEX(tblRegistros[Observação],$L206),"")))</f>
        <v/>
      </c>
      <c r="L206" s="16" t="str">
        <f>IFERROR(MATCH($B$3*100000+COUNTIFS(tblRegistros[ID],$B$3,tblRegistros[Data],"&lt;"&amp;$B$4)+ROWS($L$10:L206),tblRegistros[Chave do cartão],0),"")</f>
        <v/>
      </c>
    </row>
    <row r="207" spans="1:12">
      <c r="A207" s="2" t="str">
        <f>IF($L207="","",IF(INDEX(tblRegistros[Data],$L207)&gt;$D$4,"",IFERROR(INDEX(tblRegistros[Data],$L207),"")))</f>
        <v/>
      </c>
      <c r="B207" t="str">
        <f>IF($L207="","",IF(INDEX(tblRegistros[Data],$L207)&gt;$D$4,"",IFERROR(INDEX(tblRegistros[Projeto],$L207),"")))</f>
        <v/>
      </c>
      <c r="C207" t="str">
        <f>IF($L207="","",IF(INDEX(tblRegistros[Data],$L207)&gt;$D$4,"",IFERROR(INDEX(tblRegistros[Atividade],$L207),"")))</f>
        <v/>
      </c>
      <c r="D207" s="4" t="str">
        <f>IF($L207="","",IF(INDEX(tblRegistros[Data],$L207)&gt;$D$4,"",IFERROR(INDEX(tblRegistros[Início],$L207),"")))</f>
        <v/>
      </c>
      <c r="E207" s="4" t="str">
        <f>IF($L207="","",IF(INDEX(tblRegistros[Data],$L207)&gt;$D$4,"",IFERROR(IF(INDEX(tblRegistros[Status],$L207)="EM ABERTO","",INDEX(tblRegistros[Fim],$L207)),"")))</f>
        <v/>
      </c>
      <c r="F207" s="14" t="str">
        <f>IF($L207="","",IF(INDEX(tblRegistros[Data],$L207)&gt;$D$4,"",IFERROR(IF(INDEX(tblRegistros[Status],$L207)="EM ABERTO","",INDEX(tblRegistros[Horas],$L207)),"")))</f>
        <v/>
      </c>
      <c r="G207" t="str">
        <f>IF($L207="","",IF(INDEX(tblRegistros[Data],$L207)&gt;$D$4,"",IFERROR(INDEX(tblRegistros[Base],$L207),"")))</f>
        <v/>
      </c>
      <c r="H207" s="3" t="str">
        <f>IF($L207="","",IF(INDEX(tblRegistros[Data],$L207)&gt;$D$4,"",IFERROR(INDEX(tblRegistros[Taxa aplicada],$L207),"")))</f>
        <v/>
      </c>
      <c r="I207" s="3" t="str">
        <f>IF($L207="","",IF(INDEX(tblRegistros[Data],$L207)&gt;$D$4,"",IFERROR(IF(INDEX(tblRegistros[Status],$L207)="EM ABERTO","",INDEX(tblRegistros[Valor],$L207)),"")))</f>
        <v/>
      </c>
      <c r="J207" t="str">
        <f>IF($L207="","",IF(INDEX(tblRegistros[Data],$L207)&gt;$D$4,"",IFERROR(INDEX(tblRegistros[Status],$L207),"")))</f>
        <v/>
      </c>
      <c r="K207" t="str">
        <f>IF($L207="","",IF(INDEX(tblRegistros[Data],$L207)&gt;$D$4,"",IFERROR(INDEX(tblRegistros[Observação],$L207),"")))</f>
        <v/>
      </c>
      <c r="L207" s="16" t="str">
        <f>IFERROR(MATCH($B$3*100000+COUNTIFS(tblRegistros[ID],$B$3,tblRegistros[Data],"&lt;"&amp;$B$4)+ROWS($L$10:L207),tblRegistros[Chave do cartão],0),"")</f>
        <v/>
      </c>
    </row>
    <row r="208" spans="1:12">
      <c r="A208" s="2" t="str">
        <f>IF($L208="","",IF(INDEX(tblRegistros[Data],$L208)&gt;$D$4,"",IFERROR(INDEX(tblRegistros[Data],$L208),"")))</f>
        <v/>
      </c>
      <c r="B208" t="str">
        <f>IF($L208="","",IF(INDEX(tblRegistros[Data],$L208)&gt;$D$4,"",IFERROR(INDEX(tblRegistros[Projeto],$L208),"")))</f>
        <v/>
      </c>
      <c r="C208" t="str">
        <f>IF($L208="","",IF(INDEX(tblRegistros[Data],$L208)&gt;$D$4,"",IFERROR(INDEX(tblRegistros[Atividade],$L208),"")))</f>
        <v/>
      </c>
      <c r="D208" s="4" t="str">
        <f>IF($L208="","",IF(INDEX(tblRegistros[Data],$L208)&gt;$D$4,"",IFERROR(INDEX(tblRegistros[Início],$L208),"")))</f>
        <v/>
      </c>
      <c r="E208" s="4" t="str">
        <f>IF($L208="","",IF(INDEX(tblRegistros[Data],$L208)&gt;$D$4,"",IFERROR(IF(INDEX(tblRegistros[Status],$L208)="EM ABERTO","",INDEX(tblRegistros[Fim],$L208)),"")))</f>
        <v/>
      </c>
      <c r="F208" s="14" t="str">
        <f>IF($L208="","",IF(INDEX(tblRegistros[Data],$L208)&gt;$D$4,"",IFERROR(IF(INDEX(tblRegistros[Status],$L208)="EM ABERTO","",INDEX(tblRegistros[Horas],$L208)),"")))</f>
        <v/>
      </c>
      <c r="G208" t="str">
        <f>IF($L208="","",IF(INDEX(tblRegistros[Data],$L208)&gt;$D$4,"",IFERROR(INDEX(tblRegistros[Base],$L208),"")))</f>
        <v/>
      </c>
      <c r="H208" s="3" t="str">
        <f>IF($L208="","",IF(INDEX(tblRegistros[Data],$L208)&gt;$D$4,"",IFERROR(INDEX(tblRegistros[Taxa aplicada],$L208),"")))</f>
        <v/>
      </c>
      <c r="I208" s="3" t="str">
        <f>IF($L208="","",IF(INDEX(tblRegistros[Data],$L208)&gt;$D$4,"",IFERROR(IF(INDEX(tblRegistros[Status],$L208)="EM ABERTO","",INDEX(tblRegistros[Valor],$L208)),"")))</f>
        <v/>
      </c>
      <c r="J208" t="str">
        <f>IF($L208="","",IF(INDEX(tblRegistros[Data],$L208)&gt;$D$4,"",IFERROR(INDEX(tblRegistros[Status],$L208),"")))</f>
        <v/>
      </c>
      <c r="K208" t="str">
        <f>IF($L208="","",IF(INDEX(tblRegistros[Data],$L208)&gt;$D$4,"",IFERROR(INDEX(tblRegistros[Observação],$L208),"")))</f>
        <v/>
      </c>
      <c r="L208" s="16" t="str">
        <f>IFERROR(MATCH($B$3*100000+COUNTIFS(tblRegistros[ID],$B$3,tblRegistros[Data],"&lt;"&amp;$B$4)+ROWS($L$10:L208),tblRegistros[Chave do cartão],0),"")</f>
        <v/>
      </c>
    </row>
    <row r="209" spans="1:12">
      <c r="A209" s="2" t="str">
        <f>IF($L209="","",IF(INDEX(tblRegistros[Data],$L209)&gt;$D$4,"",IFERROR(INDEX(tblRegistros[Data],$L209),"")))</f>
        <v/>
      </c>
      <c r="B209" t="str">
        <f>IF($L209="","",IF(INDEX(tblRegistros[Data],$L209)&gt;$D$4,"",IFERROR(INDEX(tblRegistros[Projeto],$L209),"")))</f>
        <v/>
      </c>
      <c r="C209" t="str">
        <f>IF($L209="","",IF(INDEX(tblRegistros[Data],$L209)&gt;$D$4,"",IFERROR(INDEX(tblRegistros[Atividade],$L209),"")))</f>
        <v/>
      </c>
      <c r="D209" s="4" t="str">
        <f>IF($L209="","",IF(INDEX(tblRegistros[Data],$L209)&gt;$D$4,"",IFERROR(INDEX(tblRegistros[Início],$L209),"")))</f>
        <v/>
      </c>
      <c r="E209" s="4" t="str">
        <f>IF($L209="","",IF(INDEX(tblRegistros[Data],$L209)&gt;$D$4,"",IFERROR(IF(INDEX(tblRegistros[Status],$L209)="EM ABERTO","",INDEX(tblRegistros[Fim],$L209)),"")))</f>
        <v/>
      </c>
      <c r="F209" s="14" t="str">
        <f>IF($L209="","",IF(INDEX(tblRegistros[Data],$L209)&gt;$D$4,"",IFERROR(IF(INDEX(tblRegistros[Status],$L209)="EM ABERTO","",INDEX(tblRegistros[Horas],$L209)),"")))</f>
        <v/>
      </c>
      <c r="G209" t="str">
        <f>IF($L209="","",IF(INDEX(tblRegistros[Data],$L209)&gt;$D$4,"",IFERROR(INDEX(tblRegistros[Base],$L209),"")))</f>
        <v/>
      </c>
      <c r="H209" s="3" t="str">
        <f>IF($L209="","",IF(INDEX(tblRegistros[Data],$L209)&gt;$D$4,"",IFERROR(INDEX(tblRegistros[Taxa aplicada],$L209),"")))</f>
        <v/>
      </c>
      <c r="I209" s="3" t="str">
        <f>IF($L209="","",IF(INDEX(tblRegistros[Data],$L209)&gt;$D$4,"",IFERROR(IF(INDEX(tblRegistros[Status],$L209)="EM ABERTO","",INDEX(tblRegistros[Valor],$L209)),"")))</f>
        <v/>
      </c>
      <c r="J209" t="str">
        <f>IF($L209="","",IF(INDEX(tblRegistros[Data],$L209)&gt;$D$4,"",IFERROR(INDEX(tblRegistros[Status],$L209),"")))</f>
        <v/>
      </c>
      <c r="K209" t="str">
        <f>IF($L209="","",IF(INDEX(tblRegistros[Data],$L209)&gt;$D$4,"",IFERROR(INDEX(tblRegistros[Observação],$L209),"")))</f>
        <v/>
      </c>
      <c r="L209" s="16" t="str">
        <f>IFERROR(MATCH($B$3*100000+COUNTIFS(tblRegistros[ID],$B$3,tblRegistros[Data],"&lt;"&amp;$B$4)+ROWS($L$10:L209),tblRegistros[Chave do cartão],0),"")</f>
        <v/>
      </c>
    </row>
    <row r="210" spans="1:12">
      <c r="A210" s="2" t="str">
        <f>IF($L210="","",IF(INDEX(tblRegistros[Data],$L210)&gt;$D$4,"",IFERROR(INDEX(tblRegistros[Data],$L210),"")))</f>
        <v/>
      </c>
      <c r="B210" t="str">
        <f>IF($L210="","",IF(INDEX(tblRegistros[Data],$L210)&gt;$D$4,"",IFERROR(INDEX(tblRegistros[Projeto],$L210),"")))</f>
        <v/>
      </c>
      <c r="C210" t="str">
        <f>IF($L210="","",IF(INDEX(tblRegistros[Data],$L210)&gt;$D$4,"",IFERROR(INDEX(tblRegistros[Atividade],$L210),"")))</f>
        <v/>
      </c>
      <c r="D210" s="4" t="str">
        <f>IF($L210="","",IF(INDEX(tblRegistros[Data],$L210)&gt;$D$4,"",IFERROR(INDEX(tblRegistros[Início],$L210),"")))</f>
        <v/>
      </c>
      <c r="E210" s="4" t="str">
        <f>IF($L210="","",IF(INDEX(tblRegistros[Data],$L210)&gt;$D$4,"",IFERROR(IF(INDEX(tblRegistros[Status],$L210)="EM ABERTO","",INDEX(tblRegistros[Fim],$L210)),"")))</f>
        <v/>
      </c>
      <c r="F210" s="14" t="str">
        <f>IF($L210="","",IF(INDEX(tblRegistros[Data],$L210)&gt;$D$4,"",IFERROR(IF(INDEX(tblRegistros[Status],$L210)="EM ABERTO","",INDEX(tblRegistros[Horas],$L210)),"")))</f>
        <v/>
      </c>
      <c r="G210" t="str">
        <f>IF($L210="","",IF(INDEX(tblRegistros[Data],$L210)&gt;$D$4,"",IFERROR(INDEX(tblRegistros[Base],$L210),"")))</f>
        <v/>
      </c>
      <c r="H210" s="3" t="str">
        <f>IF($L210="","",IF(INDEX(tblRegistros[Data],$L210)&gt;$D$4,"",IFERROR(INDEX(tblRegistros[Taxa aplicada],$L210),"")))</f>
        <v/>
      </c>
      <c r="I210" s="3" t="str">
        <f>IF($L210="","",IF(INDEX(tblRegistros[Data],$L210)&gt;$D$4,"",IFERROR(IF(INDEX(tblRegistros[Status],$L210)="EM ABERTO","",INDEX(tblRegistros[Valor],$L210)),"")))</f>
        <v/>
      </c>
      <c r="J210" t="str">
        <f>IF($L210="","",IF(INDEX(tblRegistros[Data],$L210)&gt;$D$4,"",IFERROR(INDEX(tblRegistros[Status],$L210),"")))</f>
        <v/>
      </c>
      <c r="K210" t="str">
        <f>IF($L210="","",IF(INDEX(tblRegistros[Data],$L210)&gt;$D$4,"",IFERROR(INDEX(tblRegistros[Observação],$L210),"")))</f>
        <v/>
      </c>
      <c r="L210" s="16" t="str">
        <f>IFERROR(MATCH($B$3*100000+COUNTIFS(tblRegistros[ID],$B$3,tblRegistros[Data],"&lt;"&amp;$B$4)+ROWS($L$10:L210),tblRegistros[Chave do cartão],0),"")</f>
        <v/>
      </c>
    </row>
    <row r="211" spans="1:12">
      <c r="A211" s="2" t="str">
        <f>IF($L211="","",IF(INDEX(tblRegistros[Data],$L211)&gt;$D$4,"",IFERROR(INDEX(tblRegistros[Data],$L211),"")))</f>
        <v/>
      </c>
      <c r="B211" t="str">
        <f>IF($L211="","",IF(INDEX(tblRegistros[Data],$L211)&gt;$D$4,"",IFERROR(INDEX(tblRegistros[Projeto],$L211),"")))</f>
        <v/>
      </c>
      <c r="C211" t="str">
        <f>IF($L211="","",IF(INDEX(tblRegistros[Data],$L211)&gt;$D$4,"",IFERROR(INDEX(tblRegistros[Atividade],$L211),"")))</f>
        <v/>
      </c>
      <c r="D211" s="4" t="str">
        <f>IF($L211="","",IF(INDEX(tblRegistros[Data],$L211)&gt;$D$4,"",IFERROR(INDEX(tblRegistros[Início],$L211),"")))</f>
        <v/>
      </c>
      <c r="E211" s="4" t="str">
        <f>IF($L211="","",IF(INDEX(tblRegistros[Data],$L211)&gt;$D$4,"",IFERROR(IF(INDEX(tblRegistros[Status],$L211)="EM ABERTO","",INDEX(tblRegistros[Fim],$L211)),"")))</f>
        <v/>
      </c>
      <c r="F211" s="14" t="str">
        <f>IF($L211="","",IF(INDEX(tblRegistros[Data],$L211)&gt;$D$4,"",IFERROR(IF(INDEX(tblRegistros[Status],$L211)="EM ABERTO","",INDEX(tblRegistros[Horas],$L211)),"")))</f>
        <v/>
      </c>
      <c r="G211" t="str">
        <f>IF($L211="","",IF(INDEX(tblRegistros[Data],$L211)&gt;$D$4,"",IFERROR(INDEX(tblRegistros[Base],$L211),"")))</f>
        <v/>
      </c>
      <c r="H211" s="3" t="str">
        <f>IF($L211="","",IF(INDEX(tblRegistros[Data],$L211)&gt;$D$4,"",IFERROR(INDEX(tblRegistros[Taxa aplicada],$L211),"")))</f>
        <v/>
      </c>
      <c r="I211" s="3" t="str">
        <f>IF($L211="","",IF(INDEX(tblRegistros[Data],$L211)&gt;$D$4,"",IFERROR(IF(INDEX(tblRegistros[Status],$L211)="EM ABERTO","",INDEX(tblRegistros[Valor],$L211)),"")))</f>
        <v/>
      </c>
      <c r="J211" t="str">
        <f>IF($L211="","",IF(INDEX(tblRegistros[Data],$L211)&gt;$D$4,"",IFERROR(INDEX(tblRegistros[Status],$L211),"")))</f>
        <v/>
      </c>
      <c r="K211" t="str">
        <f>IF($L211="","",IF(INDEX(tblRegistros[Data],$L211)&gt;$D$4,"",IFERROR(INDEX(tblRegistros[Observação],$L211),"")))</f>
        <v/>
      </c>
      <c r="L211" s="16" t="str">
        <f>IFERROR(MATCH($B$3*100000+COUNTIFS(tblRegistros[ID],$B$3,tblRegistros[Data],"&lt;"&amp;$B$4)+ROWS($L$10:L211),tblRegistros[Chave do cartão],0),"")</f>
        <v/>
      </c>
    </row>
    <row r="212" spans="1:12">
      <c r="A212" s="2" t="str">
        <f>IF($L212="","",IF(INDEX(tblRegistros[Data],$L212)&gt;$D$4,"",IFERROR(INDEX(tblRegistros[Data],$L212),"")))</f>
        <v/>
      </c>
      <c r="B212" t="str">
        <f>IF($L212="","",IF(INDEX(tblRegistros[Data],$L212)&gt;$D$4,"",IFERROR(INDEX(tblRegistros[Projeto],$L212),"")))</f>
        <v/>
      </c>
      <c r="C212" t="str">
        <f>IF($L212="","",IF(INDEX(tblRegistros[Data],$L212)&gt;$D$4,"",IFERROR(INDEX(tblRegistros[Atividade],$L212),"")))</f>
        <v/>
      </c>
      <c r="D212" s="4" t="str">
        <f>IF($L212="","",IF(INDEX(tblRegistros[Data],$L212)&gt;$D$4,"",IFERROR(INDEX(tblRegistros[Início],$L212),"")))</f>
        <v/>
      </c>
      <c r="E212" s="4" t="str">
        <f>IF($L212="","",IF(INDEX(tblRegistros[Data],$L212)&gt;$D$4,"",IFERROR(IF(INDEX(tblRegistros[Status],$L212)="EM ABERTO","",INDEX(tblRegistros[Fim],$L212)),"")))</f>
        <v/>
      </c>
      <c r="F212" s="14" t="str">
        <f>IF($L212="","",IF(INDEX(tblRegistros[Data],$L212)&gt;$D$4,"",IFERROR(IF(INDEX(tblRegistros[Status],$L212)="EM ABERTO","",INDEX(tblRegistros[Horas],$L212)),"")))</f>
        <v/>
      </c>
      <c r="G212" t="str">
        <f>IF($L212="","",IF(INDEX(tblRegistros[Data],$L212)&gt;$D$4,"",IFERROR(INDEX(tblRegistros[Base],$L212),"")))</f>
        <v/>
      </c>
      <c r="H212" s="3" t="str">
        <f>IF($L212="","",IF(INDEX(tblRegistros[Data],$L212)&gt;$D$4,"",IFERROR(INDEX(tblRegistros[Taxa aplicada],$L212),"")))</f>
        <v/>
      </c>
      <c r="I212" s="3" t="str">
        <f>IF($L212="","",IF(INDEX(tblRegistros[Data],$L212)&gt;$D$4,"",IFERROR(IF(INDEX(tblRegistros[Status],$L212)="EM ABERTO","",INDEX(tblRegistros[Valor],$L212)),"")))</f>
        <v/>
      </c>
      <c r="J212" t="str">
        <f>IF($L212="","",IF(INDEX(tblRegistros[Data],$L212)&gt;$D$4,"",IFERROR(INDEX(tblRegistros[Status],$L212),"")))</f>
        <v/>
      </c>
      <c r="K212" t="str">
        <f>IF($L212="","",IF(INDEX(tblRegistros[Data],$L212)&gt;$D$4,"",IFERROR(INDEX(tblRegistros[Observação],$L212),"")))</f>
        <v/>
      </c>
      <c r="L212" s="16" t="str">
        <f>IFERROR(MATCH($B$3*100000+COUNTIFS(tblRegistros[ID],$B$3,tblRegistros[Data],"&lt;"&amp;$B$4)+ROWS($L$10:L212),tblRegistros[Chave do cartão],0),"")</f>
        <v/>
      </c>
    </row>
    <row r="213" spans="1:12">
      <c r="A213" s="2" t="str">
        <f>IF($L213="","",IF(INDEX(tblRegistros[Data],$L213)&gt;$D$4,"",IFERROR(INDEX(tblRegistros[Data],$L213),"")))</f>
        <v/>
      </c>
      <c r="B213" t="str">
        <f>IF($L213="","",IF(INDEX(tblRegistros[Data],$L213)&gt;$D$4,"",IFERROR(INDEX(tblRegistros[Projeto],$L213),"")))</f>
        <v/>
      </c>
      <c r="C213" t="str">
        <f>IF($L213="","",IF(INDEX(tblRegistros[Data],$L213)&gt;$D$4,"",IFERROR(INDEX(tblRegistros[Atividade],$L213),"")))</f>
        <v/>
      </c>
      <c r="D213" s="4" t="str">
        <f>IF($L213="","",IF(INDEX(tblRegistros[Data],$L213)&gt;$D$4,"",IFERROR(INDEX(tblRegistros[Início],$L213),"")))</f>
        <v/>
      </c>
      <c r="E213" s="4" t="str">
        <f>IF($L213="","",IF(INDEX(tblRegistros[Data],$L213)&gt;$D$4,"",IFERROR(IF(INDEX(tblRegistros[Status],$L213)="EM ABERTO","",INDEX(tblRegistros[Fim],$L213)),"")))</f>
        <v/>
      </c>
      <c r="F213" s="14" t="str">
        <f>IF($L213="","",IF(INDEX(tblRegistros[Data],$L213)&gt;$D$4,"",IFERROR(IF(INDEX(tblRegistros[Status],$L213)="EM ABERTO","",INDEX(tblRegistros[Horas],$L213)),"")))</f>
        <v/>
      </c>
      <c r="G213" t="str">
        <f>IF($L213="","",IF(INDEX(tblRegistros[Data],$L213)&gt;$D$4,"",IFERROR(INDEX(tblRegistros[Base],$L213),"")))</f>
        <v/>
      </c>
      <c r="H213" s="3" t="str">
        <f>IF($L213="","",IF(INDEX(tblRegistros[Data],$L213)&gt;$D$4,"",IFERROR(INDEX(tblRegistros[Taxa aplicada],$L213),"")))</f>
        <v/>
      </c>
      <c r="I213" s="3" t="str">
        <f>IF($L213="","",IF(INDEX(tblRegistros[Data],$L213)&gt;$D$4,"",IFERROR(IF(INDEX(tblRegistros[Status],$L213)="EM ABERTO","",INDEX(tblRegistros[Valor],$L213)),"")))</f>
        <v/>
      </c>
      <c r="J213" t="str">
        <f>IF($L213="","",IF(INDEX(tblRegistros[Data],$L213)&gt;$D$4,"",IFERROR(INDEX(tblRegistros[Status],$L213),"")))</f>
        <v/>
      </c>
      <c r="K213" t="str">
        <f>IF($L213="","",IF(INDEX(tblRegistros[Data],$L213)&gt;$D$4,"",IFERROR(INDEX(tblRegistros[Observação],$L213),"")))</f>
        <v/>
      </c>
      <c r="L213" s="16" t="str">
        <f>IFERROR(MATCH($B$3*100000+COUNTIFS(tblRegistros[ID],$B$3,tblRegistros[Data],"&lt;"&amp;$B$4)+ROWS($L$10:L213),tblRegistros[Chave do cartão],0),"")</f>
        <v/>
      </c>
    </row>
    <row r="214" spans="1:12">
      <c r="A214" s="2" t="str">
        <f>IF($L214="","",IF(INDEX(tblRegistros[Data],$L214)&gt;$D$4,"",IFERROR(INDEX(tblRegistros[Data],$L214),"")))</f>
        <v/>
      </c>
      <c r="B214" t="str">
        <f>IF($L214="","",IF(INDEX(tblRegistros[Data],$L214)&gt;$D$4,"",IFERROR(INDEX(tblRegistros[Projeto],$L214),"")))</f>
        <v/>
      </c>
      <c r="C214" t="str">
        <f>IF($L214="","",IF(INDEX(tblRegistros[Data],$L214)&gt;$D$4,"",IFERROR(INDEX(tblRegistros[Atividade],$L214),"")))</f>
        <v/>
      </c>
      <c r="D214" s="4" t="str">
        <f>IF($L214="","",IF(INDEX(tblRegistros[Data],$L214)&gt;$D$4,"",IFERROR(INDEX(tblRegistros[Início],$L214),"")))</f>
        <v/>
      </c>
      <c r="E214" s="4" t="str">
        <f>IF($L214="","",IF(INDEX(tblRegistros[Data],$L214)&gt;$D$4,"",IFERROR(IF(INDEX(tblRegistros[Status],$L214)="EM ABERTO","",INDEX(tblRegistros[Fim],$L214)),"")))</f>
        <v/>
      </c>
      <c r="F214" s="14" t="str">
        <f>IF($L214="","",IF(INDEX(tblRegistros[Data],$L214)&gt;$D$4,"",IFERROR(IF(INDEX(tblRegistros[Status],$L214)="EM ABERTO","",INDEX(tblRegistros[Horas],$L214)),"")))</f>
        <v/>
      </c>
      <c r="G214" t="str">
        <f>IF($L214="","",IF(INDEX(tblRegistros[Data],$L214)&gt;$D$4,"",IFERROR(INDEX(tblRegistros[Base],$L214),"")))</f>
        <v/>
      </c>
      <c r="H214" s="3" t="str">
        <f>IF($L214="","",IF(INDEX(tblRegistros[Data],$L214)&gt;$D$4,"",IFERROR(INDEX(tblRegistros[Taxa aplicada],$L214),"")))</f>
        <v/>
      </c>
      <c r="I214" s="3" t="str">
        <f>IF($L214="","",IF(INDEX(tblRegistros[Data],$L214)&gt;$D$4,"",IFERROR(IF(INDEX(tblRegistros[Status],$L214)="EM ABERTO","",INDEX(tblRegistros[Valor],$L214)),"")))</f>
        <v/>
      </c>
      <c r="J214" t="str">
        <f>IF($L214="","",IF(INDEX(tblRegistros[Data],$L214)&gt;$D$4,"",IFERROR(INDEX(tblRegistros[Status],$L214),"")))</f>
        <v/>
      </c>
      <c r="K214" t="str">
        <f>IF($L214="","",IF(INDEX(tblRegistros[Data],$L214)&gt;$D$4,"",IFERROR(INDEX(tblRegistros[Observação],$L214),"")))</f>
        <v/>
      </c>
      <c r="L214" s="16" t="str">
        <f>IFERROR(MATCH($B$3*100000+COUNTIFS(tblRegistros[ID],$B$3,tblRegistros[Data],"&lt;"&amp;$B$4)+ROWS($L$10:L214),tblRegistros[Chave do cartão],0),"")</f>
        <v/>
      </c>
    </row>
    <row r="215" spans="1:12">
      <c r="A215" s="2" t="str">
        <f>IF($L215="","",IF(INDEX(tblRegistros[Data],$L215)&gt;$D$4,"",IFERROR(INDEX(tblRegistros[Data],$L215),"")))</f>
        <v/>
      </c>
      <c r="B215" t="str">
        <f>IF($L215="","",IF(INDEX(tblRegistros[Data],$L215)&gt;$D$4,"",IFERROR(INDEX(tblRegistros[Projeto],$L215),"")))</f>
        <v/>
      </c>
      <c r="C215" t="str">
        <f>IF($L215="","",IF(INDEX(tblRegistros[Data],$L215)&gt;$D$4,"",IFERROR(INDEX(tblRegistros[Atividade],$L215),"")))</f>
        <v/>
      </c>
      <c r="D215" s="4" t="str">
        <f>IF($L215="","",IF(INDEX(tblRegistros[Data],$L215)&gt;$D$4,"",IFERROR(INDEX(tblRegistros[Início],$L215),"")))</f>
        <v/>
      </c>
      <c r="E215" s="4" t="str">
        <f>IF($L215="","",IF(INDEX(tblRegistros[Data],$L215)&gt;$D$4,"",IFERROR(IF(INDEX(tblRegistros[Status],$L215)="EM ABERTO","",INDEX(tblRegistros[Fim],$L215)),"")))</f>
        <v/>
      </c>
      <c r="F215" s="14" t="str">
        <f>IF($L215="","",IF(INDEX(tblRegistros[Data],$L215)&gt;$D$4,"",IFERROR(IF(INDEX(tblRegistros[Status],$L215)="EM ABERTO","",INDEX(tblRegistros[Horas],$L215)),"")))</f>
        <v/>
      </c>
      <c r="G215" t="str">
        <f>IF($L215="","",IF(INDEX(tblRegistros[Data],$L215)&gt;$D$4,"",IFERROR(INDEX(tblRegistros[Base],$L215),"")))</f>
        <v/>
      </c>
      <c r="H215" s="3" t="str">
        <f>IF($L215="","",IF(INDEX(tblRegistros[Data],$L215)&gt;$D$4,"",IFERROR(INDEX(tblRegistros[Taxa aplicada],$L215),"")))</f>
        <v/>
      </c>
      <c r="I215" s="3" t="str">
        <f>IF($L215="","",IF(INDEX(tblRegistros[Data],$L215)&gt;$D$4,"",IFERROR(IF(INDEX(tblRegistros[Status],$L215)="EM ABERTO","",INDEX(tblRegistros[Valor],$L215)),"")))</f>
        <v/>
      </c>
      <c r="J215" t="str">
        <f>IF($L215="","",IF(INDEX(tblRegistros[Data],$L215)&gt;$D$4,"",IFERROR(INDEX(tblRegistros[Status],$L215),"")))</f>
        <v/>
      </c>
      <c r="K215" t="str">
        <f>IF($L215="","",IF(INDEX(tblRegistros[Data],$L215)&gt;$D$4,"",IFERROR(INDEX(tblRegistros[Observação],$L215),"")))</f>
        <v/>
      </c>
      <c r="L215" s="16" t="str">
        <f>IFERROR(MATCH($B$3*100000+COUNTIFS(tblRegistros[ID],$B$3,tblRegistros[Data],"&lt;"&amp;$B$4)+ROWS($L$10:L215),tblRegistros[Chave do cartão],0),"")</f>
        <v/>
      </c>
    </row>
    <row r="216" spans="1:12">
      <c r="A216" s="2" t="str">
        <f>IF($L216="","",IF(INDEX(tblRegistros[Data],$L216)&gt;$D$4,"",IFERROR(INDEX(tblRegistros[Data],$L216),"")))</f>
        <v/>
      </c>
      <c r="B216" t="str">
        <f>IF($L216="","",IF(INDEX(tblRegistros[Data],$L216)&gt;$D$4,"",IFERROR(INDEX(tblRegistros[Projeto],$L216),"")))</f>
        <v/>
      </c>
      <c r="C216" t="str">
        <f>IF($L216="","",IF(INDEX(tblRegistros[Data],$L216)&gt;$D$4,"",IFERROR(INDEX(tblRegistros[Atividade],$L216),"")))</f>
        <v/>
      </c>
      <c r="D216" s="4" t="str">
        <f>IF($L216="","",IF(INDEX(tblRegistros[Data],$L216)&gt;$D$4,"",IFERROR(INDEX(tblRegistros[Início],$L216),"")))</f>
        <v/>
      </c>
      <c r="E216" s="4" t="str">
        <f>IF($L216="","",IF(INDEX(tblRegistros[Data],$L216)&gt;$D$4,"",IFERROR(IF(INDEX(tblRegistros[Status],$L216)="EM ABERTO","",INDEX(tblRegistros[Fim],$L216)),"")))</f>
        <v/>
      </c>
      <c r="F216" s="14" t="str">
        <f>IF($L216="","",IF(INDEX(tblRegistros[Data],$L216)&gt;$D$4,"",IFERROR(IF(INDEX(tblRegistros[Status],$L216)="EM ABERTO","",INDEX(tblRegistros[Horas],$L216)),"")))</f>
        <v/>
      </c>
      <c r="G216" t="str">
        <f>IF($L216="","",IF(INDEX(tblRegistros[Data],$L216)&gt;$D$4,"",IFERROR(INDEX(tblRegistros[Base],$L216),"")))</f>
        <v/>
      </c>
      <c r="H216" s="3" t="str">
        <f>IF($L216="","",IF(INDEX(tblRegistros[Data],$L216)&gt;$D$4,"",IFERROR(INDEX(tblRegistros[Taxa aplicada],$L216),"")))</f>
        <v/>
      </c>
      <c r="I216" s="3" t="str">
        <f>IF($L216="","",IF(INDEX(tblRegistros[Data],$L216)&gt;$D$4,"",IFERROR(IF(INDEX(tblRegistros[Status],$L216)="EM ABERTO","",INDEX(tblRegistros[Valor],$L216)),"")))</f>
        <v/>
      </c>
      <c r="J216" t="str">
        <f>IF($L216="","",IF(INDEX(tblRegistros[Data],$L216)&gt;$D$4,"",IFERROR(INDEX(tblRegistros[Status],$L216),"")))</f>
        <v/>
      </c>
      <c r="K216" t="str">
        <f>IF($L216="","",IF(INDEX(tblRegistros[Data],$L216)&gt;$D$4,"",IFERROR(INDEX(tblRegistros[Observação],$L216),"")))</f>
        <v/>
      </c>
      <c r="L216" s="16" t="str">
        <f>IFERROR(MATCH($B$3*100000+COUNTIFS(tblRegistros[ID],$B$3,tblRegistros[Data],"&lt;"&amp;$B$4)+ROWS($L$10:L216),tblRegistros[Chave do cartão],0),"")</f>
        <v/>
      </c>
    </row>
    <row r="217" spans="1:12">
      <c r="A217" s="2" t="str">
        <f>IF($L217="","",IF(INDEX(tblRegistros[Data],$L217)&gt;$D$4,"",IFERROR(INDEX(tblRegistros[Data],$L217),"")))</f>
        <v/>
      </c>
      <c r="B217" t="str">
        <f>IF($L217="","",IF(INDEX(tblRegistros[Data],$L217)&gt;$D$4,"",IFERROR(INDEX(tblRegistros[Projeto],$L217),"")))</f>
        <v/>
      </c>
      <c r="C217" t="str">
        <f>IF($L217="","",IF(INDEX(tblRegistros[Data],$L217)&gt;$D$4,"",IFERROR(INDEX(tblRegistros[Atividade],$L217),"")))</f>
        <v/>
      </c>
      <c r="D217" s="4" t="str">
        <f>IF($L217="","",IF(INDEX(tblRegistros[Data],$L217)&gt;$D$4,"",IFERROR(INDEX(tblRegistros[Início],$L217),"")))</f>
        <v/>
      </c>
      <c r="E217" s="4" t="str">
        <f>IF($L217="","",IF(INDEX(tblRegistros[Data],$L217)&gt;$D$4,"",IFERROR(IF(INDEX(tblRegistros[Status],$L217)="EM ABERTO","",INDEX(tblRegistros[Fim],$L217)),"")))</f>
        <v/>
      </c>
      <c r="F217" s="14" t="str">
        <f>IF($L217="","",IF(INDEX(tblRegistros[Data],$L217)&gt;$D$4,"",IFERROR(IF(INDEX(tblRegistros[Status],$L217)="EM ABERTO","",INDEX(tblRegistros[Horas],$L217)),"")))</f>
        <v/>
      </c>
      <c r="G217" t="str">
        <f>IF($L217="","",IF(INDEX(tblRegistros[Data],$L217)&gt;$D$4,"",IFERROR(INDEX(tblRegistros[Base],$L217),"")))</f>
        <v/>
      </c>
      <c r="H217" s="3" t="str">
        <f>IF($L217="","",IF(INDEX(tblRegistros[Data],$L217)&gt;$D$4,"",IFERROR(INDEX(tblRegistros[Taxa aplicada],$L217),"")))</f>
        <v/>
      </c>
      <c r="I217" s="3" t="str">
        <f>IF($L217="","",IF(INDEX(tblRegistros[Data],$L217)&gt;$D$4,"",IFERROR(IF(INDEX(tblRegistros[Status],$L217)="EM ABERTO","",INDEX(tblRegistros[Valor],$L217)),"")))</f>
        <v/>
      </c>
      <c r="J217" t="str">
        <f>IF($L217="","",IF(INDEX(tblRegistros[Data],$L217)&gt;$D$4,"",IFERROR(INDEX(tblRegistros[Status],$L217),"")))</f>
        <v/>
      </c>
      <c r="K217" t="str">
        <f>IF($L217="","",IF(INDEX(tblRegistros[Data],$L217)&gt;$D$4,"",IFERROR(INDEX(tblRegistros[Observação],$L217),"")))</f>
        <v/>
      </c>
      <c r="L217" s="16" t="str">
        <f>IFERROR(MATCH($B$3*100000+COUNTIFS(tblRegistros[ID],$B$3,tblRegistros[Data],"&lt;"&amp;$B$4)+ROWS($L$10:L217),tblRegistros[Chave do cartão],0),"")</f>
        <v/>
      </c>
    </row>
    <row r="218" spans="1:12">
      <c r="A218" s="2" t="str">
        <f>IF($L218="","",IF(INDEX(tblRegistros[Data],$L218)&gt;$D$4,"",IFERROR(INDEX(tblRegistros[Data],$L218),"")))</f>
        <v/>
      </c>
      <c r="B218" t="str">
        <f>IF($L218="","",IF(INDEX(tblRegistros[Data],$L218)&gt;$D$4,"",IFERROR(INDEX(tblRegistros[Projeto],$L218),"")))</f>
        <v/>
      </c>
      <c r="C218" t="str">
        <f>IF($L218="","",IF(INDEX(tblRegistros[Data],$L218)&gt;$D$4,"",IFERROR(INDEX(tblRegistros[Atividade],$L218),"")))</f>
        <v/>
      </c>
      <c r="D218" s="4" t="str">
        <f>IF($L218="","",IF(INDEX(tblRegistros[Data],$L218)&gt;$D$4,"",IFERROR(INDEX(tblRegistros[Início],$L218),"")))</f>
        <v/>
      </c>
      <c r="E218" s="4" t="str">
        <f>IF($L218="","",IF(INDEX(tblRegistros[Data],$L218)&gt;$D$4,"",IFERROR(IF(INDEX(tblRegistros[Status],$L218)="EM ABERTO","",INDEX(tblRegistros[Fim],$L218)),"")))</f>
        <v/>
      </c>
      <c r="F218" s="14" t="str">
        <f>IF($L218="","",IF(INDEX(tblRegistros[Data],$L218)&gt;$D$4,"",IFERROR(IF(INDEX(tblRegistros[Status],$L218)="EM ABERTO","",INDEX(tblRegistros[Horas],$L218)),"")))</f>
        <v/>
      </c>
      <c r="G218" t="str">
        <f>IF($L218="","",IF(INDEX(tblRegistros[Data],$L218)&gt;$D$4,"",IFERROR(INDEX(tblRegistros[Base],$L218),"")))</f>
        <v/>
      </c>
      <c r="H218" s="3" t="str">
        <f>IF($L218="","",IF(INDEX(tblRegistros[Data],$L218)&gt;$D$4,"",IFERROR(INDEX(tblRegistros[Taxa aplicada],$L218),"")))</f>
        <v/>
      </c>
      <c r="I218" s="3" t="str">
        <f>IF($L218="","",IF(INDEX(tblRegistros[Data],$L218)&gt;$D$4,"",IFERROR(IF(INDEX(tblRegistros[Status],$L218)="EM ABERTO","",INDEX(tblRegistros[Valor],$L218)),"")))</f>
        <v/>
      </c>
      <c r="J218" t="str">
        <f>IF($L218="","",IF(INDEX(tblRegistros[Data],$L218)&gt;$D$4,"",IFERROR(INDEX(tblRegistros[Status],$L218),"")))</f>
        <v/>
      </c>
      <c r="K218" t="str">
        <f>IF($L218="","",IF(INDEX(tblRegistros[Data],$L218)&gt;$D$4,"",IFERROR(INDEX(tblRegistros[Observação],$L218),"")))</f>
        <v/>
      </c>
      <c r="L218" s="16" t="str">
        <f>IFERROR(MATCH($B$3*100000+COUNTIFS(tblRegistros[ID],$B$3,tblRegistros[Data],"&lt;"&amp;$B$4)+ROWS($L$10:L218),tblRegistros[Chave do cartão],0),"")</f>
        <v/>
      </c>
    </row>
    <row r="219" spans="1:12">
      <c r="A219" s="2" t="str">
        <f>IF($L219="","",IF(INDEX(tblRegistros[Data],$L219)&gt;$D$4,"",IFERROR(INDEX(tblRegistros[Data],$L219),"")))</f>
        <v/>
      </c>
      <c r="B219" t="str">
        <f>IF($L219="","",IF(INDEX(tblRegistros[Data],$L219)&gt;$D$4,"",IFERROR(INDEX(tblRegistros[Projeto],$L219),"")))</f>
        <v/>
      </c>
      <c r="C219" t="str">
        <f>IF($L219="","",IF(INDEX(tblRegistros[Data],$L219)&gt;$D$4,"",IFERROR(INDEX(tblRegistros[Atividade],$L219),"")))</f>
        <v/>
      </c>
      <c r="D219" s="4" t="str">
        <f>IF($L219="","",IF(INDEX(tblRegistros[Data],$L219)&gt;$D$4,"",IFERROR(INDEX(tblRegistros[Início],$L219),"")))</f>
        <v/>
      </c>
      <c r="E219" s="4" t="str">
        <f>IF($L219="","",IF(INDEX(tblRegistros[Data],$L219)&gt;$D$4,"",IFERROR(IF(INDEX(tblRegistros[Status],$L219)="EM ABERTO","",INDEX(tblRegistros[Fim],$L219)),"")))</f>
        <v/>
      </c>
      <c r="F219" s="14" t="str">
        <f>IF($L219="","",IF(INDEX(tblRegistros[Data],$L219)&gt;$D$4,"",IFERROR(IF(INDEX(tblRegistros[Status],$L219)="EM ABERTO","",INDEX(tblRegistros[Horas],$L219)),"")))</f>
        <v/>
      </c>
      <c r="G219" t="str">
        <f>IF($L219="","",IF(INDEX(tblRegistros[Data],$L219)&gt;$D$4,"",IFERROR(INDEX(tblRegistros[Base],$L219),"")))</f>
        <v/>
      </c>
      <c r="H219" s="3" t="str">
        <f>IF($L219="","",IF(INDEX(tblRegistros[Data],$L219)&gt;$D$4,"",IFERROR(INDEX(tblRegistros[Taxa aplicada],$L219),"")))</f>
        <v/>
      </c>
      <c r="I219" s="3" t="str">
        <f>IF($L219="","",IF(INDEX(tblRegistros[Data],$L219)&gt;$D$4,"",IFERROR(IF(INDEX(tblRegistros[Status],$L219)="EM ABERTO","",INDEX(tblRegistros[Valor],$L219)),"")))</f>
        <v/>
      </c>
      <c r="J219" t="str">
        <f>IF($L219="","",IF(INDEX(tblRegistros[Data],$L219)&gt;$D$4,"",IFERROR(INDEX(tblRegistros[Status],$L219),"")))</f>
        <v/>
      </c>
      <c r="K219" t="str">
        <f>IF($L219="","",IF(INDEX(tblRegistros[Data],$L219)&gt;$D$4,"",IFERROR(INDEX(tblRegistros[Observação],$L219),"")))</f>
        <v/>
      </c>
      <c r="L219" s="16" t="str">
        <f>IFERROR(MATCH($B$3*100000+COUNTIFS(tblRegistros[ID],$B$3,tblRegistros[Data],"&lt;"&amp;$B$4)+ROWS($L$10:L219),tblRegistros[Chave do cartão],0),"")</f>
        <v/>
      </c>
    </row>
    <row r="220" spans="1:12">
      <c r="A220" s="2" t="str">
        <f>IF($L220="","",IF(INDEX(tblRegistros[Data],$L220)&gt;$D$4,"",IFERROR(INDEX(tblRegistros[Data],$L220),"")))</f>
        <v/>
      </c>
      <c r="B220" t="str">
        <f>IF($L220="","",IF(INDEX(tblRegistros[Data],$L220)&gt;$D$4,"",IFERROR(INDEX(tblRegistros[Projeto],$L220),"")))</f>
        <v/>
      </c>
      <c r="C220" t="str">
        <f>IF($L220="","",IF(INDEX(tblRegistros[Data],$L220)&gt;$D$4,"",IFERROR(INDEX(tblRegistros[Atividade],$L220),"")))</f>
        <v/>
      </c>
      <c r="D220" s="4" t="str">
        <f>IF($L220="","",IF(INDEX(tblRegistros[Data],$L220)&gt;$D$4,"",IFERROR(INDEX(tblRegistros[Início],$L220),"")))</f>
        <v/>
      </c>
      <c r="E220" s="4" t="str">
        <f>IF($L220="","",IF(INDEX(tblRegistros[Data],$L220)&gt;$D$4,"",IFERROR(IF(INDEX(tblRegistros[Status],$L220)="EM ABERTO","",INDEX(tblRegistros[Fim],$L220)),"")))</f>
        <v/>
      </c>
      <c r="F220" s="14" t="str">
        <f>IF($L220="","",IF(INDEX(tblRegistros[Data],$L220)&gt;$D$4,"",IFERROR(IF(INDEX(tblRegistros[Status],$L220)="EM ABERTO","",INDEX(tblRegistros[Horas],$L220)),"")))</f>
        <v/>
      </c>
      <c r="G220" t="str">
        <f>IF($L220="","",IF(INDEX(tblRegistros[Data],$L220)&gt;$D$4,"",IFERROR(INDEX(tblRegistros[Base],$L220),"")))</f>
        <v/>
      </c>
      <c r="H220" s="3" t="str">
        <f>IF($L220="","",IF(INDEX(tblRegistros[Data],$L220)&gt;$D$4,"",IFERROR(INDEX(tblRegistros[Taxa aplicada],$L220),"")))</f>
        <v/>
      </c>
      <c r="I220" s="3" t="str">
        <f>IF($L220="","",IF(INDEX(tblRegistros[Data],$L220)&gt;$D$4,"",IFERROR(IF(INDEX(tblRegistros[Status],$L220)="EM ABERTO","",INDEX(tblRegistros[Valor],$L220)),"")))</f>
        <v/>
      </c>
      <c r="J220" t="str">
        <f>IF($L220="","",IF(INDEX(tblRegistros[Data],$L220)&gt;$D$4,"",IFERROR(INDEX(tblRegistros[Status],$L220),"")))</f>
        <v/>
      </c>
      <c r="K220" t="str">
        <f>IF($L220="","",IF(INDEX(tblRegistros[Data],$L220)&gt;$D$4,"",IFERROR(INDEX(tblRegistros[Observação],$L220),"")))</f>
        <v/>
      </c>
      <c r="L220" s="16" t="str">
        <f>IFERROR(MATCH($B$3*100000+COUNTIFS(tblRegistros[ID],$B$3,tblRegistros[Data],"&lt;"&amp;$B$4)+ROWS($L$10:L220),tblRegistros[Chave do cartão],0),"")</f>
        <v/>
      </c>
    </row>
    <row r="221" spans="1:12">
      <c r="A221" s="2" t="str">
        <f>IF($L221="","",IF(INDEX(tblRegistros[Data],$L221)&gt;$D$4,"",IFERROR(INDEX(tblRegistros[Data],$L221),"")))</f>
        <v/>
      </c>
      <c r="B221" t="str">
        <f>IF($L221="","",IF(INDEX(tblRegistros[Data],$L221)&gt;$D$4,"",IFERROR(INDEX(tblRegistros[Projeto],$L221),"")))</f>
        <v/>
      </c>
      <c r="C221" t="str">
        <f>IF($L221="","",IF(INDEX(tblRegistros[Data],$L221)&gt;$D$4,"",IFERROR(INDEX(tblRegistros[Atividade],$L221),"")))</f>
        <v/>
      </c>
      <c r="D221" s="4" t="str">
        <f>IF($L221="","",IF(INDEX(tblRegistros[Data],$L221)&gt;$D$4,"",IFERROR(INDEX(tblRegistros[Início],$L221),"")))</f>
        <v/>
      </c>
      <c r="E221" s="4" t="str">
        <f>IF($L221="","",IF(INDEX(tblRegistros[Data],$L221)&gt;$D$4,"",IFERROR(IF(INDEX(tblRegistros[Status],$L221)="EM ABERTO","",INDEX(tblRegistros[Fim],$L221)),"")))</f>
        <v/>
      </c>
      <c r="F221" s="14" t="str">
        <f>IF($L221="","",IF(INDEX(tblRegistros[Data],$L221)&gt;$D$4,"",IFERROR(IF(INDEX(tblRegistros[Status],$L221)="EM ABERTO","",INDEX(tblRegistros[Horas],$L221)),"")))</f>
        <v/>
      </c>
      <c r="G221" t="str">
        <f>IF($L221="","",IF(INDEX(tblRegistros[Data],$L221)&gt;$D$4,"",IFERROR(INDEX(tblRegistros[Base],$L221),"")))</f>
        <v/>
      </c>
      <c r="H221" s="3" t="str">
        <f>IF($L221="","",IF(INDEX(tblRegistros[Data],$L221)&gt;$D$4,"",IFERROR(INDEX(tblRegistros[Taxa aplicada],$L221),"")))</f>
        <v/>
      </c>
      <c r="I221" s="3" t="str">
        <f>IF($L221="","",IF(INDEX(tblRegistros[Data],$L221)&gt;$D$4,"",IFERROR(IF(INDEX(tblRegistros[Status],$L221)="EM ABERTO","",INDEX(tblRegistros[Valor],$L221)),"")))</f>
        <v/>
      </c>
      <c r="J221" t="str">
        <f>IF($L221="","",IF(INDEX(tblRegistros[Data],$L221)&gt;$D$4,"",IFERROR(INDEX(tblRegistros[Status],$L221),"")))</f>
        <v/>
      </c>
      <c r="K221" t="str">
        <f>IF($L221="","",IF(INDEX(tblRegistros[Data],$L221)&gt;$D$4,"",IFERROR(INDEX(tblRegistros[Observação],$L221),"")))</f>
        <v/>
      </c>
      <c r="L221" s="16" t="str">
        <f>IFERROR(MATCH($B$3*100000+COUNTIFS(tblRegistros[ID],$B$3,tblRegistros[Data],"&lt;"&amp;$B$4)+ROWS($L$10:L221),tblRegistros[Chave do cartão],0),"")</f>
        <v/>
      </c>
    </row>
    <row r="222" spans="1:12">
      <c r="A222" s="2" t="str">
        <f>IF($L222="","",IF(INDEX(tblRegistros[Data],$L222)&gt;$D$4,"",IFERROR(INDEX(tblRegistros[Data],$L222),"")))</f>
        <v/>
      </c>
      <c r="B222" t="str">
        <f>IF($L222="","",IF(INDEX(tblRegistros[Data],$L222)&gt;$D$4,"",IFERROR(INDEX(tblRegistros[Projeto],$L222),"")))</f>
        <v/>
      </c>
      <c r="C222" t="str">
        <f>IF($L222="","",IF(INDEX(tblRegistros[Data],$L222)&gt;$D$4,"",IFERROR(INDEX(tblRegistros[Atividade],$L222),"")))</f>
        <v/>
      </c>
      <c r="D222" s="4" t="str">
        <f>IF($L222="","",IF(INDEX(tblRegistros[Data],$L222)&gt;$D$4,"",IFERROR(INDEX(tblRegistros[Início],$L222),"")))</f>
        <v/>
      </c>
      <c r="E222" s="4" t="str">
        <f>IF($L222="","",IF(INDEX(tblRegistros[Data],$L222)&gt;$D$4,"",IFERROR(IF(INDEX(tblRegistros[Status],$L222)="EM ABERTO","",INDEX(tblRegistros[Fim],$L222)),"")))</f>
        <v/>
      </c>
      <c r="F222" s="14" t="str">
        <f>IF($L222="","",IF(INDEX(tblRegistros[Data],$L222)&gt;$D$4,"",IFERROR(IF(INDEX(tblRegistros[Status],$L222)="EM ABERTO","",INDEX(tblRegistros[Horas],$L222)),"")))</f>
        <v/>
      </c>
      <c r="G222" t="str">
        <f>IF($L222="","",IF(INDEX(tblRegistros[Data],$L222)&gt;$D$4,"",IFERROR(INDEX(tblRegistros[Base],$L222),"")))</f>
        <v/>
      </c>
      <c r="H222" s="3" t="str">
        <f>IF($L222="","",IF(INDEX(tblRegistros[Data],$L222)&gt;$D$4,"",IFERROR(INDEX(tblRegistros[Taxa aplicada],$L222),"")))</f>
        <v/>
      </c>
      <c r="I222" s="3" t="str">
        <f>IF($L222="","",IF(INDEX(tblRegistros[Data],$L222)&gt;$D$4,"",IFERROR(IF(INDEX(tblRegistros[Status],$L222)="EM ABERTO","",INDEX(tblRegistros[Valor],$L222)),"")))</f>
        <v/>
      </c>
      <c r="J222" t="str">
        <f>IF($L222="","",IF(INDEX(tblRegistros[Data],$L222)&gt;$D$4,"",IFERROR(INDEX(tblRegistros[Status],$L222),"")))</f>
        <v/>
      </c>
      <c r="K222" t="str">
        <f>IF($L222="","",IF(INDEX(tblRegistros[Data],$L222)&gt;$D$4,"",IFERROR(INDEX(tblRegistros[Observação],$L222),"")))</f>
        <v/>
      </c>
      <c r="L222" s="16" t="str">
        <f>IFERROR(MATCH($B$3*100000+COUNTIFS(tblRegistros[ID],$B$3,tblRegistros[Data],"&lt;"&amp;$B$4)+ROWS($L$10:L222),tblRegistros[Chave do cartão],0),"")</f>
        <v/>
      </c>
    </row>
    <row r="223" spans="1:12">
      <c r="A223" s="2" t="str">
        <f>IF($L223="","",IF(INDEX(tblRegistros[Data],$L223)&gt;$D$4,"",IFERROR(INDEX(tblRegistros[Data],$L223),"")))</f>
        <v/>
      </c>
      <c r="B223" t="str">
        <f>IF($L223="","",IF(INDEX(tblRegistros[Data],$L223)&gt;$D$4,"",IFERROR(INDEX(tblRegistros[Projeto],$L223),"")))</f>
        <v/>
      </c>
      <c r="C223" t="str">
        <f>IF($L223="","",IF(INDEX(tblRegistros[Data],$L223)&gt;$D$4,"",IFERROR(INDEX(tblRegistros[Atividade],$L223),"")))</f>
        <v/>
      </c>
      <c r="D223" s="4" t="str">
        <f>IF($L223="","",IF(INDEX(tblRegistros[Data],$L223)&gt;$D$4,"",IFERROR(INDEX(tblRegistros[Início],$L223),"")))</f>
        <v/>
      </c>
      <c r="E223" s="4" t="str">
        <f>IF($L223="","",IF(INDEX(tblRegistros[Data],$L223)&gt;$D$4,"",IFERROR(IF(INDEX(tblRegistros[Status],$L223)="EM ABERTO","",INDEX(tblRegistros[Fim],$L223)),"")))</f>
        <v/>
      </c>
      <c r="F223" s="14" t="str">
        <f>IF($L223="","",IF(INDEX(tblRegistros[Data],$L223)&gt;$D$4,"",IFERROR(IF(INDEX(tblRegistros[Status],$L223)="EM ABERTO","",INDEX(tblRegistros[Horas],$L223)),"")))</f>
        <v/>
      </c>
      <c r="G223" t="str">
        <f>IF($L223="","",IF(INDEX(tblRegistros[Data],$L223)&gt;$D$4,"",IFERROR(INDEX(tblRegistros[Base],$L223),"")))</f>
        <v/>
      </c>
      <c r="H223" s="3" t="str">
        <f>IF($L223="","",IF(INDEX(tblRegistros[Data],$L223)&gt;$D$4,"",IFERROR(INDEX(tblRegistros[Taxa aplicada],$L223),"")))</f>
        <v/>
      </c>
      <c r="I223" s="3" t="str">
        <f>IF($L223="","",IF(INDEX(tblRegistros[Data],$L223)&gt;$D$4,"",IFERROR(IF(INDEX(tblRegistros[Status],$L223)="EM ABERTO","",INDEX(tblRegistros[Valor],$L223)),"")))</f>
        <v/>
      </c>
      <c r="J223" t="str">
        <f>IF($L223="","",IF(INDEX(tblRegistros[Data],$L223)&gt;$D$4,"",IFERROR(INDEX(tblRegistros[Status],$L223),"")))</f>
        <v/>
      </c>
      <c r="K223" t="str">
        <f>IF($L223="","",IF(INDEX(tblRegistros[Data],$L223)&gt;$D$4,"",IFERROR(INDEX(tblRegistros[Observação],$L223),"")))</f>
        <v/>
      </c>
      <c r="L223" s="16" t="str">
        <f>IFERROR(MATCH($B$3*100000+COUNTIFS(tblRegistros[ID],$B$3,tblRegistros[Data],"&lt;"&amp;$B$4)+ROWS($L$10:L223),tblRegistros[Chave do cartão],0),"")</f>
        <v/>
      </c>
    </row>
    <row r="224" spans="1:12">
      <c r="A224" s="2" t="str">
        <f>IF($L224="","",IF(INDEX(tblRegistros[Data],$L224)&gt;$D$4,"",IFERROR(INDEX(tblRegistros[Data],$L224),"")))</f>
        <v/>
      </c>
      <c r="B224" t="str">
        <f>IF($L224="","",IF(INDEX(tblRegistros[Data],$L224)&gt;$D$4,"",IFERROR(INDEX(tblRegistros[Projeto],$L224),"")))</f>
        <v/>
      </c>
      <c r="C224" t="str">
        <f>IF($L224="","",IF(INDEX(tblRegistros[Data],$L224)&gt;$D$4,"",IFERROR(INDEX(tblRegistros[Atividade],$L224),"")))</f>
        <v/>
      </c>
      <c r="D224" s="4" t="str">
        <f>IF($L224="","",IF(INDEX(tblRegistros[Data],$L224)&gt;$D$4,"",IFERROR(INDEX(tblRegistros[Início],$L224),"")))</f>
        <v/>
      </c>
      <c r="E224" s="4" t="str">
        <f>IF($L224="","",IF(INDEX(tblRegistros[Data],$L224)&gt;$D$4,"",IFERROR(IF(INDEX(tblRegistros[Status],$L224)="EM ABERTO","",INDEX(tblRegistros[Fim],$L224)),"")))</f>
        <v/>
      </c>
      <c r="F224" s="14" t="str">
        <f>IF($L224="","",IF(INDEX(tblRegistros[Data],$L224)&gt;$D$4,"",IFERROR(IF(INDEX(tblRegistros[Status],$L224)="EM ABERTO","",INDEX(tblRegistros[Horas],$L224)),"")))</f>
        <v/>
      </c>
      <c r="G224" t="str">
        <f>IF($L224="","",IF(INDEX(tblRegistros[Data],$L224)&gt;$D$4,"",IFERROR(INDEX(tblRegistros[Base],$L224),"")))</f>
        <v/>
      </c>
      <c r="H224" s="3" t="str">
        <f>IF($L224="","",IF(INDEX(tblRegistros[Data],$L224)&gt;$D$4,"",IFERROR(INDEX(tblRegistros[Taxa aplicada],$L224),"")))</f>
        <v/>
      </c>
      <c r="I224" s="3" t="str">
        <f>IF($L224="","",IF(INDEX(tblRegistros[Data],$L224)&gt;$D$4,"",IFERROR(IF(INDEX(tblRegistros[Status],$L224)="EM ABERTO","",INDEX(tblRegistros[Valor],$L224)),"")))</f>
        <v/>
      </c>
      <c r="J224" t="str">
        <f>IF($L224="","",IF(INDEX(tblRegistros[Data],$L224)&gt;$D$4,"",IFERROR(INDEX(tblRegistros[Status],$L224),"")))</f>
        <v/>
      </c>
      <c r="K224" t="str">
        <f>IF($L224="","",IF(INDEX(tblRegistros[Data],$L224)&gt;$D$4,"",IFERROR(INDEX(tblRegistros[Observação],$L224),"")))</f>
        <v/>
      </c>
      <c r="L224" s="16" t="str">
        <f>IFERROR(MATCH($B$3*100000+COUNTIFS(tblRegistros[ID],$B$3,tblRegistros[Data],"&lt;"&amp;$B$4)+ROWS($L$10:L224),tblRegistros[Chave do cartão],0),"")</f>
        <v/>
      </c>
    </row>
    <row r="225" spans="1:12">
      <c r="A225" s="2" t="str">
        <f>IF($L225="","",IF(INDEX(tblRegistros[Data],$L225)&gt;$D$4,"",IFERROR(INDEX(tblRegistros[Data],$L225),"")))</f>
        <v/>
      </c>
      <c r="B225" t="str">
        <f>IF($L225="","",IF(INDEX(tblRegistros[Data],$L225)&gt;$D$4,"",IFERROR(INDEX(tblRegistros[Projeto],$L225),"")))</f>
        <v/>
      </c>
      <c r="C225" t="str">
        <f>IF($L225="","",IF(INDEX(tblRegistros[Data],$L225)&gt;$D$4,"",IFERROR(INDEX(tblRegistros[Atividade],$L225),"")))</f>
        <v/>
      </c>
      <c r="D225" s="4" t="str">
        <f>IF($L225="","",IF(INDEX(tblRegistros[Data],$L225)&gt;$D$4,"",IFERROR(INDEX(tblRegistros[Início],$L225),"")))</f>
        <v/>
      </c>
      <c r="E225" s="4" t="str">
        <f>IF($L225="","",IF(INDEX(tblRegistros[Data],$L225)&gt;$D$4,"",IFERROR(IF(INDEX(tblRegistros[Status],$L225)="EM ABERTO","",INDEX(tblRegistros[Fim],$L225)),"")))</f>
        <v/>
      </c>
      <c r="F225" s="14" t="str">
        <f>IF($L225="","",IF(INDEX(tblRegistros[Data],$L225)&gt;$D$4,"",IFERROR(IF(INDEX(tblRegistros[Status],$L225)="EM ABERTO","",INDEX(tblRegistros[Horas],$L225)),"")))</f>
        <v/>
      </c>
      <c r="G225" t="str">
        <f>IF($L225="","",IF(INDEX(tblRegistros[Data],$L225)&gt;$D$4,"",IFERROR(INDEX(tblRegistros[Base],$L225),"")))</f>
        <v/>
      </c>
      <c r="H225" s="3" t="str">
        <f>IF($L225="","",IF(INDEX(tblRegistros[Data],$L225)&gt;$D$4,"",IFERROR(INDEX(tblRegistros[Taxa aplicada],$L225),"")))</f>
        <v/>
      </c>
      <c r="I225" s="3" t="str">
        <f>IF($L225="","",IF(INDEX(tblRegistros[Data],$L225)&gt;$D$4,"",IFERROR(IF(INDEX(tblRegistros[Status],$L225)="EM ABERTO","",INDEX(tblRegistros[Valor],$L225)),"")))</f>
        <v/>
      </c>
      <c r="J225" t="str">
        <f>IF($L225="","",IF(INDEX(tblRegistros[Data],$L225)&gt;$D$4,"",IFERROR(INDEX(tblRegistros[Status],$L225),"")))</f>
        <v/>
      </c>
      <c r="K225" t="str">
        <f>IF($L225="","",IF(INDEX(tblRegistros[Data],$L225)&gt;$D$4,"",IFERROR(INDEX(tblRegistros[Observação],$L225),"")))</f>
        <v/>
      </c>
      <c r="L225" s="16" t="str">
        <f>IFERROR(MATCH($B$3*100000+COUNTIFS(tblRegistros[ID],$B$3,tblRegistros[Data],"&lt;"&amp;$B$4)+ROWS($L$10:L225),tblRegistros[Chave do cartão],0),"")</f>
        <v/>
      </c>
    </row>
    <row r="226" spans="1:12">
      <c r="A226" s="2" t="str">
        <f>IF($L226="","",IF(INDEX(tblRegistros[Data],$L226)&gt;$D$4,"",IFERROR(INDEX(tblRegistros[Data],$L226),"")))</f>
        <v/>
      </c>
      <c r="B226" t="str">
        <f>IF($L226="","",IF(INDEX(tblRegistros[Data],$L226)&gt;$D$4,"",IFERROR(INDEX(tblRegistros[Projeto],$L226),"")))</f>
        <v/>
      </c>
      <c r="C226" t="str">
        <f>IF($L226="","",IF(INDEX(tblRegistros[Data],$L226)&gt;$D$4,"",IFERROR(INDEX(tblRegistros[Atividade],$L226),"")))</f>
        <v/>
      </c>
      <c r="D226" s="4" t="str">
        <f>IF($L226="","",IF(INDEX(tblRegistros[Data],$L226)&gt;$D$4,"",IFERROR(INDEX(tblRegistros[Início],$L226),"")))</f>
        <v/>
      </c>
      <c r="E226" s="4" t="str">
        <f>IF($L226="","",IF(INDEX(tblRegistros[Data],$L226)&gt;$D$4,"",IFERROR(IF(INDEX(tblRegistros[Status],$L226)="EM ABERTO","",INDEX(tblRegistros[Fim],$L226)),"")))</f>
        <v/>
      </c>
      <c r="F226" s="14" t="str">
        <f>IF($L226="","",IF(INDEX(tblRegistros[Data],$L226)&gt;$D$4,"",IFERROR(IF(INDEX(tblRegistros[Status],$L226)="EM ABERTO","",INDEX(tblRegistros[Horas],$L226)),"")))</f>
        <v/>
      </c>
      <c r="G226" t="str">
        <f>IF($L226="","",IF(INDEX(tblRegistros[Data],$L226)&gt;$D$4,"",IFERROR(INDEX(tblRegistros[Base],$L226),"")))</f>
        <v/>
      </c>
      <c r="H226" s="3" t="str">
        <f>IF($L226="","",IF(INDEX(tblRegistros[Data],$L226)&gt;$D$4,"",IFERROR(INDEX(tblRegistros[Taxa aplicada],$L226),"")))</f>
        <v/>
      </c>
      <c r="I226" s="3" t="str">
        <f>IF($L226="","",IF(INDEX(tblRegistros[Data],$L226)&gt;$D$4,"",IFERROR(IF(INDEX(tblRegistros[Status],$L226)="EM ABERTO","",INDEX(tblRegistros[Valor],$L226)),"")))</f>
        <v/>
      </c>
      <c r="J226" t="str">
        <f>IF($L226="","",IF(INDEX(tblRegistros[Data],$L226)&gt;$D$4,"",IFERROR(INDEX(tblRegistros[Status],$L226),"")))</f>
        <v/>
      </c>
      <c r="K226" t="str">
        <f>IF($L226="","",IF(INDEX(tblRegistros[Data],$L226)&gt;$D$4,"",IFERROR(INDEX(tblRegistros[Observação],$L226),"")))</f>
        <v/>
      </c>
      <c r="L226" s="16" t="str">
        <f>IFERROR(MATCH($B$3*100000+COUNTIFS(tblRegistros[ID],$B$3,tblRegistros[Data],"&lt;"&amp;$B$4)+ROWS($L$10:L226),tblRegistros[Chave do cartão],0),"")</f>
        <v/>
      </c>
    </row>
    <row r="227" spans="1:12">
      <c r="A227" s="2" t="str">
        <f>IF($L227="","",IF(INDEX(tblRegistros[Data],$L227)&gt;$D$4,"",IFERROR(INDEX(tblRegistros[Data],$L227),"")))</f>
        <v/>
      </c>
      <c r="B227" t="str">
        <f>IF($L227="","",IF(INDEX(tblRegistros[Data],$L227)&gt;$D$4,"",IFERROR(INDEX(tblRegistros[Projeto],$L227),"")))</f>
        <v/>
      </c>
      <c r="C227" t="str">
        <f>IF($L227="","",IF(INDEX(tblRegistros[Data],$L227)&gt;$D$4,"",IFERROR(INDEX(tblRegistros[Atividade],$L227),"")))</f>
        <v/>
      </c>
      <c r="D227" s="4" t="str">
        <f>IF($L227="","",IF(INDEX(tblRegistros[Data],$L227)&gt;$D$4,"",IFERROR(INDEX(tblRegistros[Início],$L227),"")))</f>
        <v/>
      </c>
      <c r="E227" s="4" t="str">
        <f>IF($L227="","",IF(INDEX(tblRegistros[Data],$L227)&gt;$D$4,"",IFERROR(IF(INDEX(tblRegistros[Status],$L227)="EM ABERTO","",INDEX(tblRegistros[Fim],$L227)),"")))</f>
        <v/>
      </c>
      <c r="F227" s="14" t="str">
        <f>IF($L227="","",IF(INDEX(tblRegistros[Data],$L227)&gt;$D$4,"",IFERROR(IF(INDEX(tblRegistros[Status],$L227)="EM ABERTO","",INDEX(tblRegistros[Horas],$L227)),"")))</f>
        <v/>
      </c>
      <c r="G227" t="str">
        <f>IF($L227="","",IF(INDEX(tblRegistros[Data],$L227)&gt;$D$4,"",IFERROR(INDEX(tblRegistros[Base],$L227),"")))</f>
        <v/>
      </c>
      <c r="H227" s="3" t="str">
        <f>IF($L227="","",IF(INDEX(tblRegistros[Data],$L227)&gt;$D$4,"",IFERROR(INDEX(tblRegistros[Taxa aplicada],$L227),"")))</f>
        <v/>
      </c>
      <c r="I227" s="3" t="str">
        <f>IF($L227="","",IF(INDEX(tblRegistros[Data],$L227)&gt;$D$4,"",IFERROR(IF(INDEX(tblRegistros[Status],$L227)="EM ABERTO","",INDEX(tblRegistros[Valor],$L227)),"")))</f>
        <v/>
      </c>
      <c r="J227" t="str">
        <f>IF($L227="","",IF(INDEX(tblRegistros[Data],$L227)&gt;$D$4,"",IFERROR(INDEX(tblRegistros[Status],$L227),"")))</f>
        <v/>
      </c>
      <c r="K227" t="str">
        <f>IF($L227="","",IF(INDEX(tblRegistros[Data],$L227)&gt;$D$4,"",IFERROR(INDEX(tblRegistros[Observação],$L227),"")))</f>
        <v/>
      </c>
      <c r="L227" s="16" t="str">
        <f>IFERROR(MATCH($B$3*100000+COUNTIFS(tblRegistros[ID],$B$3,tblRegistros[Data],"&lt;"&amp;$B$4)+ROWS($L$10:L227),tblRegistros[Chave do cartão],0),"")</f>
        <v/>
      </c>
    </row>
    <row r="228" spans="1:12">
      <c r="A228" s="2" t="str">
        <f>IF($L228="","",IF(INDEX(tblRegistros[Data],$L228)&gt;$D$4,"",IFERROR(INDEX(tblRegistros[Data],$L228),"")))</f>
        <v/>
      </c>
      <c r="B228" t="str">
        <f>IF($L228="","",IF(INDEX(tblRegistros[Data],$L228)&gt;$D$4,"",IFERROR(INDEX(tblRegistros[Projeto],$L228),"")))</f>
        <v/>
      </c>
      <c r="C228" t="str">
        <f>IF($L228="","",IF(INDEX(tblRegistros[Data],$L228)&gt;$D$4,"",IFERROR(INDEX(tblRegistros[Atividade],$L228),"")))</f>
        <v/>
      </c>
      <c r="D228" s="4" t="str">
        <f>IF($L228="","",IF(INDEX(tblRegistros[Data],$L228)&gt;$D$4,"",IFERROR(INDEX(tblRegistros[Início],$L228),"")))</f>
        <v/>
      </c>
      <c r="E228" s="4" t="str">
        <f>IF($L228="","",IF(INDEX(tblRegistros[Data],$L228)&gt;$D$4,"",IFERROR(IF(INDEX(tblRegistros[Status],$L228)="EM ABERTO","",INDEX(tblRegistros[Fim],$L228)),"")))</f>
        <v/>
      </c>
      <c r="F228" s="14" t="str">
        <f>IF($L228="","",IF(INDEX(tblRegistros[Data],$L228)&gt;$D$4,"",IFERROR(IF(INDEX(tblRegistros[Status],$L228)="EM ABERTO","",INDEX(tblRegistros[Horas],$L228)),"")))</f>
        <v/>
      </c>
      <c r="G228" t="str">
        <f>IF($L228="","",IF(INDEX(tblRegistros[Data],$L228)&gt;$D$4,"",IFERROR(INDEX(tblRegistros[Base],$L228),"")))</f>
        <v/>
      </c>
      <c r="H228" s="3" t="str">
        <f>IF($L228="","",IF(INDEX(tblRegistros[Data],$L228)&gt;$D$4,"",IFERROR(INDEX(tblRegistros[Taxa aplicada],$L228),"")))</f>
        <v/>
      </c>
      <c r="I228" s="3" t="str">
        <f>IF($L228="","",IF(INDEX(tblRegistros[Data],$L228)&gt;$D$4,"",IFERROR(IF(INDEX(tblRegistros[Status],$L228)="EM ABERTO","",INDEX(tblRegistros[Valor],$L228)),"")))</f>
        <v/>
      </c>
      <c r="J228" t="str">
        <f>IF($L228="","",IF(INDEX(tblRegistros[Data],$L228)&gt;$D$4,"",IFERROR(INDEX(tblRegistros[Status],$L228),"")))</f>
        <v/>
      </c>
      <c r="K228" t="str">
        <f>IF($L228="","",IF(INDEX(tblRegistros[Data],$L228)&gt;$D$4,"",IFERROR(INDEX(tblRegistros[Observação],$L228),"")))</f>
        <v/>
      </c>
      <c r="L228" s="16" t="str">
        <f>IFERROR(MATCH($B$3*100000+COUNTIFS(tblRegistros[ID],$B$3,tblRegistros[Data],"&lt;"&amp;$B$4)+ROWS($L$10:L228),tblRegistros[Chave do cartão],0),"")</f>
        <v/>
      </c>
    </row>
    <row r="229" spans="1:12">
      <c r="A229" s="2" t="str">
        <f>IF($L229="","",IF(INDEX(tblRegistros[Data],$L229)&gt;$D$4,"",IFERROR(INDEX(tblRegistros[Data],$L229),"")))</f>
        <v/>
      </c>
      <c r="B229" t="str">
        <f>IF($L229="","",IF(INDEX(tblRegistros[Data],$L229)&gt;$D$4,"",IFERROR(INDEX(tblRegistros[Projeto],$L229),"")))</f>
        <v/>
      </c>
      <c r="C229" t="str">
        <f>IF($L229="","",IF(INDEX(tblRegistros[Data],$L229)&gt;$D$4,"",IFERROR(INDEX(tblRegistros[Atividade],$L229),"")))</f>
        <v/>
      </c>
      <c r="D229" s="4" t="str">
        <f>IF($L229="","",IF(INDEX(tblRegistros[Data],$L229)&gt;$D$4,"",IFERROR(INDEX(tblRegistros[Início],$L229),"")))</f>
        <v/>
      </c>
      <c r="E229" s="4" t="str">
        <f>IF($L229="","",IF(INDEX(tblRegistros[Data],$L229)&gt;$D$4,"",IFERROR(IF(INDEX(tblRegistros[Status],$L229)="EM ABERTO","",INDEX(tblRegistros[Fim],$L229)),"")))</f>
        <v/>
      </c>
      <c r="F229" s="14" t="str">
        <f>IF($L229="","",IF(INDEX(tblRegistros[Data],$L229)&gt;$D$4,"",IFERROR(IF(INDEX(tblRegistros[Status],$L229)="EM ABERTO","",INDEX(tblRegistros[Horas],$L229)),"")))</f>
        <v/>
      </c>
      <c r="G229" t="str">
        <f>IF($L229="","",IF(INDEX(tblRegistros[Data],$L229)&gt;$D$4,"",IFERROR(INDEX(tblRegistros[Base],$L229),"")))</f>
        <v/>
      </c>
      <c r="H229" s="3" t="str">
        <f>IF($L229="","",IF(INDEX(tblRegistros[Data],$L229)&gt;$D$4,"",IFERROR(INDEX(tblRegistros[Taxa aplicada],$L229),"")))</f>
        <v/>
      </c>
      <c r="I229" s="3" t="str">
        <f>IF($L229="","",IF(INDEX(tblRegistros[Data],$L229)&gt;$D$4,"",IFERROR(IF(INDEX(tblRegistros[Status],$L229)="EM ABERTO","",INDEX(tblRegistros[Valor],$L229)),"")))</f>
        <v/>
      </c>
      <c r="J229" t="str">
        <f>IF($L229="","",IF(INDEX(tblRegistros[Data],$L229)&gt;$D$4,"",IFERROR(INDEX(tblRegistros[Status],$L229),"")))</f>
        <v/>
      </c>
      <c r="K229" t="str">
        <f>IF($L229="","",IF(INDEX(tblRegistros[Data],$L229)&gt;$D$4,"",IFERROR(INDEX(tblRegistros[Observação],$L229),"")))</f>
        <v/>
      </c>
      <c r="L229" s="16" t="str">
        <f>IFERROR(MATCH($B$3*100000+COUNTIFS(tblRegistros[ID],$B$3,tblRegistros[Data],"&lt;"&amp;$B$4)+ROWS($L$10:L229),tblRegistros[Chave do cartão],0),"")</f>
        <v/>
      </c>
    </row>
    <row r="230" spans="1:12">
      <c r="A230" s="2" t="str">
        <f>IF($L230="","",IF(INDEX(tblRegistros[Data],$L230)&gt;$D$4,"",IFERROR(INDEX(tblRegistros[Data],$L230),"")))</f>
        <v/>
      </c>
      <c r="B230" t="str">
        <f>IF($L230="","",IF(INDEX(tblRegistros[Data],$L230)&gt;$D$4,"",IFERROR(INDEX(tblRegistros[Projeto],$L230),"")))</f>
        <v/>
      </c>
      <c r="C230" t="str">
        <f>IF($L230="","",IF(INDEX(tblRegistros[Data],$L230)&gt;$D$4,"",IFERROR(INDEX(tblRegistros[Atividade],$L230),"")))</f>
        <v/>
      </c>
      <c r="D230" s="4" t="str">
        <f>IF($L230="","",IF(INDEX(tblRegistros[Data],$L230)&gt;$D$4,"",IFERROR(INDEX(tblRegistros[Início],$L230),"")))</f>
        <v/>
      </c>
      <c r="E230" s="4" t="str">
        <f>IF($L230="","",IF(INDEX(tblRegistros[Data],$L230)&gt;$D$4,"",IFERROR(IF(INDEX(tblRegistros[Status],$L230)="EM ABERTO","",INDEX(tblRegistros[Fim],$L230)),"")))</f>
        <v/>
      </c>
      <c r="F230" s="14" t="str">
        <f>IF($L230="","",IF(INDEX(tblRegistros[Data],$L230)&gt;$D$4,"",IFERROR(IF(INDEX(tblRegistros[Status],$L230)="EM ABERTO","",INDEX(tblRegistros[Horas],$L230)),"")))</f>
        <v/>
      </c>
      <c r="G230" t="str">
        <f>IF($L230="","",IF(INDEX(tblRegistros[Data],$L230)&gt;$D$4,"",IFERROR(INDEX(tblRegistros[Base],$L230),"")))</f>
        <v/>
      </c>
      <c r="H230" s="3" t="str">
        <f>IF($L230="","",IF(INDEX(tblRegistros[Data],$L230)&gt;$D$4,"",IFERROR(INDEX(tblRegistros[Taxa aplicada],$L230),"")))</f>
        <v/>
      </c>
      <c r="I230" s="3" t="str">
        <f>IF($L230="","",IF(INDEX(tblRegistros[Data],$L230)&gt;$D$4,"",IFERROR(IF(INDEX(tblRegistros[Status],$L230)="EM ABERTO","",INDEX(tblRegistros[Valor],$L230)),"")))</f>
        <v/>
      </c>
      <c r="J230" t="str">
        <f>IF($L230="","",IF(INDEX(tblRegistros[Data],$L230)&gt;$D$4,"",IFERROR(INDEX(tblRegistros[Status],$L230),"")))</f>
        <v/>
      </c>
      <c r="K230" t="str">
        <f>IF($L230="","",IF(INDEX(tblRegistros[Data],$L230)&gt;$D$4,"",IFERROR(INDEX(tblRegistros[Observação],$L230),"")))</f>
        <v/>
      </c>
      <c r="L230" s="16" t="str">
        <f>IFERROR(MATCH($B$3*100000+COUNTIFS(tblRegistros[ID],$B$3,tblRegistros[Data],"&lt;"&amp;$B$4)+ROWS($L$10:L230),tblRegistros[Chave do cartão],0),"")</f>
        <v/>
      </c>
    </row>
    <row r="231" spans="1:12">
      <c r="A231" s="2" t="str">
        <f>IF($L231="","",IF(INDEX(tblRegistros[Data],$L231)&gt;$D$4,"",IFERROR(INDEX(tblRegistros[Data],$L231),"")))</f>
        <v/>
      </c>
      <c r="B231" t="str">
        <f>IF($L231="","",IF(INDEX(tblRegistros[Data],$L231)&gt;$D$4,"",IFERROR(INDEX(tblRegistros[Projeto],$L231),"")))</f>
        <v/>
      </c>
      <c r="C231" t="str">
        <f>IF($L231="","",IF(INDEX(tblRegistros[Data],$L231)&gt;$D$4,"",IFERROR(INDEX(tblRegistros[Atividade],$L231),"")))</f>
        <v/>
      </c>
      <c r="D231" s="4" t="str">
        <f>IF($L231="","",IF(INDEX(tblRegistros[Data],$L231)&gt;$D$4,"",IFERROR(INDEX(tblRegistros[Início],$L231),"")))</f>
        <v/>
      </c>
      <c r="E231" s="4" t="str">
        <f>IF($L231="","",IF(INDEX(tblRegistros[Data],$L231)&gt;$D$4,"",IFERROR(IF(INDEX(tblRegistros[Status],$L231)="EM ABERTO","",INDEX(tblRegistros[Fim],$L231)),"")))</f>
        <v/>
      </c>
      <c r="F231" s="14" t="str">
        <f>IF($L231="","",IF(INDEX(tblRegistros[Data],$L231)&gt;$D$4,"",IFERROR(IF(INDEX(tblRegistros[Status],$L231)="EM ABERTO","",INDEX(tblRegistros[Horas],$L231)),"")))</f>
        <v/>
      </c>
      <c r="G231" t="str">
        <f>IF($L231="","",IF(INDEX(tblRegistros[Data],$L231)&gt;$D$4,"",IFERROR(INDEX(tblRegistros[Base],$L231),"")))</f>
        <v/>
      </c>
      <c r="H231" s="3" t="str">
        <f>IF($L231="","",IF(INDEX(tblRegistros[Data],$L231)&gt;$D$4,"",IFERROR(INDEX(tblRegistros[Taxa aplicada],$L231),"")))</f>
        <v/>
      </c>
      <c r="I231" s="3" t="str">
        <f>IF($L231="","",IF(INDEX(tblRegistros[Data],$L231)&gt;$D$4,"",IFERROR(IF(INDEX(tblRegistros[Status],$L231)="EM ABERTO","",INDEX(tblRegistros[Valor],$L231)),"")))</f>
        <v/>
      </c>
      <c r="J231" t="str">
        <f>IF($L231="","",IF(INDEX(tblRegistros[Data],$L231)&gt;$D$4,"",IFERROR(INDEX(tblRegistros[Status],$L231),"")))</f>
        <v/>
      </c>
      <c r="K231" t="str">
        <f>IF($L231="","",IF(INDEX(tblRegistros[Data],$L231)&gt;$D$4,"",IFERROR(INDEX(tblRegistros[Observação],$L231),"")))</f>
        <v/>
      </c>
      <c r="L231" s="16" t="str">
        <f>IFERROR(MATCH($B$3*100000+COUNTIFS(tblRegistros[ID],$B$3,tblRegistros[Data],"&lt;"&amp;$B$4)+ROWS($L$10:L231),tblRegistros[Chave do cartão],0),"")</f>
        <v/>
      </c>
    </row>
    <row r="232" spans="1:12">
      <c r="A232" s="2" t="str">
        <f>IF($L232="","",IF(INDEX(tblRegistros[Data],$L232)&gt;$D$4,"",IFERROR(INDEX(tblRegistros[Data],$L232),"")))</f>
        <v/>
      </c>
      <c r="B232" t="str">
        <f>IF($L232="","",IF(INDEX(tblRegistros[Data],$L232)&gt;$D$4,"",IFERROR(INDEX(tblRegistros[Projeto],$L232),"")))</f>
        <v/>
      </c>
      <c r="C232" t="str">
        <f>IF($L232="","",IF(INDEX(tblRegistros[Data],$L232)&gt;$D$4,"",IFERROR(INDEX(tblRegistros[Atividade],$L232),"")))</f>
        <v/>
      </c>
      <c r="D232" s="4" t="str">
        <f>IF($L232="","",IF(INDEX(tblRegistros[Data],$L232)&gt;$D$4,"",IFERROR(INDEX(tblRegistros[Início],$L232),"")))</f>
        <v/>
      </c>
      <c r="E232" s="4" t="str">
        <f>IF($L232="","",IF(INDEX(tblRegistros[Data],$L232)&gt;$D$4,"",IFERROR(IF(INDEX(tblRegistros[Status],$L232)="EM ABERTO","",INDEX(tblRegistros[Fim],$L232)),"")))</f>
        <v/>
      </c>
      <c r="F232" s="14" t="str">
        <f>IF($L232="","",IF(INDEX(tblRegistros[Data],$L232)&gt;$D$4,"",IFERROR(IF(INDEX(tblRegistros[Status],$L232)="EM ABERTO","",INDEX(tblRegistros[Horas],$L232)),"")))</f>
        <v/>
      </c>
      <c r="G232" t="str">
        <f>IF($L232="","",IF(INDEX(tblRegistros[Data],$L232)&gt;$D$4,"",IFERROR(INDEX(tblRegistros[Base],$L232),"")))</f>
        <v/>
      </c>
      <c r="H232" s="3" t="str">
        <f>IF($L232="","",IF(INDEX(tblRegistros[Data],$L232)&gt;$D$4,"",IFERROR(INDEX(tblRegistros[Taxa aplicada],$L232),"")))</f>
        <v/>
      </c>
      <c r="I232" s="3" t="str">
        <f>IF($L232="","",IF(INDEX(tblRegistros[Data],$L232)&gt;$D$4,"",IFERROR(IF(INDEX(tblRegistros[Status],$L232)="EM ABERTO","",INDEX(tblRegistros[Valor],$L232)),"")))</f>
        <v/>
      </c>
      <c r="J232" t="str">
        <f>IF($L232="","",IF(INDEX(tblRegistros[Data],$L232)&gt;$D$4,"",IFERROR(INDEX(tblRegistros[Status],$L232),"")))</f>
        <v/>
      </c>
      <c r="K232" t="str">
        <f>IF($L232="","",IF(INDEX(tblRegistros[Data],$L232)&gt;$D$4,"",IFERROR(INDEX(tblRegistros[Observação],$L232),"")))</f>
        <v/>
      </c>
      <c r="L232" s="16" t="str">
        <f>IFERROR(MATCH($B$3*100000+COUNTIFS(tblRegistros[ID],$B$3,tblRegistros[Data],"&lt;"&amp;$B$4)+ROWS($L$10:L232),tblRegistros[Chave do cartão],0),"")</f>
        <v/>
      </c>
    </row>
    <row r="233" spans="1:12">
      <c r="A233" s="2" t="str">
        <f>IF($L233="","",IF(INDEX(tblRegistros[Data],$L233)&gt;$D$4,"",IFERROR(INDEX(tblRegistros[Data],$L233),"")))</f>
        <v/>
      </c>
      <c r="B233" t="str">
        <f>IF($L233="","",IF(INDEX(tblRegistros[Data],$L233)&gt;$D$4,"",IFERROR(INDEX(tblRegistros[Projeto],$L233),"")))</f>
        <v/>
      </c>
      <c r="C233" t="str">
        <f>IF($L233="","",IF(INDEX(tblRegistros[Data],$L233)&gt;$D$4,"",IFERROR(INDEX(tblRegistros[Atividade],$L233),"")))</f>
        <v/>
      </c>
      <c r="D233" s="4" t="str">
        <f>IF($L233="","",IF(INDEX(tblRegistros[Data],$L233)&gt;$D$4,"",IFERROR(INDEX(tblRegistros[Início],$L233),"")))</f>
        <v/>
      </c>
      <c r="E233" s="4" t="str">
        <f>IF($L233="","",IF(INDEX(tblRegistros[Data],$L233)&gt;$D$4,"",IFERROR(IF(INDEX(tblRegistros[Status],$L233)="EM ABERTO","",INDEX(tblRegistros[Fim],$L233)),"")))</f>
        <v/>
      </c>
      <c r="F233" s="14" t="str">
        <f>IF($L233="","",IF(INDEX(tblRegistros[Data],$L233)&gt;$D$4,"",IFERROR(IF(INDEX(tblRegistros[Status],$L233)="EM ABERTO","",INDEX(tblRegistros[Horas],$L233)),"")))</f>
        <v/>
      </c>
      <c r="G233" t="str">
        <f>IF($L233="","",IF(INDEX(tblRegistros[Data],$L233)&gt;$D$4,"",IFERROR(INDEX(tblRegistros[Base],$L233),"")))</f>
        <v/>
      </c>
      <c r="H233" s="3" t="str">
        <f>IF($L233="","",IF(INDEX(tblRegistros[Data],$L233)&gt;$D$4,"",IFERROR(INDEX(tblRegistros[Taxa aplicada],$L233),"")))</f>
        <v/>
      </c>
      <c r="I233" s="3" t="str">
        <f>IF($L233="","",IF(INDEX(tblRegistros[Data],$L233)&gt;$D$4,"",IFERROR(IF(INDEX(tblRegistros[Status],$L233)="EM ABERTO","",INDEX(tblRegistros[Valor],$L233)),"")))</f>
        <v/>
      </c>
      <c r="J233" t="str">
        <f>IF($L233="","",IF(INDEX(tblRegistros[Data],$L233)&gt;$D$4,"",IFERROR(INDEX(tblRegistros[Status],$L233),"")))</f>
        <v/>
      </c>
      <c r="K233" t="str">
        <f>IF($L233="","",IF(INDEX(tblRegistros[Data],$L233)&gt;$D$4,"",IFERROR(INDEX(tblRegistros[Observação],$L233),"")))</f>
        <v/>
      </c>
      <c r="L233" s="16" t="str">
        <f>IFERROR(MATCH($B$3*100000+COUNTIFS(tblRegistros[ID],$B$3,tblRegistros[Data],"&lt;"&amp;$B$4)+ROWS($L$10:L233),tblRegistros[Chave do cartão],0),"")</f>
        <v/>
      </c>
    </row>
    <row r="234" spans="1:12">
      <c r="A234" s="2" t="str">
        <f>IF($L234="","",IF(INDEX(tblRegistros[Data],$L234)&gt;$D$4,"",IFERROR(INDEX(tblRegistros[Data],$L234),"")))</f>
        <v/>
      </c>
      <c r="B234" t="str">
        <f>IF($L234="","",IF(INDEX(tblRegistros[Data],$L234)&gt;$D$4,"",IFERROR(INDEX(tblRegistros[Projeto],$L234),"")))</f>
        <v/>
      </c>
      <c r="C234" t="str">
        <f>IF($L234="","",IF(INDEX(tblRegistros[Data],$L234)&gt;$D$4,"",IFERROR(INDEX(tblRegistros[Atividade],$L234),"")))</f>
        <v/>
      </c>
      <c r="D234" s="4" t="str">
        <f>IF($L234="","",IF(INDEX(tblRegistros[Data],$L234)&gt;$D$4,"",IFERROR(INDEX(tblRegistros[Início],$L234),"")))</f>
        <v/>
      </c>
      <c r="E234" s="4" t="str">
        <f>IF($L234="","",IF(INDEX(tblRegistros[Data],$L234)&gt;$D$4,"",IFERROR(IF(INDEX(tblRegistros[Status],$L234)="EM ABERTO","",INDEX(tblRegistros[Fim],$L234)),"")))</f>
        <v/>
      </c>
      <c r="F234" s="14" t="str">
        <f>IF($L234="","",IF(INDEX(tblRegistros[Data],$L234)&gt;$D$4,"",IFERROR(IF(INDEX(tblRegistros[Status],$L234)="EM ABERTO","",INDEX(tblRegistros[Horas],$L234)),"")))</f>
        <v/>
      </c>
      <c r="G234" t="str">
        <f>IF($L234="","",IF(INDEX(tblRegistros[Data],$L234)&gt;$D$4,"",IFERROR(INDEX(tblRegistros[Base],$L234),"")))</f>
        <v/>
      </c>
      <c r="H234" s="3" t="str">
        <f>IF($L234="","",IF(INDEX(tblRegistros[Data],$L234)&gt;$D$4,"",IFERROR(INDEX(tblRegistros[Taxa aplicada],$L234),"")))</f>
        <v/>
      </c>
      <c r="I234" s="3" t="str">
        <f>IF($L234="","",IF(INDEX(tblRegistros[Data],$L234)&gt;$D$4,"",IFERROR(IF(INDEX(tblRegistros[Status],$L234)="EM ABERTO","",INDEX(tblRegistros[Valor],$L234)),"")))</f>
        <v/>
      </c>
      <c r="J234" t="str">
        <f>IF($L234="","",IF(INDEX(tblRegistros[Data],$L234)&gt;$D$4,"",IFERROR(INDEX(tblRegistros[Status],$L234),"")))</f>
        <v/>
      </c>
      <c r="K234" t="str">
        <f>IF($L234="","",IF(INDEX(tblRegistros[Data],$L234)&gt;$D$4,"",IFERROR(INDEX(tblRegistros[Observação],$L234),"")))</f>
        <v/>
      </c>
      <c r="L234" s="16" t="str">
        <f>IFERROR(MATCH($B$3*100000+COUNTIFS(tblRegistros[ID],$B$3,tblRegistros[Data],"&lt;"&amp;$B$4)+ROWS($L$10:L234),tblRegistros[Chave do cartão],0),"")</f>
        <v/>
      </c>
    </row>
    <row r="235" spans="1:12">
      <c r="A235" s="2" t="str">
        <f>IF($L235="","",IF(INDEX(tblRegistros[Data],$L235)&gt;$D$4,"",IFERROR(INDEX(tblRegistros[Data],$L235),"")))</f>
        <v/>
      </c>
      <c r="B235" t="str">
        <f>IF($L235="","",IF(INDEX(tblRegistros[Data],$L235)&gt;$D$4,"",IFERROR(INDEX(tblRegistros[Projeto],$L235),"")))</f>
        <v/>
      </c>
      <c r="C235" t="str">
        <f>IF($L235="","",IF(INDEX(tblRegistros[Data],$L235)&gt;$D$4,"",IFERROR(INDEX(tblRegistros[Atividade],$L235),"")))</f>
        <v/>
      </c>
      <c r="D235" s="4" t="str">
        <f>IF($L235="","",IF(INDEX(tblRegistros[Data],$L235)&gt;$D$4,"",IFERROR(INDEX(tblRegistros[Início],$L235),"")))</f>
        <v/>
      </c>
      <c r="E235" s="4" t="str">
        <f>IF($L235="","",IF(INDEX(tblRegistros[Data],$L235)&gt;$D$4,"",IFERROR(IF(INDEX(tblRegistros[Status],$L235)="EM ABERTO","",INDEX(tblRegistros[Fim],$L235)),"")))</f>
        <v/>
      </c>
      <c r="F235" s="14" t="str">
        <f>IF($L235="","",IF(INDEX(tblRegistros[Data],$L235)&gt;$D$4,"",IFERROR(IF(INDEX(tblRegistros[Status],$L235)="EM ABERTO","",INDEX(tblRegistros[Horas],$L235)),"")))</f>
        <v/>
      </c>
      <c r="G235" t="str">
        <f>IF($L235="","",IF(INDEX(tblRegistros[Data],$L235)&gt;$D$4,"",IFERROR(INDEX(tblRegistros[Base],$L235),"")))</f>
        <v/>
      </c>
      <c r="H235" s="3" t="str">
        <f>IF($L235="","",IF(INDEX(tblRegistros[Data],$L235)&gt;$D$4,"",IFERROR(INDEX(tblRegistros[Taxa aplicada],$L235),"")))</f>
        <v/>
      </c>
      <c r="I235" s="3" t="str">
        <f>IF($L235="","",IF(INDEX(tblRegistros[Data],$L235)&gt;$D$4,"",IFERROR(IF(INDEX(tblRegistros[Status],$L235)="EM ABERTO","",INDEX(tblRegistros[Valor],$L235)),"")))</f>
        <v/>
      </c>
      <c r="J235" t="str">
        <f>IF($L235="","",IF(INDEX(tblRegistros[Data],$L235)&gt;$D$4,"",IFERROR(INDEX(tblRegistros[Status],$L235),"")))</f>
        <v/>
      </c>
      <c r="K235" t="str">
        <f>IF($L235="","",IF(INDEX(tblRegistros[Data],$L235)&gt;$D$4,"",IFERROR(INDEX(tblRegistros[Observação],$L235),"")))</f>
        <v/>
      </c>
      <c r="L235" s="16" t="str">
        <f>IFERROR(MATCH($B$3*100000+COUNTIFS(tblRegistros[ID],$B$3,tblRegistros[Data],"&lt;"&amp;$B$4)+ROWS($L$10:L235),tblRegistros[Chave do cartão],0),"")</f>
        <v/>
      </c>
    </row>
    <row r="236" spans="1:12">
      <c r="A236" s="2" t="str">
        <f>IF($L236="","",IF(INDEX(tblRegistros[Data],$L236)&gt;$D$4,"",IFERROR(INDEX(tblRegistros[Data],$L236),"")))</f>
        <v/>
      </c>
      <c r="B236" t="str">
        <f>IF($L236="","",IF(INDEX(tblRegistros[Data],$L236)&gt;$D$4,"",IFERROR(INDEX(tblRegistros[Projeto],$L236),"")))</f>
        <v/>
      </c>
      <c r="C236" t="str">
        <f>IF($L236="","",IF(INDEX(tblRegistros[Data],$L236)&gt;$D$4,"",IFERROR(INDEX(tblRegistros[Atividade],$L236),"")))</f>
        <v/>
      </c>
      <c r="D236" s="4" t="str">
        <f>IF($L236="","",IF(INDEX(tblRegistros[Data],$L236)&gt;$D$4,"",IFERROR(INDEX(tblRegistros[Início],$L236),"")))</f>
        <v/>
      </c>
      <c r="E236" s="4" t="str">
        <f>IF($L236="","",IF(INDEX(tblRegistros[Data],$L236)&gt;$D$4,"",IFERROR(IF(INDEX(tblRegistros[Status],$L236)="EM ABERTO","",INDEX(tblRegistros[Fim],$L236)),"")))</f>
        <v/>
      </c>
      <c r="F236" s="14" t="str">
        <f>IF($L236="","",IF(INDEX(tblRegistros[Data],$L236)&gt;$D$4,"",IFERROR(IF(INDEX(tblRegistros[Status],$L236)="EM ABERTO","",INDEX(tblRegistros[Horas],$L236)),"")))</f>
        <v/>
      </c>
      <c r="G236" t="str">
        <f>IF($L236="","",IF(INDEX(tblRegistros[Data],$L236)&gt;$D$4,"",IFERROR(INDEX(tblRegistros[Base],$L236),"")))</f>
        <v/>
      </c>
      <c r="H236" s="3" t="str">
        <f>IF($L236="","",IF(INDEX(tblRegistros[Data],$L236)&gt;$D$4,"",IFERROR(INDEX(tblRegistros[Taxa aplicada],$L236),"")))</f>
        <v/>
      </c>
      <c r="I236" s="3" t="str">
        <f>IF($L236="","",IF(INDEX(tblRegistros[Data],$L236)&gt;$D$4,"",IFERROR(IF(INDEX(tblRegistros[Status],$L236)="EM ABERTO","",INDEX(tblRegistros[Valor],$L236)),"")))</f>
        <v/>
      </c>
      <c r="J236" t="str">
        <f>IF($L236="","",IF(INDEX(tblRegistros[Data],$L236)&gt;$D$4,"",IFERROR(INDEX(tblRegistros[Status],$L236),"")))</f>
        <v/>
      </c>
      <c r="K236" t="str">
        <f>IF($L236="","",IF(INDEX(tblRegistros[Data],$L236)&gt;$D$4,"",IFERROR(INDEX(tblRegistros[Observação],$L236),"")))</f>
        <v/>
      </c>
      <c r="L236" s="16" t="str">
        <f>IFERROR(MATCH($B$3*100000+COUNTIFS(tblRegistros[ID],$B$3,tblRegistros[Data],"&lt;"&amp;$B$4)+ROWS($L$10:L236),tblRegistros[Chave do cartão],0),"")</f>
        <v/>
      </c>
    </row>
    <row r="237" spans="1:12">
      <c r="A237" s="2" t="str">
        <f>IF($L237="","",IF(INDEX(tblRegistros[Data],$L237)&gt;$D$4,"",IFERROR(INDEX(tblRegistros[Data],$L237),"")))</f>
        <v/>
      </c>
      <c r="B237" t="str">
        <f>IF($L237="","",IF(INDEX(tblRegistros[Data],$L237)&gt;$D$4,"",IFERROR(INDEX(tblRegistros[Projeto],$L237),"")))</f>
        <v/>
      </c>
      <c r="C237" t="str">
        <f>IF($L237="","",IF(INDEX(tblRegistros[Data],$L237)&gt;$D$4,"",IFERROR(INDEX(tblRegistros[Atividade],$L237),"")))</f>
        <v/>
      </c>
      <c r="D237" s="4" t="str">
        <f>IF($L237="","",IF(INDEX(tblRegistros[Data],$L237)&gt;$D$4,"",IFERROR(INDEX(tblRegistros[Início],$L237),"")))</f>
        <v/>
      </c>
      <c r="E237" s="4" t="str">
        <f>IF($L237="","",IF(INDEX(tblRegistros[Data],$L237)&gt;$D$4,"",IFERROR(IF(INDEX(tblRegistros[Status],$L237)="EM ABERTO","",INDEX(tblRegistros[Fim],$L237)),"")))</f>
        <v/>
      </c>
      <c r="F237" s="14" t="str">
        <f>IF($L237="","",IF(INDEX(tblRegistros[Data],$L237)&gt;$D$4,"",IFERROR(IF(INDEX(tblRegistros[Status],$L237)="EM ABERTO","",INDEX(tblRegistros[Horas],$L237)),"")))</f>
        <v/>
      </c>
      <c r="G237" t="str">
        <f>IF($L237="","",IF(INDEX(tblRegistros[Data],$L237)&gt;$D$4,"",IFERROR(INDEX(tblRegistros[Base],$L237),"")))</f>
        <v/>
      </c>
      <c r="H237" s="3" t="str">
        <f>IF($L237="","",IF(INDEX(tblRegistros[Data],$L237)&gt;$D$4,"",IFERROR(INDEX(tblRegistros[Taxa aplicada],$L237),"")))</f>
        <v/>
      </c>
      <c r="I237" s="3" t="str">
        <f>IF($L237="","",IF(INDEX(tblRegistros[Data],$L237)&gt;$D$4,"",IFERROR(IF(INDEX(tblRegistros[Status],$L237)="EM ABERTO","",INDEX(tblRegistros[Valor],$L237)),"")))</f>
        <v/>
      </c>
      <c r="J237" t="str">
        <f>IF($L237="","",IF(INDEX(tblRegistros[Data],$L237)&gt;$D$4,"",IFERROR(INDEX(tblRegistros[Status],$L237),"")))</f>
        <v/>
      </c>
      <c r="K237" t="str">
        <f>IF($L237="","",IF(INDEX(tblRegistros[Data],$L237)&gt;$D$4,"",IFERROR(INDEX(tblRegistros[Observação],$L237),"")))</f>
        <v/>
      </c>
      <c r="L237" s="16" t="str">
        <f>IFERROR(MATCH($B$3*100000+COUNTIFS(tblRegistros[ID],$B$3,tblRegistros[Data],"&lt;"&amp;$B$4)+ROWS($L$10:L237),tblRegistros[Chave do cartão],0),"")</f>
        <v/>
      </c>
    </row>
    <row r="238" spans="1:12">
      <c r="A238" s="2" t="str">
        <f>IF($L238="","",IF(INDEX(tblRegistros[Data],$L238)&gt;$D$4,"",IFERROR(INDEX(tblRegistros[Data],$L238),"")))</f>
        <v/>
      </c>
      <c r="B238" t="str">
        <f>IF($L238="","",IF(INDEX(tblRegistros[Data],$L238)&gt;$D$4,"",IFERROR(INDEX(tblRegistros[Projeto],$L238),"")))</f>
        <v/>
      </c>
      <c r="C238" t="str">
        <f>IF($L238="","",IF(INDEX(tblRegistros[Data],$L238)&gt;$D$4,"",IFERROR(INDEX(tblRegistros[Atividade],$L238),"")))</f>
        <v/>
      </c>
      <c r="D238" s="4" t="str">
        <f>IF($L238="","",IF(INDEX(tblRegistros[Data],$L238)&gt;$D$4,"",IFERROR(INDEX(tblRegistros[Início],$L238),"")))</f>
        <v/>
      </c>
      <c r="E238" s="4" t="str">
        <f>IF($L238="","",IF(INDEX(tblRegistros[Data],$L238)&gt;$D$4,"",IFERROR(IF(INDEX(tblRegistros[Status],$L238)="EM ABERTO","",INDEX(tblRegistros[Fim],$L238)),"")))</f>
        <v/>
      </c>
      <c r="F238" s="14" t="str">
        <f>IF($L238="","",IF(INDEX(tblRegistros[Data],$L238)&gt;$D$4,"",IFERROR(IF(INDEX(tblRegistros[Status],$L238)="EM ABERTO","",INDEX(tblRegistros[Horas],$L238)),"")))</f>
        <v/>
      </c>
      <c r="G238" t="str">
        <f>IF($L238="","",IF(INDEX(tblRegistros[Data],$L238)&gt;$D$4,"",IFERROR(INDEX(tblRegistros[Base],$L238),"")))</f>
        <v/>
      </c>
      <c r="H238" s="3" t="str">
        <f>IF($L238="","",IF(INDEX(tblRegistros[Data],$L238)&gt;$D$4,"",IFERROR(INDEX(tblRegistros[Taxa aplicada],$L238),"")))</f>
        <v/>
      </c>
      <c r="I238" s="3" t="str">
        <f>IF($L238="","",IF(INDEX(tblRegistros[Data],$L238)&gt;$D$4,"",IFERROR(IF(INDEX(tblRegistros[Status],$L238)="EM ABERTO","",INDEX(tblRegistros[Valor],$L238)),"")))</f>
        <v/>
      </c>
      <c r="J238" t="str">
        <f>IF($L238="","",IF(INDEX(tblRegistros[Data],$L238)&gt;$D$4,"",IFERROR(INDEX(tblRegistros[Status],$L238),"")))</f>
        <v/>
      </c>
      <c r="K238" t="str">
        <f>IF($L238="","",IF(INDEX(tblRegistros[Data],$L238)&gt;$D$4,"",IFERROR(INDEX(tblRegistros[Observação],$L238),"")))</f>
        <v/>
      </c>
      <c r="L238" s="16" t="str">
        <f>IFERROR(MATCH($B$3*100000+COUNTIFS(tblRegistros[ID],$B$3,tblRegistros[Data],"&lt;"&amp;$B$4)+ROWS($L$10:L238),tblRegistros[Chave do cartão],0),"")</f>
        <v/>
      </c>
    </row>
    <row r="239" spans="1:12">
      <c r="A239" s="2" t="str">
        <f>IF($L239="","",IF(INDEX(tblRegistros[Data],$L239)&gt;$D$4,"",IFERROR(INDEX(tblRegistros[Data],$L239),"")))</f>
        <v/>
      </c>
      <c r="B239" t="str">
        <f>IF($L239="","",IF(INDEX(tblRegistros[Data],$L239)&gt;$D$4,"",IFERROR(INDEX(tblRegistros[Projeto],$L239),"")))</f>
        <v/>
      </c>
      <c r="C239" t="str">
        <f>IF($L239="","",IF(INDEX(tblRegistros[Data],$L239)&gt;$D$4,"",IFERROR(INDEX(tblRegistros[Atividade],$L239),"")))</f>
        <v/>
      </c>
      <c r="D239" s="4" t="str">
        <f>IF($L239="","",IF(INDEX(tblRegistros[Data],$L239)&gt;$D$4,"",IFERROR(INDEX(tblRegistros[Início],$L239),"")))</f>
        <v/>
      </c>
      <c r="E239" s="4" t="str">
        <f>IF($L239="","",IF(INDEX(tblRegistros[Data],$L239)&gt;$D$4,"",IFERROR(IF(INDEX(tblRegistros[Status],$L239)="EM ABERTO","",INDEX(tblRegistros[Fim],$L239)),"")))</f>
        <v/>
      </c>
      <c r="F239" s="14" t="str">
        <f>IF($L239="","",IF(INDEX(tblRegistros[Data],$L239)&gt;$D$4,"",IFERROR(IF(INDEX(tblRegistros[Status],$L239)="EM ABERTO","",INDEX(tblRegistros[Horas],$L239)),"")))</f>
        <v/>
      </c>
      <c r="G239" t="str">
        <f>IF($L239="","",IF(INDEX(tblRegistros[Data],$L239)&gt;$D$4,"",IFERROR(INDEX(tblRegistros[Base],$L239),"")))</f>
        <v/>
      </c>
      <c r="H239" s="3" t="str">
        <f>IF($L239="","",IF(INDEX(tblRegistros[Data],$L239)&gt;$D$4,"",IFERROR(INDEX(tblRegistros[Taxa aplicada],$L239),"")))</f>
        <v/>
      </c>
      <c r="I239" s="3" t="str">
        <f>IF($L239="","",IF(INDEX(tblRegistros[Data],$L239)&gt;$D$4,"",IFERROR(IF(INDEX(tblRegistros[Status],$L239)="EM ABERTO","",INDEX(tblRegistros[Valor],$L239)),"")))</f>
        <v/>
      </c>
      <c r="J239" t="str">
        <f>IF($L239="","",IF(INDEX(tblRegistros[Data],$L239)&gt;$D$4,"",IFERROR(INDEX(tblRegistros[Status],$L239),"")))</f>
        <v/>
      </c>
      <c r="K239" t="str">
        <f>IF($L239="","",IF(INDEX(tblRegistros[Data],$L239)&gt;$D$4,"",IFERROR(INDEX(tblRegistros[Observação],$L239),"")))</f>
        <v/>
      </c>
      <c r="L239" s="16" t="str">
        <f>IFERROR(MATCH($B$3*100000+COUNTIFS(tblRegistros[ID],$B$3,tblRegistros[Data],"&lt;"&amp;$B$4)+ROWS($L$10:L239),tblRegistros[Chave do cartão],0),"")</f>
        <v/>
      </c>
    </row>
    <row r="240" spans="1:12">
      <c r="A240" s="2" t="str">
        <f>IF($L240="","",IF(INDEX(tblRegistros[Data],$L240)&gt;$D$4,"",IFERROR(INDEX(tblRegistros[Data],$L240),"")))</f>
        <v/>
      </c>
      <c r="B240" t="str">
        <f>IF($L240="","",IF(INDEX(tblRegistros[Data],$L240)&gt;$D$4,"",IFERROR(INDEX(tblRegistros[Projeto],$L240),"")))</f>
        <v/>
      </c>
      <c r="C240" t="str">
        <f>IF($L240="","",IF(INDEX(tblRegistros[Data],$L240)&gt;$D$4,"",IFERROR(INDEX(tblRegistros[Atividade],$L240),"")))</f>
        <v/>
      </c>
      <c r="D240" s="4" t="str">
        <f>IF($L240="","",IF(INDEX(tblRegistros[Data],$L240)&gt;$D$4,"",IFERROR(INDEX(tblRegistros[Início],$L240),"")))</f>
        <v/>
      </c>
      <c r="E240" s="4" t="str">
        <f>IF($L240="","",IF(INDEX(tblRegistros[Data],$L240)&gt;$D$4,"",IFERROR(IF(INDEX(tblRegistros[Status],$L240)="EM ABERTO","",INDEX(tblRegistros[Fim],$L240)),"")))</f>
        <v/>
      </c>
      <c r="F240" s="14" t="str">
        <f>IF($L240="","",IF(INDEX(tblRegistros[Data],$L240)&gt;$D$4,"",IFERROR(IF(INDEX(tblRegistros[Status],$L240)="EM ABERTO","",INDEX(tblRegistros[Horas],$L240)),"")))</f>
        <v/>
      </c>
      <c r="G240" t="str">
        <f>IF($L240="","",IF(INDEX(tblRegistros[Data],$L240)&gt;$D$4,"",IFERROR(INDEX(tblRegistros[Base],$L240),"")))</f>
        <v/>
      </c>
      <c r="H240" s="3" t="str">
        <f>IF($L240="","",IF(INDEX(tblRegistros[Data],$L240)&gt;$D$4,"",IFERROR(INDEX(tblRegistros[Taxa aplicada],$L240),"")))</f>
        <v/>
      </c>
      <c r="I240" s="3" t="str">
        <f>IF($L240="","",IF(INDEX(tblRegistros[Data],$L240)&gt;$D$4,"",IFERROR(IF(INDEX(tblRegistros[Status],$L240)="EM ABERTO","",INDEX(tblRegistros[Valor],$L240)),"")))</f>
        <v/>
      </c>
      <c r="J240" t="str">
        <f>IF($L240="","",IF(INDEX(tblRegistros[Data],$L240)&gt;$D$4,"",IFERROR(INDEX(tblRegistros[Status],$L240),"")))</f>
        <v/>
      </c>
      <c r="K240" t="str">
        <f>IF($L240="","",IF(INDEX(tblRegistros[Data],$L240)&gt;$D$4,"",IFERROR(INDEX(tblRegistros[Observação],$L240),"")))</f>
        <v/>
      </c>
      <c r="L240" s="16" t="str">
        <f>IFERROR(MATCH($B$3*100000+COUNTIFS(tblRegistros[ID],$B$3,tblRegistros[Data],"&lt;"&amp;$B$4)+ROWS($L$10:L240),tblRegistros[Chave do cartão],0),"")</f>
        <v/>
      </c>
    </row>
    <row r="241" spans="1:12">
      <c r="A241" s="2" t="str">
        <f>IF($L241="","",IF(INDEX(tblRegistros[Data],$L241)&gt;$D$4,"",IFERROR(INDEX(tblRegistros[Data],$L241),"")))</f>
        <v/>
      </c>
      <c r="B241" t="str">
        <f>IF($L241="","",IF(INDEX(tblRegistros[Data],$L241)&gt;$D$4,"",IFERROR(INDEX(tblRegistros[Projeto],$L241),"")))</f>
        <v/>
      </c>
      <c r="C241" t="str">
        <f>IF($L241="","",IF(INDEX(tblRegistros[Data],$L241)&gt;$D$4,"",IFERROR(INDEX(tblRegistros[Atividade],$L241),"")))</f>
        <v/>
      </c>
      <c r="D241" s="4" t="str">
        <f>IF($L241="","",IF(INDEX(tblRegistros[Data],$L241)&gt;$D$4,"",IFERROR(INDEX(tblRegistros[Início],$L241),"")))</f>
        <v/>
      </c>
      <c r="E241" s="4" t="str">
        <f>IF($L241="","",IF(INDEX(tblRegistros[Data],$L241)&gt;$D$4,"",IFERROR(IF(INDEX(tblRegistros[Status],$L241)="EM ABERTO","",INDEX(tblRegistros[Fim],$L241)),"")))</f>
        <v/>
      </c>
      <c r="F241" s="14" t="str">
        <f>IF($L241="","",IF(INDEX(tblRegistros[Data],$L241)&gt;$D$4,"",IFERROR(IF(INDEX(tblRegistros[Status],$L241)="EM ABERTO","",INDEX(tblRegistros[Horas],$L241)),"")))</f>
        <v/>
      </c>
      <c r="G241" t="str">
        <f>IF($L241="","",IF(INDEX(tblRegistros[Data],$L241)&gt;$D$4,"",IFERROR(INDEX(tblRegistros[Base],$L241),"")))</f>
        <v/>
      </c>
      <c r="H241" s="3" t="str">
        <f>IF($L241="","",IF(INDEX(tblRegistros[Data],$L241)&gt;$D$4,"",IFERROR(INDEX(tblRegistros[Taxa aplicada],$L241),"")))</f>
        <v/>
      </c>
      <c r="I241" s="3" t="str">
        <f>IF($L241="","",IF(INDEX(tblRegistros[Data],$L241)&gt;$D$4,"",IFERROR(IF(INDEX(tblRegistros[Status],$L241)="EM ABERTO","",INDEX(tblRegistros[Valor],$L241)),"")))</f>
        <v/>
      </c>
      <c r="J241" t="str">
        <f>IF($L241="","",IF(INDEX(tblRegistros[Data],$L241)&gt;$D$4,"",IFERROR(INDEX(tblRegistros[Status],$L241),"")))</f>
        <v/>
      </c>
      <c r="K241" t="str">
        <f>IF($L241="","",IF(INDEX(tblRegistros[Data],$L241)&gt;$D$4,"",IFERROR(INDEX(tblRegistros[Observação],$L241),"")))</f>
        <v/>
      </c>
      <c r="L241" s="16" t="str">
        <f>IFERROR(MATCH($B$3*100000+COUNTIFS(tblRegistros[ID],$B$3,tblRegistros[Data],"&lt;"&amp;$B$4)+ROWS($L$10:L241),tblRegistros[Chave do cartão],0),"")</f>
        <v/>
      </c>
    </row>
    <row r="242" spans="1:12">
      <c r="A242" s="2" t="str">
        <f>IF($L242="","",IF(INDEX(tblRegistros[Data],$L242)&gt;$D$4,"",IFERROR(INDEX(tblRegistros[Data],$L242),"")))</f>
        <v/>
      </c>
      <c r="B242" t="str">
        <f>IF($L242="","",IF(INDEX(tblRegistros[Data],$L242)&gt;$D$4,"",IFERROR(INDEX(tblRegistros[Projeto],$L242),"")))</f>
        <v/>
      </c>
      <c r="C242" t="str">
        <f>IF($L242="","",IF(INDEX(tblRegistros[Data],$L242)&gt;$D$4,"",IFERROR(INDEX(tblRegistros[Atividade],$L242),"")))</f>
        <v/>
      </c>
      <c r="D242" s="4" t="str">
        <f>IF($L242="","",IF(INDEX(tblRegistros[Data],$L242)&gt;$D$4,"",IFERROR(INDEX(tblRegistros[Início],$L242),"")))</f>
        <v/>
      </c>
      <c r="E242" s="4" t="str">
        <f>IF($L242="","",IF(INDEX(tblRegistros[Data],$L242)&gt;$D$4,"",IFERROR(IF(INDEX(tblRegistros[Status],$L242)="EM ABERTO","",INDEX(tblRegistros[Fim],$L242)),"")))</f>
        <v/>
      </c>
      <c r="F242" s="14" t="str">
        <f>IF($L242="","",IF(INDEX(tblRegistros[Data],$L242)&gt;$D$4,"",IFERROR(IF(INDEX(tblRegistros[Status],$L242)="EM ABERTO","",INDEX(tblRegistros[Horas],$L242)),"")))</f>
        <v/>
      </c>
      <c r="G242" t="str">
        <f>IF($L242="","",IF(INDEX(tblRegistros[Data],$L242)&gt;$D$4,"",IFERROR(INDEX(tblRegistros[Base],$L242),"")))</f>
        <v/>
      </c>
      <c r="H242" s="3" t="str">
        <f>IF($L242="","",IF(INDEX(tblRegistros[Data],$L242)&gt;$D$4,"",IFERROR(INDEX(tblRegistros[Taxa aplicada],$L242),"")))</f>
        <v/>
      </c>
      <c r="I242" s="3" t="str">
        <f>IF($L242="","",IF(INDEX(tblRegistros[Data],$L242)&gt;$D$4,"",IFERROR(IF(INDEX(tblRegistros[Status],$L242)="EM ABERTO","",INDEX(tblRegistros[Valor],$L242)),"")))</f>
        <v/>
      </c>
      <c r="J242" t="str">
        <f>IF($L242="","",IF(INDEX(tblRegistros[Data],$L242)&gt;$D$4,"",IFERROR(INDEX(tblRegistros[Status],$L242),"")))</f>
        <v/>
      </c>
      <c r="K242" t="str">
        <f>IF($L242="","",IF(INDEX(tblRegistros[Data],$L242)&gt;$D$4,"",IFERROR(INDEX(tblRegistros[Observação],$L242),"")))</f>
        <v/>
      </c>
      <c r="L242" s="16" t="str">
        <f>IFERROR(MATCH($B$3*100000+COUNTIFS(tblRegistros[ID],$B$3,tblRegistros[Data],"&lt;"&amp;$B$4)+ROWS($L$10:L242),tblRegistros[Chave do cartão],0),"")</f>
        <v/>
      </c>
    </row>
    <row r="243" spans="1:12">
      <c r="A243" s="2" t="str">
        <f>IF($L243="","",IF(INDEX(tblRegistros[Data],$L243)&gt;$D$4,"",IFERROR(INDEX(tblRegistros[Data],$L243),"")))</f>
        <v/>
      </c>
      <c r="B243" t="str">
        <f>IF($L243="","",IF(INDEX(tblRegistros[Data],$L243)&gt;$D$4,"",IFERROR(INDEX(tblRegistros[Projeto],$L243),"")))</f>
        <v/>
      </c>
      <c r="C243" t="str">
        <f>IF($L243="","",IF(INDEX(tblRegistros[Data],$L243)&gt;$D$4,"",IFERROR(INDEX(tblRegistros[Atividade],$L243),"")))</f>
        <v/>
      </c>
      <c r="D243" s="4" t="str">
        <f>IF($L243="","",IF(INDEX(tblRegistros[Data],$L243)&gt;$D$4,"",IFERROR(INDEX(tblRegistros[Início],$L243),"")))</f>
        <v/>
      </c>
      <c r="E243" s="4" t="str">
        <f>IF($L243="","",IF(INDEX(tblRegistros[Data],$L243)&gt;$D$4,"",IFERROR(IF(INDEX(tblRegistros[Status],$L243)="EM ABERTO","",INDEX(tblRegistros[Fim],$L243)),"")))</f>
        <v/>
      </c>
      <c r="F243" s="14" t="str">
        <f>IF($L243="","",IF(INDEX(tblRegistros[Data],$L243)&gt;$D$4,"",IFERROR(IF(INDEX(tblRegistros[Status],$L243)="EM ABERTO","",INDEX(tblRegistros[Horas],$L243)),"")))</f>
        <v/>
      </c>
      <c r="G243" t="str">
        <f>IF($L243="","",IF(INDEX(tblRegistros[Data],$L243)&gt;$D$4,"",IFERROR(INDEX(tblRegistros[Base],$L243),"")))</f>
        <v/>
      </c>
      <c r="H243" s="3" t="str">
        <f>IF($L243="","",IF(INDEX(tblRegistros[Data],$L243)&gt;$D$4,"",IFERROR(INDEX(tblRegistros[Taxa aplicada],$L243),"")))</f>
        <v/>
      </c>
      <c r="I243" s="3" t="str">
        <f>IF($L243="","",IF(INDEX(tblRegistros[Data],$L243)&gt;$D$4,"",IFERROR(IF(INDEX(tblRegistros[Status],$L243)="EM ABERTO","",INDEX(tblRegistros[Valor],$L243)),"")))</f>
        <v/>
      </c>
      <c r="J243" t="str">
        <f>IF($L243="","",IF(INDEX(tblRegistros[Data],$L243)&gt;$D$4,"",IFERROR(INDEX(tblRegistros[Status],$L243),"")))</f>
        <v/>
      </c>
      <c r="K243" t="str">
        <f>IF($L243="","",IF(INDEX(tblRegistros[Data],$L243)&gt;$D$4,"",IFERROR(INDEX(tblRegistros[Observação],$L243),"")))</f>
        <v/>
      </c>
      <c r="L243" s="16" t="str">
        <f>IFERROR(MATCH($B$3*100000+COUNTIFS(tblRegistros[ID],$B$3,tblRegistros[Data],"&lt;"&amp;$B$4)+ROWS($L$10:L243),tblRegistros[Chave do cartão],0),"")</f>
        <v/>
      </c>
    </row>
    <row r="244" spans="1:12">
      <c r="A244" s="2" t="str">
        <f>IF($L244="","",IF(INDEX(tblRegistros[Data],$L244)&gt;$D$4,"",IFERROR(INDEX(tblRegistros[Data],$L244),"")))</f>
        <v/>
      </c>
      <c r="B244" t="str">
        <f>IF($L244="","",IF(INDEX(tblRegistros[Data],$L244)&gt;$D$4,"",IFERROR(INDEX(tblRegistros[Projeto],$L244),"")))</f>
        <v/>
      </c>
      <c r="C244" t="str">
        <f>IF($L244="","",IF(INDEX(tblRegistros[Data],$L244)&gt;$D$4,"",IFERROR(INDEX(tblRegistros[Atividade],$L244),"")))</f>
        <v/>
      </c>
      <c r="D244" s="4" t="str">
        <f>IF($L244="","",IF(INDEX(tblRegistros[Data],$L244)&gt;$D$4,"",IFERROR(INDEX(tblRegistros[Início],$L244),"")))</f>
        <v/>
      </c>
      <c r="E244" s="4" t="str">
        <f>IF($L244="","",IF(INDEX(tblRegistros[Data],$L244)&gt;$D$4,"",IFERROR(IF(INDEX(tblRegistros[Status],$L244)="EM ABERTO","",INDEX(tblRegistros[Fim],$L244)),"")))</f>
        <v/>
      </c>
      <c r="F244" s="14" t="str">
        <f>IF($L244="","",IF(INDEX(tblRegistros[Data],$L244)&gt;$D$4,"",IFERROR(IF(INDEX(tblRegistros[Status],$L244)="EM ABERTO","",INDEX(tblRegistros[Horas],$L244)),"")))</f>
        <v/>
      </c>
      <c r="G244" t="str">
        <f>IF($L244="","",IF(INDEX(tblRegistros[Data],$L244)&gt;$D$4,"",IFERROR(INDEX(tblRegistros[Base],$L244),"")))</f>
        <v/>
      </c>
      <c r="H244" s="3" t="str">
        <f>IF($L244="","",IF(INDEX(tblRegistros[Data],$L244)&gt;$D$4,"",IFERROR(INDEX(tblRegistros[Taxa aplicada],$L244),"")))</f>
        <v/>
      </c>
      <c r="I244" s="3" t="str">
        <f>IF($L244="","",IF(INDEX(tblRegistros[Data],$L244)&gt;$D$4,"",IFERROR(IF(INDEX(tblRegistros[Status],$L244)="EM ABERTO","",INDEX(tblRegistros[Valor],$L244)),"")))</f>
        <v/>
      </c>
      <c r="J244" t="str">
        <f>IF($L244="","",IF(INDEX(tblRegistros[Data],$L244)&gt;$D$4,"",IFERROR(INDEX(tblRegistros[Status],$L244),"")))</f>
        <v/>
      </c>
      <c r="K244" t="str">
        <f>IF($L244="","",IF(INDEX(tblRegistros[Data],$L244)&gt;$D$4,"",IFERROR(INDEX(tblRegistros[Observação],$L244),"")))</f>
        <v/>
      </c>
      <c r="L244" s="16" t="str">
        <f>IFERROR(MATCH($B$3*100000+COUNTIFS(tblRegistros[ID],$B$3,tblRegistros[Data],"&lt;"&amp;$B$4)+ROWS($L$10:L244),tblRegistros[Chave do cartão],0),"")</f>
        <v/>
      </c>
    </row>
    <row r="245" spans="1:12">
      <c r="A245" s="2" t="str">
        <f>IF($L245="","",IF(INDEX(tblRegistros[Data],$L245)&gt;$D$4,"",IFERROR(INDEX(tblRegistros[Data],$L245),"")))</f>
        <v/>
      </c>
      <c r="B245" t="str">
        <f>IF($L245="","",IF(INDEX(tblRegistros[Data],$L245)&gt;$D$4,"",IFERROR(INDEX(tblRegistros[Projeto],$L245),"")))</f>
        <v/>
      </c>
      <c r="C245" t="str">
        <f>IF($L245="","",IF(INDEX(tblRegistros[Data],$L245)&gt;$D$4,"",IFERROR(INDEX(tblRegistros[Atividade],$L245),"")))</f>
        <v/>
      </c>
      <c r="D245" s="4" t="str">
        <f>IF($L245="","",IF(INDEX(tblRegistros[Data],$L245)&gt;$D$4,"",IFERROR(INDEX(tblRegistros[Início],$L245),"")))</f>
        <v/>
      </c>
      <c r="E245" s="4" t="str">
        <f>IF($L245="","",IF(INDEX(tblRegistros[Data],$L245)&gt;$D$4,"",IFERROR(IF(INDEX(tblRegistros[Status],$L245)="EM ABERTO","",INDEX(tblRegistros[Fim],$L245)),"")))</f>
        <v/>
      </c>
      <c r="F245" s="14" t="str">
        <f>IF($L245="","",IF(INDEX(tblRegistros[Data],$L245)&gt;$D$4,"",IFERROR(IF(INDEX(tblRegistros[Status],$L245)="EM ABERTO","",INDEX(tblRegistros[Horas],$L245)),"")))</f>
        <v/>
      </c>
      <c r="G245" t="str">
        <f>IF($L245="","",IF(INDEX(tblRegistros[Data],$L245)&gt;$D$4,"",IFERROR(INDEX(tblRegistros[Base],$L245),"")))</f>
        <v/>
      </c>
      <c r="H245" s="3" t="str">
        <f>IF($L245="","",IF(INDEX(tblRegistros[Data],$L245)&gt;$D$4,"",IFERROR(INDEX(tblRegistros[Taxa aplicada],$L245),"")))</f>
        <v/>
      </c>
      <c r="I245" s="3" t="str">
        <f>IF($L245="","",IF(INDEX(tblRegistros[Data],$L245)&gt;$D$4,"",IFERROR(IF(INDEX(tblRegistros[Status],$L245)="EM ABERTO","",INDEX(tblRegistros[Valor],$L245)),"")))</f>
        <v/>
      </c>
      <c r="J245" t="str">
        <f>IF($L245="","",IF(INDEX(tblRegistros[Data],$L245)&gt;$D$4,"",IFERROR(INDEX(tblRegistros[Status],$L245),"")))</f>
        <v/>
      </c>
      <c r="K245" t="str">
        <f>IF($L245="","",IF(INDEX(tblRegistros[Data],$L245)&gt;$D$4,"",IFERROR(INDEX(tblRegistros[Observação],$L245),"")))</f>
        <v/>
      </c>
      <c r="L245" s="16" t="str">
        <f>IFERROR(MATCH($B$3*100000+COUNTIFS(tblRegistros[ID],$B$3,tblRegistros[Data],"&lt;"&amp;$B$4)+ROWS($L$10:L245),tblRegistros[Chave do cartão],0),"")</f>
        <v/>
      </c>
    </row>
    <row r="246" spans="1:12">
      <c r="A246" s="2" t="str">
        <f>IF($L246="","",IF(INDEX(tblRegistros[Data],$L246)&gt;$D$4,"",IFERROR(INDEX(tblRegistros[Data],$L246),"")))</f>
        <v/>
      </c>
      <c r="B246" t="str">
        <f>IF($L246="","",IF(INDEX(tblRegistros[Data],$L246)&gt;$D$4,"",IFERROR(INDEX(tblRegistros[Projeto],$L246),"")))</f>
        <v/>
      </c>
      <c r="C246" t="str">
        <f>IF($L246="","",IF(INDEX(tblRegistros[Data],$L246)&gt;$D$4,"",IFERROR(INDEX(tblRegistros[Atividade],$L246),"")))</f>
        <v/>
      </c>
      <c r="D246" s="4" t="str">
        <f>IF($L246="","",IF(INDEX(tblRegistros[Data],$L246)&gt;$D$4,"",IFERROR(INDEX(tblRegistros[Início],$L246),"")))</f>
        <v/>
      </c>
      <c r="E246" s="4" t="str">
        <f>IF($L246="","",IF(INDEX(tblRegistros[Data],$L246)&gt;$D$4,"",IFERROR(IF(INDEX(tblRegistros[Status],$L246)="EM ABERTO","",INDEX(tblRegistros[Fim],$L246)),"")))</f>
        <v/>
      </c>
      <c r="F246" s="14" t="str">
        <f>IF($L246="","",IF(INDEX(tblRegistros[Data],$L246)&gt;$D$4,"",IFERROR(IF(INDEX(tblRegistros[Status],$L246)="EM ABERTO","",INDEX(tblRegistros[Horas],$L246)),"")))</f>
        <v/>
      </c>
      <c r="G246" t="str">
        <f>IF($L246="","",IF(INDEX(tblRegistros[Data],$L246)&gt;$D$4,"",IFERROR(INDEX(tblRegistros[Base],$L246),"")))</f>
        <v/>
      </c>
      <c r="H246" s="3" t="str">
        <f>IF($L246="","",IF(INDEX(tblRegistros[Data],$L246)&gt;$D$4,"",IFERROR(INDEX(tblRegistros[Taxa aplicada],$L246),"")))</f>
        <v/>
      </c>
      <c r="I246" s="3" t="str">
        <f>IF($L246="","",IF(INDEX(tblRegistros[Data],$L246)&gt;$D$4,"",IFERROR(IF(INDEX(tblRegistros[Status],$L246)="EM ABERTO","",INDEX(tblRegistros[Valor],$L246)),"")))</f>
        <v/>
      </c>
      <c r="J246" t="str">
        <f>IF($L246="","",IF(INDEX(tblRegistros[Data],$L246)&gt;$D$4,"",IFERROR(INDEX(tblRegistros[Status],$L246),"")))</f>
        <v/>
      </c>
      <c r="K246" t="str">
        <f>IF($L246="","",IF(INDEX(tblRegistros[Data],$L246)&gt;$D$4,"",IFERROR(INDEX(tblRegistros[Observação],$L246),"")))</f>
        <v/>
      </c>
      <c r="L246" s="16" t="str">
        <f>IFERROR(MATCH($B$3*100000+COUNTIFS(tblRegistros[ID],$B$3,tblRegistros[Data],"&lt;"&amp;$B$4)+ROWS($L$10:L246),tblRegistros[Chave do cartão],0),"")</f>
        <v/>
      </c>
    </row>
    <row r="247" spans="1:12">
      <c r="A247" s="2" t="str">
        <f>IF($L247="","",IF(INDEX(tblRegistros[Data],$L247)&gt;$D$4,"",IFERROR(INDEX(tblRegistros[Data],$L247),"")))</f>
        <v/>
      </c>
      <c r="B247" t="str">
        <f>IF($L247="","",IF(INDEX(tblRegistros[Data],$L247)&gt;$D$4,"",IFERROR(INDEX(tblRegistros[Projeto],$L247),"")))</f>
        <v/>
      </c>
      <c r="C247" t="str">
        <f>IF($L247="","",IF(INDEX(tblRegistros[Data],$L247)&gt;$D$4,"",IFERROR(INDEX(tblRegistros[Atividade],$L247),"")))</f>
        <v/>
      </c>
      <c r="D247" s="4" t="str">
        <f>IF($L247="","",IF(INDEX(tblRegistros[Data],$L247)&gt;$D$4,"",IFERROR(INDEX(tblRegistros[Início],$L247),"")))</f>
        <v/>
      </c>
      <c r="E247" s="4" t="str">
        <f>IF($L247="","",IF(INDEX(tblRegistros[Data],$L247)&gt;$D$4,"",IFERROR(IF(INDEX(tblRegistros[Status],$L247)="EM ABERTO","",INDEX(tblRegistros[Fim],$L247)),"")))</f>
        <v/>
      </c>
      <c r="F247" s="14" t="str">
        <f>IF($L247="","",IF(INDEX(tblRegistros[Data],$L247)&gt;$D$4,"",IFERROR(IF(INDEX(tblRegistros[Status],$L247)="EM ABERTO","",INDEX(tblRegistros[Horas],$L247)),"")))</f>
        <v/>
      </c>
      <c r="G247" t="str">
        <f>IF($L247="","",IF(INDEX(tblRegistros[Data],$L247)&gt;$D$4,"",IFERROR(INDEX(tblRegistros[Base],$L247),"")))</f>
        <v/>
      </c>
      <c r="H247" s="3" t="str">
        <f>IF($L247="","",IF(INDEX(tblRegistros[Data],$L247)&gt;$D$4,"",IFERROR(INDEX(tblRegistros[Taxa aplicada],$L247),"")))</f>
        <v/>
      </c>
      <c r="I247" s="3" t="str">
        <f>IF($L247="","",IF(INDEX(tblRegistros[Data],$L247)&gt;$D$4,"",IFERROR(IF(INDEX(tblRegistros[Status],$L247)="EM ABERTO","",INDEX(tblRegistros[Valor],$L247)),"")))</f>
        <v/>
      </c>
      <c r="J247" t="str">
        <f>IF($L247="","",IF(INDEX(tblRegistros[Data],$L247)&gt;$D$4,"",IFERROR(INDEX(tblRegistros[Status],$L247),"")))</f>
        <v/>
      </c>
      <c r="K247" t="str">
        <f>IF($L247="","",IF(INDEX(tblRegistros[Data],$L247)&gt;$D$4,"",IFERROR(INDEX(tblRegistros[Observação],$L247),"")))</f>
        <v/>
      </c>
      <c r="L247" s="16" t="str">
        <f>IFERROR(MATCH($B$3*100000+COUNTIFS(tblRegistros[ID],$B$3,tblRegistros[Data],"&lt;"&amp;$B$4)+ROWS($L$10:L247),tblRegistros[Chave do cartão],0),"")</f>
        <v/>
      </c>
    </row>
    <row r="248" spans="1:12">
      <c r="A248" s="2" t="str">
        <f>IF($L248="","",IF(INDEX(tblRegistros[Data],$L248)&gt;$D$4,"",IFERROR(INDEX(tblRegistros[Data],$L248),"")))</f>
        <v/>
      </c>
      <c r="B248" t="str">
        <f>IF($L248="","",IF(INDEX(tblRegistros[Data],$L248)&gt;$D$4,"",IFERROR(INDEX(tblRegistros[Projeto],$L248),"")))</f>
        <v/>
      </c>
      <c r="C248" t="str">
        <f>IF($L248="","",IF(INDEX(tblRegistros[Data],$L248)&gt;$D$4,"",IFERROR(INDEX(tblRegistros[Atividade],$L248),"")))</f>
        <v/>
      </c>
      <c r="D248" s="4" t="str">
        <f>IF($L248="","",IF(INDEX(tblRegistros[Data],$L248)&gt;$D$4,"",IFERROR(INDEX(tblRegistros[Início],$L248),"")))</f>
        <v/>
      </c>
      <c r="E248" s="4" t="str">
        <f>IF($L248="","",IF(INDEX(tblRegistros[Data],$L248)&gt;$D$4,"",IFERROR(IF(INDEX(tblRegistros[Status],$L248)="EM ABERTO","",INDEX(tblRegistros[Fim],$L248)),"")))</f>
        <v/>
      </c>
      <c r="F248" s="14" t="str">
        <f>IF($L248="","",IF(INDEX(tblRegistros[Data],$L248)&gt;$D$4,"",IFERROR(IF(INDEX(tblRegistros[Status],$L248)="EM ABERTO","",INDEX(tblRegistros[Horas],$L248)),"")))</f>
        <v/>
      </c>
      <c r="G248" t="str">
        <f>IF($L248="","",IF(INDEX(tblRegistros[Data],$L248)&gt;$D$4,"",IFERROR(INDEX(tblRegistros[Base],$L248),"")))</f>
        <v/>
      </c>
      <c r="H248" s="3" t="str">
        <f>IF($L248="","",IF(INDEX(tblRegistros[Data],$L248)&gt;$D$4,"",IFERROR(INDEX(tblRegistros[Taxa aplicada],$L248),"")))</f>
        <v/>
      </c>
      <c r="I248" s="3" t="str">
        <f>IF($L248="","",IF(INDEX(tblRegistros[Data],$L248)&gt;$D$4,"",IFERROR(IF(INDEX(tblRegistros[Status],$L248)="EM ABERTO","",INDEX(tblRegistros[Valor],$L248)),"")))</f>
        <v/>
      </c>
      <c r="J248" t="str">
        <f>IF($L248="","",IF(INDEX(tblRegistros[Data],$L248)&gt;$D$4,"",IFERROR(INDEX(tblRegistros[Status],$L248),"")))</f>
        <v/>
      </c>
      <c r="K248" t="str">
        <f>IF($L248="","",IF(INDEX(tblRegistros[Data],$L248)&gt;$D$4,"",IFERROR(INDEX(tblRegistros[Observação],$L248),"")))</f>
        <v/>
      </c>
      <c r="L248" s="16" t="str">
        <f>IFERROR(MATCH($B$3*100000+COUNTIFS(tblRegistros[ID],$B$3,tblRegistros[Data],"&lt;"&amp;$B$4)+ROWS($L$10:L248),tblRegistros[Chave do cartão],0),"")</f>
        <v/>
      </c>
    </row>
    <row r="249" spans="1:12">
      <c r="A249" s="2" t="str">
        <f>IF($L249="","",IF(INDEX(tblRegistros[Data],$L249)&gt;$D$4,"",IFERROR(INDEX(tblRegistros[Data],$L249),"")))</f>
        <v/>
      </c>
      <c r="B249" t="str">
        <f>IF($L249="","",IF(INDEX(tblRegistros[Data],$L249)&gt;$D$4,"",IFERROR(INDEX(tblRegistros[Projeto],$L249),"")))</f>
        <v/>
      </c>
      <c r="C249" t="str">
        <f>IF($L249="","",IF(INDEX(tblRegistros[Data],$L249)&gt;$D$4,"",IFERROR(INDEX(tblRegistros[Atividade],$L249),"")))</f>
        <v/>
      </c>
      <c r="D249" s="4" t="str">
        <f>IF($L249="","",IF(INDEX(tblRegistros[Data],$L249)&gt;$D$4,"",IFERROR(INDEX(tblRegistros[Início],$L249),"")))</f>
        <v/>
      </c>
      <c r="E249" s="4" t="str">
        <f>IF($L249="","",IF(INDEX(tblRegistros[Data],$L249)&gt;$D$4,"",IFERROR(IF(INDEX(tblRegistros[Status],$L249)="EM ABERTO","",INDEX(tblRegistros[Fim],$L249)),"")))</f>
        <v/>
      </c>
      <c r="F249" s="14" t="str">
        <f>IF($L249="","",IF(INDEX(tblRegistros[Data],$L249)&gt;$D$4,"",IFERROR(IF(INDEX(tblRegistros[Status],$L249)="EM ABERTO","",INDEX(tblRegistros[Horas],$L249)),"")))</f>
        <v/>
      </c>
      <c r="G249" t="str">
        <f>IF($L249="","",IF(INDEX(tblRegistros[Data],$L249)&gt;$D$4,"",IFERROR(INDEX(tblRegistros[Base],$L249),"")))</f>
        <v/>
      </c>
      <c r="H249" s="3" t="str">
        <f>IF($L249="","",IF(INDEX(tblRegistros[Data],$L249)&gt;$D$4,"",IFERROR(INDEX(tblRegistros[Taxa aplicada],$L249),"")))</f>
        <v/>
      </c>
      <c r="I249" s="3" t="str">
        <f>IF($L249="","",IF(INDEX(tblRegistros[Data],$L249)&gt;$D$4,"",IFERROR(IF(INDEX(tblRegistros[Status],$L249)="EM ABERTO","",INDEX(tblRegistros[Valor],$L249)),"")))</f>
        <v/>
      </c>
      <c r="J249" t="str">
        <f>IF($L249="","",IF(INDEX(tblRegistros[Data],$L249)&gt;$D$4,"",IFERROR(INDEX(tblRegistros[Status],$L249),"")))</f>
        <v/>
      </c>
      <c r="K249" t="str">
        <f>IF($L249="","",IF(INDEX(tblRegistros[Data],$L249)&gt;$D$4,"",IFERROR(INDEX(tblRegistros[Observação],$L249),"")))</f>
        <v/>
      </c>
      <c r="L249" s="16" t="str">
        <f>IFERROR(MATCH($B$3*100000+COUNTIFS(tblRegistros[ID],$B$3,tblRegistros[Data],"&lt;"&amp;$B$4)+ROWS($L$10:L249),tblRegistros[Chave do cartão],0),"")</f>
        <v/>
      </c>
    </row>
    <row r="250" spans="1:12">
      <c r="A250" s="2" t="str">
        <f>IF($L250="","",IF(INDEX(tblRegistros[Data],$L250)&gt;$D$4,"",IFERROR(INDEX(tblRegistros[Data],$L250),"")))</f>
        <v/>
      </c>
      <c r="B250" t="str">
        <f>IF($L250="","",IF(INDEX(tblRegistros[Data],$L250)&gt;$D$4,"",IFERROR(INDEX(tblRegistros[Projeto],$L250),"")))</f>
        <v/>
      </c>
      <c r="C250" t="str">
        <f>IF($L250="","",IF(INDEX(tblRegistros[Data],$L250)&gt;$D$4,"",IFERROR(INDEX(tblRegistros[Atividade],$L250),"")))</f>
        <v/>
      </c>
      <c r="D250" s="4" t="str">
        <f>IF($L250="","",IF(INDEX(tblRegistros[Data],$L250)&gt;$D$4,"",IFERROR(INDEX(tblRegistros[Início],$L250),"")))</f>
        <v/>
      </c>
      <c r="E250" s="4" t="str">
        <f>IF($L250="","",IF(INDEX(tblRegistros[Data],$L250)&gt;$D$4,"",IFERROR(IF(INDEX(tblRegistros[Status],$L250)="EM ABERTO","",INDEX(tblRegistros[Fim],$L250)),"")))</f>
        <v/>
      </c>
      <c r="F250" s="14" t="str">
        <f>IF($L250="","",IF(INDEX(tblRegistros[Data],$L250)&gt;$D$4,"",IFERROR(IF(INDEX(tblRegistros[Status],$L250)="EM ABERTO","",INDEX(tblRegistros[Horas],$L250)),"")))</f>
        <v/>
      </c>
      <c r="G250" t="str">
        <f>IF($L250="","",IF(INDEX(tblRegistros[Data],$L250)&gt;$D$4,"",IFERROR(INDEX(tblRegistros[Base],$L250),"")))</f>
        <v/>
      </c>
      <c r="H250" s="3" t="str">
        <f>IF($L250="","",IF(INDEX(tblRegistros[Data],$L250)&gt;$D$4,"",IFERROR(INDEX(tblRegistros[Taxa aplicada],$L250),"")))</f>
        <v/>
      </c>
      <c r="I250" s="3" t="str">
        <f>IF($L250="","",IF(INDEX(tblRegistros[Data],$L250)&gt;$D$4,"",IFERROR(IF(INDEX(tblRegistros[Status],$L250)="EM ABERTO","",INDEX(tblRegistros[Valor],$L250)),"")))</f>
        <v/>
      </c>
      <c r="J250" t="str">
        <f>IF($L250="","",IF(INDEX(tblRegistros[Data],$L250)&gt;$D$4,"",IFERROR(INDEX(tblRegistros[Status],$L250),"")))</f>
        <v/>
      </c>
      <c r="K250" t="str">
        <f>IF($L250="","",IF(INDEX(tblRegistros[Data],$L250)&gt;$D$4,"",IFERROR(INDEX(tblRegistros[Observação],$L250),"")))</f>
        <v/>
      </c>
      <c r="L250" s="16" t="str">
        <f>IFERROR(MATCH($B$3*100000+COUNTIFS(tblRegistros[ID],$B$3,tblRegistros[Data],"&lt;"&amp;$B$4)+ROWS($L$10:L250),tblRegistros[Chave do cartão],0),"")</f>
        <v/>
      </c>
    </row>
    <row r="251" spans="1:12">
      <c r="A251" s="2" t="str">
        <f>IF($L251="","",IF(INDEX(tblRegistros[Data],$L251)&gt;$D$4,"",IFERROR(INDEX(tblRegistros[Data],$L251),"")))</f>
        <v/>
      </c>
      <c r="B251" t="str">
        <f>IF($L251="","",IF(INDEX(tblRegistros[Data],$L251)&gt;$D$4,"",IFERROR(INDEX(tblRegistros[Projeto],$L251),"")))</f>
        <v/>
      </c>
      <c r="C251" t="str">
        <f>IF($L251="","",IF(INDEX(tblRegistros[Data],$L251)&gt;$D$4,"",IFERROR(INDEX(tblRegistros[Atividade],$L251),"")))</f>
        <v/>
      </c>
      <c r="D251" s="4" t="str">
        <f>IF($L251="","",IF(INDEX(tblRegistros[Data],$L251)&gt;$D$4,"",IFERROR(INDEX(tblRegistros[Início],$L251),"")))</f>
        <v/>
      </c>
      <c r="E251" s="4" t="str">
        <f>IF($L251="","",IF(INDEX(tblRegistros[Data],$L251)&gt;$D$4,"",IFERROR(IF(INDEX(tblRegistros[Status],$L251)="EM ABERTO","",INDEX(tblRegistros[Fim],$L251)),"")))</f>
        <v/>
      </c>
      <c r="F251" s="14" t="str">
        <f>IF($L251="","",IF(INDEX(tblRegistros[Data],$L251)&gt;$D$4,"",IFERROR(IF(INDEX(tblRegistros[Status],$L251)="EM ABERTO","",INDEX(tblRegistros[Horas],$L251)),"")))</f>
        <v/>
      </c>
      <c r="G251" t="str">
        <f>IF($L251="","",IF(INDEX(tblRegistros[Data],$L251)&gt;$D$4,"",IFERROR(INDEX(tblRegistros[Base],$L251),"")))</f>
        <v/>
      </c>
      <c r="H251" s="3" t="str">
        <f>IF($L251="","",IF(INDEX(tblRegistros[Data],$L251)&gt;$D$4,"",IFERROR(INDEX(tblRegistros[Taxa aplicada],$L251),"")))</f>
        <v/>
      </c>
      <c r="I251" s="3" t="str">
        <f>IF($L251="","",IF(INDEX(tblRegistros[Data],$L251)&gt;$D$4,"",IFERROR(IF(INDEX(tblRegistros[Status],$L251)="EM ABERTO","",INDEX(tblRegistros[Valor],$L251)),"")))</f>
        <v/>
      </c>
      <c r="J251" t="str">
        <f>IF($L251="","",IF(INDEX(tblRegistros[Data],$L251)&gt;$D$4,"",IFERROR(INDEX(tblRegistros[Status],$L251),"")))</f>
        <v/>
      </c>
      <c r="K251" t="str">
        <f>IF($L251="","",IF(INDEX(tblRegistros[Data],$L251)&gt;$D$4,"",IFERROR(INDEX(tblRegistros[Observação],$L251),"")))</f>
        <v/>
      </c>
      <c r="L251" s="16" t="str">
        <f>IFERROR(MATCH($B$3*100000+COUNTIFS(tblRegistros[ID],$B$3,tblRegistros[Data],"&lt;"&amp;$B$4)+ROWS($L$10:L251),tblRegistros[Chave do cartão],0),"")</f>
        <v/>
      </c>
    </row>
    <row r="252" spans="1:12">
      <c r="A252" s="2" t="str">
        <f>IF($L252="","",IF(INDEX(tblRegistros[Data],$L252)&gt;$D$4,"",IFERROR(INDEX(tblRegistros[Data],$L252),"")))</f>
        <v/>
      </c>
      <c r="B252" t="str">
        <f>IF($L252="","",IF(INDEX(tblRegistros[Data],$L252)&gt;$D$4,"",IFERROR(INDEX(tblRegistros[Projeto],$L252),"")))</f>
        <v/>
      </c>
      <c r="C252" t="str">
        <f>IF($L252="","",IF(INDEX(tblRegistros[Data],$L252)&gt;$D$4,"",IFERROR(INDEX(tblRegistros[Atividade],$L252),"")))</f>
        <v/>
      </c>
      <c r="D252" s="4" t="str">
        <f>IF($L252="","",IF(INDEX(tblRegistros[Data],$L252)&gt;$D$4,"",IFERROR(INDEX(tblRegistros[Início],$L252),"")))</f>
        <v/>
      </c>
      <c r="E252" s="4" t="str">
        <f>IF($L252="","",IF(INDEX(tblRegistros[Data],$L252)&gt;$D$4,"",IFERROR(IF(INDEX(tblRegistros[Status],$L252)="EM ABERTO","",INDEX(tblRegistros[Fim],$L252)),"")))</f>
        <v/>
      </c>
      <c r="F252" s="14" t="str">
        <f>IF($L252="","",IF(INDEX(tblRegistros[Data],$L252)&gt;$D$4,"",IFERROR(IF(INDEX(tblRegistros[Status],$L252)="EM ABERTO","",INDEX(tblRegistros[Horas],$L252)),"")))</f>
        <v/>
      </c>
      <c r="G252" t="str">
        <f>IF($L252="","",IF(INDEX(tblRegistros[Data],$L252)&gt;$D$4,"",IFERROR(INDEX(tblRegistros[Base],$L252),"")))</f>
        <v/>
      </c>
      <c r="H252" s="3" t="str">
        <f>IF($L252="","",IF(INDEX(tblRegistros[Data],$L252)&gt;$D$4,"",IFERROR(INDEX(tblRegistros[Taxa aplicada],$L252),"")))</f>
        <v/>
      </c>
      <c r="I252" s="3" t="str">
        <f>IF($L252="","",IF(INDEX(tblRegistros[Data],$L252)&gt;$D$4,"",IFERROR(IF(INDEX(tblRegistros[Status],$L252)="EM ABERTO","",INDEX(tblRegistros[Valor],$L252)),"")))</f>
        <v/>
      </c>
      <c r="J252" t="str">
        <f>IF($L252="","",IF(INDEX(tblRegistros[Data],$L252)&gt;$D$4,"",IFERROR(INDEX(tblRegistros[Status],$L252),"")))</f>
        <v/>
      </c>
      <c r="K252" t="str">
        <f>IF($L252="","",IF(INDEX(tblRegistros[Data],$L252)&gt;$D$4,"",IFERROR(INDEX(tblRegistros[Observação],$L252),"")))</f>
        <v/>
      </c>
      <c r="L252" s="16" t="str">
        <f>IFERROR(MATCH($B$3*100000+COUNTIFS(tblRegistros[ID],$B$3,tblRegistros[Data],"&lt;"&amp;$B$4)+ROWS($L$10:L252),tblRegistros[Chave do cartão],0),"")</f>
        <v/>
      </c>
    </row>
    <row r="253" spans="1:12">
      <c r="A253" s="2" t="str">
        <f>IF($L253="","",IF(INDEX(tblRegistros[Data],$L253)&gt;$D$4,"",IFERROR(INDEX(tblRegistros[Data],$L253),"")))</f>
        <v/>
      </c>
      <c r="B253" t="str">
        <f>IF($L253="","",IF(INDEX(tblRegistros[Data],$L253)&gt;$D$4,"",IFERROR(INDEX(tblRegistros[Projeto],$L253),"")))</f>
        <v/>
      </c>
      <c r="C253" t="str">
        <f>IF($L253="","",IF(INDEX(tblRegistros[Data],$L253)&gt;$D$4,"",IFERROR(INDEX(tblRegistros[Atividade],$L253),"")))</f>
        <v/>
      </c>
      <c r="D253" s="4" t="str">
        <f>IF($L253="","",IF(INDEX(tblRegistros[Data],$L253)&gt;$D$4,"",IFERROR(INDEX(tblRegistros[Início],$L253),"")))</f>
        <v/>
      </c>
      <c r="E253" s="4" t="str">
        <f>IF($L253="","",IF(INDEX(tblRegistros[Data],$L253)&gt;$D$4,"",IFERROR(IF(INDEX(tblRegistros[Status],$L253)="EM ABERTO","",INDEX(tblRegistros[Fim],$L253)),"")))</f>
        <v/>
      </c>
      <c r="F253" s="14" t="str">
        <f>IF($L253="","",IF(INDEX(tblRegistros[Data],$L253)&gt;$D$4,"",IFERROR(IF(INDEX(tblRegistros[Status],$L253)="EM ABERTO","",INDEX(tblRegistros[Horas],$L253)),"")))</f>
        <v/>
      </c>
      <c r="G253" t="str">
        <f>IF($L253="","",IF(INDEX(tblRegistros[Data],$L253)&gt;$D$4,"",IFERROR(INDEX(tblRegistros[Base],$L253),"")))</f>
        <v/>
      </c>
      <c r="H253" s="3" t="str">
        <f>IF($L253="","",IF(INDEX(tblRegistros[Data],$L253)&gt;$D$4,"",IFERROR(INDEX(tblRegistros[Taxa aplicada],$L253),"")))</f>
        <v/>
      </c>
      <c r="I253" s="3" t="str">
        <f>IF($L253="","",IF(INDEX(tblRegistros[Data],$L253)&gt;$D$4,"",IFERROR(IF(INDEX(tblRegistros[Status],$L253)="EM ABERTO","",INDEX(tblRegistros[Valor],$L253)),"")))</f>
        <v/>
      </c>
      <c r="J253" t="str">
        <f>IF($L253="","",IF(INDEX(tblRegistros[Data],$L253)&gt;$D$4,"",IFERROR(INDEX(tblRegistros[Status],$L253),"")))</f>
        <v/>
      </c>
      <c r="K253" t="str">
        <f>IF($L253="","",IF(INDEX(tblRegistros[Data],$L253)&gt;$D$4,"",IFERROR(INDEX(tblRegistros[Observação],$L253),"")))</f>
        <v/>
      </c>
      <c r="L253" s="16" t="str">
        <f>IFERROR(MATCH($B$3*100000+COUNTIFS(tblRegistros[ID],$B$3,tblRegistros[Data],"&lt;"&amp;$B$4)+ROWS($L$10:L253),tblRegistros[Chave do cartão],0),"")</f>
        <v/>
      </c>
    </row>
    <row r="254" spans="1:12">
      <c r="A254" s="2" t="str">
        <f>IF($L254="","",IF(INDEX(tblRegistros[Data],$L254)&gt;$D$4,"",IFERROR(INDEX(tblRegistros[Data],$L254),"")))</f>
        <v/>
      </c>
      <c r="B254" t="str">
        <f>IF($L254="","",IF(INDEX(tblRegistros[Data],$L254)&gt;$D$4,"",IFERROR(INDEX(tblRegistros[Projeto],$L254),"")))</f>
        <v/>
      </c>
      <c r="C254" t="str">
        <f>IF($L254="","",IF(INDEX(tblRegistros[Data],$L254)&gt;$D$4,"",IFERROR(INDEX(tblRegistros[Atividade],$L254),"")))</f>
        <v/>
      </c>
      <c r="D254" s="4" t="str">
        <f>IF($L254="","",IF(INDEX(tblRegistros[Data],$L254)&gt;$D$4,"",IFERROR(INDEX(tblRegistros[Início],$L254),"")))</f>
        <v/>
      </c>
      <c r="E254" s="4" t="str">
        <f>IF($L254="","",IF(INDEX(tblRegistros[Data],$L254)&gt;$D$4,"",IFERROR(IF(INDEX(tblRegistros[Status],$L254)="EM ABERTO","",INDEX(tblRegistros[Fim],$L254)),"")))</f>
        <v/>
      </c>
      <c r="F254" s="14" t="str">
        <f>IF($L254="","",IF(INDEX(tblRegistros[Data],$L254)&gt;$D$4,"",IFERROR(IF(INDEX(tblRegistros[Status],$L254)="EM ABERTO","",INDEX(tblRegistros[Horas],$L254)),"")))</f>
        <v/>
      </c>
      <c r="G254" t="str">
        <f>IF($L254="","",IF(INDEX(tblRegistros[Data],$L254)&gt;$D$4,"",IFERROR(INDEX(tblRegistros[Base],$L254),"")))</f>
        <v/>
      </c>
      <c r="H254" s="3" t="str">
        <f>IF($L254="","",IF(INDEX(tblRegistros[Data],$L254)&gt;$D$4,"",IFERROR(INDEX(tblRegistros[Taxa aplicada],$L254),"")))</f>
        <v/>
      </c>
      <c r="I254" s="3" t="str">
        <f>IF($L254="","",IF(INDEX(tblRegistros[Data],$L254)&gt;$D$4,"",IFERROR(IF(INDEX(tblRegistros[Status],$L254)="EM ABERTO","",INDEX(tblRegistros[Valor],$L254)),"")))</f>
        <v/>
      </c>
      <c r="J254" t="str">
        <f>IF($L254="","",IF(INDEX(tblRegistros[Data],$L254)&gt;$D$4,"",IFERROR(INDEX(tblRegistros[Status],$L254),"")))</f>
        <v/>
      </c>
      <c r="K254" t="str">
        <f>IF($L254="","",IF(INDEX(tblRegistros[Data],$L254)&gt;$D$4,"",IFERROR(INDEX(tblRegistros[Observação],$L254),"")))</f>
        <v/>
      </c>
      <c r="L254" s="16" t="str">
        <f>IFERROR(MATCH($B$3*100000+COUNTIFS(tblRegistros[ID],$B$3,tblRegistros[Data],"&lt;"&amp;$B$4)+ROWS($L$10:L254),tblRegistros[Chave do cartão],0),"")</f>
        <v/>
      </c>
    </row>
    <row r="255" spans="1:12">
      <c r="A255" s="2" t="str">
        <f>IF($L255="","",IF(INDEX(tblRegistros[Data],$L255)&gt;$D$4,"",IFERROR(INDEX(tblRegistros[Data],$L255),"")))</f>
        <v/>
      </c>
      <c r="B255" t="str">
        <f>IF($L255="","",IF(INDEX(tblRegistros[Data],$L255)&gt;$D$4,"",IFERROR(INDEX(tblRegistros[Projeto],$L255),"")))</f>
        <v/>
      </c>
      <c r="C255" t="str">
        <f>IF($L255="","",IF(INDEX(tblRegistros[Data],$L255)&gt;$D$4,"",IFERROR(INDEX(tblRegistros[Atividade],$L255),"")))</f>
        <v/>
      </c>
      <c r="D255" s="4" t="str">
        <f>IF($L255="","",IF(INDEX(tblRegistros[Data],$L255)&gt;$D$4,"",IFERROR(INDEX(tblRegistros[Início],$L255),"")))</f>
        <v/>
      </c>
      <c r="E255" s="4" t="str">
        <f>IF($L255="","",IF(INDEX(tblRegistros[Data],$L255)&gt;$D$4,"",IFERROR(IF(INDEX(tblRegistros[Status],$L255)="EM ABERTO","",INDEX(tblRegistros[Fim],$L255)),"")))</f>
        <v/>
      </c>
      <c r="F255" s="14" t="str">
        <f>IF($L255="","",IF(INDEX(tblRegistros[Data],$L255)&gt;$D$4,"",IFERROR(IF(INDEX(tblRegistros[Status],$L255)="EM ABERTO","",INDEX(tblRegistros[Horas],$L255)),"")))</f>
        <v/>
      </c>
      <c r="G255" t="str">
        <f>IF($L255="","",IF(INDEX(tblRegistros[Data],$L255)&gt;$D$4,"",IFERROR(INDEX(tblRegistros[Base],$L255),"")))</f>
        <v/>
      </c>
      <c r="H255" s="3" t="str">
        <f>IF($L255="","",IF(INDEX(tblRegistros[Data],$L255)&gt;$D$4,"",IFERROR(INDEX(tblRegistros[Taxa aplicada],$L255),"")))</f>
        <v/>
      </c>
      <c r="I255" s="3" t="str">
        <f>IF($L255="","",IF(INDEX(tblRegistros[Data],$L255)&gt;$D$4,"",IFERROR(IF(INDEX(tblRegistros[Status],$L255)="EM ABERTO","",INDEX(tblRegistros[Valor],$L255)),"")))</f>
        <v/>
      </c>
      <c r="J255" t="str">
        <f>IF($L255="","",IF(INDEX(tblRegistros[Data],$L255)&gt;$D$4,"",IFERROR(INDEX(tblRegistros[Status],$L255),"")))</f>
        <v/>
      </c>
      <c r="K255" t="str">
        <f>IF($L255="","",IF(INDEX(tblRegistros[Data],$L255)&gt;$D$4,"",IFERROR(INDEX(tblRegistros[Observação],$L255),"")))</f>
        <v/>
      </c>
      <c r="L255" s="16" t="str">
        <f>IFERROR(MATCH($B$3*100000+COUNTIFS(tblRegistros[ID],$B$3,tblRegistros[Data],"&lt;"&amp;$B$4)+ROWS($L$10:L255),tblRegistros[Chave do cartão],0),"")</f>
        <v/>
      </c>
    </row>
    <row r="256" spans="1:12">
      <c r="A256" s="2" t="str">
        <f>IF($L256="","",IF(INDEX(tblRegistros[Data],$L256)&gt;$D$4,"",IFERROR(INDEX(tblRegistros[Data],$L256),"")))</f>
        <v/>
      </c>
      <c r="B256" t="str">
        <f>IF($L256="","",IF(INDEX(tblRegistros[Data],$L256)&gt;$D$4,"",IFERROR(INDEX(tblRegistros[Projeto],$L256),"")))</f>
        <v/>
      </c>
      <c r="C256" t="str">
        <f>IF($L256="","",IF(INDEX(tblRegistros[Data],$L256)&gt;$D$4,"",IFERROR(INDEX(tblRegistros[Atividade],$L256),"")))</f>
        <v/>
      </c>
      <c r="D256" s="4" t="str">
        <f>IF($L256="","",IF(INDEX(tblRegistros[Data],$L256)&gt;$D$4,"",IFERROR(INDEX(tblRegistros[Início],$L256),"")))</f>
        <v/>
      </c>
      <c r="E256" s="4" t="str">
        <f>IF($L256="","",IF(INDEX(tblRegistros[Data],$L256)&gt;$D$4,"",IFERROR(IF(INDEX(tblRegistros[Status],$L256)="EM ABERTO","",INDEX(tblRegistros[Fim],$L256)),"")))</f>
        <v/>
      </c>
      <c r="F256" s="14" t="str">
        <f>IF($L256="","",IF(INDEX(tblRegistros[Data],$L256)&gt;$D$4,"",IFERROR(IF(INDEX(tblRegistros[Status],$L256)="EM ABERTO","",INDEX(tblRegistros[Horas],$L256)),"")))</f>
        <v/>
      </c>
      <c r="G256" t="str">
        <f>IF($L256="","",IF(INDEX(tblRegistros[Data],$L256)&gt;$D$4,"",IFERROR(INDEX(tblRegistros[Base],$L256),"")))</f>
        <v/>
      </c>
      <c r="H256" s="3" t="str">
        <f>IF($L256="","",IF(INDEX(tblRegistros[Data],$L256)&gt;$D$4,"",IFERROR(INDEX(tblRegistros[Taxa aplicada],$L256),"")))</f>
        <v/>
      </c>
      <c r="I256" s="3" t="str">
        <f>IF($L256="","",IF(INDEX(tblRegistros[Data],$L256)&gt;$D$4,"",IFERROR(IF(INDEX(tblRegistros[Status],$L256)="EM ABERTO","",INDEX(tblRegistros[Valor],$L256)),"")))</f>
        <v/>
      </c>
      <c r="J256" t="str">
        <f>IF($L256="","",IF(INDEX(tblRegistros[Data],$L256)&gt;$D$4,"",IFERROR(INDEX(tblRegistros[Status],$L256),"")))</f>
        <v/>
      </c>
      <c r="K256" t="str">
        <f>IF($L256="","",IF(INDEX(tblRegistros[Data],$L256)&gt;$D$4,"",IFERROR(INDEX(tblRegistros[Observação],$L256),"")))</f>
        <v/>
      </c>
      <c r="L256" s="16" t="str">
        <f>IFERROR(MATCH($B$3*100000+COUNTIFS(tblRegistros[ID],$B$3,tblRegistros[Data],"&lt;"&amp;$B$4)+ROWS($L$10:L256),tblRegistros[Chave do cartão],0),"")</f>
        <v/>
      </c>
    </row>
    <row r="257" spans="1:12">
      <c r="A257" s="2" t="str">
        <f>IF($L257="","",IF(INDEX(tblRegistros[Data],$L257)&gt;$D$4,"",IFERROR(INDEX(tblRegistros[Data],$L257),"")))</f>
        <v/>
      </c>
      <c r="B257" t="str">
        <f>IF($L257="","",IF(INDEX(tblRegistros[Data],$L257)&gt;$D$4,"",IFERROR(INDEX(tblRegistros[Projeto],$L257),"")))</f>
        <v/>
      </c>
      <c r="C257" t="str">
        <f>IF($L257="","",IF(INDEX(tblRegistros[Data],$L257)&gt;$D$4,"",IFERROR(INDEX(tblRegistros[Atividade],$L257),"")))</f>
        <v/>
      </c>
      <c r="D257" s="4" t="str">
        <f>IF($L257="","",IF(INDEX(tblRegistros[Data],$L257)&gt;$D$4,"",IFERROR(INDEX(tblRegistros[Início],$L257),"")))</f>
        <v/>
      </c>
      <c r="E257" s="4" t="str">
        <f>IF($L257="","",IF(INDEX(tblRegistros[Data],$L257)&gt;$D$4,"",IFERROR(IF(INDEX(tblRegistros[Status],$L257)="EM ABERTO","",INDEX(tblRegistros[Fim],$L257)),"")))</f>
        <v/>
      </c>
      <c r="F257" s="14" t="str">
        <f>IF($L257="","",IF(INDEX(tblRegistros[Data],$L257)&gt;$D$4,"",IFERROR(IF(INDEX(tblRegistros[Status],$L257)="EM ABERTO","",INDEX(tblRegistros[Horas],$L257)),"")))</f>
        <v/>
      </c>
      <c r="G257" t="str">
        <f>IF($L257="","",IF(INDEX(tblRegistros[Data],$L257)&gt;$D$4,"",IFERROR(INDEX(tblRegistros[Base],$L257),"")))</f>
        <v/>
      </c>
      <c r="H257" s="3" t="str">
        <f>IF($L257="","",IF(INDEX(tblRegistros[Data],$L257)&gt;$D$4,"",IFERROR(INDEX(tblRegistros[Taxa aplicada],$L257),"")))</f>
        <v/>
      </c>
      <c r="I257" s="3" t="str">
        <f>IF($L257="","",IF(INDEX(tblRegistros[Data],$L257)&gt;$D$4,"",IFERROR(IF(INDEX(tblRegistros[Status],$L257)="EM ABERTO","",INDEX(tblRegistros[Valor],$L257)),"")))</f>
        <v/>
      </c>
      <c r="J257" t="str">
        <f>IF($L257="","",IF(INDEX(tblRegistros[Data],$L257)&gt;$D$4,"",IFERROR(INDEX(tblRegistros[Status],$L257),"")))</f>
        <v/>
      </c>
      <c r="K257" t="str">
        <f>IF($L257="","",IF(INDEX(tblRegistros[Data],$L257)&gt;$D$4,"",IFERROR(INDEX(tblRegistros[Observação],$L257),"")))</f>
        <v/>
      </c>
      <c r="L257" s="16" t="str">
        <f>IFERROR(MATCH($B$3*100000+COUNTIFS(tblRegistros[ID],$B$3,tblRegistros[Data],"&lt;"&amp;$B$4)+ROWS($L$10:L257),tblRegistros[Chave do cartão],0),"")</f>
        <v/>
      </c>
    </row>
    <row r="258" spans="1:12">
      <c r="A258" s="2" t="str">
        <f>IF($L258="","",IF(INDEX(tblRegistros[Data],$L258)&gt;$D$4,"",IFERROR(INDEX(tblRegistros[Data],$L258),"")))</f>
        <v/>
      </c>
      <c r="B258" t="str">
        <f>IF($L258="","",IF(INDEX(tblRegistros[Data],$L258)&gt;$D$4,"",IFERROR(INDEX(tblRegistros[Projeto],$L258),"")))</f>
        <v/>
      </c>
      <c r="C258" t="str">
        <f>IF($L258="","",IF(INDEX(tblRegistros[Data],$L258)&gt;$D$4,"",IFERROR(INDEX(tblRegistros[Atividade],$L258),"")))</f>
        <v/>
      </c>
      <c r="D258" s="4" t="str">
        <f>IF($L258="","",IF(INDEX(tblRegistros[Data],$L258)&gt;$D$4,"",IFERROR(INDEX(tblRegistros[Início],$L258),"")))</f>
        <v/>
      </c>
      <c r="E258" s="4" t="str">
        <f>IF($L258="","",IF(INDEX(tblRegistros[Data],$L258)&gt;$D$4,"",IFERROR(IF(INDEX(tblRegistros[Status],$L258)="EM ABERTO","",INDEX(tblRegistros[Fim],$L258)),"")))</f>
        <v/>
      </c>
      <c r="F258" s="14" t="str">
        <f>IF($L258="","",IF(INDEX(tblRegistros[Data],$L258)&gt;$D$4,"",IFERROR(IF(INDEX(tblRegistros[Status],$L258)="EM ABERTO","",INDEX(tblRegistros[Horas],$L258)),"")))</f>
        <v/>
      </c>
      <c r="G258" t="str">
        <f>IF($L258="","",IF(INDEX(tblRegistros[Data],$L258)&gt;$D$4,"",IFERROR(INDEX(tblRegistros[Base],$L258),"")))</f>
        <v/>
      </c>
      <c r="H258" s="3" t="str">
        <f>IF($L258="","",IF(INDEX(tblRegistros[Data],$L258)&gt;$D$4,"",IFERROR(INDEX(tblRegistros[Taxa aplicada],$L258),"")))</f>
        <v/>
      </c>
      <c r="I258" s="3" t="str">
        <f>IF($L258="","",IF(INDEX(tblRegistros[Data],$L258)&gt;$D$4,"",IFERROR(IF(INDEX(tblRegistros[Status],$L258)="EM ABERTO","",INDEX(tblRegistros[Valor],$L258)),"")))</f>
        <v/>
      </c>
      <c r="J258" t="str">
        <f>IF($L258="","",IF(INDEX(tblRegistros[Data],$L258)&gt;$D$4,"",IFERROR(INDEX(tblRegistros[Status],$L258),"")))</f>
        <v/>
      </c>
      <c r="K258" t="str">
        <f>IF($L258="","",IF(INDEX(tblRegistros[Data],$L258)&gt;$D$4,"",IFERROR(INDEX(tblRegistros[Observação],$L258),"")))</f>
        <v/>
      </c>
      <c r="L258" s="16" t="str">
        <f>IFERROR(MATCH($B$3*100000+COUNTIFS(tblRegistros[ID],$B$3,tblRegistros[Data],"&lt;"&amp;$B$4)+ROWS($L$10:L258),tblRegistros[Chave do cartão],0),"")</f>
        <v/>
      </c>
    </row>
    <row r="259" spans="1:12">
      <c r="A259" s="2" t="str">
        <f>IF($L259="","",IF(INDEX(tblRegistros[Data],$L259)&gt;$D$4,"",IFERROR(INDEX(tblRegistros[Data],$L259),"")))</f>
        <v/>
      </c>
      <c r="B259" t="str">
        <f>IF($L259="","",IF(INDEX(tblRegistros[Data],$L259)&gt;$D$4,"",IFERROR(INDEX(tblRegistros[Projeto],$L259),"")))</f>
        <v/>
      </c>
      <c r="C259" t="str">
        <f>IF($L259="","",IF(INDEX(tblRegistros[Data],$L259)&gt;$D$4,"",IFERROR(INDEX(tblRegistros[Atividade],$L259),"")))</f>
        <v/>
      </c>
      <c r="D259" s="4" t="str">
        <f>IF($L259="","",IF(INDEX(tblRegistros[Data],$L259)&gt;$D$4,"",IFERROR(INDEX(tblRegistros[Início],$L259),"")))</f>
        <v/>
      </c>
      <c r="E259" s="4" t="str">
        <f>IF($L259="","",IF(INDEX(tblRegistros[Data],$L259)&gt;$D$4,"",IFERROR(IF(INDEX(tblRegistros[Status],$L259)="EM ABERTO","",INDEX(tblRegistros[Fim],$L259)),"")))</f>
        <v/>
      </c>
      <c r="F259" s="14" t="str">
        <f>IF($L259="","",IF(INDEX(tblRegistros[Data],$L259)&gt;$D$4,"",IFERROR(IF(INDEX(tblRegistros[Status],$L259)="EM ABERTO","",INDEX(tblRegistros[Horas],$L259)),"")))</f>
        <v/>
      </c>
      <c r="G259" t="str">
        <f>IF($L259="","",IF(INDEX(tblRegistros[Data],$L259)&gt;$D$4,"",IFERROR(INDEX(tblRegistros[Base],$L259),"")))</f>
        <v/>
      </c>
      <c r="H259" s="3" t="str">
        <f>IF($L259="","",IF(INDEX(tblRegistros[Data],$L259)&gt;$D$4,"",IFERROR(INDEX(tblRegistros[Taxa aplicada],$L259),"")))</f>
        <v/>
      </c>
      <c r="I259" s="3" t="str">
        <f>IF($L259="","",IF(INDEX(tblRegistros[Data],$L259)&gt;$D$4,"",IFERROR(IF(INDEX(tblRegistros[Status],$L259)="EM ABERTO","",INDEX(tblRegistros[Valor],$L259)),"")))</f>
        <v/>
      </c>
      <c r="J259" t="str">
        <f>IF($L259="","",IF(INDEX(tblRegistros[Data],$L259)&gt;$D$4,"",IFERROR(INDEX(tblRegistros[Status],$L259),"")))</f>
        <v/>
      </c>
      <c r="K259" t="str">
        <f>IF($L259="","",IF(INDEX(tblRegistros[Data],$L259)&gt;$D$4,"",IFERROR(INDEX(tblRegistros[Observação],$L259),"")))</f>
        <v/>
      </c>
      <c r="L259" s="16" t="str">
        <f>IFERROR(MATCH($B$3*100000+COUNTIFS(tblRegistros[ID],$B$3,tblRegistros[Data],"&lt;"&amp;$B$4)+ROWS($L$10:L259),tblRegistros[Chave do cartão],0),"")</f>
        <v/>
      </c>
    </row>
    <row r="260" spans="1:12">
      <c r="A260" s="2" t="str">
        <f>IF($L260="","",IF(INDEX(tblRegistros[Data],$L260)&gt;$D$4,"",IFERROR(INDEX(tblRegistros[Data],$L260),"")))</f>
        <v/>
      </c>
      <c r="B260" t="str">
        <f>IF($L260="","",IF(INDEX(tblRegistros[Data],$L260)&gt;$D$4,"",IFERROR(INDEX(tblRegistros[Projeto],$L260),"")))</f>
        <v/>
      </c>
      <c r="C260" t="str">
        <f>IF($L260="","",IF(INDEX(tblRegistros[Data],$L260)&gt;$D$4,"",IFERROR(INDEX(tblRegistros[Atividade],$L260),"")))</f>
        <v/>
      </c>
      <c r="D260" s="4" t="str">
        <f>IF($L260="","",IF(INDEX(tblRegistros[Data],$L260)&gt;$D$4,"",IFERROR(INDEX(tblRegistros[Início],$L260),"")))</f>
        <v/>
      </c>
      <c r="E260" s="4" t="str">
        <f>IF($L260="","",IF(INDEX(tblRegistros[Data],$L260)&gt;$D$4,"",IFERROR(IF(INDEX(tblRegistros[Status],$L260)="EM ABERTO","",INDEX(tblRegistros[Fim],$L260)),"")))</f>
        <v/>
      </c>
      <c r="F260" s="14" t="str">
        <f>IF($L260="","",IF(INDEX(tblRegistros[Data],$L260)&gt;$D$4,"",IFERROR(IF(INDEX(tblRegistros[Status],$L260)="EM ABERTO","",INDEX(tblRegistros[Horas],$L260)),"")))</f>
        <v/>
      </c>
      <c r="G260" t="str">
        <f>IF($L260="","",IF(INDEX(tblRegistros[Data],$L260)&gt;$D$4,"",IFERROR(INDEX(tblRegistros[Base],$L260),"")))</f>
        <v/>
      </c>
      <c r="H260" s="3" t="str">
        <f>IF($L260="","",IF(INDEX(tblRegistros[Data],$L260)&gt;$D$4,"",IFERROR(INDEX(tblRegistros[Taxa aplicada],$L260),"")))</f>
        <v/>
      </c>
      <c r="I260" s="3" t="str">
        <f>IF($L260="","",IF(INDEX(tblRegistros[Data],$L260)&gt;$D$4,"",IFERROR(IF(INDEX(tblRegistros[Status],$L260)="EM ABERTO","",INDEX(tblRegistros[Valor],$L260)),"")))</f>
        <v/>
      </c>
      <c r="J260" t="str">
        <f>IF($L260="","",IF(INDEX(tblRegistros[Data],$L260)&gt;$D$4,"",IFERROR(INDEX(tblRegistros[Status],$L260),"")))</f>
        <v/>
      </c>
      <c r="K260" t="str">
        <f>IF($L260="","",IF(INDEX(tblRegistros[Data],$L260)&gt;$D$4,"",IFERROR(INDEX(tblRegistros[Observação],$L260),"")))</f>
        <v/>
      </c>
      <c r="L260" s="16" t="str">
        <f>IFERROR(MATCH($B$3*100000+COUNTIFS(tblRegistros[ID],$B$3,tblRegistros[Data],"&lt;"&amp;$B$4)+ROWS($L$10:L260),tblRegistros[Chave do cartão],0),"")</f>
        <v/>
      </c>
    </row>
    <row r="261" spans="1:12">
      <c r="A261" s="2" t="str">
        <f>IF($L261="","",IF(INDEX(tblRegistros[Data],$L261)&gt;$D$4,"",IFERROR(INDEX(tblRegistros[Data],$L261),"")))</f>
        <v/>
      </c>
      <c r="B261" t="str">
        <f>IF($L261="","",IF(INDEX(tblRegistros[Data],$L261)&gt;$D$4,"",IFERROR(INDEX(tblRegistros[Projeto],$L261),"")))</f>
        <v/>
      </c>
      <c r="C261" t="str">
        <f>IF($L261="","",IF(INDEX(tblRegistros[Data],$L261)&gt;$D$4,"",IFERROR(INDEX(tblRegistros[Atividade],$L261),"")))</f>
        <v/>
      </c>
      <c r="D261" s="4" t="str">
        <f>IF($L261="","",IF(INDEX(tblRegistros[Data],$L261)&gt;$D$4,"",IFERROR(INDEX(tblRegistros[Início],$L261),"")))</f>
        <v/>
      </c>
      <c r="E261" s="4" t="str">
        <f>IF($L261="","",IF(INDEX(tblRegistros[Data],$L261)&gt;$D$4,"",IFERROR(IF(INDEX(tblRegistros[Status],$L261)="EM ABERTO","",INDEX(tblRegistros[Fim],$L261)),"")))</f>
        <v/>
      </c>
      <c r="F261" s="14" t="str">
        <f>IF($L261="","",IF(INDEX(tblRegistros[Data],$L261)&gt;$D$4,"",IFERROR(IF(INDEX(tblRegistros[Status],$L261)="EM ABERTO","",INDEX(tblRegistros[Horas],$L261)),"")))</f>
        <v/>
      </c>
      <c r="G261" t="str">
        <f>IF($L261="","",IF(INDEX(tblRegistros[Data],$L261)&gt;$D$4,"",IFERROR(INDEX(tblRegistros[Base],$L261),"")))</f>
        <v/>
      </c>
      <c r="H261" s="3" t="str">
        <f>IF($L261="","",IF(INDEX(tblRegistros[Data],$L261)&gt;$D$4,"",IFERROR(INDEX(tblRegistros[Taxa aplicada],$L261),"")))</f>
        <v/>
      </c>
      <c r="I261" s="3" t="str">
        <f>IF($L261="","",IF(INDEX(tblRegistros[Data],$L261)&gt;$D$4,"",IFERROR(IF(INDEX(tblRegistros[Status],$L261)="EM ABERTO","",INDEX(tblRegistros[Valor],$L261)),"")))</f>
        <v/>
      </c>
      <c r="J261" t="str">
        <f>IF($L261="","",IF(INDEX(tblRegistros[Data],$L261)&gt;$D$4,"",IFERROR(INDEX(tblRegistros[Status],$L261),"")))</f>
        <v/>
      </c>
      <c r="K261" t="str">
        <f>IF($L261="","",IF(INDEX(tblRegistros[Data],$L261)&gt;$D$4,"",IFERROR(INDEX(tblRegistros[Observação],$L261),"")))</f>
        <v/>
      </c>
      <c r="L261" s="16" t="str">
        <f>IFERROR(MATCH($B$3*100000+COUNTIFS(tblRegistros[ID],$B$3,tblRegistros[Data],"&lt;"&amp;$B$4)+ROWS($L$10:L261),tblRegistros[Chave do cartão],0),"")</f>
        <v/>
      </c>
    </row>
    <row r="262" spans="1:12">
      <c r="A262" s="2" t="str">
        <f>IF($L262="","",IF(INDEX(tblRegistros[Data],$L262)&gt;$D$4,"",IFERROR(INDEX(tblRegistros[Data],$L262),"")))</f>
        <v/>
      </c>
      <c r="B262" t="str">
        <f>IF($L262="","",IF(INDEX(tblRegistros[Data],$L262)&gt;$D$4,"",IFERROR(INDEX(tblRegistros[Projeto],$L262),"")))</f>
        <v/>
      </c>
      <c r="C262" t="str">
        <f>IF($L262="","",IF(INDEX(tblRegistros[Data],$L262)&gt;$D$4,"",IFERROR(INDEX(tblRegistros[Atividade],$L262),"")))</f>
        <v/>
      </c>
      <c r="D262" s="4" t="str">
        <f>IF($L262="","",IF(INDEX(tblRegistros[Data],$L262)&gt;$D$4,"",IFERROR(INDEX(tblRegistros[Início],$L262),"")))</f>
        <v/>
      </c>
      <c r="E262" s="4" t="str">
        <f>IF($L262="","",IF(INDEX(tblRegistros[Data],$L262)&gt;$D$4,"",IFERROR(IF(INDEX(tblRegistros[Status],$L262)="EM ABERTO","",INDEX(tblRegistros[Fim],$L262)),"")))</f>
        <v/>
      </c>
      <c r="F262" s="14" t="str">
        <f>IF($L262="","",IF(INDEX(tblRegistros[Data],$L262)&gt;$D$4,"",IFERROR(IF(INDEX(tblRegistros[Status],$L262)="EM ABERTO","",INDEX(tblRegistros[Horas],$L262)),"")))</f>
        <v/>
      </c>
      <c r="G262" t="str">
        <f>IF($L262="","",IF(INDEX(tblRegistros[Data],$L262)&gt;$D$4,"",IFERROR(INDEX(tblRegistros[Base],$L262),"")))</f>
        <v/>
      </c>
      <c r="H262" s="3" t="str">
        <f>IF($L262="","",IF(INDEX(tblRegistros[Data],$L262)&gt;$D$4,"",IFERROR(INDEX(tblRegistros[Taxa aplicada],$L262),"")))</f>
        <v/>
      </c>
      <c r="I262" s="3" t="str">
        <f>IF($L262="","",IF(INDEX(tblRegistros[Data],$L262)&gt;$D$4,"",IFERROR(IF(INDEX(tblRegistros[Status],$L262)="EM ABERTO","",INDEX(tblRegistros[Valor],$L262)),"")))</f>
        <v/>
      </c>
      <c r="J262" t="str">
        <f>IF($L262="","",IF(INDEX(tblRegistros[Data],$L262)&gt;$D$4,"",IFERROR(INDEX(tblRegistros[Status],$L262),"")))</f>
        <v/>
      </c>
      <c r="K262" t="str">
        <f>IF($L262="","",IF(INDEX(tblRegistros[Data],$L262)&gt;$D$4,"",IFERROR(INDEX(tblRegistros[Observação],$L262),"")))</f>
        <v/>
      </c>
      <c r="L262" s="16" t="str">
        <f>IFERROR(MATCH($B$3*100000+COUNTIFS(tblRegistros[ID],$B$3,tblRegistros[Data],"&lt;"&amp;$B$4)+ROWS($L$10:L262),tblRegistros[Chave do cartão],0),"")</f>
        <v/>
      </c>
    </row>
    <row r="263" spans="1:12">
      <c r="A263" s="2" t="str">
        <f>IF($L263="","",IF(INDEX(tblRegistros[Data],$L263)&gt;$D$4,"",IFERROR(INDEX(tblRegistros[Data],$L263),"")))</f>
        <v/>
      </c>
      <c r="B263" t="str">
        <f>IF($L263="","",IF(INDEX(tblRegistros[Data],$L263)&gt;$D$4,"",IFERROR(INDEX(tblRegistros[Projeto],$L263),"")))</f>
        <v/>
      </c>
      <c r="C263" t="str">
        <f>IF($L263="","",IF(INDEX(tblRegistros[Data],$L263)&gt;$D$4,"",IFERROR(INDEX(tblRegistros[Atividade],$L263),"")))</f>
        <v/>
      </c>
      <c r="D263" s="4" t="str">
        <f>IF($L263="","",IF(INDEX(tblRegistros[Data],$L263)&gt;$D$4,"",IFERROR(INDEX(tblRegistros[Início],$L263),"")))</f>
        <v/>
      </c>
      <c r="E263" s="4" t="str">
        <f>IF($L263="","",IF(INDEX(tblRegistros[Data],$L263)&gt;$D$4,"",IFERROR(IF(INDEX(tblRegistros[Status],$L263)="EM ABERTO","",INDEX(tblRegistros[Fim],$L263)),"")))</f>
        <v/>
      </c>
      <c r="F263" s="14" t="str">
        <f>IF($L263="","",IF(INDEX(tblRegistros[Data],$L263)&gt;$D$4,"",IFERROR(IF(INDEX(tblRegistros[Status],$L263)="EM ABERTO","",INDEX(tblRegistros[Horas],$L263)),"")))</f>
        <v/>
      </c>
      <c r="G263" t="str">
        <f>IF($L263="","",IF(INDEX(tblRegistros[Data],$L263)&gt;$D$4,"",IFERROR(INDEX(tblRegistros[Base],$L263),"")))</f>
        <v/>
      </c>
      <c r="H263" s="3" t="str">
        <f>IF($L263="","",IF(INDEX(tblRegistros[Data],$L263)&gt;$D$4,"",IFERROR(INDEX(tblRegistros[Taxa aplicada],$L263),"")))</f>
        <v/>
      </c>
      <c r="I263" s="3" t="str">
        <f>IF($L263="","",IF(INDEX(tblRegistros[Data],$L263)&gt;$D$4,"",IFERROR(IF(INDEX(tblRegistros[Status],$L263)="EM ABERTO","",INDEX(tblRegistros[Valor],$L263)),"")))</f>
        <v/>
      </c>
      <c r="J263" t="str">
        <f>IF($L263="","",IF(INDEX(tblRegistros[Data],$L263)&gt;$D$4,"",IFERROR(INDEX(tblRegistros[Status],$L263),"")))</f>
        <v/>
      </c>
      <c r="K263" t="str">
        <f>IF($L263="","",IF(INDEX(tblRegistros[Data],$L263)&gt;$D$4,"",IFERROR(INDEX(tblRegistros[Observação],$L263),"")))</f>
        <v/>
      </c>
      <c r="L263" s="16" t="str">
        <f>IFERROR(MATCH($B$3*100000+COUNTIFS(tblRegistros[ID],$B$3,tblRegistros[Data],"&lt;"&amp;$B$4)+ROWS($L$10:L263),tblRegistros[Chave do cartão],0),"")</f>
        <v/>
      </c>
    </row>
    <row r="264" spans="1:12">
      <c r="A264" s="2" t="str">
        <f>IF($L264="","",IF(INDEX(tblRegistros[Data],$L264)&gt;$D$4,"",IFERROR(INDEX(tblRegistros[Data],$L264),"")))</f>
        <v/>
      </c>
      <c r="B264" t="str">
        <f>IF($L264="","",IF(INDEX(tblRegistros[Data],$L264)&gt;$D$4,"",IFERROR(INDEX(tblRegistros[Projeto],$L264),"")))</f>
        <v/>
      </c>
      <c r="C264" t="str">
        <f>IF($L264="","",IF(INDEX(tblRegistros[Data],$L264)&gt;$D$4,"",IFERROR(INDEX(tblRegistros[Atividade],$L264),"")))</f>
        <v/>
      </c>
      <c r="D264" s="4" t="str">
        <f>IF($L264="","",IF(INDEX(tblRegistros[Data],$L264)&gt;$D$4,"",IFERROR(INDEX(tblRegistros[Início],$L264),"")))</f>
        <v/>
      </c>
      <c r="E264" s="4" t="str">
        <f>IF($L264="","",IF(INDEX(tblRegistros[Data],$L264)&gt;$D$4,"",IFERROR(IF(INDEX(tblRegistros[Status],$L264)="EM ABERTO","",INDEX(tblRegistros[Fim],$L264)),"")))</f>
        <v/>
      </c>
      <c r="F264" s="14" t="str">
        <f>IF($L264="","",IF(INDEX(tblRegistros[Data],$L264)&gt;$D$4,"",IFERROR(IF(INDEX(tblRegistros[Status],$L264)="EM ABERTO","",INDEX(tblRegistros[Horas],$L264)),"")))</f>
        <v/>
      </c>
      <c r="G264" t="str">
        <f>IF($L264="","",IF(INDEX(tblRegistros[Data],$L264)&gt;$D$4,"",IFERROR(INDEX(tblRegistros[Base],$L264),"")))</f>
        <v/>
      </c>
      <c r="H264" s="3" t="str">
        <f>IF($L264="","",IF(INDEX(tblRegistros[Data],$L264)&gt;$D$4,"",IFERROR(INDEX(tblRegistros[Taxa aplicada],$L264),"")))</f>
        <v/>
      </c>
      <c r="I264" s="3" t="str">
        <f>IF($L264="","",IF(INDEX(tblRegistros[Data],$L264)&gt;$D$4,"",IFERROR(IF(INDEX(tblRegistros[Status],$L264)="EM ABERTO","",INDEX(tblRegistros[Valor],$L264)),"")))</f>
        <v/>
      </c>
      <c r="J264" t="str">
        <f>IF($L264="","",IF(INDEX(tblRegistros[Data],$L264)&gt;$D$4,"",IFERROR(INDEX(tblRegistros[Status],$L264),"")))</f>
        <v/>
      </c>
      <c r="K264" t="str">
        <f>IF($L264="","",IF(INDEX(tblRegistros[Data],$L264)&gt;$D$4,"",IFERROR(INDEX(tblRegistros[Observação],$L264),"")))</f>
        <v/>
      </c>
      <c r="L264" s="16" t="str">
        <f>IFERROR(MATCH($B$3*100000+COUNTIFS(tblRegistros[ID],$B$3,tblRegistros[Data],"&lt;"&amp;$B$4)+ROWS($L$10:L264),tblRegistros[Chave do cartão],0),"")</f>
        <v/>
      </c>
    </row>
    <row r="265" spans="1:12">
      <c r="A265" s="2" t="str">
        <f>IF($L265="","",IF(INDEX(tblRegistros[Data],$L265)&gt;$D$4,"",IFERROR(INDEX(tblRegistros[Data],$L265),"")))</f>
        <v/>
      </c>
      <c r="B265" t="str">
        <f>IF($L265="","",IF(INDEX(tblRegistros[Data],$L265)&gt;$D$4,"",IFERROR(INDEX(tblRegistros[Projeto],$L265),"")))</f>
        <v/>
      </c>
      <c r="C265" t="str">
        <f>IF($L265="","",IF(INDEX(tblRegistros[Data],$L265)&gt;$D$4,"",IFERROR(INDEX(tblRegistros[Atividade],$L265),"")))</f>
        <v/>
      </c>
      <c r="D265" s="4" t="str">
        <f>IF($L265="","",IF(INDEX(tblRegistros[Data],$L265)&gt;$D$4,"",IFERROR(INDEX(tblRegistros[Início],$L265),"")))</f>
        <v/>
      </c>
      <c r="E265" s="4" t="str">
        <f>IF($L265="","",IF(INDEX(tblRegistros[Data],$L265)&gt;$D$4,"",IFERROR(IF(INDEX(tblRegistros[Status],$L265)="EM ABERTO","",INDEX(tblRegistros[Fim],$L265)),"")))</f>
        <v/>
      </c>
      <c r="F265" s="14" t="str">
        <f>IF($L265="","",IF(INDEX(tblRegistros[Data],$L265)&gt;$D$4,"",IFERROR(IF(INDEX(tblRegistros[Status],$L265)="EM ABERTO","",INDEX(tblRegistros[Horas],$L265)),"")))</f>
        <v/>
      </c>
      <c r="G265" t="str">
        <f>IF($L265="","",IF(INDEX(tblRegistros[Data],$L265)&gt;$D$4,"",IFERROR(INDEX(tblRegistros[Base],$L265),"")))</f>
        <v/>
      </c>
      <c r="H265" s="3" t="str">
        <f>IF($L265="","",IF(INDEX(tblRegistros[Data],$L265)&gt;$D$4,"",IFERROR(INDEX(tblRegistros[Taxa aplicada],$L265),"")))</f>
        <v/>
      </c>
      <c r="I265" s="3" t="str">
        <f>IF($L265="","",IF(INDEX(tblRegistros[Data],$L265)&gt;$D$4,"",IFERROR(IF(INDEX(tblRegistros[Status],$L265)="EM ABERTO","",INDEX(tblRegistros[Valor],$L265)),"")))</f>
        <v/>
      </c>
      <c r="J265" t="str">
        <f>IF($L265="","",IF(INDEX(tblRegistros[Data],$L265)&gt;$D$4,"",IFERROR(INDEX(tblRegistros[Status],$L265),"")))</f>
        <v/>
      </c>
      <c r="K265" t="str">
        <f>IF($L265="","",IF(INDEX(tblRegistros[Data],$L265)&gt;$D$4,"",IFERROR(INDEX(tblRegistros[Observação],$L265),"")))</f>
        <v/>
      </c>
      <c r="L265" s="16" t="str">
        <f>IFERROR(MATCH($B$3*100000+COUNTIFS(tblRegistros[ID],$B$3,tblRegistros[Data],"&lt;"&amp;$B$4)+ROWS($L$10:L265),tblRegistros[Chave do cartão],0),"")</f>
        <v/>
      </c>
    </row>
    <row r="266" spans="1:12">
      <c r="A266" s="2" t="str">
        <f>IF($L266="","",IF(INDEX(tblRegistros[Data],$L266)&gt;$D$4,"",IFERROR(INDEX(tblRegistros[Data],$L266),"")))</f>
        <v/>
      </c>
      <c r="B266" t="str">
        <f>IF($L266="","",IF(INDEX(tblRegistros[Data],$L266)&gt;$D$4,"",IFERROR(INDEX(tblRegistros[Projeto],$L266),"")))</f>
        <v/>
      </c>
      <c r="C266" t="str">
        <f>IF($L266="","",IF(INDEX(tblRegistros[Data],$L266)&gt;$D$4,"",IFERROR(INDEX(tblRegistros[Atividade],$L266),"")))</f>
        <v/>
      </c>
      <c r="D266" s="4" t="str">
        <f>IF($L266="","",IF(INDEX(tblRegistros[Data],$L266)&gt;$D$4,"",IFERROR(INDEX(tblRegistros[Início],$L266),"")))</f>
        <v/>
      </c>
      <c r="E266" s="4" t="str">
        <f>IF($L266="","",IF(INDEX(tblRegistros[Data],$L266)&gt;$D$4,"",IFERROR(IF(INDEX(tblRegistros[Status],$L266)="EM ABERTO","",INDEX(tblRegistros[Fim],$L266)),"")))</f>
        <v/>
      </c>
      <c r="F266" s="14" t="str">
        <f>IF($L266="","",IF(INDEX(tblRegistros[Data],$L266)&gt;$D$4,"",IFERROR(IF(INDEX(tblRegistros[Status],$L266)="EM ABERTO","",INDEX(tblRegistros[Horas],$L266)),"")))</f>
        <v/>
      </c>
      <c r="G266" t="str">
        <f>IF($L266="","",IF(INDEX(tblRegistros[Data],$L266)&gt;$D$4,"",IFERROR(INDEX(tblRegistros[Base],$L266),"")))</f>
        <v/>
      </c>
      <c r="H266" s="3" t="str">
        <f>IF($L266="","",IF(INDEX(tblRegistros[Data],$L266)&gt;$D$4,"",IFERROR(INDEX(tblRegistros[Taxa aplicada],$L266),"")))</f>
        <v/>
      </c>
      <c r="I266" s="3" t="str">
        <f>IF($L266="","",IF(INDEX(tblRegistros[Data],$L266)&gt;$D$4,"",IFERROR(IF(INDEX(tblRegistros[Status],$L266)="EM ABERTO","",INDEX(tblRegistros[Valor],$L266)),"")))</f>
        <v/>
      </c>
      <c r="J266" t="str">
        <f>IF($L266="","",IF(INDEX(tblRegistros[Data],$L266)&gt;$D$4,"",IFERROR(INDEX(tblRegistros[Status],$L266),"")))</f>
        <v/>
      </c>
      <c r="K266" t="str">
        <f>IF($L266="","",IF(INDEX(tblRegistros[Data],$L266)&gt;$D$4,"",IFERROR(INDEX(tblRegistros[Observação],$L266),"")))</f>
        <v/>
      </c>
      <c r="L266" s="16" t="str">
        <f>IFERROR(MATCH($B$3*100000+COUNTIFS(tblRegistros[ID],$B$3,tblRegistros[Data],"&lt;"&amp;$B$4)+ROWS($L$10:L266),tblRegistros[Chave do cartão],0),"")</f>
        <v/>
      </c>
    </row>
    <row r="267" spans="1:12">
      <c r="A267" s="2" t="str">
        <f>IF($L267="","",IF(INDEX(tblRegistros[Data],$L267)&gt;$D$4,"",IFERROR(INDEX(tblRegistros[Data],$L267),"")))</f>
        <v/>
      </c>
      <c r="B267" t="str">
        <f>IF($L267="","",IF(INDEX(tblRegistros[Data],$L267)&gt;$D$4,"",IFERROR(INDEX(tblRegistros[Projeto],$L267),"")))</f>
        <v/>
      </c>
      <c r="C267" t="str">
        <f>IF($L267="","",IF(INDEX(tblRegistros[Data],$L267)&gt;$D$4,"",IFERROR(INDEX(tblRegistros[Atividade],$L267),"")))</f>
        <v/>
      </c>
      <c r="D267" s="4" t="str">
        <f>IF($L267="","",IF(INDEX(tblRegistros[Data],$L267)&gt;$D$4,"",IFERROR(INDEX(tblRegistros[Início],$L267),"")))</f>
        <v/>
      </c>
      <c r="E267" s="4" t="str">
        <f>IF($L267="","",IF(INDEX(tblRegistros[Data],$L267)&gt;$D$4,"",IFERROR(IF(INDEX(tblRegistros[Status],$L267)="EM ABERTO","",INDEX(tblRegistros[Fim],$L267)),"")))</f>
        <v/>
      </c>
      <c r="F267" s="14" t="str">
        <f>IF($L267="","",IF(INDEX(tblRegistros[Data],$L267)&gt;$D$4,"",IFERROR(IF(INDEX(tblRegistros[Status],$L267)="EM ABERTO","",INDEX(tblRegistros[Horas],$L267)),"")))</f>
        <v/>
      </c>
      <c r="G267" t="str">
        <f>IF($L267="","",IF(INDEX(tblRegistros[Data],$L267)&gt;$D$4,"",IFERROR(INDEX(tblRegistros[Base],$L267),"")))</f>
        <v/>
      </c>
      <c r="H267" s="3" t="str">
        <f>IF($L267="","",IF(INDEX(tblRegistros[Data],$L267)&gt;$D$4,"",IFERROR(INDEX(tblRegistros[Taxa aplicada],$L267),"")))</f>
        <v/>
      </c>
      <c r="I267" s="3" t="str">
        <f>IF($L267="","",IF(INDEX(tblRegistros[Data],$L267)&gt;$D$4,"",IFERROR(IF(INDEX(tblRegistros[Status],$L267)="EM ABERTO","",INDEX(tblRegistros[Valor],$L267)),"")))</f>
        <v/>
      </c>
      <c r="J267" t="str">
        <f>IF($L267="","",IF(INDEX(tblRegistros[Data],$L267)&gt;$D$4,"",IFERROR(INDEX(tblRegistros[Status],$L267),"")))</f>
        <v/>
      </c>
      <c r="K267" t="str">
        <f>IF($L267="","",IF(INDEX(tblRegistros[Data],$L267)&gt;$D$4,"",IFERROR(INDEX(tblRegistros[Observação],$L267),"")))</f>
        <v/>
      </c>
      <c r="L267" s="16" t="str">
        <f>IFERROR(MATCH($B$3*100000+COUNTIFS(tblRegistros[ID],$B$3,tblRegistros[Data],"&lt;"&amp;$B$4)+ROWS($L$10:L267),tblRegistros[Chave do cartão],0),"")</f>
        <v/>
      </c>
    </row>
    <row r="268" spans="1:12">
      <c r="A268" s="2" t="str">
        <f>IF($L268="","",IF(INDEX(tblRegistros[Data],$L268)&gt;$D$4,"",IFERROR(INDEX(tblRegistros[Data],$L268),"")))</f>
        <v/>
      </c>
      <c r="B268" t="str">
        <f>IF($L268="","",IF(INDEX(tblRegistros[Data],$L268)&gt;$D$4,"",IFERROR(INDEX(tblRegistros[Projeto],$L268),"")))</f>
        <v/>
      </c>
      <c r="C268" t="str">
        <f>IF($L268="","",IF(INDEX(tblRegistros[Data],$L268)&gt;$D$4,"",IFERROR(INDEX(tblRegistros[Atividade],$L268),"")))</f>
        <v/>
      </c>
      <c r="D268" s="4" t="str">
        <f>IF($L268="","",IF(INDEX(tblRegistros[Data],$L268)&gt;$D$4,"",IFERROR(INDEX(tblRegistros[Início],$L268),"")))</f>
        <v/>
      </c>
      <c r="E268" s="4" t="str">
        <f>IF($L268="","",IF(INDEX(tblRegistros[Data],$L268)&gt;$D$4,"",IFERROR(IF(INDEX(tblRegistros[Status],$L268)="EM ABERTO","",INDEX(tblRegistros[Fim],$L268)),"")))</f>
        <v/>
      </c>
      <c r="F268" s="14" t="str">
        <f>IF($L268="","",IF(INDEX(tblRegistros[Data],$L268)&gt;$D$4,"",IFERROR(IF(INDEX(tblRegistros[Status],$L268)="EM ABERTO","",INDEX(tblRegistros[Horas],$L268)),"")))</f>
        <v/>
      </c>
      <c r="G268" t="str">
        <f>IF($L268="","",IF(INDEX(tblRegistros[Data],$L268)&gt;$D$4,"",IFERROR(INDEX(tblRegistros[Base],$L268),"")))</f>
        <v/>
      </c>
      <c r="H268" s="3" t="str">
        <f>IF($L268="","",IF(INDEX(tblRegistros[Data],$L268)&gt;$D$4,"",IFERROR(INDEX(tblRegistros[Taxa aplicada],$L268),"")))</f>
        <v/>
      </c>
      <c r="I268" s="3" t="str">
        <f>IF($L268="","",IF(INDEX(tblRegistros[Data],$L268)&gt;$D$4,"",IFERROR(IF(INDEX(tblRegistros[Status],$L268)="EM ABERTO","",INDEX(tblRegistros[Valor],$L268)),"")))</f>
        <v/>
      </c>
      <c r="J268" t="str">
        <f>IF($L268="","",IF(INDEX(tblRegistros[Data],$L268)&gt;$D$4,"",IFERROR(INDEX(tblRegistros[Status],$L268),"")))</f>
        <v/>
      </c>
      <c r="K268" t="str">
        <f>IF($L268="","",IF(INDEX(tblRegistros[Data],$L268)&gt;$D$4,"",IFERROR(INDEX(tblRegistros[Observação],$L268),"")))</f>
        <v/>
      </c>
      <c r="L268" s="16" t="str">
        <f>IFERROR(MATCH($B$3*100000+COUNTIFS(tblRegistros[ID],$B$3,tblRegistros[Data],"&lt;"&amp;$B$4)+ROWS($L$10:L268),tblRegistros[Chave do cartão],0),"")</f>
        <v/>
      </c>
    </row>
    <row r="269" spans="1:12">
      <c r="A269" s="2" t="str">
        <f>IF($L269="","",IF(INDEX(tblRegistros[Data],$L269)&gt;$D$4,"",IFERROR(INDEX(tblRegistros[Data],$L269),"")))</f>
        <v/>
      </c>
      <c r="B269" t="str">
        <f>IF($L269="","",IF(INDEX(tblRegistros[Data],$L269)&gt;$D$4,"",IFERROR(INDEX(tblRegistros[Projeto],$L269),"")))</f>
        <v/>
      </c>
      <c r="C269" t="str">
        <f>IF($L269="","",IF(INDEX(tblRegistros[Data],$L269)&gt;$D$4,"",IFERROR(INDEX(tblRegistros[Atividade],$L269),"")))</f>
        <v/>
      </c>
      <c r="D269" s="4" t="str">
        <f>IF($L269="","",IF(INDEX(tblRegistros[Data],$L269)&gt;$D$4,"",IFERROR(INDEX(tblRegistros[Início],$L269),"")))</f>
        <v/>
      </c>
      <c r="E269" s="4" t="str">
        <f>IF($L269="","",IF(INDEX(tblRegistros[Data],$L269)&gt;$D$4,"",IFERROR(IF(INDEX(tblRegistros[Status],$L269)="EM ABERTO","",INDEX(tblRegistros[Fim],$L269)),"")))</f>
        <v/>
      </c>
      <c r="F269" s="14" t="str">
        <f>IF($L269="","",IF(INDEX(tblRegistros[Data],$L269)&gt;$D$4,"",IFERROR(IF(INDEX(tblRegistros[Status],$L269)="EM ABERTO","",INDEX(tblRegistros[Horas],$L269)),"")))</f>
        <v/>
      </c>
      <c r="G269" t="str">
        <f>IF($L269="","",IF(INDEX(tblRegistros[Data],$L269)&gt;$D$4,"",IFERROR(INDEX(tblRegistros[Base],$L269),"")))</f>
        <v/>
      </c>
      <c r="H269" s="3" t="str">
        <f>IF($L269="","",IF(INDEX(tblRegistros[Data],$L269)&gt;$D$4,"",IFERROR(INDEX(tblRegistros[Taxa aplicada],$L269),"")))</f>
        <v/>
      </c>
      <c r="I269" s="3" t="str">
        <f>IF($L269="","",IF(INDEX(tblRegistros[Data],$L269)&gt;$D$4,"",IFERROR(IF(INDEX(tblRegistros[Status],$L269)="EM ABERTO","",INDEX(tblRegistros[Valor],$L269)),"")))</f>
        <v/>
      </c>
      <c r="J269" t="str">
        <f>IF($L269="","",IF(INDEX(tblRegistros[Data],$L269)&gt;$D$4,"",IFERROR(INDEX(tblRegistros[Status],$L269),"")))</f>
        <v/>
      </c>
      <c r="K269" t="str">
        <f>IF($L269="","",IF(INDEX(tblRegistros[Data],$L269)&gt;$D$4,"",IFERROR(INDEX(tblRegistros[Observação],$L269),"")))</f>
        <v/>
      </c>
      <c r="L269" s="16" t="str">
        <f>IFERROR(MATCH($B$3*100000+COUNTIFS(tblRegistros[ID],$B$3,tblRegistros[Data],"&lt;"&amp;$B$4)+ROWS($L$10:L269),tblRegistros[Chave do cartão],0),"")</f>
        <v/>
      </c>
    </row>
    <row r="270" spans="1:12">
      <c r="A270" s="2" t="str">
        <f>IF($L270="","",IF(INDEX(tblRegistros[Data],$L270)&gt;$D$4,"",IFERROR(INDEX(tblRegistros[Data],$L270),"")))</f>
        <v/>
      </c>
      <c r="B270" t="str">
        <f>IF($L270="","",IF(INDEX(tblRegistros[Data],$L270)&gt;$D$4,"",IFERROR(INDEX(tblRegistros[Projeto],$L270),"")))</f>
        <v/>
      </c>
      <c r="C270" t="str">
        <f>IF($L270="","",IF(INDEX(tblRegistros[Data],$L270)&gt;$D$4,"",IFERROR(INDEX(tblRegistros[Atividade],$L270),"")))</f>
        <v/>
      </c>
      <c r="D270" s="4" t="str">
        <f>IF($L270="","",IF(INDEX(tblRegistros[Data],$L270)&gt;$D$4,"",IFERROR(INDEX(tblRegistros[Início],$L270),"")))</f>
        <v/>
      </c>
      <c r="E270" s="4" t="str">
        <f>IF($L270="","",IF(INDEX(tblRegistros[Data],$L270)&gt;$D$4,"",IFERROR(IF(INDEX(tblRegistros[Status],$L270)="EM ABERTO","",INDEX(tblRegistros[Fim],$L270)),"")))</f>
        <v/>
      </c>
      <c r="F270" s="14" t="str">
        <f>IF($L270="","",IF(INDEX(tblRegistros[Data],$L270)&gt;$D$4,"",IFERROR(IF(INDEX(tblRegistros[Status],$L270)="EM ABERTO","",INDEX(tblRegistros[Horas],$L270)),"")))</f>
        <v/>
      </c>
      <c r="G270" t="str">
        <f>IF($L270="","",IF(INDEX(tblRegistros[Data],$L270)&gt;$D$4,"",IFERROR(INDEX(tblRegistros[Base],$L270),"")))</f>
        <v/>
      </c>
      <c r="H270" s="3" t="str">
        <f>IF($L270="","",IF(INDEX(tblRegistros[Data],$L270)&gt;$D$4,"",IFERROR(INDEX(tblRegistros[Taxa aplicada],$L270),"")))</f>
        <v/>
      </c>
      <c r="I270" s="3" t="str">
        <f>IF($L270="","",IF(INDEX(tblRegistros[Data],$L270)&gt;$D$4,"",IFERROR(IF(INDEX(tblRegistros[Status],$L270)="EM ABERTO","",INDEX(tblRegistros[Valor],$L270)),"")))</f>
        <v/>
      </c>
      <c r="J270" t="str">
        <f>IF($L270="","",IF(INDEX(tblRegistros[Data],$L270)&gt;$D$4,"",IFERROR(INDEX(tblRegistros[Status],$L270),"")))</f>
        <v/>
      </c>
      <c r="K270" t="str">
        <f>IF($L270="","",IF(INDEX(tblRegistros[Data],$L270)&gt;$D$4,"",IFERROR(INDEX(tblRegistros[Observação],$L270),"")))</f>
        <v/>
      </c>
      <c r="L270" s="16" t="str">
        <f>IFERROR(MATCH($B$3*100000+COUNTIFS(tblRegistros[ID],$B$3,tblRegistros[Data],"&lt;"&amp;$B$4)+ROWS($L$10:L270),tblRegistros[Chave do cartão],0),"")</f>
        <v/>
      </c>
    </row>
    <row r="271" spans="1:12">
      <c r="A271" s="2" t="str">
        <f>IF($L271="","",IF(INDEX(tblRegistros[Data],$L271)&gt;$D$4,"",IFERROR(INDEX(tblRegistros[Data],$L271),"")))</f>
        <v/>
      </c>
      <c r="B271" t="str">
        <f>IF($L271="","",IF(INDEX(tblRegistros[Data],$L271)&gt;$D$4,"",IFERROR(INDEX(tblRegistros[Projeto],$L271),"")))</f>
        <v/>
      </c>
      <c r="C271" t="str">
        <f>IF($L271="","",IF(INDEX(tblRegistros[Data],$L271)&gt;$D$4,"",IFERROR(INDEX(tblRegistros[Atividade],$L271),"")))</f>
        <v/>
      </c>
      <c r="D271" s="4" t="str">
        <f>IF($L271="","",IF(INDEX(tblRegistros[Data],$L271)&gt;$D$4,"",IFERROR(INDEX(tblRegistros[Início],$L271),"")))</f>
        <v/>
      </c>
      <c r="E271" s="4" t="str">
        <f>IF($L271="","",IF(INDEX(tblRegistros[Data],$L271)&gt;$D$4,"",IFERROR(IF(INDEX(tblRegistros[Status],$L271)="EM ABERTO","",INDEX(tblRegistros[Fim],$L271)),"")))</f>
        <v/>
      </c>
      <c r="F271" s="14" t="str">
        <f>IF($L271="","",IF(INDEX(tblRegistros[Data],$L271)&gt;$D$4,"",IFERROR(IF(INDEX(tblRegistros[Status],$L271)="EM ABERTO","",INDEX(tblRegistros[Horas],$L271)),"")))</f>
        <v/>
      </c>
      <c r="G271" t="str">
        <f>IF($L271="","",IF(INDEX(tblRegistros[Data],$L271)&gt;$D$4,"",IFERROR(INDEX(tblRegistros[Base],$L271),"")))</f>
        <v/>
      </c>
      <c r="H271" s="3" t="str">
        <f>IF($L271="","",IF(INDEX(tblRegistros[Data],$L271)&gt;$D$4,"",IFERROR(INDEX(tblRegistros[Taxa aplicada],$L271),"")))</f>
        <v/>
      </c>
      <c r="I271" s="3" t="str">
        <f>IF($L271="","",IF(INDEX(tblRegistros[Data],$L271)&gt;$D$4,"",IFERROR(IF(INDEX(tblRegistros[Status],$L271)="EM ABERTO","",INDEX(tblRegistros[Valor],$L271)),"")))</f>
        <v/>
      </c>
      <c r="J271" t="str">
        <f>IF($L271="","",IF(INDEX(tblRegistros[Data],$L271)&gt;$D$4,"",IFERROR(INDEX(tblRegistros[Status],$L271),"")))</f>
        <v/>
      </c>
      <c r="K271" t="str">
        <f>IF($L271="","",IF(INDEX(tblRegistros[Data],$L271)&gt;$D$4,"",IFERROR(INDEX(tblRegistros[Observação],$L271),"")))</f>
        <v/>
      </c>
      <c r="L271" s="16" t="str">
        <f>IFERROR(MATCH($B$3*100000+COUNTIFS(tblRegistros[ID],$B$3,tblRegistros[Data],"&lt;"&amp;$B$4)+ROWS($L$10:L271),tblRegistros[Chave do cartão],0),"")</f>
        <v/>
      </c>
    </row>
    <row r="272" spans="1:12">
      <c r="A272" s="2" t="str">
        <f>IF($L272="","",IF(INDEX(tblRegistros[Data],$L272)&gt;$D$4,"",IFERROR(INDEX(tblRegistros[Data],$L272),"")))</f>
        <v/>
      </c>
      <c r="B272" t="str">
        <f>IF($L272="","",IF(INDEX(tblRegistros[Data],$L272)&gt;$D$4,"",IFERROR(INDEX(tblRegistros[Projeto],$L272),"")))</f>
        <v/>
      </c>
      <c r="C272" t="str">
        <f>IF($L272="","",IF(INDEX(tblRegistros[Data],$L272)&gt;$D$4,"",IFERROR(INDEX(tblRegistros[Atividade],$L272),"")))</f>
        <v/>
      </c>
      <c r="D272" s="4" t="str">
        <f>IF($L272="","",IF(INDEX(tblRegistros[Data],$L272)&gt;$D$4,"",IFERROR(INDEX(tblRegistros[Início],$L272),"")))</f>
        <v/>
      </c>
      <c r="E272" s="4" t="str">
        <f>IF($L272="","",IF(INDEX(tblRegistros[Data],$L272)&gt;$D$4,"",IFERROR(IF(INDEX(tblRegistros[Status],$L272)="EM ABERTO","",INDEX(tblRegistros[Fim],$L272)),"")))</f>
        <v/>
      </c>
      <c r="F272" s="14" t="str">
        <f>IF($L272="","",IF(INDEX(tblRegistros[Data],$L272)&gt;$D$4,"",IFERROR(IF(INDEX(tblRegistros[Status],$L272)="EM ABERTO","",INDEX(tblRegistros[Horas],$L272)),"")))</f>
        <v/>
      </c>
      <c r="G272" t="str">
        <f>IF($L272="","",IF(INDEX(tblRegistros[Data],$L272)&gt;$D$4,"",IFERROR(INDEX(tblRegistros[Base],$L272),"")))</f>
        <v/>
      </c>
      <c r="H272" s="3" t="str">
        <f>IF($L272="","",IF(INDEX(tblRegistros[Data],$L272)&gt;$D$4,"",IFERROR(INDEX(tblRegistros[Taxa aplicada],$L272),"")))</f>
        <v/>
      </c>
      <c r="I272" s="3" t="str">
        <f>IF($L272="","",IF(INDEX(tblRegistros[Data],$L272)&gt;$D$4,"",IFERROR(IF(INDEX(tblRegistros[Status],$L272)="EM ABERTO","",INDEX(tblRegistros[Valor],$L272)),"")))</f>
        <v/>
      </c>
      <c r="J272" t="str">
        <f>IF($L272="","",IF(INDEX(tblRegistros[Data],$L272)&gt;$D$4,"",IFERROR(INDEX(tblRegistros[Status],$L272),"")))</f>
        <v/>
      </c>
      <c r="K272" t="str">
        <f>IF($L272="","",IF(INDEX(tblRegistros[Data],$L272)&gt;$D$4,"",IFERROR(INDEX(tblRegistros[Observação],$L272),"")))</f>
        <v/>
      </c>
      <c r="L272" s="16" t="str">
        <f>IFERROR(MATCH($B$3*100000+COUNTIFS(tblRegistros[ID],$B$3,tblRegistros[Data],"&lt;"&amp;$B$4)+ROWS($L$10:L272),tblRegistros[Chave do cartão],0),"")</f>
        <v/>
      </c>
    </row>
    <row r="273" spans="1:12">
      <c r="A273" s="2" t="str">
        <f>IF($L273="","",IF(INDEX(tblRegistros[Data],$L273)&gt;$D$4,"",IFERROR(INDEX(tblRegistros[Data],$L273),"")))</f>
        <v/>
      </c>
      <c r="B273" t="str">
        <f>IF($L273="","",IF(INDEX(tblRegistros[Data],$L273)&gt;$D$4,"",IFERROR(INDEX(tblRegistros[Projeto],$L273),"")))</f>
        <v/>
      </c>
      <c r="C273" t="str">
        <f>IF($L273="","",IF(INDEX(tblRegistros[Data],$L273)&gt;$D$4,"",IFERROR(INDEX(tblRegistros[Atividade],$L273),"")))</f>
        <v/>
      </c>
      <c r="D273" s="4" t="str">
        <f>IF($L273="","",IF(INDEX(tblRegistros[Data],$L273)&gt;$D$4,"",IFERROR(INDEX(tblRegistros[Início],$L273),"")))</f>
        <v/>
      </c>
      <c r="E273" s="4" t="str">
        <f>IF($L273="","",IF(INDEX(tblRegistros[Data],$L273)&gt;$D$4,"",IFERROR(IF(INDEX(tblRegistros[Status],$L273)="EM ABERTO","",INDEX(tblRegistros[Fim],$L273)),"")))</f>
        <v/>
      </c>
      <c r="F273" s="14" t="str">
        <f>IF($L273="","",IF(INDEX(tblRegistros[Data],$L273)&gt;$D$4,"",IFERROR(IF(INDEX(tblRegistros[Status],$L273)="EM ABERTO","",INDEX(tblRegistros[Horas],$L273)),"")))</f>
        <v/>
      </c>
      <c r="G273" t="str">
        <f>IF($L273="","",IF(INDEX(tblRegistros[Data],$L273)&gt;$D$4,"",IFERROR(INDEX(tblRegistros[Base],$L273),"")))</f>
        <v/>
      </c>
      <c r="H273" s="3" t="str">
        <f>IF($L273="","",IF(INDEX(tblRegistros[Data],$L273)&gt;$D$4,"",IFERROR(INDEX(tblRegistros[Taxa aplicada],$L273),"")))</f>
        <v/>
      </c>
      <c r="I273" s="3" t="str">
        <f>IF($L273="","",IF(INDEX(tblRegistros[Data],$L273)&gt;$D$4,"",IFERROR(IF(INDEX(tblRegistros[Status],$L273)="EM ABERTO","",INDEX(tblRegistros[Valor],$L273)),"")))</f>
        <v/>
      </c>
      <c r="J273" t="str">
        <f>IF($L273="","",IF(INDEX(tblRegistros[Data],$L273)&gt;$D$4,"",IFERROR(INDEX(tblRegistros[Status],$L273),"")))</f>
        <v/>
      </c>
      <c r="K273" t="str">
        <f>IF($L273="","",IF(INDEX(tblRegistros[Data],$L273)&gt;$D$4,"",IFERROR(INDEX(tblRegistros[Observação],$L273),"")))</f>
        <v/>
      </c>
      <c r="L273" s="16" t="str">
        <f>IFERROR(MATCH($B$3*100000+COUNTIFS(tblRegistros[ID],$B$3,tblRegistros[Data],"&lt;"&amp;$B$4)+ROWS($L$10:L273),tblRegistros[Chave do cartão],0),"")</f>
        <v/>
      </c>
    </row>
    <row r="274" spans="1:12">
      <c r="A274" s="2" t="str">
        <f>IF($L274="","",IF(INDEX(tblRegistros[Data],$L274)&gt;$D$4,"",IFERROR(INDEX(tblRegistros[Data],$L274),"")))</f>
        <v/>
      </c>
      <c r="B274" t="str">
        <f>IF($L274="","",IF(INDEX(tblRegistros[Data],$L274)&gt;$D$4,"",IFERROR(INDEX(tblRegistros[Projeto],$L274),"")))</f>
        <v/>
      </c>
      <c r="C274" t="str">
        <f>IF($L274="","",IF(INDEX(tblRegistros[Data],$L274)&gt;$D$4,"",IFERROR(INDEX(tblRegistros[Atividade],$L274),"")))</f>
        <v/>
      </c>
      <c r="D274" s="4" t="str">
        <f>IF($L274="","",IF(INDEX(tblRegistros[Data],$L274)&gt;$D$4,"",IFERROR(INDEX(tblRegistros[Início],$L274),"")))</f>
        <v/>
      </c>
      <c r="E274" s="4" t="str">
        <f>IF($L274="","",IF(INDEX(tblRegistros[Data],$L274)&gt;$D$4,"",IFERROR(IF(INDEX(tblRegistros[Status],$L274)="EM ABERTO","",INDEX(tblRegistros[Fim],$L274)),"")))</f>
        <v/>
      </c>
      <c r="F274" s="14" t="str">
        <f>IF($L274="","",IF(INDEX(tblRegistros[Data],$L274)&gt;$D$4,"",IFERROR(IF(INDEX(tblRegistros[Status],$L274)="EM ABERTO","",INDEX(tblRegistros[Horas],$L274)),"")))</f>
        <v/>
      </c>
      <c r="G274" t="str">
        <f>IF($L274="","",IF(INDEX(tblRegistros[Data],$L274)&gt;$D$4,"",IFERROR(INDEX(tblRegistros[Base],$L274),"")))</f>
        <v/>
      </c>
      <c r="H274" s="3" t="str">
        <f>IF($L274="","",IF(INDEX(tblRegistros[Data],$L274)&gt;$D$4,"",IFERROR(INDEX(tblRegistros[Taxa aplicada],$L274),"")))</f>
        <v/>
      </c>
      <c r="I274" s="3" t="str">
        <f>IF($L274="","",IF(INDEX(tblRegistros[Data],$L274)&gt;$D$4,"",IFERROR(IF(INDEX(tblRegistros[Status],$L274)="EM ABERTO","",INDEX(tblRegistros[Valor],$L274)),"")))</f>
        <v/>
      </c>
      <c r="J274" t="str">
        <f>IF($L274="","",IF(INDEX(tblRegistros[Data],$L274)&gt;$D$4,"",IFERROR(INDEX(tblRegistros[Status],$L274),"")))</f>
        <v/>
      </c>
      <c r="K274" t="str">
        <f>IF($L274="","",IF(INDEX(tblRegistros[Data],$L274)&gt;$D$4,"",IFERROR(INDEX(tblRegistros[Observação],$L274),"")))</f>
        <v/>
      </c>
      <c r="L274" s="16" t="str">
        <f>IFERROR(MATCH($B$3*100000+COUNTIFS(tblRegistros[ID],$B$3,tblRegistros[Data],"&lt;"&amp;$B$4)+ROWS($L$10:L274),tblRegistros[Chave do cartão],0),"")</f>
        <v/>
      </c>
    </row>
    <row r="275" spans="1:12">
      <c r="A275" s="2" t="str">
        <f>IF($L275="","",IF(INDEX(tblRegistros[Data],$L275)&gt;$D$4,"",IFERROR(INDEX(tblRegistros[Data],$L275),"")))</f>
        <v/>
      </c>
      <c r="B275" t="str">
        <f>IF($L275="","",IF(INDEX(tblRegistros[Data],$L275)&gt;$D$4,"",IFERROR(INDEX(tblRegistros[Projeto],$L275),"")))</f>
        <v/>
      </c>
      <c r="C275" t="str">
        <f>IF($L275="","",IF(INDEX(tblRegistros[Data],$L275)&gt;$D$4,"",IFERROR(INDEX(tblRegistros[Atividade],$L275),"")))</f>
        <v/>
      </c>
      <c r="D275" s="4" t="str">
        <f>IF($L275="","",IF(INDEX(tblRegistros[Data],$L275)&gt;$D$4,"",IFERROR(INDEX(tblRegistros[Início],$L275),"")))</f>
        <v/>
      </c>
      <c r="E275" s="4" t="str">
        <f>IF($L275="","",IF(INDEX(tblRegistros[Data],$L275)&gt;$D$4,"",IFERROR(IF(INDEX(tblRegistros[Status],$L275)="EM ABERTO","",INDEX(tblRegistros[Fim],$L275)),"")))</f>
        <v/>
      </c>
      <c r="F275" s="14" t="str">
        <f>IF($L275="","",IF(INDEX(tblRegistros[Data],$L275)&gt;$D$4,"",IFERROR(IF(INDEX(tblRegistros[Status],$L275)="EM ABERTO","",INDEX(tblRegistros[Horas],$L275)),"")))</f>
        <v/>
      </c>
      <c r="G275" t="str">
        <f>IF($L275="","",IF(INDEX(tblRegistros[Data],$L275)&gt;$D$4,"",IFERROR(INDEX(tblRegistros[Base],$L275),"")))</f>
        <v/>
      </c>
      <c r="H275" s="3" t="str">
        <f>IF($L275="","",IF(INDEX(tblRegistros[Data],$L275)&gt;$D$4,"",IFERROR(INDEX(tblRegistros[Taxa aplicada],$L275),"")))</f>
        <v/>
      </c>
      <c r="I275" s="3" t="str">
        <f>IF($L275="","",IF(INDEX(tblRegistros[Data],$L275)&gt;$D$4,"",IFERROR(IF(INDEX(tblRegistros[Status],$L275)="EM ABERTO","",INDEX(tblRegistros[Valor],$L275)),"")))</f>
        <v/>
      </c>
      <c r="J275" t="str">
        <f>IF($L275="","",IF(INDEX(tblRegistros[Data],$L275)&gt;$D$4,"",IFERROR(INDEX(tblRegistros[Status],$L275),"")))</f>
        <v/>
      </c>
      <c r="K275" t="str">
        <f>IF($L275="","",IF(INDEX(tblRegistros[Data],$L275)&gt;$D$4,"",IFERROR(INDEX(tblRegistros[Observação],$L275),"")))</f>
        <v/>
      </c>
      <c r="L275" s="16" t="str">
        <f>IFERROR(MATCH($B$3*100000+COUNTIFS(tblRegistros[ID],$B$3,tblRegistros[Data],"&lt;"&amp;$B$4)+ROWS($L$10:L275),tblRegistros[Chave do cartão],0),"")</f>
        <v/>
      </c>
    </row>
    <row r="276" spans="1:12">
      <c r="A276" s="2" t="str">
        <f>IF($L276="","",IF(INDEX(tblRegistros[Data],$L276)&gt;$D$4,"",IFERROR(INDEX(tblRegistros[Data],$L276),"")))</f>
        <v/>
      </c>
      <c r="B276" t="str">
        <f>IF($L276="","",IF(INDEX(tblRegistros[Data],$L276)&gt;$D$4,"",IFERROR(INDEX(tblRegistros[Projeto],$L276),"")))</f>
        <v/>
      </c>
      <c r="C276" t="str">
        <f>IF($L276="","",IF(INDEX(tblRegistros[Data],$L276)&gt;$D$4,"",IFERROR(INDEX(tblRegistros[Atividade],$L276),"")))</f>
        <v/>
      </c>
      <c r="D276" s="4" t="str">
        <f>IF($L276="","",IF(INDEX(tblRegistros[Data],$L276)&gt;$D$4,"",IFERROR(INDEX(tblRegistros[Início],$L276),"")))</f>
        <v/>
      </c>
      <c r="E276" s="4" t="str">
        <f>IF($L276="","",IF(INDEX(tblRegistros[Data],$L276)&gt;$D$4,"",IFERROR(IF(INDEX(tblRegistros[Status],$L276)="EM ABERTO","",INDEX(tblRegistros[Fim],$L276)),"")))</f>
        <v/>
      </c>
      <c r="F276" s="14" t="str">
        <f>IF($L276="","",IF(INDEX(tblRegistros[Data],$L276)&gt;$D$4,"",IFERROR(IF(INDEX(tblRegistros[Status],$L276)="EM ABERTO","",INDEX(tblRegistros[Horas],$L276)),"")))</f>
        <v/>
      </c>
      <c r="G276" t="str">
        <f>IF($L276="","",IF(INDEX(tblRegistros[Data],$L276)&gt;$D$4,"",IFERROR(INDEX(tblRegistros[Base],$L276),"")))</f>
        <v/>
      </c>
      <c r="H276" s="3" t="str">
        <f>IF($L276="","",IF(INDEX(tblRegistros[Data],$L276)&gt;$D$4,"",IFERROR(INDEX(tblRegistros[Taxa aplicada],$L276),"")))</f>
        <v/>
      </c>
      <c r="I276" s="3" t="str">
        <f>IF($L276="","",IF(INDEX(tblRegistros[Data],$L276)&gt;$D$4,"",IFERROR(IF(INDEX(tblRegistros[Status],$L276)="EM ABERTO","",INDEX(tblRegistros[Valor],$L276)),"")))</f>
        <v/>
      </c>
      <c r="J276" t="str">
        <f>IF($L276="","",IF(INDEX(tblRegistros[Data],$L276)&gt;$D$4,"",IFERROR(INDEX(tblRegistros[Status],$L276),"")))</f>
        <v/>
      </c>
      <c r="K276" t="str">
        <f>IF($L276="","",IF(INDEX(tblRegistros[Data],$L276)&gt;$D$4,"",IFERROR(INDEX(tblRegistros[Observação],$L276),"")))</f>
        <v/>
      </c>
      <c r="L276" s="16" t="str">
        <f>IFERROR(MATCH($B$3*100000+COUNTIFS(tblRegistros[ID],$B$3,tblRegistros[Data],"&lt;"&amp;$B$4)+ROWS($L$10:L276),tblRegistros[Chave do cartão],0),"")</f>
        <v/>
      </c>
    </row>
    <row r="277" spans="1:12">
      <c r="A277" s="2" t="str">
        <f>IF($L277="","",IF(INDEX(tblRegistros[Data],$L277)&gt;$D$4,"",IFERROR(INDEX(tblRegistros[Data],$L277),"")))</f>
        <v/>
      </c>
      <c r="B277" t="str">
        <f>IF($L277="","",IF(INDEX(tblRegistros[Data],$L277)&gt;$D$4,"",IFERROR(INDEX(tblRegistros[Projeto],$L277),"")))</f>
        <v/>
      </c>
      <c r="C277" t="str">
        <f>IF($L277="","",IF(INDEX(tblRegistros[Data],$L277)&gt;$D$4,"",IFERROR(INDEX(tblRegistros[Atividade],$L277),"")))</f>
        <v/>
      </c>
      <c r="D277" s="4" t="str">
        <f>IF($L277="","",IF(INDEX(tblRegistros[Data],$L277)&gt;$D$4,"",IFERROR(INDEX(tblRegistros[Início],$L277),"")))</f>
        <v/>
      </c>
      <c r="E277" s="4" t="str">
        <f>IF($L277="","",IF(INDEX(tblRegistros[Data],$L277)&gt;$D$4,"",IFERROR(IF(INDEX(tblRegistros[Status],$L277)="EM ABERTO","",INDEX(tblRegistros[Fim],$L277)),"")))</f>
        <v/>
      </c>
      <c r="F277" s="14" t="str">
        <f>IF($L277="","",IF(INDEX(tblRegistros[Data],$L277)&gt;$D$4,"",IFERROR(IF(INDEX(tblRegistros[Status],$L277)="EM ABERTO","",INDEX(tblRegistros[Horas],$L277)),"")))</f>
        <v/>
      </c>
      <c r="G277" t="str">
        <f>IF($L277="","",IF(INDEX(tblRegistros[Data],$L277)&gt;$D$4,"",IFERROR(INDEX(tblRegistros[Base],$L277),"")))</f>
        <v/>
      </c>
      <c r="H277" s="3" t="str">
        <f>IF($L277="","",IF(INDEX(tblRegistros[Data],$L277)&gt;$D$4,"",IFERROR(INDEX(tblRegistros[Taxa aplicada],$L277),"")))</f>
        <v/>
      </c>
      <c r="I277" s="3" t="str">
        <f>IF($L277="","",IF(INDEX(tblRegistros[Data],$L277)&gt;$D$4,"",IFERROR(IF(INDEX(tblRegistros[Status],$L277)="EM ABERTO","",INDEX(tblRegistros[Valor],$L277)),"")))</f>
        <v/>
      </c>
      <c r="J277" t="str">
        <f>IF($L277="","",IF(INDEX(tblRegistros[Data],$L277)&gt;$D$4,"",IFERROR(INDEX(tblRegistros[Status],$L277),"")))</f>
        <v/>
      </c>
      <c r="K277" t="str">
        <f>IF($L277="","",IF(INDEX(tblRegistros[Data],$L277)&gt;$D$4,"",IFERROR(INDEX(tblRegistros[Observação],$L277),"")))</f>
        <v/>
      </c>
      <c r="L277" s="16" t="str">
        <f>IFERROR(MATCH($B$3*100000+COUNTIFS(tblRegistros[ID],$B$3,tblRegistros[Data],"&lt;"&amp;$B$4)+ROWS($L$10:L277),tblRegistros[Chave do cartão],0),"")</f>
        <v/>
      </c>
    </row>
    <row r="278" spans="1:12">
      <c r="A278" s="2" t="str">
        <f>IF($L278="","",IF(INDEX(tblRegistros[Data],$L278)&gt;$D$4,"",IFERROR(INDEX(tblRegistros[Data],$L278),"")))</f>
        <v/>
      </c>
      <c r="B278" t="str">
        <f>IF($L278="","",IF(INDEX(tblRegistros[Data],$L278)&gt;$D$4,"",IFERROR(INDEX(tblRegistros[Projeto],$L278),"")))</f>
        <v/>
      </c>
      <c r="C278" t="str">
        <f>IF($L278="","",IF(INDEX(tblRegistros[Data],$L278)&gt;$D$4,"",IFERROR(INDEX(tblRegistros[Atividade],$L278),"")))</f>
        <v/>
      </c>
      <c r="D278" s="4" t="str">
        <f>IF($L278="","",IF(INDEX(tblRegistros[Data],$L278)&gt;$D$4,"",IFERROR(INDEX(tblRegistros[Início],$L278),"")))</f>
        <v/>
      </c>
      <c r="E278" s="4" t="str">
        <f>IF($L278="","",IF(INDEX(tblRegistros[Data],$L278)&gt;$D$4,"",IFERROR(IF(INDEX(tblRegistros[Status],$L278)="EM ABERTO","",INDEX(tblRegistros[Fim],$L278)),"")))</f>
        <v/>
      </c>
      <c r="F278" s="14" t="str">
        <f>IF($L278="","",IF(INDEX(tblRegistros[Data],$L278)&gt;$D$4,"",IFERROR(IF(INDEX(tblRegistros[Status],$L278)="EM ABERTO","",INDEX(tblRegistros[Horas],$L278)),"")))</f>
        <v/>
      </c>
      <c r="G278" t="str">
        <f>IF($L278="","",IF(INDEX(tblRegistros[Data],$L278)&gt;$D$4,"",IFERROR(INDEX(tblRegistros[Base],$L278),"")))</f>
        <v/>
      </c>
      <c r="H278" s="3" t="str">
        <f>IF($L278="","",IF(INDEX(tblRegistros[Data],$L278)&gt;$D$4,"",IFERROR(INDEX(tblRegistros[Taxa aplicada],$L278),"")))</f>
        <v/>
      </c>
      <c r="I278" s="3" t="str">
        <f>IF($L278="","",IF(INDEX(tblRegistros[Data],$L278)&gt;$D$4,"",IFERROR(IF(INDEX(tblRegistros[Status],$L278)="EM ABERTO","",INDEX(tblRegistros[Valor],$L278)),"")))</f>
        <v/>
      </c>
      <c r="J278" t="str">
        <f>IF($L278="","",IF(INDEX(tblRegistros[Data],$L278)&gt;$D$4,"",IFERROR(INDEX(tblRegistros[Status],$L278),"")))</f>
        <v/>
      </c>
      <c r="K278" t="str">
        <f>IF($L278="","",IF(INDEX(tblRegistros[Data],$L278)&gt;$D$4,"",IFERROR(INDEX(tblRegistros[Observação],$L278),"")))</f>
        <v/>
      </c>
      <c r="L278" s="16" t="str">
        <f>IFERROR(MATCH($B$3*100000+COUNTIFS(tblRegistros[ID],$B$3,tblRegistros[Data],"&lt;"&amp;$B$4)+ROWS($L$10:L278),tblRegistros[Chave do cartão],0),"")</f>
        <v/>
      </c>
    </row>
    <row r="279" spans="1:12">
      <c r="A279" s="2" t="str">
        <f>IF($L279="","",IF(INDEX(tblRegistros[Data],$L279)&gt;$D$4,"",IFERROR(INDEX(tblRegistros[Data],$L279),"")))</f>
        <v/>
      </c>
      <c r="B279" t="str">
        <f>IF($L279="","",IF(INDEX(tblRegistros[Data],$L279)&gt;$D$4,"",IFERROR(INDEX(tblRegistros[Projeto],$L279),"")))</f>
        <v/>
      </c>
      <c r="C279" t="str">
        <f>IF($L279="","",IF(INDEX(tblRegistros[Data],$L279)&gt;$D$4,"",IFERROR(INDEX(tblRegistros[Atividade],$L279),"")))</f>
        <v/>
      </c>
      <c r="D279" s="4" t="str">
        <f>IF($L279="","",IF(INDEX(tblRegistros[Data],$L279)&gt;$D$4,"",IFERROR(INDEX(tblRegistros[Início],$L279),"")))</f>
        <v/>
      </c>
      <c r="E279" s="4" t="str">
        <f>IF($L279="","",IF(INDEX(tblRegistros[Data],$L279)&gt;$D$4,"",IFERROR(IF(INDEX(tblRegistros[Status],$L279)="EM ABERTO","",INDEX(tblRegistros[Fim],$L279)),"")))</f>
        <v/>
      </c>
      <c r="F279" s="14" t="str">
        <f>IF($L279="","",IF(INDEX(tblRegistros[Data],$L279)&gt;$D$4,"",IFERROR(IF(INDEX(tblRegistros[Status],$L279)="EM ABERTO","",INDEX(tblRegistros[Horas],$L279)),"")))</f>
        <v/>
      </c>
      <c r="G279" t="str">
        <f>IF($L279="","",IF(INDEX(tblRegistros[Data],$L279)&gt;$D$4,"",IFERROR(INDEX(tblRegistros[Base],$L279),"")))</f>
        <v/>
      </c>
      <c r="H279" s="3" t="str">
        <f>IF($L279="","",IF(INDEX(tblRegistros[Data],$L279)&gt;$D$4,"",IFERROR(INDEX(tblRegistros[Taxa aplicada],$L279),"")))</f>
        <v/>
      </c>
      <c r="I279" s="3" t="str">
        <f>IF($L279="","",IF(INDEX(tblRegistros[Data],$L279)&gt;$D$4,"",IFERROR(IF(INDEX(tblRegistros[Status],$L279)="EM ABERTO","",INDEX(tblRegistros[Valor],$L279)),"")))</f>
        <v/>
      </c>
      <c r="J279" t="str">
        <f>IF($L279="","",IF(INDEX(tblRegistros[Data],$L279)&gt;$D$4,"",IFERROR(INDEX(tblRegistros[Status],$L279),"")))</f>
        <v/>
      </c>
      <c r="K279" t="str">
        <f>IF($L279="","",IF(INDEX(tblRegistros[Data],$L279)&gt;$D$4,"",IFERROR(INDEX(tblRegistros[Observação],$L279),"")))</f>
        <v/>
      </c>
      <c r="L279" s="16" t="str">
        <f>IFERROR(MATCH($B$3*100000+COUNTIFS(tblRegistros[ID],$B$3,tblRegistros[Data],"&lt;"&amp;$B$4)+ROWS($L$10:L279),tblRegistros[Chave do cartão],0),"")</f>
        <v/>
      </c>
    </row>
    <row r="280" spans="1:12">
      <c r="A280" s="2" t="str">
        <f>IF($L280="","",IF(INDEX(tblRegistros[Data],$L280)&gt;$D$4,"",IFERROR(INDEX(tblRegistros[Data],$L280),"")))</f>
        <v/>
      </c>
      <c r="B280" t="str">
        <f>IF($L280="","",IF(INDEX(tblRegistros[Data],$L280)&gt;$D$4,"",IFERROR(INDEX(tblRegistros[Projeto],$L280),"")))</f>
        <v/>
      </c>
      <c r="C280" t="str">
        <f>IF($L280="","",IF(INDEX(tblRegistros[Data],$L280)&gt;$D$4,"",IFERROR(INDEX(tblRegistros[Atividade],$L280),"")))</f>
        <v/>
      </c>
      <c r="D280" s="4" t="str">
        <f>IF($L280="","",IF(INDEX(tblRegistros[Data],$L280)&gt;$D$4,"",IFERROR(INDEX(tblRegistros[Início],$L280),"")))</f>
        <v/>
      </c>
      <c r="E280" s="4" t="str">
        <f>IF($L280="","",IF(INDEX(tblRegistros[Data],$L280)&gt;$D$4,"",IFERROR(IF(INDEX(tblRegistros[Status],$L280)="EM ABERTO","",INDEX(tblRegistros[Fim],$L280)),"")))</f>
        <v/>
      </c>
      <c r="F280" s="14" t="str">
        <f>IF($L280="","",IF(INDEX(tblRegistros[Data],$L280)&gt;$D$4,"",IFERROR(IF(INDEX(tblRegistros[Status],$L280)="EM ABERTO","",INDEX(tblRegistros[Horas],$L280)),"")))</f>
        <v/>
      </c>
      <c r="G280" t="str">
        <f>IF($L280="","",IF(INDEX(tblRegistros[Data],$L280)&gt;$D$4,"",IFERROR(INDEX(tblRegistros[Base],$L280),"")))</f>
        <v/>
      </c>
      <c r="H280" s="3" t="str">
        <f>IF($L280="","",IF(INDEX(tblRegistros[Data],$L280)&gt;$D$4,"",IFERROR(INDEX(tblRegistros[Taxa aplicada],$L280),"")))</f>
        <v/>
      </c>
      <c r="I280" s="3" t="str">
        <f>IF($L280="","",IF(INDEX(tblRegistros[Data],$L280)&gt;$D$4,"",IFERROR(IF(INDEX(tblRegistros[Status],$L280)="EM ABERTO","",INDEX(tblRegistros[Valor],$L280)),"")))</f>
        <v/>
      </c>
      <c r="J280" t="str">
        <f>IF($L280="","",IF(INDEX(tblRegistros[Data],$L280)&gt;$D$4,"",IFERROR(INDEX(tblRegistros[Status],$L280),"")))</f>
        <v/>
      </c>
      <c r="K280" t="str">
        <f>IF($L280="","",IF(INDEX(tblRegistros[Data],$L280)&gt;$D$4,"",IFERROR(INDEX(tblRegistros[Observação],$L280),"")))</f>
        <v/>
      </c>
      <c r="L280" s="16" t="str">
        <f>IFERROR(MATCH($B$3*100000+COUNTIFS(tblRegistros[ID],$B$3,tblRegistros[Data],"&lt;"&amp;$B$4)+ROWS($L$10:L280),tblRegistros[Chave do cartão],0),"")</f>
        <v/>
      </c>
    </row>
    <row r="281" spans="1:12">
      <c r="A281" s="2" t="str">
        <f>IF($L281="","",IF(INDEX(tblRegistros[Data],$L281)&gt;$D$4,"",IFERROR(INDEX(tblRegistros[Data],$L281),"")))</f>
        <v/>
      </c>
      <c r="B281" t="str">
        <f>IF($L281="","",IF(INDEX(tblRegistros[Data],$L281)&gt;$D$4,"",IFERROR(INDEX(tblRegistros[Projeto],$L281),"")))</f>
        <v/>
      </c>
      <c r="C281" t="str">
        <f>IF($L281="","",IF(INDEX(tblRegistros[Data],$L281)&gt;$D$4,"",IFERROR(INDEX(tblRegistros[Atividade],$L281),"")))</f>
        <v/>
      </c>
      <c r="D281" s="4" t="str">
        <f>IF($L281="","",IF(INDEX(tblRegistros[Data],$L281)&gt;$D$4,"",IFERROR(INDEX(tblRegistros[Início],$L281),"")))</f>
        <v/>
      </c>
      <c r="E281" s="4" t="str">
        <f>IF($L281="","",IF(INDEX(tblRegistros[Data],$L281)&gt;$D$4,"",IFERROR(IF(INDEX(tblRegistros[Status],$L281)="EM ABERTO","",INDEX(tblRegistros[Fim],$L281)),"")))</f>
        <v/>
      </c>
      <c r="F281" s="14" t="str">
        <f>IF($L281="","",IF(INDEX(tblRegistros[Data],$L281)&gt;$D$4,"",IFERROR(IF(INDEX(tblRegistros[Status],$L281)="EM ABERTO","",INDEX(tblRegistros[Horas],$L281)),"")))</f>
        <v/>
      </c>
      <c r="G281" t="str">
        <f>IF($L281="","",IF(INDEX(tblRegistros[Data],$L281)&gt;$D$4,"",IFERROR(INDEX(tblRegistros[Base],$L281),"")))</f>
        <v/>
      </c>
      <c r="H281" s="3" t="str">
        <f>IF($L281="","",IF(INDEX(tblRegistros[Data],$L281)&gt;$D$4,"",IFERROR(INDEX(tblRegistros[Taxa aplicada],$L281),"")))</f>
        <v/>
      </c>
      <c r="I281" s="3" t="str">
        <f>IF($L281="","",IF(INDEX(tblRegistros[Data],$L281)&gt;$D$4,"",IFERROR(IF(INDEX(tblRegistros[Status],$L281)="EM ABERTO","",INDEX(tblRegistros[Valor],$L281)),"")))</f>
        <v/>
      </c>
      <c r="J281" t="str">
        <f>IF($L281="","",IF(INDEX(tblRegistros[Data],$L281)&gt;$D$4,"",IFERROR(INDEX(tblRegistros[Status],$L281),"")))</f>
        <v/>
      </c>
      <c r="K281" t="str">
        <f>IF($L281="","",IF(INDEX(tblRegistros[Data],$L281)&gt;$D$4,"",IFERROR(INDEX(tblRegistros[Observação],$L281),"")))</f>
        <v/>
      </c>
      <c r="L281" s="16" t="str">
        <f>IFERROR(MATCH($B$3*100000+COUNTIFS(tblRegistros[ID],$B$3,tblRegistros[Data],"&lt;"&amp;$B$4)+ROWS($L$10:L281),tblRegistros[Chave do cartão],0),"")</f>
        <v/>
      </c>
    </row>
    <row r="282" spans="1:12">
      <c r="A282" s="2" t="str">
        <f>IF($L282="","",IF(INDEX(tblRegistros[Data],$L282)&gt;$D$4,"",IFERROR(INDEX(tblRegistros[Data],$L282),"")))</f>
        <v/>
      </c>
      <c r="B282" t="str">
        <f>IF($L282="","",IF(INDEX(tblRegistros[Data],$L282)&gt;$D$4,"",IFERROR(INDEX(tblRegistros[Projeto],$L282),"")))</f>
        <v/>
      </c>
      <c r="C282" t="str">
        <f>IF($L282="","",IF(INDEX(tblRegistros[Data],$L282)&gt;$D$4,"",IFERROR(INDEX(tblRegistros[Atividade],$L282),"")))</f>
        <v/>
      </c>
      <c r="D282" s="4" t="str">
        <f>IF($L282="","",IF(INDEX(tblRegistros[Data],$L282)&gt;$D$4,"",IFERROR(INDEX(tblRegistros[Início],$L282),"")))</f>
        <v/>
      </c>
      <c r="E282" s="4" t="str">
        <f>IF($L282="","",IF(INDEX(tblRegistros[Data],$L282)&gt;$D$4,"",IFERROR(IF(INDEX(tblRegistros[Status],$L282)="EM ABERTO","",INDEX(tblRegistros[Fim],$L282)),"")))</f>
        <v/>
      </c>
      <c r="F282" s="14" t="str">
        <f>IF($L282="","",IF(INDEX(tblRegistros[Data],$L282)&gt;$D$4,"",IFERROR(IF(INDEX(tblRegistros[Status],$L282)="EM ABERTO","",INDEX(tblRegistros[Horas],$L282)),"")))</f>
        <v/>
      </c>
      <c r="G282" t="str">
        <f>IF($L282="","",IF(INDEX(tblRegistros[Data],$L282)&gt;$D$4,"",IFERROR(INDEX(tblRegistros[Base],$L282),"")))</f>
        <v/>
      </c>
      <c r="H282" s="3" t="str">
        <f>IF($L282="","",IF(INDEX(tblRegistros[Data],$L282)&gt;$D$4,"",IFERROR(INDEX(tblRegistros[Taxa aplicada],$L282),"")))</f>
        <v/>
      </c>
      <c r="I282" s="3" t="str">
        <f>IF($L282="","",IF(INDEX(tblRegistros[Data],$L282)&gt;$D$4,"",IFERROR(IF(INDEX(tblRegistros[Status],$L282)="EM ABERTO","",INDEX(tblRegistros[Valor],$L282)),"")))</f>
        <v/>
      </c>
      <c r="J282" t="str">
        <f>IF($L282="","",IF(INDEX(tblRegistros[Data],$L282)&gt;$D$4,"",IFERROR(INDEX(tblRegistros[Status],$L282),"")))</f>
        <v/>
      </c>
      <c r="K282" t="str">
        <f>IF($L282="","",IF(INDEX(tblRegistros[Data],$L282)&gt;$D$4,"",IFERROR(INDEX(tblRegistros[Observação],$L282),"")))</f>
        <v/>
      </c>
      <c r="L282" s="16" t="str">
        <f>IFERROR(MATCH($B$3*100000+COUNTIFS(tblRegistros[ID],$B$3,tblRegistros[Data],"&lt;"&amp;$B$4)+ROWS($L$10:L282),tblRegistros[Chave do cartão],0),"")</f>
        <v/>
      </c>
    </row>
    <row r="283" spans="1:12">
      <c r="A283" s="2" t="str">
        <f>IF($L283="","",IF(INDEX(tblRegistros[Data],$L283)&gt;$D$4,"",IFERROR(INDEX(tblRegistros[Data],$L283),"")))</f>
        <v/>
      </c>
      <c r="B283" t="str">
        <f>IF($L283="","",IF(INDEX(tblRegistros[Data],$L283)&gt;$D$4,"",IFERROR(INDEX(tblRegistros[Projeto],$L283),"")))</f>
        <v/>
      </c>
      <c r="C283" t="str">
        <f>IF($L283="","",IF(INDEX(tblRegistros[Data],$L283)&gt;$D$4,"",IFERROR(INDEX(tblRegistros[Atividade],$L283),"")))</f>
        <v/>
      </c>
      <c r="D283" s="4" t="str">
        <f>IF($L283="","",IF(INDEX(tblRegistros[Data],$L283)&gt;$D$4,"",IFERROR(INDEX(tblRegistros[Início],$L283),"")))</f>
        <v/>
      </c>
      <c r="E283" s="4" t="str">
        <f>IF($L283="","",IF(INDEX(tblRegistros[Data],$L283)&gt;$D$4,"",IFERROR(IF(INDEX(tblRegistros[Status],$L283)="EM ABERTO","",INDEX(tblRegistros[Fim],$L283)),"")))</f>
        <v/>
      </c>
      <c r="F283" s="14" t="str">
        <f>IF($L283="","",IF(INDEX(tblRegistros[Data],$L283)&gt;$D$4,"",IFERROR(IF(INDEX(tblRegistros[Status],$L283)="EM ABERTO","",INDEX(tblRegistros[Horas],$L283)),"")))</f>
        <v/>
      </c>
      <c r="G283" t="str">
        <f>IF($L283="","",IF(INDEX(tblRegistros[Data],$L283)&gt;$D$4,"",IFERROR(INDEX(tblRegistros[Base],$L283),"")))</f>
        <v/>
      </c>
      <c r="H283" s="3" t="str">
        <f>IF($L283="","",IF(INDEX(tblRegistros[Data],$L283)&gt;$D$4,"",IFERROR(INDEX(tblRegistros[Taxa aplicada],$L283),"")))</f>
        <v/>
      </c>
      <c r="I283" s="3" t="str">
        <f>IF($L283="","",IF(INDEX(tblRegistros[Data],$L283)&gt;$D$4,"",IFERROR(IF(INDEX(tblRegistros[Status],$L283)="EM ABERTO","",INDEX(tblRegistros[Valor],$L283)),"")))</f>
        <v/>
      </c>
      <c r="J283" t="str">
        <f>IF($L283="","",IF(INDEX(tblRegistros[Data],$L283)&gt;$D$4,"",IFERROR(INDEX(tblRegistros[Status],$L283),"")))</f>
        <v/>
      </c>
      <c r="K283" t="str">
        <f>IF($L283="","",IF(INDEX(tblRegistros[Data],$L283)&gt;$D$4,"",IFERROR(INDEX(tblRegistros[Observação],$L283),"")))</f>
        <v/>
      </c>
      <c r="L283" s="16" t="str">
        <f>IFERROR(MATCH($B$3*100000+COUNTIFS(tblRegistros[ID],$B$3,tblRegistros[Data],"&lt;"&amp;$B$4)+ROWS($L$10:L283),tblRegistros[Chave do cartão],0),"")</f>
        <v/>
      </c>
    </row>
    <row r="284" spans="1:12">
      <c r="A284" s="2" t="str">
        <f>IF($L284="","",IF(INDEX(tblRegistros[Data],$L284)&gt;$D$4,"",IFERROR(INDEX(tblRegistros[Data],$L284),"")))</f>
        <v/>
      </c>
      <c r="B284" t="str">
        <f>IF($L284="","",IF(INDEX(tblRegistros[Data],$L284)&gt;$D$4,"",IFERROR(INDEX(tblRegistros[Projeto],$L284),"")))</f>
        <v/>
      </c>
      <c r="C284" t="str">
        <f>IF($L284="","",IF(INDEX(tblRegistros[Data],$L284)&gt;$D$4,"",IFERROR(INDEX(tblRegistros[Atividade],$L284),"")))</f>
        <v/>
      </c>
      <c r="D284" s="4" t="str">
        <f>IF($L284="","",IF(INDEX(tblRegistros[Data],$L284)&gt;$D$4,"",IFERROR(INDEX(tblRegistros[Início],$L284),"")))</f>
        <v/>
      </c>
      <c r="E284" s="4" t="str">
        <f>IF($L284="","",IF(INDEX(tblRegistros[Data],$L284)&gt;$D$4,"",IFERROR(IF(INDEX(tblRegistros[Status],$L284)="EM ABERTO","",INDEX(tblRegistros[Fim],$L284)),"")))</f>
        <v/>
      </c>
      <c r="F284" s="14" t="str">
        <f>IF($L284="","",IF(INDEX(tblRegistros[Data],$L284)&gt;$D$4,"",IFERROR(IF(INDEX(tblRegistros[Status],$L284)="EM ABERTO","",INDEX(tblRegistros[Horas],$L284)),"")))</f>
        <v/>
      </c>
      <c r="G284" t="str">
        <f>IF($L284="","",IF(INDEX(tblRegistros[Data],$L284)&gt;$D$4,"",IFERROR(INDEX(tblRegistros[Base],$L284),"")))</f>
        <v/>
      </c>
      <c r="H284" s="3" t="str">
        <f>IF($L284="","",IF(INDEX(tblRegistros[Data],$L284)&gt;$D$4,"",IFERROR(INDEX(tblRegistros[Taxa aplicada],$L284),"")))</f>
        <v/>
      </c>
      <c r="I284" s="3" t="str">
        <f>IF($L284="","",IF(INDEX(tblRegistros[Data],$L284)&gt;$D$4,"",IFERROR(IF(INDEX(tblRegistros[Status],$L284)="EM ABERTO","",INDEX(tblRegistros[Valor],$L284)),"")))</f>
        <v/>
      </c>
      <c r="J284" t="str">
        <f>IF($L284="","",IF(INDEX(tblRegistros[Data],$L284)&gt;$D$4,"",IFERROR(INDEX(tblRegistros[Status],$L284),"")))</f>
        <v/>
      </c>
      <c r="K284" t="str">
        <f>IF($L284="","",IF(INDEX(tblRegistros[Data],$L284)&gt;$D$4,"",IFERROR(INDEX(tblRegistros[Observação],$L284),"")))</f>
        <v/>
      </c>
      <c r="L284" s="16" t="str">
        <f>IFERROR(MATCH($B$3*100000+COUNTIFS(tblRegistros[ID],$B$3,tblRegistros[Data],"&lt;"&amp;$B$4)+ROWS($L$10:L284),tblRegistros[Chave do cartão],0),"")</f>
        <v/>
      </c>
    </row>
    <row r="285" spans="1:12">
      <c r="A285" s="2" t="str">
        <f>IF($L285="","",IF(INDEX(tblRegistros[Data],$L285)&gt;$D$4,"",IFERROR(INDEX(tblRegistros[Data],$L285),"")))</f>
        <v/>
      </c>
      <c r="B285" t="str">
        <f>IF($L285="","",IF(INDEX(tblRegistros[Data],$L285)&gt;$D$4,"",IFERROR(INDEX(tblRegistros[Projeto],$L285),"")))</f>
        <v/>
      </c>
      <c r="C285" t="str">
        <f>IF($L285="","",IF(INDEX(tblRegistros[Data],$L285)&gt;$D$4,"",IFERROR(INDEX(tblRegistros[Atividade],$L285),"")))</f>
        <v/>
      </c>
      <c r="D285" s="4" t="str">
        <f>IF($L285="","",IF(INDEX(tblRegistros[Data],$L285)&gt;$D$4,"",IFERROR(INDEX(tblRegistros[Início],$L285),"")))</f>
        <v/>
      </c>
      <c r="E285" s="4" t="str">
        <f>IF($L285="","",IF(INDEX(tblRegistros[Data],$L285)&gt;$D$4,"",IFERROR(IF(INDEX(tblRegistros[Status],$L285)="EM ABERTO","",INDEX(tblRegistros[Fim],$L285)),"")))</f>
        <v/>
      </c>
      <c r="F285" s="14" t="str">
        <f>IF($L285="","",IF(INDEX(tblRegistros[Data],$L285)&gt;$D$4,"",IFERROR(IF(INDEX(tblRegistros[Status],$L285)="EM ABERTO","",INDEX(tblRegistros[Horas],$L285)),"")))</f>
        <v/>
      </c>
      <c r="G285" t="str">
        <f>IF($L285="","",IF(INDEX(tblRegistros[Data],$L285)&gt;$D$4,"",IFERROR(INDEX(tblRegistros[Base],$L285),"")))</f>
        <v/>
      </c>
      <c r="H285" s="3" t="str">
        <f>IF($L285="","",IF(INDEX(tblRegistros[Data],$L285)&gt;$D$4,"",IFERROR(INDEX(tblRegistros[Taxa aplicada],$L285),"")))</f>
        <v/>
      </c>
      <c r="I285" s="3" t="str">
        <f>IF($L285="","",IF(INDEX(tblRegistros[Data],$L285)&gt;$D$4,"",IFERROR(IF(INDEX(tblRegistros[Status],$L285)="EM ABERTO","",INDEX(tblRegistros[Valor],$L285)),"")))</f>
        <v/>
      </c>
      <c r="J285" t="str">
        <f>IF($L285="","",IF(INDEX(tblRegistros[Data],$L285)&gt;$D$4,"",IFERROR(INDEX(tblRegistros[Status],$L285),"")))</f>
        <v/>
      </c>
      <c r="K285" t="str">
        <f>IF($L285="","",IF(INDEX(tblRegistros[Data],$L285)&gt;$D$4,"",IFERROR(INDEX(tblRegistros[Observação],$L285),"")))</f>
        <v/>
      </c>
      <c r="L285" s="16" t="str">
        <f>IFERROR(MATCH($B$3*100000+COUNTIFS(tblRegistros[ID],$B$3,tblRegistros[Data],"&lt;"&amp;$B$4)+ROWS($L$10:L285),tblRegistros[Chave do cartão],0),"")</f>
        <v/>
      </c>
    </row>
    <row r="286" spans="1:12">
      <c r="A286" s="2" t="str">
        <f>IF($L286="","",IF(INDEX(tblRegistros[Data],$L286)&gt;$D$4,"",IFERROR(INDEX(tblRegistros[Data],$L286),"")))</f>
        <v/>
      </c>
      <c r="B286" t="str">
        <f>IF($L286="","",IF(INDEX(tblRegistros[Data],$L286)&gt;$D$4,"",IFERROR(INDEX(tblRegistros[Projeto],$L286),"")))</f>
        <v/>
      </c>
      <c r="C286" t="str">
        <f>IF($L286="","",IF(INDEX(tblRegistros[Data],$L286)&gt;$D$4,"",IFERROR(INDEX(tblRegistros[Atividade],$L286),"")))</f>
        <v/>
      </c>
      <c r="D286" s="4" t="str">
        <f>IF($L286="","",IF(INDEX(tblRegistros[Data],$L286)&gt;$D$4,"",IFERROR(INDEX(tblRegistros[Início],$L286),"")))</f>
        <v/>
      </c>
      <c r="E286" s="4" t="str">
        <f>IF($L286="","",IF(INDEX(tblRegistros[Data],$L286)&gt;$D$4,"",IFERROR(IF(INDEX(tblRegistros[Status],$L286)="EM ABERTO","",INDEX(tblRegistros[Fim],$L286)),"")))</f>
        <v/>
      </c>
      <c r="F286" s="14" t="str">
        <f>IF($L286="","",IF(INDEX(tblRegistros[Data],$L286)&gt;$D$4,"",IFERROR(IF(INDEX(tblRegistros[Status],$L286)="EM ABERTO","",INDEX(tblRegistros[Horas],$L286)),"")))</f>
        <v/>
      </c>
      <c r="G286" t="str">
        <f>IF($L286="","",IF(INDEX(tblRegistros[Data],$L286)&gt;$D$4,"",IFERROR(INDEX(tblRegistros[Base],$L286),"")))</f>
        <v/>
      </c>
      <c r="H286" s="3" t="str">
        <f>IF($L286="","",IF(INDEX(tblRegistros[Data],$L286)&gt;$D$4,"",IFERROR(INDEX(tblRegistros[Taxa aplicada],$L286),"")))</f>
        <v/>
      </c>
      <c r="I286" s="3" t="str">
        <f>IF($L286="","",IF(INDEX(tblRegistros[Data],$L286)&gt;$D$4,"",IFERROR(IF(INDEX(tblRegistros[Status],$L286)="EM ABERTO","",INDEX(tblRegistros[Valor],$L286)),"")))</f>
        <v/>
      </c>
      <c r="J286" t="str">
        <f>IF($L286="","",IF(INDEX(tblRegistros[Data],$L286)&gt;$D$4,"",IFERROR(INDEX(tblRegistros[Status],$L286),"")))</f>
        <v/>
      </c>
      <c r="K286" t="str">
        <f>IF($L286="","",IF(INDEX(tblRegistros[Data],$L286)&gt;$D$4,"",IFERROR(INDEX(tblRegistros[Observação],$L286),"")))</f>
        <v/>
      </c>
      <c r="L286" s="16" t="str">
        <f>IFERROR(MATCH($B$3*100000+COUNTIFS(tblRegistros[ID],$B$3,tblRegistros[Data],"&lt;"&amp;$B$4)+ROWS($L$10:L286),tblRegistros[Chave do cartão],0),"")</f>
        <v/>
      </c>
    </row>
    <row r="287" spans="1:12">
      <c r="A287" s="2" t="str">
        <f>IF($L287="","",IF(INDEX(tblRegistros[Data],$L287)&gt;$D$4,"",IFERROR(INDEX(tblRegistros[Data],$L287),"")))</f>
        <v/>
      </c>
      <c r="B287" t="str">
        <f>IF($L287="","",IF(INDEX(tblRegistros[Data],$L287)&gt;$D$4,"",IFERROR(INDEX(tblRegistros[Projeto],$L287),"")))</f>
        <v/>
      </c>
      <c r="C287" t="str">
        <f>IF($L287="","",IF(INDEX(tblRegistros[Data],$L287)&gt;$D$4,"",IFERROR(INDEX(tblRegistros[Atividade],$L287),"")))</f>
        <v/>
      </c>
      <c r="D287" s="4" t="str">
        <f>IF($L287="","",IF(INDEX(tblRegistros[Data],$L287)&gt;$D$4,"",IFERROR(INDEX(tblRegistros[Início],$L287),"")))</f>
        <v/>
      </c>
      <c r="E287" s="4" t="str">
        <f>IF($L287="","",IF(INDEX(tblRegistros[Data],$L287)&gt;$D$4,"",IFERROR(IF(INDEX(tblRegistros[Status],$L287)="EM ABERTO","",INDEX(tblRegistros[Fim],$L287)),"")))</f>
        <v/>
      </c>
      <c r="F287" s="14" t="str">
        <f>IF($L287="","",IF(INDEX(tblRegistros[Data],$L287)&gt;$D$4,"",IFERROR(IF(INDEX(tblRegistros[Status],$L287)="EM ABERTO","",INDEX(tblRegistros[Horas],$L287)),"")))</f>
        <v/>
      </c>
      <c r="G287" t="str">
        <f>IF($L287="","",IF(INDEX(tblRegistros[Data],$L287)&gt;$D$4,"",IFERROR(INDEX(tblRegistros[Base],$L287),"")))</f>
        <v/>
      </c>
      <c r="H287" s="3" t="str">
        <f>IF($L287="","",IF(INDEX(tblRegistros[Data],$L287)&gt;$D$4,"",IFERROR(INDEX(tblRegistros[Taxa aplicada],$L287),"")))</f>
        <v/>
      </c>
      <c r="I287" s="3" t="str">
        <f>IF($L287="","",IF(INDEX(tblRegistros[Data],$L287)&gt;$D$4,"",IFERROR(IF(INDEX(tblRegistros[Status],$L287)="EM ABERTO","",INDEX(tblRegistros[Valor],$L287)),"")))</f>
        <v/>
      </c>
      <c r="J287" t="str">
        <f>IF($L287="","",IF(INDEX(tblRegistros[Data],$L287)&gt;$D$4,"",IFERROR(INDEX(tblRegistros[Status],$L287),"")))</f>
        <v/>
      </c>
      <c r="K287" t="str">
        <f>IF($L287="","",IF(INDEX(tblRegistros[Data],$L287)&gt;$D$4,"",IFERROR(INDEX(tblRegistros[Observação],$L287),"")))</f>
        <v/>
      </c>
      <c r="L287" s="16" t="str">
        <f>IFERROR(MATCH($B$3*100000+COUNTIFS(tblRegistros[ID],$B$3,tblRegistros[Data],"&lt;"&amp;$B$4)+ROWS($L$10:L287),tblRegistros[Chave do cartão],0),"")</f>
        <v/>
      </c>
    </row>
    <row r="288" spans="1:12">
      <c r="A288" s="2" t="str">
        <f>IF($L288="","",IF(INDEX(tblRegistros[Data],$L288)&gt;$D$4,"",IFERROR(INDEX(tblRegistros[Data],$L288),"")))</f>
        <v/>
      </c>
      <c r="B288" t="str">
        <f>IF($L288="","",IF(INDEX(tblRegistros[Data],$L288)&gt;$D$4,"",IFERROR(INDEX(tblRegistros[Projeto],$L288),"")))</f>
        <v/>
      </c>
      <c r="C288" t="str">
        <f>IF($L288="","",IF(INDEX(tblRegistros[Data],$L288)&gt;$D$4,"",IFERROR(INDEX(tblRegistros[Atividade],$L288),"")))</f>
        <v/>
      </c>
      <c r="D288" s="4" t="str">
        <f>IF($L288="","",IF(INDEX(tblRegistros[Data],$L288)&gt;$D$4,"",IFERROR(INDEX(tblRegistros[Início],$L288),"")))</f>
        <v/>
      </c>
      <c r="E288" s="4" t="str">
        <f>IF($L288="","",IF(INDEX(tblRegistros[Data],$L288)&gt;$D$4,"",IFERROR(IF(INDEX(tblRegistros[Status],$L288)="EM ABERTO","",INDEX(tblRegistros[Fim],$L288)),"")))</f>
        <v/>
      </c>
      <c r="F288" s="14" t="str">
        <f>IF($L288="","",IF(INDEX(tblRegistros[Data],$L288)&gt;$D$4,"",IFERROR(IF(INDEX(tblRegistros[Status],$L288)="EM ABERTO","",INDEX(tblRegistros[Horas],$L288)),"")))</f>
        <v/>
      </c>
      <c r="G288" t="str">
        <f>IF($L288="","",IF(INDEX(tblRegistros[Data],$L288)&gt;$D$4,"",IFERROR(INDEX(tblRegistros[Base],$L288),"")))</f>
        <v/>
      </c>
      <c r="H288" s="3" t="str">
        <f>IF($L288="","",IF(INDEX(tblRegistros[Data],$L288)&gt;$D$4,"",IFERROR(INDEX(tblRegistros[Taxa aplicada],$L288),"")))</f>
        <v/>
      </c>
      <c r="I288" s="3" t="str">
        <f>IF($L288="","",IF(INDEX(tblRegistros[Data],$L288)&gt;$D$4,"",IFERROR(IF(INDEX(tblRegistros[Status],$L288)="EM ABERTO","",INDEX(tblRegistros[Valor],$L288)),"")))</f>
        <v/>
      </c>
      <c r="J288" t="str">
        <f>IF($L288="","",IF(INDEX(tblRegistros[Data],$L288)&gt;$D$4,"",IFERROR(INDEX(tblRegistros[Status],$L288),"")))</f>
        <v/>
      </c>
      <c r="K288" t="str">
        <f>IF($L288="","",IF(INDEX(tblRegistros[Data],$L288)&gt;$D$4,"",IFERROR(INDEX(tblRegistros[Observação],$L288),"")))</f>
        <v/>
      </c>
      <c r="L288" s="16" t="str">
        <f>IFERROR(MATCH($B$3*100000+COUNTIFS(tblRegistros[ID],$B$3,tblRegistros[Data],"&lt;"&amp;$B$4)+ROWS($L$10:L288),tblRegistros[Chave do cartão],0),"")</f>
        <v/>
      </c>
    </row>
    <row r="289" spans="1:12">
      <c r="A289" s="2" t="str">
        <f>IF($L289="","",IF(INDEX(tblRegistros[Data],$L289)&gt;$D$4,"",IFERROR(INDEX(tblRegistros[Data],$L289),"")))</f>
        <v/>
      </c>
      <c r="B289" t="str">
        <f>IF($L289="","",IF(INDEX(tblRegistros[Data],$L289)&gt;$D$4,"",IFERROR(INDEX(tblRegistros[Projeto],$L289),"")))</f>
        <v/>
      </c>
      <c r="C289" t="str">
        <f>IF($L289="","",IF(INDEX(tblRegistros[Data],$L289)&gt;$D$4,"",IFERROR(INDEX(tblRegistros[Atividade],$L289),"")))</f>
        <v/>
      </c>
      <c r="D289" s="4" t="str">
        <f>IF($L289="","",IF(INDEX(tblRegistros[Data],$L289)&gt;$D$4,"",IFERROR(INDEX(tblRegistros[Início],$L289),"")))</f>
        <v/>
      </c>
      <c r="E289" s="4" t="str">
        <f>IF($L289="","",IF(INDEX(tblRegistros[Data],$L289)&gt;$D$4,"",IFERROR(IF(INDEX(tblRegistros[Status],$L289)="EM ABERTO","",INDEX(tblRegistros[Fim],$L289)),"")))</f>
        <v/>
      </c>
      <c r="F289" s="14" t="str">
        <f>IF($L289="","",IF(INDEX(tblRegistros[Data],$L289)&gt;$D$4,"",IFERROR(IF(INDEX(tblRegistros[Status],$L289)="EM ABERTO","",INDEX(tblRegistros[Horas],$L289)),"")))</f>
        <v/>
      </c>
      <c r="G289" t="str">
        <f>IF($L289="","",IF(INDEX(tblRegistros[Data],$L289)&gt;$D$4,"",IFERROR(INDEX(tblRegistros[Base],$L289),"")))</f>
        <v/>
      </c>
      <c r="H289" s="3" t="str">
        <f>IF($L289="","",IF(INDEX(tblRegistros[Data],$L289)&gt;$D$4,"",IFERROR(INDEX(tblRegistros[Taxa aplicada],$L289),"")))</f>
        <v/>
      </c>
      <c r="I289" s="3" t="str">
        <f>IF($L289="","",IF(INDEX(tblRegistros[Data],$L289)&gt;$D$4,"",IFERROR(IF(INDEX(tblRegistros[Status],$L289)="EM ABERTO","",INDEX(tblRegistros[Valor],$L289)),"")))</f>
        <v/>
      </c>
      <c r="J289" t="str">
        <f>IF($L289="","",IF(INDEX(tblRegistros[Data],$L289)&gt;$D$4,"",IFERROR(INDEX(tblRegistros[Status],$L289),"")))</f>
        <v/>
      </c>
      <c r="K289" t="str">
        <f>IF($L289="","",IF(INDEX(tblRegistros[Data],$L289)&gt;$D$4,"",IFERROR(INDEX(tblRegistros[Observação],$L289),"")))</f>
        <v/>
      </c>
      <c r="L289" s="16" t="str">
        <f>IFERROR(MATCH($B$3*100000+COUNTIFS(tblRegistros[ID],$B$3,tblRegistros[Data],"&lt;"&amp;$B$4)+ROWS($L$10:L289),tblRegistros[Chave do cartão],0),"")</f>
        <v/>
      </c>
    </row>
    <row r="290" spans="1:12">
      <c r="A290" s="2" t="str">
        <f>IF($L290="","",IF(INDEX(tblRegistros[Data],$L290)&gt;$D$4,"",IFERROR(INDEX(tblRegistros[Data],$L290),"")))</f>
        <v/>
      </c>
      <c r="B290" t="str">
        <f>IF($L290="","",IF(INDEX(tblRegistros[Data],$L290)&gt;$D$4,"",IFERROR(INDEX(tblRegistros[Projeto],$L290),"")))</f>
        <v/>
      </c>
      <c r="C290" t="str">
        <f>IF($L290="","",IF(INDEX(tblRegistros[Data],$L290)&gt;$D$4,"",IFERROR(INDEX(tblRegistros[Atividade],$L290),"")))</f>
        <v/>
      </c>
      <c r="D290" s="4" t="str">
        <f>IF($L290="","",IF(INDEX(tblRegistros[Data],$L290)&gt;$D$4,"",IFERROR(INDEX(tblRegistros[Início],$L290),"")))</f>
        <v/>
      </c>
      <c r="E290" s="4" t="str">
        <f>IF($L290="","",IF(INDEX(tblRegistros[Data],$L290)&gt;$D$4,"",IFERROR(IF(INDEX(tblRegistros[Status],$L290)="EM ABERTO","",INDEX(tblRegistros[Fim],$L290)),"")))</f>
        <v/>
      </c>
      <c r="F290" s="14" t="str">
        <f>IF($L290="","",IF(INDEX(tblRegistros[Data],$L290)&gt;$D$4,"",IFERROR(IF(INDEX(tblRegistros[Status],$L290)="EM ABERTO","",INDEX(tblRegistros[Horas],$L290)),"")))</f>
        <v/>
      </c>
      <c r="G290" t="str">
        <f>IF($L290="","",IF(INDEX(tblRegistros[Data],$L290)&gt;$D$4,"",IFERROR(INDEX(tblRegistros[Base],$L290),"")))</f>
        <v/>
      </c>
      <c r="H290" s="3" t="str">
        <f>IF($L290="","",IF(INDEX(tblRegistros[Data],$L290)&gt;$D$4,"",IFERROR(INDEX(tblRegistros[Taxa aplicada],$L290),"")))</f>
        <v/>
      </c>
      <c r="I290" s="3" t="str">
        <f>IF($L290="","",IF(INDEX(tblRegistros[Data],$L290)&gt;$D$4,"",IFERROR(IF(INDEX(tblRegistros[Status],$L290)="EM ABERTO","",INDEX(tblRegistros[Valor],$L290)),"")))</f>
        <v/>
      </c>
      <c r="J290" t="str">
        <f>IF($L290="","",IF(INDEX(tblRegistros[Data],$L290)&gt;$D$4,"",IFERROR(INDEX(tblRegistros[Status],$L290),"")))</f>
        <v/>
      </c>
      <c r="K290" t="str">
        <f>IF($L290="","",IF(INDEX(tblRegistros[Data],$L290)&gt;$D$4,"",IFERROR(INDEX(tblRegistros[Observação],$L290),"")))</f>
        <v/>
      </c>
      <c r="L290" s="16" t="str">
        <f>IFERROR(MATCH($B$3*100000+COUNTIFS(tblRegistros[ID],$B$3,tblRegistros[Data],"&lt;"&amp;$B$4)+ROWS($L$10:L290),tblRegistros[Chave do cartão],0),"")</f>
        <v/>
      </c>
    </row>
    <row r="291" spans="1:12">
      <c r="A291" s="2" t="str">
        <f>IF($L291="","",IF(INDEX(tblRegistros[Data],$L291)&gt;$D$4,"",IFERROR(INDEX(tblRegistros[Data],$L291),"")))</f>
        <v/>
      </c>
      <c r="B291" t="str">
        <f>IF($L291="","",IF(INDEX(tblRegistros[Data],$L291)&gt;$D$4,"",IFERROR(INDEX(tblRegistros[Projeto],$L291),"")))</f>
        <v/>
      </c>
      <c r="C291" t="str">
        <f>IF($L291="","",IF(INDEX(tblRegistros[Data],$L291)&gt;$D$4,"",IFERROR(INDEX(tblRegistros[Atividade],$L291),"")))</f>
        <v/>
      </c>
      <c r="D291" s="4" t="str">
        <f>IF($L291="","",IF(INDEX(tblRegistros[Data],$L291)&gt;$D$4,"",IFERROR(INDEX(tblRegistros[Início],$L291),"")))</f>
        <v/>
      </c>
      <c r="E291" s="4" t="str">
        <f>IF($L291="","",IF(INDEX(tblRegistros[Data],$L291)&gt;$D$4,"",IFERROR(IF(INDEX(tblRegistros[Status],$L291)="EM ABERTO","",INDEX(tblRegistros[Fim],$L291)),"")))</f>
        <v/>
      </c>
      <c r="F291" s="14" t="str">
        <f>IF($L291="","",IF(INDEX(tblRegistros[Data],$L291)&gt;$D$4,"",IFERROR(IF(INDEX(tblRegistros[Status],$L291)="EM ABERTO","",INDEX(tblRegistros[Horas],$L291)),"")))</f>
        <v/>
      </c>
      <c r="G291" t="str">
        <f>IF($L291="","",IF(INDEX(tblRegistros[Data],$L291)&gt;$D$4,"",IFERROR(INDEX(tblRegistros[Base],$L291),"")))</f>
        <v/>
      </c>
      <c r="H291" s="3" t="str">
        <f>IF($L291="","",IF(INDEX(tblRegistros[Data],$L291)&gt;$D$4,"",IFERROR(INDEX(tblRegistros[Taxa aplicada],$L291),"")))</f>
        <v/>
      </c>
      <c r="I291" s="3" t="str">
        <f>IF($L291="","",IF(INDEX(tblRegistros[Data],$L291)&gt;$D$4,"",IFERROR(IF(INDEX(tblRegistros[Status],$L291)="EM ABERTO","",INDEX(tblRegistros[Valor],$L291)),"")))</f>
        <v/>
      </c>
      <c r="J291" t="str">
        <f>IF($L291="","",IF(INDEX(tblRegistros[Data],$L291)&gt;$D$4,"",IFERROR(INDEX(tblRegistros[Status],$L291),"")))</f>
        <v/>
      </c>
      <c r="K291" t="str">
        <f>IF($L291="","",IF(INDEX(tblRegistros[Data],$L291)&gt;$D$4,"",IFERROR(INDEX(tblRegistros[Observação],$L291),"")))</f>
        <v/>
      </c>
      <c r="L291" s="16" t="str">
        <f>IFERROR(MATCH($B$3*100000+COUNTIFS(tblRegistros[ID],$B$3,tblRegistros[Data],"&lt;"&amp;$B$4)+ROWS($L$10:L291),tblRegistros[Chave do cartão],0),"")</f>
        <v/>
      </c>
    </row>
    <row r="292" spans="1:12">
      <c r="A292" s="2" t="str">
        <f>IF($L292="","",IF(INDEX(tblRegistros[Data],$L292)&gt;$D$4,"",IFERROR(INDEX(tblRegistros[Data],$L292),"")))</f>
        <v/>
      </c>
      <c r="B292" t="str">
        <f>IF($L292="","",IF(INDEX(tblRegistros[Data],$L292)&gt;$D$4,"",IFERROR(INDEX(tblRegistros[Projeto],$L292),"")))</f>
        <v/>
      </c>
      <c r="C292" t="str">
        <f>IF($L292="","",IF(INDEX(tblRegistros[Data],$L292)&gt;$D$4,"",IFERROR(INDEX(tblRegistros[Atividade],$L292),"")))</f>
        <v/>
      </c>
      <c r="D292" s="4" t="str">
        <f>IF($L292="","",IF(INDEX(tblRegistros[Data],$L292)&gt;$D$4,"",IFERROR(INDEX(tblRegistros[Início],$L292),"")))</f>
        <v/>
      </c>
      <c r="E292" s="4" t="str">
        <f>IF($L292="","",IF(INDEX(tblRegistros[Data],$L292)&gt;$D$4,"",IFERROR(IF(INDEX(tblRegistros[Status],$L292)="EM ABERTO","",INDEX(tblRegistros[Fim],$L292)),"")))</f>
        <v/>
      </c>
      <c r="F292" s="14" t="str">
        <f>IF($L292="","",IF(INDEX(tblRegistros[Data],$L292)&gt;$D$4,"",IFERROR(IF(INDEX(tblRegistros[Status],$L292)="EM ABERTO","",INDEX(tblRegistros[Horas],$L292)),"")))</f>
        <v/>
      </c>
      <c r="G292" t="str">
        <f>IF($L292="","",IF(INDEX(tblRegistros[Data],$L292)&gt;$D$4,"",IFERROR(INDEX(tblRegistros[Base],$L292),"")))</f>
        <v/>
      </c>
      <c r="H292" s="3" t="str">
        <f>IF($L292="","",IF(INDEX(tblRegistros[Data],$L292)&gt;$D$4,"",IFERROR(INDEX(tblRegistros[Taxa aplicada],$L292),"")))</f>
        <v/>
      </c>
      <c r="I292" s="3" t="str">
        <f>IF($L292="","",IF(INDEX(tblRegistros[Data],$L292)&gt;$D$4,"",IFERROR(IF(INDEX(tblRegistros[Status],$L292)="EM ABERTO","",INDEX(tblRegistros[Valor],$L292)),"")))</f>
        <v/>
      </c>
      <c r="J292" t="str">
        <f>IF($L292="","",IF(INDEX(tblRegistros[Data],$L292)&gt;$D$4,"",IFERROR(INDEX(tblRegistros[Status],$L292),"")))</f>
        <v/>
      </c>
      <c r="K292" t="str">
        <f>IF($L292="","",IF(INDEX(tblRegistros[Data],$L292)&gt;$D$4,"",IFERROR(INDEX(tblRegistros[Observação],$L292),"")))</f>
        <v/>
      </c>
      <c r="L292" s="16" t="str">
        <f>IFERROR(MATCH($B$3*100000+COUNTIFS(tblRegistros[ID],$B$3,tblRegistros[Data],"&lt;"&amp;$B$4)+ROWS($L$10:L292),tblRegistros[Chave do cartão],0),"")</f>
        <v/>
      </c>
    </row>
    <row r="293" spans="1:12">
      <c r="A293" s="2" t="str">
        <f>IF($L293="","",IF(INDEX(tblRegistros[Data],$L293)&gt;$D$4,"",IFERROR(INDEX(tblRegistros[Data],$L293),"")))</f>
        <v/>
      </c>
      <c r="B293" t="str">
        <f>IF($L293="","",IF(INDEX(tblRegistros[Data],$L293)&gt;$D$4,"",IFERROR(INDEX(tblRegistros[Projeto],$L293),"")))</f>
        <v/>
      </c>
      <c r="C293" t="str">
        <f>IF($L293="","",IF(INDEX(tblRegistros[Data],$L293)&gt;$D$4,"",IFERROR(INDEX(tblRegistros[Atividade],$L293),"")))</f>
        <v/>
      </c>
      <c r="D293" s="4" t="str">
        <f>IF($L293="","",IF(INDEX(tblRegistros[Data],$L293)&gt;$D$4,"",IFERROR(INDEX(tblRegistros[Início],$L293),"")))</f>
        <v/>
      </c>
      <c r="E293" s="4" t="str">
        <f>IF($L293="","",IF(INDEX(tblRegistros[Data],$L293)&gt;$D$4,"",IFERROR(IF(INDEX(tblRegistros[Status],$L293)="EM ABERTO","",INDEX(tblRegistros[Fim],$L293)),"")))</f>
        <v/>
      </c>
      <c r="F293" s="14" t="str">
        <f>IF($L293="","",IF(INDEX(tblRegistros[Data],$L293)&gt;$D$4,"",IFERROR(IF(INDEX(tblRegistros[Status],$L293)="EM ABERTO","",INDEX(tblRegistros[Horas],$L293)),"")))</f>
        <v/>
      </c>
      <c r="G293" t="str">
        <f>IF($L293="","",IF(INDEX(tblRegistros[Data],$L293)&gt;$D$4,"",IFERROR(INDEX(tblRegistros[Base],$L293),"")))</f>
        <v/>
      </c>
      <c r="H293" s="3" t="str">
        <f>IF($L293="","",IF(INDEX(tblRegistros[Data],$L293)&gt;$D$4,"",IFERROR(INDEX(tblRegistros[Taxa aplicada],$L293),"")))</f>
        <v/>
      </c>
      <c r="I293" s="3" t="str">
        <f>IF($L293="","",IF(INDEX(tblRegistros[Data],$L293)&gt;$D$4,"",IFERROR(IF(INDEX(tblRegistros[Status],$L293)="EM ABERTO","",INDEX(tblRegistros[Valor],$L293)),"")))</f>
        <v/>
      </c>
      <c r="J293" t="str">
        <f>IF($L293="","",IF(INDEX(tblRegistros[Data],$L293)&gt;$D$4,"",IFERROR(INDEX(tblRegistros[Status],$L293),"")))</f>
        <v/>
      </c>
      <c r="K293" t="str">
        <f>IF($L293="","",IF(INDEX(tblRegistros[Data],$L293)&gt;$D$4,"",IFERROR(INDEX(tblRegistros[Observação],$L293),"")))</f>
        <v/>
      </c>
      <c r="L293" s="16" t="str">
        <f>IFERROR(MATCH($B$3*100000+COUNTIFS(tblRegistros[ID],$B$3,tblRegistros[Data],"&lt;"&amp;$B$4)+ROWS($L$10:L293),tblRegistros[Chave do cartão],0),"")</f>
        <v/>
      </c>
    </row>
    <row r="294" spans="1:12">
      <c r="A294" s="2" t="str">
        <f>IF($L294="","",IF(INDEX(tblRegistros[Data],$L294)&gt;$D$4,"",IFERROR(INDEX(tblRegistros[Data],$L294),"")))</f>
        <v/>
      </c>
      <c r="B294" t="str">
        <f>IF($L294="","",IF(INDEX(tblRegistros[Data],$L294)&gt;$D$4,"",IFERROR(INDEX(tblRegistros[Projeto],$L294),"")))</f>
        <v/>
      </c>
      <c r="C294" t="str">
        <f>IF($L294="","",IF(INDEX(tblRegistros[Data],$L294)&gt;$D$4,"",IFERROR(INDEX(tblRegistros[Atividade],$L294),"")))</f>
        <v/>
      </c>
      <c r="D294" s="4" t="str">
        <f>IF($L294="","",IF(INDEX(tblRegistros[Data],$L294)&gt;$D$4,"",IFERROR(INDEX(tblRegistros[Início],$L294),"")))</f>
        <v/>
      </c>
      <c r="E294" s="4" t="str">
        <f>IF($L294="","",IF(INDEX(tblRegistros[Data],$L294)&gt;$D$4,"",IFERROR(IF(INDEX(tblRegistros[Status],$L294)="EM ABERTO","",INDEX(tblRegistros[Fim],$L294)),"")))</f>
        <v/>
      </c>
      <c r="F294" s="14" t="str">
        <f>IF($L294="","",IF(INDEX(tblRegistros[Data],$L294)&gt;$D$4,"",IFERROR(IF(INDEX(tblRegistros[Status],$L294)="EM ABERTO","",INDEX(tblRegistros[Horas],$L294)),"")))</f>
        <v/>
      </c>
      <c r="G294" t="str">
        <f>IF($L294="","",IF(INDEX(tblRegistros[Data],$L294)&gt;$D$4,"",IFERROR(INDEX(tblRegistros[Base],$L294),"")))</f>
        <v/>
      </c>
      <c r="H294" s="3" t="str">
        <f>IF($L294="","",IF(INDEX(tblRegistros[Data],$L294)&gt;$D$4,"",IFERROR(INDEX(tblRegistros[Taxa aplicada],$L294),"")))</f>
        <v/>
      </c>
      <c r="I294" s="3" t="str">
        <f>IF($L294="","",IF(INDEX(tblRegistros[Data],$L294)&gt;$D$4,"",IFERROR(IF(INDEX(tblRegistros[Status],$L294)="EM ABERTO","",INDEX(tblRegistros[Valor],$L294)),"")))</f>
        <v/>
      </c>
      <c r="J294" t="str">
        <f>IF($L294="","",IF(INDEX(tblRegistros[Data],$L294)&gt;$D$4,"",IFERROR(INDEX(tblRegistros[Status],$L294),"")))</f>
        <v/>
      </c>
      <c r="K294" t="str">
        <f>IF($L294="","",IF(INDEX(tblRegistros[Data],$L294)&gt;$D$4,"",IFERROR(INDEX(tblRegistros[Observação],$L294),"")))</f>
        <v/>
      </c>
      <c r="L294" s="16" t="str">
        <f>IFERROR(MATCH($B$3*100000+COUNTIFS(tblRegistros[ID],$B$3,tblRegistros[Data],"&lt;"&amp;$B$4)+ROWS($L$10:L294),tblRegistros[Chave do cartão],0),"")</f>
        <v/>
      </c>
    </row>
    <row r="295" spans="1:12">
      <c r="A295" s="2" t="str">
        <f>IF($L295="","",IF(INDEX(tblRegistros[Data],$L295)&gt;$D$4,"",IFERROR(INDEX(tblRegistros[Data],$L295),"")))</f>
        <v/>
      </c>
      <c r="B295" t="str">
        <f>IF($L295="","",IF(INDEX(tblRegistros[Data],$L295)&gt;$D$4,"",IFERROR(INDEX(tblRegistros[Projeto],$L295),"")))</f>
        <v/>
      </c>
      <c r="C295" t="str">
        <f>IF($L295="","",IF(INDEX(tblRegistros[Data],$L295)&gt;$D$4,"",IFERROR(INDEX(tblRegistros[Atividade],$L295),"")))</f>
        <v/>
      </c>
      <c r="D295" s="4" t="str">
        <f>IF($L295="","",IF(INDEX(tblRegistros[Data],$L295)&gt;$D$4,"",IFERROR(INDEX(tblRegistros[Início],$L295),"")))</f>
        <v/>
      </c>
      <c r="E295" s="4" t="str">
        <f>IF($L295="","",IF(INDEX(tblRegistros[Data],$L295)&gt;$D$4,"",IFERROR(IF(INDEX(tblRegistros[Status],$L295)="EM ABERTO","",INDEX(tblRegistros[Fim],$L295)),"")))</f>
        <v/>
      </c>
      <c r="F295" s="14" t="str">
        <f>IF($L295="","",IF(INDEX(tblRegistros[Data],$L295)&gt;$D$4,"",IFERROR(IF(INDEX(tblRegistros[Status],$L295)="EM ABERTO","",INDEX(tblRegistros[Horas],$L295)),"")))</f>
        <v/>
      </c>
      <c r="G295" t="str">
        <f>IF($L295="","",IF(INDEX(tblRegistros[Data],$L295)&gt;$D$4,"",IFERROR(INDEX(tblRegistros[Base],$L295),"")))</f>
        <v/>
      </c>
      <c r="H295" s="3" t="str">
        <f>IF($L295="","",IF(INDEX(tblRegistros[Data],$L295)&gt;$D$4,"",IFERROR(INDEX(tblRegistros[Taxa aplicada],$L295),"")))</f>
        <v/>
      </c>
      <c r="I295" s="3" t="str">
        <f>IF($L295="","",IF(INDEX(tblRegistros[Data],$L295)&gt;$D$4,"",IFERROR(IF(INDEX(tblRegistros[Status],$L295)="EM ABERTO","",INDEX(tblRegistros[Valor],$L295)),"")))</f>
        <v/>
      </c>
      <c r="J295" t="str">
        <f>IF($L295="","",IF(INDEX(tblRegistros[Data],$L295)&gt;$D$4,"",IFERROR(INDEX(tblRegistros[Status],$L295),"")))</f>
        <v/>
      </c>
      <c r="K295" t="str">
        <f>IF($L295="","",IF(INDEX(tblRegistros[Data],$L295)&gt;$D$4,"",IFERROR(INDEX(tblRegistros[Observação],$L295),"")))</f>
        <v/>
      </c>
      <c r="L295" s="16" t="str">
        <f>IFERROR(MATCH($B$3*100000+COUNTIFS(tblRegistros[ID],$B$3,tblRegistros[Data],"&lt;"&amp;$B$4)+ROWS($L$10:L295),tblRegistros[Chave do cartão],0),"")</f>
        <v/>
      </c>
    </row>
    <row r="296" spans="1:12">
      <c r="A296" s="2" t="str">
        <f>IF($L296="","",IF(INDEX(tblRegistros[Data],$L296)&gt;$D$4,"",IFERROR(INDEX(tblRegistros[Data],$L296),"")))</f>
        <v/>
      </c>
      <c r="B296" t="str">
        <f>IF($L296="","",IF(INDEX(tblRegistros[Data],$L296)&gt;$D$4,"",IFERROR(INDEX(tblRegistros[Projeto],$L296),"")))</f>
        <v/>
      </c>
      <c r="C296" t="str">
        <f>IF($L296="","",IF(INDEX(tblRegistros[Data],$L296)&gt;$D$4,"",IFERROR(INDEX(tblRegistros[Atividade],$L296),"")))</f>
        <v/>
      </c>
      <c r="D296" s="4" t="str">
        <f>IF($L296="","",IF(INDEX(tblRegistros[Data],$L296)&gt;$D$4,"",IFERROR(INDEX(tblRegistros[Início],$L296),"")))</f>
        <v/>
      </c>
      <c r="E296" s="4" t="str">
        <f>IF($L296="","",IF(INDEX(tblRegistros[Data],$L296)&gt;$D$4,"",IFERROR(IF(INDEX(tblRegistros[Status],$L296)="EM ABERTO","",INDEX(tblRegistros[Fim],$L296)),"")))</f>
        <v/>
      </c>
      <c r="F296" s="14" t="str">
        <f>IF($L296="","",IF(INDEX(tblRegistros[Data],$L296)&gt;$D$4,"",IFERROR(IF(INDEX(tblRegistros[Status],$L296)="EM ABERTO","",INDEX(tblRegistros[Horas],$L296)),"")))</f>
        <v/>
      </c>
      <c r="G296" t="str">
        <f>IF($L296="","",IF(INDEX(tblRegistros[Data],$L296)&gt;$D$4,"",IFERROR(INDEX(tblRegistros[Base],$L296),"")))</f>
        <v/>
      </c>
      <c r="H296" s="3" t="str">
        <f>IF($L296="","",IF(INDEX(tblRegistros[Data],$L296)&gt;$D$4,"",IFERROR(INDEX(tblRegistros[Taxa aplicada],$L296),"")))</f>
        <v/>
      </c>
      <c r="I296" s="3" t="str">
        <f>IF($L296="","",IF(INDEX(tblRegistros[Data],$L296)&gt;$D$4,"",IFERROR(IF(INDEX(tblRegistros[Status],$L296)="EM ABERTO","",INDEX(tblRegistros[Valor],$L296)),"")))</f>
        <v/>
      </c>
      <c r="J296" t="str">
        <f>IF($L296="","",IF(INDEX(tblRegistros[Data],$L296)&gt;$D$4,"",IFERROR(INDEX(tblRegistros[Status],$L296),"")))</f>
        <v/>
      </c>
      <c r="K296" t="str">
        <f>IF($L296="","",IF(INDEX(tblRegistros[Data],$L296)&gt;$D$4,"",IFERROR(INDEX(tblRegistros[Observação],$L296),"")))</f>
        <v/>
      </c>
      <c r="L296" s="16" t="str">
        <f>IFERROR(MATCH($B$3*100000+COUNTIFS(tblRegistros[ID],$B$3,tblRegistros[Data],"&lt;"&amp;$B$4)+ROWS($L$10:L296),tblRegistros[Chave do cartão],0),"")</f>
        <v/>
      </c>
    </row>
    <row r="297" spans="1:12">
      <c r="A297" s="2" t="str">
        <f>IF($L297="","",IF(INDEX(tblRegistros[Data],$L297)&gt;$D$4,"",IFERROR(INDEX(tblRegistros[Data],$L297),"")))</f>
        <v/>
      </c>
      <c r="B297" t="str">
        <f>IF($L297="","",IF(INDEX(tblRegistros[Data],$L297)&gt;$D$4,"",IFERROR(INDEX(tblRegistros[Projeto],$L297),"")))</f>
        <v/>
      </c>
      <c r="C297" t="str">
        <f>IF($L297="","",IF(INDEX(tblRegistros[Data],$L297)&gt;$D$4,"",IFERROR(INDEX(tblRegistros[Atividade],$L297),"")))</f>
        <v/>
      </c>
      <c r="D297" s="4" t="str">
        <f>IF($L297="","",IF(INDEX(tblRegistros[Data],$L297)&gt;$D$4,"",IFERROR(INDEX(tblRegistros[Início],$L297),"")))</f>
        <v/>
      </c>
      <c r="E297" s="4" t="str">
        <f>IF($L297="","",IF(INDEX(tblRegistros[Data],$L297)&gt;$D$4,"",IFERROR(IF(INDEX(tblRegistros[Status],$L297)="EM ABERTO","",INDEX(tblRegistros[Fim],$L297)),"")))</f>
        <v/>
      </c>
      <c r="F297" s="14" t="str">
        <f>IF($L297="","",IF(INDEX(tblRegistros[Data],$L297)&gt;$D$4,"",IFERROR(IF(INDEX(tblRegistros[Status],$L297)="EM ABERTO","",INDEX(tblRegistros[Horas],$L297)),"")))</f>
        <v/>
      </c>
      <c r="G297" t="str">
        <f>IF($L297="","",IF(INDEX(tblRegistros[Data],$L297)&gt;$D$4,"",IFERROR(INDEX(tblRegistros[Base],$L297),"")))</f>
        <v/>
      </c>
      <c r="H297" s="3" t="str">
        <f>IF($L297="","",IF(INDEX(tblRegistros[Data],$L297)&gt;$D$4,"",IFERROR(INDEX(tblRegistros[Taxa aplicada],$L297),"")))</f>
        <v/>
      </c>
      <c r="I297" s="3" t="str">
        <f>IF($L297="","",IF(INDEX(tblRegistros[Data],$L297)&gt;$D$4,"",IFERROR(IF(INDEX(tblRegistros[Status],$L297)="EM ABERTO","",INDEX(tblRegistros[Valor],$L297)),"")))</f>
        <v/>
      </c>
      <c r="J297" t="str">
        <f>IF($L297="","",IF(INDEX(tblRegistros[Data],$L297)&gt;$D$4,"",IFERROR(INDEX(tblRegistros[Status],$L297),"")))</f>
        <v/>
      </c>
      <c r="K297" t="str">
        <f>IF($L297="","",IF(INDEX(tblRegistros[Data],$L297)&gt;$D$4,"",IFERROR(INDEX(tblRegistros[Observação],$L297),"")))</f>
        <v/>
      </c>
      <c r="L297" s="16" t="str">
        <f>IFERROR(MATCH($B$3*100000+COUNTIFS(tblRegistros[ID],$B$3,tblRegistros[Data],"&lt;"&amp;$B$4)+ROWS($L$10:L297),tblRegistros[Chave do cartão],0),"")</f>
        <v/>
      </c>
    </row>
    <row r="298" spans="1:12">
      <c r="A298" s="2" t="str">
        <f>IF($L298="","",IF(INDEX(tblRegistros[Data],$L298)&gt;$D$4,"",IFERROR(INDEX(tblRegistros[Data],$L298),"")))</f>
        <v/>
      </c>
      <c r="B298" t="str">
        <f>IF($L298="","",IF(INDEX(tblRegistros[Data],$L298)&gt;$D$4,"",IFERROR(INDEX(tblRegistros[Projeto],$L298),"")))</f>
        <v/>
      </c>
      <c r="C298" t="str">
        <f>IF($L298="","",IF(INDEX(tblRegistros[Data],$L298)&gt;$D$4,"",IFERROR(INDEX(tblRegistros[Atividade],$L298),"")))</f>
        <v/>
      </c>
      <c r="D298" s="4" t="str">
        <f>IF($L298="","",IF(INDEX(tblRegistros[Data],$L298)&gt;$D$4,"",IFERROR(INDEX(tblRegistros[Início],$L298),"")))</f>
        <v/>
      </c>
      <c r="E298" s="4" t="str">
        <f>IF($L298="","",IF(INDEX(tblRegistros[Data],$L298)&gt;$D$4,"",IFERROR(IF(INDEX(tblRegistros[Status],$L298)="EM ABERTO","",INDEX(tblRegistros[Fim],$L298)),"")))</f>
        <v/>
      </c>
      <c r="F298" s="14" t="str">
        <f>IF($L298="","",IF(INDEX(tblRegistros[Data],$L298)&gt;$D$4,"",IFERROR(IF(INDEX(tblRegistros[Status],$L298)="EM ABERTO","",INDEX(tblRegistros[Horas],$L298)),"")))</f>
        <v/>
      </c>
      <c r="G298" t="str">
        <f>IF($L298="","",IF(INDEX(tblRegistros[Data],$L298)&gt;$D$4,"",IFERROR(INDEX(tblRegistros[Base],$L298),"")))</f>
        <v/>
      </c>
      <c r="H298" s="3" t="str">
        <f>IF($L298="","",IF(INDEX(tblRegistros[Data],$L298)&gt;$D$4,"",IFERROR(INDEX(tblRegistros[Taxa aplicada],$L298),"")))</f>
        <v/>
      </c>
      <c r="I298" s="3" t="str">
        <f>IF($L298="","",IF(INDEX(tblRegistros[Data],$L298)&gt;$D$4,"",IFERROR(IF(INDEX(tblRegistros[Status],$L298)="EM ABERTO","",INDEX(tblRegistros[Valor],$L298)),"")))</f>
        <v/>
      </c>
      <c r="J298" t="str">
        <f>IF($L298="","",IF(INDEX(tblRegistros[Data],$L298)&gt;$D$4,"",IFERROR(INDEX(tblRegistros[Status],$L298),"")))</f>
        <v/>
      </c>
      <c r="K298" t="str">
        <f>IF($L298="","",IF(INDEX(tblRegistros[Data],$L298)&gt;$D$4,"",IFERROR(INDEX(tblRegistros[Observação],$L298),"")))</f>
        <v/>
      </c>
      <c r="L298" s="16" t="str">
        <f>IFERROR(MATCH($B$3*100000+COUNTIFS(tblRegistros[ID],$B$3,tblRegistros[Data],"&lt;"&amp;$B$4)+ROWS($L$10:L298),tblRegistros[Chave do cartão],0),"")</f>
        <v/>
      </c>
    </row>
    <row r="299" spans="1:12">
      <c r="A299" s="2" t="str">
        <f>IF($L299="","",IF(INDEX(tblRegistros[Data],$L299)&gt;$D$4,"",IFERROR(INDEX(tblRegistros[Data],$L299),"")))</f>
        <v/>
      </c>
      <c r="B299" t="str">
        <f>IF($L299="","",IF(INDEX(tblRegistros[Data],$L299)&gt;$D$4,"",IFERROR(INDEX(tblRegistros[Projeto],$L299),"")))</f>
        <v/>
      </c>
      <c r="C299" t="str">
        <f>IF($L299="","",IF(INDEX(tblRegistros[Data],$L299)&gt;$D$4,"",IFERROR(INDEX(tblRegistros[Atividade],$L299),"")))</f>
        <v/>
      </c>
      <c r="D299" s="4" t="str">
        <f>IF($L299="","",IF(INDEX(tblRegistros[Data],$L299)&gt;$D$4,"",IFERROR(INDEX(tblRegistros[Início],$L299),"")))</f>
        <v/>
      </c>
      <c r="E299" s="4" t="str">
        <f>IF($L299="","",IF(INDEX(tblRegistros[Data],$L299)&gt;$D$4,"",IFERROR(IF(INDEX(tblRegistros[Status],$L299)="EM ABERTO","",INDEX(tblRegistros[Fim],$L299)),"")))</f>
        <v/>
      </c>
      <c r="F299" s="14" t="str">
        <f>IF($L299="","",IF(INDEX(tblRegistros[Data],$L299)&gt;$D$4,"",IFERROR(IF(INDEX(tblRegistros[Status],$L299)="EM ABERTO","",INDEX(tblRegistros[Horas],$L299)),"")))</f>
        <v/>
      </c>
      <c r="G299" t="str">
        <f>IF($L299="","",IF(INDEX(tblRegistros[Data],$L299)&gt;$D$4,"",IFERROR(INDEX(tblRegistros[Base],$L299),"")))</f>
        <v/>
      </c>
      <c r="H299" s="3" t="str">
        <f>IF($L299="","",IF(INDEX(tblRegistros[Data],$L299)&gt;$D$4,"",IFERROR(INDEX(tblRegistros[Taxa aplicada],$L299),"")))</f>
        <v/>
      </c>
      <c r="I299" s="3" t="str">
        <f>IF($L299="","",IF(INDEX(tblRegistros[Data],$L299)&gt;$D$4,"",IFERROR(IF(INDEX(tblRegistros[Status],$L299)="EM ABERTO","",INDEX(tblRegistros[Valor],$L299)),"")))</f>
        <v/>
      </c>
      <c r="J299" t="str">
        <f>IF($L299="","",IF(INDEX(tblRegistros[Data],$L299)&gt;$D$4,"",IFERROR(INDEX(tblRegistros[Status],$L299),"")))</f>
        <v/>
      </c>
      <c r="K299" t="str">
        <f>IF($L299="","",IF(INDEX(tblRegistros[Data],$L299)&gt;$D$4,"",IFERROR(INDEX(tblRegistros[Observação],$L299),"")))</f>
        <v/>
      </c>
      <c r="L299" s="16" t="str">
        <f>IFERROR(MATCH($B$3*100000+COUNTIFS(tblRegistros[ID],$B$3,tblRegistros[Data],"&lt;"&amp;$B$4)+ROWS($L$10:L299),tblRegistros[Chave do cartão],0),"")</f>
        <v/>
      </c>
    </row>
    <row r="300" spans="1:12">
      <c r="A300" s="2" t="str">
        <f>IF($L300="","",IF(INDEX(tblRegistros[Data],$L300)&gt;$D$4,"",IFERROR(INDEX(tblRegistros[Data],$L300),"")))</f>
        <v/>
      </c>
      <c r="B300" t="str">
        <f>IF($L300="","",IF(INDEX(tblRegistros[Data],$L300)&gt;$D$4,"",IFERROR(INDEX(tblRegistros[Projeto],$L300),"")))</f>
        <v/>
      </c>
      <c r="C300" t="str">
        <f>IF($L300="","",IF(INDEX(tblRegistros[Data],$L300)&gt;$D$4,"",IFERROR(INDEX(tblRegistros[Atividade],$L300),"")))</f>
        <v/>
      </c>
      <c r="D300" s="4" t="str">
        <f>IF($L300="","",IF(INDEX(tblRegistros[Data],$L300)&gt;$D$4,"",IFERROR(INDEX(tblRegistros[Início],$L300),"")))</f>
        <v/>
      </c>
      <c r="E300" s="4" t="str">
        <f>IF($L300="","",IF(INDEX(tblRegistros[Data],$L300)&gt;$D$4,"",IFERROR(IF(INDEX(tblRegistros[Status],$L300)="EM ABERTO","",INDEX(tblRegistros[Fim],$L300)),"")))</f>
        <v/>
      </c>
      <c r="F300" s="14" t="str">
        <f>IF($L300="","",IF(INDEX(tblRegistros[Data],$L300)&gt;$D$4,"",IFERROR(IF(INDEX(tblRegistros[Status],$L300)="EM ABERTO","",INDEX(tblRegistros[Horas],$L300)),"")))</f>
        <v/>
      </c>
      <c r="G300" t="str">
        <f>IF($L300="","",IF(INDEX(tblRegistros[Data],$L300)&gt;$D$4,"",IFERROR(INDEX(tblRegistros[Base],$L300),"")))</f>
        <v/>
      </c>
      <c r="H300" s="3" t="str">
        <f>IF($L300="","",IF(INDEX(tblRegistros[Data],$L300)&gt;$D$4,"",IFERROR(INDEX(tblRegistros[Taxa aplicada],$L300),"")))</f>
        <v/>
      </c>
      <c r="I300" s="3" t="str">
        <f>IF($L300="","",IF(INDEX(tblRegistros[Data],$L300)&gt;$D$4,"",IFERROR(IF(INDEX(tblRegistros[Status],$L300)="EM ABERTO","",INDEX(tblRegistros[Valor],$L300)),"")))</f>
        <v/>
      </c>
      <c r="J300" t="str">
        <f>IF($L300="","",IF(INDEX(tblRegistros[Data],$L300)&gt;$D$4,"",IFERROR(INDEX(tblRegistros[Status],$L300),"")))</f>
        <v/>
      </c>
      <c r="K300" t="str">
        <f>IF($L300="","",IF(INDEX(tblRegistros[Data],$L300)&gt;$D$4,"",IFERROR(INDEX(tblRegistros[Observação],$L300),"")))</f>
        <v/>
      </c>
      <c r="L300" s="16" t="str">
        <f>IFERROR(MATCH($B$3*100000+COUNTIFS(tblRegistros[ID],$B$3,tblRegistros[Data],"&lt;"&amp;$B$4)+ROWS($L$10:L300),tblRegistros[Chave do cartão],0),"")</f>
        <v/>
      </c>
    </row>
    <row r="301" spans="1:12">
      <c r="A301" s="2" t="str">
        <f>IF($L301="","",IF(INDEX(tblRegistros[Data],$L301)&gt;$D$4,"",IFERROR(INDEX(tblRegistros[Data],$L301),"")))</f>
        <v/>
      </c>
      <c r="B301" t="str">
        <f>IF($L301="","",IF(INDEX(tblRegistros[Data],$L301)&gt;$D$4,"",IFERROR(INDEX(tblRegistros[Projeto],$L301),"")))</f>
        <v/>
      </c>
      <c r="C301" t="str">
        <f>IF($L301="","",IF(INDEX(tblRegistros[Data],$L301)&gt;$D$4,"",IFERROR(INDEX(tblRegistros[Atividade],$L301),"")))</f>
        <v/>
      </c>
      <c r="D301" s="4" t="str">
        <f>IF($L301="","",IF(INDEX(tblRegistros[Data],$L301)&gt;$D$4,"",IFERROR(INDEX(tblRegistros[Início],$L301),"")))</f>
        <v/>
      </c>
      <c r="E301" s="4" t="str">
        <f>IF($L301="","",IF(INDEX(tblRegistros[Data],$L301)&gt;$D$4,"",IFERROR(IF(INDEX(tblRegistros[Status],$L301)="EM ABERTO","",INDEX(tblRegistros[Fim],$L301)),"")))</f>
        <v/>
      </c>
      <c r="F301" s="14" t="str">
        <f>IF($L301="","",IF(INDEX(tblRegistros[Data],$L301)&gt;$D$4,"",IFERROR(IF(INDEX(tblRegistros[Status],$L301)="EM ABERTO","",INDEX(tblRegistros[Horas],$L301)),"")))</f>
        <v/>
      </c>
      <c r="G301" t="str">
        <f>IF($L301="","",IF(INDEX(tblRegistros[Data],$L301)&gt;$D$4,"",IFERROR(INDEX(tblRegistros[Base],$L301),"")))</f>
        <v/>
      </c>
      <c r="H301" s="3" t="str">
        <f>IF($L301="","",IF(INDEX(tblRegistros[Data],$L301)&gt;$D$4,"",IFERROR(INDEX(tblRegistros[Taxa aplicada],$L301),"")))</f>
        <v/>
      </c>
      <c r="I301" s="3" t="str">
        <f>IF($L301="","",IF(INDEX(tblRegistros[Data],$L301)&gt;$D$4,"",IFERROR(IF(INDEX(tblRegistros[Status],$L301)="EM ABERTO","",INDEX(tblRegistros[Valor],$L301)),"")))</f>
        <v/>
      </c>
      <c r="J301" t="str">
        <f>IF($L301="","",IF(INDEX(tblRegistros[Data],$L301)&gt;$D$4,"",IFERROR(INDEX(tblRegistros[Status],$L301),"")))</f>
        <v/>
      </c>
      <c r="K301" t="str">
        <f>IF($L301="","",IF(INDEX(tblRegistros[Data],$L301)&gt;$D$4,"",IFERROR(INDEX(tblRegistros[Observação],$L301),"")))</f>
        <v/>
      </c>
      <c r="L301" s="16" t="str">
        <f>IFERROR(MATCH($B$3*100000+COUNTIFS(tblRegistros[ID],$B$3,tblRegistros[Data],"&lt;"&amp;$B$4)+ROWS($L$10:L301),tblRegistros[Chave do cartão],0),"")</f>
        <v/>
      </c>
    </row>
    <row r="302" spans="1:12">
      <c r="A302" s="2" t="str">
        <f>IF($L302="","",IF(INDEX(tblRegistros[Data],$L302)&gt;$D$4,"",IFERROR(INDEX(tblRegistros[Data],$L302),"")))</f>
        <v/>
      </c>
      <c r="B302" t="str">
        <f>IF($L302="","",IF(INDEX(tblRegistros[Data],$L302)&gt;$D$4,"",IFERROR(INDEX(tblRegistros[Projeto],$L302),"")))</f>
        <v/>
      </c>
      <c r="C302" t="str">
        <f>IF($L302="","",IF(INDEX(tblRegistros[Data],$L302)&gt;$D$4,"",IFERROR(INDEX(tblRegistros[Atividade],$L302),"")))</f>
        <v/>
      </c>
      <c r="D302" s="4" t="str">
        <f>IF($L302="","",IF(INDEX(tblRegistros[Data],$L302)&gt;$D$4,"",IFERROR(INDEX(tblRegistros[Início],$L302),"")))</f>
        <v/>
      </c>
      <c r="E302" s="4" t="str">
        <f>IF($L302="","",IF(INDEX(tblRegistros[Data],$L302)&gt;$D$4,"",IFERROR(IF(INDEX(tblRegistros[Status],$L302)="EM ABERTO","",INDEX(tblRegistros[Fim],$L302)),"")))</f>
        <v/>
      </c>
      <c r="F302" s="14" t="str">
        <f>IF($L302="","",IF(INDEX(tblRegistros[Data],$L302)&gt;$D$4,"",IFERROR(IF(INDEX(tblRegistros[Status],$L302)="EM ABERTO","",INDEX(tblRegistros[Horas],$L302)),"")))</f>
        <v/>
      </c>
      <c r="G302" t="str">
        <f>IF($L302="","",IF(INDEX(tblRegistros[Data],$L302)&gt;$D$4,"",IFERROR(INDEX(tblRegistros[Base],$L302),"")))</f>
        <v/>
      </c>
      <c r="H302" s="3" t="str">
        <f>IF($L302="","",IF(INDEX(tblRegistros[Data],$L302)&gt;$D$4,"",IFERROR(INDEX(tblRegistros[Taxa aplicada],$L302),"")))</f>
        <v/>
      </c>
      <c r="I302" s="3" t="str">
        <f>IF($L302="","",IF(INDEX(tblRegistros[Data],$L302)&gt;$D$4,"",IFERROR(IF(INDEX(tblRegistros[Status],$L302)="EM ABERTO","",INDEX(tblRegistros[Valor],$L302)),"")))</f>
        <v/>
      </c>
      <c r="J302" t="str">
        <f>IF($L302="","",IF(INDEX(tblRegistros[Data],$L302)&gt;$D$4,"",IFERROR(INDEX(tblRegistros[Status],$L302),"")))</f>
        <v/>
      </c>
      <c r="K302" t="str">
        <f>IF($L302="","",IF(INDEX(tblRegistros[Data],$L302)&gt;$D$4,"",IFERROR(INDEX(tblRegistros[Observação],$L302),"")))</f>
        <v/>
      </c>
      <c r="L302" s="16" t="str">
        <f>IFERROR(MATCH($B$3*100000+COUNTIFS(tblRegistros[ID],$B$3,tblRegistros[Data],"&lt;"&amp;$B$4)+ROWS($L$10:L302),tblRegistros[Chave do cartão],0),"")</f>
        <v/>
      </c>
    </row>
    <row r="303" spans="1:12">
      <c r="A303" s="2" t="str">
        <f>IF($L303="","",IF(INDEX(tblRegistros[Data],$L303)&gt;$D$4,"",IFERROR(INDEX(tblRegistros[Data],$L303),"")))</f>
        <v/>
      </c>
      <c r="B303" t="str">
        <f>IF($L303="","",IF(INDEX(tblRegistros[Data],$L303)&gt;$D$4,"",IFERROR(INDEX(tblRegistros[Projeto],$L303),"")))</f>
        <v/>
      </c>
      <c r="C303" t="str">
        <f>IF($L303="","",IF(INDEX(tblRegistros[Data],$L303)&gt;$D$4,"",IFERROR(INDEX(tblRegistros[Atividade],$L303),"")))</f>
        <v/>
      </c>
      <c r="D303" s="4" t="str">
        <f>IF($L303="","",IF(INDEX(tblRegistros[Data],$L303)&gt;$D$4,"",IFERROR(INDEX(tblRegistros[Início],$L303),"")))</f>
        <v/>
      </c>
      <c r="E303" s="4" t="str">
        <f>IF($L303="","",IF(INDEX(tblRegistros[Data],$L303)&gt;$D$4,"",IFERROR(IF(INDEX(tblRegistros[Status],$L303)="EM ABERTO","",INDEX(tblRegistros[Fim],$L303)),"")))</f>
        <v/>
      </c>
      <c r="F303" s="14" t="str">
        <f>IF($L303="","",IF(INDEX(tblRegistros[Data],$L303)&gt;$D$4,"",IFERROR(IF(INDEX(tblRegistros[Status],$L303)="EM ABERTO","",INDEX(tblRegistros[Horas],$L303)),"")))</f>
        <v/>
      </c>
      <c r="G303" t="str">
        <f>IF($L303="","",IF(INDEX(tblRegistros[Data],$L303)&gt;$D$4,"",IFERROR(INDEX(tblRegistros[Base],$L303),"")))</f>
        <v/>
      </c>
      <c r="H303" s="3" t="str">
        <f>IF($L303="","",IF(INDEX(tblRegistros[Data],$L303)&gt;$D$4,"",IFERROR(INDEX(tblRegistros[Taxa aplicada],$L303),"")))</f>
        <v/>
      </c>
      <c r="I303" s="3" t="str">
        <f>IF($L303="","",IF(INDEX(tblRegistros[Data],$L303)&gt;$D$4,"",IFERROR(IF(INDEX(tblRegistros[Status],$L303)="EM ABERTO","",INDEX(tblRegistros[Valor],$L303)),"")))</f>
        <v/>
      </c>
      <c r="J303" t="str">
        <f>IF($L303="","",IF(INDEX(tblRegistros[Data],$L303)&gt;$D$4,"",IFERROR(INDEX(tblRegistros[Status],$L303),"")))</f>
        <v/>
      </c>
      <c r="K303" t="str">
        <f>IF($L303="","",IF(INDEX(tblRegistros[Data],$L303)&gt;$D$4,"",IFERROR(INDEX(tblRegistros[Observação],$L303),"")))</f>
        <v/>
      </c>
      <c r="L303" s="16" t="str">
        <f>IFERROR(MATCH($B$3*100000+COUNTIFS(tblRegistros[ID],$B$3,tblRegistros[Data],"&lt;"&amp;$B$4)+ROWS($L$10:L303),tblRegistros[Chave do cartão],0),"")</f>
        <v/>
      </c>
    </row>
    <row r="304" spans="1:12">
      <c r="A304" s="2" t="str">
        <f>IF($L304="","",IF(INDEX(tblRegistros[Data],$L304)&gt;$D$4,"",IFERROR(INDEX(tblRegistros[Data],$L304),"")))</f>
        <v/>
      </c>
      <c r="B304" t="str">
        <f>IF($L304="","",IF(INDEX(tblRegistros[Data],$L304)&gt;$D$4,"",IFERROR(INDEX(tblRegistros[Projeto],$L304),"")))</f>
        <v/>
      </c>
      <c r="C304" t="str">
        <f>IF($L304="","",IF(INDEX(tblRegistros[Data],$L304)&gt;$D$4,"",IFERROR(INDEX(tblRegistros[Atividade],$L304),"")))</f>
        <v/>
      </c>
      <c r="D304" s="4" t="str">
        <f>IF($L304="","",IF(INDEX(tblRegistros[Data],$L304)&gt;$D$4,"",IFERROR(INDEX(tblRegistros[Início],$L304),"")))</f>
        <v/>
      </c>
      <c r="E304" s="4" t="str">
        <f>IF($L304="","",IF(INDEX(tblRegistros[Data],$L304)&gt;$D$4,"",IFERROR(IF(INDEX(tblRegistros[Status],$L304)="EM ABERTO","",INDEX(tblRegistros[Fim],$L304)),"")))</f>
        <v/>
      </c>
      <c r="F304" s="14" t="str">
        <f>IF($L304="","",IF(INDEX(tblRegistros[Data],$L304)&gt;$D$4,"",IFERROR(IF(INDEX(tblRegistros[Status],$L304)="EM ABERTO","",INDEX(tblRegistros[Horas],$L304)),"")))</f>
        <v/>
      </c>
      <c r="G304" t="str">
        <f>IF($L304="","",IF(INDEX(tblRegistros[Data],$L304)&gt;$D$4,"",IFERROR(INDEX(tblRegistros[Base],$L304),"")))</f>
        <v/>
      </c>
      <c r="H304" s="3" t="str">
        <f>IF($L304="","",IF(INDEX(tblRegistros[Data],$L304)&gt;$D$4,"",IFERROR(INDEX(tblRegistros[Taxa aplicada],$L304),"")))</f>
        <v/>
      </c>
      <c r="I304" s="3" t="str">
        <f>IF($L304="","",IF(INDEX(tblRegistros[Data],$L304)&gt;$D$4,"",IFERROR(IF(INDEX(tblRegistros[Status],$L304)="EM ABERTO","",INDEX(tblRegistros[Valor],$L304)),"")))</f>
        <v/>
      </c>
      <c r="J304" t="str">
        <f>IF($L304="","",IF(INDEX(tblRegistros[Data],$L304)&gt;$D$4,"",IFERROR(INDEX(tblRegistros[Status],$L304),"")))</f>
        <v/>
      </c>
      <c r="K304" t="str">
        <f>IF($L304="","",IF(INDEX(tblRegistros[Data],$L304)&gt;$D$4,"",IFERROR(INDEX(tblRegistros[Observação],$L304),"")))</f>
        <v/>
      </c>
      <c r="L304" s="16" t="str">
        <f>IFERROR(MATCH($B$3*100000+COUNTIFS(tblRegistros[ID],$B$3,tblRegistros[Data],"&lt;"&amp;$B$4)+ROWS($L$10:L304),tblRegistros[Chave do cartão],0),"")</f>
        <v/>
      </c>
    </row>
    <row r="305" spans="1:12">
      <c r="A305" s="2" t="str">
        <f>IF($L305="","",IF(INDEX(tblRegistros[Data],$L305)&gt;$D$4,"",IFERROR(INDEX(tblRegistros[Data],$L305),"")))</f>
        <v/>
      </c>
      <c r="B305" t="str">
        <f>IF($L305="","",IF(INDEX(tblRegistros[Data],$L305)&gt;$D$4,"",IFERROR(INDEX(tblRegistros[Projeto],$L305),"")))</f>
        <v/>
      </c>
      <c r="C305" t="str">
        <f>IF($L305="","",IF(INDEX(tblRegistros[Data],$L305)&gt;$D$4,"",IFERROR(INDEX(tblRegistros[Atividade],$L305),"")))</f>
        <v/>
      </c>
      <c r="D305" s="4" t="str">
        <f>IF($L305="","",IF(INDEX(tblRegistros[Data],$L305)&gt;$D$4,"",IFERROR(INDEX(tblRegistros[Início],$L305),"")))</f>
        <v/>
      </c>
      <c r="E305" s="4" t="str">
        <f>IF($L305="","",IF(INDEX(tblRegistros[Data],$L305)&gt;$D$4,"",IFERROR(IF(INDEX(tblRegistros[Status],$L305)="EM ABERTO","",INDEX(tblRegistros[Fim],$L305)),"")))</f>
        <v/>
      </c>
      <c r="F305" s="14" t="str">
        <f>IF($L305="","",IF(INDEX(tblRegistros[Data],$L305)&gt;$D$4,"",IFERROR(IF(INDEX(tblRegistros[Status],$L305)="EM ABERTO","",INDEX(tblRegistros[Horas],$L305)),"")))</f>
        <v/>
      </c>
      <c r="G305" t="str">
        <f>IF($L305="","",IF(INDEX(tblRegistros[Data],$L305)&gt;$D$4,"",IFERROR(INDEX(tblRegistros[Base],$L305),"")))</f>
        <v/>
      </c>
      <c r="H305" s="3" t="str">
        <f>IF($L305="","",IF(INDEX(tblRegistros[Data],$L305)&gt;$D$4,"",IFERROR(INDEX(tblRegistros[Taxa aplicada],$L305),"")))</f>
        <v/>
      </c>
      <c r="I305" s="3" t="str">
        <f>IF($L305="","",IF(INDEX(tblRegistros[Data],$L305)&gt;$D$4,"",IFERROR(IF(INDEX(tblRegistros[Status],$L305)="EM ABERTO","",INDEX(tblRegistros[Valor],$L305)),"")))</f>
        <v/>
      </c>
      <c r="J305" t="str">
        <f>IF($L305="","",IF(INDEX(tblRegistros[Data],$L305)&gt;$D$4,"",IFERROR(INDEX(tblRegistros[Status],$L305),"")))</f>
        <v/>
      </c>
      <c r="K305" t="str">
        <f>IF($L305="","",IF(INDEX(tblRegistros[Data],$L305)&gt;$D$4,"",IFERROR(INDEX(tblRegistros[Observação],$L305),"")))</f>
        <v/>
      </c>
      <c r="L305" s="16" t="str">
        <f>IFERROR(MATCH($B$3*100000+COUNTIFS(tblRegistros[ID],$B$3,tblRegistros[Data],"&lt;"&amp;$B$4)+ROWS($L$10:L305),tblRegistros[Chave do cartão],0),"")</f>
        <v/>
      </c>
    </row>
    <row r="306" spans="1:12">
      <c r="A306" s="2" t="str">
        <f>IF($L306="","",IF(INDEX(tblRegistros[Data],$L306)&gt;$D$4,"",IFERROR(INDEX(tblRegistros[Data],$L306),"")))</f>
        <v/>
      </c>
      <c r="B306" t="str">
        <f>IF($L306="","",IF(INDEX(tblRegistros[Data],$L306)&gt;$D$4,"",IFERROR(INDEX(tblRegistros[Projeto],$L306),"")))</f>
        <v/>
      </c>
      <c r="C306" t="str">
        <f>IF($L306="","",IF(INDEX(tblRegistros[Data],$L306)&gt;$D$4,"",IFERROR(INDEX(tblRegistros[Atividade],$L306),"")))</f>
        <v/>
      </c>
      <c r="D306" s="4" t="str">
        <f>IF($L306="","",IF(INDEX(tblRegistros[Data],$L306)&gt;$D$4,"",IFERROR(INDEX(tblRegistros[Início],$L306),"")))</f>
        <v/>
      </c>
      <c r="E306" s="4" t="str">
        <f>IF($L306="","",IF(INDEX(tblRegistros[Data],$L306)&gt;$D$4,"",IFERROR(IF(INDEX(tblRegistros[Status],$L306)="EM ABERTO","",INDEX(tblRegistros[Fim],$L306)),"")))</f>
        <v/>
      </c>
      <c r="F306" s="14" t="str">
        <f>IF($L306="","",IF(INDEX(tblRegistros[Data],$L306)&gt;$D$4,"",IFERROR(IF(INDEX(tblRegistros[Status],$L306)="EM ABERTO","",INDEX(tblRegistros[Horas],$L306)),"")))</f>
        <v/>
      </c>
      <c r="G306" t="str">
        <f>IF($L306="","",IF(INDEX(tblRegistros[Data],$L306)&gt;$D$4,"",IFERROR(INDEX(tblRegistros[Base],$L306),"")))</f>
        <v/>
      </c>
      <c r="H306" s="3" t="str">
        <f>IF($L306="","",IF(INDEX(tblRegistros[Data],$L306)&gt;$D$4,"",IFERROR(INDEX(tblRegistros[Taxa aplicada],$L306),"")))</f>
        <v/>
      </c>
      <c r="I306" s="3" t="str">
        <f>IF($L306="","",IF(INDEX(tblRegistros[Data],$L306)&gt;$D$4,"",IFERROR(IF(INDEX(tblRegistros[Status],$L306)="EM ABERTO","",INDEX(tblRegistros[Valor],$L306)),"")))</f>
        <v/>
      </c>
      <c r="J306" t="str">
        <f>IF($L306="","",IF(INDEX(tblRegistros[Data],$L306)&gt;$D$4,"",IFERROR(INDEX(tblRegistros[Status],$L306),"")))</f>
        <v/>
      </c>
      <c r="K306" t="str">
        <f>IF($L306="","",IF(INDEX(tblRegistros[Data],$L306)&gt;$D$4,"",IFERROR(INDEX(tblRegistros[Observação],$L306),"")))</f>
        <v/>
      </c>
      <c r="L306" s="16" t="str">
        <f>IFERROR(MATCH($B$3*100000+COUNTIFS(tblRegistros[ID],$B$3,tblRegistros[Data],"&lt;"&amp;$B$4)+ROWS($L$10:L306),tblRegistros[Chave do cartão],0),"")</f>
        <v/>
      </c>
    </row>
    <row r="307" spans="1:12">
      <c r="A307" s="2" t="str">
        <f>IF($L307="","",IF(INDEX(tblRegistros[Data],$L307)&gt;$D$4,"",IFERROR(INDEX(tblRegistros[Data],$L307),"")))</f>
        <v/>
      </c>
      <c r="B307" t="str">
        <f>IF($L307="","",IF(INDEX(tblRegistros[Data],$L307)&gt;$D$4,"",IFERROR(INDEX(tblRegistros[Projeto],$L307),"")))</f>
        <v/>
      </c>
      <c r="C307" t="str">
        <f>IF($L307="","",IF(INDEX(tblRegistros[Data],$L307)&gt;$D$4,"",IFERROR(INDEX(tblRegistros[Atividade],$L307),"")))</f>
        <v/>
      </c>
      <c r="D307" s="4" t="str">
        <f>IF($L307="","",IF(INDEX(tblRegistros[Data],$L307)&gt;$D$4,"",IFERROR(INDEX(tblRegistros[Início],$L307),"")))</f>
        <v/>
      </c>
      <c r="E307" s="4" t="str">
        <f>IF($L307="","",IF(INDEX(tblRegistros[Data],$L307)&gt;$D$4,"",IFERROR(IF(INDEX(tblRegistros[Status],$L307)="EM ABERTO","",INDEX(tblRegistros[Fim],$L307)),"")))</f>
        <v/>
      </c>
      <c r="F307" s="14" t="str">
        <f>IF($L307="","",IF(INDEX(tblRegistros[Data],$L307)&gt;$D$4,"",IFERROR(IF(INDEX(tblRegistros[Status],$L307)="EM ABERTO","",INDEX(tblRegistros[Horas],$L307)),"")))</f>
        <v/>
      </c>
      <c r="G307" t="str">
        <f>IF($L307="","",IF(INDEX(tblRegistros[Data],$L307)&gt;$D$4,"",IFERROR(INDEX(tblRegistros[Base],$L307),"")))</f>
        <v/>
      </c>
      <c r="H307" s="3" t="str">
        <f>IF($L307="","",IF(INDEX(tblRegistros[Data],$L307)&gt;$D$4,"",IFERROR(INDEX(tblRegistros[Taxa aplicada],$L307),"")))</f>
        <v/>
      </c>
      <c r="I307" s="3" t="str">
        <f>IF($L307="","",IF(INDEX(tblRegistros[Data],$L307)&gt;$D$4,"",IFERROR(IF(INDEX(tblRegistros[Status],$L307)="EM ABERTO","",INDEX(tblRegistros[Valor],$L307)),"")))</f>
        <v/>
      </c>
      <c r="J307" t="str">
        <f>IF($L307="","",IF(INDEX(tblRegistros[Data],$L307)&gt;$D$4,"",IFERROR(INDEX(tblRegistros[Status],$L307),"")))</f>
        <v/>
      </c>
      <c r="K307" t="str">
        <f>IF($L307="","",IF(INDEX(tblRegistros[Data],$L307)&gt;$D$4,"",IFERROR(INDEX(tblRegistros[Observação],$L307),"")))</f>
        <v/>
      </c>
      <c r="L307" s="16" t="str">
        <f>IFERROR(MATCH($B$3*100000+COUNTIFS(tblRegistros[ID],$B$3,tblRegistros[Data],"&lt;"&amp;$B$4)+ROWS($L$10:L307),tblRegistros[Chave do cartão],0),"")</f>
        <v/>
      </c>
    </row>
    <row r="308" spans="1:12">
      <c r="A308" s="2" t="str">
        <f>IF($L308="","",IF(INDEX(tblRegistros[Data],$L308)&gt;$D$4,"",IFERROR(INDEX(tblRegistros[Data],$L308),"")))</f>
        <v/>
      </c>
      <c r="B308" t="str">
        <f>IF($L308="","",IF(INDEX(tblRegistros[Data],$L308)&gt;$D$4,"",IFERROR(INDEX(tblRegistros[Projeto],$L308),"")))</f>
        <v/>
      </c>
      <c r="C308" t="str">
        <f>IF($L308="","",IF(INDEX(tblRegistros[Data],$L308)&gt;$D$4,"",IFERROR(INDEX(tblRegistros[Atividade],$L308),"")))</f>
        <v/>
      </c>
      <c r="D308" s="4" t="str">
        <f>IF($L308="","",IF(INDEX(tblRegistros[Data],$L308)&gt;$D$4,"",IFERROR(INDEX(tblRegistros[Início],$L308),"")))</f>
        <v/>
      </c>
      <c r="E308" s="4" t="str">
        <f>IF($L308="","",IF(INDEX(tblRegistros[Data],$L308)&gt;$D$4,"",IFERROR(IF(INDEX(tblRegistros[Status],$L308)="EM ABERTO","",INDEX(tblRegistros[Fim],$L308)),"")))</f>
        <v/>
      </c>
      <c r="F308" s="14" t="str">
        <f>IF($L308="","",IF(INDEX(tblRegistros[Data],$L308)&gt;$D$4,"",IFERROR(IF(INDEX(tblRegistros[Status],$L308)="EM ABERTO","",INDEX(tblRegistros[Horas],$L308)),"")))</f>
        <v/>
      </c>
      <c r="G308" t="str">
        <f>IF($L308="","",IF(INDEX(tblRegistros[Data],$L308)&gt;$D$4,"",IFERROR(INDEX(tblRegistros[Base],$L308),"")))</f>
        <v/>
      </c>
      <c r="H308" s="3" t="str">
        <f>IF($L308="","",IF(INDEX(tblRegistros[Data],$L308)&gt;$D$4,"",IFERROR(INDEX(tblRegistros[Taxa aplicada],$L308),"")))</f>
        <v/>
      </c>
      <c r="I308" s="3" t="str">
        <f>IF($L308="","",IF(INDEX(tblRegistros[Data],$L308)&gt;$D$4,"",IFERROR(IF(INDEX(tblRegistros[Status],$L308)="EM ABERTO","",INDEX(tblRegistros[Valor],$L308)),"")))</f>
        <v/>
      </c>
      <c r="J308" t="str">
        <f>IF($L308="","",IF(INDEX(tblRegistros[Data],$L308)&gt;$D$4,"",IFERROR(INDEX(tblRegistros[Status],$L308),"")))</f>
        <v/>
      </c>
      <c r="K308" t="str">
        <f>IF($L308="","",IF(INDEX(tblRegistros[Data],$L308)&gt;$D$4,"",IFERROR(INDEX(tblRegistros[Observação],$L308),"")))</f>
        <v/>
      </c>
      <c r="L308" s="16" t="str">
        <f>IFERROR(MATCH($B$3*100000+COUNTIFS(tblRegistros[ID],$B$3,tblRegistros[Data],"&lt;"&amp;$B$4)+ROWS($L$10:L308),tblRegistros[Chave do cartão],0),"")</f>
        <v/>
      </c>
    </row>
    <row r="309" spans="1:12">
      <c r="A309" s="2" t="str">
        <f>IF($L309="","",IF(INDEX(tblRegistros[Data],$L309)&gt;$D$4,"",IFERROR(INDEX(tblRegistros[Data],$L309),"")))</f>
        <v/>
      </c>
      <c r="B309" t="str">
        <f>IF($L309="","",IF(INDEX(tblRegistros[Data],$L309)&gt;$D$4,"",IFERROR(INDEX(tblRegistros[Projeto],$L309),"")))</f>
        <v/>
      </c>
      <c r="C309" t="str">
        <f>IF($L309="","",IF(INDEX(tblRegistros[Data],$L309)&gt;$D$4,"",IFERROR(INDEX(tblRegistros[Atividade],$L309),"")))</f>
        <v/>
      </c>
      <c r="D309" s="4" t="str">
        <f>IF($L309="","",IF(INDEX(tblRegistros[Data],$L309)&gt;$D$4,"",IFERROR(INDEX(tblRegistros[Início],$L309),"")))</f>
        <v/>
      </c>
      <c r="E309" s="4" t="str">
        <f>IF($L309="","",IF(INDEX(tblRegistros[Data],$L309)&gt;$D$4,"",IFERROR(IF(INDEX(tblRegistros[Status],$L309)="EM ABERTO","",INDEX(tblRegistros[Fim],$L309)),"")))</f>
        <v/>
      </c>
      <c r="F309" s="14" t="str">
        <f>IF($L309="","",IF(INDEX(tblRegistros[Data],$L309)&gt;$D$4,"",IFERROR(IF(INDEX(tblRegistros[Status],$L309)="EM ABERTO","",INDEX(tblRegistros[Horas],$L309)),"")))</f>
        <v/>
      </c>
      <c r="G309" t="str">
        <f>IF($L309="","",IF(INDEX(tblRegistros[Data],$L309)&gt;$D$4,"",IFERROR(INDEX(tblRegistros[Base],$L309),"")))</f>
        <v/>
      </c>
      <c r="H309" s="3" t="str">
        <f>IF($L309="","",IF(INDEX(tblRegistros[Data],$L309)&gt;$D$4,"",IFERROR(INDEX(tblRegistros[Taxa aplicada],$L309),"")))</f>
        <v/>
      </c>
      <c r="I309" s="3" t="str">
        <f>IF($L309="","",IF(INDEX(tblRegistros[Data],$L309)&gt;$D$4,"",IFERROR(IF(INDEX(tblRegistros[Status],$L309)="EM ABERTO","",INDEX(tblRegistros[Valor],$L309)),"")))</f>
        <v/>
      </c>
      <c r="J309" t="str">
        <f>IF($L309="","",IF(INDEX(tblRegistros[Data],$L309)&gt;$D$4,"",IFERROR(INDEX(tblRegistros[Status],$L309),"")))</f>
        <v/>
      </c>
      <c r="K309" t="str">
        <f>IF($L309="","",IF(INDEX(tblRegistros[Data],$L309)&gt;$D$4,"",IFERROR(INDEX(tblRegistros[Observação],$L309),"")))</f>
        <v/>
      </c>
      <c r="L309" s="16" t="str">
        <f>IFERROR(MATCH($B$3*100000+COUNTIFS(tblRegistros[ID],$B$3,tblRegistros[Data],"&lt;"&amp;$B$4)+ROWS($L$10:L309),tblRegistros[Chave do cartão],0),"")</f>
        <v/>
      </c>
    </row>
    <row r="310" spans="1:12">
      <c r="A310" s="2" t="str">
        <f>IF($L310="","",IF(INDEX(tblRegistros[Data],$L310)&gt;$D$4,"",IFERROR(INDEX(tblRegistros[Data],$L310),"")))</f>
        <v/>
      </c>
      <c r="B310" t="str">
        <f>IF($L310="","",IF(INDEX(tblRegistros[Data],$L310)&gt;$D$4,"",IFERROR(INDEX(tblRegistros[Projeto],$L310),"")))</f>
        <v/>
      </c>
      <c r="C310" t="str">
        <f>IF($L310="","",IF(INDEX(tblRegistros[Data],$L310)&gt;$D$4,"",IFERROR(INDEX(tblRegistros[Atividade],$L310),"")))</f>
        <v/>
      </c>
      <c r="D310" s="4" t="str">
        <f>IF($L310="","",IF(INDEX(tblRegistros[Data],$L310)&gt;$D$4,"",IFERROR(INDEX(tblRegistros[Início],$L310),"")))</f>
        <v/>
      </c>
      <c r="E310" s="4" t="str">
        <f>IF($L310="","",IF(INDEX(tblRegistros[Data],$L310)&gt;$D$4,"",IFERROR(IF(INDEX(tblRegistros[Status],$L310)="EM ABERTO","",INDEX(tblRegistros[Fim],$L310)),"")))</f>
        <v/>
      </c>
      <c r="F310" s="14" t="str">
        <f>IF($L310="","",IF(INDEX(tblRegistros[Data],$L310)&gt;$D$4,"",IFERROR(IF(INDEX(tblRegistros[Status],$L310)="EM ABERTO","",INDEX(tblRegistros[Horas],$L310)),"")))</f>
        <v/>
      </c>
      <c r="G310" t="str">
        <f>IF($L310="","",IF(INDEX(tblRegistros[Data],$L310)&gt;$D$4,"",IFERROR(INDEX(tblRegistros[Base],$L310),"")))</f>
        <v/>
      </c>
      <c r="H310" s="3" t="str">
        <f>IF($L310="","",IF(INDEX(tblRegistros[Data],$L310)&gt;$D$4,"",IFERROR(INDEX(tblRegistros[Taxa aplicada],$L310),"")))</f>
        <v/>
      </c>
      <c r="I310" s="3" t="str">
        <f>IF($L310="","",IF(INDEX(tblRegistros[Data],$L310)&gt;$D$4,"",IFERROR(IF(INDEX(tblRegistros[Status],$L310)="EM ABERTO","",INDEX(tblRegistros[Valor],$L310)),"")))</f>
        <v/>
      </c>
      <c r="J310" t="str">
        <f>IF($L310="","",IF(INDEX(tblRegistros[Data],$L310)&gt;$D$4,"",IFERROR(INDEX(tblRegistros[Status],$L310),"")))</f>
        <v/>
      </c>
      <c r="K310" t="str">
        <f>IF($L310="","",IF(INDEX(tblRegistros[Data],$L310)&gt;$D$4,"",IFERROR(INDEX(tblRegistros[Observação],$L310),"")))</f>
        <v/>
      </c>
      <c r="L310" s="16" t="str">
        <f>IFERROR(MATCH($B$3*100000+COUNTIFS(tblRegistros[ID],$B$3,tblRegistros[Data],"&lt;"&amp;$B$4)+ROWS($L$10:L310),tblRegistros[Chave do cartão],0),"")</f>
        <v/>
      </c>
    </row>
    <row r="311" spans="1:12">
      <c r="A311" s="2" t="str">
        <f>IF($L311="","",IF(INDEX(tblRegistros[Data],$L311)&gt;$D$4,"",IFERROR(INDEX(tblRegistros[Data],$L311),"")))</f>
        <v/>
      </c>
      <c r="B311" t="str">
        <f>IF($L311="","",IF(INDEX(tblRegistros[Data],$L311)&gt;$D$4,"",IFERROR(INDEX(tblRegistros[Projeto],$L311),"")))</f>
        <v/>
      </c>
      <c r="C311" t="str">
        <f>IF($L311="","",IF(INDEX(tblRegistros[Data],$L311)&gt;$D$4,"",IFERROR(INDEX(tblRegistros[Atividade],$L311),"")))</f>
        <v/>
      </c>
      <c r="D311" s="4" t="str">
        <f>IF($L311="","",IF(INDEX(tblRegistros[Data],$L311)&gt;$D$4,"",IFERROR(INDEX(tblRegistros[Início],$L311),"")))</f>
        <v/>
      </c>
      <c r="E311" s="4" t="str">
        <f>IF($L311="","",IF(INDEX(tblRegistros[Data],$L311)&gt;$D$4,"",IFERROR(IF(INDEX(tblRegistros[Status],$L311)="EM ABERTO","",INDEX(tblRegistros[Fim],$L311)),"")))</f>
        <v/>
      </c>
      <c r="F311" s="14" t="str">
        <f>IF($L311="","",IF(INDEX(tblRegistros[Data],$L311)&gt;$D$4,"",IFERROR(IF(INDEX(tblRegistros[Status],$L311)="EM ABERTO","",INDEX(tblRegistros[Horas],$L311)),"")))</f>
        <v/>
      </c>
      <c r="G311" t="str">
        <f>IF($L311="","",IF(INDEX(tblRegistros[Data],$L311)&gt;$D$4,"",IFERROR(INDEX(tblRegistros[Base],$L311),"")))</f>
        <v/>
      </c>
      <c r="H311" s="3" t="str">
        <f>IF($L311="","",IF(INDEX(tblRegistros[Data],$L311)&gt;$D$4,"",IFERROR(INDEX(tblRegistros[Taxa aplicada],$L311),"")))</f>
        <v/>
      </c>
      <c r="I311" s="3" t="str">
        <f>IF($L311="","",IF(INDEX(tblRegistros[Data],$L311)&gt;$D$4,"",IFERROR(IF(INDEX(tblRegistros[Status],$L311)="EM ABERTO","",INDEX(tblRegistros[Valor],$L311)),"")))</f>
        <v/>
      </c>
      <c r="J311" t="str">
        <f>IF($L311="","",IF(INDEX(tblRegistros[Data],$L311)&gt;$D$4,"",IFERROR(INDEX(tblRegistros[Status],$L311),"")))</f>
        <v/>
      </c>
      <c r="K311" t="str">
        <f>IF($L311="","",IF(INDEX(tblRegistros[Data],$L311)&gt;$D$4,"",IFERROR(INDEX(tblRegistros[Observação],$L311),"")))</f>
        <v/>
      </c>
      <c r="L311" s="16" t="str">
        <f>IFERROR(MATCH($B$3*100000+COUNTIFS(tblRegistros[ID],$B$3,tblRegistros[Data],"&lt;"&amp;$B$4)+ROWS($L$10:L311),tblRegistros[Chave do cartão],0),"")</f>
        <v/>
      </c>
    </row>
    <row r="312" spans="1:12">
      <c r="A312" s="2" t="str">
        <f>IF($L312="","",IF(INDEX(tblRegistros[Data],$L312)&gt;$D$4,"",IFERROR(INDEX(tblRegistros[Data],$L312),"")))</f>
        <v/>
      </c>
      <c r="B312" t="str">
        <f>IF($L312="","",IF(INDEX(tblRegistros[Data],$L312)&gt;$D$4,"",IFERROR(INDEX(tblRegistros[Projeto],$L312),"")))</f>
        <v/>
      </c>
      <c r="C312" t="str">
        <f>IF($L312="","",IF(INDEX(tblRegistros[Data],$L312)&gt;$D$4,"",IFERROR(INDEX(tblRegistros[Atividade],$L312),"")))</f>
        <v/>
      </c>
      <c r="D312" s="4" t="str">
        <f>IF($L312="","",IF(INDEX(tblRegistros[Data],$L312)&gt;$D$4,"",IFERROR(INDEX(tblRegistros[Início],$L312),"")))</f>
        <v/>
      </c>
      <c r="E312" s="4" t="str">
        <f>IF($L312="","",IF(INDEX(tblRegistros[Data],$L312)&gt;$D$4,"",IFERROR(IF(INDEX(tblRegistros[Status],$L312)="EM ABERTO","",INDEX(tblRegistros[Fim],$L312)),"")))</f>
        <v/>
      </c>
      <c r="F312" s="14" t="str">
        <f>IF($L312="","",IF(INDEX(tblRegistros[Data],$L312)&gt;$D$4,"",IFERROR(IF(INDEX(tblRegistros[Status],$L312)="EM ABERTO","",INDEX(tblRegistros[Horas],$L312)),"")))</f>
        <v/>
      </c>
      <c r="G312" t="str">
        <f>IF($L312="","",IF(INDEX(tblRegistros[Data],$L312)&gt;$D$4,"",IFERROR(INDEX(tblRegistros[Base],$L312),"")))</f>
        <v/>
      </c>
      <c r="H312" s="3" t="str">
        <f>IF($L312="","",IF(INDEX(tblRegistros[Data],$L312)&gt;$D$4,"",IFERROR(INDEX(tblRegistros[Taxa aplicada],$L312),"")))</f>
        <v/>
      </c>
      <c r="I312" s="3" t="str">
        <f>IF($L312="","",IF(INDEX(tblRegistros[Data],$L312)&gt;$D$4,"",IFERROR(IF(INDEX(tblRegistros[Status],$L312)="EM ABERTO","",INDEX(tblRegistros[Valor],$L312)),"")))</f>
        <v/>
      </c>
      <c r="J312" t="str">
        <f>IF($L312="","",IF(INDEX(tblRegistros[Data],$L312)&gt;$D$4,"",IFERROR(INDEX(tblRegistros[Status],$L312),"")))</f>
        <v/>
      </c>
      <c r="K312" t="str">
        <f>IF($L312="","",IF(INDEX(tblRegistros[Data],$L312)&gt;$D$4,"",IFERROR(INDEX(tblRegistros[Observação],$L312),"")))</f>
        <v/>
      </c>
      <c r="L312" s="16" t="str">
        <f>IFERROR(MATCH($B$3*100000+COUNTIFS(tblRegistros[ID],$B$3,tblRegistros[Data],"&lt;"&amp;$B$4)+ROWS($L$10:L312),tblRegistros[Chave do cartão],0),"")</f>
        <v/>
      </c>
    </row>
    <row r="313" spans="1:12">
      <c r="A313" s="2" t="str">
        <f>IF($L313="","",IF(INDEX(tblRegistros[Data],$L313)&gt;$D$4,"",IFERROR(INDEX(tblRegistros[Data],$L313),"")))</f>
        <v/>
      </c>
      <c r="B313" t="str">
        <f>IF($L313="","",IF(INDEX(tblRegistros[Data],$L313)&gt;$D$4,"",IFERROR(INDEX(tblRegistros[Projeto],$L313),"")))</f>
        <v/>
      </c>
      <c r="C313" t="str">
        <f>IF($L313="","",IF(INDEX(tblRegistros[Data],$L313)&gt;$D$4,"",IFERROR(INDEX(tblRegistros[Atividade],$L313),"")))</f>
        <v/>
      </c>
      <c r="D313" s="4" t="str">
        <f>IF($L313="","",IF(INDEX(tblRegistros[Data],$L313)&gt;$D$4,"",IFERROR(INDEX(tblRegistros[Início],$L313),"")))</f>
        <v/>
      </c>
      <c r="E313" s="4" t="str">
        <f>IF($L313="","",IF(INDEX(tblRegistros[Data],$L313)&gt;$D$4,"",IFERROR(IF(INDEX(tblRegistros[Status],$L313)="EM ABERTO","",INDEX(tblRegistros[Fim],$L313)),"")))</f>
        <v/>
      </c>
      <c r="F313" s="14" t="str">
        <f>IF($L313="","",IF(INDEX(tblRegistros[Data],$L313)&gt;$D$4,"",IFERROR(IF(INDEX(tblRegistros[Status],$L313)="EM ABERTO","",INDEX(tblRegistros[Horas],$L313)),"")))</f>
        <v/>
      </c>
      <c r="G313" t="str">
        <f>IF($L313="","",IF(INDEX(tblRegistros[Data],$L313)&gt;$D$4,"",IFERROR(INDEX(tblRegistros[Base],$L313),"")))</f>
        <v/>
      </c>
      <c r="H313" s="3" t="str">
        <f>IF($L313="","",IF(INDEX(tblRegistros[Data],$L313)&gt;$D$4,"",IFERROR(INDEX(tblRegistros[Taxa aplicada],$L313),"")))</f>
        <v/>
      </c>
      <c r="I313" s="3" t="str">
        <f>IF($L313="","",IF(INDEX(tblRegistros[Data],$L313)&gt;$D$4,"",IFERROR(IF(INDEX(tblRegistros[Status],$L313)="EM ABERTO","",INDEX(tblRegistros[Valor],$L313)),"")))</f>
        <v/>
      </c>
      <c r="J313" t="str">
        <f>IF($L313="","",IF(INDEX(tblRegistros[Data],$L313)&gt;$D$4,"",IFERROR(INDEX(tblRegistros[Status],$L313),"")))</f>
        <v/>
      </c>
      <c r="K313" t="str">
        <f>IF($L313="","",IF(INDEX(tblRegistros[Data],$L313)&gt;$D$4,"",IFERROR(INDEX(tblRegistros[Observação],$L313),"")))</f>
        <v/>
      </c>
      <c r="L313" s="16" t="str">
        <f>IFERROR(MATCH($B$3*100000+COUNTIFS(tblRegistros[ID],$B$3,tblRegistros[Data],"&lt;"&amp;$B$4)+ROWS($L$10:L313),tblRegistros[Chave do cartão],0),"")</f>
        <v/>
      </c>
    </row>
    <row r="314" spans="1:12">
      <c r="A314" s="2" t="str">
        <f>IF($L314="","",IF(INDEX(tblRegistros[Data],$L314)&gt;$D$4,"",IFERROR(INDEX(tblRegistros[Data],$L314),"")))</f>
        <v/>
      </c>
      <c r="B314" t="str">
        <f>IF($L314="","",IF(INDEX(tblRegistros[Data],$L314)&gt;$D$4,"",IFERROR(INDEX(tblRegistros[Projeto],$L314),"")))</f>
        <v/>
      </c>
      <c r="C314" t="str">
        <f>IF($L314="","",IF(INDEX(tblRegistros[Data],$L314)&gt;$D$4,"",IFERROR(INDEX(tblRegistros[Atividade],$L314),"")))</f>
        <v/>
      </c>
      <c r="D314" s="4" t="str">
        <f>IF($L314="","",IF(INDEX(tblRegistros[Data],$L314)&gt;$D$4,"",IFERROR(INDEX(tblRegistros[Início],$L314),"")))</f>
        <v/>
      </c>
      <c r="E314" s="4" t="str">
        <f>IF($L314="","",IF(INDEX(tblRegistros[Data],$L314)&gt;$D$4,"",IFERROR(IF(INDEX(tblRegistros[Status],$L314)="EM ABERTO","",INDEX(tblRegistros[Fim],$L314)),"")))</f>
        <v/>
      </c>
      <c r="F314" s="14" t="str">
        <f>IF($L314="","",IF(INDEX(tblRegistros[Data],$L314)&gt;$D$4,"",IFERROR(IF(INDEX(tblRegistros[Status],$L314)="EM ABERTO","",INDEX(tblRegistros[Horas],$L314)),"")))</f>
        <v/>
      </c>
      <c r="G314" t="str">
        <f>IF($L314="","",IF(INDEX(tblRegistros[Data],$L314)&gt;$D$4,"",IFERROR(INDEX(tblRegistros[Base],$L314),"")))</f>
        <v/>
      </c>
      <c r="H314" s="3" t="str">
        <f>IF($L314="","",IF(INDEX(tblRegistros[Data],$L314)&gt;$D$4,"",IFERROR(INDEX(tblRegistros[Taxa aplicada],$L314),"")))</f>
        <v/>
      </c>
      <c r="I314" s="3" t="str">
        <f>IF($L314="","",IF(INDEX(tblRegistros[Data],$L314)&gt;$D$4,"",IFERROR(IF(INDEX(tblRegistros[Status],$L314)="EM ABERTO","",INDEX(tblRegistros[Valor],$L314)),"")))</f>
        <v/>
      </c>
      <c r="J314" t="str">
        <f>IF($L314="","",IF(INDEX(tblRegistros[Data],$L314)&gt;$D$4,"",IFERROR(INDEX(tblRegistros[Status],$L314),"")))</f>
        <v/>
      </c>
      <c r="K314" t="str">
        <f>IF($L314="","",IF(INDEX(tblRegistros[Data],$L314)&gt;$D$4,"",IFERROR(INDEX(tblRegistros[Observação],$L314),"")))</f>
        <v/>
      </c>
      <c r="L314" s="16" t="str">
        <f>IFERROR(MATCH($B$3*100000+COUNTIFS(tblRegistros[ID],$B$3,tblRegistros[Data],"&lt;"&amp;$B$4)+ROWS($L$10:L314),tblRegistros[Chave do cartão],0),"")</f>
        <v/>
      </c>
    </row>
    <row r="315" spans="1:12">
      <c r="A315" s="2" t="str">
        <f>IF($L315="","",IF(INDEX(tblRegistros[Data],$L315)&gt;$D$4,"",IFERROR(INDEX(tblRegistros[Data],$L315),"")))</f>
        <v/>
      </c>
      <c r="B315" t="str">
        <f>IF($L315="","",IF(INDEX(tblRegistros[Data],$L315)&gt;$D$4,"",IFERROR(INDEX(tblRegistros[Projeto],$L315),"")))</f>
        <v/>
      </c>
      <c r="C315" t="str">
        <f>IF($L315="","",IF(INDEX(tblRegistros[Data],$L315)&gt;$D$4,"",IFERROR(INDEX(tblRegistros[Atividade],$L315),"")))</f>
        <v/>
      </c>
      <c r="D315" s="4" t="str">
        <f>IF($L315="","",IF(INDEX(tblRegistros[Data],$L315)&gt;$D$4,"",IFERROR(INDEX(tblRegistros[Início],$L315),"")))</f>
        <v/>
      </c>
      <c r="E315" s="4" t="str">
        <f>IF($L315="","",IF(INDEX(tblRegistros[Data],$L315)&gt;$D$4,"",IFERROR(IF(INDEX(tblRegistros[Status],$L315)="EM ABERTO","",INDEX(tblRegistros[Fim],$L315)),"")))</f>
        <v/>
      </c>
      <c r="F315" s="14" t="str">
        <f>IF($L315="","",IF(INDEX(tblRegistros[Data],$L315)&gt;$D$4,"",IFERROR(IF(INDEX(tblRegistros[Status],$L315)="EM ABERTO","",INDEX(tblRegistros[Horas],$L315)),"")))</f>
        <v/>
      </c>
      <c r="G315" t="str">
        <f>IF($L315="","",IF(INDEX(tblRegistros[Data],$L315)&gt;$D$4,"",IFERROR(INDEX(tblRegistros[Base],$L315),"")))</f>
        <v/>
      </c>
      <c r="H315" s="3" t="str">
        <f>IF($L315="","",IF(INDEX(tblRegistros[Data],$L315)&gt;$D$4,"",IFERROR(INDEX(tblRegistros[Taxa aplicada],$L315),"")))</f>
        <v/>
      </c>
      <c r="I315" s="3" t="str">
        <f>IF($L315="","",IF(INDEX(tblRegistros[Data],$L315)&gt;$D$4,"",IFERROR(IF(INDEX(tblRegistros[Status],$L315)="EM ABERTO","",INDEX(tblRegistros[Valor],$L315)),"")))</f>
        <v/>
      </c>
      <c r="J315" t="str">
        <f>IF($L315="","",IF(INDEX(tblRegistros[Data],$L315)&gt;$D$4,"",IFERROR(INDEX(tblRegistros[Status],$L315),"")))</f>
        <v/>
      </c>
      <c r="K315" t="str">
        <f>IF($L315="","",IF(INDEX(tblRegistros[Data],$L315)&gt;$D$4,"",IFERROR(INDEX(tblRegistros[Observação],$L315),"")))</f>
        <v/>
      </c>
      <c r="L315" s="16" t="str">
        <f>IFERROR(MATCH($B$3*100000+COUNTIFS(tblRegistros[ID],$B$3,tblRegistros[Data],"&lt;"&amp;$B$4)+ROWS($L$10:L315),tblRegistros[Chave do cartão],0),"")</f>
        <v/>
      </c>
    </row>
    <row r="316" spans="1:12">
      <c r="A316" s="2" t="str">
        <f>IF($L316="","",IF(INDEX(tblRegistros[Data],$L316)&gt;$D$4,"",IFERROR(INDEX(tblRegistros[Data],$L316),"")))</f>
        <v/>
      </c>
      <c r="B316" t="str">
        <f>IF($L316="","",IF(INDEX(tblRegistros[Data],$L316)&gt;$D$4,"",IFERROR(INDEX(tblRegistros[Projeto],$L316),"")))</f>
        <v/>
      </c>
      <c r="C316" t="str">
        <f>IF($L316="","",IF(INDEX(tblRegistros[Data],$L316)&gt;$D$4,"",IFERROR(INDEX(tblRegistros[Atividade],$L316),"")))</f>
        <v/>
      </c>
      <c r="D316" s="4" t="str">
        <f>IF($L316="","",IF(INDEX(tblRegistros[Data],$L316)&gt;$D$4,"",IFERROR(INDEX(tblRegistros[Início],$L316),"")))</f>
        <v/>
      </c>
      <c r="E316" s="4" t="str">
        <f>IF($L316="","",IF(INDEX(tblRegistros[Data],$L316)&gt;$D$4,"",IFERROR(IF(INDEX(tblRegistros[Status],$L316)="EM ABERTO","",INDEX(tblRegistros[Fim],$L316)),"")))</f>
        <v/>
      </c>
      <c r="F316" s="14" t="str">
        <f>IF($L316="","",IF(INDEX(tblRegistros[Data],$L316)&gt;$D$4,"",IFERROR(IF(INDEX(tblRegistros[Status],$L316)="EM ABERTO","",INDEX(tblRegistros[Horas],$L316)),"")))</f>
        <v/>
      </c>
      <c r="G316" t="str">
        <f>IF($L316="","",IF(INDEX(tblRegistros[Data],$L316)&gt;$D$4,"",IFERROR(INDEX(tblRegistros[Base],$L316),"")))</f>
        <v/>
      </c>
      <c r="H316" s="3" t="str">
        <f>IF($L316="","",IF(INDEX(tblRegistros[Data],$L316)&gt;$D$4,"",IFERROR(INDEX(tblRegistros[Taxa aplicada],$L316),"")))</f>
        <v/>
      </c>
      <c r="I316" s="3" t="str">
        <f>IF($L316="","",IF(INDEX(tblRegistros[Data],$L316)&gt;$D$4,"",IFERROR(IF(INDEX(tblRegistros[Status],$L316)="EM ABERTO","",INDEX(tblRegistros[Valor],$L316)),"")))</f>
        <v/>
      </c>
      <c r="J316" t="str">
        <f>IF($L316="","",IF(INDEX(tblRegistros[Data],$L316)&gt;$D$4,"",IFERROR(INDEX(tblRegistros[Status],$L316),"")))</f>
        <v/>
      </c>
      <c r="K316" t="str">
        <f>IF($L316="","",IF(INDEX(tblRegistros[Data],$L316)&gt;$D$4,"",IFERROR(INDEX(tblRegistros[Observação],$L316),"")))</f>
        <v/>
      </c>
      <c r="L316" s="16" t="str">
        <f>IFERROR(MATCH($B$3*100000+COUNTIFS(tblRegistros[ID],$B$3,tblRegistros[Data],"&lt;"&amp;$B$4)+ROWS($L$10:L316),tblRegistros[Chave do cartão],0),"")</f>
        <v/>
      </c>
    </row>
    <row r="317" spans="1:12">
      <c r="A317" s="2" t="str">
        <f>IF($L317="","",IF(INDEX(tblRegistros[Data],$L317)&gt;$D$4,"",IFERROR(INDEX(tblRegistros[Data],$L317),"")))</f>
        <v/>
      </c>
      <c r="B317" t="str">
        <f>IF($L317="","",IF(INDEX(tblRegistros[Data],$L317)&gt;$D$4,"",IFERROR(INDEX(tblRegistros[Projeto],$L317),"")))</f>
        <v/>
      </c>
      <c r="C317" t="str">
        <f>IF($L317="","",IF(INDEX(tblRegistros[Data],$L317)&gt;$D$4,"",IFERROR(INDEX(tblRegistros[Atividade],$L317),"")))</f>
        <v/>
      </c>
      <c r="D317" s="4" t="str">
        <f>IF($L317="","",IF(INDEX(tblRegistros[Data],$L317)&gt;$D$4,"",IFERROR(INDEX(tblRegistros[Início],$L317),"")))</f>
        <v/>
      </c>
      <c r="E317" s="4" t="str">
        <f>IF($L317="","",IF(INDEX(tblRegistros[Data],$L317)&gt;$D$4,"",IFERROR(IF(INDEX(tblRegistros[Status],$L317)="EM ABERTO","",INDEX(tblRegistros[Fim],$L317)),"")))</f>
        <v/>
      </c>
      <c r="F317" s="14" t="str">
        <f>IF($L317="","",IF(INDEX(tblRegistros[Data],$L317)&gt;$D$4,"",IFERROR(IF(INDEX(tblRegistros[Status],$L317)="EM ABERTO","",INDEX(tblRegistros[Horas],$L317)),"")))</f>
        <v/>
      </c>
      <c r="G317" t="str">
        <f>IF($L317="","",IF(INDEX(tblRegistros[Data],$L317)&gt;$D$4,"",IFERROR(INDEX(tblRegistros[Base],$L317),"")))</f>
        <v/>
      </c>
      <c r="H317" s="3" t="str">
        <f>IF($L317="","",IF(INDEX(tblRegistros[Data],$L317)&gt;$D$4,"",IFERROR(INDEX(tblRegistros[Taxa aplicada],$L317),"")))</f>
        <v/>
      </c>
      <c r="I317" s="3" t="str">
        <f>IF($L317="","",IF(INDEX(tblRegistros[Data],$L317)&gt;$D$4,"",IFERROR(IF(INDEX(tblRegistros[Status],$L317)="EM ABERTO","",INDEX(tblRegistros[Valor],$L317)),"")))</f>
        <v/>
      </c>
      <c r="J317" t="str">
        <f>IF($L317="","",IF(INDEX(tblRegistros[Data],$L317)&gt;$D$4,"",IFERROR(INDEX(tblRegistros[Status],$L317),"")))</f>
        <v/>
      </c>
      <c r="K317" t="str">
        <f>IF($L317="","",IF(INDEX(tblRegistros[Data],$L317)&gt;$D$4,"",IFERROR(INDEX(tblRegistros[Observação],$L317),"")))</f>
        <v/>
      </c>
      <c r="L317" s="16" t="str">
        <f>IFERROR(MATCH($B$3*100000+COUNTIFS(tblRegistros[ID],$B$3,tblRegistros[Data],"&lt;"&amp;$B$4)+ROWS($L$10:L317),tblRegistros[Chave do cartão],0),"")</f>
        <v/>
      </c>
    </row>
    <row r="318" spans="1:12">
      <c r="A318" s="2" t="str">
        <f>IF($L318="","",IF(INDEX(tblRegistros[Data],$L318)&gt;$D$4,"",IFERROR(INDEX(tblRegistros[Data],$L318),"")))</f>
        <v/>
      </c>
      <c r="B318" t="str">
        <f>IF($L318="","",IF(INDEX(tblRegistros[Data],$L318)&gt;$D$4,"",IFERROR(INDEX(tblRegistros[Projeto],$L318),"")))</f>
        <v/>
      </c>
      <c r="C318" t="str">
        <f>IF($L318="","",IF(INDEX(tblRegistros[Data],$L318)&gt;$D$4,"",IFERROR(INDEX(tblRegistros[Atividade],$L318),"")))</f>
        <v/>
      </c>
      <c r="D318" s="4" t="str">
        <f>IF($L318="","",IF(INDEX(tblRegistros[Data],$L318)&gt;$D$4,"",IFERROR(INDEX(tblRegistros[Início],$L318),"")))</f>
        <v/>
      </c>
      <c r="E318" s="4" t="str">
        <f>IF($L318="","",IF(INDEX(tblRegistros[Data],$L318)&gt;$D$4,"",IFERROR(IF(INDEX(tblRegistros[Status],$L318)="EM ABERTO","",INDEX(tblRegistros[Fim],$L318)),"")))</f>
        <v/>
      </c>
      <c r="F318" s="14" t="str">
        <f>IF($L318="","",IF(INDEX(tblRegistros[Data],$L318)&gt;$D$4,"",IFERROR(IF(INDEX(tblRegistros[Status],$L318)="EM ABERTO","",INDEX(tblRegistros[Horas],$L318)),"")))</f>
        <v/>
      </c>
      <c r="G318" t="str">
        <f>IF($L318="","",IF(INDEX(tblRegistros[Data],$L318)&gt;$D$4,"",IFERROR(INDEX(tblRegistros[Base],$L318),"")))</f>
        <v/>
      </c>
      <c r="H318" s="3" t="str">
        <f>IF($L318="","",IF(INDEX(tblRegistros[Data],$L318)&gt;$D$4,"",IFERROR(INDEX(tblRegistros[Taxa aplicada],$L318),"")))</f>
        <v/>
      </c>
      <c r="I318" s="3" t="str">
        <f>IF($L318="","",IF(INDEX(tblRegistros[Data],$L318)&gt;$D$4,"",IFERROR(IF(INDEX(tblRegistros[Status],$L318)="EM ABERTO","",INDEX(tblRegistros[Valor],$L318)),"")))</f>
        <v/>
      </c>
      <c r="J318" t="str">
        <f>IF($L318="","",IF(INDEX(tblRegistros[Data],$L318)&gt;$D$4,"",IFERROR(INDEX(tblRegistros[Status],$L318),"")))</f>
        <v/>
      </c>
      <c r="K318" t="str">
        <f>IF($L318="","",IF(INDEX(tblRegistros[Data],$L318)&gt;$D$4,"",IFERROR(INDEX(tblRegistros[Observação],$L318),"")))</f>
        <v/>
      </c>
      <c r="L318" s="16" t="str">
        <f>IFERROR(MATCH($B$3*100000+COUNTIFS(tblRegistros[ID],$B$3,tblRegistros[Data],"&lt;"&amp;$B$4)+ROWS($L$10:L318),tblRegistros[Chave do cartão],0),"")</f>
        <v/>
      </c>
    </row>
    <row r="319" spans="1:12">
      <c r="A319" s="2" t="str">
        <f>IF($L319="","",IF(INDEX(tblRegistros[Data],$L319)&gt;$D$4,"",IFERROR(INDEX(tblRegistros[Data],$L319),"")))</f>
        <v/>
      </c>
      <c r="B319" t="str">
        <f>IF($L319="","",IF(INDEX(tblRegistros[Data],$L319)&gt;$D$4,"",IFERROR(INDEX(tblRegistros[Projeto],$L319),"")))</f>
        <v/>
      </c>
      <c r="C319" t="str">
        <f>IF($L319="","",IF(INDEX(tblRegistros[Data],$L319)&gt;$D$4,"",IFERROR(INDEX(tblRegistros[Atividade],$L319),"")))</f>
        <v/>
      </c>
      <c r="D319" s="4" t="str">
        <f>IF($L319="","",IF(INDEX(tblRegistros[Data],$L319)&gt;$D$4,"",IFERROR(INDEX(tblRegistros[Início],$L319),"")))</f>
        <v/>
      </c>
      <c r="E319" s="4" t="str">
        <f>IF($L319="","",IF(INDEX(tblRegistros[Data],$L319)&gt;$D$4,"",IFERROR(IF(INDEX(tblRegistros[Status],$L319)="EM ABERTO","",INDEX(tblRegistros[Fim],$L319)),"")))</f>
        <v/>
      </c>
      <c r="F319" s="14" t="str">
        <f>IF($L319="","",IF(INDEX(tblRegistros[Data],$L319)&gt;$D$4,"",IFERROR(IF(INDEX(tblRegistros[Status],$L319)="EM ABERTO","",INDEX(tblRegistros[Horas],$L319)),"")))</f>
        <v/>
      </c>
      <c r="G319" t="str">
        <f>IF($L319="","",IF(INDEX(tblRegistros[Data],$L319)&gt;$D$4,"",IFERROR(INDEX(tblRegistros[Base],$L319),"")))</f>
        <v/>
      </c>
      <c r="H319" s="3" t="str">
        <f>IF($L319="","",IF(INDEX(tblRegistros[Data],$L319)&gt;$D$4,"",IFERROR(INDEX(tblRegistros[Taxa aplicada],$L319),"")))</f>
        <v/>
      </c>
      <c r="I319" s="3" t="str">
        <f>IF($L319="","",IF(INDEX(tblRegistros[Data],$L319)&gt;$D$4,"",IFERROR(IF(INDEX(tblRegistros[Status],$L319)="EM ABERTO","",INDEX(tblRegistros[Valor],$L319)),"")))</f>
        <v/>
      </c>
      <c r="J319" t="str">
        <f>IF($L319="","",IF(INDEX(tblRegistros[Data],$L319)&gt;$D$4,"",IFERROR(INDEX(tblRegistros[Status],$L319),"")))</f>
        <v/>
      </c>
      <c r="K319" t="str">
        <f>IF($L319="","",IF(INDEX(tblRegistros[Data],$L319)&gt;$D$4,"",IFERROR(INDEX(tblRegistros[Observação],$L319),"")))</f>
        <v/>
      </c>
      <c r="L319" s="16" t="str">
        <f>IFERROR(MATCH($B$3*100000+COUNTIFS(tblRegistros[ID],$B$3,tblRegistros[Data],"&lt;"&amp;$B$4)+ROWS($L$10:L319),tblRegistros[Chave do cartão],0),"")</f>
        <v/>
      </c>
    </row>
    <row r="320" spans="1:12">
      <c r="A320" s="2" t="str">
        <f>IF($L320="","",IF(INDEX(tblRegistros[Data],$L320)&gt;$D$4,"",IFERROR(INDEX(tblRegistros[Data],$L320),"")))</f>
        <v/>
      </c>
      <c r="B320" t="str">
        <f>IF($L320="","",IF(INDEX(tblRegistros[Data],$L320)&gt;$D$4,"",IFERROR(INDEX(tblRegistros[Projeto],$L320),"")))</f>
        <v/>
      </c>
      <c r="C320" t="str">
        <f>IF($L320="","",IF(INDEX(tblRegistros[Data],$L320)&gt;$D$4,"",IFERROR(INDEX(tblRegistros[Atividade],$L320),"")))</f>
        <v/>
      </c>
      <c r="D320" s="4" t="str">
        <f>IF($L320="","",IF(INDEX(tblRegistros[Data],$L320)&gt;$D$4,"",IFERROR(INDEX(tblRegistros[Início],$L320),"")))</f>
        <v/>
      </c>
      <c r="E320" s="4" t="str">
        <f>IF($L320="","",IF(INDEX(tblRegistros[Data],$L320)&gt;$D$4,"",IFERROR(IF(INDEX(tblRegistros[Status],$L320)="EM ABERTO","",INDEX(tblRegistros[Fim],$L320)),"")))</f>
        <v/>
      </c>
      <c r="F320" s="14" t="str">
        <f>IF($L320="","",IF(INDEX(tblRegistros[Data],$L320)&gt;$D$4,"",IFERROR(IF(INDEX(tblRegistros[Status],$L320)="EM ABERTO","",INDEX(tblRegistros[Horas],$L320)),"")))</f>
        <v/>
      </c>
      <c r="G320" t="str">
        <f>IF($L320="","",IF(INDEX(tblRegistros[Data],$L320)&gt;$D$4,"",IFERROR(INDEX(tblRegistros[Base],$L320),"")))</f>
        <v/>
      </c>
      <c r="H320" s="3" t="str">
        <f>IF($L320="","",IF(INDEX(tblRegistros[Data],$L320)&gt;$D$4,"",IFERROR(INDEX(tblRegistros[Taxa aplicada],$L320),"")))</f>
        <v/>
      </c>
      <c r="I320" s="3" t="str">
        <f>IF($L320="","",IF(INDEX(tblRegistros[Data],$L320)&gt;$D$4,"",IFERROR(IF(INDEX(tblRegistros[Status],$L320)="EM ABERTO","",INDEX(tblRegistros[Valor],$L320)),"")))</f>
        <v/>
      </c>
      <c r="J320" t="str">
        <f>IF($L320="","",IF(INDEX(tblRegistros[Data],$L320)&gt;$D$4,"",IFERROR(INDEX(tblRegistros[Status],$L320),"")))</f>
        <v/>
      </c>
      <c r="K320" t="str">
        <f>IF($L320="","",IF(INDEX(tblRegistros[Data],$L320)&gt;$D$4,"",IFERROR(INDEX(tblRegistros[Observação],$L320),"")))</f>
        <v/>
      </c>
      <c r="L320" s="16" t="str">
        <f>IFERROR(MATCH($B$3*100000+COUNTIFS(tblRegistros[ID],$B$3,tblRegistros[Data],"&lt;"&amp;$B$4)+ROWS($L$10:L320),tblRegistros[Chave do cartão],0),"")</f>
        <v/>
      </c>
    </row>
    <row r="321" spans="1:12">
      <c r="A321" s="2" t="str">
        <f>IF($L321="","",IF(INDEX(tblRegistros[Data],$L321)&gt;$D$4,"",IFERROR(INDEX(tblRegistros[Data],$L321),"")))</f>
        <v/>
      </c>
      <c r="B321" t="str">
        <f>IF($L321="","",IF(INDEX(tblRegistros[Data],$L321)&gt;$D$4,"",IFERROR(INDEX(tblRegistros[Projeto],$L321),"")))</f>
        <v/>
      </c>
      <c r="C321" t="str">
        <f>IF($L321="","",IF(INDEX(tblRegistros[Data],$L321)&gt;$D$4,"",IFERROR(INDEX(tblRegistros[Atividade],$L321),"")))</f>
        <v/>
      </c>
      <c r="D321" s="4" t="str">
        <f>IF($L321="","",IF(INDEX(tblRegistros[Data],$L321)&gt;$D$4,"",IFERROR(INDEX(tblRegistros[Início],$L321),"")))</f>
        <v/>
      </c>
      <c r="E321" s="4" t="str">
        <f>IF($L321="","",IF(INDEX(tblRegistros[Data],$L321)&gt;$D$4,"",IFERROR(IF(INDEX(tblRegistros[Status],$L321)="EM ABERTO","",INDEX(tblRegistros[Fim],$L321)),"")))</f>
        <v/>
      </c>
      <c r="F321" s="14" t="str">
        <f>IF($L321="","",IF(INDEX(tblRegistros[Data],$L321)&gt;$D$4,"",IFERROR(IF(INDEX(tblRegistros[Status],$L321)="EM ABERTO","",INDEX(tblRegistros[Horas],$L321)),"")))</f>
        <v/>
      </c>
      <c r="G321" t="str">
        <f>IF($L321="","",IF(INDEX(tblRegistros[Data],$L321)&gt;$D$4,"",IFERROR(INDEX(tblRegistros[Base],$L321),"")))</f>
        <v/>
      </c>
      <c r="H321" s="3" t="str">
        <f>IF($L321="","",IF(INDEX(tblRegistros[Data],$L321)&gt;$D$4,"",IFERROR(INDEX(tblRegistros[Taxa aplicada],$L321),"")))</f>
        <v/>
      </c>
      <c r="I321" s="3" t="str">
        <f>IF($L321="","",IF(INDEX(tblRegistros[Data],$L321)&gt;$D$4,"",IFERROR(IF(INDEX(tblRegistros[Status],$L321)="EM ABERTO","",INDEX(tblRegistros[Valor],$L321)),"")))</f>
        <v/>
      </c>
      <c r="J321" t="str">
        <f>IF($L321="","",IF(INDEX(tblRegistros[Data],$L321)&gt;$D$4,"",IFERROR(INDEX(tblRegistros[Status],$L321),"")))</f>
        <v/>
      </c>
      <c r="K321" t="str">
        <f>IF($L321="","",IF(INDEX(tblRegistros[Data],$L321)&gt;$D$4,"",IFERROR(INDEX(tblRegistros[Observação],$L321),"")))</f>
        <v/>
      </c>
      <c r="L321" s="16" t="str">
        <f>IFERROR(MATCH($B$3*100000+COUNTIFS(tblRegistros[ID],$B$3,tblRegistros[Data],"&lt;"&amp;$B$4)+ROWS($L$10:L321),tblRegistros[Chave do cartão],0),"")</f>
        <v/>
      </c>
    </row>
    <row r="322" spans="1:12">
      <c r="A322" s="2" t="str">
        <f>IF($L322="","",IF(INDEX(tblRegistros[Data],$L322)&gt;$D$4,"",IFERROR(INDEX(tblRegistros[Data],$L322),"")))</f>
        <v/>
      </c>
      <c r="B322" t="str">
        <f>IF($L322="","",IF(INDEX(tblRegistros[Data],$L322)&gt;$D$4,"",IFERROR(INDEX(tblRegistros[Projeto],$L322),"")))</f>
        <v/>
      </c>
      <c r="C322" t="str">
        <f>IF($L322="","",IF(INDEX(tblRegistros[Data],$L322)&gt;$D$4,"",IFERROR(INDEX(tblRegistros[Atividade],$L322),"")))</f>
        <v/>
      </c>
      <c r="D322" s="4" t="str">
        <f>IF($L322="","",IF(INDEX(tblRegistros[Data],$L322)&gt;$D$4,"",IFERROR(INDEX(tblRegistros[Início],$L322),"")))</f>
        <v/>
      </c>
      <c r="E322" s="4" t="str">
        <f>IF($L322="","",IF(INDEX(tblRegistros[Data],$L322)&gt;$D$4,"",IFERROR(IF(INDEX(tblRegistros[Status],$L322)="EM ABERTO","",INDEX(tblRegistros[Fim],$L322)),"")))</f>
        <v/>
      </c>
      <c r="F322" s="14" t="str">
        <f>IF($L322="","",IF(INDEX(tblRegistros[Data],$L322)&gt;$D$4,"",IFERROR(IF(INDEX(tblRegistros[Status],$L322)="EM ABERTO","",INDEX(tblRegistros[Horas],$L322)),"")))</f>
        <v/>
      </c>
      <c r="G322" t="str">
        <f>IF($L322="","",IF(INDEX(tblRegistros[Data],$L322)&gt;$D$4,"",IFERROR(INDEX(tblRegistros[Base],$L322),"")))</f>
        <v/>
      </c>
      <c r="H322" s="3" t="str">
        <f>IF($L322="","",IF(INDEX(tblRegistros[Data],$L322)&gt;$D$4,"",IFERROR(INDEX(tblRegistros[Taxa aplicada],$L322),"")))</f>
        <v/>
      </c>
      <c r="I322" s="3" t="str">
        <f>IF($L322="","",IF(INDEX(tblRegistros[Data],$L322)&gt;$D$4,"",IFERROR(IF(INDEX(tblRegistros[Status],$L322)="EM ABERTO","",INDEX(tblRegistros[Valor],$L322)),"")))</f>
        <v/>
      </c>
      <c r="J322" t="str">
        <f>IF($L322="","",IF(INDEX(tblRegistros[Data],$L322)&gt;$D$4,"",IFERROR(INDEX(tblRegistros[Status],$L322),"")))</f>
        <v/>
      </c>
      <c r="K322" t="str">
        <f>IF($L322="","",IF(INDEX(tblRegistros[Data],$L322)&gt;$D$4,"",IFERROR(INDEX(tblRegistros[Observação],$L322),"")))</f>
        <v/>
      </c>
      <c r="L322" s="16" t="str">
        <f>IFERROR(MATCH($B$3*100000+COUNTIFS(tblRegistros[ID],$B$3,tblRegistros[Data],"&lt;"&amp;$B$4)+ROWS($L$10:L322),tblRegistros[Chave do cartão],0),"")</f>
        <v/>
      </c>
    </row>
    <row r="323" spans="1:12">
      <c r="A323" s="2" t="str">
        <f>IF($L323="","",IF(INDEX(tblRegistros[Data],$L323)&gt;$D$4,"",IFERROR(INDEX(tblRegistros[Data],$L323),"")))</f>
        <v/>
      </c>
      <c r="B323" t="str">
        <f>IF($L323="","",IF(INDEX(tblRegistros[Data],$L323)&gt;$D$4,"",IFERROR(INDEX(tblRegistros[Projeto],$L323),"")))</f>
        <v/>
      </c>
      <c r="C323" t="str">
        <f>IF($L323="","",IF(INDEX(tblRegistros[Data],$L323)&gt;$D$4,"",IFERROR(INDEX(tblRegistros[Atividade],$L323),"")))</f>
        <v/>
      </c>
      <c r="D323" s="4" t="str">
        <f>IF($L323="","",IF(INDEX(tblRegistros[Data],$L323)&gt;$D$4,"",IFERROR(INDEX(tblRegistros[Início],$L323),"")))</f>
        <v/>
      </c>
      <c r="E323" s="4" t="str">
        <f>IF($L323="","",IF(INDEX(tblRegistros[Data],$L323)&gt;$D$4,"",IFERROR(IF(INDEX(tblRegistros[Status],$L323)="EM ABERTO","",INDEX(tblRegistros[Fim],$L323)),"")))</f>
        <v/>
      </c>
      <c r="F323" s="14" t="str">
        <f>IF($L323="","",IF(INDEX(tblRegistros[Data],$L323)&gt;$D$4,"",IFERROR(IF(INDEX(tblRegistros[Status],$L323)="EM ABERTO","",INDEX(tblRegistros[Horas],$L323)),"")))</f>
        <v/>
      </c>
      <c r="G323" t="str">
        <f>IF($L323="","",IF(INDEX(tblRegistros[Data],$L323)&gt;$D$4,"",IFERROR(INDEX(tblRegistros[Base],$L323),"")))</f>
        <v/>
      </c>
      <c r="H323" s="3" t="str">
        <f>IF($L323="","",IF(INDEX(tblRegistros[Data],$L323)&gt;$D$4,"",IFERROR(INDEX(tblRegistros[Taxa aplicada],$L323),"")))</f>
        <v/>
      </c>
      <c r="I323" s="3" t="str">
        <f>IF($L323="","",IF(INDEX(tblRegistros[Data],$L323)&gt;$D$4,"",IFERROR(IF(INDEX(tblRegistros[Status],$L323)="EM ABERTO","",INDEX(tblRegistros[Valor],$L323)),"")))</f>
        <v/>
      </c>
      <c r="J323" t="str">
        <f>IF($L323="","",IF(INDEX(tblRegistros[Data],$L323)&gt;$D$4,"",IFERROR(INDEX(tblRegistros[Status],$L323),"")))</f>
        <v/>
      </c>
      <c r="K323" t="str">
        <f>IF($L323="","",IF(INDEX(tblRegistros[Data],$L323)&gt;$D$4,"",IFERROR(INDEX(tblRegistros[Observação],$L323),"")))</f>
        <v/>
      </c>
      <c r="L323" s="16" t="str">
        <f>IFERROR(MATCH($B$3*100000+COUNTIFS(tblRegistros[ID],$B$3,tblRegistros[Data],"&lt;"&amp;$B$4)+ROWS($L$10:L323),tblRegistros[Chave do cartão],0),"")</f>
        <v/>
      </c>
    </row>
    <row r="324" spans="1:12">
      <c r="A324" s="2" t="str">
        <f>IF($L324="","",IF(INDEX(tblRegistros[Data],$L324)&gt;$D$4,"",IFERROR(INDEX(tblRegistros[Data],$L324),"")))</f>
        <v/>
      </c>
      <c r="B324" t="str">
        <f>IF($L324="","",IF(INDEX(tblRegistros[Data],$L324)&gt;$D$4,"",IFERROR(INDEX(tblRegistros[Projeto],$L324),"")))</f>
        <v/>
      </c>
      <c r="C324" t="str">
        <f>IF($L324="","",IF(INDEX(tblRegistros[Data],$L324)&gt;$D$4,"",IFERROR(INDEX(tblRegistros[Atividade],$L324),"")))</f>
        <v/>
      </c>
      <c r="D324" s="4" t="str">
        <f>IF($L324="","",IF(INDEX(tblRegistros[Data],$L324)&gt;$D$4,"",IFERROR(INDEX(tblRegistros[Início],$L324),"")))</f>
        <v/>
      </c>
      <c r="E324" s="4" t="str">
        <f>IF($L324="","",IF(INDEX(tblRegistros[Data],$L324)&gt;$D$4,"",IFERROR(IF(INDEX(tblRegistros[Status],$L324)="EM ABERTO","",INDEX(tblRegistros[Fim],$L324)),"")))</f>
        <v/>
      </c>
      <c r="F324" s="14" t="str">
        <f>IF($L324="","",IF(INDEX(tblRegistros[Data],$L324)&gt;$D$4,"",IFERROR(IF(INDEX(tblRegistros[Status],$L324)="EM ABERTO","",INDEX(tblRegistros[Horas],$L324)),"")))</f>
        <v/>
      </c>
      <c r="G324" t="str">
        <f>IF($L324="","",IF(INDEX(tblRegistros[Data],$L324)&gt;$D$4,"",IFERROR(INDEX(tblRegistros[Base],$L324),"")))</f>
        <v/>
      </c>
      <c r="H324" s="3" t="str">
        <f>IF($L324="","",IF(INDEX(tblRegistros[Data],$L324)&gt;$D$4,"",IFERROR(INDEX(tblRegistros[Taxa aplicada],$L324),"")))</f>
        <v/>
      </c>
      <c r="I324" s="3" t="str">
        <f>IF($L324="","",IF(INDEX(tblRegistros[Data],$L324)&gt;$D$4,"",IFERROR(IF(INDEX(tblRegistros[Status],$L324)="EM ABERTO","",INDEX(tblRegistros[Valor],$L324)),"")))</f>
        <v/>
      </c>
      <c r="J324" t="str">
        <f>IF($L324="","",IF(INDEX(tblRegistros[Data],$L324)&gt;$D$4,"",IFERROR(INDEX(tblRegistros[Status],$L324),"")))</f>
        <v/>
      </c>
      <c r="K324" t="str">
        <f>IF($L324="","",IF(INDEX(tblRegistros[Data],$L324)&gt;$D$4,"",IFERROR(INDEX(tblRegistros[Observação],$L324),"")))</f>
        <v/>
      </c>
      <c r="L324" s="16" t="str">
        <f>IFERROR(MATCH($B$3*100000+COUNTIFS(tblRegistros[ID],$B$3,tblRegistros[Data],"&lt;"&amp;$B$4)+ROWS($L$10:L324),tblRegistros[Chave do cartão],0),"")</f>
        <v/>
      </c>
    </row>
    <row r="325" spans="1:12">
      <c r="A325" s="2" t="str">
        <f>IF($L325="","",IF(INDEX(tblRegistros[Data],$L325)&gt;$D$4,"",IFERROR(INDEX(tblRegistros[Data],$L325),"")))</f>
        <v/>
      </c>
      <c r="B325" t="str">
        <f>IF($L325="","",IF(INDEX(tblRegistros[Data],$L325)&gt;$D$4,"",IFERROR(INDEX(tblRegistros[Projeto],$L325),"")))</f>
        <v/>
      </c>
      <c r="C325" t="str">
        <f>IF($L325="","",IF(INDEX(tblRegistros[Data],$L325)&gt;$D$4,"",IFERROR(INDEX(tblRegistros[Atividade],$L325),"")))</f>
        <v/>
      </c>
      <c r="D325" s="4" t="str">
        <f>IF($L325="","",IF(INDEX(tblRegistros[Data],$L325)&gt;$D$4,"",IFERROR(INDEX(tblRegistros[Início],$L325),"")))</f>
        <v/>
      </c>
      <c r="E325" s="4" t="str">
        <f>IF($L325="","",IF(INDEX(tblRegistros[Data],$L325)&gt;$D$4,"",IFERROR(IF(INDEX(tblRegistros[Status],$L325)="EM ABERTO","",INDEX(tblRegistros[Fim],$L325)),"")))</f>
        <v/>
      </c>
      <c r="F325" s="14" t="str">
        <f>IF($L325="","",IF(INDEX(tblRegistros[Data],$L325)&gt;$D$4,"",IFERROR(IF(INDEX(tblRegistros[Status],$L325)="EM ABERTO","",INDEX(tblRegistros[Horas],$L325)),"")))</f>
        <v/>
      </c>
      <c r="G325" t="str">
        <f>IF($L325="","",IF(INDEX(tblRegistros[Data],$L325)&gt;$D$4,"",IFERROR(INDEX(tblRegistros[Base],$L325),"")))</f>
        <v/>
      </c>
      <c r="H325" s="3" t="str">
        <f>IF($L325="","",IF(INDEX(tblRegistros[Data],$L325)&gt;$D$4,"",IFERROR(INDEX(tblRegistros[Taxa aplicada],$L325),"")))</f>
        <v/>
      </c>
      <c r="I325" s="3" t="str">
        <f>IF($L325="","",IF(INDEX(tblRegistros[Data],$L325)&gt;$D$4,"",IFERROR(IF(INDEX(tblRegistros[Status],$L325)="EM ABERTO","",INDEX(tblRegistros[Valor],$L325)),"")))</f>
        <v/>
      </c>
      <c r="J325" t="str">
        <f>IF($L325="","",IF(INDEX(tblRegistros[Data],$L325)&gt;$D$4,"",IFERROR(INDEX(tblRegistros[Status],$L325),"")))</f>
        <v/>
      </c>
      <c r="K325" t="str">
        <f>IF($L325="","",IF(INDEX(tblRegistros[Data],$L325)&gt;$D$4,"",IFERROR(INDEX(tblRegistros[Observação],$L325),"")))</f>
        <v/>
      </c>
      <c r="L325" s="16" t="str">
        <f>IFERROR(MATCH($B$3*100000+COUNTIFS(tblRegistros[ID],$B$3,tblRegistros[Data],"&lt;"&amp;$B$4)+ROWS($L$10:L325),tblRegistros[Chave do cartão],0),"")</f>
        <v/>
      </c>
    </row>
    <row r="326" spans="1:12">
      <c r="A326" s="2" t="str">
        <f>IF($L326="","",IF(INDEX(tblRegistros[Data],$L326)&gt;$D$4,"",IFERROR(INDEX(tblRegistros[Data],$L326),"")))</f>
        <v/>
      </c>
      <c r="B326" t="str">
        <f>IF($L326="","",IF(INDEX(tblRegistros[Data],$L326)&gt;$D$4,"",IFERROR(INDEX(tblRegistros[Projeto],$L326),"")))</f>
        <v/>
      </c>
      <c r="C326" t="str">
        <f>IF($L326="","",IF(INDEX(tblRegistros[Data],$L326)&gt;$D$4,"",IFERROR(INDEX(tblRegistros[Atividade],$L326),"")))</f>
        <v/>
      </c>
      <c r="D326" s="4" t="str">
        <f>IF($L326="","",IF(INDEX(tblRegistros[Data],$L326)&gt;$D$4,"",IFERROR(INDEX(tblRegistros[Início],$L326),"")))</f>
        <v/>
      </c>
      <c r="E326" s="4" t="str">
        <f>IF($L326="","",IF(INDEX(tblRegistros[Data],$L326)&gt;$D$4,"",IFERROR(IF(INDEX(tblRegistros[Status],$L326)="EM ABERTO","",INDEX(tblRegistros[Fim],$L326)),"")))</f>
        <v/>
      </c>
      <c r="F326" s="14" t="str">
        <f>IF($L326="","",IF(INDEX(tblRegistros[Data],$L326)&gt;$D$4,"",IFERROR(IF(INDEX(tblRegistros[Status],$L326)="EM ABERTO","",INDEX(tblRegistros[Horas],$L326)),"")))</f>
        <v/>
      </c>
      <c r="G326" t="str">
        <f>IF($L326="","",IF(INDEX(tblRegistros[Data],$L326)&gt;$D$4,"",IFERROR(INDEX(tblRegistros[Base],$L326),"")))</f>
        <v/>
      </c>
      <c r="H326" s="3" t="str">
        <f>IF($L326="","",IF(INDEX(tblRegistros[Data],$L326)&gt;$D$4,"",IFERROR(INDEX(tblRegistros[Taxa aplicada],$L326),"")))</f>
        <v/>
      </c>
      <c r="I326" s="3" t="str">
        <f>IF($L326="","",IF(INDEX(tblRegistros[Data],$L326)&gt;$D$4,"",IFERROR(IF(INDEX(tblRegistros[Status],$L326)="EM ABERTO","",INDEX(tblRegistros[Valor],$L326)),"")))</f>
        <v/>
      </c>
      <c r="J326" t="str">
        <f>IF($L326="","",IF(INDEX(tblRegistros[Data],$L326)&gt;$D$4,"",IFERROR(INDEX(tblRegistros[Status],$L326),"")))</f>
        <v/>
      </c>
      <c r="K326" t="str">
        <f>IF($L326="","",IF(INDEX(tblRegistros[Data],$L326)&gt;$D$4,"",IFERROR(INDEX(tblRegistros[Observação],$L326),"")))</f>
        <v/>
      </c>
      <c r="L326" s="16" t="str">
        <f>IFERROR(MATCH($B$3*100000+COUNTIFS(tblRegistros[ID],$B$3,tblRegistros[Data],"&lt;"&amp;$B$4)+ROWS($L$10:L326),tblRegistros[Chave do cartão],0),"")</f>
        <v/>
      </c>
    </row>
    <row r="327" spans="1:12">
      <c r="A327" s="2" t="str">
        <f>IF($L327="","",IF(INDEX(tblRegistros[Data],$L327)&gt;$D$4,"",IFERROR(INDEX(tblRegistros[Data],$L327),"")))</f>
        <v/>
      </c>
      <c r="B327" t="str">
        <f>IF($L327="","",IF(INDEX(tblRegistros[Data],$L327)&gt;$D$4,"",IFERROR(INDEX(tblRegistros[Projeto],$L327),"")))</f>
        <v/>
      </c>
      <c r="C327" t="str">
        <f>IF($L327="","",IF(INDEX(tblRegistros[Data],$L327)&gt;$D$4,"",IFERROR(INDEX(tblRegistros[Atividade],$L327),"")))</f>
        <v/>
      </c>
      <c r="D327" s="4" t="str">
        <f>IF($L327="","",IF(INDEX(tblRegistros[Data],$L327)&gt;$D$4,"",IFERROR(INDEX(tblRegistros[Início],$L327),"")))</f>
        <v/>
      </c>
      <c r="E327" s="4" t="str">
        <f>IF($L327="","",IF(INDEX(tblRegistros[Data],$L327)&gt;$D$4,"",IFERROR(IF(INDEX(tblRegistros[Status],$L327)="EM ABERTO","",INDEX(tblRegistros[Fim],$L327)),"")))</f>
        <v/>
      </c>
      <c r="F327" s="14" t="str">
        <f>IF($L327="","",IF(INDEX(tblRegistros[Data],$L327)&gt;$D$4,"",IFERROR(IF(INDEX(tblRegistros[Status],$L327)="EM ABERTO","",INDEX(tblRegistros[Horas],$L327)),"")))</f>
        <v/>
      </c>
      <c r="G327" t="str">
        <f>IF($L327="","",IF(INDEX(tblRegistros[Data],$L327)&gt;$D$4,"",IFERROR(INDEX(tblRegistros[Base],$L327),"")))</f>
        <v/>
      </c>
      <c r="H327" s="3" t="str">
        <f>IF($L327="","",IF(INDEX(tblRegistros[Data],$L327)&gt;$D$4,"",IFERROR(INDEX(tblRegistros[Taxa aplicada],$L327),"")))</f>
        <v/>
      </c>
      <c r="I327" s="3" t="str">
        <f>IF($L327="","",IF(INDEX(tblRegistros[Data],$L327)&gt;$D$4,"",IFERROR(IF(INDEX(tblRegistros[Status],$L327)="EM ABERTO","",INDEX(tblRegistros[Valor],$L327)),"")))</f>
        <v/>
      </c>
      <c r="J327" t="str">
        <f>IF($L327="","",IF(INDEX(tblRegistros[Data],$L327)&gt;$D$4,"",IFERROR(INDEX(tblRegistros[Status],$L327),"")))</f>
        <v/>
      </c>
      <c r="K327" t="str">
        <f>IF($L327="","",IF(INDEX(tblRegistros[Data],$L327)&gt;$D$4,"",IFERROR(INDEX(tblRegistros[Observação],$L327),"")))</f>
        <v/>
      </c>
      <c r="L327" s="16" t="str">
        <f>IFERROR(MATCH($B$3*100000+COUNTIFS(tblRegistros[ID],$B$3,tblRegistros[Data],"&lt;"&amp;$B$4)+ROWS($L$10:L327),tblRegistros[Chave do cartão],0),"")</f>
        <v/>
      </c>
    </row>
    <row r="328" spans="1:12">
      <c r="A328" s="2" t="str">
        <f>IF($L328="","",IF(INDEX(tblRegistros[Data],$L328)&gt;$D$4,"",IFERROR(INDEX(tblRegistros[Data],$L328),"")))</f>
        <v/>
      </c>
      <c r="B328" t="str">
        <f>IF($L328="","",IF(INDEX(tblRegistros[Data],$L328)&gt;$D$4,"",IFERROR(INDEX(tblRegistros[Projeto],$L328),"")))</f>
        <v/>
      </c>
      <c r="C328" t="str">
        <f>IF($L328="","",IF(INDEX(tblRegistros[Data],$L328)&gt;$D$4,"",IFERROR(INDEX(tblRegistros[Atividade],$L328),"")))</f>
        <v/>
      </c>
      <c r="D328" s="4" t="str">
        <f>IF($L328="","",IF(INDEX(tblRegistros[Data],$L328)&gt;$D$4,"",IFERROR(INDEX(tblRegistros[Início],$L328),"")))</f>
        <v/>
      </c>
      <c r="E328" s="4" t="str">
        <f>IF($L328="","",IF(INDEX(tblRegistros[Data],$L328)&gt;$D$4,"",IFERROR(IF(INDEX(tblRegistros[Status],$L328)="EM ABERTO","",INDEX(tblRegistros[Fim],$L328)),"")))</f>
        <v/>
      </c>
      <c r="F328" s="14" t="str">
        <f>IF($L328="","",IF(INDEX(tblRegistros[Data],$L328)&gt;$D$4,"",IFERROR(IF(INDEX(tblRegistros[Status],$L328)="EM ABERTO","",INDEX(tblRegistros[Horas],$L328)),"")))</f>
        <v/>
      </c>
      <c r="G328" t="str">
        <f>IF($L328="","",IF(INDEX(tblRegistros[Data],$L328)&gt;$D$4,"",IFERROR(INDEX(tblRegistros[Base],$L328),"")))</f>
        <v/>
      </c>
      <c r="H328" s="3" t="str">
        <f>IF($L328="","",IF(INDEX(tblRegistros[Data],$L328)&gt;$D$4,"",IFERROR(INDEX(tblRegistros[Taxa aplicada],$L328),"")))</f>
        <v/>
      </c>
      <c r="I328" s="3" t="str">
        <f>IF($L328="","",IF(INDEX(tblRegistros[Data],$L328)&gt;$D$4,"",IFERROR(IF(INDEX(tblRegistros[Status],$L328)="EM ABERTO","",INDEX(tblRegistros[Valor],$L328)),"")))</f>
        <v/>
      </c>
      <c r="J328" t="str">
        <f>IF($L328="","",IF(INDEX(tblRegistros[Data],$L328)&gt;$D$4,"",IFERROR(INDEX(tblRegistros[Status],$L328),"")))</f>
        <v/>
      </c>
      <c r="K328" t="str">
        <f>IF($L328="","",IF(INDEX(tblRegistros[Data],$L328)&gt;$D$4,"",IFERROR(INDEX(tblRegistros[Observação],$L328),"")))</f>
        <v/>
      </c>
      <c r="L328" s="16" t="str">
        <f>IFERROR(MATCH($B$3*100000+COUNTIFS(tblRegistros[ID],$B$3,tblRegistros[Data],"&lt;"&amp;$B$4)+ROWS($L$10:L328),tblRegistros[Chave do cartão],0),"")</f>
        <v/>
      </c>
    </row>
    <row r="329" spans="1:12">
      <c r="A329" s="2" t="str">
        <f>IF($L329="","",IF(INDEX(tblRegistros[Data],$L329)&gt;$D$4,"",IFERROR(INDEX(tblRegistros[Data],$L329),"")))</f>
        <v/>
      </c>
      <c r="B329" t="str">
        <f>IF($L329="","",IF(INDEX(tblRegistros[Data],$L329)&gt;$D$4,"",IFERROR(INDEX(tblRegistros[Projeto],$L329),"")))</f>
        <v/>
      </c>
      <c r="C329" t="str">
        <f>IF($L329="","",IF(INDEX(tblRegistros[Data],$L329)&gt;$D$4,"",IFERROR(INDEX(tblRegistros[Atividade],$L329),"")))</f>
        <v/>
      </c>
      <c r="D329" s="4" t="str">
        <f>IF($L329="","",IF(INDEX(tblRegistros[Data],$L329)&gt;$D$4,"",IFERROR(INDEX(tblRegistros[Início],$L329),"")))</f>
        <v/>
      </c>
      <c r="E329" s="4" t="str">
        <f>IF($L329="","",IF(INDEX(tblRegistros[Data],$L329)&gt;$D$4,"",IFERROR(IF(INDEX(tblRegistros[Status],$L329)="EM ABERTO","",INDEX(tblRegistros[Fim],$L329)),"")))</f>
        <v/>
      </c>
      <c r="F329" s="14" t="str">
        <f>IF($L329="","",IF(INDEX(tblRegistros[Data],$L329)&gt;$D$4,"",IFERROR(IF(INDEX(tblRegistros[Status],$L329)="EM ABERTO","",INDEX(tblRegistros[Horas],$L329)),"")))</f>
        <v/>
      </c>
      <c r="G329" t="str">
        <f>IF($L329="","",IF(INDEX(tblRegistros[Data],$L329)&gt;$D$4,"",IFERROR(INDEX(tblRegistros[Base],$L329),"")))</f>
        <v/>
      </c>
      <c r="H329" s="3" t="str">
        <f>IF($L329="","",IF(INDEX(tblRegistros[Data],$L329)&gt;$D$4,"",IFERROR(INDEX(tblRegistros[Taxa aplicada],$L329),"")))</f>
        <v/>
      </c>
      <c r="I329" s="3" t="str">
        <f>IF($L329="","",IF(INDEX(tblRegistros[Data],$L329)&gt;$D$4,"",IFERROR(IF(INDEX(tblRegistros[Status],$L329)="EM ABERTO","",INDEX(tblRegistros[Valor],$L329)),"")))</f>
        <v/>
      </c>
      <c r="J329" t="str">
        <f>IF($L329="","",IF(INDEX(tblRegistros[Data],$L329)&gt;$D$4,"",IFERROR(INDEX(tblRegistros[Status],$L329),"")))</f>
        <v/>
      </c>
      <c r="K329" t="str">
        <f>IF($L329="","",IF(INDEX(tblRegistros[Data],$L329)&gt;$D$4,"",IFERROR(INDEX(tblRegistros[Observação],$L329),"")))</f>
        <v/>
      </c>
      <c r="L329" s="16" t="str">
        <f>IFERROR(MATCH($B$3*100000+COUNTIFS(tblRegistros[ID],$B$3,tblRegistros[Data],"&lt;"&amp;$B$4)+ROWS($L$10:L329),tblRegistros[Chave do cartão],0),"")</f>
        <v/>
      </c>
    </row>
    <row r="330" spans="1:12">
      <c r="A330" s="2" t="str">
        <f>IF($L330="","",IF(INDEX(tblRegistros[Data],$L330)&gt;$D$4,"",IFERROR(INDEX(tblRegistros[Data],$L330),"")))</f>
        <v/>
      </c>
      <c r="B330" t="str">
        <f>IF($L330="","",IF(INDEX(tblRegistros[Data],$L330)&gt;$D$4,"",IFERROR(INDEX(tblRegistros[Projeto],$L330),"")))</f>
        <v/>
      </c>
      <c r="C330" t="str">
        <f>IF($L330="","",IF(INDEX(tblRegistros[Data],$L330)&gt;$D$4,"",IFERROR(INDEX(tblRegistros[Atividade],$L330),"")))</f>
        <v/>
      </c>
      <c r="D330" s="4" t="str">
        <f>IF($L330="","",IF(INDEX(tblRegistros[Data],$L330)&gt;$D$4,"",IFERROR(INDEX(tblRegistros[Início],$L330),"")))</f>
        <v/>
      </c>
      <c r="E330" s="4" t="str">
        <f>IF($L330="","",IF(INDEX(tblRegistros[Data],$L330)&gt;$D$4,"",IFERROR(IF(INDEX(tblRegistros[Status],$L330)="EM ABERTO","",INDEX(tblRegistros[Fim],$L330)),"")))</f>
        <v/>
      </c>
      <c r="F330" s="14" t="str">
        <f>IF($L330="","",IF(INDEX(tblRegistros[Data],$L330)&gt;$D$4,"",IFERROR(IF(INDEX(tblRegistros[Status],$L330)="EM ABERTO","",INDEX(tblRegistros[Horas],$L330)),"")))</f>
        <v/>
      </c>
      <c r="G330" t="str">
        <f>IF($L330="","",IF(INDEX(tblRegistros[Data],$L330)&gt;$D$4,"",IFERROR(INDEX(tblRegistros[Base],$L330),"")))</f>
        <v/>
      </c>
      <c r="H330" s="3" t="str">
        <f>IF($L330="","",IF(INDEX(tblRegistros[Data],$L330)&gt;$D$4,"",IFERROR(INDEX(tblRegistros[Taxa aplicada],$L330),"")))</f>
        <v/>
      </c>
      <c r="I330" s="3" t="str">
        <f>IF($L330="","",IF(INDEX(tblRegistros[Data],$L330)&gt;$D$4,"",IFERROR(IF(INDEX(tblRegistros[Status],$L330)="EM ABERTO","",INDEX(tblRegistros[Valor],$L330)),"")))</f>
        <v/>
      </c>
      <c r="J330" t="str">
        <f>IF($L330="","",IF(INDEX(tblRegistros[Data],$L330)&gt;$D$4,"",IFERROR(INDEX(tblRegistros[Status],$L330),"")))</f>
        <v/>
      </c>
      <c r="K330" t="str">
        <f>IF($L330="","",IF(INDEX(tblRegistros[Data],$L330)&gt;$D$4,"",IFERROR(INDEX(tblRegistros[Observação],$L330),"")))</f>
        <v/>
      </c>
      <c r="L330" s="16" t="str">
        <f>IFERROR(MATCH($B$3*100000+COUNTIFS(tblRegistros[ID],$B$3,tblRegistros[Data],"&lt;"&amp;$B$4)+ROWS($L$10:L330),tblRegistros[Chave do cartão],0),"")</f>
        <v/>
      </c>
    </row>
    <row r="331" spans="1:12">
      <c r="A331" s="2" t="str">
        <f>IF($L331="","",IF(INDEX(tblRegistros[Data],$L331)&gt;$D$4,"",IFERROR(INDEX(tblRegistros[Data],$L331),"")))</f>
        <v/>
      </c>
      <c r="B331" t="str">
        <f>IF($L331="","",IF(INDEX(tblRegistros[Data],$L331)&gt;$D$4,"",IFERROR(INDEX(tblRegistros[Projeto],$L331),"")))</f>
        <v/>
      </c>
      <c r="C331" t="str">
        <f>IF($L331="","",IF(INDEX(tblRegistros[Data],$L331)&gt;$D$4,"",IFERROR(INDEX(tblRegistros[Atividade],$L331),"")))</f>
        <v/>
      </c>
      <c r="D331" s="4" t="str">
        <f>IF($L331="","",IF(INDEX(tblRegistros[Data],$L331)&gt;$D$4,"",IFERROR(INDEX(tblRegistros[Início],$L331),"")))</f>
        <v/>
      </c>
      <c r="E331" s="4" t="str">
        <f>IF($L331="","",IF(INDEX(tblRegistros[Data],$L331)&gt;$D$4,"",IFERROR(IF(INDEX(tblRegistros[Status],$L331)="EM ABERTO","",INDEX(tblRegistros[Fim],$L331)),"")))</f>
        <v/>
      </c>
      <c r="F331" s="14" t="str">
        <f>IF($L331="","",IF(INDEX(tblRegistros[Data],$L331)&gt;$D$4,"",IFERROR(IF(INDEX(tblRegistros[Status],$L331)="EM ABERTO","",INDEX(tblRegistros[Horas],$L331)),"")))</f>
        <v/>
      </c>
      <c r="G331" t="str">
        <f>IF($L331="","",IF(INDEX(tblRegistros[Data],$L331)&gt;$D$4,"",IFERROR(INDEX(tblRegistros[Base],$L331),"")))</f>
        <v/>
      </c>
      <c r="H331" s="3" t="str">
        <f>IF($L331="","",IF(INDEX(tblRegistros[Data],$L331)&gt;$D$4,"",IFERROR(INDEX(tblRegistros[Taxa aplicada],$L331),"")))</f>
        <v/>
      </c>
      <c r="I331" s="3" t="str">
        <f>IF($L331="","",IF(INDEX(tblRegistros[Data],$L331)&gt;$D$4,"",IFERROR(IF(INDEX(tblRegistros[Status],$L331)="EM ABERTO","",INDEX(tblRegistros[Valor],$L331)),"")))</f>
        <v/>
      </c>
      <c r="J331" t="str">
        <f>IF($L331="","",IF(INDEX(tblRegistros[Data],$L331)&gt;$D$4,"",IFERROR(INDEX(tblRegistros[Status],$L331),"")))</f>
        <v/>
      </c>
      <c r="K331" t="str">
        <f>IF($L331="","",IF(INDEX(tblRegistros[Data],$L331)&gt;$D$4,"",IFERROR(INDEX(tblRegistros[Observação],$L331),"")))</f>
        <v/>
      </c>
      <c r="L331" s="16" t="str">
        <f>IFERROR(MATCH($B$3*100000+COUNTIFS(tblRegistros[ID],$B$3,tblRegistros[Data],"&lt;"&amp;$B$4)+ROWS($L$10:L331),tblRegistros[Chave do cartão],0),"")</f>
        <v/>
      </c>
    </row>
    <row r="332" spans="1:12">
      <c r="A332" s="2" t="str">
        <f>IF($L332="","",IF(INDEX(tblRegistros[Data],$L332)&gt;$D$4,"",IFERROR(INDEX(tblRegistros[Data],$L332),"")))</f>
        <v/>
      </c>
      <c r="B332" t="str">
        <f>IF($L332="","",IF(INDEX(tblRegistros[Data],$L332)&gt;$D$4,"",IFERROR(INDEX(tblRegistros[Projeto],$L332),"")))</f>
        <v/>
      </c>
      <c r="C332" t="str">
        <f>IF($L332="","",IF(INDEX(tblRegistros[Data],$L332)&gt;$D$4,"",IFERROR(INDEX(tblRegistros[Atividade],$L332),"")))</f>
        <v/>
      </c>
      <c r="D332" s="4" t="str">
        <f>IF($L332="","",IF(INDEX(tblRegistros[Data],$L332)&gt;$D$4,"",IFERROR(INDEX(tblRegistros[Início],$L332),"")))</f>
        <v/>
      </c>
      <c r="E332" s="4" t="str">
        <f>IF($L332="","",IF(INDEX(tblRegistros[Data],$L332)&gt;$D$4,"",IFERROR(IF(INDEX(tblRegistros[Status],$L332)="EM ABERTO","",INDEX(tblRegistros[Fim],$L332)),"")))</f>
        <v/>
      </c>
      <c r="F332" s="14" t="str">
        <f>IF($L332="","",IF(INDEX(tblRegistros[Data],$L332)&gt;$D$4,"",IFERROR(IF(INDEX(tblRegistros[Status],$L332)="EM ABERTO","",INDEX(tblRegistros[Horas],$L332)),"")))</f>
        <v/>
      </c>
      <c r="G332" t="str">
        <f>IF($L332="","",IF(INDEX(tblRegistros[Data],$L332)&gt;$D$4,"",IFERROR(INDEX(tblRegistros[Base],$L332),"")))</f>
        <v/>
      </c>
      <c r="H332" s="3" t="str">
        <f>IF($L332="","",IF(INDEX(tblRegistros[Data],$L332)&gt;$D$4,"",IFERROR(INDEX(tblRegistros[Taxa aplicada],$L332),"")))</f>
        <v/>
      </c>
      <c r="I332" s="3" t="str">
        <f>IF($L332="","",IF(INDEX(tblRegistros[Data],$L332)&gt;$D$4,"",IFERROR(IF(INDEX(tblRegistros[Status],$L332)="EM ABERTO","",INDEX(tblRegistros[Valor],$L332)),"")))</f>
        <v/>
      </c>
      <c r="J332" t="str">
        <f>IF($L332="","",IF(INDEX(tblRegistros[Data],$L332)&gt;$D$4,"",IFERROR(INDEX(tblRegistros[Status],$L332),"")))</f>
        <v/>
      </c>
      <c r="K332" t="str">
        <f>IF($L332="","",IF(INDEX(tblRegistros[Data],$L332)&gt;$D$4,"",IFERROR(INDEX(tblRegistros[Observação],$L332),"")))</f>
        <v/>
      </c>
      <c r="L332" s="16" t="str">
        <f>IFERROR(MATCH($B$3*100000+COUNTIFS(tblRegistros[ID],$B$3,tblRegistros[Data],"&lt;"&amp;$B$4)+ROWS($L$10:L332),tblRegistros[Chave do cartão],0),"")</f>
        <v/>
      </c>
    </row>
    <row r="333" spans="1:12">
      <c r="A333" s="2" t="str">
        <f>IF($L333="","",IF(INDEX(tblRegistros[Data],$L333)&gt;$D$4,"",IFERROR(INDEX(tblRegistros[Data],$L333),"")))</f>
        <v/>
      </c>
      <c r="B333" t="str">
        <f>IF($L333="","",IF(INDEX(tblRegistros[Data],$L333)&gt;$D$4,"",IFERROR(INDEX(tblRegistros[Projeto],$L333),"")))</f>
        <v/>
      </c>
      <c r="C333" t="str">
        <f>IF($L333="","",IF(INDEX(tblRegistros[Data],$L333)&gt;$D$4,"",IFERROR(INDEX(tblRegistros[Atividade],$L333),"")))</f>
        <v/>
      </c>
      <c r="D333" s="4" t="str">
        <f>IF($L333="","",IF(INDEX(tblRegistros[Data],$L333)&gt;$D$4,"",IFERROR(INDEX(tblRegistros[Início],$L333),"")))</f>
        <v/>
      </c>
      <c r="E333" s="4" t="str">
        <f>IF($L333="","",IF(INDEX(tblRegistros[Data],$L333)&gt;$D$4,"",IFERROR(IF(INDEX(tblRegistros[Status],$L333)="EM ABERTO","",INDEX(tblRegistros[Fim],$L333)),"")))</f>
        <v/>
      </c>
      <c r="F333" s="14" t="str">
        <f>IF($L333="","",IF(INDEX(tblRegistros[Data],$L333)&gt;$D$4,"",IFERROR(IF(INDEX(tblRegistros[Status],$L333)="EM ABERTO","",INDEX(tblRegistros[Horas],$L333)),"")))</f>
        <v/>
      </c>
      <c r="G333" t="str">
        <f>IF($L333="","",IF(INDEX(tblRegistros[Data],$L333)&gt;$D$4,"",IFERROR(INDEX(tblRegistros[Base],$L333),"")))</f>
        <v/>
      </c>
      <c r="H333" s="3" t="str">
        <f>IF($L333="","",IF(INDEX(tblRegistros[Data],$L333)&gt;$D$4,"",IFERROR(INDEX(tblRegistros[Taxa aplicada],$L333),"")))</f>
        <v/>
      </c>
      <c r="I333" s="3" t="str">
        <f>IF($L333="","",IF(INDEX(tblRegistros[Data],$L333)&gt;$D$4,"",IFERROR(IF(INDEX(tblRegistros[Status],$L333)="EM ABERTO","",INDEX(tblRegistros[Valor],$L333)),"")))</f>
        <v/>
      </c>
      <c r="J333" t="str">
        <f>IF($L333="","",IF(INDEX(tblRegistros[Data],$L333)&gt;$D$4,"",IFERROR(INDEX(tblRegistros[Status],$L333),"")))</f>
        <v/>
      </c>
      <c r="K333" t="str">
        <f>IF($L333="","",IF(INDEX(tblRegistros[Data],$L333)&gt;$D$4,"",IFERROR(INDEX(tblRegistros[Observação],$L333),"")))</f>
        <v/>
      </c>
      <c r="L333" s="16" t="str">
        <f>IFERROR(MATCH($B$3*100000+COUNTIFS(tblRegistros[ID],$B$3,tblRegistros[Data],"&lt;"&amp;$B$4)+ROWS($L$10:L333),tblRegistros[Chave do cartão],0),"")</f>
        <v/>
      </c>
    </row>
    <row r="334" spans="1:12">
      <c r="A334" s="2" t="str">
        <f>IF($L334="","",IF(INDEX(tblRegistros[Data],$L334)&gt;$D$4,"",IFERROR(INDEX(tblRegistros[Data],$L334),"")))</f>
        <v/>
      </c>
      <c r="B334" t="str">
        <f>IF($L334="","",IF(INDEX(tblRegistros[Data],$L334)&gt;$D$4,"",IFERROR(INDEX(tblRegistros[Projeto],$L334),"")))</f>
        <v/>
      </c>
      <c r="C334" t="str">
        <f>IF($L334="","",IF(INDEX(tblRegistros[Data],$L334)&gt;$D$4,"",IFERROR(INDEX(tblRegistros[Atividade],$L334),"")))</f>
        <v/>
      </c>
      <c r="D334" s="4" t="str">
        <f>IF($L334="","",IF(INDEX(tblRegistros[Data],$L334)&gt;$D$4,"",IFERROR(INDEX(tblRegistros[Início],$L334),"")))</f>
        <v/>
      </c>
      <c r="E334" s="4" t="str">
        <f>IF($L334="","",IF(INDEX(tblRegistros[Data],$L334)&gt;$D$4,"",IFERROR(IF(INDEX(tblRegistros[Status],$L334)="EM ABERTO","",INDEX(tblRegistros[Fim],$L334)),"")))</f>
        <v/>
      </c>
      <c r="F334" s="14" t="str">
        <f>IF($L334="","",IF(INDEX(tblRegistros[Data],$L334)&gt;$D$4,"",IFERROR(IF(INDEX(tblRegistros[Status],$L334)="EM ABERTO","",INDEX(tblRegistros[Horas],$L334)),"")))</f>
        <v/>
      </c>
      <c r="G334" t="str">
        <f>IF($L334="","",IF(INDEX(tblRegistros[Data],$L334)&gt;$D$4,"",IFERROR(INDEX(tblRegistros[Base],$L334),"")))</f>
        <v/>
      </c>
      <c r="H334" s="3" t="str">
        <f>IF($L334="","",IF(INDEX(tblRegistros[Data],$L334)&gt;$D$4,"",IFERROR(INDEX(tblRegistros[Taxa aplicada],$L334),"")))</f>
        <v/>
      </c>
      <c r="I334" s="3" t="str">
        <f>IF($L334="","",IF(INDEX(tblRegistros[Data],$L334)&gt;$D$4,"",IFERROR(IF(INDEX(tblRegistros[Status],$L334)="EM ABERTO","",INDEX(tblRegistros[Valor],$L334)),"")))</f>
        <v/>
      </c>
      <c r="J334" t="str">
        <f>IF($L334="","",IF(INDEX(tblRegistros[Data],$L334)&gt;$D$4,"",IFERROR(INDEX(tblRegistros[Status],$L334),"")))</f>
        <v/>
      </c>
      <c r="K334" t="str">
        <f>IF($L334="","",IF(INDEX(tblRegistros[Data],$L334)&gt;$D$4,"",IFERROR(INDEX(tblRegistros[Observação],$L334),"")))</f>
        <v/>
      </c>
      <c r="L334" s="16" t="str">
        <f>IFERROR(MATCH($B$3*100000+COUNTIFS(tblRegistros[ID],$B$3,tblRegistros[Data],"&lt;"&amp;$B$4)+ROWS($L$10:L334),tblRegistros[Chave do cartão],0),"")</f>
        <v/>
      </c>
    </row>
    <row r="335" spans="1:12">
      <c r="A335" s="2" t="str">
        <f>IF($L335="","",IF(INDEX(tblRegistros[Data],$L335)&gt;$D$4,"",IFERROR(INDEX(tblRegistros[Data],$L335),"")))</f>
        <v/>
      </c>
      <c r="B335" t="str">
        <f>IF($L335="","",IF(INDEX(tblRegistros[Data],$L335)&gt;$D$4,"",IFERROR(INDEX(tblRegistros[Projeto],$L335),"")))</f>
        <v/>
      </c>
      <c r="C335" t="str">
        <f>IF($L335="","",IF(INDEX(tblRegistros[Data],$L335)&gt;$D$4,"",IFERROR(INDEX(tblRegistros[Atividade],$L335),"")))</f>
        <v/>
      </c>
      <c r="D335" s="4" t="str">
        <f>IF($L335="","",IF(INDEX(tblRegistros[Data],$L335)&gt;$D$4,"",IFERROR(INDEX(tblRegistros[Início],$L335),"")))</f>
        <v/>
      </c>
      <c r="E335" s="4" t="str">
        <f>IF($L335="","",IF(INDEX(tblRegistros[Data],$L335)&gt;$D$4,"",IFERROR(IF(INDEX(tblRegistros[Status],$L335)="EM ABERTO","",INDEX(tblRegistros[Fim],$L335)),"")))</f>
        <v/>
      </c>
      <c r="F335" s="14" t="str">
        <f>IF($L335="","",IF(INDEX(tblRegistros[Data],$L335)&gt;$D$4,"",IFERROR(IF(INDEX(tblRegistros[Status],$L335)="EM ABERTO","",INDEX(tblRegistros[Horas],$L335)),"")))</f>
        <v/>
      </c>
      <c r="G335" t="str">
        <f>IF($L335="","",IF(INDEX(tblRegistros[Data],$L335)&gt;$D$4,"",IFERROR(INDEX(tblRegistros[Base],$L335),"")))</f>
        <v/>
      </c>
      <c r="H335" s="3" t="str">
        <f>IF($L335="","",IF(INDEX(tblRegistros[Data],$L335)&gt;$D$4,"",IFERROR(INDEX(tblRegistros[Taxa aplicada],$L335),"")))</f>
        <v/>
      </c>
      <c r="I335" s="3" t="str">
        <f>IF($L335="","",IF(INDEX(tblRegistros[Data],$L335)&gt;$D$4,"",IFERROR(IF(INDEX(tblRegistros[Status],$L335)="EM ABERTO","",INDEX(tblRegistros[Valor],$L335)),"")))</f>
        <v/>
      </c>
      <c r="J335" t="str">
        <f>IF($L335="","",IF(INDEX(tblRegistros[Data],$L335)&gt;$D$4,"",IFERROR(INDEX(tblRegistros[Status],$L335),"")))</f>
        <v/>
      </c>
      <c r="K335" t="str">
        <f>IF($L335="","",IF(INDEX(tblRegistros[Data],$L335)&gt;$D$4,"",IFERROR(INDEX(tblRegistros[Observação],$L335),"")))</f>
        <v/>
      </c>
      <c r="L335" s="16" t="str">
        <f>IFERROR(MATCH($B$3*100000+COUNTIFS(tblRegistros[ID],$B$3,tblRegistros[Data],"&lt;"&amp;$B$4)+ROWS($L$10:L335),tblRegistros[Chave do cartão],0),"")</f>
        <v/>
      </c>
    </row>
    <row r="336" spans="1:12">
      <c r="A336" s="2" t="str">
        <f>IF($L336="","",IF(INDEX(tblRegistros[Data],$L336)&gt;$D$4,"",IFERROR(INDEX(tblRegistros[Data],$L336),"")))</f>
        <v/>
      </c>
      <c r="B336" t="str">
        <f>IF($L336="","",IF(INDEX(tblRegistros[Data],$L336)&gt;$D$4,"",IFERROR(INDEX(tblRegistros[Projeto],$L336),"")))</f>
        <v/>
      </c>
      <c r="C336" t="str">
        <f>IF($L336="","",IF(INDEX(tblRegistros[Data],$L336)&gt;$D$4,"",IFERROR(INDEX(tblRegistros[Atividade],$L336),"")))</f>
        <v/>
      </c>
      <c r="D336" s="4" t="str">
        <f>IF($L336="","",IF(INDEX(tblRegistros[Data],$L336)&gt;$D$4,"",IFERROR(INDEX(tblRegistros[Início],$L336),"")))</f>
        <v/>
      </c>
      <c r="E336" s="4" t="str">
        <f>IF($L336="","",IF(INDEX(tblRegistros[Data],$L336)&gt;$D$4,"",IFERROR(IF(INDEX(tblRegistros[Status],$L336)="EM ABERTO","",INDEX(tblRegistros[Fim],$L336)),"")))</f>
        <v/>
      </c>
      <c r="F336" s="14" t="str">
        <f>IF($L336="","",IF(INDEX(tblRegistros[Data],$L336)&gt;$D$4,"",IFERROR(IF(INDEX(tblRegistros[Status],$L336)="EM ABERTO","",INDEX(tblRegistros[Horas],$L336)),"")))</f>
        <v/>
      </c>
      <c r="G336" t="str">
        <f>IF($L336="","",IF(INDEX(tblRegistros[Data],$L336)&gt;$D$4,"",IFERROR(INDEX(tblRegistros[Base],$L336),"")))</f>
        <v/>
      </c>
      <c r="H336" s="3" t="str">
        <f>IF($L336="","",IF(INDEX(tblRegistros[Data],$L336)&gt;$D$4,"",IFERROR(INDEX(tblRegistros[Taxa aplicada],$L336),"")))</f>
        <v/>
      </c>
      <c r="I336" s="3" t="str">
        <f>IF($L336="","",IF(INDEX(tblRegistros[Data],$L336)&gt;$D$4,"",IFERROR(IF(INDEX(tblRegistros[Status],$L336)="EM ABERTO","",INDEX(tblRegistros[Valor],$L336)),"")))</f>
        <v/>
      </c>
      <c r="J336" t="str">
        <f>IF($L336="","",IF(INDEX(tblRegistros[Data],$L336)&gt;$D$4,"",IFERROR(INDEX(tblRegistros[Status],$L336),"")))</f>
        <v/>
      </c>
      <c r="K336" t="str">
        <f>IF($L336="","",IF(INDEX(tblRegistros[Data],$L336)&gt;$D$4,"",IFERROR(INDEX(tblRegistros[Observação],$L336),"")))</f>
        <v/>
      </c>
      <c r="L336" s="16" t="str">
        <f>IFERROR(MATCH($B$3*100000+COUNTIFS(tblRegistros[ID],$B$3,tblRegistros[Data],"&lt;"&amp;$B$4)+ROWS($L$10:L336),tblRegistros[Chave do cartão],0),"")</f>
        <v/>
      </c>
    </row>
    <row r="337" spans="1:12">
      <c r="A337" s="2" t="str">
        <f>IF($L337="","",IF(INDEX(tblRegistros[Data],$L337)&gt;$D$4,"",IFERROR(INDEX(tblRegistros[Data],$L337),"")))</f>
        <v/>
      </c>
      <c r="B337" t="str">
        <f>IF($L337="","",IF(INDEX(tblRegistros[Data],$L337)&gt;$D$4,"",IFERROR(INDEX(tblRegistros[Projeto],$L337),"")))</f>
        <v/>
      </c>
      <c r="C337" t="str">
        <f>IF($L337="","",IF(INDEX(tblRegistros[Data],$L337)&gt;$D$4,"",IFERROR(INDEX(tblRegistros[Atividade],$L337),"")))</f>
        <v/>
      </c>
      <c r="D337" s="4" t="str">
        <f>IF($L337="","",IF(INDEX(tblRegistros[Data],$L337)&gt;$D$4,"",IFERROR(INDEX(tblRegistros[Início],$L337),"")))</f>
        <v/>
      </c>
      <c r="E337" s="4" t="str">
        <f>IF($L337="","",IF(INDEX(tblRegistros[Data],$L337)&gt;$D$4,"",IFERROR(IF(INDEX(tblRegistros[Status],$L337)="EM ABERTO","",INDEX(tblRegistros[Fim],$L337)),"")))</f>
        <v/>
      </c>
      <c r="F337" s="14" t="str">
        <f>IF($L337="","",IF(INDEX(tblRegistros[Data],$L337)&gt;$D$4,"",IFERROR(IF(INDEX(tblRegistros[Status],$L337)="EM ABERTO","",INDEX(tblRegistros[Horas],$L337)),"")))</f>
        <v/>
      </c>
      <c r="G337" t="str">
        <f>IF($L337="","",IF(INDEX(tblRegistros[Data],$L337)&gt;$D$4,"",IFERROR(INDEX(tblRegistros[Base],$L337),"")))</f>
        <v/>
      </c>
      <c r="H337" s="3" t="str">
        <f>IF($L337="","",IF(INDEX(tblRegistros[Data],$L337)&gt;$D$4,"",IFERROR(INDEX(tblRegistros[Taxa aplicada],$L337),"")))</f>
        <v/>
      </c>
      <c r="I337" s="3" t="str">
        <f>IF($L337="","",IF(INDEX(tblRegistros[Data],$L337)&gt;$D$4,"",IFERROR(IF(INDEX(tblRegistros[Status],$L337)="EM ABERTO","",INDEX(tblRegistros[Valor],$L337)),"")))</f>
        <v/>
      </c>
      <c r="J337" t="str">
        <f>IF($L337="","",IF(INDEX(tblRegistros[Data],$L337)&gt;$D$4,"",IFERROR(INDEX(tblRegistros[Status],$L337),"")))</f>
        <v/>
      </c>
      <c r="K337" t="str">
        <f>IF($L337="","",IF(INDEX(tblRegistros[Data],$L337)&gt;$D$4,"",IFERROR(INDEX(tblRegistros[Observação],$L337),"")))</f>
        <v/>
      </c>
      <c r="L337" s="16" t="str">
        <f>IFERROR(MATCH($B$3*100000+COUNTIFS(tblRegistros[ID],$B$3,tblRegistros[Data],"&lt;"&amp;$B$4)+ROWS($L$10:L337),tblRegistros[Chave do cartão],0),"")</f>
        <v/>
      </c>
    </row>
    <row r="338" spans="1:12">
      <c r="A338" s="2" t="str">
        <f>IF($L338="","",IF(INDEX(tblRegistros[Data],$L338)&gt;$D$4,"",IFERROR(INDEX(tblRegistros[Data],$L338),"")))</f>
        <v/>
      </c>
      <c r="B338" t="str">
        <f>IF($L338="","",IF(INDEX(tblRegistros[Data],$L338)&gt;$D$4,"",IFERROR(INDEX(tblRegistros[Projeto],$L338),"")))</f>
        <v/>
      </c>
      <c r="C338" t="str">
        <f>IF($L338="","",IF(INDEX(tblRegistros[Data],$L338)&gt;$D$4,"",IFERROR(INDEX(tblRegistros[Atividade],$L338),"")))</f>
        <v/>
      </c>
      <c r="D338" s="4" t="str">
        <f>IF($L338="","",IF(INDEX(tblRegistros[Data],$L338)&gt;$D$4,"",IFERROR(INDEX(tblRegistros[Início],$L338),"")))</f>
        <v/>
      </c>
      <c r="E338" s="4" t="str">
        <f>IF($L338="","",IF(INDEX(tblRegistros[Data],$L338)&gt;$D$4,"",IFERROR(IF(INDEX(tblRegistros[Status],$L338)="EM ABERTO","",INDEX(tblRegistros[Fim],$L338)),"")))</f>
        <v/>
      </c>
      <c r="F338" s="14" t="str">
        <f>IF($L338="","",IF(INDEX(tblRegistros[Data],$L338)&gt;$D$4,"",IFERROR(IF(INDEX(tblRegistros[Status],$L338)="EM ABERTO","",INDEX(tblRegistros[Horas],$L338)),"")))</f>
        <v/>
      </c>
      <c r="G338" t="str">
        <f>IF($L338="","",IF(INDEX(tblRegistros[Data],$L338)&gt;$D$4,"",IFERROR(INDEX(tblRegistros[Base],$L338),"")))</f>
        <v/>
      </c>
      <c r="H338" s="3" t="str">
        <f>IF($L338="","",IF(INDEX(tblRegistros[Data],$L338)&gt;$D$4,"",IFERROR(INDEX(tblRegistros[Taxa aplicada],$L338),"")))</f>
        <v/>
      </c>
      <c r="I338" s="3" t="str">
        <f>IF($L338="","",IF(INDEX(tblRegistros[Data],$L338)&gt;$D$4,"",IFERROR(IF(INDEX(tblRegistros[Status],$L338)="EM ABERTO","",INDEX(tblRegistros[Valor],$L338)),"")))</f>
        <v/>
      </c>
      <c r="J338" t="str">
        <f>IF($L338="","",IF(INDEX(tblRegistros[Data],$L338)&gt;$D$4,"",IFERROR(INDEX(tblRegistros[Status],$L338),"")))</f>
        <v/>
      </c>
      <c r="K338" t="str">
        <f>IF($L338="","",IF(INDEX(tblRegistros[Data],$L338)&gt;$D$4,"",IFERROR(INDEX(tblRegistros[Observação],$L338),"")))</f>
        <v/>
      </c>
      <c r="L338" s="16" t="str">
        <f>IFERROR(MATCH($B$3*100000+COUNTIFS(tblRegistros[ID],$B$3,tblRegistros[Data],"&lt;"&amp;$B$4)+ROWS($L$10:L338),tblRegistros[Chave do cartão],0),"")</f>
        <v/>
      </c>
    </row>
    <row r="339" spans="1:12">
      <c r="A339" s="2" t="str">
        <f>IF($L339="","",IF(INDEX(tblRegistros[Data],$L339)&gt;$D$4,"",IFERROR(INDEX(tblRegistros[Data],$L339),"")))</f>
        <v/>
      </c>
      <c r="B339" t="str">
        <f>IF($L339="","",IF(INDEX(tblRegistros[Data],$L339)&gt;$D$4,"",IFERROR(INDEX(tblRegistros[Projeto],$L339),"")))</f>
        <v/>
      </c>
      <c r="C339" t="str">
        <f>IF($L339="","",IF(INDEX(tblRegistros[Data],$L339)&gt;$D$4,"",IFERROR(INDEX(tblRegistros[Atividade],$L339),"")))</f>
        <v/>
      </c>
      <c r="D339" s="4" t="str">
        <f>IF($L339="","",IF(INDEX(tblRegistros[Data],$L339)&gt;$D$4,"",IFERROR(INDEX(tblRegistros[Início],$L339),"")))</f>
        <v/>
      </c>
      <c r="E339" s="4" t="str">
        <f>IF($L339="","",IF(INDEX(tblRegistros[Data],$L339)&gt;$D$4,"",IFERROR(IF(INDEX(tblRegistros[Status],$L339)="EM ABERTO","",INDEX(tblRegistros[Fim],$L339)),"")))</f>
        <v/>
      </c>
      <c r="F339" s="14" t="str">
        <f>IF($L339="","",IF(INDEX(tblRegistros[Data],$L339)&gt;$D$4,"",IFERROR(IF(INDEX(tblRegistros[Status],$L339)="EM ABERTO","",INDEX(tblRegistros[Horas],$L339)),"")))</f>
        <v/>
      </c>
      <c r="G339" t="str">
        <f>IF($L339="","",IF(INDEX(tblRegistros[Data],$L339)&gt;$D$4,"",IFERROR(INDEX(tblRegistros[Base],$L339),"")))</f>
        <v/>
      </c>
      <c r="H339" s="3" t="str">
        <f>IF($L339="","",IF(INDEX(tblRegistros[Data],$L339)&gt;$D$4,"",IFERROR(INDEX(tblRegistros[Taxa aplicada],$L339),"")))</f>
        <v/>
      </c>
      <c r="I339" s="3" t="str">
        <f>IF($L339="","",IF(INDEX(tblRegistros[Data],$L339)&gt;$D$4,"",IFERROR(IF(INDEX(tblRegistros[Status],$L339)="EM ABERTO","",INDEX(tblRegistros[Valor],$L339)),"")))</f>
        <v/>
      </c>
      <c r="J339" t="str">
        <f>IF($L339="","",IF(INDEX(tblRegistros[Data],$L339)&gt;$D$4,"",IFERROR(INDEX(tblRegistros[Status],$L339),"")))</f>
        <v/>
      </c>
      <c r="K339" t="str">
        <f>IF($L339="","",IF(INDEX(tblRegistros[Data],$L339)&gt;$D$4,"",IFERROR(INDEX(tblRegistros[Observação],$L339),"")))</f>
        <v/>
      </c>
      <c r="L339" s="16" t="str">
        <f>IFERROR(MATCH($B$3*100000+COUNTIFS(tblRegistros[ID],$B$3,tblRegistros[Data],"&lt;"&amp;$B$4)+ROWS($L$10:L339),tblRegistros[Chave do cartão],0),"")</f>
        <v/>
      </c>
    </row>
    <row r="340" spans="1:12">
      <c r="A340" s="2" t="str">
        <f>IF($L340="","",IF(INDEX(tblRegistros[Data],$L340)&gt;$D$4,"",IFERROR(INDEX(tblRegistros[Data],$L340),"")))</f>
        <v/>
      </c>
      <c r="B340" t="str">
        <f>IF($L340="","",IF(INDEX(tblRegistros[Data],$L340)&gt;$D$4,"",IFERROR(INDEX(tblRegistros[Projeto],$L340),"")))</f>
        <v/>
      </c>
      <c r="C340" t="str">
        <f>IF($L340="","",IF(INDEX(tblRegistros[Data],$L340)&gt;$D$4,"",IFERROR(INDEX(tblRegistros[Atividade],$L340),"")))</f>
        <v/>
      </c>
      <c r="D340" s="4" t="str">
        <f>IF($L340="","",IF(INDEX(tblRegistros[Data],$L340)&gt;$D$4,"",IFERROR(INDEX(tblRegistros[Início],$L340),"")))</f>
        <v/>
      </c>
      <c r="E340" s="4" t="str">
        <f>IF($L340="","",IF(INDEX(tblRegistros[Data],$L340)&gt;$D$4,"",IFERROR(IF(INDEX(tblRegistros[Status],$L340)="EM ABERTO","",INDEX(tblRegistros[Fim],$L340)),"")))</f>
        <v/>
      </c>
      <c r="F340" s="14" t="str">
        <f>IF($L340="","",IF(INDEX(tblRegistros[Data],$L340)&gt;$D$4,"",IFERROR(IF(INDEX(tblRegistros[Status],$L340)="EM ABERTO","",INDEX(tblRegistros[Horas],$L340)),"")))</f>
        <v/>
      </c>
      <c r="G340" t="str">
        <f>IF($L340="","",IF(INDEX(tblRegistros[Data],$L340)&gt;$D$4,"",IFERROR(INDEX(tblRegistros[Base],$L340),"")))</f>
        <v/>
      </c>
      <c r="H340" s="3" t="str">
        <f>IF($L340="","",IF(INDEX(tblRegistros[Data],$L340)&gt;$D$4,"",IFERROR(INDEX(tblRegistros[Taxa aplicada],$L340),"")))</f>
        <v/>
      </c>
      <c r="I340" s="3" t="str">
        <f>IF($L340="","",IF(INDEX(tblRegistros[Data],$L340)&gt;$D$4,"",IFERROR(IF(INDEX(tblRegistros[Status],$L340)="EM ABERTO","",INDEX(tblRegistros[Valor],$L340)),"")))</f>
        <v/>
      </c>
      <c r="J340" t="str">
        <f>IF($L340="","",IF(INDEX(tblRegistros[Data],$L340)&gt;$D$4,"",IFERROR(INDEX(tblRegistros[Status],$L340),"")))</f>
        <v/>
      </c>
      <c r="K340" t="str">
        <f>IF($L340="","",IF(INDEX(tblRegistros[Data],$L340)&gt;$D$4,"",IFERROR(INDEX(tblRegistros[Observação],$L340),"")))</f>
        <v/>
      </c>
      <c r="L340" s="16" t="str">
        <f>IFERROR(MATCH($B$3*100000+COUNTIFS(tblRegistros[ID],$B$3,tblRegistros[Data],"&lt;"&amp;$B$4)+ROWS($L$10:L340),tblRegistros[Chave do cartão],0),"")</f>
        <v/>
      </c>
    </row>
    <row r="341" spans="1:12">
      <c r="A341" s="2" t="str">
        <f>IF($L341="","",IF(INDEX(tblRegistros[Data],$L341)&gt;$D$4,"",IFERROR(INDEX(tblRegistros[Data],$L341),"")))</f>
        <v/>
      </c>
      <c r="B341" t="str">
        <f>IF($L341="","",IF(INDEX(tblRegistros[Data],$L341)&gt;$D$4,"",IFERROR(INDEX(tblRegistros[Projeto],$L341),"")))</f>
        <v/>
      </c>
      <c r="C341" t="str">
        <f>IF($L341="","",IF(INDEX(tblRegistros[Data],$L341)&gt;$D$4,"",IFERROR(INDEX(tblRegistros[Atividade],$L341),"")))</f>
        <v/>
      </c>
      <c r="D341" s="4" t="str">
        <f>IF($L341="","",IF(INDEX(tblRegistros[Data],$L341)&gt;$D$4,"",IFERROR(INDEX(tblRegistros[Início],$L341),"")))</f>
        <v/>
      </c>
      <c r="E341" s="4" t="str">
        <f>IF($L341="","",IF(INDEX(tblRegistros[Data],$L341)&gt;$D$4,"",IFERROR(IF(INDEX(tblRegistros[Status],$L341)="EM ABERTO","",INDEX(tblRegistros[Fim],$L341)),"")))</f>
        <v/>
      </c>
      <c r="F341" s="14" t="str">
        <f>IF($L341="","",IF(INDEX(tblRegistros[Data],$L341)&gt;$D$4,"",IFERROR(IF(INDEX(tblRegistros[Status],$L341)="EM ABERTO","",INDEX(tblRegistros[Horas],$L341)),"")))</f>
        <v/>
      </c>
      <c r="G341" t="str">
        <f>IF($L341="","",IF(INDEX(tblRegistros[Data],$L341)&gt;$D$4,"",IFERROR(INDEX(tblRegistros[Base],$L341),"")))</f>
        <v/>
      </c>
      <c r="H341" s="3" t="str">
        <f>IF($L341="","",IF(INDEX(tblRegistros[Data],$L341)&gt;$D$4,"",IFERROR(INDEX(tblRegistros[Taxa aplicada],$L341),"")))</f>
        <v/>
      </c>
      <c r="I341" s="3" t="str">
        <f>IF($L341="","",IF(INDEX(tblRegistros[Data],$L341)&gt;$D$4,"",IFERROR(IF(INDEX(tblRegistros[Status],$L341)="EM ABERTO","",INDEX(tblRegistros[Valor],$L341)),"")))</f>
        <v/>
      </c>
      <c r="J341" t="str">
        <f>IF($L341="","",IF(INDEX(tblRegistros[Data],$L341)&gt;$D$4,"",IFERROR(INDEX(tblRegistros[Status],$L341),"")))</f>
        <v/>
      </c>
      <c r="K341" t="str">
        <f>IF($L341="","",IF(INDEX(tblRegistros[Data],$L341)&gt;$D$4,"",IFERROR(INDEX(tblRegistros[Observação],$L341),"")))</f>
        <v/>
      </c>
      <c r="L341" s="16" t="str">
        <f>IFERROR(MATCH($B$3*100000+COUNTIFS(tblRegistros[ID],$B$3,tblRegistros[Data],"&lt;"&amp;$B$4)+ROWS($L$10:L341),tblRegistros[Chave do cartão],0),"")</f>
        <v/>
      </c>
    </row>
    <row r="342" spans="1:12">
      <c r="A342" s="2" t="str">
        <f>IF($L342="","",IF(INDEX(tblRegistros[Data],$L342)&gt;$D$4,"",IFERROR(INDEX(tblRegistros[Data],$L342),"")))</f>
        <v/>
      </c>
      <c r="B342" t="str">
        <f>IF($L342="","",IF(INDEX(tblRegistros[Data],$L342)&gt;$D$4,"",IFERROR(INDEX(tblRegistros[Projeto],$L342),"")))</f>
        <v/>
      </c>
      <c r="C342" t="str">
        <f>IF($L342="","",IF(INDEX(tblRegistros[Data],$L342)&gt;$D$4,"",IFERROR(INDEX(tblRegistros[Atividade],$L342),"")))</f>
        <v/>
      </c>
      <c r="D342" s="4" t="str">
        <f>IF($L342="","",IF(INDEX(tblRegistros[Data],$L342)&gt;$D$4,"",IFERROR(INDEX(tblRegistros[Início],$L342),"")))</f>
        <v/>
      </c>
      <c r="E342" s="4" t="str">
        <f>IF($L342="","",IF(INDEX(tblRegistros[Data],$L342)&gt;$D$4,"",IFERROR(IF(INDEX(tblRegistros[Status],$L342)="EM ABERTO","",INDEX(tblRegistros[Fim],$L342)),"")))</f>
        <v/>
      </c>
      <c r="F342" s="14" t="str">
        <f>IF($L342="","",IF(INDEX(tblRegistros[Data],$L342)&gt;$D$4,"",IFERROR(IF(INDEX(tblRegistros[Status],$L342)="EM ABERTO","",INDEX(tblRegistros[Horas],$L342)),"")))</f>
        <v/>
      </c>
      <c r="G342" t="str">
        <f>IF($L342="","",IF(INDEX(tblRegistros[Data],$L342)&gt;$D$4,"",IFERROR(INDEX(tblRegistros[Base],$L342),"")))</f>
        <v/>
      </c>
      <c r="H342" s="3" t="str">
        <f>IF($L342="","",IF(INDEX(tblRegistros[Data],$L342)&gt;$D$4,"",IFERROR(INDEX(tblRegistros[Taxa aplicada],$L342),"")))</f>
        <v/>
      </c>
      <c r="I342" s="3" t="str">
        <f>IF($L342="","",IF(INDEX(tblRegistros[Data],$L342)&gt;$D$4,"",IFERROR(IF(INDEX(tblRegistros[Status],$L342)="EM ABERTO","",INDEX(tblRegistros[Valor],$L342)),"")))</f>
        <v/>
      </c>
      <c r="J342" t="str">
        <f>IF($L342="","",IF(INDEX(tblRegistros[Data],$L342)&gt;$D$4,"",IFERROR(INDEX(tblRegistros[Status],$L342),"")))</f>
        <v/>
      </c>
      <c r="K342" t="str">
        <f>IF($L342="","",IF(INDEX(tblRegistros[Data],$L342)&gt;$D$4,"",IFERROR(INDEX(tblRegistros[Observação],$L342),"")))</f>
        <v/>
      </c>
      <c r="L342" s="16" t="str">
        <f>IFERROR(MATCH($B$3*100000+COUNTIFS(tblRegistros[ID],$B$3,tblRegistros[Data],"&lt;"&amp;$B$4)+ROWS($L$10:L342),tblRegistros[Chave do cartão],0),"")</f>
        <v/>
      </c>
    </row>
    <row r="343" spans="1:12">
      <c r="A343" s="2" t="str">
        <f>IF($L343="","",IF(INDEX(tblRegistros[Data],$L343)&gt;$D$4,"",IFERROR(INDEX(tblRegistros[Data],$L343),"")))</f>
        <v/>
      </c>
      <c r="B343" t="str">
        <f>IF($L343="","",IF(INDEX(tblRegistros[Data],$L343)&gt;$D$4,"",IFERROR(INDEX(tblRegistros[Projeto],$L343),"")))</f>
        <v/>
      </c>
      <c r="C343" t="str">
        <f>IF($L343="","",IF(INDEX(tblRegistros[Data],$L343)&gt;$D$4,"",IFERROR(INDEX(tblRegistros[Atividade],$L343),"")))</f>
        <v/>
      </c>
      <c r="D343" s="4" t="str">
        <f>IF($L343="","",IF(INDEX(tblRegistros[Data],$L343)&gt;$D$4,"",IFERROR(INDEX(tblRegistros[Início],$L343),"")))</f>
        <v/>
      </c>
      <c r="E343" s="4" t="str">
        <f>IF($L343="","",IF(INDEX(tblRegistros[Data],$L343)&gt;$D$4,"",IFERROR(IF(INDEX(tblRegistros[Status],$L343)="EM ABERTO","",INDEX(tblRegistros[Fim],$L343)),"")))</f>
        <v/>
      </c>
      <c r="F343" s="14" t="str">
        <f>IF($L343="","",IF(INDEX(tblRegistros[Data],$L343)&gt;$D$4,"",IFERROR(IF(INDEX(tblRegistros[Status],$L343)="EM ABERTO","",INDEX(tblRegistros[Horas],$L343)),"")))</f>
        <v/>
      </c>
      <c r="G343" t="str">
        <f>IF($L343="","",IF(INDEX(tblRegistros[Data],$L343)&gt;$D$4,"",IFERROR(INDEX(tblRegistros[Base],$L343),"")))</f>
        <v/>
      </c>
      <c r="H343" s="3" t="str">
        <f>IF($L343="","",IF(INDEX(tblRegistros[Data],$L343)&gt;$D$4,"",IFERROR(INDEX(tblRegistros[Taxa aplicada],$L343),"")))</f>
        <v/>
      </c>
      <c r="I343" s="3" t="str">
        <f>IF($L343="","",IF(INDEX(tblRegistros[Data],$L343)&gt;$D$4,"",IFERROR(IF(INDEX(tblRegistros[Status],$L343)="EM ABERTO","",INDEX(tblRegistros[Valor],$L343)),"")))</f>
        <v/>
      </c>
      <c r="J343" t="str">
        <f>IF($L343="","",IF(INDEX(tblRegistros[Data],$L343)&gt;$D$4,"",IFERROR(INDEX(tblRegistros[Status],$L343),"")))</f>
        <v/>
      </c>
      <c r="K343" t="str">
        <f>IF($L343="","",IF(INDEX(tblRegistros[Data],$L343)&gt;$D$4,"",IFERROR(INDEX(tblRegistros[Observação],$L343),"")))</f>
        <v/>
      </c>
      <c r="L343" s="16" t="str">
        <f>IFERROR(MATCH($B$3*100000+COUNTIFS(tblRegistros[ID],$B$3,tblRegistros[Data],"&lt;"&amp;$B$4)+ROWS($L$10:L343),tblRegistros[Chave do cartão],0),"")</f>
        <v/>
      </c>
    </row>
    <row r="344" spans="1:12">
      <c r="A344" s="2" t="str">
        <f>IF($L344="","",IF(INDEX(tblRegistros[Data],$L344)&gt;$D$4,"",IFERROR(INDEX(tblRegistros[Data],$L344),"")))</f>
        <v/>
      </c>
      <c r="B344" t="str">
        <f>IF($L344="","",IF(INDEX(tblRegistros[Data],$L344)&gt;$D$4,"",IFERROR(INDEX(tblRegistros[Projeto],$L344),"")))</f>
        <v/>
      </c>
      <c r="C344" t="str">
        <f>IF($L344="","",IF(INDEX(tblRegistros[Data],$L344)&gt;$D$4,"",IFERROR(INDEX(tblRegistros[Atividade],$L344),"")))</f>
        <v/>
      </c>
      <c r="D344" s="4" t="str">
        <f>IF($L344="","",IF(INDEX(tblRegistros[Data],$L344)&gt;$D$4,"",IFERROR(INDEX(tblRegistros[Início],$L344),"")))</f>
        <v/>
      </c>
      <c r="E344" s="4" t="str">
        <f>IF($L344="","",IF(INDEX(tblRegistros[Data],$L344)&gt;$D$4,"",IFERROR(IF(INDEX(tblRegistros[Status],$L344)="EM ABERTO","",INDEX(tblRegistros[Fim],$L344)),"")))</f>
        <v/>
      </c>
      <c r="F344" s="14" t="str">
        <f>IF($L344="","",IF(INDEX(tblRegistros[Data],$L344)&gt;$D$4,"",IFERROR(IF(INDEX(tblRegistros[Status],$L344)="EM ABERTO","",INDEX(tblRegistros[Horas],$L344)),"")))</f>
        <v/>
      </c>
      <c r="G344" t="str">
        <f>IF($L344="","",IF(INDEX(tblRegistros[Data],$L344)&gt;$D$4,"",IFERROR(INDEX(tblRegistros[Base],$L344),"")))</f>
        <v/>
      </c>
      <c r="H344" s="3" t="str">
        <f>IF($L344="","",IF(INDEX(tblRegistros[Data],$L344)&gt;$D$4,"",IFERROR(INDEX(tblRegistros[Taxa aplicada],$L344),"")))</f>
        <v/>
      </c>
      <c r="I344" s="3" t="str">
        <f>IF($L344="","",IF(INDEX(tblRegistros[Data],$L344)&gt;$D$4,"",IFERROR(IF(INDEX(tblRegistros[Status],$L344)="EM ABERTO","",INDEX(tblRegistros[Valor],$L344)),"")))</f>
        <v/>
      </c>
      <c r="J344" t="str">
        <f>IF($L344="","",IF(INDEX(tblRegistros[Data],$L344)&gt;$D$4,"",IFERROR(INDEX(tblRegistros[Status],$L344),"")))</f>
        <v/>
      </c>
      <c r="K344" t="str">
        <f>IF($L344="","",IF(INDEX(tblRegistros[Data],$L344)&gt;$D$4,"",IFERROR(INDEX(tblRegistros[Observação],$L344),"")))</f>
        <v/>
      </c>
      <c r="L344" s="16" t="str">
        <f>IFERROR(MATCH($B$3*100000+COUNTIFS(tblRegistros[ID],$B$3,tblRegistros[Data],"&lt;"&amp;$B$4)+ROWS($L$10:L344),tblRegistros[Chave do cartão],0),"")</f>
        <v/>
      </c>
    </row>
    <row r="345" spans="1:12">
      <c r="A345" s="2" t="str">
        <f>IF($L345="","",IF(INDEX(tblRegistros[Data],$L345)&gt;$D$4,"",IFERROR(INDEX(tblRegistros[Data],$L345),"")))</f>
        <v/>
      </c>
      <c r="B345" t="str">
        <f>IF($L345="","",IF(INDEX(tblRegistros[Data],$L345)&gt;$D$4,"",IFERROR(INDEX(tblRegistros[Projeto],$L345),"")))</f>
        <v/>
      </c>
      <c r="C345" t="str">
        <f>IF($L345="","",IF(INDEX(tblRegistros[Data],$L345)&gt;$D$4,"",IFERROR(INDEX(tblRegistros[Atividade],$L345),"")))</f>
        <v/>
      </c>
      <c r="D345" s="4" t="str">
        <f>IF($L345="","",IF(INDEX(tblRegistros[Data],$L345)&gt;$D$4,"",IFERROR(INDEX(tblRegistros[Início],$L345),"")))</f>
        <v/>
      </c>
      <c r="E345" s="4" t="str">
        <f>IF($L345="","",IF(INDEX(tblRegistros[Data],$L345)&gt;$D$4,"",IFERROR(IF(INDEX(tblRegistros[Status],$L345)="EM ABERTO","",INDEX(tblRegistros[Fim],$L345)),"")))</f>
        <v/>
      </c>
      <c r="F345" s="14" t="str">
        <f>IF($L345="","",IF(INDEX(tblRegistros[Data],$L345)&gt;$D$4,"",IFERROR(IF(INDEX(tblRegistros[Status],$L345)="EM ABERTO","",INDEX(tblRegistros[Horas],$L345)),"")))</f>
        <v/>
      </c>
      <c r="G345" t="str">
        <f>IF($L345="","",IF(INDEX(tblRegistros[Data],$L345)&gt;$D$4,"",IFERROR(INDEX(tblRegistros[Base],$L345),"")))</f>
        <v/>
      </c>
      <c r="H345" s="3" t="str">
        <f>IF($L345="","",IF(INDEX(tblRegistros[Data],$L345)&gt;$D$4,"",IFERROR(INDEX(tblRegistros[Taxa aplicada],$L345),"")))</f>
        <v/>
      </c>
      <c r="I345" s="3" t="str">
        <f>IF($L345="","",IF(INDEX(tblRegistros[Data],$L345)&gt;$D$4,"",IFERROR(IF(INDEX(tblRegistros[Status],$L345)="EM ABERTO","",INDEX(tblRegistros[Valor],$L345)),"")))</f>
        <v/>
      </c>
      <c r="J345" t="str">
        <f>IF($L345="","",IF(INDEX(tblRegistros[Data],$L345)&gt;$D$4,"",IFERROR(INDEX(tblRegistros[Status],$L345),"")))</f>
        <v/>
      </c>
      <c r="K345" t="str">
        <f>IF($L345="","",IF(INDEX(tblRegistros[Data],$L345)&gt;$D$4,"",IFERROR(INDEX(tblRegistros[Observação],$L345),"")))</f>
        <v/>
      </c>
      <c r="L345" s="16" t="str">
        <f>IFERROR(MATCH($B$3*100000+COUNTIFS(tblRegistros[ID],$B$3,tblRegistros[Data],"&lt;"&amp;$B$4)+ROWS($L$10:L345),tblRegistros[Chave do cartão],0),"")</f>
        <v/>
      </c>
    </row>
    <row r="346" spans="1:12">
      <c r="A346" s="2" t="str">
        <f>IF($L346="","",IF(INDEX(tblRegistros[Data],$L346)&gt;$D$4,"",IFERROR(INDEX(tblRegistros[Data],$L346),"")))</f>
        <v/>
      </c>
      <c r="B346" t="str">
        <f>IF($L346="","",IF(INDEX(tblRegistros[Data],$L346)&gt;$D$4,"",IFERROR(INDEX(tblRegistros[Projeto],$L346),"")))</f>
        <v/>
      </c>
      <c r="C346" t="str">
        <f>IF($L346="","",IF(INDEX(tblRegistros[Data],$L346)&gt;$D$4,"",IFERROR(INDEX(tblRegistros[Atividade],$L346),"")))</f>
        <v/>
      </c>
      <c r="D346" s="4" t="str">
        <f>IF($L346="","",IF(INDEX(tblRegistros[Data],$L346)&gt;$D$4,"",IFERROR(INDEX(tblRegistros[Início],$L346),"")))</f>
        <v/>
      </c>
      <c r="E346" s="4" t="str">
        <f>IF($L346="","",IF(INDEX(tblRegistros[Data],$L346)&gt;$D$4,"",IFERROR(IF(INDEX(tblRegistros[Status],$L346)="EM ABERTO","",INDEX(tblRegistros[Fim],$L346)),"")))</f>
        <v/>
      </c>
      <c r="F346" s="14" t="str">
        <f>IF($L346="","",IF(INDEX(tblRegistros[Data],$L346)&gt;$D$4,"",IFERROR(IF(INDEX(tblRegistros[Status],$L346)="EM ABERTO","",INDEX(tblRegistros[Horas],$L346)),"")))</f>
        <v/>
      </c>
      <c r="G346" t="str">
        <f>IF($L346="","",IF(INDEX(tblRegistros[Data],$L346)&gt;$D$4,"",IFERROR(INDEX(tblRegistros[Base],$L346),"")))</f>
        <v/>
      </c>
      <c r="H346" s="3" t="str">
        <f>IF($L346="","",IF(INDEX(tblRegistros[Data],$L346)&gt;$D$4,"",IFERROR(INDEX(tblRegistros[Taxa aplicada],$L346),"")))</f>
        <v/>
      </c>
      <c r="I346" s="3" t="str">
        <f>IF($L346="","",IF(INDEX(tblRegistros[Data],$L346)&gt;$D$4,"",IFERROR(IF(INDEX(tblRegistros[Status],$L346)="EM ABERTO","",INDEX(tblRegistros[Valor],$L346)),"")))</f>
        <v/>
      </c>
      <c r="J346" t="str">
        <f>IF($L346="","",IF(INDEX(tblRegistros[Data],$L346)&gt;$D$4,"",IFERROR(INDEX(tblRegistros[Status],$L346),"")))</f>
        <v/>
      </c>
      <c r="K346" t="str">
        <f>IF($L346="","",IF(INDEX(tblRegistros[Data],$L346)&gt;$D$4,"",IFERROR(INDEX(tblRegistros[Observação],$L346),"")))</f>
        <v/>
      </c>
      <c r="L346" s="16" t="str">
        <f>IFERROR(MATCH($B$3*100000+COUNTIFS(tblRegistros[ID],$B$3,tblRegistros[Data],"&lt;"&amp;$B$4)+ROWS($L$10:L346),tblRegistros[Chave do cartão],0),"")</f>
        <v/>
      </c>
    </row>
    <row r="347" spans="1:12">
      <c r="A347" s="2" t="str">
        <f>IF($L347="","",IF(INDEX(tblRegistros[Data],$L347)&gt;$D$4,"",IFERROR(INDEX(tblRegistros[Data],$L347),"")))</f>
        <v/>
      </c>
      <c r="B347" t="str">
        <f>IF($L347="","",IF(INDEX(tblRegistros[Data],$L347)&gt;$D$4,"",IFERROR(INDEX(tblRegistros[Projeto],$L347),"")))</f>
        <v/>
      </c>
      <c r="C347" t="str">
        <f>IF($L347="","",IF(INDEX(tblRegistros[Data],$L347)&gt;$D$4,"",IFERROR(INDEX(tblRegistros[Atividade],$L347),"")))</f>
        <v/>
      </c>
      <c r="D347" s="4" t="str">
        <f>IF($L347="","",IF(INDEX(tblRegistros[Data],$L347)&gt;$D$4,"",IFERROR(INDEX(tblRegistros[Início],$L347),"")))</f>
        <v/>
      </c>
      <c r="E347" s="4" t="str">
        <f>IF($L347="","",IF(INDEX(tblRegistros[Data],$L347)&gt;$D$4,"",IFERROR(IF(INDEX(tblRegistros[Status],$L347)="EM ABERTO","",INDEX(tblRegistros[Fim],$L347)),"")))</f>
        <v/>
      </c>
      <c r="F347" s="14" t="str">
        <f>IF($L347="","",IF(INDEX(tblRegistros[Data],$L347)&gt;$D$4,"",IFERROR(IF(INDEX(tblRegistros[Status],$L347)="EM ABERTO","",INDEX(tblRegistros[Horas],$L347)),"")))</f>
        <v/>
      </c>
      <c r="G347" t="str">
        <f>IF($L347="","",IF(INDEX(tblRegistros[Data],$L347)&gt;$D$4,"",IFERROR(INDEX(tblRegistros[Base],$L347),"")))</f>
        <v/>
      </c>
      <c r="H347" s="3" t="str">
        <f>IF($L347="","",IF(INDEX(tblRegistros[Data],$L347)&gt;$D$4,"",IFERROR(INDEX(tblRegistros[Taxa aplicada],$L347),"")))</f>
        <v/>
      </c>
      <c r="I347" s="3" t="str">
        <f>IF($L347="","",IF(INDEX(tblRegistros[Data],$L347)&gt;$D$4,"",IFERROR(IF(INDEX(tblRegistros[Status],$L347)="EM ABERTO","",INDEX(tblRegistros[Valor],$L347)),"")))</f>
        <v/>
      </c>
      <c r="J347" t="str">
        <f>IF($L347="","",IF(INDEX(tblRegistros[Data],$L347)&gt;$D$4,"",IFERROR(INDEX(tblRegistros[Status],$L347),"")))</f>
        <v/>
      </c>
      <c r="K347" t="str">
        <f>IF($L347="","",IF(INDEX(tblRegistros[Data],$L347)&gt;$D$4,"",IFERROR(INDEX(tblRegistros[Observação],$L347),"")))</f>
        <v/>
      </c>
      <c r="L347" s="16" t="str">
        <f>IFERROR(MATCH($B$3*100000+COUNTIFS(tblRegistros[ID],$B$3,tblRegistros[Data],"&lt;"&amp;$B$4)+ROWS($L$10:L347),tblRegistros[Chave do cartão],0),"")</f>
        <v/>
      </c>
    </row>
    <row r="348" spans="1:12">
      <c r="A348" s="2" t="str">
        <f>IF($L348="","",IF(INDEX(tblRegistros[Data],$L348)&gt;$D$4,"",IFERROR(INDEX(tblRegistros[Data],$L348),"")))</f>
        <v/>
      </c>
      <c r="B348" t="str">
        <f>IF($L348="","",IF(INDEX(tblRegistros[Data],$L348)&gt;$D$4,"",IFERROR(INDEX(tblRegistros[Projeto],$L348),"")))</f>
        <v/>
      </c>
      <c r="C348" t="str">
        <f>IF($L348="","",IF(INDEX(tblRegistros[Data],$L348)&gt;$D$4,"",IFERROR(INDEX(tblRegistros[Atividade],$L348),"")))</f>
        <v/>
      </c>
      <c r="D348" s="4" t="str">
        <f>IF($L348="","",IF(INDEX(tblRegistros[Data],$L348)&gt;$D$4,"",IFERROR(INDEX(tblRegistros[Início],$L348),"")))</f>
        <v/>
      </c>
      <c r="E348" s="4" t="str">
        <f>IF($L348="","",IF(INDEX(tblRegistros[Data],$L348)&gt;$D$4,"",IFERROR(IF(INDEX(tblRegistros[Status],$L348)="EM ABERTO","",INDEX(tblRegistros[Fim],$L348)),"")))</f>
        <v/>
      </c>
      <c r="F348" s="14" t="str">
        <f>IF($L348="","",IF(INDEX(tblRegistros[Data],$L348)&gt;$D$4,"",IFERROR(IF(INDEX(tblRegistros[Status],$L348)="EM ABERTO","",INDEX(tblRegistros[Horas],$L348)),"")))</f>
        <v/>
      </c>
      <c r="G348" t="str">
        <f>IF($L348="","",IF(INDEX(tblRegistros[Data],$L348)&gt;$D$4,"",IFERROR(INDEX(tblRegistros[Base],$L348),"")))</f>
        <v/>
      </c>
      <c r="H348" s="3" t="str">
        <f>IF($L348="","",IF(INDEX(tblRegistros[Data],$L348)&gt;$D$4,"",IFERROR(INDEX(tblRegistros[Taxa aplicada],$L348),"")))</f>
        <v/>
      </c>
      <c r="I348" s="3" t="str">
        <f>IF($L348="","",IF(INDEX(tblRegistros[Data],$L348)&gt;$D$4,"",IFERROR(IF(INDEX(tblRegistros[Status],$L348)="EM ABERTO","",INDEX(tblRegistros[Valor],$L348)),"")))</f>
        <v/>
      </c>
      <c r="J348" t="str">
        <f>IF($L348="","",IF(INDEX(tblRegistros[Data],$L348)&gt;$D$4,"",IFERROR(INDEX(tblRegistros[Status],$L348),"")))</f>
        <v/>
      </c>
      <c r="K348" t="str">
        <f>IF($L348="","",IF(INDEX(tblRegistros[Data],$L348)&gt;$D$4,"",IFERROR(INDEX(tblRegistros[Observação],$L348),"")))</f>
        <v/>
      </c>
      <c r="L348" s="16" t="str">
        <f>IFERROR(MATCH($B$3*100000+COUNTIFS(tblRegistros[ID],$B$3,tblRegistros[Data],"&lt;"&amp;$B$4)+ROWS($L$10:L348),tblRegistros[Chave do cartão],0),"")</f>
        <v/>
      </c>
    </row>
    <row r="349" spans="1:12">
      <c r="A349" s="2" t="str">
        <f>IF($L349="","",IF(INDEX(tblRegistros[Data],$L349)&gt;$D$4,"",IFERROR(INDEX(tblRegistros[Data],$L349),"")))</f>
        <v/>
      </c>
      <c r="B349" t="str">
        <f>IF($L349="","",IF(INDEX(tblRegistros[Data],$L349)&gt;$D$4,"",IFERROR(INDEX(tblRegistros[Projeto],$L349),"")))</f>
        <v/>
      </c>
      <c r="C349" t="str">
        <f>IF($L349="","",IF(INDEX(tblRegistros[Data],$L349)&gt;$D$4,"",IFERROR(INDEX(tblRegistros[Atividade],$L349),"")))</f>
        <v/>
      </c>
      <c r="D349" s="4" t="str">
        <f>IF($L349="","",IF(INDEX(tblRegistros[Data],$L349)&gt;$D$4,"",IFERROR(INDEX(tblRegistros[Início],$L349),"")))</f>
        <v/>
      </c>
      <c r="E349" s="4" t="str">
        <f>IF($L349="","",IF(INDEX(tblRegistros[Data],$L349)&gt;$D$4,"",IFERROR(IF(INDEX(tblRegistros[Status],$L349)="EM ABERTO","",INDEX(tblRegistros[Fim],$L349)),"")))</f>
        <v/>
      </c>
      <c r="F349" s="14" t="str">
        <f>IF($L349="","",IF(INDEX(tblRegistros[Data],$L349)&gt;$D$4,"",IFERROR(IF(INDEX(tblRegistros[Status],$L349)="EM ABERTO","",INDEX(tblRegistros[Horas],$L349)),"")))</f>
        <v/>
      </c>
      <c r="G349" t="str">
        <f>IF($L349="","",IF(INDEX(tblRegistros[Data],$L349)&gt;$D$4,"",IFERROR(INDEX(tblRegistros[Base],$L349),"")))</f>
        <v/>
      </c>
      <c r="H349" s="3" t="str">
        <f>IF($L349="","",IF(INDEX(tblRegistros[Data],$L349)&gt;$D$4,"",IFERROR(INDEX(tblRegistros[Taxa aplicada],$L349),"")))</f>
        <v/>
      </c>
      <c r="I349" s="3" t="str">
        <f>IF($L349="","",IF(INDEX(tblRegistros[Data],$L349)&gt;$D$4,"",IFERROR(IF(INDEX(tblRegistros[Status],$L349)="EM ABERTO","",INDEX(tblRegistros[Valor],$L349)),"")))</f>
        <v/>
      </c>
      <c r="J349" t="str">
        <f>IF($L349="","",IF(INDEX(tblRegistros[Data],$L349)&gt;$D$4,"",IFERROR(INDEX(tblRegistros[Status],$L349),"")))</f>
        <v/>
      </c>
      <c r="K349" t="str">
        <f>IF($L349="","",IF(INDEX(tblRegistros[Data],$L349)&gt;$D$4,"",IFERROR(INDEX(tblRegistros[Observação],$L349),"")))</f>
        <v/>
      </c>
      <c r="L349" s="16" t="str">
        <f>IFERROR(MATCH($B$3*100000+COUNTIFS(tblRegistros[ID],$B$3,tblRegistros[Data],"&lt;"&amp;$B$4)+ROWS($L$10:L349),tblRegistros[Chave do cartão],0),"")</f>
        <v/>
      </c>
    </row>
    <row r="350" spans="1:12">
      <c r="A350" s="2" t="str">
        <f>IF($L350="","",IF(INDEX(tblRegistros[Data],$L350)&gt;$D$4,"",IFERROR(INDEX(tblRegistros[Data],$L350),"")))</f>
        <v/>
      </c>
      <c r="B350" t="str">
        <f>IF($L350="","",IF(INDEX(tblRegistros[Data],$L350)&gt;$D$4,"",IFERROR(INDEX(tblRegistros[Projeto],$L350),"")))</f>
        <v/>
      </c>
      <c r="C350" t="str">
        <f>IF($L350="","",IF(INDEX(tblRegistros[Data],$L350)&gt;$D$4,"",IFERROR(INDEX(tblRegistros[Atividade],$L350),"")))</f>
        <v/>
      </c>
      <c r="D350" s="4" t="str">
        <f>IF($L350="","",IF(INDEX(tblRegistros[Data],$L350)&gt;$D$4,"",IFERROR(INDEX(tblRegistros[Início],$L350),"")))</f>
        <v/>
      </c>
      <c r="E350" s="4" t="str">
        <f>IF($L350="","",IF(INDEX(tblRegistros[Data],$L350)&gt;$D$4,"",IFERROR(IF(INDEX(tblRegistros[Status],$L350)="EM ABERTO","",INDEX(tblRegistros[Fim],$L350)),"")))</f>
        <v/>
      </c>
      <c r="F350" s="14" t="str">
        <f>IF($L350="","",IF(INDEX(tblRegistros[Data],$L350)&gt;$D$4,"",IFERROR(IF(INDEX(tblRegistros[Status],$L350)="EM ABERTO","",INDEX(tblRegistros[Horas],$L350)),"")))</f>
        <v/>
      </c>
      <c r="G350" t="str">
        <f>IF($L350="","",IF(INDEX(tblRegistros[Data],$L350)&gt;$D$4,"",IFERROR(INDEX(tblRegistros[Base],$L350),"")))</f>
        <v/>
      </c>
      <c r="H350" s="3" t="str">
        <f>IF($L350="","",IF(INDEX(tblRegistros[Data],$L350)&gt;$D$4,"",IFERROR(INDEX(tblRegistros[Taxa aplicada],$L350),"")))</f>
        <v/>
      </c>
      <c r="I350" s="3" t="str">
        <f>IF($L350="","",IF(INDEX(tblRegistros[Data],$L350)&gt;$D$4,"",IFERROR(IF(INDEX(tblRegistros[Status],$L350)="EM ABERTO","",INDEX(tblRegistros[Valor],$L350)),"")))</f>
        <v/>
      </c>
      <c r="J350" t="str">
        <f>IF($L350="","",IF(INDEX(tblRegistros[Data],$L350)&gt;$D$4,"",IFERROR(INDEX(tblRegistros[Status],$L350),"")))</f>
        <v/>
      </c>
      <c r="K350" t="str">
        <f>IF($L350="","",IF(INDEX(tblRegistros[Data],$L350)&gt;$D$4,"",IFERROR(INDEX(tblRegistros[Observação],$L350),"")))</f>
        <v/>
      </c>
      <c r="L350" s="16" t="str">
        <f>IFERROR(MATCH($B$3*100000+COUNTIFS(tblRegistros[ID],$B$3,tblRegistros[Data],"&lt;"&amp;$B$4)+ROWS($L$10:L350),tblRegistros[Chave do cartão],0),"")</f>
        <v/>
      </c>
    </row>
    <row r="351" spans="1:12">
      <c r="A351" s="2" t="str">
        <f>IF($L351="","",IF(INDEX(tblRegistros[Data],$L351)&gt;$D$4,"",IFERROR(INDEX(tblRegistros[Data],$L351),"")))</f>
        <v/>
      </c>
      <c r="B351" t="str">
        <f>IF($L351="","",IF(INDEX(tblRegistros[Data],$L351)&gt;$D$4,"",IFERROR(INDEX(tblRegistros[Projeto],$L351),"")))</f>
        <v/>
      </c>
      <c r="C351" t="str">
        <f>IF($L351="","",IF(INDEX(tblRegistros[Data],$L351)&gt;$D$4,"",IFERROR(INDEX(tblRegistros[Atividade],$L351),"")))</f>
        <v/>
      </c>
      <c r="D351" s="4" t="str">
        <f>IF($L351="","",IF(INDEX(tblRegistros[Data],$L351)&gt;$D$4,"",IFERROR(INDEX(tblRegistros[Início],$L351),"")))</f>
        <v/>
      </c>
      <c r="E351" s="4" t="str">
        <f>IF($L351="","",IF(INDEX(tblRegistros[Data],$L351)&gt;$D$4,"",IFERROR(IF(INDEX(tblRegistros[Status],$L351)="EM ABERTO","",INDEX(tblRegistros[Fim],$L351)),"")))</f>
        <v/>
      </c>
      <c r="F351" s="14" t="str">
        <f>IF($L351="","",IF(INDEX(tblRegistros[Data],$L351)&gt;$D$4,"",IFERROR(IF(INDEX(tblRegistros[Status],$L351)="EM ABERTO","",INDEX(tblRegistros[Horas],$L351)),"")))</f>
        <v/>
      </c>
      <c r="G351" t="str">
        <f>IF($L351="","",IF(INDEX(tblRegistros[Data],$L351)&gt;$D$4,"",IFERROR(INDEX(tblRegistros[Base],$L351),"")))</f>
        <v/>
      </c>
      <c r="H351" s="3" t="str">
        <f>IF($L351="","",IF(INDEX(tblRegistros[Data],$L351)&gt;$D$4,"",IFERROR(INDEX(tblRegistros[Taxa aplicada],$L351),"")))</f>
        <v/>
      </c>
      <c r="I351" s="3" t="str">
        <f>IF($L351="","",IF(INDEX(tblRegistros[Data],$L351)&gt;$D$4,"",IFERROR(IF(INDEX(tblRegistros[Status],$L351)="EM ABERTO","",INDEX(tblRegistros[Valor],$L351)),"")))</f>
        <v/>
      </c>
      <c r="J351" t="str">
        <f>IF($L351="","",IF(INDEX(tblRegistros[Data],$L351)&gt;$D$4,"",IFERROR(INDEX(tblRegistros[Status],$L351),"")))</f>
        <v/>
      </c>
      <c r="K351" t="str">
        <f>IF($L351="","",IF(INDEX(tblRegistros[Data],$L351)&gt;$D$4,"",IFERROR(INDEX(tblRegistros[Observação],$L351),"")))</f>
        <v/>
      </c>
      <c r="L351" s="16" t="str">
        <f>IFERROR(MATCH($B$3*100000+COUNTIFS(tblRegistros[ID],$B$3,tblRegistros[Data],"&lt;"&amp;$B$4)+ROWS($L$10:L351),tblRegistros[Chave do cartão],0),"")</f>
        <v/>
      </c>
    </row>
    <row r="352" spans="1:12">
      <c r="A352" s="2" t="str">
        <f>IF($L352="","",IF(INDEX(tblRegistros[Data],$L352)&gt;$D$4,"",IFERROR(INDEX(tblRegistros[Data],$L352),"")))</f>
        <v/>
      </c>
      <c r="B352" t="str">
        <f>IF($L352="","",IF(INDEX(tblRegistros[Data],$L352)&gt;$D$4,"",IFERROR(INDEX(tblRegistros[Projeto],$L352),"")))</f>
        <v/>
      </c>
      <c r="C352" t="str">
        <f>IF($L352="","",IF(INDEX(tblRegistros[Data],$L352)&gt;$D$4,"",IFERROR(INDEX(tblRegistros[Atividade],$L352),"")))</f>
        <v/>
      </c>
      <c r="D352" s="4" t="str">
        <f>IF($L352="","",IF(INDEX(tblRegistros[Data],$L352)&gt;$D$4,"",IFERROR(INDEX(tblRegistros[Início],$L352),"")))</f>
        <v/>
      </c>
      <c r="E352" s="4" t="str">
        <f>IF($L352="","",IF(INDEX(tblRegistros[Data],$L352)&gt;$D$4,"",IFERROR(IF(INDEX(tblRegistros[Status],$L352)="EM ABERTO","",INDEX(tblRegistros[Fim],$L352)),"")))</f>
        <v/>
      </c>
      <c r="F352" s="14" t="str">
        <f>IF($L352="","",IF(INDEX(tblRegistros[Data],$L352)&gt;$D$4,"",IFERROR(IF(INDEX(tblRegistros[Status],$L352)="EM ABERTO","",INDEX(tblRegistros[Horas],$L352)),"")))</f>
        <v/>
      </c>
      <c r="G352" t="str">
        <f>IF($L352="","",IF(INDEX(tblRegistros[Data],$L352)&gt;$D$4,"",IFERROR(INDEX(tblRegistros[Base],$L352),"")))</f>
        <v/>
      </c>
      <c r="H352" s="3" t="str">
        <f>IF($L352="","",IF(INDEX(tblRegistros[Data],$L352)&gt;$D$4,"",IFERROR(INDEX(tblRegistros[Taxa aplicada],$L352),"")))</f>
        <v/>
      </c>
      <c r="I352" s="3" t="str">
        <f>IF($L352="","",IF(INDEX(tblRegistros[Data],$L352)&gt;$D$4,"",IFERROR(IF(INDEX(tblRegistros[Status],$L352)="EM ABERTO","",INDEX(tblRegistros[Valor],$L352)),"")))</f>
        <v/>
      </c>
      <c r="J352" t="str">
        <f>IF($L352="","",IF(INDEX(tblRegistros[Data],$L352)&gt;$D$4,"",IFERROR(INDEX(tblRegistros[Status],$L352),"")))</f>
        <v/>
      </c>
      <c r="K352" t="str">
        <f>IF($L352="","",IF(INDEX(tblRegistros[Data],$L352)&gt;$D$4,"",IFERROR(INDEX(tblRegistros[Observação],$L352),"")))</f>
        <v/>
      </c>
      <c r="L352" s="16" t="str">
        <f>IFERROR(MATCH($B$3*100000+COUNTIFS(tblRegistros[ID],$B$3,tblRegistros[Data],"&lt;"&amp;$B$4)+ROWS($L$10:L352),tblRegistros[Chave do cartão],0),"")</f>
        <v/>
      </c>
    </row>
    <row r="353" spans="1:12">
      <c r="A353" s="2" t="str">
        <f>IF($L353="","",IF(INDEX(tblRegistros[Data],$L353)&gt;$D$4,"",IFERROR(INDEX(tblRegistros[Data],$L353),"")))</f>
        <v/>
      </c>
      <c r="B353" t="str">
        <f>IF($L353="","",IF(INDEX(tblRegistros[Data],$L353)&gt;$D$4,"",IFERROR(INDEX(tblRegistros[Projeto],$L353),"")))</f>
        <v/>
      </c>
      <c r="C353" t="str">
        <f>IF($L353="","",IF(INDEX(tblRegistros[Data],$L353)&gt;$D$4,"",IFERROR(INDEX(tblRegistros[Atividade],$L353),"")))</f>
        <v/>
      </c>
      <c r="D353" s="4" t="str">
        <f>IF($L353="","",IF(INDEX(tblRegistros[Data],$L353)&gt;$D$4,"",IFERROR(INDEX(tblRegistros[Início],$L353),"")))</f>
        <v/>
      </c>
      <c r="E353" s="4" t="str">
        <f>IF($L353="","",IF(INDEX(tblRegistros[Data],$L353)&gt;$D$4,"",IFERROR(IF(INDEX(tblRegistros[Status],$L353)="EM ABERTO","",INDEX(tblRegistros[Fim],$L353)),"")))</f>
        <v/>
      </c>
      <c r="F353" s="14" t="str">
        <f>IF($L353="","",IF(INDEX(tblRegistros[Data],$L353)&gt;$D$4,"",IFERROR(IF(INDEX(tblRegistros[Status],$L353)="EM ABERTO","",INDEX(tblRegistros[Horas],$L353)),"")))</f>
        <v/>
      </c>
      <c r="G353" t="str">
        <f>IF($L353="","",IF(INDEX(tblRegistros[Data],$L353)&gt;$D$4,"",IFERROR(INDEX(tblRegistros[Base],$L353),"")))</f>
        <v/>
      </c>
      <c r="H353" s="3" t="str">
        <f>IF($L353="","",IF(INDEX(tblRegistros[Data],$L353)&gt;$D$4,"",IFERROR(INDEX(tblRegistros[Taxa aplicada],$L353),"")))</f>
        <v/>
      </c>
      <c r="I353" s="3" t="str">
        <f>IF($L353="","",IF(INDEX(tblRegistros[Data],$L353)&gt;$D$4,"",IFERROR(IF(INDEX(tblRegistros[Status],$L353)="EM ABERTO","",INDEX(tblRegistros[Valor],$L353)),"")))</f>
        <v/>
      </c>
      <c r="J353" t="str">
        <f>IF($L353="","",IF(INDEX(tblRegistros[Data],$L353)&gt;$D$4,"",IFERROR(INDEX(tblRegistros[Status],$L353),"")))</f>
        <v/>
      </c>
      <c r="K353" t="str">
        <f>IF($L353="","",IF(INDEX(tblRegistros[Data],$L353)&gt;$D$4,"",IFERROR(INDEX(tblRegistros[Observação],$L353),"")))</f>
        <v/>
      </c>
      <c r="L353" s="16" t="str">
        <f>IFERROR(MATCH($B$3*100000+COUNTIFS(tblRegistros[ID],$B$3,tblRegistros[Data],"&lt;"&amp;$B$4)+ROWS($L$10:L353),tblRegistros[Chave do cartão],0),"")</f>
        <v/>
      </c>
    </row>
    <row r="354" spans="1:12">
      <c r="A354" s="2" t="str">
        <f>IF($L354="","",IF(INDEX(tblRegistros[Data],$L354)&gt;$D$4,"",IFERROR(INDEX(tblRegistros[Data],$L354),"")))</f>
        <v/>
      </c>
      <c r="B354" t="str">
        <f>IF($L354="","",IF(INDEX(tblRegistros[Data],$L354)&gt;$D$4,"",IFERROR(INDEX(tblRegistros[Projeto],$L354),"")))</f>
        <v/>
      </c>
      <c r="C354" t="str">
        <f>IF($L354="","",IF(INDEX(tblRegistros[Data],$L354)&gt;$D$4,"",IFERROR(INDEX(tblRegistros[Atividade],$L354),"")))</f>
        <v/>
      </c>
      <c r="D354" s="4" t="str">
        <f>IF($L354="","",IF(INDEX(tblRegistros[Data],$L354)&gt;$D$4,"",IFERROR(INDEX(tblRegistros[Início],$L354),"")))</f>
        <v/>
      </c>
      <c r="E354" s="4" t="str">
        <f>IF($L354="","",IF(INDEX(tblRegistros[Data],$L354)&gt;$D$4,"",IFERROR(IF(INDEX(tblRegistros[Status],$L354)="EM ABERTO","",INDEX(tblRegistros[Fim],$L354)),"")))</f>
        <v/>
      </c>
      <c r="F354" s="14" t="str">
        <f>IF($L354="","",IF(INDEX(tblRegistros[Data],$L354)&gt;$D$4,"",IFERROR(IF(INDEX(tblRegistros[Status],$L354)="EM ABERTO","",INDEX(tblRegistros[Horas],$L354)),"")))</f>
        <v/>
      </c>
      <c r="G354" t="str">
        <f>IF($L354="","",IF(INDEX(tblRegistros[Data],$L354)&gt;$D$4,"",IFERROR(INDEX(tblRegistros[Base],$L354),"")))</f>
        <v/>
      </c>
      <c r="H354" s="3" t="str">
        <f>IF($L354="","",IF(INDEX(tblRegistros[Data],$L354)&gt;$D$4,"",IFERROR(INDEX(tblRegistros[Taxa aplicada],$L354),"")))</f>
        <v/>
      </c>
      <c r="I354" s="3" t="str">
        <f>IF($L354="","",IF(INDEX(tblRegistros[Data],$L354)&gt;$D$4,"",IFERROR(IF(INDEX(tblRegistros[Status],$L354)="EM ABERTO","",INDEX(tblRegistros[Valor],$L354)),"")))</f>
        <v/>
      </c>
      <c r="J354" t="str">
        <f>IF($L354="","",IF(INDEX(tblRegistros[Data],$L354)&gt;$D$4,"",IFERROR(INDEX(tblRegistros[Status],$L354),"")))</f>
        <v/>
      </c>
      <c r="K354" t="str">
        <f>IF($L354="","",IF(INDEX(tblRegistros[Data],$L354)&gt;$D$4,"",IFERROR(INDEX(tblRegistros[Observação],$L354),"")))</f>
        <v/>
      </c>
      <c r="L354" s="16" t="str">
        <f>IFERROR(MATCH($B$3*100000+COUNTIFS(tblRegistros[ID],$B$3,tblRegistros[Data],"&lt;"&amp;$B$4)+ROWS($L$10:L354),tblRegistros[Chave do cartão],0),"")</f>
        <v/>
      </c>
    </row>
    <row r="355" spans="1:12">
      <c r="A355" s="2" t="str">
        <f>IF($L355="","",IF(INDEX(tblRegistros[Data],$L355)&gt;$D$4,"",IFERROR(INDEX(tblRegistros[Data],$L355),"")))</f>
        <v/>
      </c>
      <c r="B355" t="str">
        <f>IF($L355="","",IF(INDEX(tblRegistros[Data],$L355)&gt;$D$4,"",IFERROR(INDEX(tblRegistros[Projeto],$L355),"")))</f>
        <v/>
      </c>
      <c r="C355" t="str">
        <f>IF($L355="","",IF(INDEX(tblRegistros[Data],$L355)&gt;$D$4,"",IFERROR(INDEX(tblRegistros[Atividade],$L355),"")))</f>
        <v/>
      </c>
      <c r="D355" s="4" t="str">
        <f>IF($L355="","",IF(INDEX(tblRegistros[Data],$L355)&gt;$D$4,"",IFERROR(INDEX(tblRegistros[Início],$L355),"")))</f>
        <v/>
      </c>
      <c r="E355" s="4" t="str">
        <f>IF($L355="","",IF(INDEX(tblRegistros[Data],$L355)&gt;$D$4,"",IFERROR(IF(INDEX(tblRegistros[Status],$L355)="EM ABERTO","",INDEX(tblRegistros[Fim],$L355)),"")))</f>
        <v/>
      </c>
      <c r="F355" s="14" t="str">
        <f>IF($L355="","",IF(INDEX(tblRegistros[Data],$L355)&gt;$D$4,"",IFERROR(IF(INDEX(tblRegistros[Status],$L355)="EM ABERTO","",INDEX(tblRegistros[Horas],$L355)),"")))</f>
        <v/>
      </c>
      <c r="G355" t="str">
        <f>IF($L355="","",IF(INDEX(tblRegistros[Data],$L355)&gt;$D$4,"",IFERROR(INDEX(tblRegistros[Base],$L355),"")))</f>
        <v/>
      </c>
      <c r="H355" s="3" t="str">
        <f>IF($L355="","",IF(INDEX(tblRegistros[Data],$L355)&gt;$D$4,"",IFERROR(INDEX(tblRegistros[Taxa aplicada],$L355),"")))</f>
        <v/>
      </c>
      <c r="I355" s="3" t="str">
        <f>IF($L355="","",IF(INDEX(tblRegistros[Data],$L355)&gt;$D$4,"",IFERROR(IF(INDEX(tblRegistros[Status],$L355)="EM ABERTO","",INDEX(tblRegistros[Valor],$L355)),"")))</f>
        <v/>
      </c>
      <c r="J355" t="str">
        <f>IF($L355="","",IF(INDEX(tblRegistros[Data],$L355)&gt;$D$4,"",IFERROR(INDEX(tblRegistros[Status],$L355),"")))</f>
        <v/>
      </c>
      <c r="K355" t="str">
        <f>IF($L355="","",IF(INDEX(tblRegistros[Data],$L355)&gt;$D$4,"",IFERROR(INDEX(tblRegistros[Observação],$L355),"")))</f>
        <v/>
      </c>
      <c r="L355" s="16" t="str">
        <f>IFERROR(MATCH($B$3*100000+COUNTIFS(tblRegistros[ID],$B$3,tblRegistros[Data],"&lt;"&amp;$B$4)+ROWS($L$10:L355),tblRegistros[Chave do cartão],0),"")</f>
        <v/>
      </c>
    </row>
    <row r="356" spans="1:12">
      <c r="A356" s="2" t="str">
        <f>IF($L356="","",IF(INDEX(tblRegistros[Data],$L356)&gt;$D$4,"",IFERROR(INDEX(tblRegistros[Data],$L356),"")))</f>
        <v/>
      </c>
      <c r="B356" t="str">
        <f>IF($L356="","",IF(INDEX(tblRegistros[Data],$L356)&gt;$D$4,"",IFERROR(INDEX(tblRegistros[Projeto],$L356),"")))</f>
        <v/>
      </c>
      <c r="C356" t="str">
        <f>IF($L356="","",IF(INDEX(tblRegistros[Data],$L356)&gt;$D$4,"",IFERROR(INDEX(tblRegistros[Atividade],$L356),"")))</f>
        <v/>
      </c>
      <c r="D356" s="4" t="str">
        <f>IF($L356="","",IF(INDEX(tblRegistros[Data],$L356)&gt;$D$4,"",IFERROR(INDEX(tblRegistros[Início],$L356),"")))</f>
        <v/>
      </c>
      <c r="E356" s="4" t="str">
        <f>IF($L356="","",IF(INDEX(tblRegistros[Data],$L356)&gt;$D$4,"",IFERROR(IF(INDEX(tblRegistros[Status],$L356)="EM ABERTO","",INDEX(tblRegistros[Fim],$L356)),"")))</f>
        <v/>
      </c>
      <c r="F356" s="14" t="str">
        <f>IF($L356="","",IF(INDEX(tblRegistros[Data],$L356)&gt;$D$4,"",IFERROR(IF(INDEX(tblRegistros[Status],$L356)="EM ABERTO","",INDEX(tblRegistros[Horas],$L356)),"")))</f>
        <v/>
      </c>
      <c r="G356" t="str">
        <f>IF($L356="","",IF(INDEX(tblRegistros[Data],$L356)&gt;$D$4,"",IFERROR(INDEX(tblRegistros[Base],$L356),"")))</f>
        <v/>
      </c>
      <c r="H356" s="3" t="str">
        <f>IF($L356="","",IF(INDEX(tblRegistros[Data],$L356)&gt;$D$4,"",IFERROR(INDEX(tblRegistros[Taxa aplicada],$L356),"")))</f>
        <v/>
      </c>
      <c r="I356" s="3" t="str">
        <f>IF($L356="","",IF(INDEX(tblRegistros[Data],$L356)&gt;$D$4,"",IFERROR(IF(INDEX(tblRegistros[Status],$L356)="EM ABERTO","",INDEX(tblRegistros[Valor],$L356)),"")))</f>
        <v/>
      </c>
      <c r="J356" t="str">
        <f>IF($L356="","",IF(INDEX(tblRegistros[Data],$L356)&gt;$D$4,"",IFERROR(INDEX(tblRegistros[Status],$L356),"")))</f>
        <v/>
      </c>
      <c r="K356" t="str">
        <f>IF($L356="","",IF(INDEX(tblRegistros[Data],$L356)&gt;$D$4,"",IFERROR(INDEX(tblRegistros[Observação],$L356),"")))</f>
        <v/>
      </c>
      <c r="L356" s="16" t="str">
        <f>IFERROR(MATCH($B$3*100000+COUNTIFS(tblRegistros[ID],$B$3,tblRegistros[Data],"&lt;"&amp;$B$4)+ROWS($L$10:L356),tblRegistros[Chave do cartão],0),"")</f>
        <v/>
      </c>
    </row>
    <row r="357" spans="1:12">
      <c r="A357" s="2" t="str">
        <f>IF($L357="","",IF(INDEX(tblRegistros[Data],$L357)&gt;$D$4,"",IFERROR(INDEX(tblRegistros[Data],$L357),"")))</f>
        <v/>
      </c>
      <c r="B357" t="str">
        <f>IF($L357="","",IF(INDEX(tblRegistros[Data],$L357)&gt;$D$4,"",IFERROR(INDEX(tblRegistros[Projeto],$L357),"")))</f>
        <v/>
      </c>
      <c r="C357" t="str">
        <f>IF($L357="","",IF(INDEX(tblRegistros[Data],$L357)&gt;$D$4,"",IFERROR(INDEX(tblRegistros[Atividade],$L357),"")))</f>
        <v/>
      </c>
      <c r="D357" s="4" t="str">
        <f>IF($L357="","",IF(INDEX(tblRegistros[Data],$L357)&gt;$D$4,"",IFERROR(INDEX(tblRegistros[Início],$L357),"")))</f>
        <v/>
      </c>
      <c r="E357" s="4" t="str">
        <f>IF($L357="","",IF(INDEX(tblRegistros[Data],$L357)&gt;$D$4,"",IFERROR(IF(INDEX(tblRegistros[Status],$L357)="EM ABERTO","",INDEX(tblRegistros[Fim],$L357)),"")))</f>
        <v/>
      </c>
      <c r="F357" s="14" t="str">
        <f>IF($L357="","",IF(INDEX(tblRegistros[Data],$L357)&gt;$D$4,"",IFERROR(IF(INDEX(tblRegistros[Status],$L357)="EM ABERTO","",INDEX(tblRegistros[Horas],$L357)),"")))</f>
        <v/>
      </c>
      <c r="G357" t="str">
        <f>IF($L357="","",IF(INDEX(tblRegistros[Data],$L357)&gt;$D$4,"",IFERROR(INDEX(tblRegistros[Base],$L357),"")))</f>
        <v/>
      </c>
      <c r="H357" s="3" t="str">
        <f>IF($L357="","",IF(INDEX(tblRegistros[Data],$L357)&gt;$D$4,"",IFERROR(INDEX(tblRegistros[Taxa aplicada],$L357),"")))</f>
        <v/>
      </c>
      <c r="I357" s="3" t="str">
        <f>IF($L357="","",IF(INDEX(tblRegistros[Data],$L357)&gt;$D$4,"",IFERROR(IF(INDEX(tblRegistros[Status],$L357)="EM ABERTO","",INDEX(tblRegistros[Valor],$L357)),"")))</f>
        <v/>
      </c>
      <c r="J357" t="str">
        <f>IF($L357="","",IF(INDEX(tblRegistros[Data],$L357)&gt;$D$4,"",IFERROR(INDEX(tblRegistros[Status],$L357),"")))</f>
        <v/>
      </c>
      <c r="K357" t="str">
        <f>IF($L357="","",IF(INDEX(tblRegistros[Data],$L357)&gt;$D$4,"",IFERROR(INDEX(tblRegistros[Observação],$L357),"")))</f>
        <v/>
      </c>
      <c r="L357" s="16" t="str">
        <f>IFERROR(MATCH($B$3*100000+COUNTIFS(tblRegistros[ID],$B$3,tblRegistros[Data],"&lt;"&amp;$B$4)+ROWS($L$10:L357),tblRegistros[Chave do cartão],0),"")</f>
        <v/>
      </c>
    </row>
    <row r="358" spans="1:12">
      <c r="A358" s="2" t="str">
        <f>IF($L358="","",IF(INDEX(tblRegistros[Data],$L358)&gt;$D$4,"",IFERROR(INDEX(tblRegistros[Data],$L358),"")))</f>
        <v/>
      </c>
      <c r="B358" t="str">
        <f>IF($L358="","",IF(INDEX(tblRegistros[Data],$L358)&gt;$D$4,"",IFERROR(INDEX(tblRegistros[Projeto],$L358),"")))</f>
        <v/>
      </c>
      <c r="C358" t="str">
        <f>IF($L358="","",IF(INDEX(tblRegistros[Data],$L358)&gt;$D$4,"",IFERROR(INDEX(tblRegistros[Atividade],$L358),"")))</f>
        <v/>
      </c>
      <c r="D358" s="4" t="str">
        <f>IF($L358="","",IF(INDEX(tblRegistros[Data],$L358)&gt;$D$4,"",IFERROR(INDEX(tblRegistros[Início],$L358),"")))</f>
        <v/>
      </c>
      <c r="E358" s="4" t="str">
        <f>IF($L358="","",IF(INDEX(tblRegistros[Data],$L358)&gt;$D$4,"",IFERROR(IF(INDEX(tblRegistros[Status],$L358)="EM ABERTO","",INDEX(tblRegistros[Fim],$L358)),"")))</f>
        <v/>
      </c>
      <c r="F358" s="14" t="str">
        <f>IF($L358="","",IF(INDEX(tblRegistros[Data],$L358)&gt;$D$4,"",IFERROR(IF(INDEX(tblRegistros[Status],$L358)="EM ABERTO","",INDEX(tblRegistros[Horas],$L358)),"")))</f>
        <v/>
      </c>
      <c r="G358" t="str">
        <f>IF($L358="","",IF(INDEX(tblRegistros[Data],$L358)&gt;$D$4,"",IFERROR(INDEX(tblRegistros[Base],$L358),"")))</f>
        <v/>
      </c>
      <c r="H358" s="3" t="str">
        <f>IF($L358="","",IF(INDEX(tblRegistros[Data],$L358)&gt;$D$4,"",IFERROR(INDEX(tblRegistros[Taxa aplicada],$L358),"")))</f>
        <v/>
      </c>
      <c r="I358" s="3" t="str">
        <f>IF($L358="","",IF(INDEX(tblRegistros[Data],$L358)&gt;$D$4,"",IFERROR(IF(INDEX(tblRegistros[Status],$L358)="EM ABERTO","",INDEX(tblRegistros[Valor],$L358)),"")))</f>
        <v/>
      </c>
      <c r="J358" t="str">
        <f>IF($L358="","",IF(INDEX(tblRegistros[Data],$L358)&gt;$D$4,"",IFERROR(INDEX(tblRegistros[Status],$L358),"")))</f>
        <v/>
      </c>
      <c r="K358" t="str">
        <f>IF($L358="","",IF(INDEX(tblRegistros[Data],$L358)&gt;$D$4,"",IFERROR(INDEX(tblRegistros[Observação],$L358),"")))</f>
        <v/>
      </c>
      <c r="L358" s="16" t="str">
        <f>IFERROR(MATCH($B$3*100000+COUNTIFS(tblRegistros[ID],$B$3,tblRegistros[Data],"&lt;"&amp;$B$4)+ROWS($L$10:L358),tblRegistros[Chave do cartão],0),"")</f>
        <v/>
      </c>
    </row>
    <row r="359" spans="1:12">
      <c r="A359" s="2" t="str">
        <f>IF($L359="","",IF(INDEX(tblRegistros[Data],$L359)&gt;$D$4,"",IFERROR(INDEX(tblRegistros[Data],$L359),"")))</f>
        <v/>
      </c>
      <c r="B359" t="str">
        <f>IF($L359="","",IF(INDEX(tblRegistros[Data],$L359)&gt;$D$4,"",IFERROR(INDEX(tblRegistros[Projeto],$L359),"")))</f>
        <v/>
      </c>
      <c r="C359" t="str">
        <f>IF($L359="","",IF(INDEX(tblRegistros[Data],$L359)&gt;$D$4,"",IFERROR(INDEX(tblRegistros[Atividade],$L359),"")))</f>
        <v/>
      </c>
      <c r="D359" s="4" t="str">
        <f>IF($L359="","",IF(INDEX(tblRegistros[Data],$L359)&gt;$D$4,"",IFERROR(INDEX(tblRegistros[Início],$L359),"")))</f>
        <v/>
      </c>
      <c r="E359" s="4" t="str">
        <f>IF($L359="","",IF(INDEX(tblRegistros[Data],$L359)&gt;$D$4,"",IFERROR(IF(INDEX(tblRegistros[Status],$L359)="EM ABERTO","",INDEX(tblRegistros[Fim],$L359)),"")))</f>
        <v/>
      </c>
      <c r="F359" s="14" t="str">
        <f>IF($L359="","",IF(INDEX(tblRegistros[Data],$L359)&gt;$D$4,"",IFERROR(IF(INDEX(tblRegistros[Status],$L359)="EM ABERTO","",INDEX(tblRegistros[Horas],$L359)),"")))</f>
        <v/>
      </c>
      <c r="G359" t="str">
        <f>IF($L359="","",IF(INDEX(tblRegistros[Data],$L359)&gt;$D$4,"",IFERROR(INDEX(tblRegistros[Base],$L359),"")))</f>
        <v/>
      </c>
      <c r="H359" s="3" t="str">
        <f>IF($L359="","",IF(INDEX(tblRegistros[Data],$L359)&gt;$D$4,"",IFERROR(INDEX(tblRegistros[Taxa aplicada],$L359),"")))</f>
        <v/>
      </c>
      <c r="I359" s="3" t="str">
        <f>IF($L359="","",IF(INDEX(tblRegistros[Data],$L359)&gt;$D$4,"",IFERROR(IF(INDEX(tblRegistros[Status],$L359)="EM ABERTO","",INDEX(tblRegistros[Valor],$L359)),"")))</f>
        <v/>
      </c>
      <c r="J359" t="str">
        <f>IF($L359="","",IF(INDEX(tblRegistros[Data],$L359)&gt;$D$4,"",IFERROR(INDEX(tblRegistros[Status],$L359),"")))</f>
        <v/>
      </c>
      <c r="K359" t="str">
        <f>IF($L359="","",IF(INDEX(tblRegistros[Data],$L359)&gt;$D$4,"",IFERROR(INDEX(tblRegistros[Observação],$L359),"")))</f>
        <v/>
      </c>
      <c r="L359" s="16" t="str">
        <f>IFERROR(MATCH($B$3*100000+COUNTIFS(tblRegistros[ID],$B$3,tblRegistros[Data],"&lt;"&amp;$B$4)+ROWS($L$10:L359),tblRegistros[Chave do cartão],0),"")</f>
        <v/>
      </c>
    </row>
    <row r="360" spans="1:12">
      <c r="A360" s="2" t="str">
        <f>IF($L360="","",IF(INDEX(tblRegistros[Data],$L360)&gt;$D$4,"",IFERROR(INDEX(tblRegistros[Data],$L360),"")))</f>
        <v/>
      </c>
      <c r="B360" t="str">
        <f>IF($L360="","",IF(INDEX(tblRegistros[Data],$L360)&gt;$D$4,"",IFERROR(INDEX(tblRegistros[Projeto],$L360),"")))</f>
        <v/>
      </c>
      <c r="C360" t="str">
        <f>IF($L360="","",IF(INDEX(tblRegistros[Data],$L360)&gt;$D$4,"",IFERROR(INDEX(tblRegistros[Atividade],$L360),"")))</f>
        <v/>
      </c>
      <c r="D360" s="4" t="str">
        <f>IF($L360="","",IF(INDEX(tblRegistros[Data],$L360)&gt;$D$4,"",IFERROR(INDEX(tblRegistros[Início],$L360),"")))</f>
        <v/>
      </c>
      <c r="E360" s="4" t="str">
        <f>IF($L360="","",IF(INDEX(tblRegistros[Data],$L360)&gt;$D$4,"",IFERROR(IF(INDEX(tblRegistros[Status],$L360)="EM ABERTO","",INDEX(tblRegistros[Fim],$L360)),"")))</f>
        <v/>
      </c>
      <c r="F360" s="14" t="str">
        <f>IF($L360="","",IF(INDEX(tblRegistros[Data],$L360)&gt;$D$4,"",IFERROR(IF(INDEX(tblRegistros[Status],$L360)="EM ABERTO","",INDEX(tblRegistros[Horas],$L360)),"")))</f>
        <v/>
      </c>
      <c r="G360" t="str">
        <f>IF($L360="","",IF(INDEX(tblRegistros[Data],$L360)&gt;$D$4,"",IFERROR(INDEX(tblRegistros[Base],$L360),"")))</f>
        <v/>
      </c>
      <c r="H360" s="3" t="str">
        <f>IF($L360="","",IF(INDEX(tblRegistros[Data],$L360)&gt;$D$4,"",IFERROR(INDEX(tblRegistros[Taxa aplicada],$L360),"")))</f>
        <v/>
      </c>
      <c r="I360" s="3" t="str">
        <f>IF($L360="","",IF(INDEX(tblRegistros[Data],$L360)&gt;$D$4,"",IFERROR(IF(INDEX(tblRegistros[Status],$L360)="EM ABERTO","",INDEX(tblRegistros[Valor],$L360)),"")))</f>
        <v/>
      </c>
      <c r="J360" t="str">
        <f>IF($L360="","",IF(INDEX(tblRegistros[Data],$L360)&gt;$D$4,"",IFERROR(INDEX(tblRegistros[Status],$L360),"")))</f>
        <v/>
      </c>
      <c r="K360" t="str">
        <f>IF($L360="","",IF(INDEX(tblRegistros[Data],$L360)&gt;$D$4,"",IFERROR(INDEX(tblRegistros[Observação],$L360),"")))</f>
        <v/>
      </c>
      <c r="L360" s="16" t="str">
        <f>IFERROR(MATCH($B$3*100000+COUNTIFS(tblRegistros[ID],$B$3,tblRegistros[Data],"&lt;"&amp;$B$4)+ROWS($L$10:L360),tblRegistros[Chave do cartão],0),"")</f>
        <v/>
      </c>
    </row>
    <row r="361" spans="1:12">
      <c r="A361" s="2" t="str">
        <f>IF($L361="","",IF(INDEX(tblRegistros[Data],$L361)&gt;$D$4,"",IFERROR(INDEX(tblRegistros[Data],$L361),"")))</f>
        <v/>
      </c>
      <c r="B361" t="str">
        <f>IF($L361="","",IF(INDEX(tblRegistros[Data],$L361)&gt;$D$4,"",IFERROR(INDEX(tblRegistros[Projeto],$L361),"")))</f>
        <v/>
      </c>
      <c r="C361" t="str">
        <f>IF($L361="","",IF(INDEX(tblRegistros[Data],$L361)&gt;$D$4,"",IFERROR(INDEX(tblRegistros[Atividade],$L361),"")))</f>
        <v/>
      </c>
      <c r="D361" s="4" t="str">
        <f>IF($L361="","",IF(INDEX(tblRegistros[Data],$L361)&gt;$D$4,"",IFERROR(INDEX(tblRegistros[Início],$L361),"")))</f>
        <v/>
      </c>
      <c r="E361" s="4" t="str">
        <f>IF($L361="","",IF(INDEX(tblRegistros[Data],$L361)&gt;$D$4,"",IFERROR(IF(INDEX(tblRegistros[Status],$L361)="EM ABERTO","",INDEX(tblRegistros[Fim],$L361)),"")))</f>
        <v/>
      </c>
      <c r="F361" s="14" t="str">
        <f>IF($L361="","",IF(INDEX(tblRegistros[Data],$L361)&gt;$D$4,"",IFERROR(IF(INDEX(tblRegistros[Status],$L361)="EM ABERTO","",INDEX(tblRegistros[Horas],$L361)),"")))</f>
        <v/>
      </c>
      <c r="G361" t="str">
        <f>IF($L361="","",IF(INDEX(tblRegistros[Data],$L361)&gt;$D$4,"",IFERROR(INDEX(tblRegistros[Base],$L361),"")))</f>
        <v/>
      </c>
      <c r="H361" s="3" t="str">
        <f>IF($L361="","",IF(INDEX(tblRegistros[Data],$L361)&gt;$D$4,"",IFERROR(INDEX(tblRegistros[Taxa aplicada],$L361),"")))</f>
        <v/>
      </c>
      <c r="I361" s="3" t="str">
        <f>IF($L361="","",IF(INDEX(tblRegistros[Data],$L361)&gt;$D$4,"",IFERROR(IF(INDEX(tblRegistros[Status],$L361)="EM ABERTO","",INDEX(tblRegistros[Valor],$L361)),"")))</f>
        <v/>
      </c>
      <c r="J361" t="str">
        <f>IF($L361="","",IF(INDEX(tblRegistros[Data],$L361)&gt;$D$4,"",IFERROR(INDEX(tblRegistros[Status],$L361),"")))</f>
        <v/>
      </c>
      <c r="K361" t="str">
        <f>IF($L361="","",IF(INDEX(tblRegistros[Data],$L361)&gt;$D$4,"",IFERROR(INDEX(tblRegistros[Observação],$L361),"")))</f>
        <v/>
      </c>
      <c r="L361" s="16" t="str">
        <f>IFERROR(MATCH($B$3*100000+COUNTIFS(tblRegistros[ID],$B$3,tblRegistros[Data],"&lt;"&amp;$B$4)+ROWS($L$10:L361),tblRegistros[Chave do cartão],0),"")</f>
        <v/>
      </c>
    </row>
    <row r="362" spans="1:12">
      <c r="A362" s="2" t="str">
        <f>IF($L362="","",IF(INDEX(tblRegistros[Data],$L362)&gt;$D$4,"",IFERROR(INDEX(tblRegistros[Data],$L362),"")))</f>
        <v/>
      </c>
      <c r="B362" t="str">
        <f>IF($L362="","",IF(INDEX(tblRegistros[Data],$L362)&gt;$D$4,"",IFERROR(INDEX(tblRegistros[Projeto],$L362),"")))</f>
        <v/>
      </c>
      <c r="C362" t="str">
        <f>IF($L362="","",IF(INDEX(tblRegistros[Data],$L362)&gt;$D$4,"",IFERROR(INDEX(tblRegistros[Atividade],$L362),"")))</f>
        <v/>
      </c>
      <c r="D362" s="4" t="str">
        <f>IF($L362="","",IF(INDEX(tblRegistros[Data],$L362)&gt;$D$4,"",IFERROR(INDEX(tblRegistros[Início],$L362),"")))</f>
        <v/>
      </c>
      <c r="E362" s="4" t="str">
        <f>IF($L362="","",IF(INDEX(tblRegistros[Data],$L362)&gt;$D$4,"",IFERROR(IF(INDEX(tblRegistros[Status],$L362)="EM ABERTO","",INDEX(tblRegistros[Fim],$L362)),"")))</f>
        <v/>
      </c>
      <c r="F362" s="14" t="str">
        <f>IF($L362="","",IF(INDEX(tblRegistros[Data],$L362)&gt;$D$4,"",IFERROR(IF(INDEX(tblRegistros[Status],$L362)="EM ABERTO","",INDEX(tblRegistros[Horas],$L362)),"")))</f>
        <v/>
      </c>
      <c r="G362" t="str">
        <f>IF($L362="","",IF(INDEX(tblRegistros[Data],$L362)&gt;$D$4,"",IFERROR(INDEX(tblRegistros[Base],$L362),"")))</f>
        <v/>
      </c>
      <c r="H362" s="3" t="str">
        <f>IF($L362="","",IF(INDEX(tblRegistros[Data],$L362)&gt;$D$4,"",IFERROR(INDEX(tblRegistros[Taxa aplicada],$L362),"")))</f>
        <v/>
      </c>
      <c r="I362" s="3" t="str">
        <f>IF($L362="","",IF(INDEX(tblRegistros[Data],$L362)&gt;$D$4,"",IFERROR(IF(INDEX(tblRegistros[Status],$L362)="EM ABERTO","",INDEX(tblRegistros[Valor],$L362)),"")))</f>
        <v/>
      </c>
      <c r="J362" t="str">
        <f>IF($L362="","",IF(INDEX(tblRegistros[Data],$L362)&gt;$D$4,"",IFERROR(INDEX(tblRegistros[Status],$L362),"")))</f>
        <v/>
      </c>
      <c r="K362" t="str">
        <f>IF($L362="","",IF(INDEX(tblRegistros[Data],$L362)&gt;$D$4,"",IFERROR(INDEX(tblRegistros[Observação],$L362),"")))</f>
        <v/>
      </c>
      <c r="L362" s="16" t="str">
        <f>IFERROR(MATCH($B$3*100000+COUNTIFS(tblRegistros[ID],$B$3,tblRegistros[Data],"&lt;"&amp;$B$4)+ROWS($L$10:L362),tblRegistros[Chave do cartão],0),"")</f>
        <v/>
      </c>
    </row>
    <row r="363" spans="1:12">
      <c r="A363" s="2" t="str">
        <f>IF($L363="","",IF(INDEX(tblRegistros[Data],$L363)&gt;$D$4,"",IFERROR(INDEX(tblRegistros[Data],$L363),"")))</f>
        <v/>
      </c>
      <c r="B363" t="str">
        <f>IF($L363="","",IF(INDEX(tblRegistros[Data],$L363)&gt;$D$4,"",IFERROR(INDEX(tblRegistros[Projeto],$L363),"")))</f>
        <v/>
      </c>
      <c r="C363" t="str">
        <f>IF($L363="","",IF(INDEX(tblRegistros[Data],$L363)&gt;$D$4,"",IFERROR(INDEX(tblRegistros[Atividade],$L363),"")))</f>
        <v/>
      </c>
      <c r="D363" s="4" t="str">
        <f>IF($L363="","",IF(INDEX(tblRegistros[Data],$L363)&gt;$D$4,"",IFERROR(INDEX(tblRegistros[Início],$L363),"")))</f>
        <v/>
      </c>
      <c r="E363" s="4" t="str">
        <f>IF($L363="","",IF(INDEX(tblRegistros[Data],$L363)&gt;$D$4,"",IFERROR(IF(INDEX(tblRegistros[Status],$L363)="EM ABERTO","",INDEX(tblRegistros[Fim],$L363)),"")))</f>
        <v/>
      </c>
      <c r="F363" s="14" t="str">
        <f>IF($L363="","",IF(INDEX(tblRegistros[Data],$L363)&gt;$D$4,"",IFERROR(IF(INDEX(tblRegistros[Status],$L363)="EM ABERTO","",INDEX(tblRegistros[Horas],$L363)),"")))</f>
        <v/>
      </c>
      <c r="G363" t="str">
        <f>IF($L363="","",IF(INDEX(tblRegistros[Data],$L363)&gt;$D$4,"",IFERROR(INDEX(tblRegistros[Base],$L363),"")))</f>
        <v/>
      </c>
      <c r="H363" s="3" t="str">
        <f>IF($L363="","",IF(INDEX(tblRegistros[Data],$L363)&gt;$D$4,"",IFERROR(INDEX(tblRegistros[Taxa aplicada],$L363),"")))</f>
        <v/>
      </c>
      <c r="I363" s="3" t="str">
        <f>IF($L363="","",IF(INDEX(tblRegistros[Data],$L363)&gt;$D$4,"",IFERROR(IF(INDEX(tblRegistros[Status],$L363)="EM ABERTO","",INDEX(tblRegistros[Valor],$L363)),"")))</f>
        <v/>
      </c>
      <c r="J363" t="str">
        <f>IF($L363="","",IF(INDEX(tblRegistros[Data],$L363)&gt;$D$4,"",IFERROR(INDEX(tblRegistros[Status],$L363),"")))</f>
        <v/>
      </c>
      <c r="K363" t="str">
        <f>IF($L363="","",IF(INDEX(tblRegistros[Data],$L363)&gt;$D$4,"",IFERROR(INDEX(tblRegistros[Observação],$L363),"")))</f>
        <v/>
      </c>
      <c r="L363" s="16" t="str">
        <f>IFERROR(MATCH($B$3*100000+COUNTIFS(tblRegistros[ID],$B$3,tblRegistros[Data],"&lt;"&amp;$B$4)+ROWS($L$10:L363),tblRegistros[Chave do cartão],0),"")</f>
        <v/>
      </c>
    </row>
    <row r="364" spans="1:12">
      <c r="A364" s="2" t="str">
        <f>IF($L364="","",IF(INDEX(tblRegistros[Data],$L364)&gt;$D$4,"",IFERROR(INDEX(tblRegistros[Data],$L364),"")))</f>
        <v/>
      </c>
      <c r="B364" t="str">
        <f>IF($L364="","",IF(INDEX(tblRegistros[Data],$L364)&gt;$D$4,"",IFERROR(INDEX(tblRegistros[Projeto],$L364),"")))</f>
        <v/>
      </c>
      <c r="C364" t="str">
        <f>IF($L364="","",IF(INDEX(tblRegistros[Data],$L364)&gt;$D$4,"",IFERROR(INDEX(tblRegistros[Atividade],$L364),"")))</f>
        <v/>
      </c>
      <c r="D364" s="4" t="str">
        <f>IF($L364="","",IF(INDEX(tblRegistros[Data],$L364)&gt;$D$4,"",IFERROR(INDEX(tblRegistros[Início],$L364),"")))</f>
        <v/>
      </c>
      <c r="E364" s="4" t="str">
        <f>IF($L364="","",IF(INDEX(tblRegistros[Data],$L364)&gt;$D$4,"",IFERROR(IF(INDEX(tblRegistros[Status],$L364)="EM ABERTO","",INDEX(tblRegistros[Fim],$L364)),"")))</f>
        <v/>
      </c>
      <c r="F364" s="14" t="str">
        <f>IF($L364="","",IF(INDEX(tblRegistros[Data],$L364)&gt;$D$4,"",IFERROR(IF(INDEX(tblRegistros[Status],$L364)="EM ABERTO","",INDEX(tblRegistros[Horas],$L364)),"")))</f>
        <v/>
      </c>
      <c r="G364" t="str">
        <f>IF($L364="","",IF(INDEX(tblRegistros[Data],$L364)&gt;$D$4,"",IFERROR(INDEX(tblRegistros[Base],$L364),"")))</f>
        <v/>
      </c>
      <c r="H364" s="3" t="str">
        <f>IF($L364="","",IF(INDEX(tblRegistros[Data],$L364)&gt;$D$4,"",IFERROR(INDEX(tblRegistros[Taxa aplicada],$L364),"")))</f>
        <v/>
      </c>
      <c r="I364" s="3" t="str">
        <f>IF($L364="","",IF(INDEX(tblRegistros[Data],$L364)&gt;$D$4,"",IFERROR(IF(INDEX(tblRegistros[Status],$L364)="EM ABERTO","",INDEX(tblRegistros[Valor],$L364)),"")))</f>
        <v/>
      </c>
      <c r="J364" t="str">
        <f>IF($L364="","",IF(INDEX(tblRegistros[Data],$L364)&gt;$D$4,"",IFERROR(INDEX(tblRegistros[Status],$L364),"")))</f>
        <v/>
      </c>
      <c r="K364" t="str">
        <f>IF($L364="","",IF(INDEX(tblRegistros[Data],$L364)&gt;$D$4,"",IFERROR(INDEX(tblRegistros[Observação],$L364),"")))</f>
        <v/>
      </c>
      <c r="L364" s="16" t="str">
        <f>IFERROR(MATCH($B$3*100000+COUNTIFS(tblRegistros[ID],$B$3,tblRegistros[Data],"&lt;"&amp;$B$4)+ROWS($L$10:L364),tblRegistros[Chave do cartão],0),"")</f>
        <v/>
      </c>
    </row>
    <row r="365" spans="1:12">
      <c r="A365" s="2" t="str">
        <f>IF($L365="","",IF(INDEX(tblRegistros[Data],$L365)&gt;$D$4,"",IFERROR(INDEX(tblRegistros[Data],$L365),"")))</f>
        <v/>
      </c>
      <c r="B365" t="str">
        <f>IF($L365="","",IF(INDEX(tblRegistros[Data],$L365)&gt;$D$4,"",IFERROR(INDEX(tblRegistros[Projeto],$L365),"")))</f>
        <v/>
      </c>
      <c r="C365" t="str">
        <f>IF($L365="","",IF(INDEX(tblRegistros[Data],$L365)&gt;$D$4,"",IFERROR(INDEX(tblRegistros[Atividade],$L365),"")))</f>
        <v/>
      </c>
      <c r="D365" s="4" t="str">
        <f>IF($L365="","",IF(INDEX(tblRegistros[Data],$L365)&gt;$D$4,"",IFERROR(INDEX(tblRegistros[Início],$L365),"")))</f>
        <v/>
      </c>
      <c r="E365" s="4" t="str">
        <f>IF($L365="","",IF(INDEX(tblRegistros[Data],$L365)&gt;$D$4,"",IFERROR(IF(INDEX(tblRegistros[Status],$L365)="EM ABERTO","",INDEX(tblRegistros[Fim],$L365)),"")))</f>
        <v/>
      </c>
      <c r="F365" s="14" t="str">
        <f>IF($L365="","",IF(INDEX(tblRegistros[Data],$L365)&gt;$D$4,"",IFERROR(IF(INDEX(tblRegistros[Status],$L365)="EM ABERTO","",INDEX(tblRegistros[Horas],$L365)),"")))</f>
        <v/>
      </c>
      <c r="G365" t="str">
        <f>IF($L365="","",IF(INDEX(tblRegistros[Data],$L365)&gt;$D$4,"",IFERROR(INDEX(tblRegistros[Base],$L365),"")))</f>
        <v/>
      </c>
      <c r="H365" s="3" t="str">
        <f>IF($L365="","",IF(INDEX(tblRegistros[Data],$L365)&gt;$D$4,"",IFERROR(INDEX(tblRegistros[Taxa aplicada],$L365),"")))</f>
        <v/>
      </c>
      <c r="I365" s="3" t="str">
        <f>IF($L365="","",IF(INDEX(tblRegistros[Data],$L365)&gt;$D$4,"",IFERROR(IF(INDEX(tblRegistros[Status],$L365)="EM ABERTO","",INDEX(tblRegistros[Valor],$L365)),"")))</f>
        <v/>
      </c>
      <c r="J365" t="str">
        <f>IF($L365="","",IF(INDEX(tblRegistros[Data],$L365)&gt;$D$4,"",IFERROR(INDEX(tblRegistros[Status],$L365),"")))</f>
        <v/>
      </c>
      <c r="K365" t="str">
        <f>IF($L365="","",IF(INDEX(tblRegistros[Data],$L365)&gt;$D$4,"",IFERROR(INDEX(tblRegistros[Observação],$L365),"")))</f>
        <v/>
      </c>
      <c r="L365" s="16" t="str">
        <f>IFERROR(MATCH($B$3*100000+COUNTIFS(tblRegistros[ID],$B$3,tblRegistros[Data],"&lt;"&amp;$B$4)+ROWS($L$10:L365),tblRegistros[Chave do cartão],0),"")</f>
        <v/>
      </c>
    </row>
    <row r="366" spans="1:12">
      <c r="A366" s="2" t="str">
        <f>IF($L366="","",IF(INDEX(tblRegistros[Data],$L366)&gt;$D$4,"",IFERROR(INDEX(tblRegistros[Data],$L366),"")))</f>
        <v/>
      </c>
      <c r="B366" t="str">
        <f>IF($L366="","",IF(INDEX(tblRegistros[Data],$L366)&gt;$D$4,"",IFERROR(INDEX(tblRegistros[Projeto],$L366),"")))</f>
        <v/>
      </c>
      <c r="C366" t="str">
        <f>IF($L366="","",IF(INDEX(tblRegistros[Data],$L366)&gt;$D$4,"",IFERROR(INDEX(tblRegistros[Atividade],$L366),"")))</f>
        <v/>
      </c>
      <c r="D366" s="4" t="str">
        <f>IF($L366="","",IF(INDEX(tblRegistros[Data],$L366)&gt;$D$4,"",IFERROR(INDEX(tblRegistros[Início],$L366),"")))</f>
        <v/>
      </c>
      <c r="E366" s="4" t="str">
        <f>IF($L366="","",IF(INDEX(tblRegistros[Data],$L366)&gt;$D$4,"",IFERROR(IF(INDEX(tblRegistros[Status],$L366)="EM ABERTO","",INDEX(tblRegistros[Fim],$L366)),"")))</f>
        <v/>
      </c>
      <c r="F366" s="14" t="str">
        <f>IF($L366="","",IF(INDEX(tblRegistros[Data],$L366)&gt;$D$4,"",IFERROR(IF(INDEX(tblRegistros[Status],$L366)="EM ABERTO","",INDEX(tblRegistros[Horas],$L366)),"")))</f>
        <v/>
      </c>
      <c r="G366" t="str">
        <f>IF($L366="","",IF(INDEX(tblRegistros[Data],$L366)&gt;$D$4,"",IFERROR(INDEX(tblRegistros[Base],$L366),"")))</f>
        <v/>
      </c>
      <c r="H366" s="3" t="str">
        <f>IF($L366="","",IF(INDEX(tblRegistros[Data],$L366)&gt;$D$4,"",IFERROR(INDEX(tblRegistros[Taxa aplicada],$L366),"")))</f>
        <v/>
      </c>
      <c r="I366" s="3" t="str">
        <f>IF($L366="","",IF(INDEX(tblRegistros[Data],$L366)&gt;$D$4,"",IFERROR(IF(INDEX(tblRegistros[Status],$L366)="EM ABERTO","",INDEX(tblRegistros[Valor],$L366)),"")))</f>
        <v/>
      </c>
      <c r="J366" t="str">
        <f>IF($L366="","",IF(INDEX(tblRegistros[Data],$L366)&gt;$D$4,"",IFERROR(INDEX(tblRegistros[Status],$L366),"")))</f>
        <v/>
      </c>
      <c r="K366" t="str">
        <f>IF($L366="","",IF(INDEX(tblRegistros[Data],$L366)&gt;$D$4,"",IFERROR(INDEX(tblRegistros[Observação],$L366),"")))</f>
        <v/>
      </c>
      <c r="L366" s="16" t="str">
        <f>IFERROR(MATCH($B$3*100000+COUNTIFS(tblRegistros[ID],$B$3,tblRegistros[Data],"&lt;"&amp;$B$4)+ROWS($L$10:L366),tblRegistros[Chave do cartão],0),"")</f>
        <v/>
      </c>
    </row>
    <row r="367" spans="1:12">
      <c r="A367" s="2" t="str">
        <f>IF($L367="","",IF(INDEX(tblRegistros[Data],$L367)&gt;$D$4,"",IFERROR(INDEX(tblRegistros[Data],$L367),"")))</f>
        <v/>
      </c>
      <c r="B367" t="str">
        <f>IF($L367="","",IF(INDEX(tblRegistros[Data],$L367)&gt;$D$4,"",IFERROR(INDEX(tblRegistros[Projeto],$L367),"")))</f>
        <v/>
      </c>
      <c r="C367" t="str">
        <f>IF($L367="","",IF(INDEX(tblRegistros[Data],$L367)&gt;$D$4,"",IFERROR(INDEX(tblRegistros[Atividade],$L367),"")))</f>
        <v/>
      </c>
      <c r="D367" s="4" t="str">
        <f>IF($L367="","",IF(INDEX(tblRegistros[Data],$L367)&gt;$D$4,"",IFERROR(INDEX(tblRegistros[Início],$L367),"")))</f>
        <v/>
      </c>
      <c r="E367" s="4" t="str">
        <f>IF($L367="","",IF(INDEX(tblRegistros[Data],$L367)&gt;$D$4,"",IFERROR(IF(INDEX(tblRegistros[Status],$L367)="EM ABERTO","",INDEX(tblRegistros[Fim],$L367)),"")))</f>
        <v/>
      </c>
      <c r="F367" s="14" t="str">
        <f>IF($L367="","",IF(INDEX(tblRegistros[Data],$L367)&gt;$D$4,"",IFERROR(IF(INDEX(tblRegistros[Status],$L367)="EM ABERTO","",INDEX(tblRegistros[Horas],$L367)),"")))</f>
        <v/>
      </c>
      <c r="G367" t="str">
        <f>IF($L367="","",IF(INDEX(tblRegistros[Data],$L367)&gt;$D$4,"",IFERROR(INDEX(tblRegistros[Base],$L367),"")))</f>
        <v/>
      </c>
      <c r="H367" s="3" t="str">
        <f>IF($L367="","",IF(INDEX(tblRegistros[Data],$L367)&gt;$D$4,"",IFERROR(INDEX(tblRegistros[Taxa aplicada],$L367),"")))</f>
        <v/>
      </c>
      <c r="I367" s="3" t="str">
        <f>IF($L367="","",IF(INDEX(tblRegistros[Data],$L367)&gt;$D$4,"",IFERROR(IF(INDEX(tblRegistros[Status],$L367)="EM ABERTO","",INDEX(tblRegistros[Valor],$L367)),"")))</f>
        <v/>
      </c>
      <c r="J367" t="str">
        <f>IF($L367="","",IF(INDEX(tblRegistros[Data],$L367)&gt;$D$4,"",IFERROR(INDEX(tblRegistros[Status],$L367),"")))</f>
        <v/>
      </c>
      <c r="K367" t="str">
        <f>IF($L367="","",IF(INDEX(tblRegistros[Data],$L367)&gt;$D$4,"",IFERROR(INDEX(tblRegistros[Observação],$L367),"")))</f>
        <v/>
      </c>
      <c r="L367" s="16" t="str">
        <f>IFERROR(MATCH($B$3*100000+COUNTIFS(tblRegistros[ID],$B$3,tblRegistros[Data],"&lt;"&amp;$B$4)+ROWS($L$10:L367),tblRegistros[Chave do cartão],0),"")</f>
        <v/>
      </c>
    </row>
    <row r="368" spans="1:12">
      <c r="A368" s="2" t="str">
        <f>IF($L368="","",IF(INDEX(tblRegistros[Data],$L368)&gt;$D$4,"",IFERROR(INDEX(tblRegistros[Data],$L368),"")))</f>
        <v/>
      </c>
      <c r="B368" t="str">
        <f>IF($L368="","",IF(INDEX(tblRegistros[Data],$L368)&gt;$D$4,"",IFERROR(INDEX(tblRegistros[Projeto],$L368),"")))</f>
        <v/>
      </c>
      <c r="C368" t="str">
        <f>IF($L368="","",IF(INDEX(tblRegistros[Data],$L368)&gt;$D$4,"",IFERROR(INDEX(tblRegistros[Atividade],$L368),"")))</f>
        <v/>
      </c>
      <c r="D368" s="4" t="str">
        <f>IF($L368="","",IF(INDEX(tblRegistros[Data],$L368)&gt;$D$4,"",IFERROR(INDEX(tblRegistros[Início],$L368),"")))</f>
        <v/>
      </c>
      <c r="E368" s="4" t="str">
        <f>IF($L368="","",IF(INDEX(tblRegistros[Data],$L368)&gt;$D$4,"",IFERROR(IF(INDEX(tblRegistros[Status],$L368)="EM ABERTO","",INDEX(tblRegistros[Fim],$L368)),"")))</f>
        <v/>
      </c>
      <c r="F368" s="14" t="str">
        <f>IF($L368="","",IF(INDEX(tblRegistros[Data],$L368)&gt;$D$4,"",IFERROR(IF(INDEX(tblRegistros[Status],$L368)="EM ABERTO","",INDEX(tblRegistros[Horas],$L368)),"")))</f>
        <v/>
      </c>
      <c r="G368" t="str">
        <f>IF($L368="","",IF(INDEX(tblRegistros[Data],$L368)&gt;$D$4,"",IFERROR(INDEX(tblRegistros[Base],$L368),"")))</f>
        <v/>
      </c>
      <c r="H368" s="3" t="str">
        <f>IF($L368="","",IF(INDEX(tblRegistros[Data],$L368)&gt;$D$4,"",IFERROR(INDEX(tblRegistros[Taxa aplicada],$L368),"")))</f>
        <v/>
      </c>
      <c r="I368" s="3" t="str">
        <f>IF($L368="","",IF(INDEX(tblRegistros[Data],$L368)&gt;$D$4,"",IFERROR(IF(INDEX(tblRegistros[Status],$L368)="EM ABERTO","",INDEX(tblRegistros[Valor],$L368)),"")))</f>
        <v/>
      </c>
      <c r="J368" t="str">
        <f>IF($L368="","",IF(INDEX(tblRegistros[Data],$L368)&gt;$D$4,"",IFERROR(INDEX(tblRegistros[Status],$L368),"")))</f>
        <v/>
      </c>
      <c r="K368" t="str">
        <f>IF($L368="","",IF(INDEX(tblRegistros[Data],$L368)&gt;$D$4,"",IFERROR(INDEX(tblRegistros[Observação],$L368),"")))</f>
        <v/>
      </c>
      <c r="L368" s="16" t="str">
        <f>IFERROR(MATCH($B$3*100000+COUNTIFS(tblRegistros[ID],$B$3,tblRegistros[Data],"&lt;"&amp;$B$4)+ROWS($L$10:L368),tblRegistros[Chave do cartão],0),"")</f>
        <v/>
      </c>
    </row>
    <row r="369" spans="1:12">
      <c r="A369" s="2" t="str">
        <f>IF($L369="","",IF(INDEX(tblRegistros[Data],$L369)&gt;$D$4,"",IFERROR(INDEX(tblRegistros[Data],$L369),"")))</f>
        <v/>
      </c>
      <c r="B369" t="str">
        <f>IF($L369="","",IF(INDEX(tblRegistros[Data],$L369)&gt;$D$4,"",IFERROR(INDEX(tblRegistros[Projeto],$L369),"")))</f>
        <v/>
      </c>
      <c r="C369" t="str">
        <f>IF($L369="","",IF(INDEX(tblRegistros[Data],$L369)&gt;$D$4,"",IFERROR(INDEX(tblRegistros[Atividade],$L369),"")))</f>
        <v/>
      </c>
      <c r="D369" s="4" t="str">
        <f>IF($L369="","",IF(INDEX(tblRegistros[Data],$L369)&gt;$D$4,"",IFERROR(INDEX(tblRegistros[Início],$L369),"")))</f>
        <v/>
      </c>
      <c r="E369" s="4" t="str">
        <f>IF($L369="","",IF(INDEX(tblRegistros[Data],$L369)&gt;$D$4,"",IFERROR(IF(INDEX(tblRegistros[Status],$L369)="EM ABERTO","",INDEX(tblRegistros[Fim],$L369)),"")))</f>
        <v/>
      </c>
      <c r="F369" s="14" t="str">
        <f>IF($L369="","",IF(INDEX(tblRegistros[Data],$L369)&gt;$D$4,"",IFERROR(IF(INDEX(tblRegistros[Status],$L369)="EM ABERTO","",INDEX(tblRegistros[Horas],$L369)),"")))</f>
        <v/>
      </c>
      <c r="G369" t="str">
        <f>IF($L369="","",IF(INDEX(tblRegistros[Data],$L369)&gt;$D$4,"",IFERROR(INDEX(tblRegistros[Base],$L369),"")))</f>
        <v/>
      </c>
      <c r="H369" s="3" t="str">
        <f>IF($L369="","",IF(INDEX(tblRegistros[Data],$L369)&gt;$D$4,"",IFERROR(INDEX(tblRegistros[Taxa aplicada],$L369),"")))</f>
        <v/>
      </c>
      <c r="I369" s="3" t="str">
        <f>IF($L369="","",IF(INDEX(tblRegistros[Data],$L369)&gt;$D$4,"",IFERROR(IF(INDEX(tblRegistros[Status],$L369)="EM ABERTO","",INDEX(tblRegistros[Valor],$L369)),"")))</f>
        <v/>
      </c>
      <c r="J369" t="str">
        <f>IF($L369="","",IF(INDEX(tblRegistros[Data],$L369)&gt;$D$4,"",IFERROR(INDEX(tblRegistros[Status],$L369),"")))</f>
        <v/>
      </c>
      <c r="K369" t="str">
        <f>IF($L369="","",IF(INDEX(tblRegistros[Data],$L369)&gt;$D$4,"",IFERROR(INDEX(tblRegistros[Observação],$L369),"")))</f>
        <v/>
      </c>
      <c r="L369" s="16" t="str">
        <f>IFERROR(MATCH($B$3*100000+COUNTIFS(tblRegistros[ID],$B$3,tblRegistros[Data],"&lt;"&amp;$B$4)+ROWS($L$10:L369),tblRegistros[Chave do cartão],0),"")</f>
        <v/>
      </c>
    </row>
    <row r="370" spans="1:12">
      <c r="A370" s="2" t="str">
        <f>IF($L370="","",IF(INDEX(tblRegistros[Data],$L370)&gt;$D$4,"",IFERROR(INDEX(tblRegistros[Data],$L370),"")))</f>
        <v/>
      </c>
      <c r="B370" t="str">
        <f>IF($L370="","",IF(INDEX(tblRegistros[Data],$L370)&gt;$D$4,"",IFERROR(INDEX(tblRegistros[Projeto],$L370),"")))</f>
        <v/>
      </c>
      <c r="C370" t="str">
        <f>IF($L370="","",IF(INDEX(tblRegistros[Data],$L370)&gt;$D$4,"",IFERROR(INDEX(tblRegistros[Atividade],$L370),"")))</f>
        <v/>
      </c>
      <c r="D370" s="4" t="str">
        <f>IF($L370="","",IF(INDEX(tblRegistros[Data],$L370)&gt;$D$4,"",IFERROR(INDEX(tblRegistros[Início],$L370),"")))</f>
        <v/>
      </c>
      <c r="E370" s="4" t="str">
        <f>IF($L370="","",IF(INDEX(tblRegistros[Data],$L370)&gt;$D$4,"",IFERROR(IF(INDEX(tblRegistros[Status],$L370)="EM ABERTO","",INDEX(tblRegistros[Fim],$L370)),"")))</f>
        <v/>
      </c>
      <c r="F370" s="14" t="str">
        <f>IF($L370="","",IF(INDEX(tblRegistros[Data],$L370)&gt;$D$4,"",IFERROR(IF(INDEX(tblRegistros[Status],$L370)="EM ABERTO","",INDEX(tblRegistros[Horas],$L370)),"")))</f>
        <v/>
      </c>
      <c r="G370" t="str">
        <f>IF($L370="","",IF(INDEX(tblRegistros[Data],$L370)&gt;$D$4,"",IFERROR(INDEX(tblRegistros[Base],$L370),"")))</f>
        <v/>
      </c>
      <c r="H370" s="3" t="str">
        <f>IF($L370="","",IF(INDEX(tblRegistros[Data],$L370)&gt;$D$4,"",IFERROR(INDEX(tblRegistros[Taxa aplicada],$L370),"")))</f>
        <v/>
      </c>
      <c r="I370" s="3" t="str">
        <f>IF($L370="","",IF(INDEX(tblRegistros[Data],$L370)&gt;$D$4,"",IFERROR(IF(INDEX(tblRegistros[Status],$L370)="EM ABERTO","",INDEX(tblRegistros[Valor],$L370)),"")))</f>
        <v/>
      </c>
      <c r="J370" t="str">
        <f>IF($L370="","",IF(INDEX(tblRegistros[Data],$L370)&gt;$D$4,"",IFERROR(INDEX(tblRegistros[Status],$L370),"")))</f>
        <v/>
      </c>
      <c r="K370" t="str">
        <f>IF($L370="","",IF(INDEX(tblRegistros[Data],$L370)&gt;$D$4,"",IFERROR(INDEX(tblRegistros[Observação],$L370),"")))</f>
        <v/>
      </c>
      <c r="L370" s="16" t="str">
        <f>IFERROR(MATCH($B$3*100000+COUNTIFS(tblRegistros[ID],$B$3,tblRegistros[Data],"&lt;"&amp;$B$4)+ROWS($L$10:L370),tblRegistros[Chave do cartão],0),"")</f>
        <v/>
      </c>
    </row>
    <row r="371" spans="1:12">
      <c r="A371" s="2" t="str">
        <f>IF($L371="","",IF(INDEX(tblRegistros[Data],$L371)&gt;$D$4,"",IFERROR(INDEX(tblRegistros[Data],$L371),"")))</f>
        <v/>
      </c>
      <c r="B371" t="str">
        <f>IF($L371="","",IF(INDEX(tblRegistros[Data],$L371)&gt;$D$4,"",IFERROR(INDEX(tblRegistros[Projeto],$L371),"")))</f>
        <v/>
      </c>
      <c r="C371" t="str">
        <f>IF($L371="","",IF(INDEX(tblRegistros[Data],$L371)&gt;$D$4,"",IFERROR(INDEX(tblRegistros[Atividade],$L371),"")))</f>
        <v/>
      </c>
      <c r="D371" s="4" t="str">
        <f>IF($L371="","",IF(INDEX(tblRegistros[Data],$L371)&gt;$D$4,"",IFERROR(INDEX(tblRegistros[Início],$L371),"")))</f>
        <v/>
      </c>
      <c r="E371" s="4" t="str">
        <f>IF($L371="","",IF(INDEX(tblRegistros[Data],$L371)&gt;$D$4,"",IFERROR(IF(INDEX(tblRegistros[Status],$L371)="EM ABERTO","",INDEX(tblRegistros[Fim],$L371)),"")))</f>
        <v/>
      </c>
      <c r="F371" s="14" t="str">
        <f>IF($L371="","",IF(INDEX(tblRegistros[Data],$L371)&gt;$D$4,"",IFERROR(IF(INDEX(tblRegistros[Status],$L371)="EM ABERTO","",INDEX(tblRegistros[Horas],$L371)),"")))</f>
        <v/>
      </c>
      <c r="G371" t="str">
        <f>IF($L371="","",IF(INDEX(tblRegistros[Data],$L371)&gt;$D$4,"",IFERROR(INDEX(tblRegistros[Base],$L371),"")))</f>
        <v/>
      </c>
      <c r="H371" s="3" t="str">
        <f>IF($L371="","",IF(INDEX(tblRegistros[Data],$L371)&gt;$D$4,"",IFERROR(INDEX(tblRegistros[Taxa aplicada],$L371),"")))</f>
        <v/>
      </c>
      <c r="I371" s="3" t="str">
        <f>IF($L371="","",IF(INDEX(tblRegistros[Data],$L371)&gt;$D$4,"",IFERROR(IF(INDEX(tblRegistros[Status],$L371)="EM ABERTO","",INDEX(tblRegistros[Valor],$L371)),"")))</f>
        <v/>
      </c>
      <c r="J371" t="str">
        <f>IF($L371="","",IF(INDEX(tblRegistros[Data],$L371)&gt;$D$4,"",IFERROR(INDEX(tblRegistros[Status],$L371),"")))</f>
        <v/>
      </c>
      <c r="K371" t="str">
        <f>IF($L371="","",IF(INDEX(tblRegistros[Data],$L371)&gt;$D$4,"",IFERROR(INDEX(tblRegistros[Observação],$L371),"")))</f>
        <v/>
      </c>
      <c r="L371" s="16" t="str">
        <f>IFERROR(MATCH($B$3*100000+COUNTIFS(tblRegistros[ID],$B$3,tblRegistros[Data],"&lt;"&amp;$B$4)+ROWS($L$10:L371),tblRegistros[Chave do cartão],0),"")</f>
        <v/>
      </c>
    </row>
    <row r="372" spans="1:12">
      <c r="A372" s="2" t="str">
        <f>IF($L372="","",IF(INDEX(tblRegistros[Data],$L372)&gt;$D$4,"",IFERROR(INDEX(tblRegistros[Data],$L372),"")))</f>
        <v/>
      </c>
      <c r="B372" t="str">
        <f>IF($L372="","",IF(INDEX(tblRegistros[Data],$L372)&gt;$D$4,"",IFERROR(INDEX(tblRegistros[Projeto],$L372),"")))</f>
        <v/>
      </c>
      <c r="C372" t="str">
        <f>IF($L372="","",IF(INDEX(tblRegistros[Data],$L372)&gt;$D$4,"",IFERROR(INDEX(tblRegistros[Atividade],$L372),"")))</f>
        <v/>
      </c>
      <c r="D372" s="4" t="str">
        <f>IF($L372="","",IF(INDEX(tblRegistros[Data],$L372)&gt;$D$4,"",IFERROR(INDEX(tblRegistros[Início],$L372),"")))</f>
        <v/>
      </c>
      <c r="E372" s="4" t="str">
        <f>IF($L372="","",IF(INDEX(tblRegistros[Data],$L372)&gt;$D$4,"",IFERROR(IF(INDEX(tblRegistros[Status],$L372)="EM ABERTO","",INDEX(tblRegistros[Fim],$L372)),"")))</f>
        <v/>
      </c>
      <c r="F372" s="14" t="str">
        <f>IF($L372="","",IF(INDEX(tblRegistros[Data],$L372)&gt;$D$4,"",IFERROR(IF(INDEX(tblRegistros[Status],$L372)="EM ABERTO","",INDEX(tblRegistros[Horas],$L372)),"")))</f>
        <v/>
      </c>
      <c r="G372" t="str">
        <f>IF($L372="","",IF(INDEX(tblRegistros[Data],$L372)&gt;$D$4,"",IFERROR(INDEX(tblRegistros[Base],$L372),"")))</f>
        <v/>
      </c>
      <c r="H372" s="3" t="str">
        <f>IF($L372="","",IF(INDEX(tblRegistros[Data],$L372)&gt;$D$4,"",IFERROR(INDEX(tblRegistros[Taxa aplicada],$L372),"")))</f>
        <v/>
      </c>
      <c r="I372" s="3" t="str">
        <f>IF($L372="","",IF(INDEX(tblRegistros[Data],$L372)&gt;$D$4,"",IFERROR(IF(INDEX(tblRegistros[Status],$L372)="EM ABERTO","",INDEX(tblRegistros[Valor],$L372)),"")))</f>
        <v/>
      </c>
      <c r="J372" t="str">
        <f>IF($L372="","",IF(INDEX(tblRegistros[Data],$L372)&gt;$D$4,"",IFERROR(INDEX(tblRegistros[Status],$L372),"")))</f>
        <v/>
      </c>
      <c r="K372" t="str">
        <f>IF($L372="","",IF(INDEX(tblRegistros[Data],$L372)&gt;$D$4,"",IFERROR(INDEX(tblRegistros[Observação],$L372),"")))</f>
        <v/>
      </c>
      <c r="L372" s="16" t="str">
        <f>IFERROR(MATCH($B$3*100000+COUNTIFS(tblRegistros[ID],$B$3,tblRegistros[Data],"&lt;"&amp;$B$4)+ROWS($L$10:L372),tblRegistros[Chave do cartão],0),"")</f>
        <v/>
      </c>
    </row>
    <row r="373" spans="1:12">
      <c r="A373" s="2" t="str">
        <f>IF($L373="","",IF(INDEX(tblRegistros[Data],$L373)&gt;$D$4,"",IFERROR(INDEX(tblRegistros[Data],$L373),"")))</f>
        <v/>
      </c>
      <c r="B373" t="str">
        <f>IF($L373="","",IF(INDEX(tblRegistros[Data],$L373)&gt;$D$4,"",IFERROR(INDEX(tblRegistros[Projeto],$L373),"")))</f>
        <v/>
      </c>
      <c r="C373" t="str">
        <f>IF($L373="","",IF(INDEX(tblRegistros[Data],$L373)&gt;$D$4,"",IFERROR(INDEX(tblRegistros[Atividade],$L373),"")))</f>
        <v/>
      </c>
      <c r="D373" s="4" t="str">
        <f>IF($L373="","",IF(INDEX(tblRegistros[Data],$L373)&gt;$D$4,"",IFERROR(INDEX(tblRegistros[Início],$L373),"")))</f>
        <v/>
      </c>
      <c r="E373" s="4" t="str">
        <f>IF($L373="","",IF(INDEX(tblRegistros[Data],$L373)&gt;$D$4,"",IFERROR(IF(INDEX(tblRegistros[Status],$L373)="EM ABERTO","",INDEX(tblRegistros[Fim],$L373)),"")))</f>
        <v/>
      </c>
      <c r="F373" s="14" t="str">
        <f>IF($L373="","",IF(INDEX(tblRegistros[Data],$L373)&gt;$D$4,"",IFERROR(IF(INDEX(tblRegistros[Status],$L373)="EM ABERTO","",INDEX(tblRegistros[Horas],$L373)),"")))</f>
        <v/>
      </c>
      <c r="G373" t="str">
        <f>IF($L373="","",IF(INDEX(tblRegistros[Data],$L373)&gt;$D$4,"",IFERROR(INDEX(tblRegistros[Base],$L373),"")))</f>
        <v/>
      </c>
      <c r="H373" s="3" t="str">
        <f>IF($L373="","",IF(INDEX(tblRegistros[Data],$L373)&gt;$D$4,"",IFERROR(INDEX(tblRegistros[Taxa aplicada],$L373),"")))</f>
        <v/>
      </c>
      <c r="I373" s="3" t="str">
        <f>IF($L373="","",IF(INDEX(tblRegistros[Data],$L373)&gt;$D$4,"",IFERROR(IF(INDEX(tblRegistros[Status],$L373)="EM ABERTO","",INDEX(tblRegistros[Valor],$L373)),"")))</f>
        <v/>
      </c>
      <c r="J373" t="str">
        <f>IF($L373="","",IF(INDEX(tblRegistros[Data],$L373)&gt;$D$4,"",IFERROR(INDEX(tblRegistros[Status],$L373),"")))</f>
        <v/>
      </c>
      <c r="K373" t="str">
        <f>IF($L373="","",IF(INDEX(tblRegistros[Data],$L373)&gt;$D$4,"",IFERROR(INDEX(tblRegistros[Observação],$L373),"")))</f>
        <v/>
      </c>
      <c r="L373" s="16" t="str">
        <f>IFERROR(MATCH($B$3*100000+COUNTIFS(tblRegistros[ID],$B$3,tblRegistros[Data],"&lt;"&amp;$B$4)+ROWS($L$10:L373),tblRegistros[Chave do cartão],0),"")</f>
        <v/>
      </c>
    </row>
    <row r="374" spans="1:12">
      <c r="A374" s="2" t="str">
        <f>IF($L374="","",IF(INDEX(tblRegistros[Data],$L374)&gt;$D$4,"",IFERROR(INDEX(tblRegistros[Data],$L374),"")))</f>
        <v/>
      </c>
      <c r="B374" t="str">
        <f>IF($L374="","",IF(INDEX(tblRegistros[Data],$L374)&gt;$D$4,"",IFERROR(INDEX(tblRegistros[Projeto],$L374),"")))</f>
        <v/>
      </c>
      <c r="C374" t="str">
        <f>IF($L374="","",IF(INDEX(tblRegistros[Data],$L374)&gt;$D$4,"",IFERROR(INDEX(tblRegistros[Atividade],$L374),"")))</f>
        <v/>
      </c>
      <c r="D374" s="4" t="str">
        <f>IF($L374="","",IF(INDEX(tblRegistros[Data],$L374)&gt;$D$4,"",IFERROR(INDEX(tblRegistros[Início],$L374),"")))</f>
        <v/>
      </c>
      <c r="E374" s="4" t="str">
        <f>IF($L374="","",IF(INDEX(tblRegistros[Data],$L374)&gt;$D$4,"",IFERROR(IF(INDEX(tblRegistros[Status],$L374)="EM ABERTO","",INDEX(tblRegistros[Fim],$L374)),"")))</f>
        <v/>
      </c>
      <c r="F374" s="14" t="str">
        <f>IF($L374="","",IF(INDEX(tblRegistros[Data],$L374)&gt;$D$4,"",IFERROR(IF(INDEX(tblRegistros[Status],$L374)="EM ABERTO","",INDEX(tblRegistros[Horas],$L374)),"")))</f>
        <v/>
      </c>
      <c r="G374" t="str">
        <f>IF($L374="","",IF(INDEX(tblRegistros[Data],$L374)&gt;$D$4,"",IFERROR(INDEX(tblRegistros[Base],$L374),"")))</f>
        <v/>
      </c>
      <c r="H374" s="3" t="str">
        <f>IF($L374="","",IF(INDEX(tblRegistros[Data],$L374)&gt;$D$4,"",IFERROR(INDEX(tblRegistros[Taxa aplicada],$L374),"")))</f>
        <v/>
      </c>
      <c r="I374" s="3" t="str">
        <f>IF($L374="","",IF(INDEX(tblRegistros[Data],$L374)&gt;$D$4,"",IFERROR(IF(INDEX(tblRegistros[Status],$L374)="EM ABERTO","",INDEX(tblRegistros[Valor],$L374)),"")))</f>
        <v/>
      </c>
      <c r="J374" t="str">
        <f>IF($L374="","",IF(INDEX(tblRegistros[Data],$L374)&gt;$D$4,"",IFERROR(INDEX(tblRegistros[Status],$L374),"")))</f>
        <v/>
      </c>
      <c r="K374" t="str">
        <f>IF($L374="","",IF(INDEX(tblRegistros[Data],$L374)&gt;$D$4,"",IFERROR(INDEX(tblRegistros[Observação],$L374),"")))</f>
        <v/>
      </c>
      <c r="L374" s="16" t="str">
        <f>IFERROR(MATCH($B$3*100000+COUNTIFS(tblRegistros[ID],$B$3,tblRegistros[Data],"&lt;"&amp;$B$4)+ROWS($L$10:L374),tblRegistros[Chave do cartão],0),"")</f>
        <v/>
      </c>
    </row>
    <row r="375" spans="1:12">
      <c r="A375" s="2" t="str">
        <f>IF($L375="","",IF(INDEX(tblRegistros[Data],$L375)&gt;$D$4,"",IFERROR(INDEX(tblRegistros[Data],$L375),"")))</f>
        <v/>
      </c>
      <c r="B375" t="str">
        <f>IF($L375="","",IF(INDEX(tblRegistros[Data],$L375)&gt;$D$4,"",IFERROR(INDEX(tblRegistros[Projeto],$L375),"")))</f>
        <v/>
      </c>
      <c r="C375" t="str">
        <f>IF($L375="","",IF(INDEX(tblRegistros[Data],$L375)&gt;$D$4,"",IFERROR(INDEX(tblRegistros[Atividade],$L375),"")))</f>
        <v/>
      </c>
      <c r="D375" s="4" t="str">
        <f>IF($L375="","",IF(INDEX(tblRegistros[Data],$L375)&gt;$D$4,"",IFERROR(INDEX(tblRegistros[Início],$L375),"")))</f>
        <v/>
      </c>
      <c r="E375" s="4" t="str">
        <f>IF($L375="","",IF(INDEX(tblRegistros[Data],$L375)&gt;$D$4,"",IFERROR(IF(INDEX(tblRegistros[Status],$L375)="EM ABERTO","",INDEX(tblRegistros[Fim],$L375)),"")))</f>
        <v/>
      </c>
      <c r="F375" s="14" t="str">
        <f>IF($L375="","",IF(INDEX(tblRegistros[Data],$L375)&gt;$D$4,"",IFERROR(IF(INDEX(tblRegistros[Status],$L375)="EM ABERTO","",INDEX(tblRegistros[Horas],$L375)),"")))</f>
        <v/>
      </c>
      <c r="G375" t="str">
        <f>IF($L375="","",IF(INDEX(tblRegistros[Data],$L375)&gt;$D$4,"",IFERROR(INDEX(tblRegistros[Base],$L375),"")))</f>
        <v/>
      </c>
      <c r="H375" s="3" t="str">
        <f>IF($L375="","",IF(INDEX(tblRegistros[Data],$L375)&gt;$D$4,"",IFERROR(INDEX(tblRegistros[Taxa aplicada],$L375),"")))</f>
        <v/>
      </c>
      <c r="I375" s="3" t="str">
        <f>IF($L375="","",IF(INDEX(tblRegistros[Data],$L375)&gt;$D$4,"",IFERROR(IF(INDEX(tblRegistros[Status],$L375)="EM ABERTO","",INDEX(tblRegistros[Valor],$L375)),"")))</f>
        <v/>
      </c>
      <c r="J375" t="str">
        <f>IF($L375="","",IF(INDEX(tblRegistros[Data],$L375)&gt;$D$4,"",IFERROR(INDEX(tblRegistros[Status],$L375),"")))</f>
        <v/>
      </c>
      <c r="K375" t="str">
        <f>IF($L375="","",IF(INDEX(tblRegistros[Data],$L375)&gt;$D$4,"",IFERROR(INDEX(tblRegistros[Observação],$L375),"")))</f>
        <v/>
      </c>
      <c r="L375" s="16" t="str">
        <f>IFERROR(MATCH($B$3*100000+COUNTIFS(tblRegistros[ID],$B$3,tblRegistros[Data],"&lt;"&amp;$B$4)+ROWS($L$10:L375),tblRegistros[Chave do cartão],0),"")</f>
        <v/>
      </c>
    </row>
    <row r="376" spans="1:12">
      <c r="A376" s="2" t="str">
        <f>IF($L376="","",IF(INDEX(tblRegistros[Data],$L376)&gt;$D$4,"",IFERROR(INDEX(tblRegistros[Data],$L376),"")))</f>
        <v/>
      </c>
      <c r="B376" t="str">
        <f>IF($L376="","",IF(INDEX(tblRegistros[Data],$L376)&gt;$D$4,"",IFERROR(INDEX(tblRegistros[Projeto],$L376),"")))</f>
        <v/>
      </c>
      <c r="C376" t="str">
        <f>IF($L376="","",IF(INDEX(tblRegistros[Data],$L376)&gt;$D$4,"",IFERROR(INDEX(tblRegistros[Atividade],$L376),"")))</f>
        <v/>
      </c>
      <c r="D376" s="4" t="str">
        <f>IF($L376="","",IF(INDEX(tblRegistros[Data],$L376)&gt;$D$4,"",IFERROR(INDEX(tblRegistros[Início],$L376),"")))</f>
        <v/>
      </c>
      <c r="E376" s="4" t="str">
        <f>IF($L376="","",IF(INDEX(tblRegistros[Data],$L376)&gt;$D$4,"",IFERROR(IF(INDEX(tblRegistros[Status],$L376)="EM ABERTO","",INDEX(tblRegistros[Fim],$L376)),"")))</f>
        <v/>
      </c>
      <c r="F376" s="14" t="str">
        <f>IF($L376="","",IF(INDEX(tblRegistros[Data],$L376)&gt;$D$4,"",IFERROR(IF(INDEX(tblRegistros[Status],$L376)="EM ABERTO","",INDEX(tblRegistros[Horas],$L376)),"")))</f>
        <v/>
      </c>
      <c r="G376" t="str">
        <f>IF($L376="","",IF(INDEX(tblRegistros[Data],$L376)&gt;$D$4,"",IFERROR(INDEX(tblRegistros[Base],$L376),"")))</f>
        <v/>
      </c>
      <c r="H376" s="3" t="str">
        <f>IF($L376="","",IF(INDEX(tblRegistros[Data],$L376)&gt;$D$4,"",IFERROR(INDEX(tblRegistros[Taxa aplicada],$L376),"")))</f>
        <v/>
      </c>
      <c r="I376" s="3" t="str">
        <f>IF($L376="","",IF(INDEX(tblRegistros[Data],$L376)&gt;$D$4,"",IFERROR(IF(INDEX(tblRegistros[Status],$L376)="EM ABERTO","",INDEX(tblRegistros[Valor],$L376)),"")))</f>
        <v/>
      </c>
      <c r="J376" t="str">
        <f>IF($L376="","",IF(INDEX(tblRegistros[Data],$L376)&gt;$D$4,"",IFERROR(INDEX(tblRegistros[Status],$L376),"")))</f>
        <v/>
      </c>
      <c r="K376" t="str">
        <f>IF($L376="","",IF(INDEX(tblRegistros[Data],$L376)&gt;$D$4,"",IFERROR(INDEX(tblRegistros[Observação],$L376),"")))</f>
        <v/>
      </c>
      <c r="L376" s="16" t="str">
        <f>IFERROR(MATCH($B$3*100000+COUNTIFS(tblRegistros[ID],$B$3,tblRegistros[Data],"&lt;"&amp;$B$4)+ROWS($L$10:L376),tblRegistros[Chave do cartão],0),"")</f>
        <v/>
      </c>
    </row>
    <row r="377" spans="1:12">
      <c r="A377" s="2" t="str">
        <f>IF($L377="","",IF(INDEX(tblRegistros[Data],$L377)&gt;$D$4,"",IFERROR(INDEX(tblRegistros[Data],$L377),"")))</f>
        <v/>
      </c>
      <c r="B377" t="str">
        <f>IF($L377="","",IF(INDEX(tblRegistros[Data],$L377)&gt;$D$4,"",IFERROR(INDEX(tblRegistros[Projeto],$L377),"")))</f>
        <v/>
      </c>
      <c r="C377" t="str">
        <f>IF($L377="","",IF(INDEX(tblRegistros[Data],$L377)&gt;$D$4,"",IFERROR(INDEX(tblRegistros[Atividade],$L377),"")))</f>
        <v/>
      </c>
      <c r="D377" s="4" t="str">
        <f>IF($L377="","",IF(INDEX(tblRegistros[Data],$L377)&gt;$D$4,"",IFERROR(INDEX(tblRegistros[Início],$L377),"")))</f>
        <v/>
      </c>
      <c r="E377" s="4" t="str">
        <f>IF($L377="","",IF(INDEX(tblRegistros[Data],$L377)&gt;$D$4,"",IFERROR(IF(INDEX(tblRegistros[Status],$L377)="EM ABERTO","",INDEX(tblRegistros[Fim],$L377)),"")))</f>
        <v/>
      </c>
      <c r="F377" s="14" t="str">
        <f>IF($L377="","",IF(INDEX(tblRegistros[Data],$L377)&gt;$D$4,"",IFERROR(IF(INDEX(tblRegistros[Status],$L377)="EM ABERTO","",INDEX(tblRegistros[Horas],$L377)),"")))</f>
        <v/>
      </c>
      <c r="G377" t="str">
        <f>IF($L377="","",IF(INDEX(tblRegistros[Data],$L377)&gt;$D$4,"",IFERROR(INDEX(tblRegistros[Base],$L377),"")))</f>
        <v/>
      </c>
      <c r="H377" s="3" t="str">
        <f>IF($L377="","",IF(INDEX(tblRegistros[Data],$L377)&gt;$D$4,"",IFERROR(INDEX(tblRegistros[Taxa aplicada],$L377),"")))</f>
        <v/>
      </c>
      <c r="I377" s="3" t="str">
        <f>IF($L377="","",IF(INDEX(tblRegistros[Data],$L377)&gt;$D$4,"",IFERROR(IF(INDEX(tblRegistros[Status],$L377)="EM ABERTO","",INDEX(tblRegistros[Valor],$L377)),"")))</f>
        <v/>
      </c>
      <c r="J377" t="str">
        <f>IF($L377="","",IF(INDEX(tblRegistros[Data],$L377)&gt;$D$4,"",IFERROR(INDEX(tblRegistros[Status],$L377),"")))</f>
        <v/>
      </c>
      <c r="K377" t="str">
        <f>IF($L377="","",IF(INDEX(tblRegistros[Data],$L377)&gt;$D$4,"",IFERROR(INDEX(tblRegistros[Observação],$L377),"")))</f>
        <v/>
      </c>
      <c r="L377" s="16" t="str">
        <f>IFERROR(MATCH($B$3*100000+COUNTIFS(tblRegistros[ID],$B$3,tblRegistros[Data],"&lt;"&amp;$B$4)+ROWS($L$10:L377),tblRegistros[Chave do cartão],0),"")</f>
        <v/>
      </c>
    </row>
    <row r="378" spans="1:12">
      <c r="A378" s="2" t="str">
        <f>IF($L378="","",IF(INDEX(tblRegistros[Data],$L378)&gt;$D$4,"",IFERROR(INDEX(tblRegistros[Data],$L378),"")))</f>
        <v/>
      </c>
      <c r="B378" t="str">
        <f>IF($L378="","",IF(INDEX(tblRegistros[Data],$L378)&gt;$D$4,"",IFERROR(INDEX(tblRegistros[Projeto],$L378),"")))</f>
        <v/>
      </c>
      <c r="C378" t="str">
        <f>IF($L378="","",IF(INDEX(tblRegistros[Data],$L378)&gt;$D$4,"",IFERROR(INDEX(tblRegistros[Atividade],$L378),"")))</f>
        <v/>
      </c>
      <c r="D378" s="4" t="str">
        <f>IF($L378="","",IF(INDEX(tblRegistros[Data],$L378)&gt;$D$4,"",IFERROR(INDEX(tblRegistros[Início],$L378),"")))</f>
        <v/>
      </c>
      <c r="E378" s="4" t="str">
        <f>IF($L378="","",IF(INDEX(tblRegistros[Data],$L378)&gt;$D$4,"",IFERROR(IF(INDEX(tblRegistros[Status],$L378)="EM ABERTO","",INDEX(tblRegistros[Fim],$L378)),"")))</f>
        <v/>
      </c>
      <c r="F378" s="14" t="str">
        <f>IF($L378="","",IF(INDEX(tblRegistros[Data],$L378)&gt;$D$4,"",IFERROR(IF(INDEX(tblRegistros[Status],$L378)="EM ABERTO","",INDEX(tblRegistros[Horas],$L378)),"")))</f>
        <v/>
      </c>
      <c r="G378" t="str">
        <f>IF($L378="","",IF(INDEX(tblRegistros[Data],$L378)&gt;$D$4,"",IFERROR(INDEX(tblRegistros[Base],$L378),"")))</f>
        <v/>
      </c>
      <c r="H378" s="3" t="str">
        <f>IF($L378="","",IF(INDEX(tblRegistros[Data],$L378)&gt;$D$4,"",IFERROR(INDEX(tblRegistros[Taxa aplicada],$L378),"")))</f>
        <v/>
      </c>
      <c r="I378" s="3" t="str">
        <f>IF($L378="","",IF(INDEX(tblRegistros[Data],$L378)&gt;$D$4,"",IFERROR(IF(INDEX(tblRegistros[Status],$L378)="EM ABERTO","",INDEX(tblRegistros[Valor],$L378)),"")))</f>
        <v/>
      </c>
      <c r="J378" t="str">
        <f>IF($L378="","",IF(INDEX(tblRegistros[Data],$L378)&gt;$D$4,"",IFERROR(INDEX(tblRegistros[Status],$L378),"")))</f>
        <v/>
      </c>
      <c r="K378" t="str">
        <f>IF($L378="","",IF(INDEX(tblRegistros[Data],$L378)&gt;$D$4,"",IFERROR(INDEX(tblRegistros[Observação],$L378),"")))</f>
        <v/>
      </c>
      <c r="L378" s="16" t="str">
        <f>IFERROR(MATCH($B$3*100000+COUNTIFS(tblRegistros[ID],$B$3,tblRegistros[Data],"&lt;"&amp;$B$4)+ROWS($L$10:L378),tblRegistros[Chave do cartão],0),"")</f>
        <v/>
      </c>
    </row>
    <row r="379" spans="1:12">
      <c r="A379" s="2" t="str">
        <f>IF($L379="","",IF(INDEX(tblRegistros[Data],$L379)&gt;$D$4,"",IFERROR(INDEX(tblRegistros[Data],$L379),"")))</f>
        <v/>
      </c>
      <c r="B379" t="str">
        <f>IF($L379="","",IF(INDEX(tblRegistros[Data],$L379)&gt;$D$4,"",IFERROR(INDEX(tblRegistros[Projeto],$L379),"")))</f>
        <v/>
      </c>
      <c r="C379" t="str">
        <f>IF($L379="","",IF(INDEX(tblRegistros[Data],$L379)&gt;$D$4,"",IFERROR(INDEX(tblRegistros[Atividade],$L379),"")))</f>
        <v/>
      </c>
      <c r="D379" s="4" t="str">
        <f>IF($L379="","",IF(INDEX(tblRegistros[Data],$L379)&gt;$D$4,"",IFERROR(INDEX(tblRegistros[Início],$L379),"")))</f>
        <v/>
      </c>
      <c r="E379" s="4" t="str">
        <f>IF($L379="","",IF(INDEX(tblRegistros[Data],$L379)&gt;$D$4,"",IFERROR(IF(INDEX(tblRegistros[Status],$L379)="EM ABERTO","",INDEX(tblRegistros[Fim],$L379)),"")))</f>
        <v/>
      </c>
      <c r="F379" s="14" t="str">
        <f>IF($L379="","",IF(INDEX(tblRegistros[Data],$L379)&gt;$D$4,"",IFERROR(IF(INDEX(tblRegistros[Status],$L379)="EM ABERTO","",INDEX(tblRegistros[Horas],$L379)),"")))</f>
        <v/>
      </c>
      <c r="G379" t="str">
        <f>IF($L379="","",IF(INDEX(tblRegistros[Data],$L379)&gt;$D$4,"",IFERROR(INDEX(tblRegistros[Base],$L379),"")))</f>
        <v/>
      </c>
      <c r="H379" s="3" t="str">
        <f>IF($L379="","",IF(INDEX(tblRegistros[Data],$L379)&gt;$D$4,"",IFERROR(INDEX(tblRegistros[Taxa aplicada],$L379),"")))</f>
        <v/>
      </c>
      <c r="I379" s="3" t="str">
        <f>IF($L379="","",IF(INDEX(tblRegistros[Data],$L379)&gt;$D$4,"",IFERROR(IF(INDEX(tblRegistros[Status],$L379)="EM ABERTO","",INDEX(tblRegistros[Valor],$L379)),"")))</f>
        <v/>
      </c>
      <c r="J379" t="str">
        <f>IF($L379="","",IF(INDEX(tblRegistros[Data],$L379)&gt;$D$4,"",IFERROR(INDEX(tblRegistros[Status],$L379),"")))</f>
        <v/>
      </c>
      <c r="K379" t="str">
        <f>IF($L379="","",IF(INDEX(tblRegistros[Data],$L379)&gt;$D$4,"",IFERROR(INDEX(tblRegistros[Observação],$L379),"")))</f>
        <v/>
      </c>
      <c r="L379" s="16" t="str">
        <f>IFERROR(MATCH($B$3*100000+COUNTIFS(tblRegistros[ID],$B$3,tblRegistros[Data],"&lt;"&amp;$B$4)+ROWS($L$10:L379),tblRegistros[Chave do cartão],0),"")</f>
        <v/>
      </c>
    </row>
    <row r="380" spans="1:12">
      <c r="A380" s="2" t="str">
        <f>IF($L380="","",IF(INDEX(tblRegistros[Data],$L380)&gt;$D$4,"",IFERROR(INDEX(tblRegistros[Data],$L380),"")))</f>
        <v/>
      </c>
      <c r="B380" t="str">
        <f>IF($L380="","",IF(INDEX(tblRegistros[Data],$L380)&gt;$D$4,"",IFERROR(INDEX(tblRegistros[Projeto],$L380),"")))</f>
        <v/>
      </c>
      <c r="C380" t="str">
        <f>IF($L380="","",IF(INDEX(tblRegistros[Data],$L380)&gt;$D$4,"",IFERROR(INDEX(tblRegistros[Atividade],$L380),"")))</f>
        <v/>
      </c>
      <c r="D380" s="4" t="str">
        <f>IF($L380="","",IF(INDEX(tblRegistros[Data],$L380)&gt;$D$4,"",IFERROR(INDEX(tblRegistros[Início],$L380),"")))</f>
        <v/>
      </c>
      <c r="E380" s="4" t="str">
        <f>IF($L380="","",IF(INDEX(tblRegistros[Data],$L380)&gt;$D$4,"",IFERROR(IF(INDEX(tblRegistros[Status],$L380)="EM ABERTO","",INDEX(tblRegistros[Fim],$L380)),"")))</f>
        <v/>
      </c>
      <c r="F380" s="14" t="str">
        <f>IF($L380="","",IF(INDEX(tblRegistros[Data],$L380)&gt;$D$4,"",IFERROR(IF(INDEX(tblRegistros[Status],$L380)="EM ABERTO","",INDEX(tblRegistros[Horas],$L380)),"")))</f>
        <v/>
      </c>
      <c r="G380" t="str">
        <f>IF($L380="","",IF(INDEX(tblRegistros[Data],$L380)&gt;$D$4,"",IFERROR(INDEX(tblRegistros[Base],$L380),"")))</f>
        <v/>
      </c>
      <c r="H380" s="3" t="str">
        <f>IF($L380="","",IF(INDEX(tblRegistros[Data],$L380)&gt;$D$4,"",IFERROR(INDEX(tblRegistros[Taxa aplicada],$L380),"")))</f>
        <v/>
      </c>
      <c r="I380" s="3" t="str">
        <f>IF($L380="","",IF(INDEX(tblRegistros[Data],$L380)&gt;$D$4,"",IFERROR(IF(INDEX(tblRegistros[Status],$L380)="EM ABERTO","",INDEX(tblRegistros[Valor],$L380)),"")))</f>
        <v/>
      </c>
      <c r="J380" t="str">
        <f>IF($L380="","",IF(INDEX(tblRegistros[Data],$L380)&gt;$D$4,"",IFERROR(INDEX(tblRegistros[Status],$L380),"")))</f>
        <v/>
      </c>
      <c r="K380" t="str">
        <f>IF($L380="","",IF(INDEX(tblRegistros[Data],$L380)&gt;$D$4,"",IFERROR(INDEX(tblRegistros[Observação],$L380),"")))</f>
        <v/>
      </c>
      <c r="L380" s="16" t="str">
        <f>IFERROR(MATCH($B$3*100000+COUNTIFS(tblRegistros[ID],$B$3,tblRegistros[Data],"&lt;"&amp;$B$4)+ROWS($L$10:L380),tblRegistros[Chave do cartão],0),"")</f>
        <v/>
      </c>
    </row>
    <row r="381" spans="1:12">
      <c r="A381" s="2" t="str">
        <f>IF($L381="","",IF(INDEX(tblRegistros[Data],$L381)&gt;$D$4,"",IFERROR(INDEX(tblRegistros[Data],$L381),"")))</f>
        <v/>
      </c>
      <c r="B381" t="str">
        <f>IF($L381="","",IF(INDEX(tblRegistros[Data],$L381)&gt;$D$4,"",IFERROR(INDEX(tblRegistros[Projeto],$L381),"")))</f>
        <v/>
      </c>
      <c r="C381" t="str">
        <f>IF($L381="","",IF(INDEX(tblRegistros[Data],$L381)&gt;$D$4,"",IFERROR(INDEX(tblRegistros[Atividade],$L381),"")))</f>
        <v/>
      </c>
      <c r="D381" s="4" t="str">
        <f>IF($L381="","",IF(INDEX(tblRegistros[Data],$L381)&gt;$D$4,"",IFERROR(INDEX(tblRegistros[Início],$L381),"")))</f>
        <v/>
      </c>
      <c r="E381" s="4" t="str">
        <f>IF($L381="","",IF(INDEX(tblRegistros[Data],$L381)&gt;$D$4,"",IFERROR(IF(INDEX(tblRegistros[Status],$L381)="EM ABERTO","",INDEX(tblRegistros[Fim],$L381)),"")))</f>
        <v/>
      </c>
      <c r="F381" s="14" t="str">
        <f>IF($L381="","",IF(INDEX(tblRegistros[Data],$L381)&gt;$D$4,"",IFERROR(IF(INDEX(tblRegistros[Status],$L381)="EM ABERTO","",INDEX(tblRegistros[Horas],$L381)),"")))</f>
        <v/>
      </c>
      <c r="G381" t="str">
        <f>IF($L381="","",IF(INDEX(tblRegistros[Data],$L381)&gt;$D$4,"",IFERROR(INDEX(tblRegistros[Base],$L381),"")))</f>
        <v/>
      </c>
      <c r="H381" s="3" t="str">
        <f>IF($L381="","",IF(INDEX(tblRegistros[Data],$L381)&gt;$D$4,"",IFERROR(INDEX(tblRegistros[Taxa aplicada],$L381),"")))</f>
        <v/>
      </c>
      <c r="I381" s="3" t="str">
        <f>IF($L381="","",IF(INDEX(tblRegistros[Data],$L381)&gt;$D$4,"",IFERROR(IF(INDEX(tblRegistros[Status],$L381)="EM ABERTO","",INDEX(tblRegistros[Valor],$L381)),"")))</f>
        <v/>
      </c>
      <c r="J381" t="str">
        <f>IF($L381="","",IF(INDEX(tblRegistros[Data],$L381)&gt;$D$4,"",IFERROR(INDEX(tblRegistros[Status],$L381),"")))</f>
        <v/>
      </c>
      <c r="K381" t="str">
        <f>IF($L381="","",IF(INDEX(tblRegistros[Data],$L381)&gt;$D$4,"",IFERROR(INDEX(tblRegistros[Observação],$L381),"")))</f>
        <v/>
      </c>
      <c r="L381" s="16" t="str">
        <f>IFERROR(MATCH($B$3*100000+COUNTIFS(tblRegistros[ID],$B$3,tblRegistros[Data],"&lt;"&amp;$B$4)+ROWS($L$10:L381),tblRegistros[Chave do cartão],0),"")</f>
        <v/>
      </c>
    </row>
    <row r="382" spans="1:12">
      <c r="A382" s="2" t="str">
        <f>IF($L382="","",IF(INDEX(tblRegistros[Data],$L382)&gt;$D$4,"",IFERROR(INDEX(tblRegistros[Data],$L382),"")))</f>
        <v/>
      </c>
      <c r="B382" t="str">
        <f>IF($L382="","",IF(INDEX(tblRegistros[Data],$L382)&gt;$D$4,"",IFERROR(INDEX(tblRegistros[Projeto],$L382),"")))</f>
        <v/>
      </c>
      <c r="C382" t="str">
        <f>IF($L382="","",IF(INDEX(tblRegistros[Data],$L382)&gt;$D$4,"",IFERROR(INDEX(tblRegistros[Atividade],$L382),"")))</f>
        <v/>
      </c>
      <c r="D382" s="4" t="str">
        <f>IF($L382="","",IF(INDEX(tblRegistros[Data],$L382)&gt;$D$4,"",IFERROR(INDEX(tblRegistros[Início],$L382),"")))</f>
        <v/>
      </c>
      <c r="E382" s="4" t="str">
        <f>IF($L382="","",IF(INDEX(tblRegistros[Data],$L382)&gt;$D$4,"",IFERROR(IF(INDEX(tblRegistros[Status],$L382)="EM ABERTO","",INDEX(tblRegistros[Fim],$L382)),"")))</f>
        <v/>
      </c>
      <c r="F382" s="14" t="str">
        <f>IF($L382="","",IF(INDEX(tblRegistros[Data],$L382)&gt;$D$4,"",IFERROR(IF(INDEX(tblRegistros[Status],$L382)="EM ABERTO","",INDEX(tblRegistros[Horas],$L382)),"")))</f>
        <v/>
      </c>
      <c r="G382" t="str">
        <f>IF($L382="","",IF(INDEX(tblRegistros[Data],$L382)&gt;$D$4,"",IFERROR(INDEX(tblRegistros[Base],$L382),"")))</f>
        <v/>
      </c>
      <c r="H382" s="3" t="str">
        <f>IF($L382="","",IF(INDEX(tblRegistros[Data],$L382)&gt;$D$4,"",IFERROR(INDEX(tblRegistros[Taxa aplicada],$L382),"")))</f>
        <v/>
      </c>
      <c r="I382" s="3" t="str">
        <f>IF($L382="","",IF(INDEX(tblRegistros[Data],$L382)&gt;$D$4,"",IFERROR(IF(INDEX(tblRegistros[Status],$L382)="EM ABERTO","",INDEX(tblRegistros[Valor],$L382)),"")))</f>
        <v/>
      </c>
      <c r="J382" t="str">
        <f>IF($L382="","",IF(INDEX(tblRegistros[Data],$L382)&gt;$D$4,"",IFERROR(INDEX(tblRegistros[Status],$L382),"")))</f>
        <v/>
      </c>
      <c r="K382" t="str">
        <f>IF($L382="","",IF(INDEX(tblRegistros[Data],$L382)&gt;$D$4,"",IFERROR(INDEX(tblRegistros[Observação],$L382),"")))</f>
        <v/>
      </c>
      <c r="L382" s="16" t="str">
        <f>IFERROR(MATCH($B$3*100000+COUNTIFS(tblRegistros[ID],$B$3,tblRegistros[Data],"&lt;"&amp;$B$4)+ROWS($L$10:L382),tblRegistros[Chave do cartão],0),"")</f>
        <v/>
      </c>
    </row>
    <row r="383" spans="1:12">
      <c r="A383" s="2" t="str">
        <f>IF($L383="","",IF(INDEX(tblRegistros[Data],$L383)&gt;$D$4,"",IFERROR(INDEX(tblRegistros[Data],$L383),"")))</f>
        <v/>
      </c>
      <c r="B383" t="str">
        <f>IF($L383="","",IF(INDEX(tblRegistros[Data],$L383)&gt;$D$4,"",IFERROR(INDEX(tblRegistros[Projeto],$L383),"")))</f>
        <v/>
      </c>
      <c r="C383" t="str">
        <f>IF($L383="","",IF(INDEX(tblRegistros[Data],$L383)&gt;$D$4,"",IFERROR(INDEX(tblRegistros[Atividade],$L383),"")))</f>
        <v/>
      </c>
      <c r="D383" s="4" t="str">
        <f>IF($L383="","",IF(INDEX(tblRegistros[Data],$L383)&gt;$D$4,"",IFERROR(INDEX(tblRegistros[Início],$L383),"")))</f>
        <v/>
      </c>
      <c r="E383" s="4" t="str">
        <f>IF($L383="","",IF(INDEX(tblRegistros[Data],$L383)&gt;$D$4,"",IFERROR(IF(INDEX(tblRegistros[Status],$L383)="EM ABERTO","",INDEX(tblRegistros[Fim],$L383)),"")))</f>
        <v/>
      </c>
      <c r="F383" s="14" t="str">
        <f>IF($L383="","",IF(INDEX(tblRegistros[Data],$L383)&gt;$D$4,"",IFERROR(IF(INDEX(tblRegistros[Status],$L383)="EM ABERTO","",INDEX(tblRegistros[Horas],$L383)),"")))</f>
        <v/>
      </c>
      <c r="G383" t="str">
        <f>IF($L383="","",IF(INDEX(tblRegistros[Data],$L383)&gt;$D$4,"",IFERROR(INDEX(tblRegistros[Base],$L383),"")))</f>
        <v/>
      </c>
      <c r="H383" s="3" t="str">
        <f>IF($L383="","",IF(INDEX(tblRegistros[Data],$L383)&gt;$D$4,"",IFERROR(INDEX(tblRegistros[Taxa aplicada],$L383),"")))</f>
        <v/>
      </c>
      <c r="I383" s="3" t="str">
        <f>IF($L383="","",IF(INDEX(tblRegistros[Data],$L383)&gt;$D$4,"",IFERROR(IF(INDEX(tblRegistros[Status],$L383)="EM ABERTO","",INDEX(tblRegistros[Valor],$L383)),"")))</f>
        <v/>
      </c>
      <c r="J383" t="str">
        <f>IF($L383="","",IF(INDEX(tblRegistros[Data],$L383)&gt;$D$4,"",IFERROR(INDEX(tblRegistros[Status],$L383),"")))</f>
        <v/>
      </c>
      <c r="K383" t="str">
        <f>IF($L383="","",IF(INDEX(tblRegistros[Data],$L383)&gt;$D$4,"",IFERROR(INDEX(tblRegistros[Observação],$L383),"")))</f>
        <v/>
      </c>
      <c r="L383" s="16" t="str">
        <f>IFERROR(MATCH($B$3*100000+COUNTIFS(tblRegistros[ID],$B$3,tblRegistros[Data],"&lt;"&amp;$B$4)+ROWS($L$10:L383),tblRegistros[Chave do cartão],0),"")</f>
        <v/>
      </c>
    </row>
    <row r="384" spans="1:12">
      <c r="A384" s="2" t="str">
        <f>IF($L384="","",IF(INDEX(tblRegistros[Data],$L384)&gt;$D$4,"",IFERROR(INDEX(tblRegistros[Data],$L384),"")))</f>
        <v/>
      </c>
      <c r="B384" t="str">
        <f>IF($L384="","",IF(INDEX(tblRegistros[Data],$L384)&gt;$D$4,"",IFERROR(INDEX(tblRegistros[Projeto],$L384),"")))</f>
        <v/>
      </c>
      <c r="C384" t="str">
        <f>IF($L384="","",IF(INDEX(tblRegistros[Data],$L384)&gt;$D$4,"",IFERROR(INDEX(tblRegistros[Atividade],$L384),"")))</f>
        <v/>
      </c>
      <c r="D384" s="4" t="str">
        <f>IF($L384="","",IF(INDEX(tblRegistros[Data],$L384)&gt;$D$4,"",IFERROR(INDEX(tblRegistros[Início],$L384),"")))</f>
        <v/>
      </c>
      <c r="E384" s="4" t="str">
        <f>IF($L384="","",IF(INDEX(tblRegistros[Data],$L384)&gt;$D$4,"",IFERROR(IF(INDEX(tblRegistros[Status],$L384)="EM ABERTO","",INDEX(tblRegistros[Fim],$L384)),"")))</f>
        <v/>
      </c>
      <c r="F384" s="14" t="str">
        <f>IF($L384="","",IF(INDEX(tblRegistros[Data],$L384)&gt;$D$4,"",IFERROR(IF(INDEX(tblRegistros[Status],$L384)="EM ABERTO","",INDEX(tblRegistros[Horas],$L384)),"")))</f>
        <v/>
      </c>
      <c r="G384" t="str">
        <f>IF($L384="","",IF(INDEX(tblRegistros[Data],$L384)&gt;$D$4,"",IFERROR(INDEX(tblRegistros[Base],$L384),"")))</f>
        <v/>
      </c>
      <c r="H384" s="3" t="str">
        <f>IF($L384="","",IF(INDEX(tblRegistros[Data],$L384)&gt;$D$4,"",IFERROR(INDEX(tblRegistros[Taxa aplicada],$L384),"")))</f>
        <v/>
      </c>
      <c r="I384" s="3" t="str">
        <f>IF($L384="","",IF(INDEX(tblRegistros[Data],$L384)&gt;$D$4,"",IFERROR(IF(INDEX(tblRegistros[Status],$L384)="EM ABERTO","",INDEX(tblRegistros[Valor],$L384)),"")))</f>
        <v/>
      </c>
      <c r="J384" t="str">
        <f>IF($L384="","",IF(INDEX(tblRegistros[Data],$L384)&gt;$D$4,"",IFERROR(INDEX(tblRegistros[Status],$L384),"")))</f>
        <v/>
      </c>
      <c r="K384" t="str">
        <f>IF($L384="","",IF(INDEX(tblRegistros[Data],$L384)&gt;$D$4,"",IFERROR(INDEX(tblRegistros[Observação],$L384),"")))</f>
        <v/>
      </c>
      <c r="L384" s="16" t="str">
        <f>IFERROR(MATCH($B$3*100000+COUNTIFS(tblRegistros[ID],$B$3,tblRegistros[Data],"&lt;"&amp;$B$4)+ROWS($L$10:L384),tblRegistros[Chave do cartão],0),"")</f>
        <v/>
      </c>
    </row>
    <row r="385" spans="1:12">
      <c r="A385" s="2" t="str">
        <f>IF($L385="","",IF(INDEX(tblRegistros[Data],$L385)&gt;$D$4,"",IFERROR(INDEX(tblRegistros[Data],$L385),"")))</f>
        <v/>
      </c>
      <c r="B385" t="str">
        <f>IF($L385="","",IF(INDEX(tblRegistros[Data],$L385)&gt;$D$4,"",IFERROR(INDEX(tblRegistros[Projeto],$L385),"")))</f>
        <v/>
      </c>
      <c r="C385" t="str">
        <f>IF($L385="","",IF(INDEX(tblRegistros[Data],$L385)&gt;$D$4,"",IFERROR(INDEX(tblRegistros[Atividade],$L385),"")))</f>
        <v/>
      </c>
      <c r="D385" s="4" t="str">
        <f>IF($L385="","",IF(INDEX(tblRegistros[Data],$L385)&gt;$D$4,"",IFERROR(INDEX(tblRegistros[Início],$L385),"")))</f>
        <v/>
      </c>
      <c r="E385" s="4" t="str">
        <f>IF($L385="","",IF(INDEX(tblRegistros[Data],$L385)&gt;$D$4,"",IFERROR(IF(INDEX(tblRegistros[Status],$L385)="EM ABERTO","",INDEX(tblRegistros[Fim],$L385)),"")))</f>
        <v/>
      </c>
      <c r="F385" s="14" t="str">
        <f>IF($L385="","",IF(INDEX(tblRegistros[Data],$L385)&gt;$D$4,"",IFERROR(IF(INDEX(tblRegistros[Status],$L385)="EM ABERTO","",INDEX(tblRegistros[Horas],$L385)),"")))</f>
        <v/>
      </c>
      <c r="G385" t="str">
        <f>IF($L385="","",IF(INDEX(tblRegistros[Data],$L385)&gt;$D$4,"",IFERROR(INDEX(tblRegistros[Base],$L385),"")))</f>
        <v/>
      </c>
      <c r="H385" s="3" t="str">
        <f>IF($L385="","",IF(INDEX(tblRegistros[Data],$L385)&gt;$D$4,"",IFERROR(INDEX(tblRegistros[Taxa aplicada],$L385),"")))</f>
        <v/>
      </c>
      <c r="I385" s="3" t="str">
        <f>IF($L385="","",IF(INDEX(tblRegistros[Data],$L385)&gt;$D$4,"",IFERROR(IF(INDEX(tblRegistros[Status],$L385)="EM ABERTO","",INDEX(tblRegistros[Valor],$L385)),"")))</f>
        <v/>
      </c>
      <c r="J385" t="str">
        <f>IF($L385="","",IF(INDEX(tblRegistros[Data],$L385)&gt;$D$4,"",IFERROR(INDEX(tblRegistros[Status],$L385),"")))</f>
        <v/>
      </c>
      <c r="K385" t="str">
        <f>IF($L385="","",IF(INDEX(tblRegistros[Data],$L385)&gt;$D$4,"",IFERROR(INDEX(tblRegistros[Observação],$L385),"")))</f>
        <v/>
      </c>
      <c r="L385" s="16" t="str">
        <f>IFERROR(MATCH($B$3*100000+COUNTIFS(tblRegistros[ID],$B$3,tblRegistros[Data],"&lt;"&amp;$B$4)+ROWS($L$10:L385),tblRegistros[Chave do cartão],0),"")</f>
        <v/>
      </c>
    </row>
    <row r="386" spans="1:12">
      <c r="A386" s="2" t="str">
        <f>IF($L386="","",IF(INDEX(tblRegistros[Data],$L386)&gt;$D$4,"",IFERROR(INDEX(tblRegistros[Data],$L386),"")))</f>
        <v/>
      </c>
      <c r="B386" t="str">
        <f>IF($L386="","",IF(INDEX(tblRegistros[Data],$L386)&gt;$D$4,"",IFERROR(INDEX(tblRegistros[Projeto],$L386),"")))</f>
        <v/>
      </c>
      <c r="C386" t="str">
        <f>IF($L386="","",IF(INDEX(tblRegistros[Data],$L386)&gt;$D$4,"",IFERROR(INDEX(tblRegistros[Atividade],$L386),"")))</f>
        <v/>
      </c>
      <c r="D386" s="4" t="str">
        <f>IF($L386="","",IF(INDEX(tblRegistros[Data],$L386)&gt;$D$4,"",IFERROR(INDEX(tblRegistros[Início],$L386),"")))</f>
        <v/>
      </c>
      <c r="E386" s="4" t="str">
        <f>IF($L386="","",IF(INDEX(tblRegistros[Data],$L386)&gt;$D$4,"",IFERROR(IF(INDEX(tblRegistros[Status],$L386)="EM ABERTO","",INDEX(tblRegistros[Fim],$L386)),"")))</f>
        <v/>
      </c>
      <c r="F386" s="14" t="str">
        <f>IF($L386="","",IF(INDEX(tblRegistros[Data],$L386)&gt;$D$4,"",IFERROR(IF(INDEX(tblRegistros[Status],$L386)="EM ABERTO","",INDEX(tblRegistros[Horas],$L386)),"")))</f>
        <v/>
      </c>
      <c r="G386" t="str">
        <f>IF($L386="","",IF(INDEX(tblRegistros[Data],$L386)&gt;$D$4,"",IFERROR(INDEX(tblRegistros[Base],$L386),"")))</f>
        <v/>
      </c>
      <c r="H386" s="3" t="str">
        <f>IF($L386="","",IF(INDEX(tblRegistros[Data],$L386)&gt;$D$4,"",IFERROR(INDEX(tblRegistros[Taxa aplicada],$L386),"")))</f>
        <v/>
      </c>
      <c r="I386" s="3" t="str">
        <f>IF($L386="","",IF(INDEX(tblRegistros[Data],$L386)&gt;$D$4,"",IFERROR(IF(INDEX(tblRegistros[Status],$L386)="EM ABERTO","",INDEX(tblRegistros[Valor],$L386)),"")))</f>
        <v/>
      </c>
      <c r="J386" t="str">
        <f>IF($L386="","",IF(INDEX(tblRegistros[Data],$L386)&gt;$D$4,"",IFERROR(INDEX(tblRegistros[Status],$L386),"")))</f>
        <v/>
      </c>
      <c r="K386" t="str">
        <f>IF($L386="","",IF(INDEX(tblRegistros[Data],$L386)&gt;$D$4,"",IFERROR(INDEX(tblRegistros[Observação],$L386),"")))</f>
        <v/>
      </c>
      <c r="L386" s="16" t="str">
        <f>IFERROR(MATCH($B$3*100000+COUNTIFS(tblRegistros[ID],$B$3,tblRegistros[Data],"&lt;"&amp;$B$4)+ROWS($L$10:L386),tblRegistros[Chave do cartão],0),"")</f>
        <v/>
      </c>
    </row>
    <row r="387" spans="1:12">
      <c r="A387" s="2" t="str">
        <f>IF($L387="","",IF(INDEX(tblRegistros[Data],$L387)&gt;$D$4,"",IFERROR(INDEX(tblRegistros[Data],$L387),"")))</f>
        <v/>
      </c>
      <c r="B387" t="str">
        <f>IF($L387="","",IF(INDEX(tblRegistros[Data],$L387)&gt;$D$4,"",IFERROR(INDEX(tblRegistros[Projeto],$L387),"")))</f>
        <v/>
      </c>
      <c r="C387" t="str">
        <f>IF($L387="","",IF(INDEX(tblRegistros[Data],$L387)&gt;$D$4,"",IFERROR(INDEX(tblRegistros[Atividade],$L387),"")))</f>
        <v/>
      </c>
      <c r="D387" s="4" t="str">
        <f>IF($L387="","",IF(INDEX(tblRegistros[Data],$L387)&gt;$D$4,"",IFERROR(INDEX(tblRegistros[Início],$L387),"")))</f>
        <v/>
      </c>
      <c r="E387" s="4" t="str">
        <f>IF($L387="","",IF(INDEX(tblRegistros[Data],$L387)&gt;$D$4,"",IFERROR(IF(INDEX(tblRegistros[Status],$L387)="EM ABERTO","",INDEX(tblRegistros[Fim],$L387)),"")))</f>
        <v/>
      </c>
      <c r="F387" s="14" t="str">
        <f>IF($L387="","",IF(INDEX(tblRegistros[Data],$L387)&gt;$D$4,"",IFERROR(IF(INDEX(tblRegistros[Status],$L387)="EM ABERTO","",INDEX(tblRegistros[Horas],$L387)),"")))</f>
        <v/>
      </c>
      <c r="G387" t="str">
        <f>IF($L387="","",IF(INDEX(tblRegistros[Data],$L387)&gt;$D$4,"",IFERROR(INDEX(tblRegistros[Base],$L387),"")))</f>
        <v/>
      </c>
      <c r="H387" s="3" t="str">
        <f>IF($L387="","",IF(INDEX(tblRegistros[Data],$L387)&gt;$D$4,"",IFERROR(INDEX(tblRegistros[Taxa aplicada],$L387),"")))</f>
        <v/>
      </c>
      <c r="I387" s="3" t="str">
        <f>IF($L387="","",IF(INDEX(tblRegistros[Data],$L387)&gt;$D$4,"",IFERROR(IF(INDEX(tblRegistros[Status],$L387)="EM ABERTO","",INDEX(tblRegistros[Valor],$L387)),"")))</f>
        <v/>
      </c>
      <c r="J387" t="str">
        <f>IF($L387="","",IF(INDEX(tblRegistros[Data],$L387)&gt;$D$4,"",IFERROR(INDEX(tblRegistros[Status],$L387),"")))</f>
        <v/>
      </c>
      <c r="K387" t="str">
        <f>IF($L387="","",IF(INDEX(tblRegistros[Data],$L387)&gt;$D$4,"",IFERROR(INDEX(tblRegistros[Observação],$L387),"")))</f>
        <v/>
      </c>
      <c r="L387" s="16" t="str">
        <f>IFERROR(MATCH($B$3*100000+COUNTIFS(tblRegistros[ID],$B$3,tblRegistros[Data],"&lt;"&amp;$B$4)+ROWS($L$10:L387),tblRegistros[Chave do cartão],0),"")</f>
        <v/>
      </c>
    </row>
    <row r="388" spans="1:12">
      <c r="A388" s="2" t="str">
        <f>IF($L388="","",IF(INDEX(tblRegistros[Data],$L388)&gt;$D$4,"",IFERROR(INDEX(tblRegistros[Data],$L388),"")))</f>
        <v/>
      </c>
      <c r="B388" t="str">
        <f>IF($L388="","",IF(INDEX(tblRegistros[Data],$L388)&gt;$D$4,"",IFERROR(INDEX(tblRegistros[Projeto],$L388),"")))</f>
        <v/>
      </c>
      <c r="C388" t="str">
        <f>IF($L388="","",IF(INDEX(tblRegistros[Data],$L388)&gt;$D$4,"",IFERROR(INDEX(tblRegistros[Atividade],$L388),"")))</f>
        <v/>
      </c>
      <c r="D388" s="4" t="str">
        <f>IF($L388="","",IF(INDEX(tblRegistros[Data],$L388)&gt;$D$4,"",IFERROR(INDEX(tblRegistros[Início],$L388),"")))</f>
        <v/>
      </c>
      <c r="E388" s="4" t="str">
        <f>IF($L388="","",IF(INDEX(tblRegistros[Data],$L388)&gt;$D$4,"",IFERROR(IF(INDEX(tblRegistros[Status],$L388)="EM ABERTO","",INDEX(tblRegistros[Fim],$L388)),"")))</f>
        <v/>
      </c>
      <c r="F388" s="14" t="str">
        <f>IF($L388="","",IF(INDEX(tblRegistros[Data],$L388)&gt;$D$4,"",IFERROR(IF(INDEX(tblRegistros[Status],$L388)="EM ABERTO","",INDEX(tblRegistros[Horas],$L388)),"")))</f>
        <v/>
      </c>
      <c r="G388" t="str">
        <f>IF($L388="","",IF(INDEX(tblRegistros[Data],$L388)&gt;$D$4,"",IFERROR(INDEX(tblRegistros[Base],$L388),"")))</f>
        <v/>
      </c>
      <c r="H388" s="3" t="str">
        <f>IF($L388="","",IF(INDEX(tblRegistros[Data],$L388)&gt;$D$4,"",IFERROR(INDEX(tblRegistros[Taxa aplicada],$L388),"")))</f>
        <v/>
      </c>
      <c r="I388" s="3" t="str">
        <f>IF($L388="","",IF(INDEX(tblRegistros[Data],$L388)&gt;$D$4,"",IFERROR(IF(INDEX(tblRegistros[Status],$L388)="EM ABERTO","",INDEX(tblRegistros[Valor],$L388)),"")))</f>
        <v/>
      </c>
      <c r="J388" t="str">
        <f>IF($L388="","",IF(INDEX(tblRegistros[Data],$L388)&gt;$D$4,"",IFERROR(INDEX(tblRegistros[Status],$L388),"")))</f>
        <v/>
      </c>
      <c r="K388" t="str">
        <f>IF($L388="","",IF(INDEX(tblRegistros[Data],$L388)&gt;$D$4,"",IFERROR(INDEX(tblRegistros[Observação],$L388),"")))</f>
        <v/>
      </c>
      <c r="L388" s="16" t="str">
        <f>IFERROR(MATCH($B$3*100000+COUNTIFS(tblRegistros[ID],$B$3,tblRegistros[Data],"&lt;"&amp;$B$4)+ROWS($L$10:L388),tblRegistros[Chave do cartão],0),"")</f>
        <v/>
      </c>
    </row>
    <row r="389" spans="1:12">
      <c r="A389" s="2" t="str">
        <f>IF($L389="","",IF(INDEX(tblRegistros[Data],$L389)&gt;$D$4,"",IFERROR(INDEX(tblRegistros[Data],$L389),"")))</f>
        <v/>
      </c>
      <c r="B389" t="str">
        <f>IF($L389="","",IF(INDEX(tblRegistros[Data],$L389)&gt;$D$4,"",IFERROR(INDEX(tblRegistros[Projeto],$L389),"")))</f>
        <v/>
      </c>
      <c r="C389" t="str">
        <f>IF($L389="","",IF(INDEX(tblRegistros[Data],$L389)&gt;$D$4,"",IFERROR(INDEX(tblRegistros[Atividade],$L389),"")))</f>
        <v/>
      </c>
      <c r="D389" s="4" t="str">
        <f>IF($L389="","",IF(INDEX(tblRegistros[Data],$L389)&gt;$D$4,"",IFERROR(INDEX(tblRegistros[Início],$L389),"")))</f>
        <v/>
      </c>
      <c r="E389" s="4" t="str">
        <f>IF($L389="","",IF(INDEX(tblRegistros[Data],$L389)&gt;$D$4,"",IFERROR(IF(INDEX(tblRegistros[Status],$L389)="EM ABERTO","",INDEX(tblRegistros[Fim],$L389)),"")))</f>
        <v/>
      </c>
      <c r="F389" s="14" t="str">
        <f>IF($L389="","",IF(INDEX(tblRegistros[Data],$L389)&gt;$D$4,"",IFERROR(IF(INDEX(tblRegistros[Status],$L389)="EM ABERTO","",INDEX(tblRegistros[Horas],$L389)),"")))</f>
        <v/>
      </c>
      <c r="G389" t="str">
        <f>IF($L389="","",IF(INDEX(tblRegistros[Data],$L389)&gt;$D$4,"",IFERROR(INDEX(tblRegistros[Base],$L389),"")))</f>
        <v/>
      </c>
      <c r="H389" s="3" t="str">
        <f>IF($L389="","",IF(INDEX(tblRegistros[Data],$L389)&gt;$D$4,"",IFERROR(INDEX(tblRegistros[Taxa aplicada],$L389),"")))</f>
        <v/>
      </c>
      <c r="I389" s="3" t="str">
        <f>IF($L389="","",IF(INDEX(tblRegistros[Data],$L389)&gt;$D$4,"",IFERROR(IF(INDEX(tblRegistros[Status],$L389)="EM ABERTO","",INDEX(tblRegistros[Valor],$L389)),"")))</f>
        <v/>
      </c>
      <c r="J389" t="str">
        <f>IF($L389="","",IF(INDEX(tblRegistros[Data],$L389)&gt;$D$4,"",IFERROR(INDEX(tblRegistros[Status],$L389),"")))</f>
        <v/>
      </c>
      <c r="K389" t="str">
        <f>IF($L389="","",IF(INDEX(tblRegistros[Data],$L389)&gt;$D$4,"",IFERROR(INDEX(tblRegistros[Observação],$L389),"")))</f>
        <v/>
      </c>
      <c r="L389" s="16" t="str">
        <f>IFERROR(MATCH($B$3*100000+COUNTIFS(tblRegistros[ID],$B$3,tblRegistros[Data],"&lt;"&amp;$B$4)+ROWS($L$10:L389),tblRegistros[Chave do cartão],0),"")</f>
        <v/>
      </c>
    </row>
    <row r="390" spans="1:12">
      <c r="A390" s="2" t="str">
        <f>IF($L390="","",IF(INDEX(tblRegistros[Data],$L390)&gt;$D$4,"",IFERROR(INDEX(tblRegistros[Data],$L390),"")))</f>
        <v/>
      </c>
      <c r="B390" t="str">
        <f>IF($L390="","",IF(INDEX(tblRegistros[Data],$L390)&gt;$D$4,"",IFERROR(INDEX(tblRegistros[Projeto],$L390),"")))</f>
        <v/>
      </c>
      <c r="C390" t="str">
        <f>IF($L390="","",IF(INDEX(tblRegistros[Data],$L390)&gt;$D$4,"",IFERROR(INDEX(tblRegistros[Atividade],$L390),"")))</f>
        <v/>
      </c>
      <c r="D390" s="4" t="str">
        <f>IF($L390="","",IF(INDEX(tblRegistros[Data],$L390)&gt;$D$4,"",IFERROR(INDEX(tblRegistros[Início],$L390),"")))</f>
        <v/>
      </c>
      <c r="E390" s="4" t="str">
        <f>IF($L390="","",IF(INDEX(tblRegistros[Data],$L390)&gt;$D$4,"",IFERROR(IF(INDEX(tblRegistros[Status],$L390)="EM ABERTO","",INDEX(tblRegistros[Fim],$L390)),"")))</f>
        <v/>
      </c>
      <c r="F390" s="14" t="str">
        <f>IF($L390="","",IF(INDEX(tblRegistros[Data],$L390)&gt;$D$4,"",IFERROR(IF(INDEX(tblRegistros[Status],$L390)="EM ABERTO","",INDEX(tblRegistros[Horas],$L390)),"")))</f>
        <v/>
      </c>
      <c r="G390" t="str">
        <f>IF($L390="","",IF(INDEX(tblRegistros[Data],$L390)&gt;$D$4,"",IFERROR(INDEX(tblRegistros[Base],$L390),"")))</f>
        <v/>
      </c>
      <c r="H390" s="3" t="str">
        <f>IF($L390="","",IF(INDEX(tblRegistros[Data],$L390)&gt;$D$4,"",IFERROR(INDEX(tblRegistros[Taxa aplicada],$L390),"")))</f>
        <v/>
      </c>
      <c r="I390" s="3" t="str">
        <f>IF($L390="","",IF(INDEX(tblRegistros[Data],$L390)&gt;$D$4,"",IFERROR(IF(INDEX(tblRegistros[Status],$L390)="EM ABERTO","",INDEX(tblRegistros[Valor],$L390)),"")))</f>
        <v/>
      </c>
      <c r="J390" t="str">
        <f>IF($L390="","",IF(INDEX(tblRegistros[Data],$L390)&gt;$D$4,"",IFERROR(INDEX(tblRegistros[Status],$L390),"")))</f>
        <v/>
      </c>
      <c r="K390" t="str">
        <f>IF($L390="","",IF(INDEX(tblRegistros[Data],$L390)&gt;$D$4,"",IFERROR(INDEX(tblRegistros[Observação],$L390),"")))</f>
        <v/>
      </c>
      <c r="L390" s="16" t="str">
        <f>IFERROR(MATCH($B$3*100000+COUNTIFS(tblRegistros[ID],$B$3,tblRegistros[Data],"&lt;"&amp;$B$4)+ROWS($L$10:L390),tblRegistros[Chave do cartão],0),"")</f>
        <v/>
      </c>
    </row>
    <row r="391" spans="1:12">
      <c r="A391" s="2" t="str">
        <f>IF($L391="","",IF(INDEX(tblRegistros[Data],$L391)&gt;$D$4,"",IFERROR(INDEX(tblRegistros[Data],$L391),"")))</f>
        <v/>
      </c>
      <c r="B391" t="str">
        <f>IF($L391="","",IF(INDEX(tblRegistros[Data],$L391)&gt;$D$4,"",IFERROR(INDEX(tblRegistros[Projeto],$L391),"")))</f>
        <v/>
      </c>
      <c r="C391" t="str">
        <f>IF($L391="","",IF(INDEX(tblRegistros[Data],$L391)&gt;$D$4,"",IFERROR(INDEX(tblRegistros[Atividade],$L391),"")))</f>
        <v/>
      </c>
      <c r="D391" s="4" t="str">
        <f>IF($L391="","",IF(INDEX(tblRegistros[Data],$L391)&gt;$D$4,"",IFERROR(INDEX(tblRegistros[Início],$L391),"")))</f>
        <v/>
      </c>
      <c r="E391" s="4" t="str">
        <f>IF($L391="","",IF(INDEX(tblRegistros[Data],$L391)&gt;$D$4,"",IFERROR(IF(INDEX(tblRegistros[Status],$L391)="EM ABERTO","",INDEX(tblRegistros[Fim],$L391)),"")))</f>
        <v/>
      </c>
      <c r="F391" s="14" t="str">
        <f>IF($L391="","",IF(INDEX(tblRegistros[Data],$L391)&gt;$D$4,"",IFERROR(IF(INDEX(tblRegistros[Status],$L391)="EM ABERTO","",INDEX(tblRegistros[Horas],$L391)),"")))</f>
        <v/>
      </c>
      <c r="G391" t="str">
        <f>IF($L391="","",IF(INDEX(tblRegistros[Data],$L391)&gt;$D$4,"",IFERROR(INDEX(tblRegistros[Base],$L391),"")))</f>
        <v/>
      </c>
      <c r="H391" s="3" t="str">
        <f>IF($L391="","",IF(INDEX(tblRegistros[Data],$L391)&gt;$D$4,"",IFERROR(INDEX(tblRegistros[Taxa aplicada],$L391),"")))</f>
        <v/>
      </c>
      <c r="I391" s="3" t="str">
        <f>IF($L391="","",IF(INDEX(tblRegistros[Data],$L391)&gt;$D$4,"",IFERROR(IF(INDEX(tblRegistros[Status],$L391)="EM ABERTO","",INDEX(tblRegistros[Valor],$L391)),"")))</f>
        <v/>
      </c>
      <c r="J391" t="str">
        <f>IF($L391="","",IF(INDEX(tblRegistros[Data],$L391)&gt;$D$4,"",IFERROR(INDEX(tblRegistros[Status],$L391),"")))</f>
        <v/>
      </c>
      <c r="K391" t="str">
        <f>IF($L391="","",IF(INDEX(tblRegistros[Data],$L391)&gt;$D$4,"",IFERROR(INDEX(tblRegistros[Observação],$L391),"")))</f>
        <v/>
      </c>
      <c r="L391" s="16" t="str">
        <f>IFERROR(MATCH($B$3*100000+COUNTIFS(tblRegistros[ID],$B$3,tblRegistros[Data],"&lt;"&amp;$B$4)+ROWS($L$10:L391),tblRegistros[Chave do cartão],0),"")</f>
        <v/>
      </c>
    </row>
    <row r="392" spans="1:12">
      <c r="A392" s="2" t="str">
        <f>IF($L392="","",IF(INDEX(tblRegistros[Data],$L392)&gt;$D$4,"",IFERROR(INDEX(tblRegistros[Data],$L392),"")))</f>
        <v/>
      </c>
      <c r="B392" t="str">
        <f>IF($L392="","",IF(INDEX(tblRegistros[Data],$L392)&gt;$D$4,"",IFERROR(INDEX(tblRegistros[Projeto],$L392),"")))</f>
        <v/>
      </c>
      <c r="C392" t="str">
        <f>IF($L392="","",IF(INDEX(tblRegistros[Data],$L392)&gt;$D$4,"",IFERROR(INDEX(tblRegistros[Atividade],$L392),"")))</f>
        <v/>
      </c>
      <c r="D392" s="4" t="str">
        <f>IF($L392="","",IF(INDEX(tblRegistros[Data],$L392)&gt;$D$4,"",IFERROR(INDEX(tblRegistros[Início],$L392),"")))</f>
        <v/>
      </c>
      <c r="E392" s="4" t="str">
        <f>IF($L392="","",IF(INDEX(tblRegistros[Data],$L392)&gt;$D$4,"",IFERROR(IF(INDEX(tblRegistros[Status],$L392)="EM ABERTO","",INDEX(tblRegistros[Fim],$L392)),"")))</f>
        <v/>
      </c>
      <c r="F392" s="14" t="str">
        <f>IF($L392="","",IF(INDEX(tblRegistros[Data],$L392)&gt;$D$4,"",IFERROR(IF(INDEX(tblRegistros[Status],$L392)="EM ABERTO","",INDEX(tblRegistros[Horas],$L392)),"")))</f>
        <v/>
      </c>
      <c r="G392" t="str">
        <f>IF($L392="","",IF(INDEX(tblRegistros[Data],$L392)&gt;$D$4,"",IFERROR(INDEX(tblRegistros[Base],$L392),"")))</f>
        <v/>
      </c>
      <c r="H392" s="3" t="str">
        <f>IF($L392="","",IF(INDEX(tblRegistros[Data],$L392)&gt;$D$4,"",IFERROR(INDEX(tblRegistros[Taxa aplicada],$L392),"")))</f>
        <v/>
      </c>
      <c r="I392" s="3" t="str">
        <f>IF($L392="","",IF(INDEX(tblRegistros[Data],$L392)&gt;$D$4,"",IFERROR(IF(INDEX(tblRegistros[Status],$L392)="EM ABERTO","",INDEX(tblRegistros[Valor],$L392)),"")))</f>
        <v/>
      </c>
      <c r="J392" t="str">
        <f>IF($L392="","",IF(INDEX(tblRegistros[Data],$L392)&gt;$D$4,"",IFERROR(INDEX(tblRegistros[Status],$L392),"")))</f>
        <v/>
      </c>
      <c r="K392" t="str">
        <f>IF($L392="","",IF(INDEX(tblRegistros[Data],$L392)&gt;$D$4,"",IFERROR(INDEX(tblRegistros[Observação],$L392),"")))</f>
        <v/>
      </c>
      <c r="L392" s="16" t="str">
        <f>IFERROR(MATCH($B$3*100000+COUNTIFS(tblRegistros[ID],$B$3,tblRegistros[Data],"&lt;"&amp;$B$4)+ROWS($L$10:L392),tblRegistros[Chave do cartão],0),"")</f>
        <v/>
      </c>
    </row>
    <row r="393" spans="1:12">
      <c r="A393" s="2" t="str">
        <f>IF($L393="","",IF(INDEX(tblRegistros[Data],$L393)&gt;$D$4,"",IFERROR(INDEX(tblRegistros[Data],$L393),"")))</f>
        <v/>
      </c>
      <c r="B393" t="str">
        <f>IF($L393="","",IF(INDEX(tblRegistros[Data],$L393)&gt;$D$4,"",IFERROR(INDEX(tblRegistros[Projeto],$L393),"")))</f>
        <v/>
      </c>
      <c r="C393" t="str">
        <f>IF($L393="","",IF(INDEX(tblRegistros[Data],$L393)&gt;$D$4,"",IFERROR(INDEX(tblRegistros[Atividade],$L393),"")))</f>
        <v/>
      </c>
      <c r="D393" s="4" t="str">
        <f>IF($L393="","",IF(INDEX(tblRegistros[Data],$L393)&gt;$D$4,"",IFERROR(INDEX(tblRegistros[Início],$L393),"")))</f>
        <v/>
      </c>
      <c r="E393" s="4" t="str">
        <f>IF($L393="","",IF(INDEX(tblRegistros[Data],$L393)&gt;$D$4,"",IFERROR(IF(INDEX(tblRegistros[Status],$L393)="EM ABERTO","",INDEX(tblRegistros[Fim],$L393)),"")))</f>
        <v/>
      </c>
      <c r="F393" s="14" t="str">
        <f>IF($L393="","",IF(INDEX(tblRegistros[Data],$L393)&gt;$D$4,"",IFERROR(IF(INDEX(tblRegistros[Status],$L393)="EM ABERTO","",INDEX(tblRegistros[Horas],$L393)),"")))</f>
        <v/>
      </c>
      <c r="G393" t="str">
        <f>IF($L393="","",IF(INDEX(tblRegistros[Data],$L393)&gt;$D$4,"",IFERROR(INDEX(tblRegistros[Base],$L393),"")))</f>
        <v/>
      </c>
      <c r="H393" s="3" t="str">
        <f>IF($L393="","",IF(INDEX(tblRegistros[Data],$L393)&gt;$D$4,"",IFERROR(INDEX(tblRegistros[Taxa aplicada],$L393),"")))</f>
        <v/>
      </c>
      <c r="I393" s="3" t="str">
        <f>IF($L393="","",IF(INDEX(tblRegistros[Data],$L393)&gt;$D$4,"",IFERROR(IF(INDEX(tblRegistros[Status],$L393)="EM ABERTO","",INDEX(tblRegistros[Valor],$L393)),"")))</f>
        <v/>
      </c>
      <c r="J393" t="str">
        <f>IF($L393="","",IF(INDEX(tblRegistros[Data],$L393)&gt;$D$4,"",IFERROR(INDEX(tblRegistros[Status],$L393),"")))</f>
        <v/>
      </c>
      <c r="K393" t="str">
        <f>IF($L393="","",IF(INDEX(tblRegistros[Data],$L393)&gt;$D$4,"",IFERROR(INDEX(tblRegistros[Observação],$L393),"")))</f>
        <v/>
      </c>
      <c r="L393" s="16" t="str">
        <f>IFERROR(MATCH($B$3*100000+COUNTIFS(tblRegistros[ID],$B$3,tblRegistros[Data],"&lt;"&amp;$B$4)+ROWS($L$10:L393),tblRegistros[Chave do cartão],0),"")</f>
        <v/>
      </c>
    </row>
    <row r="394" spans="1:12">
      <c r="A394" s="2" t="str">
        <f>IF($L394="","",IF(INDEX(tblRegistros[Data],$L394)&gt;$D$4,"",IFERROR(INDEX(tblRegistros[Data],$L394),"")))</f>
        <v/>
      </c>
      <c r="B394" t="str">
        <f>IF($L394="","",IF(INDEX(tblRegistros[Data],$L394)&gt;$D$4,"",IFERROR(INDEX(tblRegistros[Projeto],$L394),"")))</f>
        <v/>
      </c>
      <c r="C394" t="str">
        <f>IF($L394="","",IF(INDEX(tblRegistros[Data],$L394)&gt;$D$4,"",IFERROR(INDEX(tblRegistros[Atividade],$L394),"")))</f>
        <v/>
      </c>
      <c r="D394" s="4" t="str">
        <f>IF($L394="","",IF(INDEX(tblRegistros[Data],$L394)&gt;$D$4,"",IFERROR(INDEX(tblRegistros[Início],$L394),"")))</f>
        <v/>
      </c>
      <c r="E394" s="4" t="str">
        <f>IF($L394="","",IF(INDEX(tblRegistros[Data],$L394)&gt;$D$4,"",IFERROR(IF(INDEX(tblRegistros[Status],$L394)="EM ABERTO","",INDEX(tblRegistros[Fim],$L394)),"")))</f>
        <v/>
      </c>
      <c r="F394" s="14" t="str">
        <f>IF($L394="","",IF(INDEX(tblRegistros[Data],$L394)&gt;$D$4,"",IFERROR(IF(INDEX(tblRegistros[Status],$L394)="EM ABERTO","",INDEX(tblRegistros[Horas],$L394)),"")))</f>
        <v/>
      </c>
      <c r="G394" t="str">
        <f>IF($L394="","",IF(INDEX(tblRegistros[Data],$L394)&gt;$D$4,"",IFERROR(INDEX(tblRegistros[Base],$L394),"")))</f>
        <v/>
      </c>
      <c r="H394" s="3" t="str">
        <f>IF($L394="","",IF(INDEX(tblRegistros[Data],$L394)&gt;$D$4,"",IFERROR(INDEX(tblRegistros[Taxa aplicada],$L394),"")))</f>
        <v/>
      </c>
      <c r="I394" s="3" t="str">
        <f>IF($L394="","",IF(INDEX(tblRegistros[Data],$L394)&gt;$D$4,"",IFERROR(IF(INDEX(tblRegistros[Status],$L394)="EM ABERTO","",INDEX(tblRegistros[Valor],$L394)),"")))</f>
        <v/>
      </c>
      <c r="J394" t="str">
        <f>IF($L394="","",IF(INDEX(tblRegistros[Data],$L394)&gt;$D$4,"",IFERROR(INDEX(tblRegistros[Status],$L394),"")))</f>
        <v/>
      </c>
      <c r="K394" t="str">
        <f>IF($L394="","",IF(INDEX(tblRegistros[Data],$L394)&gt;$D$4,"",IFERROR(INDEX(tblRegistros[Observação],$L394),"")))</f>
        <v/>
      </c>
      <c r="L394" s="16" t="str">
        <f>IFERROR(MATCH($B$3*100000+COUNTIFS(tblRegistros[ID],$B$3,tblRegistros[Data],"&lt;"&amp;$B$4)+ROWS($L$10:L394),tblRegistros[Chave do cartão],0),"")</f>
        <v/>
      </c>
    </row>
    <row r="395" spans="1:12">
      <c r="A395" s="2" t="str">
        <f>IF($L395="","",IF(INDEX(tblRegistros[Data],$L395)&gt;$D$4,"",IFERROR(INDEX(tblRegistros[Data],$L395),"")))</f>
        <v/>
      </c>
      <c r="B395" t="str">
        <f>IF($L395="","",IF(INDEX(tblRegistros[Data],$L395)&gt;$D$4,"",IFERROR(INDEX(tblRegistros[Projeto],$L395),"")))</f>
        <v/>
      </c>
      <c r="C395" t="str">
        <f>IF($L395="","",IF(INDEX(tblRegistros[Data],$L395)&gt;$D$4,"",IFERROR(INDEX(tblRegistros[Atividade],$L395),"")))</f>
        <v/>
      </c>
      <c r="D395" s="4" t="str">
        <f>IF($L395="","",IF(INDEX(tblRegistros[Data],$L395)&gt;$D$4,"",IFERROR(INDEX(tblRegistros[Início],$L395),"")))</f>
        <v/>
      </c>
      <c r="E395" s="4" t="str">
        <f>IF($L395="","",IF(INDEX(tblRegistros[Data],$L395)&gt;$D$4,"",IFERROR(IF(INDEX(tblRegistros[Status],$L395)="EM ABERTO","",INDEX(tblRegistros[Fim],$L395)),"")))</f>
        <v/>
      </c>
      <c r="F395" s="14" t="str">
        <f>IF($L395="","",IF(INDEX(tblRegistros[Data],$L395)&gt;$D$4,"",IFERROR(IF(INDEX(tblRegistros[Status],$L395)="EM ABERTO","",INDEX(tblRegistros[Horas],$L395)),"")))</f>
        <v/>
      </c>
      <c r="G395" t="str">
        <f>IF($L395="","",IF(INDEX(tblRegistros[Data],$L395)&gt;$D$4,"",IFERROR(INDEX(tblRegistros[Base],$L395),"")))</f>
        <v/>
      </c>
      <c r="H395" s="3" t="str">
        <f>IF($L395="","",IF(INDEX(tblRegistros[Data],$L395)&gt;$D$4,"",IFERROR(INDEX(tblRegistros[Taxa aplicada],$L395),"")))</f>
        <v/>
      </c>
      <c r="I395" s="3" t="str">
        <f>IF($L395="","",IF(INDEX(tblRegistros[Data],$L395)&gt;$D$4,"",IFERROR(IF(INDEX(tblRegistros[Status],$L395)="EM ABERTO","",INDEX(tblRegistros[Valor],$L395)),"")))</f>
        <v/>
      </c>
      <c r="J395" t="str">
        <f>IF($L395="","",IF(INDEX(tblRegistros[Data],$L395)&gt;$D$4,"",IFERROR(INDEX(tblRegistros[Status],$L395),"")))</f>
        <v/>
      </c>
      <c r="K395" t="str">
        <f>IF($L395="","",IF(INDEX(tblRegistros[Data],$L395)&gt;$D$4,"",IFERROR(INDEX(tblRegistros[Observação],$L395),"")))</f>
        <v/>
      </c>
      <c r="L395" s="16" t="str">
        <f>IFERROR(MATCH($B$3*100000+COUNTIFS(tblRegistros[ID],$B$3,tblRegistros[Data],"&lt;"&amp;$B$4)+ROWS($L$10:L395),tblRegistros[Chave do cartão],0),"")</f>
        <v/>
      </c>
    </row>
    <row r="396" spans="1:12">
      <c r="A396" s="2" t="str">
        <f>IF($L396="","",IF(INDEX(tblRegistros[Data],$L396)&gt;$D$4,"",IFERROR(INDEX(tblRegistros[Data],$L396),"")))</f>
        <v/>
      </c>
      <c r="B396" t="str">
        <f>IF($L396="","",IF(INDEX(tblRegistros[Data],$L396)&gt;$D$4,"",IFERROR(INDEX(tblRegistros[Projeto],$L396),"")))</f>
        <v/>
      </c>
      <c r="C396" t="str">
        <f>IF($L396="","",IF(INDEX(tblRegistros[Data],$L396)&gt;$D$4,"",IFERROR(INDEX(tblRegistros[Atividade],$L396),"")))</f>
        <v/>
      </c>
      <c r="D396" s="4" t="str">
        <f>IF($L396="","",IF(INDEX(tblRegistros[Data],$L396)&gt;$D$4,"",IFERROR(INDEX(tblRegistros[Início],$L396),"")))</f>
        <v/>
      </c>
      <c r="E396" s="4" t="str">
        <f>IF($L396="","",IF(INDEX(tblRegistros[Data],$L396)&gt;$D$4,"",IFERROR(IF(INDEX(tblRegistros[Status],$L396)="EM ABERTO","",INDEX(tblRegistros[Fim],$L396)),"")))</f>
        <v/>
      </c>
      <c r="F396" s="14" t="str">
        <f>IF($L396="","",IF(INDEX(tblRegistros[Data],$L396)&gt;$D$4,"",IFERROR(IF(INDEX(tblRegistros[Status],$L396)="EM ABERTO","",INDEX(tblRegistros[Horas],$L396)),"")))</f>
        <v/>
      </c>
      <c r="G396" t="str">
        <f>IF($L396="","",IF(INDEX(tblRegistros[Data],$L396)&gt;$D$4,"",IFERROR(INDEX(tblRegistros[Base],$L396),"")))</f>
        <v/>
      </c>
      <c r="H396" s="3" t="str">
        <f>IF($L396="","",IF(INDEX(tblRegistros[Data],$L396)&gt;$D$4,"",IFERROR(INDEX(tblRegistros[Taxa aplicada],$L396),"")))</f>
        <v/>
      </c>
      <c r="I396" s="3" t="str">
        <f>IF($L396="","",IF(INDEX(tblRegistros[Data],$L396)&gt;$D$4,"",IFERROR(IF(INDEX(tblRegistros[Status],$L396)="EM ABERTO","",INDEX(tblRegistros[Valor],$L396)),"")))</f>
        <v/>
      </c>
      <c r="J396" t="str">
        <f>IF($L396="","",IF(INDEX(tblRegistros[Data],$L396)&gt;$D$4,"",IFERROR(INDEX(tblRegistros[Status],$L396),"")))</f>
        <v/>
      </c>
      <c r="K396" t="str">
        <f>IF($L396="","",IF(INDEX(tblRegistros[Data],$L396)&gt;$D$4,"",IFERROR(INDEX(tblRegistros[Observação],$L396),"")))</f>
        <v/>
      </c>
      <c r="L396" s="16" t="str">
        <f>IFERROR(MATCH($B$3*100000+COUNTIFS(tblRegistros[ID],$B$3,tblRegistros[Data],"&lt;"&amp;$B$4)+ROWS($L$10:L396),tblRegistros[Chave do cartão],0),"")</f>
        <v/>
      </c>
    </row>
    <row r="397" spans="1:12">
      <c r="A397" s="2" t="str">
        <f>IF($L397="","",IF(INDEX(tblRegistros[Data],$L397)&gt;$D$4,"",IFERROR(INDEX(tblRegistros[Data],$L397),"")))</f>
        <v/>
      </c>
      <c r="B397" t="str">
        <f>IF($L397="","",IF(INDEX(tblRegistros[Data],$L397)&gt;$D$4,"",IFERROR(INDEX(tblRegistros[Projeto],$L397),"")))</f>
        <v/>
      </c>
      <c r="C397" t="str">
        <f>IF($L397="","",IF(INDEX(tblRegistros[Data],$L397)&gt;$D$4,"",IFERROR(INDEX(tblRegistros[Atividade],$L397),"")))</f>
        <v/>
      </c>
      <c r="D397" s="4" t="str">
        <f>IF($L397="","",IF(INDEX(tblRegistros[Data],$L397)&gt;$D$4,"",IFERROR(INDEX(tblRegistros[Início],$L397),"")))</f>
        <v/>
      </c>
      <c r="E397" s="4" t="str">
        <f>IF($L397="","",IF(INDEX(tblRegistros[Data],$L397)&gt;$D$4,"",IFERROR(IF(INDEX(tblRegistros[Status],$L397)="EM ABERTO","",INDEX(tblRegistros[Fim],$L397)),"")))</f>
        <v/>
      </c>
      <c r="F397" s="14" t="str">
        <f>IF($L397="","",IF(INDEX(tblRegistros[Data],$L397)&gt;$D$4,"",IFERROR(IF(INDEX(tblRegistros[Status],$L397)="EM ABERTO","",INDEX(tblRegistros[Horas],$L397)),"")))</f>
        <v/>
      </c>
      <c r="G397" t="str">
        <f>IF($L397="","",IF(INDEX(tblRegistros[Data],$L397)&gt;$D$4,"",IFERROR(INDEX(tblRegistros[Base],$L397),"")))</f>
        <v/>
      </c>
      <c r="H397" s="3" t="str">
        <f>IF($L397="","",IF(INDEX(tblRegistros[Data],$L397)&gt;$D$4,"",IFERROR(INDEX(tblRegistros[Taxa aplicada],$L397),"")))</f>
        <v/>
      </c>
      <c r="I397" s="3" t="str">
        <f>IF($L397="","",IF(INDEX(tblRegistros[Data],$L397)&gt;$D$4,"",IFERROR(IF(INDEX(tblRegistros[Status],$L397)="EM ABERTO","",INDEX(tblRegistros[Valor],$L397)),"")))</f>
        <v/>
      </c>
      <c r="J397" t="str">
        <f>IF($L397="","",IF(INDEX(tblRegistros[Data],$L397)&gt;$D$4,"",IFERROR(INDEX(tblRegistros[Status],$L397),"")))</f>
        <v/>
      </c>
      <c r="K397" t="str">
        <f>IF($L397="","",IF(INDEX(tblRegistros[Data],$L397)&gt;$D$4,"",IFERROR(INDEX(tblRegistros[Observação],$L397),"")))</f>
        <v/>
      </c>
      <c r="L397" s="16" t="str">
        <f>IFERROR(MATCH($B$3*100000+COUNTIFS(tblRegistros[ID],$B$3,tblRegistros[Data],"&lt;"&amp;$B$4)+ROWS($L$10:L397),tblRegistros[Chave do cartão],0),"")</f>
        <v/>
      </c>
    </row>
    <row r="398" spans="1:12">
      <c r="A398" s="2" t="str">
        <f>IF($L398="","",IF(INDEX(tblRegistros[Data],$L398)&gt;$D$4,"",IFERROR(INDEX(tblRegistros[Data],$L398),"")))</f>
        <v/>
      </c>
      <c r="B398" t="str">
        <f>IF($L398="","",IF(INDEX(tblRegistros[Data],$L398)&gt;$D$4,"",IFERROR(INDEX(tblRegistros[Projeto],$L398),"")))</f>
        <v/>
      </c>
      <c r="C398" t="str">
        <f>IF($L398="","",IF(INDEX(tblRegistros[Data],$L398)&gt;$D$4,"",IFERROR(INDEX(tblRegistros[Atividade],$L398),"")))</f>
        <v/>
      </c>
      <c r="D398" s="4" t="str">
        <f>IF($L398="","",IF(INDEX(tblRegistros[Data],$L398)&gt;$D$4,"",IFERROR(INDEX(tblRegistros[Início],$L398),"")))</f>
        <v/>
      </c>
      <c r="E398" s="4" t="str">
        <f>IF($L398="","",IF(INDEX(tblRegistros[Data],$L398)&gt;$D$4,"",IFERROR(IF(INDEX(tblRegistros[Status],$L398)="EM ABERTO","",INDEX(tblRegistros[Fim],$L398)),"")))</f>
        <v/>
      </c>
      <c r="F398" s="14" t="str">
        <f>IF($L398="","",IF(INDEX(tblRegistros[Data],$L398)&gt;$D$4,"",IFERROR(IF(INDEX(tblRegistros[Status],$L398)="EM ABERTO","",INDEX(tblRegistros[Horas],$L398)),"")))</f>
        <v/>
      </c>
      <c r="G398" t="str">
        <f>IF($L398="","",IF(INDEX(tblRegistros[Data],$L398)&gt;$D$4,"",IFERROR(INDEX(tblRegistros[Base],$L398),"")))</f>
        <v/>
      </c>
      <c r="H398" s="3" t="str">
        <f>IF($L398="","",IF(INDEX(tblRegistros[Data],$L398)&gt;$D$4,"",IFERROR(INDEX(tblRegistros[Taxa aplicada],$L398),"")))</f>
        <v/>
      </c>
      <c r="I398" s="3" t="str">
        <f>IF($L398="","",IF(INDEX(tblRegistros[Data],$L398)&gt;$D$4,"",IFERROR(IF(INDEX(tblRegistros[Status],$L398)="EM ABERTO","",INDEX(tblRegistros[Valor],$L398)),"")))</f>
        <v/>
      </c>
      <c r="J398" t="str">
        <f>IF($L398="","",IF(INDEX(tblRegistros[Data],$L398)&gt;$D$4,"",IFERROR(INDEX(tblRegistros[Status],$L398),"")))</f>
        <v/>
      </c>
      <c r="K398" t="str">
        <f>IF($L398="","",IF(INDEX(tblRegistros[Data],$L398)&gt;$D$4,"",IFERROR(INDEX(tblRegistros[Observação],$L398),"")))</f>
        <v/>
      </c>
      <c r="L398" s="16" t="str">
        <f>IFERROR(MATCH($B$3*100000+COUNTIFS(tblRegistros[ID],$B$3,tblRegistros[Data],"&lt;"&amp;$B$4)+ROWS($L$10:L398),tblRegistros[Chave do cartão],0),"")</f>
        <v/>
      </c>
    </row>
    <row r="399" spans="1:12">
      <c r="A399" s="2" t="str">
        <f>IF($L399="","",IF(INDEX(tblRegistros[Data],$L399)&gt;$D$4,"",IFERROR(INDEX(tblRegistros[Data],$L399),"")))</f>
        <v/>
      </c>
      <c r="B399" t="str">
        <f>IF($L399="","",IF(INDEX(tblRegistros[Data],$L399)&gt;$D$4,"",IFERROR(INDEX(tblRegistros[Projeto],$L399),"")))</f>
        <v/>
      </c>
      <c r="C399" t="str">
        <f>IF($L399="","",IF(INDEX(tblRegistros[Data],$L399)&gt;$D$4,"",IFERROR(INDEX(tblRegistros[Atividade],$L399),"")))</f>
        <v/>
      </c>
      <c r="D399" s="4" t="str">
        <f>IF($L399="","",IF(INDEX(tblRegistros[Data],$L399)&gt;$D$4,"",IFERROR(INDEX(tblRegistros[Início],$L399),"")))</f>
        <v/>
      </c>
      <c r="E399" s="4" t="str">
        <f>IF($L399="","",IF(INDEX(tblRegistros[Data],$L399)&gt;$D$4,"",IFERROR(IF(INDEX(tblRegistros[Status],$L399)="EM ABERTO","",INDEX(tblRegistros[Fim],$L399)),"")))</f>
        <v/>
      </c>
      <c r="F399" s="14" t="str">
        <f>IF($L399="","",IF(INDEX(tblRegistros[Data],$L399)&gt;$D$4,"",IFERROR(IF(INDEX(tblRegistros[Status],$L399)="EM ABERTO","",INDEX(tblRegistros[Horas],$L399)),"")))</f>
        <v/>
      </c>
      <c r="G399" t="str">
        <f>IF($L399="","",IF(INDEX(tblRegistros[Data],$L399)&gt;$D$4,"",IFERROR(INDEX(tblRegistros[Base],$L399),"")))</f>
        <v/>
      </c>
      <c r="H399" s="3" t="str">
        <f>IF($L399="","",IF(INDEX(tblRegistros[Data],$L399)&gt;$D$4,"",IFERROR(INDEX(tblRegistros[Taxa aplicada],$L399),"")))</f>
        <v/>
      </c>
      <c r="I399" s="3" t="str">
        <f>IF($L399="","",IF(INDEX(tblRegistros[Data],$L399)&gt;$D$4,"",IFERROR(IF(INDEX(tblRegistros[Status],$L399)="EM ABERTO","",INDEX(tblRegistros[Valor],$L399)),"")))</f>
        <v/>
      </c>
      <c r="J399" t="str">
        <f>IF($L399="","",IF(INDEX(tblRegistros[Data],$L399)&gt;$D$4,"",IFERROR(INDEX(tblRegistros[Status],$L399),"")))</f>
        <v/>
      </c>
      <c r="K399" t="str">
        <f>IF($L399="","",IF(INDEX(tblRegistros[Data],$L399)&gt;$D$4,"",IFERROR(INDEX(tblRegistros[Observação],$L399),"")))</f>
        <v/>
      </c>
      <c r="L399" s="16" t="str">
        <f>IFERROR(MATCH($B$3*100000+COUNTIFS(tblRegistros[ID],$B$3,tblRegistros[Data],"&lt;"&amp;$B$4)+ROWS($L$10:L399),tblRegistros[Chave do cartão],0),"")</f>
        <v/>
      </c>
    </row>
    <row r="400" spans="1:12">
      <c r="A400" s="2" t="str">
        <f>IF($L400="","",IF(INDEX(tblRegistros[Data],$L400)&gt;$D$4,"",IFERROR(INDEX(tblRegistros[Data],$L400),"")))</f>
        <v/>
      </c>
      <c r="B400" t="str">
        <f>IF($L400="","",IF(INDEX(tblRegistros[Data],$L400)&gt;$D$4,"",IFERROR(INDEX(tblRegistros[Projeto],$L400),"")))</f>
        <v/>
      </c>
      <c r="C400" t="str">
        <f>IF($L400="","",IF(INDEX(tblRegistros[Data],$L400)&gt;$D$4,"",IFERROR(INDEX(tblRegistros[Atividade],$L400),"")))</f>
        <v/>
      </c>
      <c r="D400" s="4" t="str">
        <f>IF($L400="","",IF(INDEX(tblRegistros[Data],$L400)&gt;$D$4,"",IFERROR(INDEX(tblRegistros[Início],$L400),"")))</f>
        <v/>
      </c>
      <c r="E400" s="4" t="str">
        <f>IF($L400="","",IF(INDEX(tblRegistros[Data],$L400)&gt;$D$4,"",IFERROR(IF(INDEX(tblRegistros[Status],$L400)="EM ABERTO","",INDEX(tblRegistros[Fim],$L400)),"")))</f>
        <v/>
      </c>
      <c r="F400" s="14" t="str">
        <f>IF($L400="","",IF(INDEX(tblRegistros[Data],$L400)&gt;$D$4,"",IFERROR(IF(INDEX(tblRegistros[Status],$L400)="EM ABERTO","",INDEX(tblRegistros[Horas],$L400)),"")))</f>
        <v/>
      </c>
      <c r="G400" t="str">
        <f>IF($L400="","",IF(INDEX(tblRegistros[Data],$L400)&gt;$D$4,"",IFERROR(INDEX(tblRegistros[Base],$L400),"")))</f>
        <v/>
      </c>
      <c r="H400" s="3" t="str">
        <f>IF($L400="","",IF(INDEX(tblRegistros[Data],$L400)&gt;$D$4,"",IFERROR(INDEX(tblRegistros[Taxa aplicada],$L400),"")))</f>
        <v/>
      </c>
      <c r="I400" s="3" t="str">
        <f>IF($L400="","",IF(INDEX(tblRegistros[Data],$L400)&gt;$D$4,"",IFERROR(IF(INDEX(tblRegistros[Status],$L400)="EM ABERTO","",INDEX(tblRegistros[Valor],$L400)),"")))</f>
        <v/>
      </c>
      <c r="J400" t="str">
        <f>IF($L400="","",IF(INDEX(tblRegistros[Data],$L400)&gt;$D$4,"",IFERROR(INDEX(tblRegistros[Status],$L400),"")))</f>
        <v/>
      </c>
      <c r="K400" t="str">
        <f>IF($L400="","",IF(INDEX(tblRegistros[Data],$L400)&gt;$D$4,"",IFERROR(INDEX(tblRegistros[Observação],$L400),"")))</f>
        <v/>
      </c>
      <c r="L400" s="16" t="str">
        <f>IFERROR(MATCH($B$3*100000+COUNTIFS(tblRegistros[ID],$B$3,tblRegistros[Data],"&lt;"&amp;$B$4)+ROWS($L$10:L400),tblRegistros[Chave do cartão],0),"")</f>
        <v/>
      </c>
    </row>
    <row r="401" spans="1:12">
      <c r="A401" s="2" t="str">
        <f>IF($L401="","",IF(INDEX(tblRegistros[Data],$L401)&gt;$D$4,"",IFERROR(INDEX(tblRegistros[Data],$L401),"")))</f>
        <v/>
      </c>
      <c r="B401" t="str">
        <f>IF($L401="","",IF(INDEX(tblRegistros[Data],$L401)&gt;$D$4,"",IFERROR(INDEX(tblRegistros[Projeto],$L401),"")))</f>
        <v/>
      </c>
      <c r="C401" t="str">
        <f>IF($L401="","",IF(INDEX(tblRegistros[Data],$L401)&gt;$D$4,"",IFERROR(INDEX(tblRegistros[Atividade],$L401),"")))</f>
        <v/>
      </c>
      <c r="D401" s="4" t="str">
        <f>IF($L401="","",IF(INDEX(tblRegistros[Data],$L401)&gt;$D$4,"",IFERROR(INDEX(tblRegistros[Início],$L401),"")))</f>
        <v/>
      </c>
      <c r="E401" s="4" t="str">
        <f>IF($L401="","",IF(INDEX(tblRegistros[Data],$L401)&gt;$D$4,"",IFERROR(IF(INDEX(tblRegistros[Status],$L401)="EM ABERTO","",INDEX(tblRegistros[Fim],$L401)),"")))</f>
        <v/>
      </c>
      <c r="F401" t="str">
        <f>IF($L401="","",IF(INDEX(tblRegistros[Data],$L401)&gt;$D$4,"",IFERROR(IF(INDEX(tblRegistros[Status],$L401)="EM ABERTO","",INDEX(tblRegistros[Horas],$L401)),"")))</f>
        <v/>
      </c>
      <c r="G401" t="str">
        <f>IF($L401="","",IF(INDEX(tblRegistros[Data],$L401)&gt;$D$4,"",IFERROR(INDEX(tblRegistros[Base],$L401),"")))</f>
        <v/>
      </c>
      <c r="H401" s="3" t="str">
        <f>IF($L401="","",IF(INDEX(tblRegistros[Data],$L401)&gt;$D$4,"",IFERROR(INDEX(tblRegistros[Taxa aplicada],$L401),"")))</f>
        <v/>
      </c>
      <c r="I401" s="3" t="str">
        <f>IF($L401="","",IF(INDEX(tblRegistros[Data],$L401)&gt;$D$4,"",IFERROR(IF(INDEX(tblRegistros[Status],$L401)="EM ABERTO","",INDEX(tblRegistros[Valor],$L401)),"")))</f>
        <v/>
      </c>
      <c r="J401" t="str">
        <f>IF($L401="","",IF(INDEX(tblRegistros[Data],$L401)&gt;$D$4,"",IFERROR(INDEX(tblRegistros[Status],$L401),"")))</f>
        <v/>
      </c>
      <c r="K401" t="str">
        <f>IF($L401="","",IF(INDEX(tblRegistros[Data],$L401)&gt;$D$4,"",IFERROR(INDEX(tblRegistros[Observação],$L401),"")))</f>
        <v/>
      </c>
      <c r="L401" s="16" t="str">
        <f>IFERROR(MATCH($B$3*100000+COUNTIFS(tblRegistros[ID],$B$3,tblRegistros[Data],"&lt;"&amp;$B$4)+ROWS($L$10:L401),tblRegistros[Chave do cartão],0),"")</f>
        <v/>
      </c>
    </row>
    <row r="402" spans="1:12">
      <c r="A402" s="2" t="str">
        <f>IF($L402="","",IF(INDEX(tblRegistros[Data],$L402)&gt;$D$4,"",IFERROR(INDEX(tblRegistros[Data],$L402),"")))</f>
        <v/>
      </c>
      <c r="B402" t="str">
        <f>IF($L402="","",IF(INDEX(tblRegistros[Data],$L402)&gt;$D$4,"",IFERROR(INDEX(tblRegistros[Projeto],$L402),"")))</f>
        <v/>
      </c>
      <c r="C402" t="str">
        <f>IF($L402="","",IF(INDEX(tblRegistros[Data],$L402)&gt;$D$4,"",IFERROR(INDEX(tblRegistros[Atividade],$L402),"")))</f>
        <v/>
      </c>
      <c r="D402" s="4" t="str">
        <f>IF($L402="","",IF(INDEX(tblRegistros[Data],$L402)&gt;$D$4,"",IFERROR(INDEX(tblRegistros[Início],$L402),"")))</f>
        <v/>
      </c>
      <c r="E402" s="4" t="str">
        <f>IF($L402="","",IF(INDEX(tblRegistros[Data],$L402)&gt;$D$4,"",IFERROR(IF(INDEX(tblRegistros[Status],$L402)="EM ABERTO","",INDEX(tblRegistros[Fim],$L402)),"")))</f>
        <v/>
      </c>
      <c r="F402" t="str">
        <f>IF($L402="","",IF(INDEX(tblRegistros[Data],$L402)&gt;$D$4,"",IFERROR(IF(INDEX(tblRegistros[Status],$L402)="EM ABERTO","",INDEX(tblRegistros[Horas],$L402)),"")))</f>
        <v/>
      </c>
      <c r="G402" t="str">
        <f>IF($L402="","",IF(INDEX(tblRegistros[Data],$L402)&gt;$D$4,"",IFERROR(INDEX(tblRegistros[Base],$L402),"")))</f>
        <v/>
      </c>
      <c r="H402" s="3" t="str">
        <f>IF($L402="","",IF(INDEX(tblRegistros[Data],$L402)&gt;$D$4,"",IFERROR(INDEX(tblRegistros[Taxa aplicada],$L402),"")))</f>
        <v/>
      </c>
      <c r="I402" s="3" t="str">
        <f>IF($L402="","",IF(INDEX(tblRegistros[Data],$L402)&gt;$D$4,"",IFERROR(IF(INDEX(tblRegistros[Status],$L402)="EM ABERTO","",INDEX(tblRegistros[Valor],$L402)),"")))</f>
        <v/>
      </c>
      <c r="J402" t="str">
        <f>IF($L402="","",IF(INDEX(tblRegistros[Data],$L402)&gt;$D$4,"",IFERROR(INDEX(tblRegistros[Status],$L402),"")))</f>
        <v/>
      </c>
      <c r="K402" t="str">
        <f>IF($L402="","",IF(INDEX(tblRegistros[Data],$L402)&gt;$D$4,"",IFERROR(INDEX(tblRegistros[Observação],$L402),"")))</f>
        <v/>
      </c>
      <c r="L402" s="16" t="str">
        <f>IFERROR(MATCH($B$3*100000+COUNTIFS(tblRegistros[ID],$B$3,tblRegistros[Data],"&lt;"&amp;$B$4)+ROWS($L$10:L402),tblRegistros[Chave do cartão],0),"")</f>
        <v/>
      </c>
    </row>
    <row r="403" spans="1:12">
      <c r="A403" s="2" t="str">
        <f>IF($L403="","",IF(INDEX(tblRegistros[Data],$L403)&gt;$D$4,"",IFERROR(INDEX(tblRegistros[Data],$L403),"")))</f>
        <v/>
      </c>
      <c r="B403" t="str">
        <f>IF($L403="","",IF(INDEX(tblRegistros[Data],$L403)&gt;$D$4,"",IFERROR(INDEX(tblRegistros[Projeto],$L403),"")))</f>
        <v/>
      </c>
      <c r="C403" t="str">
        <f>IF($L403="","",IF(INDEX(tblRegistros[Data],$L403)&gt;$D$4,"",IFERROR(INDEX(tblRegistros[Atividade],$L403),"")))</f>
        <v/>
      </c>
      <c r="D403" s="4" t="str">
        <f>IF($L403="","",IF(INDEX(tblRegistros[Data],$L403)&gt;$D$4,"",IFERROR(INDEX(tblRegistros[Início],$L403),"")))</f>
        <v/>
      </c>
      <c r="E403" s="4" t="str">
        <f>IF($L403="","",IF(INDEX(tblRegistros[Data],$L403)&gt;$D$4,"",IFERROR(IF(INDEX(tblRegistros[Status],$L403)="EM ABERTO","",INDEX(tblRegistros[Fim],$L403)),"")))</f>
        <v/>
      </c>
      <c r="F403" t="str">
        <f>IF($L403="","",IF(INDEX(tblRegistros[Data],$L403)&gt;$D$4,"",IFERROR(IF(INDEX(tblRegistros[Status],$L403)="EM ABERTO","",INDEX(tblRegistros[Horas],$L403)),"")))</f>
        <v/>
      </c>
      <c r="G403" t="str">
        <f>IF($L403="","",IF(INDEX(tblRegistros[Data],$L403)&gt;$D$4,"",IFERROR(INDEX(tblRegistros[Base],$L403),"")))</f>
        <v/>
      </c>
      <c r="H403" s="3" t="str">
        <f>IF($L403="","",IF(INDEX(tblRegistros[Data],$L403)&gt;$D$4,"",IFERROR(INDEX(tblRegistros[Taxa aplicada],$L403),"")))</f>
        <v/>
      </c>
      <c r="I403" s="3" t="str">
        <f>IF($L403="","",IF(INDEX(tblRegistros[Data],$L403)&gt;$D$4,"",IFERROR(IF(INDEX(tblRegistros[Status],$L403)="EM ABERTO","",INDEX(tblRegistros[Valor],$L403)),"")))</f>
        <v/>
      </c>
      <c r="J403" t="str">
        <f>IF($L403="","",IF(INDEX(tblRegistros[Data],$L403)&gt;$D$4,"",IFERROR(INDEX(tblRegistros[Status],$L403),"")))</f>
        <v/>
      </c>
      <c r="K403" t="str">
        <f>IF($L403="","",IF(INDEX(tblRegistros[Data],$L403)&gt;$D$4,"",IFERROR(INDEX(tblRegistros[Observação],$L403),"")))</f>
        <v/>
      </c>
      <c r="L403" s="16" t="str">
        <f>IFERROR(MATCH($B$3*100000+COUNTIFS(tblRegistros[ID],$B$3,tblRegistros[Data],"&lt;"&amp;$B$4)+ROWS($L$10:L403),tblRegistros[Chave do cartão],0),"")</f>
        <v/>
      </c>
    </row>
    <row r="404" spans="1:12">
      <c r="A404" s="2" t="str">
        <f>IF($L404="","",IF(INDEX(tblRegistros[Data],$L404)&gt;$D$4,"",IFERROR(INDEX(tblRegistros[Data],$L404),"")))</f>
        <v/>
      </c>
      <c r="B404" t="str">
        <f>IF($L404="","",IF(INDEX(tblRegistros[Data],$L404)&gt;$D$4,"",IFERROR(INDEX(tblRegistros[Projeto],$L404),"")))</f>
        <v/>
      </c>
      <c r="C404" t="str">
        <f>IF($L404="","",IF(INDEX(tblRegistros[Data],$L404)&gt;$D$4,"",IFERROR(INDEX(tblRegistros[Atividade],$L404),"")))</f>
        <v/>
      </c>
      <c r="D404" s="4" t="str">
        <f>IF($L404="","",IF(INDEX(tblRegistros[Data],$L404)&gt;$D$4,"",IFERROR(INDEX(tblRegistros[Início],$L404),"")))</f>
        <v/>
      </c>
      <c r="E404" s="4" t="str">
        <f>IF($L404="","",IF(INDEX(tblRegistros[Data],$L404)&gt;$D$4,"",IFERROR(IF(INDEX(tblRegistros[Status],$L404)="EM ABERTO","",INDEX(tblRegistros[Fim],$L404)),"")))</f>
        <v/>
      </c>
      <c r="F404" t="str">
        <f>IF($L404="","",IF(INDEX(tblRegistros[Data],$L404)&gt;$D$4,"",IFERROR(IF(INDEX(tblRegistros[Status],$L404)="EM ABERTO","",INDEX(tblRegistros[Horas],$L404)),"")))</f>
        <v/>
      </c>
      <c r="G404" t="str">
        <f>IF($L404="","",IF(INDEX(tblRegistros[Data],$L404)&gt;$D$4,"",IFERROR(INDEX(tblRegistros[Base],$L404),"")))</f>
        <v/>
      </c>
      <c r="H404" s="3" t="str">
        <f>IF($L404="","",IF(INDEX(tblRegistros[Data],$L404)&gt;$D$4,"",IFERROR(INDEX(tblRegistros[Taxa aplicada],$L404),"")))</f>
        <v/>
      </c>
      <c r="I404" s="3" t="str">
        <f>IF($L404="","",IF(INDEX(tblRegistros[Data],$L404)&gt;$D$4,"",IFERROR(IF(INDEX(tblRegistros[Status],$L404)="EM ABERTO","",INDEX(tblRegistros[Valor],$L404)),"")))</f>
        <v/>
      </c>
      <c r="J404" t="str">
        <f>IF($L404="","",IF(INDEX(tblRegistros[Data],$L404)&gt;$D$4,"",IFERROR(INDEX(tblRegistros[Status],$L404),"")))</f>
        <v/>
      </c>
      <c r="K404" t="str">
        <f>IF($L404="","",IF(INDEX(tblRegistros[Data],$L404)&gt;$D$4,"",IFERROR(INDEX(tblRegistros[Observação],$L404),"")))</f>
        <v/>
      </c>
      <c r="L404" s="16" t="str">
        <f>IFERROR(MATCH($B$3*100000+COUNTIFS(tblRegistros[ID],$B$3,tblRegistros[Data],"&lt;"&amp;$B$4)+ROWS($L$10:L404),tblRegistros[Chave do cartão],0),"")</f>
        <v/>
      </c>
    </row>
    <row r="405" spans="1:12">
      <c r="A405" s="2" t="str">
        <f>IF($L405="","",IF(INDEX(tblRegistros[Data],$L405)&gt;$D$4,"",IFERROR(INDEX(tblRegistros[Data],$L405),"")))</f>
        <v/>
      </c>
      <c r="B405" t="str">
        <f>IF($L405="","",IF(INDEX(tblRegistros[Data],$L405)&gt;$D$4,"",IFERROR(INDEX(tblRegistros[Projeto],$L405),"")))</f>
        <v/>
      </c>
      <c r="C405" t="str">
        <f>IF($L405="","",IF(INDEX(tblRegistros[Data],$L405)&gt;$D$4,"",IFERROR(INDEX(tblRegistros[Atividade],$L405),"")))</f>
        <v/>
      </c>
      <c r="D405" s="4" t="str">
        <f>IF($L405="","",IF(INDEX(tblRegistros[Data],$L405)&gt;$D$4,"",IFERROR(INDEX(tblRegistros[Início],$L405),"")))</f>
        <v/>
      </c>
      <c r="E405" s="4" t="str">
        <f>IF($L405="","",IF(INDEX(tblRegistros[Data],$L405)&gt;$D$4,"",IFERROR(IF(INDEX(tblRegistros[Status],$L405)="EM ABERTO","",INDEX(tblRegistros[Fim],$L405)),"")))</f>
        <v/>
      </c>
      <c r="F405" t="str">
        <f>IF($L405="","",IF(INDEX(tblRegistros[Data],$L405)&gt;$D$4,"",IFERROR(IF(INDEX(tblRegistros[Status],$L405)="EM ABERTO","",INDEX(tblRegistros[Horas],$L405)),"")))</f>
        <v/>
      </c>
      <c r="G405" t="str">
        <f>IF($L405="","",IF(INDEX(tblRegistros[Data],$L405)&gt;$D$4,"",IFERROR(INDEX(tblRegistros[Base],$L405),"")))</f>
        <v/>
      </c>
      <c r="H405" s="3" t="str">
        <f>IF($L405="","",IF(INDEX(tblRegistros[Data],$L405)&gt;$D$4,"",IFERROR(INDEX(tblRegistros[Taxa aplicada],$L405),"")))</f>
        <v/>
      </c>
      <c r="I405" s="3" t="str">
        <f>IF($L405="","",IF(INDEX(tblRegistros[Data],$L405)&gt;$D$4,"",IFERROR(IF(INDEX(tblRegistros[Status],$L405)="EM ABERTO","",INDEX(tblRegistros[Valor],$L405)),"")))</f>
        <v/>
      </c>
      <c r="J405" t="str">
        <f>IF($L405="","",IF(INDEX(tblRegistros[Data],$L405)&gt;$D$4,"",IFERROR(INDEX(tblRegistros[Status],$L405),"")))</f>
        <v/>
      </c>
      <c r="K405" t="str">
        <f>IF($L405="","",IF(INDEX(tblRegistros[Data],$L405)&gt;$D$4,"",IFERROR(INDEX(tblRegistros[Observação],$L405),"")))</f>
        <v/>
      </c>
      <c r="L405" s="16" t="str">
        <f>IFERROR(MATCH($B$3*100000+COUNTIFS(tblRegistros[ID],$B$3,tblRegistros[Data],"&lt;"&amp;$B$4)+ROWS($L$10:L405),tblRegistros[Chave do cartão],0),"")</f>
        <v/>
      </c>
    </row>
    <row r="406" spans="1:12">
      <c r="A406" s="2" t="str">
        <f>IF($L406="","",IF(INDEX(tblRegistros[Data],$L406)&gt;$D$4,"",IFERROR(INDEX(tblRegistros[Data],$L406),"")))</f>
        <v/>
      </c>
      <c r="B406" t="str">
        <f>IF($L406="","",IF(INDEX(tblRegistros[Data],$L406)&gt;$D$4,"",IFERROR(INDEX(tblRegistros[Projeto],$L406),"")))</f>
        <v/>
      </c>
      <c r="C406" t="str">
        <f>IF($L406="","",IF(INDEX(tblRegistros[Data],$L406)&gt;$D$4,"",IFERROR(INDEX(tblRegistros[Atividade],$L406),"")))</f>
        <v/>
      </c>
      <c r="D406" s="4" t="str">
        <f>IF($L406="","",IF(INDEX(tblRegistros[Data],$L406)&gt;$D$4,"",IFERROR(INDEX(tblRegistros[Início],$L406),"")))</f>
        <v/>
      </c>
      <c r="E406" s="4" t="str">
        <f>IF($L406="","",IF(INDEX(tblRegistros[Data],$L406)&gt;$D$4,"",IFERROR(IF(INDEX(tblRegistros[Status],$L406)="EM ABERTO","",INDEX(tblRegistros[Fim],$L406)),"")))</f>
        <v/>
      </c>
      <c r="F406" t="str">
        <f>IF($L406="","",IF(INDEX(tblRegistros[Data],$L406)&gt;$D$4,"",IFERROR(IF(INDEX(tblRegistros[Status],$L406)="EM ABERTO","",INDEX(tblRegistros[Horas],$L406)),"")))</f>
        <v/>
      </c>
      <c r="G406" t="str">
        <f>IF($L406="","",IF(INDEX(tblRegistros[Data],$L406)&gt;$D$4,"",IFERROR(INDEX(tblRegistros[Base],$L406),"")))</f>
        <v/>
      </c>
      <c r="H406" s="3" t="str">
        <f>IF($L406="","",IF(INDEX(tblRegistros[Data],$L406)&gt;$D$4,"",IFERROR(INDEX(tblRegistros[Taxa aplicada],$L406),"")))</f>
        <v/>
      </c>
      <c r="I406" s="3" t="str">
        <f>IF($L406="","",IF(INDEX(tblRegistros[Data],$L406)&gt;$D$4,"",IFERROR(IF(INDEX(tblRegistros[Status],$L406)="EM ABERTO","",INDEX(tblRegistros[Valor],$L406)),"")))</f>
        <v/>
      </c>
      <c r="J406" t="str">
        <f>IF($L406="","",IF(INDEX(tblRegistros[Data],$L406)&gt;$D$4,"",IFERROR(INDEX(tblRegistros[Status],$L406),"")))</f>
        <v/>
      </c>
      <c r="K406" t="str">
        <f>IF($L406="","",IF(INDEX(tblRegistros[Data],$L406)&gt;$D$4,"",IFERROR(INDEX(tblRegistros[Observação],$L406),"")))</f>
        <v/>
      </c>
      <c r="L406" s="16" t="str">
        <f>IFERROR(MATCH($B$3*100000+COUNTIFS(tblRegistros[ID],$B$3,tblRegistros[Data],"&lt;"&amp;$B$4)+ROWS($L$10:L406),tblRegistros[Chave do cartão],0),"")</f>
        <v/>
      </c>
    </row>
    <row r="407" spans="1:12">
      <c r="A407" s="2" t="str">
        <f>IF($L407="","",IF(INDEX(tblRegistros[Data],$L407)&gt;$D$4,"",IFERROR(INDEX(tblRegistros[Data],$L407),"")))</f>
        <v/>
      </c>
      <c r="B407" t="str">
        <f>IF($L407="","",IF(INDEX(tblRegistros[Data],$L407)&gt;$D$4,"",IFERROR(INDEX(tblRegistros[Projeto],$L407),"")))</f>
        <v/>
      </c>
      <c r="C407" t="str">
        <f>IF($L407="","",IF(INDEX(tblRegistros[Data],$L407)&gt;$D$4,"",IFERROR(INDEX(tblRegistros[Atividade],$L407),"")))</f>
        <v/>
      </c>
      <c r="D407" s="4" t="str">
        <f>IF($L407="","",IF(INDEX(tblRegistros[Data],$L407)&gt;$D$4,"",IFERROR(INDEX(tblRegistros[Início],$L407),"")))</f>
        <v/>
      </c>
      <c r="E407" s="4" t="str">
        <f>IF($L407="","",IF(INDEX(tblRegistros[Data],$L407)&gt;$D$4,"",IFERROR(IF(INDEX(tblRegistros[Status],$L407)="EM ABERTO","",INDEX(tblRegistros[Fim],$L407)),"")))</f>
        <v/>
      </c>
      <c r="F407" t="str">
        <f>IF($L407="","",IF(INDEX(tblRegistros[Data],$L407)&gt;$D$4,"",IFERROR(IF(INDEX(tblRegistros[Status],$L407)="EM ABERTO","",INDEX(tblRegistros[Horas],$L407)),"")))</f>
        <v/>
      </c>
      <c r="G407" t="str">
        <f>IF($L407="","",IF(INDEX(tblRegistros[Data],$L407)&gt;$D$4,"",IFERROR(INDEX(tblRegistros[Base],$L407),"")))</f>
        <v/>
      </c>
      <c r="H407" s="3" t="str">
        <f>IF($L407="","",IF(INDEX(tblRegistros[Data],$L407)&gt;$D$4,"",IFERROR(INDEX(tblRegistros[Taxa aplicada],$L407),"")))</f>
        <v/>
      </c>
      <c r="I407" s="3" t="str">
        <f>IF($L407="","",IF(INDEX(tblRegistros[Data],$L407)&gt;$D$4,"",IFERROR(IF(INDEX(tblRegistros[Status],$L407)="EM ABERTO","",INDEX(tblRegistros[Valor],$L407)),"")))</f>
        <v/>
      </c>
      <c r="J407" t="str">
        <f>IF($L407="","",IF(INDEX(tblRegistros[Data],$L407)&gt;$D$4,"",IFERROR(INDEX(tblRegistros[Status],$L407),"")))</f>
        <v/>
      </c>
      <c r="K407" t="str">
        <f>IF($L407="","",IF(INDEX(tblRegistros[Data],$L407)&gt;$D$4,"",IFERROR(INDEX(tblRegistros[Observação],$L407),"")))</f>
        <v/>
      </c>
      <c r="L407" s="16" t="str">
        <f>IFERROR(MATCH($B$3*100000+COUNTIFS(tblRegistros[ID],$B$3,tblRegistros[Data],"&lt;"&amp;$B$4)+ROWS($L$10:L407),tblRegistros[Chave do cartão],0),"")</f>
        <v/>
      </c>
    </row>
    <row r="408" spans="1:12">
      <c r="A408" s="2" t="str">
        <f>IF($L408="","",IF(INDEX(tblRegistros[Data],$L408)&gt;$D$4,"",IFERROR(INDEX(tblRegistros[Data],$L408),"")))</f>
        <v/>
      </c>
      <c r="B408" t="str">
        <f>IF($L408="","",IF(INDEX(tblRegistros[Data],$L408)&gt;$D$4,"",IFERROR(INDEX(tblRegistros[Projeto],$L408),"")))</f>
        <v/>
      </c>
      <c r="C408" t="str">
        <f>IF($L408="","",IF(INDEX(tblRegistros[Data],$L408)&gt;$D$4,"",IFERROR(INDEX(tblRegistros[Atividade],$L408),"")))</f>
        <v/>
      </c>
      <c r="D408" s="4" t="str">
        <f>IF($L408="","",IF(INDEX(tblRegistros[Data],$L408)&gt;$D$4,"",IFERROR(INDEX(tblRegistros[Início],$L408),"")))</f>
        <v/>
      </c>
      <c r="E408" s="4" t="str">
        <f>IF($L408="","",IF(INDEX(tblRegistros[Data],$L408)&gt;$D$4,"",IFERROR(IF(INDEX(tblRegistros[Status],$L408)="EM ABERTO","",INDEX(tblRegistros[Fim],$L408)),"")))</f>
        <v/>
      </c>
      <c r="F408" t="str">
        <f>IF($L408="","",IF(INDEX(tblRegistros[Data],$L408)&gt;$D$4,"",IFERROR(IF(INDEX(tblRegistros[Status],$L408)="EM ABERTO","",INDEX(tblRegistros[Horas],$L408)),"")))</f>
        <v/>
      </c>
      <c r="G408" t="str">
        <f>IF($L408="","",IF(INDEX(tblRegistros[Data],$L408)&gt;$D$4,"",IFERROR(INDEX(tblRegistros[Base],$L408),"")))</f>
        <v/>
      </c>
      <c r="H408" s="3" t="str">
        <f>IF($L408="","",IF(INDEX(tblRegistros[Data],$L408)&gt;$D$4,"",IFERROR(INDEX(tblRegistros[Taxa aplicada],$L408),"")))</f>
        <v/>
      </c>
      <c r="I408" s="3" t="str">
        <f>IF($L408="","",IF(INDEX(tblRegistros[Data],$L408)&gt;$D$4,"",IFERROR(IF(INDEX(tblRegistros[Status],$L408)="EM ABERTO","",INDEX(tblRegistros[Valor],$L408)),"")))</f>
        <v/>
      </c>
      <c r="J408" t="str">
        <f>IF($L408="","",IF(INDEX(tblRegistros[Data],$L408)&gt;$D$4,"",IFERROR(INDEX(tblRegistros[Status],$L408),"")))</f>
        <v/>
      </c>
      <c r="K408" t="str">
        <f>IF($L408="","",IF(INDEX(tblRegistros[Data],$L408)&gt;$D$4,"",IFERROR(INDEX(tblRegistros[Observação],$L408),"")))</f>
        <v/>
      </c>
      <c r="L408" s="16" t="str">
        <f>IFERROR(MATCH($B$3*100000+COUNTIFS(tblRegistros[ID],$B$3,tblRegistros[Data],"&lt;"&amp;$B$4)+ROWS($L$10:L408),tblRegistros[Chave do cartão],0),"")</f>
        <v/>
      </c>
    </row>
    <row r="409" spans="1:12">
      <c r="A409" s="2" t="str">
        <f>IF($L409="","",IF(INDEX(tblRegistros[Data],$L409)&gt;$D$4,"",IFERROR(INDEX(tblRegistros[Data],$L409),"")))</f>
        <v/>
      </c>
      <c r="B409" t="str">
        <f>IF($L409="","",IF(INDEX(tblRegistros[Data],$L409)&gt;$D$4,"",IFERROR(INDEX(tblRegistros[Projeto],$L409),"")))</f>
        <v/>
      </c>
      <c r="C409" t="str">
        <f>IF($L409="","",IF(INDEX(tblRegistros[Data],$L409)&gt;$D$4,"",IFERROR(INDEX(tblRegistros[Atividade],$L409),"")))</f>
        <v/>
      </c>
      <c r="D409" s="4" t="str">
        <f>IF($L409="","",IF(INDEX(tblRegistros[Data],$L409)&gt;$D$4,"",IFERROR(INDEX(tblRegistros[Início],$L409),"")))</f>
        <v/>
      </c>
      <c r="E409" s="4" t="str">
        <f>IF($L409="","",IF(INDEX(tblRegistros[Data],$L409)&gt;$D$4,"",IFERROR(IF(INDEX(tblRegistros[Status],$L409)="EM ABERTO","",INDEX(tblRegistros[Fim],$L409)),"")))</f>
        <v/>
      </c>
      <c r="F409" t="str">
        <f>IF($L409="","",IF(INDEX(tblRegistros[Data],$L409)&gt;$D$4,"",IFERROR(IF(INDEX(tblRegistros[Status],$L409)="EM ABERTO","",INDEX(tblRegistros[Horas],$L409)),"")))</f>
        <v/>
      </c>
      <c r="G409" t="str">
        <f>IF($L409="","",IF(INDEX(tblRegistros[Data],$L409)&gt;$D$4,"",IFERROR(INDEX(tblRegistros[Base],$L409),"")))</f>
        <v/>
      </c>
      <c r="H409" s="3" t="str">
        <f>IF($L409="","",IF(INDEX(tblRegistros[Data],$L409)&gt;$D$4,"",IFERROR(INDEX(tblRegistros[Taxa aplicada],$L409),"")))</f>
        <v/>
      </c>
      <c r="I409" s="3" t="str">
        <f>IF($L409="","",IF(INDEX(tblRegistros[Data],$L409)&gt;$D$4,"",IFERROR(IF(INDEX(tblRegistros[Status],$L409)="EM ABERTO","",INDEX(tblRegistros[Valor],$L409)),"")))</f>
        <v/>
      </c>
      <c r="J409" t="str">
        <f>IF($L409="","",IF(INDEX(tblRegistros[Data],$L409)&gt;$D$4,"",IFERROR(INDEX(tblRegistros[Status],$L409),"")))</f>
        <v/>
      </c>
      <c r="K409" t="str">
        <f>IF($L409="","",IF(INDEX(tblRegistros[Data],$L409)&gt;$D$4,"",IFERROR(INDEX(tblRegistros[Observação],$L409),"")))</f>
        <v/>
      </c>
      <c r="L409" s="16" t="str">
        <f>IFERROR(MATCH($B$3*100000+COUNTIFS(tblRegistros[ID],$B$3,tblRegistros[Data],"&lt;"&amp;$B$4)+ROWS($L$10:L409),tblRegistros[Chave do cartão],0),"")</f>
        <v/>
      </c>
    </row>
    <row r="410" spans="1:12">
      <c r="A410" s="2" t="str">
        <f>IF($L410="","",IF(INDEX(tblRegistros[Data],$L410)&gt;$D$4,"",IFERROR(INDEX(tblRegistros[Data],$L410),"")))</f>
        <v/>
      </c>
      <c r="B410" t="str">
        <f>IF($L410="","",IF(INDEX(tblRegistros[Data],$L410)&gt;$D$4,"",IFERROR(INDEX(tblRegistros[Projeto],$L410),"")))</f>
        <v/>
      </c>
      <c r="C410" t="str">
        <f>IF($L410="","",IF(INDEX(tblRegistros[Data],$L410)&gt;$D$4,"",IFERROR(INDEX(tblRegistros[Atividade],$L410),"")))</f>
        <v/>
      </c>
      <c r="D410" s="4" t="str">
        <f>IF($L410="","",IF(INDEX(tblRegistros[Data],$L410)&gt;$D$4,"",IFERROR(INDEX(tblRegistros[Início],$L410),"")))</f>
        <v/>
      </c>
      <c r="E410" s="4" t="str">
        <f>IF($L410="","",IF(INDEX(tblRegistros[Data],$L410)&gt;$D$4,"",IFERROR(IF(INDEX(tblRegistros[Status],$L410)="EM ABERTO","",INDEX(tblRegistros[Fim],$L410)),"")))</f>
        <v/>
      </c>
      <c r="F410" t="str">
        <f>IF($L410="","",IF(INDEX(tblRegistros[Data],$L410)&gt;$D$4,"",IFERROR(IF(INDEX(tblRegistros[Status],$L410)="EM ABERTO","",INDEX(tblRegistros[Horas],$L410)),"")))</f>
        <v/>
      </c>
      <c r="G410" t="str">
        <f>IF($L410="","",IF(INDEX(tblRegistros[Data],$L410)&gt;$D$4,"",IFERROR(INDEX(tblRegistros[Base],$L410),"")))</f>
        <v/>
      </c>
      <c r="H410" s="3" t="str">
        <f>IF($L410="","",IF(INDEX(tblRegistros[Data],$L410)&gt;$D$4,"",IFERROR(INDEX(tblRegistros[Taxa aplicada],$L410),"")))</f>
        <v/>
      </c>
      <c r="I410" s="3" t="str">
        <f>IF($L410="","",IF(INDEX(tblRegistros[Data],$L410)&gt;$D$4,"",IFERROR(IF(INDEX(tblRegistros[Status],$L410)="EM ABERTO","",INDEX(tblRegistros[Valor],$L410)),"")))</f>
        <v/>
      </c>
      <c r="J410" t="str">
        <f>IF($L410="","",IF(INDEX(tblRegistros[Data],$L410)&gt;$D$4,"",IFERROR(INDEX(tblRegistros[Status],$L410),"")))</f>
        <v/>
      </c>
      <c r="K410" t="str">
        <f>IF($L410="","",IF(INDEX(tblRegistros[Data],$L410)&gt;$D$4,"",IFERROR(INDEX(tblRegistros[Observação],$L410),"")))</f>
        <v/>
      </c>
      <c r="L410" s="16" t="str">
        <f>IFERROR(MATCH($B$3*100000+COUNTIFS(tblRegistros[ID],$B$3,tblRegistros[Data],"&lt;"&amp;$B$4)+ROWS($L$10:L410),tblRegistros[Chave do cartão],0),"")</f>
        <v/>
      </c>
    </row>
    <row r="411" spans="1:12">
      <c r="A411" s="2" t="str">
        <f>IF($L411="","",IF(INDEX(tblRegistros[Data],$L411)&gt;$D$4,"",IFERROR(INDEX(tblRegistros[Data],$L411),"")))</f>
        <v/>
      </c>
      <c r="B411" t="str">
        <f>IF($L411="","",IF(INDEX(tblRegistros[Data],$L411)&gt;$D$4,"",IFERROR(INDEX(tblRegistros[Projeto],$L411),"")))</f>
        <v/>
      </c>
      <c r="C411" t="str">
        <f>IF($L411="","",IF(INDEX(tblRegistros[Data],$L411)&gt;$D$4,"",IFERROR(INDEX(tblRegistros[Atividade],$L411),"")))</f>
        <v/>
      </c>
      <c r="D411" s="4" t="str">
        <f>IF($L411="","",IF(INDEX(tblRegistros[Data],$L411)&gt;$D$4,"",IFERROR(INDEX(tblRegistros[Início],$L411),"")))</f>
        <v/>
      </c>
      <c r="E411" s="4" t="str">
        <f>IF($L411="","",IF(INDEX(tblRegistros[Data],$L411)&gt;$D$4,"",IFERROR(IF(INDEX(tblRegistros[Status],$L411)="EM ABERTO","",INDEX(tblRegistros[Fim],$L411)),"")))</f>
        <v/>
      </c>
      <c r="F411" t="str">
        <f>IF($L411="","",IF(INDEX(tblRegistros[Data],$L411)&gt;$D$4,"",IFERROR(IF(INDEX(tblRegistros[Status],$L411)="EM ABERTO","",INDEX(tblRegistros[Horas],$L411)),"")))</f>
        <v/>
      </c>
      <c r="G411" t="str">
        <f>IF($L411="","",IF(INDEX(tblRegistros[Data],$L411)&gt;$D$4,"",IFERROR(INDEX(tblRegistros[Base],$L411),"")))</f>
        <v/>
      </c>
      <c r="H411" s="3" t="str">
        <f>IF($L411="","",IF(INDEX(tblRegistros[Data],$L411)&gt;$D$4,"",IFERROR(INDEX(tblRegistros[Taxa aplicada],$L411),"")))</f>
        <v/>
      </c>
      <c r="I411" s="3" t="str">
        <f>IF($L411="","",IF(INDEX(tblRegistros[Data],$L411)&gt;$D$4,"",IFERROR(IF(INDEX(tblRegistros[Status],$L411)="EM ABERTO","",INDEX(tblRegistros[Valor],$L411)),"")))</f>
        <v/>
      </c>
      <c r="J411" t="str">
        <f>IF($L411="","",IF(INDEX(tblRegistros[Data],$L411)&gt;$D$4,"",IFERROR(INDEX(tblRegistros[Status],$L411),"")))</f>
        <v/>
      </c>
      <c r="K411" t="str">
        <f>IF($L411="","",IF(INDEX(tblRegistros[Data],$L411)&gt;$D$4,"",IFERROR(INDEX(tblRegistros[Observação],$L411),"")))</f>
        <v/>
      </c>
      <c r="L411" s="16" t="str">
        <f>IFERROR(MATCH($B$3*100000+COUNTIFS(tblRegistros[ID],$B$3,tblRegistros[Data],"&lt;"&amp;$B$4)+ROWS($L$10:L411),tblRegistros[Chave do cartão],0),"")</f>
        <v/>
      </c>
    </row>
    <row r="412" spans="1:12">
      <c r="A412" s="2" t="str">
        <f>IF($L412="","",IF(INDEX(tblRegistros[Data],$L412)&gt;$D$4,"",IFERROR(INDEX(tblRegistros[Data],$L412),"")))</f>
        <v/>
      </c>
      <c r="B412" t="str">
        <f>IF($L412="","",IF(INDEX(tblRegistros[Data],$L412)&gt;$D$4,"",IFERROR(INDEX(tblRegistros[Projeto],$L412),"")))</f>
        <v/>
      </c>
      <c r="C412" t="str">
        <f>IF($L412="","",IF(INDEX(tblRegistros[Data],$L412)&gt;$D$4,"",IFERROR(INDEX(tblRegistros[Atividade],$L412),"")))</f>
        <v/>
      </c>
      <c r="D412" s="4" t="str">
        <f>IF($L412="","",IF(INDEX(tblRegistros[Data],$L412)&gt;$D$4,"",IFERROR(INDEX(tblRegistros[Início],$L412),"")))</f>
        <v/>
      </c>
      <c r="E412" s="4" t="str">
        <f>IF($L412="","",IF(INDEX(tblRegistros[Data],$L412)&gt;$D$4,"",IFERROR(IF(INDEX(tblRegistros[Status],$L412)="EM ABERTO","",INDEX(tblRegistros[Fim],$L412)),"")))</f>
        <v/>
      </c>
      <c r="F412" t="str">
        <f>IF($L412="","",IF(INDEX(tblRegistros[Data],$L412)&gt;$D$4,"",IFERROR(IF(INDEX(tblRegistros[Status],$L412)="EM ABERTO","",INDEX(tblRegistros[Horas],$L412)),"")))</f>
        <v/>
      </c>
      <c r="G412" t="str">
        <f>IF($L412="","",IF(INDEX(tblRegistros[Data],$L412)&gt;$D$4,"",IFERROR(INDEX(tblRegistros[Base],$L412),"")))</f>
        <v/>
      </c>
      <c r="H412" s="3" t="str">
        <f>IF($L412="","",IF(INDEX(tblRegistros[Data],$L412)&gt;$D$4,"",IFERROR(INDEX(tblRegistros[Taxa aplicada],$L412),"")))</f>
        <v/>
      </c>
      <c r="I412" s="3" t="str">
        <f>IF($L412="","",IF(INDEX(tblRegistros[Data],$L412)&gt;$D$4,"",IFERROR(IF(INDEX(tblRegistros[Status],$L412)="EM ABERTO","",INDEX(tblRegistros[Valor],$L412)),"")))</f>
        <v/>
      </c>
      <c r="J412" t="str">
        <f>IF($L412="","",IF(INDEX(tblRegistros[Data],$L412)&gt;$D$4,"",IFERROR(INDEX(tblRegistros[Status],$L412),"")))</f>
        <v/>
      </c>
      <c r="K412" t="str">
        <f>IF($L412="","",IF(INDEX(tblRegistros[Data],$L412)&gt;$D$4,"",IFERROR(INDEX(tblRegistros[Observação],$L412),"")))</f>
        <v/>
      </c>
      <c r="L412" s="16" t="str">
        <f>IFERROR(MATCH($B$3*100000+COUNTIFS(tblRegistros[ID],$B$3,tblRegistros[Data],"&lt;"&amp;$B$4)+ROWS($L$10:L412),tblRegistros[Chave do cartão],0),"")</f>
        <v/>
      </c>
    </row>
    <row r="413" spans="1:12">
      <c r="A413" s="2" t="str">
        <f>IF($L413="","",IF(INDEX(tblRegistros[Data],$L413)&gt;$D$4,"",IFERROR(INDEX(tblRegistros[Data],$L413),"")))</f>
        <v/>
      </c>
      <c r="B413" t="str">
        <f>IF($L413="","",IF(INDEX(tblRegistros[Data],$L413)&gt;$D$4,"",IFERROR(INDEX(tblRegistros[Projeto],$L413),"")))</f>
        <v/>
      </c>
      <c r="C413" t="str">
        <f>IF($L413="","",IF(INDEX(tblRegistros[Data],$L413)&gt;$D$4,"",IFERROR(INDEX(tblRegistros[Atividade],$L413),"")))</f>
        <v/>
      </c>
      <c r="D413" s="4" t="str">
        <f>IF($L413="","",IF(INDEX(tblRegistros[Data],$L413)&gt;$D$4,"",IFERROR(INDEX(tblRegistros[Início],$L413),"")))</f>
        <v/>
      </c>
      <c r="E413" s="4" t="str">
        <f>IF($L413="","",IF(INDEX(tblRegistros[Data],$L413)&gt;$D$4,"",IFERROR(IF(INDEX(tblRegistros[Status],$L413)="EM ABERTO","",INDEX(tblRegistros[Fim],$L413)),"")))</f>
        <v/>
      </c>
      <c r="F413" t="str">
        <f>IF($L413="","",IF(INDEX(tblRegistros[Data],$L413)&gt;$D$4,"",IFERROR(IF(INDEX(tblRegistros[Status],$L413)="EM ABERTO","",INDEX(tblRegistros[Horas],$L413)),"")))</f>
        <v/>
      </c>
      <c r="G413" t="str">
        <f>IF($L413="","",IF(INDEX(tblRegistros[Data],$L413)&gt;$D$4,"",IFERROR(INDEX(tblRegistros[Base],$L413),"")))</f>
        <v/>
      </c>
      <c r="H413" s="3" t="str">
        <f>IF($L413="","",IF(INDEX(tblRegistros[Data],$L413)&gt;$D$4,"",IFERROR(INDEX(tblRegistros[Taxa aplicada],$L413),"")))</f>
        <v/>
      </c>
      <c r="I413" s="3" t="str">
        <f>IF($L413="","",IF(INDEX(tblRegistros[Data],$L413)&gt;$D$4,"",IFERROR(IF(INDEX(tblRegistros[Status],$L413)="EM ABERTO","",INDEX(tblRegistros[Valor],$L413)),"")))</f>
        <v/>
      </c>
      <c r="J413" t="str">
        <f>IF($L413="","",IF(INDEX(tblRegistros[Data],$L413)&gt;$D$4,"",IFERROR(INDEX(tblRegistros[Status],$L413),"")))</f>
        <v/>
      </c>
      <c r="K413" t="str">
        <f>IF($L413="","",IF(INDEX(tblRegistros[Data],$L413)&gt;$D$4,"",IFERROR(INDEX(tblRegistros[Observação],$L413),"")))</f>
        <v/>
      </c>
      <c r="L413" s="16" t="str">
        <f>IFERROR(MATCH($B$3*100000+COUNTIFS(tblRegistros[ID],$B$3,tblRegistros[Data],"&lt;"&amp;$B$4)+ROWS($L$10:L413),tblRegistros[Chave do cartão],0),"")</f>
        <v/>
      </c>
    </row>
    <row r="414" spans="1:12">
      <c r="A414" s="2" t="str">
        <f>IF($L414="","",IF(INDEX(tblRegistros[Data],$L414)&gt;$D$4,"",IFERROR(INDEX(tblRegistros[Data],$L414),"")))</f>
        <v/>
      </c>
      <c r="B414" t="str">
        <f>IF($L414="","",IF(INDEX(tblRegistros[Data],$L414)&gt;$D$4,"",IFERROR(INDEX(tblRegistros[Projeto],$L414),"")))</f>
        <v/>
      </c>
      <c r="C414" t="str">
        <f>IF($L414="","",IF(INDEX(tblRegistros[Data],$L414)&gt;$D$4,"",IFERROR(INDEX(tblRegistros[Atividade],$L414),"")))</f>
        <v/>
      </c>
      <c r="D414" s="4" t="str">
        <f>IF($L414="","",IF(INDEX(tblRegistros[Data],$L414)&gt;$D$4,"",IFERROR(INDEX(tblRegistros[Início],$L414),"")))</f>
        <v/>
      </c>
      <c r="E414" s="4" t="str">
        <f>IF($L414="","",IF(INDEX(tblRegistros[Data],$L414)&gt;$D$4,"",IFERROR(IF(INDEX(tblRegistros[Status],$L414)="EM ABERTO","",INDEX(tblRegistros[Fim],$L414)),"")))</f>
        <v/>
      </c>
      <c r="F414" t="str">
        <f>IF($L414="","",IF(INDEX(tblRegistros[Data],$L414)&gt;$D$4,"",IFERROR(IF(INDEX(tblRegistros[Status],$L414)="EM ABERTO","",INDEX(tblRegistros[Horas],$L414)),"")))</f>
        <v/>
      </c>
      <c r="G414" t="str">
        <f>IF($L414="","",IF(INDEX(tblRegistros[Data],$L414)&gt;$D$4,"",IFERROR(INDEX(tblRegistros[Base],$L414),"")))</f>
        <v/>
      </c>
      <c r="H414" s="3" t="str">
        <f>IF($L414="","",IF(INDEX(tblRegistros[Data],$L414)&gt;$D$4,"",IFERROR(INDEX(tblRegistros[Taxa aplicada],$L414),"")))</f>
        <v/>
      </c>
      <c r="I414" s="3" t="str">
        <f>IF($L414="","",IF(INDEX(tblRegistros[Data],$L414)&gt;$D$4,"",IFERROR(IF(INDEX(tblRegistros[Status],$L414)="EM ABERTO","",INDEX(tblRegistros[Valor],$L414)),"")))</f>
        <v/>
      </c>
      <c r="J414" t="str">
        <f>IF($L414="","",IF(INDEX(tblRegistros[Data],$L414)&gt;$D$4,"",IFERROR(INDEX(tblRegistros[Status],$L414),"")))</f>
        <v/>
      </c>
      <c r="K414" t="str">
        <f>IF($L414="","",IF(INDEX(tblRegistros[Data],$L414)&gt;$D$4,"",IFERROR(INDEX(tblRegistros[Observação],$L414),"")))</f>
        <v/>
      </c>
      <c r="L414" s="16" t="str">
        <f>IFERROR(MATCH($B$3*100000+COUNTIFS(tblRegistros[ID],$B$3,tblRegistros[Data],"&lt;"&amp;$B$4)+ROWS($L$10:L414),tblRegistros[Chave do cartão],0),"")</f>
        <v/>
      </c>
    </row>
    <row r="415" spans="1:12">
      <c r="A415" s="2" t="str">
        <f>IF($L415="","",IF(INDEX(tblRegistros[Data],$L415)&gt;$D$4,"",IFERROR(INDEX(tblRegistros[Data],$L415),"")))</f>
        <v/>
      </c>
      <c r="B415" t="str">
        <f>IF($L415="","",IF(INDEX(tblRegistros[Data],$L415)&gt;$D$4,"",IFERROR(INDEX(tblRegistros[Projeto],$L415),"")))</f>
        <v/>
      </c>
      <c r="C415" t="str">
        <f>IF($L415="","",IF(INDEX(tblRegistros[Data],$L415)&gt;$D$4,"",IFERROR(INDEX(tblRegistros[Atividade],$L415),"")))</f>
        <v/>
      </c>
      <c r="D415" s="4" t="str">
        <f>IF($L415="","",IF(INDEX(tblRegistros[Data],$L415)&gt;$D$4,"",IFERROR(INDEX(tblRegistros[Início],$L415),"")))</f>
        <v/>
      </c>
      <c r="E415" s="4" t="str">
        <f>IF($L415="","",IF(INDEX(tblRegistros[Data],$L415)&gt;$D$4,"",IFERROR(IF(INDEX(tblRegistros[Status],$L415)="EM ABERTO","",INDEX(tblRegistros[Fim],$L415)),"")))</f>
        <v/>
      </c>
      <c r="F415" t="str">
        <f>IF($L415="","",IF(INDEX(tblRegistros[Data],$L415)&gt;$D$4,"",IFERROR(IF(INDEX(tblRegistros[Status],$L415)="EM ABERTO","",INDEX(tblRegistros[Horas],$L415)),"")))</f>
        <v/>
      </c>
      <c r="G415" t="str">
        <f>IF($L415="","",IF(INDEX(tblRegistros[Data],$L415)&gt;$D$4,"",IFERROR(INDEX(tblRegistros[Base],$L415),"")))</f>
        <v/>
      </c>
      <c r="H415" s="3" t="str">
        <f>IF($L415="","",IF(INDEX(tblRegistros[Data],$L415)&gt;$D$4,"",IFERROR(INDEX(tblRegistros[Taxa aplicada],$L415),"")))</f>
        <v/>
      </c>
      <c r="I415" s="3" t="str">
        <f>IF($L415="","",IF(INDEX(tblRegistros[Data],$L415)&gt;$D$4,"",IFERROR(IF(INDEX(tblRegistros[Status],$L415)="EM ABERTO","",INDEX(tblRegistros[Valor],$L415)),"")))</f>
        <v/>
      </c>
      <c r="J415" t="str">
        <f>IF($L415="","",IF(INDEX(tblRegistros[Data],$L415)&gt;$D$4,"",IFERROR(INDEX(tblRegistros[Status],$L415),"")))</f>
        <v/>
      </c>
      <c r="K415" t="str">
        <f>IF($L415="","",IF(INDEX(tblRegistros[Data],$L415)&gt;$D$4,"",IFERROR(INDEX(tblRegistros[Observação],$L415),"")))</f>
        <v/>
      </c>
      <c r="L415" s="16" t="str">
        <f>IFERROR(MATCH($B$3*100000+COUNTIFS(tblRegistros[ID],$B$3,tblRegistros[Data],"&lt;"&amp;$B$4)+ROWS($L$10:L415),tblRegistros[Chave do cartão],0),"")</f>
        <v/>
      </c>
    </row>
    <row r="416" spans="1:12">
      <c r="A416" s="2" t="str">
        <f>IF($L416="","",IF(INDEX(tblRegistros[Data],$L416)&gt;$D$4,"",IFERROR(INDEX(tblRegistros[Data],$L416),"")))</f>
        <v/>
      </c>
      <c r="B416" t="str">
        <f>IF($L416="","",IF(INDEX(tblRegistros[Data],$L416)&gt;$D$4,"",IFERROR(INDEX(tblRegistros[Projeto],$L416),"")))</f>
        <v/>
      </c>
      <c r="C416" t="str">
        <f>IF($L416="","",IF(INDEX(tblRegistros[Data],$L416)&gt;$D$4,"",IFERROR(INDEX(tblRegistros[Atividade],$L416),"")))</f>
        <v/>
      </c>
      <c r="D416" s="4" t="str">
        <f>IF($L416="","",IF(INDEX(tblRegistros[Data],$L416)&gt;$D$4,"",IFERROR(INDEX(tblRegistros[Início],$L416),"")))</f>
        <v/>
      </c>
      <c r="E416" s="4" t="str">
        <f>IF($L416="","",IF(INDEX(tblRegistros[Data],$L416)&gt;$D$4,"",IFERROR(IF(INDEX(tblRegistros[Status],$L416)="EM ABERTO","",INDEX(tblRegistros[Fim],$L416)),"")))</f>
        <v/>
      </c>
      <c r="F416" t="str">
        <f>IF($L416="","",IF(INDEX(tblRegistros[Data],$L416)&gt;$D$4,"",IFERROR(IF(INDEX(tblRegistros[Status],$L416)="EM ABERTO","",INDEX(tblRegistros[Horas],$L416)),"")))</f>
        <v/>
      </c>
      <c r="G416" t="str">
        <f>IF($L416="","",IF(INDEX(tblRegistros[Data],$L416)&gt;$D$4,"",IFERROR(INDEX(tblRegistros[Base],$L416),"")))</f>
        <v/>
      </c>
      <c r="H416" s="3" t="str">
        <f>IF($L416="","",IF(INDEX(tblRegistros[Data],$L416)&gt;$D$4,"",IFERROR(INDEX(tblRegistros[Taxa aplicada],$L416),"")))</f>
        <v/>
      </c>
      <c r="I416" s="3" t="str">
        <f>IF($L416="","",IF(INDEX(tblRegistros[Data],$L416)&gt;$D$4,"",IFERROR(IF(INDEX(tblRegistros[Status],$L416)="EM ABERTO","",INDEX(tblRegistros[Valor],$L416)),"")))</f>
        <v/>
      </c>
      <c r="J416" t="str">
        <f>IF($L416="","",IF(INDEX(tblRegistros[Data],$L416)&gt;$D$4,"",IFERROR(INDEX(tblRegistros[Status],$L416),"")))</f>
        <v/>
      </c>
      <c r="K416" t="str">
        <f>IF($L416="","",IF(INDEX(tblRegistros[Data],$L416)&gt;$D$4,"",IFERROR(INDEX(tblRegistros[Observação],$L416),"")))</f>
        <v/>
      </c>
      <c r="L416" s="16" t="str">
        <f>IFERROR(MATCH($B$3*100000+COUNTIFS(tblRegistros[ID],$B$3,tblRegistros[Data],"&lt;"&amp;$B$4)+ROWS($L$10:L416),tblRegistros[Chave do cartão],0),"")</f>
        <v/>
      </c>
    </row>
    <row r="417" spans="1:12">
      <c r="A417" s="2" t="str">
        <f>IF($L417="","",IF(INDEX(tblRegistros[Data],$L417)&gt;$D$4,"",IFERROR(INDEX(tblRegistros[Data],$L417),"")))</f>
        <v/>
      </c>
      <c r="B417" t="str">
        <f>IF($L417="","",IF(INDEX(tblRegistros[Data],$L417)&gt;$D$4,"",IFERROR(INDEX(tblRegistros[Projeto],$L417),"")))</f>
        <v/>
      </c>
      <c r="C417" t="str">
        <f>IF($L417="","",IF(INDEX(tblRegistros[Data],$L417)&gt;$D$4,"",IFERROR(INDEX(tblRegistros[Atividade],$L417),"")))</f>
        <v/>
      </c>
      <c r="D417" s="4" t="str">
        <f>IF($L417="","",IF(INDEX(tblRegistros[Data],$L417)&gt;$D$4,"",IFERROR(INDEX(tblRegistros[Início],$L417),"")))</f>
        <v/>
      </c>
      <c r="E417" s="4" t="str">
        <f>IF($L417="","",IF(INDEX(tblRegistros[Data],$L417)&gt;$D$4,"",IFERROR(IF(INDEX(tblRegistros[Status],$L417)="EM ABERTO","",INDEX(tblRegistros[Fim],$L417)),"")))</f>
        <v/>
      </c>
      <c r="F417" t="str">
        <f>IF($L417="","",IF(INDEX(tblRegistros[Data],$L417)&gt;$D$4,"",IFERROR(IF(INDEX(tblRegistros[Status],$L417)="EM ABERTO","",INDEX(tblRegistros[Horas],$L417)),"")))</f>
        <v/>
      </c>
      <c r="G417" t="str">
        <f>IF($L417="","",IF(INDEX(tblRegistros[Data],$L417)&gt;$D$4,"",IFERROR(INDEX(tblRegistros[Base],$L417),"")))</f>
        <v/>
      </c>
      <c r="H417" s="3" t="str">
        <f>IF($L417="","",IF(INDEX(tblRegistros[Data],$L417)&gt;$D$4,"",IFERROR(INDEX(tblRegistros[Taxa aplicada],$L417),"")))</f>
        <v/>
      </c>
      <c r="I417" s="3" t="str">
        <f>IF($L417="","",IF(INDEX(tblRegistros[Data],$L417)&gt;$D$4,"",IFERROR(IF(INDEX(tblRegistros[Status],$L417)="EM ABERTO","",INDEX(tblRegistros[Valor],$L417)),"")))</f>
        <v/>
      </c>
      <c r="J417" t="str">
        <f>IF($L417="","",IF(INDEX(tblRegistros[Data],$L417)&gt;$D$4,"",IFERROR(INDEX(tblRegistros[Status],$L417),"")))</f>
        <v/>
      </c>
      <c r="K417" t="str">
        <f>IF($L417="","",IF(INDEX(tblRegistros[Data],$L417)&gt;$D$4,"",IFERROR(INDEX(tblRegistros[Observação],$L417),"")))</f>
        <v/>
      </c>
      <c r="L417" s="16" t="str">
        <f>IFERROR(MATCH($B$3*100000+COUNTIFS(tblRegistros[ID],$B$3,tblRegistros[Data],"&lt;"&amp;$B$4)+ROWS($L$10:L417),tblRegistros[Chave do cartão],0),"")</f>
        <v/>
      </c>
    </row>
    <row r="418" spans="1:12">
      <c r="A418" s="2" t="str">
        <f>IF($L418="","",IF(INDEX(tblRegistros[Data],$L418)&gt;$D$4,"",IFERROR(INDEX(tblRegistros[Data],$L418),"")))</f>
        <v/>
      </c>
      <c r="B418" t="str">
        <f>IF($L418="","",IF(INDEX(tblRegistros[Data],$L418)&gt;$D$4,"",IFERROR(INDEX(tblRegistros[Projeto],$L418),"")))</f>
        <v/>
      </c>
      <c r="C418" t="str">
        <f>IF($L418="","",IF(INDEX(tblRegistros[Data],$L418)&gt;$D$4,"",IFERROR(INDEX(tblRegistros[Atividade],$L418),"")))</f>
        <v/>
      </c>
      <c r="D418" s="4" t="str">
        <f>IF($L418="","",IF(INDEX(tblRegistros[Data],$L418)&gt;$D$4,"",IFERROR(INDEX(tblRegistros[Início],$L418),"")))</f>
        <v/>
      </c>
      <c r="E418" s="4" t="str">
        <f>IF($L418="","",IF(INDEX(tblRegistros[Data],$L418)&gt;$D$4,"",IFERROR(IF(INDEX(tblRegistros[Status],$L418)="EM ABERTO","",INDEX(tblRegistros[Fim],$L418)),"")))</f>
        <v/>
      </c>
      <c r="F418" t="str">
        <f>IF($L418="","",IF(INDEX(tblRegistros[Data],$L418)&gt;$D$4,"",IFERROR(IF(INDEX(tblRegistros[Status],$L418)="EM ABERTO","",INDEX(tblRegistros[Horas],$L418)),"")))</f>
        <v/>
      </c>
      <c r="G418" t="str">
        <f>IF($L418="","",IF(INDEX(tblRegistros[Data],$L418)&gt;$D$4,"",IFERROR(INDEX(tblRegistros[Base],$L418),"")))</f>
        <v/>
      </c>
      <c r="H418" s="3" t="str">
        <f>IF($L418="","",IF(INDEX(tblRegistros[Data],$L418)&gt;$D$4,"",IFERROR(INDEX(tblRegistros[Taxa aplicada],$L418),"")))</f>
        <v/>
      </c>
      <c r="I418" s="3" t="str">
        <f>IF($L418="","",IF(INDEX(tblRegistros[Data],$L418)&gt;$D$4,"",IFERROR(IF(INDEX(tblRegistros[Status],$L418)="EM ABERTO","",INDEX(tblRegistros[Valor],$L418)),"")))</f>
        <v/>
      </c>
      <c r="J418" t="str">
        <f>IF($L418="","",IF(INDEX(tblRegistros[Data],$L418)&gt;$D$4,"",IFERROR(INDEX(tblRegistros[Status],$L418),"")))</f>
        <v/>
      </c>
      <c r="K418" t="str">
        <f>IF($L418="","",IF(INDEX(tblRegistros[Data],$L418)&gt;$D$4,"",IFERROR(INDEX(tblRegistros[Observação],$L418),"")))</f>
        <v/>
      </c>
      <c r="L418" s="16" t="str">
        <f>IFERROR(MATCH($B$3*100000+COUNTIFS(tblRegistros[ID],$B$3,tblRegistros[Data],"&lt;"&amp;$B$4)+ROWS($L$10:L418),tblRegistros[Chave do cartão],0),"")</f>
        <v/>
      </c>
    </row>
    <row r="419" spans="1:12">
      <c r="A419" s="2" t="str">
        <f>IF($L419="","",IF(INDEX(tblRegistros[Data],$L419)&gt;$D$4,"",IFERROR(INDEX(tblRegistros[Data],$L419),"")))</f>
        <v/>
      </c>
      <c r="B419" t="str">
        <f>IF($L419="","",IF(INDEX(tblRegistros[Data],$L419)&gt;$D$4,"",IFERROR(INDEX(tblRegistros[Projeto],$L419),"")))</f>
        <v/>
      </c>
      <c r="C419" t="str">
        <f>IF($L419="","",IF(INDEX(tblRegistros[Data],$L419)&gt;$D$4,"",IFERROR(INDEX(tblRegistros[Atividade],$L419),"")))</f>
        <v/>
      </c>
      <c r="D419" s="4" t="str">
        <f>IF($L419="","",IF(INDEX(tblRegistros[Data],$L419)&gt;$D$4,"",IFERROR(INDEX(tblRegistros[Início],$L419),"")))</f>
        <v/>
      </c>
      <c r="E419" s="4" t="str">
        <f>IF($L419="","",IF(INDEX(tblRegistros[Data],$L419)&gt;$D$4,"",IFERROR(IF(INDEX(tblRegistros[Status],$L419)="EM ABERTO","",INDEX(tblRegistros[Fim],$L419)),"")))</f>
        <v/>
      </c>
      <c r="F419" t="str">
        <f>IF($L419="","",IF(INDEX(tblRegistros[Data],$L419)&gt;$D$4,"",IFERROR(IF(INDEX(tblRegistros[Status],$L419)="EM ABERTO","",INDEX(tblRegistros[Horas],$L419)),"")))</f>
        <v/>
      </c>
      <c r="G419" t="str">
        <f>IF($L419="","",IF(INDEX(tblRegistros[Data],$L419)&gt;$D$4,"",IFERROR(INDEX(tblRegistros[Base],$L419),"")))</f>
        <v/>
      </c>
      <c r="H419" s="3" t="str">
        <f>IF($L419="","",IF(INDEX(tblRegistros[Data],$L419)&gt;$D$4,"",IFERROR(INDEX(tblRegistros[Taxa aplicada],$L419),"")))</f>
        <v/>
      </c>
      <c r="I419" s="3" t="str">
        <f>IF($L419="","",IF(INDEX(tblRegistros[Data],$L419)&gt;$D$4,"",IFERROR(IF(INDEX(tblRegistros[Status],$L419)="EM ABERTO","",INDEX(tblRegistros[Valor],$L419)),"")))</f>
        <v/>
      </c>
      <c r="J419" t="str">
        <f>IF($L419="","",IF(INDEX(tblRegistros[Data],$L419)&gt;$D$4,"",IFERROR(INDEX(tblRegistros[Status],$L419),"")))</f>
        <v/>
      </c>
      <c r="K419" t="str">
        <f>IF($L419="","",IF(INDEX(tblRegistros[Data],$L419)&gt;$D$4,"",IFERROR(INDEX(tblRegistros[Observação],$L419),"")))</f>
        <v/>
      </c>
      <c r="L419" s="16" t="str">
        <f>IFERROR(MATCH($B$3*100000+COUNTIFS(tblRegistros[ID],$B$3,tblRegistros[Data],"&lt;"&amp;$B$4)+ROWS($L$10:L419),tblRegistros[Chave do cartão],0),"")</f>
        <v/>
      </c>
    </row>
    <row r="420" spans="1:12">
      <c r="A420" s="2" t="str">
        <f>IF($L420="","",IF(INDEX(tblRegistros[Data],$L420)&gt;$D$4,"",IFERROR(INDEX(tblRegistros[Data],$L420),"")))</f>
        <v/>
      </c>
      <c r="B420" t="str">
        <f>IF($L420="","",IF(INDEX(tblRegistros[Data],$L420)&gt;$D$4,"",IFERROR(INDEX(tblRegistros[Projeto],$L420),"")))</f>
        <v/>
      </c>
      <c r="C420" t="str">
        <f>IF($L420="","",IF(INDEX(tblRegistros[Data],$L420)&gt;$D$4,"",IFERROR(INDEX(tblRegistros[Atividade],$L420),"")))</f>
        <v/>
      </c>
      <c r="D420" s="4" t="str">
        <f>IF($L420="","",IF(INDEX(tblRegistros[Data],$L420)&gt;$D$4,"",IFERROR(INDEX(tblRegistros[Início],$L420),"")))</f>
        <v/>
      </c>
      <c r="E420" s="4" t="str">
        <f>IF($L420="","",IF(INDEX(tblRegistros[Data],$L420)&gt;$D$4,"",IFERROR(IF(INDEX(tblRegistros[Status],$L420)="EM ABERTO","",INDEX(tblRegistros[Fim],$L420)),"")))</f>
        <v/>
      </c>
      <c r="F420" t="str">
        <f>IF($L420="","",IF(INDEX(tblRegistros[Data],$L420)&gt;$D$4,"",IFERROR(IF(INDEX(tblRegistros[Status],$L420)="EM ABERTO","",INDEX(tblRegistros[Horas],$L420)),"")))</f>
        <v/>
      </c>
      <c r="G420" t="str">
        <f>IF($L420="","",IF(INDEX(tblRegistros[Data],$L420)&gt;$D$4,"",IFERROR(INDEX(tblRegistros[Base],$L420),"")))</f>
        <v/>
      </c>
      <c r="H420" s="3" t="str">
        <f>IF($L420="","",IF(INDEX(tblRegistros[Data],$L420)&gt;$D$4,"",IFERROR(INDEX(tblRegistros[Taxa aplicada],$L420),"")))</f>
        <v/>
      </c>
      <c r="I420" s="3" t="str">
        <f>IF($L420="","",IF(INDEX(tblRegistros[Data],$L420)&gt;$D$4,"",IFERROR(IF(INDEX(tblRegistros[Status],$L420)="EM ABERTO","",INDEX(tblRegistros[Valor],$L420)),"")))</f>
        <v/>
      </c>
      <c r="J420" t="str">
        <f>IF($L420="","",IF(INDEX(tblRegistros[Data],$L420)&gt;$D$4,"",IFERROR(INDEX(tblRegistros[Status],$L420),"")))</f>
        <v/>
      </c>
      <c r="K420" t="str">
        <f>IF($L420="","",IF(INDEX(tblRegistros[Data],$L420)&gt;$D$4,"",IFERROR(INDEX(tblRegistros[Observação],$L420),"")))</f>
        <v/>
      </c>
      <c r="L420" s="16" t="str">
        <f>IFERROR(MATCH($B$3*100000+COUNTIFS(tblRegistros[ID],$B$3,tblRegistros[Data],"&lt;"&amp;$B$4)+ROWS($L$10:L420),tblRegistros[Chave do cartão],0),"")</f>
        <v/>
      </c>
    </row>
    <row r="421" spans="1:12">
      <c r="A421" s="2" t="str">
        <f>IF($L421="","",IF(INDEX(tblRegistros[Data],$L421)&gt;$D$4,"",IFERROR(INDEX(tblRegistros[Data],$L421),"")))</f>
        <v/>
      </c>
      <c r="B421" t="str">
        <f>IF($L421="","",IF(INDEX(tblRegistros[Data],$L421)&gt;$D$4,"",IFERROR(INDEX(tblRegistros[Projeto],$L421),"")))</f>
        <v/>
      </c>
      <c r="C421" t="str">
        <f>IF($L421="","",IF(INDEX(tblRegistros[Data],$L421)&gt;$D$4,"",IFERROR(INDEX(tblRegistros[Atividade],$L421),"")))</f>
        <v/>
      </c>
      <c r="D421" s="4" t="str">
        <f>IF($L421="","",IF(INDEX(tblRegistros[Data],$L421)&gt;$D$4,"",IFERROR(INDEX(tblRegistros[Início],$L421),"")))</f>
        <v/>
      </c>
      <c r="E421" s="4" t="str">
        <f>IF($L421="","",IF(INDEX(tblRegistros[Data],$L421)&gt;$D$4,"",IFERROR(IF(INDEX(tblRegistros[Status],$L421)="EM ABERTO","",INDEX(tblRegistros[Fim],$L421)),"")))</f>
        <v/>
      </c>
      <c r="F421" t="str">
        <f>IF($L421="","",IF(INDEX(tblRegistros[Data],$L421)&gt;$D$4,"",IFERROR(IF(INDEX(tblRegistros[Status],$L421)="EM ABERTO","",INDEX(tblRegistros[Horas],$L421)),"")))</f>
        <v/>
      </c>
      <c r="G421" t="str">
        <f>IF($L421="","",IF(INDEX(tblRegistros[Data],$L421)&gt;$D$4,"",IFERROR(INDEX(tblRegistros[Base],$L421),"")))</f>
        <v/>
      </c>
      <c r="H421" s="3" t="str">
        <f>IF($L421="","",IF(INDEX(tblRegistros[Data],$L421)&gt;$D$4,"",IFERROR(INDEX(tblRegistros[Taxa aplicada],$L421),"")))</f>
        <v/>
      </c>
      <c r="I421" s="3" t="str">
        <f>IF($L421="","",IF(INDEX(tblRegistros[Data],$L421)&gt;$D$4,"",IFERROR(IF(INDEX(tblRegistros[Status],$L421)="EM ABERTO","",INDEX(tblRegistros[Valor],$L421)),"")))</f>
        <v/>
      </c>
      <c r="J421" t="str">
        <f>IF($L421="","",IF(INDEX(tblRegistros[Data],$L421)&gt;$D$4,"",IFERROR(INDEX(tblRegistros[Status],$L421),"")))</f>
        <v/>
      </c>
      <c r="K421" t="str">
        <f>IF($L421="","",IF(INDEX(tblRegistros[Data],$L421)&gt;$D$4,"",IFERROR(INDEX(tblRegistros[Observação],$L421),"")))</f>
        <v/>
      </c>
      <c r="L421" s="16" t="str">
        <f>IFERROR(MATCH($B$3*100000+COUNTIFS(tblRegistros[ID],$B$3,tblRegistros[Data],"&lt;"&amp;$B$4)+ROWS($L$10:L421),tblRegistros[Chave do cartão],0),"")</f>
        <v/>
      </c>
    </row>
    <row r="422" spans="1:12">
      <c r="A422" s="2" t="str">
        <f>IF($L422="","",IF(INDEX(tblRegistros[Data],$L422)&gt;$D$4,"",IFERROR(INDEX(tblRegistros[Data],$L422),"")))</f>
        <v/>
      </c>
      <c r="B422" t="str">
        <f>IF($L422="","",IF(INDEX(tblRegistros[Data],$L422)&gt;$D$4,"",IFERROR(INDEX(tblRegistros[Projeto],$L422),"")))</f>
        <v/>
      </c>
      <c r="C422" t="str">
        <f>IF($L422="","",IF(INDEX(tblRegistros[Data],$L422)&gt;$D$4,"",IFERROR(INDEX(tblRegistros[Atividade],$L422),"")))</f>
        <v/>
      </c>
      <c r="D422" s="4" t="str">
        <f>IF($L422="","",IF(INDEX(tblRegistros[Data],$L422)&gt;$D$4,"",IFERROR(INDEX(tblRegistros[Início],$L422),"")))</f>
        <v/>
      </c>
      <c r="E422" s="4" t="str">
        <f>IF($L422="","",IF(INDEX(tblRegistros[Data],$L422)&gt;$D$4,"",IFERROR(IF(INDEX(tblRegistros[Status],$L422)="EM ABERTO","",INDEX(tblRegistros[Fim],$L422)),"")))</f>
        <v/>
      </c>
      <c r="F422" t="str">
        <f>IF($L422="","",IF(INDEX(tblRegistros[Data],$L422)&gt;$D$4,"",IFERROR(IF(INDEX(tblRegistros[Status],$L422)="EM ABERTO","",INDEX(tblRegistros[Horas],$L422)),"")))</f>
        <v/>
      </c>
      <c r="G422" t="str">
        <f>IF($L422="","",IF(INDEX(tblRegistros[Data],$L422)&gt;$D$4,"",IFERROR(INDEX(tblRegistros[Base],$L422),"")))</f>
        <v/>
      </c>
      <c r="H422" s="3" t="str">
        <f>IF($L422="","",IF(INDEX(tblRegistros[Data],$L422)&gt;$D$4,"",IFERROR(INDEX(tblRegistros[Taxa aplicada],$L422),"")))</f>
        <v/>
      </c>
      <c r="I422" s="3" t="str">
        <f>IF($L422="","",IF(INDEX(tblRegistros[Data],$L422)&gt;$D$4,"",IFERROR(IF(INDEX(tblRegistros[Status],$L422)="EM ABERTO","",INDEX(tblRegistros[Valor],$L422)),"")))</f>
        <v/>
      </c>
      <c r="J422" t="str">
        <f>IF($L422="","",IF(INDEX(tblRegistros[Data],$L422)&gt;$D$4,"",IFERROR(INDEX(tblRegistros[Status],$L422),"")))</f>
        <v/>
      </c>
      <c r="K422" t="str">
        <f>IF($L422="","",IF(INDEX(tblRegistros[Data],$L422)&gt;$D$4,"",IFERROR(INDEX(tblRegistros[Observação],$L422),"")))</f>
        <v/>
      </c>
      <c r="L422" s="16" t="str">
        <f>IFERROR(MATCH($B$3*100000+COUNTIFS(tblRegistros[ID],$B$3,tblRegistros[Data],"&lt;"&amp;$B$4)+ROWS($L$10:L422),tblRegistros[Chave do cartão],0),"")</f>
        <v/>
      </c>
    </row>
    <row r="423" spans="1:12">
      <c r="A423" s="2" t="str">
        <f>IF($L423="","",IF(INDEX(tblRegistros[Data],$L423)&gt;$D$4,"",IFERROR(INDEX(tblRegistros[Data],$L423),"")))</f>
        <v/>
      </c>
      <c r="B423" t="str">
        <f>IF($L423="","",IF(INDEX(tblRegistros[Data],$L423)&gt;$D$4,"",IFERROR(INDEX(tblRegistros[Projeto],$L423),"")))</f>
        <v/>
      </c>
      <c r="C423" t="str">
        <f>IF($L423="","",IF(INDEX(tblRegistros[Data],$L423)&gt;$D$4,"",IFERROR(INDEX(tblRegistros[Atividade],$L423),"")))</f>
        <v/>
      </c>
      <c r="D423" s="4" t="str">
        <f>IF($L423="","",IF(INDEX(tblRegistros[Data],$L423)&gt;$D$4,"",IFERROR(INDEX(tblRegistros[Início],$L423),"")))</f>
        <v/>
      </c>
      <c r="E423" s="4" t="str">
        <f>IF($L423="","",IF(INDEX(tblRegistros[Data],$L423)&gt;$D$4,"",IFERROR(IF(INDEX(tblRegistros[Status],$L423)="EM ABERTO","",INDEX(tblRegistros[Fim],$L423)),"")))</f>
        <v/>
      </c>
      <c r="F423" t="str">
        <f>IF($L423="","",IF(INDEX(tblRegistros[Data],$L423)&gt;$D$4,"",IFERROR(IF(INDEX(tblRegistros[Status],$L423)="EM ABERTO","",INDEX(tblRegistros[Horas],$L423)),"")))</f>
        <v/>
      </c>
      <c r="G423" t="str">
        <f>IF($L423="","",IF(INDEX(tblRegistros[Data],$L423)&gt;$D$4,"",IFERROR(INDEX(tblRegistros[Base],$L423),"")))</f>
        <v/>
      </c>
      <c r="H423" s="3" t="str">
        <f>IF($L423="","",IF(INDEX(tblRegistros[Data],$L423)&gt;$D$4,"",IFERROR(INDEX(tblRegistros[Taxa aplicada],$L423),"")))</f>
        <v/>
      </c>
      <c r="I423" s="3" t="str">
        <f>IF($L423="","",IF(INDEX(tblRegistros[Data],$L423)&gt;$D$4,"",IFERROR(IF(INDEX(tblRegistros[Status],$L423)="EM ABERTO","",INDEX(tblRegistros[Valor],$L423)),"")))</f>
        <v/>
      </c>
      <c r="J423" t="str">
        <f>IF($L423="","",IF(INDEX(tblRegistros[Data],$L423)&gt;$D$4,"",IFERROR(INDEX(tblRegistros[Status],$L423),"")))</f>
        <v/>
      </c>
      <c r="K423" t="str">
        <f>IF($L423="","",IF(INDEX(tblRegistros[Data],$L423)&gt;$D$4,"",IFERROR(INDEX(tblRegistros[Observação],$L423),"")))</f>
        <v/>
      </c>
      <c r="L423" s="16" t="str">
        <f>IFERROR(MATCH($B$3*100000+COUNTIFS(tblRegistros[ID],$B$3,tblRegistros[Data],"&lt;"&amp;$B$4)+ROWS($L$10:L423),tblRegistros[Chave do cartão],0),"")</f>
        <v/>
      </c>
    </row>
    <row r="424" spans="1:12">
      <c r="A424" s="2" t="str">
        <f>IF($L424="","",IF(INDEX(tblRegistros[Data],$L424)&gt;$D$4,"",IFERROR(INDEX(tblRegistros[Data],$L424),"")))</f>
        <v/>
      </c>
      <c r="B424" t="str">
        <f>IF($L424="","",IF(INDEX(tblRegistros[Data],$L424)&gt;$D$4,"",IFERROR(INDEX(tblRegistros[Projeto],$L424),"")))</f>
        <v/>
      </c>
      <c r="C424" t="str">
        <f>IF($L424="","",IF(INDEX(tblRegistros[Data],$L424)&gt;$D$4,"",IFERROR(INDEX(tblRegistros[Atividade],$L424),"")))</f>
        <v/>
      </c>
      <c r="D424" s="4" t="str">
        <f>IF($L424="","",IF(INDEX(tblRegistros[Data],$L424)&gt;$D$4,"",IFERROR(INDEX(tblRegistros[Início],$L424),"")))</f>
        <v/>
      </c>
      <c r="E424" s="4" t="str">
        <f>IF($L424="","",IF(INDEX(tblRegistros[Data],$L424)&gt;$D$4,"",IFERROR(IF(INDEX(tblRegistros[Status],$L424)="EM ABERTO","",INDEX(tblRegistros[Fim],$L424)),"")))</f>
        <v/>
      </c>
      <c r="F424" t="str">
        <f>IF($L424="","",IF(INDEX(tblRegistros[Data],$L424)&gt;$D$4,"",IFERROR(IF(INDEX(tblRegistros[Status],$L424)="EM ABERTO","",INDEX(tblRegistros[Horas],$L424)),"")))</f>
        <v/>
      </c>
      <c r="G424" t="str">
        <f>IF($L424="","",IF(INDEX(tblRegistros[Data],$L424)&gt;$D$4,"",IFERROR(INDEX(tblRegistros[Base],$L424),"")))</f>
        <v/>
      </c>
      <c r="H424" s="3" t="str">
        <f>IF($L424="","",IF(INDEX(tblRegistros[Data],$L424)&gt;$D$4,"",IFERROR(INDEX(tblRegistros[Taxa aplicada],$L424),"")))</f>
        <v/>
      </c>
      <c r="I424" s="3" t="str">
        <f>IF($L424="","",IF(INDEX(tblRegistros[Data],$L424)&gt;$D$4,"",IFERROR(IF(INDEX(tblRegistros[Status],$L424)="EM ABERTO","",INDEX(tblRegistros[Valor],$L424)),"")))</f>
        <v/>
      </c>
      <c r="J424" t="str">
        <f>IF($L424="","",IF(INDEX(tblRegistros[Data],$L424)&gt;$D$4,"",IFERROR(INDEX(tblRegistros[Status],$L424),"")))</f>
        <v/>
      </c>
      <c r="K424" t="str">
        <f>IF($L424="","",IF(INDEX(tblRegistros[Data],$L424)&gt;$D$4,"",IFERROR(INDEX(tblRegistros[Observação],$L424),"")))</f>
        <v/>
      </c>
      <c r="L424" s="16" t="str">
        <f>IFERROR(MATCH($B$3*100000+COUNTIFS(tblRegistros[ID],$B$3,tblRegistros[Data],"&lt;"&amp;$B$4)+ROWS($L$10:L424),tblRegistros[Chave do cartão],0),"")</f>
        <v/>
      </c>
    </row>
    <row r="425" spans="1:12">
      <c r="A425" s="2" t="str">
        <f>IF($L425="","",IF(INDEX(tblRegistros[Data],$L425)&gt;$D$4,"",IFERROR(INDEX(tblRegistros[Data],$L425),"")))</f>
        <v/>
      </c>
      <c r="B425" t="str">
        <f>IF($L425="","",IF(INDEX(tblRegistros[Data],$L425)&gt;$D$4,"",IFERROR(INDEX(tblRegistros[Projeto],$L425),"")))</f>
        <v/>
      </c>
      <c r="C425" t="str">
        <f>IF($L425="","",IF(INDEX(tblRegistros[Data],$L425)&gt;$D$4,"",IFERROR(INDEX(tblRegistros[Atividade],$L425),"")))</f>
        <v/>
      </c>
      <c r="D425" s="4" t="str">
        <f>IF($L425="","",IF(INDEX(tblRegistros[Data],$L425)&gt;$D$4,"",IFERROR(INDEX(tblRegistros[Início],$L425),"")))</f>
        <v/>
      </c>
      <c r="E425" s="4" t="str">
        <f>IF($L425="","",IF(INDEX(tblRegistros[Data],$L425)&gt;$D$4,"",IFERROR(IF(INDEX(tblRegistros[Status],$L425)="EM ABERTO","",INDEX(tblRegistros[Fim],$L425)),"")))</f>
        <v/>
      </c>
      <c r="F425" t="str">
        <f>IF($L425="","",IF(INDEX(tblRegistros[Data],$L425)&gt;$D$4,"",IFERROR(IF(INDEX(tblRegistros[Status],$L425)="EM ABERTO","",INDEX(tblRegistros[Horas],$L425)),"")))</f>
        <v/>
      </c>
      <c r="G425" t="str">
        <f>IF($L425="","",IF(INDEX(tblRegistros[Data],$L425)&gt;$D$4,"",IFERROR(INDEX(tblRegistros[Base],$L425),"")))</f>
        <v/>
      </c>
      <c r="H425" s="3" t="str">
        <f>IF($L425="","",IF(INDEX(tblRegistros[Data],$L425)&gt;$D$4,"",IFERROR(INDEX(tblRegistros[Taxa aplicada],$L425),"")))</f>
        <v/>
      </c>
      <c r="I425" s="3" t="str">
        <f>IF($L425="","",IF(INDEX(tblRegistros[Data],$L425)&gt;$D$4,"",IFERROR(IF(INDEX(tblRegistros[Status],$L425)="EM ABERTO","",INDEX(tblRegistros[Valor],$L425)),"")))</f>
        <v/>
      </c>
      <c r="J425" t="str">
        <f>IF($L425="","",IF(INDEX(tblRegistros[Data],$L425)&gt;$D$4,"",IFERROR(INDEX(tblRegistros[Status],$L425),"")))</f>
        <v/>
      </c>
      <c r="K425" t="str">
        <f>IF($L425="","",IF(INDEX(tblRegistros[Data],$L425)&gt;$D$4,"",IFERROR(INDEX(tblRegistros[Observação],$L425),"")))</f>
        <v/>
      </c>
      <c r="L425" s="16" t="str">
        <f>IFERROR(MATCH($B$3*100000+COUNTIFS(tblRegistros[ID],$B$3,tblRegistros[Data],"&lt;"&amp;$B$4)+ROWS($L$10:L425),tblRegistros[Chave do cartão],0),"")</f>
        <v/>
      </c>
    </row>
    <row r="426" spans="1:12">
      <c r="A426" s="2" t="str">
        <f>IF($L426="","",IF(INDEX(tblRegistros[Data],$L426)&gt;$D$4,"",IFERROR(INDEX(tblRegistros[Data],$L426),"")))</f>
        <v/>
      </c>
      <c r="B426" t="str">
        <f>IF($L426="","",IF(INDEX(tblRegistros[Data],$L426)&gt;$D$4,"",IFERROR(INDEX(tblRegistros[Projeto],$L426),"")))</f>
        <v/>
      </c>
      <c r="C426" t="str">
        <f>IF($L426="","",IF(INDEX(tblRegistros[Data],$L426)&gt;$D$4,"",IFERROR(INDEX(tblRegistros[Atividade],$L426),"")))</f>
        <v/>
      </c>
      <c r="D426" s="4" t="str">
        <f>IF($L426="","",IF(INDEX(tblRegistros[Data],$L426)&gt;$D$4,"",IFERROR(INDEX(tblRegistros[Início],$L426),"")))</f>
        <v/>
      </c>
      <c r="E426" s="4" t="str">
        <f>IF($L426="","",IF(INDEX(tblRegistros[Data],$L426)&gt;$D$4,"",IFERROR(IF(INDEX(tblRegistros[Status],$L426)="EM ABERTO","",INDEX(tblRegistros[Fim],$L426)),"")))</f>
        <v/>
      </c>
      <c r="F426" t="str">
        <f>IF($L426="","",IF(INDEX(tblRegistros[Data],$L426)&gt;$D$4,"",IFERROR(IF(INDEX(tblRegistros[Status],$L426)="EM ABERTO","",INDEX(tblRegistros[Horas],$L426)),"")))</f>
        <v/>
      </c>
      <c r="G426" t="str">
        <f>IF($L426="","",IF(INDEX(tblRegistros[Data],$L426)&gt;$D$4,"",IFERROR(INDEX(tblRegistros[Base],$L426),"")))</f>
        <v/>
      </c>
      <c r="H426" s="3" t="str">
        <f>IF($L426="","",IF(INDEX(tblRegistros[Data],$L426)&gt;$D$4,"",IFERROR(INDEX(tblRegistros[Taxa aplicada],$L426),"")))</f>
        <v/>
      </c>
      <c r="I426" s="3" t="str">
        <f>IF($L426="","",IF(INDEX(tblRegistros[Data],$L426)&gt;$D$4,"",IFERROR(IF(INDEX(tblRegistros[Status],$L426)="EM ABERTO","",INDEX(tblRegistros[Valor],$L426)),"")))</f>
        <v/>
      </c>
      <c r="J426" t="str">
        <f>IF($L426="","",IF(INDEX(tblRegistros[Data],$L426)&gt;$D$4,"",IFERROR(INDEX(tblRegistros[Status],$L426),"")))</f>
        <v/>
      </c>
      <c r="K426" t="str">
        <f>IF($L426="","",IF(INDEX(tblRegistros[Data],$L426)&gt;$D$4,"",IFERROR(INDEX(tblRegistros[Observação],$L426),"")))</f>
        <v/>
      </c>
      <c r="L426" s="16" t="str">
        <f>IFERROR(MATCH($B$3*100000+COUNTIFS(tblRegistros[ID],$B$3,tblRegistros[Data],"&lt;"&amp;$B$4)+ROWS($L$10:L426),tblRegistros[Chave do cartão],0),"")</f>
        <v/>
      </c>
    </row>
    <row r="427" spans="1:12">
      <c r="A427" s="2" t="str">
        <f>IF($L427="","",IF(INDEX(tblRegistros[Data],$L427)&gt;$D$4,"",IFERROR(INDEX(tblRegistros[Data],$L427),"")))</f>
        <v/>
      </c>
      <c r="B427" t="str">
        <f>IF($L427="","",IF(INDEX(tblRegistros[Data],$L427)&gt;$D$4,"",IFERROR(INDEX(tblRegistros[Projeto],$L427),"")))</f>
        <v/>
      </c>
      <c r="C427" t="str">
        <f>IF($L427="","",IF(INDEX(tblRegistros[Data],$L427)&gt;$D$4,"",IFERROR(INDEX(tblRegistros[Atividade],$L427),"")))</f>
        <v/>
      </c>
      <c r="D427" s="4" t="str">
        <f>IF($L427="","",IF(INDEX(tblRegistros[Data],$L427)&gt;$D$4,"",IFERROR(INDEX(tblRegistros[Início],$L427),"")))</f>
        <v/>
      </c>
      <c r="E427" s="4" t="str">
        <f>IF($L427="","",IF(INDEX(tblRegistros[Data],$L427)&gt;$D$4,"",IFERROR(IF(INDEX(tblRegistros[Status],$L427)="EM ABERTO","",INDEX(tblRegistros[Fim],$L427)),"")))</f>
        <v/>
      </c>
      <c r="F427" t="str">
        <f>IF($L427="","",IF(INDEX(tblRegistros[Data],$L427)&gt;$D$4,"",IFERROR(IF(INDEX(tblRegistros[Status],$L427)="EM ABERTO","",INDEX(tblRegistros[Horas],$L427)),"")))</f>
        <v/>
      </c>
      <c r="G427" t="str">
        <f>IF($L427="","",IF(INDEX(tblRegistros[Data],$L427)&gt;$D$4,"",IFERROR(INDEX(tblRegistros[Base],$L427),"")))</f>
        <v/>
      </c>
      <c r="H427" s="3" t="str">
        <f>IF($L427="","",IF(INDEX(tblRegistros[Data],$L427)&gt;$D$4,"",IFERROR(INDEX(tblRegistros[Taxa aplicada],$L427),"")))</f>
        <v/>
      </c>
      <c r="I427" s="3" t="str">
        <f>IF($L427="","",IF(INDEX(tblRegistros[Data],$L427)&gt;$D$4,"",IFERROR(IF(INDEX(tblRegistros[Status],$L427)="EM ABERTO","",INDEX(tblRegistros[Valor],$L427)),"")))</f>
        <v/>
      </c>
      <c r="J427" t="str">
        <f>IF($L427="","",IF(INDEX(tblRegistros[Data],$L427)&gt;$D$4,"",IFERROR(INDEX(tblRegistros[Status],$L427),"")))</f>
        <v/>
      </c>
      <c r="K427" t="str">
        <f>IF($L427="","",IF(INDEX(tblRegistros[Data],$L427)&gt;$D$4,"",IFERROR(INDEX(tblRegistros[Observação],$L427),"")))</f>
        <v/>
      </c>
      <c r="L427" s="16" t="str">
        <f>IFERROR(MATCH($B$3*100000+COUNTIFS(tblRegistros[ID],$B$3,tblRegistros[Data],"&lt;"&amp;$B$4)+ROWS($L$10:L427),tblRegistros[Chave do cartão],0),"")</f>
        <v/>
      </c>
    </row>
    <row r="428" spans="1:12">
      <c r="A428" s="2" t="str">
        <f>IF($L428="","",IF(INDEX(tblRegistros[Data],$L428)&gt;$D$4,"",IFERROR(INDEX(tblRegistros[Data],$L428),"")))</f>
        <v/>
      </c>
      <c r="B428" t="str">
        <f>IF($L428="","",IF(INDEX(tblRegistros[Data],$L428)&gt;$D$4,"",IFERROR(INDEX(tblRegistros[Projeto],$L428),"")))</f>
        <v/>
      </c>
      <c r="C428" t="str">
        <f>IF($L428="","",IF(INDEX(tblRegistros[Data],$L428)&gt;$D$4,"",IFERROR(INDEX(tblRegistros[Atividade],$L428),"")))</f>
        <v/>
      </c>
      <c r="D428" s="4" t="str">
        <f>IF($L428="","",IF(INDEX(tblRegistros[Data],$L428)&gt;$D$4,"",IFERROR(INDEX(tblRegistros[Início],$L428),"")))</f>
        <v/>
      </c>
      <c r="E428" s="4" t="str">
        <f>IF($L428="","",IF(INDEX(tblRegistros[Data],$L428)&gt;$D$4,"",IFERROR(IF(INDEX(tblRegistros[Status],$L428)="EM ABERTO","",INDEX(tblRegistros[Fim],$L428)),"")))</f>
        <v/>
      </c>
      <c r="F428" t="str">
        <f>IF($L428="","",IF(INDEX(tblRegistros[Data],$L428)&gt;$D$4,"",IFERROR(IF(INDEX(tblRegistros[Status],$L428)="EM ABERTO","",INDEX(tblRegistros[Horas],$L428)),"")))</f>
        <v/>
      </c>
      <c r="G428" t="str">
        <f>IF($L428="","",IF(INDEX(tblRegistros[Data],$L428)&gt;$D$4,"",IFERROR(INDEX(tblRegistros[Base],$L428),"")))</f>
        <v/>
      </c>
      <c r="H428" s="3" t="str">
        <f>IF($L428="","",IF(INDEX(tblRegistros[Data],$L428)&gt;$D$4,"",IFERROR(INDEX(tblRegistros[Taxa aplicada],$L428),"")))</f>
        <v/>
      </c>
      <c r="I428" s="3" t="str">
        <f>IF($L428="","",IF(INDEX(tblRegistros[Data],$L428)&gt;$D$4,"",IFERROR(IF(INDEX(tblRegistros[Status],$L428)="EM ABERTO","",INDEX(tblRegistros[Valor],$L428)),"")))</f>
        <v/>
      </c>
      <c r="J428" t="str">
        <f>IF($L428="","",IF(INDEX(tblRegistros[Data],$L428)&gt;$D$4,"",IFERROR(INDEX(tblRegistros[Status],$L428),"")))</f>
        <v/>
      </c>
      <c r="K428" t="str">
        <f>IF($L428="","",IF(INDEX(tblRegistros[Data],$L428)&gt;$D$4,"",IFERROR(INDEX(tblRegistros[Observação],$L428),"")))</f>
        <v/>
      </c>
      <c r="L428" s="16" t="str">
        <f>IFERROR(MATCH($B$3*100000+COUNTIFS(tblRegistros[ID],$B$3,tblRegistros[Data],"&lt;"&amp;$B$4)+ROWS($L$10:L428),tblRegistros[Chave do cartão],0),"")</f>
        <v/>
      </c>
    </row>
    <row r="429" spans="1:12">
      <c r="A429" s="2" t="str">
        <f>IF($L429="","",IF(INDEX(tblRegistros[Data],$L429)&gt;$D$4,"",IFERROR(INDEX(tblRegistros[Data],$L429),"")))</f>
        <v/>
      </c>
      <c r="B429" t="str">
        <f>IF($L429="","",IF(INDEX(tblRegistros[Data],$L429)&gt;$D$4,"",IFERROR(INDEX(tblRegistros[Projeto],$L429),"")))</f>
        <v/>
      </c>
      <c r="C429" t="str">
        <f>IF($L429="","",IF(INDEX(tblRegistros[Data],$L429)&gt;$D$4,"",IFERROR(INDEX(tblRegistros[Atividade],$L429),"")))</f>
        <v/>
      </c>
      <c r="D429" s="4" t="str">
        <f>IF($L429="","",IF(INDEX(tblRegistros[Data],$L429)&gt;$D$4,"",IFERROR(INDEX(tblRegistros[Início],$L429),"")))</f>
        <v/>
      </c>
      <c r="E429" s="4" t="str">
        <f>IF($L429="","",IF(INDEX(tblRegistros[Data],$L429)&gt;$D$4,"",IFERROR(IF(INDEX(tblRegistros[Status],$L429)="EM ABERTO","",INDEX(tblRegistros[Fim],$L429)),"")))</f>
        <v/>
      </c>
      <c r="F429" t="str">
        <f>IF($L429="","",IF(INDEX(tblRegistros[Data],$L429)&gt;$D$4,"",IFERROR(IF(INDEX(tblRegistros[Status],$L429)="EM ABERTO","",INDEX(tblRegistros[Horas],$L429)),"")))</f>
        <v/>
      </c>
      <c r="G429" t="str">
        <f>IF($L429="","",IF(INDEX(tblRegistros[Data],$L429)&gt;$D$4,"",IFERROR(INDEX(tblRegistros[Base],$L429),"")))</f>
        <v/>
      </c>
      <c r="H429" s="3" t="str">
        <f>IF($L429="","",IF(INDEX(tblRegistros[Data],$L429)&gt;$D$4,"",IFERROR(INDEX(tblRegistros[Taxa aplicada],$L429),"")))</f>
        <v/>
      </c>
      <c r="I429" s="3" t="str">
        <f>IF($L429="","",IF(INDEX(tblRegistros[Data],$L429)&gt;$D$4,"",IFERROR(IF(INDEX(tblRegistros[Status],$L429)="EM ABERTO","",INDEX(tblRegistros[Valor],$L429)),"")))</f>
        <v/>
      </c>
      <c r="J429" t="str">
        <f>IF($L429="","",IF(INDEX(tblRegistros[Data],$L429)&gt;$D$4,"",IFERROR(INDEX(tblRegistros[Status],$L429),"")))</f>
        <v/>
      </c>
      <c r="K429" t="str">
        <f>IF($L429="","",IF(INDEX(tblRegistros[Data],$L429)&gt;$D$4,"",IFERROR(INDEX(tblRegistros[Observação],$L429),"")))</f>
        <v/>
      </c>
      <c r="L429" s="16" t="str">
        <f>IFERROR(MATCH($B$3*100000+COUNTIFS(tblRegistros[ID],$B$3,tblRegistros[Data],"&lt;"&amp;$B$4)+ROWS($L$10:L429),tblRegistros[Chave do cartão],0),"")</f>
        <v/>
      </c>
    </row>
    <row r="430" spans="1:12">
      <c r="A430" s="2" t="str">
        <f>IF($L430="","",IF(INDEX(tblRegistros[Data],$L430)&gt;$D$4,"",IFERROR(INDEX(tblRegistros[Data],$L430),"")))</f>
        <v/>
      </c>
      <c r="B430" t="str">
        <f>IF($L430="","",IF(INDEX(tblRegistros[Data],$L430)&gt;$D$4,"",IFERROR(INDEX(tblRegistros[Projeto],$L430),"")))</f>
        <v/>
      </c>
      <c r="C430" t="str">
        <f>IF($L430="","",IF(INDEX(tblRegistros[Data],$L430)&gt;$D$4,"",IFERROR(INDEX(tblRegistros[Atividade],$L430),"")))</f>
        <v/>
      </c>
      <c r="D430" s="4" t="str">
        <f>IF($L430="","",IF(INDEX(tblRegistros[Data],$L430)&gt;$D$4,"",IFERROR(INDEX(tblRegistros[Início],$L430),"")))</f>
        <v/>
      </c>
      <c r="E430" s="4" t="str">
        <f>IF($L430="","",IF(INDEX(tblRegistros[Data],$L430)&gt;$D$4,"",IFERROR(IF(INDEX(tblRegistros[Status],$L430)="EM ABERTO","",INDEX(tblRegistros[Fim],$L430)),"")))</f>
        <v/>
      </c>
      <c r="F430" t="str">
        <f>IF($L430="","",IF(INDEX(tblRegistros[Data],$L430)&gt;$D$4,"",IFERROR(IF(INDEX(tblRegistros[Status],$L430)="EM ABERTO","",INDEX(tblRegistros[Horas],$L430)),"")))</f>
        <v/>
      </c>
      <c r="G430" t="str">
        <f>IF($L430="","",IF(INDEX(tblRegistros[Data],$L430)&gt;$D$4,"",IFERROR(INDEX(tblRegistros[Base],$L430),"")))</f>
        <v/>
      </c>
      <c r="H430" s="3" t="str">
        <f>IF($L430="","",IF(INDEX(tblRegistros[Data],$L430)&gt;$D$4,"",IFERROR(INDEX(tblRegistros[Taxa aplicada],$L430),"")))</f>
        <v/>
      </c>
      <c r="I430" s="3" t="str">
        <f>IF($L430="","",IF(INDEX(tblRegistros[Data],$L430)&gt;$D$4,"",IFERROR(IF(INDEX(tblRegistros[Status],$L430)="EM ABERTO","",INDEX(tblRegistros[Valor],$L430)),"")))</f>
        <v/>
      </c>
      <c r="J430" t="str">
        <f>IF($L430="","",IF(INDEX(tblRegistros[Data],$L430)&gt;$D$4,"",IFERROR(INDEX(tblRegistros[Status],$L430),"")))</f>
        <v/>
      </c>
      <c r="K430" t="str">
        <f>IF($L430="","",IF(INDEX(tblRegistros[Data],$L430)&gt;$D$4,"",IFERROR(INDEX(tblRegistros[Observação],$L430),"")))</f>
        <v/>
      </c>
      <c r="L430" s="16" t="str">
        <f>IFERROR(MATCH($B$3*100000+COUNTIFS(tblRegistros[ID],$B$3,tblRegistros[Data],"&lt;"&amp;$B$4)+ROWS($L$10:L430),tblRegistros[Chave do cartão],0),"")</f>
        <v/>
      </c>
    </row>
    <row r="431" spans="1:12">
      <c r="A431" s="2" t="str">
        <f>IF($L431="","",IF(INDEX(tblRegistros[Data],$L431)&gt;$D$4,"",IFERROR(INDEX(tblRegistros[Data],$L431),"")))</f>
        <v/>
      </c>
      <c r="B431" t="str">
        <f>IF($L431="","",IF(INDEX(tblRegistros[Data],$L431)&gt;$D$4,"",IFERROR(INDEX(tblRegistros[Projeto],$L431),"")))</f>
        <v/>
      </c>
      <c r="C431" t="str">
        <f>IF($L431="","",IF(INDEX(tblRegistros[Data],$L431)&gt;$D$4,"",IFERROR(INDEX(tblRegistros[Atividade],$L431),"")))</f>
        <v/>
      </c>
      <c r="D431" s="4" t="str">
        <f>IF($L431="","",IF(INDEX(tblRegistros[Data],$L431)&gt;$D$4,"",IFERROR(INDEX(tblRegistros[Início],$L431),"")))</f>
        <v/>
      </c>
      <c r="E431" s="4" t="str">
        <f>IF($L431="","",IF(INDEX(tblRegistros[Data],$L431)&gt;$D$4,"",IFERROR(IF(INDEX(tblRegistros[Status],$L431)="EM ABERTO","",INDEX(tblRegistros[Fim],$L431)),"")))</f>
        <v/>
      </c>
      <c r="F431" t="str">
        <f>IF($L431="","",IF(INDEX(tblRegistros[Data],$L431)&gt;$D$4,"",IFERROR(IF(INDEX(tblRegistros[Status],$L431)="EM ABERTO","",INDEX(tblRegistros[Horas],$L431)),"")))</f>
        <v/>
      </c>
      <c r="G431" t="str">
        <f>IF($L431="","",IF(INDEX(tblRegistros[Data],$L431)&gt;$D$4,"",IFERROR(INDEX(tblRegistros[Base],$L431),"")))</f>
        <v/>
      </c>
      <c r="H431" s="3" t="str">
        <f>IF($L431="","",IF(INDEX(tblRegistros[Data],$L431)&gt;$D$4,"",IFERROR(INDEX(tblRegistros[Taxa aplicada],$L431),"")))</f>
        <v/>
      </c>
      <c r="I431" s="3" t="str">
        <f>IF($L431="","",IF(INDEX(tblRegistros[Data],$L431)&gt;$D$4,"",IFERROR(IF(INDEX(tblRegistros[Status],$L431)="EM ABERTO","",INDEX(tblRegistros[Valor],$L431)),"")))</f>
        <v/>
      </c>
      <c r="J431" t="str">
        <f>IF($L431="","",IF(INDEX(tblRegistros[Data],$L431)&gt;$D$4,"",IFERROR(INDEX(tblRegistros[Status],$L431),"")))</f>
        <v/>
      </c>
      <c r="K431" t="str">
        <f>IF($L431="","",IF(INDEX(tblRegistros[Data],$L431)&gt;$D$4,"",IFERROR(INDEX(tblRegistros[Observação],$L431),"")))</f>
        <v/>
      </c>
      <c r="L431" s="16" t="str">
        <f>IFERROR(MATCH($B$3*100000+COUNTIFS(tblRegistros[ID],$B$3,tblRegistros[Data],"&lt;"&amp;$B$4)+ROWS($L$10:L431),tblRegistros[Chave do cartão],0),"")</f>
        <v/>
      </c>
    </row>
    <row r="432" spans="1:12">
      <c r="A432" s="2" t="str">
        <f>IF($L432="","",IF(INDEX(tblRegistros[Data],$L432)&gt;$D$4,"",IFERROR(INDEX(tblRegistros[Data],$L432),"")))</f>
        <v/>
      </c>
      <c r="B432" t="str">
        <f>IF($L432="","",IF(INDEX(tblRegistros[Data],$L432)&gt;$D$4,"",IFERROR(INDEX(tblRegistros[Projeto],$L432),"")))</f>
        <v/>
      </c>
      <c r="C432" t="str">
        <f>IF($L432="","",IF(INDEX(tblRegistros[Data],$L432)&gt;$D$4,"",IFERROR(INDEX(tblRegistros[Atividade],$L432),"")))</f>
        <v/>
      </c>
      <c r="D432" s="4" t="str">
        <f>IF($L432="","",IF(INDEX(tblRegistros[Data],$L432)&gt;$D$4,"",IFERROR(INDEX(tblRegistros[Início],$L432),"")))</f>
        <v/>
      </c>
      <c r="E432" s="4" t="str">
        <f>IF($L432="","",IF(INDEX(tblRegistros[Data],$L432)&gt;$D$4,"",IFERROR(IF(INDEX(tblRegistros[Status],$L432)="EM ABERTO","",INDEX(tblRegistros[Fim],$L432)),"")))</f>
        <v/>
      </c>
      <c r="F432" t="str">
        <f>IF($L432="","",IF(INDEX(tblRegistros[Data],$L432)&gt;$D$4,"",IFERROR(IF(INDEX(tblRegistros[Status],$L432)="EM ABERTO","",INDEX(tblRegistros[Horas],$L432)),"")))</f>
        <v/>
      </c>
      <c r="G432" t="str">
        <f>IF($L432="","",IF(INDEX(tblRegistros[Data],$L432)&gt;$D$4,"",IFERROR(INDEX(tblRegistros[Base],$L432),"")))</f>
        <v/>
      </c>
      <c r="H432" s="3" t="str">
        <f>IF($L432="","",IF(INDEX(tblRegistros[Data],$L432)&gt;$D$4,"",IFERROR(INDEX(tblRegistros[Taxa aplicada],$L432),"")))</f>
        <v/>
      </c>
      <c r="I432" s="3" t="str">
        <f>IF($L432="","",IF(INDEX(tblRegistros[Data],$L432)&gt;$D$4,"",IFERROR(IF(INDEX(tblRegistros[Status],$L432)="EM ABERTO","",INDEX(tblRegistros[Valor],$L432)),"")))</f>
        <v/>
      </c>
      <c r="J432" t="str">
        <f>IF($L432="","",IF(INDEX(tblRegistros[Data],$L432)&gt;$D$4,"",IFERROR(INDEX(tblRegistros[Status],$L432),"")))</f>
        <v/>
      </c>
      <c r="K432" t="str">
        <f>IF($L432="","",IF(INDEX(tblRegistros[Data],$L432)&gt;$D$4,"",IFERROR(INDEX(tblRegistros[Observação],$L432),"")))</f>
        <v/>
      </c>
      <c r="L432" s="16" t="str">
        <f>IFERROR(MATCH($B$3*100000+COUNTIFS(tblRegistros[ID],$B$3,tblRegistros[Data],"&lt;"&amp;$B$4)+ROWS($L$10:L432),tblRegistros[Chave do cartão],0),"")</f>
        <v/>
      </c>
    </row>
    <row r="433" spans="1:12">
      <c r="A433" s="2" t="str">
        <f>IF($L433="","",IF(INDEX(tblRegistros[Data],$L433)&gt;$D$4,"",IFERROR(INDEX(tblRegistros[Data],$L433),"")))</f>
        <v/>
      </c>
      <c r="B433" t="str">
        <f>IF($L433="","",IF(INDEX(tblRegistros[Data],$L433)&gt;$D$4,"",IFERROR(INDEX(tblRegistros[Projeto],$L433),"")))</f>
        <v/>
      </c>
      <c r="C433" t="str">
        <f>IF($L433="","",IF(INDEX(tblRegistros[Data],$L433)&gt;$D$4,"",IFERROR(INDEX(tblRegistros[Atividade],$L433),"")))</f>
        <v/>
      </c>
      <c r="D433" s="4" t="str">
        <f>IF($L433="","",IF(INDEX(tblRegistros[Data],$L433)&gt;$D$4,"",IFERROR(INDEX(tblRegistros[Início],$L433),"")))</f>
        <v/>
      </c>
      <c r="E433" s="4" t="str">
        <f>IF($L433="","",IF(INDEX(tblRegistros[Data],$L433)&gt;$D$4,"",IFERROR(IF(INDEX(tblRegistros[Status],$L433)="EM ABERTO","",INDEX(tblRegistros[Fim],$L433)),"")))</f>
        <v/>
      </c>
      <c r="F433" t="str">
        <f>IF($L433="","",IF(INDEX(tblRegistros[Data],$L433)&gt;$D$4,"",IFERROR(IF(INDEX(tblRegistros[Status],$L433)="EM ABERTO","",INDEX(tblRegistros[Horas],$L433)),"")))</f>
        <v/>
      </c>
      <c r="G433" t="str">
        <f>IF($L433="","",IF(INDEX(tblRegistros[Data],$L433)&gt;$D$4,"",IFERROR(INDEX(tblRegistros[Base],$L433),"")))</f>
        <v/>
      </c>
      <c r="H433" s="3" t="str">
        <f>IF($L433="","",IF(INDEX(tblRegistros[Data],$L433)&gt;$D$4,"",IFERROR(INDEX(tblRegistros[Taxa aplicada],$L433),"")))</f>
        <v/>
      </c>
      <c r="I433" s="3" t="str">
        <f>IF($L433="","",IF(INDEX(tblRegistros[Data],$L433)&gt;$D$4,"",IFERROR(IF(INDEX(tblRegistros[Status],$L433)="EM ABERTO","",INDEX(tblRegistros[Valor],$L433)),"")))</f>
        <v/>
      </c>
      <c r="J433" t="str">
        <f>IF($L433="","",IF(INDEX(tblRegistros[Data],$L433)&gt;$D$4,"",IFERROR(INDEX(tblRegistros[Status],$L433),"")))</f>
        <v/>
      </c>
      <c r="K433" t="str">
        <f>IF($L433="","",IF(INDEX(tblRegistros[Data],$L433)&gt;$D$4,"",IFERROR(INDEX(tblRegistros[Observação],$L433),"")))</f>
        <v/>
      </c>
      <c r="L433" s="16" t="str">
        <f>IFERROR(MATCH($B$3*100000+COUNTIFS(tblRegistros[ID],$B$3,tblRegistros[Data],"&lt;"&amp;$B$4)+ROWS($L$10:L433),tblRegistros[Chave do cartão],0),"")</f>
        <v/>
      </c>
    </row>
    <row r="434" spans="1:12">
      <c r="A434" s="2" t="str">
        <f>IF($L434="","",IF(INDEX(tblRegistros[Data],$L434)&gt;$D$4,"",IFERROR(INDEX(tblRegistros[Data],$L434),"")))</f>
        <v/>
      </c>
      <c r="B434" t="str">
        <f>IF($L434="","",IF(INDEX(tblRegistros[Data],$L434)&gt;$D$4,"",IFERROR(INDEX(tblRegistros[Projeto],$L434),"")))</f>
        <v/>
      </c>
      <c r="C434" t="str">
        <f>IF($L434="","",IF(INDEX(tblRegistros[Data],$L434)&gt;$D$4,"",IFERROR(INDEX(tblRegistros[Atividade],$L434),"")))</f>
        <v/>
      </c>
      <c r="D434" s="4" t="str">
        <f>IF($L434="","",IF(INDEX(tblRegistros[Data],$L434)&gt;$D$4,"",IFERROR(INDEX(tblRegistros[Início],$L434),"")))</f>
        <v/>
      </c>
      <c r="E434" s="4" t="str">
        <f>IF($L434="","",IF(INDEX(tblRegistros[Data],$L434)&gt;$D$4,"",IFERROR(IF(INDEX(tblRegistros[Status],$L434)="EM ABERTO","",INDEX(tblRegistros[Fim],$L434)),"")))</f>
        <v/>
      </c>
      <c r="F434" t="str">
        <f>IF($L434="","",IF(INDEX(tblRegistros[Data],$L434)&gt;$D$4,"",IFERROR(IF(INDEX(tblRegistros[Status],$L434)="EM ABERTO","",INDEX(tblRegistros[Horas],$L434)),"")))</f>
        <v/>
      </c>
      <c r="G434" t="str">
        <f>IF($L434="","",IF(INDEX(tblRegistros[Data],$L434)&gt;$D$4,"",IFERROR(INDEX(tblRegistros[Base],$L434),"")))</f>
        <v/>
      </c>
      <c r="H434" s="3" t="str">
        <f>IF($L434="","",IF(INDEX(tblRegistros[Data],$L434)&gt;$D$4,"",IFERROR(INDEX(tblRegistros[Taxa aplicada],$L434),"")))</f>
        <v/>
      </c>
      <c r="I434" s="3" t="str">
        <f>IF($L434="","",IF(INDEX(tblRegistros[Data],$L434)&gt;$D$4,"",IFERROR(IF(INDEX(tblRegistros[Status],$L434)="EM ABERTO","",INDEX(tblRegistros[Valor],$L434)),"")))</f>
        <v/>
      </c>
      <c r="J434" t="str">
        <f>IF($L434="","",IF(INDEX(tblRegistros[Data],$L434)&gt;$D$4,"",IFERROR(INDEX(tblRegistros[Status],$L434),"")))</f>
        <v/>
      </c>
      <c r="K434" t="str">
        <f>IF($L434="","",IF(INDEX(tblRegistros[Data],$L434)&gt;$D$4,"",IFERROR(INDEX(tblRegistros[Observação],$L434),"")))</f>
        <v/>
      </c>
      <c r="L434" s="16" t="str">
        <f>IFERROR(MATCH($B$3*100000+COUNTIFS(tblRegistros[ID],$B$3,tblRegistros[Data],"&lt;"&amp;$B$4)+ROWS($L$10:L434),tblRegistros[Chave do cartão],0),"")</f>
        <v/>
      </c>
    </row>
    <row r="435" spans="1:12">
      <c r="A435" s="2" t="str">
        <f>IF($L435="","",IF(INDEX(tblRegistros[Data],$L435)&gt;$D$4,"",IFERROR(INDEX(tblRegistros[Data],$L435),"")))</f>
        <v/>
      </c>
      <c r="B435" t="str">
        <f>IF($L435="","",IF(INDEX(tblRegistros[Data],$L435)&gt;$D$4,"",IFERROR(INDEX(tblRegistros[Projeto],$L435),"")))</f>
        <v/>
      </c>
      <c r="C435" t="str">
        <f>IF($L435="","",IF(INDEX(tblRegistros[Data],$L435)&gt;$D$4,"",IFERROR(INDEX(tblRegistros[Atividade],$L435),"")))</f>
        <v/>
      </c>
      <c r="D435" s="4" t="str">
        <f>IF($L435="","",IF(INDEX(tblRegistros[Data],$L435)&gt;$D$4,"",IFERROR(INDEX(tblRegistros[Início],$L435),"")))</f>
        <v/>
      </c>
      <c r="E435" s="4" t="str">
        <f>IF($L435="","",IF(INDEX(tblRegistros[Data],$L435)&gt;$D$4,"",IFERROR(IF(INDEX(tblRegistros[Status],$L435)="EM ABERTO","",INDEX(tblRegistros[Fim],$L435)),"")))</f>
        <v/>
      </c>
      <c r="F435" t="str">
        <f>IF($L435="","",IF(INDEX(tblRegistros[Data],$L435)&gt;$D$4,"",IFERROR(IF(INDEX(tblRegistros[Status],$L435)="EM ABERTO","",INDEX(tblRegistros[Horas],$L435)),"")))</f>
        <v/>
      </c>
      <c r="G435" t="str">
        <f>IF($L435="","",IF(INDEX(tblRegistros[Data],$L435)&gt;$D$4,"",IFERROR(INDEX(tblRegistros[Base],$L435),"")))</f>
        <v/>
      </c>
      <c r="H435" s="3" t="str">
        <f>IF($L435="","",IF(INDEX(tblRegistros[Data],$L435)&gt;$D$4,"",IFERROR(INDEX(tblRegistros[Taxa aplicada],$L435),"")))</f>
        <v/>
      </c>
      <c r="I435" s="3" t="str">
        <f>IF($L435="","",IF(INDEX(tblRegistros[Data],$L435)&gt;$D$4,"",IFERROR(IF(INDEX(tblRegistros[Status],$L435)="EM ABERTO","",INDEX(tblRegistros[Valor],$L435)),"")))</f>
        <v/>
      </c>
      <c r="J435" t="str">
        <f>IF($L435="","",IF(INDEX(tblRegistros[Data],$L435)&gt;$D$4,"",IFERROR(INDEX(tblRegistros[Status],$L435),"")))</f>
        <v/>
      </c>
      <c r="K435" t="str">
        <f>IF($L435="","",IF(INDEX(tblRegistros[Data],$L435)&gt;$D$4,"",IFERROR(INDEX(tblRegistros[Observação],$L435),"")))</f>
        <v/>
      </c>
      <c r="L435" s="16" t="str">
        <f>IFERROR(MATCH($B$3*100000+COUNTIFS(tblRegistros[ID],$B$3,tblRegistros[Data],"&lt;"&amp;$B$4)+ROWS($L$10:L435),tblRegistros[Chave do cartão],0),"")</f>
        <v/>
      </c>
    </row>
    <row r="436" spans="1:12">
      <c r="A436" s="2" t="str">
        <f>IF($L436="","",IF(INDEX(tblRegistros[Data],$L436)&gt;$D$4,"",IFERROR(INDEX(tblRegistros[Data],$L436),"")))</f>
        <v/>
      </c>
      <c r="B436" t="str">
        <f>IF($L436="","",IF(INDEX(tblRegistros[Data],$L436)&gt;$D$4,"",IFERROR(INDEX(tblRegistros[Projeto],$L436),"")))</f>
        <v/>
      </c>
      <c r="C436" t="str">
        <f>IF($L436="","",IF(INDEX(tblRegistros[Data],$L436)&gt;$D$4,"",IFERROR(INDEX(tblRegistros[Atividade],$L436),"")))</f>
        <v/>
      </c>
      <c r="D436" s="4" t="str">
        <f>IF($L436="","",IF(INDEX(tblRegistros[Data],$L436)&gt;$D$4,"",IFERROR(INDEX(tblRegistros[Início],$L436),"")))</f>
        <v/>
      </c>
      <c r="E436" s="4" t="str">
        <f>IF($L436="","",IF(INDEX(tblRegistros[Data],$L436)&gt;$D$4,"",IFERROR(IF(INDEX(tblRegistros[Status],$L436)="EM ABERTO","",INDEX(tblRegistros[Fim],$L436)),"")))</f>
        <v/>
      </c>
      <c r="F436" t="str">
        <f>IF($L436="","",IF(INDEX(tblRegistros[Data],$L436)&gt;$D$4,"",IFERROR(IF(INDEX(tblRegistros[Status],$L436)="EM ABERTO","",INDEX(tblRegistros[Horas],$L436)),"")))</f>
        <v/>
      </c>
      <c r="G436" t="str">
        <f>IF($L436="","",IF(INDEX(tblRegistros[Data],$L436)&gt;$D$4,"",IFERROR(INDEX(tblRegistros[Base],$L436),"")))</f>
        <v/>
      </c>
      <c r="H436" s="3" t="str">
        <f>IF($L436="","",IF(INDEX(tblRegistros[Data],$L436)&gt;$D$4,"",IFERROR(INDEX(tblRegistros[Taxa aplicada],$L436),"")))</f>
        <v/>
      </c>
      <c r="I436" s="3" t="str">
        <f>IF($L436="","",IF(INDEX(tblRegistros[Data],$L436)&gt;$D$4,"",IFERROR(IF(INDEX(tblRegistros[Status],$L436)="EM ABERTO","",INDEX(tblRegistros[Valor],$L436)),"")))</f>
        <v/>
      </c>
      <c r="J436" t="str">
        <f>IF($L436="","",IF(INDEX(tblRegistros[Data],$L436)&gt;$D$4,"",IFERROR(INDEX(tblRegistros[Status],$L436),"")))</f>
        <v/>
      </c>
      <c r="K436" t="str">
        <f>IF($L436="","",IF(INDEX(tblRegistros[Data],$L436)&gt;$D$4,"",IFERROR(INDEX(tblRegistros[Observação],$L436),"")))</f>
        <v/>
      </c>
      <c r="L436" s="16" t="str">
        <f>IFERROR(MATCH($B$3*100000+COUNTIFS(tblRegistros[ID],$B$3,tblRegistros[Data],"&lt;"&amp;$B$4)+ROWS($L$10:L436),tblRegistros[Chave do cartão],0),"")</f>
        <v/>
      </c>
    </row>
    <row r="437" spans="1:12">
      <c r="A437" s="2" t="str">
        <f>IF($L437="","",IF(INDEX(tblRegistros[Data],$L437)&gt;$D$4,"",IFERROR(INDEX(tblRegistros[Data],$L437),"")))</f>
        <v/>
      </c>
      <c r="B437" t="str">
        <f>IF($L437="","",IF(INDEX(tblRegistros[Data],$L437)&gt;$D$4,"",IFERROR(INDEX(tblRegistros[Projeto],$L437),"")))</f>
        <v/>
      </c>
      <c r="C437" t="str">
        <f>IF($L437="","",IF(INDEX(tblRegistros[Data],$L437)&gt;$D$4,"",IFERROR(INDEX(tblRegistros[Atividade],$L437),"")))</f>
        <v/>
      </c>
      <c r="D437" s="4" t="str">
        <f>IF($L437="","",IF(INDEX(tblRegistros[Data],$L437)&gt;$D$4,"",IFERROR(INDEX(tblRegistros[Início],$L437),"")))</f>
        <v/>
      </c>
      <c r="E437" s="4" t="str">
        <f>IF($L437="","",IF(INDEX(tblRegistros[Data],$L437)&gt;$D$4,"",IFERROR(IF(INDEX(tblRegistros[Status],$L437)="EM ABERTO","",INDEX(tblRegistros[Fim],$L437)),"")))</f>
        <v/>
      </c>
      <c r="F437" t="str">
        <f>IF($L437="","",IF(INDEX(tblRegistros[Data],$L437)&gt;$D$4,"",IFERROR(IF(INDEX(tblRegistros[Status],$L437)="EM ABERTO","",INDEX(tblRegistros[Horas],$L437)),"")))</f>
        <v/>
      </c>
      <c r="G437" t="str">
        <f>IF($L437="","",IF(INDEX(tblRegistros[Data],$L437)&gt;$D$4,"",IFERROR(INDEX(tblRegistros[Base],$L437),"")))</f>
        <v/>
      </c>
      <c r="H437" s="3" t="str">
        <f>IF($L437="","",IF(INDEX(tblRegistros[Data],$L437)&gt;$D$4,"",IFERROR(INDEX(tblRegistros[Taxa aplicada],$L437),"")))</f>
        <v/>
      </c>
      <c r="I437" s="3" t="str">
        <f>IF($L437="","",IF(INDEX(tblRegistros[Data],$L437)&gt;$D$4,"",IFERROR(IF(INDEX(tblRegistros[Status],$L437)="EM ABERTO","",INDEX(tblRegistros[Valor],$L437)),"")))</f>
        <v/>
      </c>
      <c r="J437" t="str">
        <f>IF($L437="","",IF(INDEX(tblRegistros[Data],$L437)&gt;$D$4,"",IFERROR(INDEX(tblRegistros[Status],$L437),"")))</f>
        <v/>
      </c>
      <c r="K437" t="str">
        <f>IF($L437="","",IF(INDEX(tblRegistros[Data],$L437)&gt;$D$4,"",IFERROR(INDEX(tblRegistros[Observação],$L437),"")))</f>
        <v/>
      </c>
      <c r="L437" s="16" t="str">
        <f>IFERROR(MATCH($B$3*100000+COUNTIFS(tblRegistros[ID],$B$3,tblRegistros[Data],"&lt;"&amp;$B$4)+ROWS($L$10:L437),tblRegistros[Chave do cartão],0),"")</f>
        <v/>
      </c>
    </row>
    <row r="438" spans="1:12">
      <c r="A438" s="2" t="str">
        <f>IF($L438="","",IF(INDEX(tblRegistros[Data],$L438)&gt;$D$4,"",IFERROR(INDEX(tblRegistros[Data],$L438),"")))</f>
        <v/>
      </c>
      <c r="B438" t="str">
        <f>IF($L438="","",IF(INDEX(tblRegistros[Data],$L438)&gt;$D$4,"",IFERROR(INDEX(tblRegistros[Projeto],$L438),"")))</f>
        <v/>
      </c>
      <c r="C438" t="str">
        <f>IF($L438="","",IF(INDEX(tblRegistros[Data],$L438)&gt;$D$4,"",IFERROR(INDEX(tblRegistros[Atividade],$L438),"")))</f>
        <v/>
      </c>
      <c r="D438" s="4" t="str">
        <f>IF($L438="","",IF(INDEX(tblRegistros[Data],$L438)&gt;$D$4,"",IFERROR(INDEX(tblRegistros[Início],$L438),"")))</f>
        <v/>
      </c>
      <c r="E438" s="4" t="str">
        <f>IF($L438="","",IF(INDEX(tblRegistros[Data],$L438)&gt;$D$4,"",IFERROR(IF(INDEX(tblRegistros[Status],$L438)="EM ABERTO","",INDEX(tblRegistros[Fim],$L438)),"")))</f>
        <v/>
      </c>
      <c r="F438" t="str">
        <f>IF($L438="","",IF(INDEX(tblRegistros[Data],$L438)&gt;$D$4,"",IFERROR(IF(INDEX(tblRegistros[Status],$L438)="EM ABERTO","",INDEX(tblRegistros[Horas],$L438)),"")))</f>
        <v/>
      </c>
      <c r="G438" t="str">
        <f>IF($L438="","",IF(INDEX(tblRegistros[Data],$L438)&gt;$D$4,"",IFERROR(INDEX(tblRegistros[Base],$L438),"")))</f>
        <v/>
      </c>
      <c r="H438" s="3" t="str">
        <f>IF($L438="","",IF(INDEX(tblRegistros[Data],$L438)&gt;$D$4,"",IFERROR(INDEX(tblRegistros[Taxa aplicada],$L438),"")))</f>
        <v/>
      </c>
      <c r="I438" s="3" t="str">
        <f>IF($L438="","",IF(INDEX(tblRegistros[Data],$L438)&gt;$D$4,"",IFERROR(IF(INDEX(tblRegistros[Status],$L438)="EM ABERTO","",INDEX(tblRegistros[Valor],$L438)),"")))</f>
        <v/>
      </c>
      <c r="J438" t="str">
        <f>IF($L438="","",IF(INDEX(tblRegistros[Data],$L438)&gt;$D$4,"",IFERROR(INDEX(tblRegistros[Status],$L438),"")))</f>
        <v/>
      </c>
      <c r="K438" t="str">
        <f>IF($L438="","",IF(INDEX(tblRegistros[Data],$L438)&gt;$D$4,"",IFERROR(INDEX(tblRegistros[Observação],$L438),"")))</f>
        <v/>
      </c>
      <c r="L438" s="16" t="str">
        <f>IFERROR(MATCH($B$3*100000+COUNTIFS(tblRegistros[ID],$B$3,tblRegistros[Data],"&lt;"&amp;$B$4)+ROWS($L$10:L438),tblRegistros[Chave do cartão],0),"")</f>
        <v/>
      </c>
    </row>
    <row r="439" spans="1:12">
      <c r="A439" s="2" t="str">
        <f>IF($L439="","",IF(INDEX(tblRegistros[Data],$L439)&gt;$D$4,"",IFERROR(INDEX(tblRegistros[Data],$L439),"")))</f>
        <v/>
      </c>
      <c r="B439" t="str">
        <f>IF($L439="","",IF(INDEX(tblRegistros[Data],$L439)&gt;$D$4,"",IFERROR(INDEX(tblRegistros[Projeto],$L439),"")))</f>
        <v/>
      </c>
      <c r="C439" t="str">
        <f>IF($L439="","",IF(INDEX(tblRegistros[Data],$L439)&gt;$D$4,"",IFERROR(INDEX(tblRegistros[Atividade],$L439),"")))</f>
        <v/>
      </c>
      <c r="D439" s="4" t="str">
        <f>IF($L439="","",IF(INDEX(tblRegistros[Data],$L439)&gt;$D$4,"",IFERROR(INDEX(tblRegistros[Início],$L439),"")))</f>
        <v/>
      </c>
      <c r="E439" s="4" t="str">
        <f>IF($L439="","",IF(INDEX(tblRegistros[Data],$L439)&gt;$D$4,"",IFERROR(IF(INDEX(tblRegistros[Status],$L439)="EM ABERTO","",INDEX(tblRegistros[Fim],$L439)),"")))</f>
        <v/>
      </c>
      <c r="F439" t="str">
        <f>IF($L439="","",IF(INDEX(tblRegistros[Data],$L439)&gt;$D$4,"",IFERROR(IF(INDEX(tblRegistros[Status],$L439)="EM ABERTO","",INDEX(tblRegistros[Horas],$L439)),"")))</f>
        <v/>
      </c>
      <c r="G439" t="str">
        <f>IF($L439="","",IF(INDEX(tblRegistros[Data],$L439)&gt;$D$4,"",IFERROR(INDEX(tblRegistros[Base],$L439),"")))</f>
        <v/>
      </c>
      <c r="H439" s="3" t="str">
        <f>IF($L439="","",IF(INDEX(tblRegistros[Data],$L439)&gt;$D$4,"",IFERROR(INDEX(tblRegistros[Taxa aplicada],$L439),"")))</f>
        <v/>
      </c>
      <c r="I439" s="3" t="str">
        <f>IF($L439="","",IF(INDEX(tblRegistros[Data],$L439)&gt;$D$4,"",IFERROR(IF(INDEX(tblRegistros[Status],$L439)="EM ABERTO","",INDEX(tblRegistros[Valor],$L439)),"")))</f>
        <v/>
      </c>
      <c r="J439" t="str">
        <f>IF($L439="","",IF(INDEX(tblRegistros[Data],$L439)&gt;$D$4,"",IFERROR(INDEX(tblRegistros[Status],$L439),"")))</f>
        <v/>
      </c>
      <c r="K439" t="str">
        <f>IF($L439="","",IF(INDEX(tblRegistros[Data],$L439)&gt;$D$4,"",IFERROR(INDEX(tblRegistros[Observação],$L439),"")))</f>
        <v/>
      </c>
      <c r="L439" s="16" t="str">
        <f>IFERROR(MATCH($B$3*100000+COUNTIFS(tblRegistros[ID],$B$3,tblRegistros[Data],"&lt;"&amp;$B$4)+ROWS($L$10:L439),tblRegistros[Chave do cartão],0),"")</f>
        <v/>
      </c>
    </row>
    <row r="440" spans="1:12">
      <c r="A440" s="2" t="str">
        <f>IF($L440="","",IF(INDEX(tblRegistros[Data],$L440)&gt;$D$4,"",IFERROR(INDEX(tblRegistros[Data],$L440),"")))</f>
        <v/>
      </c>
      <c r="B440" t="str">
        <f>IF($L440="","",IF(INDEX(tblRegistros[Data],$L440)&gt;$D$4,"",IFERROR(INDEX(tblRegistros[Projeto],$L440),"")))</f>
        <v/>
      </c>
      <c r="C440" t="str">
        <f>IF($L440="","",IF(INDEX(tblRegistros[Data],$L440)&gt;$D$4,"",IFERROR(INDEX(tblRegistros[Atividade],$L440),"")))</f>
        <v/>
      </c>
      <c r="D440" s="4" t="str">
        <f>IF($L440="","",IF(INDEX(tblRegistros[Data],$L440)&gt;$D$4,"",IFERROR(INDEX(tblRegistros[Início],$L440),"")))</f>
        <v/>
      </c>
      <c r="E440" s="4" t="str">
        <f>IF($L440="","",IF(INDEX(tblRegistros[Data],$L440)&gt;$D$4,"",IFERROR(IF(INDEX(tblRegistros[Status],$L440)="EM ABERTO","",INDEX(tblRegistros[Fim],$L440)),"")))</f>
        <v/>
      </c>
      <c r="F440" t="str">
        <f>IF($L440="","",IF(INDEX(tblRegistros[Data],$L440)&gt;$D$4,"",IFERROR(IF(INDEX(tblRegistros[Status],$L440)="EM ABERTO","",INDEX(tblRegistros[Horas],$L440)),"")))</f>
        <v/>
      </c>
      <c r="G440" t="str">
        <f>IF($L440="","",IF(INDEX(tblRegistros[Data],$L440)&gt;$D$4,"",IFERROR(INDEX(tblRegistros[Base],$L440),"")))</f>
        <v/>
      </c>
      <c r="H440" s="3" t="str">
        <f>IF($L440="","",IF(INDEX(tblRegistros[Data],$L440)&gt;$D$4,"",IFERROR(INDEX(tblRegistros[Taxa aplicada],$L440),"")))</f>
        <v/>
      </c>
      <c r="I440" s="3" t="str">
        <f>IF($L440="","",IF(INDEX(tblRegistros[Data],$L440)&gt;$D$4,"",IFERROR(IF(INDEX(tblRegistros[Status],$L440)="EM ABERTO","",INDEX(tblRegistros[Valor],$L440)),"")))</f>
        <v/>
      </c>
      <c r="J440" t="str">
        <f>IF($L440="","",IF(INDEX(tblRegistros[Data],$L440)&gt;$D$4,"",IFERROR(INDEX(tblRegistros[Status],$L440),"")))</f>
        <v/>
      </c>
      <c r="K440" t="str">
        <f>IF($L440="","",IF(INDEX(tblRegistros[Data],$L440)&gt;$D$4,"",IFERROR(INDEX(tblRegistros[Observação],$L440),"")))</f>
        <v/>
      </c>
      <c r="L440" s="16" t="str">
        <f>IFERROR(MATCH($B$3*100000+COUNTIFS(tblRegistros[ID],$B$3,tblRegistros[Data],"&lt;"&amp;$B$4)+ROWS($L$10:L440),tblRegistros[Chave do cartão],0),"")</f>
        <v/>
      </c>
    </row>
    <row r="441" spans="1:12">
      <c r="A441" s="2" t="str">
        <f>IF($L441="","",IF(INDEX(tblRegistros[Data],$L441)&gt;$D$4,"",IFERROR(INDEX(tblRegistros[Data],$L441),"")))</f>
        <v/>
      </c>
      <c r="B441" t="str">
        <f>IF($L441="","",IF(INDEX(tblRegistros[Data],$L441)&gt;$D$4,"",IFERROR(INDEX(tblRegistros[Projeto],$L441),"")))</f>
        <v/>
      </c>
      <c r="C441" t="str">
        <f>IF($L441="","",IF(INDEX(tblRegistros[Data],$L441)&gt;$D$4,"",IFERROR(INDEX(tblRegistros[Atividade],$L441),"")))</f>
        <v/>
      </c>
      <c r="D441" s="4" t="str">
        <f>IF($L441="","",IF(INDEX(tblRegistros[Data],$L441)&gt;$D$4,"",IFERROR(INDEX(tblRegistros[Início],$L441),"")))</f>
        <v/>
      </c>
      <c r="E441" s="4" t="str">
        <f>IF($L441="","",IF(INDEX(tblRegistros[Data],$L441)&gt;$D$4,"",IFERROR(IF(INDEX(tblRegistros[Status],$L441)="EM ABERTO","",INDEX(tblRegistros[Fim],$L441)),"")))</f>
        <v/>
      </c>
      <c r="F441" t="str">
        <f>IF($L441="","",IF(INDEX(tblRegistros[Data],$L441)&gt;$D$4,"",IFERROR(IF(INDEX(tblRegistros[Status],$L441)="EM ABERTO","",INDEX(tblRegistros[Horas],$L441)),"")))</f>
        <v/>
      </c>
      <c r="G441" t="str">
        <f>IF($L441="","",IF(INDEX(tblRegistros[Data],$L441)&gt;$D$4,"",IFERROR(INDEX(tblRegistros[Base],$L441),"")))</f>
        <v/>
      </c>
      <c r="H441" s="3" t="str">
        <f>IF($L441="","",IF(INDEX(tblRegistros[Data],$L441)&gt;$D$4,"",IFERROR(INDEX(tblRegistros[Taxa aplicada],$L441),"")))</f>
        <v/>
      </c>
      <c r="I441" s="3" t="str">
        <f>IF($L441="","",IF(INDEX(tblRegistros[Data],$L441)&gt;$D$4,"",IFERROR(IF(INDEX(tblRegistros[Status],$L441)="EM ABERTO","",INDEX(tblRegistros[Valor],$L441)),"")))</f>
        <v/>
      </c>
      <c r="J441" t="str">
        <f>IF($L441="","",IF(INDEX(tblRegistros[Data],$L441)&gt;$D$4,"",IFERROR(INDEX(tblRegistros[Status],$L441),"")))</f>
        <v/>
      </c>
      <c r="K441" t="str">
        <f>IF($L441="","",IF(INDEX(tblRegistros[Data],$L441)&gt;$D$4,"",IFERROR(INDEX(tblRegistros[Observação],$L441),"")))</f>
        <v/>
      </c>
      <c r="L441" s="16" t="str">
        <f>IFERROR(MATCH($B$3*100000+COUNTIFS(tblRegistros[ID],$B$3,tblRegistros[Data],"&lt;"&amp;$B$4)+ROWS($L$10:L441),tblRegistros[Chave do cartão],0),"")</f>
        <v/>
      </c>
    </row>
    <row r="442" spans="1:12">
      <c r="A442" s="2" t="str">
        <f>IF($L442="","",IF(INDEX(tblRegistros[Data],$L442)&gt;$D$4,"",IFERROR(INDEX(tblRegistros[Data],$L442),"")))</f>
        <v/>
      </c>
      <c r="B442" t="str">
        <f>IF($L442="","",IF(INDEX(tblRegistros[Data],$L442)&gt;$D$4,"",IFERROR(INDEX(tblRegistros[Projeto],$L442),"")))</f>
        <v/>
      </c>
      <c r="C442" t="str">
        <f>IF($L442="","",IF(INDEX(tblRegistros[Data],$L442)&gt;$D$4,"",IFERROR(INDEX(tblRegistros[Atividade],$L442),"")))</f>
        <v/>
      </c>
      <c r="D442" s="4" t="str">
        <f>IF($L442="","",IF(INDEX(tblRegistros[Data],$L442)&gt;$D$4,"",IFERROR(INDEX(tblRegistros[Início],$L442),"")))</f>
        <v/>
      </c>
      <c r="E442" s="4" t="str">
        <f>IF($L442="","",IF(INDEX(tblRegistros[Data],$L442)&gt;$D$4,"",IFERROR(IF(INDEX(tblRegistros[Status],$L442)="EM ABERTO","",INDEX(tblRegistros[Fim],$L442)),"")))</f>
        <v/>
      </c>
      <c r="F442" t="str">
        <f>IF($L442="","",IF(INDEX(tblRegistros[Data],$L442)&gt;$D$4,"",IFERROR(IF(INDEX(tblRegistros[Status],$L442)="EM ABERTO","",INDEX(tblRegistros[Horas],$L442)),"")))</f>
        <v/>
      </c>
      <c r="G442" t="str">
        <f>IF($L442="","",IF(INDEX(tblRegistros[Data],$L442)&gt;$D$4,"",IFERROR(INDEX(tblRegistros[Base],$L442),"")))</f>
        <v/>
      </c>
      <c r="H442" s="3" t="str">
        <f>IF($L442="","",IF(INDEX(tblRegistros[Data],$L442)&gt;$D$4,"",IFERROR(INDEX(tblRegistros[Taxa aplicada],$L442),"")))</f>
        <v/>
      </c>
      <c r="I442" s="3" t="str">
        <f>IF($L442="","",IF(INDEX(tblRegistros[Data],$L442)&gt;$D$4,"",IFERROR(IF(INDEX(tblRegistros[Status],$L442)="EM ABERTO","",INDEX(tblRegistros[Valor],$L442)),"")))</f>
        <v/>
      </c>
      <c r="J442" t="str">
        <f>IF($L442="","",IF(INDEX(tblRegistros[Data],$L442)&gt;$D$4,"",IFERROR(INDEX(tblRegistros[Status],$L442),"")))</f>
        <v/>
      </c>
      <c r="K442" t="str">
        <f>IF($L442="","",IF(INDEX(tblRegistros[Data],$L442)&gt;$D$4,"",IFERROR(INDEX(tblRegistros[Observação],$L442),"")))</f>
        <v/>
      </c>
      <c r="L442" s="16" t="str">
        <f>IFERROR(MATCH($B$3*100000+COUNTIFS(tblRegistros[ID],$B$3,tblRegistros[Data],"&lt;"&amp;$B$4)+ROWS($L$10:L442),tblRegistros[Chave do cartão],0),"")</f>
        <v/>
      </c>
    </row>
    <row r="443" spans="1:12">
      <c r="A443" s="2" t="str">
        <f>IF($L443="","",IF(INDEX(tblRegistros[Data],$L443)&gt;$D$4,"",IFERROR(INDEX(tblRegistros[Data],$L443),"")))</f>
        <v/>
      </c>
      <c r="B443" t="str">
        <f>IF($L443="","",IF(INDEX(tblRegistros[Data],$L443)&gt;$D$4,"",IFERROR(INDEX(tblRegistros[Projeto],$L443),"")))</f>
        <v/>
      </c>
      <c r="C443" t="str">
        <f>IF($L443="","",IF(INDEX(tblRegistros[Data],$L443)&gt;$D$4,"",IFERROR(INDEX(tblRegistros[Atividade],$L443),"")))</f>
        <v/>
      </c>
      <c r="D443" s="4" t="str">
        <f>IF($L443="","",IF(INDEX(tblRegistros[Data],$L443)&gt;$D$4,"",IFERROR(INDEX(tblRegistros[Início],$L443),"")))</f>
        <v/>
      </c>
      <c r="E443" s="4" t="str">
        <f>IF($L443="","",IF(INDEX(tblRegistros[Data],$L443)&gt;$D$4,"",IFERROR(IF(INDEX(tblRegistros[Status],$L443)="EM ABERTO","",INDEX(tblRegistros[Fim],$L443)),"")))</f>
        <v/>
      </c>
      <c r="F443" t="str">
        <f>IF($L443="","",IF(INDEX(tblRegistros[Data],$L443)&gt;$D$4,"",IFERROR(IF(INDEX(tblRegistros[Status],$L443)="EM ABERTO","",INDEX(tblRegistros[Horas],$L443)),"")))</f>
        <v/>
      </c>
      <c r="G443" t="str">
        <f>IF($L443="","",IF(INDEX(tblRegistros[Data],$L443)&gt;$D$4,"",IFERROR(INDEX(tblRegistros[Base],$L443),"")))</f>
        <v/>
      </c>
      <c r="H443" s="3" t="str">
        <f>IF($L443="","",IF(INDEX(tblRegistros[Data],$L443)&gt;$D$4,"",IFERROR(INDEX(tblRegistros[Taxa aplicada],$L443),"")))</f>
        <v/>
      </c>
      <c r="I443" s="3" t="str">
        <f>IF($L443="","",IF(INDEX(tblRegistros[Data],$L443)&gt;$D$4,"",IFERROR(IF(INDEX(tblRegistros[Status],$L443)="EM ABERTO","",INDEX(tblRegistros[Valor],$L443)),"")))</f>
        <v/>
      </c>
      <c r="J443" t="str">
        <f>IF($L443="","",IF(INDEX(tblRegistros[Data],$L443)&gt;$D$4,"",IFERROR(INDEX(tblRegistros[Status],$L443),"")))</f>
        <v/>
      </c>
      <c r="K443" t="str">
        <f>IF($L443="","",IF(INDEX(tblRegistros[Data],$L443)&gt;$D$4,"",IFERROR(INDEX(tblRegistros[Observação],$L443),"")))</f>
        <v/>
      </c>
      <c r="L443" s="16" t="str">
        <f>IFERROR(MATCH($B$3*100000+COUNTIFS(tblRegistros[ID],$B$3,tblRegistros[Data],"&lt;"&amp;$B$4)+ROWS($L$10:L443),tblRegistros[Chave do cartão],0),"")</f>
        <v/>
      </c>
    </row>
    <row r="444" spans="1:12">
      <c r="A444" s="2" t="str">
        <f>IF($L444="","",IF(INDEX(tblRegistros[Data],$L444)&gt;$D$4,"",IFERROR(INDEX(tblRegistros[Data],$L444),"")))</f>
        <v/>
      </c>
      <c r="B444" t="str">
        <f>IF($L444="","",IF(INDEX(tblRegistros[Data],$L444)&gt;$D$4,"",IFERROR(INDEX(tblRegistros[Projeto],$L444),"")))</f>
        <v/>
      </c>
      <c r="C444" t="str">
        <f>IF($L444="","",IF(INDEX(tblRegistros[Data],$L444)&gt;$D$4,"",IFERROR(INDEX(tblRegistros[Atividade],$L444),"")))</f>
        <v/>
      </c>
      <c r="D444" s="4" t="str">
        <f>IF($L444="","",IF(INDEX(tblRegistros[Data],$L444)&gt;$D$4,"",IFERROR(INDEX(tblRegistros[Início],$L444),"")))</f>
        <v/>
      </c>
      <c r="E444" s="4" t="str">
        <f>IF($L444="","",IF(INDEX(tblRegistros[Data],$L444)&gt;$D$4,"",IFERROR(IF(INDEX(tblRegistros[Status],$L444)="EM ABERTO","",INDEX(tblRegistros[Fim],$L444)),"")))</f>
        <v/>
      </c>
      <c r="F444" t="str">
        <f>IF($L444="","",IF(INDEX(tblRegistros[Data],$L444)&gt;$D$4,"",IFERROR(IF(INDEX(tblRegistros[Status],$L444)="EM ABERTO","",INDEX(tblRegistros[Horas],$L444)),"")))</f>
        <v/>
      </c>
      <c r="G444" t="str">
        <f>IF($L444="","",IF(INDEX(tblRegistros[Data],$L444)&gt;$D$4,"",IFERROR(INDEX(tblRegistros[Base],$L444),"")))</f>
        <v/>
      </c>
      <c r="H444" s="3" t="str">
        <f>IF($L444="","",IF(INDEX(tblRegistros[Data],$L444)&gt;$D$4,"",IFERROR(INDEX(tblRegistros[Taxa aplicada],$L444),"")))</f>
        <v/>
      </c>
      <c r="I444" s="3" t="str">
        <f>IF($L444="","",IF(INDEX(tblRegistros[Data],$L444)&gt;$D$4,"",IFERROR(IF(INDEX(tblRegistros[Status],$L444)="EM ABERTO","",INDEX(tblRegistros[Valor],$L444)),"")))</f>
        <v/>
      </c>
      <c r="J444" t="str">
        <f>IF($L444="","",IF(INDEX(tblRegistros[Data],$L444)&gt;$D$4,"",IFERROR(INDEX(tblRegistros[Status],$L444),"")))</f>
        <v/>
      </c>
      <c r="K444" t="str">
        <f>IF($L444="","",IF(INDEX(tblRegistros[Data],$L444)&gt;$D$4,"",IFERROR(INDEX(tblRegistros[Observação],$L444),"")))</f>
        <v/>
      </c>
      <c r="L444" s="16" t="str">
        <f>IFERROR(MATCH($B$3*100000+COUNTIFS(tblRegistros[ID],$B$3,tblRegistros[Data],"&lt;"&amp;$B$4)+ROWS($L$10:L444),tblRegistros[Chave do cartão],0),"")</f>
        <v/>
      </c>
    </row>
    <row r="445" spans="1:12">
      <c r="A445" s="2" t="str">
        <f>IF($L445="","",IF(INDEX(tblRegistros[Data],$L445)&gt;$D$4,"",IFERROR(INDEX(tblRegistros[Data],$L445),"")))</f>
        <v/>
      </c>
      <c r="B445" t="str">
        <f>IF($L445="","",IF(INDEX(tblRegistros[Data],$L445)&gt;$D$4,"",IFERROR(INDEX(tblRegistros[Projeto],$L445),"")))</f>
        <v/>
      </c>
      <c r="C445" t="str">
        <f>IF($L445="","",IF(INDEX(tblRegistros[Data],$L445)&gt;$D$4,"",IFERROR(INDEX(tblRegistros[Atividade],$L445),"")))</f>
        <v/>
      </c>
      <c r="D445" s="4" t="str">
        <f>IF($L445="","",IF(INDEX(tblRegistros[Data],$L445)&gt;$D$4,"",IFERROR(INDEX(tblRegistros[Início],$L445),"")))</f>
        <v/>
      </c>
      <c r="E445" s="4" t="str">
        <f>IF($L445="","",IF(INDEX(tblRegistros[Data],$L445)&gt;$D$4,"",IFERROR(IF(INDEX(tblRegistros[Status],$L445)="EM ABERTO","",INDEX(tblRegistros[Fim],$L445)),"")))</f>
        <v/>
      </c>
      <c r="F445" t="str">
        <f>IF($L445="","",IF(INDEX(tblRegistros[Data],$L445)&gt;$D$4,"",IFERROR(IF(INDEX(tblRegistros[Status],$L445)="EM ABERTO","",INDEX(tblRegistros[Horas],$L445)),"")))</f>
        <v/>
      </c>
      <c r="G445" t="str">
        <f>IF($L445="","",IF(INDEX(tblRegistros[Data],$L445)&gt;$D$4,"",IFERROR(INDEX(tblRegistros[Base],$L445),"")))</f>
        <v/>
      </c>
      <c r="H445" s="3" t="str">
        <f>IF($L445="","",IF(INDEX(tblRegistros[Data],$L445)&gt;$D$4,"",IFERROR(INDEX(tblRegistros[Taxa aplicada],$L445),"")))</f>
        <v/>
      </c>
      <c r="I445" s="3" t="str">
        <f>IF($L445="","",IF(INDEX(tblRegistros[Data],$L445)&gt;$D$4,"",IFERROR(IF(INDEX(tblRegistros[Status],$L445)="EM ABERTO","",INDEX(tblRegistros[Valor],$L445)),"")))</f>
        <v/>
      </c>
      <c r="J445" t="str">
        <f>IF($L445="","",IF(INDEX(tblRegistros[Data],$L445)&gt;$D$4,"",IFERROR(INDEX(tblRegistros[Status],$L445),"")))</f>
        <v/>
      </c>
      <c r="K445" t="str">
        <f>IF($L445="","",IF(INDEX(tblRegistros[Data],$L445)&gt;$D$4,"",IFERROR(INDEX(tblRegistros[Observação],$L445),"")))</f>
        <v/>
      </c>
      <c r="L445" s="16" t="str">
        <f>IFERROR(MATCH($B$3*100000+COUNTIFS(tblRegistros[ID],$B$3,tblRegistros[Data],"&lt;"&amp;$B$4)+ROWS($L$10:L445),tblRegistros[Chave do cartão],0),"")</f>
        <v/>
      </c>
    </row>
    <row r="446" spans="1:12">
      <c r="A446" s="2" t="str">
        <f>IF($L446="","",IF(INDEX(tblRegistros[Data],$L446)&gt;$D$4,"",IFERROR(INDEX(tblRegistros[Data],$L446),"")))</f>
        <v/>
      </c>
      <c r="B446" t="str">
        <f>IF($L446="","",IF(INDEX(tblRegistros[Data],$L446)&gt;$D$4,"",IFERROR(INDEX(tblRegistros[Projeto],$L446),"")))</f>
        <v/>
      </c>
      <c r="C446" t="str">
        <f>IF($L446="","",IF(INDEX(tblRegistros[Data],$L446)&gt;$D$4,"",IFERROR(INDEX(tblRegistros[Atividade],$L446),"")))</f>
        <v/>
      </c>
      <c r="D446" s="4" t="str">
        <f>IF($L446="","",IF(INDEX(tblRegistros[Data],$L446)&gt;$D$4,"",IFERROR(INDEX(tblRegistros[Início],$L446),"")))</f>
        <v/>
      </c>
      <c r="E446" s="4" t="str">
        <f>IF($L446="","",IF(INDEX(tblRegistros[Data],$L446)&gt;$D$4,"",IFERROR(IF(INDEX(tblRegistros[Status],$L446)="EM ABERTO","",INDEX(tblRegistros[Fim],$L446)),"")))</f>
        <v/>
      </c>
      <c r="F446" t="str">
        <f>IF($L446="","",IF(INDEX(tblRegistros[Data],$L446)&gt;$D$4,"",IFERROR(IF(INDEX(tblRegistros[Status],$L446)="EM ABERTO","",INDEX(tblRegistros[Horas],$L446)),"")))</f>
        <v/>
      </c>
      <c r="G446" t="str">
        <f>IF($L446="","",IF(INDEX(tblRegistros[Data],$L446)&gt;$D$4,"",IFERROR(INDEX(tblRegistros[Base],$L446),"")))</f>
        <v/>
      </c>
      <c r="H446" s="3" t="str">
        <f>IF($L446="","",IF(INDEX(tblRegistros[Data],$L446)&gt;$D$4,"",IFERROR(INDEX(tblRegistros[Taxa aplicada],$L446),"")))</f>
        <v/>
      </c>
      <c r="I446" s="3" t="str">
        <f>IF($L446="","",IF(INDEX(tblRegistros[Data],$L446)&gt;$D$4,"",IFERROR(IF(INDEX(tblRegistros[Status],$L446)="EM ABERTO","",INDEX(tblRegistros[Valor],$L446)),"")))</f>
        <v/>
      </c>
      <c r="J446" t="str">
        <f>IF($L446="","",IF(INDEX(tblRegistros[Data],$L446)&gt;$D$4,"",IFERROR(INDEX(tblRegistros[Status],$L446),"")))</f>
        <v/>
      </c>
      <c r="K446" t="str">
        <f>IF($L446="","",IF(INDEX(tblRegistros[Data],$L446)&gt;$D$4,"",IFERROR(INDEX(tblRegistros[Observação],$L446),"")))</f>
        <v/>
      </c>
      <c r="L446" s="16" t="str">
        <f>IFERROR(MATCH($B$3*100000+COUNTIFS(tblRegistros[ID],$B$3,tblRegistros[Data],"&lt;"&amp;$B$4)+ROWS($L$10:L446),tblRegistros[Chave do cartão],0),"")</f>
        <v/>
      </c>
    </row>
    <row r="447" spans="1:12">
      <c r="A447" s="2" t="str">
        <f>IF($L447="","",IF(INDEX(tblRegistros[Data],$L447)&gt;$D$4,"",IFERROR(INDEX(tblRegistros[Data],$L447),"")))</f>
        <v/>
      </c>
      <c r="B447" t="str">
        <f>IF($L447="","",IF(INDEX(tblRegistros[Data],$L447)&gt;$D$4,"",IFERROR(INDEX(tblRegistros[Projeto],$L447),"")))</f>
        <v/>
      </c>
      <c r="C447" t="str">
        <f>IF($L447="","",IF(INDEX(tblRegistros[Data],$L447)&gt;$D$4,"",IFERROR(INDEX(tblRegistros[Atividade],$L447),"")))</f>
        <v/>
      </c>
      <c r="D447" s="4" t="str">
        <f>IF($L447="","",IF(INDEX(tblRegistros[Data],$L447)&gt;$D$4,"",IFERROR(INDEX(tblRegistros[Início],$L447),"")))</f>
        <v/>
      </c>
      <c r="E447" s="4" t="str">
        <f>IF($L447="","",IF(INDEX(tblRegistros[Data],$L447)&gt;$D$4,"",IFERROR(IF(INDEX(tblRegistros[Status],$L447)="EM ABERTO","",INDEX(tblRegistros[Fim],$L447)),"")))</f>
        <v/>
      </c>
      <c r="F447" t="str">
        <f>IF($L447="","",IF(INDEX(tblRegistros[Data],$L447)&gt;$D$4,"",IFERROR(IF(INDEX(tblRegistros[Status],$L447)="EM ABERTO","",INDEX(tblRegistros[Horas],$L447)),"")))</f>
        <v/>
      </c>
      <c r="G447" t="str">
        <f>IF($L447="","",IF(INDEX(tblRegistros[Data],$L447)&gt;$D$4,"",IFERROR(INDEX(tblRegistros[Base],$L447),"")))</f>
        <v/>
      </c>
      <c r="H447" s="3" t="str">
        <f>IF($L447="","",IF(INDEX(tblRegistros[Data],$L447)&gt;$D$4,"",IFERROR(INDEX(tblRegistros[Taxa aplicada],$L447),"")))</f>
        <v/>
      </c>
      <c r="I447" s="3" t="str">
        <f>IF($L447="","",IF(INDEX(tblRegistros[Data],$L447)&gt;$D$4,"",IFERROR(IF(INDEX(tblRegistros[Status],$L447)="EM ABERTO","",INDEX(tblRegistros[Valor],$L447)),"")))</f>
        <v/>
      </c>
      <c r="J447" t="str">
        <f>IF($L447="","",IF(INDEX(tblRegistros[Data],$L447)&gt;$D$4,"",IFERROR(INDEX(tblRegistros[Status],$L447),"")))</f>
        <v/>
      </c>
      <c r="K447" t="str">
        <f>IF($L447="","",IF(INDEX(tblRegistros[Data],$L447)&gt;$D$4,"",IFERROR(INDEX(tblRegistros[Observação],$L447),"")))</f>
        <v/>
      </c>
      <c r="L447" s="16" t="str">
        <f>IFERROR(MATCH($B$3*100000+COUNTIFS(tblRegistros[ID],$B$3,tblRegistros[Data],"&lt;"&amp;$B$4)+ROWS($L$10:L447),tblRegistros[Chave do cartão],0),"")</f>
        <v/>
      </c>
    </row>
    <row r="448" spans="1:12">
      <c r="A448" s="2" t="str">
        <f>IF($L448="","",IF(INDEX(tblRegistros[Data],$L448)&gt;$D$4,"",IFERROR(INDEX(tblRegistros[Data],$L448),"")))</f>
        <v/>
      </c>
      <c r="B448" t="str">
        <f>IF($L448="","",IF(INDEX(tblRegistros[Data],$L448)&gt;$D$4,"",IFERROR(INDEX(tblRegistros[Projeto],$L448),"")))</f>
        <v/>
      </c>
      <c r="C448" t="str">
        <f>IF($L448="","",IF(INDEX(tblRegistros[Data],$L448)&gt;$D$4,"",IFERROR(INDEX(tblRegistros[Atividade],$L448),"")))</f>
        <v/>
      </c>
      <c r="D448" s="4" t="str">
        <f>IF($L448="","",IF(INDEX(tblRegistros[Data],$L448)&gt;$D$4,"",IFERROR(INDEX(tblRegistros[Início],$L448),"")))</f>
        <v/>
      </c>
      <c r="E448" s="4" t="str">
        <f>IF($L448="","",IF(INDEX(tblRegistros[Data],$L448)&gt;$D$4,"",IFERROR(IF(INDEX(tblRegistros[Status],$L448)="EM ABERTO","",INDEX(tblRegistros[Fim],$L448)),"")))</f>
        <v/>
      </c>
      <c r="F448" t="str">
        <f>IF($L448="","",IF(INDEX(tblRegistros[Data],$L448)&gt;$D$4,"",IFERROR(IF(INDEX(tblRegistros[Status],$L448)="EM ABERTO","",INDEX(tblRegistros[Horas],$L448)),"")))</f>
        <v/>
      </c>
      <c r="G448" t="str">
        <f>IF($L448="","",IF(INDEX(tblRegistros[Data],$L448)&gt;$D$4,"",IFERROR(INDEX(tblRegistros[Base],$L448),"")))</f>
        <v/>
      </c>
      <c r="H448" s="3" t="str">
        <f>IF($L448="","",IF(INDEX(tblRegistros[Data],$L448)&gt;$D$4,"",IFERROR(INDEX(tblRegistros[Taxa aplicada],$L448),"")))</f>
        <v/>
      </c>
      <c r="I448" s="3" t="str">
        <f>IF($L448="","",IF(INDEX(tblRegistros[Data],$L448)&gt;$D$4,"",IFERROR(IF(INDEX(tblRegistros[Status],$L448)="EM ABERTO","",INDEX(tblRegistros[Valor],$L448)),"")))</f>
        <v/>
      </c>
      <c r="J448" t="str">
        <f>IF($L448="","",IF(INDEX(tblRegistros[Data],$L448)&gt;$D$4,"",IFERROR(INDEX(tblRegistros[Status],$L448),"")))</f>
        <v/>
      </c>
      <c r="K448" t="str">
        <f>IF($L448="","",IF(INDEX(tblRegistros[Data],$L448)&gt;$D$4,"",IFERROR(INDEX(tblRegistros[Observação],$L448),"")))</f>
        <v/>
      </c>
      <c r="L448" s="16" t="str">
        <f>IFERROR(MATCH($B$3*100000+COUNTIFS(tblRegistros[ID],$B$3,tblRegistros[Data],"&lt;"&amp;$B$4)+ROWS($L$10:L448),tblRegistros[Chave do cartão],0),"")</f>
        <v/>
      </c>
    </row>
    <row r="449" spans="1:12">
      <c r="A449" s="2" t="str">
        <f>IF($L449="","",IF(INDEX(tblRegistros[Data],$L449)&gt;$D$4,"",IFERROR(INDEX(tblRegistros[Data],$L449),"")))</f>
        <v/>
      </c>
      <c r="B449" t="str">
        <f>IF($L449="","",IF(INDEX(tblRegistros[Data],$L449)&gt;$D$4,"",IFERROR(INDEX(tblRegistros[Projeto],$L449),"")))</f>
        <v/>
      </c>
      <c r="C449" t="str">
        <f>IF($L449="","",IF(INDEX(tblRegistros[Data],$L449)&gt;$D$4,"",IFERROR(INDEX(tblRegistros[Atividade],$L449),"")))</f>
        <v/>
      </c>
      <c r="D449" s="4" t="str">
        <f>IF($L449="","",IF(INDEX(tblRegistros[Data],$L449)&gt;$D$4,"",IFERROR(INDEX(tblRegistros[Início],$L449),"")))</f>
        <v/>
      </c>
      <c r="E449" s="4" t="str">
        <f>IF($L449="","",IF(INDEX(tblRegistros[Data],$L449)&gt;$D$4,"",IFERROR(IF(INDEX(tblRegistros[Status],$L449)="EM ABERTO","",INDEX(tblRegistros[Fim],$L449)),"")))</f>
        <v/>
      </c>
      <c r="F449" t="str">
        <f>IF($L449="","",IF(INDEX(tblRegistros[Data],$L449)&gt;$D$4,"",IFERROR(IF(INDEX(tblRegistros[Status],$L449)="EM ABERTO","",INDEX(tblRegistros[Horas],$L449)),"")))</f>
        <v/>
      </c>
      <c r="G449" t="str">
        <f>IF($L449="","",IF(INDEX(tblRegistros[Data],$L449)&gt;$D$4,"",IFERROR(INDEX(tblRegistros[Base],$L449),"")))</f>
        <v/>
      </c>
      <c r="H449" s="3" t="str">
        <f>IF($L449="","",IF(INDEX(tblRegistros[Data],$L449)&gt;$D$4,"",IFERROR(INDEX(tblRegistros[Taxa aplicada],$L449),"")))</f>
        <v/>
      </c>
      <c r="I449" s="3" t="str">
        <f>IF($L449="","",IF(INDEX(tblRegistros[Data],$L449)&gt;$D$4,"",IFERROR(IF(INDEX(tblRegistros[Status],$L449)="EM ABERTO","",INDEX(tblRegistros[Valor],$L449)),"")))</f>
        <v/>
      </c>
      <c r="J449" t="str">
        <f>IF($L449="","",IF(INDEX(tblRegistros[Data],$L449)&gt;$D$4,"",IFERROR(INDEX(tblRegistros[Status],$L449),"")))</f>
        <v/>
      </c>
      <c r="K449" t="str">
        <f>IF($L449="","",IF(INDEX(tblRegistros[Data],$L449)&gt;$D$4,"",IFERROR(INDEX(tblRegistros[Observação],$L449),"")))</f>
        <v/>
      </c>
      <c r="L449" s="16" t="str">
        <f>IFERROR(MATCH($B$3*100000+COUNTIFS(tblRegistros[ID],$B$3,tblRegistros[Data],"&lt;"&amp;$B$4)+ROWS($L$10:L449),tblRegistros[Chave do cartão],0),"")</f>
        <v/>
      </c>
    </row>
    <row r="450" spans="1:12">
      <c r="A450" s="2" t="str">
        <f>IF($L450="","",IF(INDEX(tblRegistros[Data],$L450)&gt;$D$4,"",IFERROR(INDEX(tblRegistros[Data],$L450),"")))</f>
        <v/>
      </c>
      <c r="B450" t="str">
        <f>IF($L450="","",IF(INDEX(tblRegistros[Data],$L450)&gt;$D$4,"",IFERROR(INDEX(tblRegistros[Projeto],$L450),"")))</f>
        <v/>
      </c>
      <c r="C450" t="str">
        <f>IF($L450="","",IF(INDEX(tblRegistros[Data],$L450)&gt;$D$4,"",IFERROR(INDEX(tblRegistros[Atividade],$L450),"")))</f>
        <v/>
      </c>
      <c r="D450" s="4" t="str">
        <f>IF($L450="","",IF(INDEX(tblRegistros[Data],$L450)&gt;$D$4,"",IFERROR(INDEX(tblRegistros[Início],$L450),"")))</f>
        <v/>
      </c>
      <c r="E450" s="4" t="str">
        <f>IF($L450="","",IF(INDEX(tblRegistros[Data],$L450)&gt;$D$4,"",IFERROR(IF(INDEX(tblRegistros[Status],$L450)="EM ABERTO","",INDEX(tblRegistros[Fim],$L450)),"")))</f>
        <v/>
      </c>
      <c r="F450" t="str">
        <f>IF($L450="","",IF(INDEX(tblRegistros[Data],$L450)&gt;$D$4,"",IFERROR(IF(INDEX(tblRegistros[Status],$L450)="EM ABERTO","",INDEX(tblRegistros[Horas],$L450)),"")))</f>
        <v/>
      </c>
      <c r="G450" t="str">
        <f>IF($L450="","",IF(INDEX(tblRegistros[Data],$L450)&gt;$D$4,"",IFERROR(INDEX(tblRegistros[Base],$L450),"")))</f>
        <v/>
      </c>
      <c r="H450" s="3" t="str">
        <f>IF($L450="","",IF(INDEX(tblRegistros[Data],$L450)&gt;$D$4,"",IFERROR(INDEX(tblRegistros[Taxa aplicada],$L450),"")))</f>
        <v/>
      </c>
      <c r="I450" s="3" t="str">
        <f>IF($L450="","",IF(INDEX(tblRegistros[Data],$L450)&gt;$D$4,"",IFERROR(IF(INDEX(tblRegistros[Status],$L450)="EM ABERTO","",INDEX(tblRegistros[Valor],$L450)),"")))</f>
        <v/>
      </c>
      <c r="J450" t="str">
        <f>IF($L450="","",IF(INDEX(tblRegistros[Data],$L450)&gt;$D$4,"",IFERROR(INDEX(tblRegistros[Status],$L450),"")))</f>
        <v/>
      </c>
      <c r="K450" t="str">
        <f>IF($L450="","",IF(INDEX(tblRegistros[Data],$L450)&gt;$D$4,"",IFERROR(INDEX(tblRegistros[Observação],$L450),"")))</f>
        <v/>
      </c>
      <c r="L450" s="16" t="str">
        <f>IFERROR(MATCH($B$3*100000+COUNTIFS(tblRegistros[ID],$B$3,tblRegistros[Data],"&lt;"&amp;$B$4)+ROWS($L$10:L450),tblRegistros[Chave do cartão],0),"")</f>
        <v/>
      </c>
    </row>
    <row r="451" spans="1:12">
      <c r="A451" s="2" t="str">
        <f>IF($L451="","",IF(INDEX(tblRegistros[Data],$L451)&gt;$D$4,"",IFERROR(INDEX(tblRegistros[Data],$L451),"")))</f>
        <v/>
      </c>
      <c r="B451" t="str">
        <f>IF($L451="","",IF(INDEX(tblRegistros[Data],$L451)&gt;$D$4,"",IFERROR(INDEX(tblRegistros[Projeto],$L451),"")))</f>
        <v/>
      </c>
      <c r="C451" t="str">
        <f>IF($L451="","",IF(INDEX(tblRegistros[Data],$L451)&gt;$D$4,"",IFERROR(INDEX(tblRegistros[Atividade],$L451),"")))</f>
        <v/>
      </c>
      <c r="D451" s="4" t="str">
        <f>IF($L451="","",IF(INDEX(tblRegistros[Data],$L451)&gt;$D$4,"",IFERROR(INDEX(tblRegistros[Início],$L451),"")))</f>
        <v/>
      </c>
      <c r="E451" s="4" t="str">
        <f>IF($L451="","",IF(INDEX(tblRegistros[Data],$L451)&gt;$D$4,"",IFERROR(IF(INDEX(tblRegistros[Status],$L451)="EM ABERTO","",INDEX(tblRegistros[Fim],$L451)),"")))</f>
        <v/>
      </c>
      <c r="F451" t="str">
        <f>IF($L451="","",IF(INDEX(tblRegistros[Data],$L451)&gt;$D$4,"",IFERROR(IF(INDEX(tblRegistros[Status],$L451)="EM ABERTO","",INDEX(tblRegistros[Horas],$L451)),"")))</f>
        <v/>
      </c>
      <c r="G451" t="str">
        <f>IF($L451="","",IF(INDEX(tblRegistros[Data],$L451)&gt;$D$4,"",IFERROR(INDEX(tblRegistros[Base],$L451),"")))</f>
        <v/>
      </c>
      <c r="H451" s="3" t="str">
        <f>IF($L451="","",IF(INDEX(tblRegistros[Data],$L451)&gt;$D$4,"",IFERROR(INDEX(tblRegistros[Taxa aplicada],$L451),"")))</f>
        <v/>
      </c>
      <c r="I451" s="3" t="str">
        <f>IF($L451="","",IF(INDEX(tblRegistros[Data],$L451)&gt;$D$4,"",IFERROR(IF(INDEX(tblRegistros[Status],$L451)="EM ABERTO","",INDEX(tblRegistros[Valor],$L451)),"")))</f>
        <v/>
      </c>
      <c r="J451" t="str">
        <f>IF($L451="","",IF(INDEX(tblRegistros[Data],$L451)&gt;$D$4,"",IFERROR(INDEX(tblRegistros[Status],$L451),"")))</f>
        <v/>
      </c>
      <c r="K451" t="str">
        <f>IF($L451="","",IF(INDEX(tblRegistros[Data],$L451)&gt;$D$4,"",IFERROR(INDEX(tblRegistros[Observação],$L451),"")))</f>
        <v/>
      </c>
      <c r="L451" s="16" t="str">
        <f>IFERROR(MATCH($B$3*100000+COUNTIFS(tblRegistros[ID],$B$3,tblRegistros[Data],"&lt;"&amp;$B$4)+ROWS($L$10:L451),tblRegistros[Chave do cartão],0),"")</f>
        <v/>
      </c>
    </row>
    <row r="452" spans="1:12">
      <c r="A452" s="2" t="str">
        <f>IF($L452="","",IF(INDEX(tblRegistros[Data],$L452)&gt;$D$4,"",IFERROR(INDEX(tblRegistros[Data],$L452),"")))</f>
        <v/>
      </c>
      <c r="B452" t="str">
        <f>IF($L452="","",IF(INDEX(tblRegistros[Data],$L452)&gt;$D$4,"",IFERROR(INDEX(tblRegistros[Projeto],$L452),"")))</f>
        <v/>
      </c>
      <c r="C452" t="str">
        <f>IF($L452="","",IF(INDEX(tblRegistros[Data],$L452)&gt;$D$4,"",IFERROR(INDEX(tblRegistros[Atividade],$L452),"")))</f>
        <v/>
      </c>
      <c r="D452" s="4" t="str">
        <f>IF($L452="","",IF(INDEX(tblRegistros[Data],$L452)&gt;$D$4,"",IFERROR(INDEX(tblRegistros[Início],$L452),"")))</f>
        <v/>
      </c>
      <c r="E452" s="4" t="str">
        <f>IF($L452="","",IF(INDEX(tblRegistros[Data],$L452)&gt;$D$4,"",IFERROR(IF(INDEX(tblRegistros[Status],$L452)="EM ABERTO","",INDEX(tblRegistros[Fim],$L452)),"")))</f>
        <v/>
      </c>
      <c r="F452" t="str">
        <f>IF($L452="","",IF(INDEX(tblRegistros[Data],$L452)&gt;$D$4,"",IFERROR(IF(INDEX(tblRegistros[Status],$L452)="EM ABERTO","",INDEX(tblRegistros[Horas],$L452)),"")))</f>
        <v/>
      </c>
      <c r="G452" t="str">
        <f>IF($L452="","",IF(INDEX(tblRegistros[Data],$L452)&gt;$D$4,"",IFERROR(INDEX(tblRegistros[Base],$L452),"")))</f>
        <v/>
      </c>
      <c r="H452" s="3" t="str">
        <f>IF($L452="","",IF(INDEX(tblRegistros[Data],$L452)&gt;$D$4,"",IFERROR(INDEX(tblRegistros[Taxa aplicada],$L452),"")))</f>
        <v/>
      </c>
      <c r="I452" s="3" t="str">
        <f>IF($L452="","",IF(INDEX(tblRegistros[Data],$L452)&gt;$D$4,"",IFERROR(IF(INDEX(tblRegistros[Status],$L452)="EM ABERTO","",INDEX(tblRegistros[Valor],$L452)),"")))</f>
        <v/>
      </c>
      <c r="J452" t="str">
        <f>IF($L452="","",IF(INDEX(tblRegistros[Data],$L452)&gt;$D$4,"",IFERROR(INDEX(tblRegistros[Status],$L452),"")))</f>
        <v/>
      </c>
      <c r="K452" t="str">
        <f>IF($L452="","",IF(INDEX(tblRegistros[Data],$L452)&gt;$D$4,"",IFERROR(INDEX(tblRegistros[Observação],$L452),"")))</f>
        <v/>
      </c>
      <c r="L452" s="16" t="str">
        <f>IFERROR(MATCH($B$3*100000+COUNTIFS(tblRegistros[ID],$B$3,tblRegistros[Data],"&lt;"&amp;$B$4)+ROWS($L$10:L452),tblRegistros[Chave do cartão],0),"")</f>
        <v/>
      </c>
    </row>
    <row r="453" spans="1:12">
      <c r="A453" s="2" t="str">
        <f>IF($L453="","",IF(INDEX(tblRegistros[Data],$L453)&gt;$D$4,"",IFERROR(INDEX(tblRegistros[Data],$L453),"")))</f>
        <v/>
      </c>
      <c r="B453" t="str">
        <f>IF($L453="","",IF(INDEX(tblRegistros[Data],$L453)&gt;$D$4,"",IFERROR(INDEX(tblRegistros[Projeto],$L453),"")))</f>
        <v/>
      </c>
      <c r="C453" t="str">
        <f>IF($L453="","",IF(INDEX(tblRegistros[Data],$L453)&gt;$D$4,"",IFERROR(INDEX(tblRegistros[Atividade],$L453),"")))</f>
        <v/>
      </c>
      <c r="D453" s="4" t="str">
        <f>IF($L453="","",IF(INDEX(tblRegistros[Data],$L453)&gt;$D$4,"",IFERROR(INDEX(tblRegistros[Início],$L453),"")))</f>
        <v/>
      </c>
      <c r="E453" s="4" t="str">
        <f>IF($L453="","",IF(INDEX(tblRegistros[Data],$L453)&gt;$D$4,"",IFERROR(IF(INDEX(tblRegistros[Status],$L453)="EM ABERTO","",INDEX(tblRegistros[Fim],$L453)),"")))</f>
        <v/>
      </c>
      <c r="F453" t="str">
        <f>IF($L453="","",IF(INDEX(tblRegistros[Data],$L453)&gt;$D$4,"",IFERROR(IF(INDEX(tblRegistros[Status],$L453)="EM ABERTO","",INDEX(tblRegistros[Horas],$L453)),"")))</f>
        <v/>
      </c>
      <c r="G453" t="str">
        <f>IF($L453="","",IF(INDEX(tblRegistros[Data],$L453)&gt;$D$4,"",IFERROR(INDEX(tblRegistros[Base],$L453),"")))</f>
        <v/>
      </c>
      <c r="H453" s="3" t="str">
        <f>IF($L453="","",IF(INDEX(tblRegistros[Data],$L453)&gt;$D$4,"",IFERROR(INDEX(tblRegistros[Taxa aplicada],$L453),"")))</f>
        <v/>
      </c>
      <c r="I453" s="3" t="str">
        <f>IF($L453="","",IF(INDEX(tblRegistros[Data],$L453)&gt;$D$4,"",IFERROR(IF(INDEX(tblRegistros[Status],$L453)="EM ABERTO","",INDEX(tblRegistros[Valor],$L453)),"")))</f>
        <v/>
      </c>
      <c r="J453" t="str">
        <f>IF($L453="","",IF(INDEX(tblRegistros[Data],$L453)&gt;$D$4,"",IFERROR(INDEX(tblRegistros[Status],$L453),"")))</f>
        <v/>
      </c>
      <c r="K453" t="str">
        <f>IF($L453="","",IF(INDEX(tblRegistros[Data],$L453)&gt;$D$4,"",IFERROR(INDEX(tblRegistros[Observação],$L453),"")))</f>
        <v/>
      </c>
      <c r="L453" s="16" t="str">
        <f>IFERROR(MATCH($B$3*100000+COUNTIFS(tblRegistros[ID],$B$3,tblRegistros[Data],"&lt;"&amp;$B$4)+ROWS($L$10:L453),tblRegistros[Chave do cartão],0),"")</f>
        <v/>
      </c>
    </row>
    <row r="454" spans="1:12">
      <c r="A454" s="2" t="str">
        <f>IF($L454="","",IF(INDEX(tblRegistros[Data],$L454)&gt;$D$4,"",IFERROR(INDEX(tblRegistros[Data],$L454),"")))</f>
        <v/>
      </c>
      <c r="B454" t="str">
        <f>IF($L454="","",IF(INDEX(tblRegistros[Data],$L454)&gt;$D$4,"",IFERROR(INDEX(tblRegistros[Projeto],$L454),"")))</f>
        <v/>
      </c>
      <c r="C454" t="str">
        <f>IF($L454="","",IF(INDEX(tblRegistros[Data],$L454)&gt;$D$4,"",IFERROR(INDEX(tblRegistros[Atividade],$L454),"")))</f>
        <v/>
      </c>
      <c r="D454" s="4" t="str">
        <f>IF($L454="","",IF(INDEX(tblRegistros[Data],$L454)&gt;$D$4,"",IFERROR(INDEX(tblRegistros[Início],$L454),"")))</f>
        <v/>
      </c>
      <c r="E454" s="4" t="str">
        <f>IF($L454="","",IF(INDEX(tblRegistros[Data],$L454)&gt;$D$4,"",IFERROR(IF(INDEX(tblRegistros[Status],$L454)="EM ABERTO","",INDEX(tblRegistros[Fim],$L454)),"")))</f>
        <v/>
      </c>
      <c r="F454" t="str">
        <f>IF($L454="","",IF(INDEX(tblRegistros[Data],$L454)&gt;$D$4,"",IFERROR(IF(INDEX(tblRegistros[Status],$L454)="EM ABERTO","",INDEX(tblRegistros[Horas],$L454)),"")))</f>
        <v/>
      </c>
      <c r="G454" t="str">
        <f>IF($L454="","",IF(INDEX(tblRegistros[Data],$L454)&gt;$D$4,"",IFERROR(INDEX(tblRegistros[Base],$L454),"")))</f>
        <v/>
      </c>
      <c r="H454" s="3" t="str">
        <f>IF($L454="","",IF(INDEX(tblRegistros[Data],$L454)&gt;$D$4,"",IFERROR(INDEX(tblRegistros[Taxa aplicada],$L454),"")))</f>
        <v/>
      </c>
      <c r="I454" s="3" t="str">
        <f>IF($L454="","",IF(INDEX(tblRegistros[Data],$L454)&gt;$D$4,"",IFERROR(IF(INDEX(tblRegistros[Status],$L454)="EM ABERTO","",INDEX(tblRegistros[Valor],$L454)),"")))</f>
        <v/>
      </c>
      <c r="J454" t="str">
        <f>IF($L454="","",IF(INDEX(tblRegistros[Data],$L454)&gt;$D$4,"",IFERROR(INDEX(tblRegistros[Status],$L454),"")))</f>
        <v/>
      </c>
      <c r="K454" t="str">
        <f>IF($L454="","",IF(INDEX(tblRegistros[Data],$L454)&gt;$D$4,"",IFERROR(INDEX(tblRegistros[Observação],$L454),"")))</f>
        <v/>
      </c>
      <c r="L454" s="16" t="str">
        <f>IFERROR(MATCH($B$3*100000+COUNTIFS(tblRegistros[ID],$B$3,tblRegistros[Data],"&lt;"&amp;$B$4)+ROWS($L$10:L454),tblRegistros[Chave do cartão],0),"")</f>
        <v/>
      </c>
    </row>
    <row r="455" spans="1:12">
      <c r="A455" s="2" t="str">
        <f>IF($L455="","",IF(INDEX(tblRegistros[Data],$L455)&gt;$D$4,"",IFERROR(INDEX(tblRegistros[Data],$L455),"")))</f>
        <v/>
      </c>
      <c r="B455" t="str">
        <f>IF($L455="","",IF(INDEX(tblRegistros[Data],$L455)&gt;$D$4,"",IFERROR(INDEX(tblRegistros[Projeto],$L455),"")))</f>
        <v/>
      </c>
      <c r="C455" t="str">
        <f>IF($L455="","",IF(INDEX(tblRegistros[Data],$L455)&gt;$D$4,"",IFERROR(INDEX(tblRegistros[Atividade],$L455),"")))</f>
        <v/>
      </c>
      <c r="D455" s="4" t="str">
        <f>IF($L455="","",IF(INDEX(tblRegistros[Data],$L455)&gt;$D$4,"",IFERROR(INDEX(tblRegistros[Início],$L455),"")))</f>
        <v/>
      </c>
      <c r="E455" s="4" t="str">
        <f>IF($L455="","",IF(INDEX(tblRegistros[Data],$L455)&gt;$D$4,"",IFERROR(IF(INDEX(tblRegistros[Status],$L455)="EM ABERTO","",INDEX(tblRegistros[Fim],$L455)),"")))</f>
        <v/>
      </c>
      <c r="F455" t="str">
        <f>IF($L455="","",IF(INDEX(tblRegistros[Data],$L455)&gt;$D$4,"",IFERROR(IF(INDEX(tblRegistros[Status],$L455)="EM ABERTO","",INDEX(tblRegistros[Horas],$L455)),"")))</f>
        <v/>
      </c>
      <c r="G455" t="str">
        <f>IF($L455="","",IF(INDEX(tblRegistros[Data],$L455)&gt;$D$4,"",IFERROR(INDEX(tblRegistros[Base],$L455),"")))</f>
        <v/>
      </c>
      <c r="H455" s="3" t="str">
        <f>IF($L455="","",IF(INDEX(tblRegistros[Data],$L455)&gt;$D$4,"",IFERROR(INDEX(tblRegistros[Taxa aplicada],$L455),"")))</f>
        <v/>
      </c>
      <c r="I455" s="3" t="str">
        <f>IF($L455="","",IF(INDEX(tblRegistros[Data],$L455)&gt;$D$4,"",IFERROR(IF(INDEX(tblRegistros[Status],$L455)="EM ABERTO","",INDEX(tblRegistros[Valor],$L455)),"")))</f>
        <v/>
      </c>
      <c r="J455" t="str">
        <f>IF($L455="","",IF(INDEX(tblRegistros[Data],$L455)&gt;$D$4,"",IFERROR(INDEX(tblRegistros[Status],$L455),"")))</f>
        <v/>
      </c>
      <c r="K455" t="str">
        <f>IF($L455="","",IF(INDEX(tblRegistros[Data],$L455)&gt;$D$4,"",IFERROR(INDEX(tblRegistros[Observação],$L455),"")))</f>
        <v/>
      </c>
      <c r="L455" s="16" t="str">
        <f>IFERROR(MATCH($B$3*100000+COUNTIFS(tblRegistros[ID],$B$3,tblRegistros[Data],"&lt;"&amp;$B$4)+ROWS($L$10:L455),tblRegistros[Chave do cartão],0),"")</f>
        <v/>
      </c>
    </row>
    <row r="456" spans="1:12">
      <c r="A456" s="2" t="str">
        <f>IF($L456="","",IF(INDEX(tblRegistros[Data],$L456)&gt;$D$4,"",IFERROR(INDEX(tblRegistros[Data],$L456),"")))</f>
        <v/>
      </c>
      <c r="B456" t="str">
        <f>IF($L456="","",IF(INDEX(tblRegistros[Data],$L456)&gt;$D$4,"",IFERROR(INDEX(tblRegistros[Projeto],$L456),"")))</f>
        <v/>
      </c>
      <c r="C456" t="str">
        <f>IF($L456="","",IF(INDEX(tblRegistros[Data],$L456)&gt;$D$4,"",IFERROR(INDEX(tblRegistros[Atividade],$L456),"")))</f>
        <v/>
      </c>
      <c r="D456" s="4" t="str">
        <f>IF($L456="","",IF(INDEX(tblRegistros[Data],$L456)&gt;$D$4,"",IFERROR(INDEX(tblRegistros[Início],$L456),"")))</f>
        <v/>
      </c>
      <c r="E456" s="4" t="str">
        <f>IF($L456="","",IF(INDEX(tblRegistros[Data],$L456)&gt;$D$4,"",IFERROR(IF(INDEX(tblRegistros[Status],$L456)="EM ABERTO","",INDEX(tblRegistros[Fim],$L456)),"")))</f>
        <v/>
      </c>
      <c r="F456" t="str">
        <f>IF($L456="","",IF(INDEX(tblRegistros[Data],$L456)&gt;$D$4,"",IFERROR(IF(INDEX(tblRegistros[Status],$L456)="EM ABERTO","",INDEX(tblRegistros[Horas],$L456)),"")))</f>
        <v/>
      </c>
      <c r="G456" t="str">
        <f>IF($L456="","",IF(INDEX(tblRegistros[Data],$L456)&gt;$D$4,"",IFERROR(INDEX(tblRegistros[Base],$L456),"")))</f>
        <v/>
      </c>
      <c r="H456" s="3" t="str">
        <f>IF($L456="","",IF(INDEX(tblRegistros[Data],$L456)&gt;$D$4,"",IFERROR(INDEX(tblRegistros[Taxa aplicada],$L456),"")))</f>
        <v/>
      </c>
      <c r="I456" s="3" t="str">
        <f>IF($L456="","",IF(INDEX(tblRegistros[Data],$L456)&gt;$D$4,"",IFERROR(IF(INDEX(tblRegistros[Status],$L456)="EM ABERTO","",INDEX(tblRegistros[Valor],$L456)),"")))</f>
        <v/>
      </c>
      <c r="J456" t="str">
        <f>IF($L456="","",IF(INDEX(tblRegistros[Data],$L456)&gt;$D$4,"",IFERROR(INDEX(tblRegistros[Status],$L456),"")))</f>
        <v/>
      </c>
      <c r="K456" t="str">
        <f>IF($L456="","",IF(INDEX(tblRegistros[Data],$L456)&gt;$D$4,"",IFERROR(INDEX(tblRegistros[Observação],$L456),"")))</f>
        <v/>
      </c>
      <c r="L456" s="16" t="str">
        <f>IFERROR(MATCH($B$3*100000+COUNTIFS(tblRegistros[ID],$B$3,tblRegistros[Data],"&lt;"&amp;$B$4)+ROWS($L$10:L456),tblRegistros[Chave do cartão],0),"")</f>
        <v/>
      </c>
    </row>
    <row r="457" spans="1:12">
      <c r="A457" s="2" t="str">
        <f>IF($L457="","",IF(INDEX(tblRegistros[Data],$L457)&gt;$D$4,"",IFERROR(INDEX(tblRegistros[Data],$L457),"")))</f>
        <v/>
      </c>
      <c r="B457" t="str">
        <f>IF($L457="","",IF(INDEX(tblRegistros[Data],$L457)&gt;$D$4,"",IFERROR(INDEX(tblRegistros[Projeto],$L457),"")))</f>
        <v/>
      </c>
      <c r="C457" t="str">
        <f>IF($L457="","",IF(INDEX(tblRegistros[Data],$L457)&gt;$D$4,"",IFERROR(INDEX(tblRegistros[Atividade],$L457),"")))</f>
        <v/>
      </c>
      <c r="D457" s="4" t="str">
        <f>IF($L457="","",IF(INDEX(tblRegistros[Data],$L457)&gt;$D$4,"",IFERROR(INDEX(tblRegistros[Início],$L457),"")))</f>
        <v/>
      </c>
      <c r="E457" s="4" t="str">
        <f>IF($L457="","",IF(INDEX(tblRegistros[Data],$L457)&gt;$D$4,"",IFERROR(IF(INDEX(tblRegistros[Status],$L457)="EM ABERTO","",INDEX(tblRegistros[Fim],$L457)),"")))</f>
        <v/>
      </c>
      <c r="F457" t="str">
        <f>IF($L457="","",IF(INDEX(tblRegistros[Data],$L457)&gt;$D$4,"",IFERROR(IF(INDEX(tblRegistros[Status],$L457)="EM ABERTO","",INDEX(tblRegistros[Horas],$L457)),"")))</f>
        <v/>
      </c>
      <c r="G457" t="str">
        <f>IF($L457="","",IF(INDEX(tblRegistros[Data],$L457)&gt;$D$4,"",IFERROR(INDEX(tblRegistros[Base],$L457),"")))</f>
        <v/>
      </c>
      <c r="H457" s="3" t="str">
        <f>IF($L457="","",IF(INDEX(tblRegistros[Data],$L457)&gt;$D$4,"",IFERROR(INDEX(tblRegistros[Taxa aplicada],$L457),"")))</f>
        <v/>
      </c>
      <c r="I457" s="3" t="str">
        <f>IF($L457="","",IF(INDEX(tblRegistros[Data],$L457)&gt;$D$4,"",IFERROR(IF(INDEX(tblRegistros[Status],$L457)="EM ABERTO","",INDEX(tblRegistros[Valor],$L457)),"")))</f>
        <v/>
      </c>
      <c r="J457" t="str">
        <f>IF($L457="","",IF(INDEX(tblRegistros[Data],$L457)&gt;$D$4,"",IFERROR(INDEX(tblRegistros[Status],$L457),"")))</f>
        <v/>
      </c>
      <c r="K457" t="str">
        <f>IF($L457="","",IF(INDEX(tblRegistros[Data],$L457)&gt;$D$4,"",IFERROR(INDEX(tblRegistros[Observação],$L457),"")))</f>
        <v/>
      </c>
      <c r="L457" s="16" t="str">
        <f>IFERROR(MATCH($B$3*100000+COUNTIFS(tblRegistros[ID],$B$3,tblRegistros[Data],"&lt;"&amp;$B$4)+ROWS($L$10:L457),tblRegistros[Chave do cartão],0),"")</f>
        <v/>
      </c>
    </row>
    <row r="458" spans="1:12">
      <c r="A458" s="2" t="str">
        <f>IF($L458="","",IF(INDEX(tblRegistros[Data],$L458)&gt;$D$4,"",IFERROR(INDEX(tblRegistros[Data],$L458),"")))</f>
        <v/>
      </c>
      <c r="B458" t="str">
        <f>IF($L458="","",IF(INDEX(tblRegistros[Data],$L458)&gt;$D$4,"",IFERROR(INDEX(tblRegistros[Projeto],$L458),"")))</f>
        <v/>
      </c>
      <c r="C458" t="str">
        <f>IF($L458="","",IF(INDEX(tblRegistros[Data],$L458)&gt;$D$4,"",IFERROR(INDEX(tblRegistros[Atividade],$L458),"")))</f>
        <v/>
      </c>
      <c r="D458" s="4" t="str">
        <f>IF($L458="","",IF(INDEX(tblRegistros[Data],$L458)&gt;$D$4,"",IFERROR(INDEX(tblRegistros[Início],$L458),"")))</f>
        <v/>
      </c>
      <c r="E458" s="4" t="str">
        <f>IF($L458="","",IF(INDEX(tblRegistros[Data],$L458)&gt;$D$4,"",IFERROR(IF(INDEX(tblRegistros[Status],$L458)="EM ABERTO","",INDEX(tblRegistros[Fim],$L458)),"")))</f>
        <v/>
      </c>
      <c r="F458" t="str">
        <f>IF($L458="","",IF(INDEX(tblRegistros[Data],$L458)&gt;$D$4,"",IFERROR(IF(INDEX(tblRegistros[Status],$L458)="EM ABERTO","",INDEX(tblRegistros[Horas],$L458)),"")))</f>
        <v/>
      </c>
      <c r="G458" t="str">
        <f>IF($L458="","",IF(INDEX(tblRegistros[Data],$L458)&gt;$D$4,"",IFERROR(INDEX(tblRegistros[Base],$L458),"")))</f>
        <v/>
      </c>
      <c r="H458" s="3" t="str">
        <f>IF($L458="","",IF(INDEX(tblRegistros[Data],$L458)&gt;$D$4,"",IFERROR(INDEX(tblRegistros[Taxa aplicada],$L458),"")))</f>
        <v/>
      </c>
      <c r="I458" s="3" t="str">
        <f>IF($L458="","",IF(INDEX(tblRegistros[Data],$L458)&gt;$D$4,"",IFERROR(IF(INDEX(tblRegistros[Status],$L458)="EM ABERTO","",INDEX(tblRegistros[Valor],$L458)),"")))</f>
        <v/>
      </c>
      <c r="J458" t="str">
        <f>IF($L458="","",IF(INDEX(tblRegistros[Data],$L458)&gt;$D$4,"",IFERROR(INDEX(tblRegistros[Status],$L458),"")))</f>
        <v/>
      </c>
      <c r="K458" t="str">
        <f>IF($L458="","",IF(INDEX(tblRegistros[Data],$L458)&gt;$D$4,"",IFERROR(INDEX(tblRegistros[Observação],$L458),"")))</f>
        <v/>
      </c>
      <c r="L458" s="16" t="str">
        <f>IFERROR(MATCH($B$3*100000+COUNTIFS(tblRegistros[ID],$B$3,tblRegistros[Data],"&lt;"&amp;$B$4)+ROWS($L$10:L458),tblRegistros[Chave do cartão],0),"")</f>
        <v/>
      </c>
    </row>
    <row r="459" spans="1:12">
      <c r="A459" s="2" t="str">
        <f>IF($L459="","",IF(INDEX(tblRegistros[Data],$L459)&gt;$D$4,"",IFERROR(INDEX(tblRegistros[Data],$L459),"")))</f>
        <v/>
      </c>
      <c r="B459" t="str">
        <f>IF($L459="","",IF(INDEX(tblRegistros[Data],$L459)&gt;$D$4,"",IFERROR(INDEX(tblRegistros[Projeto],$L459),"")))</f>
        <v/>
      </c>
      <c r="C459" t="str">
        <f>IF($L459="","",IF(INDEX(tblRegistros[Data],$L459)&gt;$D$4,"",IFERROR(INDEX(tblRegistros[Atividade],$L459),"")))</f>
        <v/>
      </c>
      <c r="D459" s="4" t="str">
        <f>IF($L459="","",IF(INDEX(tblRegistros[Data],$L459)&gt;$D$4,"",IFERROR(INDEX(tblRegistros[Início],$L459),"")))</f>
        <v/>
      </c>
      <c r="E459" s="4" t="str">
        <f>IF($L459="","",IF(INDEX(tblRegistros[Data],$L459)&gt;$D$4,"",IFERROR(IF(INDEX(tblRegistros[Status],$L459)="EM ABERTO","",INDEX(tblRegistros[Fim],$L459)),"")))</f>
        <v/>
      </c>
      <c r="F459" t="str">
        <f>IF($L459="","",IF(INDEX(tblRegistros[Data],$L459)&gt;$D$4,"",IFERROR(IF(INDEX(tblRegistros[Status],$L459)="EM ABERTO","",INDEX(tblRegistros[Horas],$L459)),"")))</f>
        <v/>
      </c>
      <c r="G459" t="str">
        <f>IF($L459="","",IF(INDEX(tblRegistros[Data],$L459)&gt;$D$4,"",IFERROR(INDEX(tblRegistros[Base],$L459),"")))</f>
        <v/>
      </c>
      <c r="H459" s="3" t="str">
        <f>IF($L459="","",IF(INDEX(tblRegistros[Data],$L459)&gt;$D$4,"",IFERROR(INDEX(tblRegistros[Taxa aplicada],$L459),"")))</f>
        <v/>
      </c>
      <c r="I459" s="3" t="str">
        <f>IF($L459="","",IF(INDEX(tblRegistros[Data],$L459)&gt;$D$4,"",IFERROR(IF(INDEX(tblRegistros[Status],$L459)="EM ABERTO","",INDEX(tblRegistros[Valor],$L459)),"")))</f>
        <v/>
      </c>
      <c r="J459" t="str">
        <f>IF($L459="","",IF(INDEX(tblRegistros[Data],$L459)&gt;$D$4,"",IFERROR(INDEX(tblRegistros[Status],$L459),"")))</f>
        <v/>
      </c>
      <c r="K459" t="str">
        <f>IF($L459="","",IF(INDEX(tblRegistros[Data],$L459)&gt;$D$4,"",IFERROR(INDEX(tblRegistros[Observação],$L459),"")))</f>
        <v/>
      </c>
      <c r="L459" s="16" t="str">
        <f>IFERROR(MATCH($B$3*100000+COUNTIFS(tblRegistros[ID],$B$3,tblRegistros[Data],"&lt;"&amp;$B$4)+ROWS($L$10:L459),tblRegistros[Chave do cartão],0),"")</f>
        <v/>
      </c>
    </row>
    <row r="460" spans="1:12">
      <c r="A460" s="2" t="str">
        <f>IF($L460="","",IF(INDEX(tblRegistros[Data],$L460)&gt;$D$4,"",IFERROR(INDEX(tblRegistros[Data],$L460),"")))</f>
        <v/>
      </c>
      <c r="B460" t="str">
        <f>IF($L460="","",IF(INDEX(tblRegistros[Data],$L460)&gt;$D$4,"",IFERROR(INDEX(tblRegistros[Projeto],$L460),"")))</f>
        <v/>
      </c>
      <c r="C460" t="str">
        <f>IF($L460="","",IF(INDEX(tblRegistros[Data],$L460)&gt;$D$4,"",IFERROR(INDEX(tblRegistros[Atividade],$L460),"")))</f>
        <v/>
      </c>
      <c r="D460" s="4" t="str">
        <f>IF($L460="","",IF(INDEX(tblRegistros[Data],$L460)&gt;$D$4,"",IFERROR(INDEX(tblRegistros[Início],$L460),"")))</f>
        <v/>
      </c>
      <c r="E460" s="4" t="str">
        <f>IF($L460="","",IF(INDEX(tblRegistros[Data],$L460)&gt;$D$4,"",IFERROR(IF(INDEX(tblRegistros[Status],$L460)="EM ABERTO","",INDEX(tblRegistros[Fim],$L460)),"")))</f>
        <v/>
      </c>
      <c r="F460" t="str">
        <f>IF($L460="","",IF(INDEX(tblRegistros[Data],$L460)&gt;$D$4,"",IFERROR(IF(INDEX(tblRegistros[Status],$L460)="EM ABERTO","",INDEX(tblRegistros[Horas],$L460)),"")))</f>
        <v/>
      </c>
      <c r="G460" t="str">
        <f>IF($L460="","",IF(INDEX(tblRegistros[Data],$L460)&gt;$D$4,"",IFERROR(INDEX(tblRegistros[Base],$L460),"")))</f>
        <v/>
      </c>
      <c r="H460" s="3" t="str">
        <f>IF($L460="","",IF(INDEX(tblRegistros[Data],$L460)&gt;$D$4,"",IFERROR(INDEX(tblRegistros[Taxa aplicada],$L460),"")))</f>
        <v/>
      </c>
      <c r="I460" s="3" t="str">
        <f>IF($L460="","",IF(INDEX(tblRegistros[Data],$L460)&gt;$D$4,"",IFERROR(IF(INDEX(tblRegistros[Status],$L460)="EM ABERTO","",INDEX(tblRegistros[Valor],$L460)),"")))</f>
        <v/>
      </c>
      <c r="J460" t="str">
        <f>IF($L460="","",IF(INDEX(tblRegistros[Data],$L460)&gt;$D$4,"",IFERROR(INDEX(tblRegistros[Status],$L460),"")))</f>
        <v/>
      </c>
      <c r="K460" t="str">
        <f>IF($L460="","",IF(INDEX(tblRegistros[Data],$L460)&gt;$D$4,"",IFERROR(INDEX(tblRegistros[Observação],$L460),"")))</f>
        <v/>
      </c>
      <c r="L460" s="16" t="str">
        <f>IFERROR(MATCH($B$3*100000+COUNTIFS(tblRegistros[ID],$B$3,tblRegistros[Data],"&lt;"&amp;$B$4)+ROWS($L$10:L460),tblRegistros[Chave do cartão],0),"")</f>
        <v/>
      </c>
    </row>
    <row r="461" spans="1:12">
      <c r="A461" s="2" t="str">
        <f>IF($L461="","",IF(INDEX(tblRegistros[Data],$L461)&gt;$D$4,"",IFERROR(INDEX(tblRegistros[Data],$L461),"")))</f>
        <v/>
      </c>
      <c r="B461" t="str">
        <f>IF($L461="","",IF(INDEX(tblRegistros[Data],$L461)&gt;$D$4,"",IFERROR(INDEX(tblRegistros[Projeto],$L461),"")))</f>
        <v/>
      </c>
      <c r="C461" t="str">
        <f>IF($L461="","",IF(INDEX(tblRegistros[Data],$L461)&gt;$D$4,"",IFERROR(INDEX(tblRegistros[Atividade],$L461),"")))</f>
        <v/>
      </c>
      <c r="D461" s="4" t="str">
        <f>IF($L461="","",IF(INDEX(tblRegistros[Data],$L461)&gt;$D$4,"",IFERROR(INDEX(tblRegistros[Início],$L461),"")))</f>
        <v/>
      </c>
      <c r="E461" s="4" t="str">
        <f>IF($L461="","",IF(INDEX(tblRegistros[Data],$L461)&gt;$D$4,"",IFERROR(IF(INDEX(tblRegistros[Status],$L461)="EM ABERTO","",INDEX(tblRegistros[Fim],$L461)),"")))</f>
        <v/>
      </c>
      <c r="F461" t="str">
        <f>IF($L461="","",IF(INDEX(tblRegistros[Data],$L461)&gt;$D$4,"",IFERROR(IF(INDEX(tblRegistros[Status],$L461)="EM ABERTO","",INDEX(tblRegistros[Horas],$L461)),"")))</f>
        <v/>
      </c>
      <c r="G461" t="str">
        <f>IF($L461="","",IF(INDEX(tblRegistros[Data],$L461)&gt;$D$4,"",IFERROR(INDEX(tblRegistros[Base],$L461),"")))</f>
        <v/>
      </c>
      <c r="H461" s="3" t="str">
        <f>IF($L461="","",IF(INDEX(tblRegistros[Data],$L461)&gt;$D$4,"",IFERROR(INDEX(tblRegistros[Taxa aplicada],$L461),"")))</f>
        <v/>
      </c>
      <c r="I461" s="3" t="str">
        <f>IF($L461="","",IF(INDEX(tblRegistros[Data],$L461)&gt;$D$4,"",IFERROR(IF(INDEX(tblRegistros[Status],$L461)="EM ABERTO","",INDEX(tblRegistros[Valor],$L461)),"")))</f>
        <v/>
      </c>
      <c r="J461" t="str">
        <f>IF($L461="","",IF(INDEX(tblRegistros[Data],$L461)&gt;$D$4,"",IFERROR(INDEX(tblRegistros[Status],$L461),"")))</f>
        <v/>
      </c>
      <c r="K461" t="str">
        <f>IF($L461="","",IF(INDEX(tblRegistros[Data],$L461)&gt;$D$4,"",IFERROR(INDEX(tblRegistros[Observação],$L461),"")))</f>
        <v/>
      </c>
      <c r="L461" s="16" t="str">
        <f>IFERROR(MATCH($B$3*100000+COUNTIFS(tblRegistros[ID],$B$3,tblRegistros[Data],"&lt;"&amp;$B$4)+ROWS($L$10:L461),tblRegistros[Chave do cartão],0),"")</f>
        <v/>
      </c>
    </row>
    <row r="462" spans="1:12">
      <c r="A462" s="2" t="str">
        <f>IF($L462="","",IF(INDEX(tblRegistros[Data],$L462)&gt;$D$4,"",IFERROR(INDEX(tblRegistros[Data],$L462),"")))</f>
        <v/>
      </c>
      <c r="B462" t="str">
        <f>IF($L462="","",IF(INDEX(tblRegistros[Data],$L462)&gt;$D$4,"",IFERROR(INDEX(tblRegistros[Projeto],$L462),"")))</f>
        <v/>
      </c>
      <c r="C462" t="str">
        <f>IF($L462="","",IF(INDEX(tblRegistros[Data],$L462)&gt;$D$4,"",IFERROR(INDEX(tblRegistros[Atividade],$L462),"")))</f>
        <v/>
      </c>
      <c r="D462" s="4" t="str">
        <f>IF($L462="","",IF(INDEX(tblRegistros[Data],$L462)&gt;$D$4,"",IFERROR(INDEX(tblRegistros[Início],$L462),"")))</f>
        <v/>
      </c>
      <c r="E462" s="4" t="str">
        <f>IF($L462="","",IF(INDEX(tblRegistros[Data],$L462)&gt;$D$4,"",IFERROR(IF(INDEX(tblRegistros[Status],$L462)="EM ABERTO","",INDEX(tblRegistros[Fim],$L462)),"")))</f>
        <v/>
      </c>
      <c r="F462" t="str">
        <f>IF($L462="","",IF(INDEX(tblRegistros[Data],$L462)&gt;$D$4,"",IFERROR(IF(INDEX(tblRegistros[Status],$L462)="EM ABERTO","",INDEX(tblRegistros[Horas],$L462)),"")))</f>
        <v/>
      </c>
      <c r="G462" t="str">
        <f>IF($L462="","",IF(INDEX(tblRegistros[Data],$L462)&gt;$D$4,"",IFERROR(INDEX(tblRegistros[Base],$L462),"")))</f>
        <v/>
      </c>
      <c r="H462" s="3" t="str">
        <f>IF($L462="","",IF(INDEX(tblRegistros[Data],$L462)&gt;$D$4,"",IFERROR(INDEX(tblRegistros[Taxa aplicada],$L462),"")))</f>
        <v/>
      </c>
      <c r="I462" s="3" t="str">
        <f>IF($L462="","",IF(INDEX(tblRegistros[Data],$L462)&gt;$D$4,"",IFERROR(IF(INDEX(tblRegistros[Status],$L462)="EM ABERTO","",INDEX(tblRegistros[Valor],$L462)),"")))</f>
        <v/>
      </c>
      <c r="J462" t="str">
        <f>IF($L462="","",IF(INDEX(tblRegistros[Data],$L462)&gt;$D$4,"",IFERROR(INDEX(tblRegistros[Status],$L462),"")))</f>
        <v/>
      </c>
      <c r="K462" t="str">
        <f>IF($L462="","",IF(INDEX(tblRegistros[Data],$L462)&gt;$D$4,"",IFERROR(INDEX(tblRegistros[Observação],$L462),"")))</f>
        <v/>
      </c>
      <c r="L462" s="16" t="str">
        <f>IFERROR(MATCH($B$3*100000+COUNTIFS(tblRegistros[ID],$B$3,tblRegistros[Data],"&lt;"&amp;$B$4)+ROWS($L$10:L462),tblRegistros[Chave do cartão],0),"")</f>
        <v/>
      </c>
    </row>
    <row r="463" spans="1:12">
      <c r="A463" s="2" t="str">
        <f>IF($L463="","",IF(INDEX(tblRegistros[Data],$L463)&gt;$D$4,"",IFERROR(INDEX(tblRegistros[Data],$L463),"")))</f>
        <v/>
      </c>
      <c r="B463" t="str">
        <f>IF($L463="","",IF(INDEX(tblRegistros[Data],$L463)&gt;$D$4,"",IFERROR(INDEX(tblRegistros[Projeto],$L463),"")))</f>
        <v/>
      </c>
      <c r="C463" t="str">
        <f>IF($L463="","",IF(INDEX(tblRegistros[Data],$L463)&gt;$D$4,"",IFERROR(INDEX(tblRegistros[Atividade],$L463),"")))</f>
        <v/>
      </c>
      <c r="D463" s="4" t="str">
        <f>IF($L463="","",IF(INDEX(tblRegistros[Data],$L463)&gt;$D$4,"",IFERROR(INDEX(tblRegistros[Início],$L463),"")))</f>
        <v/>
      </c>
      <c r="E463" s="4" t="str">
        <f>IF($L463="","",IF(INDEX(tblRegistros[Data],$L463)&gt;$D$4,"",IFERROR(IF(INDEX(tblRegistros[Status],$L463)="EM ABERTO","",INDEX(tblRegistros[Fim],$L463)),"")))</f>
        <v/>
      </c>
      <c r="F463" t="str">
        <f>IF($L463="","",IF(INDEX(tblRegistros[Data],$L463)&gt;$D$4,"",IFERROR(IF(INDEX(tblRegistros[Status],$L463)="EM ABERTO","",INDEX(tblRegistros[Horas],$L463)),"")))</f>
        <v/>
      </c>
      <c r="G463" t="str">
        <f>IF($L463="","",IF(INDEX(tblRegistros[Data],$L463)&gt;$D$4,"",IFERROR(INDEX(tblRegistros[Base],$L463),"")))</f>
        <v/>
      </c>
      <c r="H463" s="3" t="str">
        <f>IF($L463="","",IF(INDEX(tblRegistros[Data],$L463)&gt;$D$4,"",IFERROR(INDEX(tblRegistros[Taxa aplicada],$L463),"")))</f>
        <v/>
      </c>
      <c r="I463" s="3" t="str">
        <f>IF($L463="","",IF(INDEX(tblRegistros[Data],$L463)&gt;$D$4,"",IFERROR(IF(INDEX(tblRegistros[Status],$L463)="EM ABERTO","",INDEX(tblRegistros[Valor],$L463)),"")))</f>
        <v/>
      </c>
      <c r="J463" t="str">
        <f>IF($L463="","",IF(INDEX(tblRegistros[Data],$L463)&gt;$D$4,"",IFERROR(INDEX(tblRegistros[Status],$L463),"")))</f>
        <v/>
      </c>
      <c r="K463" t="str">
        <f>IF($L463="","",IF(INDEX(tblRegistros[Data],$L463)&gt;$D$4,"",IFERROR(INDEX(tblRegistros[Observação],$L463),"")))</f>
        <v/>
      </c>
      <c r="L463" s="16" t="str">
        <f>IFERROR(MATCH($B$3*100000+COUNTIFS(tblRegistros[ID],$B$3,tblRegistros[Data],"&lt;"&amp;$B$4)+ROWS($L$10:L463),tblRegistros[Chave do cartão],0),"")</f>
        <v/>
      </c>
    </row>
    <row r="464" spans="1:12">
      <c r="A464" s="2" t="str">
        <f>IF($L464="","",IF(INDEX(tblRegistros[Data],$L464)&gt;$D$4,"",IFERROR(INDEX(tblRegistros[Data],$L464),"")))</f>
        <v/>
      </c>
      <c r="B464" t="str">
        <f>IF($L464="","",IF(INDEX(tblRegistros[Data],$L464)&gt;$D$4,"",IFERROR(INDEX(tblRegistros[Projeto],$L464),"")))</f>
        <v/>
      </c>
      <c r="C464" t="str">
        <f>IF($L464="","",IF(INDEX(tblRegistros[Data],$L464)&gt;$D$4,"",IFERROR(INDEX(tblRegistros[Atividade],$L464),"")))</f>
        <v/>
      </c>
      <c r="D464" s="4" t="str">
        <f>IF($L464="","",IF(INDEX(tblRegistros[Data],$L464)&gt;$D$4,"",IFERROR(INDEX(tblRegistros[Início],$L464),"")))</f>
        <v/>
      </c>
      <c r="E464" s="4" t="str">
        <f>IF($L464="","",IF(INDEX(tblRegistros[Data],$L464)&gt;$D$4,"",IFERROR(IF(INDEX(tblRegistros[Status],$L464)="EM ABERTO","",INDEX(tblRegistros[Fim],$L464)),"")))</f>
        <v/>
      </c>
      <c r="F464" t="str">
        <f>IF($L464="","",IF(INDEX(tblRegistros[Data],$L464)&gt;$D$4,"",IFERROR(IF(INDEX(tblRegistros[Status],$L464)="EM ABERTO","",INDEX(tblRegistros[Horas],$L464)),"")))</f>
        <v/>
      </c>
      <c r="G464" t="str">
        <f>IF($L464="","",IF(INDEX(tblRegistros[Data],$L464)&gt;$D$4,"",IFERROR(INDEX(tblRegistros[Base],$L464),"")))</f>
        <v/>
      </c>
      <c r="H464" s="3" t="str">
        <f>IF($L464="","",IF(INDEX(tblRegistros[Data],$L464)&gt;$D$4,"",IFERROR(INDEX(tblRegistros[Taxa aplicada],$L464),"")))</f>
        <v/>
      </c>
      <c r="I464" s="3" t="str">
        <f>IF($L464="","",IF(INDEX(tblRegistros[Data],$L464)&gt;$D$4,"",IFERROR(IF(INDEX(tblRegistros[Status],$L464)="EM ABERTO","",INDEX(tblRegistros[Valor],$L464)),"")))</f>
        <v/>
      </c>
      <c r="J464" t="str">
        <f>IF($L464="","",IF(INDEX(tblRegistros[Data],$L464)&gt;$D$4,"",IFERROR(INDEX(tblRegistros[Status],$L464),"")))</f>
        <v/>
      </c>
      <c r="K464" t="str">
        <f>IF($L464="","",IF(INDEX(tblRegistros[Data],$L464)&gt;$D$4,"",IFERROR(INDEX(tblRegistros[Observação],$L464),"")))</f>
        <v/>
      </c>
      <c r="L464" s="16" t="str">
        <f>IFERROR(MATCH($B$3*100000+COUNTIFS(tblRegistros[ID],$B$3,tblRegistros[Data],"&lt;"&amp;$B$4)+ROWS($L$10:L464),tblRegistros[Chave do cartão],0),"")</f>
        <v/>
      </c>
    </row>
    <row r="465" spans="1:12">
      <c r="A465" s="2" t="str">
        <f>IF($L465="","",IF(INDEX(tblRegistros[Data],$L465)&gt;$D$4,"",IFERROR(INDEX(tblRegistros[Data],$L465),"")))</f>
        <v/>
      </c>
      <c r="B465" t="str">
        <f>IF($L465="","",IF(INDEX(tblRegistros[Data],$L465)&gt;$D$4,"",IFERROR(INDEX(tblRegistros[Projeto],$L465),"")))</f>
        <v/>
      </c>
      <c r="C465" t="str">
        <f>IF($L465="","",IF(INDEX(tblRegistros[Data],$L465)&gt;$D$4,"",IFERROR(INDEX(tblRegistros[Atividade],$L465),"")))</f>
        <v/>
      </c>
      <c r="D465" s="4" t="str">
        <f>IF($L465="","",IF(INDEX(tblRegistros[Data],$L465)&gt;$D$4,"",IFERROR(INDEX(tblRegistros[Início],$L465),"")))</f>
        <v/>
      </c>
      <c r="E465" s="4" t="str">
        <f>IF($L465="","",IF(INDEX(tblRegistros[Data],$L465)&gt;$D$4,"",IFERROR(IF(INDEX(tblRegistros[Status],$L465)="EM ABERTO","",INDEX(tblRegistros[Fim],$L465)),"")))</f>
        <v/>
      </c>
      <c r="F465" t="str">
        <f>IF($L465="","",IF(INDEX(tblRegistros[Data],$L465)&gt;$D$4,"",IFERROR(IF(INDEX(tblRegistros[Status],$L465)="EM ABERTO","",INDEX(tblRegistros[Horas],$L465)),"")))</f>
        <v/>
      </c>
      <c r="G465" t="str">
        <f>IF($L465="","",IF(INDEX(tblRegistros[Data],$L465)&gt;$D$4,"",IFERROR(INDEX(tblRegistros[Base],$L465),"")))</f>
        <v/>
      </c>
      <c r="H465" s="3" t="str">
        <f>IF($L465="","",IF(INDEX(tblRegistros[Data],$L465)&gt;$D$4,"",IFERROR(INDEX(tblRegistros[Taxa aplicada],$L465),"")))</f>
        <v/>
      </c>
      <c r="I465" s="3" t="str">
        <f>IF($L465="","",IF(INDEX(tblRegistros[Data],$L465)&gt;$D$4,"",IFERROR(IF(INDEX(tblRegistros[Status],$L465)="EM ABERTO","",INDEX(tblRegistros[Valor],$L465)),"")))</f>
        <v/>
      </c>
      <c r="J465" t="str">
        <f>IF($L465="","",IF(INDEX(tblRegistros[Data],$L465)&gt;$D$4,"",IFERROR(INDEX(tblRegistros[Status],$L465),"")))</f>
        <v/>
      </c>
      <c r="K465" t="str">
        <f>IF($L465="","",IF(INDEX(tblRegistros[Data],$L465)&gt;$D$4,"",IFERROR(INDEX(tblRegistros[Observação],$L465),"")))</f>
        <v/>
      </c>
      <c r="L465" s="16" t="str">
        <f>IFERROR(MATCH($B$3*100000+COUNTIFS(tblRegistros[ID],$B$3,tblRegistros[Data],"&lt;"&amp;$B$4)+ROWS($L$10:L465),tblRegistros[Chave do cartão],0),"")</f>
        <v/>
      </c>
    </row>
    <row r="466" spans="1:12">
      <c r="A466" s="2" t="str">
        <f>IF($L466="","",IF(INDEX(tblRegistros[Data],$L466)&gt;$D$4,"",IFERROR(INDEX(tblRegistros[Data],$L466),"")))</f>
        <v/>
      </c>
      <c r="B466" t="str">
        <f>IF($L466="","",IF(INDEX(tblRegistros[Data],$L466)&gt;$D$4,"",IFERROR(INDEX(tblRegistros[Projeto],$L466),"")))</f>
        <v/>
      </c>
      <c r="C466" t="str">
        <f>IF($L466="","",IF(INDEX(tblRegistros[Data],$L466)&gt;$D$4,"",IFERROR(INDEX(tblRegistros[Atividade],$L466),"")))</f>
        <v/>
      </c>
      <c r="D466" s="4" t="str">
        <f>IF($L466="","",IF(INDEX(tblRegistros[Data],$L466)&gt;$D$4,"",IFERROR(INDEX(tblRegistros[Início],$L466),"")))</f>
        <v/>
      </c>
      <c r="E466" s="4" t="str">
        <f>IF($L466="","",IF(INDEX(tblRegistros[Data],$L466)&gt;$D$4,"",IFERROR(IF(INDEX(tblRegistros[Status],$L466)="EM ABERTO","",INDEX(tblRegistros[Fim],$L466)),"")))</f>
        <v/>
      </c>
      <c r="F466" t="str">
        <f>IF($L466="","",IF(INDEX(tblRegistros[Data],$L466)&gt;$D$4,"",IFERROR(IF(INDEX(tblRegistros[Status],$L466)="EM ABERTO","",INDEX(tblRegistros[Horas],$L466)),"")))</f>
        <v/>
      </c>
      <c r="G466" t="str">
        <f>IF($L466="","",IF(INDEX(tblRegistros[Data],$L466)&gt;$D$4,"",IFERROR(INDEX(tblRegistros[Base],$L466),"")))</f>
        <v/>
      </c>
      <c r="H466" s="3" t="str">
        <f>IF($L466="","",IF(INDEX(tblRegistros[Data],$L466)&gt;$D$4,"",IFERROR(INDEX(tblRegistros[Taxa aplicada],$L466),"")))</f>
        <v/>
      </c>
      <c r="I466" s="3" t="str">
        <f>IF($L466="","",IF(INDEX(tblRegistros[Data],$L466)&gt;$D$4,"",IFERROR(IF(INDEX(tblRegistros[Status],$L466)="EM ABERTO","",INDEX(tblRegistros[Valor],$L466)),"")))</f>
        <v/>
      </c>
      <c r="J466" t="str">
        <f>IF($L466="","",IF(INDEX(tblRegistros[Data],$L466)&gt;$D$4,"",IFERROR(INDEX(tblRegistros[Status],$L466),"")))</f>
        <v/>
      </c>
      <c r="K466" t="str">
        <f>IF($L466="","",IF(INDEX(tblRegistros[Data],$L466)&gt;$D$4,"",IFERROR(INDEX(tblRegistros[Observação],$L466),"")))</f>
        <v/>
      </c>
      <c r="L466" s="16" t="str">
        <f>IFERROR(MATCH($B$3*100000+COUNTIFS(tblRegistros[ID],$B$3,tblRegistros[Data],"&lt;"&amp;$B$4)+ROWS($L$10:L466),tblRegistros[Chave do cartão],0),"")</f>
        <v/>
      </c>
    </row>
    <row r="467" spans="1:12">
      <c r="A467" s="2" t="str">
        <f>IF($L467="","",IF(INDEX(tblRegistros[Data],$L467)&gt;$D$4,"",IFERROR(INDEX(tblRegistros[Data],$L467),"")))</f>
        <v/>
      </c>
      <c r="B467" t="str">
        <f>IF($L467="","",IF(INDEX(tblRegistros[Data],$L467)&gt;$D$4,"",IFERROR(INDEX(tblRegistros[Projeto],$L467),"")))</f>
        <v/>
      </c>
      <c r="C467" t="str">
        <f>IF($L467="","",IF(INDEX(tblRegistros[Data],$L467)&gt;$D$4,"",IFERROR(INDEX(tblRegistros[Atividade],$L467),"")))</f>
        <v/>
      </c>
      <c r="D467" s="4" t="str">
        <f>IF($L467="","",IF(INDEX(tblRegistros[Data],$L467)&gt;$D$4,"",IFERROR(INDEX(tblRegistros[Início],$L467),"")))</f>
        <v/>
      </c>
      <c r="E467" s="4" t="str">
        <f>IF($L467="","",IF(INDEX(tblRegistros[Data],$L467)&gt;$D$4,"",IFERROR(IF(INDEX(tblRegistros[Status],$L467)="EM ABERTO","",INDEX(tblRegistros[Fim],$L467)),"")))</f>
        <v/>
      </c>
      <c r="F467" t="str">
        <f>IF($L467="","",IF(INDEX(tblRegistros[Data],$L467)&gt;$D$4,"",IFERROR(IF(INDEX(tblRegistros[Status],$L467)="EM ABERTO","",INDEX(tblRegistros[Horas],$L467)),"")))</f>
        <v/>
      </c>
      <c r="G467" t="str">
        <f>IF($L467="","",IF(INDEX(tblRegistros[Data],$L467)&gt;$D$4,"",IFERROR(INDEX(tblRegistros[Base],$L467),"")))</f>
        <v/>
      </c>
      <c r="H467" s="3" t="str">
        <f>IF($L467="","",IF(INDEX(tblRegistros[Data],$L467)&gt;$D$4,"",IFERROR(INDEX(tblRegistros[Taxa aplicada],$L467),"")))</f>
        <v/>
      </c>
      <c r="I467" s="3" t="str">
        <f>IF($L467="","",IF(INDEX(tblRegistros[Data],$L467)&gt;$D$4,"",IFERROR(IF(INDEX(tblRegistros[Status],$L467)="EM ABERTO","",INDEX(tblRegistros[Valor],$L467)),"")))</f>
        <v/>
      </c>
      <c r="J467" t="str">
        <f>IF($L467="","",IF(INDEX(tblRegistros[Data],$L467)&gt;$D$4,"",IFERROR(INDEX(tblRegistros[Status],$L467),"")))</f>
        <v/>
      </c>
      <c r="K467" t="str">
        <f>IF($L467="","",IF(INDEX(tblRegistros[Data],$L467)&gt;$D$4,"",IFERROR(INDEX(tblRegistros[Observação],$L467),"")))</f>
        <v/>
      </c>
      <c r="L467" s="16" t="str">
        <f>IFERROR(MATCH($B$3*100000+COUNTIFS(tblRegistros[ID],$B$3,tblRegistros[Data],"&lt;"&amp;$B$4)+ROWS($L$10:L467),tblRegistros[Chave do cartão],0),"")</f>
        <v/>
      </c>
    </row>
    <row r="468" spans="1:12">
      <c r="A468" s="2" t="str">
        <f>IF($L468="","",IF(INDEX(tblRegistros[Data],$L468)&gt;$D$4,"",IFERROR(INDEX(tblRegistros[Data],$L468),"")))</f>
        <v/>
      </c>
      <c r="B468" t="str">
        <f>IF($L468="","",IF(INDEX(tblRegistros[Data],$L468)&gt;$D$4,"",IFERROR(INDEX(tblRegistros[Projeto],$L468),"")))</f>
        <v/>
      </c>
      <c r="C468" t="str">
        <f>IF($L468="","",IF(INDEX(tblRegistros[Data],$L468)&gt;$D$4,"",IFERROR(INDEX(tblRegistros[Atividade],$L468),"")))</f>
        <v/>
      </c>
      <c r="D468" s="4" t="str">
        <f>IF($L468="","",IF(INDEX(tblRegistros[Data],$L468)&gt;$D$4,"",IFERROR(INDEX(tblRegistros[Início],$L468),"")))</f>
        <v/>
      </c>
      <c r="E468" s="4" t="str">
        <f>IF($L468="","",IF(INDEX(tblRegistros[Data],$L468)&gt;$D$4,"",IFERROR(IF(INDEX(tblRegistros[Status],$L468)="EM ABERTO","",INDEX(tblRegistros[Fim],$L468)),"")))</f>
        <v/>
      </c>
      <c r="F468" t="str">
        <f>IF($L468="","",IF(INDEX(tblRegistros[Data],$L468)&gt;$D$4,"",IFERROR(IF(INDEX(tblRegistros[Status],$L468)="EM ABERTO","",INDEX(tblRegistros[Horas],$L468)),"")))</f>
        <v/>
      </c>
      <c r="G468" t="str">
        <f>IF($L468="","",IF(INDEX(tblRegistros[Data],$L468)&gt;$D$4,"",IFERROR(INDEX(tblRegistros[Base],$L468),"")))</f>
        <v/>
      </c>
      <c r="H468" s="3" t="str">
        <f>IF($L468="","",IF(INDEX(tblRegistros[Data],$L468)&gt;$D$4,"",IFERROR(INDEX(tblRegistros[Taxa aplicada],$L468),"")))</f>
        <v/>
      </c>
      <c r="I468" s="3" t="str">
        <f>IF($L468="","",IF(INDEX(tblRegistros[Data],$L468)&gt;$D$4,"",IFERROR(IF(INDEX(tblRegistros[Status],$L468)="EM ABERTO","",INDEX(tblRegistros[Valor],$L468)),"")))</f>
        <v/>
      </c>
      <c r="J468" t="str">
        <f>IF($L468="","",IF(INDEX(tblRegistros[Data],$L468)&gt;$D$4,"",IFERROR(INDEX(tblRegistros[Status],$L468),"")))</f>
        <v/>
      </c>
      <c r="K468" t="str">
        <f>IF($L468="","",IF(INDEX(tblRegistros[Data],$L468)&gt;$D$4,"",IFERROR(INDEX(tblRegistros[Observação],$L468),"")))</f>
        <v/>
      </c>
      <c r="L468" s="16" t="str">
        <f>IFERROR(MATCH($B$3*100000+COUNTIFS(tblRegistros[ID],$B$3,tblRegistros[Data],"&lt;"&amp;$B$4)+ROWS($L$10:L468),tblRegistros[Chave do cartão],0),"")</f>
        <v/>
      </c>
    </row>
    <row r="469" spans="1:12">
      <c r="A469" s="2" t="str">
        <f>IF($L469="","",IF(INDEX(tblRegistros[Data],$L469)&gt;$D$4,"",IFERROR(INDEX(tblRegistros[Data],$L469),"")))</f>
        <v/>
      </c>
      <c r="B469" t="str">
        <f>IF($L469="","",IF(INDEX(tblRegistros[Data],$L469)&gt;$D$4,"",IFERROR(INDEX(tblRegistros[Projeto],$L469),"")))</f>
        <v/>
      </c>
      <c r="C469" t="str">
        <f>IF($L469="","",IF(INDEX(tblRegistros[Data],$L469)&gt;$D$4,"",IFERROR(INDEX(tblRegistros[Atividade],$L469),"")))</f>
        <v/>
      </c>
      <c r="D469" s="4" t="str">
        <f>IF($L469="","",IF(INDEX(tblRegistros[Data],$L469)&gt;$D$4,"",IFERROR(INDEX(tblRegistros[Início],$L469),"")))</f>
        <v/>
      </c>
      <c r="E469" s="4" t="str">
        <f>IF($L469="","",IF(INDEX(tblRegistros[Data],$L469)&gt;$D$4,"",IFERROR(IF(INDEX(tblRegistros[Status],$L469)="EM ABERTO","",INDEX(tblRegistros[Fim],$L469)),"")))</f>
        <v/>
      </c>
      <c r="F469" t="str">
        <f>IF($L469="","",IF(INDEX(tblRegistros[Data],$L469)&gt;$D$4,"",IFERROR(IF(INDEX(tblRegistros[Status],$L469)="EM ABERTO","",INDEX(tblRegistros[Horas],$L469)),"")))</f>
        <v/>
      </c>
      <c r="G469" t="str">
        <f>IF($L469="","",IF(INDEX(tblRegistros[Data],$L469)&gt;$D$4,"",IFERROR(INDEX(tblRegistros[Base],$L469),"")))</f>
        <v/>
      </c>
      <c r="H469" s="3" t="str">
        <f>IF($L469="","",IF(INDEX(tblRegistros[Data],$L469)&gt;$D$4,"",IFERROR(INDEX(tblRegistros[Taxa aplicada],$L469),"")))</f>
        <v/>
      </c>
      <c r="I469" s="3" t="str">
        <f>IF($L469="","",IF(INDEX(tblRegistros[Data],$L469)&gt;$D$4,"",IFERROR(IF(INDEX(tblRegistros[Status],$L469)="EM ABERTO","",INDEX(tblRegistros[Valor],$L469)),"")))</f>
        <v/>
      </c>
      <c r="J469" t="str">
        <f>IF($L469="","",IF(INDEX(tblRegistros[Data],$L469)&gt;$D$4,"",IFERROR(INDEX(tblRegistros[Status],$L469),"")))</f>
        <v/>
      </c>
      <c r="K469" t="str">
        <f>IF($L469="","",IF(INDEX(tblRegistros[Data],$L469)&gt;$D$4,"",IFERROR(INDEX(tblRegistros[Observação],$L469),"")))</f>
        <v/>
      </c>
      <c r="L469" s="16" t="str">
        <f>IFERROR(MATCH($B$3*100000+COUNTIFS(tblRegistros[ID],$B$3,tblRegistros[Data],"&lt;"&amp;$B$4)+ROWS($L$10:L469),tblRegistros[Chave do cartão],0),"")</f>
        <v/>
      </c>
    </row>
    <row r="470" spans="1:12">
      <c r="A470" s="2" t="str">
        <f>IF($L470="","",IF(INDEX(tblRegistros[Data],$L470)&gt;$D$4,"",IFERROR(INDEX(tblRegistros[Data],$L470),"")))</f>
        <v/>
      </c>
      <c r="B470" t="str">
        <f>IF($L470="","",IF(INDEX(tblRegistros[Data],$L470)&gt;$D$4,"",IFERROR(INDEX(tblRegistros[Projeto],$L470),"")))</f>
        <v/>
      </c>
      <c r="C470" t="str">
        <f>IF($L470="","",IF(INDEX(tblRegistros[Data],$L470)&gt;$D$4,"",IFERROR(INDEX(tblRegistros[Atividade],$L470),"")))</f>
        <v/>
      </c>
      <c r="D470" s="4" t="str">
        <f>IF($L470="","",IF(INDEX(tblRegistros[Data],$L470)&gt;$D$4,"",IFERROR(INDEX(tblRegistros[Início],$L470),"")))</f>
        <v/>
      </c>
      <c r="E470" s="4" t="str">
        <f>IF($L470="","",IF(INDEX(tblRegistros[Data],$L470)&gt;$D$4,"",IFERROR(IF(INDEX(tblRegistros[Status],$L470)="EM ABERTO","",INDEX(tblRegistros[Fim],$L470)),"")))</f>
        <v/>
      </c>
      <c r="F470" t="str">
        <f>IF($L470="","",IF(INDEX(tblRegistros[Data],$L470)&gt;$D$4,"",IFERROR(IF(INDEX(tblRegistros[Status],$L470)="EM ABERTO","",INDEX(tblRegistros[Horas],$L470)),"")))</f>
        <v/>
      </c>
      <c r="G470" t="str">
        <f>IF($L470="","",IF(INDEX(tblRegistros[Data],$L470)&gt;$D$4,"",IFERROR(INDEX(tblRegistros[Base],$L470),"")))</f>
        <v/>
      </c>
      <c r="H470" s="3" t="str">
        <f>IF($L470="","",IF(INDEX(tblRegistros[Data],$L470)&gt;$D$4,"",IFERROR(INDEX(tblRegistros[Taxa aplicada],$L470),"")))</f>
        <v/>
      </c>
      <c r="I470" s="3" t="str">
        <f>IF($L470="","",IF(INDEX(tblRegistros[Data],$L470)&gt;$D$4,"",IFERROR(IF(INDEX(tblRegistros[Status],$L470)="EM ABERTO","",INDEX(tblRegistros[Valor],$L470)),"")))</f>
        <v/>
      </c>
      <c r="J470" t="str">
        <f>IF($L470="","",IF(INDEX(tblRegistros[Data],$L470)&gt;$D$4,"",IFERROR(INDEX(tblRegistros[Status],$L470),"")))</f>
        <v/>
      </c>
      <c r="K470" t="str">
        <f>IF($L470="","",IF(INDEX(tblRegistros[Data],$L470)&gt;$D$4,"",IFERROR(INDEX(tblRegistros[Observação],$L470),"")))</f>
        <v/>
      </c>
      <c r="L470" s="16" t="str">
        <f>IFERROR(MATCH($B$3*100000+COUNTIFS(tblRegistros[ID],$B$3,tblRegistros[Data],"&lt;"&amp;$B$4)+ROWS($L$10:L470),tblRegistros[Chave do cartão],0),"")</f>
        <v/>
      </c>
    </row>
    <row r="471" spans="1:12">
      <c r="A471" s="2" t="str">
        <f>IF($L471="","",IF(INDEX(tblRegistros[Data],$L471)&gt;$D$4,"",IFERROR(INDEX(tblRegistros[Data],$L471),"")))</f>
        <v/>
      </c>
      <c r="B471" t="str">
        <f>IF($L471="","",IF(INDEX(tblRegistros[Data],$L471)&gt;$D$4,"",IFERROR(INDEX(tblRegistros[Projeto],$L471),"")))</f>
        <v/>
      </c>
      <c r="C471" t="str">
        <f>IF($L471="","",IF(INDEX(tblRegistros[Data],$L471)&gt;$D$4,"",IFERROR(INDEX(tblRegistros[Atividade],$L471),"")))</f>
        <v/>
      </c>
      <c r="D471" s="4" t="str">
        <f>IF($L471="","",IF(INDEX(tblRegistros[Data],$L471)&gt;$D$4,"",IFERROR(INDEX(tblRegistros[Início],$L471),"")))</f>
        <v/>
      </c>
      <c r="E471" s="4" t="str">
        <f>IF($L471="","",IF(INDEX(tblRegistros[Data],$L471)&gt;$D$4,"",IFERROR(IF(INDEX(tblRegistros[Status],$L471)="EM ABERTO","",INDEX(tblRegistros[Fim],$L471)),"")))</f>
        <v/>
      </c>
      <c r="F471" t="str">
        <f>IF($L471="","",IF(INDEX(tblRegistros[Data],$L471)&gt;$D$4,"",IFERROR(IF(INDEX(tblRegistros[Status],$L471)="EM ABERTO","",INDEX(tblRegistros[Horas],$L471)),"")))</f>
        <v/>
      </c>
      <c r="G471" t="str">
        <f>IF($L471="","",IF(INDEX(tblRegistros[Data],$L471)&gt;$D$4,"",IFERROR(INDEX(tblRegistros[Base],$L471),"")))</f>
        <v/>
      </c>
      <c r="H471" s="3" t="str">
        <f>IF($L471="","",IF(INDEX(tblRegistros[Data],$L471)&gt;$D$4,"",IFERROR(INDEX(tblRegistros[Taxa aplicada],$L471),"")))</f>
        <v/>
      </c>
      <c r="I471" s="3" t="str">
        <f>IF($L471="","",IF(INDEX(tblRegistros[Data],$L471)&gt;$D$4,"",IFERROR(IF(INDEX(tblRegistros[Status],$L471)="EM ABERTO","",INDEX(tblRegistros[Valor],$L471)),"")))</f>
        <v/>
      </c>
      <c r="J471" t="str">
        <f>IF($L471="","",IF(INDEX(tblRegistros[Data],$L471)&gt;$D$4,"",IFERROR(INDEX(tblRegistros[Status],$L471),"")))</f>
        <v/>
      </c>
      <c r="K471" t="str">
        <f>IF($L471="","",IF(INDEX(tblRegistros[Data],$L471)&gt;$D$4,"",IFERROR(INDEX(tblRegistros[Observação],$L471),"")))</f>
        <v/>
      </c>
      <c r="L471" s="16" t="str">
        <f>IFERROR(MATCH($B$3*100000+COUNTIFS(tblRegistros[ID],$B$3,tblRegistros[Data],"&lt;"&amp;$B$4)+ROWS($L$10:L471),tblRegistros[Chave do cartão],0),"")</f>
        <v/>
      </c>
    </row>
    <row r="472" spans="1:12">
      <c r="A472" s="2" t="str">
        <f>IF($L472="","",IF(INDEX(tblRegistros[Data],$L472)&gt;$D$4,"",IFERROR(INDEX(tblRegistros[Data],$L472),"")))</f>
        <v/>
      </c>
      <c r="B472" t="str">
        <f>IF($L472="","",IF(INDEX(tblRegistros[Data],$L472)&gt;$D$4,"",IFERROR(INDEX(tblRegistros[Projeto],$L472),"")))</f>
        <v/>
      </c>
      <c r="C472" t="str">
        <f>IF($L472="","",IF(INDEX(tblRegistros[Data],$L472)&gt;$D$4,"",IFERROR(INDEX(tblRegistros[Atividade],$L472),"")))</f>
        <v/>
      </c>
      <c r="D472" s="4" t="str">
        <f>IF($L472="","",IF(INDEX(tblRegistros[Data],$L472)&gt;$D$4,"",IFERROR(INDEX(tblRegistros[Início],$L472),"")))</f>
        <v/>
      </c>
      <c r="E472" s="4" t="str">
        <f>IF($L472="","",IF(INDEX(tblRegistros[Data],$L472)&gt;$D$4,"",IFERROR(IF(INDEX(tblRegistros[Status],$L472)="EM ABERTO","",INDEX(tblRegistros[Fim],$L472)),"")))</f>
        <v/>
      </c>
      <c r="F472" t="str">
        <f>IF($L472="","",IF(INDEX(tblRegistros[Data],$L472)&gt;$D$4,"",IFERROR(IF(INDEX(tblRegistros[Status],$L472)="EM ABERTO","",INDEX(tblRegistros[Horas],$L472)),"")))</f>
        <v/>
      </c>
      <c r="G472" t="str">
        <f>IF($L472="","",IF(INDEX(tblRegistros[Data],$L472)&gt;$D$4,"",IFERROR(INDEX(tblRegistros[Base],$L472),"")))</f>
        <v/>
      </c>
      <c r="H472" s="3" t="str">
        <f>IF($L472="","",IF(INDEX(tblRegistros[Data],$L472)&gt;$D$4,"",IFERROR(INDEX(tblRegistros[Taxa aplicada],$L472),"")))</f>
        <v/>
      </c>
      <c r="I472" s="3" t="str">
        <f>IF($L472="","",IF(INDEX(tblRegistros[Data],$L472)&gt;$D$4,"",IFERROR(IF(INDEX(tblRegistros[Status],$L472)="EM ABERTO","",INDEX(tblRegistros[Valor],$L472)),"")))</f>
        <v/>
      </c>
      <c r="J472" t="str">
        <f>IF($L472="","",IF(INDEX(tblRegistros[Data],$L472)&gt;$D$4,"",IFERROR(INDEX(tblRegistros[Status],$L472),"")))</f>
        <v/>
      </c>
      <c r="K472" t="str">
        <f>IF($L472="","",IF(INDEX(tblRegistros[Data],$L472)&gt;$D$4,"",IFERROR(INDEX(tblRegistros[Observação],$L472),"")))</f>
        <v/>
      </c>
      <c r="L472" s="16" t="str">
        <f>IFERROR(MATCH($B$3*100000+COUNTIFS(tblRegistros[ID],$B$3,tblRegistros[Data],"&lt;"&amp;$B$4)+ROWS($L$10:L472),tblRegistros[Chave do cartão],0),"")</f>
        <v/>
      </c>
    </row>
    <row r="473" spans="1:12">
      <c r="A473" s="2" t="str">
        <f>IF($L473="","",IF(INDEX(tblRegistros[Data],$L473)&gt;$D$4,"",IFERROR(INDEX(tblRegistros[Data],$L473),"")))</f>
        <v/>
      </c>
      <c r="B473" t="str">
        <f>IF($L473="","",IF(INDEX(tblRegistros[Data],$L473)&gt;$D$4,"",IFERROR(INDEX(tblRegistros[Projeto],$L473),"")))</f>
        <v/>
      </c>
      <c r="C473" t="str">
        <f>IF($L473="","",IF(INDEX(tblRegistros[Data],$L473)&gt;$D$4,"",IFERROR(INDEX(tblRegistros[Atividade],$L473),"")))</f>
        <v/>
      </c>
      <c r="D473" s="4" t="str">
        <f>IF($L473="","",IF(INDEX(tblRegistros[Data],$L473)&gt;$D$4,"",IFERROR(INDEX(tblRegistros[Início],$L473),"")))</f>
        <v/>
      </c>
      <c r="E473" s="4" t="str">
        <f>IF($L473="","",IF(INDEX(tblRegistros[Data],$L473)&gt;$D$4,"",IFERROR(IF(INDEX(tblRegistros[Status],$L473)="EM ABERTO","",INDEX(tblRegistros[Fim],$L473)),"")))</f>
        <v/>
      </c>
      <c r="F473" t="str">
        <f>IF($L473="","",IF(INDEX(tblRegistros[Data],$L473)&gt;$D$4,"",IFERROR(IF(INDEX(tblRegistros[Status],$L473)="EM ABERTO","",INDEX(tblRegistros[Horas],$L473)),"")))</f>
        <v/>
      </c>
      <c r="G473" t="str">
        <f>IF($L473="","",IF(INDEX(tblRegistros[Data],$L473)&gt;$D$4,"",IFERROR(INDEX(tblRegistros[Base],$L473),"")))</f>
        <v/>
      </c>
      <c r="H473" s="3" t="str">
        <f>IF($L473="","",IF(INDEX(tblRegistros[Data],$L473)&gt;$D$4,"",IFERROR(INDEX(tblRegistros[Taxa aplicada],$L473),"")))</f>
        <v/>
      </c>
      <c r="I473" s="3" t="str">
        <f>IF($L473="","",IF(INDEX(tblRegistros[Data],$L473)&gt;$D$4,"",IFERROR(IF(INDEX(tblRegistros[Status],$L473)="EM ABERTO","",INDEX(tblRegistros[Valor],$L473)),"")))</f>
        <v/>
      </c>
      <c r="J473" t="str">
        <f>IF($L473="","",IF(INDEX(tblRegistros[Data],$L473)&gt;$D$4,"",IFERROR(INDEX(tblRegistros[Status],$L473),"")))</f>
        <v/>
      </c>
      <c r="K473" t="str">
        <f>IF($L473="","",IF(INDEX(tblRegistros[Data],$L473)&gt;$D$4,"",IFERROR(INDEX(tblRegistros[Observação],$L473),"")))</f>
        <v/>
      </c>
      <c r="L473" s="16" t="str">
        <f>IFERROR(MATCH($B$3*100000+COUNTIFS(tblRegistros[ID],$B$3,tblRegistros[Data],"&lt;"&amp;$B$4)+ROWS($L$10:L473),tblRegistros[Chave do cartão],0),"")</f>
        <v/>
      </c>
    </row>
    <row r="474" spans="1:12">
      <c r="A474" s="2" t="str">
        <f>IF($L474="","",IF(INDEX(tblRegistros[Data],$L474)&gt;$D$4,"",IFERROR(INDEX(tblRegistros[Data],$L474),"")))</f>
        <v/>
      </c>
      <c r="B474" t="str">
        <f>IF($L474="","",IF(INDEX(tblRegistros[Data],$L474)&gt;$D$4,"",IFERROR(INDEX(tblRegistros[Projeto],$L474),"")))</f>
        <v/>
      </c>
      <c r="C474" t="str">
        <f>IF($L474="","",IF(INDEX(tblRegistros[Data],$L474)&gt;$D$4,"",IFERROR(INDEX(tblRegistros[Atividade],$L474),"")))</f>
        <v/>
      </c>
      <c r="D474" s="4" t="str">
        <f>IF($L474="","",IF(INDEX(tblRegistros[Data],$L474)&gt;$D$4,"",IFERROR(INDEX(tblRegistros[Início],$L474),"")))</f>
        <v/>
      </c>
      <c r="E474" s="4" t="str">
        <f>IF($L474="","",IF(INDEX(tblRegistros[Data],$L474)&gt;$D$4,"",IFERROR(IF(INDEX(tblRegistros[Status],$L474)="EM ABERTO","",INDEX(tblRegistros[Fim],$L474)),"")))</f>
        <v/>
      </c>
      <c r="F474" t="str">
        <f>IF($L474="","",IF(INDEX(tblRegistros[Data],$L474)&gt;$D$4,"",IFERROR(IF(INDEX(tblRegistros[Status],$L474)="EM ABERTO","",INDEX(tblRegistros[Horas],$L474)),"")))</f>
        <v/>
      </c>
      <c r="G474" t="str">
        <f>IF($L474="","",IF(INDEX(tblRegistros[Data],$L474)&gt;$D$4,"",IFERROR(INDEX(tblRegistros[Base],$L474),"")))</f>
        <v/>
      </c>
      <c r="H474" s="3" t="str">
        <f>IF($L474="","",IF(INDEX(tblRegistros[Data],$L474)&gt;$D$4,"",IFERROR(INDEX(tblRegistros[Taxa aplicada],$L474),"")))</f>
        <v/>
      </c>
      <c r="I474" s="3" t="str">
        <f>IF($L474="","",IF(INDEX(tblRegistros[Data],$L474)&gt;$D$4,"",IFERROR(IF(INDEX(tblRegistros[Status],$L474)="EM ABERTO","",INDEX(tblRegistros[Valor],$L474)),"")))</f>
        <v/>
      </c>
      <c r="J474" t="str">
        <f>IF($L474="","",IF(INDEX(tblRegistros[Data],$L474)&gt;$D$4,"",IFERROR(INDEX(tblRegistros[Status],$L474),"")))</f>
        <v/>
      </c>
      <c r="K474" t="str">
        <f>IF($L474="","",IF(INDEX(tblRegistros[Data],$L474)&gt;$D$4,"",IFERROR(INDEX(tblRegistros[Observação],$L474),"")))</f>
        <v/>
      </c>
      <c r="L474" s="16" t="str">
        <f>IFERROR(MATCH($B$3*100000+COUNTIFS(tblRegistros[ID],$B$3,tblRegistros[Data],"&lt;"&amp;$B$4)+ROWS($L$10:L474),tblRegistros[Chave do cartão],0),"")</f>
        <v/>
      </c>
    </row>
    <row r="475" spans="1:12">
      <c r="A475" s="2" t="str">
        <f>IF($L475="","",IF(INDEX(tblRegistros[Data],$L475)&gt;$D$4,"",IFERROR(INDEX(tblRegistros[Data],$L475),"")))</f>
        <v/>
      </c>
      <c r="B475" t="str">
        <f>IF($L475="","",IF(INDEX(tblRegistros[Data],$L475)&gt;$D$4,"",IFERROR(INDEX(tblRegistros[Projeto],$L475),"")))</f>
        <v/>
      </c>
      <c r="C475" t="str">
        <f>IF($L475="","",IF(INDEX(tblRegistros[Data],$L475)&gt;$D$4,"",IFERROR(INDEX(tblRegistros[Atividade],$L475),"")))</f>
        <v/>
      </c>
      <c r="D475" s="4" t="str">
        <f>IF($L475="","",IF(INDEX(tblRegistros[Data],$L475)&gt;$D$4,"",IFERROR(INDEX(tblRegistros[Início],$L475),"")))</f>
        <v/>
      </c>
      <c r="E475" s="4" t="str">
        <f>IF($L475="","",IF(INDEX(tblRegistros[Data],$L475)&gt;$D$4,"",IFERROR(IF(INDEX(tblRegistros[Status],$L475)="EM ABERTO","",INDEX(tblRegistros[Fim],$L475)),"")))</f>
        <v/>
      </c>
      <c r="F475" t="str">
        <f>IF($L475="","",IF(INDEX(tblRegistros[Data],$L475)&gt;$D$4,"",IFERROR(IF(INDEX(tblRegistros[Status],$L475)="EM ABERTO","",INDEX(tblRegistros[Horas],$L475)),"")))</f>
        <v/>
      </c>
      <c r="G475" t="str">
        <f>IF($L475="","",IF(INDEX(tblRegistros[Data],$L475)&gt;$D$4,"",IFERROR(INDEX(tblRegistros[Base],$L475),"")))</f>
        <v/>
      </c>
      <c r="H475" s="3" t="str">
        <f>IF($L475="","",IF(INDEX(tblRegistros[Data],$L475)&gt;$D$4,"",IFERROR(INDEX(tblRegistros[Taxa aplicada],$L475),"")))</f>
        <v/>
      </c>
      <c r="I475" s="3" t="str">
        <f>IF($L475="","",IF(INDEX(tblRegistros[Data],$L475)&gt;$D$4,"",IFERROR(IF(INDEX(tblRegistros[Status],$L475)="EM ABERTO","",INDEX(tblRegistros[Valor],$L475)),"")))</f>
        <v/>
      </c>
      <c r="J475" t="str">
        <f>IF($L475="","",IF(INDEX(tblRegistros[Data],$L475)&gt;$D$4,"",IFERROR(INDEX(tblRegistros[Status],$L475),"")))</f>
        <v/>
      </c>
      <c r="K475" t="str">
        <f>IF($L475="","",IF(INDEX(tblRegistros[Data],$L475)&gt;$D$4,"",IFERROR(INDEX(tblRegistros[Observação],$L475),"")))</f>
        <v/>
      </c>
      <c r="L475" s="16" t="str">
        <f>IFERROR(MATCH($B$3*100000+COUNTIFS(tblRegistros[ID],$B$3,tblRegistros[Data],"&lt;"&amp;$B$4)+ROWS($L$10:L475),tblRegistros[Chave do cartão],0),"")</f>
        <v/>
      </c>
    </row>
    <row r="476" spans="1:12">
      <c r="A476" s="2" t="str">
        <f>IF($L476="","",IF(INDEX(tblRegistros[Data],$L476)&gt;$D$4,"",IFERROR(INDEX(tblRegistros[Data],$L476),"")))</f>
        <v/>
      </c>
      <c r="B476" t="str">
        <f>IF($L476="","",IF(INDEX(tblRegistros[Data],$L476)&gt;$D$4,"",IFERROR(INDEX(tblRegistros[Projeto],$L476),"")))</f>
        <v/>
      </c>
      <c r="C476" t="str">
        <f>IF($L476="","",IF(INDEX(tblRegistros[Data],$L476)&gt;$D$4,"",IFERROR(INDEX(tblRegistros[Atividade],$L476),"")))</f>
        <v/>
      </c>
      <c r="D476" s="4" t="str">
        <f>IF($L476="","",IF(INDEX(tblRegistros[Data],$L476)&gt;$D$4,"",IFERROR(INDEX(tblRegistros[Início],$L476),"")))</f>
        <v/>
      </c>
      <c r="E476" s="4" t="str">
        <f>IF($L476="","",IF(INDEX(tblRegistros[Data],$L476)&gt;$D$4,"",IFERROR(IF(INDEX(tblRegistros[Status],$L476)="EM ABERTO","",INDEX(tblRegistros[Fim],$L476)),"")))</f>
        <v/>
      </c>
      <c r="F476" t="str">
        <f>IF($L476="","",IF(INDEX(tblRegistros[Data],$L476)&gt;$D$4,"",IFERROR(IF(INDEX(tblRegistros[Status],$L476)="EM ABERTO","",INDEX(tblRegistros[Horas],$L476)),"")))</f>
        <v/>
      </c>
      <c r="G476" t="str">
        <f>IF($L476="","",IF(INDEX(tblRegistros[Data],$L476)&gt;$D$4,"",IFERROR(INDEX(tblRegistros[Base],$L476),"")))</f>
        <v/>
      </c>
      <c r="H476" s="3" t="str">
        <f>IF($L476="","",IF(INDEX(tblRegistros[Data],$L476)&gt;$D$4,"",IFERROR(INDEX(tblRegistros[Taxa aplicada],$L476),"")))</f>
        <v/>
      </c>
      <c r="I476" s="3" t="str">
        <f>IF($L476="","",IF(INDEX(tblRegistros[Data],$L476)&gt;$D$4,"",IFERROR(IF(INDEX(tblRegistros[Status],$L476)="EM ABERTO","",INDEX(tblRegistros[Valor],$L476)),"")))</f>
        <v/>
      </c>
      <c r="J476" t="str">
        <f>IF($L476="","",IF(INDEX(tblRegistros[Data],$L476)&gt;$D$4,"",IFERROR(INDEX(tblRegistros[Status],$L476),"")))</f>
        <v/>
      </c>
      <c r="K476" t="str">
        <f>IF($L476="","",IF(INDEX(tblRegistros[Data],$L476)&gt;$D$4,"",IFERROR(INDEX(tblRegistros[Observação],$L476),"")))</f>
        <v/>
      </c>
      <c r="L476" s="16" t="str">
        <f>IFERROR(MATCH($B$3*100000+COUNTIFS(tblRegistros[ID],$B$3,tblRegistros[Data],"&lt;"&amp;$B$4)+ROWS($L$10:L476),tblRegistros[Chave do cartão],0),"")</f>
        <v/>
      </c>
    </row>
    <row r="477" spans="1:12">
      <c r="A477" s="2" t="str">
        <f>IF($L477="","",IF(INDEX(tblRegistros[Data],$L477)&gt;$D$4,"",IFERROR(INDEX(tblRegistros[Data],$L477),"")))</f>
        <v/>
      </c>
      <c r="B477" t="str">
        <f>IF($L477="","",IF(INDEX(tblRegistros[Data],$L477)&gt;$D$4,"",IFERROR(INDEX(tblRegistros[Projeto],$L477),"")))</f>
        <v/>
      </c>
      <c r="C477" t="str">
        <f>IF($L477="","",IF(INDEX(tblRegistros[Data],$L477)&gt;$D$4,"",IFERROR(INDEX(tblRegistros[Atividade],$L477),"")))</f>
        <v/>
      </c>
      <c r="D477" s="4" t="str">
        <f>IF($L477="","",IF(INDEX(tblRegistros[Data],$L477)&gt;$D$4,"",IFERROR(INDEX(tblRegistros[Início],$L477),"")))</f>
        <v/>
      </c>
      <c r="E477" s="4" t="str">
        <f>IF($L477="","",IF(INDEX(tblRegistros[Data],$L477)&gt;$D$4,"",IFERROR(IF(INDEX(tblRegistros[Status],$L477)="EM ABERTO","",INDEX(tblRegistros[Fim],$L477)),"")))</f>
        <v/>
      </c>
      <c r="F477" t="str">
        <f>IF($L477="","",IF(INDEX(tblRegistros[Data],$L477)&gt;$D$4,"",IFERROR(IF(INDEX(tblRegistros[Status],$L477)="EM ABERTO","",INDEX(tblRegistros[Horas],$L477)),"")))</f>
        <v/>
      </c>
      <c r="G477" t="str">
        <f>IF($L477="","",IF(INDEX(tblRegistros[Data],$L477)&gt;$D$4,"",IFERROR(INDEX(tblRegistros[Base],$L477),"")))</f>
        <v/>
      </c>
      <c r="H477" s="3" t="str">
        <f>IF($L477="","",IF(INDEX(tblRegistros[Data],$L477)&gt;$D$4,"",IFERROR(INDEX(tblRegistros[Taxa aplicada],$L477),"")))</f>
        <v/>
      </c>
      <c r="I477" s="3" t="str">
        <f>IF($L477="","",IF(INDEX(tblRegistros[Data],$L477)&gt;$D$4,"",IFERROR(IF(INDEX(tblRegistros[Status],$L477)="EM ABERTO","",INDEX(tblRegistros[Valor],$L477)),"")))</f>
        <v/>
      </c>
      <c r="J477" t="str">
        <f>IF($L477="","",IF(INDEX(tblRegistros[Data],$L477)&gt;$D$4,"",IFERROR(INDEX(tblRegistros[Status],$L477),"")))</f>
        <v/>
      </c>
      <c r="K477" t="str">
        <f>IF($L477="","",IF(INDEX(tblRegistros[Data],$L477)&gt;$D$4,"",IFERROR(INDEX(tblRegistros[Observação],$L477),"")))</f>
        <v/>
      </c>
      <c r="L477" s="16" t="str">
        <f>IFERROR(MATCH($B$3*100000+COUNTIFS(tblRegistros[ID],$B$3,tblRegistros[Data],"&lt;"&amp;$B$4)+ROWS($L$10:L477),tblRegistros[Chave do cartão],0),"")</f>
        <v/>
      </c>
    </row>
    <row r="478" spans="1:12">
      <c r="A478" s="2" t="str">
        <f>IF($L478="","",IF(INDEX(tblRegistros[Data],$L478)&gt;$D$4,"",IFERROR(INDEX(tblRegistros[Data],$L478),"")))</f>
        <v/>
      </c>
      <c r="B478" t="str">
        <f>IF($L478="","",IF(INDEX(tblRegistros[Data],$L478)&gt;$D$4,"",IFERROR(INDEX(tblRegistros[Projeto],$L478),"")))</f>
        <v/>
      </c>
      <c r="C478" t="str">
        <f>IF($L478="","",IF(INDEX(tblRegistros[Data],$L478)&gt;$D$4,"",IFERROR(INDEX(tblRegistros[Atividade],$L478),"")))</f>
        <v/>
      </c>
      <c r="D478" s="4" t="str">
        <f>IF($L478="","",IF(INDEX(tblRegistros[Data],$L478)&gt;$D$4,"",IFERROR(INDEX(tblRegistros[Início],$L478),"")))</f>
        <v/>
      </c>
      <c r="E478" s="4" t="str">
        <f>IF($L478="","",IF(INDEX(tblRegistros[Data],$L478)&gt;$D$4,"",IFERROR(IF(INDEX(tblRegistros[Status],$L478)="EM ABERTO","",INDEX(tblRegistros[Fim],$L478)),"")))</f>
        <v/>
      </c>
      <c r="F478" t="str">
        <f>IF($L478="","",IF(INDEX(tblRegistros[Data],$L478)&gt;$D$4,"",IFERROR(IF(INDEX(tblRegistros[Status],$L478)="EM ABERTO","",INDEX(tblRegistros[Horas],$L478)),"")))</f>
        <v/>
      </c>
      <c r="G478" t="str">
        <f>IF($L478="","",IF(INDEX(tblRegistros[Data],$L478)&gt;$D$4,"",IFERROR(INDEX(tblRegistros[Base],$L478),"")))</f>
        <v/>
      </c>
      <c r="H478" s="3" t="str">
        <f>IF($L478="","",IF(INDEX(tblRegistros[Data],$L478)&gt;$D$4,"",IFERROR(INDEX(tblRegistros[Taxa aplicada],$L478),"")))</f>
        <v/>
      </c>
      <c r="I478" s="3" t="str">
        <f>IF($L478="","",IF(INDEX(tblRegistros[Data],$L478)&gt;$D$4,"",IFERROR(IF(INDEX(tblRegistros[Status],$L478)="EM ABERTO","",INDEX(tblRegistros[Valor],$L478)),"")))</f>
        <v/>
      </c>
      <c r="J478" t="str">
        <f>IF($L478="","",IF(INDEX(tblRegistros[Data],$L478)&gt;$D$4,"",IFERROR(INDEX(tblRegistros[Status],$L478),"")))</f>
        <v/>
      </c>
      <c r="K478" t="str">
        <f>IF($L478="","",IF(INDEX(tblRegistros[Data],$L478)&gt;$D$4,"",IFERROR(INDEX(tblRegistros[Observação],$L478),"")))</f>
        <v/>
      </c>
      <c r="L478" s="16" t="str">
        <f>IFERROR(MATCH($B$3*100000+COUNTIFS(tblRegistros[ID],$B$3,tblRegistros[Data],"&lt;"&amp;$B$4)+ROWS($L$10:L478),tblRegistros[Chave do cartão],0),"")</f>
        <v/>
      </c>
    </row>
    <row r="479" spans="1:12">
      <c r="A479" s="2" t="str">
        <f>IF($L479="","",IF(INDEX(tblRegistros[Data],$L479)&gt;$D$4,"",IFERROR(INDEX(tblRegistros[Data],$L479),"")))</f>
        <v/>
      </c>
      <c r="B479" t="str">
        <f>IF($L479="","",IF(INDEX(tblRegistros[Data],$L479)&gt;$D$4,"",IFERROR(INDEX(tblRegistros[Projeto],$L479),"")))</f>
        <v/>
      </c>
      <c r="C479" t="str">
        <f>IF($L479="","",IF(INDEX(tblRegistros[Data],$L479)&gt;$D$4,"",IFERROR(INDEX(tblRegistros[Atividade],$L479),"")))</f>
        <v/>
      </c>
      <c r="D479" s="4" t="str">
        <f>IF($L479="","",IF(INDEX(tblRegistros[Data],$L479)&gt;$D$4,"",IFERROR(INDEX(tblRegistros[Início],$L479),"")))</f>
        <v/>
      </c>
      <c r="E479" s="4" t="str">
        <f>IF($L479="","",IF(INDEX(tblRegistros[Data],$L479)&gt;$D$4,"",IFERROR(IF(INDEX(tblRegistros[Status],$L479)="EM ABERTO","",INDEX(tblRegistros[Fim],$L479)),"")))</f>
        <v/>
      </c>
      <c r="F479" t="str">
        <f>IF($L479="","",IF(INDEX(tblRegistros[Data],$L479)&gt;$D$4,"",IFERROR(IF(INDEX(tblRegistros[Status],$L479)="EM ABERTO","",INDEX(tblRegistros[Horas],$L479)),"")))</f>
        <v/>
      </c>
      <c r="G479" t="str">
        <f>IF($L479="","",IF(INDEX(tblRegistros[Data],$L479)&gt;$D$4,"",IFERROR(INDEX(tblRegistros[Base],$L479),"")))</f>
        <v/>
      </c>
      <c r="H479" s="3" t="str">
        <f>IF($L479="","",IF(INDEX(tblRegistros[Data],$L479)&gt;$D$4,"",IFERROR(INDEX(tblRegistros[Taxa aplicada],$L479),"")))</f>
        <v/>
      </c>
      <c r="I479" s="3" t="str">
        <f>IF($L479="","",IF(INDEX(tblRegistros[Data],$L479)&gt;$D$4,"",IFERROR(IF(INDEX(tblRegistros[Status],$L479)="EM ABERTO","",INDEX(tblRegistros[Valor],$L479)),"")))</f>
        <v/>
      </c>
      <c r="J479" t="str">
        <f>IF($L479="","",IF(INDEX(tblRegistros[Data],$L479)&gt;$D$4,"",IFERROR(INDEX(tblRegistros[Status],$L479),"")))</f>
        <v/>
      </c>
      <c r="K479" t="str">
        <f>IF($L479="","",IF(INDEX(tblRegistros[Data],$L479)&gt;$D$4,"",IFERROR(INDEX(tblRegistros[Observação],$L479),"")))</f>
        <v/>
      </c>
      <c r="L479" s="16" t="str">
        <f>IFERROR(MATCH($B$3*100000+COUNTIFS(tblRegistros[ID],$B$3,tblRegistros[Data],"&lt;"&amp;$B$4)+ROWS($L$10:L479),tblRegistros[Chave do cartão],0),"")</f>
        <v/>
      </c>
    </row>
    <row r="480" spans="1:12">
      <c r="A480" s="2" t="str">
        <f>IF($L480="","",IF(INDEX(tblRegistros[Data],$L480)&gt;$D$4,"",IFERROR(INDEX(tblRegistros[Data],$L480),"")))</f>
        <v/>
      </c>
      <c r="B480" t="str">
        <f>IF($L480="","",IF(INDEX(tblRegistros[Data],$L480)&gt;$D$4,"",IFERROR(INDEX(tblRegistros[Projeto],$L480),"")))</f>
        <v/>
      </c>
      <c r="C480" t="str">
        <f>IF($L480="","",IF(INDEX(tblRegistros[Data],$L480)&gt;$D$4,"",IFERROR(INDEX(tblRegistros[Atividade],$L480),"")))</f>
        <v/>
      </c>
      <c r="D480" s="4" t="str">
        <f>IF($L480="","",IF(INDEX(tblRegistros[Data],$L480)&gt;$D$4,"",IFERROR(INDEX(tblRegistros[Início],$L480),"")))</f>
        <v/>
      </c>
      <c r="E480" s="4" t="str">
        <f>IF($L480="","",IF(INDEX(tblRegistros[Data],$L480)&gt;$D$4,"",IFERROR(IF(INDEX(tblRegistros[Status],$L480)="EM ABERTO","",INDEX(tblRegistros[Fim],$L480)),"")))</f>
        <v/>
      </c>
      <c r="F480" t="str">
        <f>IF($L480="","",IF(INDEX(tblRegistros[Data],$L480)&gt;$D$4,"",IFERROR(IF(INDEX(tblRegistros[Status],$L480)="EM ABERTO","",INDEX(tblRegistros[Horas],$L480)),"")))</f>
        <v/>
      </c>
      <c r="G480" t="str">
        <f>IF($L480="","",IF(INDEX(tblRegistros[Data],$L480)&gt;$D$4,"",IFERROR(INDEX(tblRegistros[Base],$L480),"")))</f>
        <v/>
      </c>
      <c r="H480" s="3" t="str">
        <f>IF($L480="","",IF(INDEX(tblRegistros[Data],$L480)&gt;$D$4,"",IFERROR(INDEX(tblRegistros[Taxa aplicada],$L480),"")))</f>
        <v/>
      </c>
      <c r="I480" s="3" t="str">
        <f>IF($L480="","",IF(INDEX(tblRegistros[Data],$L480)&gt;$D$4,"",IFERROR(IF(INDEX(tblRegistros[Status],$L480)="EM ABERTO","",INDEX(tblRegistros[Valor],$L480)),"")))</f>
        <v/>
      </c>
      <c r="J480" t="str">
        <f>IF($L480="","",IF(INDEX(tblRegistros[Data],$L480)&gt;$D$4,"",IFERROR(INDEX(tblRegistros[Status],$L480),"")))</f>
        <v/>
      </c>
      <c r="K480" t="str">
        <f>IF($L480="","",IF(INDEX(tblRegistros[Data],$L480)&gt;$D$4,"",IFERROR(INDEX(tblRegistros[Observação],$L480),"")))</f>
        <v/>
      </c>
      <c r="L480" s="16" t="str">
        <f>IFERROR(MATCH($B$3*100000+COUNTIFS(tblRegistros[ID],$B$3,tblRegistros[Data],"&lt;"&amp;$B$4)+ROWS($L$10:L480),tblRegistros[Chave do cartão],0),"")</f>
        <v/>
      </c>
    </row>
    <row r="481" spans="1:12">
      <c r="A481" s="2" t="str">
        <f>IF($L481="","",IF(INDEX(tblRegistros[Data],$L481)&gt;$D$4,"",IFERROR(INDEX(tblRegistros[Data],$L481),"")))</f>
        <v/>
      </c>
      <c r="B481" t="str">
        <f>IF($L481="","",IF(INDEX(tblRegistros[Data],$L481)&gt;$D$4,"",IFERROR(INDEX(tblRegistros[Projeto],$L481),"")))</f>
        <v/>
      </c>
      <c r="C481" t="str">
        <f>IF($L481="","",IF(INDEX(tblRegistros[Data],$L481)&gt;$D$4,"",IFERROR(INDEX(tblRegistros[Atividade],$L481),"")))</f>
        <v/>
      </c>
      <c r="D481" s="4" t="str">
        <f>IF($L481="","",IF(INDEX(tblRegistros[Data],$L481)&gt;$D$4,"",IFERROR(INDEX(tblRegistros[Início],$L481),"")))</f>
        <v/>
      </c>
      <c r="E481" s="4" t="str">
        <f>IF($L481="","",IF(INDEX(tblRegistros[Data],$L481)&gt;$D$4,"",IFERROR(IF(INDEX(tblRegistros[Status],$L481)="EM ABERTO","",INDEX(tblRegistros[Fim],$L481)),"")))</f>
        <v/>
      </c>
      <c r="F481" t="str">
        <f>IF($L481="","",IF(INDEX(tblRegistros[Data],$L481)&gt;$D$4,"",IFERROR(IF(INDEX(tblRegistros[Status],$L481)="EM ABERTO","",INDEX(tblRegistros[Horas],$L481)),"")))</f>
        <v/>
      </c>
      <c r="G481" t="str">
        <f>IF($L481="","",IF(INDEX(tblRegistros[Data],$L481)&gt;$D$4,"",IFERROR(INDEX(tblRegistros[Base],$L481),"")))</f>
        <v/>
      </c>
      <c r="H481" s="3" t="str">
        <f>IF($L481="","",IF(INDEX(tblRegistros[Data],$L481)&gt;$D$4,"",IFERROR(INDEX(tblRegistros[Taxa aplicada],$L481),"")))</f>
        <v/>
      </c>
      <c r="I481" s="3" t="str">
        <f>IF($L481="","",IF(INDEX(tblRegistros[Data],$L481)&gt;$D$4,"",IFERROR(IF(INDEX(tblRegistros[Status],$L481)="EM ABERTO","",INDEX(tblRegistros[Valor],$L481)),"")))</f>
        <v/>
      </c>
      <c r="J481" t="str">
        <f>IF($L481="","",IF(INDEX(tblRegistros[Data],$L481)&gt;$D$4,"",IFERROR(INDEX(tblRegistros[Status],$L481),"")))</f>
        <v/>
      </c>
      <c r="K481" t="str">
        <f>IF($L481="","",IF(INDEX(tblRegistros[Data],$L481)&gt;$D$4,"",IFERROR(INDEX(tblRegistros[Observação],$L481),"")))</f>
        <v/>
      </c>
      <c r="L481" s="16" t="str">
        <f>IFERROR(MATCH($B$3*100000+COUNTIFS(tblRegistros[ID],$B$3,tblRegistros[Data],"&lt;"&amp;$B$4)+ROWS($L$10:L481),tblRegistros[Chave do cartão],0),"")</f>
        <v/>
      </c>
    </row>
    <row r="482" spans="1:12">
      <c r="A482" s="2" t="str">
        <f>IF($L482="","",IF(INDEX(tblRegistros[Data],$L482)&gt;$D$4,"",IFERROR(INDEX(tblRegistros[Data],$L482),"")))</f>
        <v/>
      </c>
      <c r="B482" t="str">
        <f>IF($L482="","",IF(INDEX(tblRegistros[Data],$L482)&gt;$D$4,"",IFERROR(INDEX(tblRegistros[Projeto],$L482),"")))</f>
        <v/>
      </c>
      <c r="C482" t="str">
        <f>IF($L482="","",IF(INDEX(tblRegistros[Data],$L482)&gt;$D$4,"",IFERROR(INDEX(tblRegistros[Atividade],$L482),"")))</f>
        <v/>
      </c>
      <c r="D482" s="4" t="str">
        <f>IF($L482="","",IF(INDEX(tblRegistros[Data],$L482)&gt;$D$4,"",IFERROR(INDEX(tblRegistros[Início],$L482),"")))</f>
        <v/>
      </c>
      <c r="E482" s="4" t="str">
        <f>IF($L482="","",IF(INDEX(tblRegistros[Data],$L482)&gt;$D$4,"",IFERROR(IF(INDEX(tblRegistros[Status],$L482)="EM ABERTO","",INDEX(tblRegistros[Fim],$L482)),"")))</f>
        <v/>
      </c>
      <c r="F482" t="str">
        <f>IF($L482="","",IF(INDEX(tblRegistros[Data],$L482)&gt;$D$4,"",IFERROR(IF(INDEX(tblRegistros[Status],$L482)="EM ABERTO","",INDEX(tblRegistros[Horas],$L482)),"")))</f>
        <v/>
      </c>
      <c r="G482" t="str">
        <f>IF($L482="","",IF(INDEX(tblRegistros[Data],$L482)&gt;$D$4,"",IFERROR(INDEX(tblRegistros[Base],$L482),"")))</f>
        <v/>
      </c>
      <c r="H482" s="3" t="str">
        <f>IF($L482="","",IF(INDEX(tblRegistros[Data],$L482)&gt;$D$4,"",IFERROR(INDEX(tblRegistros[Taxa aplicada],$L482),"")))</f>
        <v/>
      </c>
      <c r="I482" s="3" t="str">
        <f>IF($L482="","",IF(INDEX(tblRegistros[Data],$L482)&gt;$D$4,"",IFERROR(IF(INDEX(tblRegistros[Status],$L482)="EM ABERTO","",INDEX(tblRegistros[Valor],$L482)),"")))</f>
        <v/>
      </c>
      <c r="J482" t="str">
        <f>IF($L482="","",IF(INDEX(tblRegistros[Data],$L482)&gt;$D$4,"",IFERROR(INDEX(tblRegistros[Status],$L482),"")))</f>
        <v/>
      </c>
      <c r="K482" t="str">
        <f>IF($L482="","",IF(INDEX(tblRegistros[Data],$L482)&gt;$D$4,"",IFERROR(INDEX(tblRegistros[Observação],$L482),"")))</f>
        <v/>
      </c>
      <c r="L482" s="16" t="str">
        <f>IFERROR(MATCH($B$3*100000+COUNTIFS(tblRegistros[ID],$B$3,tblRegistros[Data],"&lt;"&amp;$B$4)+ROWS($L$10:L482),tblRegistros[Chave do cartão],0),"")</f>
        <v/>
      </c>
    </row>
    <row r="483" spans="1:12">
      <c r="A483" s="2" t="str">
        <f>IF($L483="","",IF(INDEX(tblRegistros[Data],$L483)&gt;$D$4,"",IFERROR(INDEX(tblRegistros[Data],$L483),"")))</f>
        <v/>
      </c>
      <c r="B483" t="str">
        <f>IF($L483="","",IF(INDEX(tblRegistros[Data],$L483)&gt;$D$4,"",IFERROR(INDEX(tblRegistros[Projeto],$L483),"")))</f>
        <v/>
      </c>
      <c r="C483" t="str">
        <f>IF($L483="","",IF(INDEX(tblRegistros[Data],$L483)&gt;$D$4,"",IFERROR(INDEX(tblRegistros[Atividade],$L483),"")))</f>
        <v/>
      </c>
      <c r="D483" s="4" t="str">
        <f>IF($L483="","",IF(INDEX(tblRegistros[Data],$L483)&gt;$D$4,"",IFERROR(INDEX(tblRegistros[Início],$L483),"")))</f>
        <v/>
      </c>
      <c r="E483" s="4" t="str">
        <f>IF($L483="","",IF(INDEX(tblRegistros[Data],$L483)&gt;$D$4,"",IFERROR(IF(INDEX(tblRegistros[Status],$L483)="EM ABERTO","",INDEX(tblRegistros[Fim],$L483)),"")))</f>
        <v/>
      </c>
      <c r="F483" t="str">
        <f>IF($L483="","",IF(INDEX(tblRegistros[Data],$L483)&gt;$D$4,"",IFERROR(IF(INDEX(tblRegistros[Status],$L483)="EM ABERTO","",INDEX(tblRegistros[Horas],$L483)),"")))</f>
        <v/>
      </c>
      <c r="G483" t="str">
        <f>IF($L483="","",IF(INDEX(tblRegistros[Data],$L483)&gt;$D$4,"",IFERROR(INDEX(tblRegistros[Base],$L483),"")))</f>
        <v/>
      </c>
      <c r="H483" s="3" t="str">
        <f>IF($L483="","",IF(INDEX(tblRegistros[Data],$L483)&gt;$D$4,"",IFERROR(INDEX(tblRegistros[Taxa aplicada],$L483),"")))</f>
        <v/>
      </c>
      <c r="I483" s="3" t="str">
        <f>IF($L483="","",IF(INDEX(tblRegistros[Data],$L483)&gt;$D$4,"",IFERROR(IF(INDEX(tblRegistros[Status],$L483)="EM ABERTO","",INDEX(tblRegistros[Valor],$L483)),"")))</f>
        <v/>
      </c>
      <c r="J483" t="str">
        <f>IF($L483="","",IF(INDEX(tblRegistros[Data],$L483)&gt;$D$4,"",IFERROR(INDEX(tblRegistros[Status],$L483),"")))</f>
        <v/>
      </c>
      <c r="K483" t="str">
        <f>IF($L483="","",IF(INDEX(tblRegistros[Data],$L483)&gt;$D$4,"",IFERROR(INDEX(tblRegistros[Observação],$L483),"")))</f>
        <v/>
      </c>
      <c r="L483" s="16" t="str">
        <f>IFERROR(MATCH($B$3*100000+COUNTIFS(tblRegistros[ID],$B$3,tblRegistros[Data],"&lt;"&amp;$B$4)+ROWS($L$10:L483),tblRegistros[Chave do cartão],0),"")</f>
        <v/>
      </c>
    </row>
    <row r="484" spans="1:12">
      <c r="A484" s="2" t="str">
        <f>IF($L484="","",IF(INDEX(tblRegistros[Data],$L484)&gt;$D$4,"",IFERROR(INDEX(tblRegistros[Data],$L484),"")))</f>
        <v/>
      </c>
      <c r="B484" t="str">
        <f>IF($L484="","",IF(INDEX(tblRegistros[Data],$L484)&gt;$D$4,"",IFERROR(INDEX(tblRegistros[Projeto],$L484),"")))</f>
        <v/>
      </c>
      <c r="C484" t="str">
        <f>IF($L484="","",IF(INDEX(tblRegistros[Data],$L484)&gt;$D$4,"",IFERROR(INDEX(tblRegistros[Atividade],$L484),"")))</f>
        <v/>
      </c>
      <c r="D484" s="4" t="str">
        <f>IF($L484="","",IF(INDEX(tblRegistros[Data],$L484)&gt;$D$4,"",IFERROR(INDEX(tblRegistros[Início],$L484),"")))</f>
        <v/>
      </c>
      <c r="E484" s="4" t="str">
        <f>IF($L484="","",IF(INDEX(tblRegistros[Data],$L484)&gt;$D$4,"",IFERROR(IF(INDEX(tblRegistros[Status],$L484)="EM ABERTO","",INDEX(tblRegistros[Fim],$L484)),"")))</f>
        <v/>
      </c>
      <c r="F484" t="str">
        <f>IF($L484="","",IF(INDEX(tblRegistros[Data],$L484)&gt;$D$4,"",IFERROR(IF(INDEX(tblRegistros[Status],$L484)="EM ABERTO","",INDEX(tblRegistros[Horas],$L484)),"")))</f>
        <v/>
      </c>
      <c r="G484" t="str">
        <f>IF($L484="","",IF(INDEX(tblRegistros[Data],$L484)&gt;$D$4,"",IFERROR(INDEX(tblRegistros[Base],$L484),"")))</f>
        <v/>
      </c>
      <c r="H484" s="3" t="str">
        <f>IF($L484="","",IF(INDEX(tblRegistros[Data],$L484)&gt;$D$4,"",IFERROR(INDEX(tblRegistros[Taxa aplicada],$L484),"")))</f>
        <v/>
      </c>
      <c r="I484" s="3" t="str">
        <f>IF($L484="","",IF(INDEX(tblRegistros[Data],$L484)&gt;$D$4,"",IFERROR(IF(INDEX(tblRegistros[Status],$L484)="EM ABERTO","",INDEX(tblRegistros[Valor],$L484)),"")))</f>
        <v/>
      </c>
      <c r="J484" t="str">
        <f>IF($L484="","",IF(INDEX(tblRegistros[Data],$L484)&gt;$D$4,"",IFERROR(INDEX(tblRegistros[Status],$L484),"")))</f>
        <v/>
      </c>
      <c r="K484" t="str">
        <f>IF($L484="","",IF(INDEX(tblRegistros[Data],$L484)&gt;$D$4,"",IFERROR(INDEX(tblRegistros[Observação],$L484),"")))</f>
        <v/>
      </c>
      <c r="L484" s="16" t="str">
        <f>IFERROR(MATCH($B$3*100000+COUNTIFS(tblRegistros[ID],$B$3,tblRegistros[Data],"&lt;"&amp;$B$4)+ROWS($L$10:L484),tblRegistros[Chave do cartão],0),"")</f>
        <v/>
      </c>
    </row>
    <row r="485" spans="1:12">
      <c r="A485" s="2" t="str">
        <f>IF($L485="","",IF(INDEX(tblRegistros[Data],$L485)&gt;$D$4,"",IFERROR(INDEX(tblRegistros[Data],$L485),"")))</f>
        <v/>
      </c>
      <c r="B485" t="str">
        <f>IF($L485="","",IF(INDEX(tblRegistros[Data],$L485)&gt;$D$4,"",IFERROR(INDEX(tblRegistros[Projeto],$L485),"")))</f>
        <v/>
      </c>
      <c r="C485" t="str">
        <f>IF($L485="","",IF(INDEX(tblRegistros[Data],$L485)&gt;$D$4,"",IFERROR(INDEX(tblRegistros[Atividade],$L485),"")))</f>
        <v/>
      </c>
      <c r="D485" s="4" t="str">
        <f>IF($L485="","",IF(INDEX(tblRegistros[Data],$L485)&gt;$D$4,"",IFERROR(INDEX(tblRegistros[Início],$L485),"")))</f>
        <v/>
      </c>
      <c r="E485" s="4" t="str">
        <f>IF($L485="","",IF(INDEX(tblRegistros[Data],$L485)&gt;$D$4,"",IFERROR(IF(INDEX(tblRegistros[Status],$L485)="EM ABERTO","",INDEX(tblRegistros[Fim],$L485)),"")))</f>
        <v/>
      </c>
      <c r="F485" t="str">
        <f>IF($L485="","",IF(INDEX(tblRegistros[Data],$L485)&gt;$D$4,"",IFERROR(IF(INDEX(tblRegistros[Status],$L485)="EM ABERTO","",INDEX(tblRegistros[Horas],$L485)),"")))</f>
        <v/>
      </c>
      <c r="G485" t="str">
        <f>IF($L485="","",IF(INDEX(tblRegistros[Data],$L485)&gt;$D$4,"",IFERROR(INDEX(tblRegistros[Base],$L485),"")))</f>
        <v/>
      </c>
      <c r="H485" s="3" t="str">
        <f>IF($L485="","",IF(INDEX(tblRegistros[Data],$L485)&gt;$D$4,"",IFERROR(INDEX(tblRegistros[Taxa aplicada],$L485),"")))</f>
        <v/>
      </c>
      <c r="I485" s="3" t="str">
        <f>IF($L485="","",IF(INDEX(tblRegistros[Data],$L485)&gt;$D$4,"",IFERROR(IF(INDEX(tblRegistros[Status],$L485)="EM ABERTO","",INDEX(tblRegistros[Valor],$L485)),"")))</f>
        <v/>
      </c>
      <c r="J485" t="str">
        <f>IF($L485="","",IF(INDEX(tblRegistros[Data],$L485)&gt;$D$4,"",IFERROR(INDEX(tblRegistros[Status],$L485),"")))</f>
        <v/>
      </c>
      <c r="K485" t="str">
        <f>IF($L485="","",IF(INDEX(tblRegistros[Data],$L485)&gt;$D$4,"",IFERROR(INDEX(tblRegistros[Observação],$L485),"")))</f>
        <v/>
      </c>
      <c r="L485" s="16" t="str">
        <f>IFERROR(MATCH($B$3*100000+COUNTIFS(tblRegistros[ID],$B$3,tblRegistros[Data],"&lt;"&amp;$B$4)+ROWS($L$10:L485),tblRegistros[Chave do cartão],0),"")</f>
        <v/>
      </c>
    </row>
    <row r="486" spans="1:12">
      <c r="A486" s="2" t="str">
        <f>IF($L486="","",IF(INDEX(tblRegistros[Data],$L486)&gt;$D$4,"",IFERROR(INDEX(tblRegistros[Data],$L486),"")))</f>
        <v/>
      </c>
      <c r="B486" t="str">
        <f>IF($L486="","",IF(INDEX(tblRegistros[Data],$L486)&gt;$D$4,"",IFERROR(INDEX(tblRegistros[Projeto],$L486),"")))</f>
        <v/>
      </c>
      <c r="C486" t="str">
        <f>IF($L486="","",IF(INDEX(tblRegistros[Data],$L486)&gt;$D$4,"",IFERROR(INDEX(tblRegistros[Atividade],$L486),"")))</f>
        <v/>
      </c>
      <c r="D486" s="4" t="str">
        <f>IF($L486="","",IF(INDEX(tblRegistros[Data],$L486)&gt;$D$4,"",IFERROR(INDEX(tblRegistros[Início],$L486),"")))</f>
        <v/>
      </c>
      <c r="E486" s="4" t="str">
        <f>IF($L486="","",IF(INDEX(tblRegistros[Data],$L486)&gt;$D$4,"",IFERROR(IF(INDEX(tblRegistros[Status],$L486)="EM ABERTO","",INDEX(tblRegistros[Fim],$L486)),"")))</f>
        <v/>
      </c>
      <c r="F486" t="str">
        <f>IF($L486="","",IF(INDEX(tblRegistros[Data],$L486)&gt;$D$4,"",IFERROR(IF(INDEX(tblRegistros[Status],$L486)="EM ABERTO","",INDEX(tblRegistros[Horas],$L486)),"")))</f>
        <v/>
      </c>
      <c r="G486" t="str">
        <f>IF($L486="","",IF(INDEX(tblRegistros[Data],$L486)&gt;$D$4,"",IFERROR(INDEX(tblRegistros[Base],$L486),"")))</f>
        <v/>
      </c>
      <c r="H486" s="3" t="str">
        <f>IF($L486="","",IF(INDEX(tblRegistros[Data],$L486)&gt;$D$4,"",IFERROR(INDEX(tblRegistros[Taxa aplicada],$L486),"")))</f>
        <v/>
      </c>
      <c r="I486" s="3" t="str">
        <f>IF($L486="","",IF(INDEX(tblRegistros[Data],$L486)&gt;$D$4,"",IFERROR(IF(INDEX(tblRegistros[Status],$L486)="EM ABERTO","",INDEX(tblRegistros[Valor],$L486)),"")))</f>
        <v/>
      </c>
      <c r="J486" t="str">
        <f>IF($L486="","",IF(INDEX(tblRegistros[Data],$L486)&gt;$D$4,"",IFERROR(INDEX(tblRegistros[Status],$L486),"")))</f>
        <v/>
      </c>
      <c r="K486" t="str">
        <f>IF($L486="","",IF(INDEX(tblRegistros[Data],$L486)&gt;$D$4,"",IFERROR(INDEX(tblRegistros[Observação],$L486),"")))</f>
        <v/>
      </c>
      <c r="L486" s="16" t="str">
        <f>IFERROR(MATCH($B$3*100000+COUNTIFS(tblRegistros[ID],$B$3,tblRegistros[Data],"&lt;"&amp;$B$4)+ROWS($L$10:L486),tblRegistros[Chave do cartão],0),"")</f>
        <v/>
      </c>
    </row>
    <row r="487" spans="1:12">
      <c r="A487" s="2" t="str">
        <f>IF($L487="","",IF(INDEX(tblRegistros[Data],$L487)&gt;$D$4,"",IFERROR(INDEX(tblRegistros[Data],$L487),"")))</f>
        <v/>
      </c>
      <c r="B487" t="str">
        <f>IF($L487="","",IF(INDEX(tblRegistros[Data],$L487)&gt;$D$4,"",IFERROR(INDEX(tblRegistros[Projeto],$L487),"")))</f>
        <v/>
      </c>
      <c r="C487" t="str">
        <f>IF($L487="","",IF(INDEX(tblRegistros[Data],$L487)&gt;$D$4,"",IFERROR(INDEX(tblRegistros[Atividade],$L487),"")))</f>
        <v/>
      </c>
      <c r="D487" s="4" t="str">
        <f>IF($L487="","",IF(INDEX(tblRegistros[Data],$L487)&gt;$D$4,"",IFERROR(INDEX(tblRegistros[Início],$L487),"")))</f>
        <v/>
      </c>
      <c r="E487" s="4" t="str">
        <f>IF($L487="","",IF(INDEX(tblRegistros[Data],$L487)&gt;$D$4,"",IFERROR(IF(INDEX(tblRegistros[Status],$L487)="EM ABERTO","",INDEX(tblRegistros[Fim],$L487)),"")))</f>
        <v/>
      </c>
      <c r="F487" t="str">
        <f>IF($L487="","",IF(INDEX(tblRegistros[Data],$L487)&gt;$D$4,"",IFERROR(IF(INDEX(tblRegistros[Status],$L487)="EM ABERTO","",INDEX(tblRegistros[Horas],$L487)),"")))</f>
        <v/>
      </c>
      <c r="G487" t="str">
        <f>IF($L487="","",IF(INDEX(tblRegistros[Data],$L487)&gt;$D$4,"",IFERROR(INDEX(tblRegistros[Base],$L487),"")))</f>
        <v/>
      </c>
      <c r="H487" s="3" t="str">
        <f>IF($L487="","",IF(INDEX(tblRegistros[Data],$L487)&gt;$D$4,"",IFERROR(INDEX(tblRegistros[Taxa aplicada],$L487),"")))</f>
        <v/>
      </c>
      <c r="I487" s="3" t="str">
        <f>IF($L487="","",IF(INDEX(tblRegistros[Data],$L487)&gt;$D$4,"",IFERROR(IF(INDEX(tblRegistros[Status],$L487)="EM ABERTO","",INDEX(tblRegistros[Valor],$L487)),"")))</f>
        <v/>
      </c>
      <c r="J487" t="str">
        <f>IF($L487="","",IF(INDEX(tblRegistros[Data],$L487)&gt;$D$4,"",IFERROR(INDEX(tblRegistros[Status],$L487),"")))</f>
        <v/>
      </c>
      <c r="K487" t="str">
        <f>IF($L487="","",IF(INDEX(tblRegistros[Data],$L487)&gt;$D$4,"",IFERROR(INDEX(tblRegistros[Observação],$L487),"")))</f>
        <v/>
      </c>
      <c r="L487" s="16" t="str">
        <f>IFERROR(MATCH($B$3*100000+COUNTIFS(tblRegistros[ID],$B$3,tblRegistros[Data],"&lt;"&amp;$B$4)+ROWS($L$10:L487),tblRegistros[Chave do cartão],0),"")</f>
        <v/>
      </c>
    </row>
    <row r="488" spans="1:12">
      <c r="A488" s="2" t="str">
        <f>IF($L488="","",IF(INDEX(tblRegistros[Data],$L488)&gt;$D$4,"",IFERROR(INDEX(tblRegistros[Data],$L488),"")))</f>
        <v/>
      </c>
      <c r="B488" t="str">
        <f>IF($L488="","",IF(INDEX(tblRegistros[Data],$L488)&gt;$D$4,"",IFERROR(INDEX(tblRegistros[Projeto],$L488),"")))</f>
        <v/>
      </c>
      <c r="C488" t="str">
        <f>IF($L488="","",IF(INDEX(tblRegistros[Data],$L488)&gt;$D$4,"",IFERROR(INDEX(tblRegistros[Atividade],$L488),"")))</f>
        <v/>
      </c>
      <c r="D488" s="4" t="str">
        <f>IF($L488="","",IF(INDEX(tblRegistros[Data],$L488)&gt;$D$4,"",IFERROR(INDEX(tblRegistros[Início],$L488),"")))</f>
        <v/>
      </c>
      <c r="E488" s="4" t="str">
        <f>IF($L488="","",IF(INDEX(tblRegistros[Data],$L488)&gt;$D$4,"",IFERROR(IF(INDEX(tblRegistros[Status],$L488)="EM ABERTO","",INDEX(tblRegistros[Fim],$L488)),"")))</f>
        <v/>
      </c>
      <c r="F488" t="str">
        <f>IF($L488="","",IF(INDEX(tblRegistros[Data],$L488)&gt;$D$4,"",IFERROR(IF(INDEX(tblRegistros[Status],$L488)="EM ABERTO","",INDEX(tblRegistros[Horas],$L488)),"")))</f>
        <v/>
      </c>
      <c r="G488" t="str">
        <f>IF($L488="","",IF(INDEX(tblRegistros[Data],$L488)&gt;$D$4,"",IFERROR(INDEX(tblRegistros[Base],$L488),"")))</f>
        <v/>
      </c>
      <c r="H488" s="3" t="str">
        <f>IF($L488="","",IF(INDEX(tblRegistros[Data],$L488)&gt;$D$4,"",IFERROR(INDEX(tblRegistros[Taxa aplicada],$L488),"")))</f>
        <v/>
      </c>
      <c r="I488" s="3" t="str">
        <f>IF($L488="","",IF(INDEX(tblRegistros[Data],$L488)&gt;$D$4,"",IFERROR(IF(INDEX(tblRegistros[Status],$L488)="EM ABERTO","",INDEX(tblRegistros[Valor],$L488)),"")))</f>
        <v/>
      </c>
      <c r="J488" t="str">
        <f>IF($L488="","",IF(INDEX(tblRegistros[Data],$L488)&gt;$D$4,"",IFERROR(INDEX(tblRegistros[Status],$L488),"")))</f>
        <v/>
      </c>
      <c r="K488" t="str">
        <f>IF($L488="","",IF(INDEX(tblRegistros[Data],$L488)&gt;$D$4,"",IFERROR(INDEX(tblRegistros[Observação],$L488),"")))</f>
        <v/>
      </c>
      <c r="L488" s="16" t="str">
        <f>IFERROR(MATCH($B$3*100000+COUNTIFS(tblRegistros[ID],$B$3,tblRegistros[Data],"&lt;"&amp;$B$4)+ROWS($L$10:L488),tblRegistros[Chave do cartão],0),"")</f>
        <v/>
      </c>
    </row>
    <row r="489" spans="1:12">
      <c r="A489" s="2" t="str">
        <f>IF($L489="","",IF(INDEX(tblRegistros[Data],$L489)&gt;$D$4,"",IFERROR(INDEX(tblRegistros[Data],$L489),"")))</f>
        <v/>
      </c>
      <c r="B489" t="str">
        <f>IF($L489="","",IF(INDEX(tblRegistros[Data],$L489)&gt;$D$4,"",IFERROR(INDEX(tblRegistros[Projeto],$L489),"")))</f>
        <v/>
      </c>
      <c r="C489" t="str">
        <f>IF($L489="","",IF(INDEX(tblRegistros[Data],$L489)&gt;$D$4,"",IFERROR(INDEX(tblRegistros[Atividade],$L489),"")))</f>
        <v/>
      </c>
      <c r="D489" s="4" t="str">
        <f>IF($L489="","",IF(INDEX(tblRegistros[Data],$L489)&gt;$D$4,"",IFERROR(INDEX(tblRegistros[Início],$L489),"")))</f>
        <v/>
      </c>
      <c r="E489" s="4" t="str">
        <f>IF($L489="","",IF(INDEX(tblRegistros[Data],$L489)&gt;$D$4,"",IFERROR(IF(INDEX(tblRegistros[Status],$L489)="EM ABERTO","",INDEX(tblRegistros[Fim],$L489)),"")))</f>
        <v/>
      </c>
      <c r="F489" t="str">
        <f>IF($L489="","",IF(INDEX(tblRegistros[Data],$L489)&gt;$D$4,"",IFERROR(IF(INDEX(tblRegistros[Status],$L489)="EM ABERTO","",INDEX(tblRegistros[Horas],$L489)),"")))</f>
        <v/>
      </c>
      <c r="G489" t="str">
        <f>IF($L489="","",IF(INDEX(tblRegistros[Data],$L489)&gt;$D$4,"",IFERROR(INDEX(tblRegistros[Base],$L489),"")))</f>
        <v/>
      </c>
      <c r="H489" s="3" t="str">
        <f>IF($L489="","",IF(INDEX(tblRegistros[Data],$L489)&gt;$D$4,"",IFERROR(INDEX(tblRegistros[Taxa aplicada],$L489),"")))</f>
        <v/>
      </c>
      <c r="I489" s="3" t="str">
        <f>IF($L489="","",IF(INDEX(tblRegistros[Data],$L489)&gt;$D$4,"",IFERROR(IF(INDEX(tblRegistros[Status],$L489)="EM ABERTO","",INDEX(tblRegistros[Valor],$L489)),"")))</f>
        <v/>
      </c>
      <c r="J489" t="str">
        <f>IF($L489="","",IF(INDEX(tblRegistros[Data],$L489)&gt;$D$4,"",IFERROR(INDEX(tblRegistros[Status],$L489),"")))</f>
        <v/>
      </c>
      <c r="K489" t="str">
        <f>IF($L489="","",IF(INDEX(tblRegistros[Data],$L489)&gt;$D$4,"",IFERROR(INDEX(tblRegistros[Observação],$L489),"")))</f>
        <v/>
      </c>
      <c r="L489" s="16" t="str">
        <f>IFERROR(MATCH($B$3*100000+COUNTIFS(tblRegistros[ID],$B$3,tblRegistros[Data],"&lt;"&amp;$B$4)+ROWS($L$10:L489),tblRegistros[Chave do cartão],0),"")</f>
        <v/>
      </c>
    </row>
    <row r="490" spans="1:12">
      <c r="A490" s="2" t="str">
        <f>IF($L490="","",IF(INDEX(tblRegistros[Data],$L490)&gt;$D$4,"",IFERROR(INDEX(tblRegistros[Data],$L490),"")))</f>
        <v/>
      </c>
      <c r="B490" t="str">
        <f>IF($L490="","",IF(INDEX(tblRegistros[Data],$L490)&gt;$D$4,"",IFERROR(INDEX(tblRegistros[Projeto],$L490),"")))</f>
        <v/>
      </c>
      <c r="C490" t="str">
        <f>IF($L490="","",IF(INDEX(tblRegistros[Data],$L490)&gt;$D$4,"",IFERROR(INDEX(tblRegistros[Atividade],$L490),"")))</f>
        <v/>
      </c>
      <c r="D490" s="4" t="str">
        <f>IF($L490="","",IF(INDEX(tblRegistros[Data],$L490)&gt;$D$4,"",IFERROR(INDEX(tblRegistros[Início],$L490),"")))</f>
        <v/>
      </c>
      <c r="E490" s="4" t="str">
        <f>IF($L490="","",IF(INDEX(tblRegistros[Data],$L490)&gt;$D$4,"",IFERROR(IF(INDEX(tblRegistros[Status],$L490)="EM ABERTO","",INDEX(tblRegistros[Fim],$L490)),"")))</f>
        <v/>
      </c>
      <c r="F490" t="str">
        <f>IF($L490="","",IF(INDEX(tblRegistros[Data],$L490)&gt;$D$4,"",IFERROR(IF(INDEX(tblRegistros[Status],$L490)="EM ABERTO","",INDEX(tblRegistros[Horas],$L490)),"")))</f>
        <v/>
      </c>
      <c r="G490" t="str">
        <f>IF($L490="","",IF(INDEX(tblRegistros[Data],$L490)&gt;$D$4,"",IFERROR(INDEX(tblRegistros[Base],$L490),"")))</f>
        <v/>
      </c>
      <c r="H490" s="3" t="str">
        <f>IF($L490="","",IF(INDEX(tblRegistros[Data],$L490)&gt;$D$4,"",IFERROR(INDEX(tblRegistros[Taxa aplicada],$L490),"")))</f>
        <v/>
      </c>
      <c r="I490" s="3" t="str">
        <f>IF($L490="","",IF(INDEX(tblRegistros[Data],$L490)&gt;$D$4,"",IFERROR(IF(INDEX(tblRegistros[Status],$L490)="EM ABERTO","",INDEX(tblRegistros[Valor],$L490)),"")))</f>
        <v/>
      </c>
      <c r="J490" t="str">
        <f>IF($L490="","",IF(INDEX(tblRegistros[Data],$L490)&gt;$D$4,"",IFERROR(INDEX(tblRegistros[Status],$L490),"")))</f>
        <v/>
      </c>
      <c r="K490" t="str">
        <f>IF($L490="","",IF(INDEX(tblRegistros[Data],$L490)&gt;$D$4,"",IFERROR(INDEX(tblRegistros[Observação],$L490),"")))</f>
        <v/>
      </c>
      <c r="L490" s="16" t="str">
        <f>IFERROR(MATCH($B$3*100000+COUNTIFS(tblRegistros[ID],$B$3,tblRegistros[Data],"&lt;"&amp;$B$4)+ROWS($L$10:L490),tblRegistros[Chave do cartão],0),"")</f>
        <v/>
      </c>
    </row>
    <row r="491" spans="1:12">
      <c r="A491" s="2" t="str">
        <f>IF($L491="","",IF(INDEX(tblRegistros[Data],$L491)&gt;$D$4,"",IFERROR(INDEX(tblRegistros[Data],$L491),"")))</f>
        <v/>
      </c>
      <c r="B491" t="str">
        <f>IF($L491="","",IF(INDEX(tblRegistros[Data],$L491)&gt;$D$4,"",IFERROR(INDEX(tblRegistros[Projeto],$L491),"")))</f>
        <v/>
      </c>
      <c r="C491" t="str">
        <f>IF($L491="","",IF(INDEX(tblRegistros[Data],$L491)&gt;$D$4,"",IFERROR(INDEX(tblRegistros[Atividade],$L491),"")))</f>
        <v/>
      </c>
      <c r="D491" s="4" t="str">
        <f>IF($L491="","",IF(INDEX(tblRegistros[Data],$L491)&gt;$D$4,"",IFERROR(INDEX(tblRegistros[Início],$L491),"")))</f>
        <v/>
      </c>
      <c r="E491" s="4" t="str">
        <f>IF($L491="","",IF(INDEX(tblRegistros[Data],$L491)&gt;$D$4,"",IFERROR(IF(INDEX(tblRegistros[Status],$L491)="EM ABERTO","",INDEX(tblRegistros[Fim],$L491)),"")))</f>
        <v/>
      </c>
      <c r="F491" t="str">
        <f>IF($L491="","",IF(INDEX(tblRegistros[Data],$L491)&gt;$D$4,"",IFERROR(IF(INDEX(tblRegistros[Status],$L491)="EM ABERTO","",INDEX(tblRegistros[Horas],$L491)),"")))</f>
        <v/>
      </c>
      <c r="G491" t="str">
        <f>IF($L491="","",IF(INDEX(tblRegistros[Data],$L491)&gt;$D$4,"",IFERROR(INDEX(tblRegistros[Base],$L491),"")))</f>
        <v/>
      </c>
      <c r="H491" s="3" t="str">
        <f>IF($L491="","",IF(INDEX(tblRegistros[Data],$L491)&gt;$D$4,"",IFERROR(INDEX(tblRegistros[Taxa aplicada],$L491),"")))</f>
        <v/>
      </c>
      <c r="I491" s="3" t="str">
        <f>IF($L491="","",IF(INDEX(tblRegistros[Data],$L491)&gt;$D$4,"",IFERROR(IF(INDEX(tblRegistros[Status],$L491)="EM ABERTO","",INDEX(tblRegistros[Valor],$L491)),"")))</f>
        <v/>
      </c>
      <c r="J491" t="str">
        <f>IF($L491="","",IF(INDEX(tblRegistros[Data],$L491)&gt;$D$4,"",IFERROR(INDEX(tblRegistros[Status],$L491),"")))</f>
        <v/>
      </c>
      <c r="K491" t="str">
        <f>IF($L491="","",IF(INDEX(tblRegistros[Data],$L491)&gt;$D$4,"",IFERROR(INDEX(tblRegistros[Observação],$L491),"")))</f>
        <v/>
      </c>
      <c r="L491" s="16" t="str">
        <f>IFERROR(MATCH($B$3*100000+COUNTIFS(tblRegistros[ID],$B$3,tblRegistros[Data],"&lt;"&amp;$B$4)+ROWS($L$10:L491),tblRegistros[Chave do cartão],0),"")</f>
        <v/>
      </c>
    </row>
    <row r="492" spans="1:12">
      <c r="A492" s="2" t="str">
        <f>IF($L492="","",IF(INDEX(tblRegistros[Data],$L492)&gt;$D$4,"",IFERROR(INDEX(tblRegistros[Data],$L492),"")))</f>
        <v/>
      </c>
      <c r="B492" t="str">
        <f>IF($L492="","",IF(INDEX(tblRegistros[Data],$L492)&gt;$D$4,"",IFERROR(INDEX(tblRegistros[Projeto],$L492),"")))</f>
        <v/>
      </c>
      <c r="C492" t="str">
        <f>IF($L492="","",IF(INDEX(tblRegistros[Data],$L492)&gt;$D$4,"",IFERROR(INDEX(tblRegistros[Atividade],$L492),"")))</f>
        <v/>
      </c>
      <c r="D492" s="4" t="str">
        <f>IF($L492="","",IF(INDEX(tblRegistros[Data],$L492)&gt;$D$4,"",IFERROR(INDEX(tblRegistros[Início],$L492),"")))</f>
        <v/>
      </c>
      <c r="E492" s="4" t="str">
        <f>IF($L492="","",IF(INDEX(tblRegistros[Data],$L492)&gt;$D$4,"",IFERROR(IF(INDEX(tblRegistros[Status],$L492)="EM ABERTO","",INDEX(tblRegistros[Fim],$L492)),"")))</f>
        <v/>
      </c>
      <c r="F492" t="str">
        <f>IF($L492="","",IF(INDEX(tblRegistros[Data],$L492)&gt;$D$4,"",IFERROR(IF(INDEX(tblRegistros[Status],$L492)="EM ABERTO","",INDEX(tblRegistros[Horas],$L492)),"")))</f>
        <v/>
      </c>
      <c r="G492" t="str">
        <f>IF($L492="","",IF(INDEX(tblRegistros[Data],$L492)&gt;$D$4,"",IFERROR(INDEX(tblRegistros[Base],$L492),"")))</f>
        <v/>
      </c>
      <c r="H492" s="3" t="str">
        <f>IF($L492="","",IF(INDEX(tblRegistros[Data],$L492)&gt;$D$4,"",IFERROR(INDEX(tblRegistros[Taxa aplicada],$L492),"")))</f>
        <v/>
      </c>
      <c r="I492" s="3" t="str">
        <f>IF($L492="","",IF(INDEX(tblRegistros[Data],$L492)&gt;$D$4,"",IFERROR(IF(INDEX(tblRegistros[Status],$L492)="EM ABERTO","",INDEX(tblRegistros[Valor],$L492)),"")))</f>
        <v/>
      </c>
      <c r="J492" t="str">
        <f>IF($L492="","",IF(INDEX(tblRegistros[Data],$L492)&gt;$D$4,"",IFERROR(INDEX(tblRegistros[Status],$L492),"")))</f>
        <v/>
      </c>
      <c r="K492" t="str">
        <f>IF($L492="","",IF(INDEX(tblRegistros[Data],$L492)&gt;$D$4,"",IFERROR(INDEX(tblRegistros[Observação],$L492),"")))</f>
        <v/>
      </c>
      <c r="L492" s="16" t="str">
        <f>IFERROR(MATCH($B$3*100000+COUNTIFS(tblRegistros[ID],$B$3,tblRegistros[Data],"&lt;"&amp;$B$4)+ROWS($L$10:L492),tblRegistros[Chave do cartão],0),"")</f>
        <v/>
      </c>
    </row>
    <row r="493" spans="1:12">
      <c r="A493" s="2" t="str">
        <f>IF($L493="","",IF(INDEX(tblRegistros[Data],$L493)&gt;$D$4,"",IFERROR(INDEX(tblRegistros[Data],$L493),"")))</f>
        <v/>
      </c>
      <c r="B493" t="str">
        <f>IF($L493="","",IF(INDEX(tblRegistros[Data],$L493)&gt;$D$4,"",IFERROR(INDEX(tblRegistros[Projeto],$L493),"")))</f>
        <v/>
      </c>
      <c r="C493" t="str">
        <f>IF($L493="","",IF(INDEX(tblRegistros[Data],$L493)&gt;$D$4,"",IFERROR(INDEX(tblRegistros[Atividade],$L493),"")))</f>
        <v/>
      </c>
      <c r="D493" s="4" t="str">
        <f>IF($L493="","",IF(INDEX(tblRegistros[Data],$L493)&gt;$D$4,"",IFERROR(INDEX(tblRegistros[Início],$L493),"")))</f>
        <v/>
      </c>
      <c r="E493" s="4" t="str">
        <f>IF($L493="","",IF(INDEX(tblRegistros[Data],$L493)&gt;$D$4,"",IFERROR(IF(INDEX(tblRegistros[Status],$L493)="EM ABERTO","",INDEX(tblRegistros[Fim],$L493)),"")))</f>
        <v/>
      </c>
      <c r="F493" t="str">
        <f>IF($L493="","",IF(INDEX(tblRegistros[Data],$L493)&gt;$D$4,"",IFERROR(IF(INDEX(tblRegistros[Status],$L493)="EM ABERTO","",INDEX(tblRegistros[Horas],$L493)),"")))</f>
        <v/>
      </c>
      <c r="G493" t="str">
        <f>IF($L493="","",IF(INDEX(tblRegistros[Data],$L493)&gt;$D$4,"",IFERROR(INDEX(tblRegistros[Base],$L493),"")))</f>
        <v/>
      </c>
      <c r="H493" s="3" t="str">
        <f>IF($L493="","",IF(INDEX(tblRegistros[Data],$L493)&gt;$D$4,"",IFERROR(INDEX(tblRegistros[Taxa aplicada],$L493),"")))</f>
        <v/>
      </c>
      <c r="I493" s="3" t="str">
        <f>IF($L493="","",IF(INDEX(tblRegistros[Data],$L493)&gt;$D$4,"",IFERROR(IF(INDEX(tblRegistros[Status],$L493)="EM ABERTO","",INDEX(tblRegistros[Valor],$L493)),"")))</f>
        <v/>
      </c>
      <c r="J493" t="str">
        <f>IF($L493="","",IF(INDEX(tblRegistros[Data],$L493)&gt;$D$4,"",IFERROR(INDEX(tblRegistros[Status],$L493),"")))</f>
        <v/>
      </c>
      <c r="K493" t="str">
        <f>IF($L493="","",IF(INDEX(tblRegistros[Data],$L493)&gt;$D$4,"",IFERROR(INDEX(tblRegistros[Observação],$L493),"")))</f>
        <v/>
      </c>
      <c r="L493" s="16" t="str">
        <f>IFERROR(MATCH($B$3*100000+COUNTIFS(tblRegistros[ID],$B$3,tblRegistros[Data],"&lt;"&amp;$B$4)+ROWS($L$10:L493),tblRegistros[Chave do cartão],0),"")</f>
        <v/>
      </c>
    </row>
    <row r="494" spans="1:12">
      <c r="A494" s="2" t="str">
        <f>IF($L494="","",IF(INDEX(tblRegistros[Data],$L494)&gt;$D$4,"",IFERROR(INDEX(tblRegistros[Data],$L494),"")))</f>
        <v/>
      </c>
      <c r="B494" t="str">
        <f>IF($L494="","",IF(INDEX(tblRegistros[Data],$L494)&gt;$D$4,"",IFERROR(INDEX(tblRegistros[Projeto],$L494),"")))</f>
        <v/>
      </c>
      <c r="C494" t="str">
        <f>IF($L494="","",IF(INDEX(tblRegistros[Data],$L494)&gt;$D$4,"",IFERROR(INDEX(tblRegistros[Atividade],$L494),"")))</f>
        <v/>
      </c>
      <c r="D494" s="4" t="str">
        <f>IF($L494="","",IF(INDEX(tblRegistros[Data],$L494)&gt;$D$4,"",IFERROR(INDEX(tblRegistros[Início],$L494),"")))</f>
        <v/>
      </c>
      <c r="E494" s="4" t="str">
        <f>IF($L494="","",IF(INDEX(tblRegistros[Data],$L494)&gt;$D$4,"",IFERROR(IF(INDEX(tblRegistros[Status],$L494)="EM ABERTO","",INDEX(tblRegistros[Fim],$L494)),"")))</f>
        <v/>
      </c>
      <c r="F494" t="str">
        <f>IF($L494="","",IF(INDEX(tblRegistros[Data],$L494)&gt;$D$4,"",IFERROR(IF(INDEX(tblRegistros[Status],$L494)="EM ABERTO","",INDEX(tblRegistros[Horas],$L494)),"")))</f>
        <v/>
      </c>
      <c r="G494" t="str">
        <f>IF($L494="","",IF(INDEX(tblRegistros[Data],$L494)&gt;$D$4,"",IFERROR(INDEX(tblRegistros[Base],$L494),"")))</f>
        <v/>
      </c>
      <c r="H494" s="3" t="str">
        <f>IF($L494="","",IF(INDEX(tblRegistros[Data],$L494)&gt;$D$4,"",IFERROR(INDEX(tblRegistros[Taxa aplicada],$L494),"")))</f>
        <v/>
      </c>
      <c r="I494" s="3" t="str">
        <f>IF($L494="","",IF(INDEX(tblRegistros[Data],$L494)&gt;$D$4,"",IFERROR(IF(INDEX(tblRegistros[Status],$L494)="EM ABERTO","",INDEX(tblRegistros[Valor],$L494)),"")))</f>
        <v/>
      </c>
      <c r="J494" t="str">
        <f>IF($L494="","",IF(INDEX(tblRegistros[Data],$L494)&gt;$D$4,"",IFERROR(INDEX(tblRegistros[Status],$L494),"")))</f>
        <v/>
      </c>
      <c r="K494" t="str">
        <f>IF($L494="","",IF(INDEX(tblRegistros[Data],$L494)&gt;$D$4,"",IFERROR(INDEX(tblRegistros[Observação],$L494),"")))</f>
        <v/>
      </c>
      <c r="L494" s="16" t="str">
        <f>IFERROR(MATCH($B$3*100000+COUNTIFS(tblRegistros[ID],$B$3,tblRegistros[Data],"&lt;"&amp;$B$4)+ROWS($L$10:L494),tblRegistros[Chave do cartão],0),"")</f>
        <v/>
      </c>
    </row>
    <row r="495" spans="1:12">
      <c r="A495" s="2" t="str">
        <f>IF($L495="","",IF(INDEX(tblRegistros[Data],$L495)&gt;$D$4,"",IFERROR(INDEX(tblRegistros[Data],$L495),"")))</f>
        <v/>
      </c>
      <c r="B495" t="str">
        <f>IF($L495="","",IF(INDEX(tblRegistros[Data],$L495)&gt;$D$4,"",IFERROR(INDEX(tblRegistros[Projeto],$L495),"")))</f>
        <v/>
      </c>
      <c r="C495" t="str">
        <f>IF($L495="","",IF(INDEX(tblRegistros[Data],$L495)&gt;$D$4,"",IFERROR(INDEX(tblRegistros[Atividade],$L495),"")))</f>
        <v/>
      </c>
      <c r="D495" s="4" t="str">
        <f>IF($L495="","",IF(INDEX(tblRegistros[Data],$L495)&gt;$D$4,"",IFERROR(INDEX(tblRegistros[Início],$L495),"")))</f>
        <v/>
      </c>
      <c r="E495" s="4" t="str">
        <f>IF($L495="","",IF(INDEX(tblRegistros[Data],$L495)&gt;$D$4,"",IFERROR(IF(INDEX(tblRegistros[Status],$L495)="EM ABERTO","",INDEX(tblRegistros[Fim],$L495)),"")))</f>
        <v/>
      </c>
      <c r="F495" t="str">
        <f>IF($L495="","",IF(INDEX(tblRegistros[Data],$L495)&gt;$D$4,"",IFERROR(IF(INDEX(tblRegistros[Status],$L495)="EM ABERTO","",INDEX(tblRegistros[Horas],$L495)),"")))</f>
        <v/>
      </c>
      <c r="G495" t="str">
        <f>IF($L495="","",IF(INDEX(tblRegistros[Data],$L495)&gt;$D$4,"",IFERROR(INDEX(tblRegistros[Base],$L495),"")))</f>
        <v/>
      </c>
      <c r="H495" s="3" t="str">
        <f>IF($L495="","",IF(INDEX(tblRegistros[Data],$L495)&gt;$D$4,"",IFERROR(INDEX(tblRegistros[Taxa aplicada],$L495),"")))</f>
        <v/>
      </c>
      <c r="I495" s="3" t="str">
        <f>IF($L495="","",IF(INDEX(tblRegistros[Data],$L495)&gt;$D$4,"",IFERROR(IF(INDEX(tblRegistros[Status],$L495)="EM ABERTO","",INDEX(tblRegistros[Valor],$L495)),"")))</f>
        <v/>
      </c>
      <c r="J495" t="str">
        <f>IF($L495="","",IF(INDEX(tblRegistros[Data],$L495)&gt;$D$4,"",IFERROR(INDEX(tblRegistros[Status],$L495),"")))</f>
        <v/>
      </c>
      <c r="K495" t="str">
        <f>IF($L495="","",IF(INDEX(tblRegistros[Data],$L495)&gt;$D$4,"",IFERROR(INDEX(tblRegistros[Observação],$L495),"")))</f>
        <v/>
      </c>
      <c r="L495" s="16" t="str">
        <f>IFERROR(MATCH($B$3*100000+COUNTIFS(tblRegistros[ID],$B$3,tblRegistros[Data],"&lt;"&amp;$B$4)+ROWS($L$10:L495),tblRegistros[Chave do cartão],0),"")</f>
        <v/>
      </c>
    </row>
    <row r="496" spans="1:12">
      <c r="A496" s="2" t="str">
        <f>IF($L496="","",IF(INDEX(tblRegistros[Data],$L496)&gt;$D$4,"",IFERROR(INDEX(tblRegistros[Data],$L496),"")))</f>
        <v/>
      </c>
      <c r="B496" t="str">
        <f>IF($L496="","",IF(INDEX(tblRegistros[Data],$L496)&gt;$D$4,"",IFERROR(INDEX(tblRegistros[Projeto],$L496),"")))</f>
        <v/>
      </c>
      <c r="C496" t="str">
        <f>IF($L496="","",IF(INDEX(tblRegistros[Data],$L496)&gt;$D$4,"",IFERROR(INDEX(tblRegistros[Atividade],$L496),"")))</f>
        <v/>
      </c>
      <c r="D496" s="4" t="str">
        <f>IF($L496="","",IF(INDEX(tblRegistros[Data],$L496)&gt;$D$4,"",IFERROR(INDEX(tblRegistros[Início],$L496),"")))</f>
        <v/>
      </c>
      <c r="E496" s="4" t="str">
        <f>IF($L496="","",IF(INDEX(tblRegistros[Data],$L496)&gt;$D$4,"",IFERROR(IF(INDEX(tblRegistros[Status],$L496)="EM ABERTO","",INDEX(tblRegistros[Fim],$L496)),"")))</f>
        <v/>
      </c>
      <c r="F496" t="str">
        <f>IF($L496="","",IF(INDEX(tblRegistros[Data],$L496)&gt;$D$4,"",IFERROR(IF(INDEX(tblRegistros[Status],$L496)="EM ABERTO","",INDEX(tblRegistros[Horas],$L496)),"")))</f>
        <v/>
      </c>
      <c r="G496" t="str">
        <f>IF($L496="","",IF(INDEX(tblRegistros[Data],$L496)&gt;$D$4,"",IFERROR(INDEX(tblRegistros[Base],$L496),"")))</f>
        <v/>
      </c>
      <c r="H496" s="3" t="str">
        <f>IF($L496="","",IF(INDEX(tblRegistros[Data],$L496)&gt;$D$4,"",IFERROR(INDEX(tblRegistros[Taxa aplicada],$L496),"")))</f>
        <v/>
      </c>
      <c r="I496" s="3" t="str">
        <f>IF($L496="","",IF(INDEX(tblRegistros[Data],$L496)&gt;$D$4,"",IFERROR(IF(INDEX(tblRegistros[Status],$L496)="EM ABERTO","",INDEX(tblRegistros[Valor],$L496)),"")))</f>
        <v/>
      </c>
      <c r="J496" t="str">
        <f>IF($L496="","",IF(INDEX(tblRegistros[Data],$L496)&gt;$D$4,"",IFERROR(INDEX(tblRegistros[Status],$L496),"")))</f>
        <v/>
      </c>
      <c r="K496" t="str">
        <f>IF($L496="","",IF(INDEX(tblRegistros[Data],$L496)&gt;$D$4,"",IFERROR(INDEX(tblRegistros[Observação],$L496),"")))</f>
        <v/>
      </c>
      <c r="L496" s="16" t="str">
        <f>IFERROR(MATCH($B$3*100000+COUNTIFS(tblRegistros[ID],$B$3,tblRegistros[Data],"&lt;"&amp;$B$4)+ROWS($L$10:L496),tblRegistros[Chave do cartão],0),"")</f>
        <v/>
      </c>
    </row>
    <row r="497" spans="1:12">
      <c r="A497" s="2" t="str">
        <f>IF($L497="","",IF(INDEX(tblRegistros[Data],$L497)&gt;$D$4,"",IFERROR(INDEX(tblRegistros[Data],$L497),"")))</f>
        <v/>
      </c>
      <c r="B497" t="str">
        <f>IF($L497="","",IF(INDEX(tblRegistros[Data],$L497)&gt;$D$4,"",IFERROR(INDEX(tblRegistros[Projeto],$L497),"")))</f>
        <v/>
      </c>
      <c r="C497" t="str">
        <f>IF($L497="","",IF(INDEX(tblRegistros[Data],$L497)&gt;$D$4,"",IFERROR(INDEX(tblRegistros[Atividade],$L497),"")))</f>
        <v/>
      </c>
      <c r="D497" s="4" t="str">
        <f>IF($L497="","",IF(INDEX(tblRegistros[Data],$L497)&gt;$D$4,"",IFERROR(INDEX(tblRegistros[Início],$L497),"")))</f>
        <v/>
      </c>
      <c r="E497" s="4" t="str">
        <f>IF($L497="","",IF(INDEX(tblRegistros[Data],$L497)&gt;$D$4,"",IFERROR(IF(INDEX(tblRegistros[Status],$L497)="EM ABERTO","",INDEX(tblRegistros[Fim],$L497)),"")))</f>
        <v/>
      </c>
      <c r="F497" t="str">
        <f>IF($L497="","",IF(INDEX(tblRegistros[Data],$L497)&gt;$D$4,"",IFERROR(IF(INDEX(tblRegistros[Status],$L497)="EM ABERTO","",INDEX(tblRegistros[Horas],$L497)),"")))</f>
        <v/>
      </c>
      <c r="G497" t="str">
        <f>IF($L497="","",IF(INDEX(tblRegistros[Data],$L497)&gt;$D$4,"",IFERROR(INDEX(tblRegistros[Base],$L497),"")))</f>
        <v/>
      </c>
      <c r="H497" s="3" t="str">
        <f>IF($L497="","",IF(INDEX(tblRegistros[Data],$L497)&gt;$D$4,"",IFERROR(INDEX(tblRegistros[Taxa aplicada],$L497),"")))</f>
        <v/>
      </c>
      <c r="I497" s="3" t="str">
        <f>IF($L497="","",IF(INDEX(tblRegistros[Data],$L497)&gt;$D$4,"",IFERROR(IF(INDEX(tblRegistros[Status],$L497)="EM ABERTO","",INDEX(tblRegistros[Valor],$L497)),"")))</f>
        <v/>
      </c>
      <c r="J497" t="str">
        <f>IF($L497="","",IF(INDEX(tblRegistros[Data],$L497)&gt;$D$4,"",IFERROR(INDEX(tblRegistros[Status],$L497),"")))</f>
        <v/>
      </c>
      <c r="K497" t="str">
        <f>IF($L497="","",IF(INDEX(tblRegistros[Data],$L497)&gt;$D$4,"",IFERROR(INDEX(tblRegistros[Observação],$L497),"")))</f>
        <v/>
      </c>
      <c r="L497" s="16" t="str">
        <f>IFERROR(MATCH($B$3*100000+COUNTIFS(tblRegistros[ID],$B$3,tblRegistros[Data],"&lt;"&amp;$B$4)+ROWS($L$10:L497),tblRegistros[Chave do cartão],0),"")</f>
        <v/>
      </c>
    </row>
    <row r="498" spans="1:12">
      <c r="A498" s="2" t="str">
        <f>IF($L498="","",IF(INDEX(tblRegistros[Data],$L498)&gt;$D$4,"",IFERROR(INDEX(tblRegistros[Data],$L498),"")))</f>
        <v/>
      </c>
      <c r="B498" t="str">
        <f>IF($L498="","",IF(INDEX(tblRegistros[Data],$L498)&gt;$D$4,"",IFERROR(INDEX(tblRegistros[Projeto],$L498),"")))</f>
        <v/>
      </c>
      <c r="C498" t="str">
        <f>IF($L498="","",IF(INDEX(tblRegistros[Data],$L498)&gt;$D$4,"",IFERROR(INDEX(tblRegistros[Atividade],$L498),"")))</f>
        <v/>
      </c>
      <c r="D498" s="4" t="str">
        <f>IF($L498="","",IF(INDEX(tblRegistros[Data],$L498)&gt;$D$4,"",IFERROR(INDEX(tblRegistros[Início],$L498),"")))</f>
        <v/>
      </c>
      <c r="E498" s="4" t="str">
        <f>IF($L498="","",IF(INDEX(tblRegistros[Data],$L498)&gt;$D$4,"",IFERROR(IF(INDEX(tblRegistros[Status],$L498)="EM ABERTO","",INDEX(tblRegistros[Fim],$L498)),"")))</f>
        <v/>
      </c>
      <c r="F498" t="str">
        <f>IF($L498="","",IF(INDEX(tblRegistros[Data],$L498)&gt;$D$4,"",IFERROR(IF(INDEX(tblRegistros[Status],$L498)="EM ABERTO","",INDEX(tblRegistros[Horas],$L498)),"")))</f>
        <v/>
      </c>
      <c r="G498" t="str">
        <f>IF($L498="","",IF(INDEX(tblRegistros[Data],$L498)&gt;$D$4,"",IFERROR(INDEX(tblRegistros[Base],$L498),"")))</f>
        <v/>
      </c>
      <c r="H498" s="3" t="str">
        <f>IF($L498="","",IF(INDEX(tblRegistros[Data],$L498)&gt;$D$4,"",IFERROR(INDEX(tblRegistros[Taxa aplicada],$L498),"")))</f>
        <v/>
      </c>
      <c r="I498" s="3" t="str">
        <f>IF($L498="","",IF(INDEX(tblRegistros[Data],$L498)&gt;$D$4,"",IFERROR(IF(INDEX(tblRegistros[Status],$L498)="EM ABERTO","",INDEX(tblRegistros[Valor],$L498)),"")))</f>
        <v/>
      </c>
      <c r="J498" t="str">
        <f>IF($L498="","",IF(INDEX(tblRegistros[Data],$L498)&gt;$D$4,"",IFERROR(INDEX(tblRegistros[Status],$L498),"")))</f>
        <v/>
      </c>
      <c r="K498" t="str">
        <f>IF($L498="","",IF(INDEX(tblRegistros[Data],$L498)&gt;$D$4,"",IFERROR(INDEX(tblRegistros[Observação],$L498),"")))</f>
        <v/>
      </c>
      <c r="L498" s="16" t="str">
        <f>IFERROR(MATCH($B$3*100000+COUNTIFS(tblRegistros[ID],$B$3,tblRegistros[Data],"&lt;"&amp;$B$4)+ROWS($L$10:L498),tblRegistros[Chave do cartão],0),"")</f>
        <v/>
      </c>
    </row>
    <row r="499" spans="1:12">
      <c r="A499" s="2" t="str">
        <f>IF($L499="","",IF(INDEX(tblRegistros[Data],$L499)&gt;$D$4,"",IFERROR(INDEX(tblRegistros[Data],$L499),"")))</f>
        <v/>
      </c>
      <c r="B499" t="str">
        <f>IF($L499="","",IF(INDEX(tblRegistros[Data],$L499)&gt;$D$4,"",IFERROR(INDEX(tblRegistros[Projeto],$L499),"")))</f>
        <v/>
      </c>
      <c r="C499" t="str">
        <f>IF($L499="","",IF(INDEX(tblRegistros[Data],$L499)&gt;$D$4,"",IFERROR(INDEX(tblRegistros[Atividade],$L499),"")))</f>
        <v/>
      </c>
      <c r="D499" s="4" t="str">
        <f>IF($L499="","",IF(INDEX(tblRegistros[Data],$L499)&gt;$D$4,"",IFERROR(INDEX(tblRegistros[Início],$L499),"")))</f>
        <v/>
      </c>
      <c r="E499" s="4" t="str">
        <f>IF($L499="","",IF(INDEX(tblRegistros[Data],$L499)&gt;$D$4,"",IFERROR(IF(INDEX(tblRegistros[Status],$L499)="EM ABERTO","",INDEX(tblRegistros[Fim],$L499)),"")))</f>
        <v/>
      </c>
      <c r="F499" t="str">
        <f>IF($L499="","",IF(INDEX(tblRegistros[Data],$L499)&gt;$D$4,"",IFERROR(IF(INDEX(tblRegistros[Status],$L499)="EM ABERTO","",INDEX(tblRegistros[Horas],$L499)),"")))</f>
        <v/>
      </c>
      <c r="G499" t="str">
        <f>IF($L499="","",IF(INDEX(tblRegistros[Data],$L499)&gt;$D$4,"",IFERROR(INDEX(tblRegistros[Base],$L499),"")))</f>
        <v/>
      </c>
      <c r="H499" s="3" t="str">
        <f>IF($L499="","",IF(INDEX(tblRegistros[Data],$L499)&gt;$D$4,"",IFERROR(INDEX(tblRegistros[Taxa aplicada],$L499),"")))</f>
        <v/>
      </c>
      <c r="I499" s="3" t="str">
        <f>IF($L499="","",IF(INDEX(tblRegistros[Data],$L499)&gt;$D$4,"",IFERROR(IF(INDEX(tblRegistros[Status],$L499)="EM ABERTO","",INDEX(tblRegistros[Valor],$L499)),"")))</f>
        <v/>
      </c>
      <c r="J499" t="str">
        <f>IF($L499="","",IF(INDEX(tblRegistros[Data],$L499)&gt;$D$4,"",IFERROR(INDEX(tblRegistros[Status],$L499),"")))</f>
        <v/>
      </c>
      <c r="K499" t="str">
        <f>IF($L499="","",IF(INDEX(tblRegistros[Data],$L499)&gt;$D$4,"",IFERROR(INDEX(tblRegistros[Observação],$L499),"")))</f>
        <v/>
      </c>
      <c r="L499" s="16" t="str">
        <f>IFERROR(MATCH($B$3*100000+COUNTIFS(tblRegistros[ID],$B$3,tblRegistros[Data],"&lt;"&amp;$B$4)+ROWS($L$10:L499),tblRegistros[Chave do cartão],0),"")</f>
        <v/>
      </c>
    </row>
    <row r="500" spans="1:12">
      <c r="A500" s="2" t="str">
        <f>IF($L500="","",IF(INDEX(tblRegistros[Data],$L500)&gt;$D$4,"",IFERROR(INDEX(tblRegistros[Data],$L500),"")))</f>
        <v/>
      </c>
      <c r="B500" t="str">
        <f>IF($L500="","",IF(INDEX(tblRegistros[Data],$L500)&gt;$D$4,"",IFERROR(INDEX(tblRegistros[Projeto],$L500),"")))</f>
        <v/>
      </c>
      <c r="C500" t="str">
        <f>IF($L500="","",IF(INDEX(tblRegistros[Data],$L500)&gt;$D$4,"",IFERROR(INDEX(tblRegistros[Atividade],$L500),"")))</f>
        <v/>
      </c>
      <c r="D500" s="4" t="str">
        <f>IF($L500="","",IF(INDEX(tblRegistros[Data],$L500)&gt;$D$4,"",IFERROR(INDEX(tblRegistros[Início],$L500),"")))</f>
        <v/>
      </c>
      <c r="E500" s="4" t="str">
        <f>IF($L500="","",IF(INDEX(tblRegistros[Data],$L500)&gt;$D$4,"",IFERROR(IF(INDEX(tblRegistros[Status],$L500)="EM ABERTO","",INDEX(tblRegistros[Fim],$L500)),"")))</f>
        <v/>
      </c>
      <c r="F500" t="str">
        <f>IF($L500="","",IF(INDEX(tblRegistros[Data],$L500)&gt;$D$4,"",IFERROR(IF(INDEX(tblRegistros[Status],$L500)="EM ABERTO","",INDEX(tblRegistros[Horas],$L500)),"")))</f>
        <v/>
      </c>
      <c r="G500" t="str">
        <f>IF($L500="","",IF(INDEX(tblRegistros[Data],$L500)&gt;$D$4,"",IFERROR(INDEX(tblRegistros[Base],$L500),"")))</f>
        <v/>
      </c>
      <c r="H500" s="3" t="str">
        <f>IF($L500="","",IF(INDEX(tblRegistros[Data],$L500)&gt;$D$4,"",IFERROR(INDEX(tblRegistros[Taxa aplicada],$L500),"")))</f>
        <v/>
      </c>
      <c r="I500" s="3" t="str">
        <f>IF($L500="","",IF(INDEX(tblRegistros[Data],$L500)&gt;$D$4,"",IFERROR(IF(INDEX(tblRegistros[Status],$L500)="EM ABERTO","",INDEX(tblRegistros[Valor],$L500)),"")))</f>
        <v/>
      </c>
      <c r="J500" t="str">
        <f>IF($L500="","",IF(INDEX(tblRegistros[Data],$L500)&gt;$D$4,"",IFERROR(INDEX(tblRegistros[Status],$L500),"")))</f>
        <v/>
      </c>
      <c r="K500" t="str">
        <f>IF($L500="","",IF(INDEX(tblRegistros[Data],$L500)&gt;$D$4,"",IFERROR(INDEX(tblRegistros[Observação],$L500),"")))</f>
        <v/>
      </c>
      <c r="L500" s="16" t="str">
        <f>IFERROR(MATCH($B$3*100000+COUNTIFS(tblRegistros[ID],$B$3,tblRegistros[Data],"&lt;"&amp;$B$4)+ROWS($L$10:L500),tblRegistros[Chave do cartão],0),"")</f>
        <v/>
      </c>
    </row>
    <row r="501" spans="1:12">
      <c r="A501" s="2" t="str">
        <f>IF($L501="","",IF(INDEX(tblRegistros[Data],$L501)&gt;$D$4,"",IFERROR(INDEX(tblRegistros[Data],$L501),"")))</f>
        <v/>
      </c>
      <c r="B501" t="str">
        <f>IF($L501="","",IF(INDEX(tblRegistros[Data],$L501)&gt;$D$4,"",IFERROR(INDEX(tblRegistros[Projeto],$L501),"")))</f>
        <v/>
      </c>
      <c r="C501" t="str">
        <f>IF($L501="","",IF(INDEX(tblRegistros[Data],$L501)&gt;$D$4,"",IFERROR(INDEX(tblRegistros[Atividade],$L501),"")))</f>
        <v/>
      </c>
      <c r="D501" s="4" t="str">
        <f>IF($L501="","",IF(INDEX(tblRegistros[Data],$L501)&gt;$D$4,"",IFERROR(INDEX(tblRegistros[Início],$L501),"")))</f>
        <v/>
      </c>
      <c r="E501" s="4" t="str">
        <f>IF($L501="","",IF(INDEX(tblRegistros[Data],$L501)&gt;$D$4,"",IFERROR(IF(INDEX(tblRegistros[Status],$L501)="EM ABERTO","",INDEX(tblRegistros[Fim],$L501)),"")))</f>
        <v/>
      </c>
      <c r="F501" t="str">
        <f>IF($L501="","",IF(INDEX(tblRegistros[Data],$L501)&gt;$D$4,"",IFERROR(IF(INDEX(tblRegistros[Status],$L501)="EM ABERTO","",INDEX(tblRegistros[Horas],$L501)),"")))</f>
        <v/>
      </c>
      <c r="G501" t="str">
        <f>IF($L501="","",IF(INDEX(tblRegistros[Data],$L501)&gt;$D$4,"",IFERROR(INDEX(tblRegistros[Base],$L501),"")))</f>
        <v/>
      </c>
      <c r="H501" s="3" t="str">
        <f>IF($L501="","",IF(INDEX(tblRegistros[Data],$L501)&gt;$D$4,"",IFERROR(INDEX(tblRegistros[Taxa aplicada],$L501),"")))</f>
        <v/>
      </c>
      <c r="I501" s="3" t="str">
        <f>IF($L501="","",IF(INDEX(tblRegistros[Data],$L501)&gt;$D$4,"",IFERROR(IF(INDEX(tblRegistros[Status],$L501)="EM ABERTO","",INDEX(tblRegistros[Valor],$L501)),"")))</f>
        <v/>
      </c>
      <c r="J501" t="str">
        <f>IF($L501="","",IF(INDEX(tblRegistros[Data],$L501)&gt;$D$4,"",IFERROR(INDEX(tblRegistros[Status],$L501),"")))</f>
        <v/>
      </c>
      <c r="K501" t="str">
        <f>IF($L501="","",IF(INDEX(tblRegistros[Data],$L501)&gt;$D$4,"",IFERROR(INDEX(tblRegistros[Observação],$L501),"")))</f>
        <v/>
      </c>
      <c r="L501" s="16" t="str">
        <f>IFERROR(MATCH($B$3*100000+COUNTIFS(tblRegistros[ID],$B$3,tblRegistros[Data],"&lt;"&amp;$B$4)+ROWS($L$10:L501),tblRegistros[Chave do cartão],0),"")</f>
        <v/>
      </c>
    </row>
    <row r="502" spans="1:12">
      <c r="A502" s="2" t="str">
        <f>IF($L502="","",IF(INDEX(tblRegistros[Data],$L502)&gt;$D$4,"",IFERROR(INDEX(tblRegistros[Data],$L502),"")))</f>
        <v/>
      </c>
      <c r="B502" t="str">
        <f>IF($L502="","",IF(INDEX(tblRegistros[Data],$L502)&gt;$D$4,"",IFERROR(INDEX(tblRegistros[Projeto],$L502),"")))</f>
        <v/>
      </c>
      <c r="C502" t="str">
        <f>IF($L502="","",IF(INDEX(tblRegistros[Data],$L502)&gt;$D$4,"",IFERROR(INDEX(tblRegistros[Atividade],$L502),"")))</f>
        <v/>
      </c>
      <c r="D502" s="4" t="str">
        <f>IF($L502="","",IF(INDEX(tblRegistros[Data],$L502)&gt;$D$4,"",IFERROR(INDEX(tblRegistros[Início],$L502),"")))</f>
        <v/>
      </c>
      <c r="E502" s="4" t="str">
        <f>IF($L502="","",IF(INDEX(tblRegistros[Data],$L502)&gt;$D$4,"",IFERROR(IF(INDEX(tblRegistros[Status],$L502)="EM ABERTO","",INDEX(tblRegistros[Fim],$L502)),"")))</f>
        <v/>
      </c>
      <c r="F502" t="str">
        <f>IF($L502="","",IF(INDEX(tblRegistros[Data],$L502)&gt;$D$4,"",IFERROR(IF(INDEX(tblRegistros[Status],$L502)="EM ABERTO","",INDEX(tblRegistros[Horas],$L502)),"")))</f>
        <v/>
      </c>
      <c r="G502" t="str">
        <f>IF($L502="","",IF(INDEX(tblRegistros[Data],$L502)&gt;$D$4,"",IFERROR(INDEX(tblRegistros[Base],$L502),"")))</f>
        <v/>
      </c>
      <c r="H502" s="3" t="str">
        <f>IF($L502="","",IF(INDEX(tblRegistros[Data],$L502)&gt;$D$4,"",IFERROR(INDEX(tblRegistros[Taxa aplicada],$L502),"")))</f>
        <v/>
      </c>
      <c r="I502" s="3" t="str">
        <f>IF($L502="","",IF(INDEX(tblRegistros[Data],$L502)&gt;$D$4,"",IFERROR(IF(INDEX(tblRegistros[Status],$L502)="EM ABERTO","",INDEX(tblRegistros[Valor],$L502)),"")))</f>
        <v/>
      </c>
      <c r="J502" t="str">
        <f>IF($L502="","",IF(INDEX(tblRegistros[Data],$L502)&gt;$D$4,"",IFERROR(INDEX(tblRegistros[Status],$L502),"")))</f>
        <v/>
      </c>
      <c r="K502" t="str">
        <f>IF($L502="","",IF(INDEX(tblRegistros[Data],$L502)&gt;$D$4,"",IFERROR(INDEX(tblRegistros[Observação],$L502),"")))</f>
        <v/>
      </c>
      <c r="L502" s="16" t="str">
        <f>IFERROR(MATCH($B$3*100000+COUNTIFS(tblRegistros[ID],$B$3,tblRegistros[Data],"&lt;"&amp;$B$4)+ROWS($L$10:L502),tblRegistros[Chave do cartão],0),"")</f>
        <v/>
      </c>
    </row>
    <row r="503" spans="1:12">
      <c r="A503" s="2" t="str">
        <f>IF($L503="","",IF(INDEX(tblRegistros[Data],$L503)&gt;$D$4,"",IFERROR(INDEX(tblRegistros[Data],$L503),"")))</f>
        <v/>
      </c>
      <c r="B503" t="str">
        <f>IF($L503="","",IF(INDEX(tblRegistros[Data],$L503)&gt;$D$4,"",IFERROR(INDEX(tblRegistros[Projeto],$L503),"")))</f>
        <v/>
      </c>
      <c r="C503" t="str">
        <f>IF($L503="","",IF(INDEX(tblRegistros[Data],$L503)&gt;$D$4,"",IFERROR(INDEX(tblRegistros[Atividade],$L503),"")))</f>
        <v/>
      </c>
      <c r="D503" s="4" t="str">
        <f>IF($L503="","",IF(INDEX(tblRegistros[Data],$L503)&gt;$D$4,"",IFERROR(INDEX(tblRegistros[Início],$L503),"")))</f>
        <v/>
      </c>
      <c r="E503" s="4" t="str">
        <f>IF($L503="","",IF(INDEX(tblRegistros[Data],$L503)&gt;$D$4,"",IFERROR(IF(INDEX(tblRegistros[Status],$L503)="EM ABERTO","",INDEX(tblRegistros[Fim],$L503)),"")))</f>
        <v/>
      </c>
      <c r="F503" t="str">
        <f>IF($L503="","",IF(INDEX(tblRegistros[Data],$L503)&gt;$D$4,"",IFERROR(IF(INDEX(tblRegistros[Status],$L503)="EM ABERTO","",INDEX(tblRegistros[Horas],$L503)),"")))</f>
        <v/>
      </c>
      <c r="G503" t="str">
        <f>IF($L503="","",IF(INDEX(tblRegistros[Data],$L503)&gt;$D$4,"",IFERROR(INDEX(tblRegistros[Base],$L503),"")))</f>
        <v/>
      </c>
      <c r="H503" s="3" t="str">
        <f>IF($L503="","",IF(INDEX(tblRegistros[Data],$L503)&gt;$D$4,"",IFERROR(INDEX(tblRegistros[Taxa aplicada],$L503),"")))</f>
        <v/>
      </c>
      <c r="I503" s="3" t="str">
        <f>IF($L503="","",IF(INDEX(tblRegistros[Data],$L503)&gt;$D$4,"",IFERROR(IF(INDEX(tblRegistros[Status],$L503)="EM ABERTO","",INDEX(tblRegistros[Valor],$L503)),"")))</f>
        <v/>
      </c>
      <c r="J503" t="str">
        <f>IF($L503="","",IF(INDEX(tblRegistros[Data],$L503)&gt;$D$4,"",IFERROR(INDEX(tblRegistros[Status],$L503),"")))</f>
        <v/>
      </c>
      <c r="K503" t="str">
        <f>IF($L503="","",IF(INDEX(tblRegistros[Data],$L503)&gt;$D$4,"",IFERROR(INDEX(tblRegistros[Observação],$L503),"")))</f>
        <v/>
      </c>
      <c r="L503" s="16" t="str">
        <f>IFERROR(MATCH($B$3*100000+COUNTIFS(tblRegistros[ID],$B$3,tblRegistros[Data],"&lt;"&amp;$B$4)+ROWS($L$10:L503),tblRegistros[Chave do cartão],0),"")</f>
        <v/>
      </c>
    </row>
    <row r="504" spans="1:12">
      <c r="A504" s="2" t="str">
        <f>IF($L504="","",IF(INDEX(tblRegistros[Data],$L504)&gt;$D$4,"",IFERROR(INDEX(tblRegistros[Data],$L504),"")))</f>
        <v/>
      </c>
      <c r="B504" t="str">
        <f>IF($L504="","",IF(INDEX(tblRegistros[Data],$L504)&gt;$D$4,"",IFERROR(INDEX(tblRegistros[Projeto],$L504),"")))</f>
        <v/>
      </c>
      <c r="C504" t="str">
        <f>IF($L504="","",IF(INDEX(tblRegistros[Data],$L504)&gt;$D$4,"",IFERROR(INDEX(tblRegistros[Atividade],$L504),"")))</f>
        <v/>
      </c>
      <c r="D504" s="4" t="str">
        <f>IF($L504="","",IF(INDEX(tblRegistros[Data],$L504)&gt;$D$4,"",IFERROR(INDEX(tblRegistros[Início],$L504),"")))</f>
        <v/>
      </c>
      <c r="E504" s="4" t="str">
        <f>IF($L504="","",IF(INDEX(tblRegistros[Data],$L504)&gt;$D$4,"",IFERROR(IF(INDEX(tblRegistros[Status],$L504)="EM ABERTO","",INDEX(tblRegistros[Fim],$L504)),"")))</f>
        <v/>
      </c>
      <c r="F504" t="str">
        <f>IF($L504="","",IF(INDEX(tblRegistros[Data],$L504)&gt;$D$4,"",IFERROR(IF(INDEX(tblRegistros[Status],$L504)="EM ABERTO","",INDEX(tblRegistros[Horas],$L504)),"")))</f>
        <v/>
      </c>
      <c r="G504" t="str">
        <f>IF($L504="","",IF(INDEX(tblRegistros[Data],$L504)&gt;$D$4,"",IFERROR(INDEX(tblRegistros[Base],$L504),"")))</f>
        <v/>
      </c>
      <c r="H504" s="3" t="str">
        <f>IF($L504="","",IF(INDEX(tblRegistros[Data],$L504)&gt;$D$4,"",IFERROR(INDEX(tblRegistros[Taxa aplicada],$L504),"")))</f>
        <v/>
      </c>
      <c r="I504" s="3" t="str">
        <f>IF($L504="","",IF(INDEX(tblRegistros[Data],$L504)&gt;$D$4,"",IFERROR(IF(INDEX(tblRegistros[Status],$L504)="EM ABERTO","",INDEX(tblRegistros[Valor],$L504)),"")))</f>
        <v/>
      </c>
      <c r="J504" t="str">
        <f>IF($L504="","",IF(INDEX(tblRegistros[Data],$L504)&gt;$D$4,"",IFERROR(INDEX(tblRegistros[Status],$L504),"")))</f>
        <v/>
      </c>
      <c r="K504" t="str">
        <f>IF($L504="","",IF(INDEX(tblRegistros[Data],$L504)&gt;$D$4,"",IFERROR(INDEX(tblRegistros[Observação],$L504),"")))</f>
        <v/>
      </c>
      <c r="L504" s="16" t="str">
        <f>IFERROR(MATCH($B$3*100000+COUNTIFS(tblRegistros[ID],$B$3,tblRegistros[Data],"&lt;"&amp;$B$4)+ROWS($L$10:L504),tblRegistros[Chave do cartão],0),"")</f>
        <v/>
      </c>
    </row>
    <row r="505" spans="1:12">
      <c r="A505" s="2" t="str">
        <f>IF($L505="","",IF(INDEX(tblRegistros[Data],$L505)&gt;$D$4,"",IFERROR(INDEX(tblRegistros[Data],$L505),"")))</f>
        <v/>
      </c>
      <c r="B505" t="str">
        <f>IF($L505="","",IF(INDEX(tblRegistros[Data],$L505)&gt;$D$4,"",IFERROR(INDEX(tblRegistros[Projeto],$L505),"")))</f>
        <v/>
      </c>
      <c r="C505" t="str">
        <f>IF($L505="","",IF(INDEX(tblRegistros[Data],$L505)&gt;$D$4,"",IFERROR(INDEX(tblRegistros[Atividade],$L505),"")))</f>
        <v/>
      </c>
      <c r="D505" s="4" t="str">
        <f>IF($L505="","",IF(INDEX(tblRegistros[Data],$L505)&gt;$D$4,"",IFERROR(INDEX(tblRegistros[Início],$L505),"")))</f>
        <v/>
      </c>
      <c r="E505" s="4" t="str">
        <f>IF($L505="","",IF(INDEX(tblRegistros[Data],$L505)&gt;$D$4,"",IFERROR(IF(INDEX(tblRegistros[Status],$L505)="EM ABERTO","",INDEX(tblRegistros[Fim],$L505)),"")))</f>
        <v/>
      </c>
      <c r="F505" t="str">
        <f>IF($L505="","",IF(INDEX(tblRegistros[Data],$L505)&gt;$D$4,"",IFERROR(IF(INDEX(tblRegistros[Status],$L505)="EM ABERTO","",INDEX(tblRegistros[Horas],$L505)),"")))</f>
        <v/>
      </c>
      <c r="G505" t="str">
        <f>IF($L505="","",IF(INDEX(tblRegistros[Data],$L505)&gt;$D$4,"",IFERROR(INDEX(tblRegistros[Base],$L505),"")))</f>
        <v/>
      </c>
      <c r="H505" s="3" t="str">
        <f>IF($L505="","",IF(INDEX(tblRegistros[Data],$L505)&gt;$D$4,"",IFERROR(INDEX(tblRegistros[Taxa aplicada],$L505),"")))</f>
        <v/>
      </c>
      <c r="I505" s="3" t="str">
        <f>IF($L505="","",IF(INDEX(tblRegistros[Data],$L505)&gt;$D$4,"",IFERROR(IF(INDEX(tblRegistros[Status],$L505)="EM ABERTO","",INDEX(tblRegistros[Valor],$L505)),"")))</f>
        <v/>
      </c>
      <c r="J505" t="str">
        <f>IF($L505="","",IF(INDEX(tblRegistros[Data],$L505)&gt;$D$4,"",IFERROR(INDEX(tblRegistros[Status],$L505),"")))</f>
        <v/>
      </c>
      <c r="K505" t="str">
        <f>IF($L505="","",IF(INDEX(tblRegistros[Data],$L505)&gt;$D$4,"",IFERROR(INDEX(tblRegistros[Observação],$L505),"")))</f>
        <v/>
      </c>
      <c r="L505" s="16" t="str">
        <f>IFERROR(MATCH($B$3*100000+COUNTIFS(tblRegistros[ID],$B$3,tblRegistros[Data],"&lt;"&amp;$B$4)+ROWS($L$10:L505),tblRegistros[Chave do cartão],0),"")</f>
        <v/>
      </c>
    </row>
    <row r="506" spans="1:12">
      <c r="A506" s="2" t="str">
        <f>IF($L506="","",IF(INDEX(tblRegistros[Data],$L506)&gt;$D$4,"",IFERROR(INDEX(tblRegistros[Data],$L506),"")))</f>
        <v/>
      </c>
      <c r="B506" t="str">
        <f>IF($L506="","",IF(INDEX(tblRegistros[Data],$L506)&gt;$D$4,"",IFERROR(INDEX(tblRegistros[Projeto],$L506),"")))</f>
        <v/>
      </c>
      <c r="C506" t="str">
        <f>IF($L506="","",IF(INDEX(tblRegistros[Data],$L506)&gt;$D$4,"",IFERROR(INDEX(tblRegistros[Atividade],$L506),"")))</f>
        <v/>
      </c>
      <c r="D506" s="4" t="str">
        <f>IF($L506="","",IF(INDEX(tblRegistros[Data],$L506)&gt;$D$4,"",IFERROR(INDEX(tblRegistros[Início],$L506),"")))</f>
        <v/>
      </c>
      <c r="E506" s="4" t="str">
        <f>IF($L506="","",IF(INDEX(tblRegistros[Data],$L506)&gt;$D$4,"",IFERROR(IF(INDEX(tblRegistros[Status],$L506)="EM ABERTO","",INDEX(tblRegistros[Fim],$L506)),"")))</f>
        <v/>
      </c>
      <c r="F506" t="str">
        <f>IF($L506="","",IF(INDEX(tblRegistros[Data],$L506)&gt;$D$4,"",IFERROR(IF(INDEX(tblRegistros[Status],$L506)="EM ABERTO","",INDEX(tblRegistros[Horas],$L506)),"")))</f>
        <v/>
      </c>
      <c r="G506" t="str">
        <f>IF($L506="","",IF(INDEX(tblRegistros[Data],$L506)&gt;$D$4,"",IFERROR(INDEX(tblRegistros[Base],$L506),"")))</f>
        <v/>
      </c>
      <c r="H506" s="3" t="str">
        <f>IF($L506="","",IF(INDEX(tblRegistros[Data],$L506)&gt;$D$4,"",IFERROR(INDEX(tblRegistros[Taxa aplicada],$L506),"")))</f>
        <v/>
      </c>
      <c r="I506" s="3" t="str">
        <f>IF($L506="","",IF(INDEX(tblRegistros[Data],$L506)&gt;$D$4,"",IFERROR(IF(INDEX(tblRegistros[Status],$L506)="EM ABERTO","",INDEX(tblRegistros[Valor],$L506)),"")))</f>
        <v/>
      </c>
      <c r="J506" t="str">
        <f>IF($L506="","",IF(INDEX(tblRegistros[Data],$L506)&gt;$D$4,"",IFERROR(INDEX(tblRegistros[Status],$L506),"")))</f>
        <v/>
      </c>
      <c r="K506" t="str">
        <f>IF($L506="","",IF(INDEX(tblRegistros[Data],$L506)&gt;$D$4,"",IFERROR(INDEX(tblRegistros[Observação],$L506),"")))</f>
        <v/>
      </c>
      <c r="L506" s="16" t="str">
        <f>IFERROR(MATCH($B$3*100000+COUNTIFS(tblRegistros[ID],$B$3,tblRegistros[Data],"&lt;"&amp;$B$4)+ROWS($L$10:L506),tblRegistros[Chave do cartão],0),"")</f>
        <v/>
      </c>
    </row>
    <row r="507" spans="1:12">
      <c r="A507" s="2" t="str">
        <f>IF($L507="","",IF(INDEX(tblRegistros[Data],$L507)&gt;$D$4,"",IFERROR(INDEX(tblRegistros[Data],$L507),"")))</f>
        <v/>
      </c>
      <c r="B507" t="str">
        <f>IF($L507="","",IF(INDEX(tblRegistros[Data],$L507)&gt;$D$4,"",IFERROR(INDEX(tblRegistros[Projeto],$L507),"")))</f>
        <v/>
      </c>
      <c r="C507" t="str">
        <f>IF($L507="","",IF(INDEX(tblRegistros[Data],$L507)&gt;$D$4,"",IFERROR(INDEX(tblRegistros[Atividade],$L507),"")))</f>
        <v/>
      </c>
      <c r="D507" s="4" t="str">
        <f>IF($L507="","",IF(INDEX(tblRegistros[Data],$L507)&gt;$D$4,"",IFERROR(INDEX(tblRegistros[Início],$L507),"")))</f>
        <v/>
      </c>
      <c r="E507" s="4" t="str">
        <f>IF($L507="","",IF(INDEX(tblRegistros[Data],$L507)&gt;$D$4,"",IFERROR(IF(INDEX(tblRegistros[Status],$L507)="EM ABERTO","",INDEX(tblRegistros[Fim],$L507)),"")))</f>
        <v/>
      </c>
      <c r="F507" t="str">
        <f>IF($L507="","",IF(INDEX(tblRegistros[Data],$L507)&gt;$D$4,"",IFERROR(IF(INDEX(tblRegistros[Status],$L507)="EM ABERTO","",INDEX(tblRegistros[Horas],$L507)),"")))</f>
        <v/>
      </c>
      <c r="G507" t="str">
        <f>IF($L507="","",IF(INDEX(tblRegistros[Data],$L507)&gt;$D$4,"",IFERROR(INDEX(tblRegistros[Base],$L507),"")))</f>
        <v/>
      </c>
      <c r="H507" s="3" t="str">
        <f>IF($L507="","",IF(INDEX(tblRegistros[Data],$L507)&gt;$D$4,"",IFERROR(INDEX(tblRegistros[Taxa aplicada],$L507),"")))</f>
        <v/>
      </c>
      <c r="I507" s="3" t="str">
        <f>IF($L507="","",IF(INDEX(tblRegistros[Data],$L507)&gt;$D$4,"",IFERROR(IF(INDEX(tblRegistros[Status],$L507)="EM ABERTO","",INDEX(tblRegistros[Valor],$L507)),"")))</f>
        <v/>
      </c>
      <c r="J507" t="str">
        <f>IF($L507="","",IF(INDEX(tblRegistros[Data],$L507)&gt;$D$4,"",IFERROR(INDEX(tblRegistros[Status],$L507),"")))</f>
        <v/>
      </c>
      <c r="K507" t="str">
        <f>IF($L507="","",IF(INDEX(tblRegistros[Data],$L507)&gt;$D$4,"",IFERROR(INDEX(tblRegistros[Observação],$L507),"")))</f>
        <v/>
      </c>
      <c r="L507" s="16" t="str">
        <f>IFERROR(MATCH($B$3*100000+COUNTIFS(tblRegistros[ID],$B$3,tblRegistros[Data],"&lt;"&amp;$B$4)+ROWS($L$10:L507),tblRegistros[Chave do cartão],0),"")</f>
        <v/>
      </c>
    </row>
    <row r="508" spans="1:12">
      <c r="A508" s="2" t="str">
        <f>IF($L508="","",IF(INDEX(tblRegistros[Data],$L508)&gt;$D$4,"",IFERROR(INDEX(tblRegistros[Data],$L508),"")))</f>
        <v/>
      </c>
      <c r="B508" t="str">
        <f>IF($L508="","",IF(INDEX(tblRegistros[Data],$L508)&gt;$D$4,"",IFERROR(INDEX(tblRegistros[Projeto],$L508),"")))</f>
        <v/>
      </c>
      <c r="C508" t="str">
        <f>IF($L508="","",IF(INDEX(tblRegistros[Data],$L508)&gt;$D$4,"",IFERROR(INDEX(tblRegistros[Atividade],$L508),"")))</f>
        <v/>
      </c>
      <c r="D508" s="4" t="str">
        <f>IF($L508="","",IF(INDEX(tblRegistros[Data],$L508)&gt;$D$4,"",IFERROR(INDEX(tblRegistros[Início],$L508),"")))</f>
        <v/>
      </c>
      <c r="E508" s="4" t="str">
        <f>IF($L508="","",IF(INDEX(tblRegistros[Data],$L508)&gt;$D$4,"",IFERROR(IF(INDEX(tblRegistros[Status],$L508)="EM ABERTO","",INDEX(tblRegistros[Fim],$L508)),"")))</f>
        <v/>
      </c>
      <c r="F508" t="str">
        <f>IF($L508="","",IF(INDEX(tblRegistros[Data],$L508)&gt;$D$4,"",IFERROR(IF(INDEX(tblRegistros[Status],$L508)="EM ABERTO","",INDEX(tblRegistros[Horas],$L508)),"")))</f>
        <v/>
      </c>
      <c r="G508" t="str">
        <f>IF($L508="","",IF(INDEX(tblRegistros[Data],$L508)&gt;$D$4,"",IFERROR(INDEX(tblRegistros[Base],$L508),"")))</f>
        <v/>
      </c>
      <c r="H508" s="3" t="str">
        <f>IF($L508="","",IF(INDEX(tblRegistros[Data],$L508)&gt;$D$4,"",IFERROR(INDEX(tblRegistros[Taxa aplicada],$L508),"")))</f>
        <v/>
      </c>
      <c r="I508" s="3" t="str">
        <f>IF($L508="","",IF(INDEX(tblRegistros[Data],$L508)&gt;$D$4,"",IFERROR(IF(INDEX(tblRegistros[Status],$L508)="EM ABERTO","",INDEX(tblRegistros[Valor],$L508)),"")))</f>
        <v/>
      </c>
      <c r="J508" t="str">
        <f>IF($L508="","",IF(INDEX(tblRegistros[Data],$L508)&gt;$D$4,"",IFERROR(INDEX(tblRegistros[Status],$L508),"")))</f>
        <v/>
      </c>
      <c r="K508" t="str">
        <f>IF($L508="","",IF(INDEX(tblRegistros[Data],$L508)&gt;$D$4,"",IFERROR(INDEX(tblRegistros[Observação],$L508),"")))</f>
        <v/>
      </c>
      <c r="L508" s="16" t="str">
        <f>IFERROR(MATCH($B$3*100000+COUNTIFS(tblRegistros[ID],$B$3,tblRegistros[Data],"&lt;"&amp;$B$4)+ROWS($L$10:L508),tblRegistros[Chave do cartão],0),"")</f>
        <v/>
      </c>
    </row>
    <row r="509" spans="1:12">
      <c r="A509" s="2" t="str">
        <f>IF($L509="","",IF(INDEX(tblRegistros[Data],$L509)&gt;$D$4,"",IFERROR(INDEX(tblRegistros[Data],$L509),"")))</f>
        <v/>
      </c>
      <c r="B509" t="str">
        <f>IF($L509="","",IF(INDEX(tblRegistros[Data],$L509)&gt;$D$4,"",IFERROR(INDEX(tblRegistros[Projeto],$L509),"")))</f>
        <v/>
      </c>
      <c r="C509" t="str">
        <f>IF($L509="","",IF(INDEX(tblRegistros[Data],$L509)&gt;$D$4,"",IFERROR(INDEX(tblRegistros[Atividade],$L509),"")))</f>
        <v/>
      </c>
      <c r="D509" s="4" t="str">
        <f>IF($L509="","",IF(INDEX(tblRegistros[Data],$L509)&gt;$D$4,"",IFERROR(INDEX(tblRegistros[Início],$L509),"")))</f>
        <v/>
      </c>
      <c r="E509" s="4" t="str">
        <f>IF($L509="","",IF(INDEX(tblRegistros[Data],$L509)&gt;$D$4,"",IFERROR(IF(INDEX(tblRegistros[Status],$L509)="EM ABERTO","",INDEX(tblRegistros[Fim],$L509)),"")))</f>
        <v/>
      </c>
      <c r="F509" t="str">
        <f>IF($L509="","",IF(INDEX(tblRegistros[Data],$L509)&gt;$D$4,"",IFERROR(IF(INDEX(tblRegistros[Status],$L509)="EM ABERTO","",INDEX(tblRegistros[Horas],$L509)),"")))</f>
        <v/>
      </c>
      <c r="G509" t="str">
        <f>IF($L509="","",IF(INDEX(tblRegistros[Data],$L509)&gt;$D$4,"",IFERROR(INDEX(tblRegistros[Base],$L509),"")))</f>
        <v/>
      </c>
      <c r="H509" s="3" t="str">
        <f>IF($L509="","",IF(INDEX(tblRegistros[Data],$L509)&gt;$D$4,"",IFERROR(INDEX(tblRegistros[Taxa aplicada],$L509),"")))</f>
        <v/>
      </c>
      <c r="I509" s="3" t="str">
        <f>IF($L509="","",IF(INDEX(tblRegistros[Data],$L509)&gt;$D$4,"",IFERROR(IF(INDEX(tblRegistros[Status],$L509)="EM ABERTO","",INDEX(tblRegistros[Valor],$L509)),"")))</f>
        <v/>
      </c>
      <c r="J509" t="str">
        <f>IF($L509="","",IF(INDEX(tblRegistros[Data],$L509)&gt;$D$4,"",IFERROR(INDEX(tblRegistros[Status],$L509),"")))</f>
        <v/>
      </c>
      <c r="K509" t="str">
        <f>IF($L509="","",IF(INDEX(tblRegistros[Data],$L509)&gt;$D$4,"",IFERROR(INDEX(tblRegistros[Observação],$L509),"")))</f>
        <v/>
      </c>
      <c r="L509" s="16" t="str">
        <f>IFERROR(MATCH($B$3*100000+COUNTIFS(tblRegistros[ID],$B$3,tblRegistros[Data],"&lt;"&amp;$B$4)+ROWS($L$10:L509),tblRegistros[Chave do cartão],0),"")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N106"/>
  <sheetViews>
    <sheetView showGridLines="0" workbookViewId="0"/>
  </sheetViews>
  <sheetFormatPr defaultRowHeight="14.25"/>
  <cols>
    <col min="1" max="1" width="8" customWidth="1"/>
    <col min="2" max="2" width="32.25" customWidth="1"/>
    <col min="3" max="3" width="10" customWidth="1"/>
    <col min="4" max="6" width="11.125" customWidth="1"/>
    <col min="7" max="7" width="13.125" customWidth="1"/>
    <col min="8" max="10" width="11.625" customWidth="1"/>
    <col min="11" max="11" width="13.875" customWidth="1"/>
    <col min="12" max="12" width="11.625" customWidth="1"/>
    <col min="13" max="13" width="15" customWidth="1"/>
    <col min="14" max="14" width="11.625" customWidth="1"/>
  </cols>
  <sheetData>
    <row r="1" spans="1:14" ht="24" customHeight="1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>
      <c r="A2" s="7" t="s">
        <v>33</v>
      </c>
    </row>
    <row r="4" spans="1:14" ht="22.5" customHeight="1">
      <c r="A4" s="8" t="s">
        <v>14</v>
      </c>
      <c r="B4" s="11">
        <v>46266</v>
      </c>
      <c r="C4" s="8" t="s">
        <v>15</v>
      </c>
      <c r="D4" s="11">
        <v>46295</v>
      </c>
    </row>
    <row r="5" spans="1:14" ht="15">
      <c r="A5" s="18" t="s">
        <v>34</v>
      </c>
      <c r="B5" s="18"/>
      <c r="C5" s="18"/>
      <c r="D5" s="18"/>
      <c r="E5" s="18"/>
      <c r="F5" s="20">
        <f>SUM(F7:F106)</f>
        <v>940.93055555544561</v>
      </c>
      <c r="G5" s="18"/>
      <c r="H5" s="18"/>
      <c r="I5" s="18"/>
      <c r="J5" s="18"/>
      <c r="K5" s="18"/>
      <c r="L5" s="18"/>
      <c r="M5" s="19">
        <f>SUM(M7:M106)</f>
        <v>21370.063194441049</v>
      </c>
      <c r="N5" s="18">
        <f>SUM(N7:N106)</f>
        <v>71</v>
      </c>
    </row>
    <row r="6" spans="1:14" ht="24" customHeight="1">
      <c r="A6" s="5" t="s">
        <v>35</v>
      </c>
      <c r="B6" s="5" t="s">
        <v>3</v>
      </c>
      <c r="C6" s="5" t="s">
        <v>27</v>
      </c>
      <c r="D6" s="5" t="s">
        <v>16</v>
      </c>
      <c r="E6" s="5" t="s">
        <v>17</v>
      </c>
      <c r="F6" s="5" t="s">
        <v>18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21</v>
      </c>
    </row>
    <row r="7" spans="1:14" ht="18.75" customHeight="1">
      <c r="A7">
        <v>1001</v>
      </c>
      <c r="B7" t="s">
        <v>43</v>
      </c>
      <c r="C7" t="s">
        <v>44</v>
      </c>
      <c r="D7" s="14">
        <f>IF(A7="","",SUMIFS(tblRegistros[Horas],tblRegistros[ID],A7,tblRegistros[Data],"&gt;="&amp;$B$4,tblRegistros[Data],"&lt;"&amp;($D$4+1),tblRegistros[Status],"CONCLUÍDO",tblRegistros[Tipo de dia],"DIA ÚTIL"))</f>
        <v>62.171388888848014</v>
      </c>
      <c r="E7" s="14">
        <f>IF(A7="","",SUMIFS(tblRegistros[Horas],tblRegistros[ID],A7,tblRegistros[Data],"&gt;="&amp;$B$4,tblRegistros[Data],"&lt;"&amp;($D$4+1),tblRegistros[Status],"CONCLUÍDO",tblRegistros[Tipo de dia],"FDS/FERIADO"))</f>
        <v>9.0197222222923301</v>
      </c>
      <c r="F7" s="14">
        <f t="shared" ref="F7:F23" si="0">IF(A7="","",D7+E7)</f>
        <v>71.191111111140344</v>
      </c>
      <c r="G7">
        <f>IF(A7="","",SUMIFS(tblRegistros[1º do dia],tblRegistros[ID],A7,tblRegistros[Data],"&gt;="&amp;$B$4,tblRegistros[Data],"&lt;"&amp;($D$4+1),tblRegistros[Status],"CONCLUÍDO"))</f>
        <v>10</v>
      </c>
      <c r="H7" s="3">
        <v>17</v>
      </c>
      <c r="I7" s="3">
        <v>20</v>
      </c>
      <c r="J7" s="3">
        <v>0</v>
      </c>
      <c r="K7" s="3">
        <f>IF(A7="","",SUMIFS(tblRegistros[Valor],tblRegistros[ID],A7,tblRegistros[Data],"&gt;="&amp;$B$4,tblRegistros[Data],"&lt;"&amp;($D$4+1),tblRegistros[Status],"CONCLUÍDO"))</f>
        <v>1237.3080555562628</v>
      </c>
      <c r="L7" s="3">
        <v>0</v>
      </c>
      <c r="M7" s="3">
        <f t="shared" ref="M7:M23" si="1">IF(A7="","",K7+L7)</f>
        <v>1237.3080555562628</v>
      </c>
      <c r="N7">
        <f>IF(A7="","",COUNTIFS(tblRegistros[ID],A7,tblRegistros[Data],"&gt;="&amp;$B$4,tblRegistros[Data],"&lt;"&amp;($D$4+1),tblRegistros[Status],"EM ABERTO")+COUNTIFS(tblRegistros[ID],A7,tblRegistros[Data],"&gt;="&amp;$B$4,tblRegistros[Data],"&lt;"&amp;($D$4+1),tblRegistros[Status],"REVISAR"))</f>
        <v>3</v>
      </c>
    </row>
    <row r="8" spans="1:14" ht="18.75" customHeight="1">
      <c r="A8">
        <v>1002</v>
      </c>
      <c r="B8" t="s">
        <v>45</v>
      </c>
      <c r="C8" t="s">
        <v>44</v>
      </c>
      <c r="D8" s="14">
        <f>IF(A8="","",SUMIFS(tblRegistros[Horas],tblRegistros[ID],A8,tblRegistros[Data],"&gt;="&amp;$B$4,tblRegistros[Data],"&lt;"&amp;($D$4+1),tblRegistros[Status],"CONCLUÍDO",tblRegistros[Tipo de dia],"DIA ÚTIL"))</f>
        <v>125.45999999984633</v>
      </c>
      <c r="E8" s="14">
        <f>IF(A8="","",SUMIFS(tblRegistros[Horas],tblRegistros[ID],A8,tblRegistros[Data],"&gt;="&amp;$B$4,tblRegistros[Data],"&lt;"&amp;($D$4+1),tblRegistros[Status],"CONCLUÍDO",tblRegistros[Tipo de dia],"FDS/FERIADO"))</f>
        <v>4.97083333338378</v>
      </c>
      <c r="F8" s="14">
        <f t="shared" si="0"/>
        <v>130.43083333323011</v>
      </c>
      <c r="G8">
        <f>IF(A8="","",SUMIFS(tblRegistros[1º do dia],tblRegistros[ID],A8,tblRegistros[Data],"&gt;="&amp;$B$4,tblRegistros[Data],"&lt;"&amp;($D$4+1),tblRegistros[Status],"CONCLUÍDO"))</f>
        <v>18</v>
      </c>
      <c r="H8" s="3">
        <v>23.5</v>
      </c>
      <c r="I8" s="3">
        <v>23.5</v>
      </c>
      <c r="J8" s="3">
        <v>0</v>
      </c>
      <c r="K8" s="3">
        <f>IF(A8="","",SUMIFS(tblRegistros[Valor],tblRegistros[ID],A8,tblRegistros[Data],"&gt;="&amp;$B$4,tblRegistros[Data],"&lt;"&amp;($D$4+1),tblRegistros[Status],"CONCLUÍDO"))</f>
        <v>3065.1245833309076</v>
      </c>
      <c r="L8" s="3">
        <v>0</v>
      </c>
      <c r="M8" s="3">
        <f t="shared" si="1"/>
        <v>3065.1245833309076</v>
      </c>
      <c r="N8">
        <f>IF(A8="","",COUNTIFS(tblRegistros[ID],A8,tblRegistros[Data],"&gt;="&amp;$B$4,tblRegistros[Data],"&lt;"&amp;($D$4+1),tblRegistros[Status],"EM ABERTO")+COUNTIFS(tblRegistros[ID],A8,tblRegistros[Data],"&gt;="&amp;$B$4,tblRegistros[Data],"&lt;"&amp;($D$4+1),tblRegistros[Status],"REVISAR"))</f>
        <v>5</v>
      </c>
    </row>
    <row r="9" spans="1:14" ht="18.75" customHeight="1">
      <c r="A9">
        <v>1003</v>
      </c>
      <c r="B9" t="s">
        <v>46</v>
      </c>
      <c r="C9" t="s">
        <v>44</v>
      </c>
      <c r="D9" s="14">
        <f>IF(A9="","",SUMIFS(tblRegistros[Horas],tblRegistros[ID],A9,tblRegistros[Data],"&gt;="&amp;$B$4,tblRegistros[Data],"&lt;"&amp;($D$4+1),tblRegistros[Status],"CONCLUÍDO",tblRegistros[Tipo de dia],"DIA ÚTIL"))</f>
        <v>109.75444444472669</v>
      </c>
      <c r="E9" s="14">
        <f>IF(A9="","",SUMIFS(tblRegistros[Horas],tblRegistros[ID],A9,tblRegistros[Data],"&gt;="&amp;$B$4,tblRegistros[Data],"&lt;"&amp;($D$4+1),tblRegistros[Status],"CONCLUÍDO",tblRegistros[Tipo de dia],"FDS/FERIADO"))</f>
        <v>39.794722222373821</v>
      </c>
      <c r="F9" s="14">
        <f t="shared" si="0"/>
        <v>149.54916666710051</v>
      </c>
      <c r="G9">
        <f>IF(A9="","",SUMIFS(tblRegistros[1º do dia],tblRegistros[ID],A9,tblRegistros[Data],"&gt;="&amp;$B$4,tblRegistros[Data],"&lt;"&amp;($D$4+1),tblRegistros[Status],"CONCLUÍDO"))</f>
        <v>21</v>
      </c>
      <c r="H9" s="3">
        <v>23.5</v>
      </c>
      <c r="I9" s="3">
        <v>23.5</v>
      </c>
      <c r="J9" s="3">
        <v>0</v>
      </c>
      <c r="K9" s="3">
        <f>IF(A9="","",SUMIFS(tblRegistros[Valor],tblRegistros[ID],A9,tblRegistros[Data],"&gt;="&amp;$B$4,tblRegistros[Data],"&lt;"&amp;($D$4+1),tblRegistros[Status],"CONCLUÍDO"))</f>
        <v>3514.4054166768619</v>
      </c>
      <c r="L9" s="3">
        <v>0</v>
      </c>
      <c r="M9" s="3">
        <f t="shared" si="1"/>
        <v>3514.4054166768619</v>
      </c>
      <c r="N9">
        <f>IF(A9="","",COUNTIFS(tblRegistros[ID],A9,tblRegistros[Data],"&gt;="&amp;$B$4,tblRegistros[Data],"&lt;"&amp;($D$4+1),tblRegistros[Status],"EM ABERTO")+COUNTIFS(tblRegistros[ID],A9,tblRegistros[Data],"&gt;="&amp;$B$4,tblRegistros[Data],"&lt;"&amp;($D$4+1),tblRegistros[Status],"REVISAR"))</f>
        <v>10</v>
      </c>
    </row>
    <row r="10" spans="1:14" ht="18.75" customHeight="1">
      <c r="A10">
        <v>1004</v>
      </c>
      <c r="B10" t="s">
        <v>47</v>
      </c>
      <c r="C10" t="s">
        <v>44</v>
      </c>
      <c r="D10" s="14">
        <f>IF(A10="","",SUMIFS(tblRegistros[Horas],tblRegistros[ID],A10,tblRegistros[Data],"&gt;="&amp;$B$4,tblRegistros[Data],"&lt;"&amp;($D$4+1),tblRegistros[Status],"CONCLUÍDO",tblRegistros[Tipo de dia],"DIA ÚTIL"))</f>
        <v>65.356944444647525</v>
      </c>
      <c r="E10" s="14">
        <f>IF(A10="","",SUMIFS(tblRegistros[Horas],tblRegistros[ID],A10,tblRegistros[Data],"&gt;="&amp;$B$4,tblRegistros[Data],"&lt;"&amp;($D$4+1),tblRegistros[Status],"CONCLUÍDO",tblRegistros[Tipo de dia],"FDS/FERIADO"))</f>
        <v>6.43611111107748</v>
      </c>
      <c r="F10" s="14">
        <f t="shared" si="0"/>
        <v>71.793055555725005</v>
      </c>
      <c r="G10">
        <f>IF(A10="","",SUMIFS(tblRegistros[1º do dia],tblRegistros[ID],A10,tblRegistros[Data],"&gt;="&amp;$B$4,tblRegistros[Data],"&lt;"&amp;($D$4+1),tblRegistros[Status],"CONCLUÍDO"))</f>
        <v>10</v>
      </c>
      <c r="H10" s="3">
        <v>21.5</v>
      </c>
      <c r="I10" s="3">
        <v>20</v>
      </c>
      <c r="J10" s="3">
        <v>0</v>
      </c>
      <c r="K10" s="3">
        <f>IF(A10="","",SUMIFS(tblRegistros[Valor],tblRegistros[ID],A10,tblRegistros[Data],"&gt;="&amp;$B$4,tblRegistros[Data],"&lt;"&amp;($D$4+1),tblRegistros[Status],"CONCLUÍDO"))</f>
        <v>1533.8965277814714</v>
      </c>
      <c r="L10" s="3">
        <v>0</v>
      </c>
      <c r="M10" s="3">
        <f t="shared" si="1"/>
        <v>1533.8965277814714</v>
      </c>
      <c r="N10">
        <f>IF(A10="","",COUNTIFS(tblRegistros[ID],A10,tblRegistros[Data],"&gt;="&amp;$B$4,tblRegistros[Data],"&lt;"&amp;($D$4+1),tblRegistros[Status],"EM ABERTO")+COUNTIFS(tblRegistros[ID],A10,tblRegistros[Data],"&gt;="&amp;$B$4,tblRegistros[Data],"&lt;"&amp;($D$4+1),tblRegistros[Status],"REVISAR"))</f>
        <v>6</v>
      </c>
    </row>
    <row r="11" spans="1:14" ht="18.75" customHeight="1">
      <c r="A11">
        <v>1005</v>
      </c>
      <c r="B11" t="s">
        <v>48</v>
      </c>
      <c r="C11" t="s">
        <v>44</v>
      </c>
      <c r="D11" s="14">
        <f>IF(A11="","",SUMIFS(tblRegistros[Horas],tblRegistros[ID],A11,tblRegistros[Data],"&gt;="&amp;$B$4,tblRegistros[Data],"&lt;"&amp;($D$4+1),tblRegistros[Status],"CONCLUÍDO",tblRegistros[Tipo de dia],"DIA ÚTIL"))</f>
        <v>3.9883333333418705</v>
      </c>
      <c r="E11" s="14">
        <f>IF(A11="","",SUMIFS(tblRegistros[Horas],tblRegistros[ID],A11,tblRegistros[Data],"&gt;="&amp;$B$4,tblRegistros[Data],"&lt;"&amp;($D$4+1),tblRegistros[Status],"CONCLUÍDO",tblRegistros[Tipo de dia],"FDS/FERIADO"))</f>
        <v>0</v>
      </c>
      <c r="F11" s="14">
        <f t="shared" si="0"/>
        <v>3.9883333333418705</v>
      </c>
      <c r="G11">
        <f>IF(A11="","",SUMIFS(tblRegistros[1º do dia],tblRegistros[ID],A11,tblRegistros[Data],"&gt;="&amp;$B$4,tblRegistros[Data],"&lt;"&amp;($D$4+1),tblRegistros[Status],"CONCLUÍDO"))</f>
        <v>1</v>
      </c>
      <c r="H11" s="3">
        <v>13</v>
      </c>
      <c r="I11" s="3">
        <v>16.5</v>
      </c>
      <c r="J11" s="3">
        <v>0</v>
      </c>
      <c r="K11" s="3">
        <f>IF(A11="","",SUMIFS(tblRegistros[Valor],tblRegistros[ID],A11,tblRegistros[Data],"&gt;="&amp;$B$4,tblRegistros[Data],"&lt;"&amp;($D$4+1),tblRegistros[Status],"CONCLUÍDO"))</f>
        <v>51.848333333444316</v>
      </c>
      <c r="L11" s="3">
        <v>0</v>
      </c>
      <c r="M11" s="3">
        <f t="shared" si="1"/>
        <v>51.848333333444316</v>
      </c>
      <c r="N11">
        <f>IF(A11="","",COUNTIFS(tblRegistros[ID],A11,tblRegistros[Data],"&gt;="&amp;$B$4,tblRegistros[Data],"&lt;"&amp;($D$4+1),tblRegistros[Status],"EM ABERTO")+COUNTIFS(tblRegistros[ID],A11,tblRegistros[Data],"&gt;="&amp;$B$4,tblRegistros[Data],"&lt;"&amp;($D$4+1),tblRegistros[Status],"REVISAR"))</f>
        <v>1</v>
      </c>
    </row>
    <row r="12" spans="1:14" ht="18.75" customHeight="1">
      <c r="A12">
        <v>1006</v>
      </c>
      <c r="B12" t="s">
        <v>49</v>
      </c>
      <c r="C12" t="s">
        <v>44</v>
      </c>
      <c r="D12" s="14">
        <f>IF(A12="","",SUMIFS(tblRegistros[Horas],tblRegistros[ID],A12,tblRegistros[Data],"&gt;="&amp;$B$4,tblRegistros[Data],"&lt;"&amp;($D$4+1),tblRegistros[Status],"CONCLUÍDO",tblRegistros[Tipo de dia],"DIA ÚTIL"))</f>
        <v>46.651944444514811</v>
      </c>
      <c r="E12" s="14">
        <f>IF(A12="","",SUMIFS(tblRegistros[Horas],tblRegistros[ID],A12,tblRegistros[Data],"&gt;="&amp;$B$4,tblRegistros[Data],"&lt;"&amp;($D$4+1),tblRegistros[Status],"CONCLUÍDO",tblRegistros[Tipo de dia],"FDS/FERIADO"))</f>
        <v>0</v>
      </c>
      <c r="F12" s="14">
        <f t="shared" si="0"/>
        <v>46.651944444514811</v>
      </c>
      <c r="G12">
        <f>IF(A12="","",SUMIFS(tblRegistros[1º do dia],tblRegistros[ID],A12,tblRegistros[Data],"&gt;="&amp;$B$4,tblRegistros[Data],"&lt;"&amp;($D$4+1),tblRegistros[Status],"CONCLUÍDO"))</f>
        <v>5</v>
      </c>
      <c r="H12" s="3">
        <v>14</v>
      </c>
      <c r="I12" s="3">
        <v>17</v>
      </c>
      <c r="J12" s="3">
        <v>0</v>
      </c>
      <c r="K12" s="3">
        <f>IF(A12="","",SUMIFS(tblRegistros[Valor],tblRegistros[ID],A12,tblRegistros[Data],"&gt;="&amp;$B$4,tblRegistros[Data],"&lt;"&amp;($D$4+1),tblRegistros[Status],"CONCLUÍDO"))</f>
        <v>653.12722222320735</v>
      </c>
      <c r="L12" s="3">
        <v>0</v>
      </c>
      <c r="M12" s="3">
        <f t="shared" si="1"/>
        <v>653.12722222320735</v>
      </c>
      <c r="N12">
        <f>IF(A12="","",COUNTIFS(tblRegistros[ID],A12,tblRegistros[Data],"&gt;="&amp;$B$4,tblRegistros[Data],"&lt;"&amp;($D$4+1),tblRegistros[Status],"EM ABERTO")+COUNTIFS(tblRegistros[ID],A12,tblRegistros[Data],"&gt;="&amp;$B$4,tblRegistros[Data],"&lt;"&amp;($D$4+1),tblRegistros[Status],"REVISAR"))</f>
        <v>4</v>
      </c>
    </row>
    <row r="13" spans="1:14" ht="18.75" customHeight="1">
      <c r="A13">
        <v>1007</v>
      </c>
      <c r="B13" t="s">
        <v>50</v>
      </c>
      <c r="C13" t="s">
        <v>44</v>
      </c>
      <c r="D13" s="14">
        <f>IF(A13="","",SUMIFS(tblRegistros[Horas],tblRegistros[ID],A13,tblRegistros[Data],"&gt;="&amp;$B$4,tblRegistros[Data],"&lt;"&amp;($D$4+1),tblRegistros[Status],"CONCLUÍDO",tblRegistros[Tipo de dia],"DIA ÚTIL"))</f>
        <v>0</v>
      </c>
      <c r="E13" s="14">
        <f>IF(A13="","",SUMIFS(tblRegistros[Horas],tblRegistros[ID],A13,tblRegistros[Data],"&gt;="&amp;$B$4,tblRegistros[Data],"&lt;"&amp;($D$4+1),tblRegistros[Status],"CONCLUÍDO",tblRegistros[Tipo de dia],"FDS/FERIADO"))</f>
        <v>0</v>
      </c>
      <c r="F13" s="14">
        <f t="shared" si="0"/>
        <v>0</v>
      </c>
      <c r="G13">
        <f>IF(A13="","",SUMIFS(tblRegistros[1º do dia],tblRegistros[ID],A13,tblRegistros[Data],"&gt;="&amp;$B$4,tblRegistros[Data],"&lt;"&amp;($D$4+1),tblRegistros[Status],"CONCLUÍDO"))</f>
        <v>0</v>
      </c>
      <c r="H13" s="3">
        <v>23.5</v>
      </c>
      <c r="I13" s="3">
        <v>23.5</v>
      </c>
      <c r="J13" s="3">
        <v>0</v>
      </c>
      <c r="K13" s="3">
        <f>IF(A13="","",SUMIFS(tblRegistros[Valor],tblRegistros[ID],A13,tblRegistros[Data],"&gt;="&amp;$B$4,tblRegistros[Data],"&lt;"&amp;($D$4+1),tblRegistros[Status],"CONCLUÍDO"))</f>
        <v>0</v>
      </c>
      <c r="L13" s="3">
        <v>0</v>
      </c>
      <c r="M13" s="3">
        <f t="shared" si="1"/>
        <v>0</v>
      </c>
      <c r="N13">
        <f>IF(A13="","",COUNTIFS(tblRegistros[ID],A13,tblRegistros[Data],"&gt;="&amp;$B$4,tblRegistros[Data],"&lt;"&amp;($D$4+1),tblRegistros[Status],"EM ABERTO")+COUNTIFS(tblRegistros[ID],A13,tblRegistros[Data],"&gt;="&amp;$B$4,tblRegistros[Data],"&lt;"&amp;($D$4+1),tblRegistros[Status],"REVISAR"))</f>
        <v>0</v>
      </c>
    </row>
    <row r="14" spans="1:14" ht="18.75" customHeight="1">
      <c r="A14">
        <v>1008</v>
      </c>
      <c r="B14" t="s">
        <v>51</v>
      </c>
      <c r="C14" t="s">
        <v>44</v>
      </c>
      <c r="D14" s="14">
        <f>IF(A14="","",SUMIFS(tblRegistros[Horas],tblRegistros[ID],A14,tblRegistros[Data],"&gt;="&amp;$B$4,tblRegistros[Data],"&lt;"&amp;($D$4+1),tblRegistros[Status],"CONCLUÍDO",tblRegistros[Tipo de dia],"DIA ÚTIL"))</f>
        <v>0</v>
      </c>
      <c r="E14" s="14">
        <f>IF(A14="","",SUMIFS(tblRegistros[Horas],tblRegistros[ID],A14,tblRegistros[Data],"&gt;="&amp;$B$4,tblRegistros[Data],"&lt;"&amp;($D$4+1),tblRegistros[Status],"CONCLUÍDO",tblRegistros[Tipo de dia],"FDS/FERIADO"))</f>
        <v>0</v>
      </c>
      <c r="F14" s="14">
        <f t="shared" si="0"/>
        <v>0</v>
      </c>
      <c r="G14">
        <f>IF(A14="","",SUMIFS(tblRegistros[1º do dia],tblRegistros[ID],A14,tblRegistros[Data],"&gt;="&amp;$B$4,tblRegistros[Data],"&lt;"&amp;($D$4+1),tblRegistros[Status],"CONCLUÍDO"))</f>
        <v>0</v>
      </c>
      <c r="H14" s="3">
        <v>14</v>
      </c>
      <c r="I14" s="3">
        <v>17</v>
      </c>
      <c r="J14" s="3">
        <v>0</v>
      </c>
      <c r="K14" s="3">
        <f>IF(A14="","",SUMIFS(tblRegistros[Valor],tblRegistros[ID],A14,tblRegistros[Data],"&gt;="&amp;$B$4,tblRegistros[Data],"&lt;"&amp;($D$4+1),tblRegistros[Status],"CONCLUÍDO"))</f>
        <v>0</v>
      </c>
      <c r="L14" s="3">
        <v>0</v>
      </c>
      <c r="M14" s="3">
        <f t="shared" si="1"/>
        <v>0</v>
      </c>
      <c r="N14">
        <f>IF(A14="","",COUNTIFS(tblRegistros[ID],A14,tblRegistros[Data],"&gt;="&amp;$B$4,tblRegistros[Data],"&lt;"&amp;($D$4+1),tblRegistros[Status],"EM ABERTO")+COUNTIFS(tblRegistros[ID],A14,tblRegistros[Data],"&gt;="&amp;$B$4,tblRegistros[Data],"&lt;"&amp;($D$4+1),tblRegistros[Status],"REVISAR"))</f>
        <v>0</v>
      </c>
    </row>
    <row r="15" spans="1:14" ht="18.75" customHeight="1">
      <c r="A15">
        <v>1009</v>
      </c>
      <c r="B15" t="s">
        <v>52</v>
      </c>
      <c r="C15" t="s">
        <v>44</v>
      </c>
      <c r="D15" s="14">
        <f>IF(A15="","",SUMIFS(tblRegistros[Horas],tblRegistros[ID],A15,tblRegistros[Data],"&gt;="&amp;$B$4,tblRegistros[Data],"&lt;"&amp;($D$4+1),tblRegistros[Status],"CONCLUÍDO",tblRegistros[Tipo de dia],"DIA ÚTIL"))</f>
        <v>0</v>
      </c>
      <c r="E15" s="14">
        <f>IF(A15="","",SUMIFS(tblRegistros[Horas],tblRegistros[ID],A15,tblRegistros[Data],"&gt;="&amp;$B$4,tblRegistros[Data],"&lt;"&amp;($D$4+1),tblRegistros[Status],"CONCLUÍDO",tblRegistros[Tipo de dia],"FDS/FERIADO"))</f>
        <v>0</v>
      </c>
      <c r="F15" s="14">
        <f t="shared" si="0"/>
        <v>0</v>
      </c>
      <c r="G15">
        <f>IF(A15="","",SUMIFS(tblRegistros[1º do dia],tblRegistros[ID],A15,tblRegistros[Data],"&gt;="&amp;$B$4,tblRegistros[Data],"&lt;"&amp;($D$4+1),tblRegistros[Status],"CONCLUÍDO"))</f>
        <v>0</v>
      </c>
      <c r="H15" s="3">
        <v>14</v>
      </c>
      <c r="I15" s="3">
        <v>17</v>
      </c>
      <c r="J15" s="3">
        <v>0</v>
      </c>
      <c r="K15" s="3">
        <f>IF(A15="","",SUMIFS(tblRegistros[Valor],tblRegistros[ID],A15,tblRegistros[Data],"&gt;="&amp;$B$4,tblRegistros[Data],"&lt;"&amp;($D$4+1),tblRegistros[Status],"CONCLUÍDO"))</f>
        <v>0</v>
      </c>
      <c r="L15" s="3">
        <v>0</v>
      </c>
      <c r="M15" s="3">
        <f t="shared" si="1"/>
        <v>0</v>
      </c>
      <c r="N15">
        <f>IF(A15="","",COUNTIFS(tblRegistros[ID],A15,tblRegistros[Data],"&gt;="&amp;$B$4,tblRegistros[Data],"&lt;"&amp;($D$4+1),tblRegistros[Status],"EM ABERTO")+COUNTIFS(tblRegistros[ID],A15,tblRegistros[Data],"&gt;="&amp;$B$4,tblRegistros[Data],"&lt;"&amp;($D$4+1),tblRegistros[Status],"REVISAR"))</f>
        <v>1</v>
      </c>
    </row>
    <row r="16" spans="1:14" ht="18.75" customHeight="1">
      <c r="A16">
        <v>1010</v>
      </c>
      <c r="B16" t="s">
        <v>53</v>
      </c>
      <c r="C16" t="s">
        <v>44</v>
      </c>
      <c r="D16" s="14">
        <f>IF(A16="","",SUMIFS(tblRegistros[Horas],tblRegistros[ID],A16,tblRegistros[Data],"&gt;="&amp;$B$4,tblRegistros[Data],"&lt;"&amp;($D$4+1),tblRegistros[Status],"CONCLUÍDO",tblRegistros[Tipo de dia],"DIA ÚTIL"))</f>
        <v>19.556944444484543</v>
      </c>
      <c r="E16" s="14">
        <f>IF(A16="","",SUMIFS(tblRegistros[Horas],tblRegistros[ID],A16,tblRegistros[Data],"&gt;="&amp;$B$4,tblRegistros[Data],"&lt;"&amp;($D$4+1),tblRegistros[Status],"CONCLUÍDO",tblRegistros[Tipo de dia],"FDS/FERIADO"))</f>
        <v>0</v>
      </c>
      <c r="F16" s="14">
        <f t="shared" si="0"/>
        <v>19.556944444484543</v>
      </c>
      <c r="G16">
        <f>IF(A16="","",SUMIFS(tblRegistros[1º do dia],tblRegistros[ID],A16,tblRegistros[Data],"&gt;="&amp;$B$4,tblRegistros[Data],"&lt;"&amp;($D$4+1),tblRegistros[Status],"CONCLUÍDO"))</f>
        <v>2</v>
      </c>
      <c r="H16" s="3">
        <v>14</v>
      </c>
      <c r="I16" s="3">
        <v>17</v>
      </c>
      <c r="J16" s="3">
        <v>0</v>
      </c>
      <c r="K16" s="3">
        <f>IF(A16="","",SUMIFS(tblRegistros[Valor],tblRegistros[ID],A16,tblRegistros[Data],"&gt;="&amp;$B$4,tblRegistros[Data],"&lt;"&amp;($D$4+1),tblRegistros[Status],"CONCLUÍDO"))</f>
        <v>273.7972222227836</v>
      </c>
      <c r="L16" s="3">
        <v>0</v>
      </c>
      <c r="M16" s="3">
        <f t="shared" si="1"/>
        <v>273.7972222227836</v>
      </c>
      <c r="N16">
        <f>IF(A16="","",COUNTIFS(tblRegistros[ID],A16,tblRegistros[Data],"&gt;="&amp;$B$4,tblRegistros[Data],"&lt;"&amp;($D$4+1),tblRegistros[Status],"EM ABERTO")+COUNTIFS(tblRegistros[ID],A16,tblRegistros[Data],"&gt;="&amp;$B$4,tblRegistros[Data],"&lt;"&amp;($D$4+1),tblRegistros[Status],"REVISAR"))</f>
        <v>1</v>
      </c>
    </row>
    <row r="17" spans="1:14" ht="18.75" customHeight="1">
      <c r="A17">
        <v>1011</v>
      </c>
      <c r="B17" t="s">
        <v>54</v>
      </c>
      <c r="C17" t="s">
        <v>44</v>
      </c>
      <c r="D17" s="14">
        <f>IF(A17="","",SUMIFS(tblRegistros[Horas],tblRegistros[ID],A17,tblRegistros[Data],"&gt;="&amp;$B$4,tblRegistros[Data],"&lt;"&amp;($D$4+1),tblRegistros[Status],"CONCLUÍDO",tblRegistros[Tipo de dia],"DIA ÚTIL"))</f>
        <v>100.9599999996135</v>
      </c>
      <c r="E17" s="14">
        <f>IF(A17="","",SUMIFS(tblRegistros[Horas],tblRegistros[ID],A17,tblRegistros[Data],"&gt;="&amp;$B$4,tblRegistros[Data],"&lt;"&amp;($D$4+1),tblRegistros[Status],"CONCLUÍDO",tblRegistros[Tipo de dia],"FDS/FERIADO"))</f>
        <v>22.399166666669771</v>
      </c>
      <c r="F17" s="14">
        <f t="shared" si="0"/>
        <v>123.35916666628327</v>
      </c>
      <c r="G17">
        <f>IF(A17="","",SUMIFS(tblRegistros[1º do dia],tblRegistros[ID],A17,tblRegistros[Data],"&gt;="&amp;$B$4,tblRegistros[Data],"&lt;"&amp;($D$4+1),tblRegistros[Status],"CONCLUÍDO"))</f>
        <v>17</v>
      </c>
      <c r="H17" s="3">
        <v>23.5</v>
      </c>
      <c r="I17" s="3">
        <v>23.5</v>
      </c>
      <c r="J17" s="3">
        <v>0</v>
      </c>
      <c r="K17" s="3">
        <f>IF(A17="","",SUMIFS(tblRegistros[Valor],tblRegistros[ID],A17,tblRegistros[Data],"&gt;="&amp;$B$4,tblRegistros[Data],"&lt;"&amp;($D$4+1),tblRegistros[Status],"CONCLUÍDO"))</f>
        <v>2898.9404166576569</v>
      </c>
      <c r="L17" s="3">
        <v>0</v>
      </c>
      <c r="M17" s="3">
        <f t="shared" si="1"/>
        <v>2898.9404166576569</v>
      </c>
      <c r="N17">
        <f>IF(A17="","",COUNTIFS(tblRegistros[ID],A17,tblRegistros[Data],"&gt;="&amp;$B$4,tblRegistros[Data],"&lt;"&amp;($D$4+1),tblRegistros[Status],"EM ABERTO")+COUNTIFS(tblRegistros[ID],A17,tblRegistros[Data],"&gt;="&amp;$B$4,tblRegistros[Data],"&lt;"&amp;($D$4+1),tblRegistros[Status],"REVISAR"))</f>
        <v>13</v>
      </c>
    </row>
    <row r="18" spans="1:14" ht="18.75" customHeight="1">
      <c r="A18">
        <v>1012</v>
      </c>
      <c r="B18" t="s">
        <v>55</v>
      </c>
      <c r="C18" t="s">
        <v>56</v>
      </c>
      <c r="D18" s="14">
        <f>IF(A18="","",SUMIFS(tblRegistros[Horas],tblRegistros[ID],A18,tblRegistros[Data],"&gt;="&amp;$B$4,tblRegistros[Data],"&lt;"&amp;($D$4+1),tblRegistros[Status],"CONCLUÍDO",tblRegistros[Tipo de dia],"DIA ÚTIL"))</f>
        <v>29.543611111294013</v>
      </c>
      <c r="E18" s="14">
        <f>IF(A18="","",SUMIFS(tblRegistros[Horas],tblRegistros[ID],A18,tblRegistros[Data],"&gt;="&amp;$B$4,tblRegistros[Data],"&lt;"&amp;($D$4+1),tblRegistros[Status],"CONCLUÍDO",tblRegistros[Tipo de dia],"FDS/FERIADO"))</f>
        <v>9.4161111109424382</v>
      </c>
      <c r="F18" s="14">
        <f t="shared" si="0"/>
        <v>38.959722222236451</v>
      </c>
      <c r="G18">
        <f>IF(A18="","",SUMIFS(tblRegistros[1º do dia],tblRegistros[ID],A18,tblRegistros[Data],"&gt;="&amp;$B$4,tblRegistros[Data],"&lt;"&amp;($D$4+1),tblRegistros[Status],"CONCLUÍDO"))</f>
        <v>8</v>
      </c>
      <c r="H18" s="3">
        <v>0</v>
      </c>
      <c r="I18" s="3">
        <v>0</v>
      </c>
      <c r="J18" s="3">
        <v>222.72</v>
      </c>
      <c r="K18" s="3">
        <f>IF(A18="","",SUMIFS(tblRegistros[Valor],tblRegistros[ID],A18,tblRegistros[Data],"&gt;="&amp;$B$4,tblRegistros[Data],"&lt;"&amp;($D$4+1),tblRegistros[Status],"CONCLUÍDO"))</f>
        <v>1781.76</v>
      </c>
      <c r="L18" s="3">
        <v>0</v>
      </c>
      <c r="M18" s="3">
        <f t="shared" si="1"/>
        <v>1781.76</v>
      </c>
      <c r="N18">
        <f>IF(A18="","",COUNTIFS(tblRegistros[ID],A18,tblRegistros[Data],"&gt;="&amp;$B$4,tblRegistros[Data],"&lt;"&amp;($D$4+1),tblRegistros[Status],"EM ABERTO")+COUNTIFS(tblRegistros[ID],A18,tblRegistros[Data],"&gt;="&amp;$B$4,tblRegistros[Data],"&lt;"&amp;($D$4+1),tblRegistros[Status],"REVISAR"))</f>
        <v>10</v>
      </c>
    </row>
    <row r="19" spans="1:14" ht="18.75" customHeight="1">
      <c r="A19">
        <v>1013</v>
      </c>
      <c r="B19" t="s">
        <v>57</v>
      </c>
      <c r="C19" t="s">
        <v>44</v>
      </c>
      <c r="D19" s="14">
        <f>IF(A19="","",SUMIFS(tblRegistros[Horas],tblRegistros[ID],A19,tblRegistros[Data],"&gt;="&amp;$B$4,tblRegistros[Data],"&lt;"&amp;($D$4+1),tblRegistros[Status],"CONCLUÍDO",tblRegistros[Tipo de dia],"DIA ÚTIL"))</f>
        <v>99.792500000155997</v>
      </c>
      <c r="E19" s="14">
        <f>IF(A19="","",SUMIFS(tblRegistros[Horas],tblRegistros[ID],A19,tblRegistros[Data],"&gt;="&amp;$B$4,tblRegistros[Data],"&lt;"&amp;($D$4+1),tblRegistros[Status],"CONCLUÍDO",tblRegistros[Tipo de dia],"FDS/FERIADO"))</f>
        <v>21.090833333437331</v>
      </c>
      <c r="F19" s="14">
        <f t="shared" si="0"/>
        <v>120.88333333359333</v>
      </c>
      <c r="G19">
        <f>IF(A19="","",SUMIFS(tblRegistros[1º do dia],tblRegistros[ID],A19,tblRegistros[Data],"&gt;="&amp;$B$4,tblRegistros[Data],"&lt;"&amp;($D$4+1),tblRegistros[Status],"CONCLUÍDO"))</f>
        <v>19</v>
      </c>
      <c r="H19" s="3">
        <v>23.5</v>
      </c>
      <c r="I19" s="3">
        <v>23.5</v>
      </c>
      <c r="J19" s="3">
        <v>0</v>
      </c>
      <c r="K19" s="3">
        <f>IF(A19="","",SUMIFS(tblRegistros[Valor],tblRegistros[ID],A19,tblRegistros[Data],"&gt;="&amp;$B$4,tblRegistros[Data],"&lt;"&amp;($D$4+1),tblRegistros[Status],"CONCLUÍDO"))</f>
        <v>2840.7583333394432</v>
      </c>
      <c r="L19" s="3">
        <v>0</v>
      </c>
      <c r="M19" s="3">
        <f t="shared" si="1"/>
        <v>2840.7583333394432</v>
      </c>
      <c r="N19">
        <f>IF(A19="","",COUNTIFS(tblRegistros[ID],A19,tblRegistros[Data],"&gt;="&amp;$B$4,tblRegistros[Data],"&lt;"&amp;($D$4+1),tblRegistros[Status],"EM ABERTO")+COUNTIFS(tblRegistros[ID],A19,tblRegistros[Data],"&gt;="&amp;$B$4,tblRegistros[Data],"&lt;"&amp;($D$4+1),tblRegistros[Status],"REVISAR"))</f>
        <v>9</v>
      </c>
    </row>
    <row r="20" spans="1:14" ht="18.75" customHeight="1">
      <c r="A20">
        <v>1014</v>
      </c>
      <c r="B20" t="s">
        <v>58</v>
      </c>
      <c r="C20" t="s">
        <v>44</v>
      </c>
      <c r="D20" s="14">
        <f>IF(A20="","",SUMIFS(tblRegistros[Horas],tblRegistros[ID],A20,tblRegistros[Data],"&gt;="&amp;$B$4,tblRegistros[Data],"&lt;"&amp;($D$4+1),tblRegistros[Status],"CONCLUÍDO",tblRegistros[Tipo de dia],"DIA ÚTIL"))</f>
        <v>39.94166666676756</v>
      </c>
      <c r="E20" s="14">
        <f>IF(A20="","",SUMIFS(tblRegistros[Horas],tblRegistros[ID],A20,tblRegistros[Data],"&gt;="&amp;$B$4,tblRegistros[Data],"&lt;"&amp;($D$4+1),tblRegistros[Status],"CONCLUÍDO",tblRegistros[Tipo de dia],"FDS/FERIADO"))</f>
        <v>0</v>
      </c>
      <c r="F20" s="14">
        <f t="shared" si="0"/>
        <v>39.94166666676756</v>
      </c>
      <c r="G20">
        <f>IF(A20="","",SUMIFS(tblRegistros[1º do dia],tblRegistros[ID],A20,tblRegistros[Data],"&gt;="&amp;$B$4,tblRegistros[Data],"&lt;"&amp;($D$4+1),tblRegistros[Status],"CONCLUÍDO"))</f>
        <v>8</v>
      </c>
      <c r="H20" s="3">
        <v>21.5</v>
      </c>
      <c r="I20" s="3">
        <v>21.5</v>
      </c>
      <c r="J20" s="3">
        <v>0</v>
      </c>
      <c r="K20" s="3">
        <f>IF(A20="","",SUMIFS(tblRegistros[Valor],tblRegistros[ID],A20,tblRegistros[Data],"&gt;="&amp;$B$4,tblRegistros[Data],"&lt;"&amp;($D$4+1),tblRegistros[Status],"CONCLUÍDO"))</f>
        <v>858.74583333550254</v>
      </c>
      <c r="L20" s="3">
        <v>0</v>
      </c>
      <c r="M20" s="3">
        <f t="shared" si="1"/>
        <v>858.74583333550254</v>
      </c>
      <c r="N20">
        <f>IF(A20="","",COUNTIFS(tblRegistros[ID],A20,tblRegistros[Data],"&gt;="&amp;$B$4,tblRegistros[Data],"&lt;"&amp;($D$4+1),tblRegistros[Status],"EM ABERTO")+COUNTIFS(tblRegistros[ID],A20,tblRegistros[Data],"&gt;="&amp;$B$4,tblRegistros[Data],"&lt;"&amp;($D$4+1),tblRegistros[Status],"REVISAR"))</f>
        <v>3</v>
      </c>
    </row>
    <row r="21" spans="1:14" ht="18.75" customHeight="1">
      <c r="A21">
        <v>1015</v>
      </c>
      <c r="B21" t="s">
        <v>59</v>
      </c>
      <c r="C21" t="s">
        <v>44</v>
      </c>
      <c r="D21" s="14">
        <f>IF(A21="","",SUMIFS(tblRegistros[Horas],tblRegistros[ID],A21,tblRegistros[Data],"&gt;="&amp;$B$4,tblRegistros[Data],"&lt;"&amp;($D$4+1),tblRegistros[Status],"CONCLUÍDO",tblRegistros[Tipo de dia],"DIA ÚTIL"))</f>
        <v>53.600833332748152</v>
      </c>
      <c r="E21" s="14">
        <f>IF(A21="","",SUMIFS(tblRegistros[Horas],tblRegistros[ID],A21,tblRegistros[Data],"&gt;="&amp;$B$4,tblRegistros[Data],"&lt;"&amp;($D$4+1),tblRegistros[Status],"CONCLUÍDO",tblRegistros[Tipo de dia],"FDS/FERIADO"))</f>
        <v>0</v>
      </c>
      <c r="F21" s="14">
        <f t="shared" si="0"/>
        <v>53.600833332748152</v>
      </c>
      <c r="G21">
        <f>IF(A21="","",SUMIFS(tblRegistros[1º do dia],tblRegistros[ID],A21,tblRegistros[Data],"&gt;="&amp;$B$4,tblRegistros[Data],"&lt;"&amp;($D$4+1),tblRegistros[Status],"CONCLUÍDO"))</f>
        <v>7</v>
      </c>
      <c r="H21" s="3">
        <v>21.5</v>
      </c>
      <c r="I21" s="3">
        <v>21.5</v>
      </c>
      <c r="J21" s="3">
        <v>0</v>
      </c>
      <c r="K21" s="3">
        <f>IF(A21="","",SUMIFS(tblRegistros[Valor],tblRegistros[ID],A21,tblRegistros[Data],"&gt;="&amp;$B$4,tblRegistros[Data],"&lt;"&amp;($D$4+1),tblRegistros[Status],"CONCLUÍDO"))</f>
        <v>1152.4179166540853</v>
      </c>
      <c r="L21" s="3">
        <v>0</v>
      </c>
      <c r="M21" s="3">
        <f t="shared" si="1"/>
        <v>1152.4179166540853</v>
      </c>
      <c r="N21">
        <f>IF(A21="","",COUNTIFS(tblRegistros[ID],A21,tblRegistros[Data],"&gt;="&amp;$B$4,tblRegistros[Data],"&lt;"&amp;($D$4+1),tblRegistros[Status],"EM ABERTO")+COUNTIFS(tblRegistros[ID],A21,tblRegistros[Data],"&gt;="&amp;$B$4,tblRegistros[Data],"&lt;"&amp;($D$4+1),tblRegistros[Status],"REVISAR"))</f>
        <v>2</v>
      </c>
    </row>
    <row r="22" spans="1:14" ht="18.75" customHeight="1">
      <c r="A22">
        <v>1016</v>
      </c>
      <c r="B22" t="s">
        <v>60</v>
      </c>
      <c r="C22" t="s">
        <v>44</v>
      </c>
      <c r="D22" s="14">
        <f>IF(A22="","",SUMIFS(tblRegistros[Horas],tblRegistros[ID],A22,tblRegistros[Data],"&gt;="&amp;$B$4,tblRegistros[Data],"&lt;"&amp;($D$4+1),tblRegistros[Status],"CONCLUÍDO",tblRegistros[Tipo de dia],"DIA ÚTIL"))</f>
        <v>50.982222222082783</v>
      </c>
      <c r="E22" s="14">
        <f>IF(A22="","",SUMIFS(tblRegistros[Horas],tblRegistros[ID],A22,tblRegistros[Data],"&gt;="&amp;$B$4,tblRegistros[Data],"&lt;"&amp;($D$4+1),tblRegistros[Status],"CONCLUÍDO",tblRegistros[Tipo de dia],"FDS/FERIADO"))</f>
        <v>0</v>
      </c>
      <c r="F22" s="14">
        <f t="shared" si="0"/>
        <v>50.982222222082783</v>
      </c>
      <c r="G22">
        <f>IF(A22="","",SUMIFS(tblRegistros[1º do dia],tblRegistros[ID],A22,tblRegistros[Data],"&gt;="&amp;$B$4,tblRegistros[Data],"&lt;"&amp;($D$4+1),tblRegistros[Status],"CONCLUÍDO"))</f>
        <v>8</v>
      </c>
      <c r="H22" s="3">
        <v>23.5</v>
      </c>
      <c r="I22" s="3">
        <v>23.5</v>
      </c>
      <c r="J22" s="3">
        <v>0</v>
      </c>
      <c r="K22" s="3">
        <f>IF(A22="","",SUMIFS(tblRegistros[Valor],tblRegistros[ID],A22,tblRegistros[Data],"&gt;="&amp;$B$4,tblRegistros[Data],"&lt;"&amp;($D$4+1),tblRegistros[Status],"CONCLUÍDO"))</f>
        <v>1198.0822222189454</v>
      </c>
      <c r="L22" s="3">
        <v>0</v>
      </c>
      <c r="M22" s="3">
        <f t="shared" si="1"/>
        <v>1198.0822222189454</v>
      </c>
      <c r="N22">
        <f>IF(A22="","",COUNTIFS(tblRegistros[ID],A22,tblRegistros[Data],"&gt;="&amp;$B$4,tblRegistros[Data],"&lt;"&amp;($D$4+1),tblRegistros[Status],"EM ABERTO")+COUNTIFS(tblRegistros[ID],A22,tblRegistros[Data],"&gt;="&amp;$B$4,tblRegistros[Data],"&lt;"&amp;($D$4+1),tblRegistros[Status],"REVISAR"))</f>
        <v>3</v>
      </c>
    </row>
    <row r="23" spans="1:14" ht="18.75" customHeight="1">
      <c r="A23">
        <v>1017</v>
      </c>
      <c r="B23" t="s">
        <v>61</v>
      </c>
      <c r="C23" t="s">
        <v>44</v>
      </c>
      <c r="D23" s="14">
        <f>IF(A23="","",SUMIFS(tblRegistros[Horas],tblRegistros[ID],A23,tblRegistros[Data],"&gt;="&amp;$B$4,tblRegistros[Data],"&lt;"&amp;($D$4+1),tblRegistros[Status],"CONCLUÍDO",tblRegistros[Tipo de dia],"DIA ÚTIL"))</f>
        <v>10.288888888957445</v>
      </c>
      <c r="E23" s="14">
        <f>IF(A23="","",SUMIFS(tblRegistros[Horas],tblRegistros[ID],A23,tblRegistros[Data],"&gt;="&amp;$B$4,tblRegistros[Data],"&lt;"&amp;($D$4+1),tblRegistros[Status],"CONCLUÍDO",tblRegistros[Tipo de dia],"FDS/FERIADO"))</f>
        <v>9.753333333239425</v>
      </c>
      <c r="F23" s="14">
        <f t="shared" si="0"/>
        <v>20.04222222219687</v>
      </c>
      <c r="G23">
        <f>IF(A23="","",SUMIFS(tblRegistros[1º do dia],tblRegistros[ID],A23,tblRegistros[Data],"&gt;="&amp;$B$4,tblRegistros[Data],"&lt;"&amp;($D$4+1),tblRegistros[Status],"CONCLUÍDO"))</f>
        <v>2</v>
      </c>
      <c r="H23" s="3">
        <v>14</v>
      </c>
      <c r="I23" s="3">
        <v>17</v>
      </c>
      <c r="J23" s="3">
        <v>0</v>
      </c>
      <c r="K23" s="3">
        <f>IF(A23="","",SUMIFS(tblRegistros[Valor],tblRegistros[ID],A23,tblRegistros[Data],"&gt;="&amp;$B$4,tblRegistros[Data],"&lt;"&amp;($D$4+1),tblRegistros[Status],"CONCLUÍDO"))</f>
        <v>309.85111111047445</v>
      </c>
      <c r="L23" s="3">
        <v>0</v>
      </c>
      <c r="M23" s="3">
        <f t="shared" si="1"/>
        <v>309.85111111047445</v>
      </c>
      <c r="N23">
        <f>IF(A23="","",COUNTIFS(tblRegistros[ID],A23,tblRegistros[Data],"&gt;="&amp;$B$4,tblRegistros[Data],"&lt;"&amp;($D$4+1),tblRegistros[Status],"EM ABERTO")+COUNTIFS(tblRegistros[ID],A23,tblRegistros[Data],"&gt;="&amp;$B$4,tblRegistros[Data],"&lt;"&amp;($D$4+1),tblRegistros[Status],"REVISAR"))</f>
        <v>0</v>
      </c>
    </row>
    <row r="24" spans="1:14">
      <c r="D24" s="14"/>
      <c r="E24" s="14"/>
      <c r="F24" s="14"/>
      <c r="H24" s="3"/>
      <c r="I24" s="3"/>
      <c r="J24" s="3"/>
      <c r="K24" s="3"/>
      <c r="L24" s="3"/>
      <c r="M24" s="3"/>
    </row>
    <row r="25" spans="1:14">
      <c r="D25" s="14"/>
      <c r="E25" s="14"/>
      <c r="F25" s="14"/>
      <c r="H25" s="3"/>
      <c r="I25" s="3"/>
      <c r="J25" s="3"/>
      <c r="K25" s="3"/>
      <c r="L25" s="3"/>
      <c r="M25" s="3"/>
    </row>
    <row r="26" spans="1:14">
      <c r="D26" s="14"/>
      <c r="E26" s="14"/>
      <c r="F26" s="14"/>
      <c r="H26" s="3"/>
      <c r="I26" s="3"/>
      <c r="J26" s="3"/>
      <c r="K26" s="3"/>
      <c r="L26" s="3"/>
      <c r="M26" s="3"/>
    </row>
    <row r="27" spans="1:14">
      <c r="D27" s="14"/>
      <c r="E27" s="14"/>
      <c r="F27" s="14"/>
      <c r="H27" s="3"/>
      <c r="I27" s="3"/>
      <c r="J27" s="3"/>
      <c r="K27" s="3"/>
      <c r="L27" s="3"/>
      <c r="M27" s="3"/>
    </row>
    <row r="28" spans="1:14">
      <c r="D28" s="14"/>
      <c r="E28" s="14"/>
      <c r="F28" s="14"/>
      <c r="H28" s="3"/>
      <c r="I28" s="3"/>
      <c r="J28" s="3"/>
      <c r="K28" s="3"/>
      <c r="L28" s="3"/>
      <c r="M28" s="3"/>
    </row>
    <row r="29" spans="1:14">
      <c r="D29" s="14"/>
      <c r="E29" s="14"/>
      <c r="F29" s="14"/>
      <c r="H29" s="3"/>
      <c r="I29" s="3"/>
      <c r="J29" s="3"/>
      <c r="K29" s="3"/>
      <c r="L29" s="3"/>
      <c r="M29" s="3"/>
    </row>
    <row r="30" spans="1:14">
      <c r="D30" s="14"/>
      <c r="E30" s="14"/>
      <c r="F30" s="14"/>
      <c r="H30" s="3"/>
      <c r="I30" s="3"/>
      <c r="J30" s="3"/>
      <c r="K30" s="3"/>
      <c r="L30" s="3"/>
      <c r="M30" s="3"/>
    </row>
    <row r="31" spans="1:14">
      <c r="D31" s="14"/>
      <c r="E31" s="14"/>
      <c r="F31" s="14"/>
      <c r="H31" s="3"/>
      <c r="I31" s="3"/>
      <c r="J31" s="3"/>
      <c r="K31" s="3"/>
      <c r="L31" s="3"/>
      <c r="M31" s="3"/>
    </row>
    <row r="32" spans="1:14">
      <c r="D32" s="14"/>
      <c r="E32" s="14"/>
      <c r="F32" s="14"/>
      <c r="H32" s="3"/>
      <c r="I32" s="3"/>
      <c r="J32" s="3"/>
      <c r="K32" s="3"/>
      <c r="L32" s="3"/>
      <c r="M32" s="3"/>
    </row>
    <row r="33" spans="4:13">
      <c r="D33" s="14"/>
      <c r="E33" s="14"/>
      <c r="F33" s="14"/>
      <c r="H33" s="3"/>
      <c r="I33" s="3"/>
      <c r="J33" s="3"/>
      <c r="K33" s="3"/>
      <c r="L33" s="3"/>
      <c r="M33" s="3"/>
    </row>
    <row r="34" spans="4:13">
      <c r="D34" s="14"/>
      <c r="E34" s="14"/>
      <c r="F34" s="14"/>
      <c r="H34" s="3"/>
      <c r="I34" s="3"/>
      <c r="J34" s="3"/>
      <c r="K34" s="3"/>
      <c r="L34" s="3"/>
      <c r="M34" s="3"/>
    </row>
    <row r="35" spans="4:13">
      <c r="D35" s="14"/>
      <c r="E35" s="14"/>
      <c r="F35" s="14"/>
      <c r="H35" s="3"/>
      <c r="I35" s="3"/>
      <c r="J35" s="3"/>
      <c r="K35" s="3"/>
      <c r="L35" s="3"/>
      <c r="M35" s="3"/>
    </row>
    <row r="36" spans="4:13">
      <c r="D36" s="14"/>
      <c r="E36" s="14"/>
      <c r="F36" s="14"/>
      <c r="H36" s="3"/>
      <c r="I36" s="3"/>
      <c r="J36" s="3"/>
      <c r="K36" s="3"/>
      <c r="L36" s="3"/>
      <c r="M36" s="3"/>
    </row>
    <row r="37" spans="4:13">
      <c r="D37" s="14"/>
      <c r="E37" s="14"/>
      <c r="F37" s="14"/>
      <c r="H37" s="3"/>
      <c r="I37" s="3"/>
      <c r="J37" s="3"/>
      <c r="K37" s="3"/>
      <c r="L37" s="3"/>
      <c r="M37" s="3"/>
    </row>
    <row r="38" spans="4:13">
      <c r="D38" s="14"/>
      <c r="E38" s="14"/>
      <c r="F38" s="14"/>
      <c r="H38" s="3"/>
      <c r="I38" s="3"/>
      <c r="J38" s="3"/>
      <c r="K38" s="3"/>
      <c r="L38" s="3"/>
      <c r="M38" s="3"/>
    </row>
    <row r="39" spans="4:13">
      <c r="D39" s="14"/>
      <c r="E39" s="14"/>
      <c r="F39" s="14"/>
      <c r="H39" s="3"/>
      <c r="I39" s="3"/>
      <c r="J39" s="3"/>
      <c r="K39" s="3"/>
      <c r="L39" s="3"/>
      <c r="M39" s="3"/>
    </row>
    <row r="40" spans="4:13">
      <c r="D40" s="14"/>
      <c r="E40" s="14"/>
      <c r="F40" s="14"/>
      <c r="H40" s="3"/>
      <c r="I40" s="3"/>
      <c r="J40" s="3"/>
      <c r="K40" s="3"/>
      <c r="L40" s="3"/>
      <c r="M40" s="3"/>
    </row>
    <row r="41" spans="4:13">
      <c r="D41" s="14"/>
      <c r="E41" s="14"/>
      <c r="F41" s="14"/>
      <c r="H41" s="3"/>
      <c r="I41" s="3"/>
      <c r="J41" s="3"/>
      <c r="K41" s="3"/>
      <c r="L41" s="3"/>
      <c r="M41" s="3"/>
    </row>
    <row r="42" spans="4:13">
      <c r="D42" s="14"/>
      <c r="E42" s="14"/>
      <c r="F42" s="14"/>
      <c r="H42" s="3"/>
      <c r="I42" s="3"/>
      <c r="J42" s="3"/>
      <c r="K42" s="3"/>
      <c r="L42" s="3"/>
      <c r="M42" s="3"/>
    </row>
    <row r="43" spans="4:13">
      <c r="D43" s="14"/>
      <c r="E43" s="14"/>
      <c r="F43" s="14"/>
      <c r="H43" s="3"/>
      <c r="I43" s="3"/>
      <c r="J43" s="3"/>
      <c r="K43" s="3"/>
      <c r="L43" s="3"/>
      <c r="M43" s="3"/>
    </row>
    <row r="44" spans="4:13">
      <c r="D44" s="14"/>
      <c r="E44" s="14"/>
      <c r="F44" s="14"/>
      <c r="H44" s="3"/>
      <c r="I44" s="3"/>
      <c r="J44" s="3"/>
      <c r="K44" s="3"/>
      <c r="L44" s="3"/>
      <c r="M44" s="3"/>
    </row>
    <row r="45" spans="4:13">
      <c r="D45" s="14"/>
      <c r="E45" s="14"/>
      <c r="F45" s="14"/>
      <c r="H45" s="3"/>
      <c r="I45" s="3"/>
      <c r="J45" s="3"/>
      <c r="K45" s="3"/>
      <c r="L45" s="3"/>
      <c r="M45" s="3"/>
    </row>
    <row r="46" spans="4:13">
      <c r="D46" s="14"/>
      <c r="E46" s="14"/>
      <c r="F46" s="14"/>
      <c r="H46" s="3"/>
      <c r="I46" s="3"/>
      <c r="J46" s="3"/>
      <c r="K46" s="3"/>
      <c r="L46" s="3"/>
      <c r="M46" s="3"/>
    </row>
    <row r="47" spans="4:13">
      <c r="D47" s="14"/>
      <c r="E47" s="14"/>
      <c r="F47" s="14"/>
      <c r="H47" s="3"/>
      <c r="I47" s="3"/>
      <c r="J47" s="3"/>
      <c r="K47" s="3"/>
      <c r="L47" s="3"/>
      <c r="M47" s="3"/>
    </row>
    <row r="48" spans="4:13">
      <c r="D48" s="14"/>
      <c r="E48" s="14"/>
      <c r="F48" s="14"/>
      <c r="H48" s="3"/>
      <c r="I48" s="3"/>
      <c r="J48" s="3"/>
      <c r="K48" s="3"/>
      <c r="L48" s="3"/>
      <c r="M48" s="3"/>
    </row>
    <row r="49" spans="4:13">
      <c r="D49" s="14"/>
      <c r="E49" s="14"/>
      <c r="F49" s="14"/>
      <c r="H49" s="3"/>
      <c r="I49" s="3"/>
      <c r="J49" s="3"/>
      <c r="K49" s="3"/>
      <c r="L49" s="3"/>
      <c r="M49" s="3"/>
    </row>
    <row r="50" spans="4:13">
      <c r="D50" s="14"/>
      <c r="E50" s="14"/>
      <c r="F50" s="14"/>
      <c r="H50" s="3"/>
      <c r="I50" s="3"/>
      <c r="J50" s="3"/>
      <c r="K50" s="3"/>
      <c r="L50" s="3"/>
      <c r="M50" s="3"/>
    </row>
    <row r="51" spans="4:13">
      <c r="D51" s="14"/>
      <c r="E51" s="14"/>
      <c r="F51" s="14"/>
      <c r="H51" s="3"/>
      <c r="I51" s="3"/>
      <c r="J51" s="3"/>
      <c r="K51" s="3"/>
      <c r="L51" s="3"/>
      <c r="M51" s="3"/>
    </row>
    <row r="52" spans="4:13">
      <c r="D52" s="14"/>
      <c r="E52" s="14"/>
      <c r="F52" s="14"/>
      <c r="H52" s="3"/>
      <c r="I52" s="3"/>
      <c r="J52" s="3"/>
      <c r="K52" s="3"/>
      <c r="L52" s="3"/>
      <c r="M52" s="3"/>
    </row>
    <row r="53" spans="4:13">
      <c r="D53" s="14"/>
      <c r="E53" s="14"/>
      <c r="F53" s="14"/>
      <c r="H53" s="3"/>
      <c r="I53" s="3"/>
      <c r="J53" s="3"/>
      <c r="K53" s="3"/>
      <c r="L53" s="3"/>
      <c r="M53" s="3"/>
    </row>
    <row r="54" spans="4:13">
      <c r="D54" s="14"/>
      <c r="E54" s="14"/>
      <c r="F54" s="14"/>
      <c r="H54" s="3"/>
      <c r="I54" s="3"/>
      <c r="J54" s="3"/>
      <c r="K54" s="3"/>
      <c r="L54" s="3"/>
      <c r="M54" s="3"/>
    </row>
    <row r="55" spans="4:13">
      <c r="D55" s="14"/>
      <c r="E55" s="14"/>
      <c r="F55" s="14"/>
      <c r="H55" s="3"/>
      <c r="I55" s="3"/>
      <c r="J55" s="3"/>
      <c r="K55" s="3"/>
      <c r="L55" s="3"/>
      <c r="M55" s="3"/>
    </row>
    <row r="56" spans="4:13">
      <c r="D56" s="14"/>
      <c r="E56" s="14"/>
      <c r="F56" s="14"/>
      <c r="H56" s="3"/>
      <c r="I56" s="3"/>
      <c r="J56" s="3"/>
      <c r="K56" s="3"/>
      <c r="L56" s="3"/>
      <c r="M56" s="3"/>
    </row>
    <row r="57" spans="4:13">
      <c r="D57" s="14"/>
      <c r="E57" s="14"/>
      <c r="F57" s="14"/>
      <c r="H57" s="3"/>
      <c r="I57" s="3"/>
      <c r="J57" s="3"/>
      <c r="K57" s="3"/>
      <c r="L57" s="3"/>
      <c r="M57" s="3"/>
    </row>
    <row r="58" spans="4:13">
      <c r="D58" s="14"/>
      <c r="E58" s="14"/>
      <c r="F58" s="14"/>
      <c r="H58" s="3"/>
      <c r="I58" s="3"/>
      <c r="J58" s="3"/>
      <c r="K58" s="3"/>
      <c r="L58" s="3"/>
      <c r="M58" s="3"/>
    </row>
    <row r="59" spans="4:13">
      <c r="D59" s="14"/>
      <c r="E59" s="14"/>
      <c r="F59" s="14"/>
      <c r="H59" s="3"/>
      <c r="I59" s="3"/>
      <c r="J59" s="3"/>
      <c r="K59" s="3"/>
      <c r="L59" s="3"/>
      <c r="M59" s="3"/>
    </row>
    <row r="60" spans="4:13">
      <c r="D60" s="14"/>
      <c r="E60" s="14"/>
      <c r="F60" s="14"/>
      <c r="H60" s="3"/>
      <c r="I60" s="3"/>
      <c r="J60" s="3"/>
      <c r="K60" s="3"/>
      <c r="L60" s="3"/>
      <c r="M60" s="3"/>
    </row>
    <row r="61" spans="4:13">
      <c r="D61" s="14"/>
      <c r="E61" s="14"/>
      <c r="F61" s="14"/>
      <c r="H61" s="3"/>
      <c r="I61" s="3"/>
      <c r="J61" s="3"/>
      <c r="K61" s="3"/>
      <c r="L61" s="3"/>
      <c r="M61" s="3"/>
    </row>
    <row r="62" spans="4:13">
      <c r="D62" s="14"/>
      <c r="E62" s="14"/>
      <c r="F62" s="14"/>
      <c r="H62" s="3"/>
      <c r="I62" s="3"/>
      <c r="J62" s="3"/>
      <c r="K62" s="3"/>
      <c r="L62" s="3"/>
      <c r="M62" s="3"/>
    </row>
    <row r="63" spans="4:13">
      <c r="D63" s="14"/>
      <c r="E63" s="14"/>
      <c r="F63" s="14"/>
      <c r="H63" s="3"/>
      <c r="I63" s="3"/>
      <c r="J63" s="3"/>
      <c r="K63" s="3"/>
      <c r="L63" s="3"/>
      <c r="M63" s="3"/>
    </row>
    <row r="64" spans="4:13">
      <c r="D64" s="14"/>
      <c r="E64" s="14"/>
      <c r="F64" s="14"/>
      <c r="H64" s="3"/>
      <c r="I64" s="3"/>
      <c r="J64" s="3"/>
      <c r="K64" s="3"/>
      <c r="L64" s="3"/>
      <c r="M64" s="3"/>
    </row>
    <row r="65" spans="4:13">
      <c r="D65" s="14"/>
      <c r="E65" s="14"/>
      <c r="F65" s="14"/>
      <c r="H65" s="3"/>
      <c r="I65" s="3"/>
      <c r="J65" s="3"/>
      <c r="K65" s="3"/>
      <c r="L65" s="3"/>
      <c r="M65" s="3"/>
    </row>
    <row r="66" spans="4:13">
      <c r="D66" s="14"/>
      <c r="E66" s="14"/>
      <c r="F66" s="14"/>
      <c r="H66" s="3"/>
      <c r="I66" s="3"/>
      <c r="J66" s="3"/>
      <c r="K66" s="3"/>
      <c r="L66" s="3"/>
      <c r="M66" s="3"/>
    </row>
    <row r="67" spans="4:13">
      <c r="D67" s="14"/>
      <c r="E67" s="14"/>
      <c r="F67" s="14"/>
      <c r="H67" s="3"/>
      <c r="I67" s="3"/>
      <c r="J67" s="3"/>
      <c r="K67" s="3"/>
      <c r="L67" s="3"/>
      <c r="M67" s="3"/>
    </row>
    <row r="68" spans="4:13">
      <c r="D68" s="14"/>
      <c r="E68" s="14"/>
      <c r="F68" s="14"/>
      <c r="H68" s="3"/>
      <c r="I68" s="3"/>
      <c r="J68" s="3"/>
      <c r="K68" s="3"/>
      <c r="L68" s="3"/>
      <c r="M68" s="3"/>
    </row>
    <row r="69" spans="4:13">
      <c r="D69" s="14"/>
      <c r="E69" s="14"/>
      <c r="F69" s="14"/>
      <c r="H69" s="3"/>
      <c r="I69" s="3"/>
      <c r="J69" s="3"/>
      <c r="K69" s="3"/>
      <c r="L69" s="3"/>
      <c r="M69" s="3"/>
    </row>
    <row r="70" spans="4:13">
      <c r="D70" s="14"/>
      <c r="E70" s="14"/>
      <c r="F70" s="14"/>
      <c r="H70" s="3"/>
      <c r="I70" s="3"/>
      <c r="J70" s="3"/>
      <c r="K70" s="3"/>
      <c r="L70" s="3"/>
      <c r="M70" s="3"/>
    </row>
    <row r="71" spans="4:13">
      <c r="D71" s="14"/>
      <c r="E71" s="14"/>
      <c r="F71" s="14"/>
      <c r="H71" s="3"/>
      <c r="I71" s="3"/>
      <c r="J71" s="3"/>
      <c r="K71" s="3"/>
      <c r="L71" s="3"/>
      <c r="M71" s="3"/>
    </row>
    <row r="72" spans="4:13">
      <c r="D72" s="14"/>
      <c r="E72" s="14"/>
      <c r="F72" s="14"/>
      <c r="H72" s="3"/>
      <c r="I72" s="3"/>
      <c r="J72" s="3"/>
      <c r="K72" s="3"/>
      <c r="L72" s="3"/>
      <c r="M72" s="3"/>
    </row>
    <row r="73" spans="4:13">
      <c r="D73" s="14"/>
      <c r="E73" s="14"/>
      <c r="F73" s="14"/>
      <c r="H73" s="3"/>
      <c r="I73" s="3"/>
      <c r="J73" s="3"/>
      <c r="K73" s="3"/>
      <c r="L73" s="3"/>
      <c r="M73" s="3"/>
    </row>
    <row r="74" spans="4:13">
      <c r="D74" s="14"/>
      <c r="E74" s="14"/>
      <c r="F74" s="14"/>
      <c r="H74" s="3"/>
      <c r="I74" s="3"/>
      <c r="J74" s="3"/>
      <c r="K74" s="3"/>
      <c r="L74" s="3"/>
      <c r="M74" s="3"/>
    </row>
    <row r="75" spans="4:13">
      <c r="D75" s="14"/>
      <c r="E75" s="14"/>
      <c r="F75" s="14"/>
      <c r="H75" s="3"/>
      <c r="I75" s="3"/>
      <c r="J75" s="3"/>
      <c r="K75" s="3"/>
      <c r="L75" s="3"/>
      <c r="M75" s="3"/>
    </row>
    <row r="76" spans="4:13">
      <c r="D76" s="14"/>
      <c r="E76" s="14"/>
      <c r="F76" s="14"/>
      <c r="H76" s="3"/>
      <c r="I76" s="3"/>
      <c r="J76" s="3"/>
      <c r="K76" s="3"/>
      <c r="L76" s="3"/>
      <c r="M76" s="3"/>
    </row>
    <row r="77" spans="4:13">
      <c r="D77" s="14"/>
      <c r="E77" s="14"/>
      <c r="F77" s="14"/>
      <c r="H77" s="3"/>
      <c r="I77" s="3"/>
      <c r="J77" s="3"/>
      <c r="K77" s="3"/>
      <c r="L77" s="3"/>
      <c r="M77" s="3"/>
    </row>
    <row r="78" spans="4:13">
      <c r="D78" s="14"/>
      <c r="E78" s="14"/>
      <c r="F78" s="14"/>
      <c r="H78" s="3"/>
      <c r="I78" s="3"/>
      <c r="J78" s="3"/>
      <c r="K78" s="3"/>
      <c r="L78" s="3"/>
      <c r="M78" s="3"/>
    </row>
    <row r="79" spans="4:13">
      <c r="D79" s="14"/>
      <c r="E79" s="14"/>
      <c r="F79" s="14"/>
      <c r="H79" s="3"/>
      <c r="I79" s="3"/>
      <c r="J79" s="3"/>
      <c r="K79" s="3"/>
      <c r="L79" s="3"/>
      <c r="M79" s="3"/>
    </row>
    <row r="80" spans="4:13">
      <c r="D80" s="14"/>
      <c r="E80" s="14"/>
      <c r="F80" s="14"/>
      <c r="H80" s="3"/>
      <c r="I80" s="3"/>
      <c r="J80" s="3"/>
      <c r="K80" s="3"/>
      <c r="L80" s="3"/>
      <c r="M80" s="3"/>
    </row>
    <row r="81" spans="4:13">
      <c r="D81" s="14"/>
      <c r="E81" s="14"/>
      <c r="F81" s="14"/>
      <c r="H81" s="3"/>
      <c r="I81" s="3"/>
      <c r="J81" s="3"/>
      <c r="K81" s="3"/>
      <c r="L81" s="3"/>
      <c r="M81" s="3"/>
    </row>
    <row r="82" spans="4:13">
      <c r="D82" s="14"/>
      <c r="E82" s="14"/>
      <c r="F82" s="14"/>
      <c r="H82" s="3"/>
      <c r="I82" s="3"/>
      <c r="J82" s="3"/>
      <c r="K82" s="3"/>
      <c r="L82" s="3"/>
      <c r="M82" s="3"/>
    </row>
    <row r="83" spans="4:13">
      <c r="D83" s="14"/>
      <c r="E83" s="14"/>
      <c r="F83" s="14"/>
      <c r="H83" s="3"/>
      <c r="I83" s="3"/>
      <c r="J83" s="3"/>
      <c r="K83" s="3"/>
      <c r="L83" s="3"/>
      <c r="M83" s="3"/>
    </row>
    <row r="84" spans="4:13">
      <c r="D84" s="14"/>
      <c r="E84" s="14"/>
      <c r="F84" s="14"/>
      <c r="H84" s="3"/>
      <c r="I84" s="3"/>
      <c r="J84" s="3"/>
      <c r="K84" s="3"/>
      <c r="L84" s="3"/>
      <c r="M84" s="3"/>
    </row>
    <row r="85" spans="4:13">
      <c r="D85" s="14"/>
      <c r="E85" s="14"/>
      <c r="F85" s="14"/>
      <c r="H85" s="3"/>
      <c r="I85" s="3"/>
      <c r="J85" s="3"/>
      <c r="K85" s="3"/>
      <c r="L85" s="3"/>
      <c r="M85" s="3"/>
    </row>
    <row r="86" spans="4:13">
      <c r="D86" s="14"/>
      <c r="E86" s="14"/>
      <c r="F86" s="14"/>
      <c r="H86" s="3"/>
      <c r="I86" s="3"/>
      <c r="J86" s="3"/>
      <c r="K86" s="3"/>
      <c r="L86" s="3"/>
      <c r="M86" s="3"/>
    </row>
    <row r="87" spans="4:13">
      <c r="D87" s="14"/>
      <c r="E87" s="14"/>
      <c r="F87" s="14"/>
      <c r="H87" s="3"/>
      <c r="I87" s="3"/>
      <c r="J87" s="3"/>
      <c r="K87" s="3"/>
      <c r="L87" s="3"/>
      <c r="M87" s="3"/>
    </row>
    <row r="88" spans="4:13">
      <c r="D88" s="14"/>
      <c r="E88" s="14"/>
      <c r="F88" s="14"/>
      <c r="H88" s="3"/>
      <c r="I88" s="3"/>
      <c r="J88" s="3"/>
      <c r="K88" s="3"/>
      <c r="L88" s="3"/>
      <c r="M88" s="3"/>
    </row>
    <row r="89" spans="4:13">
      <c r="D89" s="14"/>
      <c r="E89" s="14"/>
      <c r="F89" s="14"/>
      <c r="H89" s="3"/>
      <c r="I89" s="3"/>
      <c r="J89" s="3"/>
      <c r="K89" s="3"/>
      <c r="L89" s="3"/>
      <c r="M89" s="3"/>
    </row>
    <row r="90" spans="4:13">
      <c r="D90" s="14"/>
      <c r="E90" s="14"/>
      <c r="F90" s="14"/>
      <c r="H90" s="3"/>
      <c r="I90" s="3"/>
      <c r="J90" s="3"/>
      <c r="K90" s="3"/>
      <c r="L90" s="3"/>
      <c r="M90" s="3"/>
    </row>
    <row r="91" spans="4:13">
      <c r="D91" s="14"/>
      <c r="E91" s="14"/>
      <c r="F91" s="14"/>
      <c r="H91" s="3"/>
      <c r="I91" s="3"/>
      <c r="J91" s="3"/>
      <c r="K91" s="3"/>
      <c r="L91" s="3"/>
      <c r="M91" s="3"/>
    </row>
    <row r="92" spans="4:13">
      <c r="D92" s="14"/>
      <c r="E92" s="14"/>
      <c r="F92" s="14"/>
      <c r="H92" s="3"/>
      <c r="I92" s="3"/>
      <c r="J92" s="3"/>
      <c r="K92" s="3"/>
      <c r="L92" s="3"/>
      <c r="M92" s="3"/>
    </row>
    <row r="93" spans="4:13">
      <c r="D93" s="14"/>
      <c r="E93" s="14"/>
      <c r="F93" s="14"/>
      <c r="H93" s="3"/>
      <c r="I93" s="3"/>
      <c r="J93" s="3"/>
      <c r="K93" s="3"/>
      <c r="L93" s="3"/>
      <c r="M93" s="3"/>
    </row>
    <row r="94" spans="4:13">
      <c r="D94" s="14"/>
      <c r="E94" s="14"/>
      <c r="F94" s="14"/>
      <c r="H94" s="3"/>
      <c r="I94" s="3"/>
      <c r="J94" s="3"/>
      <c r="K94" s="3"/>
      <c r="L94" s="3"/>
      <c r="M94" s="3"/>
    </row>
    <row r="95" spans="4:13">
      <c r="D95" s="14"/>
      <c r="E95" s="14"/>
      <c r="F95" s="14"/>
      <c r="H95" s="3"/>
      <c r="I95" s="3"/>
      <c r="J95" s="3"/>
      <c r="K95" s="3"/>
      <c r="L95" s="3"/>
      <c r="M95" s="3"/>
    </row>
    <row r="96" spans="4:13">
      <c r="D96" s="14"/>
      <c r="E96" s="14"/>
      <c r="F96" s="14"/>
      <c r="H96" s="3"/>
      <c r="I96" s="3"/>
      <c r="J96" s="3"/>
      <c r="K96" s="3"/>
      <c r="L96" s="3"/>
      <c r="M96" s="3"/>
    </row>
    <row r="97" spans="4:13">
      <c r="D97" s="14"/>
      <c r="E97" s="14"/>
      <c r="F97" s="14"/>
      <c r="H97" s="3"/>
      <c r="I97" s="3"/>
      <c r="J97" s="3"/>
      <c r="K97" s="3"/>
      <c r="L97" s="3"/>
      <c r="M97" s="3"/>
    </row>
    <row r="98" spans="4:13">
      <c r="D98" s="14"/>
      <c r="E98" s="14"/>
      <c r="F98" s="14"/>
      <c r="H98" s="3"/>
      <c r="I98" s="3"/>
      <c r="J98" s="3"/>
      <c r="K98" s="3"/>
      <c r="L98" s="3"/>
      <c r="M98" s="3"/>
    </row>
    <row r="99" spans="4:13">
      <c r="D99" s="14"/>
      <c r="E99" s="14"/>
      <c r="F99" s="14"/>
      <c r="H99" s="3"/>
      <c r="I99" s="3"/>
      <c r="J99" s="3"/>
      <c r="K99" s="3"/>
      <c r="L99" s="3"/>
      <c r="M99" s="3"/>
    </row>
    <row r="100" spans="4:13">
      <c r="D100" s="14"/>
      <c r="E100" s="14"/>
      <c r="F100" s="14"/>
      <c r="H100" s="3"/>
      <c r="I100" s="3"/>
      <c r="J100" s="3"/>
      <c r="K100" s="3"/>
      <c r="L100" s="3"/>
      <c r="M100" s="3"/>
    </row>
    <row r="101" spans="4:13">
      <c r="D101" s="14"/>
      <c r="E101" s="14"/>
      <c r="F101" s="14"/>
      <c r="H101" s="3"/>
      <c r="I101" s="3"/>
      <c r="J101" s="3"/>
      <c r="K101" s="3"/>
      <c r="L101" s="3"/>
      <c r="M101" s="3"/>
    </row>
    <row r="102" spans="4:13">
      <c r="D102" s="14"/>
      <c r="E102" s="14"/>
      <c r="F102" s="14"/>
      <c r="H102" s="3"/>
      <c r="I102" s="3"/>
      <c r="J102" s="3"/>
      <c r="K102" s="3"/>
      <c r="L102" s="3"/>
      <c r="M102" s="3"/>
    </row>
    <row r="103" spans="4:13">
      <c r="D103" s="14"/>
      <c r="E103" s="14"/>
      <c r="F103" s="14"/>
      <c r="H103" s="3"/>
      <c r="I103" s="3"/>
      <c r="J103" s="3"/>
      <c r="K103" s="3"/>
      <c r="L103" s="3"/>
      <c r="M103" s="3"/>
    </row>
    <row r="104" spans="4:13">
      <c r="D104" s="14"/>
      <c r="E104" s="14"/>
      <c r="F104" s="14"/>
      <c r="H104" s="3"/>
      <c r="I104" s="3"/>
      <c r="J104" s="3"/>
      <c r="K104" s="3"/>
      <c r="L104" s="3"/>
      <c r="M104" s="3"/>
    </row>
    <row r="105" spans="4:13">
      <c r="D105" s="14"/>
      <c r="E105" s="14"/>
      <c r="F105" s="14"/>
      <c r="H105" s="3"/>
      <c r="I105" s="3"/>
      <c r="J105" s="3"/>
      <c r="K105" s="3"/>
      <c r="L105" s="3"/>
      <c r="M105" s="3"/>
    </row>
    <row r="106" spans="4:13">
      <c r="D106" s="14"/>
      <c r="E106" s="14"/>
      <c r="F106" s="14"/>
      <c r="H106" s="3"/>
      <c r="I106" s="3"/>
      <c r="J106" s="3"/>
      <c r="K106" s="3"/>
      <c r="L106" s="3"/>
      <c r="M10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H156"/>
  <sheetViews>
    <sheetView showGridLines="0" workbookViewId="0">
      <selection activeCell="H7" sqref="H7"/>
    </sheetView>
  </sheetViews>
  <sheetFormatPr defaultRowHeight="14.25"/>
  <cols>
    <col min="1" max="1" width="11.125" customWidth="1"/>
    <col min="2" max="2" width="26.625" customWidth="1"/>
    <col min="3" max="5" width="12.75" customWidth="1"/>
    <col min="6" max="6" width="12.375" customWidth="1"/>
    <col min="7" max="7" width="10.875" customWidth="1"/>
    <col min="8" max="8" width="16.125" customWidth="1"/>
  </cols>
  <sheetData>
    <row r="1" spans="1:8" ht="24" customHeight="1">
      <c r="A1" s="17" t="s">
        <v>62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63</v>
      </c>
    </row>
    <row r="4" spans="1:8" ht="22.5" customHeight="1">
      <c r="A4" s="8" t="s">
        <v>14</v>
      </c>
      <c r="B4" s="11">
        <v>46235</v>
      </c>
      <c r="C4" s="8" t="s">
        <v>15</v>
      </c>
      <c r="D4" s="11">
        <v>46265</v>
      </c>
    </row>
    <row r="5" spans="1:8" ht="15">
      <c r="A5" s="18"/>
      <c r="B5" s="18" t="s">
        <v>34</v>
      </c>
      <c r="C5" s="18"/>
      <c r="D5" s="18"/>
      <c r="E5" s="18">
        <f>SUM(E7:E156)</f>
        <v>316.82499999948777</v>
      </c>
      <c r="F5" s="18"/>
      <c r="G5" s="18"/>
      <c r="H5" s="19">
        <f>SUM(H7:H156)</f>
        <v>6990.3665277616492</v>
      </c>
    </row>
    <row r="6" spans="1:8" ht="24" customHeight="1">
      <c r="A6" s="5" t="s">
        <v>64</v>
      </c>
      <c r="B6" s="5" t="s">
        <v>6</v>
      </c>
      <c r="C6" s="5" t="s">
        <v>16</v>
      </c>
      <c r="D6" s="5" t="s">
        <v>17</v>
      </c>
      <c r="E6" s="5" t="s">
        <v>18</v>
      </c>
      <c r="F6" s="5" t="s">
        <v>20</v>
      </c>
      <c r="G6" s="5" t="s">
        <v>65</v>
      </c>
      <c r="H6" s="5" t="s">
        <v>66</v>
      </c>
    </row>
    <row r="7" spans="1:8" ht="18.75" customHeight="1">
      <c r="A7" t="s">
        <v>67</v>
      </c>
      <c r="B7" t="s">
        <v>68</v>
      </c>
      <c r="C7" s="14">
        <f>IF(B7="","",SUMIFS(tblRegistros[Horas],tblRegistros[Projeto],B7,tblRegistros[Data],"&gt;="&amp;$B$4,tblRegistros[Data],"&lt;"&amp;($D$4+1),tblRegistros[Status],"CONCLUÍDO",tblRegistros[Tipo de dia],"DIA ÚTIL"))</f>
        <v>3.6505555555340834</v>
      </c>
      <c r="D7" s="14">
        <f>IF(B7="","",SUMIFS(tblRegistros[Horas],tblRegistros[Projeto],B7,tblRegistros[Data],"&gt;="&amp;$B$4,tblRegistros[Data],"&lt;"&amp;($D$4+1),tblRegistros[Status],"CONCLUÍDO",tblRegistros[Tipo de dia],"FDS/FERIADO"))</f>
        <v>0</v>
      </c>
      <c r="E7" s="14">
        <f t="shared" ref="E7:E17" si="0">IF(B7="","",C7+D7)</f>
        <v>3.6505555555340834</v>
      </c>
      <c r="F7">
        <f>IF(B7="","",COUNTIFS(tblRegistros[Projeto],B7,tblRegistros[Data],"&gt;="&amp;$B$4,tblRegistros[Data],"&lt;"&amp;($D$4+1),tblRegistros[Status],"CONCLUÍDO"))</f>
        <v>1</v>
      </c>
      <c r="G7">
        <f>IF(F7=0,0,IFERROR(ROWS(_xlfn.UNIQUE(_xlfn._xlws.FILTER(tblRegistros[ID],(tblRegistros[Projeto]=B7)*(tblRegistros[Data]&gt;=$B$4)*(tblRegistros[Data]&lt;=$D$4)*(tblRegistros[Status]="CONCLUÍDO")))),0))</f>
        <v>1</v>
      </c>
      <c r="H7" s="3">
        <f>IF(B7="","",SUMIFS(tblRegistros[Valor],tblRegistros[Projeto],B7,tblRegistros[Data],"&gt;="&amp;$B$4,tblRegistros[Data],"&lt;"&amp;($D$4+1),tblRegistros[Status],"CONCLUÍDO"))</f>
        <v>85.78805555505096</v>
      </c>
    </row>
    <row r="8" spans="1:8" ht="18.75" customHeight="1">
      <c r="A8" t="s">
        <v>69</v>
      </c>
      <c r="B8" t="s">
        <v>70</v>
      </c>
      <c r="C8" s="14">
        <f>IF(B8="","",SUMIFS(tblRegistros[Horas],tblRegistros[Projeto],B8,tblRegistros[Data],"&gt;="&amp;$B$4,tblRegistros[Data],"&lt;"&amp;($D$4+1),tblRegistros[Status],"CONCLUÍDO",tblRegistros[Tipo de dia],"DIA ÚTIL"))</f>
        <v>54.549722222203854</v>
      </c>
      <c r="D8" s="14">
        <f>IF(B8="","",SUMIFS(tblRegistros[Horas],tblRegistros[Projeto],B8,tblRegistros[Data],"&gt;="&amp;$B$4,tblRegistros[Data],"&lt;"&amp;($D$4+1),tblRegistros[Status],"CONCLUÍDO",tblRegistros[Tipo de dia],"FDS/FERIADO"))</f>
        <v>0</v>
      </c>
      <c r="E8" s="14">
        <f t="shared" si="0"/>
        <v>54.549722222203854</v>
      </c>
      <c r="F8">
        <f>IF(B8="","",COUNTIFS(tblRegistros[Projeto],B8,tblRegistros[Data],"&gt;="&amp;$B$4,tblRegistros[Data],"&lt;"&amp;($D$4+1),tblRegistros[Status],"CONCLUÍDO"))</f>
        <v>8</v>
      </c>
      <c r="G8">
        <f>IF(F8=0,0,IFERROR(ROWS(_xlfn.UNIQUE(_xlfn._xlws.FILTER(tblRegistros[ID],(tblRegistros[Projeto]=B8)*(tblRegistros[Data]&gt;=$B$4)*(tblRegistros[Data]&lt;=$D$4)*(tblRegistros[Status]="CONCLUÍDO")))),0))</f>
        <v>2</v>
      </c>
      <c r="H8" s="3">
        <f>IF(B8="","",SUMIFS(tblRegistros[Valor],tblRegistros[Projeto],B8,tblRegistros[Data],"&gt;="&amp;$B$4,tblRegistros[Data],"&lt;"&amp;($D$4+1),tblRegistros[Status],"CONCLUÍDO"))</f>
        <v>1281.9184722217906</v>
      </c>
    </row>
    <row r="9" spans="1:8" ht="18.75" customHeight="1">
      <c r="A9" t="s">
        <v>71</v>
      </c>
      <c r="B9" t="s">
        <v>72</v>
      </c>
      <c r="C9" s="14">
        <f>IF(B9="","",SUMIFS(tblRegistros[Horas],tblRegistros[Projeto],B9,tblRegistros[Data],"&gt;="&amp;$B$4,tblRegistros[Data],"&lt;"&amp;($D$4+1),tblRegistros[Status],"CONCLUÍDO",tblRegistros[Tipo de dia],"DIA ÚTIL"))</f>
        <v>25.981944444123656</v>
      </c>
      <c r="D9" s="14">
        <f>IF(B9="","",SUMIFS(tblRegistros[Horas],tblRegistros[Projeto],B9,tblRegistros[Data],"&gt;="&amp;$B$4,tblRegistros[Data],"&lt;"&amp;($D$4+1),tblRegistros[Status],"CONCLUÍDO",tblRegistros[Tipo de dia],"FDS/FERIADO"))</f>
        <v>17.586111111100763</v>
      </c>
      <c r="E9" s="14">
        <f t="shared" si="0"/>
        <v>43.568055555224419</v>
      </c>
      <c r="F9">
        <f>IF(B9="","",COUNTIFS(tblRegistros[Projeto],B9,tblRegistros[Data],"&gt;="&amp;$B$4,tblRegistros[Data],"&lt;"&amp;($D$4+1),tblRegistros[Status],"CONCLUÍDO"))</f>
        <v>14</v>
      </c>
      <c r="G9">
        <f>IF(F9=0,0,IFERROR(ROWS(_xlfn.UNIQUE(_xlfn._xlws.FILTER(tblRegistros[ID],(tblRegistros[Projeto]=B9)*(tblRegistros[Data]&gt;=$B$4)*(tblRegistros[Data]&lt;=$D$4)*(tblRegistros[Status]="CONCLUÍDO")))),0))</f>
        <v>4</v>
      </c>
      <c r="H9" s="3">
        <f>IF(B9="","",SUMIFS(tblRegistros[Valor],tblRegistros[Projeto],B9,tblRegistros[Data],"&gt;="&amp;$B$4,tblRegistros[Data],"&lt;"&amp;($D$4+1),tblRegistros[Status],"CONCLUÍDO"))</f>
        <v>1275.2398611041986</v>
      </c>
    </row>
    <row r="10" spans="1:8" ht="18.75" customHeight="1">
      <c r="A10" t="s">
        <v>73</v>
      </c>
      <c r="B10" t="s">
        <v>74</v>
      </c>
      <c r="C10" s="14">
        <f>IF(B10="","",SUMIFS(tblRegistros[Horas],tblRegistros[Projeto],B10,tblRegistros[Data],"&gt;="&amp;$B$4,tblRegistros[Data],"&lt;"&amp;($D$4+1),tblRegistros[Status],"CONCLUÍDO",tblRegistros[Tipo de dia],"DIA ÚTIL"))</f>
        <v>104.82638888864312</v>
      </c>
      <c r="D10" s="14">
        <f>IF(B10="","",SUMIFS(tblRegistros[Horas],tblRegistros[Projeto],B10,tblRegistros[Data],"&gt;="&amp;$B$4,tblRegistros[Data],"&lt;"&amp;($D$4+1),tblRegistros[Status],"CONCLUÍDO",tblRegistros[Tipo de dia],"FDS/FERIADO"))</f>
        <v>15.579722222231794</v>
      </c>
      <c r="E10" s="14">
        <f t="shared" si="0"/>
        <v>120.40611111087492</v>
      </c>
      <c r="F10">
        <f>IF(B10="","",COUNTIFS(tblRegistros[Projeto],B10,tblRegistros[Data],"&gt;="&amp;$B$4,tblRegistros[Data],"&lt;"&amp;($D$4+1),tblRegistros[Status],"CONCLUÍDO"))</f>
        <v>27</v>
      </c>
      <c r="G10">
        <f>IF(F10=0,0,IFERROR(ROWS(_xlfn.UNIQUE(_xlfn._xlws.FILTER(tblRegistros[ID],(tblRegistros[Projeto]=B10)*(tblRegistros[Data]&gt;=$B$4)*(tblRegistros[Data]&lt;=$D$4)*(tblRegistros[Status]="CONCLUÍDO")))),0))</f>
        <v>6</v>
      </c>
      <c r="H10" s="3">
        <f>IF(B10="","",SUMIFS(tblRegistros[Valor],tblRegistros[Projeto],B10,tblRegistros[Data],"&gt;="&amp;$B$4,tblRegistros[Data],"&lt;"&amp;($D$4+1),tblRegistros[Status],"CONCLUÍDO"))</f>
        <v>2648.3824999908379</v>
      </c>
    </row>
    <row r="11" spans="1:8" ht="18.75" customHeight="1">
      <c r="A11" t="s">
        <v>75</v>
      </c>
      <c r="B11" t="s">
        <v>76</v>
      </c>
      <c r="C11" s="14">
        <f>IF(B11="","",SUMIFS(tblRegistros[Horas],tblRegistros[Projeto],B11,tblRegistros[Data],"&gt;="&amp;$B$4,tblRegistros[Data],"&lt;"&amp;($D$4+1),tblRegistros[Status],"CONCLUÍDO",tblRegistros[Tipo de dia],"DIA ÚTIL"))</f>
        <v>4.2447222220944241</v>
      </c>
      <c r="D11" s="14">
        <f>IF(B11="","",SUMIFS(tblRegistros[Horas],tblRegistros[Projeto],B11,tblRegistros[Data],"&gt;="&amp;$B$4,tblRegistros[Data],"&lt;"&amp;($D$4+1),tblRegistros[Status],"CONCLUÍDO",tblRegistros[Tipo de dia],"FDS/FERIADO"))</f>
        <v>0</v>
      </c>
      <c r="E11" s="14">
        <f t="shared" si="0"/>
        <v>4.2447222220944241</v>
      </c>
      <c r="F11">
        <f>IF(B11="","",COUNTIFS(tblRegistros[Projeto],B11,tblRegistros[Data],"&gt;="&amp;$B$4,tblRegistros[Data],"&lt;"&amp;($D$4+1),tblRegistros[Status],"CONCLUÍDO"))</f>
        <v>2</v>
      </c>
      <c r="G11">
        <f>IF(F11=0,0,IFERROR(ROWS(_xlfn.UNIQUE(_xlfn._xlws.FILTER(tblRegistros[ID],(tblRegistros[Projeto]=B11)*(tblRegistros[Data]&gt;=$B$4)*(tblRegistros[Data]&lt;=$D$4)*(tblRegistros[Status]="CONCLUÍDO")))),0))</f>
        <v>2</v>
      </c>
      <c r="H11" s="3">
        <f>IF(B11="","",SUMIFS(tblRegistros[Valor],tblRegistros[Projeto],B11,tblRegistros[Data],"&gt;="&amp;$B$4,tblRegistros[Data],"&lt;"&amp;($D$4+1),tblRegistros[Status],"CONCLUÍDO"))</f>
        <v>99.684166663937503</v>
      </c>
    </row>
    <row r="12" spans="1:8" ht="18.75" customHeight="1">
      <c r="A12" t="s">
        <v>77</v>
      </c>
      <c r="B12" t="s">
        <v>78</v>
      </c>
      <c r="C12" s="14">
        <f>IF(B12="","",SUMIFS(tblRegistros[Horas],tblRegistros[Projeto],B12,tblRegistros[Data],"&gt;="&amp;$B$4,tblRegistros[Data],"&lt;"&amp;($D$4+1),tblRegistros[Status],"CONCLUÍDO",tblRegistros[Tipo de dia],"DIA ÚTIL"))</f>
        <v>0</v>
      </c>
      <c r="D12" s="14">
        <f>IF(B12="","",SUMIFS(tblRegistros[Horas],tblRegistros[Projeto],B12,tblRegistros[Data],"&gt;="&amp;$B$4,tblRegistros[Data],"&lt;"&amp;($D$4+1),tblRegistros[Status],"CONCLUÍDO",tblRegistros[Tipo de dia],"FDS/FERIADO"))</f>
        <v>0</v>
      </c>
      <c r="E12" s="14">
        <f t="shared" si="0"/>
        <v>0</v>
      </c>
      <c r="F12">
        <f>IF(B12="","",COUNTIFS(tblRegistros[Projeto],B12,tblRegistros[Data],"&gt;="&amp;$B$4,tblRegistros[Data],"&lt;"&amp;($D$4+1),tblRegistros[Status],"CONCLUÍDO"))</f>
        <v>0</v>
      </c>
      <c r="G12">
        <f>IF(F12=0,0,IFERROR(ROWS(_xlfn.UNIQUE(_xlfn._xlws.FILTER(tblRegistros[ID],(tblRegistros[Projeto]=B12)*(tblRegistros[Data]&gt;=$B$4)*(tblRegistros[Data]&lt;=$D$4)*(tblRegistros[Status]="CONCLUÍDO")))),0))</f>
        <v>0</v>
      </c>
      <c r="H12" s="3">
        <f>IF(B12="","",SUMIFS(tblRegistros[Valor],tblRegistros[Projeto],B12,tblRegistros[Data],"&gt;="&amp;$B$4,tblRegistros[Data],"&lt;"&amp;($D$4+1),tblRegistros[Status],"CONCLUÍDO"))</f>
        <v>0</v>
      </c>
    </row>
    <row r="13" spans="1:8" ht="18.75" customHeight="1">
      <c r="A13" t="s">
        <v>79</v>
      </c>
      <c r="B13" t="s">
        <v>80</v>
      </c>
      <c r="C13" s="14">
        <f>IF(B13="","",SUMIFS(tblRegistros[Horas],tblRegistros[Projeto],B13,tblRegistros[Data],"&gt;="&amp;$B$4,tblRegistros[Data],"&lt;"&amp;($D$4+1),tblRegistros[Status],"CONCLUÍDO",tblRegistros[Tipo de dia],"DIA ÚTIL"))</f>
        <v>54.717777778103482</v>
      </c>
      <c r="D13" s="14">
        <f>IF(B13="","",SUMIFS(tblRegistros[Horas],tblRegistros[Projeto],B13,tblRegistros[Data],"&gt;="&amp;$B$4,tblRegistros[Data],"&lt;"&amp;($D$4+1),tblRegistros[Status],"CONCLUÍDO",tblRegistros[Tipo de dia],"FDS/FERIADO"))</f>
        <v>2.8891666666022502</v>
      </c>
      <c r="E13" s="14">
        <f t="shared" si="0"/>
        <v>57.606944444705732</v>
      </c>
      <c r="F13">
        <f>IF(B13="","",COUNTIFS(tblRegistros[Projeto],B13,tblRegistros[Data],"&gt;="&amp;$B$4,tblRegistros[Data],"&lt;"&amp;($D$4+1),tblRegistros[Status],"CONCLUÍDO"))</f>
        <v>14</v>
      </c>
      <c r="G13">
        <f>IF(F13=0,0,IFERROR(ROWS(_xlfn.UNIQUE(_xlfn._xlws.FILTER(tblRegistros[ID],(tblRegistros[Projeto]=B13)*(tblRegistros[Data]&gt;=$B$4)*(tblRegistros[Data]&lt;=$D$4)*(tblRegistros[Status]="CONCLUÍDO")))),0))</f>
        <v>6</v>
      </c>
      <c r="H13" s="3">
        <f>IF(B13="","",SUMIFS(tblRegistros[Valor],tblRegistros[Projeto],B13,tblRegistros[Data],"&gt;="&amp;$B$4,tblRegistros[Data],"&lt;"&amp;($D$4+1),tblRegistros[Status],"CONCLUÍDO"))</f>
        <v>894.17736111555132</v>
      </c>
    </row>
    <row r="14" spans="1:8" ht="18.75" customHeight="1">
      <c r="A14" t="s">
        <v>81</v>
      </c>
      <c r="B14" t="s">
        <v>82</v>
      </c>
      <c r="C14" s="14">
        <f>IF(B14="","",SUMIFS(tblRegistros[Horas],tblRegistros[Projeto],B14,tblRegistros[Data],"&gt;="&amp;$B$4,tblRegistros[Data],"&lt;"&amp;($D$4+1),tblRegistros[Status],"CONCLUÍDO",tblRegistros[Tipo de dia],"DIA ÚTIL"))</f>
        <v>0</v>
      </c>
      <c r="D14" s="14">
        <f>IF(B14="","",SUMIFS(tblRegistros[Horas],tblRegistros[Projeto],B14,tblRegistros[Data],"&gt;="&amp;$B$4,tblRegistros[Data],"&lt;"&amp;($D$4+1),tblRegistros[Status],"CONCLUÍDO",tblRegistros[Tipo de dia],"FDS/FERIADO"))</f>
        <v>0</v>
      </c>
      <c r="E14" s="14">
        <f t="shared" si="0"/>
        <v>0</v>
      </c>
      <c r="F14">
        <f>IF(B14="","",COUNTIFS(tblRegistros[Projeto],B14,tblRegistros[Data],"&gt;="&amp;$B$4,tblRegistros[Data],"&lt;"&amp;($D$4+1),tblRegistros[Status],"CONCLUÍDO"))</f>
        <v>0</v>
      </c>
      <c r="G14">
        <f>IF(F14=0,0,IFERROR(ROWS(_xlfn.UNIQUE(_xlfn._xlws.FILTER(tblRegistros[ID],(tblRegistros[Projeto]=B14)*(tblRegistros[Data]&gt;=$B$4)*(tblRegistros[Data]&lt;=$D$4)*(tblRegistros[Status]="CONCLUÍDO")))),0))</f>
        <v>0</v>
      </c>
      <c r="H14" s="3">
        <f>IF(B14="","",SUMIFS(tblRegistros[Valor],tblRegistros[Projeto],B14,tblRegistros[Data],"&gt;="&amp;$B$4,tblRegistros[Data],"&lt;"&amp;($D$4+1),tblRegistros[Status],"CONCLUÍDO"))</f>
        <v>0</v>
      </c>
    </row>
    <row r="15" spans="1:8" ht="18.75" customHeight="1">
      <c r="A15" t="s">
        <v>83</v>
      </c>
      <c r="B15" t="s">
        <v>84</v>
      </c>
      <c r="C15" s="14">
        <f>IF(B15="","",SUMIFS(tblRegistros[Horas],tblRegistros[Projeto],B15,tblRegistros[Data],"&gt;="&amp;$B$4,tblRegistros[Data],"&lt;"&amp;($D$4+1),tblRegistros[Status],"CONCLUÍDO",tblRegistros[Tipo de dia],"DIA ÚTIL"))</f>
        <v>32.798888888850342</v>
      </c>
      <c r="D15" s="14">
        <f>IF(B15="","",SUMIFS(tblRegistros[Horas],tblRegistros[Projeto],B15,tblRegistros[Data],"&gt;="&amp;$B$4,tblRegistros[Data],"&lt;"&amp;($D$4+1),tblRegistros[Status],"CONCLUÍDO",tblRegistros[Tipo de dia],"FDS/FERIADO"))</f>
        <v>0</v>
      </c>
      <c r="E15" s="14">
        <f t="shared" si="0"/>
        <v>32.798888888850342</v>
      </c>
      <c r="F15">
        <f>IF(B15="","",COUNTIFS(tblRegistros[Projeto],B15,tblRegistros[Data],"&gt;="&amp;$B$4,tblRegistros[Data],"&lt;"&amp;($D$4+1),tblRegistros[Status],"CONCLUÍDO"))</f>
        <v>10</v>
      </c>
      <c r="G15">
        <f>IF(F15=0,0,IFERROR(ROWS(_xlfn.UNIQUE(_xlfn._xlws.FILTER(tblRegistros[ID],(tblRegistros[Projeto]=B15)*(tblRegistros[Data]&gt;=$B$4)*(tblRegistros[Data]&lt;=$D$4)*(tblRegistros[Status]="CONCLUÍDO")))),0))</f>
        <v>1</v>
      </c>
      <c r="H15" s="3">
        <f>IF(B15="","",SUMIFS(tblRegistros[Valor],tblRegistros[Projeto],B15,tblRegistros[Data],"&gt;="&amp;$B$4,tblRegistros[Data],"&lt;"&amp;($D$4+1),tblRegistros[Status],"CONCLUÍDO"))</f>
        <v>705.17611111028236</v>
      </c>
    </row>
    <row r="16" spans="1:8" ht="18.75" customHeight="1">
      <c r="A16" t="s">
        <v>85</v>
      </c>
      <c r="B16" t="s">
        <v>86</v>
      </c>
      <c r="C16" s="14">
        <f>IF(B16="","",SUMIFS(tblRegistros[Horas],tblRegistros[Projeto],B16,tblRegistros[Data],"&gt;="&amp;$B$4,tblRegistros[Data],"&lt;"&amp;($D$4+1),tblRegistros[Status],"CONCLUÍDO",tblRegistros[Tipo de dia],"DIA ÚTIL"))</f>
        <v>0</v>
      </c>
      <c r="D16" s="14">
        <f>IF(B16="","",SUMIFS(tblRegistros[Horas],tblRegistros[Projeto],B16,tblRegistros[Data],"&gt;="&amp;$B$4,tblRegistros[Data],"&lt;"&amp;($D$4+1),tblRegistros[Status],"CONCLUÍDO",tblRegistros[Tipo de dia],"FDS/FERIADO"))</f>
        <v>0</v>
      </c>
      <c r="E16" s="14">
        <f t="shared" si="0"/>
        <v>0</v>
      </c>
      <c r="F16">
        <f>IF(B16="","",COUNTIFS(tblRegistros[Projeto],B16,tblRegistros[Data],"&gt;="&amp;$B$4,tblRegistros[Data],"&lt;"&amp;($D$4+1),tblRegistros[Status],"CONCLUÍDO"))</f>
        <v>0</v>
      </c>
      <c r="G16">
        <f>IF(F16=0,0,IFERROR(ROWS(_xlfn.UNIQUE(_xlfn._xlws.FILTER(tblRegistros[ID],(tblRegistros[Projeto]=B16)*(tblRegistros[Data]&gt;=$B$4)*(tblRegistros[Data]&lt;=$D$4)*(tblRegistros[Status]="CONCLUÍDO")))),0))</f>
        <v>0</v>
      </c>
      <c r="H16" s="3">
        <f>IF(B16="","",SUMIFS(tblRegistros[Valor],tblRegistros[Projeto],B16,tblRegistros[Data],"&gt;="&amp;$B$4,tblRegistros[Data],"&lt;"&amp;($D$4+1),tblRegistros[Status],"CONCLUÍDO"))</f>
        <v>0</v>
      </c>
    </row>
    <row r="17" spans="1:8" ht="18.75" customHeight="1">
      <c r="A17" t="s">
        <v>87</v>
      </c>
      <c r="B17" t="s">
        <v>88</v>
      </c>
      <c r="C17" s="14">
        <f>IF(B17="","",SUMIFS(tblRegistros[Horas],tblRegistros[Projeto],B17,tblRegistros[Data],"&gt;="&amp;$B$4,tblRegistros[Data],"&lt;"&amp;($D$4+1),tblRegistros[Status],"CONCLUÍDO",tblRegistros[Tipo de dia],"DIA ÚTIL"))</f>
        <v>0</v>
      </c>
      <c r="D17" s="14">
        <f>IF(B17="","",SUMIFS(tblRegistros[Horas],tblRegistros[Projeto],B17,tblRegistros[Data],"&gt;="&amp;$B$4,tblRegistros[Data],"&lt;"&amp;($D$4+1),tblRegistros[Status],"CONCLUÍDO",tblRegistros[Tipo de dia],"FDS/FERIADO"))</f>
        <v>0</v>
      </c>
      <c r="E17" s="14">
        <f t="shared" si="0"/>
        <v>0</v>
      </c>
      <c r="F17">
        <f>IF(B17="","",COUNTIFS(tblRegistros[Projeto],B17,tblRegistros[Data],"&gt;="&amp;$B$4,tblRegistros[Data],"&lt;"&amp;($D$4+1),tblRegistros[Status],"CONCLUÍDO"))</f>
        <v>0</v>
      </c>
      <c r="G17">
        <f>IF(F17=0,0,IFERROR(ROWS(_xlfn.UNIQUE(_xlfn._xlws.FILTER(tblRegistros[ID],(tblRegistros[Projeto]=B17)*(tblRegistros[Data]&gt;=$B$4)*(tblRegistros[Data]&lt;=$D$4)*(tblRegistros[Status]="CONCLUÍDO")))),0))</f>
        <v>0</v>
      </c>
      <c r="H17" s="3">
        <f>IF(B17="","",SUMIFS(tblRegistros[Valor],tblRegistros[Projeto],B17,tblRegistros[Data],"&gt;="&amp;$B$4,tblRegistros[Data],"&lt;"&amp;($D$4+1),tblRegistros[Status],"CONCLUÍDO"))</f>
        <v>0</v>
      </c>
    </row>
    <row r="18" spans="1:8">
      <c r="C18" s="14"/>
      <c r="D18" s="14"/>
      <c r="E18" s="14"/>
      <c r="H18" s="3"/>
    </row>
    <row r="19" spans="1:8">
      <c r="C19" s="14"/>
      <c r="D19" s="14"/>
      <c r="E19" s="14"/>
      <c r="H19" s="3"/>
    </row>
    <row r="20" spans="1:8">
      <c r="C20" s="14"/>
      <c r="D20" s="14"/>
      <c r="E20" s="14"/>
      <c r="H20" s="3"/>
    </row>
    <row r="21" spans="1:8">
      <c r="C21" s="14"/>
      <c r="D21" s="14"/>
      <c r="E21" s="14"/>
      <c r="H21" s="3"/>
    </row>
    <row r="22" spans="1:8">
      <c r="C22" s="14"/>
      <c r="D22" s="14"/>
      <c r="E22" s="14"/>
      <c r="H22" s="3"/>
    </row>
    <row r="23" spans="1:8">
      <c r="C23" s="14"/>
      <c r="D23" s="14"/>
      <c r="E23" s="14"/>
      <c r="H23" s="3"/>
    </row>
    <row r="24" spans="1:8">
      <c r="C24" s="14"/>
      <c r="D24" s="14"/>
      <c r="E24" s="14"/>
      <c r="H24" s="3"/>
    </row>
    <row r="25" spans="1:8">
      <c r="C25" s="14"/>
      <c r="D25" s="14"/>
      <c r="E25" s="14"/>
      <c r="H25" s="3"/>
    </row>
    <row r="26" spans="1:8">
      <c r="C26" s="14"/>
      <c r="D26" s="14"/>
      <c r="E26" s="14"/>
      <c r="H26" s="3"/>
    </row>
    <row r="27" spans="1:8">
      <c r="C27" s="14"/>
      <c r="D27" s="14"/>
      <c r="E27" s="14"/>
      <c r="H27" s="3"/>
    </row>
    <row r="28" spans="1:8">
      <c r="C28" s="14"/>
      <c r="D28" s="14"/>
      <c r="E28" s="14"/>
      <c r="H28" s="3"/>
    </row>
    <row r="29" spans="1:8">
      <c r="C29" s="14"/>
      <c r="D29" s="14"/>
      <c r="E29" s="14"/>
      <c r="H29" s="3"/>
    </row>
    <row r="30" spans="1:8">
      <c r="C30" s="14"/>
      <c r="D30" s="14"/>
      <c r="E30" s="14"/>
      <c r="H30" s="3"/>
    </row>
    <row r="31" spans="1:8">
      <c r="C31" s="14"/>
      <c r="D31" s="14"/>
      <c r="E31" s="14"/>
      <c r="H31" s="3"/>
    </row>
    <row r="32" spans="1:8">
      <c r="C32" s="14"/>
      <c r="D32" s="14"/>
      <c r="E32" s="14"/>
      <c r="H32" s="3"/>
    </row>
    <row r="33" spans="3:8">
      <c r="C33" s="14"/>
      <c r="D33" s="14"/>
      <c r="E33" s="14"/>
      <c r="H33" s="3"/>
    </row>
    <row r="34" spans="3:8">
      <c r="C34" s="14"/>
      <c r="D34" s="14"/>
      <c r="E34" s="14"/>
      <c r="H34" s="3"/>
    </row>
    <row r="35" spans="3:8">
      <c r="C35" s="14"/>
      <c r="D35" s="14"/>
      <c r="E35" s="14"/>
      <c r="H35" s="3"/>
    </row>
    <row r="36" spans="3:8">
      <c r="C36" s="14"/>
      <c r="D36" s="14"/>
      <c r="E36" s="14"/>
      <c r="H36" s="3"/>
    </row>
    <row r="37" spans="3:8">
      <c r="C37" s="14"/>
      <c r="D37" s="14"/>
      <c r="E37" s="14"/>
      <c r="H37" s="3"/>
    </row>
    <row r="38" spans="3:8">
      <c r="C38" s="14"/>
      <c r="D38" s="14"/>
      <c r="E38" s="14"/>
      <c r="H38" s="3"/>
    </row>
    <row r="39" spans="3:8">
      <c r="C39" s="14"/>
      <c r="D39" s="14"/>
      <c r="E39" s="14"/>
      <c r="H39" s="3"/>
    </row>
    <row r="40" spans="3:8">
      <c r="C40" s="14"/>
      <c r="D40" s="14"/>
      <c r="E40" s="14"/>
      <c r="H40" s="3"/>
    </row>
    <row r="41" spans="3:8">
      <c r="C41" s="14"/>
      <c r="D41" s="14"/>
      <c r="E41" s="14"/>
      <c r="H41" s="3"/>
    </row>
    <row r="42" spans="3:8">
      <c r="C42" s="14"/>
      <c r="D42" s="14"/>
      <c r="E42" s="14"/>
      <c r="H42" s="3"/>
    </row>
    <row r="43" spans="3:8">
      <c r="C43" s="14"/>
      <c r="D43" s="14"/>
      <c r="E43" s="14"/>
      <c r="H43" s="3"/>
    </row>
    <row r="44" spans="3:8">
      <c r="C44" s="14"/>
      <c r="D44" s="14"/>
      <c r="E44" s="14"/>
      <c r="H44" s="3"/>
    </row>
    <row r="45" spans="3:8">
      <c r="C45" s="14"/>
      <c r="D45" s="14"/>
      <c r="E45" s="14"/>
      <c r="H45" s="3"/>
    </row>
    <row r="46" spans="3:8">
      <c r="C46" s="14"/>
      <c r="D46" s="14"/>
      <c r="E46" s="14"/>
      <c r="H46" s="3"/>
    </row>
    <row r="47" spans="3:8">
      <c r="C47" s="14"/>
      <c r="D47" s="14"/>
      <c r="E47" s="14"/>
      <c r="H47" s="3"/>
    </row>
    <row r="48" spans="3:8">
      <c r="C48" s="14"/>
      <c r="D48" s="14"/>
      <c r="E48" s="14"/>
      <c r="H48" s="3"/>
    </row>
    <row r="49" spans="3:8">
      <c r="C49" s="14"/>
      <c r="D49" s="14"/>
      <c r="E49" s="14"/>
      <c r="H49" s="3"/>
    </row>
    <row r="50" spans="3:8">
      <c r="C50" s="14"/>
      <c r="D50" s="14"/>
      <c r="E50" s="14"/>
      <c r="H50" s="3"/>
    </row>
    <row r="51" spans="3:8">
      <c r="C51" s="14"/>
      <c r="D51" s="14"/>
      <c r="E51" s="14"/>
      <c r="H51" s="3"/>
    </row>
    <row r="52" spans="3:8">
      <c r="C52" s="14"/>
      <c r="D52" s="14"/>
      <c r="E52" s="14"/>
      <c r="H52" s="3"/>
    </row>
    <row r="53" spans="3:8">
      <c r="C53" s="14"/>
      <c r="D53" s="14"/>
      <c r="E53" s="14"/>
      <c r="H53" s="3"/>
    </row>
    <row r="54" spans="3:8">
      <c r="C54" s="14"/>
      <c r="D54" s="14"/>
      <c r="E54" s="14"/>
      <c r="H54" s="3"/>
    </row>
    <row r="55" spans="3:8">
      <c r="C55" s="14"/>
      <c r="D55" s="14"/>
      <c r="E55" s="14"/>
      <c r="H55" s="3"/>
    </row>
    <row r="56" spans="3:8">
      <c r="C56" s="14"/>
      <c r="D56" s="14"/>
      <c r="E56" s="14"/>
      <c r="H56" s="3"/>
    </row>
    <row r="57" spans="3:8">
      <c r="C57" s="14"/>
      <c r="D57" s="14"/>
      <c r="E57" s="14"/>
      <c r="H57" s="3"/>
    </row>
    <row r="58" spans="3:8">
      <c r="C58" s="14"/>
      <c r="D58" s="14"/>
      <c r="E58" s="14"/>
      <c r="H58" s="3"/>
    </row>
    <row r="59" spans="3:8">
      <c r="C59" s="14"/>
      <c r="D59" s="14"/>
      <c r="E59" s="14"/>
      <c r="H59" s="3"/>
    </row>
    <row r="60" spans="3:8">
      <c r="C60" s="14"/>
      <c r="D60" s="14"/>
      <c r="E60" s="14"/>
      <c r="H60" s="3"/>
    </row>
    <row r="61" spans="3:8">
      <c r="C61" s="14"/>
      <c r="D61" s="14"/>
      <c r="E61" s="14"/>
      <c r="H61" s="3"/>
    </row>
    <row r="62" spans="3:8">
      <c r="C62" s="14"/>
      <c r="D62" s="14"/>
      <c r="E62" s="14"/>
      <c r="H62" s="3"/>
    </row>
    <row r="63" spans="3:8">
      <c r="C63" s="14"/>
      <c r="D63" s="14"/>
      <c r="E63" s="14"/>
      <c r="H63" s="3"/>
    </row>
    <row r="64" spans="3:8">
      <c r="C64" s="14"/>
      <c r="D64" s="14"/>
      <c r="E64" s="14"/>
      <c r="H64" s="3"/>
    </row>
    <row r="65" spans="3:8">
      <c r="C65" s="14"/>
      <c r="D65" s="14"/>
      <c r="E65" s="14"/>
      <c r="H65" s="3"/>
    </row>
    <row r="66" spans="3:8">
      <c r="C66" s="14"/>
      <c r="D66" s="14"/>
      <c r="E66" s="14"/>
      <c r="H66" s="3"/>
    </row>
    <row r="67" spans="3:8">
      <c r="C67" s="14"/>
      <c r="D67" s="14"/>
      <c r="E67" s="14"/>
      <c r="H67" s="3"/>
    </row>
    <row r="68" spans="3:8">
      <c r="C68" s="14"/>
      <c r="D68" s="14"/>
      <c r="E68" s="14"/>
      <c r="H68" s="3"/>
    </row>
    <row r="69" spans="3:8">
      <c r="C69" s="14"/>
      <c r="D69" s="14"/>
      <c r="E69" s="14"/>
      <c r="H69" s="3"/>
    </row>
    <row r="70" spans="3:8">
      <c r="C70" s="14"/>
      <c r="D70" s="14"/>
      <c r="E70" s="14"/>
      <c r="H70" s="3"/>
    </row>
    <row r="71" spans="3:8">
      <c r="C71" s="14"/>
      <c r="D71" s="14"/>
      <c r="E71" s="14"/>
      <c r="H71" s="3"/>
    </row>
    <row r="72" spans="3:8">
      <c r="C72" s="14"/>
      <c r="D72" s="14"/>
      <c r="E72" s="14"/>
      <c r="H72" s="3"/>
    </row>
    <row r="73" spans="3:8">
      <c r="C73" s="14"/>
      <c r="D73" s="14"/>
      <c r="E73" s="14"/>
      <c r="H73" s="3"/>
    </row>
    <row r="74" spans="3:8">
      <c r="C74" s="14"/>
      <c r="D74" s="14"/>
      <c r="E74" s="14"/>
      <c r="H74" s="3"/>
    </row>
    <row r="75" spans="3:8">
      <c r="C75" s="14"/>
      <c r="D75" s="14"/>
      <c r="E75" s="14"/>
      <c r="H75" s="3"/>
    </row>
    <row r="76" spans="3:8">
      <c r="C76" s="14"/>
      <c r="D76" s="14"/>
      <c r="E76" s="14"/>
      <c r="H76" s="3"/>
    </row>
    <row r="77" spans="3:8">
      <c r="C77" s="14"/>
      <c r="D77" s="14"/>
      <c r="E77" s="14"/>
      <c r="H77" s="3"/>
    </row>
    <row r="78" spans="3:8">
      <c r="C78" s="14"/>
      <c r="D78" s="14"/>
      <c r="E78" s="14"/>
      <c r="H78" s="3"/>
    </row>
    <row r="79" spans="3:8">
      <c r="C79" s="14"/>
      <c r="D79" s="14"/>
      <c r="E79" s="14"/>
      <c r="H79" s="3"/>
    </row>
    <row r="80" spans="3:8">
      <c r="C80" s="14"/>
      <c r="D80" s="14"/>
      <c r="E80" s="14"/>
      <c r="H80" s="3"/>
    </row>
    <row r="81" spans="3:8">
      <c r="C81" s="14"/>
      <c r="D81" s="14"/>
      <c r="E81" s="14"/>
      <c r="H81" s="3"/>
    </row>
    <row r="82" spans="3:8">
      <c r="C82" s="14"/>
      <c r="D82" s="14"/>
      <c r="E82" s="14"/>
      <c r="H82" s="3"/>
    </row>
    <row r="83" spans="3:8">
      <c r="C83" s="14"/>
      <c r="D83" s="14"/>
      <c r="E83" s="14"/>
      <c r="H83" s="3"/>
    </row>
    <row r="84" spans="3:8">
      <c r="C84" s="14"/>
      <c r="D84" s="14"/>
      <c r="E84" s="14"/>
      <c r="H84" s="3"/>
    </row>
    <row r="85" spans="3:8">
      <c r="C85" s="14"/>
      <c r="D85" s="14"/>
      <c r="E85" s="14"/>
      <c r="H85" s="3"/>
    </row>
    <row r="86" spans="3:8">
      <c r="C86" s="14"/>
      <c r="D86" s="14"/>
      <c r="E86" s="14"/>
      <c r="H86" s="3"/>
    </row>
    <row r="87" spans="3:8">
      <c r="C87" s="14"/>
      <c r="D87" s="14"/>
      <c r="E87" s="14"/>
      <c r="H87" s="3"/>
    </row>
    <row r="88" spans="3:8">
      <c r="C88" s="14"/>
      <c r="D88" s="14"/>
      <c r="E88" s="14"/>
      <c r="H88" s="3"/>
    </row>
    <row r="89" spans="3:8">
      <c r="C89" s="14"/>
      <c r="D89" s="14"/>
      <c r="E89" s="14"/>
      <c r="H89" s="3"/>
    </row>
    <row r="90" spans="3:8">
      <c r="C90" s="14"/>
      <c r="D90" s="14"/>
      <c r="E90" s="14"/>
      <c r="H90" s="3"/>
    </row>
    <row r="91" spans="3:8">
      <c r="C91" s="14"/>
      <c r="D91" s="14"/>
      <c r="E91" s="14"/>
      <c r="H91" s="3"/>
    </row>
    <row r="92" spans="3:8">
      <c r="C92" s="14"/>
      <c r="D92" s="14"/>
      <c r="E92" s="14"/>
      <c r="H92" s="3"/>
    </row>
    <row r="93" spans="3:8">
      <c r="C93" s="14"/>
      <c r="D93" s="14"/>
      <c r="E93" s="14"/>
      <c r="H93" s="3"/>
    </row>
    <row r="94" spans="3:8">
      <c r="C94" s="14"/>
      <c r="D94" s="14"/>
      <c r="E94" s="14"/>
      <c r="H94" s="3"/>
    </row>
    <row r="95" spans="3:8">
      <c r="C95" s="14"/>
      <c r="D95" s="14"/>
      <c r="E95" s="14"/>
      <c r="H95" s="3"/>
    </row>
    <row r="96" spans="3:8">
      <c r="C96" s="14"/>
      <c r="D96" s="14"/>
      <c r="E96" s="14"/>
      <c r="H96" s="3"/>
    </row>
    <row r="97" spans="3:8">
      <c r="C97" s="14"/>
      <c r="D97" s="14"/>
      <c r="E97" s="14"/>
      <c r="H97" s="3"/>
    </row>
    <row r="98" spans="3:8">
      <c r="C98" s="14"/>
      <c r="D98" s="14"/>
      <c r="E98" s="14"/>
      <c r="H98" s="3"/>
    </row>
    <row r="99" spans="3:8">
      <c r="C99" s="14"/>
      <c r="D99" s="14"/>
      <c r="E99" s="14"/>
      <c r="H99" s="3"/>
    </row>
    <row r="100" spans="3:8">
      <c r="C100" s="14"/>
      <c r="D100" s="14"/>
      <c r="E100" s="14"/>
      <c r="H100" s="3"/>
    </row>
    <row r="101" spans="3:8">
      <c r="C101" s="14"/>
      <c r="D101" s="14"/>
      <c r="E101" s="14"/>
      <c r="H101" s="3"/>
    </row>
    <row r="102" spans="3:8">
      <c r="C102" s="14"/>
      <c r="D102" s="14"/>
      <c r="E102" s="14"/>
      <c r="H102" s="3"/>
    </row>
    <row r="103" spans="3:8">
      <c r="C103" s="14"/>
      <c r="D103" s="14"/>
      <c r="E103" s="14"/>
      <c r="H103" s="3"/>
    </row>
    <row r="104" spans="3:8">
      <c r="C104" s="14"/>
      <c r="D104" s="14"/>
      <c r="E104" s="14"/>
      <c r="H104" s="3"/>
    </row>
    <row r="105" spans="3:8">
      <c r="C105" s="14"/>
      <c r="D105" s="14"/>
      <c r="E105" s="14"/>
      <c r="H105" s="3"/>
    </row>
    <row r="106" spans="3:8">
      <c r="C106" s="14"/>
      <c r="D106" s="14"/>
      <c r="E106" s="14"/>
      <c r="H106" s="3"/>
    </row>
    <row r="107" spans="3:8">
      <c r="C107" s="14"/>
      <c r="D107" s="14"/>
      <c r="E107" s="14"/>
      <c r="H107" s="3"/>
    </row>
    <row r="108" spans="3:8">
      <c r="C108" s="14"/>
      <c r="D108" s="14"/>
      <c r="E108" s="14"/>
      <c r="H108" s="3"/>
    </row>
    <row r="109" spans="3:8">
      <c r="C109" s="14"/>
      <c r="D109" s="14"/>
      <c r="E109" s="14"/>
      <c r="H109" s="3"/>
    </row>
    <row r="110" spans="3:8">
      <c r="C110" s="14"/>
      <c r="D110" s="14"/>
      <c r="E110" s="14"/>
      <c r="H110" s="3"/>
    </row>
    <row r="111" spans="3:8">
      <c r="C111" s="14"/>
      <c r="D111" s="14"/>
      <c r="E111" s="14"/>
      <c r="H111" s="3"/>
    </row>
    <row r="112" spans="3:8">
      <c r="C112" s="14"/>
      <c r="D112" s="14"/>
      <c r="E112" s="14"/>
      <c r="H112" s="3"/>
    </row>
    <row r="113" spans="3:8">
      <c r="C113" s="14"/>
      <c r="D113" s="14"/>
      <c r="E113" s="14"/>
      <c r="H113" s="3"/>
    </row>
    <row r="114" spans="3:8">
      <c r="C114" s="14"/>
      <c r="D114" s="14"/>
      <c r="E114" s="14"/>
      <c r="H114" s="3"/>
    </row>
    <row r="115" spans="3:8">
      <c r="C115" s="14"/>
      <c r="D115" s="14"/>
      <c r="E115" s="14"/>
      <c r="H115" s="3"/>
    </row>
    <row r="116" spans="3:8">
      <c r="C116" s="14"/>
      <c r="D116" s="14"/>
      <c r="E116" s="14"/>
      <c r="H116" s="3"/>
    </row>
    <row r="117" spans="3:8">
      <c r="C117" s="14"/>
      <c r="D117" s="14"/>
      <c r="E117" s="14"/>
      <c r="H117" s="3"/>
    </row>
    <row r="118" spans="3:8">
      <c r="C118" s="14"/>
      <c r="D118" s="14"/>
      <c r="E118" s="14"/>
      <c r="H118" s="3"/>
    </row>
    <row r="119" spans="3:8">
      <c r="C119" s="14"/>
      <c r="D119" s="14"/>
      <c r="E119" s="14"/>
      <c r="H119" s="3"/>
    </row>
    <row r="120" spans="3:8">
      <c r="C120" s="14"/>
      <c r="D120" s="14"/>
      <c r="E120" s="14"/>
      <c r="H120" s="3"/>
    </row>
    <row r="121" spans="3:8">
      <c r="C121" s="14"/>
      <c r="D121" s="14"/>
      <c r="E121" s="14"/>
      <c r="H121" s="3"/>
    </row>
    <row r="122" spans="3:8">
      <c r="C122" s="14"/>
      <c r="D122" s="14"/>
      <c r="E122" s="14"/>
      <c r="H122" s="3"/>
    </row>
    <row r="123" spans="3:8">
      <c r="C123" s="14"/>
      <c r="D123" s="14"/>
      <c r="E123" s="14"/>
      <c r="H123" s="3"/>
    </row>
    <row r="124" spans="3:8">
      <c r="C124" s="14"/>
      <c r="D124" s="14"/>
      <c r="E124" s="14"/>
      <c r="H124" s="3"/>
    </row>
    <row r="125" spans="3:8">
      <c r="C125" s="14"/>
      <c r="D125" s="14"/>
      <c r="E125" s="14"/>
      <c r="H125" s="3"/>
    </row>
    <row r="126" spans="3:8">
      <c r="C126" s="14"/>
      <c r="D126" s="14"/>
      <c r="E126" s="14"/>
      <c r="H126" s="3"/>
    </row>
    <row r="127" spans="3:8">
      <c r="C127" s="14"/>
      <c r="D127" s="14"/>
      <c r="E127" s="14"/>
      <c r="H127" s="3"/>
    </row>
    <row r="128" spans="3:8">
      <c r="C128" s="14"/>
      <c r="D128" s="14"/>
      <c r="E128" s="14"/>
      <c r="H128" s="3"/>
    </row>
    <row r="129" spans="3:8">
      <c r="C129" s="14"/>
      <c r="D129" s="14"/>
      <c r="E129" s="14"/>
      <c r="H129" s="3"/>
    </row>
    <row r="130" spans="3:8">
      <c r="C130" s="14"/>
      <c r="D130" s="14"/>
      <c r="E130" s="14"/>
      <c r="H130" s="3"/>
    </row>
    <row r="131" spans="3:8">
      <c r="C131" s="14"/>
      <c r="D131" s="14"/>
      <c r="E131" s="14"/>
      <c r="H131" s="3"/>
    </row>
    <row r="132" spans="3:8">
      <c r="C132" s="14"/>
      <c r="D132" s="14"/>
      <c r="E132" s="14"/>
      <c r="H132" s="3"/>
    </row>
    <row r="133" spans="3:8">
      <c r="C133" s="14"/>
      <c r="D133" s="14"/>
      <c r="E133" s="14"/>
      <c r="H133" s="3"/>
    </row>
    <row r="134" spans="3:8">
      <c r="C134" s="14"/>
      <c r="D134" s="14"/>
      <c r="E134" s="14"/>
      <c r="H134" s="3"/>
    </row>
    <row r="135" spans="3:8">
      <c r="C135" s="14"/>
      <c r="D135" s="14"/>
      <c r="E135" s="14"/>
      <c r="H135" s="3"/>
    </row>
    <row r="136" spans="3:8">
      <c r="C136" s="14"/>
      <c r="D136" s="14"/>
      <c r="E136" s="14"/>
      <c r="H136" s="3"/>
    </row>
    <row r="137" spans="3:8">
      <c r="C137" s="14"/>
      <c r="D137" s="14"/>
      <c r="E137" s="14"/>
      <c r="H137" s="3"/>
    </row>
    <row r="138" spans="3:8">
      <c r="C138" s="14"/>
      <c r="D138" s="14"/>
      <c r="E138" s="14"/>
      <c r="H138" s="3"/>
    </row>
    <row r="139" spans="3:8">
      <c r="C139" s="14"/>
      <c r="D139" s="14"/>
      <c r="E139" s="14"/>
      <c r="H139" s="3"/>
    </row>
    <row r="140" spans="3:8">
      <c r="C140" s="14"/>
      <c r="D140" s="14"/>
      <c r="E140" s="14"/>
      <c r="H140" s="3"/>
    </row>
    <row r="141" spans="3:8">
      <c r="C141" s="14"/>
      <c r="D141" s="14"/>
      <c r="E141" s="14"/>
      <c r="H141" s="3"/>
    </row>
    <row r="142" spans="3:8">
      <c r="C142" s="14"/>
      <c r="D142" s="14"/>
      <c r="E142" s="14"/>
      <c r="H142" s="3"/>
    </row>
    <row r="143" spans="3:8">
      <c r="C143" s="14"/>
      <c r="D143" s="14"/>
      <c r="E143" s="14"/>
      <c r="H143" s="3"/>
    </row>
    <row r="144" spans="3:8">
      <c r="C144" s="14"/>
      <c r="D144" s="14"/>
      <c r="E144" s="14"/>
      <c r="H144" s="3"/>
    </row>
    <row r="145" spans="3:8">
      <c r="C145" s="14"/>
      <c r="D145" s="14"/>
      <c r="E145" s="14"/>
      <c r="H145" s="3"/>
    </row>
    <row r="146" spans="3:8">
      <c r="C146" s="14"/>
      <c r="D146" s="14"/>
      <c r="E146" s="14"/>
      <c r="H146" s="3"/>
    </row>
    <row r="147" spans="3:8">
      <c r="C147" s="14"/>
      <c r="D147" s="14"/>
      <c r="E147" s="14"/>
      <c r="H147" s="3"/>
    </row>
    <row r="148" spans="3:8">
      <c r="C148" s="14"/>
      <c r="D148" s="14"/>
      <c r="E148" s="14"/>
      <c r="H148" s="3"/>
    </row>
    <row r="149" spans="3:8">
      <c r="C149" s="14"/>
      <c r="D149" s="14"/>
      <c r="E149" s="14"/>
      <c r="H149" s="3"/>
    </row>
    <row r="150" spans="3:8">
      <c r="C150" s="14"/>
      <c r="D150" s="14"/>
      <c r="E150" s="14"/>
      <c r="H150" s="3"/>
    </row>
    <row r="151" spans="3:8">
      <c r="C151" s="14"/>
      <c r="D151" s="14"/>
      <c r="E151" s="14"/>
      <c r="H151" s="3"/>
    </row>
    <row r="152" spans="3:8">
      <c r="C152" s="14"/>
      <c r="D152" s="14"/>
      <c r="E152" s="14"/>
      <c r="H152" s="3"/>
    </row>
    <row r="153" spans="3:8">
      <c r="C153" s="14"/>
      <c r="D153" s="14"/>
      <c r="E153" s="14"/>
      <c r="H153" s="3"/>
    </row>
    <row r="154" spans="3:8">
      <c r="C154" s="14"/>
      <c r="D154" s="14"/>
      <c r="E154" s="14"/>
      <c r="H154" s="3"/>
    </row>
    <row r="155" spans="3:8">
      <c r="C155" s="14"/>
      <c r="D155" s="14"/>
      <c r="E155" s="14"/>
      <c r="H155" s="3"/>
    </row>
    <row r="156" spans="3:8">
      <c r="C156" s="14"/>
      <c r="D156" s="14"/>
      <c r="E156" s="14"/>
      <c r="H15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8"/>
  <sheetViews>
    <sheetView showGridLines="0" tabSelected="1" workbookViewId="0">
      <pane ySplit="4" topLeftCell="A5" activePane="bottomLeft" state="frozen"/>
      <selection pane="bottomLeft" activeCell="I17" sqref="I17"/>
    </sheetView>
  </sheetViews>
  <sheetFormatPr defaultRowHeight="14.25"/>
  <cols>
    <col min="1" max="1" width="23.375" customWidth="1"/>
    <col min="2" max="2" width="11.625" customWidth="1"/>
    <col min="3" max="3" width="15" customWidth="1"/>
    <col min="4" max="4" width="13.875" customWidth="1"/>
    <col min="5" max="5" width="8.375" customWidth="1"/>
    <col min="6" max="6" width="28.875" customWidth="1"/>
    <col min="7" max="7" width="21.625" customWidth="1"/>
    <col min="8" max="8" width="18.875" customWidth="1"/>
    <col min="9" max="10" width="10.625" customWidth="1"/>
    <col min="11" max="11" width="10" customWidth="1"/>
    <col min="12" max="12" width="36.625" customWidth="1"/>
    <col min="13" max="13" width="9.375" customWidth="1"/>
    <col min="14" max="14" width="13.375" customWidth="1"/>
    <col min="15" max="15" width="12.25" customWidth="1"/>
    <col min="16" max="16" width="14.375" customWidth="1"/>
    <col min="17" max="17" width="13.625" customWidth="1"/>
    <col min="18" max="18" width="10.625" customWidth="1"/>
    <col min="19" max="19" width="11.125" customWidth="1"/>
    <col min="20" max="20" width="14.375" customWidth="1"/>
  </cols>
  <sheetData>
    <row r="1" spans="1:20" ht="24" customHeight="1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9.5" customHeight="1">
      <c r="A2" s="7" t="s">
        <v>90</v>
      </c>
    </row>
    <row r="4" spans="1:20" ht="24" customHeight="1">
      <c r="A4" s="5" t="s">
        <v>91</v>
      </c>
      <c r="B4" s="5" t="s">
        <v>23</v>
      </c>
      <c r="C4" s="5" t="s">
        <v>92</v>
      </c>
      <c r="D4" s="5" t="s">
        <v>93</v>
      </c>
      <c r="E4" s="5" t="s">
        <v>35</v>
      </c>
      <c r="F4" s="5" t="s">
        <v>3</v>
      </c>
      <c r="G4" s="5" t="s">
        <v>6</v>
      </c>
      <c r="H4" s="5" t="s">
        <v>7</v>
      </c>
      <c r="I4" s="5" t="s">
        <v>24</v>
      </c>
      <c r="J4" s="5" t="s">
        <v>25</v>
      </c>
      <c r="K4" s="5" t="s">
        <v>26</v>
      </c>
      <c r="L4" s="5" t="s">
        <v>8</v>
      </c>
      <c r="M4" s="5" t="s">
        <v>27</v>
      </c>
      <c r="N4" s="5" t="s">
        <v>28</v>
      </c>
      <c r="O4" s="5" t="s">
        <v>56</v>
      </c>
      <c r="P4" s="5" t="s">
        <v>29</v>
      </c>
      <c r="Q4" s="5" t="s">
        <v>30</v>
      </c>
      <c r="R4" s="5" t="s">
        <v>94</v>
      </c>
      <c r="S4" s="5" t="s">
        <v>95</v>
      </c>
      <c r="T4" s="5" t="s">
        <v>96</v>
      </c>
    </row>
    <row r="5" spans="1:20">
      <c r="A5" t="s">
        <v>97</v>
      </c>
      <c r="B5" s="2">
        <f>IFERROR(INT(INDEX(tblBatidas[Data e hora],MATCH("B"&amp;MID($A5,2,99),tblBatidas[Batida ID],0))),"")</f>
        <v>46259</v>
      </c>
      <c r="C5" t="str">
        <f t="shared" ref="C5:C68" si="0">IF(B5="","",CHOOSE(WEEKDAY(B5,2),"SEGUNDA-FEIRA","TERÇA-FEIRA","QUARTA-FEIRA","QUINTA-FEIRA","SEXTA-FEIRA","SÁBADO","DOMINGO"))</f>
        <v>TERÇA-FEIRA</v>
      </c>
      <c r="D5" t="str">
        <f t="shared" ref="D5:D68" si="1">IF(B5="","",IF(WEEKDAY(B5,2)&gt;5,"FDS/FERIADO","DIA ÚTIL"))</f>
        <v>DIA ÚTIL</v>
      </c>
      <c r="E5">
        <f>IFERROR(INDEX(tblBatidas[ID],MATCH("B"&amp;MID($A5,2,99),tblBatidas[Batida ID],0)),"")</f>
        <v>1001</v>
      </c>
      <c r="F5" t="str">
        <f>IFERROR(INDEX(tblPessoas[Pessoa],MATCH(E5,tblPessoas[ID],0)),"")</f>
        <v>Adriana Pereira dos Santos</v>
      </c>
      <c r="G5" t="str">
        <f>IFERROR(INDEX(tblBatidas[Projeto],MATCH("B"&amp;MID($A5,2,99),tblBatidas[Batida ID],0)),"")</f>
        <v>SICOOB CREDICOM</v>
      </c>
      <c r="H5" t="str">
        <f>IFERROR(INDEX(tblBatidas[Atividade],MATCH("B"&amp;MID($A5,2,99),tblBatidas[Batida ID],0)),"")</f>
        <v>SUPERVISÃO</v>
      </c>
      <c r="I5" s="4">
        <f>IFERROR(MOD(INDEX(tblBatidas[Data e hora],MATCH("B"&amp;MID($A5,2,99),tblBatidas[Batida ID],0)),1),"")</f>
        <v>0.64396990741079208</v>
      </c>
      <c r="J5" s="4">
        <f>IFERROR(MOD(INDEX(tblBatidas[Data e hora],MATCH("B"&amp;MID($A5,2,99),tblBatidas[Início vinculado],0)),1),"")</f>
        <v>0.64594907407445135</v>
      </c>
      <c r="K5" s="14">
        <f>IFERROR((INDEX(tblBatidas[Data e hora],MATCH("B"&amp;MID($A5,2,99),tblBatidas[Início vinculado],0))-INDEX(tblBatidas[Data e hora],MATCH("B"&amp;MID($A5,2,99),tblBatidas[Batida ID],0)))*24,"")</f>
        <v>4.74999999278225E-2</v>
      </c>
      <c r="L5" t="str">
        <f>IFERROR(INDEX(tblBatidas[Observação],MATCH("B"&amp;MID($A5,2,99),tblBatidas[Início vinculado],0)),"")</f>
        <v>supervisão e checagem</v>
      </c>
      <c r="M5" t="str">
        <f>IFERROR(INDEX(tblPessoas[Base],MATCH(E5,tblPessoas[ID],0)),"")</f>
        <v>Hora</v>
      </c>
      <c r="N5" s="3">
        <f>IFERROR(IF(D5="DIA ÚTIL",INDEX(tblPessoas[R$/h útil],MATCH(E5,tblPessoas[ID],0)),INDEX(tblPessoas[R$/h FDS],MATCH(E5,tblPessoas[ID],0))),0)</f>
        <v>17</v>
      </c>
      <c r="O5" s="3">
        <f>IFERROR(INDEX(tblPessoas[R$/diária],MATCH(E5,tblPessoas[ID],0)),0)</f>
        <v>0</v>
      </c>
      <c r="P5" s="3">
        <f t="shared" ref="P5:P68" si="2">IF(Q5&lt;&gt;"CONCLUÍDO","",IF(M5="Diária",O5*R5,K5*N5))</f>
        <v>0.80749999877298251</v>
      </c>
      <c r="Q5" t="str">
        <f>IF(A5="","",IF(COUNTIF(tblBatidas[Início vinculado],"B"&amp;MID($A5,2,99))=0,"EM ABERTO",IF(OR(COUNTIF(tblBatidas[Início vinculado],"B"&amp;MID($A5,2,99))&gt;1,K5&lt;0,K5&gt;16,INT(INDEX(tblBatidas[Data e hora],MATCH("B"&amp;MID($A5,2,99),tblBatidas[Início vinculado],0)))&lt;&gt;B5,INDEX(tblBatidas[ID],MATCH("B"&amp;MID($A5,2,99),tblBatidas[Início vinculado],0))&lt;&gt;E5,INDEX(tblBatidas[Projeto],MATCH("B"&amp;MID($A5,2,99),tblBatidas[Início vinculado],0))&lt;&gt;G5,INDEX(tblBatidas[Atividade],MATCH("B"&amp;MID($A5,2,99),tblBatidas[Início vinculado],0))&lt;&gt;H5),"REVISAR","CONCLUÍDO")))</f>
        <v>CONCLUÍDO</v>
      </c>
      <c r="R5">
        <f>IF(Q5&lt;&gt;"CONCLUÍDO",0,IF(COUNTIFS($E$5:E5,E5,$B$5:B5,B5,$Q$5:Q5,"CONCLUÍDO")=1,1,0))</f>
        <v>1</v>
      </c>
      <c r="S5" t="str">
        <f t="shared" ref="S5:S68" si="3">IF(B5="","",TEXT(B5,"yyyy-mm"))</f>
        <v>yyyy-08</v>
      </c>
      <c r="T5">
        <f>IF(E5="","",E5*100000+COUNTIFS(tblRegistros[ID],E5,tblRegistros[Data],"&lt;"&amp;B5)+COUNTIFS(tblRegistros[ID],E5,tblRegistros[Data],B5,tblRegistros[Início],"&lt;"&amp;I5)+COUNTIFS($E$5:E5,E5,$B$5:B5,B5,$I$5:I5,I5))</f>
        <v>100100001</v>
      </c>
    </row>
    <row r="6" spans="1:20">
      <c r="A6" t="s">
        <v>98</v>
      </c>
      <c r="B6" s="2">
        <f>IFERROR(INT(INDEX(tblBatidas[Data e hora],MATCH("B"&amp;MID($A6,2,99),tblBatidas[Batida ID],0))),"")</f>
        <v>46259</v>
      </c>
      <c r="C6" t="str">
        <f t="shared" si="0"/>
        <v>TERÇA-FEIRA</v>
      </c>
      <c r="D6" t="str">
        <f t="shared" si="1"/>
        <v>DIA ÚTIL</v>
      </c>
      <c r="E6">
        <f>IFERROR(INDEX(tblBatidas[ID],MATCH("B"&amp;MID($A6,2,99),tblBatidas[Batida ID],0)),"")</f>
        <v>1015</v>
      </c>
      <c r="F6" t="str">
        <f>IFERROR(INDEX(tblPessoas[Pessoa],MATCH(E6,tblPessoas[ID],0)),"")</f>
        <v>Vitor Guilherme Miguel Rocha</v>
      </c>
      <c r="G6" t="str">
        <f>IFERROR(INDEX(tblBatidas[Projeto],MATCH("B"&amp;MID($A6,2,99),tblBatidas[Batida ID],0)),"")</f>
        <v>ADMINISTRATIVO</v>
      </c>
      <c r="H6" t="str">
        <f>IFERROR(INDEX(tblBatidas[Atividade],MATCH("B"&amp;MID($A6,2,99),tblBatidas[Batida ID],0)),"")</f>
        <v>ADMINISTRATIVO</v>
      </c>
      <c r="I6" s="4">
        <f>IFERROR(MOD(INDEX(tblBatidas[Data e hora],MATCH("B"&amp;MID($A6,2,99),tblBatidas[Batida ID],0)),1),"")</f>
        <v>0.67881944444525288</v>
      </c>
      <c r="J6" s="4" t="str">
        <f>IFERROR(MOD(INDEX(tblBatidas[Data e hora],MATCH("B"&amp;MID($A6,2,99),tblBatidas[Início vinculado],0)),1),"")</f>
        <v/>
      </c>
      <c r="K6" s="14" t="str">
        <f>IFERROR((INDEX(tblBatidas[Data e hora],MATCH("B"&amp;MID($A6,2,99),tblBatidas[Início vinculado],0))-INDEX(tblBatidas[Data e hora],MATCH("B"&amp;MID($A6,2,99),tblBatidas[Batida ID],0)))*24,"")</f>
        <v/>
      </c>
      <c r="L6" t="str">
        <f>IFERROR(INDEX(tblBatidas[Observação],MATCH("B"&amp;MID($A6,2,99),tblBatidas[Início vinculado],0)),"")</f>
        <v/>
      </c>
      <c r="M6" t="str">
        <f>IFERROR(INDEX(tblPessoas[Base],MATCH(E6,tblPessoas[ID],0)),"")</f>
        <v>Hora</v>
      </c>
      <c r="N6" s="3">
        <f>IFERROR(IF(D6="DIA ÚTIL",INDEX(tblPessoas[R$/h útil],MATCH(E6,tblPessoas[ID],0)),INDEX(tblPessoas[R$/h FDS],MATCH(E6,tblPessoas[ID],0))),0)</f>
        <v>21.5</v>
      </c>
      <c r="O6" s="3">
        <f>IFERROR(INDEX(tblPessoas[R$/diária],MATCH(E6,tblPessoas[ID],0)),0)</f>
        <v>0</v>
      </c>
      <c r="P6" s="3" t="str">
        <f t="shared" si="2"/>
        <v/>
      </c>
      <c r="Q6" t="str">
        <f>IF(A6="","",IF(COUNTIF(tblBatidas[Início vinculado],"B"&amp;MID($A6,2,99))=0,"EM ABERTO",IF(OR(COUNTIF(tblBatidas[Início vinculado],"B"&amp;MID($A6,2,99))&gt;1,K6&lt;0,K6&gt;16,INT(INDEX(tblBatidas[Data e hora],MATCH("B"&amp;MID($A6,2,99),tblBatidas[Início vinculado],0)))&lt;&gt;B6,INDEX(tblBatidas[ID],MATCH("B"&amp;MID($A6,2,99),tblBatidas[Início vinculado],0))&lt;&gt;E6,INDEX(tblBatidas[Projeto],MATCH("B"&amp;MID($A6,2,99),tblBatidas[Início vinculado],0))&lt;&gt;G6,INDEX(tblBatidas[Atividade],MATCH("B"&amp;MID($A6,2,99),tblBatidas[Início vinculado],0))&lt;&gt;H6),"REVISAR","CONCLUÍDO")))</f>
        <v>EM ABERTO</v>
      </c>
      <c r="R6">
        <f>IF(Q6&lt;&gt;"CONCLUÍDO",0,IF(COUNTIFS($E$5:E6,E6,$B$5:B6,B6,$Q$5:Q6,"CONCLUÍDO")=1,1,0))</f>
        <v>0</v>
      </c>
      <c r="S6" t="str">
        <f t="shared" si="3"/>
        <v>yyyy-08</v>
      </c>
      <c r="T6">
        <f>IF(E6="","",E6*100000+COUNTIFS(tblRegistros[ID],E6,tblRegistros[Data],"&lt;"&amp;B6)+COUNTIFS(tblRegistros[ID],E6,tblRegistros[Data],B6,tblRegistros[Início],"&lt;"&amp;I6)+COUNTIFS($E$5:E6,E6,$B$5:B6,B6,$I$5:I6,I6))</f>
        <v>101500001</v>
      </c>
    </row>
    <row r="7" spans="1:20">
      <c r="A7" t="s">
        <v>99</v>
      </c>
      <c r="B7" s="2">
        <f>IFERROR(INT(INDEX(tblBatidas[Data e hora],MATCH("B"&amp;MID($A7,2,99),tblBatidas[Batida ID],0))),"")</f>
        <v>46259</v>
      </c>
      <c r="C7" t="str">
        <f t="shared" si="0"/>
        <v>TERÇA-FEIRA</v>
      </c>
      <c r="D7" t="str">
        <f t="shared" si="1"/>
        <v>DIA ÚTIL</v>
      </c>
      <c r="E7">
        <f>IFERROR(INDEX(tblBatidas[ID],MATCH("B"&amp;MID($A7,2,99),tblBatidas[Batida ID],0)),"")</f>
        <v>1015</v>
      </c>
      <c r="F7" t="str">
        <f>IFERROR(INDEX(tblPessoas[Pessoa],MATCH(E7,tblPessoas[ID],0)),"")</f>
        <v>Vitor Guilherme Miguel Rocha</v>
      </c>
      <c r="G7" t="str">
        <f>IFERROR(INDEX(tblBatidas[Projeto],MATCH("B"&amp;MID($A7,2,99),tblBatidas[Batida ID],0)),"")</f>
        <v>ADMINISTRATIVO</v>
      </c>
      <c r="H7" t="str">
        <f>IFERROR(INDEX(tblBatidas[Atividade],MATCH("B"&amp;MID($A7,2,99),tblBatidas[Batida ID],0)),"")</f>
        <v>ADMINISTRATIVO</v>
      </c>
      <c r="I7" s="4">
        <f>IFERROR(MOD(INDEX(tblBatidas[Data e hora],MATCH("B"&amp;MID($A7,2,99),tblBatidas[Batida ID],0)),1),"")</f>
        <v>0.67908564814570127</v>
      </c>
      <c r="J7" s="4" t="str">
        <f>IFERROR(MOD(INDEX(tblBatidas[Data e hora],MATCH("B"&amp;MID($A7,2,99),tblBatidas[Início vinculado],0)),1),"")</f>
        <v/>
      </c>
      <c r="K7" s="14" t="str">
        <f>IFERROR((INDEX(tblBatidas[Data e hora],MATCH("B"&amp;MID($A7,2,99),tblBatidas[Início vinculado],0))-INDEX(tblBatidas[Data e hora],MATCH("B"&amp;MID($A7,2,99),tblBatidas[Batida ID],0)))*24,"")</f>
        <v/>
      </c>
      <c r="L7" t="str">
        <f>IFERROR(INDEX(tblBatidas[Observação],MATCH("B"&amp;MID($A7,2,99),tblBatidas[Início vinculado],0)),"")</f>
        <v/>
      </c>
      <c r="M7" t="str">
        <f>IFERROR(INDEX(tblPessoas[Base],MATCH(E7,tblPessoas[ID],0)),"")</f>
        <v>Hora</v>
      </c>
      <c r="N7" s="3">
        <f>IFERROR(IF(D7="DIA ÚTIL",INDEX(tblPessoas[R$/h útil],MATCH(E7,tblPessoas[ID],0)),INDEX(tblPessoas[R$/h FDS],MATCH(E7,tblPessoas[ID],0))),0)</f>
        <v>21.5</v>
      </c>
      <c r="O7" s="3">
        <f>IFERROR(INDEX(tblPessoas[R$/diária],MATCH(E7,tblPessoas[ID],0)),0)</f>
        <v>0</v>
      </c>
      <c r="P7" s="3" t="str">
        <f t="shared" si="2"/>
        <v/>
      </c>
      <c r="Q7" t="str">
        <f>IF(A7="","",IF(COUNTIF(tblBatidas[Início vinculado],"B"&amp;MID($A7,2,99))=0,"EM ABERTO",IF(OR(COUNTIF(tblBatidas[Início vinculado],"B"&amp;MID($A7,2,99))&gt;1,K7&lt;0,K7&gt;16,INT(INDEX(tblBatidas[Data e hora],MATCH("B"&amp;MID($A7,2,99),tblBatidas[Início vinculado],0)))&lt;&gt;B7,INDEX(tblBatidas[ID],MATCH("B"&amp;MID($A7,2,99),tblBatidas[Início vinculado],0))&lt;&gt;E7,INDEX(tblBatidas[Projeto],MATCH("B"&amp;MID($A7,2,99),tblBatidas[Início vinculado],0))&lt;&gt;G7,INDEX(tblBatidas[Atividade],MATCH("B"&amp;MID($A7,2,99),tblBatidas[Início vinculado],0))&lt;&gt;H7),"REVISAR","CONCLUÍDO")))</f>
        <v>EM ABERTO</v>
      </c>
      <c r="R7">
        <f>IF(Q7&lt;&gt;"CONCLUÍDO",0,IF(COUNTIFS($E$5:E7,E7,$B$5:B7,B7,$Q$5:Q7,"CONCLUÍDO")=1,1,0))</f>
        <v>0</v>
      </c>
      <c r="S7" t="str">
        <f t="shared" si="3"/>
        <v>yyyy-08</v>
      </c>
      <c r="T7">
        <f>IF(E7="","",E7*100000+COUNTIFS(tblRegistros[ID],E7,tblRegistros[Data],"&lt;"&amp;B7)+COUNTIFS(tblRegistros[ID],E7,tblRegistros[Data],B7,tblRegistros[Início],"&lt;"&amp;I7)+COUNTIFS($E$5:E7,E7,$B$5:B7,B7,$I$5:I7,I7))</f>
        <v>101500002</v>
      </c>
    </row>
    <row r="8" spans="1:20">
      <c r="A8" t="s">
        <v>100</v>
      </c>
      <c r="B8" s="2">
        <f>IFERROR(INT(INDEX(tblBatidas[Data e hora],MATCH("B"&amp;MID($A8,2,99),tblBatidas[Batida ID],0))),"")</f>
        <v>46259</v>
      </c>
      <c r="C8" t="str">
        <f t="shared" si="0"/>
        <v>TERÇA-FEIRA</v>
      </c>
      <c r="D8" t="str">
        <f t="shared" si="1"/>
        <v>DIA ÚTIL</v>
      </c>
      <c r="E8">
        <f>IFERROR(INDEX(tblBatidas[ID],MATCH("B"&amp;MID($A8,2,99),tblBatidas[Batida ID],0)),"")</f>
        <v>1015</v>
      </c>
      <c r="F8" t="str">
        <f>IFERROR(INDEX(tblPessoas[Pessoa],MATCH(E8,tblPessoas[ID],0)),"")</f>
        <v>Vitor Guilherme Miguel Rocha</v>
      </c>
      <c r="G8" t="str">
        <f>IFERROR(INDEX(tblBatidas[Projeto],MATCH("B"&amp;MID($A8,2,99),tblBatidas[Batida ID],0)),"")</f>
        <v>ADMINISTRATIVO</v>
      </c>
      <c r="H8" t="str">
        <f>IFERROR(INDEX(tblBatidas[Atividade],MATCH("B"&amp;MID($A8,2,99),tblBatidas[Batida ID],0)),"")</f>
        <v>ADMINISTRATIVO</v>
      </c>
      <c r="I8" s="4">
        <f>IFERROR(MOD(INDEX(tblBatidas[Data e hora],MATCH("B"&amp;MID($A8,2,99),tblBatidas[Batida ID],0)),1),"")</f>
        <v>0.67964120370015735</v>
      </c>
      <c r="J8" s="4" t="str">
        <f>IFERROR(MOD(INDEX(tblBatidas[Data e hora],MATCH("B"&amp;MID($A8,2,99),tblBatidas[Início vinculado],0)),1),"")</f>
        <v/>
      </c>
      <c r="K8" s="14" t="str">
        <f>IFERROR((INDEX(tblBatidas[Data e hora],MATCH("B"&amp;MID($A8,2,99),tblBatidas[Início vinculado],0))-INDEX(tblBatidas[Data e hora],MATCH("B"&amp;MID($A8,2,99),tblBatidas[Batida ID],0)))*24,"")</f>
        <v/>
      </c>
      <c r="L8" t="str">
        <f>IFERROR(INDEX(tblBatidas[Observação],MATCH("B"&amp;MID($A8,2,99),tblBatidas[Início vinculado],0)),"")</f>
        <v/>
      </c>
      <c r="M8" t="str">
        <f>IFERROR(INDEX(tblPessoas[Base],MATCH(E8,tblPessoas[ID],0)),"")</f>
        <v>Hora</v>
      </c>
      <c r="N8" s="3">
        <f>IFERROR(IF(D8="DIA ÚTIL",INDEX(tblPessoas[R$/h útil],MATCH(E8,tblPessoas[ID],0)),INDEX(tblPessoas[R$/h FDS],MATCH(E8,tblPessoas[ID],0))),0)</f>
        <v>21.5</v>
      </c>
      <c r="O8" s="3">
        <f>IFERROR(INDEX(tblPessoas[R$/diária],MATCH(E8,tblPessoas[ID],0)),0)</f>
        <v>0</v>
      </c>
      <c r="P8" s="3" t="str">
        <f t="shared" si="2"/>
        <v/>
      </c>
      <c r="Q8" t="str">
        <f>IF(A8="","",IF(COUNTIF(tblBatidas[Início vinculado],"B"&amp;MID($A8,2,99))=0,"EM ABERTO",IF(OR(COUNTIF(tblBatidas[Início vinculado],"B"&amp;MID($A8,2,99))&gt;1,K8&lt;0,K8&gt;16,INT(INDEX(tblBatidas[Data e hora],MATCH("B"&amp;MID($A8,2,99),tblBatidas[Início vinculado],0)))&lt;&gt;B8,INDEX(tblBatidas[ID],MATCH("B"&amp;MID($A8,2,99),tblBatidas[Início vinculado],0))&lt;&gt;E8,INDEX(tblBatidas[Projeto],MATCH("B"&amp;MID($A8,2,99),tblBatidas[Início vinculado],0))&lt;&gt;G8,INDEX(tblBatidas[Atividade],MATCH("B"&amp;MID($A8,2,99),tblBatidas[Início vinculado],0))&lt;&gt;H8),"REVISAR","CONCLUÍDO")))</f>
        <v>EM ABERTO</v>
      </c>
      <c r="R8">
        <f>IF(Q8&lt;&gt;"CONCLUÍDO",0,IF(COUNTIFS($E$5:E8,E8,$B$5:B8,B8,$Q$5:Q8,"CONCLUÍDO")=1,1,0))</f>
        <v>0</v>
      </c>
      <c r="S8" t="str">
        <f t="shared" si="3"/>
        <v>yyyy-08</v>
      </c>
      <c r="T8">
        <f>IF(E8="","",E8*100000+COUNTIFS(tblRegistros[ID],E8,tblRegistros[Data],"&lt;"&amp;B8)+COUNTIFS(tblRegistros[ID],E8,tblRegistros[Data],B8,tblRegistros[Início],"&lt;"&amp;I8)+COUNTIFS($E$5:E8,E8,$B$5:B8,B8,$I$5:I8,I8))</f>
        <v>101500003</v>
      </c>
    </row>
    <row r="9" spans="1:20">
      <c r="A9" t="s">
        <v>101</v>
      </c>
      <c r="B9" s="2">
        <f>IFERROR(INT(INDEX(tblBatidas[Data e hora],MATCH("B"&amp;MID($A9,2,99),tblBatidas[Batida ID],0))),"")</f>
        <v>46259</v>
      </c>
      <c r="C9" t="str">
        <f t="shared" si="0"/>
        <v>TERÇA-FEIRA</v>
      </c>
      <c r="D9" t="str">
        <f t="shared" si="1"/>
        <v>DIA ÚTIL</v>
      </c>
      <c r="E9">
        <f>IFERROR(INDEX(tblBatidas[ID],MATCH("B"&amp;MID($A9,2,99),tblBatidas[Batida ID],0)),"")</f>
        <v>1015</v>
      </c>
      <c r="F9" t="str">
        <f>IFERROR(INDEX(tblPessoas[Pessoa],MATCH(E9,tblPessoas[ID],0)),"")</f>
        <v>Vitor Guilherme Miguel Rocha</v>
      </c>
      <c r="G9" t="str">
        <f>IFERROR(INDEX(tblBatidas[Projeto],MATCH("B"&amp;MID($A9,2,99),tblBatidas[Batida ID],0)),"")</f>
        <v>ADMINISTRATIVO</v>
      </c>
      <c r="H9" t="str">
        <f>IFERROR(INDEX(tblBatidas[Atividade],MATCH("B"&amp;MID($A9,2,99),tblBatidas[Batida ID],0)),"")</f>
        <v>ADMINISTRATIVO</v>
      </c>
      <c r="I9" s="4">
        <f>IFERROR(MOD(INDEX(tblBatidas[Data e hora],MATCH("B"&amp;MID($A9,2,99),tblBatidas[Batida ID],0)),1),"")</f>
        <v>0.68041666666977108</v>
      </c>
      <c r="J9" s="4" t="str">
        <f>IFERROR(MOD(INDEX(tblBatidas[Data e hora],MATCH("B"&amp;MID($A9,2,99),tblBatidas[Início vinculado],0)),1),"")</f>
        <v/>
      </c>
      <c r="K9" s="14" t="str">
        <f>IFERROR((INDEX(tblBatidas[Data e hora],MATCH("B"&amp;MID($A9,2,99),tblBatidas[Início vinculado],0))-INDEX(tblBatidas[Data e hora],MATCH("B"&amp;MID($A9,2,99),tblBatidas[Batida ID],0)))*24,"")</f>
        <v/>
      </c>
      <c r="L9" t="str">
        <f>IFERROR(INDEX(tblBatidas[Observação],MATCH("B"&amp;MID($A9,2,99),tblBatidas[Início vinculado],0)),"")</f>
        <v/>
      </c>
      <c r="M9" t="str">
        <f>IFERROR(INDEX(tblPessoas[Base],MATCH(E9,tblPessoas[ID],0)),"")</f>
        <v>Hora</v>
      </c>
      <c r="N9" s="3">
        <f>IFERROR(IF(D9="DIA ÚTIL",INDEX(tblPessoas[R$/h útil],MATCH(E9,tblPessoas[ID],0)),INDEX(tblPessoas[R$/h FDS],MATCH(E9,tblPessoas[ID],0))),0)</f>
        <v>21.5</v>
      </c>
      <c r="O9" s="3">
        <f>IFERROR(INDEX(tblPessoas[R$/diária],MATCH(E9,tblPessoas[ID],0)),0)</f>
        <v>0</v>
      </c>
      <c r="P9" s="3" t="str">
        <f t="shared" si="2"/>
        <v/>
      </c>
      <c r="Q9" t="str">
        <f>IF(A9="","",IF(COUNTIF(tblBatidas[Início vinculado],"B"&amp;MID($A9,2,99))=0,"EM ABERTO",IF(OR(COUNTIF(tblBatidas[Início vinculado],"B"&amp;MID($A9,2,99))&gt;1,K9&lt;0,K9&gt;16,INT(INDEX(tblBatidas[Data e hora],MATCH("B"&amp;MID($A9,2,99),tblBatidas[Início vinculado],0)))&lt;&gt;B9,INDEX(tblBatidas[ID],MATCH("B"&amp;MID($A9,2,99),tblBatidas[Início vinculado],0))&lt;&gt;E9,INDEX(tblBatidas[Projeto],MATCH("B"&amp;MID($A9,2,99),tblBatidas[Início vinculado],0))&lt;&gt;G9,INDEX(tblBatidas[Atividade],MATCH("B"&amp;MID($A9,2,99),tblBatidas[Início vinculado],0))&lt;&gt;H9),"REVISAR","CONCLUÍDO")))</f>
        <v>EM ABERTO</v>
      </c>
      <c r="R9">
        <f>IF(Q9&lt;&gt;"CONCLUÍDO",0,IF(COUNTIFS($E$5:E9,E9,$B$5:B9,B9,$Q$5:Q9,"CONCLUÍDO")=1,1,0))</f>
        <v>0</v>
      </c>
      <c r="S9" t="str">
        <f t="shared" si="3"/>
        <v>yyyy-08</v>
      </c>
      <c r="T9">
        <f>IF(E9="","",E9*100000+COUNTIFS(tblRegistros[ID],E9,tblRegistros[Data],"&lt;"&amp;B9)+COUNTIFS(tblRegistros[ID],E9,tblRegistros[Data],B9,tblRegistros[Início],"&lt;"&amp;I9)+COUNTIFS($E$5:E9,E9,$B$5:B9,B9,$I$5:I9,I9))</f>
        <v>101500004</v>
      </c>
    </row>
    <row r="10" spans="1:20">
      <c r="A10" t="s">
        <v>102</v>
      </c>
      <c r="B10" s="2">
        <f>IFERROR(INT(INDEX(tblBatidas[Data e hora],MATCH("B"&amp;MID($A10,2,99),tblBatidas[Batida ID],0))),"")</f>
        <v>46259</v>
      </c>
      <c r="C10" t="str">
        <f t="shared" si="0"/>
        <v>TERÇA-FEIRA</v>
      </c>
      <c r="D10" t="str">
        <f t="shared" si="1"/>
        <v>DIA ÚTIL</v>
      </c>
      <c r="E10">
        <f>IFERROR(INDEX(tblBatidas[ID],MATCH("B"&amp;MID($A10,2,99),tblBatidas[Batida ID],0)),"")</f>
        <v>1015</v>
      </c>
      <c r="F10" t="str">
        <f>IFERROR(INDEX(tblPessoas[Pessoa],MATCH(E10,tblPessoas[ID],0)),"")</f>
        <v>Vitor Guilherme Miguel Rocha</v>
      </c>
      <c r="G10" t="str">
        <f>IFERROR(INDEX(tblBatidas[Projeto],MATCH("B"&amp;MID($A10,2,99),tblBatidas[Batida ID],0)),"")</f>
        <v>ADMINISTRATIVO</v>
      </c>
      <c r="H10" t="str">
        <f>IFERROR(INDEX(tblBatidas[Atividade],MATCH("B"&amp;MID($A10,2,99),tblBatidas[Batida ID],0)),"")</f>
        <v>ADMINISTRATIVO</v>
      </c>
      <c r="I10" s="4">
        <f>IFERROR(MOD(INDEX(tblBatidas[Data e hora],MATCH("B"&amp;MID($A10,2,99),tblBatidas[Batida ID],0)),1),"")</f>
        <v>0.68081018518569181</v>
      </c>
      <c r="J10" s="4">
        <f>IFERROR(MOD(INDEX(tblBatidas[Data e hora],MATCH("B"&amp;MID($A10,2,99),tblBatidas[Início vinculado],0)),1),"")</f>
        <v>0.68112268518598285</v>
      </c>
      <c r="K10" s="14">
        <f>IFERROR((INDEX(tblBatidas[Data e hora],MATCH("B"&amp;MID($A10,2,99),tblBatidas[Início vinculado],0))-INDEX(tblBatidas[Data e hora],MATCH("B"&amp;MID($A10,2,99),tblBatidas[Batida ID],0)))*24,"")</f>
        <v>7.5000000069849193E-3</v>
      </c>
      <c r="L10">
        <f>IFERROR(INDEX(tblBatidas[Observação],MATCH("B"&amp;MID($A10,2,99),tblBatidas[Início vinculado],0)),"")</f>
        <v>0</v>
      </c>
      <c r="M10" t="str">
        <f>IFERROR(INDEX(tblPessoas[Base],MATCH(E10,tblPessoas[ID],0)),"")</f>
        <v>Hora</v>
      </c>
      <c r="N10" s="3">
        <f>IFERROR(IF(D10="DIA ÚTIL",INDEX(tblPessoas[R$/h útil],MATCH(E10,tblPessoas[ID],0)),INDEX(tblPessoas[R$/h FDS],MATCH(E10,tblPessoas[ID],0))),0)</f>
        <v>21.5</v>
      </c>
      <c r="O10" s="3">
        <f>IFERROR(INDEX(tblPessoas[R$/diária],MATCH(E10,tblPessoas[ID],0)),0)</f>
        <v>0</v>
      </c>
      <c r="P10" s="3">
        <f t="shared" si="2"/>
        <v>0.16125000015017577</v>
      </c>
      <c r="Q10" t="str">
        <f>IF(A10="","",IF(COUNTIF(tblBatidas[Início vinculado],"B"&amp;MID($A10,2,99))=0,"EM ABERTO",IF(OR(COUNTIF(tblBatidas[Início vinculado],"B"&amp;MID($A10,2,99))&gt;1,K10&lt;0,K10&gt;16,INT(INDEX(tblBatidas[Data e hora],MATCH("B"&amp;MID($A10,2,99),tblBatidas[Início vinculado],0)))&lt;&gt;B10,INDEX(tblBatidas[ID],MATCH("B"&amp;MID($A10,2,99),tblBatidas[Início vinculado],0))&lt;&gt;E10,INDEX(tblBatidas[Projeto],MATCH("B"&amp;MID($A10,2,99),tblBatidas[Início vinculado],0))&lt;&gt;G10,INDEX(tblBatidas[Atividade],MATCH("B"&amp;MID($A10,2,99),tblBatidas[Início vinculado],0))&lt;&gt;H10),"REVISAR","CONCLUÍDO")))</f>
        <v>CONCLUÍDO</v>
      </c>
      <c r="R10">
        <f>IF(Q10&lt;&gt;"CONCLUÍDO",0,IF(COUNTIFS($E$5:E10,E10,$B$5:B10,B10,$Q$5:Q10,"CONCLUÍDO")=1,1,0))</f>
        <v>1</v>
      </c>
      <c r="S10" t="str">
        <f t="shared" si="3"/>
        <v>yyyy-08</v>
      </c>
      <c r="T10">
        <f>IF(E10="","",E10*100000+COUNTIFS(tblRegistros[ID],E10,tblRegistros[Data],"&lt;"&amp;B10)+COUNTIFS(tblRegistros[ID],E10,tblRegistros[Data],B10,tblRegistros[Início],"&lt;"&amp;I10)+COUNTIFS($E$5:E10,E10,$B$5:B10,B10,$I$5:I10,I10))</f>
        <v>101500005</v>
      </c>
    </row>
    <row r="11" spans="1:20">
      <c r="A11" t="s">
        <v>103</v>
      </c>
      <c r="B11" s="2">
        <f>IFERROR(INT(INDEX(tblBatidas[Data e hora],MATCH("B"&amp;MID($A11,2,99),tblBatidas[Batida ID],0))),"")</f>
        <v>46259</v>
      </c>
      <c r="C11" t="str">
        <f t="shared" si="0"/>
        <v>TERÇA-FEIRA</v>
      </c>
      <c r="D11" t="str">
        <f t="shared" si="1"/>
        <v>DIA ÚTIL</v>
      </c>
      <c r="E11">
        <f>IFERROR(INDEX(tblBatidas[ID],MATCH("B"&amp;MID($A11,2,99),tblBatidas[Batida ID],0)),"")</f>
        <v>1001</v>
      </c>
      <c r="F11" t="str">
        <f>IFERROR(INDEX(tblPessoas[Pessoa],MATCH(E11,tblPessoas[ID],0)),"")</f>
        <v>Adriana Pereira dos Santos</v>
      </c>
      <c r="G11" t="str">
        <f>IFERROR(INDEX(tblBatidas[Projeto],MATCH("B"&amp;MID($A11,2,99),tblBatidas[Batida ID],0)),"")</f>
        <v>ESTADUAL - OTEMPO</v>
      </c>
      <c r="H11" t="str">
        <f>IFERROR(INDEX(tblBatidas[Atividade],MATCH("B"&amp;MID($A11,2,99),tblBatidas[Batida ID],0)),"")</f>
        <v>CHECAGEM</v>
      </c>
      <c r="I11" s="4">
        <f>IFERROR(MOD(INDEX(tblBatidas[Data e hora],MATCH("B"&amp;MID($A11,2,99),tblBatidas[Batida ID],0)),1),"")</f>
        <v>0.68497685185138835</v>
      </c>
      <c r="J11" s="4">
        <f>IFERROR(MOD(INDEX(tblBatidas[Data e hora],MATCH("B"&amp;MID($A11,2,99),tblBatidas[Início vinculado],0)),1),"")</f>
        <v>0.68540509259037208</v>
      </c>
      <c r="K11" s="14">
        <f>IFERROR((INDEX(tblBatidas[Data e hora],MATCH("B"&amp;MID($A11,2,99),tblBatidas[Início vinculado],0))-INDEX(tblBatidas[Data e hora],MATCH("B"&amp;MID($A11,2,99),tblBatidas[Batida ID],0)))*24,"")</f>
        <v>1.0277777735609561E-2</v>
      </c>
      <c r="L11">
        <f>IFERROR(INDEX(tblBatidas[Observação],MATCH("B"&amp;MID($A11,2,99),tblBatidas[Início vinculado],0)),"")</f>
        <v>0</v>
      </c>
      <c r="M11" t="str">
        <f>IFERROR(INDEX(tblPessoas[Base],MATCH(E11,tblPessoas[ID],0)),"")</f>
        <v>Hora</v>
      </c>
      <c r="N11" s="3">
        <f>IFERROR(IF(D11="DIA ÚTIL",INDEX(tblPessoas[R$/h útil],MATCH(E11,tblPessoas[ID],0)),INDEX(tblPessoas[R$/h FDS],MATCH(E11,tblPessoas[ID],0))),0)</f>
        <v>17</v>
      </c>
      <c r="O11" s="3">
        <f>IFERROR(INDEX(tblPessoas[R$/diária],MATCH(E11,tblPessoas[ID],0)),0)</f>
        <v>0</v>
      </c>
      <c r="P11" s="3">
        <f t="shared" si="2"/>
        <v>0.17472222150536254</v>
      </c>
      <c r="Q11" t="str">
        <f>IF(A11="","",IF(COUNTIF(tblBatidas[Início vinculado],"B"&amp;MID($A11,2,99))=0,"EM ABERTO",IF(OR(COUNTIF(tblBatidas[Início vinculado],"B"&amp;MID($A11,2,99))&gt;1,K11&lt;0,K11&gt;16,INT(INDEX(tblBatidas[Data e hora],MATCH("B"&amp;MID($A11,2,99),tblBatidas[Início vinculado],0)))&lt;&gt;B11,INDEX(tblBatidas[ID],MATCH("B"&amp;MID($A11,2,99),tblBatidas[Início vinculado],0))&lt;&gt;E11,INDEX(tblBatidas[Projeto],MATCH("B"&amp;MID($A11,2,99),tblBatidas[Início vinculado],0))&lt;&gt;G11,INDEX(tblBatidas[Atividade],MATCH("B"&amp;MID($A11,2,99),tblBatidas[Início vinculado],0))&lt;&gt;H11),"REVISAR","CONCLUÍDO")))</f>
        <v>CONCLUÍDO</v>
      </c>
      <c r="R11">
        <f>IF(Q11&lt;&gt;"CONCLUÍDO",0,IF(COUNTIFS($E$5:E11,E11,$B$5:B11,B11,$Q$5:Q11,"CONCLUÍDO")=1,1,0))</f>
        <v>0</v>
      </c>
      <c r="S11" t="str">
        <f t="shared" si="3"/>
        <v>yyyy-08</v>
      </c>
      <c r="T11">
        <f>IF(E11="","",E11*100000+COUNTIFS(tblRegistros[ID],E11,tblRegistros[Data],"&lt;"&amp;B11)+COUNTIFS(tblRegistros[ID],E11,tblRegistros[Data],B11,tblRegistros[Início],"&lt;"&amp;I11)+COUNTIFS($E$5:E11,E11,$B$5:B11,B11,$I$5:I11,I11))</f>
        <v>100100002</v>
      </c>
    </row>
    <row r="12" spans="1:20">
      <c r="A12" t="s">
        <v>104</v>
      </c>
      <c r="B12" s="2">
        <f>IFERROR(INT(INDEX(tblBatidas[Data e hora],MATCH("B"&amp;MID($A12,2,99),tblBatidas[Batida ID],0))),"")</f>
        <v>46259</v>
      </c>
      <c r="C12" t="str">
        <f t="shared" si="0"/>
        <v>TERÇA-FEIRA</v>
      </c>
      <c r="D12" t="str">
        <f t="shared" si="1"/>
        <v>DIA ÚTIL</v>
      </c>
      <c r="E12">
        <f>IFERROR(INDEX(tblBatidas[ID],MATCH("B"&amp;MID($A12,2,99),tblBatidas[Batida ID],0)),"")</f>
        <v>1015</v>
      </c>
      <c r="F12" t="str">
        <f>IFERROR(INDEX(tblPessoas[Pessoa],MATCH(E12,tblPessoas[ID],0)),"")</f>
        <v>Vitor Guilherme Miguel Rocha</v>
      </c>
      <c r="G12" t="str">
        <f>IFERROR(INDEX(tblBatidas[Projeto],MATCH("B"&amp;MID($A12,2,99),tblBatidas[Batida ID],0)),"")</f>
        <v>ADMINISTRATIVO</v>
      </c>
      <c r="H12" t="str">
        <f>IFERROR(INDEX(tblBatidas[Atividade],MATCH("B"&amp;MID($A12,2,99),tblBatidas[Batida ID],0)),"")</f>
        <v>ADMINISTRATIVO</v>
      </c>
      <c r="I12" s="4">
        <f>IFERROR(MOD(INDEX(tblBatidas[Data e hora],MATCH("B"&amp;MID($A12,2,99),tblBatidas[Batida ID],0)),1),"")</f>
        <v>0.71230324073985685</v>
      </c>
      <c r="J12" s="4">
        <f>IFERROR(MOD(INDEX(tblBatidas[Data e hora],MATCH("B"&amp;MID($A12,2,99),tblBatidas[Início vinculado],0)),1),"")</f>
        <v>0.74576388888817746</v>
      </c>
      <c r="K12" s="14">
        <f>IFERROR((INDEX(tblBatidas[Data e hora],MATCH("B"&amp;MID($A12,2,99),tblBatidas[Início vinculado],0))-INDEX(tblBatidas[Data e hora],MATCH("B"&amp;MID($A12,2,99),tblBatidas[Batida ID],0)))*24,"")</f>
        <v>0.80305555555969477</v>
      </c>
      <c r="L12">
        <f>IFERROR(INDEX(tblBatidas[Observação],MATCH("B"&amp;MID($A12,2,99),tblBatidas[Início vinculado],0)),"")</f>
        <v>0</v>
      </c>
      <c r="M12" t="str">
        <f>IFERROR(INDEX(tblPessoas[Base],MATCH(E12,tblPessoas[ID],0)),"")</f>
        <v>Hora</v>
      </c>
      <c r="N12" s="3">
        <f>IFERROR(IF(D12="DIA ÚTIL",INDEX(tblPessoas[R$/h útil],MATCH(E12,tblPessoas[ID],0)),INDEX(tblPessoas[R$/h FDS],MATCH(E12,tblPessoas[ID],0))),0)</f>
        <v>21.5</v>
      </c>
      <c r="O12" s="3">
        <f>IFERROR(INDEX(tblPessoas[R$/diária],MATCH(E12,tblPessoas[ID],0)),0)</f>
        <v>0</v>
      </c>
      <c r="P12" s="3">
        <f t="shared" si="2"/>
        <v>17.265694444533437</v>
      </c>
      <c r="Q12" t="str">
        <f>IF(A12="","",IF(COUNTIF(tblBatidas[Início vinculado],"B"&amp;MID($A12,2,99))=0,"EM ABERTO",IF(OR(COUNTIF(tblBatidas[Início vinculado],"B"&amp;MID($A12,2,99))&gt;1,K12&lt;0,K12&gt;16,INT(INDEX(tblBatidas[Data e hora],MATCH("B"&amp;MID($A12,2,99),tblBatidas[Início vinculado],0)))&lt;&gt;B12,INDEX(tblBatidas[ID],MATCH("B"&amp;MID($A12,2,99),tblBatidas[Início vinculado],0))&lt;&gt;E12,INDEX(tblBatidas[Projeto],MATCH("B"&amp;MID($A12,2,99),tblBatidas[Início vinculado],0))&lt;&gt;G12,INDEX(tblBatidas[Atividade],MATCH("B"&amp;MID($A12,2,99),tblBatidas[Início vinculado],0))&lt;&gt;H12),"REVISAR","CONCLUÍDO")))</f>
        <v>CONCLUÍDO</v>
      </c>
      <c r="R12">
        <f>IF(Q12&lt;&gt;"CONCLUÍDO",0,IF(COUNTIFS($E$5:E12,E12,$B$5:B12,B12,$Q$5:Q12,"CONCLUÍDO")=1,1,0))</f>
        <v>0</v>
      </c>
      <c r="S12" t="str">
        <f t="shared" si="3"/>
        <v>yyyy-08</v>
      </c>
      <c r="T12">
        <f>IF(E12="","",E12*100000+COUNTIFS(tblRegistros[ID],E12,tblRegistros[Data],"&lt;"&amp;B12)+COUNTIFS(tblRegistros[ID],E12,tblRegistros[Data],B12,tblRegistros[Início],"&lt;"&amp;I12)+COUNTIFS($E$5:E12,E12,$B$5:B12,B12,$I$5:I12,I12))</f>
        <v>101500006</v>
      </c>
    </row>
    <row r="13" spans="1:20">
      <c r="A13" t="s">
        <v>105</v>
      </c>
      <c r="B13" s="2">
        <f>IFERROR(INT(INDEX(tblBatidas[Data e hora],MATCH("B"&amp;MID($A13,2,99),tblBatidas[Batida ID],0))),"")</f>
        <v>46260</v>
      </c>
      <c r="C13" t="str">
        <f t="shared" si="0"/>
        <v>QUARTA-FEIRA</v>
      </c>
      <c r="D13" t="str">
        <f t="shared" si="1"/>
        <v>DIA ÚTIL</v>
      </c>
      <c r="E13">
        <f>IFERROR(INDEX(tblBatidas[ID],MATCH("B"&amp;MID($A13,2,99),tblBatidas[Batida ID],0)),"")</f>
        <v>1011</v>
      </c>
      <c r="F13" t="str">
        <f>IFERROR(INDEX(tblPessoas[Pessoa],MATCH(E13,tblPessoas[ID],0)),"")</f>
        <v>Nathalia Arruda</v>
      </c>
      <c r="G13" t="str">
        <f>IFERROR(INDEX(tblBatidas[Projeto],MATCH("B"&amp;MID($A13,2,99),tblBatidas[Batida ID],0)),"")</f>
        <v>ESTADUAL - OTEMPO</v>
      </c>
      <c r="H13" t="str">
        <f>IFERROR(INDEX(tblBatidas[Atividade],MATCH("B"&amp;MID($A13,2,99),tblBatidas[Batida ID],0)),"")</f>
        <v>ANÁLISE</v>
      </c>
      <c r="I13" s="4">
        <f>IFERROR(MOD(INDEX(tblBatidas[Data e hora],MATCH("B"&amp;MID($A13,2,99),tblBatidas[Batida ID],0)),1),"")</f>
        <v>0.33031250000203727</v>
      </c>
      <c r="J13" s="4">
        <f>IFERROR(MOD(INDEX(tblBatidas[Data e hora],MATCH("B"&amp;MID($A13,2,99),tblBatidas[Início vinculado],0)),1),"")</f>
        <v>0.50674768518365454</v>
      </c>
      <c r="K13" s="14">
        <f>IFERROR((INDEX(tblBatidas[Data e hora],MATCH("B"&amp;MID($A13,2,99),tblBatidas[Início vinculado],0))-INDEX(tblBatidas[Data e hora],MATCH("B"&amp;MID($A13,2,99),tblBatidas[Batida ID],0)))*24,"")</f>
        <v>4.2344444443588145</v>
      </c>
      <c r="L13" t="str">
        <f>IFERROR(INDEX(tblBatidas[Observação],MATCH("B"&amp;MID($A13,2,99),tblBatidas[Início vinculado],0)),"")</f>
        <v>ajustes de materiais</v>
      </c>
      <c r="M13" t="str">
        <f>IFERROR(INDEX(tblPessoas[Base],MATCH(E13,tblPessoas[ID],0)),"")</f>
        <v>Hora</v>
      </c>
      <c r="N13" s="3">
        <f>IFERROR(IF(D13="DIA ÚTIL",INDEX(tblPessoas[R$/h útil],MATCH(E13,tblPessoas[ID],0)),INDEX(tblPessoas[R$/h FDS],MATCH(E13,tblPessoas[ID],0))),0)</f>
        <v>23.5</v>
      </c>
      <c r="O13" s="3">
        <f>IFERROR(INDEX(tblPessoas[R$/diária],MATCH(E13,tblPessoas[ID],0)),0)</f>
        <v>0</v>
      </c>
      <c r="P13" s="3">
        <f t="shared" si="2"/>
        <v>99.509444442432141</v>
      </c>
      <c r="Q13" t="str">
        <f>IF(A13="","",IF(COUNTIF(tblBatidas[Início vinculado],"B"&amp;MID($A13,2,99))=0,"EM ABERTO",IF(OR(COUNTIF(tblBatidas[Início vinculado],"B"&amp;MID($A13,2,99))&gt;1,K13&lt;0,K13&gt;16,INT(INDEX(tblBatidas[Data e hora],MATCH("B"&amp;MID($A13,2,99),tblBatidas[Início vinculado],0)))&lt;&gt;B13,INDEX(tblBatidas[ID],MATCH("B"&amp;MID($A13,2,99),tblBatidas[Início vinculado],0))&lt;&gt;E13,INDEX(tblBatidas[Projeto],MATCH("B"&amp;MID($A13,2,99),tblBatidas[Início vinculado],0))&lt;&gt;G13,INDEX(tblBatidas[Atividade],MATCH("B"&amp;MID($A13,2,99),tblBatidas[Início vinculado],0))&lt;&gt;H13),"REVISAR","CONCLUÍDO")))</f>
        <v>CONCLUÍDO</v>
      </c>
      <c r="R13">
        <f>IF(Q13&lt;&gt;"CONCLUÍDO",0,IF(COUNTIFS($E$5:E13,E13,$B$5:B13,B13,$Q$5:Q13,"CONCLUÍDO")=1,1,0))</f>
        <v>1</v>
      </c>
      <c r="S13" t="str">
        <f t="shared" si="3"/>
        <v>yyyy-08</v>
      </c>
      <c r="T13">
        <f>IF(E13="","",E13*100000+COUNTIFS(tblRegistros[ID],E13,tblRegistros[Data],"&lt;"&amp;B13)+COUNTIFS(tblRegistros[ID],E13,tblRegistros[Data],B13,tblRegistros[Início],"&lt;"&amp;I13)+COUNTIFS($E$5:E13,E13,$B$5:B13,B13,$I$5:I13,I13))</f>
        <v>101100001</v>
      </c>
    </row>
    <row r="14" spans="1:20">
      <c r="A14" t="s">
        <v>106</v>
      </c>
      <c r="B14" s="2">
        <f>IFERROR(INT(INDEX(tblBatidas[Data e hora],MATCH("B"&amp;MID($A14,2,99),tblBatidas[Batida ID],0))),"")</f>
        <v>46260</v>
      </c>
      <c r="C14" t="str">
        <f t="shared" si="0"/>
        <v>QUARTA-FEIRA</v>
      </c>
      <c r="D14" t="str">
        <f t="shared" si="1"/>
        <v>DIA ÚTIL</v>
      </c>
      <c r="E14">
        <f>IFERROR(INDEX(tblBatidas[ID],MATCH("B"&amp;MID($A14,2,99),tblBatidas[Batida ID],0)),"")</f>
        <v>1003</v>
      </c>
      <c r="F14" t="str">
        <f>IFERROR(INDEX(tblPessoas[Pessoa],MATCH(E14,tblPessoas[ID],0)),"")</f>
        <v>Amanda do Carmo Ribeiro</v>
      </c>
      <c r="G14" t="str">
        <f>IFERROR(INDEX(tblBatidas[Projeto],MATCH("B"&amp;MID($A14,2,99),tblBatidas[Batida ID],0)),"")</f>
        <v>OTEMPO</v>
      </c>
      <c r="H14" t="str">
        <f>IFERROR(INDEX(tblBatidas[Atividade],MATCH("B"&amp;MID($A14,2,99),tblBatidas[Batida ID],0)),"")</f>
        <v>ANÁLISE</v>
      </c>
      <c r="I14" s="4">
        <f>IFERROR(MOD(INDEX(tblBatidas[Data e hora],MATCH("B"&amp;MID($A14,2,99),tblBatidas[Batida ID],0)),1),"")</f>
        <v>0.338587962964084</v>
      </c>
      <c r="J14" s="4">
        <f>IFERROR(MOD(INDEX(tblBatidas[Data e hora],MATCH("B"&amp;MID($A14,2,99),tblBatidas[Início vinculado],0)),1),"")</f>
        <v>0.49538194444176042</v>
      </c>
      <c r="K14" s="14">
        <f>IFERROR((INDEX(tblBatidas[Data e hora],MATCH("B"&amp;MID($A14,2,99),tblBatidas[Início vinculado],0))-INDEX(tblBatidas[Data e hora],MATCH("B"&amp;MID($A14,2,99),tblBatidas[Batida ID],0)))*24,"")</f>
        <v>3.7630555554642342</v>
      </c>
      <c r="L14">
        <f>IFERROR(INDEX(tblBatidas[Observação],MATCH("B"&amp;MID($A14,2,99),tblBatidas[Início vinculado],0)),"")</f>
        <v>0</v>
      </c>
      <c r="M14" t="str">
        <f>IFERROR(INDEX(tblPessoas[Base],MATCH(E14,tblPessoas[ID],0)),"")</f>
        <v>Hora</v>
      </c>
      <c r="N14" s="3">
        <f>IFERROR(IF(D14="DIA ÚTIL",INDEX(tblPessoas[R$/h útil],MATCH(E14,tblPessoas[ID],0)),INDEX(tblPessoas[R$/h FDS],MATCH(E14,tblPessoas[ID],0))),0)</f>
        <v>23.5</v>
      </c>
      <c r="O14" s="3">
        <f>IFERROR(INDEX(tblPessoas[R$/diária],MATCH(E14,tblPessoas[ID],0)),0)</f>
        <v>0</v>
      </c>
      <c r="P14" s="3">
        <f t="shared" si="2"/>
        <v>88.431805553409504</v>
      </c>
      <c r="Q14" t="str">
        <f>IF(A14="","",IF(COUNTIF(tblBatidas[Início vinculado],"B"&amp;MID($A14,2,99))=0,"EM ABERTO",IF(OR(COUNTIF(tblBatidas[Início vinculado],"B"&amp;MID($A14,2,99))&gt;1,K14&lt;0,K14&gt;16,INT(INDEX(tblBatidas[Data e hora],MATCH("B"&amp;MID($A14,2,99),tblBatidas[Início vinculado],0)))&lt;&gt;B14,INDEX(tblBatidas[ID],MATCH("B"&amp;MID($A14,2,99),tblBatidas[Início vinculado],0))&lt;&gt;E14,INDEX(tblBatidas[Projeto],MATCH("B"&amp;MID($A14,2,99),tblBatidas[Início vinculado],0))&lt;&gt;G14,INDEX(tblBatidas[Atividade],MATCH("B"&amp;MID($A14,2,99),tblBatidas[Início vinculado],0))&lt;&gt;H14),"REVISAR","CONCLUÍDO")))</f>
        <v>CONCLUÍDO</v>
      </c>
      <c r="R14">
        <f>IF(Q14&lt;&gt;"CONCLUÍDO",0,IF(COUNTIFS($E$5:E14,E14,$B$5:B14,B14,$Q$5:Q14,"CONCLUÍDO")=1,1,0))</f>
        <v>1</v>
      </c>
      <c r="S14" t="str">
        <f t="shared" si="3"/>
        <v>yyyy-08</v>
      </c>
      <c r="T14">
        <f>IF(E14="","",E14*100000+COUNTIFS(tblRegistros[ID],E14,tblRegistros[Data],"&lt;"&amp;B14)+COUNTIFS(tblRegistros[ID],E14,tblRegistros[Data],B14,tblRegistros[Início],"&lt;"&amp;I14)+COUNTIFS($E$5:E14,E14,$B$5:B14,B14,$I$5:I14,I14))</f>
        <v>100300001</v>
      </c>
    </row>
    <row r="15" spans="1:20">
      <c r="A15" t="s">
        <v>107</v>
      </c>
      <c r="B15" s="2">
        <f>IFERROR(INT(INDEX(tblBatidas[Data e hora],MATCH("B"&amp;MID($A15,2,99),tblBatidas[Batida ID],0))),"")</f>
        <v>46260</v>
      </c>
      <c r="C15" t="str">
        <f t="shared" si="0"/>
        <v>QUARTA-FEIRA</v>
      </c>
      <c r="D15" t="str">
        <f t="shared" si="1"/>
        <v>DIA ÚTIL</v>
      </c>
      <c r="E15">
        <f>IFERROR(INDEX(tblBatidas[ID],MATCH("B"&amp;MID($A15,2,99),tblBatidas[Batida ID],0)),"")</f>
        <v>1013</v>
      </c>
      <c r="F15" t="str">
        <f>IFERROR(INDEX(tblPessoas[Pessoa],MATCH(E15,tblPessoas[ID],0)),"")</f>
        <v>Rafaela Maria Resende Lara</v>
      </c>
      <c r="G15" t="str">
        <f>IFERROR(INDEX(tblBatidas[Projeto],MATCH("B"&amp;MID($A15,2,99),tblBatidas[Batida ID],0)),"")</f>
        <v>BC - CONFIANÇA PIX</v>
      </c>
      <c r="H15" t="str">
        <f>IFERROR(INDEX(tblBatidas[Atividade],MATCH("B"&amp;MID($A15,2,99),tblBatidas[Batida ID],0)),"")</f>
        <v>ANÁLISE</v>
      </c>
      <c r="I15" s="4">
        <f>IFERROR(MOD(INDEX(tblBatidas[Data e hora],MATCH("B"&amp;MID($A15,2,99),tblBatidas[Batida ID],0)),1),"")</f>
        <v>0.34144675925927004</v>
      </c>
      <c r="J15" s="4">
        <f>IFERROR(MOD(INDEX(tblBatidas[Data e hora],MATCH("B"&amp;MID($A15,2,99),tblBatidas[Início vinculado],0)),1),"")</f>
        <v>0.49355324073985685</v>
      </c>
      <c r="K15" s="14">
        <f>IFERROR((INDEX(tblBatidas[Data e hora],MATCH("B"&amp;MID($A15,2,99),tblBatidas[Início vinculado],0))-INDEX(tblBatidas[Data e hora],MATCH("B"&amp;MID($A15,2,99),tblBatidas[Batida ID],0)))*24,"")</f>
        <v>3.6505555555340834</v>
      </c>
      <c r="L15">
        <f>IFERROR(INDEX(tblBatidas[Observação],MATCH("B"&amp;MID($A15,2,99),tblBatidas[Início vinculado],0)),"")</f>
        <v>0</v>
      </c>
      <c r="M15" t="str">
        <f>IFERROR(INDEX(tblPessoas[Base],MATCH(E15,tblPessoas[ID],0)),"")</f>
        <v>Hora</v>
      </c>
      <c r="N15" s="3">
        <f>IFERROR(IF(D15="DIA ÚTIL",INDEX(tblPessoas[R$/h útil],MATCH(E15,tblPessoas[ID],0)),INDEX(tblPessoas[R$/h FDS],MATCH(E15,tblPessoas[ID],0))),0)</f>
        <v>23.5</v>
      </c>
      <c r="O15" s="3">
        <f>IFERROR(INDEX(tblPessoas[R$/diária],MATCH(E15,tblPessoas[ID],0)),0)</f>
        <v>0</v>
      </c>
      <c r="P15" s="3">
        <f t="shared" si="2"/>
        <v>85.78805555505096</v>
      </c>
      <c r="Q15" t="str">
        <f>IF(A15="","",IF(COUNTIF(tblBatidas[Início vinculado],"B"&amp;MID($A15,2,99))=0,"EM ABERTO",IF(OR(COUNTIF(tblBatidas[Início vinculado],"B"&amp;MID($A15,2,99))&gt;1,K15&lt;0,K15&gt;16,INT(INDEX(tblBatidas[Data e hora],MATCH("B"&amp;MID($A15,2,99),tblBatidas[Início vinculado],0)))&lt;&gt;B15,INDEX(tblBatidas[ID],MATCH("B"&amp;MID($A15,2,99),tblBatidas[Início vinculado],0))&lt;&gt;E15,INDEX(tblBatidas[Projeto],MATCH("B"&amp;MID($A15,2,99),tblBatidas[Início vinculado],0))&lt;&gt;G15,INDEX(tblBatidas[Atividade],MATCH("B"&amp;MID($A15,2,99),tblBatidas[Início vinculado],0))&lt;&gt;H15),"REVISAR","CONCLUÍDO")))</f>
        <v>CONCLUÍDO</v>
      </c>
      <c r="R15">
        <f>IF(Q15&lt;&gt;"CONCLUÍDO",0,IF(COUNTIFS($E$5:E15,E15,$B$5:B15,B15,$Q$5:Q15,"CONCLUÍDO")=1,1,0))</f>
        <v>1</v>
      </c>
      <c r="S15" t="str">
        <f t="shared" si="3"/>
        <v>yyyy-08</v>
      </c>
      <c r="T15">
        <f>IF(E15="","",E15*100000+COUNTIFS(tblRegistros[ID],E15,tblRegistros[Data],"&lt;"&amp;B15)+COUNTIFS(tblRegistros[ID],E15,tblRegistros[Data],B15,tblRegistros[Início],"&lt;"&amp;I15)+COUNTIFS($E$5:E15,E15,$B$5:B15,B15,$I$5:I15,I15))</f>
        <v>101300001</v>
      </c>
    </row>
    <row r="16" spans="1:20">
      <c r="A16" t="s">
        <v>108</v>
      </c>
      <c r="B16" s="2">
        <f>IFERROR(INT(INDEX(tblBatidas[Data e hora],MATCH("B"&amp;MID($A16,2,99),tblBatidas[Batida ID],0))),"")</f>
        <v>46260</v>
      </c>
      <c r="C16" t="str">
        <f t="shared" si="0"/>
        <v>QUARTA-FEIRA</v>
      </c>
      <c r="D16" t="str">
        <f t="shared" si="1"/>
        <v>DIA ÚTIL</v>
      </c>
      <c r="E16">
        <f>IFERROR(INDEX(tblBatidas[ID],MATCH("B"&amp;MID($A16,2,99),tblBatidas[Batida ID],0)),"")</f>
        <v>1015</v>
      </c>
      <c r="F16" t="str">
        <f>IFERROR(INDEX(tblPessoas[Pessoa],MATCH(E16,tblPessoas[ID],0)),"")</f>
        <v>Vitor Guilherme Miguel Rocha</v>
      </c>
      <c r="G16" t="str">
        <f>IFERROR(INDEX(tblBatidas[Projeto],MATCH("B"&amp;MID($A16,2,99),tblBatidas[Batida ID],0)),"")</f>
        <v>ADMINISTRATIVO</v>
      </c>
      <c r="H16" t="str">
        <f>IFERROR(INDEX(tblBatidas[Atividade],MATCH("B"&amp;MID($A16,2,99),tblBatidas[Batida ID],0)),"")</f>
        <v>ADMINISTRATIVO</v>
      </c>
      <c r="I16" s="4">
        <f>IFERROR(MOD(INDEX(tblBatidas[Data e hora],MATCH("B"&amp;MID($A16,2,99),tblBatidas[Batida ID],0)),1),"")</f>
        <v>0.36912037037109258</v>
      </c>
      <c r="J16" s="4">
        <f>IFERROR(MOD(INDEX(tblBatidas[Data e hora],MATCH("B"&amp;MID($A16,2,99),tblBatidas[Início vinculado],0)),1),"")</f>
        <v>0.54428240740526235</v>
      </c>
      <c r="K16" s="14">
        <f>IFERROR((INDEX(tblBatidas[Data e hora],MATCH("B"&amp;MID($A16,2,99),tblBatidas[Início vinculado],0))-INDEX(tblBatidas[Data e hora],MATCH("B"&amp;MID($A16,2,99),tblBatidas[Batida ID],0)))*24,"")</f>
        <v>4.2038888888200745</v>
      </c>
      <c r="L16">
        <f>IFERROR(INDEX(tblBatidas[Observação],MATCH("B"&amp;MID($A16,2,99),tblBatidas[Início vinculado],0)),"")</f>
        <v>0</v>
      </c>
      <c r="M16" t="str">
        <f>IFERROR(INDEX(tblPessoas[Base],MATCH(E16,tblPessoas[ID],0)),"")</f>
        <v>Hora</v>
      </c>
      <c r="N16" s="3">
        <f>IFERROR(IF(D16="DIA ÚTIL",INDEX(tblPessoas[R$/h útil],MATCH(E16,tblPessoas[ID],0)),INDEX(tblPessoas[R$/h FDS],MATCH(E16,tblPessoas[ID],0))),0)</f>
        <v>21.5</v>
      </c>
      <c r="O16" s="3">
        <f>IFERROR(INDEX(tblPessoas[R$/diária],MATCH(E16,tblPessoas[ID],0)),0)</f>
        <v>0</v>
      </c>
      <c r="P16" s="3">
        <f t="shared" si="2"/>
        <v>90.383611109631602</v>
      </c>
      <c r="Q16" t="str">
        <f>IF(A16="","",IF(COUNTIF(tblBatidas[Início vinculado],"B"&amp;MID($A16,2,99))=0,"EM ABERTO",IF(OR(COUNTIF(tblBatidas[Início vinculado],"B"&amp;MID($A16,2,99))&gt;1,K16&lt;0,K16&gt;16,INT(INDEX(tblBatidas[Data e hora],MATCH("B"&amp;MID($A16,2,99),tblBatidas[Início vinculado],0)))&lt;&gt;B16,INDEX(tblBatidas[ID],MATCH("B"&amp;MID($A16,2,99),tblBatidas[Início vinculado],0))&lt;&gt;E16,INDEX(tblBatidas[Projeto],MATCH("B"&amp;MID($A16,2,99),tblBatidas[Início vinculado],0))&lt;&gt;G16,INDEX(tblBatidas[Atividade],MATCH("B"&amp;MID($A16,2,99),tblBatidas[Início vinculado],0))&lt;&gt;H16),"REVISAR","CONCLUÍDO")))</f>
        <v>CONCLUÍDO</v>
      </c>
      <c r="R16">
        <f>IF(Q16&lt;&gt;"CONCLUÍDO",0,IF(COUNTIFS($E$5:E16,E16,$B$5:B16,B16,$Q$5:Q16,"CONCLUÍDO")=1,1,0))</f>
        <v>1</v>
      </c>
      <c r="S16" t="str">
        <f t="shared" si="3"/>
        <v>yyyy-08</v>
      </c>
      <c r="T16">
        <f>IF(E16="","",E16*100000+COUNTIFS(tblRegistros[ID],E16,tblRegistros[Data],"&lt;"&amp;B16)+COUNTIFS(tblRegistros[ID],E16,tblRegistros[Data],B16,tblRegistros[Início],"&lt;"&amp;I16)+COUNTIFS($E$5:E16,E16,$B$5:B16,B16,$I$5:I16,I16))</f>
        <v>101500007</v>
      </c>
    </row>
    <row r="17" spans="1:20">
      <c r="A17" t="s">
        <v>109</v>
      </c>
      <c r="B17" s="2">
        <f>IFERROR(INT(INDEX(tblBatidas[Data e hora],MATCH("B"&amp;MID($A17,2,99),tblBatidas[Batida ID],0))),"")</f>
        <v>46260</v>
      </c>
      <c r="C17" t="str">
        <f t="shared" si="0"/>
        <v>QUARTA-FEIRA</v>
      </c>
      <c r="D17" t="str">
        <f t="shared" si="1"/>
        <v>DIA ÚTIL</v>
      </c>
      <c r="E17">
        <f>IFERROR(INDEX(tblBatidas[ID],MATCH("B"&amp;MID($A17,2,99),tblBatidas[Batida ID],0)),"")</f>
        <v>1002</v>
      </c>
      <c r="F17" t="str">
        <f>IFERROR(INDEX(tblPessoas[Pessoa],MATCH(E17,tblPessoas[ID],0)),"")</f>
        <v>Alex de Almeida Mariano</v>
      </c>
      <c r="G17" t="str">
        <f>IFERROR(INDEX(tblBatidas[Projeto],MATCH("B"&amp;MID($A17,2,99),tblBatidas[Batida ID],0)),"")</f>
        <v>CFI / ACCION</v>
      </c>
      <c r="H17" t="str">
        <f>IFERROR(INDEX(tblBatidas[Atividade],MATCH("B"&amp;MID($A17,2,99),tblBatidas[Batida ID],0)),"")</f>
        <v>ANÁLISE</v>
      </c>
      <c r="I17" s="4">
        <f>IFERROR(MOD(INDEX(tblBatidas[Data e hora],MATCH("B"&amp;MID($A17,2,99),tblBatidas[Batida ID],0)),1),"")</f>
        <v>0.37054398148029577</v>
      </c>
      <c r="J17" s="4">
        <f>IFERROR(MOD(INDEX(tblBatidas[Data e hora],MATCH("B"&amp;MID($A17,2,99),tblBatidas[Início vinculado],0)),1),"")</f>
        <v>0.74967592592292931</v>
      </c>
      <c r="K17" s="14">
        <f>IFERROR((INDEX(tblBatidas[Data e hora],MATCH("B"&amp;MID($A17,2,99),tblBatidas[Início vinculado],0))-INDEX(tblBatidas[Data e hora],MATCH("B"&amp;MID($A17,2,99),tblBatidas[Batida ID],0)))*24,"")</f>
        <v>9.0991666666232049</v>
      </c>
      <c r="L17">
        <f>IFERROR(INDEX(tblBatidas[Observação],MATCH("B"&amp;MID($A17,2,99),tblBatidas[Início vinculado],0)),"")</f>
        <v>0</v>
      </c>
      <c r="M17" t="str">
        <f>IFERROR(INDEX(tblPessoas[Base],MATCH(E17,tblPessoas[ID],0)),"")</f>
        <v>Hora</v>
      </c>
      <c r="N17" s="3">
        <f>IFERROR(IF(D17="DIA ÚTIL",INDEX(tblPessoas[R$/h útil],MATCH(E17,tblPessoas[ID],0)),INDEX(tblPessoas[R$/h FDS],MATCH(E17,tblPessoas[ID],0))),0)</f>
        <v>23.5</v>
      </c>
      <c r="O17" s="3">
        <f>IFERROR(INDEX(tblPessoas[R$/diária],MATCH(E17,tblPessoas[ID],0)),0)</f>
        <v>0</v>
      </c>
      <c r="P17" s="3">
        <f t="shared" si="2"/>
        <v>213.83041666564532</v>
      </c>
      <c r="Q17" t="str">
        <f>IF(A17="","",IF(COUNTIF(tblBatidas[Início vinculado],"B"&amp;MID($A17,2,99))=0,"EM ABERTO",IF(OR(COUNTIF(tblBatidas[Início vinculado],"B"&amp;MID($A17,2,99))&gt;1,K17&lt;0,K17&gt;16,INT(INDEX(tblBatidas[Data e hora],MATCH("B"&amp;MID($A17,2,99),tblBatidas[Início vinculado],0)))&lt;&gt;B17,INDEX(tblBatidas[ID],MATCH("B"&amp;MID($A17,2,99),tblBatidas[Início vinculado],0))&lt;&gt;E17,INDEX(tblBatidas[Projeto],MATCH("B"&amp;MID($A17,2,99),tblBatidas[Início vinculado],0))&lt;&gt;G17,INDEX(tblBatidas[Atividade],MATCH("B"&amp;MID($A17,2,99),tblBatidas[Início vinculado],0))&lt;&gt;H17),"REVISAR","CONCLUÍDO")))</f>
        <v>CONCLUÍDO</v>
      </c>
      <c r="R17">
        <f>IF(Q17&lt;&gt;"CONCLUÍDO",0,IF(COUNTIFS($E$5:E17,E17,$B$5:B17,B17,$Q$5:Q17,"CONCLUÍDO")=1,1,0))</f>
        <v>1</v>
      </c>
      <c r="S17" t="str">
        <f t="shared" si="3"/>
        <v>yyyy-08</v>
      </c>
      <c r="T17">
        <f>IF(E17="","",E17*100000+COUNTIFS(tblRegistros[ID],E17,tblRegistros[Data],"&lt;"&amp;B17)+COUNTIFS(tblRegistros[ID],E17,tblRegistros[Data],B17,tblRegistros[Início],"&lt;"&amp;I17)+COUNTIFS($E$5:E17,E17,$B$5:B17,B17,$I$5:I17,I17))</f>
        <v>100200001</v>
      </c>
    </row>
    <row r="18" spans="1:20">
      <c r="A18" t="s">
        <v>110</v>
      </c>
      <c r="B18" s="2">
        <f>IFERROR(INT(INDEX(tblBatidas[Data e hora],MATCH("B"&amp;MID($A18,2,99),tblBatidas[Batida ID],0))),"")</f>
        <v>46260</v>
      </c>
      <c r="C18" t="str">
        <f t="shared" si="0"/>
        <v>QUARTA-FEIRA</v>
      </c>
      <c r="D18" t="str">
        <f t="shared" si="1"/>
        <v>DIA ÚTIL</v>
      </c>
      <c r="E18">
        <f>IFERROR(INDEX(tblBatidas[ID],MATCH("B"&amp;MID($A18,2,99),tblBatidas[Batida ID],0)),"")</f>
        <v>1016</v>
      </c>
      <c r="F18" t="str">
        <f>IFERROR(INDEX(tblPessoas[Pessoa],MATCH(E18,tblPessoas[ID],0)),"")</f>
        <v>Ana Luisa Nardin</v>
      </c>
      <c r="G18" t="str">
        <f>IFERROR(INDEX(tblBatidas[Projeto],MATCH("B"&amp;MID($A18,2,99),tblBatidas[Batida ID],0)),"")</f>
        <v>CFI / ACCION</v>
      </c>
      <c r="H18" t="str">
        <f>IFERROR(INDEX(tblBatidas[Atividade],MATCH("B"&amp;MID($A18,2,99),tblBatidas[Batida ID],0)),"")</f>
        <v>ANÁLISE</v>
      </c>
      <c r="I18" s="4">
        <f>IFERROR(MOD(INDEX(tblBatidas[Data e hora],MATCH("B"&amp;MID($A18,2,99),tblBatidas[Batida ID],0)),1),"")</f>
        <v>0.38037037036701804</v>
      </c>
      <c r="J18" s="4">
        <f>IFERROR(MOD(INDEX(tblBatidas[Data e hora],MATCH("B"&amp;MID($A18,2,99),tblBatidas[Início vinculado],0)),1),"")</f>
        <v>0.52113425925927004</v>
      </c>
      <c r="K18" s="14">
        <f>IFERROR((INDEX(tblBatidas[Data e hora],MATCH("B"&amp;MID($A18,2,99),tblBatidas[Início vinculado],0))-INDEX(tblBatidas[Data e hora],MATCH("B"&amp;MID($A18,2,99),tblBatidas[Batida ID],0)))*24,"")</f>
        <v>3.378333333414048</v>
      </c>
      <c r="L18">
        <f>IFERROR(INDEX(tblBatidas[Observação],MATCH("B"&amp;MID($A18,2,99),tblBatidas[Início vinculado],0)),"")</f>
        <v>0</v>
      </c>
      <c r="M18" t="str">
        <f>IFERROR(INDEX(tblPessoas[Base],MATCH(E18,tblPessoas[ID],0)),"")</f>
        <v>Hora</v>
      </c>
      <c r="N18" s="3">
        <f>IFERROR(IF(D18="DIA ÚTIL",INDEX(tblPessoas[R$/h útil],MATCH(E18,tblPessoas[ID],0)),INDEX(tblPessoas[R$/h FDS],MATCH(E18,tblPessoas[ID],0))),0)</f>
        <v>23.5</v>
      </c>
      <c r="O18" s="3">
        <f>IFERROR(INDEX(tblPessoas[R$/diária],MATCH(E18,tblPessoas[ID],0)),0)</f>
        <v>0</v>
      </c>
      <c r="P18" s="3">
        <f t="shared" si="2"/>
        <v>79.390833335230127</v>
      </c>
      <c r="Q18" t="str">
        <f>IF(A18="","",IF(COUNTIF(tblBatidas[Início vinculado],"B"&amp;MID($A18,2,99))=0,"EM ABERTO",IF(OR(COUNTIF(tblBatidas[Início vinculado],"B"&amp;MID($A18,2,99))&gt;1,K18&lt;0,K18&gt;16,INT(INDEX(tblBatidas[Data e hora],MATCH("B"&amp;MID($A18,2,99),tblBatidas[Início vinculado],0)))&lt;&gt;B18,INDEX(tblBatidas[ID],MATCH("B"&amp;MID($A18,2,99),tblBatidas[Início vinculado],0))&lt;&gt;E18,INDEX(tblBatidas[Projeto],MATCH("B"&amp;MID($A18,2,99),tblBatidas[Início vinculado],0))&lt;&gt;G18,INDEX(tblBatidas[Atividade],MATCH("B"&amp;MID($A18,2,99),tblBatidas[Início vinculado],0))&lt;&gt;H18),"REVISAR","CONCLUÍDO")))</f>
        <v>CONCLUÍDO</v>
      </c>
      <c r="R18">
        <f>IF(Q18&lt;&gt;"CONCLUÍDO",0,IF(COUNTIFS($E$5:E18,E18,$B$5:B18,B18,$Q$5:Q18,"CONCLUÍDO")=1,1,0))</f>
        <v>1</v>
      </c>
      <c r="S18" t="str">
        <f t="shared" si="3"/>
        <v>yyyy-08</v>
      </c>
      <c r="T18">
        <f>IF(E18="","",E18*100000+COUNTIFS(tblRegistros[ID],E18,tblRegistros[Data],"&lt;"&amp;B18)+COUNTIFS(tblRegistros[ID],E18,tblRegistros[Data],B18,tblRegistros[Início],"&lt;"&amp;I18)+COUNTIFS($E$5:E18,E18,$B$5:B18,B18,$I$5:I18,I18))</f>
        <v>101600001</v>
      </c>
    </row>
    <row r="19" spans="1:20">
      <c r="A19" t="s">
        <v>111</v>
      </c>
      <c r="B19" s="2">
        <f>IFERROR(INT(INDEX(tblBatidas[Data e hora],MATCH("B"&amp;MID($A19,2,99),tblBatidas[Batida ID],0))),"")</f>
        <v>46260</v>
      </c>
      <c r="C19" t="str">
        <f t="shared" si="0"/>
        <v>QUARTA-FEIRA</v>
      </c>
      <c r="D19" t="str">
        <f t="shared" si="1"/>
        <v>DIA ÚTIL</v>
      </c>
      <c r="E19">
        <f>IFERROR(INDEX(tblBatidas[ID],MATCH("B"&amp;MID($A19,2,99),tblBatidas[Batida ID],0)),"")</f>
        <v>1001</v>
      </c>
      <c r="F19" t="str">
        <f>IFERROR(INDEX(tblPessoas[Pessoa],MATCH(E19,tblPessoas[ID],0)),"")</f>
        <v>Adriana Pereira dos Santos</v>
      </c>
      <c r="G19" t="str">
        <f>IFERROR(INDEX(tblBatidas[Projeto],MATCH("B"&amp;MID($A19,2,99),tblBatidas[Batida ID],0)),"")</f>
        <v>TOOLKIT</v>
      </c>
      <c r="H19" t="str">
        <f>IFERROR(INDEX(tblBatidas[Atividade],MATCH("B"&amp;MID($A19,2,99),tblBatidas[Batida ID],0)),"")</f>
        <v>SUPERVISÃO</v>
      </c>
      <c r="I19" s="4">
        <f>IFERROR(MOD(INDEX(tblBatidas[Data e hora],MATCH("B"&amp;MID($A19,2,99),tblBatidas[Batida ID],0)),1),"")</f>
        <v>0.39813657407648861</v>
      </c>
      <c r="J19" s="4">
        <f>IFERROR(MOD(INDEX(tblBatidas[Data e hora],MATCH("B"&amp;MID($A19,2,99),tblBatidas[Início vinculado],0)),1),"")</f>
        <v>0.60500000000320142</v>
      </c>
      <c r="K19" s="14">
        <f>IFERROR((INDEX(tblBatidas[Data e hora],MATCH("B"&amp;MID($A19,2,99),tblBatidas[Início vinculado],0))-INDEX(tblBatidas[Data e hora],MATCH("B"&amp;MID($A19,2,99),tblBatidas[Batida ID],0)))*24,"")</f>
        <v>4.9647222222411074</v>
      </c>
      <c r="L19" t="str">
        <f>IFERROR(INDEX(tblBatidas[Observação],MATCH("B"&amp;MID($A19,2,99),tblBatidas[Início vinculado],0)),"")</f>
        <v>SUPERVISAÕ SICOOB TAMBE´M</v>
      </c>
      <c r="M19" t="str">
        <f>IFERROR(INDEX(tblPessoas[Base],MATCH(E19,tblPessoas[ID],0)),"")</f>
        <v>Hora</v>
      </c>
      <c r="N19" s="3">
        <f>IFERROR(IF(D19="DIA ÚTIL",INDEX(tblPessoas[R$/h útil],MATCH(E19,tblPessoas[ID],0)),INDEX(tblPessoas[R$/h FDS],MATCH(E19,tblPessoas[ID],0))),0)</f>
        <v>17</v>
      </c>
      <c r="O19" s="3">
        <f>IFERROR(INDEX(tblPessoas[R$/diária],MATCH(E19,tblPessoas[ID],0)),0)</f>
        <v>0</v>
      </c>
      <c r="P19" s="3">
        <f t="shared" si="2"/>
        <v>84.400277778098825</v>
      </c>
      <c r="Q19" t="str">
        <f>IF(A19="","",IF(COUNTIF(tblBatidas[Início vinculado],"B"&amp;MID($A19,2,99))=0,"EM ABERTO",IF(OR(COUNTIF(tblBatidas[Início vinculado],"B"&amp;MID($A19,2,99))&gt;1,K19&lt;0,K19&gt;16,INT(INDEX(tblBatidas[Data e hora],MATCH("B"&amp;MID($A19,2,99),tblBatidas[Início vinculado],0)))&lt;&gt;B19,INDEX(tblBatidas[ID],MATCH("B"&amp;MID($A19,2,99),tblBatidas[Início vinculado],0))&lt;&gt;E19,INDEX(tblBatidas[Projeto],MATCH("B"&amp;MID($A19,2,99),tblBatidas[Início vinculado],0))&lt;&gt;G19,INDEX(tblBatidas[Atividade],MATCH("B"&amp;MID($A19,2,99),tblBatidas[Início vinculado],0))&lt;&gt;H19),"REVISAR","CONCLUÍDO")))</f>
        <v>CONCLUÍDO</v>
      </c>
      <c r="R19">
        <f>IF(Q19&lt;&gt;"CONCLUÍDO",0,IF(COUNTIFS($E$5:E19,E19,$B$5:B19,B19,$Q$5:Q19,"CONCLUÍDO")=1,1,0))</f>
        <v>1</v>
      </c>
      <c r="S19" t="str">
        <f t="shared" si="3"/>
        <v>yyyy-08</v>
      </c>
      <c r="T19">
        <f>IF(E19="","",E19*100000+COUNTIFS(tblRegistros[ID],E19,tblRegistros[Data],"&lt;"&amp;B19)+COUNTIFS(tblRegistros[ID],E19,tblRegistros[Data],B19,tblRegistros[Início],"&lt;"&amp;I19)+COUNTIFS($E$5:E19,E19,$B$5:B19,B19,$I$5:I19,I19))</f>
        <v>100100003</v>
      </c>
    </row>
    <row r="20" spans="1:20">
      <c r="A20" t="s">
        <v>112</v>
      </c>
      <c r="B20" s="2">
        <f>IFERROR(INT(INDEX(tblBatidas[Data e hora],MATCH("B"&amp;MID($A20,2,99),tblBatidas[Batida ID],0))),"")</f>
        <v>46260</v>
      </c>
      <c r="C20" t="str">
        <f t="shared" si="0"/>
        <v>QUARTA-FEIRA</v>
      </c>
      <c r="D20" t="str">
        <f t="shared" si="1"/>
        <v>DIA ÚTIL</v>
      </c>
      <c r="E20">
        <f>IFERROR(INDEX(tblBatidas[ID],MATCH("B"&amp;MID($A20,2,99),tblBatidas[Batida ID],0)),"")</f>
        <v>1014</v>
      </c>
      <c r="F20" t="str">
        <f>IFERROR(INDEX(tblPessoas[Pessoa],MATCH(E20,tblPessoas[ID],0)),"")</f>
        <v>Robert Filipe Orlando de Souza</v>
      </c>
      <c r="G20" t="str">
        <f>IFERROR(INDEX(tblBatidas[Projeto],MATCH("B"&amp;MID($A20,2,99),tblBatidas[Batida ID],0)),"")</f>
        <v>OTEMPO</v>
      </c>
      <c r="H20" t="str">
        <f>IFERROR(INDEX(tblBatidas[Atividade],MATCH("B"&amp;MID($A20,2,99),tblBatidas[Batida ID],0)),"")</f>
        <v>TRANSCRIÇÃO</v>
      </c>
      <c r="I20" s="4">
        <f>IFERROR(MOD(INDEX(tblBatidas[Data e hora],MATCH("B"&amp;MID($A20,2,99),tblBatidas[Batida ID],0)),1),"")</f>
        <v>0.4101041666654055</v>
      </c>
      <c r="J20" s="4">
        <f>IFERROR(MOD(INDEX(tblBatidas[Data e hora],MATCH("B"&amp;MID($A20,2,99),tblBatidas[Início vinculado],0)),1),"")</f>
        <v>0.52747685185022419</v>
      </c>
      <c r="K20" s="14">
        <f>IFERROR((INDEX(tblBatidas[Data e hora],MATCH("B"&amp;MID($A20,2,99),tblBatidas[Início vinculado],0))-INDEX(tblBatidas[Data e hora],MATCH("B"&amp;MID($A20,2,99),tblBatidas[Batida ID],0)))*24,"")</f>
        <v>2.8169444444356486</v>
      </c>
      <c r="L20">
        <f>IFERROR(INDEX(tblBatidas[Observação],MATCH("B"&amp;MID($A20,2,99),tblBatidas[Início vinculado],0)),"")</f>
        <v>0</v>
      </c>
      <c r="M20" t="str">
        <f>IFERROR(INDEX(tblPessoas[Base],MATCH(E20,tblPessoas[ID],0)),"")</f>
        <v>Hora</v>
      </c>
      <c r="N20" s="3">
        <f>IFERROR(IF(D20="DIA ÚTIL",INDEX(tblPessoas[R$/h útil],MATCH(E20,tblPessoas[ID],0)),INDEX(tblPessoas[R$/h FDS],MATCH(E20,tblPessoas[ID],0))),0)</f>
        <v>21.5</v>
      </c>
      <c r="O20" s="3">
        <f>IFERROR(INDEX(tblPessoas[R$/diária],MATCH(E20,tblPessoas[ID],0)),0)</f>
        <v>0</v>
      </c>
      <c r="P20" s="3">
        <f t="shared" si="2"/>
        <v>60.564305555366445</v>
      </c>
      <c r="Q20" t="str">
        <f>IF(A20="","",IF(COUNTIF(tblBatidas[Início vinculado],"B"&amp;MID($A20,2,99))=0,"EM ABERTO",IF(OR(COUNTIF(tblBatidas[Início vinculado],"B"&amp;MID($A20,2,99))&gt;1,K20&lt;0,K20&gt;16,INT(INDEX(tblBatidas[Data e hora],MATCH("B"&amp;MID($A20,2,99),tblBatidas[Início vinculado],0)))&lt;&gt;B20,INDEX(tblBatidas[ID],MATCH("B"&amp;MID($A20,2,99),tblBatidas[Início vinculado],0))&lt;&gt;E20,INDEX(tblBatidas[Projeto],MATCH("B"&amp;MID($A20,2,99),tblBatidas[Início vinculado],0))&lt;&gt;G20,INDEX(tblBatidas[Atividade],MATCH("B"&amp;MID($A20,2,99),tblBatidas[Início vinculado],0))&lt;&gt;H20),"REVISAR","CONCLUÍDO")))</f>
        <v>CONCLUÍDO</v>
      </c>
      <c r="R20">
        <f>IF(Q20&lt;&gt;"CONCLUÍDO",0,IF(COUNTIFS($E$5:E20,E20,$B$5:B20,B20,$Q$5:Q20,"CONCLUÍDO")=1,1,0))</f>
        <v>1</v>
      </c>
      <c r="S20" t="str">
        <f t="shared" si="3"/>
        <v>yyyy-08</v>
      </c>
      <c r="T20">
        <f>IF(E20="","",E20*100000+COUNTIFS(tblRegistros[ID],E20,tblRegistros[Data],"&lt;"&amp;B20)+COUNTIFS(tblRegistros[ID],E20,tblRegistros[Data],B20,tblRegistros[Início],"&lt;"&amp;I20)+COUNTIFS($E$5:E20,E20,$B$5:B20,B20,$I$5:I20,I20))</f>
        <v>101400001</v>
      </c>
    </row>
    <row r="21" spans="1:20">
      <c r="A21" t="s">
        <v>113</v>
      </c>
      <c r="B21" s="2">
        <f>IFERROR(INT(INDEX(tblBatidas[Data e hora],MATCH("B"&amp;MID($A21,2,99),tblBatidas[Batida ID],0))),"")</f>
        <v>46260</v>
      </c>
      <c r="C21" t="str">
        <f t="shared" si="0"/>
        <v>QUARTA-FEIRA</v>
      </c>
      <c r="D21" t="str">
        <f t="shared" si="1"/>
        <v>DIA ÚTIL</v>
      </c>
      <c r="E21">
        <f>IFERROR(INDEX(tblBatidas[ID],MATCH("B"&amp;MID($A21,2,99),tblBatidas[Batida ID],0)),"")</f>
        <v>1012</v>
      </c>
      <c r="F21" t="str">
        <f>IFERROR(INDEX(tblPessoas[Pessoa],MATCH(E21,tblPessoas[ID],0)),"")</f>
        <v>Nelma Lucia dos S. B. Brandão</v>
      </c>
      <c r="G21" t="str">
        <f>IFERROR(INDEX(tblBatidas[Projeto],MATCH("B"&amp;MID($A21,2,99),tblBatidas[Batida ID],0)),"")</f>
        <v>SICOOB CREDICOM</v>
      </c>
      <c r="H21" t="str">
        <f>IFERROR(INDEX(tblBatidas[Atividade],MATCH("B"&amp;MID($A21,2,99),tblBatidas[Batida ID],0)),"")</f>
        <v>CHECAGEM</v>
      </c>
      <c r="I21" s="4">
        <f>IFERROR(MOD(INDEX(tblBatidas[Data e hora],MATCH("B"&amp;MID($A21,2,99),tblBatidas[Batida ID],0)),1),"")</f>
        <v>0.43912037037080154</v>
      </c>
      <c r="J21" s="4">
        <f>IFERROR(MOD(INDEX(tblBatidas[Data e hora],MATCH("B"&amp;MID($A21,2,99),tblBatidas[Início vinculado],0)),1),"")</f>
        <v>0.52681712962657912</v>
      </c>
      <c r="K21" s="14">
        <f>IFERROR((INDEX(tblBatidas[Data e hora],MATCH("B"&amp;MID($A21,2,99),tblBatidas[Início vinculado],0))-INDEX(tblBatidas[Data e hora],MATCH("B"&amp;MID($A21,2,99),tblBatidas[Batida ID],0)))*24,"")</f>
        <v>2.1047222221386619</v>
      </c>
      <c r="L21">
        <f>IFERROR(INDEX(tblBatidas[Observação],MATCH("B"&amp;MID($A21,2,99),tblBatidas[Início vinculado],0)),"")</f>
        <v>0</v>
      </c>
      <c r="M21" t="str">
        <f>IFERROR(INDEX(tblPessoas[Base],MATCH(E21,tblPessoas[ID],0)),"")</f>
        <v>Diária</v>
      </c>
      <c r="N21" s="3">
        <f>IFERROR(IF(D21="DIA ÚTIL",INDEX(tblPessoas[R$/h útil],MATCH(E21,tblPessoas[ID],0)),INDEX(tblPessoas[R$/h FDS],MATCH(E21,tblPessoas[ID],0))),0)</f>
        <v>0</v>
      </c>
      <c r="O21" s="3">
        <f>IFERROR(INDEX(tblPessoas[R$/diária],MATCH(E21,tblPessoas[ID],0)),0)</f>
        <v>222.72</v>
      </c>
      <c r="P21" s="3">
        <f t="shared" si="2"/>
        <v>222.72</v>
      </c>
      <c r="Q21" t="str">
        <f>IF(A21="","",IF(COUNTIF(tblBatidas[Início vinculado],"B"&amp;MID($A21,2,99))=0,"EM ABERTO",IF(OR(COUNTIF(tblBatidas[Início vinculado],"B"&amp;MID($A21,2,99))&gt;1,K21&lt;0,K21&gt;16,INT(INDEX(tblBatidas[Data e hora],MATCH("B"&amp;MID($A21,2,99),tblBatidas[Início vinculado],0)))&lt;&gt;B21,INDEX(tblBatidas[ID],MATCH("B"&amp;MID($A21,2,99),tblBatidas[Início vinculado],0))&lt;&gt;E21,INDEX(tblBatidas[Projeto],MATCH("B"&amp;MID($A21,2,99),tblBatidas[Início vinculado],0))&lt;&gt;G21,INDEX(tblBatidas[Atividade],MATCH("B"&amp;MID($A21,2,99),tblBatidas[Início vinculado],0))&lt;&gt;H21),"REVISAR","CONCLUÍDO")))</f>
        <v>CONCLUÍDO</v>
      </c>
      <c r="R21">
        <f>IF(Q21&lt;&gt;"CONCLUÍDO",0,IF(COUNTIFS($E$5:E21,E21,$B$5:B21,B21,$Q$5:Q21,"CONCLUÍDO")=1,1,0))</f>
        <v>1</v>
      </c>
      <c r="S21" t="str">
        <f t="shared" si="3"/>
        <v>yyyy-08</v>
      </c>
      <c r="T21">
        <f>IF(E21="","",E21*100000+COUNTIFS(tblRegistros[ID],E21,tblRegistros[Data],"&lt;"&amp;B21)+COUNTIFS(tblRegistros[ID],E21,tblRegistros[Data],B21,tblRegistros[Início],"&lt;"&amp;I21)+COUNTIFS($E$5:E21,E21,$B$5:B21,B21,$I$5:I21,I21))</f>
        <v>101200001</v>
      </c>
    </row>
    <row r="22" spans="1:20">
      <c r="A22" t="s">
        <v>114</v>
      </c>
      <c r="B22" s="2">
        <f>IFERROR(INT(INDEX(tblBatidas[Data e hora],MATCH("B"&amp;MID($A22,2,99),tblBatidas[Batida ID],0))),"")</f>
        <v>46260</v>
      </c>
      <c r="C22" t="str">
        <f t="shared" si="0"/>
        <v>QUARTA-FEIRA</v>
      </c>
      <c r="D22" t="str">
        <f t="shared" si="1"/>
        <v>DIA ÚTIL</v>
      </c>
      <c r="E22">
        <f>IFERROR(INDEX(tblBatidas[ID],MATCH("B"&amp;MID($A22,2,99),tblBatidas[Batida ID],0)),"")</f>
        <v>1004</v>
      </c>
      <c r="F22" t="str">
        <f>IFERROR(INDEX(tblPessoas[Pessoa],MATCH(E22,tblPessoas[ID],0)),"")</f>
        <v>Angela Bertoli</v>
      </c>
      <c r="G22" t="str">
        <f>IFERROR(INDEX(tblBatidas[Projeto],MATCH("B"&amp;MID($A22,2,99),tblBatidas[Batida ID],0)),"")</f>
        <v>SICOOB CREDICOM</v>
      </c>
      <c r="H22" t="str">
        <f>IFERROR(INDEX(tblBatidas[Atividade],MATCH("B"&amp;MID($A22,2,99),tblBatidas[Batida ID],0)),"")</f>
        <v>CODIFICAÇÃO</v>
      </c>
      <c r="I22" s="4">
        <f>IFERROR(MOD(INDEX(tblBatidas[Data e hora],MATCH("B"&amp;MID($A22,2,99),tblBatidas[Batida ID],0)),1),"")</f>
        <v>0.50289351851824904</v>
      </c>
      <c r="J22" s="4">
        <f>IFERROR(MOD(INDEX(tblBatidas[Data e hora],MATCH("B"&amp;MID($A22,2,99),tblBatidas[Início vinculado],0)),1),"")</f>
        <v>0.56880787036789116</v>
      </c>
      <c r="K22" s="14">
        <f>IFERROR((INDEX(tblBatidas[Data e hora],MATCH("B"&amp;MID($A22,2,99),tblBatidas[Início vinculado],0))-INDEX(tblBatidas[Data e hora],MATCH("B"&amp;MID($A22,2,99),tblBatidas[Batida ID],0)))*24,"")</f>
        <v>1.5819444443914108</v>
      </c>
      <c r="L22" t="str">
        <f>IFERROR(INDEX(tblBatidas[Observação],MATCH("B"&amp;MID($A22,2,99),tblBatidas[Início vinculado],0)),"")</f>
        <v>Codificação e controle dos pix</v>
      </c>
      <c r="M22" t="str">
        <f>IFERROR(INDEX(tblPessoas[Base],MATCH(E22,tblPessoas[ID],0)),"")</f>
        <v>Hora</v>
      </c>
      <c r="N22" s="3">
        <f>IFERROR(IF(D22="DIA ÚTIL",INDEX(tblPessoas[R$/h útil],MATCH(E22,tblPessoas[ID],0)),INDEX(tblPessoas[R$/h FDS],MATCH(E22,tblPessoas[ID],0))),0)</f>
        <v>21.5</v>
      </c>
      <c r="O22" s="3">
        <f>IFERROR(INDEX(tblPessoas[R$/diária],MATCH(E22,tblPessoas[ID],0)),0)</f>
        <v>0</v>
      </c>
      <c r="P22" s="3">
        <f t="shared" si="2"/>
        <v>34.011805554415332</v>
      </c>
      <c r="Q22" t="str">
        <f>IF(A22="","",IF(COUNTIF(tblBatidas[Início vinculado],"B"&amp;MID($A22,2,99))=0,"EM ABERTO",IF(OR(COUNTIF(tblBatidas[Início vinculado],"B"&amp;MID($A22,2,99))&gt;1,K22&lt;0,K22&gt;16,INT(INDEX(tblBatidas[Data e hora],MATCH("B"&amp;MID($A22,2,99),tblBatidas[Início vinculado],0)))&lt;&gt;B22,INDEX(tblBatidas[ID],MATCH("B"&amp;MID($A22,2,99),tblBatidas[Início vinculado],0))&lt;&gt;E22,INDEX(tblBatidas[Projeto],MATCH("B"&amp;MID($A22,2,99),tblBatidas[Início vinculado],0))&lt;&gt;G22,INDEX(tblBatidas[Atividade],MATCH("B"&amp;MID($A22,2,99),tblBatidas[Início vinculado],0))&lt;&gt;H22),"REVISAR","CONCLUÍDO")))</f>
        <v>CONCLUÍDO</v>
      </c>
      <c r="R22">
        <f>IF(Q22&lt;&gt;"CONCLUÍDO",0,IF(COUNTIFS($E$5:E22,E22,$B$5:B22,B22,$Q$5:Q22,"CONCLUÍDO")=1,1,0))</f>
        <v>1</v>
      </c>
      <c r="S22" t="str">
        <f t="shared" si="3"/>
        <v>yyyy-08</v>
      </c>
      <c r="T22">
        <f>IF(E22="","",E22*100000+COUNTIFS(tblRegistros[ID],E22,tblRegistros[Data],"&lt;"&amp;B22)+COUNTIFS(tblRegistros[ID],E22,tblRegistros[Data],B22,tblRegistros[Início],"&lt;"&amp;I22)+COUNTIFS($E$5:E22,E22,$B$5:B22,B22,$I$5:I22,I22))</f>
        <v>100400001</v>
      </c>
    </row>
    <row r="23" spans="1:20">
      <c r="A23" t="s">
        <v>115</v>
      </c>
      <c r="B23" s="2">
        <f>IFERROR(INT(INDEX(tblBatidas[Data e hora],MATCH("B"&amp;MID($A23,2,99),tblBatidas[Batida ID],0))),"")</f>
        <v>46260</v>
      </c>
      <c r="C23" t="str">
        <f t="shared" si="0"/>
        <v>QUARTA-FEIRA</v>
      </c>
      <c r="D23" t="str">
        <f t="shared" si="1"/>
        <v>DIA ÚTIL</v>
      </c>
      <c r="E23">
        <f>IFERROR(INDEX(tblBatidas[ID],MATCH("B"&amp;MID($A23,2,99),tblBatidas[Batida ID],0)),"")</f>
        <v>1011</v>
      </c>
      <c r="F23" t="str">
        <f>IFERROR(INDEX(tblPessoas[Pessoa],MATCH(E23,tblPessoas[ID],0)),"")</f>
        <v>Nathalia Arruda</v>
      </c>
      <c r="G23" t="str">
        <f>IFERROR(INDEX(tblBatidas[Projeto],MATCH("B"&amp;MID($A23,2,99),tblBatidas[Batida ID],0)),"")</f>
        <v>OTEMPO</v>
      </c>
      <c r="H23" t="str">
        <f>IFERROR(INDEX(tblBatidas[Atividade],MATCH("B"&amp;MID($A23,2,99),tblBatidas[Batida ID],0)),"")</f>
        <v>ANÁLISE</v>
      </c>
      <c r="I23" s="4">
        <f>IFERROR(MOD(INDEX(tblBatidas[Data e hora],MATCH("B"&amp;MID($A23,2,99),tblBatidas[Batida ID],0)),1),"")</f>
        <v>0.52789351851970423</v>
      </c>
      <c r="J23" s="4">
        <f>IFERROR(MOD(INDEX(tblBatidas[Data e hora],MATCH("B"&amp;MID($A23,2,99),tblBatidas[Início vinculado],0)),1),"")</f>
        <v>0.75285879629518604</v>
      </c>
      <c r="K23" s="14">
        <f>IFERROR((INDEX(tblBatidas[Data e hora],MATCH("B"&amp;MID($A23,2,99),tblBatidas[Início vinculado],0))-INDEX(tblBatidas[Data e hora],MATCH("B"&amp;MID($A23,2,99),tblBatidas[Batida ID],0)))*24,"")</f>
        <v>5.3991666666115634</v>
      </c>
      <c r="L23" t="str">
        <f>IFERROR(INDEX(tblBatidas[Observação],MATCH("B"&amp;MID($A23,2,99),tblBatidas[Início vinculado],0)),"")</f>
        <v>rteste e revisão de questionario</v>
      </c>
      <c r="M23" t="str">
        <f>IFERROR(INDEX(tblPessoas[Base],MATCH(E23,tblPessoas[ID],0)),"")</f>
        <v>Hora</v>
      </c>
      <c r="N23" s="3">
        <f>IFERROR(IF(D23="DIA ÚTIL",INDEX(tblPessoas[R$/h útil],MATCH(E23,tblPessoas[ID],0)),INDEX(tblPessoas[R$/h FDS],MATCH(E23,tblPessoas[ID],0))),0)</f>
        <v>23.5</v>
      </c>
      <c r="O23" s="3">
        <f>IFERROR(INDEX(tblPessoas[R$/diária],MATCH(E23,tblPessoas[ID],0)),0)</f>
        <v>0</v>
      </c>
      <c r="P23" s="3">
        <f t="shared" si="2"/>
        <v>126.88041666537174</v>
      </c>
      <c r="Q23" t="str">
        <f>IF(A23="","",IF(COUNTIF(tblBatidas[Início vinculado],"B"&amp;MID($A23,2,99))=0,"EM ABERTO",IF(OR(COUNTIF(tblBatidas[Início vinculado],"B"&amp;MID($A23,2,99))&gt;1,K23&lt;0,K23&gt;16,INT(INDEX(tblBatidas[Data e hora],MATCH("B"&amp;MID($A23,2,99),tblBatidas[Início vinculado],0)))&lt;&gt;B23,INDEX(tblBatidas[ID],MATCH("B"&amp;MID($A23,2,99),tblBatidas[Início vinculado],0))&lt;&gt;E23,INDEX(tblBatidas[Projeto],MATCH("B"&amp;MID($A23,2,99),tblBatidas[Início vinculado],0))&lt;&gt;G23,INDEX(tblBatidas[Atividade],MATCH("B"&amp;MID($A23,2,99),tblBatidas[Início vinculado],0))&lt;&gt;H23),"REVISAR","CONCLUÍDO")))</f>
        <v>CONCLUÍDO</v>
      </c>
      <c r="R23">
        <f>IF(Q23&lt;&gt;"CONCLUÍDO",0,IF(COUNTIFS($E$5:E23,E23,$B$5:B23,B23,$Q$5:Q23,"CONCLUÍDO")=1,1,0))</f>
        <v>0</v>
      </c>
      <c r="S23" t="str">
        <f t="shared" si="3"/>
        <v>yyyy-08</v>
      </c>
      <c r="T23">
        <f>IF(E23="","",E23*100000+COUNTIFS(tblRegistros[ID],E23,tblRegistros[Data],"&lt;"&amp;B23)+COUNTIFS(tblRegistros[ID],E23,tblRegistros[Data],B23,tblRegistros[Início],"&lt;"&amp;I23)+COUNTIFS($E$5:E23,E23,$B$5:B23,B23,$I$5:I23,I23))</f>
        <v>101100002</v>
      </c>
    </row>
    <row r="24" spans="1:20">
      <c r="A24" t="s">
        <v>116</v>
      </c>
      <c r="B24" s="2">
        <f>IFERROR(INT(INDEX(tblBatidas[Data e hora],MATCH("B"&amp;MID($A24,2,99),tblBatidas[Batida ID],0))),"")</f>
        <v>46260</v>
      </c>
      <c r="C24" t="str">
        <f t="shared" si="0"/>
        <v>QUARTA-FEIRA</v>
      </c>
      <c r="D24" t="str">
        <f t="shared" si="1"/>
        <v>DIA ÚTIL</v>
      </c>
      <c r="E24">
        <f>IFERROR(INDEX(tblBatidas[ID],MATCH("B"&amp;MID($A24,2,99),tblBatidas[Batida ID],0)),"")</f>
        <v>1003</v>
      </c>
      <c r="F24" t="str">
        <f>IFERROR(INDEX(tblPessoas[Pessoa],MATCH(E24,tblPessoas[ID],0)),"")</f>
        <v>Amanda do Carmo Ribeiro</v>
      </c>
      <c r="G24" t="str">
        <f>IFERROR(INDEX(tblBatidas[Projeto],MATCH("B"&amp;MID($A24,2,99),tblBatidas[Batida ID],0)),"")</f>
        <v>OTEMPO</v>
      </c>
      <c r="H24" t="str">
        <f>IFERROR(INDEX(tblBatidas[Atividade],MATCH("B"&amp;MID($A24,2,99),tblBatidas[Batida ID],0)),"")</f>
        <v>ANÁLISE</v>
      </c>
      <c r="I24" s="4">
        <f>IFERROR(MOD(INDEX(tblBatidas[Data e hora],MATCH("B"&amp;MID($A24,2,99),tblBatidas[Batida ID],0)),1),"")</f>
        <v>0.53196759259299142</v>
      </c>
      <c r="J24" s="4">
        <f>IFERROR(MOD(INDEX(tblBatidas[Data e hora],MATCH("B"&amp;MID($A24,2,99),tblBatidas[Início vinculado],0)),1),"")</f>
        <v>0.75184027777868323</v>
      </c>
      <c r="K24" s="14">
        <f>IFERROR((INDEX(tblBatidas[Data e hora],MATCH("B"&amp;MID($A24,2,99),tblBatidas[Início vinculado],0))-INDEX(tblBatidas[Data e hora],MATCH("B"&amp;MID($A24,2,99),tblBatidas[Batida ID],0)))*24,"")</f>
        <v>5.2769444444566034</v>
      </c>
      <c r="L24">
        <f>IFERROR(INDEX(tblBatidas[Observação],MATCH("B"&amp;MID($A24,2,99),tblBatidas[Início vinculado],0)),"")</f>
        <v>0</v>
      </c>
      <c r="M24" t="str">
        <f>IFERROR(INDEX(tblPessoas[Base],MATCH(E24,tblPessoas[ID],0)),"")</f>
        <v>Hora</v>
      </c>
      <c r="N24" s="3">
        <f>IFERROR(IF(D24="DIA ÚTIL",INDEX(tblPessoas[R$/h útil],MATCH(E24,tblPessoas[ID],0)),INDEX(tblPessoas[R$/h FDS],MATCH(E24,tblPessoas[ID],0))),0)</f>
        <v>23.5</v>
      </c>
      <c r="O24" s="3">
        <f>IFERROR(INDEX(tblPessoas[R$/diária],MATCH(E24,tblPessoas[ID],0)),0)</f>
        <v>0</v>
      </c>
      <c r="P24" s="3">
        <f t="shared" si="2"/>
        <v>124.00819444473018</v>
      </c>
      <c r="Q24" t="str">
        <f>IF(A24="","",IF(COUNTIF(tblBatidas[Início vinculado],"B"&amp;MID($A24,2,99))=0,"EM ABERTO",IF(OR(COUNTIF(tblBatidas[Início vinculado],"B"&amp;MID($A24,2,99))&gt;1,K24&lt;0,K24&gt;16,INT(INDEX(tblBatidas[Data e hora],MATCH("B"&amp;MID($A24,2,99),tblBatidas[Início vinculado],0)))&lt;&gt;B24,INDEX(tblBatidas[ID],MATCH("B"&amp;MID($A24,2,99),tblBatidas[Início vinculado],0))&lt;&gt;E24,INDEX(tblBatidas[Projeto],MATCH("B"&amp;MID($A24,2,99),tblBatidas[Início vinculado],0))&lt;&gt;G24,INDEX(tblBatidas[Atividade],MATCH("B"&amp;MID($A24,2,99),tblBatidas[Início vinculado],0))&lt;&gt;H24),"REVISAR","CONCLUÍDO")))</f>
        <v>CONCLUÍDO</v>
      </c>
      <c r="R24">
        <f>IF(Q24&lt;&gt;"CONCLUÍDO",0,IF(COUNTIFS($E$5:E24,E24,$B$5:B24,B24,$Q$5:Q24,"CONCLUÍDO")=1,1,0))</f>
        <v>0</v>
      </c>
      <c r="S24" t="str">
        <f t="shared" si="3"/>
        <v>yyyy-08</v>
      </c>
      <c r="T24">
        <f>IF(E24="","",E24*100000+COUNTIFS(tblRegistros[ID],E24,tblRegistros[Data],"&lt;"&amp;B24)+COUNTIFS(tblRegistros[ID],E24,tblRegistros[Data],B24,tblRegistros[Início],"&lt;"&amp;I24)+COUNTIFS($E$5:E24,E24,$B$5:B24,B24,$I$5:I24,I24))</f>
        <v>100300002</v>
      </c>
    </row>
    <row r="25" spans="1:20">
      <c r="A25" t="s">
        <v>117</v>
      </c>
      <c r="B25" s="2">
        <f>IFERROR(INT(INDEX(tblBatidas[Data e hora],MATCH("B"&amp;MID($A25,2,99),tblBatidas[Batida ID],0))),"")</f>
        <v>46260</v>
      </c>
      <c r="C25" t="str">
        <f t="shared" si="0"/>
        <v>QUARTA-FEIRA</v>
      </c>
      <c r="D25" t="str">
        <f t="shared" si="1"/>
        <v>DIA ÚTIL</v>
      </c>
      <c r="E25">
        <f>IFERROR(INDEX(tblBatidas[ID],MATCH("B"&amp;MID($A25,2,99),tblBatidas[Batida ID],0)),"")</f>
        <v>1013</v>
      </c>
      <c r="F25" t="str">
        <f>IFERROR(INDEX(tblPessoas[Pessoa],MATCH(E25,tblPessoas[ID],0)),"")</f>
        <v>Rafaela Maria Resende Lara</v>
      </c>
      <c r="G25" t="str">
        <f>IFERROR(INDEX(tblBatidas[Projeto],MATCH("B"&amp;MID($A25,2,99),tblBatidas[Batida ID],0)),"")</f>
        <v>OTEMPO</v>
      </c>
      <c r="H25" t="str">
        <f>IFERROR(INDEX(tblBatidas[Atividade],MATCH("B"&amp;MID($A25,2,99),tblBatidas[Batida ID],0)),"")</f>
        <v>ANÁLISE</v>
      </c>
      <c r="I25" s="4">
        <f>IFERROR(MOD(INDEX(tblBatidas[Data e hora],MATCH("B"&amp;MID($A25,2,99),tblBatidas[Batida ID],0)),1),"")</f>
        <v>0.53234953703940846</v>
      </c>
      <c r="J25" s="4">
        <f>IFERROR(MOD(INDEX(tblBatidas[Data e hora],MATCH("B"&amp;MID($A25,2,99),tblBatidas[Início vinculado],0)),1),"")</f>
        <v>0.75078703703911742</v>
      </c>
      <c r="K25" s="14">
        <f>IFERROR((INDEX(tblBatidas[Data e hora],MATCH("B"&amp;MID($A25,2,99),tblBatidas[Início vinculado],0))-INDEX(tblBatidas[Data e hora],MATCH("B"&amp;MID($A25,2,99),tblBatidas[Batida ID],0)))*24,"")</f>
        <v>5.2424999999930151</v>
      </c>
      <c r="L25">
        <f>IFERROR(INDEX(tblBatidas[Observação],MATCH("B"&amp;MID($A25,2,99),tblBatidas[Início vinculado],0)),"")</f>
        <v>0</v>
      </c>
      <c r="M25" t="str">
        <f>IFERROR(INDEX(tblPessoas[Base],MATCH(E25,tblPessoas[ID],0)),"")</f>
        <v>Hora</v>
      </c>
      <c r="N25" s="3">
        <f>IFERROR(IF(D25="DIA ÚTIL",INDEX(tblPessoas[R$/h útil],MATCH(E25,tblPessoas[ID],0)),INDEX(tblPessoas[R$/h FDS],MATCH(E25,tblPessoas[ID],0))),0)</f>
        <v>23.5</v>
      </c>
      <c r="O25" s="3">
        <f>IFERROR(INDEX(tblPessoas[R$/diária],MATCH(E25,tblPessoas[ID],0)),0)</f>
        <v>0</v>
      </c>
      <c r="P25" s="3">
        <f t="shared" si="2"/>
        <v>123.19874999983585</v>
      </c>
      <c r="Q25" t="str">
        <f>IF(A25="","",IF(COUNTIF(tblBatidas[Início vinculado],"B"&amp;MID($A25,2,99))=0,"EM ABERTO",IF(OR(COUNTIF(tblBatidas[Início vinculado],"B"&amp;MID($A25,2,99))&gt;1,K25&lt;0,K25&gt;16,INT(INDEX(tblBatidas[Data e hora],MATCH("B"&amp;MID($A25,2,99),tblBatidas[Início vinculado],0)))&lt;&gt;B25,INDEX(tblBatidas[ID],MATCH("B"&amp;MID($A25,2,99),tblBatidas[Início vinculado],0))&lt;&gt;E25,INDEX(tblBatidas[Projeto],MATCH("B"&amp;MID($A25,2,99),tblBatidas[Início vinculado],0))&lt;&gt;G25,INDEX(tblBatidas[Atividade],MATCH("B"&amp;MID($A25,2,99),tblBatidas[Início vinculado],0))&lt;&gt;H25),"REVISAR","CONCLUÍDO")))</f>
        <v>CONCLUÍDO</v>
      </c>
      <c r="R25">
        <f>IF(Q25&lt;&gt;"CONCLUÍDO",0,IF(COUNTIFS($E$5:E25,E25,$B$5:B25,B25,$Q$5:Q25,"CONCLUÍDO")=1,1,0))</f>
        <v>0</v>
      </c>
      <c r="S25" t="str">
        <f t="shared" si="3"/>
        <v>yyyy-08</v>
      </c>
      <c r="T25">
        <f>IF(E25="","",E25*100000+COUNTIFS(tblRegistros[ID],E25,tblRegistros[Data],"&lt;"&amp;B25)+COUNTIFS(tblRegistros[ID],E25,tblRegistros[Data],B25,tblRegistros[Início],"&lt;"&amp;I25)+COUNTIFS($E$5:E25,E25,$B$5:B25,B25,$I$5:I25,I25))</f>
        <v>101300002</v>
      </c>
    </row>
    <row r="26" spans="1:20">
      <c r="A26" t="s">
        <v>118</v>
      </c>
      <c r="B26" s="2">
        <f>IFERROR(INT(INDEX(tblBatidas[Data e hora],MATCH("B"&amp;MID($A26,2,99),tblBatidas[Batida ID],0))),"")</f>
        <v>46260</v>
      </c>
      <c r="C26" t="str">
        <f t="shared" si="0"/>
        <v>QUARTA-FEIRA</v>
      </c>
      <c r="D26" t="str">
        <f t="shared" si="1"/>
        <v>DIA ÚTIL</v>
      </c>
      <c r="E26">
        <f>IFERROR(INDEX(tblBatidas[ID],MATCH("B"&amp;MID($A26,2,99),tblBatidas[Batida ID],0)),"")</f>
        <v>1016</v>
      </c>
      <c r="F26" t="str">
        <f>IFERROR(INDEX(tblPessoas[Pessoa],MATCH(E26,tblPessoas[ID],0)),"")</f>
        <v>Ana Luisa Nardin</v>
      </c>
      <c r="G26" t="str">
        <f>IFERROR(INDEX(tblBatidas[Projeto],MATCH("B"&amp;MID($A26,2,99),tblBatidas[Batida ID],0)),"")</f>
        <v>CFI / ACCION</v>
      </c>
      <c r="H26" t="str">
        <f>IFERROR(INDEX(tblBatidas[Atividade],MATCH("B"&amp;MID($A26,2,99),tblBatidas[Batida ID],0)),"")</f>
        <v>ANÁLISE</v>
      </c>
      <c r="I26" s="4">
        <f>IFERROR(MOD(INDEX(tblBatidas[Data e hora],MATCH("B"&amp;MID($A26,2,99),tblBatidas[Batida ID],0)),1),"")</f>
        <v>0.55978009258979</v>
      </c>
      <c r="J26" s="4" t="str">
        <f>IFERROR(MOD(INDEX(tblBatidas[Data e hora],MATCH("B"&amp;MID($A26,2,99),tblBatidas[Início vinculado],0)),1),"")</f>
        <v/>
      </c>
      <c r="K26" s="14" t="str">
        <f>IFERROR((INDEX(tblBatidas[Data e hora],MATCH("B"&amp;MID($A26,2,99),tblBatidas[Início vinculado],0))-INDEX(tblBatidas[Data e hora],MATCH("B"&amp;MID($A26,2,99),tblBatidas[Batida ID],0)))*24,"")</f>
        <v/>
      </c>
      <c r="L26" t="str">
        <f>IFERROR(INDEX(tblBatidas[Observação],MATCH("B"&amp;MID($A26,2,99),tblBatidas[Início vinculado],0)),"")</f>
        <v/>
      </c>
      <c r="M26" t="str">
        <f>IFERROR(INDEX(tblPessoas[Base],MATCH(E26,tblPessoas[ID],0)),"")</f>
        <v>Hora</v>
      </c>
      <c r="N26" s="3">
        <f>IFERROR(IF(D26="DIA ÚTIL",INDEX(tblPessoas[R$/h útil],MATCH(E26,tblPessoas[ID],0)),INDEX(tblPessoas[R$/h FDS],MATCH(E26,tblPessoas[ID],0))),0)</f>
        <v>23.5</v>
      </c>
      <c r="O26" s="3">
        <f>IFERROR(INDEX(tblPessoas[R$/diária],MATCH(E26,tblPessoas[ID],0)),0)</f>
        <v>0</v>
      </c>
      <c r="P26" s="3" t="str">
        <f t="shared" si="2"/>
        <v/>
      </c>
      <c r="Q26" t="str">
        <f>IF(A26="","",IF(COUNTIF(tblBatidas[Início vinculado],"B"&amp;MID($A26,2,99))=0,"EM ABERTO",IF(OR(COUNTIF(tblBatidas[Início vinculado],"B"&amp;MID($A26,2,99))&gt;1,K26&lt;0,K26&gt;16,INT(INDEX(tblBatidas[Data e hora],MATCH("B"&amp;MID($A26,2,99),tblBatidas[Início vinculado],0)))&lt;&gt;B26,INDEX(tblBatidas[ID],MATCH("B"&amp;MID($A26,2,99),tblBatidas[Início vinculado],0))&lt;&gt;E26,INDEX(tblBatidas[Projeto],MATCH("B"&amp;MID($A26,2,99),tblBatidas[Início vinculado],0))&lt;&gt;G26,INDEX(tblBatidas[Atividade],MATCH("B"&amp;MID($A26,2,99),tblBatidas[Início vinculado],0))&lt;&gt;H26),"REVISAR","CONCLUÍDO")))</f>
        <v>EM ABERTO</v>
      </c>
      <c r="R26">
        <f>IF(Q26&lt;&gt;"CONCLUÍDO",0,IF(COUNTIFS($E$5:E26,E26,$B$5:B26,B26,$Q$5:Q26,"CONCLUÍDO")=1,1,0))</f>
        <v>0</v>
      </c>
      <c r="S26" t="str">
        <f t="shared" si="3"/>
        <v>yyyy-08</v>
      </c>
      <c r="T26">
        <f>IF(E26="","",E26*100000+COUNTIFS(tblRegistros[ID],E26,tblRegistros[Data],"&lt;"&amp;B26)+COUNTIFS(tblRegistros[ID],E26,tblRegistros[Data],B26,tblRegistros[Início],"&lt;"&amp;I26)+COUNTIFS($E$5:E26,E26,$B$5:B26,B26,$I$5:I26,I26))</f>
        <v>101600002</v>
      </c>
    </row>
    <row r="27" spans="1:20">
      <c r="A27" t="s">
        <v>119</v>
      </c>
      <c r="B27" s="2">
        <f>IFERROR(INT(INDEX(tblBatidas[Data e hora],MATCH("B"&amp;MID($A27,2,99),tblBatidas[Batida ID],0))),"")</f>
        <v>46260</v>
      </c>
      <c r="C27" t="str">
        <f t="shared" si="0"/>
        <v>QUARTA-FEIRA</v>
      </c>
      <c r="D27" t="str">
        <f t="shared" si="1"/>
        <v>DIA ÚTIL</v>
      </c>
      <c r="E27">
        <f>IFERROR(INDEX(tblBatidas[ID],MATCH("B"&amp;MID($A27,2,99),tblBatidas[Batida ID],0)),"")</f>
        <v>1012</v>
      </c>
      <c r="F27" t="str">
        <f>IFERROR(INDEX(tblPessoas[Pessoa],MATCH(E27,tblPessoas[ID],0)),"")</f>
        <v>Nelma Lucia dos S. B. Brandão</v>
      </c>
      <c r="G27" t="str">
        <f>IFERROR(INDEX(tblBatidas[Projeto],MATCH("B"&amp;MID($A27,2,99),tblBatidas[Batida ID],0)),"")</f>
        <v>TOOLKIT</v>
      </c>
      <c r="H27" t="str">
        <f>IFERROR(INDEX(tblBatidas[Atividade],MATCH("B"&amp;MID($A27,2,99),tblBatidas[Batida ID],0)),"")</f>
        <v>CHECAGEM</v>
      </c>
      <c r="I27" s="4">
        <f>IFERROR(MOD(INDEX(tblBatidas[Data e hora],MATCH("B"&amp;MID($A27,2,99),tblBatidas[Batida ID],0)),1),"")</f>
        <v>0.57128472222393611</v>
      </c>
      <c r="J27" s="4">
        <f>IFERROR(MOD(INDEX(tblBatidas[Data e hora],MATCH("B"&amp;MID($A27,2,99),tblBatidas[Início vinculado],0)),1),"")</f>
        <v>0.75644675926014315</v>
      </c>
      <c r="K27" s="14">
        <f>IFERROR((INDEX(tblBatidas[Data e hora],MATCH("B"&amp;MID($A27,2,99),tblBatidas[Início vinculado],0))-INDEX(tblBatidas[Data e hora],MATCH("B"&amp;MID($A27,2,99),tblBatidas[Batida ID],0)))*24,"")</f>
        <v>4.4438888888689689</v>
      </c>
      <c r="L27">
        <f>IFERROR(INDEX(tblBatidas[Observação],MATCH("B"&amp;MID($A27,2,99),tblBatidas[Início vinculado],0)),"")</f>
        <v>0</v>
      </c>
      <c r="M27" t="str">
        <f>IFERROR(INDEX(tblPessoas[Base],MATCH(E27,tblPessoas[ID],0)),"")</f>
        <v>Diária</v>
      </c>
      <c r="N27" s="3">
        <f>IFERROR(IF(D27="DIA ÚTIL",INDEX(tblPessoas[R$/h útil],MATCH(E27,tblPessoas[ID],0)),INDEX(tblPessoas[R$/h FDS],MATCH(E27,tblPessoas[ID],0))),0)</f>
        <v>0</v>
      </c>
      <c r="O27" s="3">
        <f>IFERROR(INDEX(tblPessoas[R$/diária],MATCH(E27,tblPessoas[ID],0)),0)</f>
        <v>222.72</v>
      </c>
      <c r="P27" s="3">
        <f t="shared" si="2"/>
        <v>0</v>
      </c>
      <c r="Q27" t="str">
        <f>IF(A27="","",IF(COUNTIF(tblBatidas[Início vinculado],"B"&amp;MID($A27,2,99))=0,"EM ABERTO",IF(OR(COUNTIF(tblBatidas[Início vinculado],"B"&amp;MID($A27,2,99))&gt;1,K27&lt;0,K27&gt;16,INT(INDEX(tblBatidas[Data e hora],MATCH("B"&amp;MID($A27,2,99),tblBatidas[Início vinculado],0)))&lt;&gt;B27,INDEX(tblBatidas[ID],MATCH("B"&amp;MID($A27,2,99),tblBatidas[Início vinculado],0))&lt;&gt;E27,INDEX(tblBatidas[Projeto],MATCH("B"&amp;MID($A27,2,99),tblBatidas[Início vinculado],0))&lt;&gt;G27,INDEX(tblBatidas[Atividade],MATCH("B"&amp;MID($A27,2,99),tblBatidas[Início vinculado],0))&lt;&gt;H27),"REVISAR","CONCLUÍDO")))</f>
        <v>CONCLUÍDO</v>
      </c>
      <c r="R27">
        <f>IF(Q27&lt;&gt;"CONCLUÍDO",0,IF(COUNTIFS($E$5:E27,E27,$B$5:B27,B27,$Q$5:Q27,"CONCLUÍDO")=1,1,0))</f>
        <v>0</v>
      </c>
      <c r="S27" t="str">
        <f t="shared" si="3"/>
        <v>yyyy-08</v>
      </c>
      <c r="T27">
        <f>IF(E27="","",E27*100000+COUNTIFS(tblRegistros[ID],E27,tblRegistros[Data],"&lt;"&amp;B27)+COUNTIFS(tblRegistros[ID],E27,tblRegistros[Data],B27,tblRegistros[Início],"&lt;"&amp;I27)+COUNTIFS($E$5:E27,E27,$B$5:B27,B27,$I$5:I27,I27))</f>
        <v>101200002</v>
      </c>
    </row>
    <row r="28" spans="1:20">
      <c r="A28" t="s">
        <v>120</v>
      </c>
      <c r="B28" s="2">
        <f>IFERROR(INT(INDEX(tblBatidas[Data e hora],MATCH("B"&amp;MID($A28,2,99),tblBatidas[Batida ID],0))),"")</f>
        <v>46260</v>
      </c>
      <c r="C28" t="str">
        <f t="shared" si="0"/>
        <v>QUARTA-FEIRA</v>
      </c>
      <c r="D28" t="str">
        <f t="shared" si="1"/>
        <v>DIA ÚTIL</v>
      </c>
      <c r="E28">
        <f>IFERROR(INDEX(tblBatidas[ID],MATCH("B"&amp;MID($A28,2,99),tblBatidas[Batida ID],0)),"")</f>
        <v>1014</v>
      </c>
      <c r="F28" t="str">
        <f>IFERROR(INDEX(tblPessoas[Pessoa],MATCH(E28,tblPessoas[ID],0)),"")</f>
        <v>Robert Filipe Orlando de Souza</v>
      </c>
      <c r="G28" t="str">
        <f>IFERROR(INDEX(tblBatidas[Projeto],MATCH("B"&amp;MID($A28,2,99),tblBatidas[Batida ID],0)),"")</f>
        <v>OTEMPO</v>
      </c>
      <c r="H28" t="str">
        <f>IFERROR(INDEX(tblBatidas[Atividade],MATCH("B"&amp;MID($A28,2,99),tblBatidas[Batida ID],0)),"")</f>
        <v>TRANSCRIÇÃO</v>
      </c>
      <c r="I28" s="4">
        <f>IFERROR(MOD(INDEX(tblBatidas[Data e hora],MATCH("B"&amp;MID($A28,2,99),tblBatidas[Batida ID],0)),1),"")</f>
        <v>0.57217592592496658</v>
      </c>
      <c r="J28" s="4">
        <f>IFERROR(MOD(INDEX(tblBatidas[Data e hora],MATCH("B"&amp;MID($A28,2,99),tblBatidas[Início vinculado],0)),1),"")</f>
        <v>0.75214120370219462</v>
      </c>
      <c r="K28" s="14">
        <f>IFERROR((INDEX(tblBatidas[Data e hora],MATCH("B"&amp;MID($A28,2,99),tblBatidas[Início vinculado],0))-INDEX(tblBatidas[Data e hora],MATCH("B"&amp;MID($A28,2,99),tblBatidas[Batida ID],0)))*24,"")</f>
        <v>4.3191666666534729</v>
      </c>
      <c r="L28">
        <f>IFERROR(INDEX(tblBatidas[Observação],MATCH("B"&amp;MID($A28,2,99),tblBatidas[Início vinculado],0)),"")</f>
        <v>0</v>
      </c>
      <c r="M28" t="str">
        <f>IFERROR(INDEX(tblPessoas[Base],MATCH(E28,tblPessoas[ID],0)),"")</f>
        <v>Hora</v>
      </c>
      <c r="N28" s="3">
        <f>IFERROR(IF(D28="DIA ÚTIL",INDEX(tblPessoas[R$/h útil],MATCH(E28,tblPessoas[ID],0)),INDEX(tblPessoas[R$/h FDS],MATCH(E28,tblPessoas[ID],0))),0)</f>
        <v>21.5</v>
      </c>
      <c r="O28" s="3">
        <f>IFERROR(INDEX(tblPessoas[R$/diária],MATCH(E28,tblPessoas[ID],0)),0)</f>
        <v>0</v>
      </c>
      <c r="P28" s="3">
        <f t="shared" si="2"/>
        <v>92.862083333049668</v>
      </c>
      <c r="Q28" t="str">
        <f>IF(A28="","",IF(COUNTIF(tblBatidas[Início vinculado],"B"&amp;MID($A28,2,99))=0,"EM ABERTO",IF(OR(COUNTIF(tblBatidas[Início vinculado],"B"&amp;MID($A28,2,99))&gt;1,K28&lt;0,K28&gt;16,INT(INDEX(tblBatidas[Data e hora],MATCH("B"&amp;MID($A28,2,99),tblBatidas[Início vinculado],0)))&lt;&gt;B28,INDEX(tblBatidas[ID],MATCH("B"&amp;MID($A28,2,99),tblBatidas[Início vinculado],0))&lt;&gt;E28,INDEX(tblBatidas[Projeto],MATCH("B"&amp;MID($A28,2,99),tblBatidas[Início vinculado],0))&lt;&gt;G28,INDEX(tblBatidas[Atividade],MATCH("B"&amp;MID($A28,2,99),tblBatidas[Início vinculado],0))&lt;&gt;H28),"REVISAR","CONCLUÍDO")))</f>
        <v>CONCLUÍDO</v>
      </c>
      <c r="R28">
        <f>IF(Q28&lt;&gt;"CONCLUÍDO",0,IF(COUNTIFS($E$5:E28,E28,$B$5:B28,B28,$Q$5:Q28,"CONCLUÍDO")=1,1,0))</f>
        <v>0</v>
      </c>
      <c r="S28" t="str">
        <f t="shared" si="3"/>
        <v>yyyy-08</v>
      </c>
      <c r="T28">
        <f>IF(E28="","",E28*100000+COUNTIFS(tblRegistros[ID],E28,tblRegistros[Data],"&lt;"&amp;B28)+COUNTIFS(tblRegistros[ID],E28,tblRegistros[Data],B28,tblRegistros[Início],"&lt;"&amp;I28)+COUNTIFS($E$5:E28,E28,$B$5:B28,B28,$I$5:I28,I28))</f>
        <v>101400002</v>
      </c>
    </row>
    <row r="29" spans="1:20">
      <c r="A29" t="s">
        <v>121</v>
      </c>
      <c r="B29" s="2">
        <f>IFERROR(INT(INDEX(tblBatidas[Data e hora],MATCH("B"&amp;MID($A29,2,99),tblBatidas[Batida ID],0))),"")</f>
        <v>46260</v>
      </c>
      <c r="C29" t="str">
        <f t="shared" si="0"/>
        <v>QUARTA-FEIRA</v>
      </c>
      <c r="D29" t="str">
        <f t="shared" si="1"/>
        <v>DIA ÚTIL</v>
      </c>
      <c r="E29">
        <f>IFERROR(INDEX(tblBatidas[ID],MATCH("B"&amp;MID($A29,2,99),tblBatidas[Batida ID],0)),"")</f>
        <v>1015</v>
      </c>
      <c r="F29" t="str">
        <f>IFERROR(INDEX(tblPessoas[Pessoa],MATCH(E29,tblPessoas[ID],0)),"")</f>
        <v>Vitor Guilherme Miguel Rocha</v>
      </c>
      <c r="G29" t="str">
        <f>IFERROR(INDEX(tblBatidas[Projeto],MATCH("B"&amp;MID($A29,2,99),tblBatidas[Batida ID],0)),"")</f>
        <v>ADMINISTRATIVO</v>
      </c>
      <c r="H29" t="str">
        <f>IFERROR(INDEX(tblBatidas[Atividade],MATCH("B"&amp;MID($A29,2,99),tblBatidas[Batida ID],0)),"")</f>
        <v>ADMINISTRATIVO</v>
      </c>
      <c r="I29" s="4">
        <f>IFERROR(MOD(INDEX(tblBatidas[Data e hora],MATCH("B"&amp;MID($A29,2,99),tblBatidas[Batida ID],0)),1),"")</f>
        <v>0.58493055555300089</v>
      </c>
      <c r="J29" s="4">
        <f>IFERROR(MOD(INDEX(tblBatidas[Data e hora],MATCH("B"&amp;MID($A29,2,99),tblBatidas[Início vinculado],0)),1),"")</f>
        <v>0.7434953703705105</v>
      </c>
      <c r="K29" s="14">
        <f>IFERROR((INDEX(tblBatidas[Data e hora],MATCH("B"&amp;MID($A29,2,99),tblBatidas[Início vinculado],0))-INDEX(tblBatidas[Data e hora],MATCH("B"&amp;MID($A29,2,99),tblBatidas[Batida ID],0)))*24,"")</f>
        <v>3.8055555556202307</v>
      </c>
      <c r="L29">
        <f>IFERROR(INDEX(tblBatidas[Observação],MATCH("B"&amp;MID($A29,2,99),tblBatidas[Início vinculado],0)),"")</f>
        <v>0</v>
      </c>
      <c r="M29" t="str">
        <f>IFERROR(INDEX(tblPessoas[Base],MATCH(E29,tblPessoas[ID],0)),"")</f>
        <v>Hora</v>
      </c>
      <c r="N29" s="3">
        <f>IFERROR(IF(D29="DIA ÚTIL",INDEX(tblPessoas[R$/h útil],MATCH(E29,tblPessoas[ID],0)),INDEX(tblPessoas[R$/h FDS],MATCH(E29,tblPessoas[ID],0))),0)</f>
        <v>21.5</v>
      </c>
      <c r="O29" s="3">
        <f>IFERROR(INDEX(tblPessoas[R$/diária],MATCH(E29,tblPessoas[ID],0)),0)</f>
        <v>0</v>
      </c>
      <c r="P29" s="3">
        <f t="shared" si="2"/>
        <v>81.819444445834961</v>
      </c>
      <c r="Q29" t="str">
        <f>IF(A29="","",IF(COUNTIF(tblBatidas[Início vinculado],"B"&amp;MID($A29,2,99))=0,"EM ABERTO",IF(OR(COUNTIF(tblBatidas[Início vinculado],"B"&amp;MID($A29,2,99))&gt;1,K29&lt;0,K29&gt;16,INT(INDEX(tblBatidas[Data e hora],MATCH("B"&amp;MID($A29,2,99),tblBatidas[Início vinculado],0)))&lt;&gt;B29,INDEX(tblBatidas[ID],MATCH("B"&amp;MID($A29,2,99),tblBatidas[Início vinculado],0))&lt;&gt;E29,INDEX(tblBatidas[Projeto],MATCH("B"&amp;MID($A29,2,99),tblBatidas[Início vinculado],0))&lt;&gt;G29,INDEX(tblBatidas[Atividade],MATCH("B"&amp;MID($A29,2,99),tblBatidas[Início vinculado],0))&lt;&gt;H29),"REVISAR","CONCLUÍDO")))</f>
        <v>CONCLUÍDO</v>
      </c>
      <c r="R29">
        <f>IF(Q29&lt;&gt;"CONCLUÍDO",0,IF(COUNTIFS($E$5:E29,E29,$B$5:B29,B29,$Q$5:Q29,"CONCLUÍDO")=1,1,0))</f>
        <v>0</v>
      </c>
      <c r="S29" t="str">
        <f t="shared" si="3"/>
        <v>yyyy-08</v>
      </c>
      <c r="T29">
        <f>IF(E29="","",E29*100000+COUNTIFS(tblRegistros[ID],E29,tblRegistros[Data],"&lt;"&amp;B29)+COUNTIFS(tblRegistros[ID],E29,tblRegistros[Data],B29,tblRegistros[Início],"&lt;"&amp;I29)+COUNTIFS($E$5:E29,E29,$B$5:B29,B29,$I$5:I29,I29))</f>
        <v>101500008</v>
      </c>
    </row>
    <row r="30" spans="1:20">
      <c r="A30" t="s">
        <v>122</v>
      </c>
      <c r="B30" s="2">
        <f>IFERROR(INT(INDEX(tblBatidas[Data e hora],MATCH("B"&amp;MID($A30,2,99),tblBatidas[Batida ID],0))),"")</f>
        <v>46260</v>
      </c>
      <c r="C30" t="str">
        <f t="shared" si="0"/>
        <v>QUARTA-FEIRA</v>
      </c>
      <c r="D30" t="str">
        <f t="shared" si="1"/>
        <v>DIA ÚTIL</v>
      </c>
      <c r="E30">
        <f>IFERROR(INDEX(tblBatidas[ID],MATCH("B"&amp;MID($A30,2,99),tblBatidas[Batida ID],0)),"")</f>
        <v>1001</v>
      </c>
      <c r="F30" t="str">
        <f>IFERROR(INDEX(tblPessoas[Pessoa],MATCH(E30,tblPessoas[ID],0)),"")</f>
        <v>Adriana Pereira dos Santos</v>
      </c>
      <c r="G30" t="str">
        <f>IFERROR(INDEX(tblBatidas[Projeto],MATCH("B"&amp;MID($A30,2,99),tblBatidas[Batida ID],0)),"")</f>
        <v>TOOLKIT</v>
      </c>
      <c r="H30" t="str">
        <f>IFERROR(INDEX(tblBatidas[Atividade],MATCH("B"&amp;MID($A30,2,99),tblBatidas[Batida ID],0)),"")</f>
        <v>SUPERVISÃO</v>
      </c>
      <c r="I30" s="4">
        <f>IFERROR(MOD(INDEX(tblBatidas[Data e hora],MATCH("B"&amp;MID($A30,2,99),tblBatidas[Batida ID],0)),1),"")</f>
        <v>0.62648148147854954</v>
      </c>
      <c r="J30" s="4">
        <f>IFERROR(MOD(INDEX(tblBatidas[Data e hora],MATCH("B"&amp;MID($A30,2,99),tblBatidas[Início vinculado],0)),1),"")</f>
        <v>0.78876157407648861</v>
      </c>
      <c r="K30" s="14">
        <f>IFERROR((INDEX(tblBatidas[Data e hora],MATCH("B"&amp;MID($A30,2,99),tblBatidas[Início vinculado],0))-INDEX(tblBatidas[Data e hora],MATCH("B"&amp;MID($A30,2,99),tblBatidas[Batida ID],0)))*24,"")</f>
        <v>3.8947222223505378</v>
      </c>
      <c r="L30" t="str">
        <f>IFERROR(INDEX(tblBatidas[Observação],MATCH("B"&amp;MID($A30,2,99),tblBatidas[Início vinculado],0)),"")</f>
        <v>SICOOB SUPERVISÃO TAMBÉM</v>
      </c>
      <c r="M30" t="str">
        <f>IFERROR(INDEX(tblPessoas[Base],MATCH(E30,tblPessoas[ID],0)),"")</f>
        <v>Hora</v>
      </c>
      <c r="N30" s="3">
        <f>IFERROR(IF(D30="DIA ÚTIL",INDEX(tblPessoas[R$/h útil],MATCH(E30,tblPessoas[ID],0)),INDEX(tblPessoas[R$/h FDS],MATCH(E30,tblPessoas[ID],0))),0)</f>
        <v>17</v>
      </c>
      <c r="O30" s="3">
        <f>IFERROR(INDEX(tblPessoas[R$/diária],MATCH(E30,tblPessoas[ID],0)),0)</f>
        <v>0</v>
      </c>
      <c r="P30" s="3">
        <f t="shared" si="2"/>
        <v>66.210277779959142</v>
      </c>
      <c r="Q30" t="str">
        <f>IF(A30="","",IF(COUNTIF(tblBatidas[Início vinculado],"B"&amp;MID($A30,2,99))=0,"EM ABERTO",IF(OR(COUNTIF(tblBatidas[Início vinculado],"B"&amp;MID($A30,2,99))&gt;1,K30&lt;0,K30&gt;16,INT(INDEX(tblBatidas[Data e hora],MATCH("B"&amp;MID($A30,2,99),tblBatidas[Início vinculado],0)))&lt;&gt;B30,INDEX(tblBatidas[ID],MATCH("B"&amp;MID($A30,2,99),tblBatidas[Início vinculado],0))&lt;&gt;E30,INDEX(tblBatidas[Projeto],MATCH("B"&amp;MID($A30,2,99),tblBatidas[Início vinculado],0))&lt;&gt;G30,INDEX(tblBatidas[Atividade],MATCH("B"&amp;MID($A30,2,99),tblBatidas[Início vinculado],0))&lt;&gt;H30),"REVISAR","CONCLUÍDO")))</f>
        <v>CONCLUÍDO</v>
      </c>
      <c r="R30">
        <f>IF(Q30&lt;&gt;"CONCLUÍDO",0,IF(COUNTIFS($E$5:E30,E30,$B$5:B30,B30,$Q$5:Q30,"CONCLUÍDO")=1,1,0))</f>
        <v>0</v>
      </c>
      <c r="S30" t="str">
        <f t="shared" si="3"/>
        <v>yyyy-08</v>
      </c>
      <c r="T30">
        <f>IF(E30="","",E30*100000+COUNTIFS(tblRegistros[ID],E30,tblRegistros[Data],"&lt;"&amp;B30)+COUNTIFS(tblRegistros[ID],E30,tblRegistros[Data],B30,tblRegistros[Início],"&lt;"&amp;I30)+COUNTIFS($E$5:E30,E30,$B$5:B30,B30,$I$5:I30,I30))</f>
        <v>100100004</v>
      </c>
    </row>
    <row r="31" spans="1:20">
      <c r="A31" t="s">
        <v>123</v>
      </c>
      <c r="B31" s="2">
        <f>IFERROR(INT(INDEX(tblBatidas[Data e hora],MATCH("B"&amp;MID($A31,2,99),tblBatidas[Batida ID],0))),"")</f>
        <v>46260</v>
      </c>
      <c r="C31" t="str">
        <f t="shared" si="0"/>
        <v>QUARTA-FEIRA</v>
      </c>
      <c r="D31" t="str">
        <f t="shared" si="1"/>
        <v>DIA ÚTIL</v>
      </c>
      <c r="E31">
        <f>IFERROR(INDEX(tblBatidas[ID],MATCH("B"&amp;MID($A31,2,99),tblBatidas[Batida ID],0)),"")</f>
        <v>1006</v>
      </c>
      <c r="F31" t="str">
        <f>IFERROR(INDEX(tblPessoas[Pessoa],MATCH(E31,tblPessoas[ID],0)),"")</f>
        <v>Eliane dos Santos Oliveira</v>
      </c>
      <c r="G31" t="str">
        <f>IFERROR(INDEX(tblBatidas[Projeto],MATCH("B"&amp;MID($A31,2,99),tblBatidas[Batida ID],0)),"")</f>
        <v>TOOLKIT</v>
      </c>
      <c r="H31" t="str">
        <f>IFERROR(INDEX(tblBatidas[Atividade],MATCH("B"&amp;MID($A31,2,99),tblBatidas[Batida ID],0)),"")</f>
        <v>CHECAGEM</v>
      </c>
      <c r="I31" s="4">
        <f>IFERROR(MOD(INDEX(tblBatidas[Data e hora],MATCH("B"&amp;MID($A31,2,99),tblBatidas[Batida ID],0)),1),"")</f>
        <v>0.63560185184906004</v>
      </c>
      <c r="J31" s="4">
        <f>IFERROR(MOD(INDEX(tblBatidas[Data e hora],MATCH("B"&amp;MID($A31,2,99),tblBatidas[Início vinculado],0)),1),"")</f>
        <v>0.97969907407241408</v>
      </c>
      <c r="K31" s="14">
        <f>IFERROR((INDEX(tblBatidas[Data e hora],MATCH("B"&amp;MID($A31,2,99),tblBatidas[Início vinculado],0))-INDEX(tblBatidas[Data e hora],MATCH("B"&amp;MID($A31,2,99),tblBatidas[Batida ID],0)))*24,"")</f>
        <v>8.2583333333604969</v>
      </c>
      <c r="L31" t="str">
        <f>IFERROR(INDEX(tblBatidas[Observação],MATCH("B"&amp;MID($A31,2,99),tblBatidas[Início vinculado],0)),"")</f>
        <v>checagem toolkit</v>
      </c>
      <c r="M31" t="str">
        <f>IFERROR(INDEX(tblPessoas[Base],MATCH(E31,tblPessoas[ID],0)),"")</f>
        <v>Hora</v>
      </c>
      <c r="N31" s="3">
        <f>IFERROR(IF(D31="DIA ÚTIL",INDEX(tblPessoas[R$/h útil],MATCH(E31,tblPessoas[ID],0)),INDEX(tblPessoas[R$/h FDS],MATCH(E31,tblPessoas[ID],0))),0)</f>
        <v>14</v>
      </c>
      <c r="O31" s="3">
        <f>IFERROR(INDEX(tblPessoas[R$/diária],MATCH(E31,tblPessoas[ID],0)),0)</f>
        <v>0</v>
      </c>
      <c r="P31" s="3">
        <f t="shared" si="2"/>
        <v>115.61666666704696</v>
      </c>
      <c r="Q31" t="str">
        <f>IF(A31="","",IF(COUNTIF(tblBatidas[Início vinculado],"B"&amp;MID($A31,2,99))=0,"EM ABERTO",IF(OR(COUNTIF(tblBatidas[Início vinculado],"B"&amp;MID($A31,2,99))&gt;1,K31&lt;0,K31&gt;16,INT(INDEX(tblBatidas[Data e hora],MATCH("B"&amp;MID($A31,2,99),tblBatidas[Início vinculado],0)))&lt;&gt;B31,INDEX(tblBatidas[ID],MATCH("B"&amp;MID($A31,2,99),tblBatidas[Início vinculado],0))&lt;&gt;E31,INDEX(tblBatidas[Projeto],MATCH("B"&amp;MID($A31,2,99),tblBatidas[Início vinculado],0))&lt;&gt;G31,INDEX(tblBatidas[Atividade],MATCH("B"&amp;MID($A31,2,99),tblBatidas[Início vinculado],0))&lt;&gt;H31),"REVISAR","CONCLUÍDO")))</f>
        <v>CONCLUÍDO</v>
      </c>
      <c r="R31">
        <f>IF(Q31&lt;&gt;"CONCLUÍDO",0,IF(COUNTIFS($E$5:E31,E31,$B$5:B31,B31,$Q$5:Q31,"CONCLUÍDO")=1,1,0))</f>
        <v>1</v>
      </c>
      <c r="S31" t="str">
        <f t="shared" si="3"/>
        <v>yyyy-08</v>
      </c>
      <c r="T31">
        <f>IF(E31="","",E31*100000+COUNTIFS(tblRegistros[ID],E31,tblRegistros[Data],"&lt;"&amp;B31)+COUNTIFS(tblRegistros[ID],E31,tblRegistros[Data],B31,tblRegistros[Início],"&lt;"&amp;I31)+COUNTIFS($E$5:E31,E31,$B$5:B31,B31,$I$5:I31,I31))</f>
        <v>100600001</v>
      </c>
    </row>
    <row r="32" spans="1:20">
      <c r="A32" t="s">
        <v>124</v>
      </c>
      <c r="B32" s="2">
        <f>IFERROR(INT(INDEX(tblBatidas[Data e hora],MATCH("B"&amp;MID($A32,2,99),tblBatidas[Batida ID],0))),"")</f>
        <v>46260</v>
      </c>
      <c r="C32" t="str">
        <f t="shared" si="0"/>
        <v>QUARTA-FEIRA</v>
      </c>
      <c r="D32" t="str">
        <f t="shared" si="1"/>
        <v>DIA ÚTIL</v>
      </c>
      <c r="E32">
        <f>IFERROR(INDEX(tblBatidas[ID],MATCH("B"&amp;MID($A32,2,99),tblBatidas[Batida ID],0)),"")</f>
        <v>1006</v>
      </c>
      <c r="F32" t="str">
        <f>IFERROR(INDEX(tblPessoas[Pessoa],MATCH(E32,tblPessoas[ID],0)),"")</f>
        <v>Eliane dos Santos Oliveira</v>
      </c>
      <c r="G32" t="str">
        <f>IFERROR(INDEX(tblBatidas[Projeto],MATCH("B"&amp;MID($A32,2,99),tblBatidas[Batida ID],0)),"")</f>
        <v>TOOLKIT</v>
      </c>
      <c r="H32" t="str">
        <f>IFERROR(INDEX(tblBatidas[Atividade],MATCH("B"&amp;MID($A32,2,99),tblBatidas[Batida ID],0)),"")</f>
        <v>CHECAGEM</v>
      </c>
      <c r="I32" s="4">
        <f>IFERROR(MOD(INDEX(tblBatidas[Data e hora],MATCH("B"&amp;MID($A32,2,99),tblBatidas[Batida ID],0)),1),"")</f>
        <v>0.98089120370423188</v>
      </c>
      <c r="J32" s="4" t="str">
        <f>IFERROR(MOD(INDEX(tblBatidas[Data e hora],MATCH("B"&amp;MID($A32,2,99),tblBatidas[Início vinculado],0)),1),"")</f>
        <v/>
      </c>
      <c r="K32" s="14" t="str">
        <f>IFERROR((INDEX(tblBatidas[Data e hora],MATCH("B"&amp;MID($A32,2,99),tblBatidas[Início vinculado],0))-INDEX(tblBatidas[Data e hora],MATCH("B"&amp;MID($A32,2,99),tblBatidas[Batida ID],0)))*24,"")</f>
        <v/>
      </c>
      <c r="L32" t="str">
        <f>IFERROR(INDEX(tblBatidas[Observação],MATCH("B"&amp;MID($A32,2,99),tblBatidas[Início vinculado],0)),"")</f>
        <v/>
      </c>
      <c r="M32" t="str">
        <f>IFERROR(INDEX(tblPessoas[Base],MATCH(E32,tblPessoas[ID],0)),"")</f>
        <v>Hora</v>
      </c>
      <c r="N32" s="3">
        <f>IFERROR(IF(D32="DIA ÚTIL",INDEX(tblPessoas[R$/h útil],MATCH(E32,tblPessoas[ID],0)),INDEX(tblPessoas[R$/h FDS],MATCH(E32,tblPessoas[ID],0))),0)</f>
        <v>14</v>
      </c>
      <c r="O32" s="3">
        <f>IFERROR(INDEX(tblPessoas[R$/diária],MATCH(E32,tblPessoas[ID],0)),0)</f>
        <v>0</v>
      </c>
      <c r="P32" s="3" t="str">
        <f t="shared" si="2"/>
        <v/>
      </c>
      <c r="Q32" t="str">
        <f>IF(A32="","",IF(COUNTIF(tblBatidas[Início vinculado],"B"&amp;MID($A32,2,99))=0,"EM ABERTO",IF(OR(COUNTIF(tblBatidas[Início vinculado],"B"&amp;MID($A32,2,99))&gt;1,K32&lt;0,K32&gt;16,INT(INDEX(tblBatidas[Data e hora],MATCH("B"&amp;MID($A32,2,99),tblBatidas[Início vinculado],0)))&lt;&gt;B32,INDEX(tblBatidas[ID],MATCH("B"&amp;MID($A32,2,99),tblBatidas[Início vinculado],0))&lt;&gt;E32,INDEX(tblBatidas[Projeto],MATCH("B"&amp;MID($A32,2,99),tblBatidas[Início vinculado],0))&lt;&gt;G32,INDEX(tblBatidas[Atividade],MATCH("B"&amp;MID($A32,2,99),tblBatidas[Início vinculado],0))&lt;&gt;H32),"REVISAR","CONCLUÍDO")))</f>
        <v>EM ABERTO</v>
      </c>
      <c r="R32">
        <f>IF(Q32&lt;&gt;"CONCLUÍDO",0,IF(COUNTIFS($E$5:E32,E32,$B$5:B32,B32,$Q$5:Q32,"CONCLUÍDO")=1,1,0))</f>
        <v>0</v>
      </c>
      <c r="S32" t="str">
        <f t="shared" si="3"/>
        <v>yyyy-08</v>
      </c>
      <c r="T32">
        <f>IF(E32="","",E32*100000+COUNTIFS(tblRegistros[ID],E32,tblRegistros[Data],"&lt;"&amp;B32)+COUNTIFS(tblRegistros[ID],E32,tblRegistros[Data],B32,tblRegistros[Início],"&lt;"&amp;I32)+COUNTIFS($E$5:E32,E32,$B$5:B32,B32,$I$5:I32,I32))</f>
        <v>100600002</v>
      </c>
    </row>
    <row r="33" spans="1:20">
      <c r="A33" t="s">
        <v>125</v>
      </c>
      <c r="B33" s="2">
        <f>IFERROR(INT(INDEX(tblBatidas[Data e hora],MATCH("B"&amp;MID($A33,2,99),tblBatidas[Batida ID],0))),"")</f>
        <v>46261</v>
      </c>
      <c r="C33" t="str">
        <f t="shared" si="0"/>
        <v>QUINTA-FEIRA</v>
      </c>
      <c r="D33" t="str">
        <f t="shared" si="1"/>
        <v>DIA ÚTIL</v>
      </c>
      <c r="E33">
        <f>IFERROR(INDEX(tblBatidas[ID],MATCH("B"&amp;MID($A33,2,99),tblBatidas[Batida ID],0)),"")</f>
        <v>1013</v>
      </c>
      <c r="F33" t="str">
        <f>IFERROR(INDEX(tblPessoas[Pessoa],MATCH(E33,tblPessoas[ID],0)),"")</f>
        <v>Rafaela Maria Resende Lara</v>
      </c>
      <c r="G33" t="str">
        <f>IFERROR(INDEX(tblBatidas[Projeto],MATCH("B"&amp;MID($A33,2,99),tblBatidas[Batida ID],0)),"")</f>
        <v>OTEMPO</v>
      </c>
      <c r="H33" t="str">
        <f>IFERROR(INDEX(tblBatidas[Atividade],MATCH("B"&amp;MID($A33,2,99),tblBatidas[Batida ID],0)),"")</f>
        <v>ANÁLISE</v>
      </c>
      <c r="I33" s="4">
        <f>IFERROR(MOD(INDEX(tblBatidas[Data e hora],MATCH("B"&amp;MID($A33,2,99),tblBatidas[Batida ID],0)),1),"")</f>
        <v>0.33377314815152204</v>
      </c>
      <c r="J33" s="4">
        <f>IFERROR(MOD(INDEX(tblBatidas[Data e hora],MATCH("B"&amp;MID($A33,2,99),tblBatidas[Início vinculado],0)),1),"")</f>
        <v>0.75350694444205146</v>
      </c>
      <c r="K33" s="14">
        <f>IFERROR((INDEX(tblBatidas[Data e hora],MATCH("B"&amp;MID($A33,2,99),tblBatidas[Início vinculado],0))-INDEX(tblBatidas[Data e hora],MATCH("B"&amp;MID($A33,2,99),tblBatidas[Batida ID],0)))*24,"")</f>
        <v>10.073611110972706</v>
      </c>
      <c r="L33" t="str">
        <f>IFERROR(INDEX(tblBatidas[Observação],MATCH("B"&amp;MID($A33,2,99),tblBatidas[Início vinculado],0)),"")</f>
        <v>Plano de processamento, manual de checagem crítica e codificação e teste de questionário</v>
      </c>
      <c r="M33" t="str">
        <f>IFERROR(INDEX(tblPessoas[Base],MATCH(E33,tblPessoas[ID],0)),"")</f>
        <v>Hora</v>
      </c>
      <c r="N33" s="3">
        <f>IFERROR(IF(D33="DIA ÚTIL",INDEX(tblPessoas[R$/h útil],MATCH(E33,tblPessoas[ID],0)),INDEX(tblPessoas[R$/h FDS],MATCH(E33,tblPessoas[ID],0))),0)</f>
        <v>23.5</v>
      </c>
      <c r="O33" s="3">
        <f>IFERROR(INDEX(tblPessoas[R$/diária],MATCH(E33,tblPessoas[ID],0)),0)</f>
        <v>0</v>
      </c>
      <c r="P33" s="3">
        <f t="shared" si="2"/>
        <v>236.7298611078586</v>
      </c>
      <c r="Q33" t="str">
        <f>IF(A33="","",IF(COUNTIF(tblBatidas[Início vinculado],"B"&amp;MID($A33,2,99))=0,"EM ABERTO",IF(OR(COUNTIF(tblBatidas[Início vinculado],"B"&amp;MID($A33,2,99))&gt;1,K33&lt;0,K33&gt;16,INT(INDEX(tblBatidas[Data e hora],MATCH("B"&amp;MID($A33,2,99),tblBatidas[Início vinculado],0)))&lt;&gt;B33,INDEX(tblBatidas[ID],MATCH("B"&amp;MID($A33,2,99),tblBatidas[Início vinculado],0))&lt;&gt;E33,INDEX(tblBatidas[Projeto],MATCH("B"&amp;MID($A33,2,99),tblBatidas[Início vinculado],0))&lt;&gt;G33,INDEX(tblBatidas[Atividade],MATCH("B"&amp;MID($A33,2,99),tblBatidas[Início vinculado],0))&lt;&gt;H33),"REVISAR","CONCLUÍDO")))</f>
        <v>CONCLUÍDO</v>
      </c>
      <c r="R33">
        <f>IF(Q33&lt;&gt;"CONCLUÍDO",0,IF(COUNTIFS($E$5:E33,E33,$B$5:B33,B33,$Q$5:Q33,"CONCLUÍDO")=1,1,0))</f>
        <v>1</v>
      </c>
      <c r="S33" t="str">
        <f t="shared" si="3"/>
        <v>yyyy-08</v>
      </c>
      <c r="T33">
        <f>IF(E33="","",E33*100000+COUNTIFS(tblRegistros[ID],E33,tblRegistros[Data],"&lt;"&amp;B33)+COUNTIFS(tblRegistros[ID],E33,tblRegistros[Data],B33,tblRegistros[Início],"&lt;"&amp;I33)+COUNTIFS($E$5:E33,E33,$B$5:B33,B33,$I$5:I33,I33))</f>
        <v>101300003</v>
      </c>
    </row>
    <row r="34" spans="1:20">
      <c r="A34" t="s">
        <v>126</v>
      </c>
      <c r="B34" s="2">
        <f>IFERROR(INT(INDEX(tblBatidas[Data e hora],MATCH("B"&amp;MID($A34,2,99),tblBatidas[Batida ID],0))),"")</f>
        <v>46261</v>
      </c>
      <c r="C34" t="str">
        <f t="shared" si="0"/>
        <v>QUINTA-FEIRA</v>
      </c>
      <c r="D34" t="str">
        <f t="shared" si="1"/>
        <v>DIA ÚTIL</v>
      </c>
      <c r="E34">
        <f>IFERROR(INDEX(tblBatidas[ID],MATCH("B"&amp;MID($A34,2,99),tblBatidas[Batida ID],0)),"")</f>
        <v>1003</v>
      </c>
      <c r="F34" t="str">
        <f>IFERROR(INDEX(tblPessoas[Pessoa],MATCH(E34,tblPessoas[ID],0)),"")</f>
        <v>Amanda do Carmo Ribeiro</v>
      </c>
      <c r="G34" t="str">
        <f>IFERROR(INDEX(tblBatidas[Projeto],MATCH("B"&amp;MID($A34,2,99),tblBatidas[Batida ID],0)),"")</f>
        <v>OTEMPO</v>
      </c>
      <c r="H34" t="str">
        <f>IFERROR(INDEX(tblBatidas[Atividade],MATCH("B"&amp;MID($A34,2,99),tblBatidas[Batida ID],0)),"")</f>
        <v>ANÁLISE</v>
      </c>
      <c r="I34" s="4">
        <f>IFERROR(MOD(INDEX(tblBatidas[Data e hora],MATCH("B"&amp;MID($A34,2,99),tblBatidas[Batida ID],0)),1),"")</f>
        <v>0.33687500000087311</v>
      </c>
      <c r="J34" s="4" t="str">
        <f>IFERROR(MOD(INDEX(tblBatidas[Data e hora],MATCH("B"&amp;MID($A34,2,99),tblBatidas[Início vinculado],0)),1),"")</f>
        <v/>
      </c>
      <c r="K34" s="14" t="str">
        <f>IFERROR((INDEX(tblBatidas[Data e hora],MATCH("B"&amp;MID($A34,2,99),tblBatidas[Início vinculado],0))-INDEX(tblBatidas[Data e hora],MATCH("B"&amp;MID($A34,2,99),tblBatidas[Batida ID],0)))*24,"")</f>
        <v/>
      </c>
      <c r="L34" t="str">
        <f>IFERROR(INDEX(tblBatidas[Observação],MATCH("B"&amp;MID($A34,2,99),tblBatidas[Início vinculado],0)),"")</f>
        <v/>
      </c>
      <c r="M34" t="str">
        <f>IFERROR(INDEX(tblPessoas[Base],MATCH(E34,tblPessoas[ID],0)),"")</f>
        <v>Hora</v>
      </c>
      <c r="N34" s="3">
        <f>IFERROR(IF(D34="DIA ÚTIL",INDEX(tblPessoas[R$/h útil],MATCH(E34,tblPessoas[ID],0)),INDEX(tblPessoas[R$/h FDS],MATCH(E34,tblPessoas[ID],0))),0)</f>
        <v>23.5</v>
      </c>
      <c r="O34" s="3">
        <f>IFERROR(INDEX(tblPessoas[R$/diária],MATCH(E34,tblPessoas[ID],0)),0)</f>
        <v>0</v>
      </c>
      <c r="P34" s="3" t="str">
        <f t="shared" si="2"/>
        <v/>
      </c>
      <c r="Q34" t="str">
        <f>IF(A34="","",IF(COUNTIF(tblBatidas[Início vinculado],"B"&amp;MID($A34,2,99))=0,"EM ABERTO",IF(OR(COUNTIF(tblBatidas[Início vinculado],"B"&amp;MID($A34,2,99))&gt;1,K34&lt;0,K34&gt;16,INT(INDEX(tblBatidas[Data e hora],MATCH("B"&amp;MID($A34,2,99),tblBatidas[Início vinculado],0)))&lt;&gt;B34,INDEX(tblBatidas[ID],MATCH("B"&amp;MID($A34,2,99),tblBatidas[Início vinculado],0))&lt;&gt;E34,INDEX(tblBatidas[Projeto],MATCH("B"&amp;MID($A34,2,99),tblBatidas[Início vinculado],0))&lt;&gt;G34,INDEX(tblBatidas[Atividade],MATCH("B"&amp;MID($A34,2,99),tblBatidas[Início vinculado],0))&lt;&gt;H34),"REVISAR","CONCLUÍDO")))</f>
        <v>EM ABERTO</v>
      </c>
      <c r="R34">
        <f>IF(Q34&lt;&gt;"CONCLUÍDO",0,IF(COUNTIFS($E$5:E34,E34,$B$5:B34,B34,$Q$5:Q34,"CONCLUÍDO")=1,1,0))</f>
        <v>0</v>
      </c>
      <c r="S34" t="str">
        <f t="shared" si="3"/>
        <v>yyyy-08</v>
      </c>
      <c r="T34">
        <f>IF(E34="","",E34*100000+COUNTIFS(tblRegistros[ID],E34,tblRegistros[Data],"&lt;"&amp;B34)+COUNTIFS(tblRegistros[ID],E34,tblRegistros[Data],B34,tblRegistros[Início],"&lt;"&amp;I34)+COUNTIFS($E$5:E34,E34,$B$5:B34,B34,$I$5:I34,I34))</f>
        <v>100300003</v>
      </c>
    </row>
    <row r="35" spans="1:20">
      <c r="A35" t="s">
        <v>127</v>
      </c>
      <c r="B35" s="2">
        <f>IFERROR(INT(INDEX(tblBatidas[Data e hora],MATCH("B"&amp;MID($A35,2,99),tblBatidas[Batida ID],0))),"")</f>
        <v>46261</v>
      </c>
      <c r="C35" t="str">
        <f t="shared" si="0"/>
        <v>QUINTA-FEIRA</v>
      </c>
      <c r="D35" t="str">
        <f t="shared" si="1"/>
        <v>DIA ÚTIL</v>
      </c>
      <c r="E35">
        <f>IFERROR(INDEX(tblBatidas[ID],MATCH("B"&amp;MID($A35,2,99),tblBatidas[Batida ID],0)),"")</f>
        <v>1002</v>
      </c>
      <c r="F35" t="str">
        <f>IFERROR(INDEX(tblPessoas[Pessoa],MATCH(E35,tblPessoas[ID],0)),"")</f>
        <v>Alex de Almeida Mariano</v>
      </c>
      <c r="G35" t="str">
        <f>IFERROR(INDEX(tblBatidas[Projeto],MATCH("B"&amp;MID($A35,2,99),tblBatidas[Batida ID],0)),"")</f>
        <v>CFI / ACCION</v>
      </c>
      <c r="H35" t="str">
        <f>IFERROR(INDEX(tblBatidas[Atividade],MATCH("B"&amp;MID($A35,2,99),tblBatidas[Batida ID],0)),"")</f>
        <v>ANÁLISE</v>
      </c>
      <c r="I35" s="4">
        <f>IFERROR(MOD(INDEX(tblBatidas[Data e hora],MATCH("B"&amp;MID($A35,2,99),tblBatidas[Batida ID],0)),1),"")</f>
        <v>0.34008101851941319</v>
      </c>
      <c r="J35" s="4">
        <f>IFERROR(MOD(INDEX(tblBatidas[Data e hora],MATCH("B"&amp;MID($A35,2,99),tblBatidas[Início vinculado],0)),1),"")</f>
        <v>0.752615740741021</v>
      </c>
      <c r="K35" s="14">
        <f>IFERROR((INDEX(tblBatidas[Data e hora],MATCH("B"&amp;MID($A35,2,99),tblBatidas[Início vinculado],0))-INDEX(tblBatidas[Data e hora],MATCH("B"&amp;MID($A35,2,99),tblBatidas[Batida ID],0)))*24,"")</f>
        <v>9.9008333333185874</v>
      </c>
      <c r="L35">
        <f>IFERROR(INDEX(tblBatidas[Observação],MATCH("B"&amp;MID($A35,2,99),tblBatidas[Início vinculado],0)),"")</f>
        <v>0</v>
      </c>
      <c r="M35" t="str">
        <f>IFERROR(INDEX(tblPessoas[Base],MATCH(E35,tblPessoas[ID],0)),"")</f>
        <v>Hora</v>
      </c>
      <c r="N35" s="3">
        <f>IFERROR(IF(D35="DIA ÚTIL",INDEX(tblPessoas[R$/h útil],MATCH(E35,tblPessoas[ID],0)),INDEX(tblPessoas[R$/h FDS],MATCH(E35,tblPessoas[ID],0))),0)</f>
        <v>23.5</v>
      </c>
      <c r="O35" s="3">
        <f>IFERROR(INDEX(tblPessoas[R$/diária],MATCH(E35,tblPessoas[ID],0)),0)</f>
        <v>0</v>
      </c>
      <c r="P35" s="3">
        <f t="shared" si="2"/>
        <v>232.6695833329868</v>
      </c>
      <c r="Q35" t="str">
        <f>IF(A35="","",IF(COUNTIF(tblBatidas[Início vinculado],"B"&amp;MID($A35,2,99))=0,"EM ABERTO",IF(OR(COUNTIF(tblBatidas[Início vinculado],"B"&amp;MID($A35,2,99))&gt;1,K35&lt;0,K35&gt;16,INT(INDEX(tblBatidas[Data e hora],MATCH("B"&amp;MID($A35,2,99),tblBatidas[Início vinculado],0)))&lt;&gt;B35,INDEX(tblBatidas[ID],MATCH("B"&amp;MID($A35,2,99),tblBatidas[Início vinculado],0))&lt;&gt;E35,INDEX(tblBatidas[Projeto],MATCH("B"&amp;MID($A35,2,99),tblBatidas[Início vinculado],0))&lt;&gt;G35,INDEX(tblBatidas[Atividade],MATCH("B"&amp;MID($A35,2,99),tblBatidas[Início vinculado],0))&lt;&gt;H35),"REVISAR","CONCLUÍDO")))</f>
        <v>CONCLUÍDO</v>
      </c>
      <c r="R35">
        <f>IF(Q35&lt;&gt;"CONCLUÍDO",0,IF(COUNTIFS($E$5:E35,E35,$B$5:B35,B35,$Q$5:Q35,"CONCLUÍDO")=1,1,0))</f>
        <v>1</v>
      </c>
      <c r="S35" t="str">
        <f t="shared" si="3"/>
        <v>yyyy-08</v>
      </c>
      <c r="T35">
        <f>IF(E35="","",E35*100000+COUNTIFS(tblRegistros[ID],E35,tblRegistros[Data],"&lt;"&amp;B35)+COUNTIFS(tblRegistros[ID],E35,tblRegistros[Data],B35,tblRegistros[Início],"&lt;"&amp;I35)+COUNTIFS($E$5:E35,E35,$B$5:B35,B35,$I$5:I35,I35))</f>
        <v>100200002</v>
      </c>
    </row>
    <row r="36" spans="1:20">
      <c r="A36" t="s">
        <v>128</v>
      </c>
      <c r="B36" s="2">
        <f>IFERROR(INT(INDEX(tblBatidas[Data e hora],MATCH("B"&amp;MID($A36,2,99),tblBatidas[Batida ID],0))),"")</f>
        <v>46261</v>
      </c>
      <c r="C36" t="str">
        <f t="shared" si="0"/>
        <v>QUINTA-FEIRA</v>
      </c>
      <c r="D36" t="str">
        <f t="shared" si="1"/>
        <v>DIA ÚTIL</v>
      </c>
      <c r="E36">
        <f>IFERROR(INDEX(tblBatidas[ID],MATCH("B"&amp;MID($A36,2,99),tblBatidas[Batida ID],0)),"")</f>
        <v>1001</v>
      </c>
      <c r="F36" t="str">
        <f>IFERROR(INDEX(tblPessoas[Pessoa],MATCH(E36,tblPessoas[ID],0)),"")</f>
        <v>Adriana Pereira dos Santos</v>
      </c>
      <c r="G36" t="str">
        <f>IFERROR(INDEX(tblBatidas[Projeto],MATCH("B"&amp;MID($A36,2,99),tblBatidas[Batida ID],0)),"")</f>
        <v>TOOLKIT</v>
      </c>
      <c r="H36" t="str">
        <f>IFERROR(INDEX(tblBatidas[Atividade],MATCH("B"&amp;MID($A36,2,99),tblBatidas[Batida ID],0)),"")</f>
        <v>SUPERVISÃO</v>
      </c>
      <c r="I36" s="4">
        <f>IFERROR(MOD(INDEX(tblBatidas[Data e hora],MATCH("B"&amp;MID($A36,2,99),tblBatidas[Batida ID],0)),1),"")</f>
        <v>0.35603009258920792</v>
      </c>
      <c r="J36" s="4">
        <f>IFERROR(MOD(INDEX(tblBatidas[Data e hora],MATCH("B"&amp;MID($A36,2,99),tblBatidas[Início vinculado],0)),1),"")</f>
        <v>0.66781250000349246</v>
      </c>
      <c r="K36" s="14">
        <f>IFERROR((INDEX(tblBatidas[Data e hora],MATCH("B"&amp;MID($A36,2,99),tblBatidas[Início vinculado],0))-INDEX(tblBatidas[Data e hora],MATCH("B"&amp;MID($A36,2,99),tblBatidas[Batida ID],0)))*24,"")</f>
        <v>7.4827777779428288</v>
      </c>
      <c r="L36" t="str">
        <f>IFERROR(INDEX(tblBatidas[Observação],MATCH("B"&amp;MID($A36,2,99),tblBatidas[Início vinculado],0)),"")</f>
        <v>supervisão sicoob credicom</v>
      </c>
      <c r="M36" t="str">
        <f>IFERROR(INDEX(tblPessoas[Base],MATCH(E36,tblPessoas[ID],0)),"")</f>
        <v>Hora</v>
      </c>
      <c r="N36" s="3">
        <f>IFERROR(IF(D36="DIA ÚTIL",INDEX(tblPessoas[R$/h útil],MATCH(E36,tblPessoas[ID],0)),INDEX(tblPessoas[R$/h FDS],MATCH(E36,tblPessoas[ID],0))),0)</f>
        <v>17</v>
      </c>
      <c r="O36" s="3">
        <f>IFERROR(INDEX(tblPessoas[R$/diária],MATCH(E36,tblPessoas[ID],0)),0)</f>
        <v>0</v>
      </c>
      <c r="P36" s="3">
        <f t="shared" si="2"/>
        <v>127.20722222502809</v>
      </c>
      <c r="Q36" t="str">
        <f>IF(A36="","",IF(COUNTIF(tblBatidas[Início vinculado],"B"&amp;MID($A36,2,99))=0,"EM ABERTO",IF(OR(COUNTIF(tblBatidas[Início vinculado],"B"&amp;MID($A36,2,99))&gt;1,K36&lt;0,K36&gt;16,INT(INDEX(tblBatidas[Data e hora],MATCH("B"&amp;MID($A36,2,99),tblBatidas[Início vinculado],0)))&lt;&gt;B36,INDEX(tblBatidas[ID],MATCH("B"&amp;MID($A36,2,99),tblBatidas[Início vinculado],0))&lt;&gt;E36,INDEX(tblBatidas[Projeto],MATCH("B"&amp;MID($A36,2,99),tblBatidas[Início vinculado],0))&lt;&gt;G36,INDEX(tblBatidas[Atividade],MATCH("B"&amp;MID($A36,2,99),tblBatidas[Início vinculado],0))&lt;&gt;H36),"REVISAR","CONCLUÍDO")))</f>
        <v>CONCLUÍDO</v>
      </c>
      <c r="R36">
        <f>IF(Q36&lt;&gt;"CONCLUÍDO",0,IF(COUNTIFS($E$5:E36,E36,$B$5:B36,B36,$Q$5:Q36,"CONCLUÍDO")=1,1,0))</f>
        <v>1</v>
      </c>
      <c r="S36" t="str">
        <f t="shared" si="3"/>
        <v>yyyy-08</v>
      </c>
      <c r="T36">
        <f>IF(E36="","",E36*100000+COUNTIFS(tblRegistros[ID],E36,tblRegistros[Data],"&lt;"&amp;B36)+COUNTIFS(tblRegistros[ID],E36,tblRegistros[Data],B36,tblRegistros[Início],"&lt;"&amp;I36)+COUNTIFS($E$5:E36,E36,$B$5:B36,B36,$I$5:I36,I36))</f>
        <v>100100005</v>
      </c>
    </row>
    <row r="37" spans="1:20">
      <c r="A37" t="s">
        <v>129</v>
      </c>
      <c r="B37" s="2">
        <f>IFERROR(INT(INDEX(tblBatidas[Data e hora],MATCH("B"&amp;MID($A37,2,99),tblBatidas[Batida ID],0))),"")</f>
        <v>46261</v>
      </c>
      <c r="C37" t="str">
        <f t="shared" si="0"/>
        <v>QUINTA-FEIRA</v>
      </c>
      <c r="D37" t="str">
        <f t="shared" si="1"/>
        <v>DIA ÚTIL</v>
      </c>
      <c r="E37">
        <f>IFERROR(INDEX(tblBatidas[ID],MATCH("B"&amp;MID($A37,2,99),tblBatidas[Batida ID],0)),"")</f>
        <v>1015</v>
      </c>
      <c r="F37" t="str">
        <f>IFERROR(INDEX(tblPessoas[Pessoa],MATCH(E37,tblPessoas[ID],0)),"")</f>
        <v>Vitor Guilherme Miguel Rocha</v>
      </c>
      <c r="G37" t="str">
        <f>IFERROR(INDEX(tblBatidas[Projeto],MATCH("B"&amp;MID($A37,2,99),tblBatidas[Batida ID],0)),"")</f>
        <v>ADMINISTRATIVO</v>
      </c>
      <c r="H37" t="str">
        <f>IFERROR(INDEX(tblBatidas[Atividade],MATCH("B"&amp;MID($A37,2,99),tblBatidas[Batida ID],0)),"")</f>
        <v>ADMINISTRATIVO</v>
      </c>
      <c r="I37" s="4">
        <f>IFERROR(MOD(INDEX(tblBatidas[Data e hora],MATCH("B"&amp;MID($A37,2,99),tblBatidas[Batida ID],0)),1),"")</f>
        <v>0.37003472222568234</v>
      </c>
      <c r="J37" s="4">
        <f>IFERROR(MOD(INDEX(tblBatidas[Data e hora],MATCH("B"&amp;MID($A37,2,99),tblBatidas[Início vinculado],0)),1),"")</f>
        <v>0.53855324073811062</v>
      </c>
      <c r="K37" s="14">
        <f>IFERROR((INDEX(tblBatidas[Data e hora],MATCH("B"&amp;MID($A37,2,99),tblBatidas[Início vinculado],0))-INDEX(tblBatidas[Data e hora],MATCH("B"&amp;MID($A37,2,99),tblBatidas[Batida ID],0)))*24,"")</f>
        <v>4.0444444442982785</v>
      </c>
      <c r="L37">
        <f>IFERROR(INDEX(tblBatidas[Observação],MATCH("B"&amp;MID($A37,2,99),tblBatidas[Início vinculado],0)),"")</f>
        <v>0</v>
      </c>
      <c r="M37" t="str">
        <f>IFERROR(INDEX(tblPessoas[Base],MATCH(E37,tblPessoas[ID],0)),"")</f>
        <v>Hora</v>
      </c>
      <c r="N37" s="3">
        <f>IFERROR(IF(D37="DIA ÚTIL",INDEX(tblPessoas[R$/h útil],MATCH(E37,tblPessoas[ID],0)),INDEX(tblPessoas[R$/h FDS],MATCH(E37,tblPessoas[ID],0))),0)</f>
        <v>21.5</v>
      </c>
      <c r="O37" s="3">
        <f>IFERROR(INDEX(tblPessoas[R$/diária],MATCH(E37,tblPessoas[ID],0)),0)</f>
        <v>0</v>
      </c>
      <c r="P37" s="3">
        <f t="shared" si="2"/>
        <v>86.955555552412989</v>
      </c>
      <c r="Q37" t="str">
        <f>IF(A37="","",IF(COUNTIF(tblBatidas[Início vinculado],"B"&amp;MID($A37,2,99))=0,"EM ABERTO",IF(OR(COUNTIF(tblBatidas[Início vinculado],"B"&amp;MID($A37,2,99))&gt;1,K37&lt;0,K37&gt;16,INT(INDEX(tblBatidas[Data e hora],MATCH("B"&amp;MID($A37,2,99),tblBatidas[Início vinculado],0)))&lt;&gt;B37,INDEX(tblBatidas[ID],MATCH("B"&amp;MID($A37,2,99),tblBatidas[Início vinculado],0))&lt;&gt;E37,INDEX(tblBatidas[Projeto],MATCH("B"&amp;MID($A37,2,99),tblBatidas[Início vinculado],0))&lt;&gt;G37,INDEX(tblBatidas[Atividade],MATCH("B"&amp;MID($A37,2,99),tblBatidas[Início vinculado],0))&lt;&gt;H37),"REVISAR","CONCLUÍDO")))</f>
        <v>CONCLUÍDO</v>
      </c>
      <c r="R37">
        <f>IF(Q37&lt;&gt;"CONCLUÍDO",0,IF(COUNTIFS($E$5:E37,E37,$B$5:B37,B37,$Q$5:Q37,"CONCLUÍDO")=1,1,0))</f>
        <v>1</v>
      </c>
      <c r="S37" t="str">
        <f t="shared" si="3"/>
        <v>yyyy-08</v>
      </c>
      <c r="T37">
        <f>IF(E37="","",E37*100000+COUNTIFS(tblRegistros[ID],E37,tblRegistros[Data],"&lt;"&amp;B37)+COUNTIFS(tblRegistros[ID],E37,tblRegistros[Data],B37,tblRegistros[Início],"&lt;"&amp;I37)+COUNTIFS($E$5:E37,E37,$B$5:B37,B37,$I$5:I37,I37))</f>
        <v>101500009</v>
      </c>
    </row>
    <row r="38" spans="1:20">
      <c r="A38" t="s">
        <v>130</v>
      </c>
      <c r="B38" s="2">
        <f>IFERROR(INT(INDEX(tblBatidas[Data e hora],MATCH("B"&amp;MID($A38,2,99),tblBatidas[Batida ID],0))),"")</f>
        <v>46261</v>
      </c>
      <c r="C38" t="str">
        <f t="shared" si="0"/>
        <v>QUINTA-FEIRA</v>
      </c>
      <c r="D38" t="str">
        <f t="shared" si="1"/>
        <v>DIA ÚTIL</v>
      </c>
      <c r="E38">
        <f>IFERROR(INDEX(tblBatidas[ID],MATCH("B"&amp;MID($A38,2,99),tblBatidas[Batida ID],0)),"")</f>
        <v>1011</v>
      </c>
      <c r="F38" t="str">
        <f>IFERROR(INDEX(tblPessoas[Pessoa],MATCH(E38,tblPessoas[ID],0)),"")</f>
        <v>Nathalia Arruda</v>
      </c>
      <c r="G38" t="str">
        <f>IFERROR(INDEX(tblBatidas[Projeto],MATCH("B"&amp;MID($A38,2,99),tblBatidas[Batida ID],0)),"")</f>
        <v>ESTADUAL - OTEMPO</v>
      </c>
      <c r="H38" t="str">
        <f>IFERROR(INDEX(tblBatidas[Atividade],MATCH("B"&amp;MID($A38,2,99),tblBatidas[Batida ID],0)),"")</f>
        <v>ANÁLISE</v>
      </c>
      <c r="I38" s="4">
        <f>IFERROR(MOD(INDEX(tblBatidas[Data e hora],MATCH("B"&amp;MID($A38,2,99),tblBatidas[Batida ID],0)),1),"")</f>
        <v>0.37068287037254777</v>
      </c>
      <c r="J38" s="4" t="str">
        <f>IFERROR(MOD(INDEX(tblBatidas[Data e hora],MATCH("B"&amp;MID($A38,2,99),tblBatidas[Início vinculado],0)),1),"")</f>
        <v/>
      </c>
      <c r="K38" s="14" t="str">
        <f>IFERROR((INDEX(tblBatidas[Data e hora],MATCH("B"&amp;MID($A38,2,99),tblBatidas[Início vinculado],0))-INDEX(tblBatidas[Data e hora],MATCH("B"&amp;MID($A38,2,99),tblBatidas[Batida ID],0)))*24,"")</f>
        <v/>
      </c>
      <c r="L38" t="str">
        <f>IFERROR(INDEX(tblBatidas[Observação],MATCH("B"&amp;MID($A38,2,99),tblBatidas[Início vinculado],0)),"")</f>
        <v/>
      </c>
      <c r="M38" t="str">
        <f>IFERROR(INDEX(tblPessoas[Base],MATCH(E38,tblPessoas[ID],0)),"")</f>
        <v>Hora</v>
      </c>
      <c r="N38" s="3">
        <f>IFERROR(IF(D38="DIA ÚTIL",INDEX(tblPessoas[R$/h útil],MATCH(E38,tblPessoas[ID],0)),INDEX(tblPessoas[R$/h FDS],MATCH(E38,tblPessoas[ID],0))),0)</f>
        <v>23.5</v>
      </c>
      <c r="O38" s="3">
        <f>IFERROR(INDEX(tblPessoas[R$/diária],MATCH(E38,tblPessoas[ID],0)),0)</f>
        <v>0</v>
      </c>
      <c r="P38" s="3" t="str">
        <f t="shared" si="2"/>
        <v/>
      </c>
      <c r="Q38" t="str">
        <f>IF(A38="","",IF(COUNTIF(tblBatidas[Início vinculado],"B"&amp;MID($A38,2,99))=0,"EM ABERTO",IF(OR(COUNTIF(tblBatidas[Início vinculado],"B"&amp;MID($A38,2,99))&gt;1,K38&lt;0,K38&gt;16,INT(INDEX(tblBatidas[Data e hora],MATCH("B"&amp;MID($A38,2,99),tblBatidas[Início vinculado],0)))&lt;&gt;B38,INDEX(tblBatidas[ID],MATCH("B"&amp;MID($A38,2,99),tblBatidas[Início vinculado],0))&lt;&gt;E38,INDEX(tblBatidas[Projeto],MATCH("B"&amp;MID($A38,2,99),tblBatidas[Início vinculado],0))&lt;&gt;G38,INDEX(tblBatidas[Atividade],MATCH("B"&amp;MID($A38,2,99),tblBatidas[Início vinculado],0))&lt;&gt;H38),"REVISAR","CONCLUÍDO")))</f>
        <v>EM ABERTO</v>
      </c>
      <c r="R38">
        <f>IF(Q38&lt;&gt;"CONCLUÍDO",0,IF(COUNTIFS($E$5:E38,E38,$B$5:B38,B38,$Q$5:Q38,"CONCLUÍDO")=1,1,0))</f>
        <v>0</v>
      </c>
      <c r="S38" t="str">
        <f t="shared" si="3"/>
        <v>yyyy-08</v>
      </c>
      <c r="T38">
        <f>IF(E38="","",E38*100000+COUNTIFS(tblRegistros[ID],E38,tblRegistros[Data],"&lt;"&amp;B38)+COUNTIFS(tblRegistros[ID],E38,tblRegistros[Data],B38,tblRegistros[Início],"&lt;"&amp;I38)+COUNTIFS($E$5:E38,E38,$B$5:B38,B38,$I$5:I38,I38))</f>
        <v>101100003</v>
      </c>
    </row>
    <row r="39" spans="1:20">
      <c r="A39" t="s">
        <v>131</v>
      </c>
      <c r="B39" s="2">
        <f>IFERROR(INT(INDEX(tblBatidas[Data e hora],MATCH("B"&amp;MID($A39,2,99),tblBatidas[Batida ID],0))),"")</f>
        <v>46261</v>
      </c>
      <c r="C39" t="str">
        <f t="shared" si="0"/>
        <v>QUINTA-FEIRA</v>
      </c>
      <c r="D39" t="str">
        <f t="shared" si="1"/>
        <v>DIA ÚTIL</v>
      </c>
      <c r="E39">
        <f>IFERROR(INDEX(tblBatidas[ID],MATCH("B"&amp;MID($A39,2,99),tblBatidas[Batida ID],0)),"")</f>
        <v>1004</v>
      </c>
      <c r="F39" t="str">
        <f>IFERROR(INDEX(tblPessoas[Pessoa],MATCH(E39,tblPessoas[ID],0)),"")</f>
        <v>Angela Bertoli</v>
      </c>
      <c r="G39" t="str">
        <f>IFERROR(INDEX(tblBatidas[Projeto],MATCH("B"&amp;MID($A39,2,99),tblBatidas[Batida ID],0)),"")</f>
        <v>SICOOB CREDICOM</v>
      </c>
      <c r="H39" t="str">
        <f>IFERROR(INDEX(tblBatidas[Atividade],MATCH("B"&amp;MID($A39,2,99),tblBatidas[Batida ID],0)),"")</f>
        <v>CODIFICAÇÃO</v>
      </c>
      <c r="I39" s="4">
        <f>IFERROR(MOD(INDEX(tblBatidas[Data e hora],MATCH("B"&amp;MID($A39,2,99),tblBatidas[Batida ID],0)),1),"")</f>
        <v>0.3828125</v>
      </c>
      <c r="J39" s="4">
        <f>IFERROR(MOD(INDEX(tblBatidas[Data e hora],MATCH("B"&amp;MID($A39,2,99),tblBatidas[Início vinculado],0)),1),"")</f>
        <v>0.54849537037080154</v>
      </c>
      <c r="K39" s="14">
        <f>IFERROR((INDEX(tblBatidas[Data e hora],MATCH("B"&amp;MID($A39,2,99),tblBatidas[Início vinculado],0))-INDEX(tblBatidas[Data e hora],MATCH("B"&amp;MID($A39,2,99),tblBatidas[Batida ID],0)))*24,"")</f>
        <v>3.9763888888992369</v>
      </c>
      <c r="L39" t="str">
        <f>IFERROR(INDEX(tblBatidas[Observação],MATCH("B"&amp;MID($A39,2,99),tblBatidas[Início vinculado],0)),"")</f>
        <v>controle dos links e pagamento dos médicos</v>
      </c>
      <c r="M39" t="str">
        <f>IFERROR(INDEX(tblPessoas[Base],MATCH(E39,tblPessoas[ID],0)),"")</f>
        <v>Hora</v>
      </c>
      <c r="N39" s="3">
        <f>IFERROR(IF(D39="DIA ÚTIL",INDEX(tblPessoas[R$/h útil],MATCH(E39,tblPessoas[ID],0)),INDEX(tblPessoas[R$/h FDS],MATCH(E39,tblPessoas[ID],0))),0)</f>
        <v>21.5</v>
      </c>
      <c r="O39" s="3">
        <f>IFERROR(INDEX(tblPessoas[R$/diária],MATCH(E39,tblPessoas[ID],0)),0)</f>
        <v>0</v>
      </c>
      <c r="P39" s="3">
        <f t="shared" si="2"/>
        <v>85.492361111333594</v>
      </c>
      <c r="Q39" t="str">
        <f>IF(A39="","",IF(COUNTIF(tblBatidas[Início vinculado],"B"&amp;MID($A39,2,99))=0,"EM ABERTO",IF(OR(COUNTIF(tblBatidas[Início vinculado],"B"&amp;MID($A39,2,99))&gt;1,K39&lt;0,K39&gt;16,INT(INDEX(tblBatidas[Data e hora],MATCH("B"&amp;MID($A39,2,99),tblBatidas[Início vinculado],0)))&lt;&gt;B39,INDEX(tblBatidas[ID],MATCH("B"&amp;MID($A39,2,99),tblBatidas[Início vinculado],0))&lt;&gt;E39,INDEX(tblBatidas[Projeto],MATCH("B"&amp;MID($A39,2,99),tblBatidas[Início vinculado],0))&lt;&gt;G39,INDEX(tblBatidas[Atividade],MATCH("B"&amp;MID($A39,2,99),tblBatidas[Início vinculado],0))&lt;&gt;H39),"REVISAR","CONCLUÍDO")))</f>
        <v>CONCLUÍDO</v>
      </c>
      <c r="R39">
        <f>IF(Q39&lt;&gt;"CONCLUÍDO",0,IF(COUNTIFS($E$5:E39,E39,$B$5:B39,B39,$Q$5:Q39,"CONCLUÍDO")=1,1,0))</f>
        <v>1</v>
      </c>
      <c r="S39" t="str">
        <f t="shared" si="3"/>
        <v>yyyy-08</v>
      </c>
      <c r="T39">
        <f>IF(E39="","",E39*100000+COUNTIFS(tblRegistros[ID],E39,tblRegistros[Data],"&lt;"&amp;B39)+COUNTIFS(tblRegistros[ID],E39,tblRegistros[Data],B39,tblRegistros[Início],"&lt;"&amp;I39)+COUNTIFS($E$5:E39,E39,$B$5:B39,B39,$I$5:I39,I39))</f>
        <v>100400002</v>
      </c>
    </row>
    <row r="40" spans="1:20">
      <c r="A40" t="s">
        <v>132</v>
      </c>
      <c r="B40" s="2">
        <f>IFERROR(INT(INDEX(tblBatidas[Data e hora],MATCH("B"&amp;MID($A40,2,99),tblBatidas[Batida ID],0))),"")</f>
        <v>46261</v>
      </c>
      <c r="C40" t="str">
        <f t="shared" si="0"/>
        <v>QUINTA-FEIRA</v>
      </c>
      <c r="D40" t="str">
        <f t="shared" si="1"/>
        <v>DIA ÚTIL</v>
      </c>
      <c r="E40">
        <f>IFERROR(INDEX(tblBatidas[ID],MATCH("B"&amp;MID($A40,2,99),tblBatidas[Batida ID],0)),"")</f>
        <v>1016</v>
      </c>
      <c r="F40" t="str">
        <f>IFERROR(INDEX(tblPessoas[Pessoa],MATCH(E40,tblPessoas[ID],0)),"")</f>
        <v>Ana Luisa Nardin</v>
      </c>
      <c r="G40" t="str">
        <f>IFERROR(INDEX(tblBatidas[Projeto],MATCH("B"&amp;MID($A40,2,99),tblBatidas[Batida ID],0)),"")</f>
        <v>CFI / ACCION</v>
      </c>
      <c r="H40" t="str">
        <f>IFERROR(INDEX(tblBatidas[Atividade],MATCH("B"&amp;MID($A40,2,99),tblBatidas[Batida ID],0)),"")</f>
        <v>ANÁLISE</v>
      </c>
      <c r="I40" s="4">
        <f>IFERROR(MOD(INDEX(tblBatidas[Data e hora],MATCH("B"&amp;MID($A40,2,99),tblBatidas[Batida ID],0)),1),"")</f>
        <v>0.40350694444350665</v>
      </c>
      <c r="J40" s="4" t="str">
        <f>IFERROR(MOD(INDEX(tblBatidas[Data e hora],MATCH("B"&amp;MID($A40,2,99),tblBatidas[Início vinculado],0)),1),"")</f>
        <v/>
      </c>
      <c r="K40" s="14" t="str">
        <f>IFERROR((INDEX(tblBatidas[Data e hora],MATCH("B"&amp;MID($A40,2,99),tblBatidas[Início vinculado],0))-INDEX(tblBatidas[Data e hora],MATCH("B"&amp;MID($A40,2,99),tblBatidas[Batida ID],0)))*24,"")</f>
        <v/>
      </c>
      <c r="L40" t="str">
        <f>IFERROR(INDEX(tblBatidas[Observação],MATCH("B"&amp;MID($A40,2,99),tblBatidas[Início vinculado],0)),"")</f>
        <v/>
      </c>
      <c r="M40" t="str">
        <f>IFERROR(INDEX(tblPessoas[Base],MATCH(E40,tblPessoas[ID],0)),"")</f>
        <v>Hora</v>
      </c>
      <c r="N40" s="3">
        <f>IFERROR(IF(D40="DIA ÚTIL",INDEX(tblPessoas[R$/h útil],MATCH(E40,tblPessoas[ID],0)),INDEX(tblPessoas[R$/h FDS],MATCH(E40,tblPessoas[ID],0))),0)</f>
        <v>23.5</v>
      </c>
      <c r="O40" s="3">
        <f>IFERROR(INDEX(tblPessoas[R$/diária],MATCH(E40,tblPessoas[ID],0)),0)</f>
        <v>0</v>
      </c>
      <c r="P40" s="3" t="str">
        <f t="shared" si="2"/>
        <v/>
      </c>
      <c r="Q40" t="str">
        <f>IF(A40="","",IF(COUNTIF(tblBatidas[Início vinculado],"B"&amp;MID($A40,2,99))=0,"EM ABERTO",IF(OR(COUNTIF(tblBatidas[Início vinculado],"B"&amp;MID($A40,2,99))&gt;1,K40&lt;0,K40&gt;16,INT(INDEX(tblBatidas[Data e hora],MATCH("B"&amp;MID($A40,2,99),tblBatidas[Início vinculado],0)))&lt;&gt;B40,INDEX(tblBatidas[ID],MATCH("B"&amp;MID($A40,2,99),tblBatidas[Início vinculado],0))&lt;&gt;E40,INDEX(tblBatidas[Projeto],MATCH("B"&amp;MID($A40,2,99),tblBatidas[Início vinculado],0))&lt;&gt;G40,INDEX(tblBatidas[Atividade],MATCH("B"&amp;MID($A40,2,99),tblBatidas[Início vinculado],0))&lt;&gt;H40),"REVISAR","CONCLUÍDO")))</f>
        <v>EM ABERTO</v>
      </c>
      <c r="R40">
        <f>IF(Q40&lt;&gt;"CONCLUÍDO",0,IF(COUNTIFS($E$5:E40,E40,$B$5:B40,B40,$Q$5:Q40,"CONCLUÍDO")=1,1,0))</f>
        <v>0</v>
      </c>
      <c r="S40" t="str">
        <f t="shared" si="3"/>
        <v>yyyy-08</v>
      </c>
      <c r="T40">
        <f>IF(E40="","",E40*100000+COUNTIFS(tblRegistros[ID],E40,tblRegistros[Data],"&lt;"&amp;B40)+COUNTIFS(tblRegistros[ID],E40,tblRegistros[Data],B40,tblRegistros[Início],"&lt;"&amp;I40)+COUNTIFS($E$5:E40,E40,$B$5:B40,B40,$I$5:I40,I40))</f>
        <v>101600003</v>
      </c>
    </row>
    <row r="41" spans="1:20">
      <c r="A41" t="s">
        <v>133</v>
      </c>
      <c r="B41" s="2">
        <f>IFERROR(INT(INDEX(tblBatidas[Data e hora],MATCH("B"&amp;MID($A41,2,99),tblBatidas[Batida ID],0))),"")</f>
        <v>46261</v>
      </c>
      <c r="C41" t="str">
        <f t="shared" si="0"/>
        <v>QUINTA-FEIRA</v>
      </c>
      <c r="D41" t="str">
        <f t="shared" si="1"/>
        <v>DIA ÚTIL</v>
      </c>
      <c r="E41">
        <f>IFERROR(INDEX(tblBatidas[ID],MATCH("B"&amp;MID($A41,2,99),tblBatidas[Batida ID],0)),"")</f>
        <v>1016</v>
      </c>
      <c r="F41" t="str">
        <f>IFERROR(INDEX(tblPessoas[Pessoa],MATCH(E41,tblPessoas[ID],0)),"")</f>
        <v>Ana Luisa Nardin</v>
      </c>
      <c r="G41" t="str">
        <f>IFERROR(INDEX(tblBatidas[Projeto],MATCH("B"&amp;MID($A41,2,99),tblBatidas[Batida ID],0)),"")</f>
        <v>CFI / ACCION</v>
      </c>
      <c r="H41" t="str">
        <f>IFERROR(INDEX(tblBatidas[Atividade],MATCH("B"&amp;MID($A41,2,99),tblBatidas[Batida ID],0)),"")</f>
        <v>ANÁLISE</v>
      </c>
      <c r="I41" s="4">
        <f>IFERROR(MOD(INDEX(tblBatidas[Data e hora],MATCH("B"&amp;MID($A41,2,99),tblBatidas[Batida ID],0)),1),"")</f>
        <v>0.40364583333575865</v>
      </c>
      <c r="J41" s="4" t="str">
        <f>IFERROR(MOD(INDEX(tblBatidas[Data e hora],MATCH("B"&amp;MID($A41,2,99),tblBatidas[Início vinculado],0)),1),"")</f>
        <v/>
      </c>
      <c r="K41" s="14" t="str">
        <f>IFERROR((INDEX(tblBatidas[Data e hora],MATCH("B"&amp;MID($A41,2,99),tblBatidas[Início vinculado],0))-INDEX(tblBatidas[Data e hora],MATCH("B"&amp;MID($A41,2,99),tblBatidas[Batida ID],0)))*24,"")</f>
        <v/>
      </c>
      <c r="L41" t="str">
        <f>IFERROR(INDEX(tblBatidas[Observação],MATCH("B"&amp;MID($A41,2,99),tblBatidas[Início vinculado],0)),"")</f>
        <v/>
      </c>
      <c r="M41" t="str">
        <f>IFERROR(INDEX(tblPessoas[Base],MATCH(E41,tblPessoas[ID],0)),"")</f>
        <v>Hora</v>
      </c>
      <c r="N41" s="3">
        <f>IFERROR(IF(D41="DIA ÚTIL",INDEX(tblPessoas[R$/h útil],MATCH(E41,tblPessoas[ID],0)),INDEX(tblPessoas[R$/h FDS],MATCH(E41,tblPessoas[ID],0))),0)</f>
        <v>23.5</v>
      </c>
      <c r="O41" s="3">
        <f>IFERROR(INDEX(tblPessoas[R$/diária],MATCH(E41,tblPessoas[ID],0)),0)</f>
        <v>0</v>
      </c>
      <c r="P41" s="3" t="str">
        <f t="shared" si="2"/>
        <v/>
      </c>
      <c r="Q41" t="str">
        <f>IF(A41="","",IF(COUNTIF(tblBatidas[Início vinculado],"B"&amp;MID($A41,2,99))=0,"EM ABERTO",IF(OR(COUNTIF(tblBatidas[Início vinculado],"B"&amp;MID($A41,2,99))&gt;1,K41&lt;0,K41&gt;16,INT(INDEX(tblBatidas[Data e hora],MATCH("B"&amp;MID($A41,2,99),tblBatidas[Início vinculado],0)))&lt;&gt;B41,INDEX(tblBatidas[ID],MATCH("B"&amp;MID($A41,2,99),tblBatidas[Início vinculado],0))&lt;&gt;E41,INDEX(tblBatidas[Projeto],MATCH("B"&amp;MID($A41,2,99),tblBatidas[Início vinculado],0))&lt;&gt;G41,INDEX(tblBatidas[Atividade],MATCH("B"&amp;MID($A41,2,99),tblBatidas[Início vinculado],0))&lt;&gt;H41),"REVISAR","CONCLUÍDO")))</f>
        <v>EM ABERTO</v>
      </c>
      <c r="R41">
        <f>IF(Q41&lt;&gt;"CONCLUÍDO",0,IF(COUNTIFS($E$5:E41,E41,$B$5:B41,B41,$Q$5:Q41,"CONCLUÍDO")=1,1,0))</f>
        <v>0</v>
      </c>
      <c r="S41" t="str">
        <f t="shared" si="3"/>
        <v>yyyy-08</v>
      </c>
      <c r="T41">
        <f>IF(E41="","",E41*100000+COUNTIFS(tblRegistros[ID],E41,tblRegistros[Data],"&lt;"&amp;B41)+COUNTIFS(tblRegistros[ID],E41,tblRegistros[Data],B41,tblRegistros[Início],"&lt;"&amp;I41)+COUNTIFS($E$5:E41,E41,$B$5:B41,B41,$I$5:I41,I41))</f>
        <v>101600004</v>
      </c>
    </row>
    <row r="42" spans="1:20">
      <c r="A42" t="s">
        <v>134</v>
      </c>
      <c r="B42" s="2">
        <f>IFERROR(INT(INDEX(tblBatidas[Data e hora],MATCH("B"&amp;MID($A42,2,99),tblBatidas[Batida ID],0))),"")</f>
        <v>46261</v>
      </c>
      <c r="C42" t="str">
        <f t="shared" si="0"/>
        <v>QUINTA-FEIRA</v>
      </c>
      <c r="D42" t="str">
        <f t="shared" si="1"/>
        <v>DIA ÚTIL</v>
      </c>
      <c r="E42">
        <f>IFERROR(INDEX(tblBatidas[ID],MATCH("B"&amp;MID($A42,2,99),tblBatidas[Batida ID],0)),"")</f>
        <v>1016</v>
      </c>
      <c r="F42" t="str">
        <f>IFERROR(INDEX(tblPessoas[Pessoa],MATCH(E42,tblPessoas[ID],0)),"")</f>
        <v>Ana Luisa Nardin</v>
      </c>
      <c r="G42" t="str">
        <f>IFERROR(INDEX(tblBatidas[Projeto],MATCH("B"&amp;MID($A42,2,99),tblBatidas[Batida ID],0)),"")</f>
        <v>CFI / ACCION</v>
      </c>
      <c r="H42" t="str">
        <f>IFERROR(INDEX(tblBatidas[Atividade],MATCH("B"&amp;MID($A42,2,99),tblBatidas[Batida ID],0)),"")</f>
        <v>ANÁLISE</v>
      </c>
      <c r="I42" s="4">
        <f>IFERROR(MOD(INDEX(tblBatidas[Data e hora],MATCH("B"&amp;MID($A42,2,99),tblBatidas[Batida ID],0)),1),"")</f>
        <v>0.403773148151231</v>
      </c>
      <c r="J42" s="4" t="str">
        <f>IFERROR(MOD(INDEX(tblBatidas[Data e hora],MATCH("B"&amp;MID($A42,2,99),tblBatidas[Início vinculado],0)),1),"")</f>
        <v/>
      </c>
      <c r="K42" s="14" t="str">
        <f>IFERROR((INDEX(tblBatidas[Data e hora],MATCH("B"&amp;MID($A42,2,99),tblBatidas[Início vinculado],0))-INDEX(tblBatidas[Data e hora],MATCH("B"&amp;MID($A42,2,99),tblBatidas[Batida ID],0)))*24,"")</f>
        <v/>
      </c>
      <c r="L42" t="str">
        <f>IFERROR(INDEX(tblBatidas[Observação],MATCH("B"&amp;MID($A42,2,99),tblBatidas[Início vinculado],0)),"")</f>
        <v/>
      </c>
      <c r="M42" t="str">
        <f>IFERROR(INDEX(tblPessoas[Base],MATCH(E42,tblPessoas[ID],0)),"")</f>
        <v>Hora</v>
      </c>
      <c r="N42" s="3">
        <f>IFERROR(IF(D42="DIA ÚTIL",INDEX(tblPessoas[R$/h útil],MATCH(E42,tblPessoas[ID],0)),INDEX(tblPessoas[R$/h FDS],MATCH(E42,tblPessoas[ID],0))),0)</f>
        <v>23.5</v>
      </c>
      <c r="O42" s="3">
        <f>IFERROR(INDEX(tblPessoas[R$/diária],MATCH(E42,tblPessoas[ID],0)),0)</f>
        <v>0</v>
      </c>
      <c r="P42" s="3" t="str">
        <f t="shared" si="2"/>
        <v/>
      </c>
      <c r="Q42" t="str">
        <f>IF(A42="","",IF(COUNTIF(tblBatidas[Início vinculado],"B"&amp;MID($A42,2,99))=0,"EM ABERTO",IF(OR(COUNTIF(tblBatidas[Início vinculado],"B"&amp;MID($A42,2,99))&gt;1,K42&lt;0,K42&gt;16,INT(INDEX(tblBatidas[Data e hora],MATCH("B"&amp;MID($A42,2,99),tblBatidas[Início vinculado],0)))&lt;&gt;B42,INDEX(tblBatidas[ID],MATCH("B"&amp;MID($A42,2,99),tblBatidas[Início vinculado],0))&lt;&gt;E42,INDEX(tblBatidas[Projeto],MATCH("B"&amp;MID($A42,2,99),tblBatidas[Início vinculado],0))&lt;&gt;G42,INDEX(tblBatidas[Atividade],MATCH("B"&amp;MID($A42,2,99),tblBatidas[Início vinculado],0))&lt;&gt;H42),"REVISAR","CONCLUÍDO")))</f>
        <v>EM ABERTO</v>
      </c>
      <c r="R42">
        <f>IF(Q42&lt;&gt;"CONCLUÍDO",0,IF(COUNTIFS($E$5:E42,E42,$B$5:B42,B42,$Q$5:Q42,"CONCLUÍDO")=1,1,0))</f>
        <v>0</v>
      </c>
      <c r="S42" t="str">
        <f t="shared" si="3"/>
        <v>yyyy-08</v>
      </c>
      <c r="T42">
        <f>IF(E42="","",E42*100000+COUNTIFS(tblRegistros[ID],E42,tblRegistros[Data],"&lt;"&amp;B42)+COUNTIFS(tblRegistros[ID],E42,tblRegistros[Data],B42,tblRegistros[Início],"&lt;"&amp;I42)+COUNTIFS($E$5:E42,E42,$B$5:B42,B42,$I$5:I42,I42))</f>
        <v>101600005</v>
      </c>
    </row>
    <row r="43" spans="1:20">
      <c r="A43" t="s">
        <v>135</v>
      </c>
      <c r="B43" s="2">
        <f>IFERROR(INT(INDEX(tblBatidas[Data e hora],MATCH("B"&amp;MID($A43,2,99),tblBatidas[Batida ID],0))),"")</f>
        <v>46261</v>
      </c>
      <c r="C43" t="str">
        <f t="shared" si="0"/>
        <v>QUINTA-FEIRA</v>
      </c>
      <c r="D43" t="str">
        <f t="shared" si="1"/>
        <v>DIA ÚTIL</v>
      </c>
      <c r="E43">
        <f>IFERROR(INDEX(tblBatidas[ID],MATCH("B"&amp;MID($A43,2,99),tblBatidas[Batida ID],0)),"")</f>
        <v>1016</v>
      </c>
      <c r="F43" t="str">
        <f>IFERROR(INDEX(tblPessoas[Pessoa],MATCH(E43,tblPessoas[ID],0)),"")</f>
        <v>Ana Luisa Nardin</v>
      </c>
      <c r="G43" t="str">
        <f>IFERROR(INDEX(tblBatidas[Projeto],MATCH("B"&amp;MID($A43,2,99),tblBatidas[Batida ID],0)),"")</f>
        <v>CFI / ACCION</v>
      </c>
      <c r="H43" t="str">
        <f>IFERROR(INDEX(tblBatidas[Atividade],MATCH("B"&amp;MID($A43,2,99),tblBatidas[Batida ID],0)),"")</f>
        <v>ANÁLISE</v>
      </c>
      <c r="I43" s="4">
        <f>IFERROR(MOD(INDEX(tblBatidas[Data e hora],MATCH("B"&amp;MID($A43,2,99),tblBatidas[Batida ID],0)),1),"")</f>
        <v>0.40502314814511919</v>
      </c>
      <c r="J43" s="4" t="str">
        <f>IFERROR(MOD(INDEX(tblBatidas[Data e hora],MATCH("B"&amp;MID($A43,2,99),tblBatidas[Início vinculado],0)),1),"")</f>
        <v/>
      </c>
      <c r="K43" s="14" t="str">
        <f>IFERROR((INDEX(tblBatidas[Data e hora],MATCH("B"&amp;MID($A43,2,99),tblBatidas[Início vinculado],0))-INDEX(tblBatidas[Data e hora],MATCH("B"&amp;MID($A43,2,99),tblBatidas[Batida ID],0)))*24,"")</f>
        <v/>
      </c>
      <c r="L43" t="str">
        <f>IFERROR(INDEX(tblBatidas[Observação],MATCH("B"&amp;MID($A43,2,99),tblBatidas[Início vinculado],0)),"")</f>
        <v/>
      </c>
      <c r="M43" t="str">
        <f>IFERROR(INDEX(tblPessoas[Base],MATCH(E43,tblPessoas[ID],0)),"")</f>
        <v>Hora</v>
      </c>
      <c r="N43" s="3">
        <f>IFERROR(IF(D43="DIA ÚTIL",INDEX(tblPessoas[R$/h útil],MATCH(E43,tblPessoas[ID],0)),INDEX(tblPessoas[R$/h FDS],MATCH(E43,tblPessoas[ID],0))),0)</f>
        <v>23.5</v>
      </c>
      <c r="O43" s="3">
        <f>IFERROR(INDEX(tblPessoas[R$/diária],MATCH(E43,tblPessoas[ID],0)),0)</f>
        <v>0</v>
      </c>
      <c r="P43" s="3" t="str">
        <f t="shared" si="2"/>
        <v/>
      </c>
      <c r="Q43" t="str">
        <f>IF(A43="","",IF(COUNTIF(tblBatidas[Início vinculado],"B"&amp;MID($A43,2,99))=0,"EM ABERTO",IF(OR(COUNTIF(tblBatidas[Início vinculado],"B"&amp;MID($A43,2,99))&gt;1,K43&lt;0,K43&gt;16,INT(INDEX(tblBatidas[Data e hora],MATCH("B"&amp;MID($A43,2,99),tblBatidas[Início vinculado],0)))&lt;&gt;B43,INDEX(tblBatidas[ID],MATCH("B"&amp;MID($A43,2,99),tblBatidas[Início vinculado],0))&lt;&gt;E43,INDEX(tblBatidas[Projeto],MATCH("B"&amp;MID($A43,2,99),tblBatidas[Início vinculado],0))&lt;&gt;G43,INDEX(tblBatidas[Atividade],MATCH("B"&amp;MID($A43,2,99),tblBatidas[Início vinculado],0))&lt;&gt;H43),"REVISAR","CONCLUÍDO")))</f>
        <v>EM ABERTO</v>
      </c>
      <c r="R43">
        <f>IF(Q43&lt;&gt;"CONCLUÍDO",0,IF(COUNTIFS($E$5:E43,E43,$B$5:B43,B43,$Q$5:Q43,"CONCLUÍDO")=1,1,0))</f>
        <v>0</v>
      </c>
      <c r="S43" t="str">
        <f t="shared" si="3"/>
        <v>yyyy-08</v>
      </c>
      <c r="T43">
        <f>IF(E43="","",E43*100000+COUNTIFS(tblRegistros[ID],E43,tblRegistros[Data],"&lt;"&amp;B43)+COUNTIFS(tblRegistros[ID],E43,tblRegistros[Data],B43,tblRegistros[Início],"&lt;"&amp;I43)+COUNTIFS($E$5:E43,E43,$B$5:B43,B43,$I$5:I43,I43))</f>
        <v>101600006</v>
      </c>
    </row>
    <row r="44" spans="1:20">
      <c r="A44" t="s">
        <v>136</v>
      </c>
      <c r="B44" s="2">
        <f>IFERROR(INT(INDEX(tblBatidas[Data e hora],MATCH("B"&amp;MID($A44,2,99),tblBatidas[Batida ID],0))),"")</f>
        <v>46261</v>
      </c>
      <c r="C44" t="str">
        <f t="shared" si="0"/>
        <v>QUINTA-FEIRA</v>
      </c>
      <c r="D44" t="str">
        <f t="shared" si="1"/>
        <v>DIA ÚTIL</v>
      </c>
      <c r="E44">
        <f>IFERROR(INDEX(tblBatidas[ID],MATCH("B"&amp;MID($A44,2,99),tblBatidas[Batida ID],0)),"")</f>
        <v>1012</v>
      </c>
      <c r="F44" t="str">
        <f>IFERROR(INDEX(tblPessoas[Pessoa],MATCH(E44,tblPessoas[ID],0)),"")</f>
        <v>Nelma Lucia dos S. B. Brandão</v>
      </c>
      <c r="G44" t="str">
        <f>IFERROR(INDEX(tblBatidas[Projeto],MATCH("B"&amp;MID($A44,2,99),tblBatidas[Batida ID],0)),"")</f>
        <v>SICOOB CREDICOM</v>
      </c>
      <c r="H44" t="str">
        <f>IFERROR(INDEX(tblBatidas[Atividade],MATCH("B"&amp;MID($A44,2,99),tblBatidas[Batida ID],0)),"")</f>
        <v>CHECAGEM</v>
      </c>
      <c r="I44" s="4">
        <f>IFERROR(MOD(INDEX(tblBatidas[Data e hora],MATCH("B"&amp;MID($A44,2,99),tblBatidas[Batida ID],0)),1),"")</f>
        <v>0.40620370370015735</v>
      </c>
      <c r="J44" s="4">
        <f>IFERROR(MOD(INDEX(tblBatidas[Data e hora],MATCH("B"&amp;MID($A44,2,99),tblBatidas[Início vinculado],0)),1),"")</f>
        <v>0.47416666666686069</v>
      </c>
      <c r="K44" s="14">
        <f>IFERROR((INDEX(tblBatidas[Data e hora],MATCH("B"&amp;MID($A44,2,99),tblBatidas[Início vinculado],0))-INDEX(tblBatidas[Data e hora],MATCH("B"&amp;MID($A44,2,99),tblBatidas[Batida ID],0)))*24,"")</f>
        <v>1.6311111112008803</v>
      </c>
      <c r="L44">
        <f>IFERROR(INDEX(tblBatidas[Observação],MATCH("B"&amp;MID($A44,2,99),tblBatidas[Início vinculado],0)),"")</f>
        <v>0</v>
      </c>
      <c r="M44" t="str">
        <f>IFERROR(INDEX(tblPessoas[Base],MATCH(E44,tblPessoas[ID],0)),"")</f>
        <v>Diária</v>
      </c>
      <c r="N44" s="3">
        <f>IFERROR(IF(D44="DIA ÚTIL",INDEX(tblPessoas[R$/h útil],MATCH(E44,tblPessoas[ID],0)),INDEX(tblPessoas[R$/h FDS],MATCH(E44,tblPessoas[ID],0))),0)</f>
        <v>0</v>
      </c>
      <c r="O44" s="3">
        <f>IFERROR(INDEX(tblPessoas[R$/diária],MATCH(E44,tblPessoas[ID],0)),0)</f>
        <v>222.72</v>
      </c>
      <c r="P44" s="3">
        <f t="shared" si="2"/>
        <v>222.72</v>
      </c>
      <c r="Q44" t="str">
        <f>IF(A44="","",IF(COUNTIF(tblBatidas[Início vinculado],"B"&amp;MID($A44,2,99))=0,"EM ABERTO",IF(OR(COUNTIF(tblBatidas[Início vinculado],"B"&amp;MID($A44,2,99))&gt;1,K44&lt;0,K44&gt;16,INT(INDEX(tblBatidas[Data e hora],MATCH("B"&amp;MID($A44,2,99),tblBatidas[Início vinculado],0)))&lt;&gt;B44,INDEX(tblBatidas[ID],MATCH("B"&amp;MID($A44,2,99),tblBatidas[Início vinculado],0))&lt;&gt;E44,INDEX(tblBatidas[Projeto],MATCH("B"&amp;MID($A44,2,99),tblBatidas[Início vinculado],0))&lt;&gt;G44,INDEX(tblBatidas[Atividade],MATCH("B"&amp;MID($A44,2,99),tblBatidas[Início vinculado],0))&lt;&gt;H44),"REVISAR","CONCLUÍDO")))</f>
        <v>CONCLUÍDO</v>
      </c>
      <c r="R44">
        <f>IF(Q44&lt;&gt;"CONCLUÍDO",0,IF(COUNTIFS($E$5:E44,E44,$B$5:B44,B44,$Q$5:Q44,"CONCLUÍDO")=1,1,0))</f>
        <v>1</v>
      </c>
      <c r="S44" t="str">
        <f t="shared" si="3"/>
        <v>yyyy-08</v>
      </c>
      <c r="T44">
        <f>IF(E44="","",E44*100000+COUNTIFS(tblRegistros[ID],E44,tblRegistros[Data],"&lt;"&amp;B44)+COUNTIFS(tblRegistros[ID],E44,tblRegistros[Data],B44,tblRegistros[Início],"&lt;"&amp;I44)+COUNTIFS($E$5:E44,E44,$B$5:B44,B44,$I$5:I44,I44))</f>
        <v>101200003</v>
      </c>
    </row>
    <row r="45" spans="1:20">
      <c r="A45" t="s">
        <v>137</v>
      </c>
      <c r="B45" s="2">
        <f>IFERROR(INT(INDEX(tblBatidas[Data e hora],MATCH("B"&amp;MID($A45,2,99),tblBatidas[Batida ID],0))),"")</f>
        <v>46261</v>
      </c>
      <c r="C45" t="str">
        <f t="shared" si="0"/>
        <v>QUINTA-FEIRA</v>
      </c>
      <c r="D45" t="str">
        <f t="shared" si="1"/>
        <v>DIA ÚTIL</v>
      </c>
      <c r="E45">
        <f>IFERROR(INDEX(tblBatidas[ID],MATCH("B"&amp;MID($A45,2,99),tblBatidas[Batida ID],0)),"")</f>
        <v>1016</v>
      </c>
      <c r="F45" t="str">
        <f>IFERROR(INDEX(tblPessoas[Pessoa],MATCH(E45,tblPessoas[ID],0)),"")</f>
        <v>Ana Luisa Nardin</v>
      </c>
      <c r="G45" t="str">
        <f>IFERROR(INDEX(tblBatidas[Projeto],MATCH("B"&amp;MID($A45,2,99),tblBatidas[Batida ID],0)),"")</f>
        <v>CFI / ACCION</v>
      </c>
      <c r="H45" t="str">
        <f>IFERROR(INDEX(tblBatidas[Atividade],MATCH("B"&amp;MID($A45,2,99),tblBatidas[Batida ID],0)),"")</f>
        <v>ANÁLISE</v>
      </c>
      <c r="I45" s="4">
        <f>IFERROR(MOD(INDEX(tblBatidas[Data e hora],MATCH("B"&amp;MID($A45,2,99),tblBatidas[Batida ID],0)),1),"")</f>
        <v>0.40703703703911742</v>
      </c>
      <c r="J45" s="4" t="str">
        <f>IFERROR(MOD(INDEX(tblBatidas[Data e hora],MATCH("B"&amp;MID($A45,2,99),tblBatidas[Início vinculado],0)),1),"")</f>
        <v/>
      </c>
      <c r="K45" s="14" t="str">
        <f>IFERROR((INDEX(tblBatidas[Data e hora],MATCH("B"&amp;MID($A45,2,99),tblBatidas[Início vinculado],0))-INDEX(tblBatidas[Data e hora],MATCH("B"&amp;MID($A45,2,99),tblBatidas[Batida ID],0)))*24,"")</f>
        <v/>
      </c>
      <c r="L45" t="str">
        <f>IFERROR(INDEX(tblBatidas[Observação],MATCH("B"&amp;MID($A45,2,99),tblBatidas[Início vinculado],0)),"")</f>
        <v/>
      </c>
      <c r="M45" t="str">
        <f>IFERROR(INDEX(tblPessoas[Base],MATCH(E45,tblPessoas[ID],0)),"")</f>
        <v>Hora</v>
      </c>
      <c r="N45" s="3">
        <f>IFERROR(IF(D45="DIA ÚTIL",INDEX(tblPessoas[R$/h útil],MATCH(E45,tblPessoas[ID],0)),INDEX(tblPessoas[R$/h FDS],MATCH(E45,tblPessoas[ID],0))),0)</f>
        <v>23.5</v>
      </c>
      <c r="O45" s="3">
        <f>IFERROR(INDEX(tblPessoas[R$/diária],MATCH(E45,tblPessoas[ID],0)),0)</f>
        <v>0</v>
      </c>
      <c r="P45" s="3" t="str">
        <f t="shared" si="2"/>
        <v/>
      </c>
      <c r="Q45" t="str">
        <f>IF(A45="","",IF(COUNTIF(tblBatidas[Início vinculado],"B"&amp;MID($A45,2,99))=0,"EM ABERTO",IF(OR(COUNTIF(tblBatidas[Início vinculado],"B"&amp;MID($A45,2,99))&gt;1,K45&lt;0,K45&gt;16,INT(INDEX(tblBatidas[Data e hora],MATCH("B"&amp;MID($A45,2,99),tblBatidas[Início vinculado],0)))&lt;&gt;B45,INDEX(tblBatidas[ID],MATCH("B"&amp;MID($A45,2,99),tblBatidas[Início vinculado],0))&lt;&gt;E45,INDEX(tblBatidas[Projeto],MATCH("B"&amp;MID($A45,2,99),tblBatidas[Início vinculado],0))&lt;&gt;G45,INDEX(tblBatidas[Atividade],MATCH("B"&amp;MID($A45,2,99),tblBatidas[Início vinculado],0))&lt;&gt;H45),"REVISAR","CONCLUÍDO")))</f>
        <v>EM ABERTO</v>
      </c>
      <c r="R45">
        <f>IF(Q45&lt;&gt;"CONCLUÍDO",0,IF(COUNTIFS($E$5:E45,E45,$B$5:B45,B45,$Q$5:Q45,"CONCLUÍDO")=1,1,0))</f>
        <v>0</v>
      </c>
      <c r="S45" t="str">
        <f t="shared" si="3"/>
        <v>yyyy-08</v>
      </c>
      <c r="T45">
        <f>IF(E45="","",E45*100000+COUNTIFS(tblRegistros[ID],E45,tblRegistros[Data],"&lt;"&amp;B45)+COUNTIFS(tblRegistros[ID],E45,tblRegistros[Data],B45,tblRegistros[Início],"&lt;"&amp;I45)+COUNTIFS($E$5:E45,E45,$B$5:B45,B45,$I$5:I45,I45))</f>
        <v>101600007</v>
      </c>
    </row>
    <row r="46" spans="1:20">
      <c r="A46" t="s">
        <v>138</v>
      </c>
      <c r="B46" s="2">
        <f>IFERROR(INT(INDEX(tblBatidas[Data e hora],MATCH("B"&amp;MID($A46,2,99),tblBatidas[Batida ID],0))),"")</f>
        <v>46261</v>
      </c>
      <c r="C46" t="str">
        <f t="shared" si="0"/>
        <v>QUINTA-FEIRA</v>
      </c>
      <c r="D46" t="str">
        <f t="shared" si="1"/>
        <v>DIA ÚTIL</v>
      </c>
      <c r="E46">
        <f>IFERROR(INDEX(tblBatidas[ID],MATCH("B"&amp;MID($A46,2,99),tblBatidas[Batida ID],0)),"")</f>
        <v>1016</v>
      </c>
      <c r="F46" t="str">
        <f>IFERROR(INDEX(tblPessoas[Pessoa],MATCH(E46,tblPessoas[ID],0)),"")</f>
        <v>Ana Luisa Nardin</v>
      </c>
      <c r="G46" t="str">
        <f>IFERROR(INDEX(tblBatidas[Projeto],MATCH("B"&amp;MID($A46,2,99),tblBatidas[Batida ID],0)),"")</f>
        <v>CFI / ACCION</v>
      </c>
      <c r="H46" t="str">
        <f>IFERROR(INDEX(tblBatidas[Atividade],MATCH("B"&amp;MID($A46,2,99),tblBatidas[Batida ID],0)),"")</f>
        <v>ANÁLISE</v>
      </c>
      <c r="I46" s="4">
        <f>IFERROR(MOD(INDEX(tblBatidas[Data e hora],MATCH("B"&amp;MID($A46,2,99),tblBatidas[Batida ID],0)),1),"")</f>
        <v>0.40718750000087311</v>
      </c>
      <c r="J46" s="4" t="str">
        <f>IFERROR(MOD(INDEX(tblBatidas[Data e hora],MATCH("B"&amp;MID($A46,2,99),tblBatidas[Início vinculado],0)),1),"")</f>
        <v/>
      </c>
      <c r="K46" s="14" t="str">
        <f>IFERROR((INDEX(tblBatidas[Data e hora],MATCH("B"&amp;MID($A46,2,99),tblBatidas[Início vinculado],0))-INDEX(tblBatidas[Data e hora],MATCH("B"&amp;MID($A46,2,99),tblBatidas[Batida ID],0)))*24,"")</f>
        <v/>
      </c>
      <c r="L46" t="str">
        <f>IFERROR(INDEX(tblBatidas[Observação],MATCH("B"&amp;MID($A46,2,99),tblBatidas[Início vinculado],0)),"")</f>
        <v/>
      </c>
      <c r="M46" t="str">
        <f>IFERROR(INDEX(tblPessoas[Base],MATCH(E46,tblPessoas[ID],0)),"")</f>
        <v>Hora</v>
      </c>
      <c r="N46" s="3">
        <f>IFERROR(IF(D46="DIA ÚTIL",INDEX(tblPessoas[R$/h útil],MATCH(E46,tblPessoas[ID],0)),INDEX(tblPessoas[R$/h FDS],MATCH(E46,tblPessoas[ID],0))),0)</f>
        <v>23.5</v>
      </c>
      <c r="O46" s="3">
        <f>IFERROR(INDEX(tblPessoas[R$/diária],MATCH(E46,tblPessoas[ID],0)),0)</f>
        <v>0</v>
      </c>
      <c r="P46" s="3" t="str">
        <f t="shared" si="2"/>
        <v/>
      </c>
      <c r="Q46" t="str">
        <f>IF(A46="","",IF(COUNTIF(tblBatidas[Início vinculado],"B"&amp;MID($A46,2,99))=0,"EM ABERTO",IF(OR(COUNTIF(tblBatidas[Início vinculado],"B"&amp;MID($A46,2,99))&gt;1,K46&lt;0,K46&gt;16,INT(INDEX(tblBatidas[Data e hora],MATCH("B"&amp;MID($A46,2,99),tblBatidas[Início vinculado],0)))&lt;&gt;B46,INDEX(tblBatidas[ID],MATCH("B"&amp;MID($A46,2,99),tblBatidas[Início vinculado],0))&lt;&gt;E46,INDEX(tblBatidas[Projeto],MATCH("B"&amp;MID($A46,2,99),tblBatidas[Início vinculado],0))&lt;&gt;G46,INDEX(tblBatidas[Atividade],MATCH("B"&amp;MID($A46,2,99),tblBatidas[Início vinculado],0))&lt;&gt;H46),"REVISAR","CONCLUÍDO")))</f>
        <v>EM ABERTO</v>
      </c>
      <c r="R46">
        <f>IF(Q46&lt;&gt;"CONCLUÍDO",0,IF(COUNTIFS($E$5:E46,E46,$B$5:B46,B46,$Q$5:Q46,"CONCLUÍDO")=1,1,0))</f>
        <v>0</v>
      </c>
      <c r="S46" t="str">
        <f t="shared" si="3"/>
        <v>yyyy-08</v>
      </c>
      <c r="T46">
        <f>IF(E46="","",E46*100000+COUNTIFS(tblRegistros[ID],E46,tblRegistros[Data],"&lt;"&amp;B46)+COUNTIFS(tblRegistros[ID],E46,tblRegistros[Data],B46,tblRegistros[Início],"&lt;"&amp;I46)+COUNTIFS($E$5:E46,E46,$B$5:B46,B46,$I$5:I46,I46))</f>
        <v>101600008</v>
      </c>
    </row>
    <row r="47" spans="1:20">
      <c r="A47" t="s">
        <v>139</v>
      </c>
      <c r="B47" s="2">
        <f>IFERROR(INT(INDEX(tblBatidas[Data e hora],MATCH("B"&amp;MID($A47,2,99),tblBatidas[Batida ID],0))),"")</f>
        <v>46261</v>
      </c>
      <c r="C47" t="str">
        <f t="shared" si="0"/>
        <v>QUINTA-FEIRA</v>
      </c>
      <c r="D47" t="str">
        <f t="shared" si="1"/>
        <v>DIA ÚTIL</v>
      </c>
      <c r="E47">
        <f>IFERROR(INDEX(tblBatidas[ID],MATCH("B"&amp;MID($A47,2,99),tblBatidas[Batida ID],0)),"")</f>
        <v>1016</v>
      </c>
      <c r="F47" t="str">
        <f>IFERROR(INDEX(tblPessoas[Pessoa],MATCH(E47,tblPessoas[ID],0)),"")</f>
        <v>Ana Luisa Nardin</v>
      </c>
      <c r="G47" t="str">
        <f>IFERROR(INDEX(tblBatidas[Projeto],MATCH("B"&amp;MID($A47,2,99),tblBatidas[Batida ID],0)),"")</f>
        <v>CFI / ACCION</v>
      </c>
      <c r="H47" t="str">
        <f>IFERROR(INDEX(tblBatidas[Atividade],MATCH("B"&amp;MID($A47,2,99),tblBatidas[Batida ID],0)),"")</f>
        <v>ANÁLISE</v>
      </c>
      <c r="I47" s="4">
        <f>IFERROR(MOD(INDEX(tblBatidas[Data e hora],MATCH("B"&amp;MID($A47,2,99),tblBatidas[Batida ID],0)),1),"")</f>
        <v>0.40771990740904585</v>
      </c>
      <c r="J47" s="4" t="str">
        <f>IFERROR(MOD(INDEX(tblBatidas[Data e hora],MATCH("B"&amp;MID($A47,2,99),tblBatidas[Início vinculado],0)),1),"")</f>
        <v/>
      </c>
      <c r="K47" s="14" t="str">
        <f>IFERROR((INDEX(tblBatidas[Data e hora],MATCH("B"&amp;MID($A47,2,99),tblBatidas[Início vinculado],0))-INDEX(tblBatidas[Data e hora],MATCH("B"&amp;MID($A47,2,99),tblBatidas[Batida ID],0)))*24,"")</f>
        <v/>
      </c>
      <c r="L47" t="str">
        <f>IFERROR(INDEX(tblBatidas[Observação],MATCH("B"&amp;MID($A47,2,99),tblBatidas[Início vinculado],0)),"")</f>
        <v/>
      </c>
      <c r="M47" t="str">
        <f>IFERROR(INDEX(tblPessoas[Base],MATCH(E47,tblPessoas[ID],0)),"")</f>
        <v>Hora</v>
      </c>
      <c r="N47" s="3">
        <f>IFERROR(IF(D47="DIA ÚTIL",INDEX(tblPessoas[R$/h útil],MATCH(E47,tblPessoas[ID],0)),INDEX(tblPessoas[R$/h FDS],MATCH(E47,tblPessoas[ID],0))),0)</f>
        <v>23.5</v>
      </c>
      <c r="O47" s="3">
        <f>IFERROR(INDEX(tblPessoas[R$/diária],MATCH(E47,tblPessoas[ID],0)),0)</f>
        <v>0</v>
      </c>
      <c r="P47" s="3" t="str">
        <f t="shared" si="2"/>
        <v/>
      </c>
      <c r="Q47" t="str">
        <f>IF(A47="","",IF(COUNTIF(tblBatidas[Início vinculado],"B"&amp;MID($A47,2,99))=0,"EM ABERTO",IF(OR(COUNTIF(tblBatidas[Início vinculado],"B"&amp;MID($A47,2,99))&gt;1,K47&lt;0,K47&gt;16,INT(INDEX(tblBatidas[Data e hora],MATCH("B"&amp;MID($A47,2,99),tblBatidas[Início vinculado],0)))&lt;&gt;B47,INDEX(tblBatidas[ID],MATCH("B"&amp;MID($A47,2,99),tblBatidas[Início vinculado],0))&lt;&gt;E47,INDEX(tblBatidas[Projeto],MATCH("B"&amp;MID($A47,2,99),tblBatidas[Início vinculado],0))&lt;&gt;G47,INDEX(tblBatidas[Atividade],MATCH("B"&amp;MID($A47,2,99),tblBatidas[Início vinculado],0))&lt;&gt;H47),"REVISAR","CONCLUÍDO")))</f>
        <v>EM ABERTO</v>
      </c>
      <c r="R47">
        <f>IF(Q47&lt;&gt;"CONCLUÍDO",0,IF(COUNTIFS($E$5:E47,E47,$B$5:B47,B47,$Q$5:Q47,"CONCLUÍDO")=1,1,0))</f>
        <v>0</v>
      </c>
      <c r="S47" t="str">
        <f t="shared" si="3"/>
        <v>yyyy-08</v>
      </c>
      <c r="T47">
        <f>IF(E47="","",E47*100000+COUNTIFS(tblRegistros[ID],E47,tblRegistros[Data],"&lt;"&amp;B47)+COUNTIFS(tblRegistros[ID],E47,tblRegistros[Data],B47,tblRegistros[Início],"&lt;"&amp;I47)+COUNTIFS($E$5:E47,E47,$B$5:B47,B47,$I$5:I47,I47))</f>
        <v>101600009</v>
      </c>
    </row>
    <row r="48" spans="1:20">
      <c r="A48" t="s">
        <v>140</v>
      </c>
      <c r="B48" s="2">
        <f>IFERROR(INT(INDEX(tblBatidas[Data e hora],MATCH("B"&amp;MID($A48,2,99),tblBatidas[Batida ID],0))),"")</f>
        <v>46261</v>
      </c>
      <c r="C48" t="str">
        <f t="shared" si="0"/>
        <v>QUINTA-FEIRA</v>
      </c>
      <c r="D48" t="str">
        <f t="shared" si="1"/>
        <v>DIA ÚTIL</v>
      </c>
      <c r="E48">
        <f>IFERROR(INDEX(tblBatidas[ID],MATCH("B"&amp;MID($A48,2,99),tblBatidas[Batida ID],0)),"")</f>
        <v>1016</v>
      </c>
      <c r="F48" t="str">
        <f>IFERROR(INDEX(tblPessoas[Pessoa],MATCH(E48,tblPessoas[ID],0)),"")</f>
        <v>Ana Luisa Nardin</v>
      </c>
      <c r="G48" t="str">
        <f>IFERROR(INDEX(tblBatidas[Projeto],MATCH("B"&amp;MID($A48,2,99),tblBatidas[Batida ID],0)),"")</f>
        <v>CFI / ACCION</v>
      </c>
      <c r="H48" t="str">
        <f>IFERROR(INDEX(tblBatidas[Atividade],MATCH("B"&amp;MID($A48,2,99),tblBatidas[Batida ID],0)),"")</f>
        <v>ANÁLISE</v>
      </c>
      <c r="I48" s="4">
        <f>IFERROR(MOD(INDEX(tblBatidas[Data e hora],MATCH("B"&amp;MID($A48,2,99),tblBatidas[Batida ID],0)),1),"")</f>
        <v>0.40795138888643123</v>
      </c>
      <c r="J48" s="4">
        <f>IFERROR(MOD(INDEX(tblBatidas[Data e hora],MATCH("B"&amp;MID($A48,2,99),tblBatidas[Início vinculado],0)),1),"")</f>
        <v>0.52527777777868323</v>
      </c>
      <c r="K48" s="14">
        <f>IFERROR((INDEX(tblBatidas[Data e hora],MATCH("B"&amp;MID($A48,2,99),tblBatidas[Início vinculado],0))-INDEX(tblBatidas[Data e hora],MATCH("B"&amp;MID($A48,2,99),tblBatidas[Batida ID],0)))*24,"")</f>
        <v>2.815833333414048</v>
      </c>
      <c r="L48">
        <f>IFERROR(INDEX(tblBatidas[Observação],MATCH("B"&amp;MID($A48,2,99),tblBatidas[Início vinculado],0)),"")</f>
        <v>0</v>
      </c>
      <c r="M48" t="str">
        <f>IFERROR(INDEX(tblPessoas[Base],MATCH(E48,tblPessoas[ID],0)),"")</f>
        <v>Hora</v>
      </c>
      <c r="N48" s="3">
        <f>IFERROR(IF(D48="DIA ÚTIL",INDEX(tblPessoas[R$/h útil],MATCH(E48,tblPessoas[ID],0)),INDEX(tblPessoas[R$/h FDS],MATCH(E48,tblPessoas[ID],0))),0)</f>
        <v>23.5</v>
      </c>
      <c r="O48" s="3">
        <f>IFERROR(INDEX(tblPessoas[R$/diária],MATCH(E48,tblPessoas[ID],0)),0)</f>
        <v>0</v>
      </c>
      <c r="P48" s="3">
        <f t="shared" si="2"/>
        <v>66.172083335230127</v>
      </c>
      <c r="Q48" t="str">
        <f>IF(A48="","",IF(COUNTIF(tblBatidas[Início vinculado],"B"&amp;MID($A48,2,99))=0,"EM ABERTO",IF(OR(COUNTIF(tblBatidas[Início vinculado],"B"&amp;MID($A48,2,99))&gt;1,K48&lt;0,K48&gt;16,INT(INDEX(tblBatidas[Data e hora],MATCH("B"&amp;MID($A48,2,99),tblBatidas[Início vinculado],0)))&lt;&gt;B48,INDEX(tblBatidas[ID],MATCH("B"&amp;MID($A48,2,99),tblBatidas[Início vinculado],0))&lt;&gt;E48,INDEX(tblBatidas[Projeto],MATCH("B"&amp;MID($A48,2,99),tblBatidas[Início vinculado],0))&lt;&gt;G48,INDEX(tblBatidas[Atividade],MATCH("B"&amp;MID($A48,2,99),tblBatidas[Início vinculado],0))&lt;&gt;H48),"REVISAR","CONCLUÍDO")))</f>
        <v>CONCLUÍDO</v>
      </c>
      <c r="R48">
        <f>IF(Q48&lt;&gt;"CONCLUÍDO",0,IF(COUNTIFS($E$5:E48,E48,$B$5:B48,B48,$Q$5:Q48,"CONCLUÍDO")=1,1,0))</f>
        <v>1</v>
      </c>
      <c r="S48" t="str">
        <f t="shared" si="3"/>
        <v>yyyy-08</v>
      </c>
      <c r="T48">
        <f>IF(E48="","",E48*100000+COUNTIFS(tblRegistros[ID],E48,tblRegistros[Data],"&lt;"&amp;B48)+COUNTIFS(tblRegistros[ID],E48,tblRegistros[Data],B48,tblRegistros[Início],"&lt;"&amp;I48)+COUNTIFS($E$5:E48,E48,$B$5:B48,B48,$I$5:I48,I48))</f>
        <v>101600010</v>
      </c>
    </row>
    <row r="49" spans="1:20">
      <c r="A49" t="s">
        <v>141</v>
      </c>
      <c r="B49" s="2">
        <f>IFERROR(INT(INDEX(tblBatidas[Data e hora],MATCH("B"&amp;MID($A49,2,99),tblBatidas[Batida ID],0))),"")</f>
        <v>46261</v>
      </c>
      <c r="C49" t="str">
        <f t="shared" si="0"/>
        <v>QUINTA-FEIRA</v>
      </c>
      <c r="D49" t="str">
        <f t="shared" si="1"/>
        <v>DIA ÚTIL</v>
      </c>
      <c r="E49">
        <f>IFERROR(INDEX(tblBatidas[ID],MATCH("B"&amp;MID($A49,2,99),tblBatidas[Batida ID],0)),"")</f>
        <v>1014</v>
      </c>
      <c r="F49" t="str">
        <f>IFERROR(INDEX(tblPessoas[Pessoa],MATCH(E49,tblPessoas[ID],0)),"")</f>
        <v>Robert Filipe Orlando de Souza</v>
      </c>
      <c r="G49" t="str">
        <f>IFERROR(INDEX(tblBatidas[Projeto],MATCH("B"&amp;MID($A49,2,99),tblBatidas[Batida ID],0)),"")</f>
        <v>OTEMPO</v>
      </c>
      <c r="H49" t="str">
        <f>IFERROR(INDEX(tblBatidas[Atividade],MATCH("B"&amp;MID($A49,2,99),tblBatidas[Batida ID],0)),"")</f>
        <v>TRANSCRIÇÃO</v>
      </c>
      <c r="I49" s="4">
        <f>IFERROR(MOD(INDEX(tblBatidas[Data e hora],MATCH("B"&amp;MID($A49,2,99),tblBatidas[Batida ID],0)),1),"")</f>
        <v>0.42018518518307246</v>
      </c>
      <c r="J49" s="4">
        <f>IFERROR(MOD(INDEX(tblBatidas[Data e hora],MATCH("B"&amp;MID($A49,2,99),tblBatidas[Início vinculado],0)),1),"")</f>
        <v>0.53351851851766696</v>
      </c>
      <c r="K49" s="14">
        <f>IFERROR((INDEX(tblBatidas[Data e hora],MATCH("B"&amp;MID($A49,2,99),tblBatidas[Início vinculado],0))-INDEX(tblBatidas[Data e hora],MATCH("B"&amp;MID($A49,2,99),tblBatidas[Batida ID],0)))*24,"")</f>
        <v>2.720000000030268</v>
      </c>
      <c r="L49">
        <f>IFERROR(INDEX(tblBatidas[Observação],MATCH("B"&amp;MID($A49,2,99),tblBatidas[Início vinculado],0)),"")</f>
        <v>0</v>
      </c>
      <c r="M49" t="str">
        <f>IFERROR(INDEX(tblPessoas[Base],MATCH(E49,tblPessoas[ID],0)),"")</f>
        <v>Hora</v>
      </c>
      <c r="N49" s="3">
        <f>IFERROR(IF(D49="DIA ÚTIL",INDEX(tblPessoas[R$/h útil],MATCH(E49,tblPessoas[ID],0)),INDEX(tblPessoas[R$/h FDS],MATCH(E49,tblPessoas[ID],0))),0)</f>
        <v>21.5</v>
      </c>
      <c r="O49" s="3">
        <f>IFERROR(INDEX(tblPessoas[R$/diária],MATCH(E49,tblPessoas[ID],0)),0)</f>
        <v>0</v>
      </c>
      <c r="P49" s="3">
        <f t="shared" si="2"/>
        <v>58.480000000650762</v>
      </c>
      <c r="Q49" t="str">
        <f>IF(A49="","",IF(COUNTIF(tblBatidas[Início vinculado],"B"&amp;MID($A49,2,99))=0,"EM ABERTO",IF(OR(COUNTIF(tblBatidas[Início vinculado],"B"&amp;MID($A49,2,99))&gt;1,K49&lt;0,K49&gt;16,INT(INDEX(tblBatidas[Data e hora],MATCH("B"&amp;MID($A49,2,99),tblBatidas[Início vinculado],0)))&lt;&gt;B49,INDEX(tblBatidas[ID],MATCH("B"&amp;MID($A49,2,99),tblBatidas[Início vinculado],0))&lt;&gt;E49,INDEX(tblBatidas[Projeto],MATCH("B"&amp;MID($A49,2,99),tblBatidas[Início vinculado],0))&lt;&gt;G49,INDEX(tblBatidas[Atividade],MATCH("B"&amp;MID($A49,2,99),tblBatidas[Início vinculado],0))&lt;&gt;H49),"REVISAR","CONCLUÍDO")))</f>
        <v>CONCLUÍDO</v>
      </c>
      <c r="R49">
        <f>IF(Q49&lt;&gt;"CONCLUÍDO",0,IF(COUNTIFS($E$5:E49,E49,$B$5:B49,B49,$Q$5:Q49,"CONCLUÍDO")=1,1,0))</f>
        <v>1</v>
      </c>
      <c r="S49" t="str">
        <f t="shared" si="3"/>
        <v>yyyy-08</v>
      </c>
      <c r="T49">
        <f>IF(E49="","",E49*100000+COUNTIFS(tblRegistros[ID],E49,tblRegistros[Data],"&lt;"&amp;B49)+COUNTIFS(tblRegistros[ID],E49,tblRegistros[Data],B49,tblRegistros[Início],"&lt;"&amp;I49)+COUNTIFS($E$5:E49,E49,$B$5:B49,B49,$I$5:I49,I49))</f>
        <v>101400003</v>
      </c>
    </row>
    <row r="50" spans="1:20">
      <c r="A50" t="s">
        <v>142</v>
      </c>
      <c r="B50" s="2">
        <f>IFERROR(INT(INDEX(tblBatidas[Data e hora],MATCH("B"&amp;MID($A50,2,99),tblBatidas[Batida ID],0))),"")</f>
        <v>46261</v>
      </c>
      <c r="C50" t="str">
        <f t="shared" si="0"/>
        <v>QUINTA-FEIRA</v>
      </c>
      <c r="D50" t="str">
        <f t="shared" si="1"/>
        <v>DIA ÚTIL</v>
      </c>
      <c r="E50">
        <f>IFERROR(INDEX(tblBatidas[ID],MATCH("B"&amp;MID($A50,2,99),tblBatidas[Batida ID],0)),"")</f>
        <v>1012</v>
      </c>
      <c r="F50" t="str">
        <f>IFERROR(INDEX(tblPessoas[Pessoa],MATCH(E50,tblPessoas[ID],0)),"")</f>
        <v>Nelma Lucia dos S. B. Brandão</v>
      </c>
      <c r="G50" t="str">
        <f>IFERROR(INDEX(tblBatidas[Projeto],MATCH("B"&amp;MID($A50,2,99),tblBatidas[Batida ID],0)),"")</f>
        <v>OTEMPO</v>
      </c>
      <c r="H50" t="str">
        <f>IFERROR(INDEX(tblBatidas[Atividade],MATCH("B"&amp;MID($A50,2,99),tblBatidas[Batida ID],0)),"")</f>
        <v>APOIO OPERACIONAL</v>
      </c>
      <c r="I50" s="4">
        <f>IFERROR(MOD(INDEX(tblBatidas[Data e hora],MATCH("B"&amp;MID($A50,2,99),tblBatidas[Batida ID],0)),1),"")</f>
        <v>0.47487268518307246</v>
      </c>
      <c r="J50" s="4">
        <f>IFERROR(MOD(INDEX(tblBatidas[Data e hora],MATCH("B"&amp;MID($A50,2,99),tblBatidas[Início vinculado],0)),1),"")</f>
        <v>0.54290509259590181</v>
      </c>
      <c r="K50" s="14">
        <f>IFERROR((INDEX(tblBatidas[Data e hora],MATCH("B"&amp;MID($A50,2,99),tblBatidas[Início vinculado],0))-INDEX(tblBatidas[Data e hora],MATCH("B"&amp;MID($A50,2,99),tblBatidas[Batida ID],0)))*24,"")</f>
        <v>1.6327777779079042</v>
      </c>
      <c r="L50" t="str">
        <f>IFERROR(INDEX(tblBatidas[Observação],MATCH("B"&amp;MID($A50,2,99),tblBatidas[Início vinculado],0)),"")</f>
        <v>Intervalo para almoço</v>
      </c>
      <c r="M50" t="str">
        <f>IFERROR(INDEX(tblPessoas[Base],MATCH(E50,tblPessoas[ID],0)),"")</f>
        <v>Diária</v>
      </c>
      <c r="N50" s="3">
        <f>IFERROR(IF(D50="DIA ÚTIL",INDEX(tblPessoas[R$/h útil],MATCH(E50,tblPessoas[ID],0)),INDEX(tblPessoas[R$/h FDS],MATCH(E50,tblPessoas[ID],0))),0)</f>
        <v>0</v>
      </c>
      <c r="O50" s="3">
        <f>IFERROR(INDEX(tblPessoas[R$/diária],MATCH(E50,tblPessoas[ID],0)),0)</f>
        <v>222.72</v>
      </c>
      <c r="P50" s="3">
        <f t="shared" si="2"/>
        <v>0</v>
      </c>
      <c r="Q50" t="str">
        <f>IF(A50="","",IF(COUNTIF(tblBatidas[Início vinculado],"B"&amp;MID($A50,2,99))=0,"EM ABERTO",IF(OR(COUNTIF(tblBatidas[Início vinculado],"B"&amp;MID($A50,2,99))&gt;1,K50&lt;0,K50&gt;16,INT(INDEX(tblBatidas[Data e hora],MATCH("B"&amp;MID($A50,2,99),tblBatidas[Início vinculado],0)))&lt;&gt;B50,INDEX(tblBatidas[ID],MATCH("B"&amp;MID($A50,2,99),tblBatidas[Início vinculado],0))&lt;&gt;E50,INDEX(tblBatidas[Projeto],MATCH("B"&amp;MID($A50,2,99),tblBatidas[Início vinculado],0))&lt;&gt;G50,INDEX(tblBatidas[Atividade],MATCH("B"&amp;MID($A50,2,99),tblBatidas[Início vinculado],0))&lt;&gt;H50),"REVISAR","CONCLUÍDO")))</f>
        <v>CONCLUÍDO</v>
      </c>
      <c r="R50">
        <f>IF(Q50&lt;&gt;"CONCLUÍDO",0,IF(COUNTIFS($E$5:E50,E50,$B$5:B50,B50,$Q$5:Q50,"CONCLUÍDO")=1,1,0))</f>
        <v>0</v>
      </c>
      <c r="S50" t="str">
        <f t="shared" si="3"/>
        <v>yyyy-08</v>
      </c>
      <c r="T50">
        <f>IF(E50="","",E50*100000+COUNTIFS(tblRegistros[ID],E50,tblRegistros[Data],"&lt;"&amp;B50)+COUNTIFS(tblRegistros[ID],E50,tblRegistros[Data],B50,tblRegistros[Início],"&lt;"&amp;I50)+COUNTIFS($E$5:E50,E50,$B$5:B50,B50,$I$5:I50,I50))</f>
        <v>101200004</v>
      </c>
    </row>
    <row r="51" spans="1:20">
      <c r="A51" t="s">
        <v>143</v>
      </c>
      <c r="B51" s="2">
        <f>IFERROR(INT(INDEX(tblBatidas[Data e hora],MATCH("B"&amp;MID($A51,2,99),tblBatidas[Batida ID],0))),"")</f>
        <v>46261</v>
      </c>
      <c r="C51" t="str">
        <f t="shared" si="0"/>
        <v>QUINTA-FEIRA</v>
      </c>
      <c r="D51" t="str">
        <f t="shared" si="1"/>
        <v>DIA ÚTIL</v>
      </c>
      <c r="E51">
        <f>IFERROR(INDEX(tblBatidas[ID],MATCH("B"&amp;MID($A51,2,99),tblBatidas[Batida ID],0)),"")</f>
        <v>1006</v>
      </c>
      <c r="F51" t="str">
        <f>IFERROR(INDEX(tblPessoas[Pessoa],MATCH(E51,tblPessoas[ID],0)),"")</f>
        <v>Eliane dos Santos Oliveira</v>
      </c>
      <c r="G51" t="str">
        <f>IFERROR(INDEX(tblBatidas[Projeto],MATCH("B"&amp;MID($A51,2,99),tblBatidas[Batida ID],0)),"")</f>
        <v>TOOLKIT</v>
      </c>
      <c r="H51" t="str">
        <f>IFERROR(INDEX(tblBatidas[Atividade],MATCH("B"&amp;MID($A51,2,99),tblBatidas[Batida ID],0)),"")</f>
        <v>CHECAGEM</v>
      </c>
      <c r="I51" s="4">
        <f>IFERROR(MOD(INDEX(tblBatidas[Data e hora],MATCH("B"&amp;MID($A51,2,99),tblBatidas[Batida ID],0)),1),"")</f>
        <v>0.52714120370364981</v>
      </c>
      <c r="J51" s="4">
        <f>IFERROR(MOD(INDEX(tblBatidas[Data e hora],MATCH("B"&amp;MID($A51,2,99),tblBatidas[Início vinculado],0)),1),"")</f>
        <v>0.81027777777489973</v>
      </c>
      <c r="K51" s="14">
        <f>IFERROR((INDEX(tblBatidas[Data e hora],MATCH("B"&amp;MID($A51,2,99),tblBatidas[Início vinculado],0))-INDEX(tblBatidas[Data e hora],MATCH("B"&amp;MID($A51,2,99),tblBatidas[Batida ID],0)))*24,"")</f>
        <v>6.7952777777099982</v>
      </c>
      <c r="L51" t="str">
        <f>IFERROR(INDEX(tblBatidas[Observação],MATCH("B"&amp;MID($A51,2,99),tblBatidas[Início vinculado],0)),"")</f>
        <v>checagem toolkit</v>
      </c>
      <c r="M51" t="str">
        <f>IFERROR(INDEX(tblPessoas[Base],MATCH(E51,tblPessoas[ID],0)),"")</f>
        <v>Hora</v>
      </c>
      <c r="N51" s="3">
        <f>IFERROR(IF(D51="DIA ÚTIL",INDEX(tblPessoas[R$/h útil],MATCH(E51,tblPessoas[ID],0)),INDEX(tblPessoas[R$/h FDS],MATCH(E51,tblPessoas[ID],0))),0)</f>
        <v>14</v>
      </c>
      <c r="O51" s="3">
        <f>IFERROR(INDEX(tblPessoas[R$/diária],MATCH(E51,tblPessoas[ID],0)),0)</f>
        <v>0</v>
      </c>
      <c r="P51" s="3">
        <f t="shared" si="2"/>
        <v>95.133888887939975</v>
      </c>
      <c r="Q51" t="str">
        <f>IF(A51="","",IF(COUNTIF(tblBatidas[Início vinculado],"B"&amp;MID($A51,2,99))=0,"EM ABERTO",IF(OR(COUNTIF(tblBatidas[Início vinculado],"B"&amp;MID($A51,2,99))&gt;1,K51&lt;0,K51&gt;16,INT(INDEX(tblBatidas[Data e hora],MATCH("B"&amp;MID($A51,2,99),tblBatidas[Início vinculado],0)))&lt;&gt;B51,INDEX(tblBatidas[ID],MATCH("B"&amp;MID($A51,2,99),tblBatidas[Início vinculado],0))&lt;&gt;E51,INDEX(tblBatidas[Projeto],MATCH("B"&amp;MID($A51,2,99),tblBatidas[Início vinculado],0))&lt;&gt;G51,INDEX(tblBatidas[Atividade],MATCH("B"&amp;MID($A51,2,99),tblBatidas[Início vinculado],0))&lt;&gt;H51),"REVISAR","CONCLUÍDO")))</f>
        <v>CONCLUÍDO</v>
      </c>
      <c r="R51">
        <f>IF(Q51&lt;&gt;"CONCLUÍDO",0,IF(COUNTIFS($E$5:E51,E51,$B$5:B51,B51,$Q$5:Q51,"CONCLUÍDO")=1,1,0))</f>
        <v>1</v>
      </c>
      <c r="S51" t="str">
        <f t="shared" si="3"/>
        <v>yyyy-08</v>
      </c>
      <c r="T51">
        <f>IF(E51="","",E51*100000+COUNTIFS(tblRegistros[ID],E51,tblRegistros[Data],"&lt;"&amp;B51)+COUNTIFS(tblRegistros[ID],E51,tblRegistros[Data],B51,tblRegistros[Início],"&lt;"&amp;I51)+COUNTIFS($E$5:E51,E51,$B$5:B51,B51,$I$5:I51,I51))</f>
        <v>100600003</v>
      </c>
    </row>
    <row r="52" spans="1:20">
      <c r="A52" t="s">
        <v>144</v>
      </c>
      <c r="B52" s="2">
        <f>IFERROR(INT(INDEX(tblBatidas[Data e hora],MATCH("B"&amp;MID($A52,2,99),tblBatidas[Batida ID],0))),"")</f>
        <v>46261</v>
      </c>
      <c r="C52" t="str">
        <f t="shared" si="0"/>
        <v>QUINTA-FEIRA</v>
      </c>
      <c r="D52" t="str">
        <f t="shared" si="1"/>
        <v>DIA ÚTIL</v>
      </c>
      <c r="E52">
        <f>IFERROR(INDEX(tblBatidas[ID],MATCH("B"&amp;MID($A52,2,99),tblBatidas[Batida ID],0)),"")</f>
        <v>1003</v>
      </c>
      <c r="F52" t="str">
        <f>IFERROR(INDEX(tblPessoas[Pessoa],MATCH(E52,tblPessoas[ID],0)),"")</f>
        <v>Amanda do Carmo Ribeiro</v>
      </c>
      <c r="G52" t="str">
        <f>IFERROR(INDEX(tblBatidas[Projeto],MATCH("B"&amp;MID($A52,2,99),tblBatidas[Batida ID],0)),"")</f>
        <v>OTEMPO</v>
      </c>
      <c r="H52" t="str">
        <f>IFERROR(INDEX(tblBatidas[Atividade],MATCH("B"&amp;MID($A52,2,99),tblBatidas[Batida ID],0)),"")</f>
        <v>ANÁLISE</v>
      </c>
      <c r="I52" s="4">
        <f>IFERROR(MOD(INDEX(tblBatidas[Data e hora],MATCH("B"&amp;MID($A52,2,99),tblBatidas[Batida ID],0)),1),"")</f>
        <v>0.56771990740526235</v>
      </c>
      <c r="J52" s="4">
        <f>IFERROR(MOD(INDEX(tblBatidas[Data e hora],MATCH("B"&amp;MID($A52,2,99),tblBatidas[Início vinculado],0)),1),"")</f>
        <v>0.75015046296175569</v>
      </c>
      <c r="K52" s="14">
        <f>IFERROR((INDEX(tblBatidas[Data e hora],MATCH("B"&amp;MID($A52,2,99),tblBatidas[Início vinculado],0))-INDEX(tblBatidas[Data e hora],MATCH("B"&amp;MID($A52,2,99),tblBatidas[Batida ID],0)))*24,"")</f>
        <v>4.3783333333558403</v>
      </c>
      <c r="L52">
        <f>IFERROR(INDEX(tblBatidas[Observação],MATCH("B"&amp;MID($A52,2,99),tblBatidas[Início vinculado],0)),"")</f>
        <v>0</v>
      </c>
      <c r="M52" t="str">
        <f>IFERROR(INDEX(tblPessoas[Base],MATCH(E52,tblPessoas[ID],0)),"")</f>
        <v>Hora</v>
      </c>
      <c r="N52" s="3">
        <f>IFERROR(IF(D52="DIA ÚTIL",INDEX(tblPessoas[R$/h útil],MATCH(E52,tblPessoas[ID],0)),INDEX(tblPessoas[R$/h FDS],MATCH(E52,tblPessoas[ID],0))),0)</f>
        <v>23.5</v>
      </c>
      <c r="O52" s="3">
        <f>IFERROR(INDEX(tblPessoas[R$/diária],MATCH(E52,tblPessoas[ID],0)),0)</f>
        <v>0</v>
      </c>
      <c r="P52" s="3">
        <f t="shared" si="2"/>
        <v>102.89083333386225</v>
      </c>
      <c r="Q52" t="str">
        <f>IF(A52="","",IF(COUNTIF(tblBatidas[Início vinculado],"B"&amp;MID($A52,2,99))=0,"EM ABERTO",IF(OR(COUNTIF(tblBatidas[Início vinculado],"B"&amp;MID($A52,2,99))&gt;1,K52&lt;0,K52&gt;16,INT(INDEX(tblBatidas[Data e hora],MATCH("B"&amp;MID($A52,2,99),tblBatidas[Início vinculado],0)))&lt;&gt;B52,INDEX(tblBatidas[ID],MATCH("B"&amp;MID($A52,2,99),tblBatidas[Início vinculado],0))&lt;&gt;E52,INDEX(tblBatidas[Projeto],MATCH("B"&amp;MID($A52,2,99),tblBatidas[Início vinculado],0))&lt;&gt;G52,INDEX(tblBatidas[Atividade],MATCH("B"&amp;MID($A52,2,99),tblBatidas[Início vinculado],0))&lt;&gt;H52),"REVISAR","CONCLUÍDO")))</f>
        <v>CONCLUÍDO</v>
      </c>
      <c r="R52">
        <f>IF(Q52&lt;&gt;"CONCLUÍDO",0,IF(COUNTIFS($E$5:E52,E52,$B$5:B52,B52,$Q$5:Q52,"CONCLUÍDO")=1,1,0))</f>
        <v>1</v>
      </c>
      <c r="S52" t="str">
        <f t="shared" si="3"/>
        <v>yyyy-08</v>
      </c>
      <c r="T52">
        <f>IF(E52="","",E52*100000+COUNTIFS(tblRegistros[ID],E52,tblRegistros[Data],"&lt;"&amp;B52)+COUNTIFS(tblRegistros[ID],E52,tblRegistros[Data],B52,tblRegistros[Início],"&lt;"&amp;I52)+COUNTIFS($E$5:E52,E52,$B$5:B52,B52,$I$5:I52,I52))</f>
        <v>100300004</v>
      </c>
    </row>
    <row r="53" spans="1:20">
      <c r="A53" t="s">
        <v>145</v>
      </c>
      <c r="B53" s="2">
        <f>IFERROR(INT(INDEX(tblBatidas[Data e hora],MATCH("B"&amp;MID($A53,2,99),tblBatidas[Batida ID],0))),"")</f>
        <v>46261</v>
      </c>
      <c r="C53" t="str">
        <f t="shared" si="0"/>
        <v>QUINTA-FEIRA</v>
      </c>
      <c r="D53" t="str">
        <f t="shared" si="1"/>
        <v>DIA ÚTIL</v>
      </c>
      <c r="E53">
        <f>IFERROR(INDEX(tblBatidas[ID],MATCH("B"&amp;MID($A53,2,99),tblBatidas[Batida ID],0)),"")</f>
        <v>1016</v>
      </c>
      <c r="F53" t="str">
        <f>IFERROR(INDEX(tblPessoas[Pessoa],MATCH(E53,tblPessoas[ID],0)),"")</f>
        <v>Ana Luisa Nardin</v>
      </c>
      <c r="G53" t="str">
        <f>IFERROR(INDEX(tblBatidas[Projeto],MATCH("B"&amp;MID($A53,2,99),tblBatidas[Batida ID],0)),"")</f>
        <v>CFI / ACCION</v>
      </c>
      <c r="H53" t="str">
        <f>IFERROR(INDEX(tblBatidas[Atividade],MATCH("B"&amp;MID($A53,2,99),tblBatidas[Batida ID],0)),"")</f>
        <v>ANÁLISE</v>
      </c>
      <c r="I53" s="4">
        <f>IFERROR(MOD(INDEX(tblBatidas[Data e hora],MATCH("B"&amp;MID($A53,2,99),tblBatidas[Batida ID],0)),1),"")</f>
        <v>0.57641203703678912</v>
      </c>
      <c r="J53" s="4">
        <f>IFERROR(MOD(INDEX(tblBatidas[Data e hora],MATCH("B"&amp;MID($A53,2,99),tblBatidas[Início vinculado],0)),1),"")</f>
        <v>0.75499999999738066</v>
      </c>
      <c r="K53" s="14">
        <f>IFERROR((INDEX(tblBatidas[Data e hora],MATCH("B"&amp;MID($A53,2,99),tblBatidas[Início vinculado],0))-INDEX(tblBatidas[Data e hora],MATCH("B"&amp;MID($A53,2,99),tblBatidas[Batida ID],0)))*24,"")</f>
        <v>4.286111111054197</v>
      </c>
      <c r="L53">
        <f>IFERROR(INDEX(tblBatidas[Observação],MATCH("B"&amp;MID($A53,2,99),tblBatidas[Início vinculado],0)),"")</f>
        <v>0</v>
      </c>
      <c r="M53" t="str">
        <f>IFERROR(INDEX(tblPessoas[Base],MATCH(E53,tblPessoas[ID],0)),"")</f>
        <v>Hora</v>
      </c>
      <c r="N53" s="3">
        <f>IFERROR(IF(D53="DIA ÚTIL",INDEX(tblPessoas[R$/h útil],MATCH(E53,tblPessoas[ID],0)),INDEX(tblPessoas[R$/h FDS],MATCH(E53,tblPessoas[ID],0))),0)</f>
        <v>23.5</v>
      </c>
      <c r="O53" s="3">
        <f>IFERROR(INDEX(tblPessoas[R$/diária],MATCH(E53,tblPessoas[ID],0)),0)</f>
        <v>0</v>
      </c>
      <c r="P53" s="3">
        <f t="shared" si="2"/>
        <v>100.72361110977363</v>
      </c>
      <c r="Q53" t="str">
        <f>IF(A53="","",IF(COUNTIF(tblBatidas[Início vinculado],"B"&amp;MID($A53,2,99))=0,"EM ABERTO",IF(OR(COUNTIF(tblBatidas[Início vinculado],"B"&amp;MID($A53,2,99))&gt;1,K53&lt;0,K53&gt;16,INT(INDEX(tblBatidas[Data e hora],MATCH("B"&amp;MID($A53,2,99),tblBatidas[Início vinculado],0)))&lt;&gt;B53,INDEX(tblBatidas[ID],MATCH("B"&amp;MID($A53,2,99),tblBatidas[Início vinculado],0))&lt;&gt;E53,INDEX(tblBatidas[Projeto],MATCH("B"&amp;MID($A53,2,99),tblBatidas[Início vinculado],0))&lt;&gt;G53,INDEX(tblBatidas[Atividade],MATCH("B"&amp;MID($A53,2,99),tblBatidas[Início vinculado],0))&lt;&gt;H53),"REVISAR","CONCLUÍDO")))</f>
        <v>CONCLUÍDO</v>
      </c>
      <c r="R53">
        <f>IF(Q53&lt;&gt;"CONCLUÍDO",0,IF(COUNTIFS($E$5:E53,E53,$B$5:B53,B53,$Q$5:Q53,"CONCLUÍDO")=1,1,0))</f>
        <v>0</v>
      </c>
      <c r="S53" t="str">
        <f t="shared" si="3"/>
        <v>yyyy-08</v>
      </c>
      <c r="T53">
        <f>IF(E53="","",E53*100000+COUNTIFS(tblRegistros[ID],E53,tblRegistros[Data],"&lt;"&amp;B53)+COUNTIFS(tblRegistros[ID],E53,tblRegistros[Data],B53,tblRegistros[Início],"&lt;"&amp;I53)+COUNTIFS($E$5:E53,E53,$B$5:B53,B53,$I$5:I53,I53))</f>
        <v>101600011</v>
      </c>
    </row>
    <row r="54" spans="1:20">
      <c r="A54" t="s">
        <v>146</v>
      </c>
      <c r="B54" s="2">
        <f>IFERROR(INT(INDEX(tblBatidas[Data e hora],MATCH("B"&amp;MID($A54,2,99),tblBatidas[Batida ID],0))),"")</f>
        <v>46261</v>
      </c>
      <c r="C54" t="str">
        <f t="shared" si="0"/>
        <v>QUINTA-FEIRA</v>
      </c>
      <c r="D54" t="str">
        <f t="shared" si="1"/>
        <v>DIA ÚTIL</v>
      </c>
      <c r="E54">
        <f>IFERROR(INDEX(tblBatidas[ID],MATCH("B"&amp;MID($A54,2,99),tblBatidas[Batida ID],0)),"")</f>
        <v>1015</v>
      </c>
      <c r="F54" t="str">
        <f>IFERROR(INDEX(tblPessoas[Pessoa],MATCH(E54,tblPessoas[ID],0)),"")</f>
        <v>Vitor Guilherme Miguel Rocha</v>
      </c>
      <c r="G54" t="str">
        <f>IFERROR(INDEX(tblBatidas[Projeto],MATCH("B"&amp;MID($A54,2,99),tblBatidas[Batida ID],0)),"")</f>
        <v>ADMINISTRATIVO</v>
      </c>
      <c r="H54" t="str">
        <f>IFERROR(INDEX(tblBatidas[Atividade],MATCH("B"&amp;MID($A54,2,99),tblBatidas[Batida ID],0)),"")</f>
        <v>ADMINISTRATIVO</v>
      </c>
      <c r="I54" s="4">
        <f>IFERROR(MOD(INDEX(tblBatidas[Data e hora],MATCH("B"&amp;MID($A54,2,99),tblBatidas[Batida ID],0)),1),"")</f>
        <v>0.57951388888614019</v>
      </c>
      <c r="J54" s="4">
        <f>IFERROR(MOD(INDEX(tblBatidas[Data e hora],MATCH("B"&amp;MID($A54,2,99),tblBatidas[Início vinculado],0)),1),"")</f>
        <v>0.74686342592758592</v>
      </c>
      <c r="K54" s="14">
        <f>IFERROR((INDEX(tblBatidas[Data e hora],MATCH("B"&amp;MID($A54,2,99),tblBatidas[Início vinculado],0))-INDEX(tblBatidas[Data e hora],MATCH("B"&amp;MID($A54,2,99),tblBatidas[Batida ID],0)))*24,"")</f>
        <v>4.0163888889946975</v>
      </c>
      <c r="L54">
        <f>IFERROR(INDEX(tblBatidas[Observação],MATCH("B"&amp;MID($A54,2,99),tblBatidas[Início vinculado],0)),"")</f>
        <v>0</v>
      </c>
      <c r="M54" t="str">
        <f>IFERROR(INDEX(tblPessoas[Base],MATCH(E54,tblPessoas[ID],0)),"")</f>
        <v>Hora</v>
      </c>
      <c r="N54" s="3">
        <f>IFERROR(IF(D54="DIA ÚTIL",INDEX(tblPessoas[R$/h útil],MATCH(E54,tblPessoas[ID],0)),INDEX(tblPessoas[R$/h FDS],MATCH(E54,tblPessoas[ID],0))),0)</f>
        <v>21.5</v>
      </c>
      <c r="O54" s="3">
        <f>IFERROR(INDEX(tblPessoas[R$/diária],MATCH(E54,tblPessoas[ID],0)),0)</f>
        <v>0</v>
      </c>
      <c r="P54" s="3">
        <f t="shared" si="2"/>
        <v>86.352361113385996</v>
      </c>
      <c r="Q54" t="str">
        <f>IF(A54="","",IF(COUNTIF(tblBatidas[Início vinculado],"B"&amp;MID($A54,2,99))=0,"EM ABERTO",IF(OR(COUNTIF(tblBatidas[Início vinculado],"B"&amp;MID($A54,2,99))&gt;1,K54&lt;0,K54&gt;16,INT(INDEX(tblBatidas[Data e hora],MATCH("B"&amp;MID($A54,2,99),tblBatidas[Início vinculado],0)))&lt;&gt;B54,INDEX(tblBatidas[ID],MATCH("B"&amp;MID($A54,2,99),tblBatidas[Início vinculado],0))&lt;&gt;E54,INDEX(tblBatidas[Projeto],MATCH("B"&amp;MID($A54,2,99),tblBatidas[Início vinculado],0))&lt;&gt;G54,INDEX(tblBatidas[Atividade],MATCH("B"&amp;MID($A54,2,99),tblBatidas[Início vinculado],0))&lt;&gt;H54),"REVISAR","CONCLUÍDO")))</f>
        <v>CONCLUÍDO</v>
      </c>
      <c r="R54">
        <f>IF(Q54&lt;&gt;"CONCLUÍDO",0,IF(COUNTIFS($E$5:E54,E54,$B$5:B54,B54,$Q$5:Q54,"CONCLUÍDO")=1,1,0))</f>
        <v>0</v>
      </c>
      <c r="S54" t="str">
        <f t="shared" si="3"/>
        <v>yyyy-08</v>
      </c>
      <c r="T54">
        <f>IF(E54="","",E54*100000+COUNTIFS(tblRegistros[ID],E54,tblRegistros[Data],"&lt;"&amp;B54)+COUNTIFS(tblRegistros[ID],E54,tblRegistros[Data],B54,tblRegistros[Início],"&lt;"&amp;I54)+COUNTIFS($E$5:E54,E54,$B$5:B54,B54,$I$5:I54,I54))</f>
        <v>101500010</v>
      </c>
    </row>
    <row r="55" spans="1:20">
      <c r="A55" t="s">
        <v>147</v>
      </c>
      <c r="B55" s="2">
        <f>IFERROR(INT(INDEX(tblBatidas[Data e hora],MATCH("B"&amp;MID($A55,2,99),tblBatidas[Batida ID],0))),"")</f>
        <v>46261</v>
      </c>
      <c r="C55" t="str">
        <f t="shared" si="0"/>
        <v>QUINTA-FEIRA</v>
      </c>
      <c r="D55" t="str">
        <f t="shared" si="1"/>
        <v>DIA ÚTIL</v>
      </c>
      <c r="E55">
        <f>IFERROR(INDEX(tblBatidas[ID],MATCH("B"&amp;MID($A55,2,99),tblBatidas[Batida ID],0)),"")</f>
        <v>1014</v>
      </c>
      <c r="F55" t="str">
        <f>IFERROR(INDEX(tblPessoas[Pessoa],MATCH(E55,tblPessoas[ID],0)),"")</f>
        <v>Robert Filipe Orlando de Souza</v>
      </c>
      <c r="G55" t="str">
        <f>IFERROR(INDEX(tblBatidas[Projeto],MATCH("B"&amp;MID($A55,2,99),tblBatidas[Batida ID],0)),"")</f>
        <v>OTEMPO</v>
      </c>
      <c r="H55" t="str">
        <f>IFERROR(INDEX(tblBatidas[Atividade],MATCH("B"&amp;MID($A55,2,99),tblBatidas[Batida ID],0)),"")</f>
        <v>TRANSCRIÇÃO</v>
      </c>
      <c r="I55" s="4">
        <f>IFERROR(MOD(INDEX(tblBatidas[Data e hora],MATCH("B"&amp;MID($A55,2,99),tblBatidas[Batida ID],0)),1),"")</f>
        <v>0.58018518518656492</v>
      </c>
      <c r="J55" s="4">
        <f>IFERROR(MOD(INDEX(tblBatidas[Data e hora],MATCH("B"&amp;MID($A55,2,99),tblBatidas[Início vinculado],0)),1),"")</f>
        <v>0.75818287036963739</v>
      </c>
      <c r="K55" s="14">
        <f>IFERROR((INDEX(tblBatidas[Data e hora],MATCH("B"&amp;MID($A55,2,99),tblBatidas[Início vinculado],0))-INDEX(tblBatidas[Data e hora],MATCH("B"&amp;MID($A55,2,99),tblBatidas[Batida ID],0)))*24,"")</f>
        <v>4.2719444443937391</v>
      </c>
      <c r="L55">
        <f>IFERROR(INDEX(tblBatidas[Observação],MATCH("B"&amp;MID($A55,2,99),tblBatidas[Início vinculado],0)),"")</f>
        <v>0</v>
      </c>
      <c r="M55" t="str">
        <f>IFERROR(INDEX(tblPessoas[Base],MATCH(E55,tblPessoas[ID],0)),"")</f>
        <v>Hora</v>
      </c>
      <c r="N55" s="3">
        <f>IFERROR(IF(D55="DIA ÚTIL",INDEX(tblPessoas[R$/h útil],MATCH(E55,tblPessoas[ID],0)),INDEX(tblPessoas[R$/h FDS],MATCH(E55,tblPessoas[ID],0))),0)</f>
        <v>21.5</v>
      </c>
      <c r="O55" s="3">
        <f>IFERROR(INDEX(tblPessoas[R$/diária],MATCH(E55,tblPessoas[ID],0)),0)</f>
        <v>0</v>
      </c>
      <c r="P55" s="3">
        <f t="shared" si="2"/>
        <v>91.846805554465391</v>
      </c>
      <c r="Q55" t="str">
        <f>IF(A55="","",IF(COUNTIF(tblBatidas[Início vinculado],"B"&amp;MID($A55,2,99))=0,"EM ABERTO",IF(OR(COUNTIF(tblBatidas[Início vinculado],"B"&amp;MID($A55,2,99))&gt;1,K55&lt;0,K55&gt;16,INT(INDEX(tblBatidas[Data e hora],MATCH("B"&amp;MID($A55,2,99),tblBatidas[Início vinculado],0)))&lt;&gt;B55,INDEX(tblBatidas[ID],MATCH("B"&amp;MID($A55,2,99),tblBatidas[Início vinculado],0))&lt;&gt;E55,INDEX(tblBatidas[Projeto],MATCH("B"&amp;MID($A55,2,99),tblBatidas[Início vinculado],0))&lt;&gt;G55,INDEX(tblBatidas[Atividade],MATCH("B"&amp;MID($A55,2,99),tblBatidas[Início vinculado],0))&lt;&gt;H55),"REVISAR","CONCLUÍDO")))</f>
        <v>CONCLUÍDO</v>
      </c>
      <c r="R55">
        <f>IF(Q55&lt;&gt;"CONCLUÍDO",0,IF(COUNTIFS($E$5:E55,E55,$B$5:B55,B55,$Q$5:Q55,"CONCLUÍDO")=1,1,0))</f>
        <v>0</v>
      </c>
      <c r="S55" t="str">
        <f t="shared" si="3"/>
        <v>yyyy-08</v>
      </c>
      <c r="T55">
        <f>IF(E55="","",E55*100000+COUNTIFS(tblRegistros[ID],E55,tblRegistros[Data],"&lt;"&amp;B55)+COUNTIFS(tblRegistros[ID],E55,tblRegistros[Data],B55,tblRegistros[Início],"&lt;"&amp;I55)+COUNTIFS($E$5:E55,E55,$B$5:B55,B55,$I$5:I55,I55))</f>
        <v>101400004</v>
      </c>
    </row>
    <row r="56" spans="1:20">
      <c r="A56" t="s">
        <v>148</v>
      </c>
      <c r="B56" s="2">
        <f>IFERROR(INT(INDEX(tblBatidas[Data e hora],MATCH("B"&amp;MID($A56,2,99),tblBatidas[Batida ID],0))),"")</f>
        <v>46261</v>
      </c>
      <c r="C56" t="str">
        <f t="shared" si="0"/>
        <v>QUINTA-FEIRA</v>
      </c>
      <c r="D56" t="str">
        <f t="shared" si="1"/>
        <v>DIA ÚTIL</v>
      </c>
      <c r="E56">
        <f>IFERROR(INDEX(tblBatidas[ID],MATCH("B"&amp;MID($A56,2,99),tblBatidas[Batida ID],0)),"")</f>
        <v>1011</v>
      </c>
      <c r="F56" t="str">
        <f>IFERROR(INDEX(tblPessoas[Pessoa],MATCH(E56,tblPessoas[ID],0)),"")</f>
        <v>Nathalia Arruda</v>
      </c>
      <c r="G56" t="str">
        <f>IFERROR(INDEX(tblBatidas[Projeto],MATCH("B"&amp;MID($A56,2,99),tblBatidas[Batida ID],0)),"")</f>
        <v>OTEMPO</v>
      </c>
      <c r="H56" t="str">
        <f>IFERROR(INDEX(tblBatidas[Atividade],MATCH("B"&amp;MID($A56,2,99),tblBatidas[Batida ID],0)),"")</f>
        <v>ANÁLISE</v>
      </c>
      <c r="I56" s="4">
        <f>IFERROR(MOD(INDEX(tblBatidas[Data e hora],MATCH("B"&amp;MID($A56,2,99),tblBatidas[Batida ID],0)),1),"")</f>
        <v>0.58114583333372138</v>
      </c>
      <c r="J56" s="4">
        <f>IFERROR(MOD(INDEX(tblBatidas[Data e hora],MATCH("B"&amp;MID($A56,2,99),tblBatidas[Início vinculado],0)),1),"")</f>
        <v>0.79545138889079681</v>
      </c>
      <c r="K56" s="14">
        <f>IFERROR((INDEX(tblBatidas[Data e hora],MATCH("B"&amp;MID($A56,2,99),tblBatidas[Início vinculado],0))-INDEX(tblBatidas[Data e hora],MATCH("B"&amp;MID($A56,2,99),tblBatidas[Batida ID],0)))*24,"")</f>
        <v>5.1433333333698101</v>
      </c>
      <c r="L56" t="str">
        <f>IFERROR(INDEX(tblBatidas[Observação],MATCH("B"&amp;MID($A56,2,99),tblBatidas[Início vinculado],0)),"")</f>
        <v>Preparando materiais</v>
      </c>
      <c r="M56" t="str">
        <f>IFERROR(INDEX(tblPessoas[Base],MATCH(E56,tblPessoas[ID],0)),"")</f>
        <v>Hora</v>
      </c>
      <c r="N56" s="3">
        <f>IFERROR(IF(D56="DIA ÚTIL",INDEX(tblPessoas[R$/h útil],MATCH(E56,tblPessoas[ID],0)),INDEX(tblPessoas[R$/h FDS],MATCH(E56,tblPessoas[ID],0))),0)</f>
        <v>23.5</v>
      </c>
      <c r="O56" s="3">
        <f>IFERROR(INDEX(tblPessoas[R$/diária],MATCH(E56,tblPessoas[ID],0)),0)</f>
        <v>0</v>
      </c>
      <c r="P56" s="3">
        <f t="shared" si="2"/>
        <v>120.86833333419054</v>
      </c>
      <c r="Q56" t="str">
        <f>IF(A56="","",IF(COUNTIF(tblBatidas[Início vinculado],"B"&amp;MID($A56,2,99))=0,"EM ABERTO",IF(OR(COUNTIF(tblBatidas[Início vinculado],"B"&amp;MID($A56,2,99))&gt;1,K56&lt;0,K56&gt;16,INT(INDEX(tblBatidas[Data e hora],MATCH("B"&amp;MID($A56,2,99),tblBatidas[Início vinculado],0)))&lt;&gt;B56,INDEX(tblBatidas[ID],MATCH("B"&amp;MID($A56,2,99),tblBatidas[Início vinculado],0))&lt;&gt;E56,INDEX(tblBatidas[Projeto],MATCH("B"&amp;MID($A56,2,99),tblBatidas[Início vinculado],0))&lt;&gt;G56,INDEX(tblBatidas[Atividade],MATCH("B"&amp;MID($A56,2,99),tblBatidas[Início vinculado],0))&lt;&gt;H56),"REVISAR","CONCLUÍDO")))</f>
        <v>CONCLUÍDO</v>
      </c>
      <c r="R56">
        <f>IF(Q56&lt;&gt;"CONCLUÍDO",0,IF(COUNTIFS($E$5:E56,E56,$B$5:B56,B56,$Q$5:Q56,"CONCLUÍDO")=1,1,0))</f>
        <v>1</v>
      </c>
      <c r="S56" t="str">
        <f t="shared" si="3"/>
        <v>yyyy-08</v>
      </c>
      <c r="T56">
        <f>IF(E56="","",E56*100000+COUNTIFS(tblRegistros[ID],E56,tblRegistros[Data],"&lt;"&amp;B56)+COUNTIFS(tblRegistros[ID],E56,tblRegistros[Data],B56,tblRegistros[Início],"&lt;"&amp;I56)+COUNTIFS($E$5:E56,E56,$B$5:B56,B56,$I$5:I56,I56))</f>
        <v>101100004</v>
      </c>
    </row>
    <row r="57" spans="1:20">
      <c r="A57" t="s">
        <v>149</v>
      </c>
      <c r="B57" s="2">
        <f>IFERROR(INT(INDEX(tblBatidas[Data e hora],MATCH("B"&amp;MID($A57,2,99),tblBatidas[Batida ID],0))),"")</f>
        <v>46261</v>
      </c>
      <c r="C57" t="str">
        <f t="shared" si="0"/>
        <v>QUINTA-FEIRA</v>
      </c>
      <c r="D57" t="str">
        <f t="shared" si="1"/>
        <v>DIA ÚTIL</v>
      </c>
      <c r="E57">
        <f>IFERROR(INDEX(tblBatidas[ID],MATCH("B"&amp;MID($A57,2,99),tblBatidas[Batida ID],0)),"")</f>
        <v>1012</v>
      </c>
      <c r="F57" t="str">
        <f>IFERROR(INDEX(tblPessoas[Pessoa],MATCH(E57,tblPessoas[ID],0)),"")</f>
        <v>Nelma Lucia dos S. B. Brandão</v>
      </c>
      <c r="G57" t="str">
        <f>IFERROR(INDEX(tblBatidas[Projeto],MATCH("B"&amp;MID($A57,2,99),tblBatidas[Batida ID],0)),"")</f>
        <v>OTEMPO</v>
      </c>
      <c r="H57" t="str">
        <f>IFERROR(INDEX(tblBatidas[Atividade],MATCH("B"&amp;MID($A57,2,99),tblBatidas[Batida ID],0)),"")</f>
        <v>APOIO OPERACIONAL</v>
      </c>
      <c r="I57" s="4">
        <f>IFERROR(MOD(INDEX(tblBatidas[Data e hora],MATCH("B"&amp;MID($A57,2,99),tblBatidas[Batida ID],0)),1),"")</f>
        <v>0.59549768518627388</v>
      </c>
      <c r="J57" s="4" t="str">
        <f>IFERROR(MOD(INDEX(tblBatidas[Data e hora],MATCH("B"&amp;MID($A57,2,99),tblBatidas[Início vinculado],0)),1),"")</f>
        <v/>
      </c>
      <c r="K57" s="14" t="str">
        <f>IFERROR((INDEX(tblBatidas[Data e hora],MATCH("B"&amp;MID($A57,2,99),tblBatidas[Início vinculado],0))-INDEX(tblBatidas[Data e hora],MATCH("B"&amp;MID($A57,2,99),tblBatidas[Batida ID],0)))*24,"")</f>
        <v/>
      </c>
      <c r="L57" t="str">
        <f>IFERROR(INDEX(tblBatidas[Observação],MATCH("B"&amp;MID($A57,2,99),tblBatidas[Início vinculado],0)),"")</f>
        <v/>
      </c>
      <c r="M57" t="str">
        <f>IFERROR(INDEX(tblPessoas[Base],MATCH(E57,tblPessoas[ID],0)),"")</f>
        <v>Diária</v>
      </c>
      <c r="N57" s="3">
        <f>IFERROR(IF(D57="DIA ÚTIL",INDEX(tblPessoas[R$/h útil],MATCH(E57,tblPessoas[ID],0)),INDEX(tblPessoas[R$/h FDS],MATCH(E57,tblPessoas[ID],0))),0)</f>
        <v>0</v>
      </c>
      <c r="O57" s="3">
        <f>IFERROR(INDEX(tblPessoas[R$/diária],MATCH(E57,tblPessoas[ID],0)),0)</f>
        <v>222.72</v>
      </c>
      <c r="P57" s="3" t="str">
        <f t="shared" si="2"/>
        <v/>
      </c>
      <c r="Q57" t="str">
        <f>IF(A57="","",IF(COUNTIF(tblBatidas[Início vinculado],"B"&amp;MID($A57,2,99))=0,"EM ABERTO",IF(OR(COUNTIF(tblBatidas[Início vinculado],"B"&amp;MID($A57,2,99))&gt;1,K57&lt;0,K57&gt;16,INT(INDEX(tblBatidas[Data e hora],MATCH("B"&amp;MID($A57,2,99),tblBatidas[Início vinculado],0)))&lt;&gt;B57,INDEX(tblBatidas[ID],MATCH("B"&amp;MID($A57,2,99),tblBatidas[Início vinculado],0))&lt;&gt;E57,INDEX(tblBatidas[Projeto],MATCH("B"&amp;MID($A57,2,99),tblBatidas[Início vinculado],0))&lt;&gt;G57,INDEX(tblBatidas[Atividade],MATCH("B"&amp;MID($A57,2,99),tblBatidas[Início vinculado],0))&lt;&gt;H57),"REVISAR","CONCLUÍDO")))</f>
        <v>EM ABERTO</v>
      </c>
      <c r="R57">
        <f>IF(Q57&lt;&gt;"CONCLUÍDO",0,IF(COUNTIFS($E$5:E57,E57,$B$5:B57,B57,$Q$5:Q57,"CONCLUÍDO")=1,1,0))</f>
        <v>0</v>
      </c>
      <c r="S57" t="str">
        <f t="shared" si="3"/>
        <v>yyyy-08</v>
      </c>
      <c r="T57">
        <f>IF(E57="","",E57*100000+COUNTIFS(tblRegistros[ID],E57,tblRegistros[Data],"&lt;"&amp;B57)+COUNTIFS(tblRegistros[ID],E57,tblRegistros[Data],B57,tblRegistros[Início],"&lt;"&amp;I57)+COUNTIFS($E$5:E57,E57,$B$5:B57,B57,$I$5:I57,I57))</f>
        <v>101200005</v>
      </c>
    </row>
    <row r="58" spans="1:20">
      <c r="A58" t="s">
        <v>150</v>
      </c>
      <c r="B58" s="2">
        <f>IFERROR(INT(INDEX(tblBatidas[Data e hora],MATCH("B"&amp;MID($A58,2,99),tblBatidas[Batida ID],0))),"")</f>
        <v>46261</v>
      </c>
      <c r="C58" t="str">
        <f t="shared" si="0"/>
        <v>QUINTA-FEIRA</v>
      </c>
      <c r="D58" t="str">
        <f t="shared" si="1"/>
        <v>DIA ÚTIL</v>
      </c>
      <c r="E58">
        <f>IFERROR(INDEX(tblBatidas[ID],MATCH("B"&amp;MID($A58,2,99),tblBatidas[Batida ID],0)),"")</f>
        <v>1004</v>
      </c>
      <c r="F58" t="str">
        <f>IFERROR(INDEX(tblPessoas[Pessoa],MATCH(E58,tblPessoas[ID],0)),"")</f>
        <v>Angela Bertoli</v>
      </c>
      <c r="G58" t="str">
        <f>IFERROR(INDEX(tblBatidas[Projeto],MATCH("B"&amp;MID($A58,2,99),tblBatidas[Batida ID],0)),"")</f>
        <v>SICOOB CREDICOM</v>
      </c>
      <c r="H58" t="str">
        <f>IFERROR(INDEX(tblBatidas[Atividade],MATCH("B"&amp;MID($A58,2,99),tblBatidas[Batida ID],0)),"")</f>
        <v>CODIFICAÇÃO</v>
      </c>
      <c r="I58" s="4">
        <f>IFERROR(MOD(INDEX(tblBatidas[Data e hora],MATCH("B"&amp;MID($A58,2,99),tblBatidas[Batida ID],0)),1),"")</f>
        <v>0.62957175925839692</v>
      </c>
      <c r="J58" s="4">
        <f>IFERROR(MOD(INDEX(tblBatidas[Data e hora],MATCH("B"&amp;MID($A58,2,99),tblBatidas[Início vinculado],0)),1),"")</f>
        <v>0.84657407407212304</v>
      </c>
      <c r="K58" s="14">
        <f>IFERROR((INDEX(tblBatidas[Data e hora],MATCH("B"&amp;MID($A58,2,99),tblBatidas[Início vinculado],0))-INDEX(tblBatidas[Data e hora],MATCH("B"&amp;MID($A58,2,99),tblBatidas[Batida ID],0)))*24,"")</f>
        <v>5.2080555555294268</v>
      </c>
      <c r="L58" t="str">
        <f>IFERROR(INDEX(tblBatidas[Observação],MATCH("B"&amp;MID($A58,2,99),tblBatidas[Início vinculado],0)),"")</f>
        <v>links e os pix</v>
      </c>
      <c r="M58" t="str">
        <f>IFERROR(INDEX(tblPessoas[Base],MATCH(E58,tblPessoas[ID],0)),"")</f>
        <v>Hora</v>
      </c>
      <c r="N58" s="3">
        <f>IFERROR(IF(D58="DIA ÚTIL",INDEX(tblPessoas[R$/h útil],MATCH(E58,tblPessoas[ID],0)),INDEX(tblPessoas[R$/h FDS],MATCH(E58,tblPessoas[ID],0))),0)</f>
        <v>21.5</v>
      </c>
      <c r="O58" s="3">
        <f>IFERROR(INDEX(tblPessoas[R$/diária],MATCH(E58,tblPessoas[ID],0)),0)</f>
        <v>0</v>
      </c>
      <c r="P58" s="3">
        <f t="shared" si="2"/>
        <v>111.97319444388268</v>
      </c>
      <c r="Q58" t="str">
        <f>IF(A58="","",IF(COUNTIF(tblBatidas[Início vinculado],"B"&amp;MID($A58,2,99))=0,"EM ABERTO",IF(OR(COUNTIF(tblBatidas[Início vinculado],"B"&amp;MID($A58,2,99))&gt;1,K58&lt;0,K58&gt;16,INT(INDEX(tblBatidas[Data e hora],MATCH("B"&amp;MID($A58,2,99),tblBatidas[Início vinculado],0)))&lt;&gt;B58,INDEX(tblBatidas[ID],MATCH("B"&amp;MID($A58,2,99),tblBatidas[Início vinculado],0))&lt;&gt;E58,INDEX(tblBatidas[Projeto],MATCH("B"&amp;MID($A58,2,99),tblBatidas[Início vinculado],0))&lt;&gt;G58,INDEX(tblBatidas[Atividade],MATCH("B"&amp;MID($A58,2,99),tblBatidas[Início vinculado],0))&lt;&gt;H58),"REVISAR","CONCLUÍDO")))</f>
        <v>CONCLUÍDO</v>
      </c>
      <c r="R58">
        <f>IF(Q58&lt;&gt;"CONCLUÍDO",0,IF(COUNTIFS($E$5:E58,E58,$B$5:B58,B58,$Q$5:Q58,"CONCLUÍDO")=1,1,0))</f>
        <v>0</v>
      </c>
      <c r="S58" t="str">
        <f t="shared" si="3"/>
        <v>yyyy-08</v>
      </c>
      <c r="T58">
        <f>IF(E58="","",E58*100000+COUNTIFS(tblRegistros[ID],E58,tblRegistros[Data],"&lt;"&amp;B58)+COUNTIFS(tblRegistros[ID],E58,tblRegistros[Data],B58,tblRegistros[Início],"&lt;"&amp;I58)+COUNTIFS($E$5:E58,E58,$B$5:B58,B58,$I$5:I58,I58))</f>
        <v>100400003</v>
      </c>
    </row>
    <row r="59" spans="1:20">
      <c r="A59" t="s">
        <v>151</v>
      </c>
      <c r="B59" s="2">
        <f>IFERROR(INT(INDEX(tblBatidas[Data e hora],MATCH("B"&amp;MID($A59,2,99),tblBatidas[Batida ID],0))),"")</f>
        <v>46261</v>
      </c>
      <c r="C59" t="str">
        <f t="shared" si="0"/>
        <v>QUINTA-FEIRA</v>
      </c>
      <c r="D59" t="str">
        <f t="shared" si="1"/>
        <v>DIA ÚTIL</v>
      </c>
      <c r="E59">
        <f>IFERROR(INDEX(tblBatidas[ID],MATCH("B"&amp;MID($A59,2,99),tblBatidas[Batida ID],0)),"")</f>
        <v>1001</v>
      </c>
      <c r="F59" t="str">
        <f>IFERROR(INDEX(tblPessoas[Pessoa],MATCH(E59,tblPessoas[ID],0)),"")</f>
        <v>Adriana Pereira dos Santos</v>
      </c>
      <c r="G59" t="str">
        <f>IFERROR(INDEX(tblBatidas[Projeto],MATCH("B"&amp;MID($A59,2,99),tblBatidas[Batida ID],0)),"")</f>
        <v>TOOLKIT</v>
      </c>
      <c r="H59" t="str">
        <f>IFERROR(INDEX(tblBatidas[Atividade],MATCH("B"&amp;MID($A59,2,99),tblBatidas[Batida ID],0)),"")</f>
        <v>SUPERVISÃO</v>
      </c>
      <c r="I59" s="4">
        <f>IFERROR(MOD(INDEX(tblBatidas[Data e hora],MATCH("B"&amp;MID($A59,2,99),tblBatidas[Batida ID],0)),1),"")</f>
        <v>0.68939814814802958</v>
      </c>
      <c r="J59" s="4">
        <f>IFERROR(MOD(INDEX(tblBatidas[Data e hora],MATCH("B"&amp;MID($A59,2,99),tblBatidas[Início vinculado],0)),1),"")</f>
        <v>0.75890046296262881</v>
      </c>
      <c r="K59" s="14">
        <f>IFERROR((INDEX(tblBatidas[Data e hora],MATCH("B"&amp;MID($A59,2,99),tblBatidas[Início vinculado],0))-INDEX(tblBatidas[Data e hora],MATCH("B"&amp;MID($A59,2,99),tblBatidas[Batida ID],0)))*24,"")</f>
        <v>1.6680555555503815</v>
      </c>
      <c r="L59" t="str">
        <f>IFERROR(INDEX(tblBatidas[Observação],MATCH("B"&amp;MID($A59,2,99),tblBatidas[Início vinculado],0)),"")</f>
        <v>Supervisao toolikit</v>
      </c>
      <c r="M59" t="str">
        <f>IFERROR(INDEX(tblPessoas[Base],MATCH(E59,tblPessoas[ID],0)),"")</f>
        <v>Hora</v>
      </c>
      <c r="N59" s="3">
        <f>IFERROR(IF(D59="DIA ÚTIL",INDEX(tblPessoas[R$/h útil],MATCH(E59,tblPessoas[ID],0)),INDEX(tblPessoas[R$/h FDS],MATCH(E59,tblPessoas[ID],0))),0)</f>
        <v>17</v>
      </c>
      <c r="O59" s="3">
        <f>IFERROR(INDEX(tblPessoas[R$/diária],MATCH(E59,tblPessoas[ID],0)),0)</f>
        <v>0</v>
      </c>
      <c r="P59" s="3">
        <f t="shared" si="2"/>
        <v>28.356944444356486</v>
      </c>
      <c r="Q59" t="str">
        <f>IF(A59="","",IF(COUNTIF(tblBatidas[Início vinculado],"B"&amp;MID($A59,2,99))=0,"EM ABERTO",IF(OR(COUNTIF(tblBatidas[Início vinculado],"B"&amp;MID($A59,2,99))&gt;1,K59&lt;0,K59&gt;16,INT(INDEX(tblBatidas[Data e hora],MATCH("B"&amp;MID($A59,2,99),tblBatidas[Início vinculado],0)))&lt;&gt;B59,INDEX(tblBatidas[ID],MATCH("B"&amp;MID($A59,2,99),tblBatidas[Início vinculado],0))&lt;&gt;E59,INDEX(tblBatidas[Projeto],MATCH("B"&amp;MID($A59,2,99),tblBatidas[Início vinculado],0))&lt;&gt;G59,INDEX(tblBatidas[Atividade],MATCH("B"&amp;MID($A59,2,99),tblBatidas[Início vinculado],0))&lt;&gt;H59),"REVISAR","CONCLUÍDO")))</f>
        <v>CONCLUÍDO</v>
      </c>
      <c r="R59">
        <f>IF(Q59&lt;&gt;"CONCLUÍDO",0,IF(COUNTIFS($E$5:E59,E59,$B$5:B59,B59,$Q$5:Q59,"CONCLUÍDO")=1,1,0))</f>
        <v>0</v>
      </c>
      <c r="S59" t="str">
        <f t="shared" si="3"/>
        <v>yyyy-08</v>
      </c>
      <c r="T59">
        <f>IF(E59="","",E59*100000+COUNTIFS(tblRegistros[ID],E59,tblRegistros[Data],"&lt;"&amp;B59)+COUNTIFS(tblRegistros[ID],E59,tblRegistros[Data],B59,tblRegistros[Início],"&lt;"&amp;I59)+COUNTIFS($E$5:E59,E59,$B$5:B59,B59,$I$5:I59,I59))</f>
        <v>100100006</v>
      </c>
    </row>
    <row r="60" spans="1:20">
      <c r="A60" t="s">
        <v>152</v>
      </c>
      <c r="B60" s="2">
        <f>IFERROR(INT(INDEX(tblBatidas[Data e hora],MATCH("B"&amp;MID($A60,2,99),tblBatidas[Batida ID],0))),"")</f>
        <v>46262</v>
      </c>
      <c r="C60" t="str">
        <f t="shared" si="0"/>
        <v>SEXTA-FEIRA</v>
      </c>
      <c r="D60" t="str">
        <f t="shared" si="1"/>
        <v>DIA ÚTIL</v>
      </c>
      <c r="E60">
        <f>IFERROR(INDEX(tblBatidas[ID],MATCH("B"&amp;MID($A60,2,99),tblBatidas[Batida ID],0)),"")</f>
        <v>1003</v>
      </c>
      <c r="F60" t="str">
        <f>IFERROR(INDEX(tblPessoas[Pessoa],MATCH(E60,tblPessoas[ID],0)),"")</f>
        <v>Amanda do Carmo Ribeiro</v>
      </c>
      <c r="G60" t="str">
        <f>IFERROR(INDEX(tblBatidas[Projeto],MATCH("B"&amp;MID($A60,2,99),tblBatidas[Batida ID],0)),"")</f>
        <v>OTEMPO</v>
      </c>
      <c r="H60" t="str">
        <f>IFERROR(INDEX(tblBatidas[Atividade],MATCH("B"&amp;MID($A60,2,99),tblBatidas[Batida ID],0)),"")</f>
        <v>ANÁLISE</v>
      </c>
      <c r="I60" s="4">
        <f>IFERROR(MOD(INDEX(tblBatidas[Data e hora],MATCH("B"&amp;MID($A60,2,99),tblBatidas[Batida ID],0)),1),"")</f>
        <v>0.33259259258920792</v>
      </c>
      <c r="J60" s="4">
        <f>IFERROR(MOD(INDEX(tblBatidas[Data e hora],MATCH("B"&amp;MID($A60,2,99),tblBatidas[Início vinculado],0)),1),"")</f>
        <v>0.53019675926043419</v>
      </c>
      <c r="K60" s="14">
        <f>IFERROR((INDEX(tblBatidas[Data e hora],MATCH("B"&amp;MID($A60,2,99),tblBatidas[Início vinculado],0))-INDEX(tblBatidas[Data e hora],MATCH("B"&amp;MID($A60,2,99),tblBatidas[Batida ID],0)))*24,"")</f>
        <v>4.7425000001094304</v>
      </c>
      <c r="L60" t="str">
        <f>IFERROR(INDEX(tblBatidas[Observação],MATCH("B"&amp;MID($A60,2,99),tblBatidas[Início vinculado],0)),"")</f>
        <v>Manual de checagem, crítica e codificação</v>
      </c>
      <c r="M60" t="str">
        <f>IFERROR(INDEX(tblPessoas[Base],MATCH(E60,tblPessoas[ID],0)),"")</f>
        <v>Hora</v>
      </c>
      <c r="N60" s="3">
        <f>IFERROR(IF(D60="DIA ÚTIL",INDEX(tblPessoas[R$/h útil],MATCH(E60,tblPessoas[ID],0)),INDEX(tblPessoas[R$/h FDS],MATCH(E60,tblPessoas[ID],0))),0)</f>
        <v>23.5</v>
      </c>
      <c r="O60" s="3">
        <f>IFERROR(INDEX(tblPessoas[R$/diária],MATCH(E60,tblPessoas[ID],0)),0)</f>
        <v>0</v>
      </c>
      <c r="P60" s="3">
        <f t="shared" si="2"/>
        <v>111.44875000257161</v>
      </c>
      <c r="Q60" t="str">
        <f>IF(A60="","",IF(COUNTIF(tblBatidas[Início vinculado],"B"&amp;MID($A60,2,99))=0,"EM ABERTO",IF(OR(COUNTIF(tblBatidas[Início vinculado],"B"&amp;MID($A60,2,99))&gt;1,K60&lt;0,K60&gt;16,INT(INDEX(tblBatidas[Data e hora],MATCH("B"&amp;MID($A60,2,99),tblBatidas[Início vinculado],0)))&lt;&gt;B60,INDEX(tblBatidas[ID],MATCH("B"&amp;MID($A60,2,99),tblBatidas[Início vinculado],0))&lt;&gt;E60,INDEX(tblBatidas[Projeto],MATCH("B"&amp;MID($A60,2,99),tblBatidas[Início vinculado],0))&lt;&gt;G60,INDEX(tblBatidas[Atividade],MATCH("B"&amp;MID($A60,2,99),tblBatidas[Início vinculado],0))&lt;&gt;H60),"REVISAR","CONCLUÍDO")))</f>
        <v>CONCLUÍDO</v>
      </c>
      <c r="R60">
        <f>IF(Q60&lt;&gt;"CONCLUÍDO",0,IF(COUNTIFS($E$5:E60,E60,$B$5:B60,B60,$Q$5:Q60,"CONCLUÍDO")=1,1,0))</f>
        <v>1</v>
      </c>
      <c r="S60" t="str">
        <f t="shared" si="3"/>
        <v>yyyy-08</v>
      </c>
      <c r="T60">
        <f>IF(E60="","",E60*100000+COUNTIFS(tblRegistros[ID],E60,tblRegistros[Data],"&lt;"&amp;B60)+COUNTIFS(tblRegistros[ID],E60,tblRegistros[Data],B60,tblRegistros[Início],"&lt;"&amp;I60)+COUNTIFS($E$5:E60,E60,$B$5:B60,B60,$I$5:I60,I60))</f>
        <v>100300005</v>
      </c>
    </row>
    <row r="61" spans="1:20">
      <c r="A61" t="s">
        <v>153</v>
      </c>
      <c r="B61" s="2">
        <f>IFERROR(INT(INDEX(tblBatidas[Data e hora],MATCH("B"&amp;MID($A61,2,99),tblBatidas[Batida ID],0))),"")</f>
        <v>46262</v>
      </c>
      <c r="C61" t="str">
        <f t="shared" si="0"/>
        <v>SEXTA-FEIRA</v>
      </c>
      <c r="D61" t="str">
        <f t="shared" si="1"/>
        <v>DIA ÚTIL</v>
      </c>
      <c r="E61">
        <f>IFERROR(INDEX(tblBatidas[ID],MATCH("B"&amp;MID($A61,2,99),tblBatidas[Batida ID],0)),"")</f>
        <v>1011</v>
      </c>
      <c r="F61" t="str">
        <f>IFERROR(INDEX(tblPessoas[Pessoa],MATCH(E61,tblPessoas[ID],0)),"")</f>
        <v>Nathalia Arruda</v>
      </c>
      <c r="G61" t="str">
        <f>IFERROR(INDEX(tblBatidas[Projeto],MATCH("B"&amp;MID($A61,2,99),tblBatidas[Batida ID],0)),"")</f>
        <v>ESTADUAL - OTEMPO</v>
      </c>
      <c r="H61" t="str">
        <f>IFERROR(INDEX(tblBatidas[Atividade],MATCH("B"&amp;MID($A61,2,99),tblBatidas[Batida ID],0)),"")</f>
        <v>ANÁLISE</v>
      </c>
      <c r="I61" s="4">
        <f>IFERROR(MOD(INDEX(tblBatidas[Data e hora],MATCH("B"&amp;MID($A61,2,99),tblBatidas[Batida ID],0)),1),"")</f>
        <v>0.34343749999970896</v>
      </c>
      <c r="J61" s="4" t="str">
        <f>IFERROR(MOD(INDEX(tblBatidas[Data e hora],MATCH("B"&amp;MID($A61,2,99),tblBatidas[Início vinculado],0)),1),"")</f>
        <v/>
      </c>
      <c r="K61" s="14" t="str">
        <f>IFERROR((INDEX(tblBatidas[Data e hora],MATCH("B"&amp;MID($A61,2,99),tblBatidas[Início vinculado],0))-INDEX(tblBatidas[Data e hora],MATCH("B"&amp;MID($A61,2,99),tblBatidas[Batida ID],0)))*24,"")</f>
        <v/>
      </c>
      <c r="L61" t="str">
        <f>IFERROR(INDEX(tblBatidas[Observação],MATCH("B"&amp;MID($A61,2,99),tblBatidas[Início vinculado],0)),"")</f>
        <v/>
      </c>
      <c r="M61" t="str">
        <f>IFERROR(INDEX(tblPessoas[Base],MATCH(E61,tblPessoas[ID],0)),"")</f>
        <v>Hora</v>
      </c>
      <c r="N61" s="3">
        <f>IFERROR(IF(D61="DIA ÚTIL",INDEX(tblPessoas[R$/h útil],MATCH(E61,tblPessoas[ID],0)),INDEX(tblPessoas[R$/h FDS],MATCH(E61,tblPessoas[ID],0))),0)</f>
        <v>23.5</v>
      </c>
      <c r="O61" s="3">
        <f>IFERROR(INDEX(tblPessoas[R$/diária],MATCH(E61,tblPessoas[ID],0)),0)</f>
        <v>0</v>
      </c>
      <c r="P61" s="3" t="str">
        <f t="shared" si="2"/>
        <v/>
      </c>
      <c r="Q61" t="str">
        <f>IF(A61="","",IF(COUNTIF(tblBatidas[Início vinculado],"B"&amp;MID($A61,2,99))=0,"EM ABERTO",IF(OR(COUNTIF(tblBatidas[Início vinculado],"B"&amp;MID($A61,2,99))&gt;1,K61&lt;0,K61&gt;16,INT(INDEX(tblBatidas[Data e hora],MATCH("B"&amp;MID($A61,2,99),tblBatidas[Início vinculado],0)))&lt;&gt;B61,INDEX(tblBatidas[ID],MATCH("B"&amp;MID($A61,2,99),tblBatidas[Início vinculado],0))&lt;&gt;E61,INDEX(tblBatidas[Projeto],MATCH("B"&amp;MID($A61,2,99),tblBatidas[Início vinculado],0))&lt;&gt;G61,INDEX(tblBatidas[Atividade],MATCH("B"&amp;MID($A61,2,99),tblBatidas[Início vinculado],0))&lt;&gt;H61),"REVISAR","CONCLUÍDO")))</f>
        <v>EM ABERTO</v>
      </c>
      <c r="R61">
        <f>IF(Q61&lt;&gt;"CONCLUÍDO",0,IF(COUNTIFS($E$5:E61,E61,$B$5:B61,B61,$Q$5:Q61,"CONCLUÍDO")=1,1,0))</f>
        <v>0</v>
      </c>
      <c r="S61" t="str">
        <f t="shared" si="3"/>
        <v>yyyy-08</v>
      </c>
      <c r="T61">
        <f>IF(E61="","",E61*100000+COUNTIFS(tblRegistros[ID],E61,tblRegistros[Data],"&lt;"&amp;B61)+COUNTIFS(tblRegistros[ID],E61,tblRegistros[Data],B61,tblRegistros[Início],"&lt;"&amp;I61)+COUNTIFS($E$5:E61,E61,$B$5:B61,B61,$I$5:I61,I61))</f>
        <v>101100005</v>
      </c>
    </row>
    <row r="62" spans="1:20">
      <c r="A62" t="s">
        <v>154</v>
      </c>
      <c r="B62" s="2">
        <f>IFERROR(INT(INDEX(tblBatidas[Data e hora],MATCH("B"&amp;MID($A62,2,99),tblBatidas[Batida ID],0))),"")</f>
        <v>46262</v>
      </c>
      <c r="C62" t="str">
        <f t="shared" si="0"/>
        <v>SEXTA-FEIRA</v>
      </c>
      <c r="D62" t="str">
        <f t="shared" si="1"/>
        <v>DIA ÚTIL</v>
      </c>
      <c r="E62">
        <f>IFERROR(INDEX(tblBatidas[ID],MATCH("B"&amp;MID($A62,2,99),tblBatidas[Batida ID],0)),"")</f>
        <v>1013</v>
      </c>
      <c r="F62" t="str">
        <f>IFERROR(INDEX(tblPessoas[Pessoa],MATCH(E62,tblPessoas[ID],0)),"")</f>
        <v>Rafaela Maria Resende Lara</v>
      </c>
      <c r="G62" t="str">
        <f>IFERROR(INDEX(tblBatidas[Projeto],MATCH("B"&amp;MID($A62,2,99),tblBatidas[Batida ID],0)),"")</f>
        <v>OTEMPO</v>
      </c>
      <c r="H62" t="str">
        <f>IFERROR(INDEX(tblBatidas[Atividade],MATCH("B"&amp;MID($A62,2,99),tblBatidas[Batida ID],0)),"")</f>
        <v>ANÁLISE</v>
      </c>
      <c r="I62" s="4">
        <f>IFERROR(MOD(INDEX(tblBatidas[Data e hora],MATCH("B"&amp;MID($A62,2,99),tblBatidas[Batida ID],0)),1),"")</f>
        <v>0.34895833333575865</v>
      </c>
      <c r="J62" s="4">
        <f>IFERROR(MOD(INDEX(tblBatidas[Data e hora],MATCH("B"&amp;MID($A62,2,99),tblBatidas[Início vinculado],0)),1),"")</f>
        <v>0.45271990740729962</v>
      </c>
      <c r="K62" s="14">
        <f>IFERROR((INDEX(tblBatidas[Data e hora],MATCH("B"&amp;MID($A62,2,99),tblBatidas[Início vinculado],0))-INDEX(tblBatidas[Data e hora],MATCH("B"&amp;MID($A62,2,99),tblBatidas[Batida ID],0)))*24,"")</f>
        <v>2.4902777777169831</v>
      </c>
      <c r="L62" t="str">
        <f>IFERROR(INDEX(tblBatidas[Observação],MATCH("B"&amp;MID($A62,2,99),tblBatidas[Início vinculado],0)),"")</f>
        <v>Plano de checagem crítica e codificação</v>
      </c>
      <c r="M62" t="str">
        <f>IFERROR(INDEX(tblPessoas[Base],MATCH(E62,tblPessoas[ID],0)),"")</f>
        <v>Hora</v>
      </c>
      <c r="N62" s="3">
        <f>IFERROR(IF(D62="DIA ÚTIL",INDEX(tblPessoas[R$/h útil],MATCH(E62,tblPessoas[ID],0)),INDEX(tblPessoas[R$/h FDS],MATCH(E62,tblPessoas[ID],0))),0)</f>
        <v>23.5</v>
      </c>
      <c r="O62" s="3">
        <f>IFERROR(INDEX(tblPessoas[R$/diária],MATCH(E62,tblPessoas[ID],0)),0)</f>
        <v>0</v>
      </c>
      <c r="P62" s="3">
        <f t="shared" si="2"/>
        <v>58.521527776349103</v>
      </c>
      <c r="Q62" t="str">
        <f>IF(A62="","",IF(COUNTIF(tblBatidas[Início vinculado],"B"&amp;MID($A62,2,99))=0,"EM ABERTO",IF(OR(COUNTIF(tblBatidas[Início vinculado],"B"&amp;MID($A62,2,99))&gt;1,K62&lt;0,K62&gt;16,INT(INDEX(tblBatidas[Data e hora],MATCH("B"&amp;MID($A62,2,99),tblBatidas[Início vinculado],0)))&lt;&gt;B62,INDEX(tblBatidas[ID],MATCH("B"&amp;MID($A62,2,99),tblBatidas[Início vinculado],0))&lt;&gt;E62,INDEX(tblBatidas[Projeto],MATCH("B"&amp;MID($A62,2,99),tblBatidas[Início vinculado],0))&lt;&gt;G62,INDEX(tblBatidas[Atividade],MATCH("B"&amp;MID($A62,2,99),tblBatidas[Início vinculado],0))&lt;&gt;H62),"REVISAR","CONCLUÍDO")))</f>
        <v>CONCLUÍDO</v>
      </c>
      <c r="R62">
        <f>IF(Q62&lt;&gt;"CONCLUÍDO",0,IF(COUNTIFS($E$5:E62,E62,$B$5:B62,B62,$Q$5:Q62,"CONCLUÍDO")=1,1,0))</f>
        <v>1</v>
      </c>
      <c r="S62" t="str">
        <f t="shared" si="3"/>
        <v>yyyy-08</v>
      </c>
      <c r="T62">
        <f>IF(E62="","",E62*100000+COUNTIFS(tblRegistros[ID],E62,tblRegistros[Data],"&lt;"&amp;B62)+COUNTIFS(tblRegistros[ID],E62,tblRegistros[Data],B62,tblRegistros[Início],"&lt;"&amp;I62)+COUNTIFS($E$5:E62,E62,$B$5:B62,B62,$I$5:I62,I62))</f>
        <v>101300004</v>
      </c>
    </row>
    <row r="63" spans="1:20">
      <c r="A63" t="s">
        <v>155</v>
      </c>
      <c r="B63" s="2">
        <f>IFERROR(INT(INDEX(tblBatidas[Data e hora],MATCH("B"&amp;MID($A63,2,99),tblBatidas[Batida ID],0))),"")</f>
        <v>46262</v>
      </c>
      <c r="C63" t="str">
        <f t="shared" si="0"/>
        <v>SEXTA-FEIRA</v>
      </c>
      <c r="D63" t="str">
        <f t="shared" si="1"/>
        <v>DIA ÚTIL</v>
      </c>
      <c r="E63">
        <f>IFERROR(INDEX(tblBatidas[ID],MATCH("B"&amp;MID($A63,2,99),tblBatidas[Batida ID],0)),"")</f>
        <v>1001</v>
      </c>
      <c r="F63" t="str">
        <f>IFERROR(INDEX(tblPessoas[Pessoa],MATCH(E63,tblPessoas[ID],0)),"")</f>
        <v>Adriana Pereira dos Santos</v>
      </c>
      <c r="G63" t="str">
        <f>IFERROR(INDEX(tblBatidas[Projeto],MATCH("B"&amp;MID($A63,2,99),tblBatidas[Batida ID],0)),"")</f>
        <v>TOOLKIT</v>
      </c>
      <c r="H63" t="str">
        <f>IFERROR(INDEX(tblBatidas[Atividade],MATCH("B"&amp;MID($A63,2,99),tblBatidas[Batida ID],0)),"")</f>
        <v>SUPERVISÃO</v>
      </c>
      <c r="I63" s="4">
        <f>IFERROR(MOD(INDEX(tblBatidas[Data e hora],MATCH("B"&amp;MID($A63,2,99),tblBatidas[Batida ID],0)),1),"")</f>
        <v>0.35637731481256196</v>
      </c>
      <c r="J63" s="4">
        <f>IFERROR(MOD(INDEX(tblBatidas[Data e hora],MATCH("B"&amp;MID($A63,2,99),tblBatidas[Início vinculado],0)),1),"")</f>
        <v>0.60723379629780538</v>
      </c>
      <c r="K63" s="14">
        <f>IFERROR((INDEX(tblBatidas[Data e hora],MATCH("B"&amp;MID($A63,2,99),tblBatidas[Início vinculado],0))-INDEX(tblBatidas[Data e hora],MATCH("B"&amp;MID($A63,2,99),tblBatidas[Batida ID],0)))*24,"")</f>
        <v>6.0205555556458421</v>
      </c>
      <c r="L63" t="str">
        <f>IFERROR(INDEX(tblBatidas[Observação],MATCH("B"&amp;MID($A63,2,99),tblBatidas[Início vinculado],0)),"")</f>
        <v>Supervisao toolkit e sicoob</v>
      </c>
      <c r="M63" t="str">
        <f>IFERROR(INDEX(tblPessoas[Base],MATCH(E63,tblPessoas[ID],0)),"")</f>
        <v>Hora</v>
      </c>
      <c r="N63" s="3">
        <f>IFERROR(IF(D63="DIA ÚTIL",INDEX(tblPessoas[R$/h útil],MATCH(E63,tblPessoas[ID],0)),INDEX(tblPessoas[R$/h FDS],MATCH(E63,tblPessoas[ID],0))),0)</f>
        <v>17</v>
      </c>
      <c r="O63" s="3">
        <f>IFERROR(INDEX(tblPessoas[R$/diária],MATCH(E63,tblPessoas[ID],0)),0)</f>
        <v>0</v>
      </c>
      <c r="P63" s="3">
        <f t="shared" si="2"/>
        <v>102.34944444597932</v>
      </c>
      <c r="Q63" t="str">
        <f>IF(A63="","",IF(COUNTIF(tblBatidas[Início vinculado],"B"&amp;MID($A63,2,99))=0,"EM ABERTO",IF(OR(COUNTIF(tblBatidas[Início vinculado],"B"&amp;MID($A63,2,99))&gt;1,K63&lt;0,K63&gt;16,INT(INDEX(tblBatidas[Data e hora],MATCH("B"&amp;MID($A63,2,99),tblBatidas[Início vinculado],0)))&lt;&gt;B63,INDEX(tblBatidas[ID],MATCH("B"&amp;MID($A63,2,99),tblBatidas[Início vinculado],0))&lt;&gt;E63,INDEX(tblBatidas[Projeto],MATCH("B"&amp;MID($A63,2,99),tblBatidas[Início vinculado],0))&lt;&gt;G63,INDEX(tblBatidas[Atividade],MATCH("B"&amp;MID($A63,2,99),tblBatidas[Início vinculado],0))&lt;&gt;H63),"REVISAR","CONCLUÍDO")))</f>
        <v>CONCLUÍDO</v>
      </c>
      <c r="R63">
        <f>IF(Q63&lt;&gt;"CONCLUÍDO",0,IF(COUNTIFS($E$5:E63,E63,$B$5:B63,B63,$Q$5:Q63,"CONCLUÍDO")=1,1,0))</f>
        <v>1</v>
      </c>
      <c r="S63" t="str">
        <f t="shared" si="3"/>
        <v>yyyy-08</v>
      </c>
      <c r="T63">
        <f>IF(E63="","",E63*100000+COUNTIFS(tblRegistros[ID],E63,tblRegistros[Data],"&lt;"&amp;B63)+COUNTIFS(tblRegistros[ID],E63,tblRegistros[Data],B63,tblRegistros[Início],"&lt;"&amp;I63)+COUNTIFS($E$5:E63,E63,$B$5:B63,B63,$I$5:I63,I63))</f>
        <v>100100007</v>
      </c>
    </row>
    <row r="64" spans="1:20">
      <c r="A64" t="s">
        <v>156</v>
      </c>
      <c r="B64" s="2">
        <f>IFERROR(INT(INDEX(tblBatidas[Data e hora],MATCH("B"&amp;MID($A64,2,99),tblBatidas[Batida ID],0))),"")</f>
        <v>46262</v>
      </c>
      <c r="C64" t="str">
        <f t="shared" si="0"/>
        <v>SEXTA-FEIRA</v>
      </c>
      <c r="D64" t="str">
        <f t="shared" si="1"/>
        <v>DIA ÚTIL</v>
      </c>
      <c r="E64">
        <f>IFERROR(INDEX(tblBatidas[ID],MATCH("B"&amp;MID($A64,2,99),tblBatidas[Batida ID],0)),"")</f>
        <v>1006</v>
      </c>
      <c r="F64" t="str">
        <f>IFERROR(INDEX(tblPessoas[Pessoa],MATCH(E64,tblPessoas[ID],0)),"")</f>
        <v>Eliane dos Santos Oliveira</v>
      </c>
      <c r="G64" t="str">
        <f>IFERROR(INDEX(tblBatidas[Projeto],MATCH("B"&amp;MID($A64,2,99),tblBatidas[Batida ID],0)),"")</f>
        <v>TOOLKIT</v>
      </c>
      <c r="H64" t="str">
        <f>IFERROR(INDEX(tblBatidas[Atividade],MATCH("B"&amp;MID($A64,2,99),tblBatidas[Batida ID],0)),"")</f>
        <v>CHECAGEM</v>
      </c>
      <c r="I64" s="4">
        <f>IFERROR(MOD(INDEX(tblBatidas[Data e hora],MATCH("B"&amp;MID($A64,2,99),tblBatidas[Batida ID],0)),1),"")</f>
        <v>0.36908564814802958</v>
      </c>
      <c r="J64" s="4">
        <f>IFERROR(MOD(INDEX(tblBatidas[Data e hora],MATCH("B"&amp;MID($A64,2,99),tblBatidas[Início vinculado],0)),1),"")</f>
        <v>0.44494212963036261</v>
      </c>
      <c r="K64" s="14">
        <f>IFERROR((INDEX(tblBatidas[Data e hora],MATCH("B"&amp;MID($A64,2,99),tblBatidas[Início vinculado],0))-INDEX(tblBatidas[Data e hora],MATCH("B"&amp;MID($A64,2,99),tblBatidas[Batida ID],0)))*24,"")</f>
        <v>1.8205555555759929</v>
      </c>
      <c r="L64" t="str">
        <f>IFERROR(INDEX(tblBatidas[Observação],MATCH("B"&amp;MID($A64,2,99),tblBatidas[Início vinculado],0)),"")</f>
        <v>checagem toolkit</v>
      </c>
      <c r="M64" t="str">
        <f>IFERROR(INDEX(tblPessoas[Base],MATCH(E64,tblPessoas[ID],0)),"")</f>
        <v>Hora</v>
      </c>
      <c r="N64" s="3">
        <f>IFERROR(IF(D64="DIA ÚTIL",INDEX(tblPessoas[R$/h útil],MATCH(E64,tblPessoas[ID],0)),INDEX(tblPessoas[R$/h FDS],MATCH(E64,tblPessoas[ID],0))),0)</f>
        <v>14</v>
      </c>
      <c r="O64" s="3">
        <f>IFERROR(INDEX(tblPessoas[R$/diária],MATCH(E64,tblPessoas[ID],0)),0)</f>
        <v>0</v>
      </c>
      <c r="P64" s="3">
        <f t="shared" si="2"/>
        <v>25.487777778063901</v>
      </c>
      <c r="Q64" t="str">
        <f>IF(A64="","",IF(COUNTIF(tblBatidas[Início vinculado],"B"&amp;MID($A64,2,99))=0,"EM ABERTO",IF(OR(COUNTIF(tblBatidas[Início vinculado],"B"&amp;MID($A64,2,99))&gt;1,K64&lt;0,K64&gt;16,INT(INDEX(tblBatidas[Data e hora],MATCH("B"&amp;MID($A64,2,99),tblBatidas[Início vinculado],0)))&lt;&gt;B64,INDEX(tblBatidas[ID],MATCH("B"&amp;MID($A64,2,99),tblBatidas[Início vinculado],0))&lt;&gt;E64,INDEX(tblBatidas[Projeto],MATCH("B"&amp;MID($A64,2,99),tblBatidas[Início vinculado],0))&lt;&gt;G64,INDEX(tblBatidas[Atividade],MATCH("B"&amp;MID($A64,2,99),tblBatidas[Início vinculado],0))&lt;&gt;H64),"REVISAR","CONCLUÍDO")))</f>
        <v>CONCLUÍDO</v>
      </c>
      <c r="R64">
        <f>IF(Q64&lt;&gt;"CONCLUÍDO",0,IF(COUNTIFS($E$5:E64,E64,$B$5:B64,B64,$Q$5:Q64,"CONCLUÍDO")=1,1,0))</f>
        <v>1</v>
      </c>
      <c r="S64" t="str">
        <f t="shared" si="3"/>
        <v>yyyy-08</v>
      </c>
      <c r="T64">
        <f>IF(E64="","",E64*100000+COUNTIFS(tblRegistros[ID],E64,tblRegistros[Data],"&lt;"&amp;B64)+COUNTIFS(tblRegistros[ID],E64,tblRegistros[Data],B64,tblRegistros[Início],"&lt;"&amp;I64)+COUNTIFS($E$5:E64,E64,$B$5:B64,B64,$I$5:I64,I64))</f>
        <v>100600004</v>
      </c>
    </row>
    <row r="65" spans="1:20">
      <c r="A65" t="s">
        <v>157</v>
      </c>
      <c r="B65" s="2">
        <f>IFERROR(INT(INDEX(tblBatidas[Data e hora],MATCH("B"&amp;MID($A65,2,99),tblBatidas[Batida ID],0))),"")</f>
        <v>46262</v>
      </c>
      <c r="C65" t="str">
        <f t="shared" si="0"/>
        <v>SEXTA-FEIRA</v>
      </c>
      <c r="D65" t="str">
        <f t="shared" si="1"/>
        <v>DIA ÚTIL</v>
      </c>
      <c r="E65">
        <f>IFERROR(INDEX(tblBatidas[ID],MATCH("B"&amp;MID($A65,2,99),tblBatidas[Batida ID],0)),"")</f>
        <v>1002</v>
      </c>
      <c r="F65" t="str">
        <f>IFERROR(INDEX(tblPessoas[Pessoa],MATCH(E65,tblPessoas[ID],0)),"")</f>
        <v>Alex de Almeida Mariano</v>
      </c>
      <c r="G65" t="str">
        <f>IFERROR(INDEX(tblBatidas[Projeto],MATCH("B"&amp;MID($A65,2,99),tblBatidas[Batida ID],0)),"")</f>
        <v>CFI / ACCION</v>
      </c>
      <c r="H65" t="str">
        <f>IFERROR(INDEX(tblBatidas[Atividade],MATCH("B"&amp;MID($A65,2,99),tblBatidas[Batida ID],0)),"")</f>
        <v>ANÁLISE</v>
      </c>
      <c r="I65" s="4">
        <f>IFERROR(MOD(INDEX(tblBatidas[Data e hora],MATCH("B"&amp;MID($A65,2,99),tblBatidas[Batida ID],0)),1),"")</f>
        <v>0.36951388888701331</v>
      </c>
      <c r="J65" s="4">
        <f>IFERROR(MOD(INDEX(tblBatidas[Data e hora],MATCH("B"&amp;MID($A65,2,99),tblBatidas[Início vinculado],0)),1),"")</f>
        <v>0.7461111111115315</v>
      </c>
      <c r="K65" s="14">
        <f>IFERROR((INDEX(tblBatidas[Data e hora],MATCH("B"&amp;MID($A65,2,99),tblBatidas[Início vinculado],0))-INDEX(tblBatidas[Data e hora],MATCH("B"&amp;MID($A65,2,99),tblBatidas[Batida ID],0)))*24,"")</f>
        <v>9.0383333333884366</v>
      </c>
      <c r="L65">
        <f>IFERROR(INDEX(tblBatidas[Observação],MATCH("B"&amp;MID($A65,2,99),tblBatidas[Início vinculado],0)),"")</f>
        <v>0</v>
      </c>
      <c r="M65" t="str">
        <f>IFERROR(INDEX(tblPessoas[Base],MATCH(E65,tblPessoas[ID],0)),"")</f>
        <v>Hora</v>
      </c>
      <c r="N65" s="3">
        <f>IFERROR(IF(D65="DIA ÚTIL",INDEX(tblPessoas[R$/h útil],MATCH(E65,tblPessoas[ID],0)),INDEX(tblPessoas[R$/h FDS],MATCH(E65,tblPessoas[ID],0))),0)</f>
        <v>23.5</v>
      </c>
      <c r="O65" s="3">
        <f>IFERROR(INDEX(tblPessoas[R$/diária],MATCH(E65,tblPessoas[ID],0)),0)</f>
        <v>0</v>
      </c>
      <c r="P65" s="3">
        <f t="shared" si="2"/>
        <v>212.40083333462826</v>
      </c>
      <c r="Q65" t="str">
        <f>IF(A65="","",IF(COUNTIF(tblBatidas[Início vinculado],"B"&amp;MID($A65,2,99))=0,"EM ABERTO",IF(OR(COUNTIF(tblBatidas[Início vinculado],"B"&amp;MID($A65,2,99))&gt;1,K65&lt;0,K65&gt;16,INT(INDEX(tblBatidas[Data e hora],MATCH("B"&amp;MID($A65,2,99),tblBatidas[Início vinculado],0)))&lt;&gt;B65,INDEX(tblBatidas[ID],MATCH("B"&amp;MID($A65,2,99),tblBatidas[Início vinculado],0))&lt;&gt;E65,INDEX(tblBatidas[Projeto],MATCH("B"&amp;MID($A65,2,99),tblBatidas[Início vinculado],0))&lt;&gt;G65,INDEX(tblBatidas[Atividade],MATCH("B"&amp;MID($A65,2,99),tblBatidas[Início vinculado],0))&lt;&gt;H65),"REVISAR","CONCLUÍDO")))</f>
        <v>CONCLUÍDO</v>
      </c>
      <c r="R65">
        <f>IF(Q65&lt;&gt;"CONCLUÍDO",0,IF(COUNTIFS($E$5:E65,E65,$B$5:B65,B65,$Q$5:Q65,"CONCLUÍDO")=1,1,0))</f>
        <v>1</v>
      </c>
      <c r="S65" t="str">
        <f t="shared" si="3"/>
        <v>yyyy-08</v>
      </c>
      <c r="T65">
        <f>IF(E65="","",E65*100000+COUNTIFS(tblRegistros[ID],E65,tblRegistros[Data],"&lt;"&amp;B65)+COUNTIFS(tblRegistros[ID],E65,tblRegistros[Data],B65,tblRegistros[Início],"&lt;"&amp;I65)+COUNTIFS($E$5:E65,E65,$B$5:B65,B65,$I$5:I65,I65))</f>
        <v>100200003</v>
      </c>
    </row>
    <row r="66" spans="1:20">
      <c r="A66" t="s">
        <v>158</v>
      </c>
      <c r="B66" s="2">
        <f>IFERROR(INT(INDEX(tblBatidas[Data e hora],MATCH("B"&amp;MID($A66,2,99),tblBatidas[Batida ID],0))),"")</f>
        <v>46262</v>
      </c>
      <c r="C66" t="str">
        <f t="shared" si="0"/>
        <v>SEXTA-FEIRA</v>
      </c>
      <c r="D66" t="str">
        <f t="shared" si="1"/>
        <v>DIA ÚTIL</v>
      </c>
      <c r="E66">
        <f>IFERROR(INDEX(tblBatidas[ID],MATCH("B"&amp;MID($A66,2,99),tblBatidas[Batida ID],0)),"")</f>
        <v>1015</v>
      </c>
      <c r="F66" t="str">
        <f>IFERROR(INDEX(tblPessoas[Pessoa],MATCH(E66,tblPessoas[ID],0)),"")</f>
        <v>Vitor Guilherme Miguel Rocha</v>
      </c>
      <c r="G66" t="str">
        <f>IFERROR(INDEX(tblBatidas[Projeto],MATCH("B"&amp;MID($A66,2,99),tblBatidas[Batida ID],0)),"")</f>
        <v>ADMINISTRATIVO</v>
      </c>
      <c r="H66" t="str">
        <f>IFERROR(INDEX(tblBatidas[Atividade],MATCH("B"&amp;MID($A66,2,99),tblBatidas[Batida ID],0)),"")</f>
        <v>ADMINISTRATIVO</v>
      </c>
      <c r="I66" s="4">
        <f>IFERROR(MOD(INDEX(tblBatidas[Data e hora],MATCH("B"&amp;MID($A66,2,99),tblBatidas[Batida ID],0)),1),"")</f>
        <v>0.37581018518540077</v>
      </c>
      <c r="J66" s="4">
        <f>IFERROR(MOD(INDEX(tblBatidas[Data e hora],MATCH("B"&amp;MID($A66,2,99),tblBatidas[Início vinculado],0)),1),"")</f>
        <v>0.56226851851533866</v>
      </c>
      <c r="K66" s="14">
        <f>IFERROR((INDEX(tblBatidas[Data e hora],MATCH("B"&amp;MID($A66,2,99),tblBatidas[Início vinculado],0))-INDEX(tblBatidas[Data e hora],MATCH("B"&amp;MID($A66,2,99),tblBatidas[Batida ID],0)))*24,"")</f>
        <v>4.4749999999185093</v>
      </c>
      <c r="L66">
        <f>IFERROR(INDEX(tblBatidas[Observação],MATCH("B"&amp;MID($A66,2,99),tblBatidas[Início vinculado],0)),"")</f>
        <v>0</v>
      </c>
      <c r="M66" t="str">
        <f>IFERROR(INDEX(tblPessoas[Base],MATCH(E66,tblPessoas[ID],0)),"")</f>
        <v>Hora</v>
      </c>
      <c r="N66" s="3">
        <f>IFERROR(IF(D66="DIA ÚTIL",INDEX(tblPessoas[R$/h útil],MATCH(E66,tblPessoas[ID],0)),INDEX(tblPessoas[R$/h FDS],MATCH(E66,tblPessoas[ID],0))),0)</f>
        <v>21.5</v>
      </c>
      <c r="O66" s="3">
        <f>IFERROR(INDEX(tblPessoas[R$/diária],MATCH(E66,tblPessoas[ID],0)),0)</f>
        <v>0</v>
      </c>
      <c r="P66" s="3">
        <f t="shared" si="2"/>
        <v>96.212499998247949</v>
      </c>
      <c r="Q66" t="str">
        <f>IF(A66="","",IF(COUNTIF(tblBatidas[Início vinculado],"B"&amp;MID($A66,2,99))=0,"EM ABERTO",IF(OR(COUNTIF(tblBatidas[Início vinculado],"B"&amp;MID($A66,2,99))&gt;1,K66&lt;0,K66&gt;16,INT(INDEX(tblBatidas[Data e hora],MATCH("B"&amp;MID($A66,2,99),tblBatidas[Início vinculado],0)))&lt;&gt;B66,INDEX(tblBatidas[ID],MATCH("B"&amp;MID($A66,2,99),tblBatidas[Início vinculado],0))&lt;&gt;E66,INDEX(tblBatidas[Projeto],MATCH("B"&amp;MID($A66,2,99),tblBatidas[Início vinculado],0))&lt;&gt;G66,INDEX(tblBatidas[Atividade],MATCH("B"&amp;MID($A66,2,99),tblBatidas[Início vinculado],0))&lt;&gt;H66),"REVISAR","CONCLUÍDO")))</f>
        <v>CONCLUÍDO</v>
      </c>
      <c r="R66">
        <f>IF(Q66&lt;&gt;"CONCLUÍDO",0,IF(COUNTIFS($E$5:E66,E66,$B$5:B66,B66,$Q$5:Q66,"CONCLUÍDO")=1,1,0))</f>
        <v>1</v>
      </c>
      <c r="S66" t="str">
        <f t="shared" si="3"/>
        <v>yyyy-08</v>
      </c>
      <c r="T66">
        <f>IF(E66="","",E66*100000+COUNTIFS(tblRegistros[ID],E66,tblRegistros[Data],"&lt;"&amp;B66)+COUNTIFS(tblRegistros[ID],E66,tblRegistros[Data],B66,tblRegistros[Início],"&lt;"&amp;I66)+COUNTIFS($E$5:E66,E66,$B$5:B66,B66,$I$5:I66,I66))</f>
        <v>101500011</v>
      </c>
    </row>
    <row r="67" spans="1:20">
      <c r="A67" t="s">
        <v>159</v>
      </c>
      <c r="B67" s="2">
        <f>IFERROR(INT(INDEX(tblBatidas[Data e hora],MATCH("B"&amp;MID($A67,2,99),tblBatidas[Batida ID],0))),"")</f>
        <v>46262</v>
      </c>
      <c r="C67" t="str">
        <f t="shared" si="0"/>
        <v>SEXTA-FEIRA</v>
      </c>
      <c r="D67" t="str">
        <f t="shared" si="1"/>
        <v>DIA ÚTIL</v>
      </c>
      <c r="E67">
        <f>IFERROR(INDEX(tblBatidas[ID],MATCH("B"&amp;MID($A67,2,99),tblBatidas[Batida ID],0)),"")</f>
        <v>1012</v>
      </c>
      <c r="F67" t="str">
        <f>IFERROR(INDEX(tblPessoas[Pessoa],MATCH(E67,tblPessoas[ID],0)),"")</f>
        <v>Nelma Lucia dos S. B. Brandão</v>
      </c>
      <c r="G67" t="str">
        <f>IFERROR(INDEX(tblBatidas[Projeto],MATCH("B"&amp;MID($A67,2,99),tblBatidas[Batida ID],0)),"")</f>
        <v>OTEMPO</v>
      </c>
      <c r="H67" t="str">
        <f>IFERROR(INDEX(tblBatidas[Atividade],MATCH("B"&amp;MID($A67,2,99),tblBatidas[Batida ID],0)),"")</f>
        <v>SUPERVISÃO</v>
      </c>
      <c r="I67" s="4">
        <f>IFERROR(MOD(INDEX(tblBatidas[Data e hora],MATCH("B"&amp;MID($A67,2,99),tblBatidas[Batida ID],0)),1),"")</f>
        <v>0.40248842592700385</v>
      </c>
      <c r="J67" s="4" t="str">
        <f>IFERROR(MOD(INDEX(tblBatidas[Data e hora],MATCH("B"&amp;MID($A67,2,99),tblBatidas[Início vinculado],0)),1),"")</f>
        <v/>
      </c>
      <c r="K67" s="14" t="str">
        <f>IFERROR((INDEX(tblBatidas[Data e hora],MATCH("B"&amp;MID($A67,2,99),tblBatidas[Início vinculado],0))-INDEX(tblBatidas[Data e hora],MATCH("B"&amp;MID($A67,2,99),tblBatidas[Batida ID],0)))*24,"")</f>
        <v/>
      </c>
      <c r="L67" t="str">
        <f>IFERROR(INDEX(tblBatidas[Observação],MATCH("B"&amp;MID($A67,2,99),tblBatidas[Início vinculado],0)),"")</f>
        <v/>
      </c>
      <c r="M67" t="str">
        <f>IFERROR(INDEX(tblPessoas[Base],MATCH(E67,tblPessoas[ID],0)),"")</f>
        <v>Diária</v>
      </c>
      <c r="N67" s="3">
        <f>IFERROR(IF(D67="DIA ÚTIL",INDEX(tblPessoas[R$/h útil],MATCH(E67,tblPessoas[ID],0)),INDEX(tblPessoas[R$/h FDS],MATCH(E67,tblPessoas[ID],0))),0)</f>
        <v>0</v>
      </c>
      <c r="O67" s="3">
        <f>IFERROR(INDEX(tblPessoas[R$/diária],MATCH(E67,tblPessoas[ID],0)),0)</f>
        <v>222.72</v>
      </c>
      <c r="P67" s="3" t="str">
        <f t="shared" si="2"/>
        <v/>
      </c>
      <c r="Q67" t="str">
        <f>IF(A67="","",IF(COUNTIF(tblBatidas[Início vinculado],"B"&amp;MID($A67,2,99))=0,"EM ABERTO",IF(OR(COUNTIF(tblBatidas[Início vinculado],"B"&amp;MID($A67,2,99))&gt;1,K67&lt;0,K67&gt;16,INT(INDEX(tblBatidas[Data e hora],MATCH("B"&amp;MID($A67,2,99),tblBatidas[Início vinculado],0)))&lt;&gt;B67,INDEX(tblBatidas[ID],MATCH("B"&amp;MID($A67,2,99),tblBatidas[Início vinculado],0))&lt;&gt;E67,INDEX(tblBatidas[Projeto],MATCH("B"&amp;MID($A67,2,99),tblBatidas[Início vinculado],0))&lt;&gt;G67,INDEX(tblBatidas[Atividade],MATCH("B"&amp;MID($A67,2,99),tblBatidas[Início vinculado],0))&lt;&gt;H67),"REVISAR","CONCLUÍDO")))</f>
        <v>EM ABERTO</v>
      </c>
      <c r="R67">
        <f>IF(Q67&lt;&gt;"CONCLUÍDO",0,IF(COUNTIFS($E$5:E67,E67,$B$5:B67,B67,$Q$5:Q67,"CONCLUÍDO")=1,1,0))</f>
        <v>0</v>
      </c>
      <c r="S67" t="str">
        <f t="shared" si="3"/>
        <v>yyyy-08</v>
      </c>
      <c r="T67">
        <f>IF(E67="","",E67*100000+COUNTIFS(tblRegistros[ID],E67,tblRegistros[Data],"&lt;"&amp;B67)+COUNTIFS(tblRegistros[ID],E67,tblRegistros[Data],B67,tblRegistros[Início],"&lt;"&amp;I67)+COUNTIFS($E$5:E67,E67,$B$5:B67,B67,$I$5:I67,I67))</f>
        <v>101200006</v>
      </c>
    </row>
    <row r="68" spans="1:20">
      <c r="A68" t="s">
        <v>160</v>
      </c>
      <c r="B68" s="2">
        <f>IFERROR(INT(INDEX(tblBatidas[Data e hora],MATCH("B"&amp;MID($A68,2,99),tblBatidas[Batida ID],0))),"")</f>
        <v>46262</v>
      </c>
      <c r="C68" t="str">
        <f t="shared" si="0"/>
        <v>SEXTA-FEIRA</v>
      </c>
      <c r="D68" t="str">
        <f t="shared" si="1"/>
        <v>DIA ÚTIL</v>
      </c>
      <c r="E68">
        <f>IFERROR(INDEX(tblBatidas[ID],MATCH("B"&amp;MID($A68,2,99),tblBatidas[Batida ID],0)),"")</f>
        <v>1012</v>
      </c>
      <c r="F68" t="str">
        <f>IFERROR(INDEX(tblPessoas[Pessoa],MATCH(E68,tblPessoas[ID],0)),"")</f>
        <v>Nelma Lucia dos S. B. Brandão</v>
      </c>
      <c r="G68" t="str">
        <f>IFERROR(INDEX(tblBatidas[Projeto],MATCH("B"&amp;MID($A68,2,99),tblBatidas[Batida ID],0)),"")</f>
        <v>OTEMPO</v>
      </c>
      <c r="H68" t="str">
        <f>IFERROR(INDEX(tblBatidas[Atividade],MATCH("B"&amp;MID($A68,2,99),tblBatidas[Batida ID],0)),"")</f>
        <v>SUPERVISÃO</v>
      </c>
      <c r="I68" s="4">
        <f>IFERROR(MOD(INDEX(tblBatidas[Data e hora],MATCH("B"&amp;MID($A68,2,99),tblBatidas[Batida ID],0)),1),"")</f>
        <v>0.40263888888875954</v>
      </c>
      <c r="J68" s="4" t="str">
        <f>IFERROR(MOD(INDEX(tblBatidas[Data e hora],MATCH("B"&amp;MID($A68,2,99),tblBatidas[Início vinculado],0)),1),"")</f>
        <v/>
      </c>
      <c r="K68" s="14" t="str">
        <f>IFERROR((INDEX(tblBatidas[Data e hora],MATCH("B"&amp;MID($A68,2,99),tblBatidas[Início vinculado],0))-INDEX(tblBatidas[Data e hora],MATCH("B"&amp;MID($A68,2,99),tblBatidas[Batida ID],0)))*24,"")</f>
        <v/>
      </c>
      <c r="L68" t="str">
        <f>IFERROR(INDEX(tblBatidas[Observação],MATCH("B"&amp;MID($A68,2,99),tblBatidas[Início vinculado],0)),"")</f>
        <v/>
      </c>
      <c r="M68" t="str">
        <f>IFERROR(INDEX(tblPessoas[Base],MATCH(E68,tblPessoas[ID],0)),"")</f>
        <v>Diária</v>
      </c>
      <c r="N68" s="3">
        <f>IFERROR(IF(D68="DIA ÚTIL",INDEX(tblPessoas[R$/h útil],MATCH(E68,tblPessoas[ID],0)),INDEX(tblPessoas[R$/h FDS],MATCH(E68,tblPessoas[ID],0))),0)</f>
        <v>0</v>
      </c>
      <c r="O68" s="3">
        <f>IFERROR(INDEX(tblPessoas[R$/diária],MATCH(E68,tblPessoas[ID],0)),0)</f>
        <v>222.72</v>
      </c>
      <c r="P68" s="3" t="str">
        <f t="shared" si="2"/>
        <v/>
      </c>
      <c r="Q68" t="str">
        <f>IF(A68="","",IF(COUNTIF(tblBatidas[Início vinculado],"B"&amp;MID($A68,2,99))=0,"EM ABERTO",IF(OR(COUNTIF(tblBatidas[Início vinculado],"B"&amp;MID($A68,2,99))&gt;1,K68&lt;0,K68&gt;16,INT(INDEX(tblBatidas[Data e hora],MATCH("B"&amp;MID($A68,2,99),tblBatidas[Início vinculado],0)))&lt;&gt;B68,INDEX(tblBatidas[ID],MATCH("B"&amp;MID($A68,2,99),tblBatidas[Início vinculado],0))&lt;&gt;E68,INDEX(tblBatidas[Projeto],MATCH("B"&amp;MID($A68,2,99),tblBatidas[Início vinculado],0))&lt;&gt;G68,INDEX(tblBatidas[Atividade],MATCH("B"&amp;MID($A68,2,99),tblBatidas[Início vinculado],0))&lt;&gt;H68),"REVISAR","CONCLUÍDO")))</f>
        <v>EM ABERTO</v>
      </c>
      <c r="R68">
        <f>IF(Q68&lt;&gt;"CONCLUÍDO",0,IF(COUNTIFS($E$5:E68,E68,$B$5:B68,B68,$Q$5:Q68,"CONCLUÍDO")=1,1,0))</f>
        <v>0</v>
      </c>
      <c r="S68" t="str">
        <f t="shared" si="3"/>
        <v>yyyy-08</v>
      </c>
      <c r="T68">
        <f>IF(E68="","",E68*100000+COUNTIFS(tblRegistros[ID],E68,tblRegistros[Data],"&lt;"&amp;B68)+COUNTIFS(tblRegistros[ID],E68,tblRegistros[Data],B68,tblRegistros[Início],"&lt;"&amp;I68)+COUNTIFS($E$5:E68,E68,$B$5:B68,B68,$I$5:I68,I68))</f>
        <v>101200007</v>
      </c>
    </row>
    <row r="69" spans="1:20">
      <c r="A69" t="s">
        <v>161</v>
      </c>
      <c r="B69" s="2">
        <f>IFERROR(INT(INDEX(tblBatidas[Data e hora],MATCH("B"&amp;MID($A69,2,99),tblBatidas[Batida ID],0))),"")</f>
        <v>46262</v>
      </c>
      <c r="C69" t="str">
        <f t="shared" ref="C69:C132" si="4">IF(B69="","",CHOOSE(WEEKDAY(B69,2),"SEGUNDA-FEIRA","TERÇA-FEIRA","QUARTA-FEIRA","QUINTA-FEIRA","SEXTA-FEIRA","SÁBADO","DOMINGO"))</f>
        <v>SEXTA-FEIRA</v>
      </c>
      <c r="D69" t="str">
        <f t="shared" ref="D69:D132" si="5">IF(B69="","",IF(WEEKDAY(B69,2)&gt;5,"FDS/FERIADO","DIA ÚTIL"))</f>
        <v>DIA ÚTIL</v>
      </c>
      <c r="E69">
        <f>IFERROR(INDEX(tblBatidas[ID],MATCH("B"&amp;MID($A69,2,99),tblBatidas[Batida ID],0)),"")</f>
        <v>1012</v>
      </c>
      <c r="F69" t="str">
        <f>IFERROR(INDEX(tblPessoas[Pessoa],MATCH(E69,tblPessoas[ID],0)),"")</f>
        <v>Nelma Lucia dos S. B. Brandão</v>
      </c>
      <c r="G69" t="str">
        <f>IFERROR(INDEX(tblBatidas[Projeto],MATCH("B"&amp;MID($A69,2,99),tblBatidas[Batida ID],0)),"")</f>
        <v>OTEMPO</v>
      </c>
      <c r="H69" t="str">
        <f>IFERROR(INDEX(tblBatidas[Atividade],MATCH("B"&amp;MID($A69,2,99),tblBatidas[Batida ID],0)),"")</f>
        <v>SUPERVISÃO</v>
      </c>
      <c r="I69" s="4">
        <f>IFERROR(MOD(INDEX(tblBatidas[Data e hora],MATCH("B"&amp;MID($A69,2,99),tblBatidas[Batida ID],0)),1),"")</f>
        <v>0.40350694444350665</v>
      </c>
      <c r="J69" s="4" t="str">
        <f>IFERROR(MOD(INDEX(tblBatidas[Data e hora],MATCH("B"&amp;MID($A69,2,99),tblBatidas[Início vinculado],0)),1),"")</f>
        <v/>
      </c>
      <c r="K69" s="14" t="str">
        <f>IFERROR((INDEX(tblBatidas[Data e hora],MATCH("B"&amp;MID($A69,2,99),tblBatidas[Início vinculado],0))-INDEX(tblBatidas[Data e hora],MATCH("B"&amp;MID($A69,2,99),tblBatidas[Batida ID],0)))*24,"")</f>
        <v/>
      </c>
      <c r="L69" t="str">
        <f>IFERROR(INDEX(tblBatidas[Observação],MATCH("B"&amp;MID($A69,2,99),tblBatidas[Início vinculado],0)),"")</f>
        <v/>
      </c>
      <c r="M69" t="str">
        <f>IFERROR(INDEX(tblPessoas[Base],MATCH(E69,tblPessoas[ID],0)),"")</f>
        <v>Diária</v>
      </c>
      <c r="N69" s="3">
        <f>IFERROR(IF(D69="DIA ÚTIL",INDEX(tblPessoas[R$/h útil],MATCH(E69,tblPessoas[ID],0)),INDEX(tblPessoas[R$/h FDS],MATCH(E69,tblPessoas[ID],0))),0)</f>
        <v>0</v>
      </c>
      <c r="O69" s="3">
        <f>IFERROR(INDEX(tblPessoas[R$/diária],MATCH(E69,tblPessoas[ID],0)),0)</f>
        <v>222.72</v>
      </c>
      <c r="P69" s="3" t="str">
        <f t="shared" ref="P69:P132" si="6">IF(Q69&lt;&gt;"CONCLUÍDO","",IF(M69="Diária",O69*R69,K69*N69))</f>
        <v/>
      </c>
      <c r="Q69" t="str">
        <f>IF(A69="","",IF(COUNTIF(tblBatidas[Início vinculado],"B"&amp;MID($A69,2,99))=0,"EM ABERTO",IF(OR(COUNTIF(tblBatidas[Início vinculado],"B"&amp;MID($A69,2,99))&gt;1,K69&lt;0,K69&gt;16,INT(INDEX(tblBatidas[Data e hora],MATCH("B"&amp;MID($A69,2,99),tblBatidas[Início vinculado],0)))&lt;&gt;B69,INDEX(tblBatidas[ID],MATCH("B"&amp;MID($A69,2,99),tblBatidas[Início vinculado],0))&lt;&gt;E69,INDEX(tblBatidas[Projeto],MATCH("B"&amp;MID($A69,2,99),tblBatidas[Início vinculado],0))&lt;&gt;G69,INDEX(tblBatidas[Atividade],MATCH("B"&amp;MID($A69,2,99),tblBatidas[Início vinculado],0))&lt;&gt;H69),"REVISAR","CONCLUÍDO")))</f>
        <v>EM ABERTO</v>
      </c>
      <c r="R69">
        <f>IF(Q69&lt;&gt;"CONCLUÍDO",0,IF(COUNTIFS($E$5:E69,E69,$B$5:B69,B69,$Q$5:Q69,"CONCLUÍDO")=1,1,0))</f>
        <v>0</v>
      </c>
      <c r="S69" t="str">
        <f t="shared" ref="S69:S132" si="7">IF(B69="","",TEXT(B69,"yyyy-mm"))</f>
        <v>yyyy-08</v>
      </c>
      <c r="T69">
        <f>IF(E69="","",E69*100000+COUNTIFS(tblRegistros[ID],E69,tblRegistros[Data],"&lt;"&amp;B69)+COUNTIFS(tblRegistros[ID],E69,tblRegistros[Data],B69,tblRegistros[Início],"&lt;"&amp;I69)+COUNTIFS($E$5:E69,E69,$B$5:B69,B69,$I$5:I69,I69))</f>
        <v>101200008</v>
      </c>
    </row>
    <row r="70" spans="1:20">
      <c r="A70" t="s">
        <v>162</v>
      </c>
      <c r="B70" s="2">
        <f>IFERROR(INT(INDEX(tblBatidas[Data e hora],MATCH("B"&amp;MID($A70,2,99),tblBatidas[Batida ID],0))),"")</f>
        <v>46262</v>
      </c>
      <c r="C70" t="str">
        <f t="shared" si="4"/>
        <v>SEXTA-FEIRA</v>
      </c>
      <c r="D70" t="str">
        <f t="shared" si="5"/>
        <v>DIA ÚTIL</v>
      </c>
      <c r="E70">
        <f>IFERROR(INDEX(tblBatidas[ID],MATCH("B"&amp;MID($A70,2,99),tblBatidas[Batida ID],0)),"")</f>
        <v>1014</v>
      </c>
      <c r="F70" t="str">
        <f>IFERROR(INDEX(tblPessoas[Pessoa],MATCH(E70,tblPessoas[ID],0)),"")</f>
        <v>Robert Filipe Orlando de Souza</v>
      </c>
      <c r="G70" t="str">
        <f>IFERROR(INDEX(tblBatidas[Projeto],MATCH("B"&amp;MID($A70,2,99),tblBatidas[Batida ID],0)),"")</f>
        <v>TOOLKIT</v>
      </c>
      <c r="H70" t="str">
        <f>IFERROR(INDEX(tblBatidas[Atividade],MATCH("B"&amp;MID($A70,2,99),tblBatidas[Batida ID],0)),"")</f>
        <v>CHECAGEM</v>
      </c>
      <c r="I70" s="4">
        <f>IFERROR(MOD(INDEX(tblBatidas[Data e hora],MATCH("B"&amp;MID($A70,2,99),tblBatidas[Batida ID],0)),1),"")</f>
        <v>0.41115740740497131</v>
      </c>
      <c r="J70" s="4">
        <f>IFERROR(MOD(INDEX(tblBatidas[Data e hora],MATCH("B"&amp;MID($A70,2,99),tblBatidas[Início vinculado],0)),1),"")</f>
        <v>0.44953703703504289</v>
      </c>
      <c r="K70" s="14">
        <f>IFERROR((INDEX(tblBatidas[Data e hora],MATCH("B"&amp;MID($A70,2,99),tblBatidas[Início vinculado],0))-INDEX(tblBatidas[Data e hora],MATCH("B"&amp;MID($A70,2,99),tblBatidas[Batida ID],0)))*24,"")</f>
        <v>0.92111111112171784</v>
      </c>
      <c r="L70">
        <f>IFERROR(INDEX(tblBatidas[Observação],MATCH("B"&amp;MID($A70,2,99),tblBatidas[Início vinculado],0)),"")</f>
        <v>0</v>
      </c>
      <c r="M70" t="str">
        <f>IFERROR(INDEX(tblPessoas[Base],MATCH(E70,tblPessoas[ID],0)),"")</f>
        <v>Hora</v>
      </c>
      <c r="N70" s="3">
        <f>IFERROR(IF(D70="DIA ÚTIL",INDEX(tblPessoas[R$/h útil],MATCH(E70,tblPessoas[ID],0)),INDEX(tblPessoas[R$/h FDS],MATCH(E70,tblPessoas[ID],0))),0)</f>
        <v>21.5</v>
      </c>
      <c r="O70" s="3">
        <f>IFERROR(INDEX(tblPessoas[R$/diária],MATCH(E70,tblPessoas[ID],0)),0)</f>
        <v>0</v>
      </c>
      <c r="P70" s="3">
        <f t="shared" si="6"/>
        <v>19.803888889116934</v>
      </c>
      <c r="Q70" t="str">
        <f>IF(A70="","",IF(COUNTIF(tblBatidas[Início vinculado],"B"&amp;MID($A70,2,99))=0,"EM ABERTO",IF(OR(COUNTIF(tblBatidas[Início vinculado],"B"&amp;MID($A70,2,99))&gt;1,K70&lt;0,K70&gt;16,INT(INDEX(tblBatidas[Data e hora],MATCH("B"&amp;MID($A70,2,99),tblBatidas[Início vinculado],0)))&lt;&gt;B70,INDEX(tblBatidas[ID],MATCH("B"&amp;MID($A70,2,99),tblBatidas[Início vinculado],0))&lt;&gt;E70,INDEX(tblBatidas[Projeto],MATCH("B"&amp;MID($A70,2,99),tblBatidas[Início vinculado],0))&lt;&gt;G70,INDEX(tblBatidas[Atividade],MATCH("B"&amp;MID($A70,2,99),tblBatidas[Início vinculado],0))&lt;&gt;H70),"REVISAR","CONCLUÍDO")))</f>
        <v>CONCLUÍDO</v>
      </c>
      <c r="R70">
        <f>IF(Q70&lt;&gt;"CONCLUÍDO",0,IF(COUNTIFS($E$5:E70,E70,$B$5:B70,B70,$Q$5:Q70,"CONCLUÍDO")=1,1,0))</f>
        <v>1</v>
      </c>
      <c r="S70" t="str">
        <f t="shared" si="7"/>
        <v>yyyy-08</v>
      </c>
      <c r="T70">
        <f>IF(E70="","",E70*100000+COUNTIFS(tblRegistros[ID],E70,tblRegistros[Data],"&lt;"&amp;B70)+COUNTIFS(tblRegistros[ID],E70,tblRegistros[Data],B70,tblRegistros[Início],"&lt;"&amp;I70)+COUNTIFS($E$5:E70,E70,$B$5:B70,B70,$I$5:I70,I70))</f>
        <v>101400005</v>
      </c>
    </row>
    <row r="71" spans="1:20">
      <c r="A71" t="s">
        <v>163</v>
      </c>
      <c r="B71" s="2">
        <f>IFERROR(INT(INDEX(tblBatidas[Data e hora],MATCH("B"&amp;MID($A71,2,99),tblBatidas[Batida ID],0))),"")</f>
        <v>46262</v>
      </c>
      <c r="C71" t="str">
        <f t="shared" si="4"/>
        <v>SEXTA-FEIRA</v>
      </c>
      <c r="D71" t="str">
        <f t="shared" si="5"/>
        <v>DIA ÚTIL</v>
      </c>
      <c r="E71">
        <f>IFERROR(INDEX(tblBatidas[ID],MATCH("B"&amp;MID($A71,2,99),tblBatidas[Batida ID],0)),"")</f>
        <v>1016</v>
      </c>
      <c r="F71" t="str">
        <f>IFERROR(INDEX(tblPessoas[Pessoa],MATCH(E71,tblPessoas[ID],0)),"")</f>
        <v>Ana Luisa Nardin</v>
      </c>
      <c r="G71" t="str">
        <f>IFERROR(INDEX(tblBatidas[Projeto],MATCH("B"&amp;MID($A71,2,99),tblBatidas[Batida ID],0)),"")</f>
        <v>CFI / ACCION</v>
      </c>
      <c r="H71" t="str">
        <f>IFERROR(INDEX(tblBatidas[Atividade],MATCH("B"&amp;MID($A71,2,99),tblBatidas[Batida ID],0)),"")</f>
        <v>ANÁLISE</v>
      </c>
      <c r="I71" s="4">
        <f>IFERROR(MOD(INDEX(tblBatidas[Data e hora],MATCH("B"&amp;MID($A71,2,99),tblBatidas[Batida ID],0)),1),"")</f>
        <v>0.42969907407677965</v>
      </c>
      <c r="J71" s="4" t="str">
        <f>IFERROR(MOD(INDEX(tblBatidas[Data e hora],MATCH("B"&amp;MID($A71,2,99),tblBatidas[Início vinculado],0)),1),"")</f>
        <v/>
      </c>
      <c r="K71" s="14" t="str">
        <f>IFERROR((INDEX(tblBatidas[Data e hora],MATCH("B"&amp;MID($A71,2,99),tblBatidas[Início vinculado],0))-INDEX(tblBatidas[Data e hora],MATCH("B"&amp;MID($A71,2,99),tblBatidas[Batida ID],0)))*24,"")</f>
        <v/>
      </c>
      <c r="L71" t="str">
        <f>IFERROR(INDEX(tblBatidas[Observação],MATCH("B"&amp;MID($A71,2,99),tblBatidas[Início vinculado],0)),"")</f>
        <v/>
      </c>
      <c r="M71" t="str">
        <f>IFERROR(INDEX(tblPessoas[Base],MATCH(E71,tblPessoas[ID],0)),"")</f>
        <v>Hora</v>
      </c>
      <c r="N71" s="3">
        <f>IFERROR(IF(D71="DIA ÚTIL",INDEX(tblPessoas[R$/h útil],MATCH(E71,tblPessoas[ID],0)),INDEX(tblPessoas[R$/h FDS],MATCH(E71,tblPessoas[ID],0))),0)</f>
        <v>23.5</v>
      </c>
      <c r="O71" s="3">
        <f>IFERROR(INDEX(tblPessoas[R$/diária],MATCH(E71,tblPessoas[ID],0)),0)</f>
        <v>0</v>
      </c>
      <c r="P71" s="3" t="str">
        <f t="shared" si="6"/>
        <v/>
      </c>
      <c r="Q71" t="str">
        <f>IF(A71="","",IF(COUNTIF(tblBatidas[Início vinculado],"B"&amp;MID($A71,2,99))=0,"EM ABERTO",IF(OR(COUNTIF(tblBatidas[Início vinculado],"B"&amp;MID($A71,2,99))&gt;1,K71&lt;0,K71&gt;16,INT(INDEX(tblBatidas[Data e hora],MATCH("B"&amp;MID($A71,2,99),tblBatidas[Início vinculado],0)))&lt;&gt;B71,INDEX(tblBatidas[ID],MATCH("B"&amp;MID($A71,2,99),tblBatidas[Início vinculado],0))&lt;&gt;E71,INDEX(tblBatidas[Projeto],MATCH("B"&amp;MID($A71,2,99),tblBatidas[Início vinculado],0))&lt;&gt;G71,INDEX(tblBatidas[Atividade],MATCH("B"&amp;MID($A71,2,99),tblBatidas[Início vinculado],0))&lt;&gt;H71),"REVISAR","CONCLUÍDO")))</f>
        <v>EM ABERTO</v>
      </c>
      <c r="R71">
        <f>IF(Q71&lt;&gt;"CONCLUÍDO",0,IF(COUNTIFS($E$5:E71,E71,$B$5:B71,B71,$Q$5:Q71,"CONCLUÍDO")=1,1,0))</f>
        <v>0</v>
      </c>
      <c r="S71" t="str">
        <f t="shared" si="7"/>
        <v>yyyy-08</v>
      </c>
      <c r="T71">
        <f>IF(E71="","",E71*100000+COUNTIFS(tblRegistros[ID],E71,tblRegistros[Data],"&lt;"&amp;B71)+COUNTIFS(tblRegistros[ID],E71,tblRegistros[Data],B71,tblRegistros[Início],"&lt;"&amp;I71)+COUNTIFS($E$5:E71,E71,$B$5:B71,B71,$I$5:I71,I71))</f>
        <v>101600012</v>
      </c>
    </row>
    <row r="72" spans="1:20">
      <c r="A72" t="s">
        <v>164</v>
      </c>
      <c r="B72" s="2">
        <f>IFERROR(INT(INDEX(tblBatidas[Data e hora],MATCH("B"&amp;MID($A72,2,99),tblBatidas[Batida ID],0))),"")</f>
        <v>46262</v>
      </c>
      <c r="C72" t="str">
        <f t="shared" si="4"/>
        <v>SEXTA-FEIRA</v>
      </c>
      <c r="D72" t="str">
        <f t="shared" si="5"/>
        <v>DIA ÚTIL</v>
      </c>
      <c r="E72">
        <f>IFERROR(INDEX(tblBatidas[ID],MATCH("B"&amp;MID($A72,2,99),tblBatidas[Batida ID],0)),"")</f>
        <v>1006</v>
      </c>
      <c r="F72" t="str">
        <f>IFERROR(INDEX(tblPessoas[Pessoa],MATCH(E72,tblPessoas[ID],0)),"")</f>
        <v>Eliane dos Santos Oliveira</v>
      </c>
      <c r="G72" t="str">
        <f>IFERROR(INDEX(tblBatidas[Projeto],MATCH("B"&amp;MID($A72,2,99),tblBatidas[Batida ID],0)),"")</f>
        <v>OTEMPO</v>
      </c>
      <c r="H72" t="str">
        <f>IFERROR(INDEX(tblBatidas[Atividade],MATCH("B"&amp;MID($A72,2,99),tblBatidas[Batida ID],0)),"")</f>
        <v>CHECAGEM</v>
      </c>
      <c r="I72" s="4">
        <f>IFERROR(MOD(INDEX(tblBatidas[Data e hora],MATCH("B"&amp;MID($A72,2,99),tblBatidas[Batida ID],0)),1),"")</f>
        <v>0.44596064814686542</v>
      </c>
      <c r="J72" s="4">
        <f>IFERROR(MOD(INDEX(tblBatidas[Data e hora],MATCH("B"&amp;MID($A72,2,99),tblBatidas[Início vinculado],0)),1),"")</f>
        <v>0.65931712962628808</v>
      </c>
      <c r="K72" s="14">
        <f>IFERROR((INDEX(tblBatidas[Data e hora],MATCH("B"&amp;MID($A72,2,99),tblBatidas[Início vinculado],0))-INDEX(tblBatidas[Data e hora],MATCH("B"&amp;MID($A72,2,99),tblBatidas[Batida ID],0)))*24,"")</f>
        <v>5.1205555555061437</v>
      </c>
      <c r="L72" t="str">
        <f>IFERROR(INDEX(tblBatidas[Observação],MATCH("B"&amp;MID($A72,2,99),tblBatidas[Início vinculado],0)),"")</f>
        <v>Checagem Otempo</v>
      </c>
      <c r="M72" t="str">
        <f>IFERROR(INDEX(tblPessoas[Base],MATCH(E72,tblPessoas[ID],0)),"")</f>
        <v>Hora</v>
      </c>
      <c r="N72" s="3">
        <f>IFERROR(IF(D72="DIA ÚTIL",INDEX(tblPessoas[R$/h útil],MATCH(E72,tblPessoas[ID],0)),INDEX(tblPessoas[R$/h FDS],MATCH(E72,tblPessoas[ID],0))),0)</f>
        <v>14</v>
      </c>
      <c r="O72" s="3">
        <f>IFERROR(INDEX(tblPessoas[R$/diária],MATCH(E72,tblPessoas[ID],0)),0)</f>
        <v>0</v>
      </c>
      <c r="P72" s="3">
        <f t="shared" si="6"/>
        <v>71.687777777086012</v>
      </c>
      <c r="Q72" t="str">
        <f>IF(A72="","",IF(COUNTIF(tblBatidas[Início vinculado],"B"&amp;MID($A72,2,99))=0,"EM ABERTO",IF(OR(COUNTIF(tblBatidas[Início vinculado],"B"&amp;MID($A72,2,99))&gt;1,K72&lt;0,K72&gt;16,INT(INDEX(tblBatidas[Data e hora],MATCH("B"&amp;MID($A72,2,99),tblBatidas[Início vinculado],0)))&lt;&gt;B72,INDEX(tblBatidas[ID],MATCH("B"&amp;MID($A72,2,99),tblBatidas[Início vinculado],0))&lt;&gt;E72,INDEX(tblBatidas[Projeto],MATCH("B"&amp;MID($A72,2,99),tblBatidas[Início vinculado],0))&lt;&gt;G72,INDEX(tblBatidas[Atividade],MATCH("B"&amp;MID($A72,2,99),tblBatidas[Início vinculado],0))&lt;&gt;H72),"REVISAR","CONCLUÍDO")))</f>
        <v>CONCLUÍDO</v>
      </c>
      <c r="R72">
        <f>IF(Q72&lt;&gt;"CONCLUÍDO",0,IF(COUNTIFS($E$5:E72,E72,$B$5:B72,B72,$Q$5:Q72,"CONCLUÍDO")=1,1,0))</f>
        <v>0</v>
      </c>
      <c r="S72" t="str">
        <f t="shared" si="7"/>
        <v>yyyy-08</v>
      </c>
      <c r="T72">
        <f>IF(E72="","",E72*100000+COUNTIFS(tblRegistros[ID],E72,tblRegistros[Data],"&lt;"&amp;B72)+COUNTIFS(tblRegistros[ID],E72,tblRegistros[Data],B72,tblRegistros[Início],"&lt;"&amp;I72)+COUNTIFS($E$5:E72,E72,$B$5:B72,B72,$I$5:I72,I72))</f>
        <v>100600005</v>
      </c>
    </row>
    <row r="73" spans="1:20">
      <c r="A73" t="s">
        <v>165</v>
      </c>
      <c r="B73" s="2">
        <f>IFERROR(INT(INDEX(tblBatidas[Data e hora],MATCH("B"&amp;MID($A73,2,99),tblBatidas[Batida ID],0))),"")</f>
        <v>46262</v>
      </c>
      <c r="C73" t="str">
        <f t="shared" si="4"/>
        <v>SEXTA-FEIRA</v>
      </c>
      <c r="D73" t="str">
        <f t="shared" si="5"/>
        <v>DIA ÚTIL</v>
      </c>
      <c r="E73">
        <f>IFERROR(INDEX(tblBatidas[ID],MATCH("B"&amp;MID($A73,2,99),tblBatidas[Batida ID],0)),"")</f>
        <v>1014</v>
      </c>
      <c r="F73" t="str">
        <f>IFERROR(INDEX(tblPessoas[Pessoa],MATCH(E73,tblPessoas[ID],0)),"")</f>
        <v>Robert Filipe Orlando de Souza</v>
      </c>
      <c r="G73" t="str">
        <f>IFERROR(INDEX(tblBatidas[Projeto],MATCH("B"&amp;MID($A73,2,99),tblBatidas[Batida ID],0)),"")</f>
        <v>SICOOB CREDICOM</v>
      </c>
      <c r="H73" t="str">
        <f>IFERROR(INDEX(tblBatidas[Atividade],MATCH("B"&amp;MID($A73,2,99),tblBatidas[Batida ID],0)),"")</f>
        <v>CHECAGEM</v>
      </c>
      <c r="I73" s="4">
        <f>IFERROR(MOD(INDEX(tblBatidas[Data e hora],MATCH("B"&amp;MID($A73,2,99),tblBatidas[Batida ID],0)),1),"")</f>
        <v>0.44975694444292458</v>
      </c>
      <c r="J73" s="4">
        <f>IFERROR(MOD(INDEX(tblBatidas[Data e hora],MATCH("B"&amp;MID($A73,2,99),tblBatidas[Início vinculado],0)),1),"")</f>
        <v>0.53273148147854954</v>
      </c>
      <c r="K73" s="14">
        <f>IFERROR((INDEX(tblBatidas[Data e hora],MATCH("B"&amp;MID($A73,2,99),tblBatidas[Início vinculado],0))-INDEX(tblBatidas[Data e hora],MATCH("B"&amp;MID($A73,2,99),tblBatidas[Batida ID],0)))*24,"")</f>
        <v>1.9913888888549991</v>
      </c>
      <c r="L73">
        <f>IFERROR(INDEX(tblBatidas[Observação],MATCH("B"&amp;MID($A73,2,99),tblBatidas[Início vinculado],0)),"")</f>
        <v>0</v>
      </c>
      <c r="M73" t="str">
        <f>IFERROR(INDEX(tblPessoas[Base],MATCH(E73,tblPessoas[ID],0)),"")</f>
        <v>Hora</v>
      </c>
      <c r="N73" s="3">
        <f>IFERROR(IF(D73="DIA ÚTIL",INDEX(tblPessoas[R$/h útil],MATCH(E73,tblPessoas[ID],0)),INDEX(tblPessoas[R$/h FDS],MATCH(E73,tblPessoas[ID],0))),0)</f>
        <v>21.5</v>
      </c>
      <c r="O73" s="3">
        <f>IFERROR(INDEX(tblPessoas[R$/diária],MATCH(E73,tblPessoas[ID],0)),0)</f>
        <v>0</v>
      </c>
      <c r="P73" s="3">
        <f t="shared" si="6"/>
        <v>42.814861110382481</v>
      </c>
      <c r="Q73" t="str">
        <f>IF(A73="","",IF(COUNTIF(tblBatidas[Início vinculado],"B"&amp;MID($A73,2,99))=0,"EM ABERTO",IF(OR(COUNTIF(tblBatidas[Início vinculado],"B"&amp;MID($A73,2,99))&gt;1,K73&lt;0,K73&gt;16,INT(INDEX(tblBatidas[Data e hora],MATCH("B"&amp;MID($A73,2,99),tblBatidas[Início vinculado],0)))&lt;&gt;B73,INDEX(tblBatidas[ID],MATCH("B"&amp;MID($A73,2,99),tblBatidas[Início vinculado],0))&lt;&gt;E73,INDEX(tblBatidas[Projeto],MATCH("B"&amp;MID($A73,2,99),tblBatidas[Início vinculado],0))&lt;&gt;G73,INDEX(tblBatidas[Atividade],MATCH("B"&amp;MID($A73,2,99),tblBatidas[Início vinculado],0))&lt;&gt;H73),"REVISAR","CONCLUÍDO")))</f>
        <v>CONCLUÍDO</v>
      </c>
      <c r="R73">
        <f>IF(Q73&lt;&gt;"CONCLUÍDO",0,IF(COUNTIFS($E$5:E73,E73,$B$5:B73,B73,$Q$5:Q73,"CONCLUÍDO")=1,1,0))</f>
        <v>0</v>
      </c>
      <c r="S73" t="str">
        <f t="shared" si="7"/>
        <v>yyyy-08</v>
      </c>
      <c r="T73">
        <f>IF(E73="","",E73*100000+COUNTIFS(tblRegistros[ID],E73,tblRegistros[Data],"&lt;"&amp;B73)+COUNTIFS(tblRegistros[ID],E73,tblRegistros[Data],B73,tblRegistros[Início],"&lt;"&amp;I73)+COUNTIFS($E$5:E73,E73,$B$5:B73,B73,$I$5:I73,I73))</f>
        <v>101400006</v>
      </c>
    </row>
    <row r="74" spans="1:20">
      <c r="A74" t="s">
        <v>166</v>
      </c>
      <c r="B74" s="2">
        <f>IFERROR(INT(INDEX(tblBatidas[Data e hora],MATCH("B"&amp;MID($A74,2,99),tblBatidas[Batida ID],0))),"")</f>
        <v>46262</v>
      </c>
      <c r="C74" t="str">
        <f t="shared" si="4"/>
        <v>SEXTA-FEIRA</v>
      </c>
      <c r="D74" t="str">
        <f t="shared" si="5"/>
        <v>DIA ÚTIL</v>
      </c>
      <c r="E74">
        <f>IFERROR(INDEX(tblBatidas[ID],MATCH("B"&amp;MID($A74,2,99),tblBatidas[Batida ID],0)),"")</f>
        <v>1013</v>
      </c>
      <c r="F74" t="str">
        <f>IFERROR(INDEX(tblPessoas[Pessoa],MATCH(E74,tblPessoas[ID],0)),"")</f>
        <v>Rafaela Maria Resende Lara</v>
      </c>
      <c r="G74" t="str">
        <f>IFERROR(INDEX(tblBatidas[Projeto],MATCH("B"&amp;MID($A74,2,99),tblBatidas[Batida ID],0)),"")</f>
        <v>OTEMPO</v>
      </c>
      <c r="H74" t="str">
        <f>IFERROR(INDEX(tblBatidas[Atividade],MATCH("B"&amp;MID($A74,2,99),tblBatidas[Batida ID],0)),"")</f>
        <v>ANÁLISE</v>
      </c>
      <c r="I74" s="4">
        <f>IFERROR(MOD(INDEX(tblBatidas[Data e hora],MATCH("B"&amp;MID($A74,2,99),tblBatidas[Batida ID],0)),1),"")</f>
        <v>0.51543981481518131</v>
      </c>
      <c r="J74" s="4">
        <f>IFERROR(MOD(INDEX(tblBatidas[Data e hora],MATCH("B"&amp;MID($A74,2,99),tblBatidas[Início vinculado],0)),1),"")</f>
        <v>0.74449074074072996</v>
      </c>
      <c r="K74" s="14">
        <f>IFERROR((INDEX(tblBatidas[Data e hora],MATCH("B"&amp;MID($A74,2,99),tblBatidas[Início vinculado],0))-INDEX(tblBatidas[Data e hora],MATCH("B"&amp;MID($A74,2,99),tblBatidas[Batida ID],0)))*24,"")</f>
        <v>5.4972222222131677</v>
      </c>
      <c r="L74">
        <f>IFERROR(INDEX(tblBatidas[Observação],MATCH("B"&amp;MID($A74,2,99),tblBatidas[Início vinculado],0)),"")</f>
        <v>0</v>
      </c>
      <c r="M74" t="str">
        <f>IFERROR(INDEX(tblPessoas[Base],MATCH(E74,tblPessoas[ID],0)),"")</f>
        <v>Hora</v>
      </c>
      <c r="N74" s="3">
        <f>IFERROR(IF(D74="DIA ÚTIL",INDEX(tblPessoas[R$/h útil],MATCH(E74,tblPessoas[ID],0)),INDEX(tblPessoas[R$/h FDS],MATCH(E74,tblPessoas[ID],0))),0)</f>
        <v>23.5</v>
      </c>
      <c r="O74" s="3">
        <f>IFERROR(INDEX(tblPessoas[R$/diária],MATCH(E74,tblPessoas[ID],0)),0)</f>
        <v>0</v>
      </c>
      <c r="P74" s="3">
        <f t="shared" si="6"/>
        <v>129.18472222200944</v>
      </c>
      <c r="Q74" t="str">
        <f>IF(A74="","",IF(COUNTIF(tblBatidas[Início vinculado],"B"&amp;MID($A74,2,99))=0,"EM ABERTO",IF(OR(COUNTIF(tblBatidas[Início vinculado],"B"&amp;MID($A74,2,99))&gt;1,K74&lt;0,K74&gt;16,INT(INDEX(tblBatidas[Data e hora],MATCH("B"&amp;MID($A74,2,99),tblBatidas[Início vinculado],0)))&lt;&gt;B74,INDEX(tblBatidas[ID],MATCH("B"&amp;MID($A74,2,99),tblBatidas[Início vinculado],0))&lt;&gt;E74,INDEX(tblBatidas[Projeto],MATCH("B"&amp;MID($A74,2,99),tblBatidas[Início vinculado],0))&lt;&gt;G74,INDEX(tblBatidas[Atividade],MATCH("B"&amp;MID($A74,2,99),tblBatidas[Início vinculado],0))&lt;&gt;H74),"REVISAR","CONCLUÍDO")))</f>
        <v>CONCLUÍDO</v>
      </c>
      <c r="R74">
        <f>IF(Q74&lt;&gt;"CONCLUÍDO",0,IF(COUNTIFS($E$5:E74,E74,$B$5:B74,B74,$Q$5:Q74,"CONCLUÍDO")=1,1,0))</f>
        <v>0</v>
      </c>
      <c r="S74" t="str">
        <f t="shared" si="7"/>
        <v>yyyy-08</v>
      </c>
      <c r="T74">
        <f>IF(E74="","",E74*100000+COUNTIFS(tblRegistros[ID],E74,tblRegistros[Data],"&lt;"&amp;B74)+COUNTIFS(tblRegistros[ID],E74,tblRegistros[Data],B74,tblRegistros[Início],"&lt;"&amp;I74)+COUNTIFS($E$5:E74,E74,$B$5:B74,B74,$I$5:I74,I74))</f>
        <v>101300005</v>
      </c>
    </row>
    <row r="75" spans="1:20">
      <c r="A75" t="s">
        <v>167</v>
      </c>
      <c r="B75" s="2">
        <f>IFERROR(INT(INDEX(tblBatidas[Data e hora],MATCH("B"&amp;MID($A75,2,99),tblBatidas[Batida ID],0))),"")</f>
        <v>46262</v>
      </c>
      <c r="C75" t="str">
        <f t="shared" si="4"/>
        <v>SEXTA-FEIRA</v>
      </c>
      <c r="D75" t="str">
        <f t="shared" si="5"/>
        <v>DIA ÚTIL</v>
      </c>
      <c r="E75">
        <f>IFERROR(INDEX(tblBatidas[ID],MATCH("B"&amp;MID($A75,2,99),tblBatidas[Batida ID],0)),"")</f>
        <v>1011</v>
      </c>
      <c r="F75" t="str">
        <f>IFERROR(INDEX(tblPessoas[Pessoa],MATCH(E75,tblPessoas[ID],0)),"")</f>
        <v>Nathalia Arruda</v>
      </c>
      <c r="G75" t="str">
        <f>IFERROR(INDEX(tblBatidas[Projeto],MATCH("B"&amp;MID($A75,2,99),tblBatidas[Batida ID],0)),"")</f>
        <v>ESTADUAL - OTEMPO</v>
      </c>
      <c r="H75" t="str">
        <f>IFERROR(INDEX(tblBatidas[Atividade],MATCH("B"&amp;MID($A75,2,99),tblBatidas[Batida ID],0)),"")</f>
        <v>ANÁLISE</v>
      </c>
      <c r="I75" s="4">
        <f>IFERROR(MOD(INDEX(tblBatidas[Data e hora],MATCH("B"&amp;MID($A75,2,99),tblBatidas[Batida ID],0)),1),"")</f>
        <v>0.554652777776937</v>
      </c>
      <c r="J75" s="4" t="str">
        <f>IFERROR(MOD(INDEX(tblBatidas[Data e hora],MATCH("B"&amp;MID($A75,2,99),tblBatidas[Início vinculado],0)),1),"")</f>
        <v/>
      </c>
      <c r="K75" s="14" t="str">
        <f>IFERROR((INDEX(tblBatidas[Data e hora],MATCH("B"&amp;MID($A75,2,99),tblBatidas[Início vinculado],0))-INDEX(tblBatidas[Data e hora],MATCH("B"&amp;MID($A75,2,99),tblBatidas[Batida ID],0)))*24,"")</f>
        <v/>
      </c>
      <c r="L75" t="str">
        <f>IFERROR(INDEX(tblBatidas[Observação],MATCH("B"&amp;MID($A75,2,99),tblBatidas[Início vinculado],0)),"")</f>
        <v/>
      </c>
      <c r="M75" t="str">
        <f>IFERROR(INDEX(tblPessoas[Base],MATCH(E75,tblPessoas[ID],0)),"")</f>
        <v>Hora</v>
      </c>
      <c r="N75" s="3">
        <f>IFERROR(IF(D75="DIA ÚTIL",INDEX(tblPessoas[R$/h útil],MATCH(E75,tblPessoas[ID],0)),INDEX(tblPessoas[R$/h FDS],MATCH(E75,tblPessoas[ID],0))),0)</f>
        <v>23.5</v>
      </c>
      <c r="O75" s="3">
        <f>IFERROR(INDEX(tblPessoas[R$/diária],MATCH(E75,tblPessoas[ID],0)),0)</f>
        <v>0</v>
      </c>
      <c r="P75" s="3" t="str">
        <f t="shared" si="6"/>
        <v/>
      </c>
      <c r="Q75" t="str">
        <f>IF(A75="","",IF(COUNTIF(tblBatidas[Início vinculado],"B"&amp;MID($A75,2,99))=0,"EM ABERTO",IF(OR(COUNTIF(tblBatidas[Início vinculado],"B"&amp;MID($A75,2,99))&gt;1,K75&lt;0,K75&gt;16,INT(INDEX(tblBatidas[Data e hora],MATCH("B"&amp;MID($A75,2,99),tblBatidas[Início vinculado],0)))&lt;&gt;B75,INDEX(tblBatidas[ID],MATCH("B"&amp;MID($A75,2,99),tblBatidas[Início vinculado],0))&lt;&gt;E75,INDEX(tblBatidas[Projeto],MATCH("B"&amp;MID($A75,2,99),tblBatidas[Início vinculado],0))&lt;&gt;G75,INDEX(tblBatidas[Atividade],MATCH("B"&amp;MID($A75,2,99),tblBatidas[Início vinculado],0))&lt;&gt;H75),"REVISAR","CONCLUÍDO")))</f>
        <v>EM ABERTO</v>
      </c>
      <c r="R75">
        <f>IF(Q75&lt;&gt;"CONCLUÍDO",0,IF(COUNTIFS($E$5:E75,E75,$B$5:B75,B75,$Q$5:Q75,"CONCLUÍDO")=1,1,0))</f>
        <v>0</v>
      </c>
      <c r="S75" t="str">
        <f t="shared" si="7"/>
        <v>yyyy-08</v>
      </c>
      <c r="T75">
        <f>IF(E75="","",E75*100000+COUNTIFS(tblRegistros[ID],E75,tblRegistros[Data],"&lt;"&amp;B75)+COUNTIFS(tblRegistros[ID],E75,tblRegistros[Data],B75,tblRegistros[Início],"&lt;"&amp;I75)+COUNTIFS($E$5:E75,E75,$B$5:B75,B75,$I$5:I75,I75))</f>
        <v>101100006</v>
      </c>
    </row>
    <row r="76" spans="1:20">
      <c r="A76" t="s">
        <v>168</v>
      </c>
      <c r="B76" s="2">
        <f>IFERROR(INT(INDEX(tblBatidas[Data e hora],MATCH("B"&amp;MID($A76,2,99),tblBatidas[Batida ID],0))),"")</f>
        <v>46262</v>
      </c>
      <c r="C76" t="str">
        <f t="shared" si="4"/>
        <v>SEXTA-FEIRA</v>
      </c>
      <c r="D76" t="str">
        <f t="shared" si="5"/>
        <v>DIA ÚTIL</v>
      </c>
      <c r="E76">
        <f>IFERROR(INDEX(tblBatidas[ID],MATCH("B"&amp;MID($A76,2,99),tblBatidas[Batida ID],0)),"")</f>
        <v>1003</v>
      </c>
      <c r="F76" t="str">
        <f>IFERROR(INDEX(tblPessoas[Pessoa],MATCH(E76,tblPessoas[ID],0)),"")</f>
        <v>Amanda do Carmo Ribeiro</v>
      </c>
      <c r="G76" t="str">
        <f>IFERROR(INDEX(tblBatidas[Projeto],MATCH("B"&amp;MID($A76,2,99),tblBatidas[Batida ID],0)),"")</f>
        <v>OTEMPO</v>
      </c>
      <c r="H76" t="str">
        <f>IFERROR(INDEX(tblBatidas[Atividade],MATCH("B"&amp;MID($A76,2,99),tblBatidas[Batida ID],0)),"")</f>
        <v>ANÁLISE</v>
      </c>
      <c r="I76" s="4">
        <f>IFERROR(MOD(INDEX(tblBatidas[Data e hora],MATCH("B"&amp;MID($A76,2,99),tblBatidas[Batida ID],0)),1),"")</f>
        <v>0.57236111110978527</v>
      </c>
      <c r="J76" s="4">
        <f>IFERROR(MOD(INDEX(tblBatidas[Data e hora],MATCH("B"&amp;MID($A76,2,99),tblBatidas[Início vinculado],0)),1),"")</f>
        <v>0.75040509259270038</v>
      </c>
      <c r="K76" s="14">
        <f>IFERROR((INDEX(tblBatidas[Data e hora],MATCH("B"&amp;MID($A76,2,99),tblBatidas[Início vinculado],0))-INDEX(tblBatidas[Data e hora],MATCH("B"&amp;MID($A76,2,99),tblBatidas[Batida ID],0)))*24,"")</f>
        <v>4.2730555555899628</v>
      </c>
      <c r="L76">
        <f>IFERROR(INDEX(tblBatidas[Observação],MATCH("B"&amp;MID($A76,2,99),tblBatidas[Início vinculado],0)),"")</f>
        <v>0</v>
      </c>
      <c r="M76" t="str">
        <f>IFERROR(INDEX(tblPessoas[Base],MATCH(E76,tblPessoas[ID],0)),"")</f>
        <v>Hora</v>
      </c>
      <c r="N76" s="3">
        <f>IFERROR(IF(D76="DIA ÚTIL",INDEX(tblPessoas[R$/h útil],MATCH(E76,tblPessoas[ID],0)),INDEX(tblPessoas[R$/h FDS],MATCH(E76,tblPessoas[ID],0))),0)</f>
        <v>23.5</v>
      </c>
      <c r="O76" s="3">
        <f>IFERROR(INDEX(tblPessoas[R$/diária],MATCH(E76,tblPessoas[ID],0)),0)</f>
        <v>0</v>
      </c>
      <c r="P76" s="3">
        <f t="shared" si="6"/>
        <v>100.41680555636412</v>
      </c>
      <c r="Q76" t="str">
        <f>IF(A76="","",IF(COUNTIF(tblBatidas[Início vinculado],"B"&amp;MID($A76,2,99))=0,"EM ABERTO",IF(OR(COUNTIF(tblBatidas[Início vinculado],"B"&amp;MID($A76,2,99))&gt;1,K76&lt;0,K76&gt;16,INT(INDEX(tblBatidas[Data e hora],MATCH("B"&amp;MID($A76,2,99),tblBatidas[Início vinculado],0)))&lt;&gt;B76,INDEX(tblBatidas[ID],MATCH("B"&amp;MID($A76,2,99),tblBatidas[Início vinculado],0))&lt;&gt;E76,INDEX(tblBatidas[Projeto],MATCH("B"&amp;MID($A76,2,99),tblBatidas[Início vinculado],0))&lt;&gt;G76,INDEX(tblBatidas[Atividade],MATCH("B"&amp;MID($A76,2,99),tblBatidas[Início vinculado],0))&lt;&gt;H76),"REVISAR","CONCLUÍDO")))</f>
        <v>CONCLUÍDO</v>
      </c>
      <c r="R76">
        <f>IF(Q76&lt;&gt;"CONCLUÍDO",0,IF(COUNTIFS($E$5:E76,E76,$B$5:B76,B76,$Q$5:Q76,"CONCLUÍDO")=1,1,0))</f>
        <v>0</v>
      </c>
      <c r="S76" t="str">
        <f t="shared" si="7"/>
        <v>yyyy-08</v>
      </c>
      <c r="T76">
        <f>IF(E76="","",E76*100000+COUNTIFS(tblRegistros[ID],E76,tblRegistros[Data],"&lt;"&amp;B76)+COUNTIFS(tblRegistros[ID],E76,tblRegistros[Data],B76,tblRegistros[Início],"&lt;"&amp;I76)+COUNTIFS($E$5:E76,E76,$B$5:B76,B76,$I$5:I76,I76))</f>
        <v>100300006</v>
      </c>
    </row>
    <row r="77" spans="1:20">
      <c r="A77" t="s">
        <v>169</v>
      </c>
      <c r="B77" s="2">
        <f>IFERROR(INT(INDEX(tblBatidas[Data e hora],MATCH("B"&amp;MID($A77,2,99),tblBatidas[Batida ID],0))),"")</f>
        <v>46262</v>
      </c>
      <c r="C77" t="str">
        <f t="shared" si="4"/>
        <v>SEXTA-FEIRA</v>
      </c>
      <c r="D77" t="str">
        <f t="shared" si="5"/>
        <v>DIA ÚTIL</v>
      </c>
      <c r="E77">
        <f>IFERROR(INDEX(tblBatidas[ID],MATCH("B"&amp;MID($A77,2,99),tblBatidas[Batida ID],0)),"")</f>
        <v>1014</v>
      </c>
      <c r="F77" t="str">
        <f>IFERROR(INDEX(tblPessoas[Pessoa],MATCH(E77,tblPessoas[ID],0)),"")</f>
        <v>Robert Filipe Orlando de Souza</v>
      </c>
      <c r="G77" t="str">
        <f>IFERROR(INDEX(tblBatidas[Projeto],MATCH("B"&amp;MID($A77,2,99),tblBatidas[Batida ID],0)),"")</f>
        <v>SICOOB CREDICOM</v>
      </c>
      <c r="H77" t="str">
        <f>IFERROR(INDEX(tblBatidas[Atividade],MATCH("B"&amp;MID($A77,2,99),tblBatidas[Batida ID],0)),"")</f>
        <v>CHECAGEM</v>
      </c>
      <c r="I77" s="4">
        <f>IFERROR(MOD(INDEX(tblBatidas[Data e hora],MATCH("B"&amp;MID($A77,2,99),tblBatidas[Batida ID],0)),1),"")</f>
        <v>0.57981481481692754</v>
      </c>
      <c r="J77" s="4">
        <f>IFERROR(MOD(INDEX(tblBatidas[Data e hora],MATCH("B"&amp;MID($A77,2,99),tblBatidas[Início vinculado],0)),1),"")</f>
        <v>0.60143518518452765</v>
      </c>
      <c r="K77" s="14">
        <f>IFERROR((INDEX(tblBatidas[Data e hora],MATCH("B"&amp;MID($A77,2,99),tblBatidas[Início vinculado],0))-INDEX(tblBatidas[Data e hora],MATCH("B"&amp;MID($A77,2,99),tblBatidas[Batida ID],0)))*24,"")</f>
        <v>0.51888888882240281</v>
      </c>
      <c r="L77">
        <f>IFERROR(INDEX(tblBatidas[Observação],MATCH("B"&amp;MID($A77,2,99),tblBatidas[Início vinculado],0)),"")</f>
        <v>0</v>
      </c>
      <c r="M77" t="str">
        <f>IFERROR(INDEX(tblPessoas[Base],MATCH(E77,tblPessoas[ID],0)),"")</f>
        <v>Hora</v>
      </c>
      <c r="N77" s="3">
        <f>IFERROR(IF(D77="DIA ÚTIL",INDEX(tblPessoas[R$/h útil],MATCH(E77,tblPessoas[ID],0)),INDEX(tblPessoas[R$/h FDS],MATCH(E77,tblPessoas[ID],0))),0)</f>
        <v>21.5</v>
      </c>
      <c r="O77" s="3">
        <f>IFERROR(INDEX(tblPessoas[R$/diária],MATCH(E77,tblPessoas[ID],0)),0)</f>
        <v>0</v>
      </c>
      <c r="P77" s="3">
        <f t="shared" si="6"/>
        <v>11.15611110968166</v>
      </c>
      <c r="Q77" t="str">
        <f>IF(A77="","",IF(COUNTIF(tblBatidas[Início vinculado],"B"&amp;MID($A77,2,99))=0,"EM ABERTO",IF(OR(COUNTIF(tblBatidas[Início vinculado],"B"&amp;MID($A77,2,99))&gt;1,K77&lt;0,K77&gt;16,INT(INDEX(tblBatidas[Data e hora],MATCH("B"&amp;MID($A77,2,99),tblBatidas[Início vinculado],0)))&lt;&gt;B77,INDEX(tblBatidas[ID],MATCH("B"&amp;MID($A77,2,99),tblBatidas[Início vinculado],0))&lt;&gt;E77,INDEX(tblBatidas[Projeto],MATCH("B"&amp;MID($A77,2,99),tblBatidas[Início vinculado],0))&lt;&gt;G77,INDEX(tblBatidas[Atividade],MATCH("B"&amp;MID($A77,2,99),tblBatidas[Início vinculado],0))&lt;&gt;H77),"REVISAR","CONCLUÍDO")))</f>
        <v>CONCLUÍDO</v>
      </c>
      <c r="R77">
        <f>IF(Q77&lt;&gt;"CONCLUÍDO",0,IF(COUNTIFS($E$5:E77,E77,$B$5:B77,B77,$Q$5:Q77,"CONCLUÍDO")=1,1,0))</f>
        <v>0</v>
      </c>
      <c r="S77" t="str">
        <f t="shared" si="7"/>
        <v>yyyy-08</v>
      </c>
      <c r="T77">
        <f>IF(E77="","",E77*100000+COUNTIFS(tblRegistros[ID],E77,tblRegistros[Data],"&lt;"&amp;B77)+COUNTIFS(tblRegistros[ID],E77,tblRegistros[Data],B77,tblRegistros[Início],"&lt;"&amp;I77)+COUNTIFS($E$5:E77,E77,$B$5:B77,B77,$I$5:I77,I77))</f>
        <v>101400007</v>
      </c>
    </row>
    <row r="78" spans="1:20">
      <c r="A78" t="s">
        <v>170</v>
      </c>
      <c r="B78" s="2">
        <f>IFERROR(INT(INDEX(tblBatidas[Data e hora],MATCH("B"&amp;MID($A78,2,99),tblBatidas[Batida ID],0))),"")</f>
        <v>46262</v>
      </c>
      <c r="C78" t="str">
        <f t="shared" si="4"/>
        <v>SEXTA-FEIRA</v>
      </c>
      <c r="D78" t="str">
        <f t="shared" si="5"/>
        <v>DIA ÚTIL</v>
      </c>
      <c r="E78">
        <f>IFERROR(INDEX(tblBatidas[ID],MATCH("B"&amp;MID($A78,2,99),tblBatidas[Batida ID],0)),"")</f>
        <v>1012</v>
      </c>
      <c r="F78" t="str">
        <f>IFERROR(INDEX(tblPessoas[Pessoa],MATCH(E78,tblPessoas[ID],0)),"")</f>
        <v>Nelma Lucia dos S. B. Brandão</v>
      </c>
      <c r="G78" t="str">
        <f>IFERROR(INDEX(tblBatidas[Projeto],MATCH("B"&amp;MID($A78,2,99),tblBatidas[Batida ID],0)),"")</f>
        <v>OTEMPO</v>
      </c>
      <c r="H78" t="str">
        <f>IFERROR(INDEX(tblBatidas[Atividade],MATCH("B"&amp;MID($A78,2,99),tblBatidas[Batida ID],0)),"")</f>
        <v>SUPERVISÃO</v>
      </c>
      <c r="I78" s="4">
        <f>IFERROR(MOD(INDEX(tblBatidas[Data e hora],MATCH("B"&amp;MID($A78,2,99),tblBatidas[Batida ID],0)),1),"")</f>
        <v>0.59024305555794854</v>
      </c>
      <c r="J78" s="4" t="str">
        <f>IFERROR(MOD(INDEX(tblBatidas[Data e hora],MATCH("B"&amp;MID($A78,2,99),tblBatidas[Início vinculado],0)),1),"")</f>
        <v/>
      </c>
      <c r="K78" s="14" t="str">
        <f>IFERROR((INDEX(tblBatidas[Data e hora],MATCH("B"&amp;MID($A78,2,99),tblBatidas[Início vinculado],0))-INDEX(tblBatidas[Data e hora],MATCH("B"&amp;MID($A78,2,99),tblBatidas[Batida ID],0)))*24,"")</f>
        <v/>
      </c>
      <c r="L78" t="str">
        <f>IFERROR(INDEX(tblBatidas[Observação],MATCH("B"&amp;MID($A78,2,99),tblBatidas[Início vinculado],0)),"")</f>
        <v/>
      </c>
      <c r="M78" t="str">
        <f>IFERROR(INDEX(tblPessoas[Base],MATCH(E78,tblPessoas[ID],0)),"")</f>
        <v>Diária</v>
      </c>
      <c r="N78" s="3">
        <f>IFERROR(IF(D78="DIA ÚTIL",INDEX(tblPessoas[R$/h útil],MATCH(E78,tblPessoas[ID],0)),INDEX(tblPessoas[R$/h FDS],MATCH(E78,tblPessoas[ID],0))),0)</f>
        <v>0</v>
      </c>
      <c r="O78" s="3">
        <f>IFERROR(INDEX(tblPessoas[R$/diária],MATCH(E78,tblPessoas[ID],0)),0)</f>
        <v>222.72</v>
      </c>
      <c r="P78" s="3" t="str">
        <f t="shared" si="6"/>
        <v/>
      </c>
      <c r="Q78" t="str">
        <f>IF(A78="","",IF(COUNTIF(tblBatidas[Início vinculado],"B"&amp;MID($A78,2,99))=0,"EM ABERTO",IF(OR(COUNTIF(tblBatidas[Início vinculado],"B"&amp;MID($A78,2,99))&gt;1,K78&lt;0,K78&gt;16,INT(INDEX(tblBatidas[Data e hora],MATCH("B"&amp;MID($A78,2,99),tblBatidas[Início vinculado],0)))&lt;&gt;B78,INDEX(tblBatidas[ID],MATCH("B"&amp;MID($A78,2,99),tblBatidas[Início vinculado],0))&lt;&gt;E78,INDEX(tblBatidas[Projeto],MATCH("B"&amp;MID($A78,2,99),tblBatidas[Início vinculado],0))&lt;&gt;G78,INDEX(tblBatidas[Atividade],MATCH("B"&amp;MID($A78,2,99),tblBatidas[Início vinculado],0))&lt;&gt;H78),"REVISAR","CONCLUÍDO")))</f>
        <v>EM ABERTO</v>
      </c>
      <c r="R78">
        <f>IF(Q78&lt;&gt;"CONCLUÍDO",0,IF(COUNTIFS($E$5:E78,E78,$B$5:B78,B78,$Q$5:Q78,"CONCLUÍDO")=1,1,0))</f>
        <v>0</v>
      </c>
      <c r="S78" t="str">
        <f t="shared" si="7"/>
        <v>yyyy-08</v>
      </c>
      <c r="T78">
        <f>IF(E78="","",E78*100000+COUNTIFS(tblRegistros[ID],E78,tblRegistros[Data],"&lt;"&amp;B78)+COUNTIFS(tblRegistros[ID],E78,tblRegistros[Data],B78,tblRegistros[Início],"&lt;"&amp;I78)+COUNTIFS($E$5:E78,E78,$B$5:B78,B78,$I$5:I78,I78))</f>
        <v>101200009</v>
      </c>
    </row>
    <row r="79" spans="1:20">
      <c r="A79" t="s">
        <v>171</v>
      </c>
      <c r="B79" s="2">
        <f>IFERROR(INT(INDEX(tblBatidas[Data e hora],MATCH("B"&amp;MID($A79,2,99),tblBatidas[Batida ID],0))),"")</f>
        <v>46262</v>
      </c>
      <c r="C79" t="str">
        <f t="shared" si="4"/>
        <v>SEXTA-FEIRA</v>
      </c>
      <c r="D79" t="str">
        <f t="shared" si="5"/>
        <v>DIA ÚTIL</v>
      </c>
      <c r="E79">
        <f>IFERROR(INDEX(tblBatidas[ID],MATCH("B"&amp;MID($A79,2,99),tblBatidas[Batida ID],0)),"")</f>
        <v>1014</v>
      </c>
      <c r="F79" t="str">
        <f>IFERROR(INDEX(tblPessoas[Pessoa],MATCH(E79,tblPessoas[ID],0)),"")</f>
        <v>Robert Filipe Orlando de Souza</v>
      </c>
      <c r="G79" t="str">
        <f>IFERROR(INDEX(tblBatidas[Projeto],MATCH("B"&amp;MID($A79,2,99),tblBatidas[Batida ID],0)),"")</f>
        <v>TOOLKIT</v>
      </c>
      <c r="H79" t="str">
        <f>IFERROR(INDEX(tblBatidas[Atividade],MATCH("B"&amp;MID($A79,2,99),tblBatidas[Batida ID],0)),"")</f>
        <v>CHECAGEM</v>
      </c>
      <c r="I79" s="4">
        <f>IFERROR(MOD(INDEX(tblBatidas[Data e hora],MATCH("B"&amp;MID($A79,2,99),tblBatidas[Batida ID],0)),1),"")</f>
        <v>0.60165509259240935</v>
      </c>
      <c r="J79" s="4">
        <f>IFERROR(MOD(INDEX(tblBatidas[Data e hora],MATCH("B"&amp;MID($A79,2,99),tblBatidas[Início vinculado],0)),1),"")</f>
        <v>0.66454861110833008</v>
      </c>
      <c r="K79" s="14">
        <f>IFERROR((INDEX(tblBatidas[Data e hora],MATCH("B"&amp;MID($A79,2,99),tblBatidas[Início vinculado],0))-INDEX(tblBatidas[Data e hora],MATCH("B"&amp;MID($A79,2,99),tblBatidas[Batida ID],0)))*24,"")</f>
        <v>1.5094444443820976</v>
      </c>
      <c r="L79">
        <f>IFERROR(INDEX(tblBatidas[Observação],MATCH("B"&amp;MID($A79,2,99),tblBatidas[Início vinculado],0)),"")</f>
        <v>0</v>
      </c>
      <c r="M79" t="str">
        <f>IFERROR(INDEX(tblPessoas[Base],MATCH(E79,tblPessoas[ID],0)),"")</f>
        <v>Hora</v>
      </c>
      <c r="N79" s="3">
        <f>IFERROR(IF(D79="DIA ÚTIL",INDEX(tblPessoas[R$/h útil],MATCH(E79,tblPessoas[ID],0)),INDEX(tblPessoas[R$/h FDS],MATCH(E79,tblPessoas[ID],0))),0)</f>
        <v>21.5</v>
      </c>
      <c r="O79" s="3">
        <f>IFERROR(INDEX(tblPessoas[R$/diária],MATCH(E79,tblPessoas[ID],0)),0)</f>
        <v>0</v>
      </c>
      <c r="P79" s="3">
        <f t="shared" si="6"/>
        <v>32.453055554215098</v>
      </c>
      <c r="Q79" t="str">
        <f>IF(A79="","",IF(COUNTIF(tblBatidas[Início vinculado],"B"&amp;MID($A79,2,99))=0,"EM ABERTO",IF(OR(COUNTIF(tblBatidas[Início vinculado],"B"&amp;MID($A79,2,99))&gt;1,K79&lt;0,K79&gt;16,INT(INDEX(tblBatidas[Data e hora],MATCH("B"&amp;MID($A79,2,99),tblBatidas[Início vinculado],0)))&lt;&gt;B79,INDEX(tblBatidas[ID],MATCH("B"&amp;MID($A79,2,99),tblBatidas[Início vinculado],0))&lt;&gt;E79,INDEX(tblBatidas[Projeto],MATCH("B"&amp;MID($A79,2,99),tblBatidas[Início vinculado],0))&lt;&gt;G79,INDEX(tblBatidas[Atividade],MATCH("B"&amp;MID($A79,2,99),tblBatidas[Início vinculado],0))&lt;&gt;H79),"REVISAR","CONCLUÍDO")))</f>
        <v>CONCLUÍDO</v>
      </c>
      <c r="R79">
        <f>IF(Q79&lt;&gt;"CONCLUÍDO",0,IF(COUNTIFS($E$5:E79,E79,$B$5:B79,B79,$Q$5:Q79,"CONCLUÍDO")=1,1,0))</f>
        <v>0</v>
      </c>
      <c r="S79" t="str">
        <f t="shared" si="7"/>
        <v>yyyy-08</v>
      </c>
      <c r="T79">
        <f>IF(E79="","",E79*100000+COUNTIFS(tblRegistros[ID],E79,tblRegistros[Data],"&lt;"&amp;B79)+COUNTIFS(tblRegistros[ID],E79,tblRegistros[Data],B79,tblRegistros[Início],"&lt;"&amp;I79)+COUNTIFS($E$5:E79,E79,$B$5:B79,B79,$I$5:I79,I79))</f>
        <v>101400008</v>
      </c>
    </row>
    <row r="80" spans="1:20">
      <c r="A80" t="s">
        <v>172</v>
      </c>
      <c r="B80" s="2">
        <f>IFERROR(INT(INDEX(tblBatidas[Data e hora],MATCH("B"&amp;MID($A80,2,99),tblBatidas[Batida ID],0))),"")</f>
        <v>46262</v>
      </c>
      <c r="C80" t="str">
        <f t="shared" si="4"/>
        <v>SEXTA-FEIRA</v>
      </c>
      <c r="D80" t="str">
        <f t="shared" si="5"/>
        <v>DIA ÚTIL</v>
      </c>
      <c r="E80">
        <f>IFERROR(INDEX(tblBatidas[ID],MATCH("B"&amp;MID($A80,2,99),tblBatidas[Batida ID],0)),"")</f>
        <v>1015</v>
      </c>
      <c r="F80" t="str">
        <f>IFERROR(INDEX(tblPessoas[Pessoa],MATCH(E80,tblPessoas[ID],0)),"")</f>
        <v>Vitor Guilherme Miguel Rocha</v>
      </c>
      <c r="G80" t="str">
        <f>IFERROR(INDEX(tblBatidas[Projeto],MATCH("B"&amp;MID($A80,2,99),tblBatidas[Batida ID],0)),"")</f>
        <v>ADMINISTRATIVO</v>
      </c>
      <c r="H80" t="str">
        <f>IFERROR(INDEX(tblBatidas[Atividade],MATCH("B"&amp;MID($A80,2,99),tblBatidas[Batida ID],0)),"")</f>
        <v>ADMINISTRATIVO</v>
      </c>
      <c r="I80" s="4">
        <f>IFERROR(MOD(INDEX(tblBatidas[Data e hora],MATCH("B"&amp;MID($A80,2,99),tblBatidas[Batida ID],0)),1),"")</f>
        <v>0.60439814814890269</v>
      </c>
      <c r="J80" s="4">
        <f>IFERROR(MOD(INDEX(tblBatidas[Data e hora],MATCH("B"&amp;MID($A80,2,99),tblBatidas[Início vinculado],0)),1),"")</f>
        <v>0.74663194444292458</v>
      </c>
      <c r="K80" s="14">
        <f>IFERROR((INDEX(tblBatidas[Data e hora],MATCH("B"&amp;MID($A80,2,99),tblBatidas[Início vinculado],0))-INDEX(tblBatidas[Data e hora],MATCH("B"&amp;MID($A80,2,99),tblBatidas[Batida ID],0)))*24,"")</f>
        <v>3.4136111110565253</v>
      </c>
      <c r="L80">
        <f>IFERROR(INDEX(tblBatidas[Observação],MATCH("B"&amp;MID($A80,2,99),tblBatidas[Início vinculado],0)),"")</f>
        <v>0</v>
      </c>
      <c r="M80" t="str">
        <f>IFERROR(INDEX(tblPessoas[Base],MATCH(E80,tblPessoas[ID],0)),"")</f>
        <v>Hora</v>
      </c>
      <c r="N80" s="3">
        <f>IFERROR(IF(D80="DIA ÚTIL",INDEX(tblPessoas[R$/h útil],MATCH(E80,tblPessoas[ID],0)),INDEX(tblPessoas[R$/h FDS],MATCH(E80,tblPessoas[ID],0))),0)</f>
        <v>21.5</v>
      </c>
      <c r="O80" s="3">
        <f>IFERROR(INDEX(tblPessoas[R$/diária],MATCH(E80,tblPessoas[ID],0)),0)</f>
        <v>0</v>
      </c>
      <c r="P80" s="3">
        <f t="shared" si="6"/>
        <v>73.392638887715293</v>
      </c>
      <c r="Q80" t="str">
        <f>IF(A80="","",IF(COUNTIF(tblBatidas[Início vinculado],"B"&amp;MID($A80,2,99))=0,"EM ABERTO",IF(OR(COUNTIF(tblBatidas[Início vinculado],"B"&amp;MID($A80,2,99))&gt;1,K80&lt;0,K80&gt;16,INT(INDEX(tblBatidas[Data e hora],MATCH("B"&amp;MID($A80,2,99),tblBatidas[Início vinculado],0)))&lt;&gt;B80,INDEX(tblBatidas[ID],MATCH("B"&amp;MID($A80,2,99),tblBatidas[Início vinculado],0))&lt;&gt;E80,INDEX(tblBatidas[Projeto],MATCH("B"&amp;MID($A80,2,99),tblBatidas[Início vinculado],0))&lt;&gt;G80,INDEX(tblBatidas[Atividade],MATCH("B"&amp;MID($A80,2,99),tblBatidas[Início vinculado],0))&lt;&gt;H80),"REVISAR","CONCLUÍDO")))</f>
        <v>CONCLUÍDO</v>
      </c>
      <c r="R80">
        <f>IF(Q80&lt;&gt;"CONCLUÍDO",0,IF(COUNTIFS($E$5:E80,E80,$B$5:B80,B80,$Q$5:Q80,"CONCLUÍDO")=1,1,0))</f>
        <v>0</v>
      </c>
      <c r="S80" t="str">
        <f t="shared" si="7"/>
        <v>yyyy-08</v>
      </c>
      <c r="T80">
        <f>IF(E80="","",E80*100000+COUNTIFS(tblRegistros[ID],E80,tblRegistros[Data],"&lt;"&amp;B80)+COUNTIFS(tblRegistros[ID],E80,tblRegistros[Data],B80,tblRegistros[Início],"&lt;"&amp;I80)+COUNTIFS($E$5:E80,E80,$B$5:B80,B80,$I$5:I80,I80))</f>
        <v>101500012</v>
      </c>
    </row>
    <row r="81" spans="1:20">
      <c r="A81" t="s">
        <v>173</v>
      </c>
      <c r="B81" s="2">
        <f>IFERROR(INT(INDEX(tblBatidas[Data e hora],MATCH("B"&amp;MID($A81,2,99),tblBatidas[Batida ID],0))),"")</f>
        <v>46262</v>
      </c>
      <c r="C81" t="str">
        <f t="shared" si="4"/>
        <v>SEXTA-FEIRA</v>
      </c>
      <c r="D81" t="str">
        <f t="shared" si="5"/>
        <v>DIA ÚTIL</v>
      </c>
      <c r="E81">
        <f>IFERROR(INDEX(tblBatidas[ID],MATCH("B"&amp;MID($A81,2,99),tblBatidas[Batida ID],0)),"")</f>
        <v>1001</v>
      </c>
      <c r="F81" t="str">
        <f>IFERROR(INDEX(tblPessoas[Pessoa],MATCH(E81,tblPessoas[ID],0)),"")</f>
        <v>Adriana Pereira dos Santos</v>
      </c>
      <c r="G81" t="str">
        <f>IFERROR(INDEX(tblBatidas[Projeto],MATCH("B"&amp;MID($A81,2,99),tblBatidas[Batida ID],0)),"")</f>
        <v>TOOLKIT</v>
      </c>
      <c r="H81" t="str">
        <f>IFERROR(INDEX(tblBatidas[Atividade],MATCH("B"&amp;MID($A81,2,99),tblBatidas[Batida ID],0)),"")</f>
        <v>SUPERVISÃO</v>
      </c>
      <c r="I81" s="4">
        <f>IFERROR(MOD(INDEX(tblBatidas[Data e hora],MATCH("B"&amp;MID($A81,2,99),tblBatidas[Batida ID],0)),1),"")</f>
        <v>0.63249999999970896</v>
      </c>
      <c r="J81" s="4">
        <f>IFERROR(MOD(INDEX(tblBatidas[Data e hora],MATCH("B"&amp;MID($A81,2,99),tblBatidas[Início vinculado],0)),1),"")</f>
        <v>0.78427083333372138</v>
      </c>
      <c r="K81" s="14">
        <f>IFERROR((INDEX(tblBatidas[Data e hora],MATCH("B"&amp;MID($A81,2,99),tblBatidas[Início vinculado],0))-INDEX(tblBatidas[Data e hora],MATCH("B"&amp;MID($A81,2,99),tblBatidas[Batida ID],0)))*24,"")</f>
        <v>3.6425000000162981</v>
      </c>
      <c r="L81" t="str">
        <f>IFERROR(INDEX(tblBatidas[Observação],MATCH("B"&amp;MID($A81,2,99),tblBatidas[Início vinculado],0)),"")</f>
        <v>Supervisão sicoob</v>
      </c>
      <c r="M81" t="str">
        <f>IFERROR(INDEX(tblPessoas[Base],MATCH(E81,tblPessoas[ID],0)),"")</f>
        <v>Hora</v>
      </c>
      <c r="N81" s="3">
        <f>IFERROR(IF(D81="DIA ÚTIL",INDEX(tblPessoas[R$/h útil],MATCH(E81,tblPessoas[ID],0)),INDEX(tblPessoas[R$/h FDS],MATCH(E81,tblPessoas[ID],0))),0)</f>
        <v>17</v>
      </c>
      <c r="O81" s="3">
        <f>IFERROR(INDEX(tblPessoas[R$/diária],MATCH(E81,tblPessoas[ID],0)),0)</f>
        <v>0</v>
      </c>
      <c r="P81" s="3">
        <f t="shared" si="6"/>
        <v>61.922500000277068</v>
      </c>
      <c r="Q81" t="str">
        <f>IF(A81="","",IF(COUNTIF(tblBatidas[Início vinculado],"B"&amp;MID($A81,2,99))=0,"EM ABERTO",IF(OR(COUNTIF(tblBatidas[Início vinculado],"B"&amp;MID($A81,2,99))&gt;1,K81&lt;0,K81&gt;16,INT(INDEX(tblBatidas[Data e hora],MATCH("B"&amp;MID($A81,2,99),tblBatidas[Início vinculado],0)))&lt;&gt;B81,INDEX(tblBatidas[ID],MATCH("B"&amp;MID($A81,2,99),tblBatidas[Início vinculado],0))&lt;&gt;E81,INDEX(tblBatidas[Projeto],MATCH("B"&amp;MID($A81,2,99),tblBatidas[Início vinculado],0))&lt;&gt;G81,INDEX(tblBatidas[Atividade],MATCH("B"&amp;MID($A81,2,99),tblBatidas[Início vinculado],0))&lt;&gt;H81),"REVISAR","CONCLUÍDO")))</f>
        <v>CONCLUÍDO</v>
      </c>
      <c r="R81">
        <f>IF(Q81&lt;&gt;"CONCLUÍDO",0,IF(COUNTIFS($E$5:E81,E81,$B$5:B81,B81,$Q$5:Q81,"CONCLUÍDO")=1,1,0))</f>
        <v>0</v>
      </c>
      <c r="S81" t="str">
        <f t="shared" si="7"/>
        <v>yyyy-08</v>
      </c>
      <c r="T81">
        <f>IF(E81="","",E81*100000+COUNTIFS(tblRegistros[ID],E81,tblRegistros[Data],"&lt;"&amp;B81)+COUNTIFS(tblRegistros[ID],E81,tblRegistros[Data],B81,tblRegistros[Início],"&lt;"&amp;I81)+COUNTIFS($E$5:E81,E81,$B$5:B81,B81,$I$5:I81,I81))</f>
        <v>100100008</v>
      </c>
    </row>
    <row r="82" spans="1:20">
      <c r="A82" t="s">
        <v>174</v>
      </c>
      <c r="B82" s="2">
        <f>IFERROR(INT(INDEX(tblBatidas[Data e hora],MATCH("B"&amp;MID($A82,2,99),tblBatidas[Batida ID],0))),"")</f>
        <v>46262</v>
      </c>
      <c r="C82" t="str">
        <f t="shared" si="4"/>
        <v>SEXTA-FEIRA</v>
      </c>
      <c r="D82" t="str">
        <f t="shared" si="5"/>
        <v>DIA ÚTIL</v>
      </c>
      <c r="E82">
        <f>IFERROR(INDEX(tblBatidas[ID],MATCH("B"&amp;MID($A82,2,99),tblBatidas[Batida ID],0)),"")</f>
        <v>1014</v>
      </c>
      <c r="F82" t="str">
        <f>IFERROR(INDEX(tblPessoas[Pessoa],MATCH(E82,tblPessoas[ID],0)),"")</f>
        <v>Robert Filipe Orlando de Souza</v>
      </c>
      <c r="G82" t="str">
        <f>IFERROR(INDEX(tblBatidas[Projeto],MATCH("B"&amp;MID($A82,2,99),tblBatidas[Batida ID],0)),"")</f>
        <v>SICOOB CREDICOM</v>
      </c>
      <c r="H82" t="str">
        <f>IFERROR(INDEX(tblBatidas[Atividade],MATCH("B"&amp;MID($A82,2,99),tblBatidas[Batida ID],0)),"")</f>
        <v>CHECAGEM</v>
      </c>
      <c r="I82" s="4">
        <f>IFERROR(MOD(INDEX(tblBatidas[Data e hora],MATCH("B"&amp;MID($A82,2,99),tblBatidas[Batida ID],0)),1),"")</f>
        <v>0.66500000000087311</v>
      </c>
      <c r="J82" s="4">
        <f>IFERROR(MOD(INDEX(tblBatidas[Data e hora],MATCH("B"&amp;MID($A82,2,99),tblBatidas[Início vinculado],0)),1),"")</f>
        <v>0.75622685185226146</v>
      </c>
      <c r="K82" s="14">
        <f>IFERROR((INDEX(tblBatidas[Data e hora],MATCH("B"&amp;MID($A82,2,99),tblBatidas[Início vinculado],0))-INDEX(tblBatidas[Data e hora],MATCH("B"&amp;MID($A82,2,99),tblBatidas[Batida ID],0)))*24,"")</f>
        <v>2.1894444444333203</v>
      </c>
      <c r="L82">
        <f>IFERROR(INDEX(tblBatidas[Observação],MATCH("B"&amp;MID($A82,2,99),tblBatidas[Início vinculado],0)),"")</f>
        <v>0</v>
      </c>
      <c r="M82" t="str">
        <f>IFERROR(INDEX(tblPessoas[Base],MATCH(E82,tblPessoas[ID],0)),"")</f>
        <v>Hora</v>
      </c>
      <c r="N82" s="3">
        <f>IFERROR(IF(D82="DIA ÚTIL",INDEX(tblPessoas[R$/h útil],MATCH(E82,tblPessoas[ID],0)),INDEX(tblPessoas[R$/h FDS],MATCH(E82,tblPessoas[ID],0))),0)</f>
        <v>21.5</v>
      </c>
      <c r="O82" s="3">
        <f>IFERROR(INDEX(tblPessoas[R$/diária],MATCH(E82,tblPessoas[ID],0)),0)</f>
        <v>0</v>
      </c>
      <c r="P82" s="3">
        <f t="shared" si="6"/>
        <v>47.073055555316387</v>
      </c>
      <c r="Q82" t="str">
        <f>IF(A82="","",IF(COUNTIF(tblBatidas[Início vinculado],"B"&amp;MID($A82,2,99))=0,"EM ABERTO",IF(OR(COUNTIF(tblBatidas[Início vinculado],"B"&amp;MID($A82,2,99))&gt;1,K82&lt;0,K82&gt;16,INT(INDEX(tblBatidas[Data e hora],MATCH("B"&amp;MID($A82,2,99),tblBatidas[Início vinculado],0)))&lt;&gt;B82,INDEX(tblBatidas[ID],MATCH("B"&amp;MID($A82,2,99),tblBatidas[Início vinculado],0))&lt;&gt;E82,INDEX(tblBatidas[Projeto],MATCH("B"&amp;MID($A82,2,99),tblBatidas[Início vinculado],0))&lt;&gt;G82,INDEX(tblBatidas[Atividade],MATCH("B"&amp;MID($A82,2,99),tblBatidas[Início vinculado],0))&lt;&gt;H82),"REVISAR","CONCLUÍDO")))</f>
        <v>CONCLUÍDO</v>
      </c>
      <c r="R82">
        <f>IF(Q82&lt;&gt;"CONCLUÍDO",0,IF(COUNTIFS($E$5:E82,E82,$B$5:B82,B82,$Q$5:Q82,"CONCLUÍDO")=1,1,0))</f>
        <v>0</v>
      </c>
      <c r="S82" t="str">
        <f t="shared" si="7"/>
        <v>yyyy-08</v>
      </c>
      <c r="T82">
        <f>IF(E82="","",E82*100000+COUNTIFS(tblRegistros[ID],E82,tblRegistros[Data],"&lt;"&amp;B82)+COUNTIFS(tblRegistros[ID],E82,tblRegistros[Data],B82,tblRegistros[Início],"&lt;"&amp;I82)+COUNTIFS($E$5:E82,E82,$B$5:B82,B82,$I$5:I82,I82))</f>
        <v>101400009</v>
      </c>
    </row>
    <row r="83" spans="1:20">
      <c r="A83" t="s">
        <v>175</v>
      </c>
      <c r="B83" s="2">
        <f>IFERROR(INT(INDEX(tblBatidas[Data e hora],MATCH("B"&amp;MID($A83,2,99),tblBatidas[Batida ID],0))),"")</f>
        <v>46262</v>
      </c>
      <c r="C83" t="str">
        <f t="shared" si="4"/>
        <v>SEXTA-FEIRA</v>
      </c>
      <c r="D83" t="str">
        <f t="shared" si="5"/>
        <v>DIA ÚTIL</v>
      </c>
      <c r="E83">
        <f>IFERROR(INDEX(tblBatidas[ID],MATCH("B"&amp;MID($A83,2,99),tblBatidas[Batida ID],0)),"")</f>
        <v>1006</v>
      </c>
      <c r="F83" t="str">
        <f>IFERROR(INDEX(tblPessoas[Pessoa],MATCH(E83,tblPessoas[ID],0)),"")</f>
        <v>Eliane dos Santos Oliveira</v>
      </c>
      <c r="G83" t="str">
        <f>IFERROR(INDEX(tblBatidas[Projeto],MATCH("B"&amp;MID($A83,2,99),tblBatidas[Batida ID],0)),"")</f>
        <v>OTEMPO</v>
      </c>
      <c r="H83" t="str">
        <f>IFERROR(INDEX(tblBatidas[Atividade],MATCH("B"&amp;MID($A83,2,99),tblBatidas[Batida ID],0)),"")</f>
        <v>CHECAGEM</v>
      </c>
      <c r="I83" s="4">
        <f>IFERROR(MOD(INDEX(tblBatidas[Data e hora],MATCH("B"&amp;MID($A83,2,99),tblBatidas[Batida ID],0)),1),"")</f>
        <v>0.7071527777807205</v>
      </c>
      <c r="J83" s="4">
        <f>IFERROR(MOD(INDEX(tblBatidas[Data e hora],MATCH("B"&amp;MID($A83,2,99),tblBatidas[Início vinculado],0)),1),"")</f>
        <v>0.783726851848769</v>
      </c>
      <c r="K83" s="14">
        <f>IFERROR((INDEX(tblBatidas[Data e hora],MATCH("B"&amp;MID($A83,2,99),tblBatidas[Início vinculado],0))-INDEX(tblBatidas[Data e hora],MATCH("B"&amp;MID($A83,2,99),tblBatidas[Batida ID],0)))*24,"")</f>
        <v>1.8377777776331641</v>
      </c>
      <c r="L83" t="str">
        <f>IFERROR(INDEX(tblBatidas[Observação],MATCH("B"&amp;MID($A83,2,99),tblBatidas[Início vinculado],0)),"")</f>
        <v>checagem do toolkit e do otempo</v>
      </c>
      <c r="M83" t="str">
        <f>IFERROR(INDEX(tblPessoas[Base],MATCH(E83,tblPessoas[ID],0)),"")</f>
        <v>Hora</v>
      </c>
      <c r="N83" s="3">
        <f>IFERROR(IF(D83="DIA ÚTIL",INDEX(tblPessoas[R$/h útil],MATCH(E83,tblPessoas[ID],0)),INDEX(tblPessoas[R$/h FDS],MATCH(E83,tblPessoas[ID],0))),0)</f>
        <v>14</v>
      </c>
      <c r="O83" s="3">
        <f>IFERROR(INDEX(tblPessoas[R$/diária],MATCH(E83,tblPessoas[ID],0)),0)</f>
        <v>0</v>
      </c>
      <c r="P83" s="3">
        <f t="shared" si="6"/>
        <v>25.728888886864297</v>
      </c>
      <c r="Q83" t="str">
        <f>IF(A83="","",IF(COUNTIF(tblBatidas[Início vinculado],"B"&amp;MID($A83,2,99))=0,"EM ABERTO",IF(OR(COUNTIF(tblBatidas[Início vinculado],"B"&amp;MID($A83,2,99))&gt;1,K83&lt;0,K83&gt;16,INT(INDEX(tblBatidas[Data e hora],MATCH("B"&amp;MID($A83,2,99),tblBatidas[Início vinculado],0)))&lt;&gt;B83,INDEX(tblBatidas[ID],MATCH("B"&amp;MID($A83,2,99),tblBatidas[Início vinculado],0))&lt;&gt;E83,INDEX(tblBatidas[Projeto],MATCH("B"&amp;MID($A83,2,99),tblBatidas[Início vinculado],0))&lt;&gt;G83,INDEX(tblBatidas[Atividade],MATCH("B"&amp;MID($A83,2,99),tblBatidas[Início vinculado],0))&lt;&gt;H83),"REVISAR","CONCLUÍDO")))</f>
        <v>CONCLUÍDO</v>
      </c>
      <c r="R83">
        <f>IF(Q83&lt;&gt;"CONCLUÍDO",0,IF(COUNTIFS($E$5:E83,E83,$B$5:B83,B83,$Q$5:Q83,"CONCLUÍDO")=1,1,0))</f>
        <v>0</v>
      </c>
      <c r="S83" t="str">
        <f t="shared" si="7"/>
        <v>yyyy-08</v>
      </c>
      <c r="T83">
        <f>IF(E83="","",E83*100000+COUNTIFS(tblRegistros[ID],E83,tblRegistros[Data],"&lt;"&amp;B83)+COUNTIFS(tblRegistros[ID],E83,tblRegistros[Data],B83,tblRegistros[Início],"&lt;"&amp;I83)+COUNTIFS($E$5:E83,E83,$B$5:B83,B83,$I$5:I83,I83))</f>
        <v>100600006</v>
      </c>
    </row>
    <row r="84" spans="1:20">
      <c r="A84" t="s">
        <v>176</v>
      </c>
      <c r="B84" s="2">
        <f>IFERROR(INT(INDEX(tblBatidas[Data e hora],MATCH("B"&amp;MID($A84,2,99),tblBatidas[Batida ID],0))),"")</f>
        <v>46263</v>
      </c>
      <c r="C84" t="str">
        <f t="shared" si="4"/>
        <v>SÁBADO</v>
      </c>
      <c r="D84" t="str">
        <f t="shared" si="5"/>
        <v>FDS/FERIADO</v>
      </c>
      <c r="E84">
        <f>IFERROR(INDEX(tblBatidas[ID],MATCH("B"&amp;MID($A84,2,99),tblBatidas[Batida ID],0)),"")</f>
        <v>1001</v>
      </c>
      <c r="F84" t="str">
        <f>IFERROR(INDEX(tblPessoas[Pessoa],MATCH(E84,tblPessoas[ID],0)),"")</f>
        <v>Adriana Pereira dos Santos</v>
      </c>
      <c r="G84" t="str">
        <f>IFERROR(INDEX(tblBatidas[Projeto],MATCH("B"&amp;MID($A84,2,99),tblBatidas[Batida ID],0)),"")</f>
        <v>SICOOB CREDICOM</v>
      </c>
      <c r="H84" t="str">
        <f>IFERROR(INDEX(tblBatidas[Atividade],MATCH("B"&amp;MID($A84,2,99),tblBatidas[Batida ID],0)),"")</f>
        <v>SUPERVISÃO</v>
      </c>
      <c r="I84" s="4">
        <f>IFERROR(MOD(INDEX(tblBatidas[Data e hora],MATCH("B"&amp;MID($A84,2,99),tblBatidas[Batida ID],0)),1),"")</f>
        <v>0.34531250000145519</v>
      </c>
      <c r="J84" s="4">
        <f>IFERROR(MOD(INDEX(tblBatidas[Data e hora],MATCH("B"&amp;MID($A84,2,99),tblBatidas[Início vinculado],0)),1),"")</f>
        <v>0.75068287036992842</v>
      </c>
      <c r="K84" s="14">
        <f>IFERROR((INDEX(tblBatidas[Data e hora],MATCH("B"&amp;MID($A84,2,99),tblBatidas[Início vinculado],0))-INDEX(tblBatidas[Data e hora],MATCH("B"&amp;MID($A84,2,99),tblBatidas[Batida ID],0)))*24,"")</f>
        <v>9.7288888888433576</v>
      </c>
      <c r="L84" t="str">
        <f>IFERROR(INDEX(tblBatidas[Observação],MATCH("B"&amp;MID($A84,2,99),tblBatidas[Início vinculado],0)),"")</f>
        <v>SUPERVISÃO SICOOB</v>
      </c>
      <c r="M84" t="str">
        <f>IFERROR(INDEX(tblPessoas[Base],MATCH(E84,tblPessoas[ID],0)),"")</f>
        <v>Hora</v>
      </c>
      <c r="N84" s="3">
        <f>IFERROR(IF(D84="DIA ÚTIL",INDEX(tblPessoas[R$/h útil],MATCH(E84,tblPessoas[ID],0)),INDEX(tblPessoas[R$/h FDS],MATCH(E84,tblPessoas[ID],0))),0)</f>
        <v>20</v>
      </c>
      <c r="O84" s="3">
        <f>IFERROR(INDEX(tblPessoas[R$/diária],MATCH(E84,tblPessoas[ID],0)),0)</f>
        <v>0</v>
      </c>
      <c r="P84" s="3">
        <f t="shared" si="6"/>
        <v>194.57777777686715</v>
      </c>
      <c r="Q84" t="str">
        <f>IF(A84="","",IF(COUNTIF(tblBatidas[Início vinculado],"B"&amp;MID($A84,2,99))=0,"EM ABERTO",IF(OR(COUNTIF(tblBatidas[Início vinculado],"B"&amp;MID($A84,2,99))&gt;1,K84&lt;0,K84&gt;16,INT(INDEX(tblBatidas[Data e hora],MATCH("B"&amp;MID($A84,2,99),tblBatidas[Início vinculado],0)))&lt;&gt;B84,INDEX(tblBatidas[ID],MATCH("B"&amp;MID($A84,2,99),tblBatidas[Início vinculado],0))&lt;&gt;E84,INDEX(tblBatidas[Projeto],MATCH("B"&amp;MID($A84,2,99),tblBatidas[Início vinculado],0))&lt;&gt;G84,INDEX(tblBatidas[Atividade],MATCH("B"&amp;MID($A84,2,99),tblBatidas[Início vinculado],0))&lt;&gt;H84),"REVISAR","CONCLUÍDO")))</f>
        <v>CONCLUÍDO</v>
      </c>
      <c r="R84">
        <f>IF(Q84&lt;&gt;"CONCLUÍDO",0,IF(COUNTIFS($E$5:E84,E84,$B$5:B84,B84,$Q$5:Q84,"CONCLUÍDO")=1,1,0))</f>
        <v>1</v>
      </c>
      <c r="S84" t="str">
        <f t="shared" si="7"/>
        <v>yyyy-08</v>
      </c>
      <c r="T84">
        <f>IF(E84="","",E84*100000+COUNTIFS(tblRegistros[ID],E84,tblRegistros[Data],"&lt;"&amp;B84)+COUNTIFS(tblRegistros[ID],E84,tblRegistros[Data],B84,tblRegistros[Início],"&lt;"&amp;I84)+COUNTIFS($E$5:E84,E84,$B$5:B84,B84,$I$5:I84,I84))</f>
        <v>100100009</v>
      </c>
    </row>
    <row r="85" spans="1:20">
      <c r="A85" t="s">
        <v>177</v>
      </c>
      <c r="B85" s="2">
        <f>IFERROR(INT(INDEX(tblBatidas[Data e hora],MATCH("B"&amp;MID($A85,2,99),tblBatidas[Batida ID],0))),"")</f>
        <v>46263</v>
      </c>
      <c r="C85" t="str">
        <f t="shared" si="4"/>
        <v>SÁBADO</v>
      </c>
      <c r="D85" t="str">
        <f t="shared" si="5"/>
        <v>FDS/FERIADO</v>
      </c>
      <c r="E85">
        <f>IFERROR(INDEX(tblBatidas[ID],MATCH("B"&amp;MID($A85,2,99),tblBatidas[Batida ID],0)),"")</f>
        <v>1006</v>
      </c>
      <c r="F85" t="str">
        <f>IFERROR(INDEX(tblPessoas[Pessoa],MATCH(E85,tblPessoas[ID],0)),"")</f>
        <v>Eliane dos Santos Oliveira</v>
      </c>
      <c r="G85" t="str">
        <f>IFERROR(INDEX(tblBatidas[Projeto],MATCH("B"&amp;MID($A85,2,99),tblBatidas[Batida ID],0)),"")</f>
        <v>OTEMPO</v>
      </c>
      <c r="H85" t="str">
        <f>IFERROR(INDEX(tblBatidas[Atividade],MATCH("B"&amp;MID($A85,2,99),tblBatidas[Batida ID],0)),"")</f>
        <v>CHECAGEM</v>
      </c>
      <c r="I85" s="4">
        <f>IFERROR(MOD(INDEX(tblBatidas[Data e hora],MATCH("B"&amp;MID($A85,2,99),tblBatidas[Batida ID],0)),1),"")</f>
        <v>0.37445601851504762</v>
      </c>
      <c r="J85" s="4">
        <f>IFERROR(MOD(INDEX(tblBatidas[Data e hora],MATCH("B"&amp;MID($A85,2,99),tblBatidas[Início vinculado],0)),1),"")</f>
        <v>0.63108796296000946</v>
      </c>
      <c r="K85" s="14">
        <f>IFERROR((INDEX(tblBatidas[Data e hora],MATCH("B"&amp;MID($A85,2,99),tblBatidas[Início vinculado],0))-INDEX(tblBatidas[Data e hora],MATCH("B"&amp;MID($A85,2,99),tblBatidas[Batida ID],0)))*24,"")</f>
        <v>6.1591666666790843</v>
      </c>
      <c r="L85" t="str">
        <f>IFERROR(INDEX(tblBatidas[Observação],MATCH("B"&amp;MID($A85,2,99),tblBatidas[Início vinculado],0)),"")</f>
        <v>CHECAGEM OTEMPO</v>
      </c>
      <c r="M85" t="str">
        <f>IFERROR(INDEX(tblPessoas[Base],MATCH(E85,tblPessoas[ID],0)),"")</f>
        <v>Hora</v>
      </c>
      <c r="N85" s="3">
        <f>IFERROR(IF(D85="DIA ÚTIL",INDEX(tblPessoas[R$/h útil],MATCH(E85,tblPessoas[ID],0)),INDEX(tblPessoas[R$/h FDS],MATCH(E85,tblPessoas[ID],0))),0)</f>
        <v>17</v>
      </c>
      <c r="O85" s="3">
        <f>IFERROR(INDEX(tblPessoas[R$/diária],MATCH(E85,tblPessoas[ID],0)),0)</f>
        <v>0</v>
      </c>
      <c r="P85" s="3">
        <f t="shared" si="6"/>
        <v>104.70583333354443</v>
      </c>
      <c r="Q85" t="str">
        <f>IF(A85="","",IF(COUNTIF(tblBatidas[Início vinculado],"B"&amp;MID($A85,2,99))=0,"EM ABERTO",IF(OR(COUNTIF(tblBatidas[Início vinculado],"B"&amp;MID($A85,2,99))&gt;1,K85&lt;0,K85&gt;16,INT(INDEX(tblBatidas[Data e hora],MATCH("B"&amp;MID($A85,2,99),tblBatidas[Início vinculado],0)))&lt;&gt;B85,INDEX(tblBatidas[ID],MATCH("B"&amp;MID($A85,2,99),tblBatidas[Início vinculado],0))&lt;&gt;E85,INDEX(tblBatidas[Projeto],MATCH("B"&amp;MID($A85,2,99),tblBatidas[Início vinculado],0))&lt;&gt;G85,INDEX(tblBatidas[Atividade],MATCH("B"&amp;MID($A85,2,99),tblBatidas[Início vinculado],0))&lt;&gt;H85),"REVISAR","CONCLUÍDO")))</f>
        <v>CONCLUÍDO</v>
      </c>
      <c r="R85">
        <f>IF(Q85&lt;&gt;"CONCLUÍDO",0,IF(COUNTIFS($E$5:E85,E85,$B$5:B85,B85,$Q$5:Q85,"CONCLUÍDO")=1,1,0))</f>
        <v>1</v>
      </c>
      <c r="S85" t="str">
        <f t="shared" si="7"/>
        <v>yyyy-08</v>
      </c>
      <c r="T85">
        <f>IF(E85="","",E85*100000+COUNTIFS(tblRegistros[ID],E85,tblRegistros[Data],"&lt;"&amp;B85)+COUNTIFS(tblRegistros[ID],E85,tblRegistros[Data],B85,tblRegistros[Início],"&lt;"&amp;I85)+COUNTIFS($E$5:E85,E85,$B$5:B85,B85,$I$5:I85,I85))</f>
        <v>100600007</v>
      </c>
    </row>
    <row r="86" spans="1:20">
      <c r="A86" t="s">
        <v>178</v>
      </c>
      <c r="B86" s="2">
        <f>IFERROR(INT(INDEX(tblBatidas[Data e hora],MATCH("B"&amp;MID($A86,2,99),tblBatidas[Batida ID],0))),"")</f>
        <v>46263</v>
      </c>
      <c r="C86" t="str">
        <f t="shared" si="4"/>
        <v>SÁBADO</v>
      </c>
      <c r="D86" t="str">
        <f t="shared" si="5"/>
        <v>FDS/FERIADO</v>
      </c>
      <c r="E86">
        <f>IFERROR(INDEX(tblBatidas[ID],MATCH("B"&amp;MID($A86,2,99),tblBatidas[Batida ID],0)),"")</f>
        <v>1012</v>
      </c>
      <c r="F86" t="str">
        <f>IFERROR(INDEX(tblPessoas[Pessoa],MATCH(E86,tblPessoas[ID],0)),"")</f>
        <v>Nelma Lucia dos S. B. Brandão</v>
      </c>
      <c r="G86" t="str">
        <f>IFERROR(INDEX(tblBatidas[Projeto],MATCH("B"&amp;MID($A86,2,99),tblBatidas[Batida ID],0)),"")</f>
        <v>OTEMPO</v>
      </c>
      <c r="H86" t="str">
        <f>IFERROR(INDEX(tblBatidas[Atividade],MATCH("B"&amp;MID($A86,2,99),tblBatidas[Batida ID],0)),"")</f>
        <v>SUPERVISÃO</v>
      </c>
      <c r="I86" s="4">
        <f>IFERROR(MOD(INDEX(tblBatidas[Data e hora],MATCH("B"&amp;MID($A86,2,99),tblBatidas[Batida ID],0)),1),"")</f>
        <v>0.38379629629343981</v>
      </c>
      <c r="J86" s="4" t="str">
        <f>IFERROR(MOD(INDEX(tblBatidas[Data e hora],MATCH("B"&amp;MID($A86,2,99),tblBatidas[Início vinculado],0)),1),"")</f>
        <v/>
      </c>
      <c r="K86" s="14" t="str">
        <f>IFERROR((INDEX(tblBatidas[Data e hora],MATCH("B"&amp;MID($A86,2,99),tblBatidas[Início vinculado],0))-INDEX(tblBatidas[Data e hora],MATCH("B"&amp;MID($A86,2,99),tblBatidas[Batida ID],0)))*24,"")</f>
        <v/>
      </c>
      <c r="L86" t="str">
        <f>IFERROR(INDEX(tblBatidas[Observação],MATCH("B"&amp;MID($A86,2,99),tblBatidas[Início vinculado],0)),"")</f>
        <v/>
      </c>
      <c r="M86" t="str">
        <f>IFERROR(INDEX(tblPessoas[Base],MATCH(E86,tblPessoas[ID],0)),"")</f>
        <v>Diária</v>
      </c>
      <c r="N86" s="3">
        <f>IFERROR(IF(D86="DIA ÚTIL",INDEX(tblPessoas[R$/h útil],MATCH(E86,tblPessoas[ID],0)),INDEX(tblPessoas[R$/h FDS],MATCH(E86,tblPessoas[ID],0))),0)</f>
        <v>0</v>
      </c>
      <c r="O86" s="3">
        <f>IFERROR(INDEX(tblPessoas[R$/diária],MATCH(E86,tblPessoas[ID],0)),0)</f>
        <v>222.72</v>
      </c>
      <c r="P86" s="3" t="str">
        <f t="shared" si="6"/>
        <v/>
      </c>
      <c r="Q86" t="str">
        <f>IF(A86="","",IF(COUNTIF(tblBatidas[Início vinculado],"B"&amp;MID($A86,2,99))=0,"EM ABERTO",IF(OR(COUNTIF(tblBatidas[Início vinculado],"B"&amp;MID($A86,2,99))&gt;1,K86&lt;0,K86&gt;16,INT(INDEX(tblBatidas[Data e hora],MATCH("B"&amp;MID($A86,2,99),tblBatidas[Início vinculado],0)))&lt;&gt;B86,INDEX(tblBatidas[ID],MATCH("B"&amp;MID($A86,2,99),tblBatidas[Início vinculado],0))&lt;&gt;E86,INDEX(tblBatidas[Projeto],MATCH("B"&amp;MID($A86,2,99),tblBatidas[Início vinculado],0))&lt;&gt;G86,INDEX(tblBatidas[Atividade],MATCH("B"&amp;MID($A86,2,99),tblBatidas[Início vinculado],0))&lt;&gt;H86),"REVISAR","CONCLUÍDO")))</f>
        <v>EM ABERTO</v>
      </c>
      <c r="R86">
        <f>IF(Q86&lt;&gt;"CONCLUÍDO",0,IF(COUNTIFS($E$5:E86,E86,$B$5:B86,B86,$Q$5:Q86,"CONCLUÍDO")=1,1,0))</f>
        <v>0</v>
      </c>
      <c r="S86" t="str">
        <f t="shared" si="7"/>
        <v>yyyy-08</v>
      </c>
      <c r="T86">
        <f>IF(E86="","",E86*100000+COUNTIFS(tblRegistros[ID],E86,tblRegistros[Data],"&lt;"&amp;B86)+COUNTIFS(tblRegistros[ID],E86,tblRegistros[Data],B86,tblRegistros[Início],"&lt;"&amp;I86)+COUNTIFS($E$5:E86,E86,$B$5:B86,B86,$I$5:I86,I86))</f>
        <v>101200010</v>
      </c>
    </row>
    <row r="87" spans="1:20">
      <c r="A87" t="s">
        <v>179</v>
      </c>
      <c r="B87" s="2">
        <f>IFERROR(INT(INDEX(tblBatidas[Data e hora],MATCH("B"&amp;MID($A87,2,99),tblBatidas[Batida ID],0))),"")</f>
        <v>46263</v>
      </c>
      <c r="C87" t="str">
        <f t="shared" si="4"/>
        <v>SÁBADO</v>
      </c>
      <c r="D87" t="str">
        <f t="shared" si="5"/>
        <v>FDS/FERIADO</v>
      </c>
      <c r="E87">
        <f>IFERROR(INDEX(tblBatidas[ID],MATCH("B"&amp;MID($A87,2,99),tblBatidas[Batida ID],0)),"")</f>
        <v>1012</v>
      </c>
      <c r="F87" t="str">
        <f>IFERROR(INDEX(tblPessoas[Pessoa],MATCH(E87,tblPessoas[ID],0)),"")</f>
        <v>Nelma Lucia dos S. B. Brandão</v>
      </c>
      <c r="G87" t="str">
        <f>IFERROR(INDEX(tblBatidas[Projeto],MATCH("B"&amp;MID($A87,2,99),tblBatidas[Batida ID],0)),"")</f>
        <v>OTEMPO</v>
      </c>
      <c r="H87" t="str">
        <f>IFERROR(INDEX(tblBatidas[Atividade],MATCH("B"&amp;MID($A87,2,99),tblBatidas[Batida ID],0)),"")</f>
        <v>SUPERVISÃO</v>
      </c>
      <c r="I87" s="4">
        <f>IFERROR(MOD(INDEX(tblBatidas[Data e hora],MATCH("B"&amp;MID($A87,2,99),tblBatidas[Batida ID],0)),1),"")</f>
        <v>0.38402777777810115</v>
      </c>
      <c r="J87" s="4" t="str">
        <f>IFERROR(MOD(INDEX(tblBatidas[Data e hora],MATCH("B"&amp;MID($A87,2,99),tblBatidas[Início vinculado],0)),1),"")</f>
        <v/>
      </c>
      <c r="K87" s="14" t="str">
        <f>IFERROR((INDEX(tblBatidas[Data e hora],MATCH("B"&amp;MID($A87,2,99),tblBatidas[Início vinculado],0))-INDEX(tblBatidas[Data e hora],MATCH("B"&amp;MID($A87,2,99),tblBatidas[Batida ID],0)))*24,"")</f>
        <v/>
      </c>
      <c r="L87" t="str">
        <f>IFERROR(INDEX(tblBatidas[Observação],MATCH("B"&amp;MID($A87,2,99),tblBatidas[Início vinculado],0)),"")</f>
        <v/>
      </c>
      <c r="M87" t="str">
        <f>IFERROR(INDEX(tblPessoas[Base],MATCH(E87,tblPessoas[ID],0)),"")</f>
        <v>Diária</v>
      </c>
      <c r="N87" s="3">
        <f>IFERROR(IF(D87="DIA ÚTIL",INDEX(tblPessoas[R$/h útil],MATCH(E87,tblPessoas[ID],0)),INDEX(tblPessoas[R$/h FDS],MATCH(E87,tblPessoas[ID],0))),0)</f>
        <v>0</v>
      </c>
      <c r="O87" s="3">
        <f>IFERROR(INDEX(tblPessoas[R$/diária],MATCH(E87,tblPessoas[ID],0)),0)</f>
        <v>222.72</v>
      </c>
      <c r="P87" s="3" t="str">
        <f t="shared" si="6"/>
        <v/>
      </c>
      <c r="Q87" t="str">
        <f>IF(A87="","",IF(COUNTIF(tblBatidas[Início vinculado],"B"&amp;MID($A87,2,99))=0,"EM ABERTO",IF(OR(COUNTIF(tblBatidas[Início vinculado],"B"&amp;MID($A87,2,99))&gt;1,K87&lt;0,K87&gt;16,INT(INDEX(tblBatidas[Data e hora],MATCH("B"&amp;MID($A87,2,99),tblBatidas[Início vinculado],0)))&lt;&gt;B87,INDEX(tblBatidas[ID],MATCH("B"&amp;MID($A87,2,99),tblBatidas[Início vinculado],0))&lt;&gt;E87,INDEX(tblBatidas[Projeto],MATCH("B"&amp;MID($A87,2,99),tblBatidas[Início vinculado],0))&lt;&gt;G87,INDEX(tblBatidas[Atividade],MATCH("B"&amp;MID($A87,2,99),tblBatidas[Início vinculado],0))&lt;&gt;H87),"REVISAR","CONCLUÍDO")))</f>
        <v>EM ABERTO</v>
      </c>
      <c r="R87">
        <f>IF(Q87&lt;&gt;"CONCLUÍDO",0,IF(COUNTIFS($E$5:E87,E87,$B$5:B87,B87,$Q$5:Q87,"CONCLUÍDO")=1,1,0))</f>
        <v>0</v>
      </c>
      <c r="S87" t="str">
        <f t="shared" si="7"/>
        <v>yyyy-08</v>
      </c>
      <c r="T87">
        <f>IF(E87="","",E87*100000+COUNTIFS(tblRegistros[ID],E87,tblRegistros[Data],"&lt;"&amp;B87)+COUNTIFS(tblRegistros[ID],E87,tblRegistros[Data],B87,tblRegistros[Início],"&lt;"&amp;I87)+COUNTIFS($E$5:E87,E87,$B$5:B87,B87,$I$5:I87,I87))</f>
        <v>101200011</v>
      </c>
    </row>
    <row r="88" spans="1:20">
      <c r="A88" t="s">
        <v>180</v>
      </c>
      <c r="B88" s="2">
        <f>IFERROR(INT(INDEX(tblBatidas[Data e hora],MATCH("B"&amp;MID($A88,2,99),tblBatidas[Batida ID],0))),"")</f>
        <v>46263</v>
      </c>
      <c r="C88" t="str">
        <f t="shared" si="4"/>
        <v>SÁBADO</v>
      </c>
      <c r="D88" t="str">
        <f t="shared" si="5"/>
        <v>FDS/FERIADO</v>
      </c>
      <c r="E88">
        <f>IFERROR(INDEX(tblBatidas[ID],MATCH("B"&amp;MID($A88,2,99),tblBatidas[Batida ID],0)),"")</f>
        <v>1012</v>
      </c>
      <c r="F88" t="str">
        <f>IFERROR(INDEX(tblPessoas[Pessoa],MATCH(E88,tblPessoas[ID],0)),"")</f>
        <v>Nelma Lucia dos S. B. Brandão</v>
      </c>
      <c r="G88" t="str">
        <f>IFERROR(INDEX(tblBatidas[Projeto],MATCH("B"&amp;MID($A88,2,99),tblBatidas[Batida ID],0)),"")</f>
        <v>OTEMPO</v>
      </c>
      <c r="H88" t="str">
        <f>IFERROR(INDEX(tblBatidas[Atividade],MATCH("B"&amp;MID($A88,2,99),tblBatidas[Batida ID],0)),"")</f>
        <v>SUPERVISÃO</v>
      </c>
      <c r="I88" s="4">
        <f>IFERROR(MOD(INDEX(tblBatidas[Data e hora],MATCH("B"&amp;MID($A88,2,99),tblBatidas[Batida ID],0)),1),"")</f>
        <v>0.385289351848769</v>
      </c>
      <c r="J88" s="4" t="str">
        <f>IFERROR(MOD(INDEX(tblBatidas[Data e hora],MATCH("B"&amp;MID($A88,2,99),tblBatidas[Início vinculado],0)),1),"")</f>
        <v/>
      </c>
      <c r="K88" s="14" t="str">
        <f>IFERROR((INDEX(tblBatidas[Data e hora],MATCH("B"&amp;MID($A88,2,99),tblBatidas[Início vinculado],0))-INDEX(tblBatidas[Data e hora],MATCH("B"&amp;MID($A88,2,99),tblBatidas[Batida ID],0)))*24,"")</f>
        <v/>
      </c>
      <c r="L88" t="str">
        <f>IFERROR(INDEX(tblBatidas[Observação],MATCH("B"&amp;MID($A88,2,99),tblBatidas[Início vinculado],0)),"")</f>
        <v/>
      </c>
      <c r="M88" t="str">
        <f>IFERROR(INDEX(tblPessoas[Base],MATCH(E88,tblPessoas[ID],0)),"")</f>
        <v>Diária</v>
      </c>
      <c r="N88" s="3">
        <f>IFERROR(IF(D88="DIA ÚTIL",INDEX(tblPessoas[R$/h útil],MATCH(E88,tblPessoas[ID],0)),INDEX(tblPessoas[R$/h FDS],MATCH(E88,tblPessoas[ID],0))),0)</f>
        <v>0</v>
      </c>
      <c r="O88" s="3">
        <f>IFERROR(INDEX(tblPessoas[R$/diária],MATCH(E88,tblPessoas[ID],0)),0)</f>
        <v>222.72</v>
      </c>
      <c r="P88" s="3" t="str">
        <f t="shared" si="6"/>
        <v/>
      </c>
      <c r="Q88" t="str">
        <f>IF(A88="","",IF(COUNTIF(tblBatidas[Início vinculado],"B"&amp;MID($A88,2,99))=0,"EM ABERTO",IF(OR(COUNTIF(tblBatidas[Início vinculado],"B"&amp;MID($A88,2,99))&gt;1,K88&lt;0,K88&gt;16,INT(INDEX(tblBatidas[Data e hora],MATCH("B"&amp;MID($A88,2,99),tblBatidas[Início vinculado],0)))&lt;&gt;B88,INDEX(tblBatidas[ID],MATCH("B"&amp;MID($A88,2,99),tblBatidas[Início vinculado],0))&lt;&gt;E88,INDEX(tblBatidas[Projeto],MATCH("B"&amp;MID($A88,2,99),tblBatidas[Início vinculado],0))&lt;&gt;G88,INDEX(tblBatidas[Atividade],MATCH("B"&amp;MID($A88,2,99),tblBatidas[Início vinculado],0))&lt;&gt;H88),"REVISAR","CONCLUÍDO")))</f>
        <v>EM ABERTO</v>
      </c>
      <c r="R88">
        <f>IF(Q88&lt;&gt;"CONCLUÍDO",0,IF(COUNTIFS($E$5:E88,E88,$B$5:B88,B88,$Q$5:Q88,"CONCLUÍDO")=1,1,0))</f>
        <v>0</v>
      </c>
      <c r="S88" t="str">
        <f t="shared" si="7"/>
        <v>yyyy-08</v>
      </c>
      <c r="T88">
        <f>IF(E88="","",E88*100000+COUNTIFS(tblRegistros[ID],E88,tblRegistros[Data],"&lt;"&amp;B88)+COUNTIFS(tblRegistros[ID],E88,tblRegistros[Data],B88,tblRegistros[Início],"&lt;"&amp;I88)+COUNTIFS($E$5:E88,E88,$B$5:B88,B88,$I$5:I88,I88))</f>
        <v>101200012</v>
      </c>
    </row>
    <row r="89" spans="1:20">
      <c r="A89" t="s">
        <v>181</v>
      </c>
      <c r="B89" s="2">
        <f>IFERROR(INT(INDEX(tblBatidas[Data e hora],MATCH("B"&amp;MID($A89,2,99),tblBatidas[Batida ID],0))),"")</f>
        <v>46263</v>
      </c>
      <c r="C89" t="str">
        <f t="shared" si="4"/>
        <v>SÁBADO</v>
      </c>
      <c r="D89" t="str">
        <f t="shared" si="5"/>
        <v>FDS/FERIADO</v>
      </c>
      <c r="E89">
        <f>IFERROR(INDEX(tblBatidas[ID],MATCH("B"&amp;MID($A89,2,99),tblBatidas[Batida ID],0)),"")</f>
        <v>1012</v>
      </c>
      <c r="F89" t="str">
        <f>IFERROR(INDEX(tblPessoas[Pessoa],MATCH(E89,tblPessoas[ID],0)),"")</f>
        <v>Nelma Lucia dos S. B. Brandão</v>
      </c>
      <c r="G89" t="str">
        <f>IFERROR(INDEX(tblBatidas[Projeto],MATCH("B"&amp;MID($A89,2,99),tblBatidas[Batida ID],0)),"")</f>
        <v>OTEMPO</v>
      </c>
      <c r="H89" t="str">
        <f>IFERROR(INDEX(tblBatidas[Atividade],MATCH("B"&amp;MID($A89,2,99),tblBatidas[Batida ID],0)),"")</f>
        <v>SUPERVISÃO</v>
      </c>
      <c r="I89" s="4">
        <f>IFERROR(MOD(INDEX(tblBatidas[Data e hora],MATCH("B"&amp;MID($A89,2,99),tblBatidas[Batida ID],0)),1),"")</f>
        <v>0.39032407407648861</v>
      </c>
      <c r="J89" s="4" t="str">
        <f>IFERROR(MOD(INDEX(tblBatidas[Data e hora],MATCH("B"&amp;MID($A89,2,99),tblBatidas[Início vinculado],0)),1),"")</f>
        <v/>
      </c>
      <c r="K89" s="14" t="str">
        <f>IFERROR((INDEX(tblBatidas[Data e hora],MATCH("B"&amp;MID($A89,2,99),tblBatidas[Início vinculado],0))-INDEX(tblBatidas[Data e hora],MATCH("B"&amp;MID($A89,2,99),tblBatidas[Batida ID],0)))*24,"")</f>
        <v/>
      </c>
      <c r="L89" t="str">
        <f>IFERROR(INDEX(tblBatidas[Observação],MATCH("B"&amp;MID($A89,2,99),tblBatidas[Início vinculado],0)),"")</f>
        <v/>
      </c>
      <c r="M89" t="str">
        <f>IFERROR(INDEX(tblPessoas[Base],MATCH(E89,tblPessoas[ID],0)),"")</f>
        <v>Diária</v>
      </c>
      <c r="N89" s="3">
        <f>IFERROR(IF(D89="DIA ÚTIL",INDEX(tblPessoas[R$/h útil],MATCH(E89,tblPessoas[ID],0)),INDEX(tblPessoas[R$/h FDS],MATCH(E89,tblPessoas[ID],0))),0)</f>
        <v>0</v>
      </c>
      <c r="O89" s="3">
        <f>IFERROR(INDEX(tblPessoas[R$/diária],MATCH(E89,tblPessoas[ID],0)),0)</f>
        <v>222.72</v>
      </c>
      <c r="P89" s="3" t="str">
        <f t="shared" si="6"/>
        <v/>
      </c>
      <c r="Q89" t="str">
        <f>IF(A89="","",IF(COUNTIF(tblBatidas[Início vinculado],"B"&amp;MID($A89,2,99))=0,"EM ABERTO",IF(OR(COUNTIF(tblBatidas[Início vinculado],"B"&amp;MID($A89,2,99))&gt;1,K89&lt;0,K89&gt;16,INT(INDEX(tblBatidas[Data e hora],MATCH("B"&amp;MID($A89,2,99),tblBatidas[Início vinculado],0)))&lt;&gt;B89,INDEX(tblBatidas[ID],MATCH("B"&amp;MID($A89,2,99),tblBatidas[Início vinculado],0))&lt;&gt;E89,INDEX(tblBatidas[Projeto],MATCH("B"&amp;MID($A89,2,99),tblBatidas[Início vinculado],0))&lt;&gt;G89,INDEX(tblBatidas[Atividade],MATCH("B"&amp;MID($A89,2,99),tblBatidas[Início vinculado],0))&lt;&gt;H89),"REVISAR","CONCLUÍDO")))</f>
        <v>EM ABERTO</v>
      </c>
      <c r="R89">
        <f>IF(Q89&lt;&gt;"CONCLUÍDO",0,IF(COUNTIFS($E$5:E89,E89,$B$5:B89,B89,$Q$5:Q89,"CONCLUÍDO")=1,1,0))</f>
        <v>0</v>
      </c>
      <c r="S89" t="str">
        <f t="shared" si="7"/>
        <v>yyyy-08</v>
      </c>
      <c r="T89">
        <f>IF(E89="","",E89*100000+COUNTIFS(tblRegistros[ID],E89,tblRegistros[Data],"&lt;"&amp;B89)+COUNTIFS(tblRegistros[ID],E89,tblRegistros[Data],B89,tblRegistros[Início],"&lt;"&amp;I89)+COUNTIFS($E$5:E89,E89,$B$5:B89,B89,$I$5:I89,I89))</f>
        <v>101200013</v>
      </c>
    </row>
    <row r="90" spans="1:20">
      <c r="A90" t="s">
        <v>182</v>
      </c>
      <c r="B90" s="2">
        <f>IFERROR(INT(INDEX(tblBatidas[Data e hora],MATCH("B"&amp;MID($A90,2,99),tblBatidas[Batida ID],0))),"")</f>
        <v>46263</v>
      </c>
      <c r="C90" t="str">
        <f t="shared" si="4"/>
        <v>SÁBADO</v>
      </c>
      <c r="D90" t="str">
        <f t="shared" si="5"/>
        <v>FDS/FERIADO</v>
      </c>
      <c r="E90">
        <f>IFERROR(INDEX(tblBatidas[ID],MATCH("B"&amp;MID($A90,2,99),tblBatidas[Batida ID],0)),"")</f>
        <v>1012</v>
      </c>
      <c r="F90" t="str">
        <f>IFERROR(INDEX(tblPessoas[Pessoa],MATCH(E90,tblPessoas[ID],0)),"")</f>
        <v>Nelma Lucia dos S. B. Brandão</v>
      </c>
      <c r="G90" t="str">
        <f>IFERROR(INDEX(tblBatidas[Projeto],MATCH("B"&amp;MID($A90,2,99),tblBatidas[Batida ID],0)),"")</f>
        <v>OTEMPO</v>
      </c>
      <c r="H90" t="str">
        <f>IFERROR(INDEX(tblBatidas[Atividade],MATCH("B"&amp;MID($A90,2,99),tblBatidas[Batida ID],0)),"")</f>
        <v>SUPERVISÃO</v>
      </c>
      <c r="I90" s="4">
        <f>IFERROR(MOD(INDEX(tblBatidas[Data e hora],MATCH("B"&amp;MID($A90,2,99),tblBatidas[Batida ID],0)),1),"")</f>
        <v>0.47971064814919373</v>
      </c>
      <c r="J90" s="4" t="str">
        <f>IFERROR(MOD(INDEX(tblBatidas[Data e hora],MATCH("B"&amp;MID($A90,2,99),tblBatidas[Início vinculado],0)),1),"")</f>
        <v/>
      </c>
      <c r="K90" s="14" t="str">
        <f>IFERROR((INDEX(tblBatidas[Data e hora],MATCH("B"&amp;MID($A90,2,99),tblBatidas[Início vinculado],0))-INDEX(tblBatidas[Data e hora],MATCH("B"&amp;MID($A90,2,99),tblBatidas[Batida ID],0)))*24,"")</f>
        <v/>
      </c>
      <c r="L90" t="str">
        <f>IFERROR(INDEX(tblBatidas[Observação],MATCH("B"&amp;MID($A90,2,99),tblBatidas[Início vinculado],0)),"")</f>
        <v/>
      </c>
      <c r="M90" t="str">
        <f>IFERROR(INDEX(tblPessoas[Base],MATCH(E90,tblPessoas[ID],0)),"")</f>
        <v>Diária</v>
      </c>
      <c r="N90" s="3">
        <f>IFERROR(IF(D90="DIA ÚTIL",INDEX(tblPessoas[R$/h útil],MATCH(E90,tblPessoas[ID],0)),INDEX(tblPessoas[R$/h FDS],MATCH(E90,tblPessoas[ID],0))),0)</f>
        <v>0</v>
      </c>
      <c r="O90" s="3">
        <f>IFERROR(INDEX(tblPessoas[R$/diária],MATCH(E90,tblPessoas[ID],0)),0)</f>
        <v>222.72</v>
      </c>
      <c r="P90" s="3" t="str">
        <f t="shared" si="6"/>
        <v/>
      </c>
      <c r="Q90" t="str">
        <f>IF(A90="","",IF(COUNTIF(tblBatidas[Início vinculado],"B"&amp;MID($A90,2,99))=0,"EM ABERTO",IF(OR(COUNTIF(tblBatidas[Início vinculado],"B"&amp;MID($A90,2,99))&gt;1,K90&lt;0,K90&gt;16,INT(INDEX(tblBatidas[Data e hora],MATCH("B"&amp;MID($A90,2,99),tblBatidas[Início vinculado],0)))&lt;&gt;B90,INDEX(tblBatidas[ID],MATCH("B"&amp;MID($A90,2,99),tblBatidas[Início vinculado],0))&lt;&gt;E90,INDEX(tblBatidas[Projeto],MATCH("B"&amp;MID($A90,2,99),tblBatidas[Início vinculado],0))&lt;&gt;G90,INDEX(tblBatidas[Atividade],MATCH("B"&amp;MID($A90,2,99),tblBatidas[Início vinculado],0))&lt;&gt;H90),"REVISAR","CONCLUÍDO")))</f>
        <v>EM ABERTO</v>
      </c>
      <c r="R90">
        <f>IF(Q90&lt;&gt;"CONCLUÍDO",0,IF(COUNTIFS($E$5:E90,E90,$B$5:B90,B90,$Q$5:Q90,"CONCLUÍDO")=1,1,0))</f>
        <v>0</v>
      </c>
      <c r="S90" t="str">
        <f t="shared" si="7"/>
        <v>yyyy-08</v>
      </c>
      <c r="T90">
        <f>IF(E90="","",E90*100000+COUNTIFS(tblRegistros[ID],E90,tblRegistros[Data],"&lt;"&amp;B90)+COUNTIFS(tblRegistros[ID],E90,tblRegistros[Data],B90,tblRegistros[Início],"&lt;"&amp;I90)+COUNTIFS($E$5:E90,E90,$B$5:B90,B90,$I$5:I90,I90))</f>
        <v>101200014</v>
      </c>
    </row>
    <row r="91" spans="1:20">
      <c r="A91" t="s">
        <v>183</v>
      </c>
      <c r="B91" s="2">
        <f>IFERROR(INT(INDEX(tblBatidas[Data e hora],MATCH("B"&amp;MID($A91,2,99),tblBatidas[Batida ID],0))),"")</f>
        <v>46263</v>
      </c>
      <c r="C91" t="str">
        <f t="shared" si="4"/>
        <v>SÁBADO</v>
      </c>
      <c r="D91" t="str">
        <f t="shared" si="5"/>
        <v>FDS/FERIADO</v>
      </c>
      <c r="E91">
        <f>IFERROR(INDEX(tblBatidas[ID],MATCH("B"&amp;MID($A91,2,99),tblBatidas[Batida ID],0)),"")</f>
        <v>1012</v>
      </c>
      <c r="F91" t="str">
        <f>IFERROR(INDEX(tblPessoas[Pessoa],MATCH(E91,tblPessoas[ID],0)),"")</f>
        <v>Nelma Lucia dos S. B. Brandão</v>
      </c>
      <c r="G91" t="str">
        <f>IFERROR(INDEX(tblBatidas[Projeto],MATCH("B"&amp;MID($A91,2,99),tblBatidas[Batida ID],0)),"")</f>
        <v>OTEMPO</v>
      </c>
      <c r="H91" t="str">
        <f>IFERROR(INDEX(tblBatidas[Atividade],MATCH("B"&amp;MID($A91,2,99),tblBatidas[Batida ID],0)),"")</f>
        <v>SUPERVISÃO</v>
      </c>
      <c r="I91" s="4">
        <f>IFERROR(MOD(INDEX(tblBatidas[Data e hora],MATCH("B"&amp;MID($A91,2,99),tblBatidas[Batida ID],0)),1),"")</f>
        <v>0.52402777777751908</v>
      </c>
      <c r="J91" s="4" t="str">
        <f>IFERROR(MOD(INDEX(tblBatidas[Data e hora],MATCH("B"&amp;MID($A91,2,99),tblBatidas[Início vinculado],0)),1),"")</f>
        <v/>
      </c>
      <c r="K91" s="14" t="str">
        <f>IFERROR((INDEX(tblBatidas[Data e hora],MATCH("B"&amp;MID($A91,2,99),tblBatidas[Início vinculado],0))-INDEX(tblBatidas[Data e hora],MATCH("B"&amp;MID($A91,2,99),tblBatidas[Batida ID],0)))*24,"")</f>
        <v/>
      </c>
      <c r="L91" t="str">
        <f>IFERROR(INDEX(tblBatidas[Observação],MATCH("B"&amp;MID($A91,2,99),tblBatidas[Início vinculado],0)),"")</f>
        <v/>
      </c>
      <c r="M91" t="str">
        <f>IFERROR(INDEX(tblPessoas[Base],MATCH(E91,tblPessoas[ID],0)),"")</f>
        <v>Diária</v>
      </c>
      <c r="N91" s="3">
        <f>IFERROR(IF(D91="DIA ÚTIL",INDEX(tblPessoas[R$/h útil],MATCH(E91,tblPessoas[ID],0)),INDEX(tblPessoas[R$/h FDS],MATCH(E91,tblPessoas[ID],0))),0)</f>
        <v>0</v>
      </c>
      <c r="O91" s="3">
        <f>IFERROR(INDEX(tblPessoas[R$/diária],MATCH(E91,tblPessoas[ID],0)),0)</f>
        <v>222.72</v>
      </c>
      <c r="P91" s="3" t="str">
        <f t="shared" si="6"/>
        <v/>
      </c>
      <c r="Q91" t="str">
        <f>IF(A91="","",IF(COUNTIF(tblBatidas[Início vinculado],"B"&amp;MID($A91,2,99))=0,"EM ABERTO",IF(OR(COUNTIF(tblBatidas[Início vinculado],"B"&amp;MID($A91,2,99))&gt;1,K91&lt;0,K91&gt;16,INT(INDEX(tblBatidas[Data e hora],MATCH("B"&amp;MID($A91,2,99),tblBatidas[Início vinculado],0)))&lt;&gt;B91,INDEX(tblBatidas[ID],MATCH("B"&amp;MID($A91,2,99),tblBatidas[Início vinculado],0))&lt;&gt;E91,INDEX(tblBatidas[Projeto],MATCH("B"&amp;MID($A91,2,99),tblBatidas[Início vinculado],0))&lt;&gt;G91,INDEX(tblBatidas[Atividade],MATCH("B"&amp;MID($A91,2,99),tblBatidas[Início vinculado],0))&lt;&gt;H91),"REVISAR","CONCLUÍDO")))</f>
        <v>EM ABERTO</v>
      </c>
      <c r="R91">
        <f>IF(Q91&lt;&gt;"CONCLUÍDO",0,IF(COUNTIFS($E$5:E91,E91,$B$5:B91,B91,$Q$5:Q91,"CONCLUÍDO")=1,1,0))</f>
        <v>0</v>
      </c>
      <c r="S91" t="str">
        <f t="shared" si="7"/>
        <v>yyyy-08</v>
      </c>
      <c r="T91">
        <f>IF(E91="","",E91*100000+COUNTIFS(tblRegistros[ID],E91,tblRegistros[Data],"&lt;"&amp;B91)+COUNTIFS(tblRegistros[ID],E91,tblRegistros[Data],B91,tblRegistros[Início],"&lt;"&amp;I91)+COUNTIFS($E$5:E91,E91,$B$5:B91,B91,$I$5:I91,I91))</f>
        <v>101200015</v>
      </c>
    </row>
    <row r="92" spans="1:20">
      <c r="A92" t="s">
        <v>184</v>
      </c>
      <c r="B92" s="2">
        <f>IFERROR(INT(INDEX(tblBatidas[Data e hora],MATCH("B"&amp;MID($A92,2,99),tblBatidas[Batida ID],0))),"")</f>
        <v>46263</v>
      </c>
      <c r="C92" t="str">
        <f t="shared" si="4"/>
        <v>SÁBADO</v>
      </c>
      <c r="D92" t="str">
        <f t="shared" si="5"/>
        <v>FDS/FERIADO</v>
      </c>
      <c r="E92">
        <f>IFERROR(INDEX(tblBatidas[ID],MATCH("B"&amp;MID($A92,2,99),tblBatidas[Batida ID],0)),"")</f>
        <v>1004</v>
      </c>
      <c r="F92" t="str">
        <f>IFERROR(INDEX(tblPessoas[Pessoa],MATCH(E92,tblPessoas[ID],0)),"")</f>
        <v>Angela Bertoli</v>
      </c>
      <c r="G92" t="str">
        <f>IFERROR(INDEX(tblBatidas[Projeto],MATCH("B"&amp;MID($A92,2,99),tblBatidas[Batida ID],0)),"")</f>
        <v>SICOOB CREDICOM</v>
      </c>
      <c r="H92" t="str">
        <f>IFERROR(INDEX(tblBatidas[Atividade],MATCH("B"&amp;MID($A92,2,99),tblBatidas[Batida ID],0)),"")</f>
        <v>CODIFICAÇÃO</v>
      </c>
      <c r="I92" s="4">
        <f>IFERROR(MOD(INDEX(tblBatidas[Data e hora],MATCH("B"&amp;MID($A92,2,99),tblBatidas[Batida ID],0)),1),"")</f>
        <v>0.53342592592525762</v>
      </c>
      <c r="J92" s="4">
        <f>IFERROR(MOD(INDEX(tblBatidas[Data e hora],MATCH("B"&amp;MID($A92,2,99),tblBatidas[Início vinculado],0)),1),"")</f>
        <v>0.62913194444263354</v>
      </c>
      <c r="K92" s="14">
        <f>IFERROR((INDEX(tblBatidas[Data e hora],MATCH("B"&amp;MID($A92,2,99),tblBatidas[Início vinculado],0))-INDEX(tblBatidas[Data e hora],MATCH("B"&amp;MID($A92,2,99),tblBatidas[Batida ID],0)))*24,"")</f>
        <v>2.2969444444170222</v>
      </c>
      <c r="L92" t="str">
        <f>IFERROR(INDEX(tblBatidas[Observação],MATCH("B"&amp;MID($A92,2,99),tblBatidas[Início vinculado],0)),"")</f>
        <v>Verificção dos lins e pagamento dos médicos</v>
      </c>
      <c r="M92" t="str">
        <f>IFERROR(INDEX(tblPessoas[Base],MATCH(E92,tblPessoas[ID],0)),"")</f>
        <v>Hora</v>
      </c>
      <c r="N92" s="3">
        <f>IFERROR(IF(D92="DIA ÚTIL",INDEX(tblPessoas[R$/h útil],MATCH(E92,tblPessoas[ID],0)),INDEX(tblPessoas[R$/h FDS],MATCH(E92,tblPessoas[ID],0))),0)</f>
        <v>20</v>
      </c>
      <c r="O92" s="3">
        <f>IFERROR(INDEX(tblPessoas[R$/diária],MATCH(E92,tblPessoas[ID],0)),0)</f>
        <v>0</v>
      </c>
      <c r="P92" s="3">
        <f t="shared" si="6"/>
        <v>45.938888888340443</v>
      </c>
      <c r="Q92" t="str">
        <f>IF(A92="","",IF(COUNTIF(tblBatidas[Início vinculado],"B"&amp;MID($A92,2,99))=0,"EM ABERTO",IF(OR(COUNTIF(tblBatidas[Início vinculado],"B"&amp;MID($A92,2,99))&gt;1,K92&lt;0,K92&gt;16,INT(INDEX(tblBatidas[Data e hora],MATCH("B"&amp;MID($A92,2,99),tblBatidas[Início vinculado],0)))&lt;&gt;B92,INDEX(tblBatidas[ID],MATCH("B"&amp;MID($A92,2,99),tblBatidas[Início vinculado],0))&lt;&gt;E92,INDEX(tblBatidas[Projeto],MATCH("B"&amp;MID($A92,2,99),tblBatidas[Início vinculado],0))&lt;&gt;G92,INDEX(tblBatidas[Atividade],MATCH("B"&amp;MID($A92,2,99),tblBatidas[Início vinculado],0))&lt;&gt;H92),"REVISAR","CONCLUÍDO")))</f>
        <v>CONCLUÍDO</v>
      </c>
      <c r="R92">
        <f>IF(Q92&lt;&gt;"CONCLUÍDO",0,IF(COUNTIFS($E$5:E92,E92,$B$5:B92,B92,$Q$5:Q92,"CONCLUÍDO")=1,1,0))</f>
        <v>1</v>
      </c>
      <c r="S92" t="str">
        <f t="shared" si="7"/>
        <v>yyyy-08</v>
      </c>
      <c r="T92">
        <f>IF(E92="","",E92*100000+COUNTIFS(tblRegistros[ID],E92,tblRegistros[Data],"&lt;"&amp;B92)+COUNTIFS(tblRegistros[ID],E92,tblRegistros[Data],B92,tblRegistros[Início],"&lt;"&amp;I92)+COUNTIFS($E$5:E92,E92,$B$5:B92,B92,$I$5:I92,I92))</f>
        <v>100400004</v>
      </c>
    </row>
    <row r="93" spans="1:20">
      <c r="A93" t="s">
        <v>185</v>
      </c>
      <c r="B93" s="2">
        <f>IFERROR(INT(INDEX(tblBatidas[Data e hora],MATCH("B"&amp;MID($A93,2,99),tblBatidas[Batida ID],0))),"")</f>
        <v>46263</v>
      </c>
      <c r="C93" t="str">
        <f t="shared" si="4"/>
        <v>SÁBADO</v>
      </c>
      <c r="D93" t="str">
        <f t="shared" si="5"/>
        <v>FDS/FERIADO</v>
      </c>
      <c r="E93">
        <f>IFERROR(INDEX(tblBatidas[ID],MATCH("B"&amp;MID($A93,2,99),tblBatidas[Batida ID],0)),"")</f>
        <v>1004</v>
      </c>
      <c r="F93" t="str">
        <f>IFERROR(INDEX(tblPessoas[Pessoa],MATCH(E93,tblPessoas[ID],0)),"")</f>
        <v>Angela Bertoli</v>
      </c>
      <c r="G93" t="str">
        <f>IFERROR(INDEX(tblBatidas[Projeto],MATCH("B"&amp;MID($A93,2,99),tblBatidas[Batida ID],0)),"")</f>
        <v>TOOLKIT</v>
      </c>
      <c r="H93" t="str">
        <f>IFERROR(INDEX(tblBatidas[Atividade],MATCH("B"&amp;MID($A93,2,99),tblBatidas[Batida ID],0)),"")</f>
        <v>CODIFICAÇÃO</v>
      </c>
      <c r="I93" s="4">
        <f>IFERROR(MOD(INDEX(tblBatidas[Data e hora],MATCH("B"&amp;MID($A93,2,99),tblBatidas[Batida ID],0)),1),"")</f>
        <v>0.62943287037342088</v>
      </c>
      <c r="J93" s="4">
        <f>IFERROR(MOD(INDEX(tblBatidas[Data e hora],MATCH("B"&amp;MID($A93,2,99),tblBatidas[Início vinculado],0)),1),"")</f>
        <v>0.74981481481518131</v>
      </c>
      <c r="K93" s="14">
        <f>IFERROR((INDEX(tblBatidas[Data e hora],MATCH("B"&amp;MID($A93,2,99),tblBatidas[Início vinculado],0))-INDEX(tblBatidas[Data e hora],MATCH("B"&amp;MID($A93,2,99),tblBatidas[Batida ID],0)))*24,"")</f>
        <v>2.8891666666022502</v>
      </c>
      <c r="L93" t="str">
        <f>IFERROR(INDEX(tblBatidas[Observação],MATCH("B"&amp;MID($A93,2,99),tblBatidas[Início vinculado],0)),"")</f>
        <v>Sicoob também</v>
      </c>
      <c r="M93" t="str">
        <f>IFERROR(INDEX(tblPessoas[Base],MATCH(E93,tblPessoas[ID],0)),"")</f>
        <v>Hora</v>
      </c>
      <c r="N93" s="3">
        <f>IFERROR(IF(D93="DIA ÚTIL",INDEX(tblPessoas[R$/h útil],MATCH(E93,tblPessoas[ID],0)),INDEX(tblPessoas[R$/h FDS],MATCH(E93,tblPessoas[ID],0))),0)</f>
        <v>20</v>
      </c>
      <c r="O93" s="3">
        <f>IFERROR(INDEX(tblPessoas[R$/diária],MATCH(E93,tblPessoas[ID],0)),0)</f>
        <v>0</v>
      </c>
      <c r="P93" s="3">
        <f t="shared" si="6"/>
        <v>57.783333332045004</v>
      </c>
      <c r="Q93" t="str">
        <f>IF(A93="","",IF(COUNTIF(tblBatidas[Início vinculado],"B"&amp;MID($A93,2,99))=0,"EM ABERTO",IF(OR(COUNTIF(tblBatidas[Início vinculado],"B"&amp;MID($A93,2,99))&gt;1,K93&lt;0,K93&gt;16,INT(INDEX(tblBatidas[Data e hora],MATCH("B"&amp;MID($A93,2,99),tblBatidas[Início vinculado],0)))&lt;&gt;B93,INDEX(tblBatidas[ID],MATCH("B"&amp;MID($A93,2,99),tblBatidas[Início vinculado],0))&lt;&gt;E93,INDEX(tblBatidas[Projeto],MATCH("B"&amp;MID($A93,2,99),tblBatidas[Início vinculado],0))&lt;&gt;G93,INDEX(tblBatidas[Atividade],MATCH("B"&amp;MID($A93,2,99),tblBatidas[Início vinculado],0))&lt;&gt;H93),"REVISAR","CONCLUÍDO")))</f>
        <v>CONCLUÍDO</v>
      </c>
      <c r="R93">
        <f>IF(Q93&lt;&gt;"CONCLUÍDO",0,IF(COUNTIFS($E$5:E93,E93,$B$5:B93,B93,$Q$5:Q93,"CONCLUÍDO")=1,1,0))</f>
        <v>0</v>
      </c>
      <c r="S93" t="str">
        <f t="shared" si="7"/>
        <v>yyyy-08</v>
      </c>
      <c r="T93">
        <f>IF(E93="","",E93*100000+COUNTIFS(tblRegistros[ID],E93,tblRegistros[Data],"&lt;"&amp;B93)+COUNTIFS(tblRegistros[ID],E93,tblRegistros[Data],B93,tblRegistros[Início],"&lt;"&amp;I93)+COUNTIFS($E$5:E93,E93,$B$5:B93,B93,$I$5:I93,I93))</f>
        <v>100400005</v>
      </c>
    </row>
    <row r="94" spans="1:20">
      <c r="A94" t="s">
        <v>186</v>
      </c>
      <c r="B94" s="2">
        <f>IFERROR(INT(INDEX(tblBatidas[Data e hora],MATCH("B"&amp;MID($A94,2,99),tblBatidas[Batida ID],0))),"")</f>
        <v>46263</v>
      </c>
      <c r="C94" t="str">
        <f t="shared" si="4"/>
        <v>SÁBADO</v>
      </c>
      <c r="D94" t="str">
        <f t="shared" si="5"/>
        <v>FDS/FERIADO</v>
      </c>
      <c r="E94">
        <f>IFERROR(INDEX(tblBatidas[ID],MATCH("B"&amp;MID($A94,2,99),tblBatidas[Batida ID],0)),"")</f>
        <v>1006</v>
      </c>
      <c r="F94" t="str">
        <f>IFERROR(INDEX(tblPessoas[Pessoa],MATCH(E94,tblPessoas[ID],0)),"")</f>
        <v>Eliane dos Santos Oliveira</v>
      </c>
      <c r="G94" t="str">
        <f>IFERROR(INDEX(tblBatidas[Projeto],MATCH("B"&amp;MID($A94,2,99),tblBatidas[Batida ID],0)),"")</f>
        <v>OTEMPO</v>
      </c>
      <c r="H94" t="str">
        <f>IFERROR(INDEX(tblBatidas[Atividade],MATCH("B"&amp;MID($A94,2,99),tblBatidas[Batida ID],0)),"")</f>
        <v>CHECAGEM</v>
      </c>
      <c r="I94" s="4">
        <f>IFERROR(MOD(INDEX(tblBatidas[Data e hora],MATCH("B"&amp;MID($A94,2,99),tblBatidas[Batida ID],0)),1),"")</f>
        <v>0.67618055555794854</v>
      </c>
      <c r="J94" s="4">
        <f>IFERROR(MOD(INDEX(tblBatidas[Data e hora],MATCH("B"&amp;MID($A94,2,99),tblBatidas[Início vinculado],0)),1),"")</f>
        <v>0.75292824074131204</v>
      </c>
      <c r="K94" s="14">
        <f>IFERROR((INDEX(tblBatidas[Data e hora],MATCH("B"&amp;MID($A94,2,99),tblBatidas[Início vinculado],0))-INDEX(tblBatidas[Data e hora],MATCH("B"&amp;MID($A94,2,99),tblBatidas[Batida ID],0)))*24,"")</f>
        <v>1.841944444400724</v>
      </c>
      <c r="L94" t="str">
        <f>IFERROR(INDEX(tblBatidas[Observação],MATCH("B"&amp;MID($A94,2,99),tblBatidas[Início vinculado],0)),"")</f>
        <v>CHRCAGEM OTEMPO</v>
      </c>
      <c r="M94" t="str">
        <f>IFERROR(INDEX(tblPessoas[Base],MATCH(E94,tblPessoas[ID],0)),"")</f>
        <v>Hora</v>
      </c>
      <c r="N94" s="3">
        <f>IFERROR(IF(D94="DIA ÚTIL",INDEX(tblPessoas[R$/h útil],MATCH(E94,tblPessoas[ID],0)),INDEX(tblPessoas[R$/h FDS],MATCH(E94,tblPessoas[ID],0))),0)</f>
        <v>17</v>
      </c>
      <c r="O94" s="3">
        <f>IFERROR(INDEX(tblPessoas[R$/diária],MATCH(E94,tblPessoas[ID],0)),0)</f>
        <v>0</v>
      </c>
      <c r="P94" s="3">
        <f t="shared" si="6"/>
        <v>31.313055554812308</v>
      </c>
      <c r="Q94" t="str">
        <f>IF(A94="","",IF(COUNTIF(tblBatidas[Início vinculado],"B"&amp;MID($A94,2,99))=0,"EM ABERTO",IF(OR(COUNTIF(tblBatidas[Início vinculado],"B"&amp;MID($A94,2,99))&gt;1,K94&lt;0,K94&gt;16,INT(INDEX(tblBatidas[Data e hora],MATCH("B"&amp;MID($A94,2,99),tblBatidas[Início vinculado],0)))&lt;&gt;B94,INDEX(tblBatidas[ID],MATCH("B"&amp;MID($A94,2,99),tblBatidas[Início vinculado],0))&lt;&gt;E94,INDEX(tblBatidas[Projeto],MATCH("B"&amp;MID($A94,2,99),tblBatidas[Início vinculado],0))&lt;&gt;G94,INDEX(tblBatidas[Atividade],MATCH("B"&amp;MID($A94,2,99),tblBatidas[Início vinculado],0))&lt;&gt;H94),"REVISAR","CONCLUÍDO")))</f>
        <v>CONCLUÍDO</v>
      </c>
      <c r="R94">
        <f>IF(Q94&lt;&gt;"CONCLUÍDO",0,IF(COUNTIFS($E$5:E94,E94,$B$5:B94,B94,$Q$5:Q94,"CONCLUÍDO")=1,1,0))</f>
        <v>0</v>
      </c>
      <c r="S94" t="str">
        <f t="shared" si="7"/>
        <v>yyyy-08</v>
      </c>
      <c r="T94">
        <f>IF(E94="","",E94*100000+COUNTIFS(tblRegistros[ID],E94,tblRegistros[Data],"&lt;"&amp;B94)+COUNTIFS(tblRegistros[ID],E94,tblRegistros[Data],B94,tblRegistros[Início],"&lt;"&amp;I94)+COUNTIFS($E$5:E94,E94,$B$5:B94,B94,$I$5:I94,I94))</f>
        <v>100600008</v>
      </c>
    </row>
    <row r="95" spans="1:20">
      <c r="A95" t="s">
        <v>187</v>
      </c>
      <c r="B95" s="2">
        <f>IFERROR(INT(INDEX(tblBatidas[Data e hora],MATCH("B"&amp;MID($A95,2,99),tblBatidas[Batida ID],0))),"")</f>
        <v>46264</v>
      </c>
      <c r="C95" t="str">
        <f t="shared" si="4"/>
        <v>DOMINGO</v>
      </c>
      <c r="D95" t="str">
        <f t="shared" si="5"/>
        <v>FDS/FERIADO</v>
      </c>
      <c r="E95">
        <f>IFERROR(INDEX(tblBatidas[ID],MATCH("B"&amp;MID($A95,2,99),tblBatidas[Batida ID],0)),"")</f>
        <v>1001</v>
      </c>
      <c r="F95" t="str">
        <f>IFERROR(INDEX(tblPessoas[Pessoa],MATCH(E95,tblPessoas[ID],0)),"")</f>
        <v>Adriana Pereira dos Santos</v>
      </c>
      <c r="G95" t="str">
        <f>IFERROR(INDEX(tblBatidas[Projeto],MATCH("B"&amp;MID($A95,2,99),tblBatidas[Batida ID],0)),"")</f>
        <v>SICOOB CREDICOM</v>
      </c>
      <c r="H95" t="str">
        <f>IFERROR(INDEX(tblBatidas[Atividade],MATCH("B"&amp;MID($A95,2,99),tblBatidas[Batida ID],0)),"")</f>
        <v>SUPERVISÃO</v>
      </c>
      <c r="I95" s="4">
        <f>IFERROR(MOD(INDEX(tblBatidas[Data e hora],MATCH("B"&amp;MID($A95,2,99),tblBatidas[Batida ID],0)),1),"")</f>
        <v>0.35096064814570127</v>
      </c>
      <c r="J95" s="4">
        <f>IFERROR(MOD(INDEX(tblBatidas[Data e hora],MATCH("B"&amp;MID($A95,2,99),tblBatidas[Início vinculado],0)),1),"")</f>
        <v>0.58263888888905058</v>
      </c>
      <c r="K95" s="14">
        <f>IFERROR((INDEX(tblBatidas[Data e hora],MATCH("B"&amp;MID($A95,2,99),tblBatidas[Início vinculado],0))-INDEX(tblBatidas[Data e hora],MATCH("B"&amp;MID($A95,2,99),tblBatidas[Batida ID],0)))*24,"")</f>
        <v>5.5602777778403834</v>
      </c>
      <c r="L95">
        <f>IFERROR(INDEX(tblBatidas[Observação],MATCH("B"&amp;MID($A95,2,99),tblBatidas[Início vinculado],0)),"")</f>
        <v>0</v>
      </c>
      <c r="M95" t="str">
        <f>IFERROR(INDEX(tblPessoas[Base],MATCH(E95,tblPessoas[ID],0)),"")</f>
        <v>Hora</v>
      </c>
      <c r="N95" s="3">
        <f>IFERROR(IF(D95="DIA ÚTIL",INDEX(tblPessoas[R$/h útil],MATCH(E95,tblPessoas[ID],0)),INDEX(tblPessoas[R$/h FDS],MATCH(E95,tblPessoas[ID],0))),0)</f>
        <v>20</v>
      </c>
      <c r="O95" s="3">
        <f>IFERROR(INDEX(tblPessoas[R$/diária],MATCH(E95,tblPessoas[ID],0)),0)</f>
        <v>0</v>
      </c>
      <c r="P95" s="3">
        <f t="shared" si="6"/>
        <v>111.20555555680767</v>
      </c>
      <c r="Q95" t="str">
        <f>IF(A95="","",IF(COUNTIF(tblBatidas[Início vinculado],"B"&amp;MID($A95,2,99))=0,"EM ABERTO",IF(OR(COUNTIF(tblBatidas[Início vinculado],"B"&amp;MID($A95,2,99))&gt;1,K95&lt;0,K95&gt;16,INT(INDEX(tblBatidas[Data e hora],MATCH("B"&amp;MID($A95,2,99),tblBatidas[Início vinculado],0)))&lt;&gt;B95,INDEX(tblBatidas[ID],MATCH("B"&amp;MID($A95,2,99),tblBatidas[Início vinculado],0))&lt;&gt;E95,INDEX(tblBatidas[Projeto],MATCH("B"&amp;MID($A95,2,99),tblBatidas[Início vinculado],0))&lt;&gt;G95,INDEX(tblBatidas[Atividade],MATCH("B"&amp;MID($A95,2,99),tblBatidas[Início vinculado],0))&lt;&gt;H95),"REVISAR","CONCLUÍDO")))</f>
        <v>CONCLUÍDO</v>
      </c>
      <c r="R95">
        <f>IF(Q95&lt;&gt;"CONCLUÍDO",0,IF(COUNTIFS($E$5:E95,E95,$B$5:B95,B95,$Q$5:Q95,"CONCLUÍDO")=1,1,0))</f>
        <v>1</v>
      </c>
      <c r="S95" t="str">
        <f t="shared" si="7"/>
        <v>yyyy-08</v>
      </c>
      <c r="T95">
        <f>IF(E95="","",E95*100000+COUNTIFS(tblRegistros[ID],E95,tblRegistros[Data],"&lt;"&amp;B95)+COUNTIFS(tblRegistros[ID],E95,tblRegistros[Data],B95,tblRegistros[Início],"&lt;"&amp;I95)+COUNTIFS($E$5:E95,E95,$B$5:B95,B95,$I$5:I95,I95))</f>
        <v>100100010</v>
      </c>
    </row>
    <row r="96" spans="1:20">
      <c r="A96" t="s">
        <v>188</v>
      </c>
      <c r="B96" s="2">
        <f>IFERROR(INT(INDEX(tblBatidas[Data e hora],MATCH("B"&amp;MID($A96,2,99),tblBatidas[Batida ID],0))),"")</f>
        <v>46264</v>
      </c>
      <c r="C96" t="str">
        <f t="shared" si="4"/>
        <v>DOMINGO</v>
      </c>
      <c r="D96" t="str">
        <f t="shared" si="5"/>
        <v>FDS/FERIADO</v>
      </c>
      <c r="E96">
        <f>IFERROR(INDEX(tblBatidas[ID],MATCH("B"&amp;MID($A96,2,99),tblBatidas[Batida ID],0)),"")</f>
        <v>1006</v>
      </c>
      <c r="F96" t="str">
        <f>IFERROR(INDEX(tblPessoas[Pessoa],MATCH(E96,tblPessoas[ID],0)),"")</f>
        <v>Eliane dos Santos Oliveira</v>
      </c>
      <c r="G96" t="str">
        <f>IFERROR(INDEX(tblBatidas[Projeto],MATCH("B"&amp;MID($A96,2,99),tblBatidas[Batida ID],0)),"")</f>
        <v>OTEMPO</v>
      </c>
      <c r="H96" t="str">
        <f>IFERROR(INDEX(tblBatidas[Atividade],MATCH("B"&amp;MID($A96,2,99),tblBatidas[Batida ID],0)),"")</f>
        <v>CHECAGEM</v>
      </c>
      <c r="I96" s="4">
        <f>IFERROR(MOD(INDEX(tblBatidas[Data e hora],MATCH("B"&amp;MID($A96,2,99),tblBatidas[Batida ID],0)),1),"")</f>
        <v>0.38216435185313458</v>
      </c>
      <c r="J96" s="4">
        <f>IFERROR(MOD(INDEX(tblBatidas[Data e hora],MATCH("B"&amp;MID($A96,2,99),tblBatidas[Início vinculado],0)),1),"")</f>
        <v>0.55356481481430819</v>
      </c>
      <c r="K96" s="14">
        <f>IFERROR((INDEX(tblBatidas[Data e hora],MATCH("B"&amp;MID($A96,2,99),tblBatidas[Início vinculado],0))-INDEX(tblBatidas[Data e hora],MATCH("B"&amp;MID($A96,2,99),tblBatidas[Batida ID],0)))*24,"")</f>
        <v>4.1136111110681668</v>
      </c>
      <c r="L96" t="str">
        <f>IFERROR(INDEX(tblBatidas[Observação],MATCH("B"&amp;MID($A96,2,99),tblBatidas[Início vinculado],0)),"")</f>
        <v>checagem otempo</v>
      </c>
      <c r="M96" t="str">
        <f>IFERROR(INDEX(tblPessoas[Base],MATCH(E96,tblPessoas[ID],0)),"")</f>
        <v>Hora</v>
      </c>
      <c r="N96" s="3">
        <f>IFERROR(IF(D96="DIA ÚTIL",INDEX(tblPessoas[R$/h útil],MATCH(E96,tblPessoas[ID],0)),INDEX(tblPessoas[R$/h FDS],MATCH(E96,tblPessoas[ID],0))),0)</f>
        <v>17</v>
      </c>
      <c r="O96" s="3">
        <f>IFERROR(INDEX(tblPessoas[R$/diária],MATCH(E96,tblPessoas[ID],0)),0)</f>
        <v>0</v>
      </c>
      <c r="P96" s="3">
        <f t="shared" si="6"/>
        <v>69.931388888158835</v>
      </c>
      <c r="Q96" t="str">
        <f>IF(A96="","",IF(COUNTIF(tblBatidas[Início vinculado],"B"&amp;MID($A96,2,99))=0,"EM ABERTO",IF(OR(COUNTIF(tblBatidas[Início vinculado],"B"&amp;MID($A96,2,99))&gt;1,K96&lt;0,K96&gt;16,INT(INDEX(tblBatidas[Data e hora],MATCH("B"&amp;MID($A96,2,99),tblBatidas[Início vinculado],0)))&lt;&gt;B96,INDEX(tblBatidas[ID],MATCH("B"&amp;MID($A96,2,99),tblBatidas[Início vinculado],0))&lt;&gt;E96,INDEX(tblBatidas[Projeto],MATCH("B"&amp;MID($A96,2,99),tblBatidas[Início vinculado],0))&lt;&gt;G96,INDEX(tblBatidas[Atividade],MATCH("B"&amp;MID($A96,2,99),tblBatidas[Início vinculado],0))&lt;&gt;H96),"REVISAR","CONCLUÍDO")))</f>
        <v>CONCLUÍDO</v>
      </c>
      <c r="R96">
        <f>IF(Q96&lt;&gt;"CONCLUÍDO",0,IF(COUNTIFS($E$5:E96,E96,$B$5:B96,B96,$Q$5:Q96,"CONCLUÍDO")=1,1,0))</f>
        <v>1</v>
      </c>
      <c r="S96" t="str">
        <f t="shared" si="7"/>
        <v>yyyy-08</v>
      </c>
      <c r="T96">
        <f>IF(E96="","",E96*100000+COUNTIFS(tblRegistros[ID],E96,tblRegistros[Data],"&lt;"&amp;B96)+COUNTIFS(tblRegistros[ID],E96,tblRegistros[Data],B96,tblRegistros[Início],"&lt;"&amp;I96)+COUNTIFS($E$5:E96,E96,$B$5:B96,B96,$I$5:I96,I96))</f>
        <v>100600009</v>
      </c>
    </row>
    <row r="97" spans="1:20">
      <c r="A97" t="s">
        <v>189</v>
      </c>
      <c r="B97" s="2">
        <f>IFERROR(INT(INDEX(tblBatidas[Data e hora],MATCH("B"&amp;MID($A97,2,99),tblBatidas[Batida ID],0))),"")</f>
        <v>46264</v>
      </c>
      <c r="C97" t="str">
        <f t="shared" si="4"/>
        <v>DOMINGO</v>
      </c>
      <c r="D97" t="str">
        <f t="shared" si="5"/>
        <v>FDS/FERIADO</v>
      </c>
      <c r="E97">
        <f>IFERROR(INDEX(tblBatidas[ID],MATCH("B"&amp;MID($A97,2,99),tblBatidas[Batida ID],0)),"")</f>
        <v>1006</v>
      </c>
      <c r="F97" t="str">
        <f>IFERROR(INDEX(tblPessoas[Pessoa],MATCH(E97,tblPessoas[ID],0)),"")</f>
        <v>Eliane dos Santos Oliveira</v>
      </c>
      <c r="G97" t="str">
        <f>IFERROR(INDEX(tblBatidas[Projeto],MATCH("B"&amp;MID($A97,2,99),tblBatidas[Batida ID],0)),"")</f>
        <v>OTEMPO</v>
      </c>
      <c r="H97" t="str">
        <f>IFERROR(INDEX(tblBatidas[Atividade],MATCH("B"&amp;MID($A97,2,99),tblBatidas[Batida ID],0)),"")</f>
        <v>CHECAGEM</v>
      </c>
      <c r="I97" s="4">
        <f>IFERROR(MOD(INDEX(tblBatidas[Data e hora],MATCH("B"&amp;MID($A97,2,99),tblBatidas[Batida ID],0)),1),"")</f>
        <v>0.57733796296088258</v>
      </c>
      <c r="J97" s="4">
        <f>IFERROR(MOD(INDEX(tblBatidas[Data e hora],MATCH("B"&amp;MID($A97,2,99),tblBatidas[Início vinculado],0)),1),"")</f>
        <v>0.72171296296437504</v>
      </c>
      <c r="K97" s="14">
        <f>IFERROR((INDEX(tblBatidas[Data e hora],MATCH("B"&amp;MID($A97,2,99),tblBatidas[Início vinculado],0))-INDEX(tblBatidas[Data e hora],MATCH("B"&amp;MID($A97,2,99),tblBatidas[Batida ID],0)))*24,"")</f>
        <v>3.465000000083819</v>
      </c>
      <c r="L97" t="str">
        <f>IFERROR(INDEX(tblBatidas[Observação],MATCH("B"&amp;MID($A97,2,99),tblBatidas[Início vinculado],0)),"")</f>
        <v>CHECAGEM OTEMPO</v>
      </c>
      <c r="M97" t="str">
        <f>IFERROR(INDEX(tblPessoas[Base],MATCH(E97,tblPessoas[ID],0)),"")</f>
        <v>Hora</v>
      </c>
      <c r="N97" s="3">
        <f>IFERROR(IF(D97="DIA ÚTIL",INDEX(tblPessoas[R$/h útil],MATCH(E97,tblPessoas[ID],0)),INDEX(tblPessoas[R$/h FDS],MATCH(E97,tblPessoas[ID],0))),0)</f>
        <v>17</v>
      </c>
      <c r="O97" s="3">
        <f>IFERROR(INDEX(tblPessoas[R$/diária],MATCH(E97,tblPessoas[ID],0)),0)</f>
        <v>0</v>
      </c>
      <c r="P97" s="3">
        <f t="shared" si="6"/>
        <v>58.905000001424924</v>
      </c>
      <c r="Q97" t="str">
        <f>IF(A97="","",IF(COUNTIF(tblBatidas[Início vinculado],"B"&amp;MID($A97,2,99))=0,"EM ABERTO",IF(OR(COUNTIF(tblBatidas[Início vinculado],"B"&amp;MID($A97,2,99))&gt;1,K97&lt;0,K97&gt;16,INT(INDEX(tblBatidas[Data e hora],MATCH("B"&amp;MID($A97,2,99),tblBatidas[Início vinculado],0)))&lt;&gt;B97,INDEX(tblBatidas[ID],MATCH("B"&amp;MID($A97,2,99),tblBatidas[Início vinculado],0))&lt;&gt;E97,INDEX(tblBatidas[Projeto],MATCH("B"&amp;MID($A97,2,99),tblBatidas[Início vinculado],0))&lt;&gt;G97,INDEX(tblBatidas[Atividade],MATCH("B"&amp;MID($A97,2,99),tblBatidas[Início vinculado],0))&lt;&gt;H97),"REVISAR","CONCLUÍDO")))</f>
        <v>CONCLUÍDO</v>
      </c>
      <c r="R97">
        <f>IF(Q97&lt;&gt;"CONCLUÍDO",0,IF(COUNTIFS($E$5:E97,E97,$B$5:B97,B97,$Q$5:Q97,"CONCLUÍDO")=1,1,0))</f>
        <v>0</v>
      </c>
      <c r="S97" t="str">
        <f t="shared" si="7"/>
        <v>yyyy-08</v>
      </c>
      <c r="T97">
        <f>IF(E97="","",E97*100000+COUNTIFS(tblRegistros[ID],E97,tblRegistros[Data],"&lt;"&amp;B97)+COUNTIFS(tblRegistros[ID],E97,tblRegistros[Data],B97,tblRegistros[Início],"&lt;"&amp;I97)+COUNTIFS($E$5:E97,E97,$B$5:B97,B97,$I$5:I97,I97))</f>
        <v>100600010</v>
      </c>
    </row>
    <row r="98" spans="1:20">
      <c r="A98" t="s">
        <v>190</v>
      </c>
      <c r="B98" s="2">
        <f>IFERROR(INT(INDEX(tblBatidas[Data e hora],MATCH("B"&amp;MID($A98,2,99),tblBatidas[Batida ID],0))),"")</f>
        <v>46264</v>
      </c>
      <c r="C98" t="str">
        <f t="shared" si="4"/>
        <v>DOMINGO</v>
      </c>
      <c r="D98" t="str">
        <f t="shared" si="5"/>
        <v>FDS/FERIADO</v>
      </c>
      <c r="E98">
        <f>IFERROR(INDEX(tblBatidas[ID],MATCH("B"&amp;MID($A98,2,99),tblBatidas[Batida ID],0)),"")</f>
        <v>1001</v>
      </c>
      <c r="F98" t="str">
        <f>IFERROR(INDEX(tblPessoas[Pessoa],MATCH(E98,tblPessoas[ID],0)),"")</f>
        <v>Adriana Pereira dos Santos</v>
      </c>
      <c r="G98" t="str">
        <f>IFERROR(INDEX(tblBatidas[Projeto],MATCH("B"&amp;MID($A98,2,99),tblBatidas[Batida ID],0)),"")</f>
        <v>SICOOB CREDICOM</v>
      </c>
      <c r="H98" t="str">
        <f>IFERROR(INDEX(tblBatidas[Atividade],MATCH("B"&amp;MID($A98,2,99),tblBatidas[Batida ID],0)),"")</f>
        <v>SUPERVISÃO</v>
      </c>
      <c r="I98" s="4">
        <f>IFERROR(MOD(INDEX(tblBatidas[Data e hora],MATCH("B"&amp;MID($A98,2,99),tblBatidas[Batida ID],0)),1),"")</f>
        <v>0.62474537036905531</v>
      </c>
      <c r="J98" s="4" t="str">
        <f>IFERROR(MOD(INDEX(tblBatidas[Data e hora],MATCH("B"&amp;MID($A98,2,99),tblBatidas[Início vinculado],0)),1),"")</f>
        <v/>
      </c>
      <c r="K98" s="14" t="str">
        <f>IFERROR((INDEX(tblBatidas[Data e hora],MATCH("B"&amp;MID($A98,2,99),tblBatidas[Início vinculado],0))-INDEX(tblBatidas[Data e hora],MATCH("B"&amp;MID($A98,2,99),tblBatidas[Batida ID],0)))*24,"")</f>
        <v/>
      </c>
      <c r="L98" t="str">
        <f>IFERROR(INDEX(tblBatidas[Observação],MATCH("B"&amp;MID($A98,2,99),tblBatidas[Início vinculado],0)),"")</f>
        <v/>
      </c>
      <c r="M98" t="str">
        <f>IFERROR(INDEX(tblPessoas[Base],MATCH(E98,tblPessoas[ID],0)),"")</f>
        <v>Hora</v>
      </c>
      <c r="N98" s="3">
        <f>IFERROR(IF(D98="DIA ÚTIL",INDEX(tblPessoas[R$/h útil],MATCH(E98,tblPessoas[ID],0)),INDEX(tblPessoas[R$/h FDS],MATCH(E98,tblPessoas[ID],0))),0)</f>
        <v>20</v>
      </c>
      <c r="O98" s="3">
        <f>IFERROR(INDEX(tblPessoas[R$/diária],MATCH(E98,tblPessoas[ID],0)),0)</f>
        <v>0</v>
      </c>
      <c r="P98" s="3" t="str">
        <f t="shared" si="6"/>
        <v/>
      </c>
      <c r="Q98" t="str">
        <f>IF(A98="","",IF(COUNTIF(tblBatidas[Início vinculado],"B"&amp;MID($A98,2,99))=0,"EM ABERTO",IF(OR(COUNTIF(tblBatidas[Início vinculado],"B"&amp;MID($A98,2,99))&gt;1,K98&lt;0,K98&gt;16,INT(INDEX(tblBatidas[Data e hora],MATCH("B"&amp;MID($A98,2,99),tblBatidas[Início vinculado],0)))&lt;&gt;B98,INDEX(tblBatidas[ID],MATCH("B"&amp;MID($A98,2,99),tblBatidas[Início vinculado],0))&lt;&gt;E98,INDEX(tblBatidas[Projeto],MATCH("B"&amp;MID($A98,2,99),tblBatidas[Início vinculado],0))&lt;&gt;G98,INDEX(tblBatidas[Atividade],MATCH("B"&amp;MID($A98,2,99),tblBatidas[Início vinculado],0))&lt;&gt;H98),"REVISAR","CONCLUÍDO")))</f>
        <v>EM ABERTO</v>
      </c>
      <c r="R98">
        <f>IF(Q98&lt;&gt;"CONCLUÍDO",0,IF(COUNTIFS($E$5:E98,E98,$B$5:B98,B98,$Q$5:Q98,"CONCLUÍDO")=1,1,0))</f>
        <v>0</v>
      </c>
      <c r="S98" t="str">
        <f t="shared" si="7"/>
        <v>yyyy-08</v>
      </c>
      <c r="T98">
        <f>IF(E98="","",E98*100000+COUNTIFS(tblRegistros[ID],E98,tblRegistros[Data],"&lt;"&amp;B98)+COUNTIFS(tblRegistros[ID],E98,tblRegistros[Data],B98,tblRegistros[Início],"&lt;"&amp;I98)+COUNTIFS($E$5:E98,E98,$B$5:B98,B98,$I$5:I98,I98))</f>
        <v>100100011</v>
      </c>
    </row>
    <row r="99" spans="1:20">
      <c r="A99" t="s">
        <v>191</v>
      </c>
      <c r="B99" s="2">
        <f>IFERROR(INT(INDEX(tblBatidas[Data e hora],MATCH("B"&amp;MID($A99,2,99),tblBatidas[Batida ID],0))),"")</f>
        <v>46265</v>
      </c>
      <c r="C99" t="str">
        <f t="shared" si="4"/>
        <v>SEGUNDA-FEIRA</v>
      </c>
      <c r="D99" t="str">
        <f t="shared" si="5"/>
        <v>DIA ÚTIL</v>
      </c>
      <c r="E99">
        <f>IFERROR(INDEX(tblBatidas[ID],MATCH("B"&amp;MID($A99,2,99),tblBatidas[Batida ID],0)),"")</f>
        <v>1011</v>
      </c>
      <c r="F99" t="str">
        <f>IFERROR(INDEX(tblPessoas[Pessoa],MATCH(E99,tblPessoas[ID],0)),"")</f>
        <v>Nathalia Arruda</v>
      </c>
      <c r="G99" t="str">
        <f>IFERROR(INDEX(tblBatidas[Projeto],MATCH("B"&amp;MID($A99,2,99),tblBatidas[Batida ID],0)),"")</f>
        <v>ESTADUAL - OTEMPO</v>
      </c>
      <c r="H99" t="str">
        <f>IFERROR(INDEX(tblBatidas[Atividade],MATCH("B"&amp;MID($A99,2,99),tblBatidas[Batida ID],0)),"")</f>
        <v>ANÁLISE</v>
      </c>
      <c r="I99" s="4">
        <f>IFERROR(MOD(INDEX(tblBatidas[Data e hora],MATCH("B"&amp;MID($A99,2,99),tblBatidas[Batida ID],0)),1),"")</f>
        <v>0.34427083333139308</v>
      </c>
      <c r="J99" s="4" t="str">
        <f>IFERROR(MOD(INDEX(tblBatidas[Data e hora],MATCH("B"&amp;MID($A99,2,99),tblBatidas[Início vinculado],0)),1),"")</f>
        <v/>
      </c>
      <c r="K99" s="14" t="str">
        <f>IFERROR((INDEX(tblBatidas[Data e hora],MATCH("B"&amp;MID($A99,2,99),tblBatidas[Início vinculado],0))-INDEX(tblBatidas[Data e hora],MATCH("B"&amp;MID($A99,2,99),tblBatidas[Batida ID],0)))*24,"")</f>
        <v/>
      </c>
      <c r="L99" t="str">
        <f>IFERROR(INDEX(tblBatidas[Observação],MATCH("B"&amp;MID($A99,2,99),tblBatidas[Início vinculado],0)),"")</f>
        <v/>
      </c>
      <c r="M99" t="str">
        <f>IFERROR(INDEX(tblPessoas[Base],MATCH(E99,tblPessoas[ID],0)),"")</f>
        <v>Hora</v>
      </c>
      <c r="N99" s="3">
        <f>IFERROR(IF(D99="DIA ÚTIL",INDEX(tblPessoas[R$/h útil],MATCH(E99,tblPessoas[ID],0)),INDEX(tblPessoas[R$/h FDS],MATCH(E99,tblPessoas[ID],0))),0)</f>
        <v>23.5</v>
      </c>
      <c r="O99" s="3">
        <f>IFERROR(INDEX(tblPessoas[R$/diária],MATCH(E99,tblPessoas[ID],0)),0)</f>
        <v>0</v>
      </c>
      <c r="P99" s="3" t="str">
        <f t="shared" si="6"/>
        <v/>
      </c>
      <c r="Q99" t="str">
        <f>IF(A99="","",IF(COUNTIF(tblBatidas[Início vinculado],"B"&amp;MID($A99,2,99))=0,"EM ABERTO",IF(OR(COUNTIF(tblBatidas[Início vinculado],"B"&amp;MID($A99,2,99))&gt;1,K99&lt;0,K99&gt;16,INT(INDEX(tblBatidas[Data e hora],MATCH("B"&amp;MID($A99,2,99),tblBatidas[Início vinculado],0)))&lt;&gt;B99,INDEX(tblBatidas[ID],MATCH("B"&amp;MID($A99,2,99),tblBatidas[Início vinculado],0))&lt;&gt;E99,INDEX(tblBatidas[Projeto],MATCH("B"&amp;MID($A99,2,99),tblBatidas[Início vinculado],0))&lt;&gt;G99,INDEX(tblBatidas[Atividade],MATCH("B"&amp;MID($A99,2,99),tblBatidas[Início vinculado],0))&lt;&gt;H99),"REVISAR","CONCLUÍDO")))</f>
        <v>EM ABERTO</v>
      </c>
      <c r="R99">
        <f>IF(Q99&lt;&gt;"CONCLUÍDO",0,IF(COUNTIFS($E$5:E99,E99,$B$5:B99,B99,$Q$5:Q99,"CONCLUÍDO")=1,1,0))</f>
        <v>0</v>
      </c>
      <c r="S99" t="str">
        <f t="shared" si="7"/>
        <v>yyyy-08</v>
      </c>
      <c r="T99">
        <f>IF(E99="","",E99*100000+COUNTIFS(tblRegistros[ID],E99,tblRegistros[Data],"&lt;"&amp;B99)+COUNTIFS(tblRegistros[ID],E99,tblRegistros[Data],B99,tblRegistros[Início],"&lt;"&amp;I99)+COUNTIFS($E$5:E99,E99,$B$5:B99,B99,$I$5:I99,I99))</f>
        <v>101100007</v>
      </c>
    </row>
    <row r="100" spans="1:20">
      <c r="A100" t="s">
        <v>192</v>
      </c>
      <c r="B100" s="2">
        <f>IFERROR(INT(INDEX(tblBatidas[Data e hora],MATCH("B"&amp;MID($A100,2,99),tblBatidas[Batida ID],0))),"")</f>
        <v>46265</v>
      </c>
      <c r="C100" t="str">
        <f t="shared" si="4"/>
        <v>SEGUNDA-FEIRA</v>
      </c>
      <c r="D100" t="str">
        <f t="shared" si="5"/>
        <v>DIA ÚTIL</v>
      </c>
      <c r="E100">
        <f>IFERROR(INDEX(tblBatidas[ID],MATCH("B"&amp;MID($A100,2,99),tblBatidas[Batida ID],0)),"")</f>
        <v>1002</v>
      </c>
      <c r="F100" t="str">
        <f>IFERROR(INDEX(tblPessoas[Pessoa],MATCH(E100,tblPessoas[ID],0)),"")</f>
        <v>Alex de Almeida Mariano</v>
      </c>
      <c r="G100" t="str">
        <f>IFERROR(INDEX(tblBatidas[Projeto],MATCH("B"&amp;MID($A100,2,99),tblBatidas[Batida ID],0)),"")</f>
        <v>CFI / ACCION</v>
      </c>
      <c r="H100" t="str">
        <f>IFERROR(INDEX(tblBatidas[Atividade],MATCH("B"&amp;MID($A100,2,99),tblBatidas[Batida ID],0)),"")</f>
        <v>ANÁLISE</v>
      </c>
      <c r="I100" s="4">
        <f>IFERROR(MOD(INDEX(tblBatidas[Data e hora],MATCH("B"&amp;MID($A100,2,99),tblBatidas[Batida ID],0)),1),"")</f>
        <v>0.34939814815152204</v>
      </c>
      <c r="J100" s="4">
        <f>IFERROR(MOD(INDEX(tblBatidas[Data e hora],MATCH("B"&amp;MID($A100,2,99),tblBatidas[Início vinculado],0)),1),"")</f>
        <v>0.75527777777460869</v>
      </c>
      <c r="K100" s="14">
        <f>IFERROR((INDEX(tblBatidas[Data e hora],MATCH("B"&amp;MID($A100,2,99),tblBatidas[Início vinculado],0))-INDEX(tblBatidas[Data e hora],MATCH("B"&amp;MID($A100,2,99),tblBatidas[Batida ID],0)))*24,"")</f>
        <v>9.7411111109540798</v>
      </c>
      <c r="L100">
        <f>IFERROR(INDEX(tblBatidas[Observação],MATCH("B"&amp;MID($A100,2,99),tblBatidas[Início vinculado],0)),"")</f>
        <v>0</v>
      </c>
      <c r="M100" t="str">
        <f>IFERROR(INDEX(tblPessoas[Base],MATCH(E100,tblPessoas[ID],0)),"")</f>
        <v>Hora</v>
      </c>
      <c r="N100" s="3">
        <f>IFERROR(IF(D100="DIA ÚTIL",INDEX(tblPessoas[R$/h útil],MATCH(E100,tblPessoas[ID],0)),INDEX(tblPessoas[R$/h FDS],MATCH(E100,tblPessoas[ID],0))),0)</f>
        <v>23.5</v>
      </c>
      <c r="O100" s="3">
        <f>IFERROR(INDEX(tblPessoas[R$/diária],MATCH(E100,tblPessoas[ID],0)),0)</f>
        <v>0</v>
      </c>
      <c r="P100" s="3">
        <f t="shared" si="6"/>
        <v>228.91611110742087</v>
      </c>
      <c r="Q100" t="str">
        <f>IF(A100="","",IF(COUNTIF(tblBatidas[Início vinculado],"B"&amp;MID($A100,2,99))=0,"EM ABERTO",IF(OR(COUNTIF(tblBatidas[Início vinculado],"B"&amp;MID($A100,2,99))&gt;1,K100&lt;0,K100&gt;16,INT(INDEX(tblBatidas[Data e hora],MATCH("B"&amp;MID($A100,2,99),tblBatidas[Início vinculado],0)))&lt;&gt;B100,INDEX(tblBatidas[ID],MATCH("B"&amp;MID($A100,2,99),tblBatidas[Início vinculado],0))&lt;&gt;E100,INDEX(tblBatidas[Projeto],MATCH("B"&amp;MID($A100,2,99),tblBatidas[Início vinculado],0))&lt;&gt;G100,INDEX(tblBatidas[Atividade],MATCH("B"&amp;MID($A100,2,99),tblBatidas[Início vinculado],0))&lt;&gt;H100),"REVISAR","CONCLUÍDO")))</f>
        <v>CONCLUÍDO</v>
      </c>
      <c r="R100">
        <f>IF(Q100&lt;&gt;"CONCLUÍDO",0,IF(COUNTIFS($E$5:E100,E100,$B$5:B100,B100,$Q$5:Q100,"CONCLUÍDO")=1,1,0))</f>
        <v>1</v>
      </c>
      <c r="S100" t="str">
        <f t="shared" si="7"/>
        <v>yyyy-08</v>
      </c>
      <c r="T100">
        <f>IF(E100="","",E100*100000+COUNTIFS(tblRegistros[ID],E100,tblRegistros[Data],"&lt;"&amp;B100)+COUNTIFS(tblRegistros[ID],E100,tblRegistros[Data],B100,tblRegistros[Início],"&lt;"&amp;I100)+COUNTIFS($E$5:E100,E100,$B$5:B100,B100,$I$5:I100,I100))</f>
        <v>100200004</v>
      </c>
    </row>
    <row r="101" spans="1:20">
      <c r="A101" t="s">
        <v>193</v>
      </c>
      <c r="B101" s="2">
        <f>IFERROR(INT(INDEX(tblBatidas[Data e hora],MATCH("B"&amp;MID($A101,2,99),tblBatidas[Batida ID],0))),"")</f>
        <v>46265</v>
      </c>
      <c r="C101" t="str">
        <f t="shared" si="4"/>
        <v>SEGUNDA-FEIRA</v>
      </c>
      <c r="D101" t="str">
        <f t="shared" si="5"/>
        <v>DIA ÚTIL</v>
      </c>
      <c r="E101">
        <f>IFERROR(INDEX(tblBatidas[ID],MATCH("B"&amp;MID($A101,2,99),tblBatidas[Batida ID],0)),"")</f>
        <v>1013</v>
      </c>
      <c r="F101" t="str">
        <f>IFERROR(INDEX(tblPessoas[Pessoa],MATCH(E101,tblPessoas[ID],0)),"")</f>
        <v>Rafaela Maria Resende Lara</v>
      </c>
      <c r="G101" t="str">
        <f>IFERROR(INDEX(tblBatidas[Projeto],MATCH("B"&amp;MID($A101,2,99),tblBatidas[Batida ID],0)),"")</f>
        <v>TOOLKIT</v>
      </c>
      <c r="H101" t="str">
        <f>IFERROR(INDEX(tblBatidas[Atividade],MATCH("B"&amp;MID($A101,2,99),tblBatidas[Batida ID],0)),"")</f>
        <v>ANÁLISE</v>
      </c>
      <c r="I101" s="4">
        <f>IFERROR(MOD(INDEX(tblBatidas[Data e hora],MATCH("B"&amp;MID($A101,2,99),tblBatidas[Batida ID],0)),1),"")</f>
        <v>0.35238425926218042</v>
      </c>
      <c r="J101" s="4">
        <f>IFERROR(MOD(INDEX(tblBatidas[Data e hora],MATCH("B"&amp;MID($A101,2,99),tblBatidas[Início vinculado],0)),1),"")</f>
        <v>0.489710648151231</v>
      </c>
      <c r="K101" s="14">
        <f>IFERROR((INDEX(tblBatidas[Data e hora],MATCH("B"&amp;MID($A101,2,99),tblBatidas[Início vinculado],0))-INDEX(tblBatidas[Data e hora],MATCH("B"&amp;MID($A101,2,99),tblBatidas[Batida ID],0)))*24,"")</f>
        <v>3.2958333333372138</v>
      </c>
      <c r="L101">
        <f>IFERROR(INDEX(tblBatidas[Observação],MATCH("B"&amp;MID($A101,2,99),tblBatidas[Início vinculado],0)),"")</f>
        <v>0</v>
      </c>
      <c r="M101" t="str">
        <f>IFERROR(INDEX(tblPessoas[Base],MATCH(E101,tblPessoas[ID],0)),"")</f>
        <v>Hora</v>
      </c>
      <c r="N101" s="3">
        <f>IFERROR(IF(D101="DIA ÚTIL",INDEX(tblPessoas[R$/h útil],MATCH(E101,tblPessoas[ID],0)),INDEX(tblPessoas[R$/h FDS],MATCH(E101,tblPessoas[ID],0))),0)</f>
        <v>23.5</v>
      </c>
      <c r="O101" s="3">
        <f>IFERROR(INDEX(tblPessoas[R$/diária],MATCH(E101,tblPessoas[ID],0)),0)</f>
        <v>0</v>
      </c>
      <c r="P101" s="3">
        <f t="shared" si="6"/>
        <v>77.452083333424525</v>
      </c>
      <c r="Q101" t="str">
        <f>IF(A101="","",IF(COUNTIF(tblBatidas[Início vinculado],"B"&amp;MID($A101,2,99))=0,"EM ABERTO",IF(OR(COUNTIF(tblBatidas[Início vinculado],"B"&amp;MID($A101,2,99))&gt;1,K101&lt;0,K101&gt;16,INT(INDEX(tblBatidas[Data e hora],MATCH("B"&amp;MID($A101,2,99),tblBatidas[Início vinculado],0)))&lt;&gt;B101,INDEX(tblBatidas[ID],MATCH("B"&amp;MID($A101,2,99),tblBatidas[Início vinculado],0))&lt;&gt;E101,INDEX(tblBatidas[Projeto],MATCH("B"&amp;MID($A101,2,99),tblBatidas[Início vinculado],0))&lt;&gt;G101,INDEX(tblBatidas[Atividade],MATCH("B"&amp;MID($A101,2,99),tblBatidas[Início vinculado],0))&lt;&gt;H101),"REVISAR","CONCLUÍDO")))</f>
        <v>CONCLUÍDO</v>
      </c>
      <c r="R101">
        <f>IF(Q101&lt;&gt;"CONCLUÍDO",0,IF(COUNTIFS($E$5:E101,E101,$B$5:B101,B101,$Q$5:Q101,"CONCLUÍDO")=1,1,0))</f>
        <v>1</v>
      </c>
      <c r="S101" t="str">
        <f t="shared" si="7"/>
        <v>yyyy-08</v>
      </c>
      <c r="T101">
        <f>IF(E101="","",E101*100000+COUNTIFS(tblRegistros[ID],E101,tblRegistros[Data],"&lt;"&amp;B101)+COUNTIFS(tblRegistros[ID],E101,tblRegistros[Data],B101,tblRegistros[Início],"&lt;"&amp;I101)+COUNTIFS($E$5:E101,E101,$B$5:B101,B101,$I$5:I101,I101))</f>
        <v>101300006</v>
      </c>
    </row>
    <row r="102" spans="1:20">
      <c r="A102" t="s">
        <v>194</v>
      </c>
      <c r="B102" s="2">
        <f>IFERROR(INT(INDEX(tblBatidas[Data e hora],MATCH("B"&amp;MID($A102,2,99),tblBatidas[Batida ID],0))),"")</f>
        <v>46265</v>
      </c>
      <c r="C102" t="str">
        <f t="shared" si="4"/>
        <v>SEGUNDA-FEIRA</v>
      </c>
      <c r="D102" t="str">
        <f t="shared" si="5"/>
        <v>DIA ÚTIL</v>
      </c>
      <c r="E102">
        <f>IFERROR(INDEX(tblBatidas[ID],MATCH("B"&amp;MID($A102,2,99),tblBatidas[Batida ID],0)),"")</f>
        <v>1003</v>
      </c>
      <c r="F102" t="str">
        <f>IFERROR(INDEX(tblPessoas[Pessoa],MATCH(E102,tblPessoas[ID],0)),"")</f>
        <v>Amanda do Carmo Ribeiro</v>
      </c>
      <c r="G102" t="str">
        <f>IFERROR(INDEX(tblBatidas[Projeto],MATCH("B"&amp;MID($A102,2,99),tblBatidas[Batida ID],0)),"")</f>
        <v>OTEMPO</v>
      </c>
      <c r="H102" t="str">
        <f>IFERROR(INDEX(tblBatidas[Atividade],MATCH("B"&amp;MID($A102,2,99),tblBatidas[Batida ID],0)),"")</f>
        <v>ANÁLISE</v>
      </c>
      <c r="I102" s="4">
        <f>IFERROR(MOD(INDEX(tblBatidas[Data e hora],MATCH("B"&amp;MID($A102,2,99),tblBatidas[Batida ID],0)),1),"")</f>
        <v>0.36231481481809169</v>
      </c>
      <c r="J102" s="4">
        <f>IFERROR(MOD(INDEX(tblBatidas[Data e hora],MATCH("B"&amp;MID($A102,2,99),tblBatidas[Início vinculado],0)),1),"")</f>
        <v>0.70918981481372612</v>
      </c>
      <c r="K102" s="14">
        <f>IFERROR((INDEX(tblBatidas[Data e hora],MATCH("B"&amp;MID($A102,2,99),tblBatidas[Início vinculado],0))-INDEX(tblBatidas[Data e hora],MATCH("B"&amp;MID($A102,2,99),tblBatidas[Batida ID],0)))*24,"")</f>
        <v>8.3249999998952262</v>
      </c>
      <c r="L102" t="str">
        <f>IFERROR(INDEX(tblBatidas[Observação],MATCH("B"&amp;MID($A102,2,99),tblBatidas[Início vinculado],0)),"")</f>
        <v>Plano de processamento e manual de checagem, crítica e codificação</v>
      </c>
      <c r="M102" t="str">
        <f>IFERROR(INDEX(tblPessoas[Base],MATCH(E102,tblPessoas[ID],0)),"")</f>
        <v>Hora</v>
      </c>
      <c r="N102" s="3">
        <f>IFERROR(IF(D102="DIA ÚTIL",INDEX(tblPessoas[R$/h útil],MATCH(E102,tblPessoas[ID],0)),INDEX(tblPessoas[R$/h FDS],MATCH(E102,tblPessoas[ID],0))),0)</f>
        <v>23.5</v>
      </c>
      <c r="O102" s="3">
        <f>IFERROR(INDEX(tblPessoas[R$/diária],MATCH(E102,tblPessoas[ID],0)),0)</f>
        <v>0</v>
      </c>
      <c r="P102" s="3">
        <f t="shared" si="6"/>
        <v>195.63749999753782</v>
      </c>
      <c r="Q102" t="str">
        <f>IF(A102="","",IF(COUNTIF(tblBatidas[Início vinculado],"B"&amp;MID($A102,2,99))=0,"EM ABERTO",IF(OR(COUNTIF(tblBatidas[Início vinculado],"B"&amp;MID($A102,2,99))&gt;1,K102&lt;0,K102&gt;16,INT(INDEX(tblBatidas[Data e hora],MATCH("B"&amp;MID($A102,2,99),tblBatidas[Início vinculado],0)))&lt;&gt;B102,INDEX(tblBatidas[ID],MATCH("B"&amp;MID($A102,2,99),tblBatidas[Início vinculado],0))&lt;&gt;E102,INDEX(tblBatidas[Projeto],MATCH("B"&amp;MID($A102,2,99),tblBatidas[Início vinculado],0))&lt;&gt;G102,INDEX(tblBatidas[Atividade],MATCH("B"&amp;MID($A102,2,99),tblBatidas[Início vinculado],0))&lt;&gt;H102),"REVISAR","CONCLUÍDO")))</f>
        <v>CONCLUÍDO</v>
      </c>
      <c r="R102">
        <f>IF(Q102&lt;&gt;"CONCLUÍDO",0,IF(COUNTIFS($E$5:E102,E102,$B$5:B102,B102,$Q$5:Q102,"CONCLUÍDO")=1,1,0))</f>
        <v>1</v>
      </c>
      <c r="S102" t="str">
        <f t="shared" si="7"/>
        <v>yyyy-08</v>
      </c>
      <c r="T102">
        <f>IF(E102="","",E102*100000+COUNTIFS(tblRegistros[ID],E102,tblRegistros[Data],"&lt;"&amp;B102)+COUNTIFS(tblRegistros[ID],E102,tblRegistros[Data],B102,tblRegistros[Início],"&lt;"&amp;I102)+COUNTIFS($E$5:E102,E102,$B$5:B102,B102,$I$5:I102,I102))</f>
        <v>100300007</v>
      </c>
    </row>
    <row r="103" spans="1:20">
      <c r="A103" t="s">
        <v>195</v>
      </c>
      <c r="B103" s="2">
        <f>IFERROR(INT(INDEX(tblBatidas[Data e hora],MATCH("B"&amp;MID($A103,2,99),tblBatidas[Batida ID],0))),"")</f>
        <v>46265</v>
      </c>
      <c r="C103" t="str">
        <f t="shared" si="4"/>
        <v>SEGUNDA-FEIRA</v>
      </c>
      <c r="D103" t="str">
        <f t="shared" si="5"/>
        <v>DIA ÚTIL</v>
      </c>
      <c r="E103">
        <f>IFERROR(INDEX(tblBatidas[ID],MATCH("B"&amp;MID($A103,2,99),tblBatidas[Batida ID],0)),"")</f>
        <v>1015</v>
      </c>
      <c r="F103" t="str">
        <f>IFERROR(INDEX(tblPessoas[Pessoa],MATCH(E103,tblPessoas[ID],0)),"")</f>
        <v>Vitor Guilherme Miguel Rocha</v>
      </c>
      <c r="G103" t="str">
        <f>IFERROR(INDEX(tblBatidas[Projeto],MATCH("B"&amp;MID($A103,2,99),tblBatidas[Batida ID],0)),"")</f>
        <v>ADMINISTRATIVO</v>
      </c>
      <c r="H103" t="str">
        <f>IFERROR(INDEX(tblBatidas[Atividade],MATCH("B"&amp;MID($A103,2,99),tblBatidas[Batida ID],0)),"")</f>
        <v>ADMINISTRATIVO</v>
      </c>
      <c r="I103" s="4">
        <f>IFERROR(MOD(INDEX(tblBatidas[Data e hora],MATCH("B"&amp;MID($A103,2,99),tblBatidas[Batida ID],0)),1),"")</f>
        <v>0.37065972221898846</v>
      </c>
      <c r="J103" s="4">
        <f>IFERROR(MOD(INDEX(tblBatidas[Data e hora],MATCH("B"&amp;MID($A103,2,99),tblBatidas[Início vinculado],0)),1),"")</f>
        <v>0.54069444444758119</v>
      </c>
      <c r="K103" s="14">
        <f>IFERROR((INDEX(tblBatidas[Data e hora],MATCH("B"&amp;MID($A103,2,99),tblBatidas[Início vinculado],0))-INDEX(tblBatidas[Data e hora],MATCH("B"&amp;MID($A103,2,99),tblBatidas[Batida ID],0)))*24,"")</f>
        <v>4.0808333334862255</v>
      </c>
      <c r="L103">
        <f>IFERROR(INDEX(tblBatidas[Observação],MATCH("B"&amp;MID($A103,2,99),tblBatidas[Início vinculado],0)),"")</f>
        <v>0</v>
      </c>
      <c r="M103" t="str">
        <f>IFERROR(INDEX(tblPessoas[Base],MATCH(E103,tblPessoas[ID],0)),"")</f>
        <v>Hora</v>
      </c>
      <c r="N103" s="3">
        <f>IFERROR(IF(D103="DIA ÚTIL",INDEX(tblPessoas[R$/h útil],MATCH(E103,tblPessoas[ID],0)),INDEX(tblPessoas[R$/h FDS],MATCH(E103,tblPessoas[ID],0))),0)</f>
        <v>21.5</v>
      </c>
      <c r="O103" s="3">
        <f>IFERROR(INDEX(tblPessoas[R$/diária],MATCH(E103,tblPessoas[ID],0)),0)</f>
        <v>0</v>
      </c>
      <c r="P103" s="3">
        <f t="shared" si="6"/>
        <v>87.737916669953847</v>
      </c>
      <c r="Q103" t="str">
        <f>IF(A103="","",IF(COUNTIF(tblBatidas[Início vinculado],"B"&amp;MID($A103,2,99))=0,"EM ABERTO",IF(OR(COUNTIF(tblBatidas[Início vinculado],"B"&amp;MID($A103,2,99))&gt;1,K103&lt;0,K103&gt;16,INT(INDEX(tblBatidas[Data e hora],MATCH("B"&amp;MID($A103,2,99),tblBatidas[Início vinculado],0)))&lt;&gt;B103,INDEX(tblBatidas[ID],MATCH("B"&amp;MID($A103,2,99),tblBatidas[Início vinculado],0))&lt;&gt;E103,INDEX(tblBatidas[Projeto],MATCH("B"&amp;MID($A103,2,99),tblBatidas[Início vinculado],0))&lt;&gt;G103,INDEX(tblBatidas[Atividade],MATCH("B"&amp;MID($A103,2,99),tblBatidas[Início vinculado],0))&lt;&gt;H103),"REVISAR","CONCLUÍDO")))</f>
        <v>CONCLUÍDO</v>
      </c>
      <c r="R103">
        <f>IF(Q103&lt;&gt;"CONCLUÍDO",0,IF(COUNTIFS($E$5:E103,E103,$B$5:B103,B103,$Q$5:Q103,"CONCLUÍDO")=1,1,0))</f>
        <v>1</v>
      </c>
      <c r="S103" t="str">
        <f t="shared" si="7"/>
        <v>yyyy-08</v>
      </c>
      <c r="T103">
        <f>IF(E103="","",E103*100000+COUNTIFS(tblRegistros[ID],E103,tblRegistros[Data],"&lt;"&amp;B103)+COUNTIFS(tblRegistros[ID],E103,tblRegistros[Data],B103,tblRegistros[Início],"&lt;"&amp;I103)+COUNTIFS($E$5:E103,E103,$B$5:B103,B103,$I$5:I103,I103))</f>
        <v>101500013</v>
      </c>
    </row>
    <row r="104" spans="1:20">
      <c r="A104" t="s">
        <v>196</v>
      </c>
      <c r="B104" s="2">
        <f>IFERROR(INT(INDEX(tblBatidas[Data e hora],MATCH("B"&amp;MID($A104,2,99),tblBatidas[Batida ID],0))),"")</f>
        <v>46265</v>
      </c>
      <c r="C104" t="str">
        <f t="shared" si="4"/>
        <v>SEGUNDA-FEIRA</v>
      </c>
      <c r="D104" t="str">
        <f t="shared" si="5"/>
        <v>DIA ÚTIL</v>
      </c>
      <c r="E104">
        <f>IFERROR(INDEX(tblBatidas[ID],MATCH("B"&amp;MID($A104,2,99),tblBatidas[Batida ID],0)),"")</f>
        <v>1006</v>
      </c>
      <c r="F104" t="str">
        <f>IFERROR(INDEX(tblPessoas[Pessoa],MATCH(E104,tblPessoas[ID],0)),"")</f>
        <v>Eliane dos Santos Oliveira</v>
      </c>
      <c r="G104" t="str">
        <f>IFERROR(INDEX(tblBatidas[Projeto],MATCH("B"&amp;MID($A104,2,99),tblBatidas[Batida ID],0)),"")</f>
        <v>OTEMPO</v>
      </c>
      <c r="H104" t="str">
        <f>IFERROR(INDEX(tblBatidas[Atividade],MATCH("B"&amp;MID($A104,2,99),tblBatidas[Batida ID],0)),"")</f>
        <v>CHECAGEM</v>
      </c>
      <c r="I104" s="4">
        <f>IFERROR(MOD(INDEX(tblBatidas[Data e hora],MATCH("B"&amp;MID($A104,2,99),tblBatidas[Batida ID],0)),1),"")</f>
        <v>0.37684027777868323</v>
      </c>
      <c r="J104" s="4">
        <f>IFERROR(MOD(INDEX(tblBatidas[Data e hora],MATCH("B"&amp;MID($A104,2,99),tblBatidas[Início vinculado],0)),1),"")</f>
        <v>0.64109953703882638</v>
      </c>
      <c r="K104" s="14">
        <f>IFERROR((INDEX(tblBatidas[Data e hora],MATCH("B"&amp;MID($A104,2,99),tblBatidas[Início vinculado],0))-INDEX(tblBatidas[Data e hora],MATCH("B"&amp;MID($A104,2,99),tblBatidas[Batida ID],0)))*24,"")</f>
        <v>6.3422222222434357</v>
      </c>
      <c r="L104" t="str">
        <f>IFERROR(INDEX(tblBatidas[Observação],MATCH("B"&amp;MID($A104,2,99),tblBatidas[Início vinculado],0)),"")</f>
        <v>checagem otempo</v>
      </c>
      <c r="M104" t="str">
        <f>IFERROR(INDEX(tblPessoas[Base],MATCH(E104,tblPessoas[ID],0)),"")</f>
        <v>Hora</v>
      </c>
      <c r="N104" s="3">
        <f>IFERROR(IF(D104="DIA ÚTIL",INDEX(tblPessoas[R$/h útil],MATCH(E104,tblPessoas[ID],0)),INDEX(tblPessoas[R$/h FDS],MATCH(E104,tblPessoas[ID],0))),0)</f>
        <v>14</v>
      </c>
      <c r="O104" s="3">
        <f>IFERROR(INDEX(tblPessoas[R$/diária],MATCH(E104,tblPessoas[ID],0)),0)</f>
        <v>0</v>
      </c>
      <c r="P104" s="3">
        <f t="shared" si="6"/>
        <v>88.7911111114081</v>
      </c>
      <c r="Q104" t="str">
        <f>IF(A104="","",IF(COUNTIF(tblBatidas[Início vinculado],"B"&amp;MID($A104,2,99))=0,"EM ABERTO",IF(OR(COUNTIF(tblBatidas[Início vinculado],"B"&amp;MID($A104,2,99))&gt;1,K104&lt;0,K104&gt;16,INT(INDEX(tblBatidas[Data e hora],MATCH("B"&amp;MID($A104,2,99),tblBatidas[Início vinculado],0)))&lt;&gt;B104,INDEX(tblBatidas[ID],MATCH("B"&amp;MID($A104,2,99),tblBatidas[Início vinculado],0))&lt;&gt;E104,INDEX(tblBatidas[Projeto],MATCH("B"&amp;MID($A104,2,99),tblBatidas[Início vinculado],0))&lt;&gt;G104,INDEX(tblBatidas[Atividade],MATCH("B"&amp;MID($A104,2,99),tblBatidas[Início vinculado],0))&lt;&gt;H104),"REVISAR","CONCLUÍDO")))</f>
        <v>CONCLUÍDO</v>
      </c>
      <c r="R104">
        <f>IF(Q104&lt;&gt;"CONCLUÍDO",0,IF(COUNTIFS($E$5:E104,E104,$B$5:B104,B104,$Q$5:Q104,"CONCLUÍDO")=1,1,0))</f>
        <v>1</v>
      </c>
      <c r="S104" t="str">
        <f t="shared" si="7"/>
        <v>yyyy-08</v>
      </c>
      <c r="T104">
        <f>IF(E104="","",E104*100000+COUNTIFS(tblRegistros[ID],E104,tblRegistros[Data],"&lt;"&amp;B104)+COUNTIFS(tblRegistros[ID],E104,tblRegistros[Data],B104,tblRegistros[Início],"&lt;"&amp;I104)+COUNTIFS($E$5:E104,E104,$B$5:B104,B104,$I$5:I104,I104))</f>
        <v>100600011</v>
      </c>
    </row>
    <row r="105" spans="1:20">
      <c r="A105" t="s">
        <v>197</v>
      </c>
      <c r="B105" s="2">
        <f>IFERROR(INT(INDEX(tblBatidas[Data e hora],MATCH("B"&amp;MID($A105,2,99),tblBatidas[Batida ID],0))),"")</f>
        <v>46265</v>
      </c>
      <c r="C105" t="str">
        <f t="shared" si="4"/>
        <v>SEGUNDA-FEIRA</v>
      </c>
      <c r="D105" t="str">
        <f t="shared" si="5"/>
        <v>DIA ÚTIL</v>
      </c>
      <c r="E105">
        <f>IFERROR(INDEX(tblBatidas[ID],MATCH("B"&amp;MID($A105,2,99),tblBatidas[Batida ID],0)),"")</f>
        <v>1014</v>
      </c>
      <c r="F105" t="str">
        <f>IFERROR(INDEX(tblPessoas[Pessoa],MATCH(E105,tblPessoas[ID],0)),"")</f>
        <v>Robert Filipe Orlando de Souza</v>
      </c>
      <c r="G105" t="str">
        <f>IFERROR(INDEX(tblBatidas[Projeto],MATCH("B"&amp;MID($A105,2,99),tblBatidas[Batida ID],0)),"")</f>
        <v>SICOOB CREDICOM</v>
      </c>
      <c r="H105" t="str">
        <f>IFERROR(INDEX(tblBatidas[Atividade],MATCH("B"&amp;MID($A105,2,99),tblBatidas[Batida ID],0)),"")</f>
        <v>CHECAGEM</v>
      </c>
      <c r="I105" s="4">
        <f>IFERROR(MOD(INDEX(tblBatidas[Data e hora],MATCH("B"&amp;MID($A105,2,99),tblBatidas[Batida ID],0)),1),"")</f>
        <v>0.43559027777519077</v>
      </c>
      <c r="J105" s="4">
        <f>IFERROR(MOD(INDEX(tblBatidas[Data e hora],MATCH("B"&amp;MID($A105,2,99),tblBatidas[Início vinculado],0)),1),"")</f>
        <v>0.53855324073811062</v>
      </c>
      <c r="K105" s="14">
        <f>IFERROR((INDEX(tblBatidas[Data e hora],MATCH("B"&amp;MID($A105,2,99),tblBatidas[Início vinculado],0))-INDEX(tblBatidas[Data e hora],MATCH("B"&amp;MID($A105,2,99),tblBatidas[Batida ID],0)))*24,"")</f>
        <v>2.4711111111100763</v>
      </c>
      <c r="L105">
        <f>IFERROR(INDEX(tblBatidas[Observação],MATCH("B"&amp;MID($A105,2,99),tblBatidas[Início vinculado],0)),"")</f>
        <v>0</v>
      </c>
      <c r="M105" t="str">
        <f>IFERROR(INDEX(tblPessoas[Base],MATCH(E105,tblPessoas[ID],0)),"")</f>
        <v>Hora</v>
      </c>
      <c r="N105" s="3">
        <f>IFERROR(IF(D105="DIA ÚTIL",INDEX(tblPessoas[R$/h útil],MATCH(E105,tblPessoas[ID],0)),INDEX(tblPessoas[R$/h FDS],MATCH(E105,tblPessoas[ID],0))),0)</f>
        <v>21.5</v>
      </c>
      <c r="O105" s="3">
        <f>IFERROR(INDEX(tblPessoas[R$/diária],MATCH(E105,tblPessoas[ID],0)),0)</f>
        <v>0</v>
      </c>
      <c r="P105" s="3">
        <f t="shared" si="6"/>
        <v>53.128888888866641</v>
      </c>
      <c r="Q105" t="str">
        <f>IF(A105="","",IF(COUNTIF(tblBatidas[Início vinculado],"B"&amp;MID($A105,2,99))=0,"EM ABERTO",IF(OR(COUNTIF(tblBatidas[Início vinculado],"B"&amp;MID($A105,2,99))&gt;1,K105&lt;0,K105&gt;16,INT(INDEX(tblBatidas[Data e hora],MATCH("B"&amp;MID($A105,2,99),tblBatidas[Início vinculado],0)))&lt;&gt;B105,INDEX(tblBatidas[ID],MATCH("B"&amp;MID($A105,2,99),tblBatidas[Início vinculado],0))&lt;&gt;E105,INDEX(tblBatidas[Projeto],MATCH("B"&amp;MID($A105,2,99),tblBatidas[Início vinculado],0))&lt;&gt;G105,INDEX(tblBatidas[Atividade],MATCH("B"&amp;MID($A105,2,99),tblBatidas[Início vinculado],0))&lt;&gt;H105),"REVISAR","CONCLUÍDO")))</f>
        <v>CONCLUÍDO</v>
      </c>
      <c r="R105">
        <f>IF(Q105&lt;&gt;"CONCLUÍDO",0,IF(COUNTIFS($E$5:E105,E105,$B$5:B105,B105,$Q$5:Q105,"CONCLUÍDO")=1,1,0))</f>
        <v>1</v>
      </c>
      <c r="S105" t="str">
        <f t="shared" si="7"/>
        <v>yyyy-08</v>
      </c>
      <c r="T105">
        <f>IF(E105="","",E105*100000+COUNTIFS(tblRegistros[ID],E105,tblRegistros[Data],"&lt;"&amp;B105)+COUNTIFS(tblRegistros[ID],E105,tblRegistros[Data],B105,tblRegistros[Início],"&lt;"&amp;I105)+COUNTIFS($E$5:E105,E105,$B$5:B105,B105,$I$5:I105,I105))</f>
        <v>101400010</v>
      </c>
    </row>
    <row r="106" spans="1:20">
      <c r="A106" t="s">
        <v>198</v>
      </c>
      <c r="B106" s="2">
        <f>IFERROR(INT(INDEX(tblBatidas[Data e hora],MATCH("B"&amp;MID($A106,2,99),tblBatidas[Batida ID],0))),"")</f>
        <v>46265</v>
      </c>
      <c r="C106" t="str">
        <f t="shared" si="4"/>
        <v>SEGUNDA-FEIRA</v>
      </c>
      <c r="D106" t="str">
        <f t="shared" si="5"/>
        <v>DIA ÚTIL</v>
      </c>
      <c r="E106">
        <f>IFERROR(INDEX(tblBatidas[ID],MATCH("B"&amp;MID($A106,2,99),tblBatidas[Batida ID],0)),"")</f>
        <v>1016</v>
      </c>
      <c r="F106" t="str">
        <f>IFERROR(INDEX(tblPessoas[Pessoa],MATCH(E106,tblPessoas[ID],0)),"")</f>
        <v>Ana Luisa Nardin</v>
      </c>
      <c r="G106" t="str">
        <f>IFERROR(INDEX(tblBatidas[Projeto],MATCH("B"&amp;MID($A106,2,99),tblBatidas[Batida ID],0)),"")</f>
        <v>CFI / ACCION</v>
      </c>
      <c r="H106" t="str">
        <f>IFERROR(INDEX(tblBatidas[Atividade],MATCH("B"&amp;MID($A106,2,99),tblBatidas[Batida ID],0)),"")</f>
        <v>ANÁLISE</v>
      </c>
      <c r="I106" s="4">
        <f>IFERROR(MOD(INDEX(tblBatidas[Data e hora],MATCH("B"&amp;MID($A106,2,99),tblBatidas[Batida ID],0)),1),"")</f>
        <v>0.49241898148466134</v>
      </c>
      <c r="J106" s="4" t="str">
        <f>IFERROR(MOD(INDEX(tblBatidas[Data e hora],MATCH("B"&amp;MID($A106,2,99),tblBatidas[Início vinculado],0)),1),"")</f>
        <v/>
      </c>
      <c r="K106" s="14" t="str">
        <f>IFERROR((INDEX(tblBatidas[Data e hora],MATCH("B"&amp;MID($A106,2,99),tblBatidas[Início vinculado],0))-INDEX(tblBatidas[Data e hora],MATCH("B"&amp;MID($A106,2,99),tblBatidas[Batida ID],0)))*24,"")</f>
        <v/>
      </c>
      <c r="L106" t="str">
        <f>IFERROR(INDEX(tblBatidas[Observação],MATCH("B"&amp;MID($A106,2,99),tblBatidas[Início vinculado],0)),"")</f>
        <v/>
      </c>
      <c r="M106" t="str">
        <f>IFERROR(INDEX(tblPessoas[Base],MATCH(E106,tblPessoas[ID],0)),"")</f>
        <v>Hora</v>
      </c>
      <c r="N106" s="3">
        <f>IFERROR(IF(D106="DIA ÚTIL",INDEX(tblPessoas[R$/h útil],MATCH(E106,tblPessoas[ID],0)),INDEX(tblPessoas[R$/h FDS],MATCH(E106,tblPessoas[ID],0))),0)</f>
        <v>23.5</v>
      </c>
      <c r="O106" s="3">
        <f>IFERROR(INDEX(tblPessoas[R$/diária],MATCH(E106,tblPessoas[ID],0)),0)</f>
        <v>0</v>
      </c>
      <c r="P106" s="3" t="str">
        <f t="shared" si="6"/>
        <v/>
      </c>
      <c r="Q106" t="str">
        <f>IF(A106="","",IF(COUNTIF(tblBatidas[Início vinculado],"B"&amp;MID($A106,2,99))=0,"EM ABERTO",IF(OR(COUNTIF(tblBatidas[Início vinculado],"B"&amp;MID($A106,2,99))&gt;1,K106&lt;0,K106&gt;16,INT(INDEX(tblBatidas[Data e hora],MATCH("B"&amp;MID($A106,2,99),tblBatidas[Início vinculado],0)))&lt;&gt;B106,INDEX(tblBatidas[ID],MATCH("B"&amp;MID($A106,2,99),tblBatidas[Início vinculado],0))&lt;&gt;E106,INDEX(tblBatidas[Projeto],MATCH("B"&amp;MID($A106,2,99),tblBatidas[Início vinculado],0))&lt;&gt;G106,INDEX(tblBatidas[Atividade],MATCH("B"&amp;MID($A106,2,99),tblBatidas[Início vinculado],0))&lt;&gt;H106),"REVISAR","CONCLUÍDO")))</f>
        <v>EM ABERTO</v>
      </c>
      <c r="R106">
        <f>IF(Q106&lt;&gt;"CONCLUÍDO",0,IF(COUNTIFS($E$5:E106,E106,$B$5:B106,B106,$Q$5:Q106,"CONCLUÍDO")=1,1,0))</f>
        <v>0</v>
      </c>
      <c r="S106" t="str">
        <f t="shared" si="7"/>
        <v>yyyy-08</v>
      </c>
      <c r="T106">
        <f>IF(E106="","",E106*100000+COUNTIFS(tblRegistros[ID],E106,tblRegistros[Data],"&lt;"&amp;B106)+COUNTIFS(tblRegistros[ID],E106,tblRegistros[Data],B106,tblRegistros[Início],"&lt;"&amp;I106)+COUNTIFS($E$5:E106,E106,$B$5:B106,B106,$I$5:I106,I106))</f>
        <v>101600013</v>
      </c>
    </row>
    <row r="107" spans="1:20">
      <c r="A107" t="s">
        <v>199</v>
      </c>
      <c r="B107" s="2">
        <f>IFERROR(INT(INDEX(tblBatidas[Data e hora],MATCH("B"&amp;MID($A107,2,99),tblBatidas[Batida ID],0))),"")</f>
        <v>46265</v>
      </c>
      <c r="C107" t="str">
        <f t="shared" si="4"/>
        <v>SEGUNDA-FEIRA</v>
      </c>
      <c r="D107" t="str">
        <f t="shared" si="5"/>
        <v>DIA ÚTIL</v>
      </c>
      <c r="E107">
        <f>IFERROR(INDEX(tblBatidas[ID],MATCH("B"&amp;MID($A107,2,99),tblBatidas[Batida ID],0)),"")</f>
        <v>1016</v>
      </c>
      <c r="F107" t="str">
        <f>IFERROR(INDEX(tblPessoas[Pessoa],MATCH(E107,tblPessoas[ID],0)),"")</f>
        <v>Ana Luisa Nardin</v>
      </c>
      <c r="G107" t="str">
        <f>IFERROR(INDEX(tblBatidas[Projeto],MATCH("B"&amp;MID($A107,2,99),tblBatidas[Batida ID],0)),"")</f>
        <v>CFI / ACCION</v>
      </c>
      <c r="H107" t="str">
        <f>IFERROR(INDEX(tblBatidas[Atividade],MATCH("B"&amp;MID($A107,2,99),tblBatidas[Batida ID],0)),"")</f>
        <v>ANÁLISE</v>
      </c>
      <c r="I107" s="4">
        <f>IFERROR(MOD(INDEX(tblBatidas[Data e hora],MATCH("B"&amp;MID($A107,2,99),tblBatidas[Batida ID],0)),1),"")</f>
        <v>0.49258101851592073</v>
      </c>
      <c r="J107" s="4">
        <f>IFERROR(MOD(INDEX(tblBatidas[Data e hora],MATCH("B"&amp;MID($A107,2,99),tblBatidas[Início vinculado],0)),1),"")</f>
        <v>0.75466435185080627</v>
      </c>
      <c r="K107" s="14">
        <f>IFERROR((INDEX(tblBatidas[Data e hora],MATCH("B"&amp;MID($A107,2,99),tblBatidas[Início vinculado],0))-INDEX(tblBatidas[Data e hora],MATCH("B"&amp;MID($A107,2,99),tblBatidas[Batida ID],0)))*24,"")</f>
        <v>6.2900000000372529</v>
      </c>
      <c r="L107">
        <f>IFERROR(INDEX(tblBatidas[Observação],MATCH("B"&amp;MID($A107,2,99),tblBatidas[Início vinculado],0)),"")</f>
        <v>0</v>
      </c>
      <c r="M107" t="str">
        <f>IFERROR(INDEX(tblPessoas[Base],MATCH(E107,tblPessoas[ID],0)),"")</f>
        <v>Hora</v>
      </c>
      <c r="N107" s="3">
        <f>IFERROR(IF(D107="DIA ÚTIL",INDEX(tblPessoas[R$/h útil],MATCH(E107,tblPessoas[ID],0)),INDEX(tblPessoas[R$/h FDS],MATCH(E107,tblPessoas[ID],0))),0)</f>
        <v>23.5</v>
      </c>
      <c r="O107" s="3">
        <f>IFERROR(INDEX(tblPessoas[R$/diária],MATCH(E107,tblPessoas[ID],0)),0)</f>
        <v>0</v>
      </c>
      <c r="P107" s="3">
        <f t="shared" si="6"/>
        <v>147.81500000087544</v>
      </c>
      <c r="Q107" t="str">
        <f>IF(A107="","",IF(COUNTIF(tblBatidas[Início vinculado],"B"&amp;MID($A107,2,99))=0,"EM ABERTO",IF(OR(COUNTIF(tblBatidas[Início vinculado],"B"&amp;MID($A107,2,99))&gt;1,K107&lt;0,K107&gt;16,INT(INDEX(tblBatidas[Data e hora],MATCH("B"&amp;MID($A107,2,99),tblBatidas[Início vinculado],0)))&lt;&gt;B107,INDEX(tblBatidas[ID],MATCH("B"&amp;MID($A107,2,99),tblBatidas[Início vinculado],0))&lt;&gt;E107,INDEX(tblBatidas[Projeto],MATCH("B"&amp;MID($A107,2,99),tblBatidas[Início vinculado],0))&lt;&gt;G107,INDEX(tblBatidas[Atividade],MATCH("B"&amp;MID($A107,2,99),tblBatidas[Início vinculado],0))&lt;&gt;H107),"REVISAR","CONCLUÍDO")))</f>
        <v>CONCLUÍDO</v>
      </c>
      <c r="R107">
        <f>IF(Q107&lt;&gt;"CONCLUÍDO",0,IF(COUNTIFS($E$5:E107,E107,$B$5:B107,B107,$Q$5:Q107,"CONCLUÍDO")=1,1,0))</f>
        <v>1</v>
      </c>
      <c r="S107" t="str">
        <f t="shared" si="7"/>
        <v>yyyy-08</v>
      </c>
      <c r="T107">
        <f>IF(E107="","",E107*100000+COUNTIFS(tblRegistros[ID],E107,tblRegistros[Data],"&lt;"&amp;B107)+COUNTIFS(tblRegistros[ID],E107,tblRegistros[Data],B107,tblRegistros[Início],"&lt;"&amp;I107)+COUNTIFS($E$5:E107,E107,$B$5:B107,B107,$I$5:I107,I107))</f>
        <v>101600014</v>
      </c>
    </row>
    <row r="108" spans="1:20">
      <c r="A108" t="s">
        <v>200</v>
      </c>
      <c r="B108" s="2">
        <f>IFERROR(INT(INDEX(tblBatidas[Data e hora],MATCH("B"&amp;MID($A108,2,99),tblBatidas[Batida ID],0))),"")</f>
        <v>46265</v>
      </c>
      <c r="C108" t="str">
        <f t="shared" si="4"/>
        <v>SEGUNDA-FEIRA</v>
      </c>
      <c r="D108" t="str">
        <f t="shared" si="5"/>
        <v>DIA ÚTIL</v>
      </c>
      <c r="E108">
        <f>IFERROR(INDEX(tblBatidas[ID],MATCH("B"&amp;MID($A108,2,99),tblBatidas[Batida ID],0)),"")</f>
        <v>1011</v>
      </c>
      <c r="F108" t="str">
        <f>IFERROR(INDEX(tblPessoas[Pessoa],MATCH(E108,tblPessoas[ID],0)),"")</f>
        <v>Nathalia Arruda</v>
      </c>
      <c r="G108" t="str">
        <f>IFERROR(INDEX(tblBatidas[Projeto],MATCH("B"&amp;MID($A108,2,99),tblBatidas[Batida ID],0)),"")</f>
        <v>OTEMPO</v>
      </c>
      <c r="H108" t="str">
        <f>IFERROR(INDEX(tblBatidas[Atividade],MATCH("B"&amp;MID($A108,2,99),tblBatidas[Batida ID],0)),"")</f>
        <v>ANÁLISE</v>
      </c>
      <c r="I108" s="4">
        <f>IFERROR(MOD(INDEX(tblBatidas[Data e hora],MATCH("B"&amp;MID($A108,2,99),tblBatidas[Batida ID],0)),1),"")</f>
        <v>0.52295138889166992</v>
      </c>
      <c r="J108" s="4">
        <f>IFERROR(MOD(INDEX(tblBatidas[Data e hora],MATCH("B"&amp;MID($A108,2,99),tblBatidas[Início vinculado],0)),1),"")</f>
        <v>0.75018518518481869</v>
      </c>
      <c r="K108" s="14">
        <f>IFERROR((INDEX(tblBatidas[Data e hora],MATCH("B"&amp;MID($A108,2,99),tblBatidas[Início vinculado],0))-INDEX(tblBatidas[Data e hora],MATCH("B"&amp;MID($A108,2,99),tblBatidas[Batida ID],0)))*24,"")</f>
        <v>5.4536111110355705</v>
      </c>
      <c r="L108">
        <f>IFERROR(INDEX(tblBatidas[Observação],MATCH("B"&amp;MID($A108,2,99),tblBatidas[Início vinculado],0)),"")</f>
        <v>0</v>
      </c>
      <c r="M108" t="str">
        <f>IFERROR(INDEX(tblPessoas[Base],MATCH(E108,tblPessoas[ID],0)),"")</f>
        <v>Hora</v>
      </c>
      <c r="N108" s="3">
        <f>IFERROR(IF(D108="DIA ÚTIL",INDEX(tblPessoas[R$/h útil],MATCH(E108,tblPessoas[ID],0)),INDEX(tblPessoas[R$/h FDS],MATCH(E108,tblPessoas[ID],0))),0)</f>
        <v>23.5</v>
      </c>
      <c r="O108" s="3">
        <f>IFERROR(INDEX(tblPessoas[R$/diária],MATCH(E108,tblPessoas[ID],0)),0)</f>
        <v>0</v>
      </c>
      <c r="P108" s="3">
        <f t="shared" si="6"/>
        <v>128.15986110933591</v>
      </c>
      <c r="Q108" t="str">
        <f>IF(A108="","",IF(COUNTIF(tblBatidas[Início vinculado],"B"&amp;MID($A108,2,99))=0,"EM ABERTO",IF(OR(COUNTIF(tblBatidas[Início vinculado],"B"&amp;MID($A108,2,99))&gt;1,K108&lt;0,K108&gt;16,INT(INDEX(tblBatidas[Data e hora],MATCH("B"&amp;MID($A108,2,99),tblBatidas[Início vinculado],0)))&lt;&gt;B108,INDEX(tblBatidas[ID],MATCH("B"&amp;MID($A108,2,99),tblBatidas[Início vinculado],0))&lt;&gt;E108,INDEX(tblBatidas[Projeto],MATCH("B"&amp;MID($A108,2,99),tblBatidas[Início vinculado],0))&lt;&gt;G108,INDEX(tblBatidas[Atividade],MATCH("B"&amp;MID($A108,2,99),tblBatidas[Início vinculado],0))&lt;&gt;H108),"REVISAR","CONCLUÍDO")))</f>
        <v>CONCLUÍDO</v>
      </c>
      <c r="R108">
        <f>IF(Q108&lt;&gt;"CONCLUÍDO",0,IF(COUNTIFS($E$5:E108,E108,$B$5:B108,B108,$Q$5:Q108,"CONCLUÍDO")=1,1,0))</f>
        <v>1</v>
      </c>
      <c r="S108" t="str">
        <f t="shared" si="7"/>
        <v>yyyy-08</v>
      </c>
      <c r="T108">
        <f>IF(E108="","",E108*100000+COUNTIFS(tblRegistros[ID],E108,tblRegistros[Data],"&lt;"&amp;B108)+COUNTIFS(tblRegistros[ID],E108,tblRegistros[Data],B108,tblRegistros[Início],"&lt;"&amp;I108)+COUNTIFS($E$5:E108,E108,$B$5:B108,B108,$I$5:I108,I108))</f>
        <v>101100008</v>
      </c>
    </row>
    <row r="109" spans="1:20">
      <c r="A109" t="s">
        <v>201</v>
      </c>
      <c r="B109" s="2">
        <f>IFERROR(INT(INDEX(tblBatidas[Data e hora],MATCH("B"&amp;MID($A109,2,99),tblBatidas[Batida ID],0))),"")</f>
        <v>46265</v>
      </c>
      <c r="C109" t="str">
        <f t="shared" si="4"/>
        <v>SEGUNDA-FEIRA</v>
      </c>
      <c r="D109" t="str">
        <f t="shared" si="5"/>
        <v>DIA ÚTIL</v>
      </c>
      <c r="E109">
        <f>IFERROR(INDEX(tblBatidas[ID],MATCH("B"&amp;MID($A109,2,99),tblBatidas[Batida ID],0)),"")</f>
        <v>1013</v>
      </c>
      <c r="F109" t="str">
        <f>IFERROR(INDEX(tblPessoas[Pessoa],MATCH(E109,tblPessoas[ID],0)),"")</f>
        <v>Rafaela Maria Resende Lara</v>
      </c>
      <c r="G109" t="str">
        <f>IFERROR(INDEX(tblBatidas[Projeto],MATCH("B"&amp;MID($A109,2,99),tblBatidas[Batida ID],0)),"")</f>
        <v>TOOLKIT</v>
      </c>
      <c r="H109" t="str">
        <f>IFERROR(INDEX(tblBatidas[Atividade],MATCH("B"&amp;MID($A109,2,99),tblBatidas[Batida ID],0)),"")</f>
        <v>ANÁLISE</v>
      </c>
      <c r="I109" s="4">
        <f>IFERROR(MOD(INDEX(tblBatidas[Data e hora],MATCH("B"&amp;MID($A109,2,99),tblBatidas[Batida ID],0)),1),"")</f>
        <v>0.52716435184993315</v>
      </c>
      <c r="J109" s="4" t="str">
        <f>IFERROR(MOD(INDEX(tblBatidas[Data e hora],MATCH("B"&amp;MID($A109,2,99),tblBatidas[Início vinculado],0)),1),"")</f>
        <v/>
      </c>
      <c r="K109" s="14" t="str">
        <f>IFERROR((INDEX(tblBatidas[Data e hora],MATCH("B"&amp;MID($A109,2,99),tblBatidas[Início vinculado],0))-INDEX(tblBatidas[Data e hora],MATCH("B"&amp;MID($A109,2,99),tblBatidas[Batida ID],0)))*24,"")</f>
        <v/>
      </c>
      <c r="L109" t="str">
        <f>IFERROR(INDEX(tblBatidas[Observação],MATCH("B"&amp;MID($A109,2,99),tblBatidas[Início vinculado],0)),"")</f>
        <v/>
      </c>
      <c r="M109" t="str">
        <f>IFERROR(INDEX(tblPessoas[Base],MATCH(E109,tblPessoas[ID],0)),"")</f>
        <v>Hora</v>
      </c>
      <c r="N109" s="3">
        <f>IFERROR(IF(D109="DIA ÚTIL",INDEX(tblPessoas[R$/h útil],MATCH(E109,tblPessoas[ID],0)),INDEX(tblPessoas[R$/h FDS],MATCH(E109,tblPessoas[ID],0))),0)</f>
        <v>23.5</v>
      </c>
      <c r="O109" s="3">
        <f>IFERROR(INDEX(tblPessoas[R$/diária],MATCH(E109,tblPessoas[ID],0)),0)</f>
        <v>0</v>
      </c>
      <c r="P109" s="3" t="str">
        <f t="shared" si="6"/>
        <v/>
      </c>
      <c r="Q109" t="str">
        <f>IF(A109="","",IF(COUNTIF(tblBatidas[Início vinculado],"B"&amp;MID($A109,2,99))=0,"EM ABERTO",IF(OR(COUNTIF(tblBatidas[Início vinculado],"B"&amp;MID($A109,2,99))&gt;1,K109&lt;0,K109&gt;16,INT(INDEX(tblBatidas[Data e hora],MATCH("B"&amp;MID($A109,2,99),tblBatidas[Início vinculado],0)))&lt;&gt;B109,INDEX(tblBatidas[ID],MATCH("B"&amp;MID($A109,2,99),tblBatidas[Início vinculado],0))&lt;&gt;E109,INDEX(tblBatidas[Projeto],MATCH("B"&amp;MID($A109,2,99),tblBatidas[Início vinculado],0))&lt;&gt;G109,INDEX(tblBatidas[Atividade],MATCH("B"&amp;MID($A109,2,99),tblBatidas[Início vinculado],0))&lt;&gt;H109),"REVISAR","CONCLUÍDO")))</f>
        <v>EM ABERTO</v>
      </c>
      <c r="R109">
        <f>IF(Q109&lt;&gt;"CONCLUÍDO",0,IF(COUNTIFS($E$5:E109,E109,$B$5:B109,B109,$Q$5:Q109,"CONCLUÍDO")=1,1,0))</f>
        <v>0</v>
      </c>
      <c r="S109" t="str">
        <f t="shared" si="7"/>
        <v>yyyy-08</v>
      </c>
      <c r="T109">
        <f>IF(E109="","",E109*100000+COUNTIFS(tblRegistros[ID],E109,tblRegistros[Data],"&lt;"&amp;B109)+COUNTIFS(tblRegistros[ID],E109,tblRegistros[Data],B109,tblRegistros[Início],"&lt;"&amp;I109)+COUNTIFS($E$5:E109,E109,$B$5:B109,B109,$I$5:I109,I109))</f>
        <v>101300007</v>
      </c>
    </row>
    <row r="110" spans="1:20">
      <c r="A110" t="s">
        <v>202</v>
      </c>
      <c r="B110" s="2">
        <f>IFERROR(INT(INDEX(tblBatidas[Data e hora],MATCH("B"&amp;MID($A110,2,99),tblBatidas[Batida ID],0))),"")</f>
        <v>46265</v>
      </c>
      <c r="C110" t="str">
        <f t="shared" si="4"/>
        <v>SEGUNDA-FEIRA</v>
      </c>
      <c r="D110" t="str">
        <f t="shared" si="5"/>
        <v>DIA ÚTIL</v>
      </c>
      <c r="E110">
        <f>IFERROR(INDEX(tblBatidas[ID],MATCH("B"&amp;MID($A110,2,99),tblBatidas[Batida ID],0)),"")</f>
        <v>1015</v>
      </c>
      <c r="F110" t="str">
        <f>IFERROR(INDEX(tblPessoas[Pessoa],MATCH(E110,tblPessoas[ID],0)),"")</f>
        <v>Vitor Guilherme Miguel Rocha</v>
      </c>
      <c r="G110" t="str">
        <f>IFERROR(INDEX(tblBatidas[Projeto],MATCH("B"&amp;MID($A110,2,99),tblBatidas[Batida ID],0)),"")</f>
        <v>ADMINISTRATIVO</v>
      </c>
      <c r="H110" t="str">
        <f>IFERROR(INDEX(tblBatidas[Atividade],MATCH("B"&amp;MID($A110,2,99),tblBatidas[Batida ID],0)),"")</f>
        <v>ADMINISTRATIVO</v>
      </c>
      <c r="I110" s="4">
        <f>IFERROR(MOD(INDEX(tblBatidas[Data e hora],MATCH("B"&amp;MID($A110,2,99),tblBatidas[Batida ID],0)),1),"")</f>
        <v>0.58226851851941319</v>
      </c>
      <c r="J110" s="4">
        <f>IFERROR(MOD(INDEX(tblBatidas[Data e hora],MATCH("B"&amp;MID($A110,2,99),tblBatidas[Início vinculado],0)),1),"")</f>
        <v>0.74679398148145992</v>
      </c>
      <c r="K110" s="14">
        <f>IFERROR((INDEX(tblBatidas[Data e hora],MATCH("B"&amp;MID($A110,2,99),tblBatidas[Início vinculado],0))-INDEX(tblBatidas[Data e hora],MATCH("B"&amp;MID($A110,2,99),tblBatidas[Batida ID],0)))*24,"")</f>
        <v>3.9486111110891216</v>
      </c>
      <c r="L110">
        <f>IFERROR(INDEX(tblBatidas[Observação],MATCH("B"&amp;MID($A110,2,99),tblBatidas[Início vinculado],0)),"")</f>
        <v>0</v>
      </c>
      <c r="M110" t="str">
        <f>IFERROR(INDEX(tblPessoas[Base],MATCH(E110,tblPessoas[ID],0)),"")</f>
        <v>Hora</v>
      </c>
      <c r="N110" s="3">
        <f>IFERROR(IF(D110="DIA ÚTIL",INDEX(tblPessoas[R$/h útil],MATCH(E110,tblPessoas[ID],0)),INDEX(tblPessoas[R$/h FDS],MATCH(E110,tblPessoas[ID],0))),0)</f>
        <v>21.5</v>
      </c>
      <c r="O110" s="3">
        <f>IFERROR(INDEX(tblPessoas[R$/diária],MATCH(E110,tblPessoas[ID],0)),0)</f>
        <v>0</v>
      </c>
      <c r="P110" s="3">
        <f t="shared" si="6"/>
        <v>84.895138888416113</v>
      </c>
      <c r="Q110" t="str">
        <f>IF(A110="","",IF(COUNTIF(tblBatidas[Início vinculado],"B"&amp;MID($A110,2,99))=0,"EM ABERTO",IF(OR(COUNTIF(tblBatidas[Início vinculado],"B"&amp;MID($A110,2,99))&gt;1,K110&lt;0,K110&gt;16,INT(INDEX(tblBatidas[Data e hora],MATCH("B"&amp;MID($A110,2,99),tblBatidas[Início vinculado],0)))&lt;&gt;B110,INDEX(tblBatidas[ID],MATCH("B"&amp;MID($A110,2,99),tblBatidas[Início vinculado],0))&lt;&gt;E110,INDEX(tblBatidas[Projeto],MATCH("B"&amp;MID($A110,2,99),tblBatidas[Início vinculado],0))&lt;&gt;G110,INDEX(tblBatidas[Atividade],MATCH("B"&amp;MID($A110,2,99),tblBatidas[Início vinculado],0))&lt;&gt;H110),"REVISAR","CONCLUÍDO")))</f>
        <v>CONCLUÍDO</v>
      </c>
      <c r="R110">
        <f>IF(Q110&lt;&gt;"CONCLUÍDO",0,IF(COUNTIFS($E$5:E110,E110,$B$5:B110,B110,$Q$5:Q110,"CONCLUÍDO")=1,1,0))</f>
        <v>0</v>
      </c>
      <c r="S110" t="str">
        <f t="shared" si="7"/>
        <v>yyyy-08</v>
      </c>
      <c r="T110">
        <f>IF(E110="","",E110*100000+COUNTIFS(tblRegistros[ID],E110,tblRegistros[Data],"&lt;"&amp;B110)+COUNTIFS(tblRegistros[ID],E110,tblRegistros[Data],B110,tblRegistros[Início],"&lt;"&amp;I110)+COUNTIFS($E$5:E110,E110,$B$5:B110,B110,$I$5:I110,I110))</f>
        <v>101500014</v>
      </c>
    </row>
    <row r="111" spans="1:20">
      <c r="A111" t="s">
        <v>203</v>
      </c>
      <c r="B111" s="2">
        <f>IFERROR(INT(INDEX(tblBatidas[Data e hora],MATCH("B"&amp;MID($A111,2,99),tblBatidas[Batida ID],0))),"")</f>
        <v>46265</v>
      </c>
      <c r="C111" t="str">
        <f t="shared" si="4"/>
        <v>SEGUNDA-FEIRA</v>
      </c>
      <c r="D111" t="str">
        <f t="shared" si="5"/>
        <v>DIA ÚTIL</v>
      </c>
      <c r="E111">
        <f>IFERROR(INDEX(tblBatidas[ID],MATCH("B"&amp;MID($A111,2,99),tblBatidas[Batida ID],0)),"")</f>
        <v>1014</v>
      </c>
      <c r="F111" t="str">
        <f>IFERROR(INDEX(tblPessoas[Pessoa],MATCH(E111,tblPessoas[ID],0)),"")</f>
        <v>Robert Filipe Orlando de Souza</v>
      </c>
      <c r="G111" t="str">
        <f>IFERROR(INDEX(tblBatidas[Projeto],MATCH("B"&amp;MID($A111,2,99),tblBatidas[Batida ID],0)),"")</f>
        <v>SICOOB CREDICOM</v>
      </c>
      <c r="H111" t="str">
        <f>IFERROR(INDEX(tblBatidas[Atividade],MATCH("B"&amp;MID($A111,2,99),tblBatidas[Batida ID],0)),"")</f>
        <v>CHECAGEM</v>
      </c>
      <c r="I111" s="4">
        <f>IFERROR(MOD(INDEX(tblBatidas[Data e hora],MATCH("B"&amp;MID($A111,2,99),tblBatidas[Batida ID],0)),1),"")</f>
        <v>0.58479166666802485</v>
      </c>
      <c r="J111" s="4">
        <f>IFERROR(MOD(INDEX(tblBatidas[Data e hora],MATCH("B"&amp;MID($A111,2,99),tblBatidas[Início vinculado],0)),1),"")</f>
        <v>0.76234953703533392</v>
      </c>
      <c r="K111" s="14">
        <f>IFERROR((INDEX(tblBatidas[Data e hora],MATCH("B"&amp;MID($A111,2,99),tblBatidas[Início vinculado],0))-INDEX(tblBatidas[Data e hora],MATCH("B"&amp;MID($A111,2,99),tblBatidas[Batida ID],0)))*24,"")</f>
        <v>4.2613888888154179</v>
      </c>
      <c r="L111">
        <f>IFERROR(INDEX(tblBatidas[Observação],MATCH("B"&amp;MID($A111,2,99),tblBatidas[Início vinculado],0)),"")</f>
        <v>0</v>
      </c>
      <c r="M111" t="str">
        <f>IFERROR(INDEX(tblPessoas[Base],MATCH(E111,tblPessoas[ID],0)),"")</f>
        <v>Hora</v>
      </c>
      <c r="N111" s="3">
        <f>IFERROR(IF(D111="DIA ÚTIL",INDEX(tblPessoas[R$/h útil],MATCH(E111,tblPessoas[ID],0)),INDEX(tblPessoas[R$/h FDS],MATCH(E111,tblPessoas[ID],0))),0)</f>
        <v>21.5</v>
      </c>
      <c r="O111" s="3">
        <f>IFERROR(INDEX(tblPessoas[R$/diária],MATCH(E111,tblPessoas[ID],0)),0)</f>
        <v>0</v>
      </c>
      <c r="P111" s="3">
        <f t="shared" si="6"/>
        <v>91.619861109531485</v>
      </c>
      <c r="Q111" t="str">
        <f>IF(A111="","",IF(COUNTIF(tblBatidas[Início vinculado],"B"&amp;MID($A111,2,99))=0,"EM ABERTO",IF(OR(COUNTIF(tblBatidas[Início vinculado],"B"&amp;MID($A111,2,99))&gt;1,K111&lt;0,K111&gt;16,INT(INDEX(tblBatidas[Data e hora],MATCH("B"&amp;MID($A111,2,99),tblBatidas[Início vinculado],0)))&lt;&gt;B111,INDEX(tblBatidas[ID],MATCH("B"&amp;MID($A111,2,99),tblBatidas[Início vinculado],0))&lt;&gt;E111,INDEX(tblBatidas[Projeto],MATCH("B"&amp;MID($A111,2,99),tblBatidas[Início vinculado],0))&lt;&gt;G111,INDEX(tblBatidas[Atividade],MATCH("B"&amp;MID($A111,2,99),tblBatidas[Início vinculado],0))&lt;&gt;H111),"REVISAR","CONCLUÍDO")))</f>
        <v>CONCLUÍDO</v>
      </c>
      <c r="R111">
        <f>IF(Q111&lt;&gt;"CONCLUÍDO",0,IF(COUNTIFS($E$5:E111,E111,$B$5:B111,B111,$Q$5:Q111,"CONCLUÍDO")=1,1,0))</f>
        <v>0</v>
      </c>
      <c r="S111" t="str">
        <f t="shared" si="7"/>
        <v>yyyy-08</v>
      </c>
      <c r="T111">
        <f>IF(E111="","",E111*100000+COUNTIFS(tblRegistros[ID],E111,tblRegistros[Data],"&lt;"&amp;B111)+COUNTIFS(tblRegistros[ID],E111,tblRegistros[Data],B111,tblRegistros[Início],"&lt;"&amp;I111)+COUNTIFS($E$5:E111,E111,$B$5:B111,B111,$I$5:I111,I111))</f>
        <v>101400011</v>
      </c>
    </row>
    <row r="112" spans="1:20">
      <c r="A112" t="s">
        <v>204</v>
      </c>
      <c r="B112" s="2">
        <f>IFERROR(INT(INDEX(tblBatidas[Data e hora],MATCH("B"&amp;MID($A112,2,99),tblBatidas[Batida ID],0))),"")</f>
        <v>46265</v>
      </c>
      <c r="C112" t="str">
        <f t="shared" si="4"/>
        <v>SEGUNDA-FEIRA</v>
      </c>
      <c r="D112" t="str">
        <f t="shared" si="5"/>
        <v>DIA ÚTIL</v>
      </c>
      <c r="E112">
        <f>IFERROR(INDEX(tblBatidas[ID],MATCH("B"&amp;MID($A112,2,99),tblBatidas[Batida ID],0)),"")</f>
        <v>1012</v>
      </c>
      <c r="F112" t="str">
        <f>IFERROR(INDEX(tblPessoas[Pessoa],MATCH(E112,tblPessoas[ID],0)),"")</f>
        <v>Nelma Lucia dos S. B. Brandão</v>
      </c>
      <c r="G112" t="str">
        <f>IFERROR(INDEX(tblBatidas[Projeto],MATCH("B"&amp;MID($A112,2,99),tblBatidas[Batida ID],0)),"")</f>
        <v>OTEMPO</v>
      </c>
      <c r="H112" t="str">
        <f>IFERROR(INDEX(tblBatidas[Atividade],MATCH("B"&amp;MID($A112,2,99),tblBatidas[Batida ID],0)),"")</f>
        <v>SUPERVISÃO</v>
      </c>
      <c r="I112" s="4">
        <f>IFERROR(MOD(INDEX(tblBatidas[Data e hora],MATCH("B"&amp;MID($A112,2,99),tblBatidas[Batida ID],0)),1),"")</f>
        <v>0.59518518518598285</v>
      </c>
      <c r="J112" s="4">
        <f>IFERROR(MOD(INDEX(tblBatidas[Data e hora],MATCH("B"&amp;MID($A112,2,99),tblBatidas[Início vinculado],0)),1),"")</f>
        <v>0.76012731481750961</v>
      </c>
      <c r="K112" s="14">
        <f>IFERROR((INDEX(tblBatidas[Data e hora],MATCH("B"&amp;MID($A112,2,99),tblBatidas[Início vinculado],0))-INDEX(tblBatidas[Data e hora],MATCH("B"&amp;MID($A112,2,99),tblBatidas[Batida ID],0)))*24,"")</f>
        <v>3.9586111111566424</v>
      </c>
      <c r="L112">
        <f>IFERROR(INDEX(tblBatidas[Observação],MATCH("B"&amp;MID($A112,2,99),tblBatidas[Início vinculado],0)),"")</f>
        <v>0</v>
      </c>
      <c r="M112" t="str">
        <f>IFERROR(INDEX(tblPessoas[Base],MATCH(E112,tblPessoas[ID],0)),"")</f>
        <v>Diária</v>
      </c>
      <c r="N112" s="3">
        <f>IFERROR(IF(D112="DIA ÚTIL",INDEX(tblPessoas[R$/h útil],MATCH(E112,tblPessoas[ID],0)),INDEX(tblPessoas[R$/h FDS],MATCH(E112,tblPessoas[ID],0))),0)</f>
        <v>0</v>
      </c>
      <c r="O112" s="3">
        <f>IFERROR(INDEX(tblPessoas[R$/diária],MATCH(E112,tblPessoas[ID],0)),0)</f>
        <v>222.72</v>
      </c>
      <c r="P112" s="3">
        <f t="shared" si="6"/>
        <v>222.72</v>
      </c>
      <c r="Q112" t="str">
        <f>IF(A112="","",IF(COUNTIF(tblBatidas[Início vinculado],"B"&amp;MID($A112,2,99))=0,"EM ABERTO",IF(OR(COUNTIF(tblBatidas[Início vinculado],"B"&amp;MID($A112,2,99))&gt;1,K112&lt;0,K112&gt;16,INT(INDEX(tblBatidas[Data e hora],MATCH("B"&amp;MID($A112,2,99),tblBatidas[Início vinculado],0)))&lt;&gt;B112,INDEX(tblBatidas[ID],MATCH("B"&amp;MID($A112,2,99),tblBatidas[Início vinculado],0))&lt;&gt;E112,INDEX(tblBatidas[Projeto],MATCH("B"&amp;MID($A112,2,99),tblBatidas[Início vinculado],0))&lt;&gt;G112,INDEX(tblBatidas[Atividade],MATCH("B"&amp;MID($A112,2,99),tblBatidas[Início vinculado],0))&lt;&gt;H112),"REVISAR","CONCLUÍDO")))</f>
        <v>CONCLUÍDO</v>
      </c>
      <c r="R112">
        <f>IF(Q112&lt;&gt;"CONCLUÍDO",0,IF(COUNTIFS($E$5:E112,E112,$B$5:B112,B112,$Q$5:Q112,"CONCLUÍDO")=1,1,0))</f>
        <v>1</v>
      </c>
      <c r="S112" t="str">
        <f t="shared" si="7"/>
        <v>yyyy-08</v>
      </c>
      <c r="T112">
        <f>IF(E112="","",E112*100000+COUNTIFS(tblRegistros[ID],E112,tblRegistros[Data],"&lt;"&amp;B112)+COUNTIFS(tblRegistros[ID],E112,tblRegistros[Data],B112,tblRegistros[Início],"&lt;"&amp;I112)+COUNTIFS($E$5:E112,E112,$B$5:B112,B112,$I$5:I112,I112))</f>
        <v>101200016</v>
      </c>
    </row>
    <row r="113" spans="1:20">
      <c r="A113" t="s">
        <v>205</v>
      </c>
      <c r="B113" s="2">
        <f>IFERROR(INT(INDEX(tblBatidas[Data e hora],MATCH("B"&amp;MID($A113,2,99),tblBatidas[Batida ID],0))),"")</f>
        <v>46265</v>
      </c>
      <c r="C113" t="str">
        <f t="shared" si="4"/>
        <v>SEGUNDA-FEIRA</v>
      </c>
      <c r="D113" t="str">
        <f t="shared" si="5"/>
        <v>DIA ÚTIL</v>
      </c>
      <c r="E113">
        <f>IFERROR(INDEX(tblBatidas[ID],MATCH("B"&amp;MID($A113,2,99),tblBatidas[Batida ID],0)),"")</f>
        <v>1006</v>
      </c>
      <c r="F113" t="str">
        <f>IFERROR(INDEX(tblPessoas[Pessoa],MATCH(E113,tblPessoas[ID],0)),"")</f>
        <v>Eliane dos Santos Oliveira</v>
      </c>
      <c r="G113" t="str">
        <f>IFERROR(INDEX(tblBatidas[Projeto],MATCH("B"&amp;MID($A113,2,99),tblBatidas[Batida ID],0)),"")</f>
        <v>OTEMPO</v>
      </c>
      <c r="H113" t="str">
        <f>IFERROR(INDEX(tblBatidas[Atividade],MATCH("B"&amp;MID($A113,2,99),tblBatidas[Batida ID],0)),"")</f>
        <v>CHECAGEM</v>
      </c>
      <c r="I113" s="4">
        <f>IFERROR(MOD(INDEX(tblBatidas[Data e hora],MATCH("B"&amp;MID($A113,2,99),tblBatidas[Batida ID],0)),1),"")</f>
        <v>0.68322916666511446</v>
      </c>
      <c r="J113" s="4">
        <f>IFERROR(MOD(INDEX(tblBatidas[Data e hora],MATCH("B"&amp;MID($A113,2,99),tblBatidas[Início vinculado],0)),1),"")</f>
        <v>0.75605324074422242</v>
      </c>
      <c r="K113" s="14">
        <f>IFERROR((INDEX(tblBatidas[Data e hora],MATCH("B"&amp;MID($A113,2,99),tblBatidas[Início vinculado],0))-INDEX(tblBatidas[Data e hora],MATCH("B"&amp;MID($A113,2,99),tblBatidas[Batida ID],0)))*24,"")</f>
        <v>1.747777777898591</v>
      </c>
      <c r="L113" t="str">
        <f>IFERROR(INDEX(tblBatidas[Observação],MATCH("B"&amp;MID($A113,2,99),tblBatidas[Início vinculado],0)),"")</f>
        <v>checagem Otempo</v>
      </c>
      <c r="M113" t="str">
        <f>IFERROR(INDEX(tblPessoas[Base],MATCH(E113,tblPessoas[ID],0)),"")</f>
        <v>Hora</v>
      </c>
      <c r="N113" s="3">
        <f>IFERROR(IF(D113="DIA ÚTIL",INDEX(tblPessoas[R$/h útil],MATCH(E113,tblPessoas[ID],0)),INDEX(tblPessoas[R$/h FDS],MATCH(E113,tblPessoas[ID],0))),0)</f>
        <v>14</v>
      </c>
      <c r="O113" s="3">
        <f>IFERROR(INDEX(tblPessoas[R$/diária],MATCH(E113,tblPessoas[ID],0)),0)</f>
        <v>0</v>
      </c>
      <c r="P113" s="3">
        <f t="shared" si="6"/>
        <v>24.468888890580274</v>
      </c>
      <c r="Q113" t="str">
        <f>IF(A113="","",IF(COUNTIF(tblBatidas[Início vinculado],"B"&amp;MID($A113,2,99))=0,"EM ABERTO",IF(OR(COUNTIF(tblBatidas[Início vinculado],"B"&amp;MID($A113,2,99))&gt;1,K113&lt;0,K113&gt;16,INT(INDEX(tblBatidas[Data e hora],MATCH("B"&amp;MID($A113,2,99),tblBatidas[Início vinculado],0)))&lt;&gt;B113,INDEX(tblBatidas[ID],MATCH("B"&amp;MID($A113,2,99),tblBatidas[Início vinculado],0))&lt;&gt;E113,INDEX(tblBatidas[Projeto],MATCH("B"&amp;MID($A113,2,99),tblBatidas[Início vinculado],0))&lt;&gt;G113,INDEX(tblBatidas[Atividade],MATCH("B"&amp;MID($A113,2,99),tblBatidas[Início vinculado],0))&lt;&gt;H113),"REVISAR","CONCLUÍDO")))</f>
        <v>CONCLUÍDO</v>
      </c>
      <c r="R113">
        <f>IF(Q113&lt;&gt;"CONCLUÍDO",0,IF(COUNTIFS($E$5:E113,E113,$B$5:B113,B113,$Q$5:Q113,"CONCLUÍDO")=1,1,0))</f>
        <v>0</v>
      </c>
      <c r="S113" t="str">
        <f t="shared" si="7"/>
        <v>yyyy-08</v>
      </c>
      <c r="T113">
        <f>IF(E113="","",E113*100000+COUNTIFS(tblRegistros[ID],E113,tblRegistros[Data],"&lt;"&amp;B113)+COUNTIFS(tblRegistros[ID],E113,tblRegistros[Data],B113,tblRegistros[Início],"&lt;"&amp;I113)+COUNTIFS($E$5:E113,E113,$B$5:B113,B113,$I$5:I113,I113))</f>
        <v>100600012</v>
      </c>
    </row>
    <row r="114" spans="1:20">
      <c r="A114" t="s">
        <v>206</v>
      </c>
      <c r="B114" s="2">
        <f>IFERROR(INT(INDEX(tblBatidas[Data e hora],MATCH("B"&amp;MID($A114,2,99),tblBatidas[Batida ID],0))),"")</f>
        <v>46266</v>
      </c>
      <c r="C114" t="str">
        <f t="shared" si="4"/>
        <v>TERÇA-FEIRA</v>
      </c>
      <c r="D114" t="str">
        <f t="shared" si="5"/>
        <v>DIA ÚTIL</v>
      </c>
      <c r="E114">
        <f>IFERROR(INDEX(tblBatidas[ID],MATCH("B"&amp;MID($A114,2,99),tblBatidas[Batida ID],0)),"")</f>
        <v>1003</v>
      </c>
      <c r="F114" t="str">
        <f>IFERROR(INDEX(tblPessoas[Pessoa],MATCH(E114,tblPessoas[ID],0)),"")</f>
        <v>Amanda do Carmo Ribeiro</v>
      </c>
      <c r="G114" t="str">
        <f>IFERROR(INDEX(tblBatidas[Projeto],MATCH("B"&amp;MID($A114,2,99),tblBatidas[Batida ID],0)),"")</f>
        <v>OTEMPO</v>
      </c>
      <c r="H114" t="str">
        <f>IFERROR(INDEX(tblBatidas[Atividade],MATCH("B"&amp;MID($A114,2,99),tblBatidas[Batida ID],0)),"")</f>
        <v>ANÁLISE</v>
      </c>
      <c r="I114" s="4">
        <f>IFERROR(MOD(INDEX(tblBatidas[Data e hora],MATCH("B"&amp;MID($A114,2,99),tblBatidas[Batida ID],0)),1),"")</f>
        <v>0.330740740741021</v>
      </c>
      <c r="J114" s="4">
        <f>IFERROR(MOD(INDEX(tblBatidas[Data e hora],MATCH("B"&amp;MID($A114,2,99),tblBatidas[Início vinculado],0)),1),"")</f>
        <v>0.526053240741021</v>
      </c>
      <c r="K114" s="14">
        <f>IFERROR((INDEX(tblBatidas[Data e hora],MATCH("B"&amp;MID($A114,2,99),tblBatidas[Início vinculado],0))-INDEX(tblBatidas[Data e hora],MATCH("B"&amp;MID($A114,2,99),tblBatidas[Batida ID],0)))*24,"")</f>
        <v>4.6875</v>
      </c>
      <c r="L114" t="str">
        <f>IFERROR(INDEX(tblBatidas[Observação],MATCH("B"&amp;MID($A114,2,99),tblBatidas[Início vinculado],0)),"")</f>
        <v>Plano de processamento</v>
      </c>
      <c r="M114" t="str">
        <f>IFERROR(INDEX(tblPessoas[Base],MATCH(E114,tblPessoas[ID],0)),"")</f>
        <v>Hora</v>
      </c>
      <c r="N114" s="3">
        <f>IFERROR(IF(D114="DIA ÚTIL",INDEX(tblPessoas[R$/h útil],MATCH(E114,tblPessoas[ID],0)),INDEX(tblPessoas[R$/h FDS],MATCH(E114,tblPessoas[ID],0))),0)</f>
        <v>23.5</v>
      </c>
      <c r="O114" s="3">
        <f>IFERROR(INDEX(tblPessoas[R$/diária],MATCH(E114,tblPessoas[ID],0)),0)</f>
        <v>0</v>
      </c>
      <c r="P114" s="3">
        <f t="shared" si="6"/>
        <v>110.15625</v>
      </c>
      <c r="Q114" t="str">
        <f>IF(A114="","",IF(COUNTIF(tblBatidas[Início vinculado],"B"&amp;MID($A114,2,99))=0,"EM ABERTO",IF(OR(COUNTIF(tblBatidas[Início vinculado],"B"&amp;MID($A114,2,99))&gt;1,K114&lt;0,K114&gt;16,INT(INDEX(tblBatidas[Data e hora],MATCH("B"&amp;MID($A114,2,99),tblBatidas[Início vinculado],0)))&lt;&gt;B114,INDEX(tblBatidas[ID],MATCH("B"&amp;MID($A114,2,99),tblBatidas[Início vinculado],0))&lt;&gt;E114,INDEX(tblBatidas[Projeto],MATCH("B"&amp;MID($A114,2,99),tblBatidas[Início vinculado],0))&lt;&gt;G114,INDEX(tblBatidas[Atividade],MATCH("B"&amp;MID($A114,2,99),tblBatidas[Início vinculado],0))&lt;&gt;H114),"REVISAR","CONCLUÍDO")))</f>
        <v>CONCLUÍDO</v>
      </c>
      <c r="R114">
        <f>IF(Q114&lt;&gt;"CONCLUÍDO",0,IF(COUNTIFS($E$5:E114,E114,$B$5:B114,B114,$Q$5:Q114,"CONCLUÍDO")=1,1,0))</f>
        <v>1</v>
      </c>
      <c r="S114" t="str">
        <f t="shared" si="7"/>
        <v>yyyy-09</v>
      </c>
      <c r="T114">
        <f>IF(E114="","",E114*100000+COUNTIFS(tblRegistros[ID],E114,tblRegistros[Data],"&lt;"&amp;B114)+COUNTIFS(tblRegistros[ID],E114,tblRegistros[Data],B114,tblRegistros[Início],"&lt;"&amp;I114)+COUNTIFS($E$5:E114,E114,$B$5:B114,B114,$I$5:I114,I114))</f>
        <v>100300008</v>
      </c>
    </row>
    <row r="115" spans="1:20">
      <c r="A115" t="s">
        <v>207</v>
      </c>
      <c r="B115" s="2">
        <f>IFERROR(INT(INDEX(tblBatidas[Data e hora],MATCH("B"&amp;MID($A115,2,99),tblBatidas[Batida ID],0))),"")</f>
        <v>46266</v>
      </c>
      <c r="C115" t="str">
        <f t="shared" si="4"/>
        <v>TERÇA-FEIRA</v>
      </c>
      <c r="D115" t="str">
        <f t="shared" si="5"/>
        <v>DIA ÚTIL</v>
      </c>
      <c r="E115">
        <f>IFERROR(INDEX(tblBatidas[ID],MATCH("B"&amp;MID($A115,2,99),tblBatidas[Batida ID],0)),"")</f>
        <v>1011</v>
      </c>
      <c r="F115" t="str">
        <f>IFERROR(INDEX(tblPessoas[Pessoa],MATCH(E115,tblPessoas[ID],0)),"")</f>
        <v>Nathalia Arruda</v>
      </c>
      <c r="G115" t="str">
        <f>IFERROR(INDEX(tblBatidas[Projeto],MATCH("B"&amp;MID($A115,2,99),tblBatidas[Batida ID],0)),"")</f>
        <v>OTEMPO</v>
      </c>
      <c r="H115" t="str">
        <f>IFERROR(INDEX(tblBatidas[Atividade],MATCH("B"&amp;MID($A115,2,99),tblBatidas[Batida ID],0)),"")</f>
        <v>ANÁLISE</v>
      </c>
      <c r="I115" s="4">
        <f>IFERROR(MOD(INDEX(tblBatidas[Data e hora],MATCH("B"&amp;MID($A115,2,99),tblBatidas[Batida ID],0)),1),"")</f>
        <v>0.33266203703533392</v>
      </c>
      <c r="J115" s="4">
        <f>IFERROR(MOD(INDEX(tblBatidas[Data e hora],MATCH("B"&amp;MID($A115,2,99),tblBatidas[Início vinculado],0)),1),"")</f>
        <v>0.51715277777839219</v>
      </c>
      <c r="K115" s="14">
        <f>IFERROR((INDEX(tblBatidas[Data e hora],MATCH("B"&amp;MID($A115,2,99),tblBatidas[Início vinculado],0))-INDEX(tblBatidas[Data e hora],MATCH("B"&amp;MID($A115,2,99),tblBatidas[Batida ID],0)))*24,"")</f>
        <v>4.4277777778333984</v>
      </c>
      <c r="L115">
        <f>IFERROR(INDEX(tblBatidas[Observação],MATCH("B"&amp;MID($A115,2,99),tblBatidas[Início vinculado],0)),"")</f>
        <v>0</v>
      </c>
      <c r="M115" t="str">
        <f>IFERROR(INDEX(tblPessoas[Base],MATCH(E115,tblPessoas[ID],0)),"")</f>
        <v>Hora</v>
      </c>
      <c r="N115" s="3">
        <f>IFERROR(IF(D115="DIA ÚTIL",INDEX(tblPessoas[R$/h útil],MATCH(E115,tblPessoas[ID],0)),INDEX(tblPessoas[R$/h FDS],MATCH(E115,tblPessoas[ID],0))),0)</f>
        <v>23.5</v>
      </c>
      <c r="O115" s="3">
        <f>IFERROR(INDEX(tblPessoas[R$/diária],MATCH(E115,tblPessoas[ID],0)),0)</f>
        <v>0</v>
      </c>
      <c r="P115" s="3">
        <f t="shared" si="6"/>
        <v>104.05277777908486</v>
      </c>
      <c r="Q115" t="str">
        <f>IF(A115="","",IF(COUNTIF(tblBatidas[Início vinculado],"B"&amp;MID($A115,2,99))=0,"EM ABERTO",IF(OR(COUNTIF(tblBatidas[Início vinculado],"B"&amp;MID($A115,2,99))&gt;1,K115&lt;0,K115&gt;16,INT(INDEX(tblBatidas[Data e hora],MATCH("B"&amp;MID($A115,2,99),tblBatidas[Início vinculado],0)))&lt;&gt;B115,INDEX(tblBatidas[ID],MATCH("B"&amp;MID($A115,2,99),tblBatidas[Início vinculado],0))&lt;&gt;E115,INDEX(tblBatidas[Projeto],MATCH("B"&amp;MID($A115,2,99),tblBatidas[Início vinculado],0))&lt;&gt;G115,INDEX(tblBatidas[Atividade],MATCH("B"&amp;MID($A115,2,99),tblBatidas[Início vinculado],0))&lt;&gt;H115),"REVISAR","CONCLUÍDO")))</f>
        <v>CONCLUÍDO</v>
      </c>
      <c r="R115">
        <f>IF(Q115&lt;&gt;"CONCLUÍDO",0,IF(COUNTIFS($E$5:E115,E115,$B$5:B115,B115,$Q$5:Q115,"CONCLUÍDO")=1,1,0))</f>
        <v>1</v>
      </c>
      <c r="S115" t="str">
        <f t="shared" si="7"/>
        <v>yyyy-09</v>
      </c>
      <c r="T115">
        <f>IF(E115="","",E115*100000+COUNTIFS(tblRegistros[ID],E115,tblRegistros[Data],"&lt;"&amp;B115)+COUNTIFS(tblRegistros[ID],E115,tblRegistros[Data],B115,tblRegistros[Início],"&lt;"&amp;I115)+COUNTIFS($E$5:E115,E115,$B$5:B115,B115,$I$5:I115,I115))</f>
        <v>101100009</v>
      </c>
    </row>
    <row r="116" spans="1:20">
      <c r="A116" t="s">
        <v>208</v>
      </c>
      <c r="B116" s="2">
        <f>IFERROR(INT(INDEX(tblBatidas[Data e hora],MATCH("B"&amp;MID($A116,2,99),tblBatidas[Batida ID],0))),"")</f>
        <v>46266</v>
      </c>
      <c r="C116" t="str">
        <f t="shared" si="4"/>
        <v>TERÇA-FEIRA</v>
      </c>
      <c r="D116" t="str">
        <f t="shared" si="5"/>
        <v>DIA ÚTIL</v>
      </c>
      <c r="E116">
        <f>IFERROR(INDEX(tblBatidas[ID],MATCH("B"&amp;MID($A116,2,99),tblBatidas[Batida ID],0)),"")</f>
        <v>1001</v>
      </c>
      <c r="F116" t="str">
        <f>IFERROR(INDEX(tblPessoas[Pessoa],MATCH(E116,tblPessoas[ID],0)),"")</f>
        <v>Adriana Pereira dos Santos</v>
      </c>
      <c r="G116" t="str">
        <f>IFERROR(INDEX(tblBatidas[Projeto],MATCH("B"&amp;MID($A116,2,99),tblBatidas[Batida ID],0)),"")</f>
        <v>SICOOB CREDICOM</v>
      </c>
      <c r="H116" t="str">
        <f>IFERROR(INDEX(tblBatidas[Atividade],MATCH("B"&amp;MID($A116,2,99),tblBatidas[Batida ID],0)),"")</f>
        <v>SUPERVISÃO</v>
      </c>
      <c r="I116" s="4">
        <f>IFERROR(MOD(INDEX(tblBatidas[Data e hora],MATCH("B"&amp;MID($A116,2,99),tblBatidas[Batida ID],0)),1),"")</f>
        <v>0.35556712962716119</v>
      </c>
      <c r="J116" s="4">
        <f>IFERROR(MOD(INDEX(tblBatidas[Data e hora],MATCH("B"&amp;MID($A116,2,99),tblBatidas[Início vinculado],0)),1),"")</f>
        <v>0.57634259259066312</v>
      </c>
      <c r="K116" s="14">
        <f>IFERROR((INDEX(tblBatidas[Data e hora],MATCH("B"&amp;MID($A116,2,99),tblBatidas[Início vinculado],0))-INDEX(tblBatidas[Data e hora],MATCH("B"&amp;MID($A116,2,99),tblBatidas[Batida ID],0)))*24,"")</f>
        <v>5.2986111111240461</v>
      </c>
      <c r="L116" t="str">
        <f>IFERROR(INDEX(tblBatidas[Observação],MATCH("B"&amp;MID($A116,2,99),tblBatidas[Início vinculado],0)),"")</f>
        <v>Estou realizando recrutamento para estadual rodada 5, e recrutamento tracking betim.</v>
      </c>
      <c r="M116" t="str">
        <f>IFERROR(INDEX(tblPessoas[Base],MATCH(E116,tblPessoas[ID],0)),"")</f>
        <v>Hora</v>
      </c>
      <c r="N116" s="3">
        <f>IFERROR(IF(D116="DIA ÚTIL",INDEX(tblPessoas[R$/h útil],MATCH(E116,tblPessoas[ID],0)),INDEX(tblPessoas[R$/h FDS],MATCH(E116,tblPessoas[ID],0))),0)</f>
        <v>17</v>
      </c>
      <c r="O116" s="3">
        <f>IFERROR(INDEX(tblPessoas[R$/diária],MATCH(E116,tblPessoas[ID],0)),0)</f>
        <v>0</v>
      </c>
      <c r="P116" s="3">
        <f t="shared" si="6"/>
        <v>90.076388889108784</v>
      </c>
      <c r="Q116" t="str">
        <f>IF(A116="","",IF(COUNTIF(tblBatidas[Início vinculado],"B"&amp;MID($A116,2,99))=0,"EM ABERTO",IF(OR(COUNTIF(tblBatidas[Início vinculado],"B"&amp;MID($A116,2,99))&gt;1,K116&lt;0,K116&gt;16,INT(INDEX(tblBatidas[Data e hora],MATCH("B"&amp;MID($A116,2,99),tblBatidas[Início vinculado],0)))&lt;&gt;B116,INDEX(tblBatidas[ID],MATCH("B"&amp;MID($A116,2,99),tblBatidas[Início vinculado],0))&lt;&gt;E116,INDEX(tblBatidas[Projeto],MATCH("B"&amp;MID($A116,2,99),tblBatidas[Início vinculado],0))&lt;&gt;G116,INDEX(tblBatidas[Atividade],MATCH("B"&amp;MID($A116,2,99),tblBatidas[Início vinculado],0))&lt;&gt;H116),"REVISAR","CONCLUÍDO")))</f>
        <v>CONCLUÍDO</v>
      </c>
      <c r="R116">
        <f>IF(Q116&lt;&gt;"CONCLUÍDO",0,IF(COUNTIFS($E$5:E116,E116,$B$5:B116,B116,$Q$5:Q116,"CONCLUÍDO")=1,1,0))</f>
        <v>1</v>
      </c>
      <c r="S116" t="str">
        <f t="shared" si="7"/>
        <v>yyyy-09</v>
      </c>
      <c r="T116">
        <f>IF(E116="","",E116*100000+COUNTIFS(tblRegistros[ID],E116,tblRegistros[Data],"&lt;"&amp;B116)+COUNTIFS(tblRegistros[ID],E116,tblRegistros[Data],B116,tblRegistros[Início],"&lt;"&amp;I116)+COUNTIFS($E$5:E116,E116,$B$5:B116,B116,$I$5:I116,I116))</f>
        <v>100100012</v>
      </c>
    </row>
    <row r="117" spans="1:20">
      <c r="A117" t="s">
        <v>209</v>
      </c>
      <c r="B117" s="2">
        <f>IFERROR(INT(INDEX(tblBatidas[Data e hora],MATCH("B"&amp;MID($A117,2,99),tblBatidas[Batida ID],0))),"")</f>
        <v>46266</v>
      </c>
      <c r="C117" t="str">
        <f t="shared" si="4"/>
        <v>TERÇA-FEIRA</v>
      </c>
      <c r="D117" t="str">
        <f t="shared" si="5"/>
        <v>DIA ÚTIL</v>
      </c>
      <c r="E117">
        <f>IFERROR(INDEX(tblBatidas[ID],MATCH("B"&amp;MID($A117,2,99),tblBatidas[Batida ID],0)),"")</f>
        <v>1013</v>
      </c>
      <c r="F117" t="str">
        <f>IFERROR(INDEX(tblPessoas[Pessoa],MATCH(E117,tblPessoas[ID],0)),"")</f>
        <v>Rafaela Maria Resende Lara</v>
      </c>
      <c r="G117" t="str">
        <f>IFERROR(INDEX(tblBatidas[Projeto],MATCH("B"&amp;MID($A117,2,99),tblBatidas[Batida ID],0)),"")</f>
        <v>OTEMPO</v>
      </c>
      <c r="H117" t="str">
        <f>IFERROR(INDEX(tblBatidas[Atividade],MATCH("B"&amp;MID($A117,2,99),tblBatidas[Batida ID],0)),"")</f>
        <v>ANÁLISE</v>
      </c>
      <c r="I117" s="4">
        <f>IFERROR(MOD(INDEX(tblBatidas[Data e hora],MATCH("B"&amp;MID($A117,2,99),tblBatidas[Batida ID],0)),1),"")</f>
        <v>0.35760416666744277</v>
      </c>
      <c r="J117" s="4">
        <f>IFERROR(MOD(INDEX(tblBatidas[Data e hora],MATCH("B"&amp;MID($A117,2,99),tblBatidas[Início vinculado],0)),1),"")</f>
        <v>0.48725694444146939</v>
      </c>
      <c r="K117" s="14">
        <f>IFERROR((INDEX(tblBatidas[Data e hora],MATCH("B"&amp;MID($A117,2,99),tblBatidas[Início vinculado],0))-INDEX(tblBatidas[Data e hora],MATCH("B"&amp;MID($A117,2,99),tblBatidas[Batida ID],0)))*24,"")</f>
        <v>3.1116666665766388</v>
      </c>
      <c r="L117" t="str">
        <f>IFERROR(INDEX(tblBatidas[Observação],MATCH("B"&amp;MID($A117,2,99),tblBatidas[Início vinculado],0)),"")</f>
        <v>Plano de processamento</v>
      </c>
      <c r="M117" t="str">
        <f>IFERROR(INDEX(tblPessoas[Base],MATCH(E117,tblPessoas[ID],0)),"")</f>
        <v>Hora</v>
      </c>
      <c r="N117" s="3">
        <f>IFERROR(IF(D117="DIA ÚTIL",INDEX(tblPessoas[R$/h útil],MATCH(E117,tblPessoas[ID],0)),INDEX(tblPessoas[R$/h FDS],MATCH(E117,tblPessoas[ID],0))),0)</f>
        <v>23.5</v>
      </c>
      <c r="O117" s="3">
        <f>IFERROR(INDEX(tblPessoas[R$/diária],MATCH(E117,tblPessoas[ID],0)),0)</f>
        <v>0</v>
      </c>
      <c r="P117" s="3">
        <f t="shared" si="6"/>
        <v>73.124166664551012</v>
      </c>
      <c r="Q117" t="str">
        <f>IF(A117="","",IF(COUNTIF(tblBatidas[Início vinculado],"B"&amp;MID($A117,2,99))=0,"EM ABERTO",IF(OR(COUNTIF(tblBatidas[Início vinculado],"B"&amp;MID($A117,2,99))&gt;1,K117&lt;0,K117&gt;16,INT(INDEX(tblBatidas[Data e hora],MATCH("B"&amp;MID($A117,2,99),tblBatidas[Início vinculado],0)))&lt;&gt;B117,INDEX(tblBatidas[ID],MATCH("B"&amp;MID($A117,2,99),tblBatidas[Início vinculado],0))&lt;&gt;E117,INDEX(tblBatidas[Projeto],MATCH("B"&amp;MID($A117,2,99),tblBatidas[Início vinculado],0))&lt;&gt;G117,INDEX(tblBatidas[Atividade],MATCH("B"&amp;MID($A117,2,99),tblBatidas[Início vinculado],0))&lt;&gt;H117),"REVISAR","CONCLUÍDO")))</f>
        <v>CONCLUÍDO</v>
      </c>
      <c r="R117">
        <f>IF(Q117&lt;&gt;"CONCLUÍDO",0,IF(COUNTIFS($E$5:E117,E117,$B$5:B117,B117,$Q$5:Q117,"CONCLUÍDO")=1,1,0))</f>
        <v>1</v>
      </c>
      <c r="S117" t="str">
        <f t="shared" si="7"/>
        <v>yyyy-09</v>
      </c>
      <c r="T117">
        <f>IF(E117="","",E117*100000+COUNTIFS(tblRegistros[ID],E117,tblRegistros[Data],"&lt;"&amp;B117)+COUNTIFS(tblRegistros[ID],E117,tblRegistros[Data],B117,tblRegistros[Início],"&lt;"&amp;I117)+COUNTIFS($E$5:E117,E117,$B$5:B117,B117,$I$5:I117,I117))</f>
        <v>101300008</v>
      </c>
    </row>
    <row r="118" spans="1:20">
      <c r="A118" t="s">
        <v>210</v>
      </c>
      <c r="B118" s="2">
        <f>IFERROR(INT(INDEX(tblBatidas[Data e hora],MATCH("B"&amp;MID($A118,2,99),tblBatidas[Batida ID],0))),"")</f>
        <v>46266</v>
      </c>
      <c r="C118" t="str">
        <f t="shared" si="4"/>
        <v>TERÇA-FEIRA</v>
      </c>
      <c r="D118" t="str">
        <f t="shared" si="5"/>
        <v>DIA ÚTIL</v>
      </c>
      <c r="E118">
        <f>IFERROR(INDEX(tblBatidas[ID],MATCH("B"&amp;MID($A118,2,99),tblBatidas[Batida ID],0)),"")</f>
        <v>1015</v>
      </c>
      <c r="F118" t="str">
        <f>IFERROR(INDEX(tblPessoas[Pessoa],MATCH(E118,tblPessoas[ID],0)),"")</f>
        <v>Vitor Guilherme Miguel Rocha</v>
      </c>
      <c r="G118" t="str">
        <f>IFERROR(INDEX(tblBatidas[Projeto],MATCH("B"&amp;MID($A118,2,99),tblBatidas[Batida ID],0)),"")</f>
        <v>ADMINISTRATIVO</v>
      </c>
      <c r="H118" t="str">
        <f>IFERROR(INDEX(tblBatidas[Atividade],MATCH("B"&amp;MID($A118,2,99),tblBatidas[Batida ID],0)),"")</f>
        <v>ADMINISTRATIVO</v>
      </c>
      <c r="I118" s="4">
        <f>IFERROR(MOD(INDEX(tblBatidas[Data e hora],MATCH("B"&amp;MID($A118,2,99),tblBatidas[Batida ID],0)),1),"")</f>
        <v>0.3632638888884685</v>
      </c>
      <c r="J118" s="4">
        <f>IFERROR(MOD(INDEX(tblBatidas[Data e hora],MATCH("B"&amp;MID($A118,2,99),tblBatidas[Início vinculado],0)),1),"")</f>
        <v>0.54230324074160308</v>
      </c>
      <c r="K118" s="14">
        <f>IFERROR((INDEX(tblBatidas[Data e hora],MATCH("B"&amp;MID($A118,2,99),tblBatidas[Início vinculado],0))-INDEX(tblBatidas[Data e hora],MATCH("B"&amp;MID($A118,2,99),tblBatidas[Batida ID],0)))*24,"")</f>
        <v>4.2969444444752298</v>
      </c>
      <c r="L118">
        <f>IFERROR(INDEX(tblBatidas[Observação],MATCH("B"&amp;MID($A118,2,99),tblBatidas[Início vinculado],0)),"")</f>
        <v>0</v>
      </c>
      <c r="M118" t="str">
        <f>IFERROR(INDEX(tblPessoas[Base],MATCH(E118,tblPessoas[ID],0)),"")</f>
        <v>Hora</v>
      </c>
      <c r="N118" s="3">
        <f>IFERROR(IF(D118="DIA ÚTIL",INDEX(tblPessoas[R$/h útil],MATCH(E118,tblPessoas[ID],0)),INDEX(tblPessoas[R$/h FDS],MATCH(E118,tblPessoas[ID],0))),0)</f>
        <v>21.5</v>
      </c>
      <c r="O118" s="3">
        <f>IFERROR(INDEX(tblPessoas[R$/diária],MATCH(E118,tblPessoas[ID],0)),0)</f>
        <v>0</v>
      </c>
      <c r="P118" s="3">
        <f t="shared" si="6"/>
        <v>92.384305556217441</v>
      </c>
      <c r="Q118" t="str">
        <f>IF(A118="","",IF(COUNTIF(tblBatidas[Início vinculado],"B"&amp;MID($A118,2,99))=0,"EM ABERTO",IF(OR(COUNTIF(tblBatidas[Início vinculado],"B"&amp;MID($A118,2,99))&gt;1,K118&lt;0,K118&gt;16,INT(INDEX(tblBatidas[Data e hora],MATCH("B"&amp;MID($A118,2,99),tblBatidas[Início vinculado],0)))&lt;&gt;B118,INDEX(tblBatidas[ID],MATCH("B"&amp;MID($A118,2,99),tblBatidas[Início vinculado],0))&lt;&gt;E118,INDEX(tblBatidas[Projeto],MATCH("B"&amp;MID($A118,2,99),tblBatidas[Início vinculado],0))&lt;&gt;G118,INDEX(tblBatidas[Atividade],MATCH("B"&amp;MID($A118,2,99),tblBatidas[Início vinculado],0))&lt;&gt;H118),"REVISAR","CONCLUÍDO")))</f>
        <v>CONCLUÍDO</v>
      </c>
      <c r="R118">
        <f>IF(Q118&lt;&gt;"CONCLUÍDO",0,IF(COUNTIFS($E$5:E118,E118,$B$5:B118,B118,$Q$5:Q118,"CONCLUÍDO")=1,1,0))</f>
        <v>1</v>
      </c>
      <c r="S118" t="str">
        <f t="shared" si="7"/>
        <v>yyyy-09</v>
      </c>
      <c r="T118">
        <f>IF(E118="","",E118*100000+COUNTIFS(tblRegistros[ID],E118,tblRegistros[Data],"&lt;"&amp;B118)+COUNTIFS(tblRegistros[ID],E118,tblRegistros[Data],B118,tblRegistros[Início],"&lt;"&amp;I118)+COUNTIFS($E$5:E118,E118,$B$5:B118,B118,$I$5:I118,I118))</f>
        <v>101500015</v>
      </c>
    </row>
    <row r="119" spans="1:20">
      <c r="A119" t="s">
        <v>211</v>
      </c>
      <c r="B119" s="2">
        <f>IFERROR(INT(INDEX(tblBatidas[Data e hora],MATCH("B"&amp;MID($A119,2,99),tblBatidas[Batida ID],0))),"")</f>
        <v>46266</v>
      </c>
      <c r="C119" t="str">
        <f t="shared" si="4"/>
        <v>TERÇA-FEIRA</v>
      </c>
      <c r="D119" t="str">
        <f t="shared" si="5"/>
        <v>DIA ÚTIL</v>
      </c>
      <c r="E119">
        <f>IFERROR(INDEX(tblBatidas[ID],MATCH("B"&amp;MID($A119,2,99),tblBatidas[Batida ID],0)),"")</f>
        <v>1002</v>
      </c>
      <c r="F119" t="str">
        <f>IFERROR(INDEX(tblPessoas[Pessoa],MATCH(E119,tblPessoas[ID],0)),"")</f>
        <v>Alex de Almeida Mariano</v>
      </c>
      <c r="G119" t="str">
        <f>IFERROR(INDEX(tblBatidas[Projeto],MATCH("B"&amp;MID($A119,2,99),tblBatidas[Batida ID],0)),"")</f>
        <v>CFI / ACCION</v>
      </c>
      <c r="H119" t="str">
        <f>IFERROR(INDEX(tblBatidas[Atividade],MATCH("B"&amp;MID($A119,2,99),tblBatidas[Batida ID],0)),"")</f>
        <v>ANÁLISE</v>
      </c>
      <c r="I119" s="4">
        <f>IFERROR(MOD(INDEX(tblBatidas[Data e hora],MATCH("B"&amp;MID($A119,2,99),tblBatidas[Batida ID],0)),1),"")</f>
        <v>0.37123842592700385</v>
      </c>
      <c r="J119" s="4">
        <f>IFERROR(MOD(INDEX(tblBatidas[Data e hora],MATCH("B"&amp;MID($A119,2,99),tblBatidas[Início vinculado],0)),1),"")</f>
        <v>0.75225694444088731</v>
      </c>
      <c r="K119" s="14">
        <f>IFERROR((INDEX(tblBatidas[Data e hora],MATCH("B"&amp;MID($A119,2,99),tblBatidas[Início vinculado],0))-INDEX(tblBatidas[Data e hora],MATCH("B"&amp;MID($A119,2,99),tblBatidas[Batida ID],0)))*24,"")</f>
        <v>9.1444444443332031</v>
      </c>
      <c r="L119">
        <f>IFERROR(INDEX(tblBatidas[Observação],MATCH("B"&amp;MID($A119,2,99),tblBatidas[Início vinculado],0)),"")</f>
        <v>0</v>
      </c>
      <c r="M119" t="str">
        <f>IFERROR(INDEX(tblPessoas[Base],MATCH(E119,tblPessoas[ID],0)),"")</f>
        <v>Hora</v>
      </c>
      <c r="N119" s="3">
        <f>IFERROR(IF(D119="DIA ÚTIL",INDEX(tblPessoas[R$/h útil],MATCH(E119,tblPessoas[ID],0)),INDEX(tblPessoas[R$/h FDS],MATCH(E119,tblPessoas[ID],0))),0)</f>
        <v>23.5</v>
      </c>
      <c r="O119" s="3">
        <f>IFERROR(INDEX(tblPessoas[R$/diária],MATCH(E119,tblPessoas[ID],0)),0)</f>
        <v>0</v>
      </c>
      <c r="P119" s="3">
        <f t="shared" si="6"/>
        <v>214.89444444183027</v>
      </c>
      <c r="Q119" t="str">
        <f>IF(A119="","",IF(COUNTIF(tblBatidas[Início vinculado],"B"&amp;MID($A119,2,99))=0,"EM ABERTO",IF(OR(COUNTIF(tblBatidas[Início vinculado],"B"&amp;MID($A119,2,99))&gt;1,K119&lt;0,K119&gt;16,INT(INDEX(tblBatidas[Data e hora],MATCH("B"&amp;MID($A119,2,99),tblBatidas[Início vinculado],0)))&lt;&gt;B119,INDEX(tblBatidas[ID],MATCH("B"&amp;MID($A119,2,99),tblBatidas[Início vinculado],0))&lt;&gt;E119,INDEX(tblBatidas[Projeto],MATCH("B"&amp;MID($A119,2,99),tblBatidas[Início vinculado],0))&lt;&gt;G119,INDEX(tblBatidas[Atividade],MATCH("B"&amp;MID($A119,2,99),tblBatidas[Início vinculado],0))&lt;&gt;H119),"REVISAR","CONCLUÍDO")))</f>
        <v>CONCLUÍDO</v>
      </c>
      <c r="R119">
        <f>IF(Q119&lt;&gt;"CONCLUÍDO",0,IF(COUNTIFS($E$5:E119,E119,$B$5:B119,B119,$Q$5:Q119,"CONCLUÍDO")=1,1,0))</f>
        <v>1</v>
      </c>
      <c r="S119" t="str">
        <f t="shared" si="7"/>
        <v>yyyy-09</v>
      </c>
      <c r="T119">
        <f>IF(E119="","",E119*100000+COUNTIFS(tblRegistros[ID],E119,tblRegistros[Data],"&lt;"&amp;B119)+COUNTIFS(tblRegistros[ID],E119,tblRegistros[Data],B119,tblRegistros[Início],"&lt;"&amp;I119)+COUNTIFS($E$5:E119,E119,$B$5:B119,B119,$I$5:I119,I119))</f>
        <v>100200005</v>
      </c>
    </row>
    <row r="120" spans="1:20">
      <c r="A120" t="s">
        <v>212</v>
      </c>
      <c r="B120" s="2">
        <f>IFERROR(INT(INDEX(tblBatidas[Data e hora],MATCH("B"&amp;MID($A120,2,99),tblBatidas[Batida ID],0))),"")</f>
        <v>46266</v>
      </c>
      <c r="C120" t="str">
        <f t="shared" si="4"/>
        <v>TERÇA-FEIRA</v>
      </c>
      <c r="D120" t="str">
        <f t="shared" si="5"/>
        <v>DIA ÚTIL</v>
      </c>
      <c r="E120">
        <f>IFERROR(INDEX(tblBatidas[ID],MATCH("B"&amp;MID($A120,2,99),tblBatidas[Batida ID],0)),"")</f>
        <v>1006</v>
      </c>
      <c r="F120" t="str">
        <f>IFERROR(INDEX(tblPessoas[Pessoa],MATCH(E120,tblPessoas[ID],0)),"")</f>
        <v>Eliane dos Santos Oliveira</v>
      </c>
      <c r="G120" t="str">
        <f>IFERROR(INDEX(tblBatidas[Projeto],MATCH("B"&amp;MID($A120,2,99),tblBatidas[Batida ID],0)),"")</f>
        <v>OTEMPO</v>
      </c>
      <c r="H120" t="str">
        <f>IFERROR(INDEX(tblBatidas[Atividade],MATCH("B"&amp;MID($A120,2,99),tblBatidas[Batida ID],0)),"")</f>
        <v>CHECAGEM</v>
      </c>
      <c r="I120" s="4">
        <f>IFERROR(MOD(INDEX(tblBatidas[Data e hora],MATCH("B"&amp;MID($A120,2,99),tblBatidas[Batida ID],0)),1),"")</f>
        <v>0.377581018517958</v>
      </c>
      <c r="J120" s="4">
        <f>IFERROR(MOD(INDEX(tblBatidas[Data e hora],MATCH("B"&amp;MID($A120,2,99),tblBatidas[Início vinculado],0)),1),"")</f>
        <v>0.53084490740729962</v>
      </c>
      <c r="K120" s="14">
        <f>IFERROR((INDEX(tblBatidas[Data e hora],MATCH("B"&amp;MID($A120,2,99),tblBatidas[Início vinculado],0))-INDEX(tblBatidas[Data e hora],MATCH("B"&amp;MID($A120,2,99),tblBatidas[Batida ID],0)))*24,"")</f>
        <v>3.6783333333441988</v>
      </c>
      <c r="L120" t="str">
        <f>IFERROR(INDEX(tblBatidas[Observação],MATCH("B"&amp;MID($A120,2,99),tblBatidas[Início vinculado],0)),"")</f>
        <v>checagem Otempo</v>
      </c>
      <c r="M120" t="str">
        <f>IFERROR(INDEX(tblPessoas[Base],MATCH(E120,tblPessoas[ID],0)),"")</f>
        <v>Hora</v>
      </c>
      <c r="N120" s="3">
        <f>IFERROR(IF(D120="DIA ÚTIL",INDEX(tblPessoas[R$/h útil],MATCH(E120,tblPessoas[ID],0)),INDEX(tblPessoas[R$/h FDS],MATCH(E120,tblPessoas[ID],0))),0)</f>
        <v>14</v>
      </c>
      <c r="O120" s="3">
        <f>IFERROR(INDEX(tblPessoas[R$/diária],MATCH(E120,tblPessoas[ID],0)),0)</f>
        <v>0</v>
      </c>
      <c r="P120" s="3">
        <f t="shared" si="6"/>
        <v>51.496666666818783</v>
      </c>
      <c r="Q120" t="str">
        <f>IF(A120="","",IF(COUNTIF(tblBatidas[Início vinculado],"B"&amp;MID($A120,2,99))=0,"EM ABERTO",IF(OR(COUNTIF(tblBatidas[Início vinculado],"B"&amp;MID($A120,2,99))&gt;1,K120&lt;0,K120&gt;16,INT(INDEX(tblBatidas[Data e hora],MATCH("B"&amp;MID($A120,2,99),tblBatidas[Início vinculado],0)))&lt;&gt;B120,INDEX(tblBatidas[ID],MATCH("B"&amp;MID($A120,2,99),tblBatidas[Início vinculado],0))&lt;&gt;E120,INDEX(tblBatidas[Projeto],MATCH("B"&amp;MID($A120,2,99),tblBatidas[Início vinculado],0))&lt;&gt;G120,INDEX(tblBatidas[Atividade],MATCH("B"&amp;MID($A120,2,99),tblBatidas[Início vinculado],0))&lt;&gt;H120),"REVISAR","CONCLUÍDO")))</f>
        <v>CONCLUÍDO</v>
      </c>
      <c r="R120">
        <f>IF(Q120&lt;&gt;"CONCLUÍDO",0,IF(COUNTIFS($E$5:E120,E120,$B$5:B120,B120,$Q$5:Q120,"CONCLUÍDO")=1,1,0))</f>
        <v>1</v>
      </c>
      <c r="S120" t="str">
        <f t="shared" si="7"/>
        <v>yyyy-09</v>
      </c>
      <c r="T120">
        <f>IF(E120="","",E120*100000+COUNTIFS(tblRegistros[ID],E120,tblRegistros[Data],"&lt;"&amp;B120)+COUNTIFS(tblRegistros[ID],E120,tblRegistros[Data],B120,tblRegistros[Início],"&lt;"&amp;I120)+COUNTIFS($E$5:E120,E120,$B$5:B120,B120,$I$5:I120,I120))</f>
        <v>100600013</v>
      </c>
    </row>
    <row r="121" spans="1:20">
      <c r="A121" t="s">
        <v>213</v>
      </c>
      <c r="B121" s="2">
        <f>IFERROR(INT(INDEX(tblBatidas[Data e hora],MATCH("B"&amp;MID($A121,2,99),tblBatidas[Batida ID],0))),"")</f>
        <v>46266</v>
      </c>
      <c r="C121" t="str">
        <f t="shared" si="4"/>
        <v>TERÇA-FEIRA</v>
      </c>
      <c r="D121" t="str">
        <f t="shared" si="5"/>
        <v>DIA ÚTIL</v>
      </c>
      <c r="E121">
        <f>IFERROR(INDEX(tblBatidas[ID],MATCH("B"&amp;MID($A121,2,99),tblBatidas[Batida ID],0)),"")</f>
        <v>1016</v>
      </c>
      <c r="F121" t="str">
        <f>IFERROR(INDEX(tblPessoas[Pessoa],MATCH(E121,tblPessoas[ID],0)),"")</f>
        <v>Ana Luisa Nardin</v>
      </c>
      <c r="G121" t="str">
        <f>IFERROR(INDEX(tblBatidas[Projeto],MATCH("B"&amp;MID($A121,2,99),tblBatidas[Batida ID],0)),"")</f>
        <v>CFI / ACCION</v>
      </c>
      <c r="H121" t="str">
        <f>IFERROR(INDEX(tblBatidas[Atividade],MATCH("B"&amp;MID($A121,2,99),tblBatidas[Batida ID],0)),"")</f>
        <v>ANÁLISE</v>
      </c>
      <c r="I121" s="4">
        <f>IFERROR(MOD(INDEX(tblBatidas[Data e hora],MATCH("B"&amp;MID($A121,2,99),tblBatidas[Batida ID],0)),1),"")</f>
        <v>0.39136574073927477</v>
      </c>
      <c r="J121" s="4">
        <f>IFERROR(MOD(INDEX(tblBatidas[Data e hora],MATCH("B"&amp;MID($A121,2,99),tblBatidas[Início vinculado],0)),1),"")</f>
        <v>0.52224537036818219</v>
      </c>
      <c r="K121" s="14">
        <f>IFERROR((INDEX(tblBatidas[Data e hora],MATCH("B"&amp;MID($A121,2,99),tblBatidas[Início vinculado],0))-INDEX(tblBatidas[Data e hora],MATCH("B"&amp;MID($A121,2,99),tblBatidas[Batida ID],0)))*24,"")</f>
        <v>3.1411111110937782</v>
      </c>
      <c r="L121">
        <f>IFERROR(INDEX(tblBatidas[Observação],MATCH("B"&amp;MID($A121,2,99),tblBatidas[Início vinculado],0)),"")</f>
        <v>0</v>
      </c>
      <c r="M121" t="str">
        <f>IFERROR(INDEX(tblPessoas[Base],MATCH(E121,tblPessoas[ID],0)),"")</f>
        <v>Hora</v>
      </c>
      <c r="N121" s="3">
        <f>IFERROR(IF(D121="DIA ÚTIL",INDEX(tblPessoas[R$/h útil],MATCH(E121,tblPessoas[ID],0)),INDEX(tblPessoas[R$/h FDS],MATCH(E121,tblPessoas[ID],0))),0)</f>
        <v>23.5</v>
      </c>
      <c r="O121" s="3">
        <f>IFERROR(INDEX(tblPessoas[R$/diária],MATCH(E121,tblPessoas[ID],0)),0)</f>
        <v>0</v>
      </c>
      <c r="P121" s="3">
        <f t="shared" si="6"/>
        <v>73.816111110703787</v>
      </c>
      <c r="Q121" t="str">
        <f>IF(A121="","",IF(COUNTIF(tblBatidas[Início vinculado],"B"&amp;MID($A121,2,99))=0,"EM ABERTO",IF(OR(COUNTIF(tblBatidas[Início vinculado],"B"&amp;MID($A121,2,99))&gt;1,K121&lt;0,K121&gt;16,INT(INDEX(tblBatidas[Data e hora],MATCH("B"&amp;MID($A121,2,99),tblBatidas[Início vinculado],0)))&lt;&gt;B121,INDEX(tblBatidas[ID],MATCH("B"&amp;MID($A121,2,99),tblBatidas[Início vinculado],0))&lt;&gt;E121,INDEX(tblBatidas[Projeto],MATCH("B"&amp;MID($A121,2,99),tblBatidas[Início vinculado],0))&lt;&gt;G121,INDEX(tblBatidas[Atividade],MATCH("B"&amp;MID($A121,2,99),tblBatidas[Início vinculado],0))&lt;&gt;H121),"REVISAR","CONCLUÍDO")))</f>
        <v>CONCLUÍDO</v>
      </c>
      <c r="R121">
        <f>IF(Q121&lt;&gt;"CONCLUÍDO",0,IF(COUNTIFS($E$5:E121,E121,$B$5:B121,B121,$Q$5:Q121,"CONCLUÍDO")=1,1,0))</f>
        <v>1</v>
      </c>
      <c r="S121" t="str">
        <f t="shared" si="7"/>
        <v>yyyy-09</v>
      </c>
      <c r="T121">
        <f>IF(E121="","",E121*100000+COUNTIFS(tblRegistros[ID],E121,tblRegistros[Data],"&lt;"&amp;B121)+COUNTIFS(tblRegistros[ID],E121,tblRegistros[Data],B121,tblRegistros[Início],"&lt;"&amp;I121)+COUNTIFS($E$5:E121,E121,$B$5:B121,B121,$I$5:I121,I121))</f>
        <v>101600015</v>
      </c>
    </row>
    <row r="122" spans="1:20">
      <c r="A122" t="s">
        <v>214</v>
      </c>
      <c r="B122" s="2">
        <f>IFERROR(INT(INDEX(tblBatidas[Data e hora],MATCH("B"&amp;MID($A122,2,99),tblBatidas[Batida ID],0))),"")</f>
        <v>46266</v>
      </c>
      <c r="C122" t="str">
        <f t="shared" si="4"/>
        <v>TERÇA-FEIRA</v>
      </c>
      <c r="D122" t="str">
        <f t="shared" si="5"/>
        <v>DIA ÚTIL</v>
      </c>
      <c r="E122">
        <f>IFERROR(INDEX(tblBatidas[ID],MATCH("B"&amp;MID($A122,2,99),tblBatidas[Batida ID],0)),"")</f>
        <v>1012</v>
      </c>
      <c r="F122" t="str">
        <f>IFERROR(INDEX(tblPessoas[Pessoa],MATCH(E122,tblPessoas[ID],0)),"")</f>
        <v>Nelma Lucia dos S. B. Brandão</v>
      </c>
      <c r="G122" t="str">
        <f>IFERROR(INDEX(tblBatidas[Projeto],MATCH("B"&amp;MID($A122,2,99),tblBatidas[Batida ID],0)),"")</f>
        <v>OTEMPO</v>
      </c>
      <c r="H122" t="str">
        <f>IFERROR(INDEX(tblBatidas[Atividade],MATCH("B"&amp;MID($A122,2,99),tblBatidas[Batida ID],0)),"")</f>
        <v>SUPERVISÃO</v>
      </c>
      <c r="I122" s="4">
        <f>IFERROR(MOD(INDEX(tblBatidas[Data e hora],MATCH("B"&amp;MID($A122,2,99),tblBatidas[Batida ID],0)),1),"")</f>
        <v>0.39178240740875481</v>
      </c>
      <c r="J122" s="4" t="str">
        <f>IFERROR(MOD(INDEX(tblBatidas[Data e hora],MATCH("B"&amp;MID($A122,2,99),tblBatidas[Início vinculado],0)),1),"")</f>
        <v/>
      </c>
      <c r="K122" s="14" t="str">
        <f>IFERROR((INDEX(tblBatidas[Data e hora],MATCH("B"&amp;MID($A122,2,99),tblBatidas[Início vinculado],0))-INDEX(tblBatidas[Data e hora],MATCH("B"&amp;MID($A122,2,99),tblBatidas[Batida ID],0)))*24,"")</f>
        <v/>
      </c>
      <c r="L122" t="str">
        <f>IFERROR(INDEX(tblBatidas[Observação],MATCH("B"&amp;MID($A122,2,99),tblBatidas[Início vinculado],0)),"")</f>
        <v/>
      </c>
      <c r="M122" t="str">
        <f>IFERROR(INDEX(tblPessoas[Base],MATCH(E122,tblPessoas[ID],0)),"")</f>
        <v>Diária</v>
      </c>
      <c r="N122" s="3">
        <f>IFERROR(IF(D122="DIA ÚTIL",INDEX(tblPessoas[R$/h útil],MATCH(E122,tblPessoas[ID],0)),INDEX(tblPessoas[R$/h FDS],MATCH(E122,tblPessoas[ID],0))),0)</f>
        <v>0</v>
      </c>
      <c r="O122" s="3">
        <f>IFERROR(INDEX(tblPessoas[R$/diária],MATCH(E122,tblPessoas[ID],0)),0)</f>
        <v>222.72</v>
      </c>
      <c r="P122" s="3" t="str">
        <f t="shared" si="6"/>
        <v/>
      </c>
      <c r="Q122" t="str">
        <f>IF(A122="","",IF(COUNTIF(tblBatidas[Início vinculado],"B"&amp;MID($A122,2,99))=0,"EM ABERTO",IF(OR(COUNTIF(tblBatidas[Início vinculado],"B"&amp;MID($A122,2,99))&gt;1,K122&lt;0,K122&gt;16,INT(INDEX(tblBatidas[Data e hora],MATCH("B"&amp;MID($A122,2,99),tblBatidas[Início vinculado],0)))&lt;&gt;B122,INDEX(tblBatidas[ID],MATCH("B"&amp;MID($A122,2,99),tblBatidas[Início vinculado],0))&lt;&gt;E122,INDEX(tblBatidas[Projeto],MATCH("B"&amp;MID($A122,2,99),tblBatidas[Início vinculado],0))&lt;&gt;G122,INDEX(tblBatidas[Atividade],MATCH("B"&amp;MID($A122,2,99),tblBatidas[Início vinculado],0))&lt;&gt;H122),"REVISAR","CONCLUÍDO")))</f>
        <v>EM ABERTO</v>
      </c>
      <c r="R122">
        <f>IF(Q122&lt;&gt;"CONCLUÍDO",0,IF(COUNTIFS($E$5:E122,E122,$B$5:B122,B122,$Q$5:Q122,"CONCLUÍDO")=1,1,0))</f>
        <v>0</v>
      </c>
      <c r="S122" t="str">
        <f t="shared" si="7"/>
        <v>yyyy-09</v>
      </c>
      <c r="T122">
        <f>IF(E122="","",E122*100000+COUNTIFS(tblRegistros[ID],E122,tblRegistros[Data],"&lt;"&amp;B122)+COUNTIFS(tblRegistros[ID],E122,tblRegistros[Data],B122,tblRegistros[Início],"&lt;"&amp;I122)+COUNTIFS($E$5:E122,E122,$B$5:B122,B122,$I$5:I122,I122))</f>
        <v>101200017</v>
      </c>
    </row>
    <row r="123" spans="1:20">
      <c r="A123" t="s">
        <v>215</v>
      </c>
      <c r="B123" s="2">
        <f>IFERROR(INT(INDEX(tblBatidas[Data e hora],MATCH("B"&amp;MID($A123,2,99),tblBatidas[Batida ID],0))),"")</f>
        <v>46266</v>
      </c>
      <c r="C123" t="str">
        <f t="shared" si="4"/>
        <v>TERÇA-FEIRA</v>
      </c>
      <c r="D123" t="str">
        <f t="shared" si="5"/>
        <v>DIA ÚTIL</v>
      </c>
      <c r="E123">
        <f>IFERROR(INDEX(tblBatidas[ID],MATCH("B"&amp;MID($A123,2,99),tblBatidas[Batida ID],0)),"")</f>
        <v>1014</v>
      </c>
      <c r="F123" t="str">
        <f>IFERROR(INDEX(tblPessoas[Pessoa],MATCH(E123,tblPessoas[ID],0)),"")</f>
        <v>Robert Filipe Orlando de Souza</v>
      </c>
      <c r="G123" t="str">
        <f>IFERROR(INDEX(tblBatidas[Projeto],MATCH("B"&amp;MID($A123,2,99),tblBatidas[Batida ID],0)),"")</f>
        <v>SICOOB CREDICOM</v>
      </c>
      <c r="H123" t="str">
        <f>IFERROR(INDEX(tblBatidas[Atividade],MATCH("B"&amp;MID($A123,2,99),tblBatidas[Batida ID],0)),"")</f>
        <v>CHECAGEM</v>
      </c>
      <c r="I123" s="4">
        <f>IFERROR(MOD(INDEX(tblBatidas[Data e hora],MATCH("B"&amp;MID($A123,2,99),tblBatidas[Batida ID],0)),1),"")</f>
        <v>0.40050925925606862</v>
      </c>
      <c r="J123" s="4">
        <f>IFERROR(MOD(INDEX(tblBatidas[Data e hora],MATCH("B"&amp;MID($A123,2,99),tblBatidas[Início vinculado],0)),1),"")</f>
        <v>0.5246064814782585</v>
      </c>
      <c r="K123" s="14">
        <f>IFERROR((INDEX(tblBatidas[Data e hora],MATCH("B"&amp;MID($A123,2,99),tblBatidas[Início vinculado],0))-INDEX(tblBatidas[Data e hora],MATCH("B"&amp;MID($A123,2,99),tblBatidas[Batida ID],0)))*24,"")</f>
        <v>2.9783333333325572</v>
      </c>
      <c r="L123">
        <f>IFERROR(INDEX(tblBatidas[Observação],MATCH("B"&amp;MID($A123,2,99),tblBatidas[Início vinculado],0)),"")</f>
        <v>0</v>
      </c>
      <c r="M123" t="str">
        <f>IFERROR(INDEX(tblPessoas[Base],MATCH(E123,tblPessoas[ID],0)),"")</f>
        <v>Hora</v>
      </c>
      <c r="N123" s="3">
        <f>IFERROR(IF(D123="DIA ÚTIL",INDEX(tblPessoas[R$/h útil],MATCH(E123,tblPessoas[ID],0)),INDEX(tblPessoas[R$/h FDS],MATCH(E123,tblPessoas[ID],0))),0)</f>
        <v>21.5</v>
      </c>
      <c r="O123" s="3">
        <f>IFERROR(INDEX(tblPessoas[R$/diária],MATCH(E123,tblPessoas[ID],0)),0)</f>
        <v>0</v>
      </c>
      <c r="P123" s="3">
        <f t="shared" si="6"/>
        <v>64.03416666664998</v>
      </c>
      <c r="Q123" t="str">
        <f>IF(A123="","",IF(COUNTIF(tblBatidas[Início vinculado],"B"&amp;MID($A123,2,99))=0,"EM ABERTO",IF(OR(COUNTIF(tblBatidas[Início vinculado],"B"&amp;MID($A123,2,99))&gt;1,K123&lt;0,K123&gt;16,INT(INDEX(tblBatidas[Data e hora],MATCH("B"&amp;MID($A123,2,99),tblBatidas[Início vinculado],0)))&lt;&gt;B123,INDEX(tblBatidas[ID],MATCH("B"&amp;MID($A123,2,99),tblBatidas[Início vinculado],0))&lt;&gt;E123,INDEX(tblBatidas[Projeto],MATCH("B"&amp;MID($A123,2,99),tblBatidas[Início vinculado],0))&lt;&gt;G123,INDEX(tblBatidas[Atividade],MATCH("B"&amp;MID($A123,2,99),tblBatidas[Início vinculado],0))&lt;&gt;H123),"REVISAR","CONCLUÍDO")))</f>
        <v>CONCLUÍDO</v>
      </c>
      <c r="R123">
        <f>IF(Q123&lt;&gt;"CONCLUÍDO",0,IF(COUNTIFS($E$5:E123,E123,$B$5:B123,B123,$Q$5:Q123,"CONCLUÍDO")=1,1,0))</f>
        <v>1</v>
      </c>
      <c r="S123" t="str">
        <f t="shared" si="7"/>
        <v>yyyy-09</v>
      </c>
      <c r="T123">
        <f>IF(E123="","",E123*100000+COUNTIFS(tblRegistros[ID],E123,tblRegistros[Data],"&lt;"&amp;B123)+COUNTIFS(tblRegistros[ID],E123,tblRegistros[Data],B123,tblRegistros[Início],"&lt;"&amp;I123)+COUNTIFS($E$5:E123,E123,$B$5:B123,B123,$I$5:I123,I123))</f>
        <v>101400012</v>
      </c>
    </row>
    <row r="124" spans="1:20">
      <c r="A124" t="s">
        <v>216</v>
      </c>
      <c r="B124" s="2">
        <f>IFERROR(INT(INDEX(tblBatidas[Data e hora],MATCH("B"&amp;MID($A124,2,99),tblBatidas[Batida ID],0))),"")</f>
        <v>46266</v>
      </c>
      <c r="C124" t="str">
        <f t="shared" si="4"/>
        <v>TERÇA-FEIRA</v>
      </c>
      <c r="D124" t="str">
        <f t="shared" si="5"/>
        <v>DIA ÚTIL</v>
      </c>
      <c r="E124">
        <f>IFERROR(INDEX(tblBatidas[ID],MATCH("B"&amp;MID($A124,2,99),tblBatidas[Batida ID],0)),"")</f>
        <v>1013</v>
      </c>
      <c r="F124" t="str">
        <f>IFERROR(INDEX(tblPessoas[Pessoa],MATCH(E124,tblPessoas[ID],0)),"")</f>
        <v>Rafaela Maria Resende Lara</v>
      </c>
      <c r="G124" t="str">
        <f>IFERROR(INDEX(tblBatidas[Projeto],MATCH("B"&amp;MID($A124,2,99),tblBatidas[Batida ID],0)),"")</f>
        <v>OTEMPO</v>
      </c>
      <c r="H124" t="str">
        <f>IFERROR(INDEX(tblBatidas[Atividade],MATCH("B"&amp;MID($A124,2,99),tblBatidas[Batida ID],0)),"")</f>
        <v>ANÁLISE</v>
      </c>
      <c r="I124" s="4">
        <f>IFERROR(MOD(INDEX(tblBatidas[Data e hora],MATCH("B"&amp;MID($A124,2,99),tblBatidas[Batida ID],0)),1),"")</f>
        <v>0.52109953703620704</v>
      </c>
      <c r="J124" s="4" t="str">
        <f>IFERROR(MOD(INDEX(tblBatidas[Data e hora],MATCH("B"&amp;MID($A124,2,99),tblBatidas[Início vinculado],0)),1),"")</f>
        <v/>
      </c>
      <c r="K124" s="14" t="str">
        <f>IFERROR((INDEX(tblBatidas[Data e hora],MATCH("B"&amp;MID($A124,2,99),tblBatidas[Início vinculado],0))-INDEX(tblBatidas[Data e hora],MATCH("B"&amp;MID($A124,2,99),tblBatidas[Batida ID],0)))*24,"")</f>
        <v/>
      </c>
      <c r="L124" t="str">
        <f>IFERROR(INDEX(tblBatidas[Observação],MATCH("B"&amp;MID($A124,2,99),tblBatidas[Início vinculado],0)),"")</f>
        <v/>
      </c>
      <c r="M124" t="str">
        <f>IFERROR(INDEX(tblPessoas[Base],MATCH(E124,tblPessoas[ID],0)),"")</f>
        <v>Hora</v>
      </c>
      <c r="N124" s="3">
        <f>IFERROR(IF(D124="DIA ÚTIL",INDEX(tblPessoas[R$/h útil],MATCH(E124,tblPessoas[ID],0)),INDEX(tblPessoas[R$/h FDS],MATCH(E124,tblPessoas[ID],0))),0)</f>
        <v>23.5</v>
      </c>
      <c r="O124" s="3">
        <f>IFERROR(INDEX(tblPessoas[R$/diária],MATCH(E124,tblPessoas[ID],0)),0)</f>
        <v>0</v>
      </c>
      <c r="P124" s="3" t="str">
        <f t="shared" si="6"/>
        <v/>
      </c>
      <c r="Q124" t="str">
        <f>IF(A124="","",IF(COUNTIF(tblBatidas[Início vinculado],"B"&amp;MID($A124,2,99))=0,"EM ABERTO",IF(OR(COUNTIF(tblBatidas[Início vinculado],"B"&amp;MID($A124,2,99))&gt;1,K124&lt;0,K124&gt;16,INT(INDEX(tblBatidas[Data e hora],MATCH("B"&amp;MID($A124,2,99),tblBatidas[Início vinculado],0)))&lt;&gt;B124,INDEX(tblBatidas[ID],MATCH("B"&amp;MID($A124,2,99),tblBatidas[Início vinculado],0))&lt;&gt;E124,INDEX(tblBatidas[Projeto],MATCH("B"&amp;MID($A124,2,99),tblBatidas[Início vinculado],0))&lt;&gt;G124,INDEX(tblBatidas[Atividade],MATCH("B"&amp;MID($A124,2,99),tblBatidas[Início vinculado],0))&lt;&gt;H124),"REVISAR","CONCLUÍDO")))</f>
        <v>EM ABERTO</v>
      </c>
      <c r="R124">
        <f>IF(Q124&lt;&gt;"CONCLUÍDO",0,IF(COUNTIFS($E$5:E124,E124,$B$5:B124,B124,$Q$5:Q124,"CONCLUÍDO")=1,1,0))</f>
        <v>0</v>
      </c>
      <c r="S124" t="str">
        <f t="shared" si="7"/>
        <v>yyyy-09</v>
      </c>
      <c r="T124">
        <f>IF(E124="","",E124*100000+COUNTIFS(tblRegistros[ID],E124,tblRegistros[Data],"&lt;"&amp;B124)+COUNTIFS(tblRegistros[ID],E124,tblRegistros[Data],B124,tblRegistros[Início],"&lt;"&amp;I124)+COUNTIFS($E$5:E124,E124,$B$5:B124,B124,$I$5:I124,I124))</f>
        <v>101300009</v>
      </c>
    </row>
    <row r="125" spans="1:20">
      <c r="A125" t="s">
        <v>217</v>
      </c>
      <c r="B125" s="2">
        <f>IFERROR(INT(INDEX(tblBatidas[Data e hora],MATCH("B"&amp;MID($A125,2,99),tblBatidas[Batida ID],0))),"")</f>
        <v>46266</v>
      </c>
      <c r="C125" t="str">
        <f t="shared" si="4"/>
        <v>TERÇA-FEIRA</v>
      </c>
      <c r="D125" t="str">
        <f t="shared" si="5"/>
        <v>DIA ÚTIL</v>
      </c>
      <c r="E125">
        <f>IFERROR(INDEX(tblBatidas[ID],MATCH("B"&amp;MID($A125,2,99),tblBatidas[Batida ID],0)),"")</f>
        <v>1011</v>
      </c>
      <c r="F125" t="str">
        <f>IFERROR(INDEX(tblPessoas[Pessoa],MATCH(E125,tblPessoas[ID],0)),"")</f>
        <v>Nathalia Arruda</v>
      </c>
      <c r="G125" t="str">
        <f>IFERROR(INDEX(tblBatidas[Projeto],MATCH("B"&amp;MID($A125,2,99),tblBatidas[Batida ID],0)),"")</f>
        <v>OTEMPO</v>
      </c>
      <c r="H125" t="str">
        <f>IFERROR(INDEX(tblBatidas[Atividade],MATCH("B"&amp;MID($A125,2,99),tblBatidas[Batida ID],0)),"")</f>
        <v>ANÁLISE</v>
      </c>
      <c r="I125" s="4">
        <f>IFERROR(MOD(INDEX(tblBatidas[Data e hora],MATCH("B"&amp;MID($A125,2,99),tblBatidas[Batida ID],0)),1),"")</f>
        <v>0.53734953703678912</v>
      </c>
      <c r="J125" s="4" t="str">
        <f>IFERROR(MOD(INDEX(tblBatidas[Data e hora],MATCH("B"&amp;MID($A125,2,99),tblBatidas[Início vinculado],0)),1),"")</f>
        <v/>
      </c>
      <c r="K125" s="14" t="str">
        <f>IFERROR((INDEX(tblBatidas[Data e hora],MATCH("B"&amp;MID($A125,2,99),tblBatidas[Início vinculado],0))-INDEX(tblBatidas[Data e hora],MATCH("B"&amp;MID($A125,2,99),tblBatidas[Batida ID],0)))*24,"")</f>
        <v/>
      </c>
      <c r="L125" t="str">
        <f>IFERROR(INDEX(tblBatidas[Observação],MATCH("B"&amp;MID($A125,2,99),tblBatidas[Início vinculado],0)),"")</f>
        <v/>
      </c>
      <c r="M125" t="str">
        <f>IFERROR(INDEX(tblPessoas[Base],MATCH(E125,tblPessoas[ID],0)),"")</f>
        <v>Hora</v>
      </c>
      <c r="N125" s="3">
        <f>IFERROR(IF(D125="DIA ÚTIL",INDEX(tblPessoas[R$/h útil],MATCH(E125,tblPessoas[ID],0)),INDEX(tblPessoas[R$/h FDS],MATCH(E125,tblPessoas[ID],0))),0)</f>
        <v>23.5</v>
      </c>
      <c r="O125" s="3">
        <f>IFERROR(INDEX(tblPessoas[R$/diária],MATCH(E125,tblPessoas[ID],0)),0)</f>
        <v>0</v>
      </c>
      <c r="P125" s="3" t="str">
        <f t="shared" si="6"/>
        <v/>
      </c>
      <c r="Q125" t="str">
        <f>IF(A125="","",IF(COUNTIF(tblBatidas[Início vinculado],"B"&amp;MID($A125,2,99))=0,"EM ABERTO",IF(OR(COUNTIF(tblBatidas[Início vinculado],"B"&amp;MID($A125,2,99))&gt;1,K125&lt;0,K125&gt;16,INT(INDEX(tblBatidas[Data e hora],MATCH("B"&amp;MID($A125,2,99),tblBatidas[Início vinculado],0)))&lt;&gt;B125,INDEX(tblBatidas[ID],MATCH("B"&amp;MID($A125,2,99),tblBatidas[Início vinculado],0))&lt;&gt;E125,INDEX(tblBatidas[Projeto],MATCH("B"&amp;MID($A125,2,99),tblBatidas[Início vinculado],0))&lt;&gt;G125,INDEX(tblBatidas[Atividade],MATCH("B"&amp;MID($A125,2,99),tblBatidas[Início vinculado],0))&lt;&gt;H125),"REVISAR","CONCLUÍDO")))</f>
        <v>EM ABERTO</v>
      </c>
      <c r="R125">
        <f>IF(Q125&lt;&gt;"CONCLUÍDO",0,IF(COUNTIFS($E$5:E125,E125,$B$5:B125,B125,$Q$5:Q125,"CONCLUÍDO")=1,1,0))</f>
        <v>0</v>
      </c>
      <c r="S125" t="str">
        <f t="shared" si="7"/>
        <v>yyyy-09</v>
      </c>
      <c r="T125">
        <f>IF(E125="","",E125*100000+COUNTIFS(tblRegistros[ID],E125,tblRegistros[Data],"&lt;"&amp;B125)+COUNTIFS(tblRegistros[ID],E125,tblRegistros[Data],B125,tblRegistros[Início],"&lt;"&amp;I125)+COUNTIFS($E$5:E125,E125,$B$5:B125,B125,$I$5:I125,I125))</f>
        <v>101100010</v>
      </c>
    </row>
    <row r="126" spans="1:20">
      <c r="A126" t="s">
        <v>218</v>
      </c>
      <c r="B126" s="2">
        <f>IFERROR(INT(INDEX(tblBatidas[Data e hora],MATCH("B"&amp;MID($A126,2,99),tblBatidas[Batida ID],0))),"")</f>
        <v>46266</v>
      </c>
      <c r="C126" t="str">
        <f t="shared" si="4"/>
        <v>TERÇA-FEIRA</v>
      </c>
      <c r="D126" t="str">
        <f t="shared" si="5"/>
        <v>DIA ÚTIL</v>
      </c>
      <c r="E126">
        <f>IFERROR(INDEX(tblBatidas[ID],MATCH("B"&amp;MID($A126,2,99),tblBatidas[Batida ID],0)),"")</f>
        <v>1003</v>
      </c>
      <c r="F126" t="str">
        <f>IFERROR(INDEX(tblPessoas[Pessoa],MATCH(E126,tblPessoas[ID],0)),"")</f>
        <v>Amanda do Carmo Ribeiro</v>
      </c>
      <c r="G126" t="str">
        <f>IFERROR(INDEX(tblBatidas[Projeto],MATCH("B"&amp;MID($A126,2,99),tblBatidas[Batida ID],0)),"")</f>
        <v>OTEMPO</v>
      </c>
      <c r="H126" t="str">
        <f>IFERROR(INDEX(tblBatidas[Atividade],MATCH("B"&amp;MID($A126,2,99),tblBatidas[Batida ID],0)),"")</f>
        <v>ANÁLISE</v>
      </c>
      <c r="I126" s="4">
        <f>IFERROR(MOD(INDEX(tblBatidas[Data e hora],MATCH("B"&amp;MID($A126,2,99),tblBatidas[Batida ID],0)),1),"")</f>
        <v>0.56298611110833008</v>
      </c>
      <c r="J126" s="4">
        <f>IFERROR(MOD(INDEX(tblBatidas[Data e hora],MATCH("B"&amp;MID($A126,2,99),tblBatidas[Início vinculado],0)),1),"")</f>
        <v>0.75290509259502869</v>
      </c>
      <c r="K126" s="14">
        <f>IFERROR((INDEX(tblBatidas[Data e hora],MATCH("B"&amp;MID($A126,2,99),tblBatidas[Início vinculado],0))-INDEX(tblBatidas[Data e hora],MATCH("B"&amp;MID($A126,2,99),tblBatidas[Batida ID],0)))*24,"")</f>
        <v>4.5580555556807667</v>
      </c>
      <c r="L126" t="str">
        <f>IFERROR(INDEX(tblBatidas[Observação],MATCH("B"&amp;MID($A126,2,99),tblBatidas[Início vinculado],0)),"")</f>
        <v>Elaboração do plano de processamento</v>
      </c>
      <c r="M126" t="str">
        <f>IFERROR(INDEX(tblPessoas[Base],MATCH(E126,tblPessoas[ID],0)),"")</f>
        <v>Hora</v>
      </c>
      <c r="N126" s="3">
        <f>IFERROR(IF(D126="DIA ÚTIL",INDEX(tblPessoas[R$/h útil],MATCH(E126,tblPessoas[ID],0)),INDEX(tblPessoas[R$/h FDS],MATCH(E126,tblPessoas[ID],0))),0)</f>
        <v>23.5</v>
      </c>
      <c r="O126" s="3">
        <f>IFERROR(INDEX(tblPessoas[R$/diária],MATCH(E126,tblPessoas[ID],0)),0)</f>
        <v>0</v>
      </c>
      <c r="P126" s="3">
        <f t="shared" si="6"/>
        <v>107.11430555849802</v>
      </c>
      <c r="Q126" t="str">
        <f>IF(A126="","",IF(COUNTIF(tblBatidas[Início vinculado],"B"&amp;MID($A126,2,99))=0,"EM ABERTO",IF(OR(COUNTIF(tblBatidas[Início vinculado],"B"&amp;MID($A126,2,99))&gt;1,K126&lt;0,K126&gt;16,INT(INDEX(tblBatidas[Data e hora],MATCH("B"&amp;MID($A126,2,99),tblBatidas[Início vinculado],0)))&lt;&gt;B126,INDEX(tblBatidas[ID],MATCH("B"&amp;MID($A126,2,99),tblBatidas[Início vinculado],0))&lt;&gt;E126,INDEX(tblBatidas[Projeto],MATCH("B"&amp;MID($A126,2,99),tblBatidas[Início vinculado],0))&lt;&gt;G126,INDEX(tblBatidas[Atividade],MATCH("B"&amp;MID($A126,2,99),tblBatidas[Início vinculado],0))&lt;&gt;H126),"REVISAR","CONCLUÍDO")))</f>
        <v>CONCLUÍDO</v>
      </c>
      <c r="R126">
        <f>IF(Q126&lt;&gt;"CONCLUÍDO",0,IF(COUNTIFS($E$5:E126,E126,$B$5:B126,B126,$Q$5:Q126,"CONCLUÍDO")=1,1,0))</f>
        <v>0</v>
      </c>
      <c r="S126" t="str">
        <f t="shared" si="7"/>
        <v>yyyy-09</v>
      </c>
      <c r="T126">
        <f>IF(E126="","",E126*100000+COUNTIFS(tblRegistros[ID],E126,tblRegistros[Data],"&lt;"&amp;B126)+COUNTIFS(tblRegistros[ID],E126,tblRegistros[Data],B126,tblRegistros[Início],"&lt;"&amp;I126)+COUNTIFS($E$5:E126,E126,$B$5:B126,B126,$I$5:I126,I126))</f>
        <v>100300009</v>
      </c>
    </row>
    <row r="127" spans="1:20">
      <c r="A127" t="s">
        <v>219</v>
      </c>
      <c r="B127" s="2">
        <f>IFERROR(INT(INDEX(tblBatidas[Data e hora],MATCH("B"&amp;MID($A127,2,99),tblBatidas[Batida ID],0))),"")</f>
        <v>46266</v>
      </c>
      <c r="C127" t="str">
        <f t="shared" si="4"/>
        <v>TERÇA-FEIRA</v>
      </c>
      <c r="D127" t="str">
        <f t="shared" si="5"/>
        <v>DIA ÚTIL</v>
      </c>
      <c r="E127">
        <f>IFERROR(INDEX(tblBatidas[ID],MATCH("B"&amp;MID($A127,2,99),tblBatidas[Batida ID],0)),"")</f>
        <v>1016</v>
      </c>
      <c r="F127" t="str">
        <f>IFERROR(INDEX(tblPessoas[Pessoa],MATCH(E127,tblPessoas[ID],0)),"")</f>
        <v>Ana Luisa Nardin</v>
      </c>
      <c r="G127" t="str">
        <f>IFERROR(INDEX(tblBatidas[Projeto],MATCH("B"&amp;MID($A127,2,99),tblBatidas[Batida ID],0)),"")</f>
        <v>CFI / ACCION</v>
      </c>
      <c r="H127" t="str">
        <f>IFERROR(INDEX(tblBatidas[Atividade],MATCH("B"&amp;MID($A127,2,99),tblBatidas[Batida ID],0)),"")</f>
        <v>ANÁLISE</v>
      </c>
      <c r="I127" s="4">
        <f>IFERROR(MOD(INDEX(tblBatidas[Data e hora],MATCH("B"&amp;MID($A127,2,99),tblBatidas[Batida ID],0)),1),"")</f>
        <v>0.56598379629576812</v>
      </c>
      <c r="J127" s="4">
        <f>IFERROR(MOD(INDEX(tblBatidas[Data e hora],MATCH("B"&amp;MID($A127,2,99),tblBatidas[Início vinculado],0)),1),"")</f>
        <v>0.75513888888963265</v>
      </c>
      <c r="K127" s="14">
        <f>IFERROR((INDEX(tblBatidas[Data e hora],MATCH("B"&amp;MID($A127,2,99),tblBatidas[Início vinculado],0))-INDEX(tblBatidas[Data e hora],MATCH("B"&amp;MID($A127,2,99),tblBatidas[Batida ID],0)))*24,"")</f>
        <v>4.5397222222527489</v>
      </c>
      <c r="L127">
        <f>IFERROR(INDEX(tblBatidas[Observação],MATCH("B"&amp;MID($A127,2,99),tblBatidas[Início vinculado],0)),"")</f>
        <v>0</v>
      </c>
      <c r="M127" t="str">
        <f>IFERROR(INDEX(tblPessoas[Base],MATCH(E127,tblPessoas[ID],0)),"")</f>
        <v>Hora</v>
      </c>
      <c r="N127" s="3">
        <f>IFERROR(IF(D127="DIA ÚTIL",INDEX(tblPessoas[R$/h útil],MATCH(E127,tblPessoas[ID],0)),INDEX(tblPessoas[R$/h FDS],MATCH(E127,tblPessoas[ID],0))),0)</f>
        <v>23.5</v>
      </c>
      <c r="O127" s="3">
        <f>IFERROR(INDEX(tblPessoas[R$/diária],MATCH(E127,tblPessoas[ID],0)),0)</f>
        <v>0</v>
      </c>
      <c r="P127" s="3">
        <f t="shared" si="6"/>
        <v>106.6834722229396</v>
      </c>
      <c r="Q127" t="str">
        <f>IF(A127="","",IF(COUNTIF(tblBatidas[Início vinculado],"B"&amp;MID($A127,2,99))=0,"EM ABERTO",IF(OR(COUNTIF(tblBatidas[Início vinculado],"B"&amp;MID($A127,2,99))&gt;1,K127&lt;0,K127&gt;16,INT(INDEX(tblBatidas[Data e hora],MATCH("B"&amp;MID($A127,2,99),tblBatidas[Início vinculado],0)))&lt;&gt;B127,INDEX(tblBatidas[ID],MATCH("B"&amp;MID($A127,2,99),tblBatidas[Início vinculado],0))&lt;&gt;E127,INDEX(tblBatidas[Projeto],MATCH("B"&amp;MID($A127,2,99),tblBatidas[Início vinculado],0))&lt;&gt;G127,INDEX(tblBatidas[Atividade],MATCH("B"&amp;MID($A127,2,99),tblBatidas[Início vinculado],0))&lt;&gt;H127),"REVISAR","CONCLUÍDO")))</f>
        <v>CONCLUÍDO</v>
      </c>
      <c r="R127">
        <f>IF(Q127&lt;&gt;"CONCLUÍDO",0,IF(COUNTIFS($E$5:E127,E127,$B$5:B127,B127,$Q$5:Q127,"CONCLUÍDO")=1,1,0))</f>
        <v>0</v>
      </c>
      <c r="S127" t="str">
        <f t="shared" si="7"/>
        <v>yyyy-09</v>
      </c>
      <c r="T127">
        <f>IF(E127="","",E127*100000+COUNTIFS(tblRegistros[ID],E127,tblRegistros[Data],"&lt;"&amp;B127)+COUNTIFS(tblRegistros[ID],E127,tblRegistros[Data],B127,tblRegistros[Início],"&lt;"&amp;I127)+COUNTIFS($E$5:E127,E127,$B$5:B127,B127,$I$5:I127,I127))</f>
        <v>101600016</v>
      </c>
    </row>
    <row r="128" spans="1:20">
      <c r="A128" t="s">
        <v>220</v>
      </c>
      <c r="B128" s="2">
        <f>IFERROR(INT(INDEX(tblBatidas[Data e hora],MATCH("B"&amp;MID($A128,2,99),tblBatidas[Batida ID],0))),"")</f>
        <v>46266</v>
      </c>
      <c r="C128" t="str">
        <f t="shared" si="4"/>
        <v>TERÇA-FEIRA</v>
      </c>
      <c r="D128" t="str">
        <f t="shared" si="5"/>
        <v>DIA ÚTIL</v>
      </c>
      <c r="E128">
        <f>IFERROR(INDEX(tblBatidas[ID],MATCH("B"&amp;MID($A128,2,99),tblBatidas[Batida ID],0)),"")</f>
        <v>1012</v>
      </c>
      <c r="F128" t="str">
        <f>IFERROR(INDEX(tblPessoas[Pessoa],MATCH(E128,tblPessoas[ID],0)),"")</f>
        <v>Nelma Lucia dos S. B. Brandão</v>
      </c>
      <c r="G128" t="str">
        <f>IFERROR(INDEX(tblBatidas[Projeto],MATCH("B"&amp;MID($A128,2,99),tblBatidas[Batida ID],0)),"")</f>
        <v>OTEMPO</v>
      </c>
      <c r="H128" t="str">
        <f>IFERROR(INDEX(tblBatidas[Atividade],MATCH("B"&amp;MID($A128,2,99),tblBatidas[Batida ID],0)),"")</f>
        <v>SUPERVISÃO</v>
      </c>
      <c r="I128" s="4">
        <f>IFERROR(MOD(INDEX(tblBatidas[Data e hora],MATCH("B"&amp;MID($A128,2,99),tblBatidas[Batida ID],0)),1),"")</f>
        <v>0.56956018518394558</v>
      </c>
      <c r="J128" s="4">
        <f>IFERROR(MOD(INDEX(tblBatidas[Data e hora],MATCH("B"&amp;MID($A128,2,99),tblBatidas[Início vinculado],0)),1),"")</f>
        <v>0.75462962962774327</v>
      </c>
      <c r="K128" s="14">
        <f>IFERROR((INDEX(tblBatidas[Data e hora],MATCH("B"&amp;MID($A128,2,99),tblBatidas[Início vinculado],0))-INDEX(tblBatidas[Data e hora],MATCH("B"&amp;MID($A128,2,99),tblBatidas[Batida ID],0)))*24,"")</f>
        <v>4.4416666666511446</v>
      </c>
      <c r="L128">
        <f>IFERROR(INDEX(tblBatidas[Observação],MATCH("B"&amp;MID($A128,2,99),tblBatidas[Início vinculado],0)),"")</f>
        <v>0</v>
      </c>
      <c r="M128" t="str">
        <f>IFERROR(INDEX(tblPessoas[Base],MATCH(E128,tblPessoas[ID],0)),"")</f>
        <v>Diária</v>
      </c>
      <c r="N128" s="3">
        <f>IFERROR(IF(D128="DIA ÚTIL",INDEX(tblPessoas[R$/h útil],MATCH(E128,tblPessoas[ID],0)),INDEX(tblPessoas[R$/h FDS],MATCH(E128,tblPessoas[ID],0))),0)</f>
        <v>0</v>
      </c>
      <c r="O128" s="3">
        <f>IFERROR(INDEX(tblPessoas[R$/diária],MATCH(E128,tblPessoas[ID],0)),0)</f>
        <v>222.72</v>
      </c>
      <c r="P128" s="3">
        <f t="shared" si="6"/>
        <v>222.72</v>
      </c>
      <c r="Q128" t="str">
        <f>IF(A128="","",IF(COUNTIF(tblBatidas[Início vinculado],"B"&amp;MID($A128,2,99))=0,"EM ABERTO",IF(OR(COUNTIF(tblBatidas[Início vinculado],"B"&amp;MID($A128,2,99))&gt;1,K128&lt;0,K128&gt;16,INT(INDEX(tblBatidas[Data e hora],MATCH("B"&amp;MID($A128,2,99),tblBatidas[Início vinculado],0)))&lt;&gt;B128,INDEX(tblBatidas[ID],MATCH("B"&amp;MID($A128,2,99),tblBatidas[Início vinculado],0))&lt;&gt;E128,INDEX(tblBatidas[Projeto],MATCH("B"&amp;MID($A128,2,99),tblBatidas[Início vinculado],0))&lt;&gt;G128,INDEX(tblBatidas[Atividade],MATCH("B"&amp;MID($A128,2,99),tblBatidas[Início vinculado],0))&lt;&gt;H128),"REVISAR","CONCLUÍDO")))</f>
        <v>CONCLUÍDO</v>
      </c>
      <c r="R128">
        <f>IF(Q128&lt;&gt;"CONCLUÍDO",0,IF(COUNTIFS($E$5:E128,E128,$B$5:B128,B128,$Q$5:Q128,"CONCLUÍDO")=1,1,0))</f>
        <v>1</v>
      </c>
      <c r="S128" t="str">
        <f t="shared" si="7"/>
        <v>yyyy-09</v>
      </c>
      <c r="T128">
        <f>IF(E128="","",E128*100000+COUNTIFS(tblRegistros[ID],E128,tblRegistros[Data],"&lt;"&amp;B128)+COUNTIFS(tblRegistros[ID],E128,tblRegistros[Data],B128,tblRegistros[Início],"&lt;"&amp;I128)+COUNTIFS($E$5:E128,E128,$B$5:B128,B128,$I$5:I128,I128))</f>
        <v>101200018</v>
      </c>
    </row>
    <row r="129" spans="1:20">
      <c r="A129" t="s">
        <v>221</v>
      </c>
      <c r="B129" s="2">
        <f>IFERROR(INT(INDEX(tblBatidas[Data e hora],MATCH("B"&amp;MID($A129,2,99),tblBatidas[Batida ID],0))),"")</f>
        <v>46266</v>
      </c>
      <c r="C129" t="str">
        <f t="shared" si="4"/>
        <v>TERÇA-FEIRA</v>
      </c>
      <c r="D129" t="str">
        <f t="shared" si="5"/>
        <v>DIA ÚTIL</v>
      </c>
      <c r="E129">
        <f>IFERROR(INDEX(tblBatidas[ID],MATCH("B"&amp;MID($A129,2,99),tblBatidas[Batida ID],0)),"")</f>
        <v>1006</v>
      </c>
      <c r="F129" t="str">
        <f>IFERROR(INDEX(tblPessoas[Pessoa],MATCH(E129,tblPessoas[ID],0)),"")</f>
        <v>Eliane dos Santos Oliveira</v>
      </c>
      <c r="G129" t="str">
        <f>IFERROR(INDEX(tblBatidas[Projeto],MATCH("B"&amp;MID($A129,2,99),tblBatidas[Batida ID],0)),"")</f>
        <v>OTEMPO</v>
      </c>
      <c r="H129" t="str">
        <f>IFERROR(INDEX(tblBatidas[Atividade],MATCH("B"&amp;MID($A129,2,99),tblBatidas[Batida ID],0)),"")</f>
        <v>CHECAGEM</v>
      </c>
      <c r="I129" s="4">
        <f>IFERROR(MOD(INDEX(tblBatidas[Data e hora],MATCH("B"&amp;MID($A129,2,99),tblBatidas[Batida ID],0)),1),"")</f>
        <v>0.57063657407707069</v>
      </c>
      <c r="J129" s="4">
        <f>IFERROR(MOD(INDEX(tblBatidas[Data e hora],MATCH("B"&amp;MID($A129,2,99),tblBatidas[Início vinculado],0)),1),"")</f>
        <v>0.76196759259619284</v>
      </c>
      <c r="K129" s="14">
        <f>IFERROR((INDEX(tblBatidas[Data e hora],MATCH("B"&amp;MID($A129,2,99),tblBatidas[Início vinculado],0))-INDEX(tblBatidas[Data e hora],MATCH("B"&amp;MID($A129,2,99),tblBatidas[Batida ID],0)))*24,"")</f>
        <v>4.5919444444589317</v>
      </c>
      <c r="L129" t="str">
        <f>IFERROR(INDEX(tblBatidas[Observação],MATCH("B"&amp;MID($A129,2,99),tblBatidas[Início vinculado],0)),"")</f>
        <v>cchecagem otempo</v>
      </c>
      <c r="M129" t="str">
        <f>IFERROR(INDEX(tblPessoas[Base],MATCH(E129,tblPessoas[ID],0)),"")</f>
        <v>Hora</v>
      </c>
      <c r="N129" s="3">
        <f>IFERROR(IF(D129="DIA ÚTIL",INDEX(tblPessoas[R$/h útil],MATCH(E129,tblPessoas[ID],0)),INDEX(tblPessoas[R$/h FDS],MATCH(E129,tblPessoas[ID],0))),0)</f>
        <v>14</v>
      </c>
      <c r="O129" s="3">
        <f>IFERROR(INDEX(tblPessoas[R$/diária],MATCH(E129,tblPessoas[ID],0)),0)</f>
        <v>0</v>
      </c>
      <c r="P129" s="3">
        <f t="shared" si="6"/>
        <v>64.287222222425044</v>
      </c>
      <c r="Q129" t="str">
        <f>IF(A129="","",IF(COUNTIF(tblBatidas[Início vinculado],"B"&amp;MID($A129,2,99))=0,"EM ABERTO",IF(OR(COUNTIF(tblBatidas[Início vinculado],"B"&amp;MID($A129,2,99))&gt;1,K129&lt;0,K129&gt;16,INT(INDEX(tblBatidas[Data e hora],MATCH("B"&amp;MID($A129,2,99),tblBatidas[Início vinculado],0)))&lt;&gt;B129,INDEX(tblBatidas[ID],MATCH("B"&amp;MID($A129,2,99),tblBatidas[Início vinculado],0))&lt;&gt;E129,INDEX(tblBatidas[Projeto],MATCH("B"&amp;MID($A129,2,99),tblBatidas[Início vinculado],0))&lt;&gt;G129,INDEX(tblBatidas[Atividade],MATCH("B"&amp;MID($A129,2,99),tblBatidas[Início vinculado],0))&lt;&gt;H129),"REVISAR","CONCLUÍDO")))</f>
        <v>CONCLUÍDO</v>
      </c>
      <c r="R129">
        <f>IF(Q129&lt;&gt;"CONCLUÍDO",0,IF(COUNTIFS($E$5:E129,E129,$B$5:B129,B129,$Q$5:Q129,"CONCLUÍDO")=1,1,0))</f>
        <v>0</v>
      </c>
      <c r="S129" t="str">
        <f t="shared" si="7"/>
        <v>yyyy-09</v>
      </c>
      <c r="T129">
        <f>IF(E129="","",E129*100000+COUNTIFS(tblRegistros[ID],E129,tblRegistros[Data],"&lt;"&amp;B129)+COUNTIFS(tblRegistros[ID],E129,tblRegistros[Data],B129,tblRegistros[Início],"&lt;"&amp;I129)+COUNTIFS($E$5:E129,E129,$B$5:B129,B129,$I$5:I129,I129))</f>
        <v>100600014</v>
      </c>
    </row>
    <row r="130" spans="1:20">
      <c r="A130" t="s">
        <v>222</v>
      </c>
      <c r="B130" s="2">
        <f>IFERROR(INT(INDEX(tblBatidas[Data e hora],MATCH("B"&amp;MID($A130,2,99),tblBatidas[Batida ID],0))),"")</f>
        <v>46266</v>
      </c>
      <c r="C130" t="str">
        <f t="shared" si="4"/>
        <v>TERÇA-FEIRA</v>
      </c>
      <c r="D130" t="str">
        <f t="shared" si="5"/>
        <v>DIA ÚTIL</v>
      </c>
      <c r="E130">
        <f>IFERROR(INDEX(tblBatidas[ID],MATCH("B"&amp;MID($A130,2,99),tblBatidas[Batida ID],0)),"")</f>
        <v>1015</v>
      </c>
      <c r="F130" t="str">
        <f>IFERROR(INDEX(tblPessoas[Pessoa],MATCH(E130,tblPessoas[ID],0)),"")</f>
        <v>Vitor Guilherme Miguel Rocha</v>
      </c>
      <c r="G130" t="str">
        <f>IFERROR(INDEX(tblBatidas[Projeto],MATCH("B"&amp;MID($A130,2,99),tblBatidas[Batida ID],0)),"")</f>
        <v>ADMINISTRATIVO</v>
      </c>
      <c r="H130" t="str">
        <f>IFERROR(INDEX(tblBatidas[Atividade],MATCH("B"&amp;MID($A130,2,99),tblBatidas[Batida ID],0)),"")</f>
        <v>ADMINISTRATIVO</v>
      </c>
      <c r="I130" s="4">
        <f>IFERROR(MOD(INDEX(tblBatidas[Data e hora],MATCH("B"&amp;MID($A130,2,99),tblBatidas[Batida ID],0)),1),"")</f>
        <v>0.58193287037283881</v>
      </c>
      <c r="J130" s="4">
        <f>IFERROR(MOD(INDEX(tblBatidas[Data e hora],MATCH("B"&amp;MID($A130,2,99),tblBatidas[Início vinculado],0)),1),"")</f>
        <v>0.75017361110803904</v>
      </c>
      <c r="K130" s="14">
        <f>IFERROR((INDEX(tblBatidas[Data e hora],MATCH("B"&amp;MID($A130,2,99),tblBatidas[Início vinculado],0))-INDEX(tblBatidas[Data e hora],MATCH("B"&amp;MID($A130,2,99),tblBatidas[Batida ID],0)))*24,"")</f>
        <v>4.0377777776448056</v>
      </c>
      <c r="L130" t="str">
        <f>IFERROR(INDEX(tblBatidas[Observação],MATCH("B"&amp;MID($A130,2,99),tblBatidas[Início vinculado],0)),"")</f>
        <v>Relatório analítico</v>
      </c>
      <c r="M130" t="str">
        <f>IFERROR(INDEX(tblPessoas[Base],MATCH(E130,tblPessoas[ID],0)),"")</f>
        <v>Hora</v>
      </c>
      <c r="N130" s="3">
        <f>IFERROR(IF(D130="DIA ÚTIL",INDEX(tblPessoas[R$/h útil],MATCH(E130,tblPessoas[ID],0)),INDEX(tblPessoas[R$/h FDS],MATCH(E130,tblPessoas[ID],0))),0)</f>
        <v>21.5</v>
      </c>
      <c r="O130" s="3">
        <f>IFERROR(INDEX(tblPessoas[R$/diária],MATCH(E130,tblPessoas[ID],0)),0)</f>
        <v>0</v>
      </c>
      <c r="P130" s="3">
        <f t="shared" si="6"/>
        <v>86.812222219363321</v>
      </c>
      <c r="Q130" t="str">
        <f>IF(A130="","",IF(COUNTIF(tblBatidas[Início vinculado],"B"&amp;MID($A130,2,99))=0,"EM ABERTO",IF(OR(COUNTIF(tblBatidas[Início vinculado],"B"&amp;MID($A130,2,99))&gt;1,K130&lt;0,K130&gt;16,INT(INDEX(tblBatidas[Data e hora],MATCH("B"&amp;MID($A130,2,99),tblBatidas[Início vinculado],0)))&lt;&gt;B130,INDEX(tblBatidas[ID],MATCH("B"&amp;MID($A130,2,99),tblBatidas[Início vinculado],0))&lt;&gt;E130,INDEX(tblBatidas[Projeto],MATCH("B"&amp;MID($A130,2,99),tblBatidas[Início vinculado],0))&lt;&gt;G130,INDEX(tblBatidas[Atividade],MATCH("B"&amp;MID($A130,2,99),tblBatidas[Início vinculado],0))&lt;&gt;H130),"REVISAR","CONCLUÍDO")))</f>
        <v>CONCLUÍDO</v>
      </c>
      <c r="R130">
        <f>IF(Q130&lt;&gt;"CONCLUÍDO",0,IF(COUNTIFS($E$5:E130,E130,$B$5:B130,B130,$Q$5:Q130,"CONCLUÍDO")=1,1,0))</f>
        <v>0</v>
      </c>
      <c r="S130" t="str">
        <f t="shared" si="7"/>
        <v>yyyy-09</v>
      </c>
      <c r="T130">
        <f>IF(E130="","",E130*100000+COUNTIFS(tblRegistros[ID],E130,tblRegistros[Data],"&lt;"&amp;B130)+COUNTIFS(tblRegistros[ID],E130,tblRegistros[Data],B130,tblRegistros[Início],"&lt;"&amp;I130)+COUNTIFS($E$5:E130,E130,$B$5:B130,B130,$I$5:I130,I130))</f>
        <v>101500016</v>
      </c>
    </row>
    <row r="131" spans="1:20">
      <c r="A131" t="s">
        <v>223</v>
      </c>
      <c r="B131" s="2">
        <f>IFERROR(INT(INDEX(tblBatidas[Data e hora],MATCH("B"&amp;MID($A131,2,99),tblBatidas[Batida ID],0))),"")</f>
        <v>46266</v>
      </c>
      <c r="C131" t="str">
        <f t="shared" si="4"/>
        <v>TERÇA-FEIRA</v>
      </c>
      <c r="D131" t="str">
        <f t="shared" si="5"/>
        <v>DIA ÚTIL</v>
      </c>
      <c r="E131">
        <f>IFERROR(INDEX(tblBatidas[ID],MATCH("B"&amp;MID($A131,2,99),tblBatidas[Batida ID],0)),"")</f>
        <v>1004</v>
      </c>
      <c r="F131" t="str">
        <f>IFERROR(INDEX(tblPessoas[Pessoa],MATCH(E131,tblPessoas[ID],0)),"")</f>
        <v>Angela Bertoli</v>
      </c>
      <c r="G131" t="str">
        <f>IFERROR(INDEX(tblBatidas[Projeto],MATCH("B"&amp;MID($A131,2,99),tblBatidas[Batida ID],0)),"")</f>
        <v>OTEMPO</v>
      </c>
      <c r="H131" t="str">
        <f>IFERROR(INDEX(tblBatidas[Atividade],MATCH("B"&amp;MID($A131,2,99),tblBatidas[Batida ID],0)),"")</f>
        <v>CODIFICAÇÃO</v>
      </c>
      <c r="I131" s="4">
        <f>IFERROR(MOD(INDEX(tblBatidas[Data e hora],MATCH("B"&amp;MID($A131,2,99),tblBatidas[Batida ID],0)),1),"")</f>
        <v>0.59557870370190358</v>
      </c>
      <c r="J131" s="4">
        <f>IFERROR(MOD(INDEX(tblBatidas[Data e hora],MATCH("B"&amp;MID($A131,2,99),tblBatidas[Início vinculado],0)),1),"")</f>
        <v>0.79997685184935108</v>
      </c>
      <c r="K131" s="14">
        <f>IFERROR((INDEX(tblBatidas[Data e hora],MATCH("B"&amp;MID($A131,2,99),tblBatidas[Início vinculado],0))-INDEX(tblBatidas[Data e hora],MATCH("B"&amp;MID($A131,2,99),tblBatidas[Batida ID],0)))*24,"")</f>
        <v>4.90555555553874</v>
      </c>
      <c r="L131">
        <f>IFERROR(INDEX(tblBatidas[Observação],MATCH("B"&amp;MID($A131,2,99),tblBatidas[Início vinculado],0)),"")</f>
        <v>0</v>
      </c>
      <c r="M131" t="str">
        <f>IFERROR(INDEX(tblPessoas[Base],MATCH(E131,tblPessoas[ID],0)),"")</f>
        <v>Hora</v>
      </c>
      <c r="N131" s="3">
        <f>IFERROR(IF(D131="DIA ÚTIL",INDEX(tblPessoas[R$/h útil],MATCH(E131,tblPessoas[ID],0)),INDEX(tblPessoas[R$/h FDS],MATCH(E131,tblPessoas[ID],0))),0)</f>
        <v>21.5</v>
      </c>
      <c r="O131" s="3">
        <f>IFERROR(INDEX(tblPessoas[R$/diária],MATCH(E131,tblPessoas[ID],0)),0)</f>
        <v>0</v>
      </c>
      <c r="P131" s="3">
        <f t="shared" si="6"/>
        <v>105.46944444408291</v>
      </c>
      <c r="Q131" t="str">
        <f>IF(A131="","",IF(COUNTIF(tblBatidas[Início vinculado],"B"&amp;MID($A131,2,99))=0,"EM ABERTO",IF(OR(COUNTIF(tblBatidas[Início vinculado],"B"&amp;MID($A131,2,99))&gt;1,K131&lt;0,K131&gt;16,INT(INDEX(tblBatidas[Data e hora],MATCH("B"&amp;MID($A131,2,99),tblBatidas[Início vinculado],0)))&lt;&gt;B131,INDEX(tblBatidas[ID],MATCH("B"&amp;MID($A131,2,99),tblBatidas[Início vinculado],0))&lt;&gt;E131,INDEX(tblBatidas[Projeto],MATCH("B"&amp;MID($A131,2,99),tblBatidas[Início vinculado],0))&lt;&gt;G131,INDEX(tblBatidas[Atividade],MATCH("B"&amp;MID($A131,2,99),tblBatidas[Início vinculado],0))&lt;&gt;H131),"REVISAR","CONCLUÍDO")))</f>
        <v>CONCLUÍDO</v>
      </c>
      <c r="R131">
        <f>IF(Q131&lt;&gt;"CONCLUÍDO",0,IF(COUNTIFS($E$5:E131,E131,$B$5:B131,B131,$Q$5:Q131,"CONCLUÍDO")=1,1,0))</f>
        <v>1</v>
      </c>
      <c r="S131" t="str">
        <f t="shared" si="7"/>
        <v>yyyy-09</v>
      </c>
      <c r="T131">
        <f>IF(E131="","",E131*100000+COUNTIFS(tblRegistros[ID],E131,tblRegistros[Data],"&lt;"&amp;B131)+COUNTIFS(tblRegistros[ID],E131,tblRegistros[Data],B131,tblRegistros[Início],"&lt;"&amp;I131)+COUNTIFS($E$5:E131,E131,$B$5:B131,B131,$I$5:I131,I131))</f>
        <v>100400006</v>
      </c>
    </row>
    <row r="132" spans="1:20">
      <c r="A132" t="s">
        <v>224</v>
      </c>
      <c r="B132" s="2">
        <f>IFERROR(INT(INDEX(tblBatidas[Data e hora],MATCH("B"&amp;MID($A132,2,99),tblBatidas[Batida ID],0))),"")</f>
        <v>46266</v>
      </c>
      <c r="C132" t="str">
        <f t="shared" si="4"/>
        <v>TERÇA-FEIRA</v>
      </c>
      <c r="D132" t="str">
        <f t="shared" si="5"/>
        <v>DIA ÚTIL</v>
      </c>
      <c r="E132">
        <f>IFERROR(INDEX(tblBatidas[ID],MATCH("B"&amp;MID($A132,2,99),tblBatidas[Batida ID],0)),"")</f>
        <v>1001</v>
      </c>
      <c r="F132" t="str">
        <f>IFERROR(INDEX(tblPessoas[Pessoa],MATCH(E132,tblPessoas[ID],0)),"")</f>
        <v>Adriana Pereira dos Santos</v>
      </c>
      <c r="G132" t="str">
        <f>IFERROR(INDEX(tblBatidas[Projeto],MATCH("B"&amp;MID($A132,2,99),tblBatidas[Batida ID],0)),"")</f>
        <v>SICOOB CREDICOM</v>
      </c>
      <c r="H132" t="str">
        <f>IFERROR(INDEX(tblBatidas[Atividade],MATCH("B"&amp;MID($A132,2,99),tblBatidas[Batida ID],0)),"")</f>
        <v>SUPERVISÃO</v>
      </c>
      <c r="I132" s="4">
        <f>IFERROR(MOD(INDEX(tblBatidas[Data e hora],MATCH("B"&amp;MID($A132,2,99),tblBatidas[Batida ID],0)),1),"")</f>
        <v>0.59827546296583023</v>
      </c>
      <c r="J132" s="4">
        <f>IFERROR(MOD(INDEX(tblBatidas[Data e hora],MATCH("B"&amp;MID($A132,2,99),tblBatidas[Início vinculado],0)),1),"")</f>
        <v>0.76876157407241408</v>
      </c>
      <c r="K132" s="14">
        <f>IFERROR((INDEX(tblBatidas[Data e hora],MATCH("B"&amp;MID($A132,2,99),tblBatidas[Início vinculado],0))-INDEX(tblBatidas[Data e hora],MATCH("B"&amp;MID($A132,2,99),tblBatidas[Batida ID],0)))*24,"")</f>
        <v>4.0916666665580124</v>
      </c>
      <c r="L132" t="str">
        <f>IFERROR(INDEX(tblBatidas[Observação],MATCH("B"&amp;MID($A132,2,99),tblBatidas[Início vinculado],0)),"")</f>
        <v>SUPERVISAO SICOOB</v>
      </c>
      <c r="M132" t="str">
        <f>IFERROR(INDEX(tblPessoas[Base],MATCH(E132,tblPessoas[ID],0)),"")</f>
        <v>Hora</v>
      </c>
      <c r="N132" s="3">
        <f>IFERROR(IF(D132="DIA ÚTIL",INDEX(tblPessoas[R$/h útil],MATCH(E132,tblPessoas[ID],0)),INDEX(tblPessoas[R$/h FDS],MATCH(E132,tblPessoas[ID],0))),0)</f>
        <v>17</v>
      </c>
      <c r="O132" s="3">
        <f>IFERROR(INDEX(tblPessoas[R$/diária],MATCH(E132,tblPessoas[ID],0)),0)</f>
        <v>0</v>
      </c>
      <c r="P132" s="3">
        <f t="shared" si="6"/>
        <v>69.55833333148621</v>
      </c>
      <c r="Q132" t="str">
        <f>IF(A132="","",IF(COUNTIF(tblBatidas[Início vinculado],"B"&amp;MID($A132,2,99))=0,"EM ABERTO",IF(OR(COUNTIF(tblBatidas[Início vinculado],"B"&amp;MID($A132,2,99))&gt;1,K132&lt;0,K132&gt;16,INT(INDEX(tblBatidas[Data e hora],MATCH("B"&amp;MID($A132,2,99),tblBatidas[Início vinculado],0)))&lt;&gt;B132,INDEX(tblBatidas[ID],MATCH("B"&amp;MID($A132,2,99),tblBatidas[Início vinculado],0))&lt;&gt;E132,INDEX(tblBatidas[Projeto],MATCH("B"&amp;MID($A132,2,99),tblBatidas[Início vinculado],0))&lt;&gt;G132,INDEX(tblBatidas[Atividade],MATCH("B"&amp;MID($A132,2,99),tblBatidas[Início vinculado],0))&lt;&gt;H132),"REVISAR","CONCLUÍDO")))</f>
        <v>CONCLUÍDO</v>
      </c>
      <c r="R132">
        <f>IF(Q132&lt;&gt;"CONCLUÍDO",0,IF(COUNTIFS($E$5:E132,E132,$B$5:B132,B132,$Q$5:Q132,"CONCLUÍDO")=1,1,0))</f>
        <v>0</v>
      </c>
      <c r="S132" t="str">
        <f t="shared" si="7"/>
        <v>yyyy-09</v>
      </c>
      <c r="T132">
        <f>IF(E132="","",E132*100000+COUNTIFS(tblRegistros[ID],E132,tblRegistros[Data],"&lt;"&amp;B132)+COUNTIFS(tblRegistros[ID],E132,tblRegistros[Data],B132,tblRegistros[Início],"&lt;"&amp;I132)+COUNTIFS($E$5:E132,E132,$B$5:B132,B132,$I$5:I132,I132))</f>
        <v>100100013</v>
      </c>
    </row>
    <row r="133" spans="1:20">
      <c r="A133" t="s">
        <v>225</v>
      </c>
      <c r="B133" s="2">
        <f>IFERROR(INT(INDEX(tblBatidas[Data e hora],MATCH("B"&amp;MID($A133,2,99),tblBatidas[Batida ID],0))),"")</f>
        <v>46266</v>
      </c>
      <c r="C133" t="str">
        <f t="shared" ref="C133:C196" si="8">IF(B133="","",CHOOSE(WEEKDAY(B133,2),"SEGUNDA-FEIRA","TERÇA-FEIRA","QUARTA-FEIRA","QUINTA-FEIRA","SEXTA-FEIRA","SÁBADO","DOMINGO"))</f>
        <v>TERÇA-FEIRA</v>
      </c>
      <c r="D133" t="str">
        <f t="shared" ref="D133:D196" si="9">IF(B133="","",IF(WEEKDAY(B133,2)&gt;5,"FDS/FERIADO","DIA ÚTIL"))</f>
        <v>DIA ÚTIL</v>
      </c>
      <c r="E133">
        <f>IFERROR(INDEX(tblBatidas[ID],MATCH("B"&amp;MID($A133,2,99),tblBatidas[Batida ID],0)),"")</f>
        <v>1014</v>
      </c>
      <c r="F133" t="str">
        <f>IFERROR(INDEX(tblPessoas[Pessoa],MATCH(E133,tblPessoas[ID],0)),"")</f>
        <v>Robert Filipe Orlando de Souza</v>
      </c>
      <c r="G133" t="str">
        <f>IFERROR(INDEX(tblBatidas[Projeto],MATCH("B"&amp;MID($A133,2,99),tblBatidas[Batida ID],0)),"")</f>
        <v>SICOOB CREDICOM</v>
      </c>
      <c r="H133" t="str">
        <f>IFERROR(INDEX(tblBatidas[Atividade],MATCH("B"&amp;MID($A133,2,99),tblBatidas[Batida ID],0)),"")</f>
        <v>CHECAGEM</v>
      </c>
      <c r="I133" s="4">
        <f>IFERROR(MOD(INDEX(tblBatidas[Data e hora],MATCH("B"&amp;MID($A133,2,99),tblBatidas[Batida ID],0)),1),"")</f>
        <v>0.62391203703737119</v>
      </c>
      <c r="J133" s="4">
        <f>IFERROR(MOD(INDEX(tblBatidas[Data e hora],MATCH("B"&amp;MID($A133,2,99),tblBatidas[Início vinculado],0)),1),"")</f>
        <v>0.74812499999825377</v>
      </c>
      <c r="K133" s="14">
        <f>IFERROR((INDEX(tblBatidas[Data e hora],MATCH("B"&amp;MID($A133,2,99),tblBatidas[Início vinculado],0))-INDEX(tblBatidas[Data e hora],MATCH("B"&amp;MID($A133,2,99),tblBatidas[Batida ID],0)))*24,"")</f>
        <v>2.9811111110611819</v>
      </c>
      <c r="L133">
        <f>IFERROR(INDEX(tblBatidas[Observação],MATCH("B"&amp;MID($A133,2,99),tblBatidas[Início vinculado],0)),"")</f>
        <v>0</v>
      </c>
      <c r="M133" t="str">
        <f>IFERROR(INDEX(tblPessoas[Base],MATCH(E133,tblPessoas[ID],0)),"")</f>
        <v>Hora</v>
      </c>
      <c r="N133" s="3">
        <f>IFERROR(IF(D133="DIA ÚTIL",INDEX(tblPessoas[R$/h útil],MATCH(E133,tblPessoas[ID],0)),INDEX(tblPessoas[R$/h FDS],MATCH(E133,tblPessoas[ID],0))),0)</f>
        <v>21.5</v>
      </c>
      <c r="O133" s="3">
        <f>IFERROR(INDEX(tblPessoas[R$/diária],MATCH(E133,tblPessoas[ID],0)),0)</f>
        <v>0</v>
      </c>
      <c r="P133" s="3">
        <f t="shared" ref="P133:P196" si="10">IF(Q133&lt;&gt;"CONCLUÍDO","",IF(M133="Diária",O133*R133,K133*N133))</f>
        <v>64.09388888781541</v>
      </c>
      <c r="Q133" t="str">
        <f>IF(A133="","",IF(COUNTIF(tblBatidas[Início vinculado],"B"&amp;MID($A133,2,99))=0,"EM ABERTO",IF(OR(COUNTIF(tblBatidas[Início vinculado],"B"&amp;MID($A133,2,99))&gt;1,K133&lt;0,K133&gt;16,INT(INDEX(tblBatidas[Data e hora],MATCH("B"&amp;MID($A133,2,99),tblBatidas[Início vinculado],0)))&lt;&gt;B133,INDEX(tblBatidas[ID],MATCH("B"&amp;MID($A133,2,99),tblBatidas[Início vinculado],0))&lt;&gt;E133,INDEX(tblBatidas[Projeto],MATCH("B"&amp;MID($A133,2,99),tblBatidas[Início vinculado],0))&lt;&gt;G133,INDEX(tblBatidas[Atividade],MATCH("B"&amp;MID($A133,2,99),tblBatidas[Início vinculado],0))&lt;&gt;H133),"REVISAR","CONCLUÍDO")))</f>
        <v>CONCLUÍDO</v>
      </c>
      <c r="R133">
        <f>IF(Q133&lt;&gt;"CONCLUÍDO",0,IF(COUNTIFS($E$5:E133,E133,$B$5:B133,B133,$Q$5:Q133,"CONCLUÍDO")=1,1,0))</f>
        <v>0</v>
      </c>
      <c r="S133" t="str">
        <f t="shared" ref="S133:S196" si="11">IF(B133="","",TEXT(B133,"yyyy-mm"))</f>
        <v>yyyy-09</v>
      </c>
      <c r="T133">
        <f>IF(E133="","",E133*100000+COUNTIFS(tblRegistros[ID],E133,tblRegistros[Data],"&lt;"&amp;B133)+COUNTIFS(tblRegistros[ID],E133,tblRegistros[Data],B133,tblRegistros[Início],"&lt;"&amp;I133)+COUNTIFS($E$5:E133,E133,$B$5:B133,B133,$I$5:I133,I133))</f>
        <v>101400013</v>
      </c>
    </row>
    <row r="134" spans="1:20">
      <c r="A134" t="s">
        <v>226</v>
      </c>
      <c r="B134" s="2">
        <f>IFERROR(INT(INDEX(tblBatidas[Data e hora],MATCH("B"&amp;MID($A134,2,99),tblBatidas[Batida ID],0))),"")</f>
        <v>46266</v>
      </c>
      <c r="C134" t="str">
        <f t="shared" si="8"/>
        <v>TERÇA-FEIRA</v>
      </c>
      <c r="D134" t="str">
        <f t="shared" si="9"/>
        <v>DIA ÚTIL</v>
      </c>
      <c r="E134">
        <f>IFERROR(INDEX(tblBatidas[ID],MATCH("B"&amp;MID($A134,2,99),tblBatidas[Batida ID],0)),"")</f>
        <v>1004</v>
      </c>
      <c r="F134" t="str">
        <f>IFERROR(INDEX(tblPessoas[Pessoa],MATCH(E134,tblPessoas[ID],0)),"")</f>
        <v>Angela Bertoli</v>
      </c>
      <c r="G134" t="str">
        <f>IFERROR(INDEX(tblBatidas[Projeto],MATCH("B"&amp;MID($A134,2,99),tblBatidas[Batida ID],0)),"")</f>
        <v>SICOOB CREDICOM</v>
      </c>
      <c r="H134" t="str">
        <f>IFERROR(INDEX(tblBatidas[Atividade],MATCH("B"&amp;MID($A134,2,99),tblBatidas[Batida ID],0)),"")</f>
        <v>CODIFICAÇÃO</v>
      </c>
      <c r="I134" s="4">
        <f>IFERROR(MOD(INDEX(tblBatidas[Data e hora],MATCH("B"&amp;MID($A134,2,99),tblBatidas[Batida ID],0)),1),"")</f>
        <v>0.86508101852086838</v>
      </c>
      <c r="J134" s="4">
        <f>IFERROR(MOD(INDEX(tblBatidas[Data e hora],MATCH("B"&amp;MID($A134,2,99),tblBatidas[Início vinculado],0)),1),"")</f>
        <v>0.92608796296553919</v>
      </c>
      <c r="K134" s="14">
        <f>IFERROR((INDEX(tblBatidas[Data e hora],MATCH("B"&amp;MID($A134,2,99),tblBatidas[Início vinculado],0))-INDEX(tblBatidas[Data e hora],MATCH("B"&amp;MID($A134,2,99),tblBatidas[Batida ID],0)))*24,"")</f>
        <v>1.4641666666720994</v>
      </c>
      <c r="L134" t="str">
        <f>IFERROR(INDEX(tblBatidas[Observação],MATCH("B"&amp;MID($A134,2,99),tblBatidas[Início vinculado],0)),"")</f>
        <v>controle dos links e organiação dos pix dos médicos</v>
      </c>
      <c r="M134" t="str">
        <f>IFERROR(INDEX(tblPessoas[Base],MATCH(E134,tblPessoas[ID],0)),"")</f>
        <v>Hora</v>
      </c>
      <c r="N134" s="3">
        <f>IFERROR(IF(D134="DIA ÚTIL",INDEX(tblPessoas[R$/h útil],MATCH(E134,tblPessoas[ID],0)),INDEX(tblPessoas[R$/h FDS],MATCH(E134,tblPessoas[ID],0))),0)</f>
        <v>21.5</v>
      </c>
      <c r="O134" s="3">
        <f>IFERROR(INDEX(tblPessoas[R$/diária],MATCH(E134,tblPessoas[ID],0)),0)</f>
        <v>0</v>
      </c>
      <c r="P134" s="3">
        <f t="shared" si="10"/>
        <v>31.479583333450137</v>
      </c>
      <c r="Q134" t="str">
        <f>IF(A134="","",IF(COUNTIF(tblBatidas[Início vinculado],"B"&amp;MID($A134,2,99))=0,"EM ABERTO",IF(OR(COUNTIF(tblBatidas[Início vinculado],"B"&amp;MID($A134,2,99))&gt;1,K134&lt;0,K134&gt;16,INT(INDEX(tblBatidas[Data e hora],MATCH("B"&amp;MID($A134,2,99),tblBatidas[Início vinculado],0)))&lt;&gt;B134,INDEX(tblBatidas[ID],MATCH("B"&amp;MID($A134,2,99),tblBatidas[Início vinculado],0))&lt;&gt;E134,INDEX(tblBatidas[Projeto],MATCH("B"&amp;MID($A134,2,99),tblBatidas[Início vinculado],0))&lt;&gt;G134,INDEX(tblBatidas[Atividade],MATCH("B"&amp;MID($A134,2,99),tblBatidas[Início vinculado],0))&lt;&gt;H134),"REVISAR","CONCLUÍDO")))</f>
        <v>CONCLUÍDO</v>
      </c>
      <c r="R134">
        <f>IF(Q134&lt;&gt;"CONCLUÍDO",0,IF(COUNTIFS($E$5:E134,E134,$B$5:B134,B134,$Q$5:Q134,"CONCLUÍDO")=1,1,0))</f>
        <v>0</v>
      </c>
      <c r="S134" t="str">
        <f t="shared" si="11"/>
        <v>yyyy-09</v>
      </c>
      <c r="T134">
        <f>IF(E134="","",E134*100000+COUNTIFS(tblRegistros[ID],E134,tblRegistros[Data],"&lt;"&amp;B134)+COUNTIFS(tblRegistros[ID],E134,tblRegistros[Data],B134,tblRegistros[Início],"&lt;"&amp;I134)+COUNTIFS($E$5:E134,E134,$B$5:B134,B134,$I$5:I134,I134))</f>
        <v>100400007</v>
      </c>
    </row>
    <row r="135" spans="1:20">
      <c r="A135" t="s">
        <v>227</v>
      </c>
      <c r="B135" s="2">
        <f>IFERROR(INT(INDEX(tblBatidas[Data e hora],MATCH("B"&amp;MID($A135,2,99),tblBatidas[Batida ID],0))),"")</f>
        <v>46267</v>
      </c>
      <c r="C135" t="str">
        <f t="shared" si="8"/>
        <v>QUARTA-FEIRA</v>
      </c>
      <c r="D135" t="str">
        <f t="shared" si="9"/>
        <v>DIA ÚTIL</v>
      </c>
      <c r="E135">
        <f>IFERROR(INDEX(tblBatidas[ID],MATCH("B"&amp;MID($A135,2,99),tblBatidas[Batida ID],0)),"")</f>
        <v>1003</v>
      </c>
      <c r="F135" t="str">
        <f>IFERROR(INDEX(tblPessoas[Pessoa],MATCH(E135,tblPessoas[ID],0)),"")</f>
        <v>Amanda do Carmo Ribeiro</v>
      </c>
      <c r="G135" t="str">
        <f>IFERROR(INDEX(tblBatidas[Projeto],MATCH("B"&amp;MID($A135,2,99),tblBatidas[Batida ID],0)),"")</f>
        <v>OTEMPO</v>
      </c>
      <c r="H135" t="str">
        <f>IFERROR(INDEX(tblBatidas[Atividade],MATCH("B"&amp;MID($A135,2,99),tblBatidas[Batida ID],0)),"")</f>
        <v>ANÁLISE</v>
      </c>
      <c r="I135" s="4">
        <f>IFERROR(MOD(INDEX(tblBatidas[Data e hora],MATCH("B"&amp;MID($A135,2,99),tblBatidas[Batida ID],0)),1),"")</f>
        <v>0.33171296296495711</v>
      </c>
      <c r="J135" s="4">
        <f>IFERROR(MOD(INDEX(tblBatidas[Data e hora],MATCH("B"&amp;MID($A135,2,99),tblBatidas[Início vinculado],0)),1),"")</f>
        <v>0.53120370370015735</v>
      </c>
      <c r="K135" s="14">
        <f>IFERROR((INDEX(tblBatidas[Data e hora],MATCH("B"&amp;MID($A135,2,99),tblBatidas[Início vinculado],0))-INDEX(tblBatidas[Data e hora],MATCH("B"&amp;MID($A135,2,99),tblBatidas[Batida ID],0)))*24,"")</f>
        <v>4.7877777776448056</v>
      </c>
      <c r="L135" t="str">
        <f>IFERROR(INDEX(tblBatidas[Observação],MATCH("B"&amp;MID($A135,2,99),tblBatidas[Início vinculado],0)),"")</f>
        <v>Elaboração do plano de processamento.</v>
      </c>
      <c r="M135" t="str">
        <f>IFERROR(INDEX(tblPessoas[Base],MATCH(E135,tblPessoas[ID],0)),"")</f>
        <v>Hora</v>
      </c>
      <c r="N135" s="3">
        <f>IFERROR(IF(D135="DIA ÚTIL",INDEX(tblPessoas[R$/h útil],MATCH(E135,tblPessoas[ID],0)),INDEX(tblPessoas[R$/h FDS],MATCH(E135,tblPessoas[ID],0))),0)</f>
        <v>23.5</v>
      </c>
      <c r="O135" s="3">
        <f>IFERROR(INDEX(tblPessoas[R$/diária],MATCH(E135,tblPessoas[ID],0)),0)</f>
        <v>0</v>
      </c>
      <c r="P135" s="3">
        <f t="shared" si="10"/>
        <v>112.51277777465293</v>
      </c>
      <c r="Q135" t="str">
        <f>IF(A135="","",IF(COUNTIF(tblBatidas[Início vinculado],"B"&amp;MID($A135,2,99))=0,"EM ABERTO",IF(OR(COUNTIF(tblBatidas[Início vinculado],"B"&amp;MID($A135,2,99))&gt;1,K135&lt;0,K135&gt;16,INT(INDEX(tblBatidas[Data e hora],MATCH("B"&amp;MID($A135,2,99),tblBatidas[Início vinculado],0)))&lt;&gt;B135,INDEX(tblBatidas[ID],MATCH("B"&amp;MID($A135,2,99),tblBatidas[Início vinculado],0))&lt;&gt;E135,INDEX(tblBatidas[Projeto],MATCH("B"&amp;MID($A135,2,99),tblBatidas[Início vinculado],0))&lt;&gt;G135,INDEX(tblBatidas[Atividade],MATCH("B"&amp;MID($A135,2,99),tblBatidas[Início vinculado],0))&lt;&gt;H135),"REVISAR","CONCLUÍDO")))</f>
        <v>CONCLUÍDO</v>
      </c>
      <c r="R135">
        <f>IF(Q135&lt;&gt;"CONCLUÍDO",0,IF(COUNTIFS($E$5:E135,E135,$B$5:B135,B135,$Q$5:Q135,"CONCLUÍDO")=1,1,0))</f>
        <v>1</v>
      </c>
      <c r="S135" t="str">
        <f t="shared" si="11"/>
        <v>yyyy-09</v>
      </c>
      <c r="T135">
        <f>IF(E135="","",E135*100000+COUNTIFS(tblRegistros[ID],E135,tblRegistros[Data],"&lt;"&amp;B135)+COUNTIFS(tblRegistros[ID],E135,tblRegistros[Data],B135,tblRegistros[Início],"&lt;"&amp;I135)+COUNTIFS($E$5:E135,E135,$B$5:B135,B135,$I$5:I135,I135))</f>
        <v>100300010</v>
      </c>
    </row>
    <row r="136" spans="1:20">
      <c r="A136" t="s">
        <v>228</v>
      </c>
      <c r="B136" s="2">
        <f>IFERROR(INT(INDEX(tblBatidas[Data e hora],MATCH("B"&amp;MID($A136,2,99),tblBatidas[Batida ID],0))),"")</f>
        <v>46267</v>
      </c>
      <c r="C136" t="str">
        <f t="shared" si="8"/>
        <v>QUARTA-FEIRA</v>
      </c>
      <c r="D136" t="str">
        <f t="shared" si="9"/>
        <v>DIA ÚTIL</v>
      </c>
      <c r="E136">
        <f>IFERROR(INDEX(tblBatidas[ID],MATCH("B"&amp;MID($A136,2,99),tblBatidas[Batida ID],0)),"")</f>
        <v>1011</v>
      </c>
      <c r="F136" t="str">
        <f>IFERROR(INDEX(tblPessoas[Pessoa],MATCH(E136,tblPessoas[ID],0)),"")</f>
        <v>Nathalia Arruda</v>
      </c>
      <c r="G136" t="str">
        <f>IFERROR(INDEX(tblBatidas[Projeto],MATCH("B"&amp;MID($A136,2,99),tblBatidas[Batida ID],0)),"")</f>
        <v>ESTADUAL - OTEMPO</v>
      </c>
      <c r="H136" t="str">
        <f>IFERROR(INDEX(tblBatidas[Atividade],MATCH("B"&amp;MID($A136,2,99),tblBatidas[Batida ID],0)),"")</f>
        <v>ANÁLISE</v>
      </c>
      <c r="I136" s="4">
        <f>IFERROR(MOD(INDEX(tblBatidas[Data e hora],MATCH("B"&amp;MID($A136,2,99),tblBatidas[Batida ID],0)),1),"")</f>
        <v>0.34538194444758119</v>
      </c>
      <c r="J136" s="4" t="str">
        <f>IFERROR(MOD(INDEX(tblBatidas[Data e hora],MATCH("B"&amp;MID($A136,2,99),tblBatidas[Início vinculado],0)),1),"")</f>
        <v/>
      </c>
      <c r="K136" s="14" t="str">
        <f>IFERROR((INDEX(tblBatidas[Data e hora],MATCH("B"&amp;MID($A136,2,99),tblBatidas[Início vinculado],0))-INDEX(tblBatidas[Data e hora],MATCH("B"&amp;MID($A136,2,99),tblBatidas[Batida ID],0)))*24,"")</f>
        <v/>
      </c>
      <c r="L136" t="str">
        <f>IFERROR(INDEX(tblBatidas[Observação],MATCH("B"&amp;MID($A136,2,99),tblBatidas[Início vinculado],0)),"")</f>
        <v/>
      </c>
      <c r="M136" t="str">
        <f>IFERROR(INDEX(tblPessoas[Base],MATCH(E136,tblPessoas[ID],0)),"")</f>
        <v>Hora</v>
      </c>
      <c r="N136" s="3">
        <f>IFERROR(IF(D136="DIA ÚTIL",INDEX(tblPessoas[R$/h útil],MATCH(E136,tblPessoas[ID],0)),INDEX(tblPessoas[R$/h FDS],MATCH(E136,tblPessoas[ID],0))),0)</f>
        <v>23.5</v>
      </c>
      <c r="O136" s="3">
        <f>IFERROR(INDEX(tblPessoas[R$/diária],MATCH(E136,tblPessoas[ID],0)),0)</f>
        <v>0</v>
      </c>
      <c r="P136" s="3" t="str">
        <f t="shared" si="10"/>
        <v/>
      </c>
      <c r="Q136" t="str">
        <f>IF(A136="","",IF(COUNTIF(tblBatidas[Início vinculado],"B"&amp;MID($A136,2,99))=0,"EM ABERTO",IF(OR(COUNTIF(tblBatidas[Início vinculado],"B"&amp;MID($A136,2,99))&gt;1,K136&lt;0,K136&gt;16,INT(INDEX(tblBatidas[Data e hora],MATCH("B"&amp;MID($A136,2,99),tblBatidas[Início vinculado],0)))&lt;&gt;B136,INDEX(tblBatidas[ID],MATCH("B"&amp;MID($A136,2,99),tblBatidas[Início vinculado],0))&lt;&gt;E136,INDEX(tblBatidas[Projeto],MATCH("B"&amp;MID($A136,2,99),tblBatidas[Início vinculado],0))&lt;&gt;G136,INDEX(tblBatidas[Atividade],MATCH("B"&amp;MID($A136,2,99),tblBatidas[Início vinculado],0))&lt;&gt;H136),"REVISAR","CONCLUÍDO")))</f>
        <v>EM ABERTO</v>
      </c>
      <c r="R136">
        <f>IF(Q136&lt;&gt;"CONCLUÍDO",0,IF(COUNTIFS($E$5:E136,E136,$B$5:B136,B136,$Q$5:Q136,"CONCLUÍDO")=1,1,0))</f>
        <v>0</v>
      </c>
      <c r="S136" t="str">
        <f t="shared" si="11"/>
        <v>yyyy-09</v>
      </c>
      <c r="T136">
        <f>IF(E136="","",E136*100000+COUNTIFS(tblRegistros[ID],E136,tblRegistros[Data],"&lt;"&amp;B136)+COUNTIFS(tblRegistros[ID],E136,tblRegistros[Data],B136,tblRegistros[Início],"&lt;"&amp;I136)+COUNTIFS($E$5:E136,E136,$B$5:B136,B136,$I$5:I136,I136))</f>
        <v>101100011</v>
      </c>
    </row>
    <row r="137" spans="1:20">
      <c r="A137" t="s">
        <v>229</v>
      </c>
      <c r="B137" s="2">
        <f>IFERROR(INT(INDEX(tblBatidas[Data e hora],MATCH("B"&amp;MID($A137,2,99),tblBatidas[Batida ID],0))),"")</f>
        <v>46267</v>
      </c>
      <c r="C137" t="str">
        <f t="shared" si="8"/>
        <v>QUARTA-FEIRA</v>
      </c>
      <c r="D137" t="str">
        <f t="shared" si="9"/>
        <v>DIA ÚTIL</v>
      </c>
      <c r="E137">
        <f>IFERROR(INDEX(tblBatidas[ID],MATCH("B"&amp;MID($A137,2,99),tblBatidas[Batida ID],0)),"")</f>
        <v>1001</v>
      </c>
      <c r="F137" t="str">
        <f>IFERROR(INDEX(tblPessoas[Pessoa],MATCH(E137,tblPessoas[ID],0)),"")</f>
        <v>Adriana Pereira dos Santos</v>
      </c>
      <c r="G137" t="str">
        <f>IFERROR(INDEX(tblBatidas[Projeto],MATCH("B"&amp;MID($A137,2,99),tblBatidas[Batida ID],0)),"")</f>
        <v>SICOOB CREDICOM</v>
      </c>
      <c r="H137" t="str">
        <f>IFERROR(INDEX(tblBatidas[Atividade],MATCH("B"&amp;MID($A137,2,99),tblBatidas[Batida ID],0)),"")</f>
        <v>SUPERVISÃO</v>
      </c>
      <c r="I137" s="4">
        <f>IFERROR(MOD(INDEX(tblBatidas[Data e hora],MATCH("B"&amp;MID($A137,2,99),tblBatidas[Batida ID],0)),1),"")</f>
        <v>0.36443287037400296</v>
      </c>
      <c r="J137" s="4" t="str">
        <f>IFERROR(MOD(INDEX(tblBatidas[Data e hora],MATCH("B"&amp;MID($A137,2,99),tblBatidas[Início vinculado],0)),1),"")</f>
        <v/>
      </c>
      <c r="K137" s="14" t="str">
        <f>IFERROR((INDEX(tblBatidas[Data e hora],MATCH("B"&amp;MID($A137,2,99),tblBatidas[Início vinculado],0))-INDEX(tblBatidas[Data e hora],MATCH("B"&amp;MID($A137,2,99),tblBatidas[Batida ID],0)))*24,"")</f>
        <v/>
      </c>
      <c r="L137" t="str">
        <f>IFERROR(INDEX(tblBatidas[Observação],MATCH("B"&amp;MID($A137,2,99),tblBatidas[Início vinculado],0)),"")</f>
        <v/>
      </c>
      <c r="M137" t="str">
        <f>IFERROR(INDEX(tblPessoas[Base],MATCH(E137,tblPessoas[ID],0)),"")</f>
        <v>Hora</v>
      </c>
      <c r="N137" s="3">
        <f>IFERROR(IF(D137="DIA ÚTIL",INDEX(tblPessoas[R$/h útil],MATCH(E137,tblPessoas[ID],0)),INDEX(tblPessoas[R$/h FDS],MATCH(E137,tblPessoas[ID],0))),0)</f>
        <v>17</v>
      </c>
      <c r="O137" s="3">
        <f>IFERROR(INDEX(tblPessoas[R$/diária],MATCH(E137,tblPessoas[ID],0)),0)</f>
        <v>0</v>
      </c>
      <c r="P137" s="3" t="str">
        <f t="shared" si="10"/>
        <v/>
      </c>
      <c r="Q137" t="str">
        <f>IF(A137="","",IF(COUNTIF(tblBatidas[Início vinculado],"B"&amp;MID($A137,2,99))=0,"EM ABERTO",IF(OR(COUNTIF(tblBatidas[Início vinculado],"B"&amp;MID($A137,2,99))&gt;1,K137&lt;0,K137&gt;16,INT(INDEX(tblBatidas[Data e hora],MATCH("B"&amp;MID($A137,2,99),tblBatidas[Início vinculado],0)))&lt;&gt;B137,INDEX(tblBatidas[ID],MATCH("B"&amp;MID($A137,2,99),tblBatidas[Início vinculado],0))&lt;&gt;E137,INDEX(tblBatidas[Projeto],MATCH("B"&amp;MID($A137,2,99),tblBatidas[Início vinculado],0))&lt;&gt;G137,INDEX(tblBatidas[Atividade],MATCH("B"&amp;MID($A137,2,99),tblBatidas[Início vinculado],0))&lt;&gt;H137),"REVISAR","CONCLUÍDO")))</f>
        <v>EM ABERTO</v>
      </c>
      <c r="R137">
        <f>IF(Q137&lt;&gt;"CONCLUÍDO",0,IF(COUNTIFS($E$5:E137,E137,$B$5:B137,B137,$Q$5:Q137,"CONCLUÍDO")=1,1,0))</f>
        <v>0</v>
      </c>
      <c r="S137" t="str">
        <f t="shared" si="11"/>
        <v>yyyy-09</v>
      </c>
      <c r="T137">
        <f>IF(E137="","",E137*100000+COUNTIFS(tblRegistros[ID],E137,tblRegistros[Data],"&lt;"&amp;B137)+COUNTIFS(tblRegistros[ID],E137,tblRegistros[Data],B137,tblRegistros[Início],"&lt;"&amp;I137)+COUNTIFS($E$5:E137,E137,$B$5:B137,B137,$I$5:I137,I137))</f>
        <v>100100014</v>
      </c>
    </row>
    <row r="138" spans="1:20">
      <c r="A138" t="s">
        <v>230</v>
      </c>
      <c r="B138" s="2">
        <f>IFERROR(INT(INDEX(tblBatidas[Data e hora],MATCH("B"&amp;MID($A138,2,99),tblBatidas[Batida ID],0))),"")</f>
        <v>46267</v>
      </c>
      <c r="C138" t="str">
        <f t="shared" si="8"/>
        <v>QUARTA-FEIRA</v>
      </c>
      <c r="D138" t="str">
        <f t="shared" si="9"/>
        <v>DIA ÚTIL</v>
      </c>
      <c r="E138">
        <f>IFERROR(INDEX(tblBatidas[ID],MATCH("B"&amp;MID($A138,2,99),tblBatidas[Batida ID],0)),"")</f>
        <v>1015</v>
      </c>
      <c r="F138" t="str">
        <f>IFERROR(INDEX(tblPessoas[Pessoa],MATCH(E138,tblPessoas[ID],0)),"")</f>
        <v>Vitor Guilherme Miguel Rocha</v>
      </c>
      <c r="G138" t="str">
        <f>IFERROR(INDEX(tblBatidas[Projeto],MATCH("B"&amp;MID($A138,2,99),tblBatidas[Batida ID],0)),"")</f>
        <v>ADMINISTRATIVO</v>
      </c>
      <c r="H138" t="str">
        <f>IFERROR(INDEX(tblBatidas[Atividade],MATCH("B"&amp;MID($A138,2,99),tblBatidas[Batida ID],0)),"")</f>
        <v>ADMINISTRATIVO</v>
      </c>
      <c r="I138" s="4">
        <f>IFERROR(MOD(INDEX(tblBatidas[Data e hora],MATCH("B"&amp;MID($A138,2,99),tblBatidas[Batida ID],0)),1),"")</f>
        <v>0.37151620370423188</v>
      </c>
      <c r="J138" s="4">
        <f>IFERROR(MOD(INDEX(tblBatidas[Data e hora],MATCH("B"&amp;MID($A138,2,99),tblBatidas[Início vinculado],0)),1),"")</f>
        <v>0.54413194444350665</v>
      </c>
      <c r="K138" s="14">
        <f>IFERROR((INDEX(tblBatidas[Data e hora],MATCH("B"&amp;MID($A138,2,99),tblBatidas[Início vinculado],0))-INDEX(tblBatidas[Data e hora],MATCH("B"&amp;MID($A138,2,99),tblBatidas[Batida ID],0)))*24,"")</f>
        <v>4.1427777777425945</v>
      </c>
      <c r="L138">
        <f>IFERROR(INDEX(tblBatidas[Observação],MATCH("B"&amp;MID($A138,2,99),tblBatidas[Início vinculado],0)),"")</f>
        <v>0</v>
      </c>
      <c r="M138" t="str">
        <f>IFERROR(INDEX(tblPessoas[Base],MATCH(E138,tblPessoas[ID],0)),"")</f>
        <v>Hora</v>
      </c>
      <c r="N138" s="3">
        <f>IFERROR(IF(D138="DIA ÚTIL",INDEX(tblPessoas[R$/h útil],MATCH(E138,tblPessoas[ID],0)),INDEX(tblPessoas[R$/h FDS],MATCH(E138,tblPessoas[ID],0))),0)</f>
        <v>21.5</v>
      </c>
      <c r="O138" s="3">
        <f>IFERROR(INDEX(tblPessoas[R$/diária],MATCH(E138,tblPessoas[ID],0)),0)</f>
        <v>0</v>
      </c>
      <c r="P138" s="3">
        <f t="shared" si="10"/>
        <v>89.069722221465781</v>
      </c>
      <c r="Q138" t="str">
        <f>IF(A138="","",IF(COUNTIF(tblBatidas[Início vinculado],"B"&amp;MID($A138,2,99))=0,"EM ABERTO",IF(OR(COUNTIF(tblBatidas[Início vinculado],"B"&amp;MID($A138,2,99))&gt;1,K138&lt;0,K138&gt;16,INT(INDEX(tblBatidas[Data e hora],MATCH("B"&amp;MID($A138,2,99),tblBatidas[Início vinculado],0)))&lt;&gt;B138,INDEX(tblBatidas[ID],MATCH("B"&amp;MID($A138,2,99),tblBatidas[Início vinculado],0))&lt;&gt;E138,INDEX(tblBatidas[Projeto],MATCH("B"&amp;MID($A138,2,99),tblBatidas[Início vinculado],0))&lt;&gt;G138,INDEX(tblBatidas[Atividade],MATCH("B"&amp;MID($A138,2,99),tblBatidas[Início vinculado],0))&lt;&gt;H138),"REVISAR","CONCLUÍDO")))</f>
        <v>CONCLUÍDO</v>
      </c>
      <c r="R138">
        <f>IF(Q138&lt;&gt;"CONCLUÍDO",0,IF(COUNTIFS($E$5:E138,E138,$B$5:B138,B138,$Q$5:Q138,"CONCLUÍDO")=1,1,0))</f>
        <v>1</v>
      </c>
      <c r="S138" t="str">
        <f t="shared" si="11"/>
        <v>yyyy-09</v>
      </c>
      <c r="T138">
        <f>IF(E138="","",E138*100000+COUNTIFS(tblRegistros[ID],E138,tblRegistros[Data],"&lt;"&amp;B138)+COUNTIFS(tblRegistros[ID],E138,tblRegistros[Data],B138,tblRegistros[Início],"&lt;"&amp;I138)+COUNTIFS($E$5:E138,E138,$B$5:B138,B138,$I$5:I138,I138))</f>
        <v>101500017</v>
      </c>
    </row>
    <row r="139" spans="1:20">
      <c r="A139" t="s">
        <v>231</v>
      </c>
      <c r="B139" s="2">
        <f>IFERROR(INT(INDEX(tblBatidas[Data e hora],MATCH("B"&amp;MID($A139,2,99),tblBatidas[Batida ID],0))),"")</f>
        <v>46267</v>
      </c>
      <c r="C139" t="str">
        <f t="shared" si="8"/>
        <v>QUARTA-FEIRA</v>
      </c>
      <c r="D139" t="str">
        <f t="shared" si="9"/>
        <v>DIA ÚTIL</v>
      </c>
      <c r="E139">
        <f>IFERROR(INDEX(tblBatidas[ID],MATCH("B"&amp;MID($A139,2,99),tblBatidas[Batida ID],0)),"")</f>
        <v>1002</v>
      </c>
      <c r="F139" t="str">
        <f>IFERROR(INDEX(tblPessoas[Pessoa],MATCH(E139,tblPessoas[ID],0)),"")</f>
        <v>Alex de Almeida Mariano</v>
      </c>
      <c r="G139" t="str">
        <f>IFERROR(INDEX(tblBatidas[Projeto],MATCH("B"&amp;MID($A139,2,99),tblBatidas[Batida ID],0)),"")</f>
        <v>CFI / ACCION</v>
      </c>
      <c r="H139" t="str">
        <f>IFERROR(INDEX(tblBatidas[Atividade],MATCH("B"&amp;MID($A139,2,99),tblBatidas[Batida ID],0)),"")</f>
        <v>ANÁLISE</v>
      </c>
      <c r="I139" s="4">
        <f>IFERROR(MOD(INDEX(tblBatidas[Data e hora],MATCH("B"&amp;MID($A139,2,99),tblBatidas[Batida ID],0)),1),"")</f>
        <v>0.37773148147971369</v>
      </c>
      <c r="J139" s="4">
        <f>IFERROR(MOD(INDEX(tblBatidas[Data e hora],MATCH("B"&amp;MID($A139,2,99),tblBatidas[Início vinculado],0)),1),"")</f>
        <v>0.75506944444350665</v>
      </c>
      <c r="K139" s="14">
        <f>IFERROR((INDEX(tblBatidas[Data e hora],MATCH("B"&amp;MID($A139,2,99),tblBatidas[Início vinculado],0))-INDEX(tblBatidas[Data e hora],MATCH("B"&amp;MID($A139,2,99),tblBatidas[Batida ID],0)))*24,"")</f>
        <v>9.0561111111310311</v>
      </c>
      <c r="L139">
        <f>IFERROR(INDEX(tblBatidas[Observação],MATCH("B"&amp;MID($A139,2,99),tblBatidas[Início vinculado],0)),"")</f>
        <v>0</v>
      </c>
      <c r="M139" t="str">
        <f>IFERROR(INDEX(tblPessoas[Base],MATCH(E139,tblPessoas[ID],0)),"")</f>
        <v>Hora</v>
      </c>
      <c r="N139" s="3">
        <f>IFERROR(IF(D139="DIA ÚTIL",INDEX(tblPessoas[R$/h útil],MATCH(E139,tblPessoas[ID],0)),INDEX(tblPessoas[R$/h FDS],MATCH(E139,tblPessoas[ID],0))),0)</f>
        <v>23.5</v>
      </c>
      <c r="O139" s="3">
        <f>IFERROR(INDEX(tblPessoas[R$/diária],MATCH(E139,tblPessoas[ID],0)),0)</f>
        <v>0</v>
      </c>
      <c r="P139" s="3">
        <f t="shared" si="10"/>
        <v>212.81861111157923</v>
      </c>
      <c r="Q139" t="str">
        <f>IF(A139="","",IF(COUNTIF(tblBatidas[Início vinculado],"B"&amp;MID($A139,2,99))=0,"EM ABERTO",IF(OR(COUNTIF(tblBatidas[Início vinculado],"B"&amp;MID($A139,2,99))&gt;1,K139&lt;0,K139&gt;16,INT(INDEX(tblBatidas[Data e hora],MATCH("B"&amp;MID($A139,2,99),tblBatidas[Início vinculado],0)))&lt;&gt;B139,INDEX(tblBatidas[ID],MATCH("B"&amp;MID($A139,2,99),tblBatidas[Início vinculado],0))&lt;&gt;E139,INDEX(tblBatidas[Projeto],MATCH("B"&amp;MID($A139,2,99),tblBatidas[Início vinculado],0))&lt;&gt;G139,INDEX(tblBatidas[Atividade],MATCH("B"&amp;MID($A139,2,99),tblBatidas[Início vinculado],0))&lt;&gt;H139),"REVISAR","CONCLUÍDO")))</f>
        <v>CONCLUÍDO</v>
      </c>
      <c r="R139">
        <f>IF(Q139&lt;&gt;"CONCLUÍDO",0,IF(COUNTIFS($E$5:E139,E139,$B$5:B139,B139,$Q$5:Q139,"CONCLUÍDO")=1,1,0))</f>
        <v>1</v>
      </c>
      <c r="S139" t="str">
        <f t="shared" si="11"/>
        <v>yyyy-09</v>
      </c>
      <c r="T139">
        <f>IF(E139="","",E139*100000+COUNTIFS(tblRegistros[ID],E139,tblRegistros[Data],"&lt;"&amp;B139)+COUNTIFS(tblRegistros[ID],E139,tblRegistros[Data],B139,tblRegistros[Início],"&lt;"&amp;I139)+COUNTIFS($E$5:E139,E139,$B$5:B139,B139,$I$5:I139,I139))</f>
        <v>100200006</v>
      </c>
    </row>
    <row r="140" spans="1:20">
      <c r="A140" t="s">
        <v>232</v>
      </c>
      <c r="B140" s="2">
        <f>IFERROR(INT(INDEX(tblBatidas[Data e hora],MATCH("B"&amp;MID($A140,2,99),tblBatidas[Batida ID],0))),"")</f>
        <v>46267</v>
      </c>
      <c r="C140" t="str">
        <f t="shared" si="8"/>
        <v>QUARTA-FEIRA</v>
      </c>
      <c r="D140" t="str">
        <f t="shared" si="9"/>
        <v>DIA ÚTIL</v>
      </c>
      <c r="E140">
        <f>IFERROR(INDEX(tblBatidas[ID],MATCH("B"&amp;MID($A140,2,99),tblBatidas[Batida ID],0)),"")</f>
        <v>1013</v>
      </c>
      <c r="F140" t="str">
        <f>IFERROR(INDEX(tblPessoas[Pessoa],MATCH(E140,tblPessoas[ID],0)),"")</f>
        <v>Rafaela Maria Resende Lara</v>
      </c>
      <c r="G140" t="str">
        <f>IFERROR(INDEX(tblBatidas[Projeto],MATCH("B"&amp;MID($A140,2,99),tblBatidas[Batida ID],0)),"")</f>
        <v>OTEMPO</v>
      </c>
      <c r="H140" t="str">
        <f>IFERROR(INDEX(tblBatidas[Atividade],MATCH("B"&amp;MID($A140,2,99),tblBatidas[Batida ID],0)),"")</f>
        <v>ANÁLISE</v>
      </c>
      <c r="I140" s="4">
        <f>IFERROR(MOD(INDEX(tblBatidas[Data e hora],MATCH("B"&amp;MID($A140,2,99),tblBatidas[Batida ID],0)),1),"")</f>
        <v>0.38571759259502869</v>
      </c>
      <c r="J140" s="4">
        <f>IFERROR(MOD(INDEX(tblBatidas[Data e hora],MATCH("B"&amp;MID($A140,2,99),tblBatidas[Início vinculado],0)),1),"")</f>
        <v>0.50020833333110204</v>
      </c>
      <c r="K140" s="14">
        <f>IFERROR((INDEX(tblBatidas[Data e hora],MATCH("B"&amp;MID($A140,2,99),tblBatidas[Início vinculado],0))-INDEX(tblBatidas[Data e hora],MATCH("B"&amp;MID($A140,2,99),tblBatidas[Batida ID],0)))*24,"")</f>
        <v>2.7477777776657604</v>
      </c>
      <c r="L140">
        <f>IFERROR(INDEX(tblBatidas[Observação],MATCH("B"&amp;MID($A140,2,99),tblBatidas[Início vinculado],0)),"")</f>
        <v>0</v>
      </c>
      <c r="M140" t="str">
        <f>IFERROR(INDEX(tblPessoas[Base],MATCH(E140,tblPessoas[ID],0)),"")</f>
        <v>Hora</v>
      </c>
      <c r="N140" s="3">
        <f>IFERROR(IF(D140="DIA ÚTIL",INDEX(tblPessoas[R$/h útil],MATCH(E140,tblPessoas[ID],0)),INDEX(tblPessoas[R$/h FDS],MATCH(E140,tblPessoas[ID],0))),0)</f>
        <v>23.5</v>
      </c>
      <c r="O140" s="3">
        <f>IFERROR(INDEX(tblPessoas[R$/diária],MATCH(E140,tblPessoas[ID],0)),0)</f>
        <v>0</v>
      </c>
      <c r="P140" s="3">
        <f t="shared" si="10"/>
        <v>64.572777775145369</v>
      </c>
      <c r="Q140" t="str">
        <f>IF(A140="","",IF(COUNTIF(tblBatidas[Início vinculado],"B"&amp;MID($A140,2,99))=0,"EM ABERTO",IF(OR(COUNTIF(tblBatidas[Início vinculado],"B"&amp;MID($A140,2,99))&gt;1,K140&lt;0,K140&gt;16,INT(INDEX(tblBatidas[Data e hora],MATCH("B"&amp;MID($A140,2,99),tblBatidas[Início vinculado],0)))&lt;&gt;B140,INDEX(tblBatidas[ID],MATCH("B"&amp;MID($A140,2,99),tblBatidas[Início vinculado],0))&lt;&gt;E140,INDEX(tblBatidas[Projeto],MATCH("B"&amp;MID($A140,2,99),tblBatidas[Início vinculado],0))&lt;&gt;G140,INDEX(tblBatidas[Atividade],MATCH("B"&amp;MID($A140,2,99),tblBatidas[Início vinculado],0))&lt;&gt;H140),"REVISAR","CONCLUÍDO")))</f>
        <v>CONCLUÍDO</v>
      </c>
      <c r="R140">
        <f>IF(Q140&lt;&gt;"CONCLUÍDO",0,IF(COUNTIFS($E$5:E140,E140,$B$5:B140,B140,$Q$5:Q140,"CONCLUÍDO")=1,1,0))</f>
        <v>1</v>
      </c>
      <c r="S140" t="str">
        <f t="shared" si="11"/>
        <v>yyyy-09</v>
      </c>
      <c r="T140">
        <f>IF(E140="","",E140*100000+COUNTIFS(tblRegistros[ID],E140,tblRegistros[Data],"&lt;"&amp;B140)+COUNTIFS(tblRegistros[ID],E140,tblRegistros[Data],B140,tblRegistros[Início],"&lt;"&amp;I140)+COUNTIFS($E$5:E140,E140,$B$5:B140,B140,$I$5:I140,I140))</f>
        <v>101300010</v>
      </c>
    </row>
    <row r="141" spans="1:20">
      <c r="A141" t="s">
        <v>233</v>
      </c>
      <c r="B141" s="2">
        <f>IFERROR(INT(INDEX(tblBatidas[Data e hora],MATCH("B"&amp;MID($A141,2,99),tblBatidas[Batida ID],0))),"")</f>
        <v>46267</v>
      </c>
      <c r="C141" t="str">
        <f t="shared" si="8"/>
        <v>QUARTA-FEIRA</v>
      </c>
      <c r="D141" t="str">
        <f t="shared" si="9"/>
        <v>DIA ÚTIL</v>
      </c>
      <c r="E141">
        <f>IFERROR(INDEX(tblBatidas[ID],MATCH("B"&amp;MID($A141,2,99),tblBatidas[Batida ID],0)),"")</f>
        <v>1012</v>
      </c>
      <c r="F141" t="str">
        <f>IFERROR(INDEX(tblPessoas[Pessoa],MATCH(E141,tblPessoas[ID],0)),"")</f>
        <v>Nelma Lucia dos S. B. Brandão</v>
      </c>
      <c r="G141" t="str">
        <f>IFERROR(INDEX(tblBatidas[Projeto],MATCH("B"&amp;MID($A141,2,99),tblBatidas[Batida ID],0)),"")</f>
        <v>OTEMPO</v>
      </c>
      <c r="H141" t="str">
        <f>IFERROR(INDEX(tblBatidas[Atividade],MATCH("B"&amp;MID($A141,2,99),tblBatidas[Batida ID],0)),"")</f>
        <v>SUPERVISÃO</v>
      </c>
      <c r="I141" s="4">
        <f>IFERROR(MOD(INDEX(tblBatidas[Data e hora],MATCH("B"&amp;MID($A141,2,99),tblBatidas[Batida ID],0)),1),"")</f>
        <v>0.38994212963007158</v>
      </c>
      <c r="J141" s="4" t="str">
        <f>IFERROR(MOD(INDEX(tblBatidas[Data e hora],MATCH("B"&amp;MID($A141,2,99),tblBatidas[Início vinculado],0)),1),"")</f>
        <v/>
      </c>
      <c r="K141" s="14" t="str">
        <f>IFERROR((INDEX(tblBatidas[Data e hora],MATCH("B"&amp;MID($A141,2,99),tblBatidas[Início vinculado],0))-INDEX(tblBatidas[Data e hora],MATCH("B"&amp;MID($A141,2,99),tblBatidas[Batida ID],0)))*24,"")</f>
        <v/>
      </c>
      <c r="L141" t="str">
        <f>IFERROR(INDEX(tblBatidas[Observação],MATCH("B"&amp;MID($A141,2,99),tblBatidas[Início vinculado],0)),"")</f>
        <v/>
      </c>
      <c r="M141" t="str">
        <f>IFERROR(INDEX(tblPessoas[Base],MATCH(E141,tblPessoas[ID],0)),"")</f>
        <v>Diária</v>
      </c>
      <c r="N141" s="3">
        <f>IFERROR(IF(D141="DIA ÚTIL",INDEX(tblPessoas[R$/h útil],MATCH(E141,tblPessoas[ID],0)),INDEX(tblPessoas[R$/h FDS],MATCH(E141,tblPessoas[ID],0))),0)</f>
        <v>0</v>
      </c>
      <c r="O141" s="3">
        <f>IFERROR(INDEX(tblPessoas[R$/diária],MATCH(E141,tblPessoas[ID],0)),0)</f>
        <v>222.72</v>
      </c>
      <c r="P141" s="3" t="str">
        <f t="shared" si="10"/>
        <v/>
      </c>
      <c r="Q141" t="str">
        <f>IF(A141="","",IF(COUNTIF(tblBatidas[Início vinculado],"B"&amp;MID($A141,2,99))=0,"EM ABERTO",IF(OR(COUNTIF(tblBatidas[Início vinculado],"B"&amp;MID($A141,2,99))&gt;1,K141&lt;0,K141&gt;16,INT(INDEX(tblBatidas[Data e hora],MATCH("B"&amp;MID($A141,2,99),tblBatidas[Início vinculado],0)))&lt;&gt;B141,INDEX(tblBatidas[ID],MATCH("B"&amp;MID($A141,2,99),tblBatidas[Início vinculado],0))&lt;&gt;E141,INDEX(tblBatidas[Projeto],MATCH("B"&amp;MID($A141,2,99),tblBatidas[Início vinculado],0))&lt;&gt;G141,INDEX(tblBatidas[Atividade],MATCH("B"&amp;MID($A141,2,99),tblBatidas[Início vinculado],0))&lt;&gt;H141),"REVISAR","CONCLUÍDO")))</f>
        <v>EM ABERTO</v>
      </c>
      <c r="R141">
        <f>IF(Q141&lt;&gt;"CONCLUÍDO",0,IF(COUNTIFS($E$5:E141,E141,$B$5:B141,B141,$Q$5:Q141,"CONCLUÍDO")=1,1,0))</f>
        <v>0</v>
      </c>
      <c r="S141" t="str">
        <f t="shared" si="11"/>
        <v>yyyy-09</v>
      </c>
      <c r="T141">
        <f>IF(E141="","",E141*100000+COUNTIFS(tblRegistros[ID],E141,tblRegistros[Data],"&lt;"&amp;B141)+COUNTIFS(tblRegistros[ID],E141,tblRegistros[Data],B141,tblRegistros[Início],"&lt;"&amp;I141)+COUNTIFS($E$5:E141,E141,$B$5:B141,B141,$I$5:I141,I141))</f>
        <v>101200019</v>
      </c>
    </row>
    <row r="142" spans="1:20">
      <c r="A142" t="s">
        <v>234</v>
      </c>
      <c r="B142" s="2">
        <f>IFERROR(INT(INDEX(tblBatidas[Data e hora],MATCH("B"&amp;MID($A142,2,99),tblBatidas[Batida ID],0))),"")</f>
        <v>46267</v>
      </c>
      <c r="C142" t="str">
        <f t="shared" si="8"/>
        <v>QUARTA-FEIRA</v>
      </c>
      <c r="D142" t="str">
        <f t="shared" si="9"/>
        <v>DIA ÚTIL</v>
      </c>
      <c r="E142">
        <f>IFERROR(INDEX(tblBatidas[ID],MATCH("B"&amp;MID($A142,2,99),tblBatidas[Batida ID],0)),"")</f>
        <v>1016</v>
      </c>
      <c r="F142" t="str">
        <f>IFERROR(INDEX(tblPessoas[Pessoa],MATCH(E142,tblPessoas[ID],0)),"")</f>
        <v>Ana Luisa Nardin</v>
      </c>
      <c r="G142" t="str">
        <f>IFERROR(INDEX(tblBatidas[Projeto],MATCH("B"&amp;MID($A142,2,99),tblBatidas[Batida ID],0)),"")</f>
        <v>CFI / ACCION</v>
      </c>
      <c r="H142" t="str">
        <f>IFERROR(INDEX(tblBatidas[Atividade],MATCH("B"&amp;MID($A142,2,99),tblBatidas[Batida ID],0)),"")</f>
        <v>ANÁLISE</v>
      </c>
      <c r="I142" s="4">
        <f>IFERROR(MOD(INDEX(tblBatidas[Data e hora],MATCH("B"&amp;MID($A142,2,99),tblBatidas[Batida ID],0)),1),"")</f>
        <v>0.39125000000058208</v>
      </c>
      <c r="J142" s="4">
        <f>IFERROR(MOD(INDEX(tblBatidas[Data e hora],MATCH("B"&amp;MID($A142,2,99),tblBatidas[Início vinculado],0)),1),"")</f>
        <v>0.52097222222073469</v>
      </c>
      <c r="K142" s="14">
        <f>IFERROR((INDEX(tblBatidas[Data e hora],MATCH("B"&amp;MID($A142,2,99),tblBatidas[Início vinculado],0))-INDEX(tblBatidas[Data e hora],MATCH("B"&amp;MID($A142,2,99),tblBatidas[Batida ID],0)))*24,"")</f>
        <v>3.1133333332836628</v>
      </c>
      <c r="L142">
        <f>IFERROR(INDEX(tblBatidas[Observação],MATCH("B"&amp;MID($A142,2,99),tblBatidas[Início vinculado],0)),"")</f>
        <v>0</v>
      </c>
      <c r="M142" t="str">
        <f>IFERROR(INDEX(tblPessoas[Base],MATCH(E142,tblPessoas[ID],0)),"")</f>
        <v>Hora</v>
      </c>
      <c r="N142" s="3">
        <f>IFERROR(IF(D142="DIA ÚTIL",INDEX(tblPessoas[R$/h útil],MATCH(E142,tblPessoas[ID],0)),INDEX(tblPessoas[R$/h FDS],MATCH(E142,tblPessoas[ID],0))),0)</f>
        <v>23.5</v>
      </c>
      <c r="O142" s="3">
        <f>IFERROR(INDEX(tblPessoas[R$/diária],MATCH(E142,tblPessoas[ID],0)),0)</f>
        <v>0</v>
      </c>
      <c r="P142" s="3">
        <f t="shared" si="10"/>
        <v>73.163333332166076</v>
      </c>
      <c r="Q142" t="str">
        <f>IF(A142="","",IF(COUNTIF(tblBatidas[Início vinculado],"B"&amp;MID($A142,2,99))=0,"EM ABERTO",IF(OR(COUNTIF(tblBatidas[Início vinculado],"B"&amp;MID($A142,2,99))&gt;1,K142&lt;0,K142&gt;16,INT(INDEX(tblBatidas[Data e hora],MATCH("B"&amp;MID($A142,2,99),tblBatidas[Início vinculado],0)))&lt;&gt;B142,INDEX(tblBatidas[ID],MATCH("B"&amp;MID($A142,2,99),tblBatidas[Início vinculado],0))&lt;&gt;E142,INDEX(tblBatidas[Projeto],MATCH("B"&amp;MID($A142,2,99),tblBatidas[Início vinculado],0))&lt;&gt;G142,INDEX(tblBatidas[Atividade],MATCH("B"&amp;MID($A142,2,99),tblBatidas[Início vinculado],0))&lt;&gt;H142),"REVISAR","CONCLUÍDO")))</f>
        <v>CONCLUÍDO</v>
      </c>
      <c r="R142">
        <f>IF(Q142&lt;&gt;"CONCLUÍDO",0,IF(COUNTIFS($E$5:E142,E142,$B$5:B142,B142,$Q$5:Q142,"CONCLUÍDO")=1,1,0))</f>
        <v>1</v>
      </c>
      <c r="S142" t="str">
        <f t="shared" si="11"/>
        <v>yyyy-09</v>
      </c>
      <c r="T142">
        <f>IF(E142="","",E142*100000+COUNTIFS(tblRegistros[ID],E142,tblRegistros[Data],"&lt;"&amp;B142)+COUNTIFS(tblRegistros[ID],E142,tblRegistros[Data],B142,tblRegistros[Início],"&lt;"&amp;I142)+COUNTIFS($E$5:E142,E142,$B$5:B142,B142,$I$5:I142,I142))</f>
        <v>101600017</v>
      </c>
    </row>
    <row r="143" spans="1:20">
      <c r="A143" t="s">
        <v>235</v>
      </c>
      <c r="B143" s="2">
        <f>IFERROR(INT(INDEX(tblBatidas[Data e hora],MATCH("B"&amp;MID($A143,2,99),tblBatidas[Batida ID],0))),"")</f>
        <v>46267</v>
      </c>
      <c r="C143" t="str">
        <f t="shared" si="8"/>
        <v>QUARTA-FEIRA</v>
      </c>
      <c r="D143" t="str">
        <f t="shared" si="9"/>
        <v>DIA ÚTIL</v>
      </c>
      <c r="E143">
        <f>IFERROR(INDEX(tblBatidas[ID],MATCH("B"&amp;MID($A143,2,99),tblBatidas[Batida ID],0)),"")</f>
        <v>1004</v>
      </c>
      <c r="F143" t="str">
        <f>IFERROR(INDEX(tblPessoas[Pessoa],MATCH(E143,tblPessoas[ID],0)),"")</f>
        <v>Angela Bertoli</v>
      </c>
      <c r="G143" t="str">
        <f>IFERROR(INDEX(tblBatidas[Projeto],MATCH("B"&amp;MID($A143,2,99),tblBatidas[Batida ID],0)),"")</f>
        <v>OTEMPO</v>
      </c>
      <c r="H143" t="str">
        <f>IFERROR(INDEX(tblBatidas[Atividade],MATCH("B"&amp;MID($A143,2,99),tblBatidas[Batida ID],0)),"")</f>
        <v>CODIFICAÇÃO</v>
      </c>
      <c r="I143" s="4">
        <f>IFERROR(MOD(INDEX(tblBatidas[Data e hora],MATCH("B"&amp;MID($A143,2,99),tblBatidas[Batida ID],0)),1),"")</f>
        <v>0.39431712962687016</v>
      </c>
      <c r="J143" s="4">
        <f>IFERROR(MOD(INDEX(tblBatidas[Data e hora],MATCH("B"&amp;MID($A143,2,99),tblBatidas[Início vinculado],0)),1),"")</f>
        <v>0.62449074073811062</v>
      </c>
      <c r="K143" s="14">
        <f>IFERROR((INDEX(tblBatidas[Data e hora],MATCH("B"&amp;MID($A143,2,99),tblBatidas[Início vinculado],0))-INDEX(tblBatidas[Data e hora],MATCH("B"&amp;MID($A143,2,99),tblBatidas[Batida ID],0)))*24,"")</f>
        <v>5.5241666666697711</v>
      </c>
      <c r="L143">
        <f>IFERROR(INDEX(tblBatidas[Observação],MATCH("B"&amp;MID($A143,2,99),tblBatidas[Início vinculado],0)),"")</f>
        <v>0</v>
      </c>
      <c r="M143" t="str">
        <f>IFERROR(INDEX(tblPessoas[Base],MATCH(E143,tblPessoas[ID],0)),"")</f>
        <v>Hora</v>
      </c>
      <c r="N143" s="3">
        <f>IFERROR(IF(D143="DIA ÚTIL",INDEX(tblPessoas[R$/h útil],MATCH(E143,tblPessoas[ID],0)),INDEX(tblPessoas[R$/h FDS],MATCH(E143,tblPessoas[ID],0))),0)</f>
        <v>21.5</v>
      </c>
      <c r="O143" s="3">
        <f>IFERROR(INDEX(tblPessoas[R$/diária],MATCH(E143,tblPessoas[ID],0)),0)</f>
        <v>0</v>
      </c>
      <c r="P143" s="3">
        <f t="shared" si="10"/>
        <v>118.76958333340008</v>
      </c>
      <c r="Q143" t="str">
        <f>IF(A143="","",IF(COUNTIF(tblBatidas[Início vinculado],"B"&amp;MID($A143,2,99))=0,"EM ABERTO",IF(OR(COUNTIF(tblBatidas[Início vinculado],"B"&amp;MID($A143,2,99))&gt;1,K143&lt;0,K143&gt;16,INT(INDEX(tblBatidas[Data e hora],MATCH("B"&amp;MID($A143,2,99),tblBatidas[Início vinculado],0)))&lt;&gt;B143,INDEX(tblBatidas[ID],MATCH("B"&amp;MID($A143,2,99),tblBatidas[Início vinculado],0))&lt;&gt;E143,INDEX(tblBatidas[Projeto],MATCH("B"&amp;MID($A143,2,99),tblBatidas[Início vinculado],0))&lt;&gt;G143,INDEX(tblBatidas[Atividade],MATCH("B"&amp;MID($A143,2,99),tblBatidas[Início vinculado],0))&lt;&gt;H143),"REVISAR","CONCLUÍDO")))</f>
        <v>CONCLUÍDO</v>
      </c>
      <c r="R143">
        <f>IF(Q143&lt;&gt;"CONCLUÍDO",0,IF(COUNTIFS($E$5:E143,E143,$B$5:B143,B143,$Q$5:Q143,"CONCLUÍDO")=1,1,0))</f>
        <v>1</v>
      </c>
      <c r="S143" t="str">
        <f t="shared" si="11"/>
        <v>yyyy-09</v>
      </c>
      <c r="T143">
        <f>IF(E143="","",E143*100000+COUNTIFS(tblRegistros[ID],E143,tblRegistros[Data],"&lt;"&amp;B143)+COUNTIFS(tblRegistros[ID],E143,tblRegistros[Data],B143,tblRegistros[Início],"&lt;"&amp;I143)+COUNTIFS($E$5:E143,E143,$B$5:B143,B143,$I$5:I143,I143))</f>
        <v>100400008</v>
      </c>
    </row>
    <row r="144" spans="1:20">
      <c r="A144" t="s">
        <v>236</v>
      </c>
      <c r="B144" s="2">
        <f>IFERROR(INT(INDEX(tblBatidas[Data e hora],MATCH("B"&amp;MID($A144,2,99),tblBatidas[Batida ID],0))),"")</f>
        <v>46267</v>
      </c>
      <c r="C144" t="str">
        <f t="shared" si="8"/>
        <v>QUARTA-FEIRA</v>
      </c>
      <c r="D144" t="str">
        <f t="shared" si="9"/>
        <v>DIA ÚTIL</v>
      </c>
      <c r="E144">
        <f>IFERROR(INDEX(tblBatidas[ID],MATCH("B"&amp;MID($A144,2,99),tblBatidas[Batida ID],0)),"")</f>
        <v>1014</v>
      </c>
      <c r="F144" t="str">
        <f>IFERROR(INDEX(tblPessoas[Pessoa],MATCH(E144,tblPessoas[ID],0)),"")</f>
        <v>Robert Filipe Orlando de Souza</v>
      </c>
      <c r="G144" t="str">
        <f>IFERROR(INDEX(tblBatidas[Projeto],MATCH("B"&amp;MID($A144,2,99),tblBatidas[Batida ID],0)),"")</f>
        <v>SICOOB CREDICOM</v>
      </c>
      <c r="H144" t="str">
        <f>IFERROR(INDEX(tblBatidas[Atividade],MATCH("B"&amp;MID($A144,2,99),tblBatidas[Batida ID],0)),"")</f>
        <v>CHECAGEM</v>
      </c>
      <c r="I144" s="4">
        <f>IFERROR(MOD(INDEX(tblBatidas[Data e hora],MATCH("B"&amp;MID($A144,2,99),tblBatidas[Batida ID],0)),1),"")</f>
        <v>0.40797453703999054</v>
      </c>
      <c r="J144" s="4">
        <f>IFERROR(MOD(INDEX(tblBatidas[Data e hora],MATCH("B"&amp;MID($A144,2,99),tblBatidas[Início vinculado],0)),1),"")</f>
        <v>0.52063657407416031</v>
      </c>
      <c r="K144" s="14">
        <f>IFERROR((INDEX(tblBatidas[Data e hora],MATCH("B"&amp;MID($A144,2,99),tblBatidas[Início vinculado],0))-INDEX(tblBatidas[Data e hora],MATCH("B"&amp;MID($A144,2,99),tblBatidas[Batida ID],0)))*24,"")</f>
        <v>2.7038888888200745</v>
      </c>
      <c r="L144">
        <f>IFERROR(INDEX(tblBatidas[Observação],MATCH("B"&amp;MID($A144,2,99),tblBatidas[Início vinculado],0)),"")</f>
        <v>0</v>
      </c>
      <c r="M144" t="str">
        <f>IFERROR(INDEX(tblPessoas[Base],MATCH(E144,tblPessoas[ID],0)),"")</f>
        <v>Hora</v>
      </c>
      <c r="N144" s="3">
        <f>IFERROR(IF(D144="DIA ÚTIL",INDEX(tblPessoas[R$/h útil],MATCH(E144,tblPessoas[ID],0)),INDEX(tblPessoas[R$/h FDS],MATCH(E144,tblPessoas[ID],0))),0)</f>
        <v>21.5</v>
      </c>
      <c r="O144" s="3">
        <f>IFERROR(INDEX(tblPessoas[R$/diária],MATCH(E144,tblPessoas[ID],0)),0)</f>
        <v>0</v>
      </c>
      <c r="P144" s="3">
        <f t="shared" si="10"/>
        <v>58.133611109631602</v>
      </c>
      <c r="Q144" t="str">
        <f>IF(A144="","",IF(COUNTIF(tblBatidas[Início vinculado],"B"&amp;MID($A144,2,99))=0,"EM ABERTO",IF(OR(COUNTIF(tblBatidas[Início vinculado],"B"&amp;MID($A144,2,99))&gt;1,K144&lt;0,K144&gt;16,INT(INDEX(tblBatidas[Data e hora],MATCH("B"&amp;MID($A144,2,99),tblBatidas[Início vinculado],0)))&lt;&gt;B144,INDEX(tblBatidas[ID],MATCH("B"&amp;MID($A144,2,99),tblBatidas[Início vinculado],0))&lt;&gt;E144,INDEX(tblBatidas[Projeto],MATCH("B"&amp;MID($A144,2,99),tblBatidas[Início vinculado],0))&lt;&gt;G144,INDEX(tblBatidas[Atividade],MATCH("B"&amp;MID($A144,2,99),tblBatidas[Início vinculado],0))&lt;&gt;H144),"REVISAR","CONCLUÍDO")))</f>
        <v>CONCLUÍDO</v>
      </c>
      <c r="R144">
        <f>IF(Q144&lt;&gt;"CONCLUÍDO",0,IF(COUNTIFS($E$5:E144,E144,$B$5:B144,B144,$Q$5:Q144,"CONCLUÍDO")=1,1,0))</f>
        <v>1</v>
      </c>
      <c r="S144" t="str">
        <f t="shared" si="11"/>
        <v>yyyy-09</v>
      </c>
      <c r="T144">
        <f>IF(E144="","",E144*100000+COUNTIFS(tblRegistros[ID],E144,tblRegistros[Data],"&lt;"&amp;B144)+COUNTIFS(tblRegistros[ID],E144,tblRegistros[Data],B144,tblRegistros[Início],"&lt;"&amp;I144)+COUNTIFS($E$5:E144,E144,$B$5:B144,B144,$I$5:I144,I144))</f>
        <v>101400014</v>
      </c>
    </row>
    <row r="145" spans="1:20">
      <c r="A145" t="s">
        <v>237</v>
      </c>
      <c r="B145" s="2">
        <f>IFERROR(INT(INDEX(tblBatidas[Data e hora],MATCH("B"&amp;MID($A145,2,99),tblBatidas[Batida ID],0))),"")</f>
        <v>46267</v>
      </c>
      <c r="C145" t="str">
        <f t="shared" si="8"/>
        <v>QUARTA-FEIRA</v>
      </c>
      <c r="D145" t="str">
        <f t="shared" si="9"/>
        <v>DIA ÚTIL</v>
      </c>
      <c r="E145">
        <f>IFERROR(INDEX(tblBatidas[ID],MATCH("B"&amp;MID($A145,2,99),tblBatidas[Batida ID],0)),"")</f>
        <v>1013</v>
      </c>
      <c r="F145" t="str">
        <f>IFERROR(INDEX(tblPessoas[Pessoa],MATCH(E145,tblPessoas[ID],0)),"")</f>
        <v>Rafaela Maria Resende Lara</v>
      </c>
      <c r="G145" t="str">
        <f>IFERROR(INDEX(tblBatidas[Projeto],MATCH("B"&amp;MID($A145,2,99),tblBatidas[Batida ID],0)),"")</f>
        <v>OTEMPO</v>
      </c>
      <c r="H145" t="str">
        <f>IFERROR(INDEX(tblBatidas[Atividade],MATCH("B"&amp;MID($A145,2,99),tblBatidas[Batida ID],0)),"")</f>
        <v>ANÁLISE</v>
      </c>
      <c r="I145" s="4">
        <f>IFERROR(MOD(INDEX(tblBatidas[Data e hora],MATCH("B"&amp;MID($A145,2,99),tblBatidas[Batida ID],0)),1),"")</f>
        <v>0.52709490740380716</v>
      </c>
      <c r="J145" s="4">
        <f>IFERROR(MOD(INDEX(tblBatidas[Data e hora],MATCH("B"&amp;MID($A145,2,99),tblBatidas[Início vinculado],0)),1),"")</f>
        <v>0.75034722222335404</v>
      </c>
      <c r="K145" s="14">
        <f>IFERROR((INDEX(tblBatidas[Data e hora],MATCH("B"&amp;MID($A145,2,99),tblBatidas[Início vinculado],0))-INDEX(tblBatidas[Data e hora],MATCH("B"&amp;MID($A145,2,99),tblBatidas[Batida ID],0)))*24,"")</f>
        <v>5.3580555556691252</v>
      </c>
      <c r="L145">
        <f>IFERROR(INDEX(tblBatidas[Observação],MATCH("B"&amp;MID($A145,2,99),tblBatidas[Início vinculado],0)),"")</f>
        <v>0</v>
      </c>
      <c r="M145" t="str">
        <f>IFERROR(INDEX(tblPessoas[Base],MATCH(E145,tblPessoas[ID],0)),"")</f>
        <v>Hora</v>
      </c>
      <c r="N145" s="3">
        <f>IFERROR(IF(D145="DIA ÚTIL",INDEX(tblPessoas[R$/h útil],MATCH(E145,tblPessoas[ID],0)),INDEX(tblPessoas[R$/h FDS],MATCH(E145,tblPessoas[ID],0))),0)</f>
        <v>23.5</v>
      </c>
      <c r="O145" s="3">
        <f>IFERROR(INDEX(tblPessoas[R$/diária],MATCH(E145,tblPessoas[ID],0)),0)</f>
        <v>0</v>
      </c>
      <c r="P145" s="3">
        <f t="shared" si="10"/>
        <v>125.91430555822444</v>
      </c>
      <c r="Q145" t="str">
        <f>IF(A145="","",IF(COUNTIF(tblBatidas[Início vinculado],"B"&amp;MID($A145,2,99))=0,"EM ABERTO",IF(OR(COUNTIF(tblBatidas[Início vinculado],"B"&amp;MID($A145,2,99))&gt;1,K145&lt;0,K145&gt;16,INT(INDEX(tblBatidas[Data e hora],MATCH("B"&amp;MID($A145,2,99),tblBatidas[Início vinculado],0)))&lt;&gt;B145,INDEX(tblBatidas[ID],MATCH("B"&amp;MID($A145,2,99),tblBatidas[Início vinculado],0))&lt;&gt;E145,INDEX(tblBatidas[Projeto],MATCH("B"&amp;MID($A145,2,99),tblBatidas[Início vinculado],0))&lt;&gt;G145,INDEX(tblBatidas[Atividade],MATCH("B"&amp;MID($A145,2,99),tblBatidas[Início vinculado],0))&lt;&gt;H145),"REVISAR","CONCLUÍDO")))</f>
        <v>CONCLUÍDO</v>
      </c>
      <c r="R145">
        <f>IF(Q145&lt;&gt;"CONCLUÍDO",0,IF(COUNTIFS($E$5:E145,E145,$B$5:B145,B145,$Q$5:Q145,"CONCLUÍDO")=1,1,0))</f>
        <v>0</v>
      </c>
      <c r="S145" t="str">
        <f t="shared" si="11"/>
        <v>yyyy-09</v>
      </c>
      <c r="T145">
        <f>IF(E145="","",E145*100000+COUNTIFS(tblRegistros[ID],E145,tblRegistros[Data],"&lt;"&amp;B145)+COUNTIFS(tblRegistros[ID],E145,tblRegistros[Data],B145,tblRegistros[Início],"&lt;"&amp;I145)+COUNTIFS($E$5:E145,E145,$B$5:B145,B145,$I$5:I145,I145))</f>
        <v>101300011</v>
      </c>
    </row>
    <row r="146" spans="1:20">
      <c r="A146" t="s">
        <v>238</v>
      </c>
      <c r="B146" s="2">
        <f>IFERROR(INT(INDEX(tblBatidas[Data e hora],MATCH("B"&amp;MID($A146,2,99),tblBatidas[Batida ID],0))),"")</f>
        <v>46267</v>
      </c>
      <c r="C146" t="str">
        <f t="shared" si="8"/>
        <v>QUARTA-FEIRA</v>
      </c>
      <c r="D146" t="str">
        <f t="shared" si="9"/>
        <v>DIA ÚTIL</v>
      </c>
      <c r="E146">
        <f>IFERROR(INDEX(tblBatidas[ID],MATCH("B"&amp;MID($A146,2,99),tblBatidas[Batida ID],0)),"")</f>
        <v>1006</v>
      </c>
      <c r="F146" t="str">
        <f>IFERROR(INDEX(tblPessoas[Pessoa],MATCH(E146,tblPessoas[ID],0)),"")</f>
        <v>Eliane dos Santos Oliveira</v>
      </c>
      <c r="G146" t="str">
        <f>IFERROR(INDEX(tblBatidas[Projeto],MATCH("B"&amp;MID($A146,2,99),tblBatidas[Batida ID],0)),"")</f>
        <v>OTEMPO</v>
      </c>
      <c r="H146" t="str">
        <f>IFERROR(INDEX(tblBatidas[Atividade],MATCH("B"&amp;MID($A146,2,99),tblBatidas[Batida ID],0)),"")</f>
        <v>CHECAGEM</v>
      </c>
      <c r="I146" s="4">
        <f>IFERROR(MOD(INDEX(tblBatidas[Data e hora],MATCH("B"&amp;MID($A146,2,99),tblBatidas[Batida ID],0)),1),"")</f>
        <v>0.54248842592642177</v>
      </c>
      <c r="J146" s="4">
        <f>IFERROR(MOD(INDEX(tblBatidas[Data e hora],MATCH("B"&amp;MID($A146,2,99),tblBatidas[Início vinculado],0)),1),"")</f>
        <v>0.71255787037080154</v>
      </c>
      <c r="K146" s="14">
        <f>IFERROR((INDEX(tblBatidas[Data e hora],MATCH("B"&amp;MID($A146,2,99),tblBatidas[Início vinculado],0))-INDEX(tblBatidas[Data e hora],MATCH("B"&amp;MID($A146,2,99),tblBatidas[Batida ID],0)))*24,"")</f>
        <v>4.0816666666651145</v>
      </c>
      <c r="L146" t="str">
        <f>IFERROR(INDEX(tblBatidas[Observação],MATCH("B"&amp;MID($A146,2,99),tblBatidas[Início vinculado],0)),"")</f>
        <v>checagem OTEMPO</v>
      </c>
      <c r="M146" t="str">
        <f>IFERROR(INDEX(tblPessoas[Base],MATCH(E146,tblPessoas[ID],0)),"")</f>
        <v>Hora</v>
      </c>
      <c r="N146" s="3">
        <f>IFERROR(IF(D146="DIA ÚTIL",INDEX(tblPessoas[R$/h útil],MATCH(E146,tblPessoas[ID],0)),INDEX(tblPessoas[R$/h FDS],MATCH(E146,tblPessoas[ID],0))),0)</f>
        <v>14</v>
      </c>
      <c r="O146" s="3">
        <f>IFERROR(INDEX(tblPessoas[R$/diária],MATCH(E146,tblPessoas[ID],0)),0)</f>
        <v>0</v>
      </c>
      <c r="P146" s="3">
        <f t="shared" si="10"/>
        <v>57.143333333311602</v>
      </c>
      <c r="Q146" t="str">
        <f>IF(A146="","",IF(COUNTIF(tblBatidas[Início vinculado],"B"&amp;MID($A146,2,99))=0,"EM ABERTO",IF(OR(COUNTIF(tblBatidas[Início vinculado],"B"&amp;MID($A146,2,99))&gt;1,K146&lt;0,K146&gt;16,INT(INDEX(tblBatidas[Data e hora],MATCH("B"&amp;MID($A146,2,99),tblBatidas[Início vinculado],0)))&lt;&gt;B146,INDEX(tblBatidas[ID],MATCH("B"&amp;MID($A146,2,99),tblBatidas[Início vinculado],0))&lt;&gt;E146,INDEX(tblBatidas[Projeto],MATCH("B"&amp;MID($A146,2,99),tblBatidas[Início vinculado],0))&lt;&gt;G146,INDEX(tblBatidas[Atividade],MATCH("B"&amp;MID($A146,2,99),tblBatidas[Início vinculado],0))&lt;&gt;H146),"REVISAR","CONCLUÍDO")))</f>
        <v>CONCLUÍDO</v>
      </c>
      <c r="R146">
        <f>IF(Q146&lt;&gt;"CONCLUÍDO",0,IF(COUNTIFS($E$5:E146,E146,$B$5:B146,B146,$Q$5:Q146,"CONCLUÍDO")=1,1,0))</f>
        <v>1</v>
      </c>
      <c r="S146" t="str">
        <f t="shared" si="11"/>
        <v>yyyy-09</v>
      </c>
      <c r="T146">
        <f>IF(E146="","",E146*100000+COUNTIFS(tblRegistros[ID],E146,tblRegistros[Data],"&lt;"&amp;B146)+COUNTIFS(tblRegistros[ID],E146,tblRegistros[Data],B146,tblRegistros[Início],"&lt;"&amp;I146)+COUNTIFS($E$5:E146,E146,$B$5:B146,B146,$I$5:I146,I146))</f>
        <v>100600015</v>
      </c>
    </row>
    <row r="147" spans="1:20">
      <c r="A147" t="s">
        <v>239</v>
      </c>
      <c r="B147" s="2">
        <f>IFERROR(INT(INDEX(tblBatidas[Data e hora],MATCH("B"&amp;MID($A147,2,99),tblBatidas[Batida ID],0))),"")</f>
        <v>46267</v>
      </c>
      <c r="C147" t="str">
        <f t="shared" si="8"/>
        <v>QUARTA-FEIRA</v>
      </c>
      <c r="D147" t="str">
        <f t="shared" si="9"/>
        <v>DIA ÚTIL</v>
      </c>
      <c r="E147">
        <f>IFERROR(INDEX(tblBatidas[ID],MATCH("B"&amp;MID($A147,2,99),tblBatidas[Batida ID],0)),"")</f>
        <v>1016</v>
      </c>
      <c r="F147" t="str">
        <f>IFERROR(INDEX(tblPessoas[Pessoa],MATCH(E147,tblPessoas[ID],0)),"")</f>
        <v>Ana Luisa Nardin</v>
      </c>
      <c r="G147" t="str">
        <f>IFERROR(INDEX(tblBatidas[Projeto],MATCH("B"&amp;MID($A147,2,99),tblBatidas[Batida ID],0)),"")</f>
        <v>CFI / ACCION</v>
      </c>
      <c r="H147" t="str">
        <f>IFERROR(INDEX(tblBatidas[Atividade],MATCH("B"&amp;MID($A147,2,99),tblBatidas[Batida ID],0)),"")</f>
        <v>ANÁLISE</v>
      </c>
      <c r="I147" s="4">
        <f>IFERROR(MOD(INDEX(tblBatidas[Data e hora],MATCH("B"&amp;MID($A147,2,99),tblBatidas[Batida ID],0)),1),"")</f>
        <v>0.57320601851824904</v>
      </c>
      <c r="J147" s="4">
        <f>IFERROR(MOD(INDEX(tblBatidas[Data e hora],MATCH("B"&amp;MID($A147,2,99),tblBatidas[Início vinculado],0)),1),"")</f>
        <v>0.75159722222451819</v>
      </c>
      <c r="K147" s="14">
        <f>IFERROR((INDEX(tblBatidas[Data e hora],MATCH("B"&amp;MID($A147,2,99),tblBatidas[Início vinculado],0))-INDEX(tblBatidas[Data e hora],MATCH("B"&amp;MID($A147,2,99),tblBatidas[Batida ID],0)))*24,"")</f>
        <v>4.2813888889504597</v>
      </c>
      <c r="L147">
        <f>IFERROR(INDEX(tblBatidas[Observação],MATCH("B"&amp;MID($A147,2,99),tblBatidas[Início vinculado],0)),"")</f>
        <v>0</v>
      </c>
      <c r="M147" t="str">
        <f>IFERROR(INDEX(tblPessoas[Base],MATCH(E147,tblPessoas[ID],0)),"")</f>
        <v>Hora</v>
      </c>
      <c r="N147" s="3">
        <f>IFERROR(IF(D147="DIA ÚTIL",INDEX(tblPessoas[R$/h útil],MATCH(E147,tblPessoas[ID],0)),INDEX(tblPessoas[R$/h FDS],MATCH(E147,tblPessoas[ID],0))),0)</f>
        <v>23.5</v>
      </c>
      <c r="O147" s="3">
        <f>IFERROR(INDEX(tblPessoas[R$/diária],MATCH(E147,tblPessoas[ID],0)),0)</f>
        <v>0</v>
      </c>
      <c r="P147" s="3">
        <f t="shared" si="10"/>
        <v>100.6126388903358</v>
      </c>
      <c r="Q147" t="str">
        <f>IF(A147="","",IF(COUNTIF(tblBatidas[Início vinculado],"B"&amp;MID($A147,2,99))=0,"EM ABERTO",IF(OR(COUNTIF(tblBatidas[Início vinculado],"B"&amp;MID($A147,2,99))&gt;1,K147&lt;0,K147&gt;16,INT(INDEX(tblBatidas[Data e hora],MATCH("B"&amp;MID($A147,2,99),tblBatidas[Início vinculado],0)))&lt;&gt;B147,INDEX(tblBatidas[ID],MATCH("B"&amp;MID($A147,2,99),tblBatidas[Início vinculado],0))&lt;&gt;E147,INDEX(tblBatidas[Projeto],MATCH("B"&amp;MID($A147,2,99),tblBatidas[Início vinculado],0))&lt;&gt;G147,INDEX(tblBatidas[Atividade],MATCH("B"&amp;MID($A147,2,99),tblBatidas[Início vinculado],0))&lt;&gt;H147),"REVISAR","CONCLUÍDO")))</f>
        <v>CONCLUÍDO</v>
      </c>
      <c r="R147">
        <f>IF(Q147&lt;&gt;"CONCLUÍDO",0,IF(COUNTIFS($E$5:E147,E147,$B$5:B147,B147,$Q$5:Q147,"CONCLUÍDO")=1,1,0))</f>
        <v>0</v>
      </c>
      <c r="S147" t="str">
        <f t="shared" si="11"/>
        <v>yyyy-09</v>
      </c>
      <c r="T147">
        <f>IF(E147="","",E147*100000+COUNTIFS(tblRegistros[ID],E147,tblRegistros[Data],"&lt;"&amp;B147)+COUNTIFS(tblRegistros[ID],E147,tblRegistros[Data],B147,tblRegistros[Início],"&lt;"&amp;I147)+COUNTIFS($E$5:E147,E147,$B$5:B147,B147,$I$5:I147,I147))</f>
        <v>101600018</v>
      </c>
    </row>
    <row r="148" spans="1:20">
      <c r="A148" t="s">
        <v>240</v>
      </c>
      <c r="B148" s="2">
        <f>IFERROR(INT(INDEX(tblBatidas[Data e hora],MATCH("B"&amp;MID($A148,2,99),tblBatidas[Batida ID],0))),"")</f>
        <v>46267</v>
      </c>
      <c r="C148" t="str">
        <f t="shared" si="8"/>
        <v>QUARTA-FEIRA</v>
      </c>
      <c r="D148" t="str">
        <f t="shared" si="9"/>
        <v>DIA ÚTIL</v>
      </c>
      <c r="E148">
        <f>IFERROR(INDEX(tblBatidas[ID],MATCH("B"&amp;MID($A148,2,99),tblBatidas[Batida ID],0)),"")</f>
        <v>1001</v>
      </c>
      <c r="F148" t="str">
        <f>IFERROR(INDEX(tblPessoas[Pessoa],MATCH(E148,tblPessoas[ID],0)),"")</f>
        <v>Adriana Pereira dos Santos</v>
      </c>
      <c r="G148" t="str">
        <f>IFERROR(INDEX(tblBatidas[Projeto],MATCH("B"&amp;MID($A148,2,99),tblBatidas[Batida ID],0)),"")</f>
        <v>SICOOB CREDICOM</v>
      </c>
      <c r="H148" t="str">
        <f>IFERROR(INDEX(tblBatidas[Atividade],MATCH("B"&amp;MID($A148,2,99),tblBatidas[Batida ID],0)),"")</f>
        <v>SUPERVISÃO</v>
      </c>
      <c r="I148" s="4">
        <f>IFERROR(MOD(INDEX(tblBatidas[Data e hora],MATCH("B"&amp;MID($A148,2,99),tblBatidas[Batida ID],0)),1),"")</f>
        <v>0.57535879629722331</v>
      </c>
      <c r="J148" s="4">
        <f>IFERROR(MOD(INDEX(tblBatidas[Data e hora],MATCH("B"&amp;MID($A148,2,99),tblBatidas[Início vinculado],0)),1),"")</f>
        <v>0.731863425928168</v>
      </c>
      <c r="K148" s="14">
        <f>IFERROR((INDEX(tblBatidas[Data e hora],MATCH("B"&amp;MID($A148,2,99),tblBatidas[Início vinculado],0))-INDEX(tblBatidas[Data e hora],MATCH("B"&amp;MID($A148,2,99),tblBatidas[Batida ID],0)))*24,"")</f>
        <v>3.7561111111426726</v>
      </c>
      <c r="L148">
        <f>IFERROR(INDEX(tblBatidas[Observação],MATCH("B"&amp;MID($A148,2,99),tblBatidas[Início vinculado],0)),"")</f>
        <v>0</v>
      </c>
      <c r="M148" t="str">
        <f>IFERROR(INDEX(tblPessoas[Base],MATCH(E148,tblPessoas[ID],0)),"")</f>
        <v>Hora</v>
      </c>
      <c r="N148" s="3">
        <f>IFERROR(IF(D148="DIA ÚTIL",INDEX(tblPessoas[R$/h útil],MATCH(E148,tblPessoas[ID],0)),INDEX(tblPessoas[R$/h FDS],MATCH(E148,tblPessoas[ID],0))),0)</f>
        <v>17</v>
      </c>
      <c r="O148" s="3">
        <f>IFERROR(INDEX(tblPessoas[R$/diária],MATCH(E148,tblPessoas[ID],0)),0)</f>
        <v>0</v>
      </c>
      <c r="P148" s="3">
        <f t="shared" si="10"/>
        <v>63.853888889425434</v>
      </c>
      <c r="Q148" t="str">
        <f>IF(A148="","",IF(COUNTIF(tblBatidas[Início vinculado],"B"&amp;MID($A148,2,99))=0,"EM ABERTO",IF(OR(COUNTIF(tblBatidas[Início vinculado],"B"&amp;MID($A148,2,99))&gt;1,K148&lt;0,K148&gt;16,INT(INDEX(tblBatidas[Data e hora],MATCH("B"&amp;MID($A148,2,99),tblBatidas[Início vinculado],0)))&lt;&gt;B148,INDEX(tblBatidas[ID],MATCH("B"&amp;MID($A148,2,99),tblBatidas[Início vinculado],0))&lt;&gt;E148,INDEX(tblBatidas[Projeto],MATCH("B"&amp;MID($A148,2,99),tblBatidas[Início vinculado],0))&lt;&gt;G148,INDEX(tblBatidas[Atividade],MATCH("B"&amp;MID($A148,2,99),tblBatidas[Início vinculado],0))&lt;&gt;H148),"REVISAR","CONCLUÍDO")))</f>
        <v>CONCLUÍDO</v>
      </c>
      <c r="R148">
        <f>IF(Q148&lt;&gt;"CONCLUÍDO",0,IF(COUNTIFS($E$5:E148,E148,$B$5:B148,B148,$Q$5:Q148,"CONCLUÍDO")=1,1,0))</f>
        <v>1</v>
      </c>
      <c r="S148" t="str">
        <f t="shared" si="11"/>
        <v>yyyy-09</v>
      </c>
      <c r="T148">
        <f>IF(E148="","",E148*100000+COUNTIFS(tblRegistros[ID],E148,tblRegistros[Data],"&lt;"&amp;B148)+COUNTIFS(tblRegistros[ID],E148,tblRegistros[Data],B148,tblRegistros[Início],"&lt;"&amp;I148)+COUNTIFS($E$5:E148,E148,$B$5:B148,B148,$I$5:I148,I148))</f>
        <v>100100015</v>
      </c>
    </row>
    <row r="149" spans="1:20">
      <c r="A149" t="s">
        <v>241</v>
      </c>
      <c r="B149" s="2">
        <f>IFERROR(INT(INDEX(tblBatidas[Data e hora],MATCH("B"&amp;MID($A149,2,99),tblBatidas[Batida ID],0))),"")</f>
        <v>46267</v>
      </c>
      <c r="C149" t="str">
        <f t="shared" si="8"/>
        <v>QUARTA-FEIRA</v>
      </c>
      <c r="D149" t="str">
        <f t="shared" si="9"/>
        <v>DIA ÚTIL</v>
      </c>
      <c r="E149">
        <f>IFERROR(INDEX(tblBatidas[ID],MATCH("B"&amp;MID($A149,2,99),tblBatidas[Batida ID],0)),"")</f>
        <v>1003</v>
      </c>
      <c r="F149" t="str">
        <f>IFERROR(INDEX(tblPessoas[Pessoa],MATCH(E149,tblPessoas[ID],0)),"")</f>
        <v>Amanda do Carmo Ribeiro</v>
      </c>
      <c r="G149" t="str">
        <f>IFERROR(INDEX(tblBatidas[Projeto],MATCH("B"&amp;MID($A149,2,99),tblBatidas[Batida ID],0)),"")</f>
        <v>OTEMPO</v>
      </c>
      <c r="H149" t="str">
        <f>IFERROR(INDEX(tblBatidas[Atividade],MATCH("B"&amp;MID($A149,2,99),tblBatidas[Batida ID],0)),"")</f>
        <v>ANÁLISE</v>
      </c>
      <c r="I149" s="4">
        <f>IFERROR(MOD(INDEX(tblBatidas[Data e hora],MATCH("B"&amp;MID($A149,2,99),tblBatidas[Batida ID],0)),1),"")</f>
        <v>0.57613425925956108</v>
      </c>
      <c r="J149" s="4">
        <f>IFERROR(MOD(INDEX(tblBatidas[Data e hora],MATCH("B"&amp;MID($A149,2,99),tblBatidas[Início vinculado],0)),1),"")</f>
        <v>0.74890046296059154</v>
      </c>
      <c r="K149" s="14">
        <f>IFERROR((INDEX(tblBatidas[Data e hora],MATCH("B"&amp;MID($A149,2,99),tblBatidas[Início vinculado],0))-INDEX(tblBatidas[Data e hora],MATCH("B"&amp;MID($A149,2,99),tblBatidas[Batida ID],0)))*24,"")</f>
        <v>4.1463888888247311</v>
      </c>
      <c r="L149">
        <f>IFERROR(INDEX(tblBatidas[Observação],MATCH("B"&amp;MID($A149,2,99),tblBatidas[Início vinculado],0)),"")</f>
        <v>0</v>
      </c>
      <c r="M149" t="str">
        <f>IFERROR(INDEX(tblPessoas[Base],MATCH(E149,tblPessoas[ID],0)),"")</f>
        <v>Hora</v>
      </c>
      <c r="N149" s="3">
        <f>IFERROR(IF(D149="DIA ÚTIL",INDEX(tblPessoas[R$/h útil],MATCH(E149,tblPessoas[ID],0)),INDEX(tblPessoas[R$/h FDS],MATCH(E149,tblPessoas[ID],0))),0)</f>
        <v>23.5</v>
      </c>
      <c r="O149" s="3">
        <f>IFERROR(INDEX(tblPessoas[R$/diária],MATCH(E149,tblPessoas[ID],0)),0)</f>
        <v>0</v>
      </c>
      <c r="P149" s="3">
        <f t="shared" si="10"/>
        <v>97.440138887381181</v>
      </c>
      <c r="Q149" t="str">
        <f>IF(A149="","",IF(COUNTIF(tblBatidas[Início vinculado],"B"&amp;MID($A149,2,99))=0,"EM ABERTO",IF(OR(COUNTIF(tblBatidas[Início vinculado],"B"&amp;MID($A149,2,99))&gt;1,K149&lt;0,K149&gt;16,INT(INDEX(tblBatidas[Data e hora],MATCH("B"&amp;MID($A149,2,99),tblBatidas[Início vinculado],0)))&lt;&gt;B149,INDEX(tblBatidas[ID],MATCH("B"&amp;MID($A149,2,99),tblBatidas[Início vinculado],0))&lt;&gt;E149,INDEX(tblBatidas[Projeto],MATCH("B"&amp;MID($A149,2,99),tblBatidas[Início vinculado],0))&lt;&gt;G149,INDEX(tblBatidas[Atividade],MATCH("B"&amp;MID($A149,2,99),tblBatidas[Início vinculado],0))&lt;&gt;H149),"REVISAR","CONCLUÍDO")))</f>
        <v>CONCLUÍDO</v>
      </c>
      <c r="R149">
        <f>IF(Q149&lt;&gt;"CONCLUÍDO",0,IF(COUNTIFS($E$5:E149,E149,$B$5:B149,B149,$Q$5:Q149,"CONCLUÍDO")=1,1,0))</f>
        <v>0</v>
      </c>
      <c r="S149" t="str">
        <f t="shared" si="11"/>
        <v>yyyy-09</v>
      </c>
      <c r="T149">
        <f>IF(E149="","",E149*100000+COUNTIFS(tblRegistros[ID],E149,tblRegistros[Data],"&lt;"&amp;B149)+COUNTIFS(tblRegistros[ID],E149,tblRegistros[Data],B149,tblRegistros[Início],"&lt;"&amp;I149)+COUNTIFS($E$5:E149,E149,$B$5:B149,B149,$I$5:I149,I149))</f>
        <v>100300011</v>
      </c>
    </row>
    <row r="150" spans="1:20">
      <c r="A150" t="s">
        <v>242</v>
      </c>
      <c r="B150" s="2">
        <f>IFERROR(INT(INDEX(tblBatidas[Data e hora],MATCH("B"&amp;MID($A150,2,99),tblBatidas[Batida ID],0))),"")</f>
        <v>46267</v>
      </c>
      <c r="C150" t="str">
        <f t="shared" si="8"/>
        <v>QUARTA-FEIRA</v>
      </c>
      <c r="D150" t="str">
        <f t="shared" si="9"/>
        <v>DIA ÚTIL</v>
      </c>
      <c r="E150">
        <f>IFERROR(INDEX(tblBatidas[ID],MATCH("B"&amp;MID($A150,2,99),tblBatidas[Batida ID],0)),"")</f>
        <v>1015</v>
      </c>
      <c r="F150" t="str">
        <f>IFERROR(INDEX(tblPessoas[Pessoa],MATCH(E150,tblPessoas[ID],0)),"")</f>
        <v>Vitor Guilherme Miguel Rocha</v>
      </c>
      <c r="G150" t="str">
        <f>IFERROR(INDEX(tblBatidas[Projeto],MATCH("B"&amp;MID($A150,2,99),tblBatidas[Batida ID],0)),"")</f>
        <v>ADMINISTRATIVO</v>
      </c>
      <c r="H150" t="str">
        <f>IFERROR(INDEX(tblBatidas[Atividade],MATCH("B"&amp;MID($A150,2,99),tblBatidas[Batida ID],0)),"")</f>
        <v>ADMINISTRATIVO</v>
      </c>
      <c r="I150" s="4">
        <f>IFERROR(MOD(INDEX(tblBatidas[Data e hora],MATCH("B"&amp;MID($A150,2,99),tblBatidas[Batida ID],0)),1),"")</f>
        <v>0.58307870370481396</v>
      </c>
      <c r="J150" s="4">
        <f>IFERROR(MOD(INDEX(tblBatidas[Data e hora],MATCH("B"&amp;MID($A150,2,99),tblBatidas[Início vinculado],0)),1),"")</f>
        <v>0.75309027777984738</v>
      </c>
      <c r="K150" s="14">
        <f>IFERROR((INDEX(tblBatidas[Data e hora],MATCH("B"&amp;MID($A150,2,99),tblBatidas[Início vinculado],0))-INDEX(tblBatidas[Data e hora],MATCH("B"&amp;MID($A150,2,99),tblBatidas[Batida ID],0)))*24,"")</f>
        <v>4.0802777778008021</v>
      </c>
      <c r="L150">
        <f>IFERROR(INDEX(tblBatidas[Observação],MATCH("B"&amp;MID($A150,2,99),tblBatidas[Início vinculado],0)),"")</f>
        <v>0</v>
      </c>
      <c r="M150" t="str">
        <f>IFERROR(INDEX(tblPessoas[Base],MATCH(E150,tblPessoas[ID],0)),"")</f>
        <v>Hora</v>
      </c>
      <c r="N150" s="3">
        <f>IFERROR(IF(D150="DIA ÚTIL",INDEX(tblPessoas[R$/h útil],MATCH(E150,tblPessoas[ID],0)),INDEX(tblPessoas[R$/h FDS],MATCH(E150,tblPessoas[ID],0))),0)</f>
        <v>21.5</v>
      </c>
      <c r="O150" s="3">
        <f>IFERROR(INDEX(tblPessoas[R$/diária],MATCH(E150,tblPessoas[ID],0)),0)</f>
        <v>0</v>
      </c>
      <c r="P150" s="3">
        <f t="shared" si="10"/>
        <v>87.725972222717246</v>
      </c>
      <c r="Q150" t="str">
        <f>IF(A150="","",IF(COUNTIF(tblBatidas[Início vinculado],"B"&amp;MID($A150,2,99))=0,"EM ABERTO",IF(OR(COUNTIF(tblBatidas[Início vinculado],"B"&amp;MID($A150,2,99))&gt;1,K150&lt;0,K150&gt;16,INT(INDEX(tblBatidas[Data e hora],MATCH("B"&amp;MID($A150,2,99),tblBatidas[Início vinculado],0)))&lt;&gt;B150,INDEX(tblBatidas[ID],MATCH("B"&amp;MID($A150,2,99),tblBatidas[Início vinculado],0))&lt;&gt;E150,INDEX(tblBatidas[Projeto],MATCH("B"&amp;MID($A150,2,99),tblBatidas[Início vinculado],0))&lt;&gt;G150,INDEX(tblBatidas[Atividade],MATCH("B"&amp;MID($A150,2,99),tblBatidas[Início vinculado],0))&lt;&gt;H150),"REVISAR","CONCLUÍDO")))</f>
        <v>CONCLUÍDO</v>
      </c>
      <c r="R150">
        <f>IF(Q150&lt;&gt;"CONCLUÍDO",0,IF(COUNTIFS($E$5:E150,E150,$B$5:B150,B150,$Q$5:Q150,"CONCLUÍDO")=1,1,0))</f>
        <v>0</v>
      </c>
      <c r="S150" t="str">
        <f t="shared" si="11"/>
        <v>yyyy-09</v>
      </c>
      <c r="T150">
        <f>IF(E150="","",E150*100000+COUNTIFS(tblRegistros[ID],E150,tblRegistros[Data],"&lt;"&amp;B150)+COUNTIFS(tblRegistros[ID],E150,tblRegistros[Data],B150,tblRegistros[Início],"&lt;"&amp;I150)+COUNTIFS($E$5:E150,E150,$B$5:B150,B150,$I$5:I150,I150))</f>
        <v>101500018</v>
      </c>
    </row>
    <row r="151" spans="1:20">
      <c r="A151" t="s">
        <v>243</v>
      </c>
      <c r="B151" s="2">
        <f>IFERROR(INT(INDEX(tblBatidas[Data e hora],MATCH("B"&amp;MID($A151,2,99),tblBatidas[Batida ID],0))),"")</f>
        <v>46267</v>
      </c>
      <c r="C151" t="str">
        <f t="shared" si="8"/>
        <v>QUARTA-FEIRA</v>
      </c>
      <c r="D151" t="str">
        <f t="shared" si="9"/>
        <v>DIA ÚTIL</v>
      </c>
      <c r="E151">
        <f>IFERROR(INDEX(tblBatidas[ID],MATCH("B"&amp;MID($A151,2,99),tblBatidas[Batida ID],0)),"")</f>
        <v>1004</v>
      </c>
      <c r="F151" t="str">
        <f>IFERROR(INDEX(tblPessoas[Pessoa],MATCH(E151,tblPessoas[ID],0)),"")</f>
        <v>Angela Bertoli</v>
      </c>
      <c r="G151" t="str">
        <f>IFERROR(INDEX(tblBatidas[Projeto],MATCH("B"&amp;MID($A151,2,99),tblBatidas[Batida ID],0)),"")</f>
        <v>OTEMPO</v>
      </c>
      <c r="H151" t="str">
        <f>IFERROR(INDEX(tblBatidas[Atividade],MATCH("B"&amp;MID($A151,2,99),tblBatidas[Batida ID],0)),"")</f>
        <v>CODIFICAÇÃO</v>
      </c>
      <c r="I151" s="4">
        <f>IFERROR(MOD(INDEX(tblBatidas[Data e hora],MATCH("B"&amp;MID($A151,2,99),tblBatidas[Batida ID],0)),1),"")</f>
        <v>0.71425925925723277</v>
      </c>
      <c r="J151" s="4">
        <f>IFERROR(MOD(INDEX(tblBatidas[Data e hora],MATCH("B"&amp;MID($A151,2,99),tblBatidas[Início vinculado],0)),1),"")</f>
        <v>0.8372800925935735</v>
      </c>
      <c r="K151" s="14">
        <f>IFERROR((INDEX(tblBatidas[Data e hora],MATCH("B"&amp;MID($A151,2,99),tblBatidas[Início vinculado],0))-INDEX(tblBatidas[Data e hora],MATCH("B"&amp;MID($A151,2,99),tblBatidas[Batida ID],0)))*24,"")</f>
        <v>2.9525000000721775</v>
      </c>
      <c r="L151">
        <f>IFERROR(INDEX(tblBatidas[Observação],MATCH("B"&amp;MID($A151,2,99),tblBatidas[Início vinculado],0)),"")</f>
        <v>0</v>
      </c>
      <c r="M151" t="str">
        <f>IFERROR(INDEX(tblPessoas[Base],MATCH(E151,tblPessoas[ID],0)),"")</f>
        <v>Hora</v>
      </c>
      <c r="N151" s="3">
        <f>IFERROR(IF(D151="DIA ÚTIL",INDEX(tblPessoas[R$/h útil],MATCH(E151,tblPessoas[ID],0)),INDEX(tblPessoas[R$/h FDS],MATCH(E151,tblPessoas[ID],0))),0)</f>
        <v>21.5</v>
      </c>
      <c r="O151" s="3">
        <f>IFERROR(INDEX(tblPessoas[R$/diária],MATCH(E151,tblPessoas[ID],0)),0)</f>
        <v>0</v>
      </c>
      <c r="P151" s="3">
        <f t="shared" si="10"/>
        <v>63.478750001551816</v>
      </c>
      <c r="Q151" t="str">
        <f>IF(A151="","",IF(COUNTIF(tblBatidas[Início vinculado],"B"&amp;MID($A151,2,99))=0,"EM ABERTO",IF(OR(COUNTIF(tblBatidas[Início vinculado],"B"&amp;MID($A151,2,99))&gt;1,K151&lt;0,K151&gt;16,INT(INDEX(tblBatidas[Data e hora],MATCH("B"&amp;MID($A151,2,99),tblBatidas[Início vinculado],0)))&lt;&gt;B151,INDEX(tblBatidas[ID],MATCH("B"&amp;MID($A151,2,99),tblBatidas[Início vinculado],0))&lt;&gt;E151,INDEX(tblBatidas[Projeto],MATCH("B"&amp;MID($A151,2,99),tblBatidas[Início vinculado],0))&lt;&gt;G151,INDEX(tblBatidas[Atividade],MATCH("B"&amp;MID($A151,2,99),tblBatidas[Início vinculado],0))&lt;&gt;H151),"REVISAR","CONCLUÍDO")))</f>
        <v>CONCLUÍDO</v>
      </c>
      <c r="R151">
        <f>IF(Q151&lt;&gt;"CONCLUÍDO",0,IF(COUNTIFS($E$5:E151,E151,$B$5:B151,B151,$Q$5:Q151,"CONCLUÍDO")=1,1,0))</f>
        <v>0</v>
      </c>
      <c r="S151" t="str">
        <f t="shared" si="11"/>
        <v>yyyy-09</v>
      </c>
      <c r="T151">
        <f>IF(E151="","",E151*100000+COUNTIFS(tblRegistros[ID],E151,tblRegistros[Data],"&lt;"&amp;B151)+COUNTIFS(tblRegistros[ID],E151,tblRegistros[Data],B151,tblRegistros[Início],"&lt;"&amp;I151)+COUNTIFS($E$5:E151,E151,$B$5:B151,B151,$I$5:I151,I151))</f>
        <v>100400009</v>
      </c>
    </row>
    <row r="152" spans="1:20">
      <c r="A152" t="s">
        <v>244</v>
      </c>
      <c r="B152" s="2">
        <f>IFERROR(INT(INDEX(tblBatidas[Data e hora],MATCH("B"&amp;MID($A152,2,99),tblBatidas[Batida ID],0))),"")</f>
        <v>46268</v>
      </c>
      <c r="C152" t="str">
        <f t="shared" si="8"/>
        <v>QUINTA-FEIRA</v>
      </c>
      <c r="D152" t="str">
        <f t="shared" si="9"/>
        <v>DIA ÚTIL</v>
      </c>
      <c r="E152">
        <f>IFERROR(INDEX(tblBatidas[ID],MATCH("B"&amp;MID($A152,2,99),tblBatidas[Batida ID],0)),"")</f>
        <v>1002</v>
      </c>
      <c r="F152" t="str">
        <f>IFERROR(INDEX(tblPessoas[Pessoa],MATCH(E152,tblPessoas[ID],0)),"")</f>
        <v>Alex de Almeida Mariano</v>
      </c>
      <c r="G152" t="str">
        <f>IFERROR(INDEX(tblBatidas[Projeto],MATCH("B"&amp;MID($A152,2,99),tblBatidas[Batida ID],0)),"")</f>
        <v>CFI / ACCION</v>
      </c>
      <c r="H152" t="str">
        <f>IFERROR(INDEX(tblBatidas[Atividade],MATCH("B"&amp;MID($A152,2,99),tblBatidas[Batida ID],0)),"")</f>
        <v>ANÁLISE</v>
      </c>
      <c r="I152" s="4">
        <f>IFERROR(MOD(INDEX(tblBatidas[Data e hora],MATCH("B"&amp;MID($A152,2,99),tblBatidas[Batida ID],0)),1),"")</f>
        <v>0.31961805555329192</v>
      </c>
      <c r="J152" s="4">
        <f>IFERROR(MOD(INDEX(tblBatidas[Data e hora],MATCH("B"&amp;MID($A152,2,99),tblBatidas[Início vinculado],0)),1),"")</f>
        <v>0.75568287036730908</v>
      </c>
      <c r="K152" s="14">
        <f>IFERROR((INDEX(tblBatidas[Data e hora],MATCH("B"&amp;MID($A152,2,99),tblBatidas[Início vinculado],0))-INDEX(tblBatidas[Data e hora],MATCH("B"&amp;MID($A152,2,99),tblBatidas[Batida ID],0)))*24,"")</f>
        <v>10.465555555536412</v>
      </c>
      <c r="L152">
        <f>IFERROR(INDEX(tblBatidas[Observação],MATCH("B"&amp;MID($A152,2,99),tblBatidas[Início vinculado],0)),"")</f>
        <v>0</v>
      </c>
      <c r="M152" t="str">
        <f>IFERROR(INDEX(tblPessoas[Base],MATCH(E152,tblPessoas[ID],0)),"")</f>
        <v>Hora</v>
      </c>
      <c r="N152" s="3">
        <f>IFERROR(IF(D152="DIA ÚTIL",INDEX(tblPessoas[R$/h útil],MATCH(E152,tblPessoas[ID],0)),INDEX(tblPessoas[R$/h FDS],MATCH(E152,tblPessoas[ID],0))),0)</f>
        <v>23.5</v>
      </c>
      <c r="O152" s="3">
        <f>IFERROR(INDEX(tblPessoas[R$/diária],MATCH(E152,tblPessoas[ID],0)),0)</f>
        <v>0</v>
      </c>
      <c r="P152" s="3">
        <f t="shared" si="10"/>
        <v>245.94055555510568</v>
      </c>
      <c r="Q152" t="str">
        <f>IF(A152="","",IF(COUNTIF(tblBatidas[Início vinculado],"B"&amp;MID($A152,2,99))=0,"EM ABERTO",IF(OR(COUNTIF(tblBatidas[Início vinculado],"B"&amp;MID($A152,2,99))&gt;1,K152&lt;0,K152&gt;16,INT(INDEX(tblBatidas[Data e hora],MATCH("B"&amp;MID($A152,2,99),tblBatidas[Início vinculado],0)))&lt;&gt;B152,INDEX(tblBatidas[ID],MATCH("B"&amp;MID($A152,2,99),tblBatidas[Início vinculado],0))&lt;&gt;E152,INDEX(tblBatidas[Projeto],MATCH("B"&amp;MID($A152,2,99),tblBatidas[Início vinculado],0))&lt;&gt;G152,INDEX(tblBatidas[Atividade],MATCH("B"&amp;MID($A152,2,99),tblBatidas[Início vinculado],0))&lt;&gt;H152),"REVISAR","CONCLUÍDO")))</f>
        <v>CONCLUÍDO</v>
      </c>
      <c r="R152">
        <f>IF(Q152&lt;&gt;"CONCLUÍDO",0,IF(COUNTIFS($E$5:E152,E152,$B$5:B152,B152,$Q$5:Q152,"CONCLUÍDO")=1,1,0))</f>
        <v>1</v>
      </c>
      <c r="S152" t="str">
        <f t="shared" si="11"/>
        <v>yyyy-09</v>
      </c>
      <c r="T152">
        <f>IF(E152="","",E152*100000+COUNTIFS(tblRegistros[ID],E152,tblRegistros[Data],"&lt;"&amp;B152)+COUNTIFS(tblRegistros[ID],E152,tblRegistros[Data],B152,tblRegistros[Início],"&lt;"&amp;I152)+COUNTIFS($E$5:E152,E152,$B$5:B152,B152,$I$5:I152,I152))</f>
        <v>100200007</v>
      </c>
    </row>
    <row r="153" spans="1:20">
      <c r="A153" t="s">
        <v>245</v>
      </c>
      <c r="B153" s="2">
        <f>IFERROR(INT(INDEX(tblBatidas[Data e hora],MATCH("B"&amp;MID($A153,2,99),tblBatidas[Batida ID],0))),"")</f>
        <v>46268</v>
      </c>
      <c r="C153" t="str">
        <f t="shared" si="8"/>
        <v>QUINTA-FEIRA</v>
      </c>
      <c r="D153" t="str">
        <f t="shared" si="9"/>
        <v>DIA ÚTIL</v>
      </c>
      <c r="E153">
        <f>IFERROR(INDEX(tblBatidas[ID],MATCH("B"&amp;MID($A153,2,99),tblBatidas[Batida ID],0)),"")</f>
        <v>1011</v>
      </c>
      <c r="F153" t="str">
        <f>IFERROR(INDEX(tblPessoas[Pessoa],MATCH(E153,tblPessoas[ID],0)),"")</f>
        <v>Nathalia Arruda</v>
      </c>
      <c r="G153" t="str">
        <f>IFERROR(INDEX(tblBatidas[Projeto],MATCH("B"&amp;MID($A153,2,99),tblBatidas[Batida ID],0)),"")</f>
        <v>OTEMPO</v>
      </c>
      <c r="H153" t="str">
        <f>IFERROR(INDEX(tblBatidas[Atividade],MATCH("B"&amp;MID($A153,2,99),tblBatidas[Batida ID],0)),"")</f>
        <v>ANÁLISE</v>
      </c>
      <c r="I153" s="4">
        <f>IFERROR(MOD(INDEX(tblBatidas[Data e hora],MATCH("B"&amp;MID($A153,2,99),tblBatidas[Batida ID],0)),1),"")</f>
        <v>0.33238425925810589</v>
      </c>
      <c r="J153" s="4">
        <f>IFERROR(MOD(INDEX(tblBatidas[Data e hora],MATCH("B"&amp;MID($A153,2,99),tblBatidas[Início vinculado],0)),1),"")</f>
        <v>0.58685185185458977</v>
      </c>
      <c r="K153" s="14">
        <f>IFERROR((INDEX(tblBatidas[Data e hora],MATCH("B"&amp;MID($A153,2,99),tblBatidas[Início vinculado],0))-INDEX(tblBatidas[Data e hora],MATCH("B"&amp;MID($A153,2,99),tblBatidas[Batida ID],0)))*24,"")</f>
        <v>6.1072222223156132</v>
      </c>
      <c r="L153">
        <f>IFERROR(INDEX(tblBatidas[Observação],MATCH("B"&amp;MID($A153,2,99),tblBatidas[Início vinculado],0)),"")</f>
        <v>0</v>
      </c>
      <c r="M153" t="str">
        <f>IFERROR(INDEX(tblPessoas[Base],MATCH(E153,tblPessoas[ID],0)),"")</f>
        <v>Hora</v>
      </c>
      <c r="N153" s="3">
        <f>IFERROR(IF(D153="DIA ÚTIL",INDEX(tblPessoas[R$/h útil],MATCH(E153,tblPessoas[ID],0)),INDEX(tblPessoas[R$/h FDS],MATCH(E153,tblPessoas[ID],0))),0)</f>
        <v>23.5</v>
      </c>
      <c r="O153" s="3">
        <f>IFERROR(INDEX(tblPessoas[R$/diária],MATCH(E153,tblPessoas[ID],0)),0)</f>
        <v>0</v>
      </c>
      <c r="P153" s="3">
        <f t="shared" si="10"/>
        <v>143.51972222441691</v>
      </c>
      <c r="Q153" t="str">
        <f>IF(A153="","",IF(COUNTIF(tblBatidas[Início vinculado],"B"&amp;MID($A153,2,99))=0,"EM ABERTO",IF(OR(COUNTIF(tblBatidas[Início vinculado],"B"&amp;MID($A153,2,99))&gt;1,K153&lt;0,K153&gt;16,INT(INDEX(tblBatidas[Data e hora],MATCH("B"&amp;MID($A153,2,99),tblBatidas[Início vinculado],0)))&lt;&gt;B153,INDEX(tblBatidas[ID],MATCH("B"&amp;MID($A153,2,99),tblBatidas[Início vinculado],0))&lt;&gt;E153,INDEX(tblBatidas[Projeto],MATCH("B"&amp;MID($A153,2,99),tblBatidas[Início vinculado],0))&lt;&gt;G153,INDEX(tblBatidas[Atividade],MATCH("B"&amp;MID($A153,2,99),tblBatidas[Início vinculado],0))&lt;&gt;H153),"REVISAR","CONCLUÍDO")))</f>
        <v>CONCLUÍDO</v>
      </c>
      <c r="R153">
        <f>IF(Q153&lt;&gt;"CONCLUÍDO",0,IF(COUNTIFS($E$5:E153,E153,$B$5:B153,B153,$Q$5:Q153,"CONCLUÍDO")=1,1,0))</f>
        <v>1</v>
      </c>
      <c r="S153" t="str">
        <f t="shared" si="11"/>
        <v>yyyy-09</v>
      </c>
      <c r="T153">
        <f>IF(E153="","",E153*100000+COUNTIFS(tblRegistros[ID],E153,tblRegistros[Data],"&lt;"&amp;B153)+COUNTIFS(tblRegistros[ID],E153,tblRegistros[Data],B153,tblRegistros[Início],"&lt;"&amp;I153)+COUNTIFS($E$5:E153,E153,$B$5:B153,B153,$I$5:I153,I153))</f>
        <v>101100012</v>
      </c>
    </row>
    <row r="154" spans="1:20">
      <c r="A154" t="s">
        <v>246</v>
      </c>
      <c r="B154" s="2">
        <f>IFERROR(INT(INDEX(tblBatidas[Data e hora],MATCH("B"&amp;MID($A154,2,99),tblBatidas[Batida ID],0))),"")</f>
        <v>46268</v>
      </c>
      <c r="C154" t="str">
        <f t="shared" si="8"/>
        <v>QUINTA-FEIRA</v>
      </c>
      <c r="D154" t="str">
        <f t="shared" si="9"/>
        <v>DIA ÚTIL</v>
      </c>
      <c r="E154">
        <f>IFERROR(INDEX(tblBatidas[ID],MATCH("B"&amp;MID($A154,2,99),tblBatidas[Batida ID],0)),"")</f>
        <v>1003</v>
      </c>
      <c r="F154" t="str">
        <f>IFERROR(INDEX(tblPessoas[Pessoa],MATCH(E154,tblPessoas[ID],0)),"")</f>
        <v>Amanda do Carmo Ribeiro</v>
      </c>
      <c r="G154" t="str">
        <f>IFERROR(INDEX(tblBatidas[Projeto],MATCH("B"&amp;MID($A154,2,99),tblBatidas[Batida ID],0)),"")</f>
        <v>OTEMPO</v>
      </c>
      <c r="H154" t="str">
        <f>IFERROR(INDEX(tblBatidas[Atividade],MATCH("B"&amp;MID($A154,2,99),tblBatidas[Batida ID],0)),"")</f>
        <v>ANÁLISE</v>
      </c>
      <c r="I154" s="4">
        <f>IFERROR(MOD(INDEX(tblBatidas[Data e hora],MATCH("B"&amp;MID($A154,2,99),tblBatidas[Batida ID],0)),1),"")</f>
        <v>0.33307870370481396</v>
      </c>
      <c r="J154" s="4">
        <f>IFERROR(MOD(INDEX(tblBatidas[Data e hora],MATCH("B"&amp;MID($A154,2,99),tblBatidas[Início vinculado],0)),1),"")</f>
        <v>0.53200231481605442</v>
      </c>
      <c r="K154" s="14">
        <f>IFERROR((INDEX(tblBatidas[Data e hora],MATCH("B"&amp;MID($A154,2,99),tblBatidas[Início vinculado],0))-INDEX(tblBatidas[Data e hora],MATCH("B"&amp;MID($A154,2,99),tblBatidas[Batida ID],0)))*24,"")</f>
        <v>4.7741666666697711</v>
      </c>
      <c r="L154" t="str">
        <f>IFERROR(INDEX(tblBatidas[Observação],MATCH("B"&amp;MID($A154,2,99),tblBatidas[Início vinculado],0)),"")</f>
        <v>Elaboração da estrutura da análise do OTEMPO e do Sicoob Credicom</v>
      </c>
      <c r="M154" t="str">
        <f>IFERROR(INDEX(tblPessoas[Base],MATCH(E154,tblPessoas[ID],0)),"")</f>
        <v>Hora</v>
      </c>
      <c r="N154" s="3">
        <f>IFERROR(IF(D154="DIA ÚTIL",INDEX(tblPessoas[R$/h útil],MATCH(E154,tblPessoas[ID],0)),INDEX(tblPessoas[R$/h FDS],MATCH(E154,tblPessoas[ID],0))),0)</f>
        <v>23.5</v>
      </c>
      <c r="O154" s="3">
        <f>IFERROR(INDEX(tblPessoas[R$/diária],MATCH(E154,tblPessoas[ID],0)),0)</f>
        <v>0</v>
      </c>
      <c r="P154" s="3">
        <f t="shared" si="10"/>
        <v>112.19291666673962</v>
      </c>
      <c r="Q154" t="str">
        <f>IF(A154="","",IF(COUNTIF(tblBatidas[Início vinculado],"B"&amp;MID($A154,2,99))=0,"EM ABERTO",IF(OR(COUNTIF(tblBatidas[Início vinculado],"B"&amp;MID($A154,2,99))&gt;1,K154&lt;0,K154&gt;16,INT(INDEX(tblBatidas[Data e hora],MATCH("B"&amp;MID($A154,2,99),tblBatidas[Início vinculado],0)))&lt;&gt;B154,INDEX(tblBatidas[ID],MATCH("B"&amp;MID($A154,2,99),tblBatidas[Início vinculado],0))&lt;&gt;E154,INDEX(tblBatidas[Projeto],MATCH("B"&amp;MID($A154,2,99),tblBatidas[Início vinculado],0))&lt;&gt;G154,INDEX(tblBatidas[Atividade],MATCH("B"&amp;MID($A154,2,99),tblBatidas[Início vinculado],0))&lt;&gt;H154),"REVISAR","CONCLUÍDO")))</f>
        <v>CONCLUÍDO</v>
      </c>
      <c r="R154">
        <f>IF(Q154&lt;&gt;"CONCLUÍDO",0,IF(COUNTIFS($E$5:E154,E154,$B$5:B154,B154,$Q$5:Q154,"CONCLUÍDO")=1,1,0))</f>
        <v>1</v>
      </c>
      <c r="S154" t="str">
        <f t="shared" si="11"/>
        <v>yyyy-09</v>
      </c>
      <c r="T154">
        <f>IF(E154="","",E154*100000+COUNTIFS(tblRegistros[ID],E154,tblRegistros[Data],"&lt;"&amp;B154)+COUNTIFS(tblRegistros[ID],E154,tblRegistros[Data],B154,tblRegistros[Início],"&lt;"&amp;I154)+COUNTIFS($E$5:E154,E154,$B$5:B154,B154,$I$5:I154,I154))</f>
        <v>100300012</v>
      </c>
    </row>
    <row r="155" spans="1:20">
      <c r="A155" t="s">
        <v>247</v>
      </c>
      <c r="B155" s="2">
        <f>IFERROR(INT(INDEX(tblBatidas[Data e hora],MATCH("B"&amp;MID($A155,2,99),tblBatidas[Batida ID],0))),"")</f>
        <v>46268</v>
      </c>
      <c r="C155" t="str">
        <f t="shared" si="8"/>
        <v>QUINTA-FEIRA</v>
      </c>
      <c r="D155" t="str">
        <f t="shared" si="9"/>
        <v>DIA ÚTIL</v>
      </c>
      <c r="E155">
        <f>IFERROR(INDEX(tblBatidas[ID],MATCH("B"&amp;MID($A155,2,99),tblBatidas[Batida ID],0)),"")</f>
        <v>1013</v>
      </c>
      <c r="F155" t="str">
        <f>IFERROR(INDEX(tblPessoas[Pessoa],MATCH(E155,tblPessoas[ID],0)),"")</f>
        <v>Rafaela Maria Resende Lara</v>
      </c>
      <c r="G155" t="str">
        <f>IFERROR(INDEX(tblBatidas[Projeto],MATCH("B"&amp;MID($A155,2,99),tblBatidas[Batida ID],0)),"")</f>
        <v>OTEMPO</v>
      </c>
      <c r="H155" t="str">
        <f>IFERROR(INDEX(tblBatidas[Atividade],MATCH("B"&amp;MID($A155,2,99),tblBatidas[Batida ID],0)),"")</f>
        <v>ANÁLISE</v>
      </c>
      <c r="I155" s="4">
        <f>IFERROR(MOD(INDEX(tblBatidas[Data e hora],MATCH("B"&amp;MID($A155,2,99),tblBatidas[Batida ID],0)),1),"")</f>
        <v>0.36295138888817746</v>
      </c>
      <c r="J155" s="4">
        <f>IFERROR(MOD(INDEX(tblBatidas[Data e hora],MATCH("B"&amp;MID($A155,2,99),tblBatidas[Início vinculado],0)),1),"")</f>
        <v>0.49913194444525288</v>
      </c>
      <c r="K155" s="14">
        <f>IFERROR((INDEX(tblBatidas[Data e hora],MATCH("B"&amp;MID($A155,2,99),tblBatidas[Início vinculado],0))-INDEX(tblBatidas[Data e hora],MATCH("B"&amp;MID($A155,2,99),tblBatidas[Batida ID],0)))*24,"")</f>
        <v>3.2683333333698101</v>
      </c>
      <c r="L155">
        <f>IFERROR(INDEX(tblBatidas[Observação],MATCH("B"&amp;MID($A155,2,99),tblBatidas[Início vinculado],0)),"")</f>
        <v>0</v>
      </c>
      <c r="M155" t="str">
        <f>IFERROR(INDEX(tblPessoas[Base],MATCH(E155,tblPessoas[ID],0)),"")</f>
        <v>Hora</v>
      </c>
      <c r="N155" s="3">
        <f>IFERROR(IF(D155="DIA ÚTIL",INDEX(tblPessoas[R$/h útil],MATCH(E155,tblPessoas[ID],0)),INDEX(tblPessoas[R$/h FDS],MATCH(E155,tblPessoas[ID],0))),0)</f>
        <v>23.5</v>
      </c>
      <c r="O155" s="3">
        <f>IFERROR(INDEX(tblPessoas[R$/diária],MATCH(E155,tblPessoas[ID],0)),0)</f>
        <v>0</v>
      </c>
      <c r="P155" s="3">
        <f t="shared" si="10"/>
        <v>76.805833334190538</v>
      </c>
      <c r="Q155" t="str">
        <f>IF(A155="","",IF(COUNTIF(tblBatidas[Início vinculado],"B"&amp;MID($A155,2,99))=0,"EM ABERTO",IF(OR(COUNTIF(tblBatidas[Início vinculado],"B"&amp;MID($A155,2,99))&gt;1,K155&lt;0,K155&gt;16,INT(INDEX(tblBatidas[Data e hora],MATCH("B"&amp;MID($A155,2,99),tblBatidas[Início vinculado],0)))&lt;&gt;B155,INDEX(tblBatidas[ID],MATCH("B"&amp;MID($A155,2,99),tblBatidas[Início vinculado],0))&lt;&gt;E155,INDEX(tblBatidas[Projeto],MATCH("B"&amp;MID($A155,2,99),tblBatidas[Início vinculado],0))&lt;&gt;G155,INDEX(tblBatidas[Atividade],MATCH("B"&amp;MID($A155,2,99),tblBatidas[Início vinculado],0))&lt;&gt;H155),"REVISAR","CONCLUÍDO")))</f>
        <v>CONCLUÍDO</v>
      </c>
      <c r="R155">
        <f>IF(Q155&lt;&gt;"CONCLUÍDO",0,IF(COUNTIFS($E$5:E155,E155,$B$5:B155,B155,$Q$5:Q155,"CONCLUÍDO")=1,1,0))</f>
        <v>1</v>
      </c>
      <c r="S155" t="str">
        <f t="shared" si="11"/>
        <v>yyyy-09</v>
      </c>
      <c r="T155">
        <f>IF(E155="","",E155*100000+COUNTIFS(tblRegistros[ID],E155,tblRegistros[Data],"&lt;"&amp;B155)+COUNTIFS(tblRegistros[ID],E155,tblRegistros[Data],B155,tblRegistros[Início],"&lt;"&amp;I155)+COUNTIFS($E$5:E155,E155,$B$5:B155,B155,$I$5:I155,I155))</f>
        <v>101300012</v>
      </c>
    </row>
    <row r="156" spans="1:20">
      <c r="A156" t="s">
        <v>248</v>
      </c>
      <c r="B156" s="2">
        <f>IFERROR(INT(INDEX(tblBatidas[Data e hora],MATCH("B"&amp;MID($A156,2,99),tblBatidas[Batida ID],0))),"")</f>
        <v>46268</v>
      </c>
      <c r="C156" t="str">
        <f t="shared" si="8"/>
        <v>QUINTA-FEIRA</v>
      </c>
      <c r="D156" t="str">
        <f t="shared" si="9"/>
        <v>DIA ÚTIL</v>
      </c>
      <c r="E156">
        <f>IFERROR(INDEX(tblBatidas[ID],MATCH("B"&amp;MID($A156,2,99),tblBatidas[Batida ID],0)),"")</f>
        <v>1015</v>
      </c>
      <c r="F156" t="str">
        <f>IFERROR(INDEX(tblPessoas[Pessoa],MATCH(E156,tblPessoas[ID],0)),"")</f>
        <v>Vitor Guilherme Miguel Rocha</v>
      </c>
      <c r="G156" t="str">
        <f>IFERROR(INDEX(tblBatidas[Projeto],MATCH("B"&amp;MID($A156,2,99),tblBatidas[Batida ID],0)),"")</f>
        <v>ADMINISTRATIVO</v>
      </c>
      <c r="H156" t="str">
        <f>IFERROR(INDEX(tblBatidas[Atividade],MATCH("B"&amp;MID($A156,2,99),tblBatidas[Batida ID],0)),"")</f>
        <v>ADMINISTRATIVO</v>
      </c>
      <c r="I156" s="4">
        <f>IFERROR(MOD(INDEX(tblBatidas[Data e hora],MATCH("B"&amp;MID($A156,2,99),tblBatidas[Batida ID],0)),1),"")</f>
        <v>0.36620370370656019</v>
      </c>
      <c r="J156" s="4">
        <f>IFERROR(MOD(INDEX(tblBatidas[Data e hora],MATCH("B"&amp;MID($A156,2,99),tblBatidas[Início vinculado],0)),1),"")</f>
        <v>0.51721064814773854</v>
      </c>
      <c r="K156" s="14">
        <f>IFERROR((INDEX(tblBatidas[Data e hora],MATCH("B"&amp;MID($A156,2,99),tblBatidas[Início vinculado],0))-INDEX(tblBatidas[Data e hora],MATCH("B"&amp;MID($A156,2,99),tblBatidas[Batida ID],0)))*24,"")</f>
        <v>3.6241666665882803</v>
      </c>
      <c r="L156">
        <f>IFERROR(INDEX(tblBatidas[Observação],MATCH("B"&amp;MID($A156,2,99),tblBatidas[Início vinculado],0)),"")</f>
        <v>0</v>
      </c>
      <c r="M156" t="str">
        <f>IFERROR(INDEX(tblPessoas[Base],MATCH(E156,tblPessoas[ID],0)),"")</f>
        <v>Hora</v>
      </c>
      <c r="N156" s="3">
        <f>IFERROR(IF(D156="DIA ÚTIL",INDEX(tblPessoas[R$/h útil],MATCH(E156,tblPessoas[ID],0)),INDEX(tblPessoas[R$/h FDS],MATCH(E156,tblPessoas[ID],0))),0)</f>
        <v>21.5</v>
      </c>
      <c r="O156" s="3">
        <f>IFERROR(INDEX(tblPessoas[R$/diária],MATCH(E156,tblPessoas[ID],0)),0)</f>
        <v>0</v>
      </c>
      <c r="P156" s="3">
        <f t="shared" si="10"/>
        <v>77.919583331648028</v>
      </c>
      <c r="Q156" t="str">
        <f>IF(A156="","",IF(COUNTIF(tblBatidas[Início vinculado],"B"&amp;MID($A156,2,99))=0,"EM ABERTO",IF(OR(COUNTIF(tblBatidas[Início vinculado],"B"&amp;MID($A156,2,99))&gt;1,K156&lt;0,K156&gt;16,INT(INDEX(tblBatidas[Data e hora],MATCH("B"&amp;MID($A156,2,99),tblBatidas[Início vinculado],0)))&lt;&gt;B156,INDEX(tblBatidas[ID],MATCH("B"&amp;MID($A156,2,99),tblBatidas[Início vinculado],0))&lt;&gt;E156,INDEX(tblBatidas[Projeto],MATCH("B"&amp;MID($A156,2,99),tblBatidas[Início vinculado],0))&lt;&gt;G156,INDEX(tblBatidas[Atividade],MATCH("B"&amp;MID($A156,2,99),tblBatidas[Início vinculado],0))&lt;&gt;H156),"REVISAR","CONCLUÍDO")))</f>
        <v>CONCLUÍDO</v>
      </c>
      <c r="R156">
        <f>IF(Q156&lt;&gt;"CONCLUÍDO",0,IF(COUNTIFS($E$5:E156,E156,$B$5:B156,B156,$Q$5:Q156,"CONCLUÍDO")=1,1,0))</f>
        <v>1</v>
      </c>
      <c r="S156" t="str">
        <f t="shared" si="11"/>
        <v>yyyy-09</v>
      </c>
      <c r="T156">
        <f>IF(E156="","",E156*100000+COUNTIFS(tblRegistros[ID],E156,tblRegistros[Data],"&lt;"&amp;B156)+COUNTIFS(tblRegistros[ID],E156,tblRegistros[Data],B156,tblRegistros[Início],"&lt;"&amp;I156)+COUNTIFS($E$5:E156,E156,$B$5:B156,B156,$I$5:I156,I156))</f>
        <v>101500019</v>
      </c>
    </row>
    <row r="157" spans="1:20">
      <c r="A157" t="s">
        <v>249</v>
      </c>
      <c r="B157" s="2">
        <f>IFERROR(INT(INDEX(tblBatidas[Data e hora],MATCH("B"&amp;MID($A157,2,99),tblBatidas[Batida ID],0))),"")</f>
        <v>46268</v>
      </c>
      <c r="C157" t="str">
        <f t="shared" si="8"/>
        <v>QUINTA-FEIRA</v>
      </c>
      <c r="D157" t="str">
        <f t="shared" si="9"/>
        <v>DIA ÚTIL</v>
      </c>
      <c r="E157">
        <f>IFERROR(INDEX(tblBatidas[ID],MATCH("B"&amp;MID($A157,2,99),tblBatidas[Batida ID],0)),"")</f>
        <v>1012</v>
      </c>
      <c r="F157" t="str">
        <f>IFERROR(INDEX(tblPessoas[Pessoa],MATCH(E157,tblPessoas[ID],0)),"")</f>
        <v>Nelma Lucia dos S. B. Brandão</v>
      </c>
      <c r="G157" t="str">
        <f>IFERROR(INDEX(tblBatidas[Projeto],MATCH("B"&amp;MID($A157,2,99),tblBatidas[Batida ID],0)),"")</f>
        <v>OTEMPO</v>
      </c>
      <c r="H157" t="str">
        <f>IFERROR(INDEX(tblBatidas[Atividade],MATCH("B"&amp;MID($A157,2,99),tblBatidas[Batida ID],0)),"")</f>
        <v>SUPERVISÃO</v>
      </c>
      <c r="I157" s="4">
        <f>IFERROR(MOD(INDEX(tblBatidas[Data e hora],MATCH("B"&amp;MID($A157,2,99),tblBatidas[Batida ID],0)),1),"")</f>
        <v>0.37344907407532446</v>
      </c>
      <c r="J157" s="4" t="str">
        <f>IFERROR(MOD(INDEX(tblBatidas[Data e hora],MATCH("B"&amp;MID($A157,2,99),tblBatidas[Início vinculado],0)),1),"")</f>
        <v/>
      </c>
      <c r="K157" s="14" t="str">
        <f>IFERROR((INDEX(tblBatidas[Data e hora],MATCH("B"&amp;MID($A157,2,99),tblBatidas[Início vinculado],0))-INDEX(tblBatidas[Data e hora],MATCH("B"&amp;MID($A157,2,99),tblBatidas[Batida ID],0)))*24,"")</f>
        <v/>
      </c>
      <c r="L157" t="str">
        <f>IFERROR(INDEX(tblBatidas[Observação],MATCH("B"&amp;MID($A157,2,99),tblBatidas[Início vinculado],0)),"")</f>
        <v/>
      </c>
      <c r="M157" t="str">
        <f>IFERROR(INDEX(tblPessoas[Base],MATCH(E157,tblPessoas[ID],0)),"")</f>
        <v>Diária</v>
      </c>
      <c r="N157" s="3">
        <f>IFERROR(IF(D157="DIA ÚTIL",INDEX(tblPessoas[R$/h útil],MATCH(E157,tblPessoas[ID],0)),INDEX(tblPessoas[R$/h FDS],MATCH(E157,tblPessoas[ID],0))),0)</f>
        <v>0</v>
      </c>
      <c r="O157" s="3">
        <f>IFERROR(INDEX(tblPessoas[R$/diária],MATCH(E157,tblPessoas[ID],0)),0)</f>
        <v>222.72</v>
      </c>
      <c r="P157" s="3" t="str">
        <f t="shared" si="10"/>
        <v/>
      </c>
      <c r="Q157" t="str">
        <f>IF(A157="","",IF(COUNTIF(tblBatidas[Início vinculado],"B"&amp;MID($A157,2,99))=0,"EM ABERTO",IF(OR(COUNTIF(tblBatidas[Início vinculado],"B"&amp;MID($A157,2,99))&gt;1,K157&lt;0,K157&gt;16,INT(INDEX(tblBatidas[Data e hora],MATCH("B"&amp;MID($A157,2,99),tblBatidas[Início vinculado],0)))&lt;&gt;B157,INDEX(tblBatidas[ID],MATCH("B"&amp;MID($A157,2,99),tblBatidas[Início vinculado],0))&lt;&gt;E157,INDEX(tblBatidas[Projeto],MATCH("B"&amp;MID($A157,2,99),tblBatidas[Início vinculado],0))&lt;&gt;G157,INDEX(tblBatidas[Atividade],MATCH("B"&amp;MID($A157,2,99),tblBatidas[Início vinculado],0))&lt;&gt;H157),"REVISAR","CONCLUÍDO")))</f>
        <v>EM ABERTO</v>
      </c>
      <c r="R157">
        <f>IF(Q157&lt;&gt;"CONCLUÍDO",0,IF(COUNTIFS($E$5:E157,E157,$B$5:B157,B157,$Q$5:Q157,"CONCLUÍDO")=1,1,0))</f>
        <v>0</v>
      </c>
      <c r="S157" t="str">
        <f t="shared" si="11"/>
        <v>yyyy-09</v>
      </c>
      <c r="T157">
        <f>IF(E157="","",E157*100000+COUNTIFS(tblRegistros[ID],E157,tblRegistros[Data],"&lt;"&amp;B157)+COUNTIFS(tblRegistros[ID],E157,tblRegistros[Data],B157,tblRegistros[Início],"&lt;"&amp;I157)+COUNTIFS($E$5:E157,E157,$B$5:B157,B157,$I$5:I157,I157))</f>
        <v>101200020</v>
      </c>
    </row>
    <row r="158" spans="1:20">
      <c r="A158" t="s">
        <v>250</v>
      </c>
      <c r="B158" s="2">
        <f>IFERROR(INT(INDEX(tblBatidas[Data e hora],MATCH("B"&amp;MID($A158,2,99),tblBatidas[Batida ID],0))),"")</f>
        <v>46268</v>
      </c>
      <c r="C158" t="str">
        <f t="shared" si="8"/>
        <v>QUINTA-FEIRA</v>
      </c>
      <c r="D158" t="str">
        <f t="shared" si="9"/>
        <v>DIA ÚTIL</v>
      </c>
      <c r="E158">
        <f>IFERROR(INDEX(tblBatidas[ID],MATCH("B"&amp;MID($A158,2,99),tblBatidas[Batida ID],0)),"")</f>
        <v>1004</v>
      </c>
      <c r="F158" t="str">
        <f>IFERROR(INDEX(tblPessoas[Pessoa],MATCH(E158,tblPessoas[ID],0)),"")</f>
        <v>Angela Bertoli</v>
      </c>
      <c r="G158" t="str">
        <f>IFERROR(INDEX(tblBatidas[Projeto],MATCH("B"&amp;MID($A158,2,99),tblBatidas[Batida ID],0)),"")</f>
        <v>OTEMPO</v>
      </c>
      <c r="H158" t="str">
        <f>IFERROR(INDEX(tblBatidas[Atividade],MATCH("B"&amp;MID($A158,2,99),tblBatidas[Batida ID],0)),"")</f>
        <v>CODIFICAÇÃO</v>
      </c>
      <c r="I158" s="4">
        <f>IFERROR(MOD(INDEX(tblBatidas[Data e hora],MATCH("B"&amp;MID($A158,2,99),tblBatidas[Batida ID],0)),1),"")</f>
        <v>0.37562500000058208</v>
      </c>
      <c r="J158" s="4">
        <f>IFERROR(MOD(INDEX(tblBatidas[Data e hora],MATCH("B"&amp;MID($A158,2,99),tblBatidas[Início vinculado],0)),1),"")</f>
        <v>0.52807870370452292</v>
      </c>
      <c r="K158" s="14">
        <f>IFERROR((INDEX(tblBatidas[Data e hora],MATCH("B"&amp;MID($A158,2,99),tblBatidas[Início vinculado],0))-INDEX(tblBatidas[Data e hora],MATCH("B"&amp;MID($A158,2,99),tblBatidas[Batida ID],0)))*24,"")</f>
        <v>3.6588888888945803</v>
      </c>
      <c r="L158">
        <f>IFERROR(INDEX(tblBatidas[Observação],MATCH("B"&amp;MID($A158,2,99),tblBatidas[Início vinculado],0)),"")</f>
        <v>0</v>
      </c>
      <c r="M158" t="str">
        <f>IFERROR(INDEX(tblPessoas[Base],MATCH(E158,tblPessoas[ID],0)),"")</f>
        <v>Hora</v>
      </c>
      <c r="N158" s="3">
        <f>IFERROR(IF(D158="DIA ÚTIL",INDEX(tblPessoas[R$/h útil],MATCH(E158,tblPessoas[ID],0)),INDEX(tblPessoas[R$/h FDS],MATCH(E158,tblPessoas[ID],0))),0)</f>
        <v>21.5</v>
      </c>
      <c r="O158" s="3">
        <f>IFERROR(INDEX(tblPessoas[R$/diária],MATCH(E158,tblPessoas[ID],0)),0)</f>
        <v>0</v>
      </c>
      <c r="P158" s="3">
        <f t="shared" si="10"/>
        <v>78.666111111233477</v>
      </c>
      <c r="Q158" t="str">
        <f>IF(A158="","",IF(COUNTIF(tblBatidas[Início vinculado],"B"&amp;MID($A158,2,99))=0,"EM ABERTO",IF(OR(COUNTIF(tblBatidas[Início vinculado],"B"&amp;MID($A158,2,99))&gt;1,K158&lt;0,K158&gt;16,INT(INDEX(tblBatidas[Data e hora],MATCH("B"&amp;MID($A158,2,99),tblBatidas[Início vinculado],0)))&lt;&gt;B158,INDEX(tblBatidas[ID],MATCH("B"&amp;MID($A158,2,99),tblBatidas[Início vinculado],0))&lt;&gt;E158,INDEX(tblBatidas[Projeto],MATCH("B"&amp;MID($A158,2,99),tblBatidas[Início vinculado],0))&lt;&gt;G158,INDEX(tblBatidas[Atividade],MATCH("B"&amp;MID($A158,2,99),tblBatidas[Início vinculado],0))&lt;&gt;H158),"REVISAR","CONCLUÍDO")))</f>
        <v>CONCLUÍDO</v>
      </c>
      <c r="R158">
        <f>IF(Q158&lt;&gt;"CONCLUÍDO",0,IF(COUNTIFS($E$5:E158,E158,$B$5:B158,B158,$Q$5:Q158,"CONCLUÍDO")=1,1,0))</f>
        <v>1</v>
      </c>
      <c r="S158" t="str">
        <f t="shared" si="11"/>
        <v>yyyy-09</v>
      </c>
      <c r="T158">
        <f>IF(E158="","",E158*100000+COUNTIFS(tblRegistros[ID],E158,tblRegistros[Data],"&lt;"&amp;B158)+COUNTIFS(tblRegistros[ID],E158,tblRegistros[Data],B158,tblRegistros[Início],"&lt;"&amp;I158)+COUNTIFS($E$5:E158,E158,$B$5:B158,B158,$I$5:I158,I158))</f>
        <v>100400010</v>
      </c>
    </row>
    <row r="159" spans="1:20">
      <c r="A159" t="s">
        <v>251</v>
      </c>
      <c r="B159" s="2">
        <f>IFERROR(INT(INDEX(tblBatidas[Data e hora],MATCH("B"&amp;MID($A159,2,99),tblBatidas[Batida ID],0))),"")</f>
        <v>46268</v>
      </c>
      <c r="C159" t="str">
        <f t="shared" si="8"/>
        <v>QUINTA-FEIRA</v>
      </c>
      <c r="D159" t="str">
        <f t="shared" si="9"/>
        <v>DIA ÚTIL</v>
      </c>
      <c r="E159">
        <f>IFERROR(INDEX(tblBatidas[ID],MATCH("B"&amp;MID($A159,2,99),tblBatidas[Batida ID],0)),"")</f>
        <v>1016</v>
      </c>
      <c r="F159" t="str">
        <f>IFERROR(INDEX(tblPessoas[Pessoa],MATCH(E159,tblPessoas[ID],0)),"")</f>
        <v>Ana Luisa Nardin</v>
      </c>
      <c r="G159" t="str">
        <f>IFERROR(INDEX(tblBatidas[Projeto],MATCH("B"&amp;MID($A159,2,99),tblBatidas[Batida ID],0)),"")</f>
        <v>CFI / ACCION</v>
      </c>
      <c r="H159" t="str">
        <f>IFERROR(INDEX(tblBatidas[Atividade],MATCH("B"&amp;MID($A159,2,99),tblBatidas[Batida ID],0)),"")</f>
        <v>ANÁLISE</v>
      </c>
      <c r="I159" s="4">
        <f>IFERROR(MOD(INDEX(tblBatidas[Data e hora],MATCH("B"&amp;MID($A159,2,99),tblBatidas[Batida ID],0)),1),"")</f>
        <v>0.39096064814657439</v>
      </c>
      <c r="J159" s="4">
        <f>IFERROR(MOD(INDEX(tblBatidas[Data e hora],MATCH("B"&amp;MID($A159,2,99),tblBatidas[Início vinculado],0)),1),"")</f>
        <v>0.52376157407707069</v>
      </c>
      <c r="K159" s="14">
        <f>IFERROR((INDEX(tblBatidas[Data e hora],MATCH("B"&amp;MID($A159,2,99),tblBatidas[Início vinculado],0))-INDEX(tblBatidas[Data e hora],MATCH("B"&amp;MID($A159,2,99),tblBatidas[Batida ID],0)))*24,"")</f>
        <v>3.1872222223319113</v>
      </c>
      <c r="L159">
        <f>IFERROR(INDEX(tblBatidas[Observação],MATCH("B"&amp;MID($A159,2,99),tblBatidas[Início vinculado],0)),"")</f>
        <v>0</v>
      </c>
      <c r="M159" t="str">
        <f>IFERROR(INDEX(tblPessoas[Base],MATCH(E159,tblPessoas[ID],0)),"")</f>
        <v>Hora</v>
      </c>
      <c r="N159" s="3">
        <f>IFERROR(IF(D159="DIA ÚTIL",INDEX(tblPessoas[R$/h útil],MATCH(E159,tblPessoas[ID],0)),INDEX(tblPessoas[R$/h FDS],MATCH(E159,tblPessoas[ID],0))),0)</f>
        <v>23.5</v>
      </c>
      <c r="O159" s="3">
        <f>IFERROR(INDEX(tblPessoas[R$/diária],MATCH(E159,tblPessoas[ID],0)),0)</f>
        <v>0</v>
      </c>
      <c r="P159" s="3">
        <f t="shared" si="10"/>
        <v>74.899722224799916</v>
      </c>
      <c r="Q159" t="str">
        <f>IF(A159="","",IF(COUNTIF(tblBatidas[Início vinculado],"B"&amp;MID($A159,2,99))=0,"EM ABERTO",IF(OR(COUNTIF(tblBatidas[Início vinculado],"B"&amp;MID($A159,2,99))&gt;1,K159&lt;0,K159&gt;16,INT(INDEX(tblBatidas[Data e hora],MATCH("B"&amp;MID($A159,2,99),tblBatidas[Início vinculado],0)))&lt;&gt;B159,INDEX(tblBatidas[ID],MATCH("B"&amp;MID($A159,2,99),tblBatidas[Início vinculado],0))&lt;&gt;E159,INDEX(tblBatidas[Projeto],MATCH("B"&amp;MID($A159,2,99),tblBatidas[Início vinculado],0))&lt;&gt;G159,INDEX(tblBatidas[Atividade],MATCH("B"&amp;MID($A159,2,99),tblBatidas[Início vinculado],0))&lt;&gt;H159),"REVISAR","CONCLUÍDO")))</f>
        <v>CONCLUÍDO</v>
      </c>
      <c r="R159">
        <f>IF(Q159&lt;&gt;"CONCLUÍDO",0,IF(COUNTIFS($E$5:E159,E159,$B$5:B159,B159,$Q$5:Q159,"CONCLUÍDO")=1,1,0))</f>
        <v>1</v>
      </c>
      <c r="S159" t="str">
        <f t="shared" si="11"/>
        <v>yyyy-09</v>
      </c>
      <c r="T159">
        <f>IF(E159="","",E159*100000+COUNTIFS(tblRegistros[ID],E159,tblRegistros[Data],"&lt;"&amp;B159)+COUNTIFS(tblRegistros[ID],E159,tblRegistros[Data],B159,tblRegistros[Início],"&lt;"&amp;I159)+COUNTIFS($E$5:E159,E159,$B$5:B159,B159,$I$5:I159,I159))</f>
        <v>101600019</v>
      </c>
    </row>
    <row r="160" spans="1:20">
      <c r="A160" t="s">
        <v>252</v>
      </c>
      <c r="B160" s="2">
        <f>IFERROR(INT(INDEX(tblBatidas[Data e hora],MATCH("B"&amp;MID($A160,2,99),tblBatidas[Batida ID],0))),"")</f>
        <v>46268</v>
      </c>
      <c r="C160" t="str">
        <f t="shared" si="8"/>
        <v>QUINTA-FEIRA</v>
      </c>
      <c r="D160" t="str">
        <f t="shared" si="9"/>
        <v>DIA ÚTIL</v>
      </c>
      <c r="E160">
        <f>IFERROR(INDEX(tblBatidas[ID],MATCH("B"&amp;MID($A160,2,99),tblBatidas[Batida ID],0)),"")</f>
        <v>1014</v>
      </c>
      <c r="F160" t="str">
        <f>IFERROR(INDEX(tblPessoas[Pessoa],MATCH(E160,tblPessoas[ID],0)),"")</f>
        <v>Robert Filipe Orlando de Souza</v>
      </c>
      <c r="G160" t="str">
        <f>IFERROR(INDEX(tblBatidas[Projeto],MATCH("B"&amp;MID($A160,2,99),tblBatidas[Batida ID],0)),"")</f>
        <v>SICOOB CREDICOM</v>
      </c>
      <c r="H160" t="str">
        <f>IFERROR(INDEX(tblBatidas[Atividade],MATCH("B"&amp;MID($A160,2,99),tblBatidas[Batida ID],0)),"")</f>
        <v>CHECAGEM</v>
      </c>
      <c r="I160" s="4">
        <f>IFERROR(MOD(INDEX(tblBatidas[Data e hora],MATCH("B"&amp;MID($A160,2,99),tblBatidas[Batida ID],0)),1),"")</f>
        <v>0.41100694444321562</v>
      </c>
      <c r="J160" s="4">
        <f>IFERROR(MOD(INDEX(tblBatidas[Data e hora],MATCH("B"&amp;MID($A160,2,99),tblBatidas[Início vinculado],0)),1),"")</f>
        <v>0.53387731481780065</v>
      </c>
      <c r="K160" s="14">
        <f>IFERROR((INDEX(tblBatidas[Data e hora],MATCH("B"&amp;MID($A160,2,99),tblBatidas[Início vinculado],0))-INDEX(tblBatidas[Data e hora],MATCH("B"&amp;MID($A160,2,99),tblBatidas[Batida ID],0)))*24,"")</f>
        <v>2.9488888889900409</v>
      </c>
      <c r="L160">
        <f>IFERROR(INDEX(tblBatidas[Observação],MATCH("B"&amp;MID($A160,2,99),tblBatidas[Início vinculado],0)),"")</f>
        <v>0</v>
      </c>
      <c r="M160" t="str">
        <f>IFERROR(INDEX(tblPessoas[Base],MATCH(E160,tblPessoas[ID],0)),"")</f>
        <v>Hora</v>
      </c>
      <c r="N160" s="3">
        <f>IFERROR(IF(D160="DIA ÚTIL",INDEX(tblPessoas[R$/h útil],MATCH(E160,tblPessoas[ID],0)),INDEX(tblPessoas[R$/h FDS],MATCH(E160,tblPessoas[ID],0))),0)</f>
        <v>21.5</v>
      </c>
      <c r="O160" s="3">
        <f>IFERROR(INDEX(tblPessoas[R$/diária],MATCH(E160,tblPessoas[ID],0)),0)</f>
        <v>0</v>
      </c>
      <c r="P160" s="3">
        <f t="shared" si="10"/>
        <v>63.401111113285879</v>
      </c>
      <c r="Q160" t="str">
        <f>IF(A160="","",IF(COUNTIF(tblBatidas[Início vinculado],"B"&amp;MID($A160,2,99))=0,"EM ABERTO",IF(OR(COUNTIF(tblBatidas[Início vinculado],"B"&amp;MID($A160,2,99))&gt;1,K160&lt;0,K160&gt;16,INT(INDEX(tblBatidas[Data e hora],MATCH("B"&amp;MID($A160,2,99),tblBatidas[Início vinculado],0)))&lt;&gt;B160,INDEX(tblBatidas[ID],MATCH("B"&amp;MID($A160,2,99),tblBatidas[Início vinculado],0))&lt;&gt;E160,INDEX(tblBatidas[Projeto],MATCH("B"&amp;MID($A160,2,99),tblBatidas[Início vinculado],0))&lt;&gt;G160,INDEX(tblBatidas[Atividade],MATCH("B"&amp;MID($A160,2,99),tblBatidas[Início vinculado],0))&lt;&gt;H160),"REVISAR","CONCLUÍDO")))</f>
        <v>CONCLUÍDO</v>
      </c>
      <c r="R160">
        <f>IF(Q160&lt;&gt;"CONCLUÍDO",0,IF(COUNTIFS($E$5:E160,E160,$B$5:B160,B160,$Q$5:Q160,"CONCLUÍDO")=1,1,0))</f>
        <v>1</v>
      </c>
      <c r="S160" t="str">
        <f t="shared" si="11"/>
        <v>yyyy-09</v>
      </c>
      <c r="T160">
        <f>IF(E160="","",E160*100000+COUNTIFS(tblRegistros[ID],E160,tblRegistros[Data],"&lt;"&amp;B160)+COUNTIFS(tblRegistros[ID],E160,tblRegistros[Data],B160,tblRegistros[Início],"&lt;"&amp;I160)+COUNTIFS($E$5:E160,E160,$B$5:B160,B160,$I$5:I160,I160))</f>
        <v>101400015</v>
      </c>
    </row>
    <row r="161" spans="1:20">
      <c r="A161" t="s">
        <v>253</v>
      </c>
      <c r="B161" s="2">
        <f>IFERROR(INT(INDEX(tblBatidas[Data e hora],MATCH("B"&amp;MID($A161,2,99),tblBatidas[Batida ID],0))),"")</f>
        <v>46268</v>
      </c>
      <c r="C161" t="str">
        <f t="shared" si="8"/>
        <v>QUINTA-FEIRA</v>
      </c>
      <c r="D161" t="str">
        <f t="shared" si="9"/>
        <v>DIA ÚTIL</v>
      </c>
      <c r="E161">
        <f>IFERROR(INDEX(tblBatidas[ID],MATCH("B"&amp;MID($A161,2,99),tblBatidas[Batida ID],0)),"")</f>
        <v>1001</v>
      </c>
      <c r="F161" t="str">
        <f>IFERROR(INDEX(tblPessoas[Pessoa],MATCH(E161,tblPessoas[ID],0)),"")</f>
        <v>Adriana Pereira dos Santos</v>
      </c>
      <c r="G161" t="str">
        <f>IFERROR(INDEX(tblBatidas[Projeto],MATCH("B"&amp;MID($A161,2,99),tblBatidas[Batida ID],0)),"")</f>
        <v>SICOOB CREDICOM</v>
      </c>
      <c r="H161" t="str">
        <f>IFERROR(INDEX(tblBatidas[Atividade],MATCH("B"&amp;MID($A161,2,99),tblBatidas[Batida ID],0)),"")</f>
        <v>SUPERVISÃO</v>
      </c>
      <c r="I161" s="4">
        <f>IFERROR(MOD(INDEX(tblBatidas[Data e hora],MATCH("B"&amp;MID($A161,2,99),tblBatidas[Batida ID],0)),1),"")</f>
        <v>0.44402777777577285</v>
      </c>
      <c r="J161" s="4">
        <f>IFERROR(MOD(INDEX(tblBatidas[Data e hora],MATCH("B"&amp;MID($A161,2,99),tblBatidas[Início vinculado],0)),1),"")</f>
        <v>0.5795717592627625</v>
      </c>
      <c r="K161" s="14">
        <f>IFERROR((INDEX(tblBatidas[Data e hora],MATCH("B"&amp;MID($A161,2,99),tblBatidas[Início vinculado],0))-INDEX(tblBatidas[Data e hora],MATCH("B"&amp;MID($A161,2,99),tblBatidas[Batida ID],0)))*24,"")</f>
        <v>3.2530555556877516</v>
      </c>
      <c r="L161" t="str">
        <f>IFERROR(INDEX(tblBatidas[Observação],MATCH("B"&amp;MID($A161,2,99),tblBatidas[Início vinculado],0)),"")</f>
        <v>Lembrando que estou na supervisão do tracnkig betim, estadual 4.1 e estadual 5</v>
      </c>
      <c r="M161" t="str">
        <f>IFERROR(INDEX(tblPessoas[Base],MATCH(E161,tblPessoas[ID],0)),"")</f>
        <v>Hora</v>
      </c>
      <c r="N161" s="3">
        <f>IFERROR(IF(D161="DIA ÚTIL",INDEX(tblPessoas[R$/h útil],MATCH(E161,tblPessoas[ID],0)),INDEX(tblPessoas[R$/h FDS],MATCH(E161,tblPessoas[ID],0))),0)</f>
        <v>17</v>
      </c>
      <c r="O161" s="3">
        <f>IFERROR(INDEX(tblPessoas[R$/diária],MATCH(E161,tblPessoas[ID],0)),0)</f>
        <v>0</v>
      </c>
      <c r="P161" s="3">
        <f t="shared" si="10"/>
        <v>55.301944446691778</v>
      </c>
      <c r="Q161" t="str">
        <f>IF(A161="","",IF(COUNTIF(tblBatidas[Início vinculado],"B"&amp;MID($A161,2,99))=0,"EM ABERTO",IF(OR(COUNTIF(tblBatidas[Início vinculado],"B"&amp;MID($A161,2,99))&gt;1,K161&lt;0,K161&gt;16,INT(INDEX(tblBatidas[Data e hora],MATCH("B"&amp;MID($A161,2,99),tblBatidas[Início vinculado],0)))&lt;&gt;B161,INDEX(tblBatidas[ID],MATCH("B"&amp;MID($A161,2,99),tblBatidas[Início vinculado],0))&lt;&gt;E161,INDEX(tblBatidas[Projeto],MATCH("B"&amp;MID($A161,2,99),tblBatidas[Início vinculado],0))&lt;&gt;G161,INDEX(tblBatidas[Atividade],MATCH("B"&amp;MID($A161,2,99),tblBatidas[Início vinculado],0))&lt;&gt;H161),"REVISAR","CONCLUÍDO")))</f>
        <v>CONCLUÍDO</v>
      </c>
      <c r="R161">
        <f>IF(Q161&lt;&gt;"CONCLUÍDO",0,IF(COUNTIFS($E$5:E161,E161,$B$5:B161,B161,$Q$5:Q161,"CONCLUÍDO")=1,1,0))</f>
        <v>1</v>
      </c>
      <c r="S161" t="str">
        <f t="shared" si="11"/>
        <v>yyyy-09</v>
      </c>
      <c r="T161">
        <f>IF(E161="","",E161*100000+COUNTIFS(tblRegistros[ID],E161,tblRegistros[Data],"&lt;"&amp;B161)+COUNTIFS(tblRegistros[ID],E161,tblRegistros[Data],B161,tblRegistros[Início],"&lt;"&amp;I161)+COUNTIFS($E$5:E161,E161,$B$5:B161,B161,$I$5:I161,I161))</f>
        <v>100100016</v>
      </c>
    </row>
    <row r="162" spans="1:20">
      <c r="A162" t="s">
        <v>254</v>
      </c>
      <c r="B162" s="2">
        <f>IFERROR(INT(INDEX(tblBatidas[Data e hora],MATCH("B"&amp;MID($A162,2,99),tblBatidas[Batida ID],0))),"")</f>
        <v>46268</v>
      </c>
      <c r="C162" t="str">
        <f t="shared" si="8"/>
        <v>QUINTA-FEIRA</v>
      </c>
      <c r="D162" t="str">
        <f t="shared" si="9"/>
        <v>DIA ÚTIL</v>
      </c>
      <c r="E162">
        <f>IFERROR(INDEX(tblBatidas[ID],MATCH("B"&amp;MID($A162,2,99),tblBatidas[Batida ID],0)),"")</f>
        <v>1013</v>
      </c>
      <c r="F162" t="str">
        <f>IFERROR(INDEX(tblPessoas[Pessoa],MATCH(E162,tblPessoas[ID],0)),"")</f>
        <v>Rafaela Maria Resende Lara</v>
      </c>
      <c r="G162" t="str">
        <f>IFERROR(INDEX(tblBatidas[Projeto],MATCH("B"&amp;MID($A162,2,99),tblBatidas[Batida ID],0)),"")</f>
        <v>OTEMPO</v>
      </c>
      <c r="H162" t="str">
        <f>IFERROR(INDEX(tblBatidas[Atividade],MATCH("B"&amp;MID($A162,2,99),tblBatidas[Batida ID],0)),"")</f>
        <v>ANÁLISE</v>
      </c>
      <c r="I162" s="4">
        <f>IFERROR(MOD(INDEX(tblBatidas[Data e hora],MATCH("B"&amp;MID($A162,2,99),tblBatidas[Batida ID],0)),1),"")</f>
        <v>0.54355324074276723</v>
      </c>
      <c r="J162" s="4">
        <f>IFERROR(MOD(INDEX(tblBatidas[Data e hora],MATCH("B"&amp;MID($A162,2,99),tblBatidas[Início vinculado],0)),1),"")</f>
        <v>0.75087962963152677</v>
      </c>
      <c r="K162" s="14">
        <f>IFERROR((INDEX(tblBatidas[Data e hora],MATCH("B"&amp;MID($A162,2,99),tblBatidas[Início vinculado],0))-INDEX(tblBatidas[Data e hora],MATCH("B"&amp;MID($A162,2,99),tblBatidas[Batida ID],0)))*24,"")</f>
        <v>4.9758333333302289</v>
      </c>
      <c r="L162">
        <f>IFERROR(INDEX(tblBatidas[Observação],MATCH("B"&amp;MID($A162,2,99),tblBatidas[Início vinculado],0)),"")</f>
        <v>0</v>
      </c>
      <c r="M162" t="str">
        <f>IFERROR(INDEX(tblPessoas[Base],MATCH(E162,tblPessoas[ID],0)),"")</f>
        <v>Hora</v>
      </c>
      <c r="N162" s="3">
        <f>IFERROR(IF(D162="DIA ÚTIL",INDEX(tblPessoas[R$/h útil],MATCH(E162,tblPessoas[ID],0)),INDEX(tblPessoas[R$/h FDS],MATCH(E162,tblPessoas[ID],0))),0)</f>
        <v>23.5</v>
      </c>
      <c r="O162" s="3">
        <f>IFERROR(INDEX(tblPessoas[R$/diária],MATCH(E162,tblPessoas[ID],0)),0)</f>
        <v>0</v>
      </c>
      <c r="P162" s="3">
        <f t="shared" si="10"/>
        <v>116.93208333326038</v>
      </c>
      <c r="Q162" t="str">
        <f>IF(A162="","",IF(COUNTIF(tblBatidas[Início vinculado],"B"&amp;MID($A162,2,99))=0,"EM ABERTO",IF(OR(COUNTIF(tblBatidas[Início vinculado],"B"&amp;MID($A162,2,99))&gt;1,K162&lt;0,K162&gt;16,INT(INDEX(tblBatidas[Data e hora],MATCH("B"&amp;MID($A162,2,99),tblBatidas[Início vinculado],0)))&lt;&gt;B162,INDEX(tblBatidas[ID],MATCH("B"&amp;MID($A162,2,99),tblBatidas[Início vinculado],0))&lt;&gt;E162,INDEX(tblBatidas[Projeto],MATCH("B"&amp;MID($A162,2,99),tblBatidas[Início vinculado],0))&lt;&gt;G162,INDEX(tblBatidas[Atividade],MATCH("B"&amp;MID($A162,2,99),tblBatidas[Início vinculado],0))&lt;&gt;H162),"REVISAR","CONCLUÍDO")))</f>
        <v>CONCLUÍDO</v>
      </c>
      <c r="R162">
        <f>IF(Q162&lt;&gt;"CONCLUÍDO",0,IF(COUNTIFS($E$5:E162,E162,$B$5:B162,B162,$Q$5:Q162,"CONCLUÍDO")=1,1,0))</f>
        <v>0</v>
      </c>
      <c r="S162" t="str">
        <f t="shared" si="11"/>
        <v>yyyy-09</v>
      </c>
      <c r="T162">
        <f>IF(E162="","",E162*100000+COUNTIFS(tblRegistros[ID],E162,tblRegistros[Data],"&lt;"&amp;B162)+COUNTIFS(tblRegistros[ID],E162,tblRegistros[Data],B162,tblRegistros[Início],"&lt;"&amp;I162)+COUNTIFS($E$5:E162,E162,$B$5:B162,B162,$I$5:I162,I162))</f>
        <v>101300013</v>
      </c>
    </row>
    <row r="163" spans="1:20">
      <c r="A163" t="s">
        <v>255</v>
      </c>
      <c r="B163" s="2">
        <f>IFERROR(INT(INDEX(tblBatidas[Data e hora],MATCH("B"&amp;MID($A163,2,99),tblBatidas[Batida ID],0))),"")</f>
        <v>46268</v>
      </c>
      <c r="C163" t="str">
        <f t="shared" si="8"/>
        <v>QUINTA-FEIRA</v>
      </c>
      <c r="D163" t="str">
        <f t="shared" si="9"/>
        <v>DIA ÚTIL</v>
      </c>
      <c r="E163">
        <f>IFERROR(INDEX(tblBatidas[ID],MATCH("B"&amp;MID($A163,2,99),tblBatidas[Batida ID],0)),"")</f>
        <v>1016</v>
      </c>
      <c r="F163" t="str">
        <f>IFERROR(INDEX(tblPessoas[Pessoa],MATCH(E163,tblPessoas[ID],0)),"")</f>
        <v>Ana Luisa Nardin</v>
      </c>
      <c r="G163" t="str">
        <f>IFERROR(INDEX(tblBatidas[Projeto],MATCH("B"&amp;MID($A163,2,99),tblBatidas[Batida ID],0)),"")</f>
        <v>CFI / ACCION</v>
      </c>
      <c r="H163" t="str">
        <f>IFERROR(INDEX(tblBatidas[Atividade],MATCH("B"&amp;MID($A163,2,99),tblBatidas[Batida ID],0)),"")</f>
        <v>ANÁLISE</v>
      </c>
      <c r="I163" s="4">
        <f>IFERROR(MOD(INDEX(tblBatidas[Data e hora],MATCH("B"&amp;MID($A163,2,99),tblBatidas[Batida ID],0)),1),"")</f>
        <v>0.55623842592467554</v>
      </c>
      <c r="J163" s="4" t="str">
        <f>IFERROR(MOD(INDEX(tblBatidas[Data e hora],MATCH("B"&amp;MID($A163,2,99),tblBatidas[Início vinculado],0)),1),"")</f>
        <v/>
      </c>
      <c r="K163" s="14" t="str">
        <f>IFERROR((INDEX(tblBatidas[Data e hora],MATCH("B"&amp;MID($A163,2,99),tblBatidas[Início vinculado],0))-INDEX(tblBatidas[Data e hora],MATCH("B"&amp;MID($A163,2,99),tblBatidas[Batida ID],0)))*24,"")</f>
        <v/>
      </c>
      <c r="L163" t="str">
        <f>IFERROR(INDEX(tblBatidas[Observação],MATCH("B"&amp;MID($A163,2,99),tblBatidas[Início vinculado],0)),"")</f>
        <v/>
      </c>
      <c r="M163" t="str">
        <f>IFERROR(INDEX(tblPessoas[Base],MATCH(E163,tblPessoas[ID],0)),"")</f>
        <v>Hora</v>
      </c>
      <c r="N163" s="3">
        <f>IFERROR(IF(D163="DIA ÚTIL",INDEX(tblPessoas[R$/h útil],MATCH(E163,tblPessoas[ID],0)),INDEX(tblPessoas[R$/h FDS],MATCH(E163,tblPessoas[ID],0))),0)</f>
        <v>23.5</v>
      </c>
      <c r="O163" s="3">
        <f>IFERROR(INDEX(tblPessoas[R$/diária],MATCH(E163,tblPessoas[ID],0)),0)</f>
        <v>0</v>
      </c>
      <c r="P163" s="3" t="str">
        <f t="shared" si="10"/>
        <v/>
      </c>
      <c r="Q163" t="str">
        <f>IF(A163="","",IF(COUNTIF(tblBatidas[Início vinculado],"B"&amp;MID($A163,2,99))=0,"EM ABERTO",IF(OR(COUNTIF(tblBatidas[Início vinculado],"B"&amp;MID($A163,2,99))&gt;1,K163&lt;0,K163&gt;16,INT(INDEX(tblBatidas[Data e hora],MATCH("B"&amp;MID($A163,2,99),tblBatidas[Início vinculado],0)))&lt;&gt;B163,INDEX(tblBatidas[ID],MATCH("B"&amp;MID($A163,2,99),tblBatidas[Início vinculado],0))&lt;&gt;E163,INDEX(tblBatidas[Projeto],MATCH("B"&amp;MID($A163,2,99),tblBatidas[Início vinculado],0))&lt;&gt;G163,INDEX(tblBatidas[Atividade],MATCH("B"&amp;MID($A163,2,99),tblBatidas[Início vinculado],0))&lt;&gt;H163),"REVISAR","CONCLUÍDO")))</f>
        <v>EM ABERTO</v>
      </c>
      <c r="R163">
        <f>IF(Q163&lt;&gt;"CONCLUÍDO",0,IF(COUNTIFS($E$5:E163,E163,$B$5:B163,B163,$Q$5:Q163,"CONCLUÍDO")=1,1,0))</f>
        <v>0</v>
      </c>
      <c r="S163" t="str">
        <f t="shared" si="11"/>
        <v>yyyy-09</v>
      </c>
      <c r="T163">
        <f>IF(E163="","",E163*100000+COUNTIFS(tblRegistros[ID],E163,tblRegistros[Data],"&lt;"&amp;B163)+COUNTIFS(tblRegistros[ID],E163,tblRegistros[Data],B163,tblRegistros[Início],"&lt;"&amp;I163)+COUNTIFS($E$5:E163,E163,$B$5:B163,B163,$I$5:I163,I163))</f>
        <v>101600020</v>
      </c>
    </row>
    <row r="164" spans="1:20">
      <c r="A164" t="s">
        <v>256</v>
      </c>
      <c r="B164" s="2">
        <f>IFERROR(INT(INDEX(tblBatidas[Data e hora],MATCH("B"&amp;MID($A164,2,99),tblBatidas[Batida ID],0))),"")</f>
        <v>46268</v>
      </c>
      <c r="C164" t="str">
        <f t="shared" si="8"/>
        <v>QUINTA-FEIRA</v>
      </c>
      <c r="D164" t="str">
        <f t="shared" si="9"/>
        <v>DIA ÚTIL</v>
      </c>
      <c r="E164">
        <f>IFERROR(INDEX(tblBatidas[ID],MATCH("B"&amp;MID($A164,2,99),tblBatidas[Batida ID],0)),"")</f>
        <v>1015</v>
      </c>
      <c r="F164" t="str">
        <f>IFERROR(INDEX(tblPessoas[Pessoa],MATCH(E164,tblPessoas[ID],0)),"")</f>
        <v>Vitor Guilherme Miguel Rocha</v>
      </c>
      <c r="G164" t="str">
        <f>IFERROR(INDEX(tblBatidas[Projeto],MATCH("B"&amp;MID($A164,2,99),tblBatidas[Batida ID],0)),"")</f>
        <v>ADMINISTRATIVO</v>
      </c>
      <c r="H164" t="str">
        <f>IFERROR(INDEX(tblBatidas[Atividade],MATCH("B"&amp;MID($A164,2,99),tblBatidas[Batida ID],0)),"")</f>
        <v>ADMINISTRATIVO</v>
      </c>
      <c r="I164" s="4">
        <f>IFERROR(MOD(INDEX(tblBatidas[Data e hora],MATCH("B"&amp;MID($A164,2,99),tblBatidas[Batida ID],0)),1),"")</f>
        <v>0.55796296296466608</v>
      </c>
      <c r="J164" s="4">
        <f>IFERROR(MOD(INDEX(tblBatidas[Data e hora],MATCH("B"&amp;MID($A164,2,99),tblBatidas[Início vinculado],0)),1),"")</f>
        <v>0.7435995370396995</v>
      </c>
      <c r="K164" s="14">
        <f>IFERROR((INDEX(tblBatidas[Data e hora],MATCH("B"&amp;MID($A164,2,99),tblBatidas[Início vinculado],0))-INDEX(tblBatidas[Data e hora],MATCH("B"&amp;MID($A164,2,99),tblBatidas[Batida ID],0)))*24,"")</f>
        <v>4.4552777778008021</v>
      </c>
      <c r="L164">
        <f>IFERROR(INDEX(tblBatidas[Observação],MATCH("B"&amp;MID($A164,2,99),tblBatidas[Início vinculado],0)),"")</f>
        <v>0</v>
      </c>
      <c r="M164" t="str">
        <f>IFERROR(INDEX(tblPessoas[Base],MATCH(E164,tblPessoas[ID],0)),"")</f>
        <v>Hora</v>
      </c>
      <c r="N164" s="3">
        <f>IFERROR(IF(D164="DIA ÚTIL",INDEX(tblPessoas[R$/h útil],MATCH(E164,tblPessoas[ID],0)),INDEX(tblPessoas[R$/h FDS],MATCH(E164,tblPessoas[ID],0))),0)</f>
        <v>21.5</v>
      </c>
      <c r="O164" s="3">
        <f>IFERROR(INDEX(tblPessoas[R$/diária],MATCH(E164,tblPessoas[ID],0)),0)</f>
        <v>0</v>
      </c>
      <c r="P164" s="3">
        <f t="shared" si="10"/>
        <v>95.788472222717246</v>
      </c>
      <c r="Q164" t="str">
        <f>IF(A164="","",IF(COUNTIF(tblBatidas[Início vinculado],"B"&amp;MID($A164,2,99))=0,"EM ABERTO",IF(OR(COUNTIF(tblBatidas[Início vinculado],"B"&amp;MID($A164,2,99))&gt;1,K164&lt;0,K164&gt;16,INT(INDEX(tblBatidas[Data e hora],MATCH("B"&amp;MID($A164,2,99),tblBatidas[Início vinculado],0)))&lt;&gt;B164,INDEX(tblBatidas[ID],MATCH("B"&amp;MID($A164,2,99),tblBatidas[Início vinculado],0))&lt;&gt;E164,INDEX(tblBatidas[Projeto],MATCH("B"&amp;MID($A164,2,99),tblBatidas[Início vinculado],0))&lt;&gt;G164,INDEX(tblBatidas[Atividade],MATCH("B"&amp;MID($A164,2,99),tblBatidas[Início vinculado],0))&lt;&gt;H164),"REVISAR","CONCLUÍDO")))</f>
        <v>CONCLUÍDO</v>
      </c>
      <c r="R164">
        <f>IF(Q164&lt;&gt;"CONCLUÍDO",0,IF(COUNTIFS($E$5:E164,E164,$B$5:B164,B164,$Q$5:Q164,"CONCLUÍDO")=1,1,0))</f>
        <v>0</v>
      </c>
      <c r="S164" t="str">
        <f t="shared" si="11"/>
        <v>yyyy-09</v>
      </c>
      <c r="T164">
        <f>IF(E164="","",E164*100000+COUNTIFS(tblRegistros[ID],E164,tblRegistros[Data],"&lt;"&amp;B164)+COUNTIFS(tblRegistros[ID],E164,tblRegistros[Data],B164,tblRegistros[Início],"&lt;"&amp;I164)+COUNTIFS($E$5:E164,E164,$B$5:B164,B164,$I$5:I164,I164))</f>
        <v>101500020</v>
      </c>
    </row>
    <row r="165" spans="1:20">
      <c r="A165" t="s">
        <v>257</v>
      </c>
      <c r="B165" s="2">
        <f>IFERROR(INT(INDEX(tblBatidas[Data e hora],MATCH("B"&amp;MID($A165,2,99),tblBatidas[Batida ID],0))),"")</f>
        <v>46268</v>
      </c>
      <c r="C165" t="str">
        <f t="shared" si="8"/>
        <v>QUINTA-FEIRA</v>
      </c>
      <c r="D165" t="str">
        <f t="shared" si="9"/>
        <v>DIA ÚTIL</v>
      </c>
      <c r="E165">
        <f>IFERROR(INDEX(tblBatidas[ID],MATCH("B"&amp;MID($A165,2,99),tblBatidas[Batida ID],0)),"")</f>
        <v>1003</v>
      </c>
      <c r="F165" t="str">
        <f>IFERROR(INDEX(tblPessoas[Pessoa],MATCH(E165,tblPessoas[ID],0)),"")</f>
        <v>Amanda do Carmo Ribeiro</v>
      </c>
      <c r="G165" t="str">
        <f>IFERROR(INDEX(tblBatidas[Projeto],MATCH("B"&amp;MID($A165,2,99),tblBatidas[Batida ID],0)),"")</f>
        <v>SICOOB CREDICOM</v>
      </c>
      <c r="H165" t="str">
        <f>IFERROR(INDEX(tblBatidas[Atividade],MATCH("B"&amp;MID($A165,2,99),tblBatidas[Batida ID],0)),"")</f>
        <v>ANÁLISE</v>
      </c>
      <c r="I165" s="4">
        <f>IFERROR(MOD(INDEX(tblBatidas[Data e hora],MATCH("B"&amp;MID($A165,2,99),tblBatidas[Batida ID],0)),1),"")</f>
        <v>0.56604166666511446</v>
      </c>
      <c r="J165" s="4" t="str">
        <f>IFERROR(MOD(INDEX(tblBatidas[Data e hora],MATCH("B"&amp;MID($A165,2,99),tblBatidas[Início vinculado],0)),1),"")</f>
        <v/>
      </c>
      <c r="K165" s="14" t="str">
        <f>IFERROR((INDEX(tblBatidas[Data e hora],MATCH("B"&amp;MID($A165,2,99),tblBatidas[Início vinculado],0))-INDEX(tblBatidas[Data e hora],MATCH("B"&amp;MID($A165,2,99),tblBatidas[Batida ID],0)))*24,"")</f>
        <v/>
      </c>
      <c r="L165" t="str">
        <f>IFERROR(INDEX(tblBatidas[Observação],MATCH("B"&amp;MID($A165,2,99),tblBatidas[Início vinculado],0)),"")</f>
        <v/>
      </c>
      <c r="M165" t="str">
        <f>IFERROR(INDEX(tblPessoas[Base],MATCH(E165,tblPessoas[ID],0)),"")</f>
        <v>Hora</v>
      </c>
      <c r="N165" s="3">
        <f>IFERROR(IF(D165="DIA ÚTIL",INDEX(tblPessoas[R$/h útil],MATCH(E165,tblPessoas[ID],0)),INDEX(tblPessoas[R$/h FDS],MATCH(E165,tblPessoas[ID],0))),0)</f>
        <v>23.5</v>
      </c>
      <c r="O165" s="3">
        <f>IFERROR(INDEX(tblPessoas[R$/diária],MATCH(E165,tblPessoas[ID],0)),0)</f>
        <v>0</v>
      </c>
      <c r="P165" s="3" t="str">
        <f t="shared" si="10"/>
        <v/>
      </c>
      <c r="Q165" t="str">
        <f>IF(A165="","",IF(COUNTIF(tblBatidas[Início vinculado],"B"&amp;MID($A165,2,99))=0,"EM ABERTO",IF(OR(COUNTIF(tblBatidas[Início vinculado],"B"&amp;MID($A165,2,99))&gt;1,K165&lt;0,K165&gt;16,INT(INDEX(tblBatidas[Data e hora],MATCH("B"&amp;MID($A165,2,99),tblBatidas[Início vinculado],0)))&lt;&gt;B165,INDEX(tblBatidas[ID],MATCH("B"&amp;MID($A165,2,99),tblBatidas[Início vinculado],0))&lt;&gt;E165,INDEX(tblBatidas[Projeto],MATCH("B"&amp;MID($A165,2,99),tblBatidas[Início vinculado],0))&lt;&gt;G165,INDEX(tblBatidas[Atividade],MATCH("B"&amp;MID($A165,2,99),tblBatidas[Início vinculado],0))&lt;&gt;H165),"REVISAR","CONCLUÍDO")))</f>
        <v>EM ABERTO</v>
      </c>
      <c r="R165">
        <f>IF(Q165&lt;&gt;"CONCLUÍDO",0,IF(COUNTIFS($E$5:E165,E165,$B$5:B165,B165,$Q$5:Q165,"CONCLUÍDO")=1,1,0))</f>
        <v>0</v>
      </c>
      <c r="S165" t="str">
        <f t="shared" si="11"/>
        <v>yyyy-09</v>
      </c>
      <c r="T165">
        <f>IF(E165="","",E165*100000+COUNTIFS(tblRegistros[ID],E165,tblRegistros[Data],"&lt;"&amp;B165)+COUNTIFS(tblRegistros[ID],E165,tblRegistros[Data],B165,tblRegistros[Início],"&lt;"&amp;I165)+COUNTIFS($E$5:E165,E165,$B$5:B165,B165,$I$5:I165,I165))</f>
        <v>100300013</v>
      </c>
    </row>
    <row r="166" spans="1:20">
      <c r="A166" t="s">
        <v>258</v>
      </c>
      <c r="B166" s="2">
        <f>IFERROR(INT(INDEX(tblBatidas[Data e hora],MATCH("B"&amp;MID($A166,2,99),tblBatidas[Batida ID],0))),"")</f>
        <v>46268</v>
      </c>
      <c r="C166" t="str">
        <f t="shared" si="8"/>
        <v>QUINTA-FEIRA</v>
      </c>
      <c r="D166" t="str">
        <f t="shared" si="9"/>
        <v>DIA ÚTIL</v>
      </c>
      <c r="E166">
        <f>IFERROR(INDEX(tblBatidas[ID],MATCH("B"&amp;MID($A166,2,99),tblBatidas[Batida ID],0)),"")</f>
        <v>1012</v>
      </c>
      <c r="F166" t="str">
        <f>IFERROR(INDEX(tblPessoas[Pessoa],MATCH(E166,tblPessoas[ID],0)),"")</f>
        <v>Nelma Lucia dos S. B. Brandão</v>
      </c>
      <c r="G166" t="str">
        <f>IFERROR(INDEX(tblBatidas[Projeto],MATCH("B"&amp;MID($A166,2,99),tblBatidas[Batida ID],0)),"")</f>
        <v>OTEMPO</v>
      </c>
      <c r="H166" t="str">
        <f>IFERROR(INDEX(tblBatidas[Atividade],MATCH("B"&amp;MID($A166,2,99),tblBatidas[Batida ID],0)),"")</f>
        <v>SUPERVISÃO</v>
      </c>
      <c r="I166" s="4">
        <f>IFERROR(MOD(INDEX(tblBatidas[Data e hora],MATCH("B"&amp;MID($A166,2,99),tblBatidas[Batida ID],0)),1),"")</f>
        <v>0.578263888892252</v>
      </c>
      <c r="J166" s="4" t="str">
        <f>IFERROR(MOD(INDEX(tblBatidas[Data e hora],MATCH("B"&amp;MID($A166,2,99),tblBatidas[Início vinculado],0)),1),"")</f>
        <v/>
      </c>
      <c r="K166" s="14" t="str">
        <f>IFERROR((INDEX(tblBatidas[Data e hora],MATCH("B"&amp;MID($A166,2,99),tblBatidas[Início vinculado],0))-INDEX(tblBatidas[Data e hora],MATCH("B"&amp;MID($A166,2,99),tblBatidas[Batida ID],0)))*24,"")</f>
        <v/>
      </c>
      <c r="L166" t="str">
        <f>IFERROR(INDEX(tblBatidas[Observação],MATCH("B"&amp;MID($A166,2,99),tblBatidas[Início vinculado],0)),"")</f>
        <v/>
      </c>
      <c r="M166" t="str">
        <f>IFERROR(INDEX(tblPessoas[Base],MATCH(E166,tblPessoas[ID],0)),"")</f>
        <v>Diária</v>
      </c>
      <c r="N166" s="3">
        <f>IFERROR(IF(D166="DIA ÚTIL",INDEX(tblPessoas[R$/h útil],MATCH(E166,tblPessoas[ID],0)),INDEX(tblPessoas[R$/h FDS],MATCH(E166,tblPessoas[ID],0))),0)</f>
        <v>0</v>
      </c>
      <c r="O166" s="3">
        <f>IFERROR(INDEX(tblPessoas[R$/diária],MATCH(E166,tblPessoas[ID],0)),0)</f>
        <v>222.72</v>
      </c>
      <c r="P166" s="3" t="str">
        <f t="shared" si="10"/>
        <v/>
      </c>
      <c r="Q166" t="str">
        <f>IF(A166="","",IF(COUNTIF(tblBatidas[Início vinculado],"B"&amp;MID($A166,2,99))=0,"EM ABERTO",IF(OR(COUNTIF(tblBatidas[Início vinculado],"B"&amp;MID($A166,2,99))&gt;1,K166&lt;0,K166&gt;16,INT(INDEX(tblBatidas[Data e hora],MATCH("B"&amp;MID($A166,2,99),tblBatidas[Início vinculado],0)))&lt;&gt;B166,INDEX(tblBatidas[ID],MATCH("B"&amp;MID($A166,2,99),tblBatidas[Início vinculado],0))&lt;&gt;E166,INDEX(tblBatidas[Projeto],MATCH("B"&amp;MID($A166,2,99),tblBatidas[Início vinculado],0))&lt;&gt;G166,INDEX(tblBatidas[Atividade],MATCH("B"&amp;MID($A166,2,99),tblBatidas[Início vinculado],0))&lt;&gt;H166),"REVISAR","CONCLUÍDO")))</f>
        <v>EM ABERTO</v>
      </c>
      <c r="R166">
        <f>IF(Q166&lt;&gt;"CONCLUÍDO",0,IF(COUNTIFS($E$5:E166,E166,$B$5:B166,B166,$Q$5:Q166,"CONCLUÍDO")=1,1,0))</f>
        <v>0</v>
      </c>
      <c r="S166" t="str">
        <f t="shared" si="11"/>
        <v>yyyy-09</v>
      </c>
      <c r="T166">
        <f>IF(E166="","",E166*100000+COUNTIFS(tblRegistros[ID],E166,tblRegistros[Data],"&lt;"&amp;B166)+COUNTIFS(tblRegistros[ID],E166,tblRegistros[Data],B166,tblRegistros[Início],"&lt;"&amp;I166)+COUNTIFS($E$5:E166,E166,$B$5:B166,B166,$I$5:I166,I166))</f>
        <v>101200021</v>
      </c>
    </row>
    <row r="167" spans="1:20">
      <c r="A167" t="s">
        <v>259</v>
      </c>
      <c r="B167" s="2">
        <f>IFERROR(INT(INDEX(tblBatidas[Data e hora],MATCH("B"&amp;MID($A167,2,99),tblBatidas[Batida ID],0))),"")</f>
        <v>46268</v>
      </c>
      <c r="C167" t="str">
        <f t="shared" si="8"/>
        <v>QUINTA-FEIRA</v>
      </c>
      <c r="D167" t="str">
        <f t="shared" si="9"/>
        <v>DIA ÚTIL</v>
      </c>
      <c r="E167">
        <f>IFERROR(INDEX(tblBatidas[ID],MATCH("B"&amp;MID($A167,2,99),tblBatidas[Batida ID],0)),"")</f>
        <v>1014</v>
      </c>
      <c r="F167" t="str">
        <f>IFERROR(INDEX(tblPessoas[Pessoa],MATCH(E167,tblPessoas[ID],0)),"")</f>
        <v>Robert Filipe Orlando de Souza</v>
      </c>
      <c r="G167" t="str">
        <f>IFERROR(INDEX(tblBatidas[Projeto],MATCH("B"&amp;MID($A167,2,99),tblBatidas[Batida ID],0)),"")</f>
        <v>SICOOB CREDICOM</v>
      </c>
      <c r="H167" t="str">
        <f>IFERROR(INDEX(tblBatidas[Atividade],MATCH("B"&amp;MID($A167,2,99),tblBatidas[Batida ID],0)),"")</f>
        <v>CHECAGEM</v>
      </c>
      <c r="I167" s="4">
        <f>IFERROR(MOD(INDEX(tblBatidas[Data e hora],MATCH("B"&amp;MID($A167,2,99),tblBatidas[Batida ID],0)),1),"")</f>
        <v>0.59858796296612127</v>
      </c>
      <c r="J167" s="4" t="str">
        <f>IFERROR(MOD(INDEX(tblBatidas[Data e hora],MATCH("B"&amp;MID($A167,2,99),tblBatidas[Início vinculado],0)),1),"")</f>
        <v/>
      </c>
      <c r="K167" s="14" t="str">
        <f>IFERROR((INDEX(tblBatidas[Data e hora],MATCH("B"&amp;MID($A167,2,99),tblBatidas[Início vinculado],0))-INDEX(tblBatidas[Data e hora],MATCH("B"&amp;MID($A167,2,99),tblBatidas[Batida ID],0)))*24,"")</f>
        <v/>
      </c>
      <c r="L167" t="str">
        <f>IFERROR(INDEX(tblBatidas[Observação],MATCH("B"&amp;MID($A167,2,99),tblBatidas[Início vinculado],0)),"")</f>
        <v/>
      </c>
      <c r="M167" t="str">
        <f>IFERROR(INDEX(tblPessoas[Base],MATCH(E167,tblPessoas[ID],0)),"")</f>
        <v>Hora</v>
      </c>
      <c r="N167" s="3">
        <f>IFERROR(IF(D167="DIA ÚTIL",INDEX(tblPessoas[R$/h útil],MATCH(E167,tblPessoas[ID],0)),INDEX(tblPessoas[R$/h FDS],MATCH(E167,tblPessoas[ID],0))),0)</f>
        <v>21.5</v>
      </c>
      <c r="O167" s="3">
        <f>IFERROR(INDEX(tblPessoas[R$/diária],MATCH(E167,tblPessoas[ID],0)),0)</f>
        <v>0</v>
      </c>
      <c r="P167" s="3" t="str">
        <f t="shared" si="10"/>
        <v/>
      </c>
      <c r="Q167" t="str">
        <f>IF(A167="","",IF(COUNTIF(tblBatidas[Início vinculado],"B"&amp;MID($A167,2,99))=0,"EM ABERTO",IF(OR(COUNTIF(tblBatidas[Início vinculado],"B"&amp;MID($A167,2,99))&gt;1,K167&lt;0,K167&gt;16,INT(INDEX(tblBatidas[Data e hora],MATCH("B"&amp;MID($A167,2,99),tblBatidas[Início vinculado],0)))&lt;&gt;B167,INDEX(tblBatidas[ID],MATCH("B"&amp;MID($A167,2,99),tblBatidas[Início vinculado],0))&lt;&gt;E167,INDEX(tblBatidas[Projeto],MATCH("B"&amp;MID($A167,2,99),tblBatidas[Início vinculado],0))&lt;&gt;G167,INDEX(tblBatidas[Atividade],MATCH("B"&amp;MID($A167,2,99),tblBatidas[Início vinculado],0))&lt;&gt;H167),"REVISAR","CONCLUÍDO")))</f>
        <v>EM ABERTO</v>
      </c>
      <c r="R167">
        <f>IF(Q167&lt;&gt;"CONCLUÍDO",0,IF(COUNTIFS($E$5:E167,E167,$B$5:B167,B167,$Q$5:Q167,"CONCLUÍDO")=1,1,0))</f>
        <v>0</v>
      </c>
      <c r="S167" t="str">
        <f t="shared" si="11"/>
        <v>yyyy-09</v>
      </c>
      <c r="T167">
        <f>IF(E167="","",E167*100000+COUNTIFS(tblRegistros[ID],E167,tblRegistros[Data],"&lt;"&amp;B167)+COUNTIFS(tblRegistros[ID],E167,tblRegistros[Data],B167,tblRegistros[Início],"&lt;"&amp;I167)+COUNTIFS($E$5:E167,E167,$B$5:B167,B167,$I$5:I167,I167))</f>
        <v>101400016</v>
      </c>
    </row>
    <row r="168" spans="1:20">
      <c r="A168" t="s">
        <v>260</v>
      </c>
      <c r="B168" s="2">
        <f>IFERROR(INT(INDEX(tblBatidas[Data e hora],MATCH("B"&amp;MID($A168,2,99),tblBatidas[Batida ID],0))),"")</f>
        <v>46268</v>
      </c>
      <c r="C168" t="str">
        <f t="shared" si="8"/>
        <v>QUINTA-FEIRA</v>
      </c>
      <c r="D168" t="str">
        <f t="shared" si="9"/>
        <v>DIA ÚTIL</v>
      </c>
      <c r="E168">
        <f>IFERROR(INDEX(tblBatidas[ID],MATCH("B"&amp;MID($A168,2,99),tblBatidas[Batida ID],0)),"")</f>
        <v>1011</v>
      </c>
      <c r="F168" t="str">
        <f>IFERROR(INDEX(tblPessoas[Pessoa],MATCH(E168,tblPessoas[ID],0)),"")</f>
        <v>Nathalia Arruda</v>
      </c>
      <c r="G168" t="str">
        <f>IFERROR(INDEX(tblBatidas[Projeto],MATCH("B"&amp;MID($A168,2,99),tblBatidas[Batida ID],0)),"")</f>
        <v>OTEMPO</v>
      </c>
      <c r="H168" t="str">
        <f>IFERROR(INDEX(tblBatidas[Atividade],MATCH("B"&amp;MID($A168,2,99),tblBatidas[Batida ID],0)),"")</f>
        <v>ANÁLISE</v>
      </c>
      <c r="I168" s="4">
        <f>IFERROR(MOD(INDEX(tblBatidas[Data e hora],MATCH("B"&amp;MID($A168,2,99),tblBatidas[Batida ID],0)),1),"")</f>
        <v>0.64442129629605915</v>
      </c>
      <c r="J168" s="4" t="str">
        <f>IFERROR(MOD(INDEX(tblBatidas[Data e hora],MATCH("B"&amp;MID($A168,2,99),tblBatidas[Início vinculado],0)),1),"")</f>
        <v/>
      </c>
      <c r="K168" s="14" t="str">
        <f>IFERROR((INDEX(tblBatidas[Data e hora],MATCH("B"&amp;MID($A168,2,99),tblBatidas[Início vinculado],0))-INDEX(tblBatidas[Data e hora],MATCH("B"&amp;MID($A168,2,99),tblBatidas[Batida ID],0)))*24,"")</f>
        <v/>
      </c>
      <c r="L168" t="str">
        <f>IFERROR(INDEX(tblBatidas[Observação],MATCH("B"&amp;MID($A168,2,99),tblBatidas[Início vinculado],0)),"")</f>
        <v/>
      </c>
      <c r="M168" t="str">
        <f>IFERROR(INDEX(tblPessoas[Base],MATCH(E168,tblPessoas[ID],0)),"")</f>
        <v>Hora</v>
      </c>
      <c r="N168" s="3">
        <f>IFERROR(IF(D168="DIA ÚTIL",INDEX(tblPessoas[R$/h útil],MATCH(E168,tblPessoas[ID],0)),INDEX(tblPessoas[R$/h FDS],MATCH(E168,tblPessoas[ID],0))),0)</f>
        <v>23.5</v>
      </c>
      <c r="O168" s="3">
        <f>IFERROR(INDEX(tblPessoas[R$/diária],MATCH(E168,tblPessoas[ID],0)),0)</f>
        <v>0</v>
      </c>
      <c r="P168" s="3" t="str">
        <f t="shared" si="10"/>
        <v/>
      </c>
      <c r="Q168" t="str">
        <f>IF(A168="","",IF(COUNTIF(tblBatidas[Início vinculado],"B"&amp;MID($A168,2,99))=0,"EM ABERTO",IF(OR(COUNTIF(tblBatidas[Início vinculado],"B"&amp;MID($A168,2,99))&gt;1,K168&lt;0,K168&gt;16,INT(INDEX(tblBatidas[Data e hora],MATCH("B"&amp;MID($A168,2,99),tblBatidas[Início vinculado],0)))&lt;&gt;B168,INDEX(tblBatidas[ID],MATCH("B"&amp;MID($A168,2,99),tblBatidas[Início vinculado],0))&lt;&gt;E168,INDEX(tblBatidas[Projeto],MATCH("B"&amp;MID($A168,2,99),tblBatidas[Início vinculado],0))&lt;&gt;G168,INDEX(tblBatidas[Atividade],MATCH("B"&amp;MID($A168,2,99),tblBatidas[Início vinculado],0))&lt;&gt;H168),"REVISAR","CONCLUÍDO")))</f>
        <v>EM ABERTO</v>
      </c>
      <c r="R168">
        <f>IF(Q168&lt;&gt;"CONCLUÍDO",0,IF(COUNTIFS($E$5:E168,E168,$B$5:B168,B168,$Q$5:Q168,"CONCLUÍDO")=1,1,0))</f>
        <v>0</v>
      </c>
      <c r="S168" t="str">
        <f t="shared" si="11"/>
        <v>yyyy-09</v>
      </c>
      <c r="T168">
        <f>IF(E168="","",E168*100000+COUNTIFS(tblRegistros[ID],E168,tblRegistros[Data],"&lt;"&amp;B168)+COUNTIFS(tblRegistros[ID],E168,tblRegistros[Data],B168,tblRegistros[Início],"&lt;"&amp;I168)+COUNTIFS($E$5:E168,E168,$B$5:B168,B168,$I$5:I168,I168))</f>
        <v>101100013</v>
      </c>
    </row>
    <row r="169" spans="1:20">
      <c r="A169" t="s">
        <v>261</v>
      </c>
      <c r="B169" s="2">
        <f>IFERROR(INT(INDEX(tblBatidas[Data e hora],MATCH("B"&amp;MID($A169,2,99),tblBatidas[Batida ID],0))),"")</f>
        <v>46268</v>
      </c>
      <c r="C169" t="str">
        <f t="shared" si="8"/>
        <v>QUINTA-FEIRA</v>
      </c>
      <c r="D169" t="str">
        <f t="shared" si="9"/>
        <v>DIA ÚTIL</v>
      </c>
      <c r="E169">
        <f>IFERROR(INDEX(tblBatidas[ID],MATCH("B"&amp;MID($A169,2,99),tblBatidas[Batida ID],0)),"")</f>
        <v>1014</v>
      </c>
      <c r="F169" t="str">
        <f>IFERROR(INDEX(tblPessoas[Pessoa],MATCH(E169,tblPessoas[ID],0)),"")</f>
        <v>Robert Filipe Orlando de Souza</v>
      </c>
      <c r="G169" t="str">
        <f>IFERROR(INDEX(tblBatidas[Projeto],MATCH("B"&amp;MID($A169,2,99),tblBatidas[Batida ID],0)),"")</f>
        <v>SICOOB CREDICOM</v>
      </c>
      <c r="H169" t="str">
        <f>IFERROR(INDEX(tblBatidas[Atividade],MATCH("B"&amp;MID($A169,2,99),tblBatidas[Batida ID],0)),"")</f>
        <v>CHECAGEM</v>
      </c>
      <c r="I169" s="4">
        <f>IFERROR(MOD(INDEX(tblBatidas[Data e hora],MATCH("B"&amp;MID($A169,2,99),tblBatidas[Batida ID],0)),1),"")</f>
        <v>0.68090277777810115</v>
      </c>
      <c r="J169" s="4" t="str">
        <f>IFERROR(MOD(INDEX(tblBatidas[Data e hora],MATCH("B"&amp;MID($A169,2,99),tblBatidas[Início vinculado],0)),1),"")</f>
        <v/>
      </c>
      <c r="K169" s="14" t="str">
        <f>IFERROR((INDEX(tblBatidas[Data e hora],MATCH("B"&amp;MID($A169,2,99),tblBatidas[Início vinculado],0))-INDEX(tblBatidas[Data e hora],MATCH("B"&amp;MID($A169,2,99),tblBatidas[Batida ID],0)))*24,"")</f>
        <v/>
      </c>
      <c r="L169" t="str">
        <f>IFERROR(INDEX(tblBatidas[Observação],MATCH("B"&amp;MID($A169,2,99),tblBatidas[Início vinculado],0)),"")</f>
        <v/>
      </c>
      <c r="M169" t="str">
        <f>IFERROR(INDEX(tblPessoas[Base],MATCH(E169,tblPessoas[ID],0)),"")</f>
        <v>Hora</v>
      </c>
      <c r="N169" s="3">
        <f>IFERROR(IF(D169="DIA ÚTIL",INDEX(tblPessoas[R$/h útil],MATCH(E169,tblPessoas[ID],0)),INDEX(tblPessoas[R$/h FDS],MATCH(E169,tblPessoas[ID],0))),0)</f>
        <v>21.5</v>
      </c>
      <c r="O169" s="3">
        <f>IFERROR(INDEX(tblPessoas[R$/diária],MATCH(E169,tblPessoas[ID],0)),0)</f>
        <v>0</v>
      </c>
      <c r="P169" s="3" t="str">
        <f t="shared" si="10"/>
        <v/>
      </c>
      <c r="Q169" t="str">
        <f>IF(A169="","",IF(COUNTIF(tblBatidas[Início vinculado],"B"&amp;MID($A169,2,99))=0,"EM ABERTO",IF(OR(COUNTIF(tblBatidas[Início vinculado],"B"&amp;MID($A169,2,99))&gt;1,K169&lt;0,K169&gt;16,INT(INDEX(tblBatidas[Data e hora],MATCH("B"&amp;MID($A169,2,99),tblBatidas[Início vinculado],0)))&lt;&gt;B169,INDEX(tblBatidas[ID],MATCH("B"&amp;MID($A169,2,99),tblBatidas[Início vinculado],0))&lt;&gt;E169,INDEX(tblBatidas[Projeto],MATCH("B"&amp;MID($A169,2,99),tblBatidas[Início vinculado],0))&lt;&gt;G169,INDEX(tblBatidas[Atividade],MATCH("B"&amp;MID($A169,2,99),tblBatidas[Início vinculado],0))&lt;&gt;H169),"REVISAR","CONCLUÍDO")))</f>
        <v>EM ABERTO</v>
      </c>
      <c r="R169">
        <f>IF(Q169&lt;&gt;"CONCLUÍDO",0,IF(COUNTIFS($E$5:E169,E169,$B$5:B169,B169,$Q$5:Q169,"CONCLUÍDO")=1,1,0))</f>
        <v>0</v>
      </c>
      <c r="S169" t="str">
        <f t="shared" si="11"/>
        <v>yyyy-09</v>
      </c>
      <c r="T169">
        <f>IF(E169="","",E169*100000+COUNTIFS(tblRegistros[ID],E169,tblRegistros[Data],"&lt;"&amp;B169)+COUNTIFS(tblRegistros[ID],E169,tblRegistros[Data],B169,tblRegistros[Início],"&lt;"&amp;I169)+COUNTIFS($E$5:E169,E169,$B$5:B169,B169,$I$5:I169,I169))</f>
        <v>101400017</v>
      </c>
    </row>
    <row r="170" spans="1:20">
      <c r="A170" t="s">
        <v>262</v>
      </c>
      <c r="B170" s="2">
        <f>IFERROR(INT(INDEX(tblBatidas[Data e hora],MATCH("B"&amp;MID($A170,2,99),tblBatidas[Batida ID],0))),"")</f>
        <v>46269</v>
      </c>
      <c r="C170" t="str">
        <f t="shared" si="8"/>
        <v>SEXTA-FEIRA</v>
      </c>
      <c r="D170" t="str">
        <f t="shared" si="9"/>
        <v>DIA ÚTIL</v>
      </c>
      <c r="E170">
        <f>IFERROR(INDEX(tblBatidas[ID],MATCH("B"&amp;MID($A170,2,99),tblBatidas[Batida ID],0)),"")</f>
        <v>1003</v>
      </c>
      <c r="F170" t="str">
        <f>IFERROR(INDEX(tblPessoas[Pessoa],MATCH(E170,tblPessoas[ID],0)),"")</f>
        <v>Amanda do Carmo Ribeiro</v>
      </c>
      <c r="G170" t="str">
        <f>IFERROR(INDEX(tblBatidas[Projeto],MATCH("B"&amp;MID($A170,2,99),tblBatidas[Batida ID],0)),"")</f>
        <v>OTEMPO</v>
      </c>
      <c r="H170" t="str">
        <f>IFERROR(INDEX(tblBatidas[Atividade],MATCH("B"&amp;MID($A170,2,99),tblBatidas[Batida ID],0)),"")</f>
        <v>ANÁLISE</v>
      </c>
      <c r="I170" s="4">
        <f>IFERROR(MOD(INDEX(tblBatidas[Data e hora],MATCH("B"&amp;MID($A170,2,99),tblBatidas[Batida ID],0)),1),"")</f>
        <v>0.33758101851708489</v>
      </c>
      <c r="J170" s="4">
        <f>IFERROR(MOD(INDEX(tblBatidas[Data e hora],MATCH("B"&amp;MID($A170,2,99),tblBatidas[Início vinculado],0)),1),"")</f>
        <v>0.54100694444787223</v>
      </c>
      <c r="K170" s="14">
        <f>IFERROR((INDEX(tblBatidas[Data e hora],MATCH("B"&amp;MID($A170,2,99),tblBatidas[Início vinculado],0))-INDEX(tblBatidas[Data e hora],MATCH("B"&amp;MID($A170,2,99),tblBatidas[Batida ID],0)))*24,"")</f>
        <v>4.8822222223388962</v>
      </c>
      <c r="L170" t="str">
        <f>IFERROR(INDEX(tblBatidas[Observação],MATCH("B"&amp;MID($A170,2,99),tblBatidas[Início vinculado],0)),"")</f>
        <v>Elaboração do plano de processamento.</v>
      </c>
      <c r="M170" t="str">
        <f>IFERROR(INDEX(tblPessoas[Base],MATCH(E170,tblPessoas[ID],0)),"")</f>
        <v>Hora</v>
      </c>
      <c r="N170" s="3">
        <f>IFERROR(IF(D170="DIA ÚTIL",INDEX(tblPessoas[R$/h útil],MATCH(E170,tblPessoas[ID],0)),INDEX(tblPessoas[R$/h FDS],MATCH(E170,tblPessoas[ID],0))),0)</f>
        <v>23.5</v>
      </c>
      <c r="O170" s="3">
        <f>IFERROR(INDEX(tblPessoas[R$/diária],MATCH(E170,tblPessoas[ID],0)),0)</f>
        <v>0</v>
      </c>
      <c r="P170" s="3">
        <f t="shared" si="10"/>
        <v>114.73222222496406</v>
      </c>
      <c r="Q170" t="str">
        <f>IF(A170="","",IF(COUNTIF(tblBatidas[Início vinculado],"B"&amp;MID($A170,2,99))=0,"EM ABERTO",IF(OR(COUNTIF(tblBatidas[Início vinculado],"B"&amp;MID($A170,2,99))&gt;1,K170&lt;0,K170&gt;16,INT(INDEX(tblBatidas[Data e hora],MATCH("B"&amp;MID($A170,2,99),tblBatidas[Início vinculado],0)))&lt;&gt;B170,INDEX(tblBatidas[ID],MATCH("B"&amp;MID($A170,2,99),tblBatidas[Início vinculado],0))&lt;&gt;E170,INDEX(tblBatidas[Projeto],MATCH("B"&amp;MID($A170,2,99),tblBatidas[Início vinculado],0))&lt;&gt;G170,INDEX(tblBatidas[Atividade],MATCH("B"&amp;MID($A170,2,99),tblBatidas[Início vinculado],0))&lt;&gt;H170),"REVISAR","CONCLUÍDO")))</f>
        <v>CONCLUÍDO</v>
      </c>
      <c r="R170">
        <f>IF(Q170&lt;&gt;"CONCLUÍDO",0,IF(COUNTIFS($E$5:E170,E170,$B$5:B170,B170,$Q$5:Q170,"CONCLUÍDO")=1,1,0))</f>
        <v>1</v>
      </c>
      <c r="S170" t="str">
        <f t="shared" si="11"/>
        <v>yyyy-09</v>
      </c>
      <c r="T170">
        <f>IF(E170="","",E170*100000+COUNTIFS(tblRegistros[ID],E170,tblRegistros[Data],"&lt;"&amp;B170)+COUNTIFS(tblRegistros[ID],E170,tblRegistros[Data],B170,tblRegistros[Início],"&lt;"&amp;I170)+COUNTIFS($E$5:E170,E170,$B$5:B170,B170,$I$5:I170,I170))</f>
        <v>100300014</v>
      </c>
    </row>
    <row r="171" spans="1:20">
      <c r="A171" t="s">
        <v>263</v>
      </c>
      <c r="B171" s="2">
        <f>IFERROR(INT(INDEX(tblBatidas[Data e hora],MATCH("B"&amp;MID($A171,2,99),tblBatidas[Batida ID],0))),"")</f>
        <v>46269</v>
      </c>
      <c r="C171" t="str">
        <f t="shared" si="8"/>
        <v>SEXTA-FEIRA</v>
      </c>
      <c r="D171" t="str">
        <f t="shared" si="9"/>
        <v>DIA ÚTIL</v>
      </c>
      <c r="E171">
        <f>IFERROR(INDEX(tblBatidas[ID],MATCH("B"&amp;MID($A171,2,99),tblBatidas[Batida ID],0)),"")</f>
        <v>1013</v>
      </c>
      <c r="F171" t="str">
        <f>IFERROR(INDEX(tblPessoas[Pessoa],MATCH(E171,tblPessoas[ID],0)),"")</f>
        <v>Rafaela Maria Resende Lara</v>
      </c>
      <c r="G171" t="str">
        <f>IFERROR(INDEX(tblBatidas[Projeto],MATCH("B"&amp;MID($A171,2,99),tblBatidas[Batida ID],0)),"")</f>
        <v>OTEMPO</v>
      </c>
      <c r="H171" t="str">
        <f>IFERROR(INDEX(tblBatidas[Atividade],MATCH("B"&amp;MID($A171,2,99),tblBatidas[Batida ID],0)),"")</f>
        <v>ANÁLISE</v>
      </c>
      <c r="I171" s="4">
        <f>IFERROR(MOD(INDEX(tblBatidas[Data e hora],MATCH("B"&amp;MID($A171,2,99),tblBatidas[Batida ID],0)),1),"")</f>
        <v>0.34968749999825377</v>
      </c>
      <c r="J171" s="4">
        <f>IFERROR(MOD(INDEX(tblBatidas[Data e hora],MATCH("B"&amp;MID($A171,2,99),tblBatidas[Início vinculado],0)),1),"")</f>
        <v>0.51493055555329192</v>
      </c>
      <c r="K171" s="14">
        <f>IFERROR((INDEX(tblBatidas[Data e hora],MATCH("B"&amp;MID($A171,2,99),tblBatidas[Início vinculado],0))-INDEX(tblBatidas[Data e hora],MATCH("B"&amp;MID($A171,2,99),tblBatidas[Batida ID],0)))*24,"")</f>
        <v>3.9658333333209157</v>
      </c>
      <c r="L171">
        <f>IFERROR(INDEX(tblBatidas[Observação],MATCH("B"&amp;MID($A171,2,99),tblBatidas[Início vinculado],0)),"")</f>
        <v>0</v>
      </c>
      <c r="M171" t="str">
        <f>IFERROR(INDEX(tblPessoas[Base],MATCH(E171,tblPessoas[ID],0)),"")</f>
        <v>Hora</v>
      </c>
      <c r="N171" s="3">
        <f>IFERROR(IF(D171="DIA ÚTIL",INDEX(tblPessoas[R$/h útil],MATCH(E171,tblPessoas[ID],0)),INDEX(tblPessoas[R$/h FDS],MATCH(E171,tblPessoas[ID],0))),0)</f>
        <v>23.5</v>
      </c>
      <c r="O171" s="3">
        <f>IFERROR(INDEX(tblPessoas[R$/diária],MATCH(E171,tblPessoas[ID],0)),0)</f>
        <v>0</v>
      </c>
      <c r="P171" s="3">
        <f t="shared" si="10"/>
        <v>93.197083333041519</v>
      </c>
      <c r="Q171" t="str">
        <f>IF(A171="","",IF(COUNTIF(tblBatidas[Início vinculado],"B"&amp;MID($A171,2,99))=0,"EM ABERTO",IF(OR(COUNTIF(tblBatidas[Início vinculado],"B"&amp;MID($A171,2,99))&gt;1,K171&lt;0,K171&gt;16,INT(INDEX(tblBatidas[Data e hora],MATCH("B"&amp;MID($A171,2,99),tblBatidas[Início vinculado],0)))&lt;&gt;B171,INDEX(tblBatidas[ID],MATCH("B"&amp;MID($A171,2,99),tblBatidas[Início vinculado],0))&lt;&gt;E171,INDEX(tblBatidas[Projeto],MATCH("B"&amp;MID($A171,2,99),tblBatidas[Início vinculado],0))&lt;&gt;G171,INDEX(tblBatidas[Atividade],MATCH("B"&amp;MID($A171,2,99),tblBatidas[Início vinculado],0))&lt;&gt;H171),"REVISAR","CONCLUÍDO")))</f>
        <v>CONCLUÍDO</v>
      </c>
      <c r="R171">
        <f>IF(Q171&lt;&gt;"CONCLUÍDO",0,IF(COUNTIFS($E$5:E171,E171,$B$5:B171,B171,$Q$5:Q171,"CONCLUÍDO")=1,1,0))</f>
        <v>1</v>
      </c>
      <c r="S171" t="str">
        <f t="shared" si="11"/>
        <v>yyyy-09</v>
      </c>
      <c r="T171">
        <f>IF(E171="","",E171*100000+COUNTIFS(tblRegistros[ID],E171,tblRegistros[Data],"&lt;"&amp;B171)+COUNTIFS(tblRegistros[ID],E171,tblRegistros[Data],B171,tblRegistros[Início],"&lt;"&amp;I171)+COUNTIFS($E$5:E171,E171,$B$5:B171,B171,$I$5:I171,I171))</f>
        <v>101300014</v>
      </c>
    </row>
    <row r="172" spans="1:20">
      <c r="A172" t="s">
        <v>264</v>
      </c>
      <c r="B172" s="2">
        <f>IFERROR(INT(INDEX(tblBatidas[Data e hora],MATCH("B"&amp;MID($A172,2,99),tblBatidas[Batida ID],0))),"")</f>
        <v>46269</v>
      </c>
      <c r="C172" t="str">
        <f t="shared" si="8"/>
        <v>SEXTA-FEIRA</v>
      </c>
      <c r="D172" t="str">
        <f t="shared" si="9"/>
        <v>DIA ÚTIL</v>
      </c>
      <c r="E172">
        <f>IFERROR(INDEX(tblBatidas[ID],MATCH("B"&amp;MID($A172,2,99),tblBatidas[Batida ID],0)),"")</f>
        <v>1002</v>
      </c>
      <c r="F172" t="str">
        <f>IFERROR(INDEX(tblPessoas[Pessoa],MATCH(E172,tblPessoas[ID],0)),"")</f>
        <v>Alex de Almeida Mariano</v>
      </c>
      <c r="G172" t="str">
        <f>IFERROR(INDEX(tblBatidas[Projeto],MATCH("B"&amp;MID($A172,2,99),tblBatidas[Batida ID],0)),"")</f>
        <v>CFI / ACCION</v>
      </c>
      <c r="H172" t="str">
        <f>IFERROR(INDEX(tblBatidas[Atividade],MATCH("B"&amp;MID($A172,2,99),tblBatidas[Batida ID],0)),"")</f>
        <v>ANÁLISE</v>
      </c>
      <c r="I172" s="4">
        <f>IFERROR(MOD(INDEX(tblBatidas[Data e hora],MATCH("B"&amp;MID($A172,2,99),tblBatidas[Batida ID],0)),1),"")</f>
        <v>0.37003472222568234</v>
      </c>
      <c r="J172" s="4">
        <f>IFERROR(MOD(INDEX(tblBatidas[Data e hora],MATCH("B"&amp;MID($A172,2,99),tblBatidas[Início vinculado],0)),1),"")</f>
        <v>0.51531249999970896</v>
      </c>
      <c r="K172" s="14">
        <f>IFERROR((INDEX(tblBatidas[Data e hora],MATCH("B"&amp;MID($A172,2,99),tblBatidas[Início vinculado],0))-INDEX(tblBatidas[Data e hora],MATCH("B"&amp;MID($A172,2,99),tblBatidas[Batida ID],0)))*24,"")</f>
        <v>3.4866666665766388</v>
      </c>
      <c r="L172">
        <f>IFERROR(INDEX(tblBatidas[Observação],MATCH("B"&amp;MID($A172,2,99),tblBatidas[Início vinculado],0)),"")</f>
        <v>0</v>
      </c>
      <c r="M172" t="str">
        <f>IFERROR(INDEX(tblPessoas[Base],MATCH(E172,tblPessoas[ID],0)),"")</f>
        <v>Hora</v>
      </c>
      <c r="N172" s="3">
        <f>IFERROR(IF(D172="DIA ÚTIL",INDEX(tblPessoas[R$/h útil],MATCH(E172,tblPessoas[ID],0)),INDEX(tblPessoas[R$/h FDS],MATCH(E172,tblPessoas[ID],0))),0)</f>
        <v>23.5</v>
      </c>
      <c r="O172" s="3">
        <f>IFERROR(INDEX(tblPessoas[R$/diária],MATCH(E172,tblPessoas[ID],0)),0)</f>
        <v>0</v>
      </c>
      <c r="P172" s="3">
        <f t="shared" si="10"/>
        <v>81.936666664551012</v>
      </c>
      <c r="Q172" t="str">
        <f>IF(A172="","",IF(COUNTIF(tblBatidas[Início vinculado],"B"&amp;MID($A172,2,99))=0,"EM ABERTO",IF(OR(COUNTIF(tblBatidas[Início vinculado],"B"&amp;MID($A172,2,99))&gt;1,K172&lt;0,K172&gt;16,INT(INDEX(tblBatidas[Data e hora],MATCH("B"&amp;MID($A172,2,99),tblBatidas[Início vinculado],0)))&lt;&gt;B172,INDEX(tblBatidas[ID],MATCH("B"&amp;MID($A172,2,99),tblBatidas[Início vinculado],0))&lt;&gt;E172,INDEX(tblBatidas[Projeto],MATCH("B"&amp;MID($A172,2,99),tblBatidas[Início vinculado],0))&lt;&gt;G172,INDEX(tblBatidas[Atividade],MATCH("B"&amp;MID($A172,2,99),tblBatidas[Início vinculado],0))&lt;&gt;H172),"REVISAR","CONCLUÍDO")))</f>
        <v>CONCLUÍDO</v>
      </c>
      <c r="R172">
        <f>IF(Q172&lt;&gt;"CONCLUÍDO",0,IF(COUNTIFS($E$5:E172,E172,$B$5:B172,B172,$Q$5:Q172,"CONCLUÍDO")=1,1,0))</f>
        <v>1</v>
      </c>
      <c r="S172" t="str">
        <f t="shared" si="11"/>
        <v>yyyy-09</v>
      </c>
      <c r="T172">
        <f>IF(E172="","",E172*100000+COUNTIFS(tblRegistros[ID],E172,tblRegistros[Data],"&lt;"&amp;B172)+COUNTIFS(tblRegistros[ID],E172,tblRegistros[Data],B172,tblRegistros[Início],"&lt;"&amp;I172)+COUNTIFS($E$5:E172,E172,$B$5:B172,B172,$I$5:I172,I172))</f>
        <v>100200008</v>
      </c>
    </row>
    <row r="173" spans="1:20">
      <c r="A173" t="s">
        <v>265</v>
      </c>
      <c r="B173" s="2">
        <f>IFERROR(INT(INDEX(tblBatidas[Data e hora],MATCH("B"&amp;MID($A173,2,99),tblBatidas[Batida ID],0))),"")</f>
        <v>46269</v>
      </c>
      <c r="C173" t="str">
        <f t="shared" si="8"/>
        <v>SEXTA-FEIRA</v>
      </c>
      <c r="D173" t="str">
        <f t="shared" si="9"/>
        <v>DIA ÚTIL</v>
      </c>
      <c r="E173">
        <f>IFERROR(INDEX(tblBatidas[ID],MATCH("B"&amp;MID($A173,2,99),tblBatidas[Batida ID],0)),"")</f>
        <v>1015</v>
      </c>
      <c r="F173" t="str">
        <f>IFERROR(INDEX(tblPessoas[Pessoa],MATCH(E173,tblPessoas[ID],0)),"")</f>
        <v>Vitor Guilherme Miguel Rocha</v>
      </c>
      <c r="G173" t="str">
        <f>IFERROR(INDEX(tblBatidas[Projeto],MATCH("B"&amp;MID($A173,2,99),tblBatidas[Batida ID],0)),"")</f>
        <v>ADMINISTRATIVO</v>
      </c>
      <c r="H173" t="str">
        <f>IFERROR(INDEX(tblBatidas[Atividade],MATCH("B"&amp;MID($A173,2,99),tblBatidas[Batida ID],0)),"")</f>
        <v>ADMINISTRATIVO</v>
      </c>
      <c r="I173" s="4">
        <f>IFERROR(MOD(INDEX(tblBatidas[Data e hora],MATCH("B"&amp;MID($A173,2,99),tblBatidas[Batida ID],0)),1),"")</f>
        <v>0.37222222222044365</v>
      </c>
      <c r="J173" s="4">
        <f>IFERROR(MOD(INDEX(tblBatidas[Data e hora],MATCH("B"&amp;MID($A173,2,99),tblBatidas[Início vinculado],0)),1),"")</f>
        <v>0.54229166666482342</v>
      </c>
      <c r="K173" s="14">
        <f>IFERROR((INDEX(tblBatidas[Data e hora],MATCH("B"&amp;MID($A173,2,99),tblBatidas[Início vinculado],0))-INDEX(tblBatidas[Data e hora],MATCH("B"&amp;MID($A173,2,99),tblBatidas[Batida ID],0)))*24,"")</f>
        <v>4.0816666666651145</v>
      </c>
      <c r="L173">
        <f>IFERROR(INDEX(tblBatidas[Observação],MATCH("B"&amp;MID($A173,2,99),tblBatidas[Início vinculado],0)),"")</f>
        <v>0</v>
      </c>
      <c r="M173" t="str">
        <f>IFERROR(INDEX(tblPessoas[Base],MATCH(E173,tblPessoas[ID],0)),"")</f>
        <v>Hora</v>
      </c>
      <c r="N173" s="3">
        <f>IFERROR(IF(D173="DIA ÚTIL",INDEX(tblPessoas[R$/h útil],MATCH(E173,tblPessoas[ID],0)),INDEX(tblPessoas[R$/h FDS],MATCH(E173,tblPessoas[ID],0))),0)</f>
        <v>21.5</v>
      </c>
      <c r="O173" s="3">
        <f>IFERROR(INDEX(tblPessoas[R$/diária],MATCH(E173,tblPessoas[ID],0)),0)</f>
        <v>0</v>
      </c>
      <c r="P173" s="3">
        <f t="shared" si="10"/>
        <v>87.755833333299961</v>
      </c>
      <c r="Q173" t="str">
        <f>IF(A173="","",IF(COUNTIF(tblBatidas[Início vinculado],"B"&amp;MID($A173,2,99))=0,"EM ABERTO",IF(OR(COUNTIF(tblBatidas[Início vinculado],"B"&amp;MID($A173,2,99))&gt;1,K173&lt;0,K173&gt;16,INT(INDEX(tblBatidas[Data e hora],MATCH("B"&amp;MID($A173,2,99),tblBatidas[Início vinculado],0)))&lt;&gt;B173,INDEX(tblBatidas[ID],MATCH("B"&amp;MID($A173,2,99),tblBatidas[Início vinculado],0))&lt;&gt;E173,INDEX(tblBatidas[Projeto],MATCH("B"&amp;MID($A173,2,99),tblBatidas[Início vinculado],0))&lt;&gt;G173,INDEX(tblBatidas[Atividade],MATCH("B"&amp;MID($A173,2,99),tblBatidas[Início vinculado],0))&lt;&gt;H173),"REVISAR","CONCLUÍDO")))</f>
        <v>CONCLUÍDO</v>
      </c>
      <c r="R173">
        <f>IF(Q173&lt;&gt;"CONCLUÍDO",0,IF(COUNTIFS($E$5:E173,E173,$B$5:B173,B173,$Q$5:Q173,"CONCLUÍDO")=1,1,0))</f>
        <v>1</v>
      </c>
      <c r="S173" t="str">
        <f t="shared" si="11"/>
        <v>yyyy-09</v>
      </c>
      <c r="T173">
        <f>IF(E173="","",E173*100000+COUNTIFS(tblRegistros[ID],E173,tblRegistros[Data],"&lt;"&amp;B173)+COUNTIFS(tblRegistros[ID],E173,tblRegistros[Data],B173,tblRegistros[Início],"&lt;"&amp;I173)+COUNTIFS($E$5:E173,E173,$B$5:B173,B173,$I$5:I173,I173))</f>
        <v>101500021</v>
      </c>
    </row>
    <row r="174" spans="1:20">
      <c r="A174" t="s">
        <v>266</v>
      </c>
      <c r="B174" s="2">
        <f>IFERROR(INT(INDEX(tblBatidas[Data e hora],MATCH("B"&amp;MID($A174,2,99),tblBatidas[Batida ID],0))),"")</f>
        <v>46269</v>
      </c>
      <c r="C174" t="str">
        <f t="shared" si="8"/>
        <v>SEXTA-FEIRA</v>
      </c>
      <c r="D174" t="str">
        <f t="shared" si="9"/>
        <v>DIA ÚTIL</v>
      </c>
      <c r="E174">
        <f>IFERROR(INDEX(tblBatidas[ID],MATCH("B"&amp;MID($A174,2,99),tblBatidas[Batida ID],0)),"")</f>
        <v>1004</v>
      </c>
      <c r="F174" t="str">
        <f>IFERROR(INDEX(tblPessoas[Pessoa],MATCH(E174,tblPessoas[ID],0)),"")</f>
        <v>Angela Bertoli</v>
      </c>
      <c r="G174" t="str">
        <f>IFERROR(INDEX(tblBatidas[Projeto],MATCH("B"&amp;MID($A174,2,99),tblBatidas[Batida ID],0)),"")</f>
        <v>OTEMPO</v>
      </c>
      <c r="H174" t="str">
        <f>IFERROR(INDEX(tblBatidas[Atividade],MATCH("B"&amp;MID($A174,2,99),tblBatidas[Batida ID],0)),"")</f>
        <v>CODIFICAÇÃO</v>
      </c>
      <c r="I174" s="4">
        <f>IFERROR(MOD(INDEX(tblBatidas[Data e hora],MATCH("B"&amp;MID($A174,2,99),tblBatidas[Batida ID],0)),1),"")</f>
        <v>0.37418981481459923</v>
      </c>
      <c r="J174" s="4">
        <f>IFERROR(MOD(INDEX(tblBatidas[Data e hora],MATCH("B"&amp;MID($A174,2,99),tblBatidas[Início vinculado],0)),1),"")</f>
        <v>0.52417824073927477</v>
      </c>
      <c r="K174" s="14">
        <f>IFERROR((INDEX(tblBatidas[Data e hora],MATCH("B"&amp;MID($A174,2,99),tblBatidas[Início vinculado],0))-INDEX(tblBatidas[Data e hora],MATCH("B"&amp;MID($A174,2,99),tblBatidas[Batida ID],0)))*24,"")</f>
        <v>3.5997222221922129</v>
      </c>
      <c r="L174">
        <f>IFERROR(INDEX(tblBatidas[Observação],MATCH("B"&amp;MID($A174,2,99),tblBatidas[Início vinculado],0)),"")</f>
        <v>0</v>
      </c>
      <c r="M174" t="str">
        <f>IFERROR(INDEX(tblPessoas[Base],MATCH(E174,tblPessoas[ID],0)),"")</f>
        <v>Hora</v>
      </c>
      <c r="N174" s="3">
        <f>IFERROR(IF(D174="DIA ÚTIL",INDEX(tblPessoas[R$/h útil],MATCH(E174,tblPessoas[ID],0)),INDEX(tblPessoas[R$/h FDS],MATCH(E174,tblPessoas[ID],0))),0)</f>
        <v>21.5</v>
      </c>
      <c r="O174" s="3">
        <f>IFERROR(INDEX(tblPessoas[R$/diária],MATCH(E174,tblPessoas[ID],0)),0)</f>
        <v>0</v>
      </c>
      <c r="P174" s="3">
        <f t="shared" si="10"/>
        <v>77.394027777132578</v>
      </c>
      <c r="Q174" t="str">
        <f>IF(A174="","",IF(COUNTIF(tblBatidas[Início vinculado],"B"&amp;MID($A174,2,99))=0,"EM ABERTO",IF(OR(COUNTIF(tblBatidas[Início vinculado],"B"&amp;MID($A174,2,99))&gt;1,K174&lt;0,K174&gt;16,INT(INDEX(tblBatidas[Data e hora],MATCH("B"&amp;MID($A174,2,99),tblBatidas[Início vinculado],0)))&lt;&gt;B174,INDEX(tblBatidas[ID],MATCH("B"&amp;MID($A174,2,99),tblBatidas[Início vinculado],0))&lt;&gt;E174,INDEX(tblBatidas[Projeto],MATCH("B"&amp;MID($A174,2,99),tblBatidas[Início vinculado],0))&lt;&gt;G174,INDEX(tblBatidas[Atividade],MATCH("B"&amp;MID($A174,2,99),tblBatidas[Início vinculado],0))&lt;&gt;H174),"REVISAR","CONCLUÍDO")))</f>
        <v>CONCLUÍDO</v>
      </c>
      <c r="R174">
        <f>IF(Q174&lt;&gt;"CONCLUÍDO",0,IF(COUNTIFS($E$5:E174,E174,$B$5:B174,B174,$Q$5:Q174,"CONCLUÍDO")=1,1,0))</f>
        <v>1</v>
      </c>
      <c r="S174" t="str">
        <f t="shared" si="11"/>
        <v>yyyy-09</v>
      </c>
      <c r="T174">
        <f>IF(E174="","",E174*100000+COUNTIFS(tblRegistros[ID],E174,tblRegistros[Data],"&lt;"&amp;B174)+COUNTIFS(tblRegistros[ID],E174,tblRegistros[Data],B174,tblRegistros[Início],"&lt;"&amp;I174)+COUNTIFS($E$5:E174,E174,$B$5:B174,B174,$I$5:I174,I174))</f>
        <v>100400011</v>
      </c>
    </row>
    <row r="175" spans="1:20">
      <c r="A175" t="s">
        <v>267</v>
      </c>
      <c r="B175" s="2">
        <f>IFERROR(INT(INDEX(tblBatidas[Data e hora],MATCH("B"&amp;MID($A175,2,99),tblBatidas[Batida ID],0))),"")</f>
        <v>46269</v>
      </c>
      <c r="C175" t="str">
        <f t="shared" si="8"/>
        <v>SEXTA-FEIRA</v>
      </c>
      <c r="D175" t="str">
        <f t="shared" si="9"/>
        <v>DIA ÚTIL</v>
      </c>
      <c r="E175">
        <f>IFERROR(INDEX(tblBatidas[ID],MATCH("B"&amp;MID($A175,2,99),tblBatidas[Batida ID],0)),"")</f>
        <v>1001</v>
      </c>
      <c r="F175" t="str">
        <f>IFERROR(INDEX(tblPessoas[Pessoa],MATCH(E175,tblPessoas[ID],0)),"")</f>
        <v>Adriana Pereira dos Santos</v>
      </c>
      <c r="G175" t="str">
        <f>IFERROR(INDEX(tblBatidas[Projeto],MATCH("B"&amp;MID($A175,2,99),tblBatidas[Batida ID],0)),"")</f>
        <v>SICOOB CREDICOM</v>
      </c>
      <c r="H175" t="str">
        <f>IFERROR(INDEX(tblBatidas[Atividade],MATCH("B"&amp;MID($A175,2,99),tblBatidas[Batida ID],0)),"")</f>
        <v>SUPERVISÃO</v>
      </c>
      <c r="I175" s="4">
        <f>IFERROR(MOD(INDEX(tblBatidas[Data e hora],MATCH("B"&amp;MID($A175,2,99),tblBatidas[Batida ID],0)),1),"")</f>
        <v>0.37913194444263354</v>
      </c>
      <c r="J175" s="4">
        <f>IFERROR(MOD(INDEX(tblBatidas[Data e hora],MATCH("B"&amp;MID($A175,2,99),tblBatidas[Início vinculado],0)),1),"")</f>
        <v>0.65150462962628808</v>
      </c>
      <c r="K175" s="14">
        <f>IFERROR((INDEX(tblBatidas[Data e hora],MATCH("B"&amp;MID($A175,2,99),tblBatidas[Início vinculado],0))-INDEX(tblBatidas[Data e hora],MATCH("B"&amp;MID($A175,2,99),tblBatidas[Batida ID],0)))*24,"")</f>
        <v>6.5369444444077089</v>
      </c>
      <c r="L175">
        <f>IFERROR(INDEX(tblBatidas[Observação],MATCH("B"&amp;MID($A175,2,99),tblBatidas[Início vinculado],0)),"")</f>
        <v>0</v>
      </c>
      <c r="M175" t="str">
        <f>IFERROR(INDEX(tblPessoas[Base],MATCH(E175,tblPessoas[ID],0)),"")</f>
        <v>Hora</v>
      </c>
      <c r="N175" s="3">
        <f>IFERROR(IF(D175="DIA ÚTIL",INDEX(tblPessoas[R$/h útil],MATCH(E175,tblPessoas[ID],0)),INDEX(tblPessoas[R$/h FDS],MATCH(E175,tblPessoas[ID],0))),0)</f>
        <v>17</v>
      </c>
      <c r="O175" s="3">
        <f>IFERROR(INDEX(tblPessoas[R$/diária],MATCH(E175,tblPessoas[ID],0)),0)</f>
        <v>0</v>
      </c>
      <c r="P175" s="3">
        <f t="shared" si="10"/>
        <v>111.12805555493105</v>
      </c>
      <c r="Q175" t="str">
        <f>IF(A175="","",IF(COUNTIF(tblBatidas[Início vinculado],"B"&amp;MID($A175,2,99))=0,"EM ABERTO",IF(OR(COUNTIF(tblBatidas[Início vinculado],"B"&amp;MID($A175,2,99))&gt;1,K175&lt;0,K175&gt;16,INT(INDEX(tblBatidas[Data e hora],MATCH("B"&amp;MID($A175,2,99),tblBatidas[Início vinculado],0)))&lt;&gt;B175,INDEX(tblBatidas[ID],MATCH("B"&amp;MID($A175,2,99),tblBatidas[Início vinculado],0))&lt;&gt;E175,INDEX(tblBatidas[Projeto],MATCH("B"&amp;MID($A175,2,99),tblBatidas[Início vinculado],0))&lt;&gt;G175,INDEX(tblBatidas[Atividade],MATCH("B"&amp;MID($A175,2,99),tblBatidas[Início vinculado],0))&lt;&gt;H175),"REVISAR","CONCLUÍDO")))</f>
        <v>CONCLUÍDO</v>
      </c>
      <c r="R175">
        <f>IF(Q175&lt;&gt;"CONCLUÍDO",0,IF(COUNTIFS($E$5:E175,E175,$B$5:B175,B175,$Q$5:Q175,"CONCLUÍDO")=1,1,0))</f>
        <v>1</v>
      </c>
      <c r="S175" t="str">
        <f t="shared" si="11"/>
        <v>yyyy-09</v>
      </c>
      <c r="T175">
        <f>IF(E175="","",E175*100000+COUNTIFS(tblRegistros[ID],E175,tblRegistros[Data],"&lt;"&amp;B175)+COUNTIFS(tblRegistros[ID],E175,tblRegistros[Data],B175,tblRegistros[Início],"&lt;"&amp;I175)+COUNTIFS($E$5:E175,E175,$B$5:B175,B175,$I$5:I175,I175))</f>
        <v>100100017</v>
      </c>
    </row>
    <row r="176" spans="1:20">
      <c r="A176" t="s">
        <v>268</v>
      </c>
      <c r="B176" s="2">
        <f>IFERROR(INT(INDEX(tblBatidas[Data e hora],MATCH("B"&amp;MID($A176,2,99),tblBatidas[Batida ID],0))),"")</f>
        <v>46269</v>
      </c>
      <c r="C176" t="str">
        <f t="shared" si="8"/>
        <v>SEXTA-FEIRA</v>
      </c>
      <c r="D176" t="str">
        <f t="shared" si="9"/>
        <v>DIA ÚTIL</v>
      </c>
      <c r="E176">
        <f>IFERROR(INDEX(tblBatidas[ID],MATCH("B"&amp;MID($A176,2,99),tblBatidas[Batida ID],0)),"")</f>
        <v>1012</v>
      </c>
      <c r="F176" t="str">
        <f>IFERROR(INDEX(tblPessoas[Pessoa],MATCH(E176,tblPessoas[ID],0)),"")</f>
        <v>Nelma Lucia dos S. B. Brandão</v>
      </c>
      <c r="G176" t="str">
        <f>IFERROR(INDEX(tblBatidas[Projeto],MATCH("B"&amp;MID($A176,2,99),tblBatidas[Batida ID],0)),"")</f>
        <v>OTEMPO</v>
      </c>
      <c r="H176" t="str">
        <f>IFERROR(INDEX(tblBatidas[Atividade],MATCH("B"&amp;MID($A176,2,99),tblBatidas[Batida ID],0)),"")</f>
        <v>SUPERVISÃO</v>
      </c>
      <c r="I176" s="4">
        <f>IFERROR(MOD(INDEX(tblBatidas[Data e hora],MATCH("B"&amp;MID($A176,2,99),tblBatidas[Batida ID],0)),1),"")</f>
        <v>0.38444444444758119</v>
      </c>
      <c r="J176" s="4" t="str">
        <f>IFERROR(MOD(INDEX(tblBatidas[Data e hora],MATCH("B"&amp;MID($A176,2,99),tblBatidas[Início vinculado],0)),1),"")</f>
        <v/>
      </c>
      <c r="K176" s="14" t="str">
        <f>IFERROR((INDEX(tblBatidas[Data e hora],MATCH("B"&amp;MID($A176,2,99),tblBatidas[Início vinculado],0))-INDEX(tblBatidas[Data e hora],MATCH("B"&amp;MID($A176,2,99),tblBatidas[Batida ID],0)))*24,"")</f>
        <v/>
      </c>
      <c r="L176" t="str">
        <f>IFERROR(INDEX(tblBatidas[Observação],MATCH("B"&amp;MID($A176,2,99),tblBatidas[Início vinculado],0)),"")</f>
        <v/>
      </c>
      <c r="M176" t="str">
        <f>IFERROR(INDEX(tblPessoas[Base],MATCH(E176,tblPessoas[ID],0)),"")</f>
        <v>Diária</v>
      </c>
      <c r="N176" s="3">
        <f>IFERROR(IF(D176="DIA ÚTIL",INDEX(tblPessoas[R$/h útil],MATCH(E176,tblPessoas[ID],0)),INDEX(tblPessoas[R$/h FDS],MATCH(E176,tblPessoas[ID],0))),0)</f>
        <v>0</v>
      </c>
      <c r="O176" s="3">
        <f>IFERROR(INDEX(tblPessoas[R$/diária],MATCH(E176,tblPessoas[ID],0)),0)</f>
        <v>222.72</v>
      </c>
      <c r="P176" s="3" t="str">
        <f t="shared" si="10"/>
        <v/>
      </c>
      <c r="Q176" t="str">
        <f>IF(A176="","",IF(COUNTIF(tblBatidas[Início vinculado],"B"&amp;MID($A176,2,99))=0,"EM ABERTO",IF(OR(COUNTIF(tblBatidas[Início vinculado],"B"&amp;MID($A176,2,99))&gt;1,K176&lt;0,K176&gt;16,INT(INDEX(tblBatidas[Data e hora],MATCH("B"&amp;MID($A176,2,99),tblBatidas[Início vinculado],0)))&lt;&gt;B176,INDEX(tblBatidas[ID],MATCH("B"&amp;MID($A176,2,99),tblBatidas[Início vinculado],0))&lt;&gt;E176,INDEX(tblBatidas[Projeto],MATCH("B"&amp;MID($A176,2,99),tblBatidas[Início vinculado],0))&lt;&gt;G176,INDEX(tblBatidas[Atividade],MATCH("B"&amp;MID($A176,2,99),tblBatidas[Início vinculado],0))&lt;&gt;H176),"REVISAR","CONCLUÍDO")))</f>
        <v>EM ABERTO</v>
      </c>
      <c r="R176">
        <f>IF(Q176&lt;&gt;"CONCLUÍDO",0,IF(COUNTIFS($E$5:E176,E176,$B$5:B176,B176,$Q$5:Q176,"CONCLUÍDO")=1,1,0))</f>
        <v>0</v>
      </c>
      <c r="S176" t="str">
        <f t="shared" si="11"/>
        <v>yyyy-09</v>
      </c>
      <c r="T176">
        <f>IF(E176="","",E176*100000+COUNTIFS(tblRegistros[ID],E176,tblRegistros[Data],"&lt;"&amp;B176)+COUNTIFS(tblRegistros[ID],E176,tblRegistros[Data],B176,tblRegistros[Início],"&lt;"&amp;I176)+COUNTIFS($E$5:E176,E176,$B$5:B176,B176,$I$5:I176,I176))</f>
        <v>101200022</v>
      </c>
    </row>
    <row r="177" spans="1:20">
      <c r="A177" t="s">
        <v>269</v>
      </c>
      <c r="B177" s="2">
        <f>IFERROR(INT(INDEX(tblBatidas[Data e hora],MATCH("B"&amp;MID($A177,2,99),tblBatidas[Batida ID],0))),"")</f>
        <v>46269</v>
      </c>
      <c r="C177" t="str">
        <f t="shared" si="8"/>
        <v>SEXTA-FEIRA</v>
      </c>
      <c r="D177" t="str">
        <f t="shared" si="9"/>
        <v>DIA ÚTIL</v>
      </c>
      <c r="E177">
        <f>IFERROR(INDEX(tblBatidas[ID],MATCH("B"&amp;MID($A177,2,99),tblBatidas[Batida ID],0)),"")</f>
        <v>1012</v>
      </c>
      <c r="F177" t="str">
        <f>IFERROR(INDEX(tblPessoas[Pessoa],MATCH(E177,tblPessoas[ID],0)),"")</f>
        <v>Nelma Lucia dos S. B. Brandão</v>
      </c>
      <c r="G177" t="str">
        <f>IFERROR(INDEX(tblBatidas[Projeto],MATCH("B"&amp;MID($A177,2,99),tblBatidas[Batida ID],0)),"")</f>
        <v>OTEMPO</v>
      </c>
      <c r="H177" t="str">
        <f>IFERROR(INDEX(tblBatidas[Atividade],MATCH("B"&amp;MID($A177,2,99),tblBatidas[Batida ID],0)),"")</f>
        <v>SUPERVISÃO</v>
      </c>
      <c r="I177" s="4">
        <f>IFERROR(MOD(INDEX(tblBatidas[Data e hora],MATCH("B"&amp;MID($A177,2,99),tblBatidas[Batida ID],0)),1),"")</f>
        <v>0.38474537037109258</v>
      </c>
      <c r="J177" s="4" t="str">
        <f>IFERROR(MOD(INDEX(tblBatidas[Data e hora],MATCH("B"&amp;MID($A177,2,99),tblBatidas[Início vinculado],0)),1),"")</f>
        <v/>
      </c>
      <c r="K177" s="14" t="str">
        <f>IFERROR((INDEX(tblBatidas[Data e hora],MATCH("B"&amp;MID($A177,2,99),tblBatidas[Início vinculado],0))-INDEX(tblBatidas[Data e hora],MATCH("B"&amp;MID($A177,2,99),tblBatidas[Batida ID],0)))*24,"")</f>
        <v/>
      </c>
      <c r="L177" t="str">
        <f>IFERROR(INDEX(tblBatidas[Observação],MATCH("B"&amp;MID($A177,2,99),tblBatidas[Início vinculado],0)),"")</f>
        <v/>
      </c>
      <c r="M177" t="str">
        <f>IFERROR(INDEX(tblPessoas[Base],MATCH(E177,tblPessoas[ID],0)),"")</f>
        <v>Diária</v>
      </c>
      <c r="N177" s="3">
        <f>IFERROR(IF(D177="DIA ÚTIL",INDEX(tblPessoas[R$/h útil],MATCH(E177,tblPessoas[ID],0)),INDEX(tblPessoas[R$/h FDS],MATCH(E177,tblPessoas[ID],0))),0)</f>
        <v>0</v>
      </c>
      <c r="O177" s="3">
        <f>IFERROR(INDEX(tblPessoas[R$/diária],MATCH(E177,tblPessoas[ID],0)),0)</f>
        <v>222.72</v>
      </c>
      <c r="P177" s="3" t="str">
        <f t="shared" si="10"/>
        <v/>
      </c>
      <c r="Q177" t="str">
        <f>IF(A177="","",IF(COUNTIF(tblBatidas[Início vinculado],"B"&amp;MID($A177,2,99))=0,"EM ABERTO",IF(OR(COUNTIF(tblBatidas[Início vinculado],"B"&amp;MID($A177,2,99))&gt;1,K177&lt;0,K177&gt;16,INT(INDEX(tblBatidas[Data e hora],MATCH("B"&amp;MID($A177,2,99),tblBatidas[Início vinculado],0)))&lt;&gt;B177,INDEX(tblBatidas[ID],MATCH("B"&amp;MID($A177,2,99),tblBatidas[Início vinculado],0))&lt;&gt;E177,INDEX(tblBatidas[Projeto],MATCH("B"&amp;MID($A177,2,99),tblBatidas[Início vinculado],0))&lt;&gt;G177,INDEX(tblBatidas[Atividade],MATCH("B"&amp;MID($A177,2,99),tblBatidas[Início vinculado],0))&lt;&gt;H177),"REVISAR","CONCLUÍDO")))</f>
        <v>EM ABERTO</v>
      </c>
      <c r="R177">
        <f>IF(Q177&lt;&gt;"CONCLUÍDO",0,IF(COUNTIFS($E$5:E177,E177,$B$5:B177,B177,$Q$5:Q177,"CONCLUÍDO")=1,1,0))</f>
        <v>0</v>
      </c>
      <c r="S177" t="str">
        <f t="shared" si="11"/>
        <v>yyyy-09</v>
      </c>
      <c r="T177">
        <f>IF(E177="","",E177*100000+COUNTIFS(tblRegistros[ID],E177,tblRegistros[Data],"&lt;"&amp;B177)+COUNTIFS(tblRegistros[ID],E177,tblRegistros[Data],B177,tblRegistros[Início],"&lt;"&amp;I177)+COUNTIFS($E$5:E177,E177,$B$5:B177,B177,$I$5:I177,I177))</f>
        <v>101200023</v>
      </c>
    </row>
    <row r="178" spans="1:20">
      <c r="A178" t="s">
        <v>270</v>
      </c>
      <c r="B178" s="2">
        <f>IFERROR(INT(INDEX(tblBatidas[Data e hora],MATCH("B"&amp;MID($A178,2,99),tblBatidas[Batida ID],0))),"")</f>
        <v>46269</v>
      </c>
      <c r="C178" t="str">
        <f t="shared" si="8"/>
        <v>SEXTA-FEIRA</v>
      </c>
      <c r="D178" t="str">
        <f t="shared" si="9"/>
        <v>DIA ÚTIL</v>
      </c>
      <c r="E178">
        <f>IFERROR(INDEX(tblBatidas[ID],MATCH("B"&amp;MID($A178,2,99),tblBatidas[Batida ID],0)),"")</f>
        <v>1014</v>
      </c>
      <c r="F178" t="str">
        <f>IFERROR(INDEX(tblPessoas[Pessoa],MATCH(E178,tblPessoas[ID],0)),"")</f>
        <v>Robert Filipe Orlando de Souza</v>
      </c>
      <c r="G178" t="str">
        <f>IFERROR(INDEX(tblBatidas[Projeto],MATCH("B"&amp;MID($A178,2,99),tblBatidas[Batida ID],0)),"")</f>
        <v>SICOOB CREDICOM</v>
      </c>
      <c r="H178" t="str">
        <f>IFERROR(INDEX(tblBatidas[Atividade],MATCH("B"&amp;MID($A178,2,99),tblBatidas[Batida ID],0)),"")</f>
        <v>CHECAGEM</v>
      </c>
      <c r="I178" s="4">
        <f>IFERROR(MOD(INDEX(tblBatidas[Data e hora],MATCH("B"&amp;MID($A178,2,99),tblBatidas[Batida ID],0)),1),"")</f>
        <v>0.41096064815064892</v>
      </c>
      <c r="J178" s="4">
        <f>IFERROR(MOD(INDEX(tblBatidas[Data e hora],MATCH("B"&amp;MID($A178,2,99),tblBatidas[Início vinculado],0)),1),"")</f>
        <v>0.51210648148116888</v>
      </c>
      <c r="K178" s="14">
        <f>IFERROR((INDEX(tblBatidas[Data e hora],MATCH("B"&amp;MID($A178,2,99),tblBatidas[Início vinculado],0))-INDEX(tblBatidas[Data e hora],MATCH("B"&amp;MID($A178,2,99),tblBatidas[Batida ID],0)))*24,"")</f>
        <v>2.4274999999324791</v>
      </c>
      <c r="L178">
        <f>IFERROR(INDEX(tblBatidas[Observação],MATCH("B"&amp;MID($A178,2,99),tblBatidas[Início vinculado],0)),"")</f>
        <v>0</v>
      </c>
      <c r="M178" t="str">
        <f>IFERROR(INDEX(tblPessoas[Base],MATCH(E178,tblPessoas[ID],0)),"")</f>
        <v>Hora</v>
      </c>
      <c r="N178" s="3">
        <f>IFERROR(IF(D178="DIA ÚTIL",INDEX(tblPessoas[R$/h útil],MATCH(E178,tblPessoas[ID],0)),INDEX(tblPessoas[R$/h FDS],MATCH(E178,tblPessoas[ID],0))),0)</f>
        <v>21.5</v>
      </c>
      <c r="O178" s="3">
        <f>IFERROR(INDEX(tblPessoas[R$/diária],MATCH(E178,tblPessoas[ID],0)),0)</f>
        <v>0</v>
      </c>
      <c r="P178" s="3">
        <f t="shared" si="10"/>
        <v>52.191249998548301</v>
      </c>
      <c r="Q178" t="str">
        <f>IF(A178="","",IF(COUNTIF(tblBatidas[Início vinculado],"B"&amp;MID($A178,2,99))=0,"EM ABERTO",IF(OR(COUNTIF(tblBatidas[Início vinculado],"B"&amp;MID($A178,2,99))&gt;1,K178&lt;0,K178&gt;16,INT(INDEX(tblBatidas[Data e hora],MATCH("B"&amp;MID($A178,2,99),tblBatidas[Início vinculado],0)))&lt;&gt;B178,INDEX(tblBatidas[ID],MATCH("B"&amp;MID($A178,2,99),tblBatidas[Início vinculado],0))&lt;&gt;E178,INDEX(tblBatidas[Projeto],MATCH("B"&amp;MID($A178,2,99),tblBatidas[Início vinculado],0))&lt;&gt;G178,INDEX(tblBatidas[Atividade],MATCH("B"&amp;MID($A178,2,99),tblBatidas[Início vinculado],0))&lt;&gt;H178),"REVISAR","CONCLUÍDO")))</f>
        <v>CONCLUÍDO</v>
      </c>
      <c r="R178">
        <f>IF(Q178&lt;&gt;"CONCLUÍDO",0,IF(COUNTIFS($E$5:E178,E178,$B$5:B178,B178,$Q$5:Q178,"CONCLUÍDO")=1,1,0))</f>
        <v>1</v>
      </c>
      <c r="S178" t="str">
        <f t="shared" si="11"/>
        <v>yyyy-09</v>
      </c>
      <c r="T178">
        <f>IF(E178="","",E178*100000+COUNTIFS(tblRegistros[ID],E178,tblRegistros[Data],"&lt;"&amp;B178)+COUNTIFS(tblRegistros[ID],E178,tblRegistros[Data],B178,tblRegistros[Início],"&lt;"&amp;I178)+COUNTIFS($E$5:E178,E178,$B$5:B178,B178,$I$5:I178,I178))</f>
        <v>101400018</v>
      </c>
    </row>
    <row r="179" spans="1:20">
      <c r="A179" t="s">
        <v>271</v>
      </c>
      <c r="B179" s="2">
        <f>IFERROR(INT(INDEX(tblBatidas[Data e hora],MATCH("B"&amp;MID($A179,2,99),tblBatidas[Batida ID],0))),"")</f>
        <v>46269</v>
      </c>
      <c r="C179" t="str">
        <f t="shared" si="8"/>
        <v>SEXTA-FEIRA</v>
      </c>
      <c r="D179" t="str">
        <f t="shared" si="9"/>
        <v>DIA ÚTIL</v>
      </c>
      <c r="E179">
        <f>IFERROR(INDEX(tblBatidas[ID],MATCH("B"&amp;MID($A179,2,99),tblBatidas[Batida ID],0)),"")</f>
        <v>1012</v>
      </c>
      <c r="F179" t="str">
        <f>IFERROR(INDEX(tblPessoas[Pessoa],MATCH(E179,tblPessoas[ID],0)),"")</f>
        <v>Nelma Lucia dos S. B. Brandão</v>
      </c>
      <c r="G179" t="str">
        <f>IFERROR(INDEX(tblBatidas[Projeto],MATCH("B"&amp;MID($A179,2,99),tblBatidas[Batida ID],0)),"")</f>
        <v>OTEMPO</v>
      </c>
      <c r="H179" t="str">
        <f>IFERROR(INDEX(tblBatidas[Atividade],MATCH("B"&amp;MID($A179,2,99),tblBatidas[Batida ID],0)),"")</f>
        <v>SUPERVISÃO</v>
      </c>
      <c r="I179" s="4">
        <f>IFERROR(MOD(INDEX(tblBatidas[Data e hora],MATCH("B"&amp;MID($A179,2,99),tblBatidas[Batida ID],0)),1),"")</f>
        <v>0.54728009259270038</v>
      </c>
      <c r="J179" s="4">
        <f>IFERROR(MOD(INDEX(tblBatidas[Data e hora],MATCH("B"&amp;MID($A179,2,99),tblBatidas[Início vinculado],0)),1),"")</f>
        <v>0.75146990740904585</v>
      </c>
      <c r="K179" s="14">
        <f>IFERROR((INDEX(tblBatidas[Data e hora],MATCH("B"&amp;MID($A179,2,99),tblBatidas[Início vinculado],0))-INDEX(tblBatidas[Data e hora],MATCH("B"&amp;MID($A179,2,99),tblBatidas[Batida ID],0)))*24,"")</f>
        <v>4.9005555555922911</v>
      </c>
      <c r="L179">
        <f>IFERROR(INDEX(tblBatidas[Observação],MATCH("B"&amp;MID($A179,2,99),tblBatidas[Início vinculado],0)),"")</f>
        <v>0</v>
      </c>
      <c r="M179" t="str">
        <f>IFERROR(INDEX(tblPessoas[Base],MATCH(E179,tblPessoas[ID],0)),"")</f>
        <v>Diária</v>
      </c>
      <c r="N179" s="3">
        <f>IFERROR(IF(D179="DIA ÚTIL",INDEX(tblPessoas[R$/h útil],MATCH(E179,tblPessoas[ID],0)),INDEX(tblPessoas[R$/h FDS],MATCH(E179,tblPessoas[ID],0))),0)</f>
        <v>0</v>
      </c>
      <c r="O179" s="3">
        <f>IFERROR(INDEX(tblPessoas[R$/diária],MATCH(E179,tblPessoas[ID],0)),0)</f>
        <v>222.72</v>
      </c>
      <c r="P179" s="3">
        <f t="shared" si="10"/>
        <v>222.72</v>
      </c>
      <c r="Q179" t="str">
        <f>IF(A179="","",IF(COUNTIF(tblBatidas[Início vinculado],"B"&amp;MID($A179,2,99))=0,"EM ABERTO",IF(OR(COUNTIF(tblBatidas[Início vinculado],"B"&amp;MID($A179,2,99))&gt;1,K179&lt;0,K179&gt;16,INT(INDEX(tblBatidas[Data e hora],MATCH("B"&amp;MID($A179,2,99),tblBatidas[Início vinculado],0)))&lt;&gt;B179,INDEX(tblBatidas[ID],MATCH("B"&amp;MID($A179,2,99),tblBatidas[Início vinculado],0))&lt;&gt;E179,INDEX(tblBatidas[Projeto],MATCH("B"&amp;MID($A179,2,99),tblBatidas[Início vinculado],0))&lt;&gt;G179,INDEX(tblBatidas[Atividade],MATCH("B"&amp;MID($A179,2,99),tblBatidas[Início vinculado],0))&lt;&gt;H179),"REVISAR","CONCLUÍDO")))</f>
        <v>CONCLUÍDO</v>
      </c>
      <c r="R179">
        <f>IF(Q179&lt;&gt;"CONCLUÍDO",0,IF(COUNTIFS($E$5:E179,E179,$B$5:B179,B179,$Q$5:Q179,"CONCLUÍDO")=1,1,0))</f>
        <v>1</v>
      </c>
      <c r="S179" t="str">
        <f t="shared" si="11"/>
        <v>yyyy-09</v>
      </c>
      <c r="T179">
        <f>IF(E179="","",E179*100000+COUNTIFS(tblRegistros[ID],E179,tblRegistros[Data],"&lt;"&amp;B179)+COUNTIFS(tblRegistros[ID],E179,tblRegistros[Data],B179,tblRegistros[Início],"&lt;"&amp;I179)+COUNTIFS($E$5:E179,E179,$B$5:B179,B179,$I$5:I179,I179))</f>
        <v>101200024</v>
      </c>
    </row>
    <row r="180" spans="1:20">
      <c r="A180" t="s">
        <v>272</v>
      </c>
      <c r="B180" s="2">
        <f>IFERROR(INT(INDEX(tblBatidas[Data e hora],MATCH("B"&amp;MID($A180,2,99),tblBatidas[Batida ID],0))),"")</f>
        <v>46269</v>
      </c>
      <c r="C180" t="str">
        <f t="shared" si="8"/>
        <v>SEXTA-FEIRA</v>
      </c>
      <c r="D180" t="str">
        <f t="shared" si="9"/>
        <v>DIA ÚTIL</v>
      </c>
      <c r="E180">
        <f>IFERROR(INDEX(tblBatidas[ID],MATCH("B"&amp;MID($A180,2,99),tblBatidas[Batida ID],0)),"")</f>
        <v>1013</v>
      </c>
      <c r="F180" t="str">
        <f>IFERROR(INDEX(tblPessoas[Pessoa],MATCH(E180,tblPessoas[ID],0)),"")</f>
        <v>Rafaela Maria Resende Lara</v>
      </c>
      <c r="G180" t="str">
        <f>IFERROR(INDEX(tblBatidas[Projeto],MATCH("B"&amp;MID($A180,2,99),tblBatidas[Batida ID],0)),"")</f>
        <v>OTEMPO</v>
      </c>
      <c r="H180" t="str">
        <f>IFERROR(INDEX(tblBatidas[Atividade],MATCH("B"&amp;MID($A180,2,99),tblBatidas[Batida ID],0)),"")</f>
        <v>ANÁLISE</v>
      </c>
      <c r="I180" s="4">
        <f>IFERROR(MOD(INDEX(tblBatidas[Data e hora],MATCH("B"&amp;MID($A180,2,99),tblBatidas[Batida ID],0)),1),"")</f>
        <v>0.55915509258920792</v>
      </c>
      <c r="J180" s="4" t="str">
        <f>IFERROR(MOD(INDEX(tblBatidas[Data e hora],MATCH("B"&amp;MID($A180,2,99),tblBatidas[Início vinculado],0)),1),"")</f>
        <v/>
      </c>
      <c r="K180" s="14" t="str">
        <f>IFERROR((INDEX(tblBatidas[Data e hora],MATCH("B"&amp;MID($A180,2,99),tblBatidas[Início vinculado],0))-INDEX(tblBatidas[Data e hora],MATCH("B"&amp;MID($A180,2,99),tblBatidas[Batida ID],0)))*24,"")</f>
        <v/>
      </c>
      <c r="L180" t="str">
        <f>IFERROR(INDEX(tblBatidas[Observação],MATCH("B"&amp;MID($A180,2,99),tblBatidas[Início vinculado],0)),"")</f>
        <v/>
      </c>
      <c r="M180" t="str">
        <f>IFERROR(INDEX(tblPessoas[Base],MATCH(E180,tblPessoas[ID],0)),"")</f>
        <v>Hora</v>
      </c>
      <c r="N180" s="3">
        <f>IFERROR(IF(D180="DIA ÚTIL",INDEX(tblPessoas[R$/h útil],MATCH(E180,tblPessoas[ID],0)),INDEX(tblPessoas[R$/h FDS],MATCH(E180,tblPessoas[ID],0))),0)</f>
        <v>23.5</v>
      </c>
      <c r="O180" s="3">
        <f>IFERROR(INDEX(tblPessoas[R$/diária],MATCH(E180,tblPessoas[ID],0)),0)</f>
        <v>0</v>
      </c>
      <c r="P180" s="3" t="str">
        <f t="shared" si="10"/>
        <v/>
      </c>
      <c r="Q180" t="str">
        <f>IF(A180="","",IF(COUNTIF(tblBatidas[Início vinculado],"B"&amp;MID($A180,2,99))=0,"EM ABERTO",IF(OR(COUNTIF(tblBatidas[Início vinculado],"B"&amp;MID($A180,2,99))&gt;1,K180&lt;0,K180&gt;16,INT(INDEX(tblBatidas[Data e hora],MATCH("B"&amp;MID($A180,2,99),tblBatidas[Início vinculado],0)))&lt;&gt;B180,INDEX(tblBatidas[ID],MATCH("B"&amp;MID($A180,2,99),tblBatidas[Início vinculado],0))&lt;&gt;E180,INDEX(tblBatidas[Projeto],MATCH("B"&amp;MID($A180,2,99),tblBatidas[Início vinculado],0))&lt;&gt;G180,INDEX(tblBatidas[Atividade],MATCH("B"&amp;MID($A180,2,99),tblBatidas[Início vinculado],0))&lt;&gt;H180),"REVISAR","CONCLUÍDO")))</f>
        <v>EM ABERTO</v>
      </c>
      <c r="R180">
        <f>IF(Q180&lt;&gt;"CONCLUÍDO",0,IF(COUNTIFS($E$5:E180,E180,$B$5:B180,B180,$Q$5:Q180,"CONCLUÍDO")=1,1,0))</f>
        <v>0</v>
      </c>
      <c r="S180" t="str">
        <f t="shared" si="11"/>
        <v>yyyy-09</v>
      </c>
      <c r="T180">
        <f>IF(E180="","",E180*100000+COUNTIFS(tblRegistros[ID],E180,tblRegistros[Data],"&lt;"&amp;B180)+COUNTIFS(tblRegistros[ID],E180,tblRegistros[Data],B180,tblRegistros[Início],"&lt;"&amp;I180)+COUNTIFS($E$5:E180,E180,$B$5:B180,B180,$I$5:I180,I180))</f>
        <v>101300015</v>
      </c>
    </row>
    <row r="181" spans="1:20">
      <c r="A181" t="s">
        <v>273</v>
      </c>
      <c r="B181" s="2">
        <f>IFERROR(INT(INDEX(tblBatidas[Data e hora],MATCH("B"&amp;MID($A181,2,99),tblBatidas[Batida ID],0))),"")</f>
        <v>46269</v>
      </c>
      <c r="C181" t="str">
        <f t="shared" si="8"/>
        <v>SEXTA-FEIRA</v>
      </c>
      <c r="D181" t="str">
        <f t="shared" si="9"/>
        <v>DIA ÚTIL</v>
      </c>
      <c r="E181">
        <f>IFERROR(INDEX(tblBatidas[ID],MATCH("B"&amp;MID($A181,2,99),tblBatidas[Batida ID],0)),"")</f>
        <v>1016</v>
      </c>
      <c r="F181" t="str">
        <f>IFERROR(INDEX(tblPessoas[Pessoa],MATCH(E181,tblPessoas[ID],0)),"")</f>
        <v>Ana Luisa Nardin</v>
      </c>
      <c r="G181" t="str">
        <f>IFERROR(INDEX(tblBatidas[Projeto],MATCH("B"&amp;MID($A181,2,99),tblBatidas[Batida ID],0)),"")</f>
        <v>CFI / ACCION</v>
      </c>
      <c r="H181" t="str">
        <f>IFERROR(INDEX(tblBatidas[Atividade],MATCH("B"&amp;MID($A181,2,99),tblBatidas[Batida ID],0)),"")</f>
        <v>ANÁLISE</v>
      </c>
      <c r="I181" s="4">
        <f>IFERROR(MOD(INDEX(tblBatidas[Data e hora],MATCH("B"&amp;MID($A181,2,99),tblBatidas[Batida ID],0)),1),"")</f>
        <v>0.57269675925635966</v>
      </c>
      <c r="J181" s="4">
        <f>IFERROR(MOD(INDEX(tblBatidas[Data e hora],MATCH("B"&amp;MID($A181,2,99),tblBatidas[Início vinculado],0)),1),"")</f>
        <v>0.75045138888526708</v>
      </c>
      <c r="K181" s="14">
        <f>IFERROR((INDEX(tblBatidas[Data e hora],MATCH("B"&amp;MID($A181,2,99),tblBatidas[Início vinculado],0))-INDEX(tblBatidas[Data e hora],MATCH("B"&amp;MID($A181,2,99),tblBatidas[Batida ID],0)))*24,"")</f>
        <v>4.2661111110937782</v>
      </c>
      <c r="L181">
        <f>IFERROR(INDEX(tblBatidas[Observação],MATCH("B"&amp;MID($A181,2,99),tblBatidas[Início vinculado],0)),"")</f>
        <v>0</v>
      </c>
      <c r="M181" t="str">
        <f>IFERROR(INDEX(tblPessoas[Base],MATCH(E181,tblPessoas[ID],0)),"")</f>
        <v>Hora</v>
      </c>
      <c r="N181" s="3">
        <f>IFERROR(IF(D181="DIA ÚTIL",INDEX(tblPessoas[R$/h útil],MATCH(E181,tblPessoas[ID],0)),INDEX(tblPessoas[R$/h FDS],MATCH(E181,tblPessoas[ID],0))),0)</f>
        <v>23.5</v>
      </c>
      <c r="O181" s="3">
        <f>IFERROR(INDEX(tblPessoas[R$/diária],MATCH(E181,tblPessoas[ID],0)),0)</f>
        <v>0</v>
      </c>
      <c r="P181" s="3">
        <f t="shared" si="10"/>
        <v>100.25361111070379</v>
      </c>
      <c r="Q181" t="str">
        <f>IF(A181="","",IF(COUNTIF(tblBatidas[Início vinculado],"B"&amp;MID($A181,2,99))=0,"EM ABERTO",IF(OR(COUNTIF(tblBatidas[Início vinculado],"B"&amp;MID($A181,2,99))&gt;1,K181&lt;0,K181&gt;16,INT(INDEX(tblBatidas[Data e hora],MATCH("B"&amp;MID($A181,2,99),tblBatidas[Início vinculado],0)))&lt;&gt;B181,INDEX(tblBatidas[ID],MATCH("B"&amp;MID($A181,2,99),tblBatidas[Início vinculado],0))&lt;&gt;E181,INDEX(tblBatidas[Projeto],MATCH("B"&amp;MID($A181,2,99),tblBatidas[Início vinculado],0))&lt;&gt;G181,INDEX(tblBatidas[Atividade],MATCH("B"&amp;MID($A181,2,99),tblBatidas[Início vinculado],0))&lt;&gt;H181),"REVISAR","CONCLUÍDO")))</f>
        <v>CONCLUÍDO</v>
      </c>
      <c r="R181">
        <f>IF(Q181&lt;&gt;"CONCLUÍDO",0,IF(COUNTIFS($E$5:E181,E181,$B$5:B181,B181,$Q$5:Q181,"CONCLUÍDO")=1,1,0))</f>
        <v>1</v>
      </c>
      <c r="S181" t="str">
        <f t="shared" si="11"/>
        <v>yyyy-09</v>
      </c>
      <c r="T181">
        <f>IF(E181="","",E181*100000+COUNTIFS(tblRegistros[ID],E181,tblRegistros[Data],"&lt;"&amp;B181)+COUNTIFS(tblRegistros[ID],E181,tblRegistros[Data],B181,tblRegistros[Início],"&lt;"&amp;I181)+COUNTIFS($E$5:E181,E181,$B$5:B181,B181,$I$5:I181,I181))</f>
        <v>101600021</v>
      </c>
    </row>
    <row r="182" spans="1:20">
      <c r="A182" t="s">
        <v>274</v>
      </c>
      <c r="B182" s="2">
        <f>IFERROR(INT(INDEX(tblBatidas[Data e hora],MATCH("B"&amp;MID($A182,2,99),tblBatidas[Batida ID],0))),"")</f>
        <v>46269</v>
      </c>
      <c r="C182" t="str">
        <f t="shared" si="8"/>
        <v>SEXTA-FEIRA</v>
      </c>
      <c r="D182" t="str">
        <f t="shared" si="9"/>
        <v>DIA ÚTIL</v>
      </c>
      <c r="E182">
        <f>IFERROR(INDEX(tblBatidas[ID],MATCH("B"&amp;MID($A182,2,99),tblBatidas[Batida ID],0)),"")</f>
        <v>1014</v>
      </c>
      <c r="F182" t="str">
        <f>IFERROR(INDEX(tblPessoas[Pessoa],MATCH(E182,tblPessoas[ID],0)),"")</f>
        <v>Robert Filipe Orlando de Souza</v>
      </c>
      <c r="G182" t="str">
        <f>IFERROR(INDEX(tblBatidas[Projeto],MATCH("B"&amp;MID($A182,2,99),tblBatidas[Batida ID],0)),"")</f>
        <v>OTEMPO</v>
      </c>
      <c r="H182" t="str">
        <f>IFERROR(INDEX(tblBatidas[Atividade],MATCH("B"&amp;MID($A182,2,99),tblBatidas[Batida ID],0)),"")</f>
        <v>CHECAGEM</v>
      </c>
      <c r="I182" s="4">
        <f>IFERROR(MOD(INDEX(tblBatidas[Data e hora],MATCH("B"&amp;MID($A182,2,99),tblBatidas[Batida ID],0)),1),"")</f>
        <v>0.57326388888759539</v>
      </c>
      <c r="J182" s="4">
        <f>IFERROR(MOD(INDEX(tblBatidas[Data e hora],MATCH("B"&amp;MID($A182,2,99),tblBatidas[Início vinculado],0)),1),"")</f>
        <v>0.63048611111298669</v>
      </c>
      <c r="K182" s="14">
        <f>IFERROR((INDEX(tblBatidas[Data e hora],MATCH("B"&amp;MID($A182,2,99),tblBatidas[Início vinculado],0))-INDEX(tblBatidas[Data e hora],MATCH("B"&amp;MID($A182,2,99),tblBatidas[Batida ID],0)))*24,"")</f>
        <v>1.3733333334093913</v>
      </c>
      <c r="L182">
        <f>IFERROR(INDEX(tblBatidas[Observação],MATCH("B"&amp;MID($A182,2,99),tblBatidas[Início vinculado],0)),"")</f>
        <v>0</v>
      </c>
      <c r="M182" t="str">
        <f>IFERROR(INDEX(tblPessoas[Base],MATCH(E182,tblPessoas[ID],0)),"")</f>
        <v>Hora</v>
      </c>
      <c r="N182" s="3">
        <f>IFERROR(IF(D182="DIA ÚTIL",INDEX(tblPessoas[R$/h útil],MATCH(E182,tblPessoas[ID],0)),INDEX(tblPessoas[R$/h FDS],MATCH(E182,tblPessoas[ID],0))),0)</f>
        <v>21.5</v>
      </c>
      <c r="O182" s="3">
        <f>IFERROR(INDEX(tblPessoas[R$/diária],MATCH(E182,tblPessoas[ID],0)),0)</f>
        <v>0</v>
      </c>
      <c r="P182" s="3">
        <f t="shared" si="10"/>
        <v>29.526666668301914</v>
      </c>
      <c r="Q182" t="str">
        <f>IF(A182="","",IF(COUNTIF(tblBatidas[Início vinculado],"B"&amp;MID($A182,2,99))=0,"EM ABERTO",IF(OR(COUNTIF(tblBatidas[Início vinculado],"B"&amp;MID($A182,2,99))&gt;1,K182&lt;0,K182&gt;16,INT(INDEX(tblBatidas[Data e hora],MATCH("B"&amp;MID($A182,2,99),tblBatidas[Início vinculado],0)))&lt;&gt;B182,INDEX(tblBatidas[ID],MATCH("B"&amp;MID($A182,2,99),tblBatidas[Início vinculado],0))&lt;&gt;E182,INDEX(tblBatidas[Projeto],MATCH("B"&amp;MID($A182,2,99),tblBatidas[Início vinculado],0))&lt;&gt;G182,INDEX(tblBatidas[Atividade],MATCH("B"&amp;MID($A182,2,99),tblBatidas[Início vinculado],0))&lt;&gt;H182),"REVISAR","CONCLUÍDO")))</f>
        <v>CONCLUÍDO</v>
      </c>
      <c r="R182">
        <f>IF(Q182&lt;&gt;"CONCLUÍDO",0,IF(COUNTIFS($E$5:E182,E182,$B$5:B182,B182,$Q$5:Q182,"CONCLUÍDO")=1,1,0))</f>
        <v>0</v>
      </c>
      <c r="S182" t="str">
        <f t="shared" si="11"/>
        <v>yyyy-09</v>
      </c>
      <c r="T182">
        <f>IF(E182="","",E182*100000+COUNTIFS(tblRegistros[ID],E182,tblRegistros[Data],"&lt;"&amp;B182)+COUNTIFS(tblRegistros[ID],E182,tblRegistros[Data],B182,tblRegistros[Início],"&lt;"&amp;I182)+COUNTIFS($E$5:E182,E182,$B$5:B182,B182,$I$5:I182,I182))</f>
        <v>101400019</v>
      </c>
    </row>
    <row r="183" spans="1:20">
      <c r="A183" t="s">
        <v>275</v>
      </c>
      <c r="B183" s="2">
        <f>IFERROR(INT(INDEX(tblBatidas[Data e hora],MATCH("B"&amp;MID($A183,2,99),tblBatidas[Batida ID],0))),"")</f>
        <v>46269</v>
      </c>
      <c r="C183" t="str">
        <f t="shared" si="8"/>
        <v>SEXTA-FEIRA</v>
      </c>
      <c r="D183" t="str">
        <f t="shared" si="9"/>
        <v>DIA ÚTIL</v>
      </c>
      <c r="E183">
        <f>IFERROR(INDEX(tblBatidas[ID],MATCH("B"&amp;MID($A183,2,99),tblBatidas[Batida ID],0)),"")</f>
        <v>1003</v>
      </c>
      <c r="F183" t="str">
        <f>IFERROR(INDEX(tblPessoas[Pessoa],MATCH(E183,tblPessoas[ID],0)),"")</f>
        <v>Amanda do Carmo Ribeiro</v>
      </c>
      <c r="G183" t="str">
        <f>IFERROR(INDEX(tblBatidas[Projeto],MATCH("B"&amp;MID($A183,2,99),tblBatidas[Batida ID],0)),"")</f>
        <v>OTEMPO</v>
      </c>
      <c r="H183" t="str">
        <f>IFERROR(INDEX(tblBatidas[Atividade],MATCH("B"&amp;MID($A183,2,99),tblBatidas[Batida ID],0)),"")</f>
        <v>ANÁLISE</v>
      </c>
      <c r="I183" s="4">
        <f>IFERROR(MOD(INDEX(tblBatidas[Data e hora],MATCH("B"&amp;MID($A183,2,99),tblBatidas[Batida ID],0)),1),"")</f>
        <v>0.57724537036847323</v>
      </c>
      <c r="J183" s="4" t="str">
        <f>IFERROR(MOD(INDEX(tblBatidas[Data e hora],MATCH("B"&amp;MID($A183,2,99),tblBatidas[Início vinculado],0)),1),"")</f>
        <v/>
      </c>
      <c r="K183" s="14" t="str">
        <f>IFERROR((INDEX(tblBatidas[Data e hora],MATCH("B"&amp;MID($A183,2,99),tblBatidas[Início vinculado],0))-INDEX(tblBatidas[Data e hora],MATCH("B"&amp;MID($A183,2,99),tblBatidas[Batida ID],0)))*24,"")</f>
        <v/>
      </c>
      <c r="L183" t="str">
        <f>IFERROR(INDEX(tblBatidas[Observação],MATCH("B"&amp;MID($A183,2,99),tblBatidas[Início vinculado],0)),"")</f>
        <v/>
      </c>
      <c r="M183" t="str">
        <f>IFERROR(INDEX(tblPessoas[Base],MATCH(E183,tblPessoas[ID],0)),"")</f>
        <v>Hora</v>
      </c>
      <c r="N183" s="3">
        <f>IFERROR(IF(D183="DIA ÚTIL",INDEX(tblPessoas[R$/h útil],MATCH(E183,tblPessoas[ID],0)),INDEX(tblPessoas[R$/h FDS],MATCH(E183,tblPessoas[ID],0))),0)</f>
        <v>23.5</v>
      </c>
      <c r="O183" s="3">
        <f>IFERROR(INDEX(tblPessoas[R$/diária],MATCH(E183,tblPessoas[ID],0)),0)</f>
        <v>0</v>
      </c>
      <c r="P183" s="3" t="str">
        <f t="shared" si="10"/>
        <v/>
      </c>
      <c r="Q183" t="str">
        <f>IF(A183="","",IF(COUNTIF(tblBatidas[Início vinculado],"B"&amp;MID($A183,2,99))=0,"EM ABERTO",IF(OR(COUNTIF(tblBatidas[Início vinculado],"B"&amp;MID($A183,2,99))&gt;1,K183&lt;0,K183&gt;16,INT(INDEX(tblBatidas[Data e hora],MATCH("B"&amp;MID($A183,2,99),tblBatidas[Início vinculado],0)))&lt;&gt;B183,INDEX(tblBatidas[ID],MATCH("B"&amp;MID($A183,2,99),tblBatidas[Início vinculado],0))&lt;&gt;E183,INDEX(tblBatidas[Projeto],MATCH("B"&amp;MID($A183,2,99),tblBatidas[Início vinculado],0))&lt;&gt;G183,INDEX(tblBatidas[Atividade],MATCH("B"&amp;MID($A183,2,99),tblBatidas[Início vinculado],0))&lt;&gt;H183),"REVISAR","CONCLUÍDO")))</f>
        <v>EM ABERTO</v>
      </c>
      <c r="R183">
        <f>IF(Q183&lt;&gt;"CONCLUÍDO",0,IF(COUNTIFS($E$5:E183,E183,$B$5:B183,B183,$Q$5:Q183,"CONCLUÍDO")=1,1,0))</f>
        <v>0</v>
      </c>
      <c r="S183" t="str">
        <f t="shared" si="11"/>
        <v>yyyy-09</v>
      </c>
      <c r="T183">
        <f>IF(E183="","",E183*100000+COUNTIFS(tblRegistros[ID],E183,tblRegistros[Data],"&lt;"&amp;B183)+COUNTIFS(tblRegistros[ID],E183,tblRegistros[Data],B183,tblRegistros[Início],"&lt;"&amp;I183)+COUNTIFS($E$5:E183,E183,$B$5:B183,B183,$I$5:I183,I183))</f>
        <v>100300015</v>
      </c>
    </row>
    <row r="184" spans="1:20">
      <c r="A184" t="s">
        <v>276</v>
      </c>
      <c r="B184" s="2">
        <f>IFERROR(INT(INDEX(tblBatidas[Data e hora],MATCH("B"&amp;MID($A184,2,99),tblBatidas[Batida ID],0))),"")</f>
        <v>46269</v>
      </c>
      <c r="C184" t="str">
        <f t="shared" si="8"/>
        <v>SEXTA-FEIRA</v>
      </c>
      <c r="D184" t="str">
        <f t="shared" si="9"/>
        <v>DIA ÚTIL</v>
      </c>
      <c r="E184">
        <f>IFERROR(INDEX(tblBatidas[ID],MATCH("B"&amp;MID($A184,2,99),tblBatidas[Batida ID],0)),"")</f>
        <v>1015</v>
      </c>
      <c r="F184" t="str">
        <f>IFERROR(INDEX(tblPessoas[Pessoa],MATCH(E184,tblPessoas[ID],0)),"")</f>
        <v>Vitor Guilherme Miguel Rocha</v>
      </c>
      <c r="G184" t="str">
        <f>IFERROR(INDEX(tblBatidas[Projeto],MATCH("B"&amp;MID($A184,2,99),tblBatidas[Batida ID],0)),"")</f>
        <v>ADMINISTRATIVO</v>
      </c>
      <c r="H184" t="str">
        <f>IFERROR(INDEX(tblBatidas[Atividade],MATCH("B"&amp;MID($A184,2,99),tblBatidas[Batida ID],0)),"")</f>
        <v>ADMINISTRATIVO</v>
      </c>
      <c r="I184" s="4">
        <f>IFERROR(MOD(INDEX(tblBatidas[Data e hora],MATCH("B"&amp;MID($A184,2,99),tblBatidas[Batida ID],0)),1),"")</f>
        <v>0.58304398148175096</v>
      </c>
      <c r="J184" s="4" t="str">
        <f>IFERROR(MOD(INDEX(tblBatidas[Data e hora],MATCH("B"&amp;MID($A184,2,99),tblBatidas[Início vinculado],0)),1),"")</f>
        <v/>
      </c>
      <c r="K184" s="14" t="str">
        <f>IFERROR((INDEX(tblBatidas[Data e hora],MATCH("B"&amp;MID($A184,2,99),tblBatidas[Início vinculado],0))-INDEX(tblBatidas[Data e hora],MATCH("B"&amp;MID($A184,2,99),tblBatidas[Batida ID],0)))*24,"")</f>
        <v/>
      </c>
      <c r="L184" t="str">
        <f>IFERROR(INDEX(tblBatidas[Observação],MATCH("B"&amp;MID($A184,2,99),tblBatidas[Início vinculado],0)),"")</f>
        <v/>
      </c>
      <c r="M184" t="str">
        <f>IFERROR(INDEX(tblPessoas[Base],MATCH(E184,tblPessoas[ID],0)),"")</f>
        <v>Hora</v>
      </c>
      <c r="N184" s="3">
        <f>IFERROR(IF(D184="DIA ÚTIL",INDEX(tblPessoas[R$/h útil],MATCH(E184,tblPessoas[ID],0)),INDEX(tblPessoas[R$/h FDS],MATCH(E184,tblPessoas[ID],0))),0)</f>
        <v>21.5</v>
      </c>
      <c r="O184" s="3">
        <f>IFERROR(INDEX(tblPessoas[R$/diária],MATCH(E184,tblPessoas[ID],0)),0)</f>
        <v>0</v>
      </c>
      <c r="P184" s="3" t="str">
        <f t="shared" si="10"/>
        <v/>
      </c>
      <c r="Q184" t="str">
        <f>IF(A184="","",IF(COUNTIF(tblBatidas[Início vinculado],"B"&amp;MID($A184,2,99))=0,"EM ABERTO",IF(OR(COUNTIF(tblBatidas[Início vinculado],"B"&amp;MID($A184,2,99))&gt;1,K184&lt;0,K184&gt;16,INT(INDEX(tblBatidas[Data e hora],MATCH("B"&amp;MID($A184,2,99),tblBatidas[Início vinculado],0)))&lt;&gt;B184,INDEX(tblBatidas[ID],MATCH("B"&amp;MID($A184,2,99),tblBatidas[Início vinculado],0))&lt;&gt;E184,INDEX(tblBatidas[Projeto],MATCH("B"&amp;MID($A184,2,99),tblBatidas[Início vinculado],0))&lt;&gt;G184,INDEX(tblBatidas[Atividade],MATCH("B"&amp;MID($A184,2,99),tblBatidas[Início vinculado],0))&lt;&gt;H184),"REVISAR","CONCLUÍDO")))</f>
        <v>EM ABERTO</v>
      </c>
      <c r="R184">
        <f>IF(Q184&lt;&gt;"CONCLUÍDO",0,IF(COUNTIFS($E$5:E184,E184,$B$5:B184,B184,$Q$5:Q184,"CONCLUÍDO")=1,1,0))</f>
        <v>0</v>
      </c>
      <c r="S184" t="str">
        <f t="shared" si="11"/>
        <v>yyyy-09</v>
      </c>
      <c r="T184">
        <f>IF(E184="","",E184*100000+COUNTIFS(tblRegistros[ID],E184,tblRegistros[Data],"&lt;"&amp;B184)+COUNTIFS(tblRegistros[ID],E184,tblRegistros[Data],B184,tblRegistros[Início],"&lt;"&amp;I184)+COUNTIFS($E$5:E184,E184,$B$5:B184,B184,$I$5:I184,I184))</f>
        <v>101500022</v>
      </c>
    </row>
    <row r="185" spans="1:20">
      <c r="A185" t="s">
        <v>277</v>
      </c>
      <c r="B185" s="2">
        <f>IFERROR(INT(INDEX(tblBatidas[Data e hora],MATCH("B"&amp;MID($A185,2,99),tblBatidas[Batida ID],0))),"")</f>
        <v>46269</v>
      </c>
      <c r="C185" t="str">
        <f t="shared" si="8"/>
        <v>SEXTA-FEIRA</v>
      </c>
      <c r="D185" t="str">
        <f t="shared" si="9"/>
        <v>DIA ÚTIL</v>
      </c>
      <c r="E185">
        <f>IFERROR(INDEX(tblBatidas[ID],MATCH("B"&amp;MID($A185,2,99),tblBatidas[Batida ID],0)),"")</f>
        <v>1002</v>
      </c>
      <c r="F185" t="str">
        <f>IFERROR(INDEX(tblPessoas[Pessoa],MATCH(E185,tblPessoas[ID],0)),"")</f>
        <v>Alex de Almeida Mariano</v>
      </c>
      <c r="G185" t="str">
        <f>IFERROR(INDEX(tblBatidas[Projeto],MATCH("B"&amp;MID($A185,2,99),tblBatidas[Batida ID],0)),"")</f>
        <v>CFI / ACCION</v>
      </c>
      <c r="H185" t="str">
        <f>IFERROR(INDEX(tblBatidas[Atividade],MATCH("B"&amp;MID($A185,2,99),tblBatidas[Batida ID],0)),"")</f>
        <v>ANÁLISE</v>
      </c>
      <c r="I185" s="4">
        <f>IFERROR(MOD(INDEX(tblBatidas[Data e hora],MATCH("B"&amp;MID($A185,2,99),tblBatidas[Batida ID],0)),1),"")</f>
        <v>0.55560185185458977</v>
      </c>
      <c r="J185" s="4">
        <f>IFERROR(MOD(INDEX(tblBatidas[Data e hora],MATCH("B"&amp;MID($A185,2,99),tblBatidas[Início vinculado],0)),1),"")</f>
        <v>0.74964120370714227</v>
      </c>
      <c r="K185" s="14">
        <f>IFERROR((INDEX(tblBatidas[Data e hora],MATCH("B"&amp;MID($A185,2,99),tblBatidas[Início vinculado],0))-INDEX(tblBatidas[Data e hora],MATCH("B"&amp;MID($A185,2,99),tblBatidas[Batida ID],0)))*24,"")</f>
        <v>4.65694444446126</v>
      </c>
      <c r="L185">
        <f>IFERROR(INDEX(tblBatidas[Observação],MATCH("B"&amp;MID($A185,2,99),tblBatidas[Início vinculado],0)),"")</f>
        <v>0</v>
      </c>
      <c r="M185" t="str">
        <f>IFERROR(INDEX(tblPessoas[Base],MATCH(E185,tblPessoas[ID],0)),"")</f>
        <v>Hora</v>
      </c>
      <c r="N185" s="3">
        <f>IFERROR(IF(D185="DIA ÚTIL",INDEX(tblPessoas[R$/h útil],MATCH(E185,tblPessoas[ID],0)),INDEX(tblPessoas[R$/h FDS],MATCH(E185,tblPessoas[ID],0))),0)</f>
        <v>23.5</v>
      </c>
      <c r="O185" s="3">
        <f>IFERROR(INDEX(tblPessoas[R$/diária],MATCH(E185,tblPessoas[ID],0)),0)</f>
        <v>0</v>
      </c>
      <c r="P185" s="3">
        <f t="shared" si="10"/>
        <v>109.43819444483961</v>
      </c>
      <c r="Q185" t="str">
        <f>IF(A185="","",IF(COUNTIF(tblBatidas[Início vinculado],"B"&amp;MID($A185,2,99))=0,"EM ABERTO",IF(OR(COUNTIF(tblBatidas[Início vinculado],"B"&amp;MID($A185,2,99))&gt;1,K185&lt;0,K185&gt;16,INT(INDEX(tblBatidas[Data e hora],MATCH("B"&amp;MID($A185,2,99),tblBatidas[Início vinculado],0)))&lt;&gt;B185,INDEX(tblBatidas[ID],MATCH("B"&amp;MID($A185,2,99),tblBatidas[Início vinculado],0))&lt;&gt;E185,INDEX(tblBatidas[Projeto],MATCH("B"&amp;MID($A185,2,99),tblBatidas[Início vinculado],0))&lt;&gt;G185,INDEX(tblBatidas[Atividade],MATCH("B"&amp;MID($A185,2,99),tblBatidas[Início vinculado],0))&lt;&gt;H185),"REVISAR","CONCLUÍDO")))</f>
        <v>CONCLUÍDO</v>
      </c>
      <c r="R185">
        <f>IF(Q185&lt;&gt;"CONCLUÍDO",0,IF(COUNTIFS($E$5:E185,E185,$B$5:B185,B185,$Q$5:Q185,"CONCLUÍDO")=1,1,0))</f>
        <v>0</v>
      </c>
      <c r="S185" t="str">
        <f t="shared" si="11"/>
        <v>yyyy-09</v>
      </c>
      <c r="T185">
        <f>IF(E185="","",E185*100000+COUNTIFS(tblRegistros[ID],E185,tblRegistros[Data],"&lt;"&amp;B185)+COUNTIFS(tblRegistros[ID],E185,tblRegistros[Data],B185,tblRegistros[Início],"&lt;"&amp;I185)+COUNTIFS($E$5:E185,E185,$B$5:B185,B185,$I$5:I185,I185))</f>
        <v>100200009</v>
      </c>
    </row>
    <row r="186" spans="1:20">
      <c r="A186" t="s">
        <v>278</v>
      </c>
      <c r="B186" s="2">
        <f>IFERROR(INT(INDEX(tblBatidas[Data e hora],MATCH("B"&amp;MID($A186,2,99),tblBatidas[Batida ID],0))),"")</f>
        <v>46269</v>
      </c>
      <c r="C186" t="str">
        <f t="shared" si="8"/>
        <v>SEXTA-FEIRA</v>
      </c>
      <c r="D186" t="str">
        <f t="shared" si="9"/>
        <v>DIA ÚTIL</v>
      </c>
      <c r="E186">
        <f>IFERROR(INDEX(tblBatidas[ID],MATCH("B"&amp;MID($A186,2,99),tblBatidas[Batida ID],0)),"")</f>
        <v>1014</v>
      </c>
      <c r="F186" t="str">
        <f>IFERROR(INDEX(tblPessoas[Pessoa],MATCH(E186,tblPessoas[ID],0)),"")</f>
        <v>Robert Filipe Orlando de Souza</v>
      </c>
      <c r="G186" t="str">
        <f>IFERROR(INDEX(tblBatidas[Projeto],MATCH("B"&amp;MID($A186,2,99),tblBatidas[Batida ID],0)),"")</f>
        <v>SICOOB CREDICOM</v>
      </c>
      <c r="H186" t="str">
        <f>IFERROR(INDEX(tblBatidas[Atividade],MATCH("B"&amp;MID($A186,2,99),tblBatidas[Batida ID],0)),"")</f>
        <v>CHECAGEM</v>
      </c>
      <c r="I186" s="4">
        <f>IFERROR(MOD(INDEX(tblBatidas[Data e hora],MATCH("B"&amp;MID($A186,2,99),tblBatidas[Batida ID],0)),1),"")</f>
        <v>0.63070601852086838</v>
      </c>
      <c r="J186" s="4" t="str">
        <f>IFERROR(MOD(INDEX(tblBatidas[Data e hora],MATCH("B"&amp;MID($A186,2,99),tblBatidas[Início vinculado],0)),1),"")</f>
        <v/>
      </c>
      <c r="K186" s="14" t="str">
        <f>IFERROR((INDEX(tblBatidas[Data e hora],MATCH("B"&amp;MID($A186,2,99),tblBatidas[Início vinculado],0))-INDEX(tblBatidas[Data e hora],MATCH("B"&amp;MID($A186,2,99),tblBatidas[Batida ID],0)))*24,"")</f>
        <v/>
      </c>
      <c r="L186" t="str">
        <f>IFERROR(INDEX(tblBatidas[Observação],MATCH("B"&amp;MID($A186,2,99),tblBatidas[Início vinculado],0)),"")</f>
        <v/>
      </c>
      <c r="M186" t="str">
        <f>IFERROR(INDEX(tblPessoas[Base],MATCH(E186,tblPessoas[ID],0)),"")</f>
        <v>Hora</v>
      </c>
      <c r="N186" s="3">
        <f>IFERROR(IF(D186="DIA ÚTIL",INDEX(tblPessoas[R$/h útil],MATCH(E186,tblPessoas[ID],0)),INDEX(tblPessoas[R$/h FDS],MATCH(E186,tblPessoas[ID],0))),0)</f>
        <v>21.5</v>
      </c>
      <c r="O186" s="3">
        <f>IFERROR(INDEX(tblPessoas[R$/diária],MATCH(E186,tblPessoas[ID],0)),0)</f>
        <v>0</v>
      </c>
      <c r="P186" s="3" t="str">
        <f t="shared" si="10"/>
        <v/>
      </c>
      <c r="Q186" t="str">
        <f>IF(A186="","",IF(COUNTIF(tblBatidas[Início vinculado],"B"&amp;MID($A186,2,99))=0,"EM ABERTO",IF(OR(COUNTIF(tblBatidas[Início vinculado],"B"&amp;MID($A186,2,99))&gt;1,K186&lt;0,K186&gt;16,INT(INDEX(tblBatidas[Data e hora],MATCH("B"&amp;MID($A186,2,99),tblBatidas[Início vinculado],0)))&lt;&gt;B186,INDEX(tblBatidas[ID],MATCH("B"&amp;MID($A186,2,99),tblBatidas[Início vinculado],0))&lt;&gt;E186,INDEX(tblBatidas[Projeto],MATCH("B"&amp;MID($A186,2,99),tblBatidas[Início vinculado],0))&lt;&gt;G186,INDEX(tblBatidas[Atividade],MATCH("B"&amp;MID($A186,2,99),tblBatidas[Início vinculado],0))&lt;&gt;H186),"REVISAR","CONCLUÍDO")))</f>
        <v>EM ABERTO</v>
      </c>
      <c r="R186">
        <f>IF(Q186&lt;&gt;"CONCLUÍDO",0,IF(COUNTIFS($E$5:E186,E186,$B$5:B186,B186,$Q$5:Q186,"CONCLUÍDO")=1,1,0))</f>
        <v>0</v>
      </c>
      <c r="S186" t="str">
        <f t="shared" si="11"/>
        <v>yyyy-09</v>
      </c>
      <c r="T186">
        <f>IF(E186="","",E186*100000+COUNTIFS(tblRegistros[ID],E186,tblRegistros[Data],"&lt;"&amp;B186)+COUNTIFS(tblRegistros[ID],E186,tblRegistros[Data],B186,tblRegistros[Início],"&lt;"&amp;I186)+COUNTIFS($E$5:E186,E186,$B$5:B186,B186,$I$5:I186,I186))</f>
        <v>101400020</v>
      </c>
    </row>
    <row r="187" spans="1:20">
      <c r="A187" t="s">
        <v>279</v>
      </c>
      <c r="B187" s="2">
        <f>IFERROR(INT(INDEX(tblBatidas[Data e hora],MATCH("B"&amp;MID($A187,2,99),tblBatidas[Batida ID],0))),"")</f>
        <v>46269</v>
      </c>
      <c r="C187" t="str">
        <f t="shared" si="8"/>
        <v>SEXTA-FEIRA</v>
      </c>
      <c r="D187" t="str">
        <f t="shared" si="9"/>
        <v>DIA ÚTIL</v>
      </c>
      <c r="E187">
        <f>IFERROR(INDEX(tblBatidas[ID],MATCH("B"&amp;MID($A187,2,99),tblBatidas[Batida ID],0)),"")</f>
        <v>1001</v>
      </c>
      <c r="F187" t="str">
        <f>IFERROR(INDEX(tblPessoas[Pessoa],MATCH(E187,tblPessoas[ID],0)),"")</f>
        <v>Adriana Pereira dos Santos</v>
      </c>
      <c r="G187" t="str">
        <f>IFERROR(INDEX(tblBatidas[Projeto],MATCH("B"&amp;MID($A187,2,99),tblBatidas[Batida ID],0)),"")</f>
        <v>SICOOB CREDICOM</v>
      </c>
      <c r="H187" t="str">
        <f>IFERROR(INDEX(tblBatidas[Atividade],MATCH("B"&amp;MID($A187,2,99),tblBatidas[Batida ID],0)),"")</f>
        <v>SUPERVISÃO</v>
      </c>
      <c r="I187" s="4">
        <f>IFERROR(MOD(INDEX(tblBatidas[Data e hora],MATCH("B"&amp;MID($A187,2,99),tblBatidas[Batida ID],0)),1),"")</f>
        <v>0.67403935184847796</v>
      </c>
      <c r="J187" s="4" t="str">
        <f>IFERROR(MOD(INDEX(tblBatidas[Data e hora],MATCH("B"&amp;MID($A187,2,99),tblBatidas[Início vinculado],0)),1),"")</f>
        <v/>
      </c>
      <c r="K187" s="14" t="str">
        <f>IFERROR((INDEX(tblBatidas[Data e hora],MATCH("B"&amp;MID($A187,2,99),tblBatidas[Início vinculado],0))-INDEX(tblBatidas[Data e hora],MATCH("B"&amp;MID($A187,2,99),tblBatidas[Batida ID],0)))*24,"")</f>
        <v/>
      </c>
      <c r="L187" t="str">
        <f>IFERROR(INDEX(tblBatidas[Observação],MATCH("B"&amp;MID($A187,2,99),tblBatidas[Início vinculado],0)),"")</f>
        <v/>
      </c>
      <c r="M187" t="str">
        <f>IFERROR(INDEX(tblPessoas[Base],MATCH(E187,tblPessoas[ID],0)),"")</f>
        <v>Hora</v>
      </c>
      <c r="N187" s="3">
        <f>IFERROR(IF(D187="DIA ÚTIL",INDEX(tblPessoas[R$/h útil],MATCH(E187,tblPessoas[ID],0)),INDEX(tblPessoas[R$/h FDS],MATCH(E187,tblPessoas[ID],0))),0)</f>
        <v>17</v>
      </c>
      <c r="O187" s="3">
        <f>IFERROR(INDEX(tblPessoas[R$/diária],MATCH(E187,tblPessoas[ID],0)),0)</f>
        <v>0</v>
      </c>
      <c r="P187" s="3" t="str">
        <f t="shared" si="10"/>
        <v/>
      </c>
      <c r="Q187" t="str">
        <f>IF(A187="","",IF(COUNTIF(tblBatidas[Início vinculado],"B"&amp;MID($A187,2,99))=0,"EM ABERTO",IF(OR(COUNTIF(tblBatidas[Início vinculado],"B"&amp;MID($A187,2,99))&gt;1,K187&lt;0,K187&gt;16,INT(INDEX(tblBatidas[Data e hora],MATCH("B"&amp;MID($A187,2,99),tblBatidas[Início vinculado],0)))&lt;&gt;B187,INDEX(tblBatidas[ID],MATCH("B"&amp;MID($A187,2,99),tblBatidas[Início vinculado],0))&lt;&gt;E187,INDEX(tblBatidas[Projeto],MATCH("B"&amp;MID($A187,2,99),tblBatidas[Início vinculado],0))&lt;&gt;G187,INDEX(tblBatidas[Atividade],MATCH("B"&amp;MID($A187,2,99),tblBatidas[Início vinculado],0))&lt;&gt;H187),"REVISAR","CONCLUÍDO")))</f>
        <v>EM ABERTO</v>
      </c>
      <c r="R187">
        <f>IF(Q187&lt;&gt;"CONCLUÍDO",0,IF(COUNTIFS($E$5:E187,E187,$B$5:B187,B187,$Q$5:Q187,"CONCLUÍDO")=1,1,0))</f>
        <v>0</v>
      </c>
      <c r="S187" t="str">
        <f t="shared" si="11"/>
        <v>yyyy-09</v>
      </c>
      <c r="T187">
        <f>IF(E187="","",E187*100000+COUNTIFS(tblRegistros[ID],E187,tblRegistros[Data],"&lt;"&amp;B187)+COUNTIFS(tblRegistros[ID],E187,tblRegistros[Data],B187,tblRegistros[Início],"&lt;"&amp;I187)+COUNTIFS($E$5:E187,E187,$B$5:B187,B187,$I$5:I187,I187))</f>
        <v>100100018</v>
      </c>
    </row>
    <row r="188" spans="1:20">
      <c r="A188" t="s">
        <v>280</v>
      </c>
      <c r="B188" s="2">
        <f>IFERROR(INT(INDEX(tblBatidas[Data e hora],MATCH("B"&amp;MID($A188,2,99),tblBatidas[Batida ID],0))),"")</f>
        <v>46270</v>
      </c>
      <c r="C188" t="str">
        <f t="shared" si="8"/>
        <v>SÁBADO</v>
      </c>
      <c r="D188" t="str">
        <f t="shared" si="9"/>
        <v>FDS/FERIADO</v>
      </c>
      <c r="E188">
        <f>IFERROR(INDEX(tblBatidas[ID],MATCH("B"&amp;MID($A188,2,99),tblBatidas[Batida ID],0)),"")</f>
        <v>1013</v>
      </c>
      <c r="F188" t="str">
        <f>IFERROR(INDEX(tblPessoas[Pessoa],MATCH(E188,tblPessoas[ID],0)),"")</f>
        <v>Rafaela Maria Resende Lara</v>
      </c>
      <c r="G188" t="str">
        <f>IFERROR(INDEX(tblBatidas[Projeto],MATCH("B"&amp;MID($A188,2,99),tblBatidas[Batida ID],0)),"")</f>
        <v>TOOLKIT</v>
      </c>
      <c r="H188" t="str">
        <f>IFERROR(INDEX(tblBatidas[Atividade],MATCH("B"&amp;MID($A188,2,99),tblBatidas[Batida ID],0)),"")</f>
        <v>ANÁLISE</v>
      </c>
      <c r="I188" s="4">
        <f>IFERROR(MOD(INDEX(tblBatidas[Data e hora],MATCH("B"&amp;MID($A188,2,99),tblBatidas[Batida ID],0)),1),"")</f>
        <v>0.33055555555620231</v>
      </c>
      <c r="J188" s="4">
        <f>IFERROR(MOD(INDEX(tblBatidas[Data e hora],MATCH("B"&amp;MID($A188,2,99),tblBatidas[Início vinculado],0)),1),"")</f>
        <v>0.51972222221957054</v>
      </c>
      <c r="K188" s="14">
        <f>IFERROR((INDEX(tblBatidas[Data e hora],MATCH("B"&amp;MID($A188,2,99),tblBatidas[Início vinculado],0))-INDEX(tblBatidas[Data e hora],MATCH("B"&amp;MID($A188,2,99),tblBatidas[Batida ID],0)))*24,"")</f>
        <v>4.5399999999208376</v>
      </c>
      <c r="L188">
        <f>IFERROR(INDEX(tblBatidas[Observação],MATCH("B"&amp;MID($A188,2,99),tblBatidas[Início vinculado],0)),"")</f>
        <v>0</v>
      </c>
      <c r="M188" t="str">
        <f>IFERROR(INDEX(tblPessoas[Base],MATCH(E188,tblPessoas[ID],0)),"")</f>
        <v>Hora</v>
      </c>
      <c r="N188" s="3">
        <f>IFERROR(IF(D188="DIA ÚTIL",INDEX(tblPessoas[R$/h útil],MATCH(E188,tblPessoas[ID],0)),INDEX(tblPessoas[R$/h FDS],MATCH(E188,tblPessoas[ID],0))),0)</f>
        <v>23.5</v>
      </c>
      <c r="O188" s="3">
        <f>IFERROR(INDEX(tblPessoas[R$/diária],MATCH(E188,tblPessoas[ID],0)),0)</f>
        <v>0</v>
      </c>
      <c r="P188" s="3">
        <f t="shared" si="10"/>
        <v>106.68999999813968</v>
      </c>
      <c r="Q188" t="str">
        <f>IF(A188="","",IF(COUNTIF(tblBatidas[Início vinculado],"B"&amp;MID($A188,2,99))=0,"EM ABERTO",IF(OR(COUNTIF(tblBatidas[Início vinculado],"B"&amp;MID($A188,2,99))&gt;1,K188&lt;0,K188&gt;16,INT(INDEX(tblBatidas[Data e hora],MATCH("B"&amp;MID($A188,2,99),tblBatidas[Início vinculado],0)))&lt;&gt;B188,INDEX(tblBatidas[ID],MATCH("B"&amp;MID($A188,2,99),tblBatidas[Início vinculado],0))&lt;&gt;E188,INDEX(tblBatidas[Projeto],MATCH("B"&amp;MID($A188,2,99),tblBatidas[Início vinculado],0))&lt;&gt;G188,INDEX(tblBatidas[Atividade],MATCH("B"&amp;MID($A188,2,99),tblBatidas[Início vinculado],0))&lt;&gt;H188),"REVISAR","CONCLUÍDO")))</f>
        <v>CONCLUÍDO</v>
      </c>
      <c r="R188">
        <f>IF(Q188&lt;&gt;"CONCLUÍDO",0,IF(COUNTIFS($E$5:E188,E188,$B$5:B188,B188,$Q$5:Q188,"CONCLUÍDO")=1,1,0))</f>
        <v>1</v>
      </c>
      <c r="S188" t="str">
        <f t="shared" si="11"/>
        <v>yyyy-09</v>
      </c>
      <c r="T188">
        <f>IF(E188="","",E188*100000+COUNTIFS(tblRegistros[ID],E188,tblRegistros[Data],"&lt;"&amp;B188)+COUNTIFS(tblRegistros[ID],E188,tblRegistros[Data],B188,tblRegistros[Início],"&lt;"&amp;I188)+COUNTIFS($E$5:E188,E188,$B$5:B188,B188,$I$5:I188,I188))</f>
        <v>101300016</v>
      </c>
    </row>
    <row r="189" spans="1:20">
      <c r="A189" t="s">
        <v>281</v>
      </c>
      <c r="B189" s="2">
        <f>IFERROR(INT(INDEX(tblBatidas[Data e hora],MATCH("B"&amp;MID($A189,2,99),tblBatidas[Batida ID],0))),"")</f>
        <v>46270</v>
      </c>
      <c r="C189" t="str">
        <f t="shared" si="8"/>
        <v>SÁBADO</v>
      </c>
      <c r="D189" t="str">
        <f t="shared" si="9"/>
        <v>FDS/FERIADO</v>
      </c>
      <c r="E189">
        <f>IFERROR(INDEX(tblBatidas[ID],MATCH("B"&amp;MID($A189,2,99),tblBatidas[Batida ID],0)),"")</f>
        <v>1003</v>
      </c>
      <c r="F189" t="str">
        <f>IFERROR(INDEX(tblPessoas[Pessoa],MATCH(E189,tblPessoas[ID],0)),"")</f>
        <v>Amanda do Carmo Ribeiro</v>
      </c>
      <c r="G189" t="str">
        <f>IFERROR(INDEX(tblBatidas[Projeto],MATCH("B"&amp;MID($A189,2,99),tblBatidas[Batida ID],0)),"")</f>
        <v>TOOLKIT</v>
      </c>
      <c r="H189" t="str">
        <f>IFERROR(INDEX(tblBatidas[Atividade],MATCH("B"&amp;MID($A189,2,99),tblBatidas[Batida ID],0)),"")</f>
        <v>ANÁLISE</v>
      </c>
      <c r="I189" s="4">
        <f>IFERROR(MOD(INDEX(tblBatidas[Data e hora],MATCH("B"&amp;MID($A189,2,99),tblBatidas[Batida ID],0)),1),"")</f>
        <v>0.34181712962890742</v>
      </c>
      <c r="J189" s="4">
        <f>IFERROR(MOD(INDEX(tblBatidas[Data e hora],MATCH("B"&amp;MID($A189,2,99),tblBatidas[Início vinculado],0)),1),"")</f>
        <v>0.54399305555853061</v>
      </c>
      <c r="K189" s="14">
        <f>IFERROR((INDEX(tblBatidas[Data e hora],MATCH("B"&amp;MID($A189,2,99),tblBatidas[Início vinculado],0))-INDEX(tblBatidas[Data e hora],MATCH("B"&amp;MID($A189,2,99),tblBatidas[Batida ID],0)))*24,"")</f>
        <v>4.8522222223109566</v>
      </c>
      <c r="L189">
        <f>IFERROR(INDEX(tblBatidas[Observação],MATCH("B"&amp;MID($A189,2,99),tblBatidas[Início vinculado],0)),"")</f>
        <v>0</v>
      </c>
      <c r="M189" t="str">
        <f>IFERROR(INDEX(tblPessoas[Base],MATCH(E189,tblPessoas[ID],0)),"")</f>
        <v>Hora</v>
      </c>
      <c r="N189" s="3">
        <f>IFERROR(IF(D189="DIA ÚTIL",INDEX(tblPessoas[R$/h útil],MATCH(E189,tblPessoas[ID],0)),INDEX(tblPessoas[R$/h FDS],MATCH(E189,tblPessoas[ID],0))),0)</f>
        <v>23.5</v>
      </c>
      <c r="O189" s="3">
        <f>IFERROR(INDEX(tblPessoas[R$/diária],MATCH(E189,tblPessoas[ID],0)),0)</f>
        <v>0</v>
      </c>
      <c r="P189" s="3">
        <f t="shared" si="10"/>
        <v>114.02722222430748</v>
      </c>
      <c r="Q189" t="str">
        <f>IF(A189="","",IF(COUNTIF(tblBatidas[Início vinculado],"B"&amp;MID($A189,2,99))=0,"EM ABERTO",IF(OR(COUNTIF(tblBatidas[Início vinculado],"B"&amp;MID($A189,2,99))&gt;1,K189&lt;0,K189&gt;16,INT(INDEX(tblBatidas[Data e hora],MATCH("B"&amp;MID($A189,2,99),tblBatidas[Início vinculado],0)))&lt;&gt;B189,INDEX(tblBatidas[ID],MATCH("B"&amp;MID($A189,2,99),tblBatidas[Início vinculado],0))&lt;&gt;E189,INDEX(tblBatidas[Projeto],MATCH("B"&amp;MID($A189,2,99),tblBatidas[Início vinculado],0))&lt;&gt;G189,INDEX(tblBatidas[Atividade],MATCH("B"&amp;MID($A189,2,99),tblBatidas[Início vinculado],0))&lt;&gt;H189),"REVISAR","CONCLUÍDO")))</f>
        <v>CONCLUÍDO</v>
      </c>
      <c r="R189">
        <f>IF(Q189&lt;&gt;"CONCLUÍDO",0,IF(COUNTIFS($E$5:E189,E189,$B$5:B189,B189,$Q$5:Q189,"CONCLUÍDO")=1,1,0))</f>
        <v>1</v>
      </c>
      <c r="S189" t="str">
        <f t="shared" si="11"/>
        <v>yyyy-09</v>
      </c>
      <c r="T189">
        <f>IF(E189="","",E189*100000+COUNTIFS(tblRegistros[ID],E189,tblRegistros[Data],"&lt;"&amp;B189)+COUNTIFS(tblRegistros[ID],E189,tblRegistros[Data],B189,tblRegistros[Início],"&lt;"&amp;I189)+COUNTIFS($E$5:E189,E189,$B$5:B189,B189,$I$5:I189,I189))</f>
        <v>100300016</v>
      </c>
    </row>
    <row r="190" spans="1:20">
      <c r="A190" t="s">
        <v>282</v>
      </c>
      <c r="B190" s="2">
        <f>IFERROR(INT(INDEX(tblBatidas[Data e hora],MATCH("B"&amp;MID($A190,2,99),tblBatidas[Batida ID],0))),"")</f>
        <v>46270</v>
      </c>
      <c r="C190" t="str">
        <f t="shared" si="8"/>
        <v>SÁBADO</v>
      </c>
      <c r="D190" t="str">
        <f t="shared" si="9"/>
        <v>FDS/FERIADO</v>
      </c>
      <c r="E190">
        <f>IFERROR(INDEX(tblBatidas[ID],MATCH("B"&amp;MID($A190,2,99),tblBatidas[Batida ID],0)),"")</f>
        <v>1001</v>
      </c>
      <c r="F190" t="str">
        <f>IFERROR(INDEX(tblPessoas[Pessoa],MATCH(E190,tblPessoas[ID],0)),"")</f>
        <v>Adriana Pereira dos Santos</v>
      </c>
      <c r="G190" t="str">
        <f>IFERROR(INDEX(tblBatidas[Projeto],MATCH("B"&amp;MID($A190,2,99),tblBatidas[Batida ID],0)),"")</f>
        <v>SICOOB CREDICOM</v>
      </c>
      <c r="H190" t="str">
        <f>IFERROR(INDEX(tblBatidas[Atividade],MATCH("B"&amp;MID($A190,2,99),tblBatidas[Batida ID],0)),"")</f>
        <v>SUPERVISÃO</v>
      </c>
      <c r="I190" s="4">
        <f>IFERROR(MOD(INDEX(tblBatidas[Data e hora],MATCH("B"&amp;MID($A190,2,99),tblBatidas[Batida ID],0)),1),"")</f>
        <v>0.38240740740729962</v>
      </c>
      <c r="J190" s="4">
        <f>IFERROR(MOD(INDEX(tblBatidas[Data e hora],MATCH("B"&amp;MID($A190,2,99),tblBatidas[Início vinculado],0)),1),"")</f>
        <v>0.64519675925839692</v>
      </c>
      <c r="K190" s="14">
        <f>IFERROR((INDEX(tblBatidas[Data e hora],MATCH("B"&amp;MID($A190,2,99),tblBatidas[Início vinculado],0))-INDEX(tblBatidas[Data e hora],MATCH("B"&amp;MID($A190,2,99),tblBatidas[Batida ID],0)))*24,"")</f>
        <v>6.3069444444263354</v>
      </c>
      <c r="L190">
        <f>IFERROR(INDEX(tblBatidas[Observação],MATCH("B"&amp;MID($A190,2,99),tblBatidas[Início vinculado],0)),"")</f>
        <v>0</v>
      </c>
      <c r="M190" t="str">
        <f>IFERROR(INDEX(tblPessoas[Base],MATCH(E190,tblPessoas[ID],0)),"")</f>
        <v>Hora</v>
      </c>
      <c r="N190" s="3">
        <f>IFERROR(IF(D190="DIA ÚTIL",INDEX(tblPessoas[R$/h útil],MATCH(E190,tblPessoas[ID],0)),INDEX(tblPessoas[R$/h FDS],MATCH(E190,tblPessoas[ID],0))),0)</f>
        <v>20</v>
      </c>
      <c r="O190" s="3">
        <f>IFERROR(INDEX(tblPessoas[R$/diária],MATCH(E190,tblPessoas[ID],0)),0)</f>
        <v>0</v>
      </c>
      <c r="P190" s="3">
        <f t="shared" si="10"/>
        <v>126.13888888852671</v>
      </c>
      <c r="Q190" t="str">
        <f>IF(A190="","",IF(COUNTIF(tblBatidas[Início vinculado],"B"&amp;MID($A190,2,99))=0,"EM ABERTO",IF(OR(COUNTIF(tblBatidas[Início vinculado],"B"&amp;MID($A190,2,99))&gt;1,K190&lt;0,K190&gt;16,INT(INDEX(tblBatidas[Data e hora],MATCH("B"&amp;MID($A190,2,99),tblBatidas[Início vinculado],0)))&lt;&gt;B190,INDEX(tblBatidas[ID],MATCH("B"&amp;MID($A190,2,99),tblBatidas[Início vinculado],0))&lt;&gt;E190,INDEX(tblBatidas[Projeto],MATCH("B"&amp;MID($A190,2,99),tblBatidas[Início vinculado],0))&lt;&gt;G190,INDEX(tblBatidas[Atividade],MATCH("B"&amp;MID($A190,2,99),tblBatidas[Início vinculado],0))&lt;&gt;H190),"REVISAR","CONCLUÍDO")))</f>
        <v>CONCLUÍDO</v>
      </c>
      <c r="R190">
        <f>IF(Q190&lt;&gt;"CONCLUÍDO",0,IF(COUNTIFS($E$5:E190,E190,$B$5:B190,B190,$Q$5:Q190,"CONCLUÍDO")=1,1,0))</f>
        <v>1</v>
      </c>
      <c r="S190" t="str">
        <f t="shared" si="11"/>
        <v>yyyy-09</v>
      </c>
      <c r="T190">
        <f>IF(E190="","",E190*100000+COUNTIFS(tblRegistros[ID],E190,tblRegistros[Data],"&lt;"&amp;B190)+COUNTIFS(tblRegistros[ID],E190,tblRegistros[Data],B190,tblRegistros[Início],"&lt;"&amp;I190)+COUNTIFS($E$5:E190,E190,$B$5:B190,B190,$I$5:I190,I190))</f>
        <v>100100019</v>
      </c>
    </row>
    <row r="191" spans="1:20">
      <c r="A191" t="s">
        <v>283</v>
      </c>
      <c r="B191" s="2">
        <f>IFERROR(INT(INDEX(tblBatidas[Data e hora],MATCH("B"&amp;MID($A191,2,99),tblBatidas[Batida ID],0))),"")</f>
        <v>46270</v>
      </c>
      <c r="C191" t="str">
        <f t="shared" si="8"/>
        <v>SÁBADO</v>
      </c>
      <c r="D191" t="str">
        <f t="shared" si="9"/>
        <v>FDS/FERIADO</v>
      </c>
      <c r="E191">
        <f>IFERROR(INDEX(tblBatidas[ID],MATCH("B"&amp;MID($A191,2,99),tblBatidas[Batida ID],0)),"")</f>
        <v>1012</v>
      </c>
      <c r="F191" t="str">
        <f>IFERROR(INDEX(tblPessoas[Pessoa],MATCH(E191,tblPessoas[ID],0)),"")</f>
        <v>Nelma Lucia dos S. B. Brandão</v>
      </c>
      <c r="G191" t="str">
        <f>IFERROR(INDEX(tblBatidas[Projeto],MATCH("B"&amp;MID($A191,2,99),tblBatidas[Batida ID],0)),"")</f>
        <v>OTEMPO</v>
      </c>
      <c r="H191" t="str">
        <f>IFERROR(INDEX(tblBatidas[Atividade],MATCH("B"&amp;MID($A191,2,99),tblBatidas[Batida ID],0)),"")</f>
        <v>SUPERVISÃO</v>
      </c>
      <c r="I191" s="4">
        <f>IFERROR(MOD(INDEX(tblBatidas[Data e hora],MATCH("B"&amp;MID($A191,2,99),tblBatidas[Batida ID],0)),1),"")</f>
        <v>0.39351851851824904</v>
      </c>
      <c r="J191" s="4">
        <f>IFERROR(MOD(INDEX(tblBatidas[Data e hora],MATCH("B"&amp;MID($A191,2,99),tblBatidas[Início vinculado],0)),1),"")</f>
        <v>0.55545138888555812</v>
      </c>
      <c r="K191" s="14">
        <f>IFERROR((INDEX(tblBatidas[Data e hora],MATCH("B"&amp;MID($A191,2,99),tblBatidas[Início vinculado],0))-INDEX(tblBatidas[Data e hora],MATCH("B"&amp;MID($A191,2,99),tblBatidas[Batida ID],0)))*24,"")</f>
        <v>3.8863888888154179</v>
      </c>
      <c r="L191" t="str">
        <f>IFERROR(INDEX(tblBatidas[Observação],MATCH("B"&amp;MID($A191,2,99),tblBatidas[Início vinculado],0)),"")</f>
        <v>Checagem</v>
      </c>
      <c r="M191" t="str">
        <f>IFERROR(INDEX(tblPessoas[Base],MATCH(E191,tblPessoas[ID],0)),"")</f>
        <v>Diária</v>
      </c>
      <c r="N191" s="3">
        <f>IFERROR(IF(D191="DIA ÚTIL",INDEX(tblPessoas[R$/h útil],MATCH(E191,tblPessoas[ID],0)),INDEX(tblPessoas[R$/h FDS],MATCH(E191,tblPessoas[ID],0))),0)</f>
        <v>0</v>
      </c>
      <c r="O191" s="3">
        <f>IFERROR(INDEX(tblPessoas[R$/diária],MATCH(E191,tblPessoas[ID],0)),0)</f>
        <v>222.72</v>
      </c>
      <c r="P191" s="3">
        <f t="shared" si="10"/>
        <v>222.72</v>
      </c>
      <c r="Q191" t="str">
        <f>IF(A191="","",IF(COUNTIF(tblBatidas[Início vinculado],"B"&amp;MID($A191,2,99))=0,"EM ABERTO",IF(OR(COUNTIF(tblBatidas[Início vinculado],"B"&amp;MID($A191,2,99))&gt;1,K191&lt;0,K191&gt;16,INT(INDEX(tblBatidas[Data e hora],MATCH("B"&amp;MID($A191,2,99),tblBatidas[Início vinculado],0)))&lt;&gt;B191,INDEX(tblBatidas[ID],MATCH("B"&amp;MID($A191,2,99),tblBatidas[Início vinculado],0))&lt;&gt;E191,INDEX(tblBatidas[Projeto],MATCH("B"&amp;MID($A191,2,99),tblBatidas[Início vinculado],0))&lt;&gt;G191,INDEX(tblBatidas[Atividade],MATCH("B"&amp;MID($A191,2,99),tblBatidas[Início vinculado],0))&lt;&gt;H191),"REVISAR","CONCLUÍDO")))</f>
        <v>CONCLUÍDO</v>
      </c>
      <c r="R191">
        <f>IF(Q191&lt;&gt;"CONCLUÍDO",0,IF(COUNTIFS($E$5:E191,E191,$B$5:B191,B191,$Q$5:Q191,"CONCLUÍDO")=1,1,0))</f>
        <v>1</v>
      </c>
      <c r="S191" t="str">
        <f t="shared" si="11"/>
        <v>yyyy-09</v>
      </c>
      <c r="T191">
        <f>IF(E191="","",E191*100000+COUNTIFS(tblRegistros[ID],E191,tblRegistros[Data],"&lt;"&amp;B191)+COUNTIFS(tblRegistros[ID],E191,tblRegistros[Data],B191,tblRegistros[Início],"&lt;"&amp;I191)+COUNTIFS($E$5:E191,E191,$B$5:B191,B191,$I$5:I191,I191))</f>
        <v>101200025</v>
      </c>
    </row>
    <row r="192" spans="1:20">
      <c r="A192" t="s">
        <v>284</v>
      </c>
      <c r="B192" s="2">
        <f>IFERROR(INT(INDEX(tblBatidas[Data e hora],MATCH("B"&amp;MID($A192,2,99),tblBatidas[Batida ID],0))),"")</f>
        <v>46270</v>
      </c>
      <c r="C192" t="str">
        <f t="shared" si="8"/>
        <v>SÁBADO</v>
      </c>
      <c r="D192" t="str">
        <f t="shared" si="9"/>
        <v>FDS/FERIADO</v>
      </c>
      <c r="E192">
        <f>IFERROR(INDEX(tblBatidas[ID],MATCH("B"&amp;MID($A192,2,99),tblBatidas[Batida ID],0)),"")</f>
        <v>1016</v>
      </c>
      <c r="F192" t="str">
        <f>IFERROR(INDEX(tblPessoas[Pessoa],MATCH(E192,tblPessoas[ID],0)),"")</f>
        <v>Ana Luisa Nardin</v>
      </c>
      <c r="G192" t="str">
        <f>IFERROR(INDEX(tblBatidas[Projeto],MATCH("B"&amp;MID($A192,2,99),tblBatidas[Batida ID],0)),"")</f>
        <v>CFI / ACCION</v>
      </c>
      <c r="H192" t="str">
        <f>IFERROR(INDEX(tblBatidas[Atividade],MATCH("B"&amp;MID($A192,2,99),tblBatidas[Batida ID],0)),"")</f>
        <v>ANÁLISE</v>
      </c>
      <c r="I192" s="4">
        <f>IFERROR(MOD(INDEX(tblBatidas[Data e hora],MATCH("B"&amp;MID($A192,2,99),tblBatidas[Batida ID],0)),1),"")</f>
        <v>0.52413194444670808</v>
      </c>
      <c r="J192" s="4" t="str">
        <f>IFERROR(MOD(INDEX(tblBatidas[Data e hora],MATCH("B"&amp;MID($A192,2,99),tblBatidas[Início vinculado],0)),1),"")</f>
        <v/>
      </c>
      <c r="K192" s="14" t="str">
        <f>IFERROR((INDEX(tblBatidas[Data e hora],MATCH("B"&amp;MID($A192,2,99),tblBatidas[Início vinculado],0))-INDEX(tblBatidas[Data e hora],MATCH("B"&amp;MID($A192,2,99),tblBatidas[Batida ID],0)))*24,"")</f>
        <v/>
      </c>
      <c r="L192" t="str">
        <f>IFERROR(INDEX(tblBatidas[Observação],MATCH("B"&amp;MID($A192,2,99),tblBatidas[Início vinculado],0)),"")</f>
        <v/>
      </c>
      <c r="M192" t="str">
        <f>IFERROR(INDEX(tblPessoas[Base],MATCH(E192,tblPessoas[ID],0)),"")</f>
        <v>Hora</v>
      </c>
      <c r="N192" s="3">
        <f>IFERROR(IF(D192="DIA ÚTIL",INDEX(tblPessoas[R$/h útil],MATCH(E192,tblPessoas[ID],0)),INDEX(tblPessoas[R$/h FDS],MATCH(E192,tblPessoas[ID],0))),0)</f>
        <v>23.5</v>
      </c>
      <c r="O192" s="3">
        <f>IFERROR(INDEX(tblPessoas[R$/diária],MATCH(E192,tblPessoas[ID],0)),0)</f>
        <v>0</v>
      </c>
      <c r="P192" s="3" t="str">
        <f t="shared" si="10"/>
        <v/>
      </c>
      <c r="Q192" t="str">
        <f>IF(A192="","",IF(COUNTIF(tblBatidas[Início vinculado],"B"&amp;MID($A192,2,99))=0,"EM ABERTO",IF(OR(COUNTIF(tblBatidas[Início vinculado],"B"&amp;MID($A192,2,99))&gt;1,K192&lt;0,K192&gt;16,INT(INDEX(tblBatidas[Data e hora],MATCH("B"&amp;MID($A192,2,99),tblBatidas[Início vinculado],0)))&lt;&gt;B192,INDEX(tblBatidas[ID],MATCH("B"&amp;MID($A192,2,99),tblBatidas[Início vinculado],0))&lt;&gt;E192,INDEX(tblBatidas[Projeto],MATCH("B"&amp;MID($A192,2,99),tblBatidas[Início vinculado],0))&lt;&gt;G192,INDEX(tblBatidas[Atividade],MATCH("B"&amp;MID($A192,2,99),tblBatidas[Início vinculado],0))&lt;&gt;H192),"REVISAR","CONCLUÍDO")))</f>
        <v>EM ABERTO</v>
      </c>
      <c r="R192">
        <f>IF(Q192&lt;&gt;"CONCLUÍDO",0,IF(COUNTIFS($E$5:E192,E192,$B$5:B192,B192,$Q$5:Q192,"CONCLUÍDO")=1,1,0))</f>
        <v>0</v>
      </c>
      <c r="S192" t="str">
        <f t="shared" si="11"/>
        <v>yyyy-09</v>
      </c>
      <c r="T192">
        <f>IF(E192="","",E192*100000+COUNTIFS(tblRegistros[ID],E192,tblRegistros[Data],"&lt;"&amp;B192)+COUNTIFS(tblRegistros[ID],E192,tblRegistros[Data],B192,tblRegistros[Início],"&lt;"&amp;I192)+COUNTIFS($E$5:E192,E192,$B$5:B192,B192,$I$5:I192,I192))</f>
        <v>101600022</v>
      </c>
    </row>
    <row r="193" spans="1:20">
      <c r="A193" t="s">
        <v>285</v>
      </c>
      <c r="B193" s="2">
        <f>IFERROR(INT(INDEX(tblBatidas[Data e hora],MATCH("B"&amp;MID($A193,2,99),tblBatidas[Batida ID],0))),"")</f>
        <v>46270</v>
      </c>
      <c r="C193" t="str">
        <f t="shared" si="8"/>
        <v>SÁBADO</v>
      </c>
      <c r="D193" t="str">
        <f t="shared" si="9"/>
        <v>FDS/FERIADO</v>
      </c>
      <c r="E193">
        <f>IFERROR(INDEX(tblBatidas[ID],MATCH("B"&amp;MID($A193,2,99),tblBatidas[Batida ID],0)),"")</f>
        <v>1013</v>
      </c>
      <c r="F193" t="str">
        <f>IFERROR(INDEX(tblPessoas[Pessoa],MATCH(E193,tblPessoas[ID],0)),"")</f>
        <v>Rafaela Maria Resende Lara</v>
      </c>
      <c r="G193" t="str">
        <f>IFERROR(INDEX(tblBatidas[Projeto],MATCH("B"&amp;MID($A193,2,99),tblBatidas[Batida ID],0)),"")</f>
        <v>TOOLKIT</v>
      </c>
      <c r="H193" t="str">
        <f>IFERROR(INDEX(tblBatidas[Atividade],MATCH("B"&amp;MID($A193,2,99),tblBatidas[Batida ID],0)),"")</f>
        <v>ANÁLISE</v>
      </c>
      <c r="I193" s="4">
        <f>IFERROR(MOD(INDEX(tblBatidas[Data e hora],MATCH("B"&amp;MID($A193,2,99),tblBatidas[Batida ID],0)),1),"")</f>
        <v>0.54986111111065838</v>
      </c>
      <c r="J193" s="4">
        <f>IFERROR(MOD(INDEX(tblBatidas[Data e hora],MATCH("B"&amp;MID($A193,2,99),tblBatidas[Início vinculado],0)),1),"")</f>
        <v>0.75023148148466134</v>
      </c>
      <c r="K193" s="14">
        <f>IFERROR((INDEX(tblBatidas[Data e hora],MATCH("B"&amp;MID($A193,2,99),tblBatidas[Início vinculado],0))-INDEX(tblBatidas[Data e hora],MATCH("B"&amp;MID($A193,2,99),tblBatidas[Batida ID],0)))*24,"")</f>
        <v>4.808888888976071</v>
      </c>
      <c r="L193">
        <f>IFERROR(INDEX(tblBatidas[Observação],MATCH("B"&amp;MID($A193,2,99),tblBatidas[Início vinculado],0)),"")</f>
        <v>0</v>
      </c>
      <c r="M193" t="str">
        <f>IFERROR(INDEX(tblPessoas[Base],MATCH(E193,tblPessoas[ID],0)),"")</f>
        <v>Hora</v>
      </c>
      <c r="N193" s="3">
        <f>IFERROR(IF(D193="DIA ÚTIL",INDEX(tblPessoas[R$/h útil],MATCH(E193,tblPessoas[ID],0)),INDEX(tblPessoas[R$/h FDS],MATCH(E193,tblPessoas[ID],0))),0)</f>
        <v>23.5</v>
      </c>
      <c r="O193" s="3">
        <f>IFERROR(INDEX(tblPessoas[R$/diária],MATCH(E193,tblPessoas[ID],0)),0)</f>
        <v>0</v>
      </c>
      <c r="P193" s="3">
        <f t="shared" si="10"/>
        <v>113.00888889093767</v>
      </c>
      <c r="Q193" t="str">
        <f>IF(A193="","",IF(COUNTIF(tblBatidas[Início vinculado],"B"&amp;MID($A193,2,99))=0,"EM ABERTO",IF(OR(COUNTIF(tblBatidas[Início vinculado],"B"&amp;MID($A193,2,99))&gt;1,K193&lt;0,K193&gt;16,INT(INDEX(tblBatidas[Data e hora],MATCH("B"&amp;MID($A193,2,99),tblBatidas[Início vinculado],0)))&lt;&gt;B193,INDEX(tblBatidas[ID],MATCH("B"&amp;MID($A193,2,99),tblBatidas[Início vinculado],0))&lt;&gt;E193,INDEX(tblBatidas[Projeto],MATCH("B"&amp;MID($A193,2,99),tblBatidas[Início vinculado],0))&lt;&gt;G193,INDEX(tblBatidas[Atividade],MATCH("B"&amp;MID($A193,2,99),tblBatidas[Início vinculado],0))&lt;&gt;H193),"REVISAR","CONCLUÍDO")))</f>
        <v>CONCLUÍDO</v>
      </c>
      <c r="R193">
        <f>IF(Q193&lt;&gt;"CONCLUÍDO",0,IF(COUNTIFS($E$5:E193,E193,$B$5:B193,B193,$Q$5:Q193,"CONCLUÍDO")=1,1,0))</f>
        <v>0</v>
      </c>
      <c r="S193" t="str">
        <f t="shared" si="11"/>
        <v>yyyy-09</v>
      </c>
      <c r="T193">
        <f>IF(E193="","",E193*100000+COUNTIFS(tblRegistros[ID],E193,tblRegistros[Data],"&lt;"&amp;B193)+COUNTIFS(tblRegistros[ID],E193,tblRegistros[Data],B193,tblRegistros[Início],"&lt;"&amp;I193)+COUNTIFS($E$5:E193,E193,$B$5:B193,B193,$I$5:I193,I193))</f>
        <v>101300017</v>
      </c>
    </row>
    <row r="194" spans="1:20">
      <c r="A194" t="s">
        <v>286</v>
      </c>
      <c r="B194" s="2">
        <f>IFERROR(INT(INDEX(tblBatidas[Data e hora],MATCH("B"&amp;MID($A194,2,99),tblBatidas[Batida ID],0))),"")</f>
        <v>46270</v>
      </c>
      <c r="C194" t="str">
        <f t="shared" si="8"/>
        <v>SÁBADO</v>
      </c>
      <c r="D194" t="str">
        <f t="shared" si="9"/>
        <v>FDS/FERIADO</v>
      </c>
      <c r="E194">
        <f>IFERROR(INDEX(tblBatidas[ID],MATCH("B"&amp;MID($A194,2,99),tblBatidas[Batida ID],0)),"")</f>
        <v>1012</v>
      </c>
      <c r="F194" t="str">
        <f>IFERROR(INDEX(tblPessoas[Pessoa],MATCH(E194,tblPessoas[ID],0)),"")</f>
        <v>Nelma Lucia dos S. B. Brandão</v>
      </c>
      <c r="G194" t="str">
        <f>IFERROR(INDEX(tblBatidas[Projeto],MATCH("B"&amp;MID($A194,2,99),tblBatidas[Batida ID],0)),"")</f>
        <v>OTEMPO</v>
      </c>
      <c r="H194" t="str">
        <f>IFERROR(INDEX(tblBatidas[Atividade],MATCH("B"&amp;MID($A194,2,99),tblBatidas[Batida ID],0)),"")</f>
        <v>SUPERVISÃO</v>
      </c>
      <c r="I194" s="4">
        <f>IFERROR(MOD(INDEX(tblBatidas[Data e hora],MATCH("B"&amp;MID($A194,2,99),tblBatidas[Batida ID],0)),1),"")</f>
        <v>0.59086805555853061</v>
      </c>
      <c r="J194" s="4">
        <f>IFERROR(MOD(INDEX(tblBatidas[Data e hora],MATCH("B"&amp;MID($A194,2,99),tblBatidas[Início vinculado],0)),1),"")</f>
        <v>0.75114583333197515</v>
      </c>
      <c r="K194" s="14">
        <f>IFERROR((INDEX(tblBatidas[Data e hora],MATCH("B"&amp;MID($A194,2,99),tblBatidas[Início vinculado],0))-INDEX(tblBatidas[Data e hora],MATCH("B"&amp;MID($A194,2,99),tblBatidas[Batida ID],0)))*24,"")</f>
        <v>3.846666666562669</v>
      </c>
      <c r="L194">
        <f>IFERROR(INDEX(tblBatidas[Observação],MATCH("B"&amp;MID($A194,2,99),tblBatidas[Início vinculado],0)),"")</f>
        <v>0</v>
      </c>
      <c r="M194" t="str">
        <f>IFERROR(INDEX(tblPessoas[Base],MATCH(E194,tblPessoas[ID],0)),"")</f>
        <v>Diária</v>
      </c>
      <c r="N194" s="3">
        <f>IFERROR(IF(D194="DIA ÚTIL",INDEX(tblPessoas[R$/h útil],MATCH(E194,tblPessoas[ID],0)),INDEX(tblPessoas[R$/h FDS],MATCH(E194,tblPessoas[ID],0))),0)</f>
        <v>0</v>
      </c>
      <c r="O194" s="3">
        <f>IFERROR(INDEX(tblPessoas[R$/diária],MATCH(E194,tblPessoas[ID],0)),0)</f>
        <v>222.72</v>
      </c>
      <c r="P194" s="3">
        <f t="shared" si="10"/>
        <v>0</v>
      </c>
      <c r="Q194" t="str">
        <f>IF(A194="","",IF(COUNTIF(tblBatidas[Início vinculado],"B"&amp;MID($A194,2,99))=0,"EM ABERTO",IF(OR(COUNTIF(tblBatidas[Início vinculado],"B"&amp;MID($A194,2,99))&gt;1,K194&lt;0,K194&gt;16,INT(INDEX(tblBatidas[Data e hora],MATCH("B"&amp;MID($A194,2,99),tblBatidas[Início vinculado],0)))&lt;&gt;B194,INDEX(tblBatidas[ID],MATCH("B"&amp;MID($A194,2,99),tblBatidas[Início vinculado],0))&lt;&gt;E194,INDEX(tblBatidas[Projeto],MATCH("B"&amp;MID($A194,2,99),tblBatidas[Início vinculado],0))&lt;&gt;G194,INDEX(tblBatidas[Atividade],MATCH("B"&amp;MID($A194,2,99),tblBatidas[Início vinculado],0))&lt;&gt;H194),"REVISAR","CONCLUÍDO")))</f>
        <v>CONCLUÍDO</v>
      </c>
      <c r="R194">
        <f>IF(Q194&lt;&gt;"CONCLUÍDO",0,IF(COUNTIFS($E$5:E194,E194,$B$5:B194,B194,$Q$5:Q194,"CONCLUÍDO")=1,1,0))</f>
        <v>0</v>
      </c>
      <c r="S194" t="str">
        <f t="shared" si="11"/>
        <v>yyyy-09</v>
      </c>
      <c r="T194">
        <f>IF(E194="","",E194*100000+COUNTIFS(tblRegistros[ID],E194,tblRegistros[Data],"&lt;"&amp;B194)+COUNTIFS(tblRegistros[ID],E194,tblRegistros[Data],B194,tblRegistros[Início],"&lt;"&amp;I194)+COUNTIFS($E$5:E194,E194,$B$5:B194,B194,$I$5:I194,I194))</f>
        <v>101200026</v>
      </c>
    </row>
    <row r="195" spans="1:20">
      <c r="A195" t="s">
        <v>287</v>
      </c>
      <c r="B195" s="2">
        <f>IFERROR(INT(INDEX(tblBatidas[Data e hora],MATCH("B"&amp;MID($A195,2,99),tblBatidas[Batida ID],0))),"")</f>
        <v>46270</v>
      </c>
      <c r="C195" t="str">
        <f t="shared" si="8"/>
        <v>SÁBADO</v>
      </c>
      <c r="D195" t="str">
        <f t="shared" si="9"/>
        <v>FDS/FERIADO</v>
      </c>
      <c r="E195">
        <f>IFERROR(INDEX(tblBatidas[ID],MATCH("B"&amp;MID($A195,2,99),tblBatidas[Batida ID],0)),"")</f>
        <v>1003</v>
      </c>
      <c r="F195" t="str">
        <f>IFERROR(INDEX(tblPessoas[Pessoa],MATCH(E195,tblPessoas[ID],0)),"")</f>
        <v>Amanda do Carmo Ribeiro</v>
      </c>
      <c r="G195" t="str">
        <f>IFERROR(INDEX(tblBatidas[Projeto],MATCH("B"&amp;MID($A195,2,99),tblBatidas[Batida ID],0)),"")</f>
        <v>TOOLKIT</v>
      </c>
      <c r="H195" t="str">
        <f>IFERROR(INDEX(tblBatidas[Atividade],MATCH("B"&amp;MID($A195,2,99),tblBatidas[Batida ID],0)),"")</f>
        <v>ANÁLISE</v>
      </c>
      <c r="I195" s="4">
        <f>IFERROR(MOD(INDEX(tblBatidas[Data e hora],MATCH("B"&amp;MID($A195,2,99),tblBatidas[Batida ID],0)),1),"")</f>
        <v>0.60495370370335877</v>
      </c>
      <c r="J195" s="4">
        <f>IFERROR(MOD(INDEX(tblBatidas[Data e hora],MATCH("B"&amp;MID($A195,2,99),tblBatidas[Início vinculado],0)),1),"")</f>
        <v>0.78326388888672227</v>
      </c>
      <c r="K195" s="14">
        <f>IFERROR((INDEX(tblBatidas[Data e hora],MATCH("B"&amp;MID($A195,2,99),tblBatidas[Início vinculado],0))-INDEX(tblBatidas[Data e hora],MATCH("B"&amp;MID($A195,2,99),tblBatidas[Batida ID],0)))*24,"")</f>
        <v>4.279444444400724</v>
      </c>
      <c r="L195">
        <f>IFERROR(INDEX(tblBatidas[Observação],MATCH("B"&amp;MID($A195,2,99),tblBatidas[Início vinculado],0)),"")</f>
        <v>0</v>
      </c>
      <c r="M195" t="str">
        <f>IFERROR(INDEX(tblPessoas[Base],MATCH(E195,tblPessoas[ID],0)),"")</f>
        <v>Hora</v>
      </c>
      <c r="N195" s="3">
        <f>IFERROR(IF(D195="DIA ÚTIL",INDEX(tblPessoas[R$/h útil],MATCH(E195,tblPessoas[ID],0)),INDEX(tblPessoas[R$/h FDS],MATCH(E195,tblPessoas[ID],0))),0)</f>
        <v>23.5</v>
      </c>
      <c r="O195" s="3">
        <f>IFERROR(INDEX(tblPessoas[R$/diária],MATCH(E195,tblPessoas[ID],0)),0)</f>
        <v>0</v>
      </c>
      <c r="P195" s="3">
        <f t="shared" si="10"/>
        <v>100.56694444341701</v>
      </c>
      <c r="Q195" t="str">
        <f>IF(A195="","",IF(COUNTIF(tblBatidas[Início vinculado],"B"&amp;MID($A195,2,99))=0,"EM ABERTO",IF(OR(COUNTIF(tblBatidas[Início vinculado],"B"&amp;MID($A195,2,99))&gt;1,K195&lt;0,K195&gt;16,INT(INDEX(tblBatidas[Data e hora],MATCH("B"&amp;MID($A195,2,99),tblBatidas[Início vinculado],0)))&lt;&gt;B195,INDEX(tblBatidas[ID],MATCH("B"&amp;MID($A195,2,99),tblBatidas[Início vinculado],0))&lt;&gt;E195,INDEX(tblBatidas[Projeto],MATCH("B"&amp;MID($A195,2,99),tblBatidas[Início vinculado],0))&lt;&gt;G195,INDEX(tblBatidas[Atividade],MATCH("B"&amp;MID($A195,2,99),tblBatidas[Início vinculado],0))&lt;&gt;H195),"REVISAR","CONCLUÍDO")))</f>
        <v>CONCLUÍDO</v>
      </c>
      <c r="R195">
        <f>IF(Q195&lt;&gt;"CONCLUÍDO",0,IF(COUNTIFS($E$5:E195,E195,$B$5:B195,B195,$Q$5:Q195,"CONCLUÍDO")=1,1,0))</f>
        <v>0</v>
      </c>
      <c r="S195" t="str">
        <f t="shared" si="11"/>
        <v>yyyy-09</v>
      </c>
      <c r="T195">
        <f>IF(E195="","",E195*100000+COUNTIFS(tblRegistros[ID],E195,tblRegistros[Data],"&lt;"&amp;B195)+COUNTIFS(tblRegistros[ID],E195,tblRegistros[Data],B195,tblRegistros[Início],"&lt;"&amp;I195)+COUNTIFS($E$5:E195,E195,$B$5:B195,B195,$I$5:I195,I195))</f>
        <v>100300017</v>
      </c>
    </row>
    <row r="196" spans="1:20">
      <c r="A196" t="s">
        <v>288</v>
      </c>
      <c r="B196" s="2">
        <f>IFERROR(INT(INDEX(tblBatidas[Data e hora],MATCH("B"&amp;MID($A196,2,99),tblBatidas[Batida ID],0))),"")</f>
        <v>46270</v>
      </c>
      <c r="C196" t="str">
        <f t="shared" si="8"/>
        <v>SÁBADO</v>
      </c>
      <c r="D196" t="str">
        <f t="shared" si="9"/>
        <v>FDS/FERIADO</v>
      </c>
      <c r="E196">
        <f>IFERROR(INDEX(tblBatidas[ID],MATCH("B"&amp;MID($A196,2,99),tblBatidas[Batida ID],0)),"")</f>
        <v>1001</v>
      </c>
      <c r="F196" t="str">
        <f>IFERROR(INDEX(tblPessoas[Pessoa],MATCH(E196,tblPessoas[ID],0)),"")</f>
        <v>Adriana Pereira dos Santos</v>
      </c>
      <c r="G196" t="str">
        <f>IFERROR(INDEX(tblBatidas[Projeto],MATCH("B"&amp;MID($A196,2,99),tblBatidas[Batida ID],0)),"")</f>
        <v>SICOOB CREDICOM</v>
      </c>
      <c r="H196" t="str">
        <f>IFERROR(INDEX(tblBatidas[Atividade],MATCH("B"&amp;MID($A196,2,99),tblBatidas[Batida ID],0)),"")</f>
        <v>SUPERVISÃO</v>
      </c>
      <c r="I196" s="4">
        <f>IFERROR(MOD(INDEX(tblBatidas[Data e hora],MATCH("B"&amp;MID($A196,2,99),tblBatidas[Batida ID],0)),1),"")</f>
        <v>0.66704861111065838</v>
      </c>
      <c r="J196" s="4">
        <f>IFERROR(MOD(INDEX(tblBatidas[Data e hora],MATCH("B"&amp;MID($A196,2,99),tblBatidas[Início vinculado],0)),1),"")</f>
        <v>0.7800810185217415</v>
      </c>
      <c r="K196" s="14">
        <f>IFERROR((INDEX(tblBatidas[Data e hora],MATCH("B"&amp;MID($A196,2,99),tblBatidas[Início vinculado],0))-INDEX(tblBatidas[Data e hora],MATCH("B"&amp;MID($A196,2,99),tblBatidas[Batida ID],0)))*24,"")</f>
        <v>2.7127777778659947</v>
      </c>
      <c r="L196">
        <f>IFERROR(INDEX(tblBatidas[Observação],MATCH("B"&amp;MID($A196,2,99),tblBatidas[Início vinculado],0)),"")</f>
        <v>0</v>
      </c>
      <c r="M196" t="str">
        <f>IFERROR(INDEX(tblPessoas[Base],MATCH(E196,tblPessoas[ID],0)),"")</f>
        <v>Hora</v>
      </c>
      <c r="N196" s="3">
        <f>IFERROR(IF(D196="DIA ÚTIL",INDEX(tblPessoas[R$/h útil],MATCH(E196,tblPessoas[ID],0)),INDEX(tblPessoas[R$/h FDS],MATCH(E196,tblPessoas[ID],0))),0)</f>
        <v>20</v>
      </c>
      <c r="O196" s="3">
        <f>IFERROR(INDEX(tblPessoas[R$/diária],MATCH(E196,tblPessoas[ID],0)),0)</f>
        <v>0</v>
      </c>
      <c r="P196" s="3">
        <f t="shared" si="10"/>
        <v>54.255555557319894</v>
      </c>
      <c r="Q196" t="str">
        <f>IF(A196="","",IF(COUNTIF(tblBatidas[Início vinculado],"B"&amp;MID($A196,2,99))=0,"EM ABERTO",IF(OR(COUNTIF(tblBatidas[Início vinculado],"B"&amp;MID($A196,2,99))&gt;1,K196&lt;0,K196&gt;16,INT(INDEX(tblBatidas[Data e hora],MATCH("B"&amp;MID($A196,2,99),tblBatidas[Início vinculado],0)))&lt;&gt;B196,INDEX(tblBatidas[ID],MATCH("B"&amp;MID($A196,2,99),tblBatidas[Início vinculado],0))&lt;&gt;E196,INDEX(tblBatidas[Projeto],MATCH("B"&amp;MID($A196,2,99),tblBatidas[Início vinculado],0))&lt;&gt;G196,INDEX(tblBatidas[Atividade],MATCH("B"&amp;MID($A196,2,99),tblBatidas[Início vinculado],0))&lt;&gt;H196),"REVISAR","CONCLUÍDO")))</f>
        <v>CONCLUÍDO</v>
      </c>
      <c r="R196">
        <f>IF(Q196&lt;&gt;"CONCLUÍDO",0,IF(COUNTIFS($E$5:E196,E196,$B$5:B196,B196,$Q$5:Q196,"CONCLUÍDO")=1,1,0))</f>
        <v>0</v>
      </c>
      <c r="S196" t="str">
        <f t="shared" si="11"/>
        <v>yyyy-09</v>
      </c>
      <c r="T196">
        <f>IF(E196="","",E196*100000+COUNTIFS(tblRegistros[ID],E196,tblRegistros[Data],"&lt;"&amp;B196)+COUNTIFS(tblRegistros[ID],E196,tblRegistros[Data],B196,tblRegistros[Início],"&lt;"&amp;I196)+COUNTIFS($E$5:E196,E196,$B$5:B196,B196,$I$5:I196,I196))</f>
        <v>100100020</v>
      </c>
    </row>
    <row r="197" spans="1:20">
      <c r="A197" t="s">
        <v>289</v>
      </c>
      <c r="B197" s="2">
        <f>IFERROR(INT(INDEX(tblBatidas[Data e hora],MATCH("B"&amp;MID($A197,2,99),tblBatidas[Batida ID],0))),"")</f>
        <v>46271</v>
      </c>
      <c r="C197" t="str">
        <f t="shared" ref="C197:C260" si="12">IF(B197="","",CHOOSE(WEEKDAY(B197,2),"SEGUNDA-FEIRA","TERÇA-FEIRA","QUARTA-FEIRA","QUINTA-FEIRA","SEXTA-FEIRA","SÁBADO","DOMINGO"))</f>
        <v>DOMINGO</v>
      </c>
      <c r="D197" t="str">
        <f t="shared" ref="D197:D260" si="13">IF(B197="","",IF(WEEKDAY(B197,2)&gt;5,"FDS/FERIADO","DIA ÚTIL"))</f>
        <v>FDS/FERIADO</v>
      </c>
      <c r="E197">
        <f>IFERROR(INDEX(tblBatidas[ID],MATCH("B"&amp;MID($A197,2,99),tblBatidas[Batida ID],0)),"")</f>
        <v>1001</v>
      </c>
      <c r="F197" t="str">
        <f>IFERROR(INDEX(tblPessoas[Pessoa],MATCH(E197,tblPessoas[ID],0)),"")</f>
        <v>Adriana Pereira dos Santos</v>
      </c>
      <c r="G197" t="str">
        <f>IFERROR(INDEX(tblBatidas[Projeto],MATCH("B"&amp;MID($A197,2,99),tblBatidas[Batida ID],0)),"")</f>
        <v>SICOOB CREDICOM</v>
      </c>
      <c r="H197" t="str">
        <f>IFERROR(INDEX(tblBatidas[Atividade],MATCH("B"&amp;MID($A197,2,99),tblBatidas[Batida ID],0)),"")</f>
        <v>SUPERVISÃO</v>
      </c>
      <c r="I197" s="4">
        <f>IFERROR(MOD(INDEX(tblBatidas[Data e hora],MATCH("B"&amp;MID($A197,2,99),tblBatidas[Batida ID],0)),1),"")</f>
        <v>0.34706018518772908</v>
      </c>
      <c r="J197" s="4" t="str">
        <f>IFERROR(MOD(INDEX(tblBatidas[Data e hora],MATCH("B"&amp;MID($A197,2,99),tblBatidas[Início vinculado],0)),1),"")</f>
        <v/>
      </c>
      <c r="K197" s="14" t="str">
        <f>IFERROR((INDEX(tblBatidas[Data e hora],MATCH("B"&amp;MID($A197,2,99),tblBatidas[Início vinculado],0))-INDEX(tblBatidas[Data e hora],MATCH("B"&amp;MID($A197,2,99),tblBatidas[Batida ID],0)))*24,"")</f>
        <v/>
      </c>
      <c r="L197" t="str">
        <f>IFERROR(INDEX(tblBatidas[Observação],MATCH("B"&amp;MID($A197,2,99),tblBatidas[Início vinculado],0)),"")</f>
        <v/>
      </c>
      <c r="M197" t="str">
        <f>IFERROR(INDEX(tblPessoas[Base],MATCH(E197,tblPessoas[ID],0)),"")</f>
        <v>Hora</v>
      </c>
      <c r="N197" s="3">
        <f>IFERROR(IF(D197="DIA ÚTIL",INDEX(tblPessoas[R$/h útil],MATCH(E197,tblPessoas[ID],0)),INDEX(tblPessoas[R$/h FDS],MATCH(E197,tblPessoas[ID],0))),0)</f>
        <v>20</v>
      </c>
      <c r="O197" s="3">
        <f>IFERROR(INDEX(tblPessoas[R$/diária],MATCH(E197,tblPessoas[ID],0)),0)</f>
        <v>0</v>
      </c>
      <c r="P197" s="3" t="str">
        <f t="shared" ref="P197:P260" si="14">IF(Q197&lt;&gt;"CONCLUÍDO","",IF(M197="Diária",O197*R197,K197*N197))</f>
        <v/>
      </c>
      <c r="Q197" t="str">
        <f>IF(A197="","",IF(COUNTIF(tblBatidas[Início vinculado],"B"&amp;MID($A197,2,99))=0,"EM ABERTO",IF(OR(COUNTIF(tblBatidas[Início vinculado],"B"&amp;MID($A197,2,99))&gt;1,K197&lt;0,K197&gt;16,INT(INDEX(tblBatidas[Data e hora],MATCH("B"&amp;MID($A197,2,99),tblBatidas[Início vinculado],0)))&lt;&gt;B197,INDEX(tblBatidas[ID],MATCH("B"&amp;MID($A197,2,99),tblBatidas[Início vinculado],0))&lt;&gt;E197,INDEX(tblBatidas[Projeto],MATCH("B"&amp;MID($A197,2,99),tblBatidas[Início vinculado],0))&lt;&gt;G197,INDEX(tblBatidas[Atividade],MATCH("B"&amp;MID($A197,2,99),tblBatidas[Início vinculado],0))&lt;&gt;H197),"REVISAR","CONCLUÍDO")))</f>
        <v>EM ABERTO</v>
      </c>
      <c r="R197">
        <f>IF(Q197&lt;&gt;"CONCLUÍDO",0,IF(COUNTIFS($E$5:E197,E197,$B$5:B197,B197,$Q$5:Q197,"CONCLUÍDO")=1,1,0))</f>
        <v>0</v>
      </c>
      <c r="S197" t="str">
        <f t="shared" ref="S197:S260" si="15">IF(B197="","",TEXT(B197,"yyyy-mm"))</f>
        <v>yyyy-09</v>
      </c>
      <c r="T197">
        <f>IF(E197="","",E197*100000+COUNTIFS(tblRegistros[ID],E197,tblRegistros[Data],"&lt;"&amp;B197)+COUNTIFS(tblRegistros[ID],E197,tblRegistros[Data],B197,tblRegistros[Início],"&lt;"&amp;I197)+COUNTIFS($E$5:E197,E197,$B$5:B197,B197,$I$5:I197,I197))</f>
        <v>100100021</v>
      </c>
    </row>
    <row r="198" spans="1:20">
      <c r="A198" t="s">
        <v>290</v>
      </c>
      <c r="B198" s="2">
        <f>IFERROR(INT(INDEX(tblBatidas[Data e hora],MATCH("B"&amp;MID($A198,2,99),tblBatidas[Batida ID],0))),"")</f>
        <v>46271</v>
      </c>
      <c r="C198" t="str">
        <f t="shared" si="12"/>
        <v>DOMINGO</v>
      </c>
      <c r="D198" t="str">
        <f t="shared" si="13"/>
        <v>FDS/FERIADO</v>
      </c>
      <c r="E198">
        <f>IFERROR(INDEX(tblBatidas[ID],MATCH("B"&amp;MID($A198,2,99),tblBatidas[Batida ID],0)),"")</f>
        <v>1011</v>
      </c>
      <c r="F198" t="str">
        <f>IFERROR(INDEX(tblPessoas[Pessoa],MATCH(E198,tblPessoas[ID],0)),"")</f>
        <v>Nathalia Arruda</v>
      </c>
      <c r="G198" t="str">
        <f>IFERROR(INDEX(tblBatidas[Projeto],MATCH("B"&amp;MID($A198,2,99),tblBatidas[Batida ID],0)),"")</f>
        <v>TOOLKIT</v>
      </c>
      <c r="H198" t="str">
        <f>IFERROR(INDEX(tblBatidas[Atividade],MATCH("B"&amp;MID($A198,2,99),tblBatidas[Batida ID],0)),"")</f>
        <v>ANÁLISE</v>
      </c>
      <c r="I198" s="4">
        <f>IFERROR(MOD(INDEX(tblBatidas[Data e hora],MATCH("B"&amp;MID($A198,2,99),tblBatidas[Batida ID],0)),1),"")</f>
        <v>0.34822916666598758</v>
      </c>
      <c r="J198" s="4">
        <f>IFERROR(MOD(INDEX(tblBatidas[Data e hora],MATCH("B"&amp;MID($A198,2,99),tblBatidas[Início vinculado],0)),1),"")</f>
        <v>0.66103009258949896</v>
      </c>
      <c r="K198" s="14">
        <f>IFERROR((INDEX(tblBatidas[Data e hora],MATCH("B"&amp;MID($A198,2,99),tblBatidas[Início vinculado],0))-INDEX(tblBatidas[Data e hora],MATCH("B"&amp;MID($A198,2,99),tblBatidas[Batida ID],0)))*24,"")</f>
        <v>7.5072222221642733</v>
      </c>
      <c r="L198">
        <f>IFERROR(INDEX(tblBatidas[Observação],MATCH("B"&amp;MID($A198,2,99),tblBatidas[Início vinculado],0)),"")</f>
        <v>0</v>
      </c>
      <c r="M198" t="str">
        <f>IFERROR(INDEX(tblPessoas[Base],MATCH(E198,tblPessoas[ID],0)),"")</f>
        <v>Hora</v>
      </c>
      <c r="N198" s="3">
        <f>IFERROR(IF(D198="DIA ÚTIL",INDEX(tblPessoas[R$/h útil],MATCH(E198,tblPessoas[ID],0)),INDEX(tblPessoas[R$/h FDS],MATCH(E198,tblPessoas[ID],0))),0)</f>
        <v>23.5</v>
      </c>
      <c r="O198" s="3">
        <f>IFERROR(INDEX(tblPessoas[R$/diária],MATCH(E198,tblPessoas[ID],0)),0)</f>
        <v>0</v>
      </c>
      <c r="P198" s="3">
        <f t="shared" si="14"/>
        <v>176.41972222086042</v>
      </c>
      <c r="Q198" t="str">
        <f>IF(A198="","",IF(COUNTIF(tblBatidas[Início vinculado],"B"&amp;MID($A198,2,99))=0,"EM ABERTO",IF(OR(COUNTIF(tblBatidas[Início vinculado],"B"&amp;MID($A198,2,99))&gt;1,K198&lt;0,K198&gt;16,INT(INDEX(tblBatidas[Data e hora],MATCH("B"&amp;MID($A198,2,99),tblBatidas[Início vinculado],0)))&lt;&gt;B198,INDEX(tblBatidas[ID],MATCH("B"&amp;MID($A198,2,99),tblBatidas[Início vinculado],0))&lt;&gt;E198,INDEX(tblBatidas[Projeto],MATCH("B"&amp;MID($A198,2,99),tblBatidas[Início vinculado],0))&lt;&gt;G198,INDEX(tblBatidas[Atividade],MATCH("B"&amp;MID($A198,2,99),tblBatidas[Início vinculado],0))&lt;&gt;H198),"REVISAR","CONCLUÍDO")))</f>
        <v>CONCLUÍDO</v>
      </c>
      <c r="R198">
        <f>IF(Q198&lt;&gt;"CONCLUÍDO",0,IF(COUNTIFS($E$5:E198,E198,$B$5:B198,B198,$Q$5:Q198,"CONCLUÍDO")=1,1,0))</f>
        <v>1</v>
      </c>
      <c r="S198" t="str">
        <f t="shared" si="15"/>
        <v>yyyy-09</v>
      </c>
      <c r="T198">
        <f>IF(E198="","",E198*100000+COUNTIFS(tblRegistros[ID],E198,tblRegistros[Data],"&lt;"&amp;B198)+COUNTIFS(tblRegistros[ID],E198,tblRegistros[Data],B198,tblRegistros[Início],"&lt;"&amp;I198)+COUNTIFS($E$5:E198,E198,$B$5:B198,B198,$I$5:I198,I198))</f>
        <v>101100014</v>
      </c>
    </row>
    <row r="199" spans="1:20">
      <c r="A199" t="s">
        <v>291</v>
      </c>
      <c r="B199" s="2">
        <f>IFERROR(INT(INDEX(tblBatidas[Data e hora],MATCH("B"&amp;MID($A199,2,99),tblBatidas[Batida ID],0))),"")</f>
        <v>46271</v>
      </c>
      <c r="C199" t="str">
        <f t="shared" si="12"/>
        <v>DOMINGO</v>
      </c>
      <c r="D199" t="str">
        <f t="shared" si="13"/>
        <v>FDS/FERIADO</v>
      </c>
      <c r="E199">
        <f>IFERROR(INDEX(tblBatidas[ID],MATCH("B"&amp;MID($A199,2,99),tblBatidas[Batida ID],0)),"")</f>
        <v>1003</v>
      </c>
      <c r="F199" t="str">
        <f>IFERROR(INDEX(tblPessoas[Pessoa],MATCH(E199,tblPessoas[ID],0)),"")</f>
        <v>Amanda do Carmo Ribeiro</v>
      </c>
      <c r="G199" t="str">
        <f>IFERROR(INDEX(tblBatidas[Projeto],MATCH("B"&amp;MID($A199,2,99),tblBatidas[Batida ID],0)),"")</f>
        <v>TOOLKIT</v>
      </c>
      <c r="H199" t="str">
        <f>IFERROR(INDEX(tblBatidas[Atividade],MATCH("B"&amp;MID($A199,2,99),tblBatidas[Batida ID],0)),"")</f>
        <v>ANÁLISE</v>
      </c>
      <c r="I199" s="4">
        <f>IFERROR(MOD(INDEX(tblBatidas[Data e hora],MATCH("B"&amp;MID($A199,2,99),tblBatidas[Batida ID],0)),1),"")</f>
        <v>0.34856481481256196</v>
      </c>
      <c r="J199" s="4">
        <f>IFERROR(MOD(INDEX(tblBatidas[Data e hora],MATCH("B"&amp;MID($A199,2,99),tblBatidas[Início vinculado],0)),1),"")</f>
        <v>0.48997685185167938</v>
      </c>
      <c r="K199" s="14">
        <f>IFERROR((INDEX(tblBatidas[Data e hora],MATCH("B"&amp;MID($A199,2,99),tblBatidas[Início vinculado],0))-INDEX(tblBatidas[Data e hora],MATCH("B"&amp;MID($A199,2,99),tblBatidas[Batida ID],0)))*24,"")</f>
        <v>3.3938888889388181</v>
      </c>
      <c r="L199">
        <f>IFERROR(INDEX(tblBatidas[Observação],MATCH("B"&amp;MID($A199,2,99),tblBatidas[Início vinculado],0)),"")</f>
        <v>0</v>
      </c>
      <c r="M199" t="str">
        <f>IFERROR(INDEX(tblPessoas[Base],MATCH(E199,tblPessoas[ID],0)),"")</f>
        <v>Hora</v>
      </c>
      <c r="N199" s="3">
        <f>IFERROR(IF(D199="DIA ÚTIL",INDEX(tblPessoas[R$/h útil],MATCH(E199,tblPessoas[ID],0)),INDEX(tblPessoas[R$/h FDS],MATCH(E199,tblPessoas[ID],0))),0)</f>
        <v>23.5</v>
      </c>
      <c r="O199" s="3">
        <f>IFERROR(INDEX(tblPessoas[R$/diária],MATCH(E199,tblPessoas[ID],0)),0)</f>
        <v>0</v>
      </c>
      <c r="P199" s="3">
        <f t="shared" si="14"/>
        <v>79.756388890062226</v>
      </c>
      <c r="Q199" t="str">
        <f>IF(A199="","",IF(COUNTIF(tblBatidas[Início vinculado],"B"&amp;MID($A199,2,99))=0,"EM ABERTO",IF(OR(COUNTIF(tblBatidas[Início vinculado],"B"&amp;MID($A199,2,99))&gt;1,K199&lt;0,K199&gt;16,INT(INDEX(tblBatidas[Data e hora],MATCH("B"&amp;MID($A199,2,99),tblBatidas[Início vinculado],0)))&lt;&gt;B199,INDEX(tblBatidas[ID],MATCH("B"&amp;MID($A199,2,99),tblBatidas[Início vinculado],0))&lt;&gt;E199,INDEX(tblBatidas[Projeto],MATCH("B"&amp;MID($A199,2,99),tblBatidas[Início vinculado],0))&lt;&gt;G199,INDEX(tblBatidas[Atividade],MATCH("B"&amp;MID($A199,2,99),tblBatidas[Início vinculado],0))&lt;&gt;H199),"REVISAR","CONCLUÍDO")))</f>
        <v>CONCLUÍDO</v>
      </c>
      <c r="R199">
        <f>IF(Q199&lt;&gt;"CONCLUÍDO",0,IF(COUNTIFS($E$5:E199,E199,$B$5:B199,B199,$Q$5:Q199,"CONCLUÍDO")=1,1,0))</f>
        <v>1</v>
      </c>
      <c r="S199" t="str">
        <f t="shared" si="15"/>
        <v>yyyy-09</v>
      </c>
      <c r="T199">
        <f>IF(E199="","",E199*100000+COUNTIFS(tblRegistros[ID],E199,tblRegistros[Data],"&lt;"&amp;B199)+COUNTIFS(tblRegistros[ID],E199,tblRegistros[Data],B199,tblRegistros[Início],"&lt;"&amp;I199)+COUNTIFS($E$5:E199,E199,$B$5:B199,B199,$I$5:I199,I199))</f>
        <v>100300018</v>
      </c>
    </row>
    <row r="200" spans="1:20">
      <c r="A200" t="s">
        <v>292</v>
      </c>
      <c r="B200" s="2">
        <f>IFERROR(INT(INDEX(tblBatidas[Data e hora],MATCH("B"&amp;MID($A200,2,99),tblBatidas[Batida ID],0))),"")</f>
        <v>46271</v>
      </c>
      <c r="C200" t="str">
        <f t="shared" si="12"/>
        <v>DOMINGO</v>
      </c>
      <c r="D200" t="str">
        <f t="shared" si="13"/>
        <v>FDS/FERIADO</v>
      </c>
      <c r="E200">
        <f>IFERROR(INDEX(tblBatidas[ID],MATCH("B"&amp;MID($A200,2,99),tblBatidas[Batida ID],0)),"")</f>
        <v>1013</v>
      </c>
      <c r="F200" t="str">
        <f>IFERROR(INDEX(tblPessoas[Pessoa],MATCH(E200,tblPessoas[ID],0)),"")</f>
        <v>Rafaela Maria Resende Lara</v>
      </c>
      <c r="G200" t="str">
        <f>IFERROR(INDEX(tblBatidas[Projeto],MATCH("B"&amp;MID($A200,2,99),tblBatidas[Batida ID],0)),"")</f>
        <v>TOOLKIT</v>
      </c>
      <c r="H200" t="str">
        <f>IFERROR(INDEX(tblBatidas[Atividade],MATCH("B"&amp;MID($A200,2,99),tblBatidas[Batida ID],0)),"")</f>
        <v>ANÁLISE</v>
      </c>
      <c r="I200" s="4">
        <f>IFERROR(MOD(INDEX(tblBatidas[Data e hora],MATCH("B"&amp;MID($A200,2,99),tblBatidas[Batida ID],0)),1),"")</f>
        <v>0.42065972222189885</v>
      </c>
      <c r="J200" s="4">
        <f>IFERROR(MOD(INDEX(tblBatidas[Data e hora],MATCH("B"&amp;MID($A200,2,99),tblBatidas[Início vinculado],0)),1),"")</f>
        <v>0.5142824074064265</v>
      </c>
      <c r="K200" s="14">
        <f>IFERROR((INDEX(tblBatidas[Data e hora],MATCH("B"&amp;MID($A200,2,99),tblBatidas[Início vinculado],0))-INDEX(tblBatidas[Data e hora],MATCH("B"&amp;MID($A200,2,99),tblBatidas[Batida ID],0)))*24,"")</f>
        <v>2.2469444444286637</v>
      </c>
      <c r="L200">
        <f>IFERROR(INDEX(tblBatidas[Observação],MATCH("B"&amp;MID($A200,2,99),tblBatidas[Início vinculado],0)),"")</f>
        <v>0</v>
      </c>
      <c r="M200" t="str">
        <f>IFERROR(INDEX(tblPessoas[Base],MATCH(E200,tblPessoas[ID],0)),"")</f>
        <v>Hora</v>
      </c>
      <c r="N200" s="3">
        <f>IFERROR(IF(D200="DIA ÚTIL",INDEX(tblPessoas[R$/h útil],MATCH(E200,tblPessoas[ID],0)),INDEX(tblPessoas[R$/h FDS],MATCH(E200,tblPessoas[ID],0))),0)</f>
        <v>23.5</v>
      </c>
      <c r="O200" s="3">
        <f>IFERROR(INDEX(tblPessoas[R$/diária],MATCH(E200,tblPessoas[ID],0)),0)</f>
        <v>0</v>
      </c>
      <c r="P200" s="3">
        <f t="shared" si="14"/>
        <v>52.803194444073597</v>
      </c>
      <c r="Q200" t="str">
        <f>IF(A200="","",IF(COUNTIF(tblBatidas[Início vinculado],"B"&amp;MID($A200,2,99))=0,"EM ABERTO",IF(OR(COUNTIF(tblBatidas[Início vinculado],"B"&amp;MID($A200,2,99))&gt;1,K200&lt;0,K200&gt;16,INT(INDEX(tblBatidas[Data e hora],MATCH("B"&amp;MID($A200,2,99),tblBatidas[Início vinculado],0)))&lt;&gt;B200,INDEX(tblBatidas[ID],MATCH("B"&amp;MID($A200,2,99),tblBatidas[Início vinculado],0))&lt;&gt;E200,INDEX(tblBatidas[Projeto],MATCH("B"&amp;MID($A200,2,99),tblBatidas[Início vinculado],0))&lt;&gt;G200,INDEX(tblBatidas[Atividade],MATCH("B"&amp;MID($A200,2,99),tblBatidas[Início vinculado],0))&lt;&gt;H200),"REVISAR","CONCLUÍDO")))</f>
        <v>CONCLUÍDO</v>
      </c>
      <c r="R200">
        <f>IF(Q200&lt;&gt;"CONCLUÍDO",0,IF(COUNTIFS($E$5:E200,E200,$B$5:B200,B200,$Q$5:Q200,"CONCLUÍDO")=1,1,0))</f>
        <v>1</v>
      </c>
      <c r="S200" t="str">
        <f t="shared" si="15"/>
        <v>yyyy-09</v>
      </c>
      <c r="T200">
        <f>IF(E200="","",E200*100000+COUNTIFS(tblRegistros[ID],E200,tblRegistros[Data],"&lt;"&amp;B200)+COUNTIFS(tblRegistros[ID],E200,tblRegistros[Data],B200,tblRegistros[Início],"&lt;"&amp;I200)+COUNTIFS($E$5:E200,E200,$B$5:B200,B200,$I$5:I200,I200))</f>
        <v>101300018</v>
      </c>
    </row>
    <row r="201" spans="1:20">
      <c r="A201" t="s">
        <v>293</v>
      </c>
      <c r="B201" s="2">
        <f>IFERROR(INT(INDEX(tblBatidas[Data e hora],MATCH("B"&amp;MID($A201,2,99),tblBatidas[Batida ID],0))),"")</f>
        <v>46271</v>
      </c>
      <c r="C201" t="str">
        <f t="shared" si="12"/>
        <v>DOMINGO</v>
      </c>
      <c r="D201" t="str">
        <f t="shared" si="13"/>
        <v>FDS/FERIADO</v>
      </c>
      <c r="E201">
        <f>IFERROR(INDEX(tblBatidas[ID],MATCH("B"&amp;MID($A201,2,99),tblBatidas[Batida ID],0)),"")</f>
        <v>1003</v>
      </c>
      <c r="F201" t="str">
        <f>IFERROR(INDEX(tblPessoas[Pessoa],MATCH(E201,tblPessoas[ID],0)),"")</f>
        <v>Amanda do Carmo Ribeiro</v>
      </c>
      <c r="G201" t="str">
        <f>IFERROR(INDEX(tblBatidas[Projeto],MATCH("B"&amp;MID($A201,2,99),tblBatidas[Batida ID],0)),"")</f>
        <v>TOOLKIT</v>
      </c>
      <c r="H201" t="str">
        <f>IFERROR(INDEX(tblBatidas[Atividade],MATCH("B"&amp;MID($A201,2,99),tblBatidas[Batida ID],0)),"")</f>
        <v>ANÁLISE</v>
      </c>
      <c r="I201" s="4">
        <f>IFERROR(MOD(INDEX(tblBatidas[Data e hora],MATCH("B"&amp;MID($A201,2,99),tblBatidas[Batida ID],0)),1),"")</f>
        <v>0.53840277777635492</v>
      </c>
      <c r="J201" s="4">
        <f>IFERROR(MOD(INDEX(tblBatidas[Data e hora],MATCH("B"&amp;MID($A201,2,99),tblBatidas[Início vinculado],0)),1),"")</f>
        <v>0.74060185185226146</v>
      </c>
      <c r="K201" s="14">
        <f>IFERROR((INDEX(tblBatidas[Data e hora],MATCH("B"&amp;MID($A201,2,99),tblBatidas[Início vinculado],0))-INDEX(tblBatidas[Data e hora],MATCH("B"&amp;MID($A201,2,99),tblBatidas[Batida ID],0)))*24,"")</f>
        <v>4.8527777778217569</v>
      </c>
      <c r="L201">
        <f>IFERROR(INDEX(tblBatidas[Observação],MATCH("B"&amp;MID($A201,2,99),tblBatidas[Início vinculado],0)),"")</f>
        <v>0</v>
      </c>
      <c r="M201" t="str">
        <f>IFERROR(INDEX(tblPessoas[Base],MATCH(E201,tblPessoas[ID],0)),"")</f>
        <v>Hora</v>
      </c>
      <c r="N201" s="3">
        <f>IFERROR(IF(D201="DIA ÚTIL",INDEX(tblPessoas[R$/h útil],MATCH(E201,tblPessoas[ID],0)),INDEX(tblPessoas[R$/h FDS],MATCH(E201,tblPessoas[ID],0))),0)</f>
        <v>23.5</v>
      </c>
      <c r="O201" s="3">
        <f>IFERROR(INDEX(tblPessoas[R$/diária],MATCH(E201,tblPessoas[ID],0)),0)</f>
        <v>0</v>
      </c>
      <c r="P201" s="3">
        <f t="shared" si="14"/>
        <v>114.04027777881129</v>
      </c>
      <c r="Q201" t="str">
        <f>IF(A201="","",IF(COUNTIF(tblBatidas[Início vinculado],"B"&amp;MID($A201,2,99))=0,"EM ABERTO",IF(OR(COUNTIF(tblBatidas[Início vinculado],"B"&amp;MID($A201,2,99))&gt;1,K201&lt;0,K201&gt;16,INT(INDEX(tblBatidas[Data e hora],MATCH("B"&amp;MID($A201,2,99),tblBatidas[Início vinculado],0)))&lt;&gt;B201,INDEX(tblBatidas[ID],MATCH("B"&amp;MID($A201,2,99),tblBatidas[Início vinculado],0))&lt;&gt;E201,INDEX(tblBatidas[Projeto],MATCH("B"&amp;MID($A201,2,99),tblBatidas[Início vinculado],0))&lt;&gt;G201,INDEX(tblBatidas[Atividade],MATCH("B"&amp;MID($A201,2,99),tblBatidas[Início vinculado],0))&lt;&gt;H201),"REVISAR","CONCLUÍDO")))</f>
        <v>CONCLUÍDO</v>
      </c>
      <c r="R201">
        <f>IF(Q201&lt;&gt;"CONCLUÍDO",0,IF(COUNTIFS($E$5:E201,E201,$B$5:B201,B201,$Q$5:Q201,"CONCLUÍDO")=1,1,0))</f>
        <v>0</v>
      </c>
      <c r="S201" t="str">
        <f t="shared" si="15"/>
        <v>yyyy-09</v>
      </c>
      <c r="T201">
        <f>IF(E201="","",E201*100000+COUNTIFS(tblRegistros[ID],E201,tblRegistros[Data],"&lt;"&amp;B201)+COUNTIFS(tblRegistros[ID],E201,tblRegistros[Data],B201,tblRegistros[Início],"&lt;"&amp;I201)+COUNTIFS($E$5:E201,E201,$B$5:B201,B201,$I$5:I201,I201))</f>
        <v>100300019</v>
      </c>
    </row>
    <row r="202" spans="1:20">
      <c r="A202" t="s">
        <v>294</v>
      </c>
      <c r="B202" s="2">
        <f>IFERROR(INT(INDEX(tblBatidas[Data e hora],MATCH("B"&amp;MID($A202,2,99),tblBatidas[Batida ID],0))),"")</f>
        <v>46271</v>
      </c>
      <c r="C202" t="str">
        <f t="shared" si="12"/>
        <v>DOMINGO</v>
      </c>
      <c r="D202" t="str">
        <f t="shared" si="13"/>
        <v>FDS/FERIADO</v>
      </c>
      <c r="E202">
        <f>IFERROR(INDEX(tblBatidas[ID],MATCH("B"&amp;MID($A202,2,99),tblBatidas[Batida ID],0)),"")</f>
        <v>1013</v>
      </c>
      <c r="F202" t="str">
        <f>IFERROR(INDEX(tblPessoas[Pessoa],MATCH(E202,tblPessoas[ID],0)),"")</f>
        <v>Rafaela Maria Resende Lara</v>
      </c>
      <c r="G202" t="str">
        <f>IFERROR(INDEX(tblBatidas[Projeto],MATCH("B"&amp;MID($A202,2,99),tblBatidas[Batida ID],0)),"")</f>
        <v>TOOLKIT</v>
      </c>
      <c r="H202" t="str">
        <f>IFERROR(INDEX(tblBatidas[Atividade],MATCH("B"&amp;MID($A202,2,99),tblBatidas[Batida ID],0)),"")</f>
        <v>ANÁLISE</v>
      </c>
      <c r="I202" s="4">
        <f>IFERROR(MOD(INDEX(tblBatidas[Data e hora],MATCH("B"&amp;MID($A202,2,99),tblBatidas[Batida ID],0)),1),"")</f>
        <v>0.53946759259270038</v>
      </c>
      <c r="J202" s="4">
        <f>IFERROR(MOD(INDEX(tblBatidas[Data e hora],MATCH("B"&amp;MID($A202,2,99),tblBatidas[Início vinculado],0)),1),"")</f>
        <v>0.66363425926101627</v>
      </c>
      <c r="K202" s="14">
        <f>IFERROR((INDEX(tblBatidas[Data e hora],MATCH("B"&amp;MID($A202,2,99),tblBatidas[Início vinculado],0))-INDEX(tblBatidas[Data e hora],MATCH("B"&amp;MID($A202,2,99),tblBatidas[Batida ID],0)))*24,"")</f>
        <v>2.9800000000395812</v>
      </c>
      <c r="L202">
        <f>IFERROR(INDEX(tblBatidas[Observação],MATCH("B"&amp;MID($A202,2,99),tblBatidas[Início vinculado],0)),"")</f>
        <v>0</v>
      </c>
      <c r="M202" t="str">
        <f>IFERROR(INDEX(tblPessoas[Base],MATCH(E202,tblPessoas[ID],0)),"")</f>
        <v>Hora</v>
      </c>
      <c r="N202" s="3">
        <f>IFERROR(IF(D202="DIA ÚTIL",INDEX(tblPessoas[R$/h útil],MATCH(E202,tblPessoas[ID],0)),INDEX(tblPessoas[R$/h FDS],MATCH(E202,tblPessoas[ID],0))),0)</f>
        <v>23.5</v>
      </c>
      <c r="O202" s="3">
        <f>IFERROR(INDEX(tblPessoas[R$/diária],MATCH(E202,tblPessoas[ID],0)),0)</f>
        <v>0</v>
      </c>
      <c r="P202" s="3">
        <f t="shared" si="14"/>
        <v>70.030000000930158</v>
      </c>
      <c r="Q202" t="str">
        <f>IF(A202="","",IF(COUNTIF(tblBatidas[Início vinculado],"B"&amp;MID($A202,2,99))=0,"EM ABERTO",IF(OR(COUNTIF(tblBatidas[Início vinculado],"B"&amp;MID($A202,2,99))&gt;1,K202&lt;0,K202&gt;16,INT(INDEX(tblBatidas[Data e hora],MATCH("B"&amp;MID($A202,2,99),tblBatidas[Início vinculado],0)))&lt;&gt;B202,INDEX(tblBatidas[ID],MATCH("B"&amp;MID($A202,2,99),tblBatidas[Início vinculado],0))&lt;&gt;E202,INDEX(tblBatidas[Projeto],MATCH("B"&amp;MID($A202,2,99),tblBatidas[Início vinculado],0))&lt;&gt;G202,INDEX(tblBatidas[Atividade],MATCH("B"&amp;MID($A202,2,99),tblBatidas[Início vinculado],0))&lt;&gt;H202),"REVISAR","CONCLUÍDO")))</f>
        <v>CONCLUÍDO</v>
      </c>
      <c r="R202">
        <f>IF(Q202&lt;&gt;"CONCLUÍDO",0,IF(COUNTIFS($E$5:E202,E202,$B$5:B202,B202,$Q$5:Q202,"CONCLUÍDO")=1,1,0))</f>
        <v>0</v>
      </c>
      <c r="S202" t="str">
        <f t="shared" si="15"/>
        <v>yyyy-09</v>
      </c>
      <c r="T202">
        <f>IF(E202="","",E202*100000+COUNTIFS(tblRegistros[ID],E202,tblRegistros[Data],"&lt;"&amp;B202)+COUNTIFS(tblRegistros[ID],E202,tblRegistros[Data],B202,tblRegistros[Início],"&lt;"&amp;I202)+COUNTIFS($E$5:E202,E202,$B$5:B202,B202,$I$5:I202,I202))</f>
        <v>101300019</v>
      </c>
    </row>
    <row r="203" spans="1:20">
      <c r="A203" t="s">
        <v>295</v>
      </c>
      <c r="B203" s="2">
        <f>IFERROR(INT(INDEX(tblBatidas[Data e hora],MATCH("B"&amp;MID($A203,2,99),tblBatidas[Batida ID],0))),"")</f>
        <v>46271</v>
      </c>
      <c r="C203" t="str">
        <f t="shared" si="12"/>
        <v>DOMINGO</v>
      </c>
      <c r="D203" t="str">
        <f t="shared" si="13"/>
        <v>FDS/FERIADO</v>
      </c>
      <c r="E203">
        <f>IFERROR(INDEX(tblBatidas[ID],MATCH("B"&amp;MID($A203,2,99),tblBatidas[Batida ID],0)),"")</f>
        <v>1002</v>
      </c>
      <c r="F203" t="str">
        <f>IFERROR(INDEX(tblPessoas[Pessoa],MATCH(E203,tblPessoas[ID],0)),"")</f>
        <v>Alex de Almeida Mariano</v>
      </c>
      <c r="G203" t="str">
        <f>IFERROR(INDEX(tblBatidas[Projeto],MATCH("B"&amp;MID($A203,2,99),tblBatidas[Batida ID],0)),"")</f>
        <v>TOOLKIT</v>
      </c>
      <c r="H203" t="str">
        <f>IFERROR(INDEX(tblBatidas[Atividade],MATCH("B"&amp;MID($A203,2,99),tblBatidas[Batida ID],0)),"")</f>
        <v>ANÁLISE</v>
      </c>
      <c r="I203" s="4">
        <f>IFERROR(MOD(INDEX(tblBatidas[Data e hora],MATCH("B"&amp;MID($A203,2,99),tblBatidas[Batida ID],0)),1),"")</f>
        <v>0.58502314814541023</v>
      </c>
      <c r="J203" s="4">
        <f>IFERROR(MOD(INDEX(tblBatidas[Data e hora],MATCH("B"&amp;MID($A203,2,99),tblBatidas[Início vinculado],0)),1),"")</f>
        <v>0.70901620370568708</v>
      </c>
      <c r="K203" s="14">
        <f>IFERROR((INDEX(tblBatidas[Data e hora],MATCH("B"&amp;MID($A203,2,99),tblBatidas[Início vinculado],0))-INDEX(tblBatidas[Data e hora],MATCH("B"&amp;MID($A203,2,99),tblBatidas[Batida ID],0)))*24,"")</f>
        <v>2.9758333334466442</v>
      </c>
      <c r="L203">
        <f>IFERROR(INDEX(tblBatidas[Observação],MATCH("B"&amp;MID($A203,2,99),tblBatidas[Início vinculado],0)),"")</f>
        <v>0</v>
      </c>
      <c r="M203" t="str">
        <f>IFERROR(INDEX(tblPessoas[Base],MATCH(E203,tblPessoas[ID],0)),"")</f>
        <v>Hora</v>
      </c>
      <c r="N203" s="3">
        <f>IFERROR(IF(D203="DIA ÚTIL",INDEX(tblPessoas[R$/h útil],MATCH(E203,tblPessoas[ID],0)),INDEX(tblPessoas[R$/h FDS],MATCH(E203,tblPessoas[ID],0))),0)</f>
        <v>23.5</v>
      </c>
      <c r="O203" s="3">
        <f>IFERROR(INDEX(tblPessoas[R$/diária],MATCH(E203,tblPessoas[ID],0)),0)</f>
        <v>0</v>
      </c>
      <c r="P203" s="3">
        <f t="shared" si="14"/>
        <v>69.93208333599614</v>
      </c>
      <c r="Q203" t="str">
        <f>IF(A203="","",IF(COUNTIF(tblBatidas[Início vinculado],"B"&amp;MID($A203,2,99))=0,"EM ABERTO",IF(OR(COUNTIF(tblBatidas[Início vinculado],"B"&amp;MID($A203,2,99))&gt;1,K203&lt;0,K203&gt;16,INT(INDEX(tblBatidas[Data e hora],MATCH("B"&amp;MID($A203,2,99),tblBatidas[Início vinculado],0)))&lt;&gt;B203,INDEX(tblBatidas[ID],MATCH("B"&amp;MID($A203,2,99),tblBatidas[Início vinculado],0))&lt;&gt;E203,INDEX(tblBatidas[Projeto],MATCH("B"&amp;MID($A203,2,99),tblBatidas[Início vinculado],0))&lt;&gt;G203,INDEX(tblBatidas[Atividade],MATCH("B"&amp;MID($A203,2,99),tblBatidas[Início vinculado],0))&lt;&gt;H203),"REVISAR","CONCLUÍDO")))</f>
        <v>CONCLUÍDO</v>
      </c>
      <c r="R203">
        <f>IF(Q203&lt;&gt;"CONCLUÍDO",0,IF(COUNTIFS($E$5:E203,E203,$B$5:B203,B203,$Q$5:Q203,"CONCLUÍDO")=1,1,0))</f>
        <v>1</v>
      </c>
      <c r="S203" t="str">
        <f t="shared" si="15"/>
        <v>yyyy-09</v>
      </c>
      <c r="T203">
        <f>IF(E203="","",E203*100000+COUNTIFS(tblRegistros[ID],E203,tblRegistros[Data],"&lt;"&amp;B203)+COUNTIFS(tblRegistros[ID],E203,tblRegistros[Data],B203,tblRegistros[Início],"&lt;"&amp;I203)+COUNTIFS($E$5:E203,E203,$B$5:B203,B203,$I$5:I203,I203))</f>
        <v>100200010</v>
      </c>
    </row>
    <row r="204" spans="1:20">
      <c r="A204" t="s">
        <v>296</v>
      </c>
      <c r="B204" s="2">
        <f>IFERROR(INT(INDEX(tblBatidas[Data e hora],MATCH("B"&amp;MID($A204,2,99),tblBatidas[Batida ID],0))),"")</f>
        <v>46271</v>
      </c>
      <c r="C204" t="str">
        <f t="shared" si="12"/>
        <v>DOMINGO</v>
      </c>
      <c r="D204" t="str">
        <f t="shared" si="13"/>
        <v>FDS/FERIADO</v>
      </c>
      <c r="E204">
        <f>IFERROR(INDEX(tblBatidas[ID],MATCH("B"&amp;MID($A204,2,99),tblBatidas[Batida ID],0)),"")</f>
        <v>1004</v>
      </c>
      <c r="F204" t="str">
        <f>IFERROR(INDEX(tblPessoas[Pessoa],MATCH(E204,tblPessoas[ID],0)),"")</f>
        <v>Angela Bertoli</v>
      </c>
      <c r="G204" t="str">
        <f>IFERROR(INDEX(tblBatidas[Projeto],MATCH("B"&amp;MID($A204,2,99),tblBatidas[Batida ID],0)),"")</f>
        <v>OTEMPO</v>
      </c>
      <c r="H204" t="str">
        <f>IFERROR(INDEX(tblBatidas[Atividade],MATCH("B"&amp;MID($A204,2,99),tblBatidas[Batida ID],0)),"")</f>
        <v>CODIFICAÇÃO</v>
      </c>
      <c r="I204" s="4">
        <f>IFERROR(MOD(INDEX(tblBatidas[Data e hora],MATCH("B"&amp;MID($A204,2,99),tblBatidas[Batida ID],0)),1),"")</f>
        <v>0.60222222222364508</v>
      </c>
      <c r="J204" s="4">
        <f>IFERROR(MOD(INDEX(tblBatidas[Data e hora],MATCH("B"&amp;MID($A204,2,99),tblBatidas[Início vinculado],0)),1),"")</f>
        <v>0.87039351851854008</v>
      </c>
      <c r="K204" s="14">
        <f>IFERROR((INDEX(tblBatidas[Data e hora],MATCH("B"&amp;MID($A204,2,99),tblBatidas[Início vinculado],0))-INDEX(tblBatidas[Data e hora],MATCH("B"&amp;MID($A204,2,99),tblBatidas[Batida ID],0)))*24,"")</f>
        <v>6.43611111107748</v>
      </c>
      <c r="L204">
        <f>IFERROR(INDEX(tblBatidas[Observação],MATCH("B"&amp;MID($A204,2,99),tblBatidas[Início vinculado],0)),"")</f>
        <v>0</v>
      </c>
      <c r="M204" t="str">
        <f>IFERROR(INDEX(tblPessoas[Base],MATCH(E204,tblPessoas[ID],0)),"")</f>
        <v>Hora</v>
      </c>
      <c r="N204" s="3">
        <f>IFERROR(IF(D204="DIA ÚTIL",INDEX(tblPessoas[R$/h útil],MATCH(E204,tblPessoas[ID],0)),INDEX(tblPessoas[R$/h FDS],MATCH(E204,tblPessoas[ID],0))),0)</f>
        <v>20</v>
      </c>
      <c r="O204" s="3">
        <f>IFERROR(INDEX(tblPessoas[R$/diária],MATCH(E204,tblPessoas[ID],0)),0)</f>
        <v>0</v>
      </c>
      <c r="P204" s="3">
        <f t="shared" si="14"/>
        <v>128.7222222215496</v>
      </c>
      <c r="Q204" t="str">
        <f>IF(A204="","",IF(COUNTIF(tblBatidas[Início vinculado],"B"&amp;MID($A204,2,99))=0,"EM ABERTO",IF(OR(COUNTIF(tblBatidas[Início vinculado],"B"&amp;MID($A204,2,99))&gt;1,K204&lt;0,K204&gt;16,INT(INDEX(tblBatidas[Data e hora],MATCH("B"&amp;MID($A204,2,99),tblBatidas[Início vinculado],0)))&lt;&gt;B204,INDEX(tblBatidas[ID],MATCH("B"&amp;MID($A204,2,99),tblBatidas[Início vinculado],0))&lt;&gt;E204,INDEX(tblBatidas[Projeto],MATCH("B"&amp;MID($A204,2,99),tblBatidas[Início vinculado],0))&lt;&gt;G204,INDEX(tblBatidas[Atividade],MATCH("B"&amp;MID($A204,2,99),tblBatidas[Início vinculado],0))&lt;&gt;H204),"REVISAR","CONCLUÍDO")))</f>
        <v>CONCLUÍDO</v>
      </c>
      <c r="R204">
        <f>IF(Q204&lt;&gt;"CONCLUÍDO",0,IF(COUNTIFS($E$5:E204,E204,$B$5:B204,B204,$Q$5:Q204,"CONCLUÍDO")=1,1,0))</f>
        <v>1</v>
      </c>
      <c r="S204" t="str">
        <f t="shared" si="15"/>
        <v>yyyy-09</v>
      </c>
      <c r="T204">
        <f>IF(E204="","",E204*100000+COUNTIFS(tblRegistros[ID],E204,tblRegistros[Data],"&lt;"&amp;B204)+COUNTIFS(tblRegistros[ID],E204,tblRegistros[Data],B204,tblRegistros[Início],"&lt;"&amp;I204)+COUNTIFS($E$5:E204,E204,$B$5:B204,B204,$I$5:I204,I204))</f>
        <v>100400012</v>
      </c>
    </row>
    <row r="205" spans="1:20">
      <c r="A205" t="s">
        <v>297</v>
      </c>
      <c r="B205" s="2">
        <f>IFERROR(INT(INDEX(tblBatidas[Data e hora],MATCH("B"&amp;MID($A205,2,99),tblBatidas[Batida ID],0))),"")</f>
        <v>46271</v>
      </c>
      <c r="C205" t="str">
        <f t="shared" si="12"/>
        <v>DOMINGO</v>
      </c>
      <c r="D205" t="str">
        <f t="shared" si="13"/>
        <v>FDS/FERIADO</v>
      </c>
      <c r="E205">
        <f>IFERROR(INDEX(tblBatidas[ID],MATCH("B"&amp;MID($A205,2,99),tblBatidas[Batida ID],0)),"")</f>
        <v>1012</v>
      </c>
      <c r="F205" t="str">
        <f>IFERROR(INDEX(tblPessoas[Pessoa],MATCH(E205,tblPessoas[ID],0)),"")</f>
        <v>Nelma Lucia dos S. B. Brandão</v>
      </c>
      <c r="G205" t="str">
        <f>IFERROR(INDEX(tblBatidas[Projeto],MATCH("B"&amp;MID($A205,2,99),tblBatidas[Batida ID],0)),"")</f>
        <v>OTEMPO</v>
      </c>
      <c r="H205" t="str">
        <f>IFERROR(INDEX(tblBatidas[Atividade],MATCH("B"&amp;MID($A205,2,99),tblBatidas[Batida ID],0)),"")</f>
        <v>SUPERVISÃO</v>
      </c>
      <c r="I205" s="4">
        <f>IFERROR(MOD(INDEX(tblBatidas[Data e hora],MATCH("B"&amp;MID($A205,2,99),tblBatidas[Batida ID],0)),1),"")</f>
        <v>0.68820601851621177</v>
      </c>
      <c r="J205" s="4">
        <f>IFERROR(MOD(INDEX(tblBatidas[Data e hora],MATCH("B"&amp;MID($A205,2,99),tblBatidas[Início vinculado],0)),1),"")</f>
        <v>0.75833333333139308</v>
      </c>
      <c r="K205" s="14">
        <f>IFERROR((INDEX(tblBatidas[Data e hora],MATCH("B"&amp;MID($A205,2,99),tblBatidas[Início vinculado],0))-INDEX(tblBatidas[Data e hora],MATCH("B"&amp;MID($A205,2,99),tblBatidas[Batida ID],0)))*24,"")</f>
        <v>1.6830555555643514</v>
      </c>
      <c r="L205" t="str">
        <f>IFERROR(INDEX(tblBatidas[Observação],MATCH("B"&amp;MID($A205,2,99),tblBatidas[Início vinculado],0)),"")</f>
        <v>Checagem</v>
      </c>
      <c r="M205" t="str">
        <f>IFERROR(INDEX(tblPessoas[Base],MATCH(E205,tblPessoas[ID],0)),"")</f>
        <v>Diária</v>
      </c>
      <c r="N205" s="3">
        <f>IFERROR(IF(D205="DIA ÚTIL",INDEX(tblPessoas[R$/h útil],MATCH(E205,tblPessoas[ID],0)),INDEX(tblPessoas[R$/h FDS],MATCH(E205,tblPessoas[ID],0))),0)</f>
        <v>0</v>
      </c>
      <c r="O205" s="3">
        <f>IFERROR(INDEX(tblPessoas[R$/diária],MATCH(E205,tblPessoas[ID],0)),0)</f>
        <v>222.72</v>
      </c>
      <c r="P205" s="3">
        <f t="shared" si="14"/>
        <v>222.72</v>
      </c>
      <c r="Q205" t="str">
        <f>IF(A205="","",IF(COUNTIF(tblBatidas[Início vinculado],"B"&amp;MID($A205,2,99))=0,"EM ABERTO",IF(OR(COUNTIF(tblBatidas[Início vinculado],"B"&amp;MID($A205,2,99))&gt;1,K205&lt;0,K205&gt;16,INT(INDEX(tblBatidas[Data e hora],MATCH("B"&amp;MID($A205,2,99),tblBatidas[Início vinculado],0)))&lt;&gt;B205,INDEX(tblBatidas[ID],MATCH("B"&amp;MID($A205,2,99),tblBatidas[Início vinculado],0))&lt;&gt;E205,INDEX(tblBatidas[Projeto],MATCH("B"&amp;MID($A205,2,99),tblBatidas[Início vinculado],0))&lt;&gt;G205,INDEX(tblBatidas[Atividade],MATCH("B"&amp;MID($A205,2,99),tblBatidas[Início vinculado],0))&lt;&gt;H205),"REVISAR","CONCLUÍDO")))</f>
        <v>CONCLUÍDO</v>
      </c>
      <c r="R205">
        <f>IF(Q205&lt;&gt;"CONCLUÍDO",0,IF(COUNTIFS($E$5:E205,E205,$B$5:B205,B205,$Q$5:Q205,"CONCLUÍDO")=1,1,0))</f>
        <v>1</v>
      </c>
      <c r="S205" t="str">
        <f t="shared" si="15"/>
        <v>yyyy-09</v>
      </c>
      <c r="T205">
        <f>IF(E205="","",E205*100000+COUNTIFS(tblRegistros[ID],E205,tblRegistros[Data],"&lt;"&amp;B205)+COUNTIFS(tblRegistros[ID],E205,tblRegistros[Data],B205,tblRegistros[Início],"&lt;"&amp;I205)+COUNTIFS($E$5:E205,E205,$B$5:B205,B205,$I$5:I205,I205))</f>
        <v>101200027</v>
      </c>
    </row>
    <row r="206" spans="1:20">
      <c r="A206" t="s">
        <v>298</v>
      </c>
      <c r="B206" s="2">
        <f>IFERROR(INT(INDEX(tblBatidas[Data e hora],MATCH("B"&amp;MID($A206,2,99),tblBatidas[Batida ID],0))),"")</f>
        <v>46271</v>
      </c>
      <c r="C206" t="str">
        <f t="shared" si="12"/>
        <v>DOMINGO</v>
      </c>
      <c r="D206" t="str">
        <f t="shared" si="13"/>
        <v>FDS/FERIADO</v>
      </c>
      <c r="E206">
        <f>IFERROR(INDEX(tblBatidas[ID],MATCH("B"&amp;MID($A206,2,99),tblBatidas[Batida ID],0)),"")</f>
        <v>1011</v>
      </c>
      <c r="F206" t="str">
        <f>IFERROR(INDEX(tblPessoas[Pessoa],MATCH(E206,tblPessoas[ID],0)),"")</f>
        <v>Nathalia Arruda</v>
      </c>
      <c r="G206" t="str">
        <f>IFERROR(INDEX(tblBatidas[Projeto],MATCH("B"&amp;MID($A206,2,99),tblBatidas[Batida ID],0)),"")</f>
        <v>TOOLKIT</v>
      </c>
      <c r="H206" t="str">
        <f>IFERROR(INDEX(tblBatidas[Atividade],MATCH("B"&amp;MID($A206,2,99),tblBatidas[Batida ID],0)),"")</f>
        <v>ANÁLISE</v>
      </c>
      <c r="I206" s="4">
        <f>IFERROR(MOD(INDEX(tblBatidas[Data e hora],MATCH("B"&amp;MID($A206,2,99),tblBatidas[Batida ID],0)),1),"")</f>
        <v>0.69894675925752381</v>
      </c>
      <c r="J206" s="4">
        <f>IFERROR(MOD(INDEX(tblBatidas[Data e hora],MATCH("B"&amp;MID($A206,2,99),tblBatidas[Início vinculado],0)),1),"")</f>
        <v>0.85488425925723277</v>
      </c>
      <c r="K206" s="14">
        <f>IFERROR((INDEX(tblBatidas[Data e hora],MATCH("B"&amp;MID($A206,2,99),tblBatidas[Início vinculado],0))-INDEX(tblBatidas[Data e hora],MATCH("B"&amp;MID($A206,2,99),tblBatidas[Batida ID],0)))*24,"")</f>
        <v>3.7424999999930151</v>
      </c>
      <c r="L206">
        <f>IFERROR(INDEX(tblBatidas[Observação],MATCH("B"&amp;MID($A206,2,99),tblBatidas[Início vinculado],0)),"")</f>
        <v>0</v>
      </c>
      <c r="M206" t="str">
        <f>IFERROR(INDEX(tblPessoas[Base],MATCH(E206,tblPessoas[ID],0)),"")</f>
        <v>Hora</v>
      </c>
      <c r="N206" s="3">
        <f>IFERROR(IF(D206="DIA ÚTIL",INDEX(tblPessoas[R$/h útil],MATCH(E206,tblPessoas[ID],0)),INDEX(tblPessoas[R$/h FDS],MATCH(E206,tblPessoas[ID],0))),0)</f>
        <v>23.5</v>
      </c>
      <c r="O206" s="3">
        <f>IFERROR(INDEX(tblPessoas[R$/diária],MATCH(E206,tblPessoas[ID],0)),0)</f>
        <v>0</v>
      </c>
      <c r="P206" s="3">
        <f t="shared" si="14"/>
        <v>87.948749999835854</v>
      </c>
      <c r="Q206" t="str">
        <f>IF(A206="","",IF(COUNTIF(tblBatidas[Início vinculado],"B"&amp;MID($A206,2,99))=0,"EM ABERTO",IF(OR(COUNTIF(tblBatidas[Início vinculado],"B"&amp;MID($A206,2,99))&gt;1,K206&lt;0,K206&gt;16,INT(INDEX(tblBatidas[Data e hora],MATCH("B"&amp;MID($A206,2,99),tblBatidas[Início vinculado],0)))&lt;&gt;B206,INDEX(tblBatidas[ID],MATCH("B"&amp;MID($A206,2,99),tblBatidas[Início vinculado],0))&lt;&gt;E206,INDEX(tblBatidas[Projeto],MATCH("B"&amp;MID($A206,2,99),tblBatidas[Início vinculado],0))&lt;&gt;G206,INDEX(tblBatidas[Atividade],MATCH("B"&amp;MID($A206,2,99),tblBatidas[Início vinculado],0))&lt;&gt;H206),"REVISAR","CONCLUÍDO")))</f>
        <v>CONCLUÍDO</v>
      </c>
      <c r="R206">
        <f>IF(Q206&lt;&gt;"CONCLUÍDO",0,IF(COUNTIFS($E$5:E206,E206,$B$5:B206,B206,$Q$5:Q206,"CONCLUÍDO")=1,1,0))</f>
        <v>0</v>
      </c>
      <c r="S206" t="str">
        <f t="shared" si="15"/>
        <v>yyyy-09</v>
      </c>
      <c r="T206">
        <f>IF(E206="","",E206*100000+COUNTIFS(tblRegistros[ID],E206,tblRegistros[Data],"&lt;"&amp;B206)+COUNTIFS(tblRegistros[ID],E206,tblRegistros[Data],B206,tblRegistros[Início],"&lt;"&amp;I206)+COUNTIFS($E$5:E206,E206,$B$5:B206,B206,$I$5:I206,I206))</f>
        <v>101100015</v>
      </c>
    </row>
    <row r="207" spans="1:20">
      <c r="A207" t="s">
        <v>299</v>
      </c>
      <c r="B207" s="2">
        <f>IFERROR(INT(INDEX(tblBatidas[Data e hora],MATCH("B"&amp;MID($A207,2,99),tblBatidas[Batida ID],0))),"")</f>
        <v>46272</v>
      </c>
      <c r="C207" t="str">
        <f t="shared" si="12"/>
        <v>SEGUNDA-FEIRA</v>
      </c>
      <c r="D207" t="str">
        <f t="shared" si="13"/>
        <v>DIA ÚTIL</v>
      </c>
      <c r="E207">
        <f>IFERROR(INDEX(tblBatidas[ID],MATCH("B"&amp;MID($A207,2,99),tblBatidas[Batida ID],0)),"")</f>
        <v>1011</v>
      </c>
      <c r="F207" t="str">
        <f>IFERROR(INDEX(tblPessoas[Pessoa],MATCH(E207,tblPessoas[ID],0)),"")</f>
        <v>Nathalia Arruda</v>
      </c>
      <c r="G207" t="str">
        <f>IFERROR(INDEX(tblBatidas[Projeto],MATCH("B"&amp;MID($A207,2,99),tblBatidas[Batida ID],0)),"")</f>
        <v>TOOLKIT</v>
      </c>
      <c r="H207" t="str">
        <f>IFERROR(INDEX(tblBatidas[Atividade],MATCH("B"&amp;MID($A207,2,99),tblBatidas[Batida ID],0)),"")</f>
        <v>ANÁLISE</v>
      </c>
      <c r="I207" s="4">
        <f>IFERROR(MOD(INDEX(tblBatidas[Data e hora],MATCH("B"&amp;MID($A207,2,99),tblBatidas[Batida ID],0)),1),"")</f>
        <v>0.36688657407648861</v>
      </c>
      <c r="J207" s="4">
        <f>IFERROR(MOD(INDEX(tblBatidas[Data e hora],MATCH("B"&amp;MID($A207,2,99),tblBatidas[Início vinculado],0)),1),"")</f>
        <v>0.56210648148407927</v>
      </c>
      <c r="K207" s="14">
        <f>IFERROR((INDEX(tblBatidas[Data e hora],MATCH("B"&amp;MID($A207,2,99),tblBatidas[Início vinculado],0))-INDEX(tblBatidas[Data e hora],MATCH("B"&amp;MID($A207,2,99),tblBatidas[Batida ID],0)))*24,"")</f>
        <v>4.6852777777821757</v>
      </c>
      <c r="L207">
        <f>IFERROR(INDEX(tblBatidas[Observação],MATCH("B"&amp;MID($A207,2,99),tblBatidas[Início vinculado],0)),"")</f>
        <v>0</v>
      </c>
      <c r="M207" t="str">
        <f>IFERROR(INDEX(tblPessoas[Base],MATCH(E207,tblPessoas[ID],0)),"")</f>
        <v>Hora</v>
      </c>
      <c r="N207" s="3">
        <f>IFERROR(IF(D207="DIA ÚTIL",INDEX(tblPessoas[R$/h útil],MATCH(E207,tblPessoas[ID],0)),INDEX(tblPessoas[R$/h FDS],MATCH(E207,tblPessoas[ID],0))),0)</f>
        <v>23.5</v>
      </c>
      <c r="O207" s="3">
        <f>IFERROR(INDEX(tblPessoas[R$/diária],MATCH(E207,tblPessoas[ID],0)),0)</f>
        <v>0</v>
      </c>
      <c r="P207" s="3">
        <f t="shared" si="14"/>
        <v>110.10402777788113</v>
      </c>
      <c r="Q207" t="str">
        <f>IF(A207="","",IF(COUNTIF(tblBatidas[Início vinculado],"B"&amp;MID($A207,2,99))=0,"EM ABERTO",IF(OR(COUNTIF(tblBatidas[Início vinculado],"B"&amp;MID($A207,2,99))&gt;1,K207&lt;0,K207&gt;16,INT(INDEX(tblBatidas[Data e hora],MATCH("B"&amp;MID($A207,2,99),tblBatidas[Início vinculado],0)))&lt;&gt;B207,INDEX(tblBatidas[ID],MATCH("B"&amp;MID($A207,2,99),tblBatidas[Início vinculado],0))&lt;&gt;E207,INDEX(tblBatidas[Projeto],MATCH("B"&amp;MID($A207,2,99),tblBatidas[Início vinculado],0))&lt;&gt;G207,INDEX(tblBatidas[Atividade],MATCH("B"&amp;MID($A207,2,99),tblBatidas[Início vinculado],0))&lt;&gt;H207),"REVISAR","CONCLUÍDO")))</f>
        <v>CONCLUÍDO</v>
      </c>
      <c r="R207">
        <f>IF(Q207&lt;&gt;"CONCLUÍDO",0,IF(COUNTIFS($E$5:E207,E207,$B$5:B207,B207,$Q$5:Q207,"CONCLUÍDO")=1,1,0))</f>
        <v>1</v>
      </c>
      <c r="S207" t="str">
        <f t="shared" si="15"/>
        <v>yyyy-09</v>
      </c>
      <c r="T207">
        <f>IF(E207="","",E207*100000+COUNTIFS(tblRegistros[ID],E207,tblRegistros[Data],"&lt;"&amp;B207)+COUNTIFS(tblRegistros[ID],E207,tblRegistros[Data],B207,tblRegistros[Início],"&lt;"&amp;I207)+COUNTIFS($E$5:E207,E207,$B$5:B207,B207,$I$5:I207,I207))</f>
        <v>101100016</v>
      </c>
    </row>
    <row r="208" spans="1:20">
      <c r="A208" t="s">
        <v>300</v>
      </c>
      <c r="B208" s="2">
        <f>IFERROR(INT(INDEX(tblBatidas[Data e hora],MATCH("B"&amp;MID($A208,2,99),tblBatidas[Batida ID],0))),"")</f>
        <v>46272</v>
      </c>
      <c r="C208" t="str">
        <f t="shared" si="12"/>
        <v>SEGUNDA-FEIRA</v>
      </c>
      <c r="D208" t="str">
        <f t="shared" si="13"/>
        <v>DIA ÚTIL</v>
      </c>
      <c r="E208">
        <f>IFERROR(INDEX(tblBatidas[ID],MATCH("B"&amp;MID($A208,2,99),tblBatidas[Batida ID],0)),"")</f>
        <v>1004</v>
      </c>
      <c r="F208" t="str">
        <f>IFERROR(INDEX(tblPessoas[Pessoa],MATCH(E208,tblPessoas[ID],0)),"")</f>
        <v>Angela Bertoli</v>
      </c>
      <c r="G208" t="str">
        <f>IFERROR(INDEX(tblBatidas[Projeto],MATCH("B"&amp;MID($A208,2,99),tblBatidas[Batida ID],0)),"")</f>
        <v>OTEMPO</v>
      </c>
      <c r="H208" t="str">
        <f>IFERROR(INDEX(tblBatidas[Atividade],MATCH("B"&amp;MID($A208,2,99),tblBatidas[Batida ID],0)),"")</f>
        <v>CODIFICAÇÃO</v>
      </c>
      <c r="I208" s="4">
        <f>IFERROR(MOD(INDEX(tblBatidas[Data e hora],MATCH("B"&amp;MID($A208,2,99),tblBatidas[Batida ID],0)),1),"")</f>
        <v>0.40581018518423662</v>
      </c>
      <c r="J208" s="4">
        <f>IFERROR(MOD(INDEX(tblBatidas[Data e hora],MATCH("B"&amp;MID($A208,2,99),tblBatidas[Início vinculado],0)),1),"")</f>
        <v>0.53699074074393138</v>
      </c>
      <c r="K208" s="14">
        <f>IFERROR((INDEX(tblBatidas[Data e hora],MATCH("B"&amp;MID($A208,2,99),tblBatidas[Início vinculado],0))-INDEX(tblBatidas[Data e hora],MATCH("B"&amp;MID($A208,2,99),tblBatidas[Batida ID],0)))*24,"")</f>
        <v>3.1483333334326744</v>
      </c>
      <c r="L208">
        <f>IFERROR(INDEX(tblBatidas[Observação],MATCH("B"&amp;MID($A208,2,99),tblBatidas[Início vinculado],0)),"")</f>
        <v>0</v>
      </c>
      <c r="M208" t="str">
        <f>IFERROR(INDEX(tblPessoas[Base],MATCH(E208,tblPessoas[ID],0)),"")</f>
        <v>Hora</v>
      </c>
      <c r="N208" s="3">
        <f>IFERROR(IF(D208="DIA ÚTIL",INDEX(tblPessoas[R$/h útil],MATCH(E208,tblPessoas[ID],0)),INDEX(tblPessoas[R$/h FDS],MATCH(E208,tblPessoas[ID],0))),0)</f>
        <v>21.5</v>
      </c>
      <c r="O208" s="3">
        <f>IFERROR(INDEX(tblPessoas[R$/diária],MATCH(E208,tblPessoas[ID],0)),0)</f>
        <v>0</v>
      </c>
      <c r="P208" s="3">
        <f t="shared" si="14"/>
        <v>67.6891666688025</v>
      </c>
      <c r="Q208" t="str">
        <f>IF(A208="","",IF(COUNTIF(tblBatidas[Início vinculado],"B"&amp;MID($A208,2,99))=0,"EM ABERTO",IF(OR(COUNTIF(tblBatidas[Início vinculado],"B"&amp;MID($A208,2,99))&gt;1,K208&lt;0,K208&gt;16,INT(INDEX(tblBatidas[Data e hora],MATCH("B"&amp;MID($A208,2,99),tblBatidas[Início vinculado],0)))&lt;&gt;B208,INDEX(tblBatidas[ID],MATCH("B"&amp;MID($A208,2,99),tblBatidas[Início vinculado],0))&lt;&gt;E208,INDEX(tblBatidas[Projeto],MATCH("B"&amp;MID($A208,2,99),tblBatidas[Início vinculado],0))&lt;&gt;G208,INDEX(tblBatidas[Atividade],MATCH("B"&amp;MID($A208,2,99),tblBatidas[Início vinculado],0))&lt;&gt;H208),"REVISAR","CONCLUÍDO")))</f>
        <v>CONCLUÍDO</v>
      </c>
      <c r="R208">
        <f>IF(Q208&lt;&gt;"CONCLUÍDO",0,IF(COUNTIFS($E$5:E208,E208,$B$5:B208,B208,$Q$5:Q208,"CONCLUÍDO")=1,1,0))</f>
        <v>1</v>
      </c>
      <c r="S208" t="str">
        <f t="shared" si="15"/>
        <v>yyyy-09</v>
      </c>
      <c r="T208">
        <f>IF(E208="","",E208*100000+COUNTIFS(tblRegistros[ID],E208,tblRegistros[Data],"&lt;"&amp;B208)+COUNTIFS(tblRegistros[ID],E208,tblRegistros[Data],B208,tblRegistros[Início],"&lt;"&amp;I208)+COUNTIFS($E$5:E208,E208,$B$5:B208,B208,$I$5:I208,I208))</f>
        <v>100400013</v>
      </c>
    </row>
    <row r="209" spans="1:20">
      <c r="A209" t="s">
        <v>301</v>
      </c>
      <c r="B209" s="2">
        <f>IFERROR(INT(INDEX(tblBatidas[Data e hora],MATCH("B"&amp;MID($A209,2,99),tblBatidas[Batida ID],0))),"")</f>
        <v>46272</v>
      </c>
      <c r="C209" t="str">
        <f t="shared" si="12"/>
        <v>SEGUNDA-FEIRA</v>
      </c>
      <c r="D209" t="str">
        <f t="shared" si="13"/>
        <v>DIA ÚTIL</v>
      </c>
      <c r="E209">
        <f>IFERROR(INDEX(tblBatidas[ID],MATCH("B"&amp;MID($A209,2,99),tblBatidas[Batida ID],0)),"")</f>
        <v>1013</v>
      </c>
      <c r="F209" t="str">
        <f>IFERROR(INDEX(tblPessoas[Pessoa],MATCH(E209,tblPessoas[ID],0)),"")</f>
        <v>Rafaela Maria Resende Lara</v>
      </c>
      <c r="G209" t="str">
        <f>IFERROR(INDEX(tblBatidas[Projeto],MATCH("B"&amp;MID($A209,2,99),tblBatidas[Batida ID],0)),"")</f>
        <v>TOOLKIT</v>
      </c>
      <c r="H209" t="str">
        <f>IFERROR(INDEX(tblBatidas[Atividade],MATCH("B"&amp;MID($A209,2,99),tblBatidas[Batida ID],0)),"")</f>
        <v>ANÁLISE</v>
      </c>
      <c r="I209" s="4">
        <f>IFERROR(MOD(INDEX(tblBatidas[Data e hora],MATCH("B"&amp;MID($A209,2,99),tblBatidas[Batida ID],0)),1),"")</f>
        <v>0.40914351851824904</v>
      </c>
      <c r="J209" s="4">
        <f>IFERROR(MOD(INDEX(tblBatidas[Data e hora],MATCH("B"&amp;MID($A209,2,99),tblBatidas[Início vinculado],0)),1),"")</f>
        <v>0.50046296296204673</v>
      </c>
      <c r="K209" s="14">
        <f>IFERROR((INDEX(tblBatidas[Data e hora],MATCH("B"&amp;MID($A209,2,99),tblBatidas[Início vinculado],0))-INDEX(tblBatidas[Data e hora],MATCH("B"&amp;MID($A209,2,99),tblBatidas[Batida ID],0)))*24,"")</f>
        <v>2.1916666666511446</v>
      </c>
      <c r="L209">
        <f>IFERROR(INDEX(tblBatidas[Observação],MATCH("B"&amp;MID($A209,2,99),tblBatidas[Início vinculado],0)),"")</f>
        <v>0</v>
      </c>
      <c r="M209" t="str">
        <f>IFERROR(INDEX(tblPessoas[Base],MATCH(E209,tblPessoas[ID],0)),"")</f>
        <v>Hora</v>
      </c>
      <c r="N209" s="3">
        <f>IFERROR(IF(D209="DIA ÚTIL",INDEX(tblPessoas[R$/h útil],MATCH(E209,tblPessoas[ID],0)),INDEX(tblPessoas[R$/h FDS],MATCH(E209,tblPessoas[ID],0))),0)</f>
        <v>23.5</v>
      </c>
      <c r="O209" s="3">
        <f>IFERROR(INDEX(tblPessoas[R$/diária],MATCH(E209,tblPessoas[ID],0)),0)</f>
        <v>0</v>
      </c>
      <c r="P209" s="3">
        <f t="shared" si="14"/>
        <v>51.504166666301899</v>
      </c>
      <c r="Q209" t="str">
        <f>IF(A209="","",IF(COUNTIF(tblBatidas[Início vinculado],"B"&amp;MID($A209,2,99))=0,"EM ABERTO",IF(OR(COUNTIF(tblBatidas[Início vinculado],"B"&amp;MID($A209,2,99))&gt;1,K209&lt;0,K209&gt;16,INT(INDEX(tblBatidas[Data e hora],MATCH("B"&amp;MID($A209,2,99),tblBatidas[Início vinculado],0)))&lt;&gt;B209,INDEX(tblBatidas[ID],MATCH("B"&amp;MID($A209,2,99),tblBatidas[Início vinculado],0))&lt;&gt;E209,INDEX(tblBatidas[Projeto],MATCH("B"&amp;MID($A209,2,99),tblBatidas[Início vinculado],0))&lt;&gt;G209,INDEX(tblBatidas[Atividade],MATCH("B"&amp;MID($A209,2,99),tblBatidas[Início vinculado],0))&lt;&gt;H209),"REVISAR","CONCLUÍDO")))</f>
        <v>CONCLUÍDO</v>
      </c>
      <c r="R209">
        <f>IF(Q209&lt;&gt;"CONCLUÍDO",0,IF(COUNTIFS($E$5:E209,E209,$B$5:B209,B209,$Q$5:Q209,"CONCLUÍDO")=1,1,0))</f>
        <v>1</v>
      </c>
      <c r="S209" t="str">
        <f t="shared" si="15"/>
        <v>yyyy-09</v>
      </c>
      <c r="T209">
        <f>IF(E209="","",E209*100000+COUNTIFS(tblRegistros[ID],E209,tblRegistros[Data],"&lt;"&amp;B209)+COUNTIFS(tblRegistros[ID],E209,tblRegistros[Data],B209,tblRegistros[Início],"&lt;"&amp;I209)+COUNTIFS($E$5:E209,E209,$B$5:B209,B209,$I$5:I209,I209))</f>
        <v>101300020</v>
      </c>
    </row>
    <row r="210" spans="1:20">
      <c r="A210" t="s">
        <v>302</v>
      </c>
      <c r="B210" s="2">
        <f>IFERROR(INT(INDEX(tblBatidas[Data e hora],MATCH("B"&amp;MID($A210,2,99),tblBatidas[Batida ID],0))),"")</f>
        <v>46272</v>
      </c>
      <c r="C210" t="str">
        <f t="shared" si="12"/>
        <v>SEGUNDA-FEIRA</v>
      </c>
      <c r="D210" t="str">
        <f t="shared" si="13"/>
        <v>DIA ÚTIL</v>
      </c>
      <c r="E210">
        <f>IFERROR(INDEX(tblBatidas[ID],MATCH("B"&amp;MID($A210,2,99),tblBatidas[Batida ID],0)),"")</f>
        <v>1001</v>
      </c>
      <c r="F210" t="str">
        <f>IFERROR(INDEX(tblPessoas[Pessoa],MATCH(E210,tblPessoas[ID],0)),"")</f>
        <v>Adriana Pereira dos Santos</v>
      </c>
      <c r="G210" t="str">
        <f>IFERROR(INDEX(tblBatidas[Projeto],MATCH("B"&amp;MID($A210,2,99),tblBatidas[Batida ID],0)),"")</f>
        <v>SICOOB CREDICOM</v>
      </c>
      <c r="H210" t="str">
        <f>IFERROR(INDEX(tblBatidas[Atividade],MATCH("B"&amp;MID($A210,2,99),tblBatidas[Batida ID],0)),"")</f>
        <v>SUPERVISÃO</v>
      </c>
      <c r="I210" s="4">
        <f>IFERROR(MOD(INDEX(tblBatidas[Data e hora],MATCH("B"&amp;MID($A210,2,99),tblBatidas[Batida ID],0)),1),"")</f>
        <v>0.40998842592671281</v>
      </c>
      <c r="J210" s="4">
        <f>IFERROR(MOD(INDEX(tblBatidas[Data e hora],MATCH("B"&amp;MID($A210,2,99),tblBatidas[Início vinculado],0)),1),"")</f>
        <v>0.71587962962803431</v>
      </c>
      <c r="K210" s="14">
        <f>IFERROR((INDEX(tblBatidas[Data e hora],MATCH("B"&amp;MID($A210,2,99),tblBatidas[Início vinculado],0))-INDEX(tblBatidas[Data e hora],MATCH("B"&amp;MID($A210,2,99),tblBatidas[Batida ID],0)))*24,"")</f>
        <v>7.341388888831716</v>
      </c>
      <c r="L210">
        <f>IFERROR(INDEX(tblBatidas[Observação],MATCH("B"&amp;MID($A210,2,99),tblBatidas[Início vinculado],0)),"")</f>
        <v>0</v>
      </c>
      <c r="M210" t="str">
        <f>IFERROR(INDEX(tblPessoas[Base],MATCH(E210,tblPessoas[ID],0)),"")</f>
        <v>Hora</v>
      </c>
      <c r="N210" s="3">
        <f>IFERROR(IF(D210="DIA ÚTIL",INDEX(tblPessoas[R$/h útil],MATCH(E210,tblPessoas[ID],0)),INDEX(tblPessoas[R$/h FDS],MATCH(E210,tblPessoas[ID],0))),0)</f>
        <v>17</v>
      </c>
      <c r="O210" s="3">
        <f>IFERROR(INDEX(tblPessoas[R$/diária],MATCH(E210,tblPessoas[ID],0)),0)</f>
        <v>0</v>
      </c>
      <c r="P210" s="3">
        <f t="shared" si="14"/>
        <v>124.80361111013917</v>
      </c>
      <c r="Q210" t="str">
        <f>IF(A210="","",IF(COUNTIF(tblBatidas[Início vinculado],"B"&amp;MID($A210,2,99))=0,"EM ABERTO",IF(OR(COUNTIF(tblBatidas[Início vinculado],"B"&amp;MID($A210,2,99))&gt;1,K210&lt;0,K210&gt;16,INT(INDEX(tblBatidas[Data e hora],MATCH("B"&amp;MID($A210,2,99),tblBatidas[Início vinculado],0)))&lt;&gt;B210,INDEX(tblBatidas[ID],MATCH("B"&amp;MID($A210,2,99),tblBatidas[Início vinculado],0))&lt;&gt;E210,INDEX(tblBatidas[Projeto],MATCH("B"&amp;MID($A210,2,99),tblBatidas[Início vinculado],0))&lt;&gt;G210,INDEX(tblBatidas[Atividade],MATCH("B"&amp;MID($A210,2,99),tblBatidas[Início vinculado],0))&lt;&gt;H210),"REVISAR","CONCLUÍDO")))</f>
        <v>CONCLUÍDO</v>
      </c>
      <c r="R210">
        <f>IF(Q210&lt;&gt;"CONCLUÍDO",0,IF(COUNTIFS($E$5:E210,E210,$B$5:B210,B210,$Q$5:Q210,"CONCLUÍDO")=1,1,0))</f>
        <v>1</v>
      </c>
      <c r="S210" t="str">
        <f t="shared" si="15"/>
        <v>yyyy-09</v>
      </c>
      <c r="T210">
        <f>IF(E210="","",E210*100000+COUNTIFS(tblRegistros[ID],E210,tblRegistros[Data],"&lt;"&amp;B210)+COUNTIFS(tblRegistros[ID],E210,tblRegistros[Data],B210,tblRegistros[Início],"&lt;"&amp;I210)+COUNTIFS($E$5:E210,E210,$B$5:B210,B210,$I$5:I210,I210))</f>
        <v>100100022</v>
      </c>
    </row>
    <row r="211" spans="1:20">
      <c r="A211" t="s">
        <v>303</v>
      </c>
      <c r="B211" s="2">
        <f>IFERROR(INT(INDEX(tblBatidas[Data e hora],MATCH("B"&amp;MID($A211,2,99),tblBatidas[Batida ID],0))),"")</f>
        <v>46272</v>
      </c>
      <c r="C211" t="str">
        <f t="shared" si="12"/>
        <v>SEGUNDA-FEIRA</v>
      </c>
      <c r="D211" t="str">
        <f t="shared" si="13"/>
        <v>DIA ÚTIL</v>
      </c>
      <c r="E211">
        <f>IFERROR(INDEX(tblBatidas[ID],MATCH("B"&amp;MID($A211,2,99),tblBatidas[Batida ID],0)),"")</f>
        <v>1012</v>
      </c>
      <c r="F211" t="str">
        <f>IFERROR(INDEX(tblPessoas[Pessoa],MATCH(E211,tblPessoas[ID],0)),"")</f>
        <v>Nelma Lucia dos S. B. Brandão</v>
      </c>
      <c r="G211" t="str">
        <f>IFERROR(INDEX(tblBatidas[Projeto],MATCH("B"&amp;MID($A211,2,99),tblBatidas[Batida ID],0)),"")</f>
        <v>TOOLKIT</v>
      </c>
      <c r="H211" t="str">
        <f>IFERROR(INDEX(tblBatidas[Atividade],MATCH("B"&amp;MID($A211,2,99),tblBatidas[Batida ID],0)),"")</f>
        <v>ADMINISTRATIVO</v>
      </c>
      <c r="I211" s="4">
        <f>IFERROR(MOD(INDEX(tblBatidas[Data e hora],MATCH("B"&amp;MID($A211,2,99),tblBatidas[Batida ID],0)),1),"")</f>
        <v>0.48520833333168412</v>
      </c>
      <c r="J211" s="4" t="str">
        <f>IFERROR(MOD(INDEX(tblBatidas[Data e hora],MATCH("B"&amp;MID($A211,2,99),tblBatidas[Início vinculado],0)),1),"")</f>
        <v/>
      </c>
      <c r="K211" s="14" t="str">
        <f>IFERROR((INDEX(tblBatidas[Data e hora],MATCH("B"&amp;MID($A211,2,99),tblBatidas[Início vinculado],0))-INDEX(tblBatidas[Data e hora],MATCH("B"&amp;MID($A211,2,99),tblBatidas[Batida ID],0)))*24,"")</f>
        <v/>
      </c>
      <c r="L211" t="str">
        <f>IFERROR(INDEX(tblBatidas[Observação],MATCH("B"&amp;MID($A211,2,99),tblBatidas[Início vinculado],0)),"")</f>
        <v/>
      </c>
      <c r="M211" t="str">
        <f>IFERROR(INDEX(tblPessoas[Base],MATCH(E211,tblPessoas[ID],0)),"")</f>
        <v>Diária</v>
      </c>
      <c r="N211" s="3">
        <f>IFERROR(IF(D211="DIA ÚTIL",INDEX(tblPessoas[R$/h útil],MATCH(E211,tblPessoas[ID],0)),INDEX(tblPessoas[R$/h FDS],MATCH(E211,tblPessoas[ID],0))),0)</f>
        <v>0</v>
      </c>
      <c r="O211" s="3">
        <f>IFERROR(INDEX(tblPessoas[R$/diária],MATCH(E211,tblPessoas[ID],0)),0)</f>
        <v>222.72</v>
      </c>
      <c r="P211" s="3" t="str">
        <f t="shared" si="14"/>
        <v/>
      </c>
      <c r="Q211" t="str">
        <f>IF(A211="","",IF(COUNTIF(tblBatidas[Início vinculado],"B"&amp;MID($A211,2,99))=0,"EM ABERTO",IF(OR(COUNTIF(tblBatidas[Início vinculado],"B"&amp;MID($A211,2,99))&gt;1,K211&lt;0,K211&gt;16,INT(INDEX(tblBatidas[Data e hora],MATCH("B"&amp;MID($A211,2,99),tblBatidas[Início vinculado],0)))&lt;&gt;B211,INDEX(tblBatidas[ID],MATCH("B"&amp;MID($A211,2,99),tblBatidas[Início vinculado],0))&lt;&gt;E211,INDEX(tblBatidas[Projeto],MATCH("B"&amp;MID($A211,2,99),tblBatidas[Início vinculado],0))&lt;&gt;G211,INDEX(tblBatidas[Atividade],MATCH("B"&amp;MID($A211,2,99),tblBatidas[Início vinculado],0))&lt;&gt;H211),"REVISAR","CONCLUÍDO")))</f>
        <v>EM ABERTO</v>
      </c>
      <c r="R211">
        <f>IF(Q211&lt;&gt;"CONCLUÍDO",0,IF(COUNTIFS($E$5:E211,E211,$B$5:B211,B211,$Q$5:Q211,"CONCLUÍDO")=1,1,0))</f>
        <v>0</v>
      </c>
      <c r="S211" t="str">
        <f t="shared" si="15"/>
        <v>yyyy-09</v>
      </c>
      <c r="T211">
        <f>IF(E211="","",E211*100000+COUNTIFS(tblRegistros[ID],E211,tblRegistros[Data],"&lt;"&amp;B211)+COUNTIFS(tblRegistros[ID],E211,tblRegistros[Data],B211,tblRegistros[Início],"&lt;"&amp;I211)+COUNTIFS($E$5:E211,E211,$B$5:B211,B211,$I$5:I211,I211))</f>
        <v>101200028</v>
      </c>
    </row>
    <row r="212" spans="1:20">
      <c r="A212" t="s">
        <v>304</v>
      </c>
      <c r="B212" s="2">
        <f>IFERROR(INT(INDEX(tblBatidas[Data e hora],MATCH("B"&amp;MID($A212,2,99),tblBatidas[Batida ID],0))),"")</f>
        <v>46272</v>
      </c>
      <c r="C212" t="str">
        <f t="shared" si="12"/>
        <v>SEGUNDA-FEIRA</v>
      </c>
      <c r="D212" t="str">
        <f t="shared" si="13"/>
        <v>DIA ÚTIL</v>
      </c>
      <c r="E212">
        <f>IFERROR(INDEX(tblBatidas[ID],MATCH("B"&amp;MID($A212,2,99),tblBatidas[Batida ID],0)),"")</f>
        <v>1002</v>
      </c>
      <c r="F212" t="str">
        <f>IFERROR(INDEX(tblPessoas[Pessoa],MATCH(E212,tblPessoas[ID],0)),"")</f>
        <v>Alex de Almeida Mariano</v>
      </c>
      <c r="G212" t="str">
        <f>IFERROR(INDEX(tblBatidas[Projeto],MATCH("B"&amp;MID($A212,2,99),tblBatidas[Batida ID],0)),"")</f>
        <v>TOOLKIT</v>
      </c>
      <c r="H212" t="str">
        <f>IFERROR(INDEX(tblBatidas[Atividade],MATCH("B"&amp;MID($A212,2,99),tblBatidas[Batida ID],0)),"")</f>
        <v>ANÁLISE</v>
      </c>
      <c r="I212" s="4">
        <f>IFERROR(MOD(INDEX(tblBatidas[Data e hora],MATCH("B"&amp;MID($A212,2,99),tblBatidas[Batida ID],0)),1),"")</f>
        <v>0.54054398147854954</v>
      </c>
      <c r="J212" s="4">
        <f>IFERROR(MOD(INDEX(tblBatidas[Data e hora],MATCH("B"&amp;MID($A212,2,99),tblBatidas[Início vinculado],0)),1),"")</f>
        <v>0.74689814815064892</v>
      </c>
      <c r="K212" s="14">
        <f>IFERROR((INDEX(tblBatidas[Data e hora],MATCH("B"&amp;MID($A212,2,99),tblBatidas[Início vinculado],0))-INDEX(tblBatidas[Data e hora],MATCH("B"&amp;MID($A212,2,99),tblBatidas[Batida ID],0)))*24,"")</f>
        <v>4.9525000001303852</v>
      </c>
      <c r="L212">
        <f>IFERROR(INDEX(tblBatidas[Observação],MATCH("B"&amp;MID($A212,2,99),tblBatidas[Início vinculado],0)),"")</f>
        <v>0</v>
      </c>
      <c r="M212" t="str">
        <f>IFERROR(INDEX(tblPessoas[Base],MATCH(E212,tblPessoas[ID],0)),"")</f>
        <v>Hora</v>
      </c>
      <c r="N212" s="3">
        <f>IFERROR(IF(D212="DIA ÚTIL",INDEX(tblPessoas[R$/h útil],MATCH(E212,tblPessoas[ID],0)),INDEX(tblPessoas[R$/h FDS],MATCH(E212,tblPessoas[ID],0))),0)</f>
        <v>23.5</v>
      </c>
      <c r="O212" s="3">
        <f>IFERROR(INDEX(tblPessoas[R$/diária],MATCH(E212,tblPessoas[ID],0)),0)</f>
        <v>0</v>
      </c>
      <c r="P212" s="3">
        <f t="shared" si="14"/>
        <v>116.38375000306405</v>
      </c>
      <c r="Q212" t="str">
        <f>IF(A212="","",IF(COUNTIF(tblBatidas[Início vinculado],"B"&amp;MID($A212,2,99))=0,"EM ABERTO",IF(OR(COUNTIF(tblBatidas[Início vinculado],"B"&amp;MID($A212,2,99))&gt;1,K212&lt;0,K212&gt;16,INT(INDEX(tblBatidas[Data e hora],MATCH("B"&amp;MID($A212,2,99),tblBatidas[Início vinculado],0)))&lt;&gt;B212,INDEX(tblBatidas[ID],MATCH("B"&amp;MID($A212,2,99),tblBatidas[Início vinculado],0))&lt;&gt;E212,INDEX(tblBatidas[Projeto],MATCH("B"&amp;MID($A212,2,99),tblBatidas[Início vinculado],0))&lt;&gt;G212,INDEX(tblBatidas[Atividade],MATCH("B"&amp;MID($A212,2,99),tblBatidas[Início vinculado],0))&lt;&gt;H212),"REVISAR","CONCLUÍDO")))</f>
        <v>CONCLUÍDO</v>
      </c>
      <c r="R212">
        <f>IF(Q212&lt;&gt;"CONCLUÍDO",0,IF(COUNTIFS($E$5:E212,E212,$B$5:B212,B212,$Q$5:Q212,"CONCLUÍDO")=1,1,0))</f>
        <v>1</v>
      </c>
      <c r="S212" t="str">
        <f t="shared" si="15"/>
        <v>yyyy-09</v>
      </c>
      <c r="T212">
        <f>IF(E212="","",E212*100000+COUNTIFS(tblRegistros[ID],E212,tblRegistros[Data],"&lt;"&amp;B212)+COUNTIFS(tblRegistros[ID],E212,tblRegistros[Data],B212,tblRegistros[Início],"&lt;"&amp;I212)+COUNTIFS($E$5:E212,E212,$B$5:B212,B212,$I$5:I212,I212))</f>
        <v>100200011</v>
      </c>
    </row>
    <row r="213" spans="1:20">
      <c r="A213" t="s">
        <v>305</v>
      </c>
      <c r="B213" s="2">
        <f>IFERROR(INT(INDEX(tblBatidas[Data e hora],MATCH("B"&amp;MID($A213,2,99),tblBatidas[Batida ID],0))),"")</f>
        <v>46272</v>
      </c>
      <c r="C213" t="str">
        <f t="shared" si="12"/>
        <v>SEGUNDA-FEIRA</v>
      </c>
      <c r="D213" t="str">
        <f t="shared" si="13"/>
        <v>DIA ÚTIL</v>
      </c>
      <c r="E213">
        <f>IFERROR(INDEX(tblBatidas[ID],MATCH("B"&amp;MID($A213,2,99),tblBatidas[Batida ID],0)),"")</f>
        <v>1003</v>
      </c>
      <c r="F213" t="str">
        <f>IFERROR(INDEX(tblPessoas[Pessoa],MATCH(E213,tblPessoas[ID],0)),"")</f>
        <v>Amanda do Carmo Ribeiro</v>
      </c>
      <c r="G213" t="str">
        <f>IFERROR(INDEX(tblBatidas[Projeto],MATCH("B"&amp;MID($A213,2,99),tblBatidas[Batida ID],0)),"")</f>
        <v>TOOLKIT</v>
      </c>
      <c r="H213" t="str">
        <f>IFERROR(INDEX(tblBatidas[Atividade],MATCH("B"&amp;MID($A213,2,99),tblBatidas[Batida ID],0)),"")</f>
        <v>ANÁLISE</v>
      </c>
      <c r="I213" s="4">
        <f>IFERROR(MOD(INDEX(tblBatidas[Data e hora],MATCH("B"&amp;MID($A213,2,99),tblBatidas[Batida ID],0)),1),"")</f>
        <v>0.54218750000291038</v>
      </c>
      <c r="J213" s="4">
        <f>IFERROR(MOD(INDEX(tblBatidas[Data e hora],MATCH("B"&amp;MID($A213,2,99),tblBatidas[Início vinculado],0)),1),"")</f>
        <v>0.76313657407445135</v>
      </c>
      <c r="K213" s="14">
        <f>IFERROR((INDEX(tblBatidas[Data e hora],MATCH("B"&amp;MID($A213,2,99),tblBatidas[Início vinculado],0))-INDEX(tblBatidas[Data e hora],MATCH("B"&amp;MID($A213,2,99),tblBatidas[Batida ID],0)))*24,"")</f>
        <v>5.3027777777169831</v>
      </c>
      <c r="L213">
        <f>IFERROR(INDEX(tblBatidas[Observação],MATCH("B"&amp;MID($A213,2,99),tblBatidas[Início vinculado],0)),"")</f>
        <v>0</v>
      </c>
      <c r="M213" t="str">
        <f>IFERROR(INDEX(tblPessoas[Base],MATCH(E213,tblPessoas[ID],0)),"")</f>
        <v>Hora</v>
      </c>
      <c r="N213" s="3">
        <f>IFERROR(IF(D213="DIA ÚTIL",INDEX(tblPessoas[R$/h útil],MATCH(E213,tblPessoas[ID],0)),INDEX(tblPessoas[R$/h FDS],MATCH(E213,tblPessoas[ID],0))),0)</f>
        <v>23.5</v>
      </c>
      <c r="O213" s="3">
        <f>IFERROR(INDEX(tblPessoas[R$/diária],MATCH(E213,tblPessoas[ID],0)),0)</f>
        <v>0</v>
      </c>
      <c r="P213" s="3">
        <f t="shared" si="14"/>
        <v>124.6152777763491</v>
      </c>
      <c r="Q213" t="str">
        <f>IF(A213="","",IF(COUNTIF(tblBatidas[Início vinculado],"B"&amp;MID($A213,2,99))=0,"EM ABERTO",IF(OR(COUNTIF(tblBatidas[Início vinculado],"B"&amp;MID($A213,2,99))&gt;1,K213&lt;0,K213&gt;16,INT(INDEX(tblBatidas[Data e hora],MATCH("B"&amp;MID($A213,2,99),tblBatidas[Início vinculado],0)))&lt;&gt;B213,INDEX(tblBatidas[ID],MATCH("B"&amp;MID($A213,2,99),tblBatidas[Início vinculado],0))&lt;&gt;E213,INDEX(tblBatidas[Projeto],MATCH("B"&amp;MID($A213,2,99),tblBatidas[Início vinculado],0))&lt;&gt;G213,INDEX(tblBatidas[Atividade],MATCH("B"&amp;MID($A213,2,99),tblBatidas[Início vinculado],0))&lt;&gt;H213),"REVISAR","CONCLUÍDO")))</f>
        <v>CONCLUÍDO</v>
      </c>
      <c r="R213">
        <f>IF(Q213&lt;&gt;"CONCLUÍDO",0,IF(COUNTIFS($E$5:E213,E213,$B$5:B213,B213,$Q$5:Q213,"CONCLUÍDO")=1,1,0))</f>
        <v>1</v>
      </c>
      <c r="S213" t="str">
        <f t="shared" si="15"/>
        <v>yyyy-09</v>
      </c>
      <c r="T213">
        <f>IF(E213="","",E213*100000+COUNTIFS(tblRegistros[ID],E213,tblRegistros[Data],"&lt;"&amp;B213)+COUNTIFS(tblRegistros[ID],E213,tblRegistros[Data],B213,tblRegistros[Início],"&lt;"&amp;I213)+COUNTIFS($E$5:E213,E213,$B$5:B213,B213,$I$5:I213,I213))</f>
        <v>100300020</v>
      </c>
    </row>
    <row r="214" spans="1:20">
      <c r="A214" t="s">
        <v>306</v>
      </c>
      <c r="B214" s="2">
        <f>IFERROR(INT(INDEX(tblBatidas[Data e hora],MATCH("B"&amp;MID($A214,2,99),tblBatidas[Batida ID],0))),"")</f>
        <v>46272</v>
      </c>
      <c r="C214" t="str">
        <f t="shared" si="12"/>
        <v>SEGUNDA-FEIRA</v>
      </c>
      <c r="D214" t="str">
        <f t="shared" si="13"/>
        <v>DIA ÚTIL</v>
      </c>
      <c r="E214">
        <f>IFERROR(INDEX(tblBatidas[ID],MATCH("B"&amp;MID($A214,2,99),tblBatidas[Batida ID],0)),"")</f>
        <v>1011</v>
      </c>
      <c r="F214" t="str">
        <f>IFERROR(INDEX(tblPessoas[Pessoa],MATCH(E214,tblPessoas[ID],0)),"")</f>
        <v>Nathalia Arruda</v>
      </c>
      <c r="G214" t="str">
        <f>IFERROR(INDEX(tblBatidas[Projeto],MATCH("B"&amp;MID($A214,2,99),tblBatidas[Batida ID],0)),"")</f>
        <v>TOOLKIT</v>
      </c>
      <c r="H214" t="str">
        <f>IFERROR(INDEX(tblBatidas[Atividade],MATCH("B"&amp;MID($A214,2,99),tblBatidas[Batida ID],0)),"")</f>
        <v>ANÁLISE</v>
      </c>
      <c r="I214" s="4">
        <f>IFERROR(MOD(INDEX(tblBatidas[Data e hora],MATCH("B"&amp;MID($A214,2,99),tblBatidas[Batida ID],0)),1),"")</f>
        <v>0.58472222222189885</v>
      </c>
      <c r="J214" s="4">
        <f>IFERROR(MOD(INDEX(tblBatidas[Data e hora],MATCH("B"&amp;MID($A214,2,99),tblBatidas[Início vinculado],0)),1),"")</f>
        <v>0.7722685185217415</v>
      </c>
      <c r="K214" s="14">
        <f>IFERROR((INDEX(tblBatidas[Data e hora],MATCH("B"&amp;MID($A214,2,99),tblBatidas[Início vinculado],0))-INDEX(tblBatidas[Data e hora],MATCH("B"&amp;MID($A214,2,99),tblBatidas[Batida ID],0)))*24,"")</f>
        <v>4.5011111111962236</v>
      </c>
      <c r="L214">
        <f>IFERROR(INDEX(tblBatidas[Observação],MATCH("B"&amp;MID($A214,2,99),tblBatidas[Início vinculado],0)),"")</f>
        <v>0</v>
      </c>
      <c r="M214" t="str">
        <f>IFERROR(INDEX(tblPessoas[Base],MATCH(E214,tblPessoas[ID],0)),"")</f>
        <v>Hora</v>
      </c>
      <c r="N214" s="3">
        <f>IFERROR(IF(D214="DIA ÚTIL",INDEX(tblPessoas[R$/h útil],MATCH(E214,tblPessoas[ID],0)),INDEX(tblPessoas[R$/h FDS],MATCH(E214,tblPessoas[ID],0))),0)</f>
        <v>23.5</v>
      </c>
      <c r="O214" s="3">
        <f>IFERROR(INDEX(tblPessoas[R$/diária],MATCH(E214,tblPessoas[ID],0)),0)</f>
        <v>0</v>
      </c>
      <c r="P214" s="3">
        <f t="shared" si="14"/>
        <v>105.77611111311126</v>
      </c>
      <c r="Q214" t="str">
        <f>IF(A214="","",IF(COUNTIF(tblBatidas[Início vinculado],"B"&amp;MID($A214,2,99))=0,"EM ABERTO",IF(OR(COUNTIF(tblBatidas[Início vinculado],"B"&amp;MID($A214,2,99))&gt;1,K214&lt;0,K214&gt;16,INT(INDEX(tblBatidas[Data e hora],MATCH("B"&amp;MID($A214,2,99),tblBatidas[Início vinculado],0)))&lt;&gt;B214,INDEX(tblBatidas[ID],MATCH("B"&amp;MID($A214,2,99),tblBatidas[Início vinculado],0))&lt;&gt;E214,INDEX(tblBatidas[Projeto],MATCH("B"&amp;MID($A214,2,99),tblBatidas[Início vinculado],0))&lt;&gt;G214,INDEX(tblBatidas[Atividade],MATCH("B"&amp;MID($A214,2,99),tblBatidas[Início vinculado],0))&lt;&gt;H214),"REVISAR","CONCLUÍDO")))</f>
        <v>CONCLUÍDO</v>
      </c>
      <c r="R214">
        <f>IF(Q214&lt;&gt;"CONCLUÍDO",0,IF(COUNTIFS($E$5:E214,E214,$B$5:B214,B214,$Q$5:Q214,"CONCLUÍDO")=1,1,0))</f>
        <v>0</v>
      </c>
      <c r="S214" t="str">
        <f t="shared" si="15"/>
        <v>yyyy-09</v>
      </c>
      <c r="T214">
        <f>IF(E214="","",E214*100000+COUNTIFS(tblRegistros[ID],E214,tblRegistros[Data],"&lt;"&amp;B214)+COUNTIFS(tblRegistros[ID],E214,tblRegistros[Data],B214,tblRegistros[Início],"&lt;"&amp;I214)+COUNTIFS($E$5:E214,E214,$B$5:B214,B214,$I$5:I214,I214))</f>
        <v>101100017</v>
      </c>
    </row>
    <row r="215" spans="1:20">
      <c r="A215" t="s">
        <v>307</v>
      </c>
      <c r="B215" s="2">
        <f>IFERROR(INT(INDEX(tblBatidas[Data e hora],MATCH("B"&amp;MID($A215,2,99),tblBatidas[Batida ID],0))),"")</f>
        <v>46272</v>
      </c>
      <c r="C215" t="str">
        <f t="shared" si="12"/>
        <v>SEGUNDA-FEIRA</v>
      </c>
      <c r="D215" t="str">
        <f t="shared" si="13"/>
        <v>DIA ÚTIL</v>
      </c>
      <c r="E215">
        <f>IFERROR(INDEX(tblBatidas[ID],MATCH("B"&amp;MID($A215,2,99),tblBatidas[Batida ID],0)),"")</f>
        <v>1004</v>
      </c>
      <c r="F215" t="str">
        <f>IFERROR(INDEX(tblPessoas[Pessoa],MATCH(E215,tblPessoas[ID],0)),"")</f>
        <v>Angela Bertoli</v>
      </c>
      <c r="G215" t="str">
        <f>IFERROR(INDEX(tblBatidas[Projeto],MATCH("B"&amp;MID($A215,2,99),tblBatidas[Batida ID],0)),"")</f>
        <v>OTEMPO</v>
      </c>
      <c r="H215" t="str">
        <f>IFERROR(INDEX(tblBatidas[Atividade],MATCH("B"&amp;MID($A215,2,99),tblBatidas[Batida ID],0)),"")</f>
        <v>CODIFICAÇÃO</v>
      </c>
      <c r="I215" s="4">
        <f>IFERROR(MOD(INDEX(tblBatidas[Data e hora],MATCH("B"&amp;MID($A215,2,99),tblBatidas[Batida ID],0)),1),"")</f>
        <v>0.60851851852203254</v>
      </c>
      <c r="J215" s="4">
        <f>IFERROR(MOD(INDEX(tblBatidas[Data e hora],MATCH("B"&amp;MID($A215,2,99),tblBatidas[Início vinculado],0)),1),"")</f>
        <v>0.83008101851737592</v>
      </c>
      <c r="K215" s="14">
        <f>IFERROR((INDEX(tblBatidas[Data e hora],MATCH("B"&amp;MID($A215,2,99),tblBatidas[Início vinculado],0))-INDEX(tblBatidas[Data e hora],MATCH("B"&amp;MID($A215,2,99),tblBatidas[Batida ID],0)))*24,"")</f>
        <v>5.3174999998882413</v>
      </c>
      <c r="L215">
        <f>IFERROR(INDEX(tblBatidas[Observação],MATCH("B"&amp;MID($A215,2,99),tblBatidas[Início vinculado],0)),"")</f>
        <v>0</v>
      </c>
      <c r="M215" t="str">
        <f>IFERROR(INDEX(tblPessoas[Base],MATCH(E215,tblPessoas[ID],0)),"")</f>
        <v>Hora</v>
      </c>
      <c r="N215" s="3">
        <f>IFERROR(IF(D215="DIA ÚTIL",INDEX(tblPessoas[R$/h útil],MATCH(E215,tblPessoas[ID],0)),INDEX(tblPessoas[R$/h FDS],MATCH(E215,tblPessoas[ID],0))),0)</f>
        <v>21.5</v>
      </c>
      <c r="O215" s="3">
        <f>IFERROR(INDEX(tblPessoas[R$/diária],MATCH(E215,tblPessoas[ID],0)),0)</f>
        <v>0</v>
      </c>
      <c r="P215" s="3">
        <f t="shared" si="14"/>
        <v>114.32624999759719</v>
      </c>
      <c r="Q215" t="str">
        <f>IF(A215="","",IF(COUNTIF(tblBatidas[Início vinculado],"B"&amp;MID($A215,2,99))=0,"EM ABERTO",IF(OR(COUNTIF(tblBatidas[Início vinculado],"B"&amp;MID($A215,2,99))&gt;1,K215&lt;0,K215&gt;16,INT(INDEX(tblBatidas[Data e hora],MATCH("B"&amp;MID($A215,2,99),tblBatidas[Início vinculado],0)))&lt;&gt;B215,INDEX(tblBatidas[ID],MATCH("B"&amp;MID($A215,2,99),tblBatidas[Início vinculado],0))&lt;&gt;E215,INDEX(tblBatidas[Projeto],MATCH("B"&amp;MID($A215,2,99),tblBatidas[Início vinculado],0))&lt;&gt;G215,INDEX(tblBatidas[Atividade],MATCH("B"&amp;MID($A215,2,99),tblBatidas[Início vinculado],0))&lt;&gt;H215),"REVISAR","CONCLUÍDO")))</f>
        <v>CONCLUÍDO</v>
      </c>
      <c r="R215">
        <f>IF(Q215&lt;&gt;"CONCLUÍDO",0,IF(COUNTIFS($E$5:E215,E215,$B$5:B215,B215,$Q$5:Q215,"CONCLUÍDO")=1,1,0))</f>
        <v>0</v>
      </c>
      <c r="S215" t="str">
        <f t="shared" si="15"/>
        <v>yyyy-09</v>
      </c>
      <c r="T215">
        <f>IF(E215="","",E215*100000+COUNTIFS(tblRegistros[ID],E215,tblRegistros[Data],"&lt;"&amp;B215)+COUNTIFS(tblRegistros[ID],E215,tblRegistros[Data],B215,tblRegistros[Início],"&lt;"&amp;I215)+COUNTIFS($E$5:E215,E215,$B$5:B215,B215,$I$5:I215,I215))</f>
        <v>100400014</v>
      </c>
    </row>
    <row r="216" spans="1:20">
      <c r="A216" t="s">
        <v>308</v>
      </c>
      <c r="B216" s="2">
        <f>IFERROR(INT(INDEX(tblBatidas[Data e hora],MATCH("B"&amp;MID($A216,2,99),tblBatidas[Batida ID],0))),"")</f>
        <v>46272</v>
      </c>
      <c r="C216" t="str">
        <f t="shared" si="12"/>
        <v>SEGUNDA-FEIRA</v>
      </c>
      <c r="D216" t="str">
        <f t="shared" si="13"/>
        <v>DIA ÚTIL</v>
      </c>
      <c r="E216">
        <f>IFERROR(INDEX(tblBatidas[ID],MATCH("B"&amp;MID($A216,2,99),tblBatidas[Batida ID],0)),"")</f>
        <v>1013</v>
      </c>
      <c r="F216" t="str">
        <f>IFERROR(INDEX(tblPessoas[Pessoa],MATCH(E216,tblPessoas[ID],0)),"")</f>
        <v>Rafaela Maria Resende Lara</v>
      </c>
      <c r="G216" t="str">
        <f>IFERROR(INDEX(tblBatidas[Projeto],MATCH("B"&amp;MID($A216,2,99),tblBatidas[Batida ID],0)),"")</f>
        <v>TOOLKIT</v>
      </c>
      <c r="H216" t="str">
        <f>IFERROR(INDEX(tblBatidas[Atividade],MATCH("B"&amp;MID($A216,2,99),tblBatidas[Batida ID],0)),"")</f>
        <v>ANÁLISE</v>
      </c>
      <c r="I216" s="4">
        <f>IFERROR(MOD(INDEX(tblBatidas[Data e hora],MATCH("B"&amp;MID($A216,2,99),tblBatidas[Batida ID],0)),1),"")</f>
        <v>0.61305555555736646</v>
      </c>
      <c r="J216" s="4">
        <f>IFERROR(MOD(INDEX(tblBatidas[Data e hora],MATCH("B"&amp;MID($A216,2,99),tblBatidas[Início vinculado],0)),1),"")</f>
        <v>0.77874999999767169</v>
      </c>
      <c r="K216" s="14">
        <f>IFERROR((INDEX(tblBatidas[Data e hora],MATCH("B"&amp;MID($A216,2,99),tblBatidas[Início vinculado],0))-INDEX(tblBatidas[Data e hora],MATCH("B"&amp;MID($A216,2,99),tblBatidas[Batida ID],0)))*24,"")</f>
        <v>3.9766666665673256</v>
      </c>
      <c r="L216">
        <f>IFERROR(INDEX(tblBatidas[Observação],MATCH("B"&amp;MID($A216,2,99),tblBatidas[Início vinculado],0)),"")</f>
        <v>0</v>
      </c>
      <c r="M216" t="str">
        <f>IFERROR(INDEX(tblPessoas[Base],MATCH(E216,tblPessoas[ID],0)),"")</f>
        <v>Hora</v>
      </c>
      <c r="N216" s="3">
        <f>IFERROR(IF(D216="DIA ÚTIL",INDEX(tblPessoas[R$/h útil],MATCH(E216,tblPessoas[ID],0)),INDEX(tblPessoas[R$/h FDS],MATCH(E216,tblPessoas[ID],0))),0)</f>
        <v>23.5</v>
      </c>
      <c r="O216" s="3">
        <f>IFERROR(INDEX(tblPessoas[R$/diária],MATCH(E216,tblPessoas[ID],0)),0)</f>
        <v>0</v>
      </c>
      <c r="P216" s="3">
        <f t="shared" si="14"/>
        <v>93.451666664332151</v>
      </c>
      <c r="Q216" t="str">
        <f>IF(A216="","",IF(COUNTIF(tblBatidas[Início vinculado],"B"&amp;MID($A216,2,99))=0,"EM ABERTO",IF(OR(COUNTIF(tblBatidas[Início vinculado],"B"&amp;MID($A216,2,99))&gt;1,K216&lt;0,K216&gt;16,INT(INDEX(tblBatidas[Data e hora],MATCH("B"&amp;MID($A216,2,99),tblBatidas[Início vinculado],0)))&lt;&gt;B216,INDEX(tblBatidas[ID],MATCH("B"&amp;MID($A216,2,99),tblBatidas[Início vinculado],0))&lt;&gt;E216,INDEX(tblBatidas[Projeto],MATCH("B"&amp;MID($A216,2,99),tblBatidas[Início vinculado],0))&lt;&gt;G216,INDEX(tblBatidas[Atividade],MATCH("B"&amp;MID($A216,2,99),tblBatidas[Início vinculado],0))&lt;&gt;H216),"REVISAR","CONCLUÍDO")))</f>
        <v>CONCLUÍDO</v>
      </c>
      <c r="R216">
        <f>IF(Q216&lt;&gt;"CONCLUÍDO",0,IF(COUNTIFS($E$5:E216,E216,$B$5:B216,B216,$Q$5:Q216,"CONCLUÍDO")=1,1,0))</f>
        <v>0</v>
      </c>
      <c r="S216" t="str">
        <f t="shared" si="15"/>
        <v>yyyy-09</v>
      </c>
      <c r="T216">
        <f>IF(E216="","",E216*100000+COUNTIFS(tblRegistros[ID],E216,tblRegistros[Data],"&lt;"&amp;B216)+COUNTIFS(tblRegistros[ID],E216,tblRegistros[Data],B216,tblRegistros[Início],"&lt;"&amp;I216)+COUNTIFS($E$5:E216,E216,$B$5:B216,B216,$I$5:I216,I216))</f>
        <v>101300021</v>
      </c>
    </row>
    <row r="217" spans="1:20">
      <c r="A217" t="s">
        <v>309</v>
      </c>
      <c r="B217" s="2">
        <f>IFERROR(INT(INDEX(tblBatidas[Data e hora],MATCH("B"&amp;MID($A217,2,99),tblBatidas[Batida ID],0))),"")</f>
        <v>46272</v>
      </c>
      <c r="C217" t="str">
        <f t="shared" si="12"/>
        <v>SEGUNDA-FEIRA</v>
      </c>
      <c r="D217" t="str">
        <f t="shared" si="13"/>
        <v>DIA ÚTIL</v>
      </c>
      <c r="E217">
        <f>IFERROR(INDEX(tblBatidas[ID],MATCH("B"&amp;MID($A217,2,99),tblBatidas[Batida ID],0)),"")</f>
        <v>1001</v>
      </c>
      <c r="F217" t="str">
        <f>IFERROR(INDEX(tblPessoas[Pessoa],MATCH(E217,tblPessoas[ID],0)),"")</f>
        <v>Adriana Pereira dos Santos</v>
      </c>
      <c r="G217" t="str">
        <f>IFERROR(INDEX(tblBatidas[Projeto],MATCH("B"&amp;MID($A217,2,99),tblBatidas[Batida ID],0)),"")</f>
        <v>SICOOB CREDICOM</v>
      </c>
      <c r="H217" t="str">
        <f>IFERROR(INDEX(tblBatidas[Atividade],MATCH("B"&amp;MID($A217,2,99),tblBatidas[Batida ID],0)),"")</f>
        <v>SUPERVISÃO</v>
      </c>
      <c r="I217" s="4">
        <f>IFERROR(MOD(INDEX(tblBatidas[Data e hora],MATCH("B"&amp;MID($A217,2,99),tblBatidas[Batida ID],0)),1),"")</f>
        <v>0.73579861110920319</v>
      </c>
      <c r="J217" s="4">
        <f>IFERROR(MOD(INDEX(tblBatidas[Data e hora],MATCH("B"&amp;MID($A217,2,99),tblBatidas[Início vinculado],0)),1),"")</f>
        <v>0.76611111110833008</v>
      </c>
      <c r="K217" s="14">
        <f>IFERROR((INDEX(tblBatidas[Data e hora],MATCH("B"&amp;MID($A217,2,99),tblBatidas[Início vinculado],0))-INDEX(tblBatidas[Data e hora],MATCH("B"&amp;MID($A217,2,99),tblBatidas[Batida ID],0)))*24,"")</f>
        <v>0.72749999997904524</v>
      </c>
      <c r="L217">
        <f>IFERROR(INDEX(tblBatidas[Observação],MATCH("B"&amp;MID($A217,2,99),tblBatidas[Início vinculado],0)),"")</f>
        <v>0</v>
      </c>
      <c r="M217" t="str">
        <f>IFERROR(INDEX(tblPessoas[Base],MATCH(E217,tblPessoas[ID],0)),"")</f>
        <v>Hora</v>
      </c>
      <c r="N217" s="3">
        <f>IFERROR(IF(D217="DIA ÚTIL",INDEX(tblPessoas[R$/h útil],MATCH(E217,tblPessoas[ID],0)),INDEX(tblPessoas[R$/h FDS],MATCH(E217,tblPessoas[ID],0))),0)</f>
        <v>17</v>
      </c>
      <c r="O217" s="3">
        <f>IFERROR(INDEX(tblPessoas[R$/diária],MATCH(E217,tblPessoas[ID],0)),0)</f>
        <v>0</v>
      </c>
      <c r="P217" s="3">
        <f t="shared" si="14"/>
        <v>12.367499999643769</v>
      </c>
      <c r="Q217" t="str">
        <f>IF(A217="","",IF(COUNTIF(tblBatidas[Início vinculado],"B"&amp;MID($A217,2,99))=0,"EM ABERTO",IF(OR(COUNTIF(tblBatidas[Início vinculado],"B"&amp;MID($A217,2,99))&gt;1,K217&lt;0,K217&gt;16,INT(INDEX(tblBatidas[Data e hora],MATCH("B"&amp;MID($A217,2,99),tblBatidas[Início vinculado],0)))&lt;&gt;B217,INDEX(tblBatidas[ID],MATCH("B"&amp;MID($A217,2,99),tblBatidas[Início vinculado],0))&lt;&gt;E217,INDEX(tblBatidas[Projeto],MATCH("B"&amp;MID($A217,2,99),tblBatidas[Início vinculado],0))&lt;&gt;G217,INDEX(tblBatidas[Atividade],MATCH("B"&amp;MID($A217,2,99),tblBatidas[Início vinculado],0))&lt;&gt;H217),"REVISAR","CONCLUÍDO")))</f>
        <v>CONCLUÍDO</v>
      </c>
      <c r="R217">
        <f>IF(Q217&lt;&gt;"CONCLUÍDO",0,IF(COUNTIFS($E$5:E217,E217,$B$5:B217,B217,$Q$5:Q217,"CONCLUÍDO")=1,1,0))</f>
        <v>0</v>
      </c>
      <c r="S217" t="str">
        <f t="shared" si="15"/>
        <v>yyyy-09</v>
      </c>
      <c r="T217">
        <f>IF(E217="","",E217*100000+COUNTIFS(tblRegistros[ID],E217,tblRegistros[Data],"&lt;"&amp;B217)+COUNTIFS(tblRegistros[ID],E217,tblRegistros[Data],B217,tblRegistros[Início],"&lt;"&amp;I217)+COUNTIFS($E$5:E217,E217,$B$5:B217,B217,$I$5:I217,I217))</f>
        <v>100100023</v>
      </c>
    </row>
    <row r="218" spans="1:20">
      <c r="A218" t="s">
        <v>310</v>
      </c>
      <c r="B218" s="2">
        <f>IFERROR(INT(INDEX(tblBatidas[Data e hora],MATCH("B"&amp;MID($A218,2,99),tblBatidas[Batida ID],0))),"")</f>
        <v>46273</v>
      </c>
      <c r="C218" t="str">
        <f t="shared" si="12"/>
        <v>TERÇA-FEIRA</v>
      </c>
      <c r="D218" t="str">
        <f t="shared" si="13"/>
        <v>DIA ÚTIL</v>
      </c>
      <c r="E218">
        <f>IFERROR(INDEX(tblBatidas[ID],MATCH("B"&amp;MID($A218,2,99),tblBatidas[Batida ID],0)),"")</f>
        <v>1011</v>
      </c>
      <c r="F218" t="str">
        <f>IFERROR(INDEX(tblPessoas[Pessoa],MATCH(E218,tblPessoas[ID],0)),"")</f>
        <v>Nathalia Arruda</v>
      </c>
      <c r="G218" t="str">
        <f>IFERROR(INDEX(tblBatidas[Projeto],MATCH("B"&amp;MID($A218,2,99),tblBatidas[Batida ID],0)),"")</f>
        <v>OTEMPO</v>
      </c>
      <c r="H218" t="str">
        <f>IFERROR(INDEX(tblBatidas[Atividade],MATCH("B"&amp;MID($A218,2,99),tblBatidas[Batida ID],0)),"")</f>
        <v>ANÁLISE</v>
      </c>
      <c r="I218" s="4">
        <f>IFERROR(MOD(INDEX(tblBatidas[Data e hora],MATCH("B"&amp;MID($A218,2,99),tblBatidas[Batida ID],0)),1),"")</f>
        <v>0.32976851851708489</v>
      </c>
      <c r="J218" s="4">
        <f>IFERROR(MOD(INDEX(tblBatidas[Data e hora],MATCH("B"&amp;MID($A218,2,99),tblBatidas[Início vinculado],0)),1),"")</f>
        <v>0.51782407407154096</v>
      </c>
      <c r="K218" s="14">
        <f>IFERROR((INDEX(tblBatidas[Data e hora],MATCH("B"&amp;MID($A218,2,99),tblBatidas[Início vinculado],0))-INDEX(tblBatidas[Data e hora],MATCH("B"&amp;MID($A218,2,99),tblBatidas[Batida ID],0)))*24,"")</f>
        <v>4.5133333333069459</v>
      </c>
      <c r="L218">
        <f>IFERROR(INDEX(tblBatidas[Observação],MATCH("B"&amp;MID($A218,2,99),tblBatidas[Início vinculado],0)),"")</f>
        <v>0</v>
      </c>
      <c r="M218" t="str">
        <f>IFERROR(INDEX(tblPessoas[Base],MATCH(E218,tblPessoas[ID],0)),"")</f>
        <v>Hora</v>
      </c>
      <c r="N218" s="3">
        <f>IFERROR(IF(D218="DIA ÚTIL",INDEX(tblPessoas[R$/h útil],MATCH(E218,tblPessoas[ID],0)),INDEX(tblPessoas[R$/h FDS],MATCH(E218,tblPessoas[ID],0))),0)</f>
        <v>23.5</v>
      </c>
      <c r="O218" s="3">
        <f>IFERROR(INDEX(tblPessoas[R$/diária],MATCH(E218,tblPessoas[ID],0)),0)</f>
        <v>0</v>
      </c>
      <c r="P218" s="3">
        <f t="shared" si="14"/>
        <v>106.06333333271323</v>
      </c>
      <c r="Q218" t="str">
        <f>IF(A218="","",IF(COUNTIF(tblBatidas[Início vinculado],"B"&amp;MID($A218,2,99))=0,"EM ABERTO",IF(OR(COUNTIF(tblBatidas[Início vinculado],"B"&amp;MID($A218,2,99))&gt;1,K218&lt;0,K218&gt;16,INT(INDEX(tblBatidas[Data e hora],MATCH("B"&amp;MID($A218,2,99),tblBatidas[Início vinculado],0)))&lt;&gt;B218,INDEX(tblBatidas[ID],MATCH("B"&amp;MID($A218,2,99),tblBatidas[Início vinculado],0))&lt;&gt;E218,INDEX(tblBatidas[Projeto],MATCH("B"&amp;MID($A218,2,99),tblBatidas[Início vinculado],0))&lt;&gt;G218,INDEX(tblBatidas[Atividade],MATCH("B"&amp;MID($A218,2,99),tblBatidas[Início vinculado],0))&lt;&gt;H218),"REVISAR","CONCLUÍDO")))</f>
        <v>CONCLUÍDO</v>
      </c>
      <c r="R218">
        <f>IF(Q218&lt;&gt;"CONCLUÍDO",0,IF(COUNTIFS($E$5:E218,E218,$B$5:B218,B218,$Q$5:Q218,"CONCLUÍDO")=1,1,0))</f>
        <v>1</v>
      </c>
      <c r="S218" t="str">
        <f t="shared" si="15"/>
        <v>yyyy-09</v>
      </c>
      <c r="T218">
        <f>IF(E218="","",E218*100000+COUNTIFS(tblRegistros[ID],E218,tblRegistros[Data],"&lt;"&amp;B218)+COUNTIFS(tblRegistros[ID],E218,tblRegistros[Data],B218,tblRegistros[Início],"&lt;"&amp;I218)+COUNTIFS($E$5:E218,E218,$B$5:B218,B218,$I$5:I218,I218))</f>
        <v>101100018</v>
      </c>
    </row>
    <row r="219" spans="1:20">
      <c r="A219" t="s">
        <v>311</v>
      </c>
      <c r="B219" s="2">
        <f>IFERROR(INT(INDEX(tblBatidas[Data e hora],MATCH("B"&amp;MID($A219,2,99),tblBatidas[Batida ID],0))),"")</f>
        <v>46273</v>
      </c>
      <c r="C219" t="str">
        <f t="shared" si="12"/>
        <v>TERÇA-FEIRA</v>
      </c>
      <c r="D219" t="str">
        <f t="shared" si="13"/>
        <v>DIA ÚTIL</v>
      </c>
      <c r="E219">
        <f>IFERROR(INDEX(tblBatidas[ID],MATCH("B"&amp;MID($A219,2,99),tblBatidas[Batida ID],0)),"")</f>
        <v>1003</v>
      </c>
      <c r="F219" t="str">
        <f>IFERROR(INDEX(tblPessoas[Pessoa],MATCH(E219,tblPessoas[ID],0)),"")</f>
        <v>Amanda do Carmo Ribeiro</v>
      </c>
      <c r="G219" t="str">
        <f>IFERROR(INDEX(tblBatidas[Projeto],MATCH("B"&amp;MID($A219,2,99),tblBatidas[Batida ID],0)),"")</f>
        <v>TOOLKIT</v>
      </c>
      <c r="H219" t="str">
        <f>IFERROR(INDEX(tblBatidas[Atividade],MATCH("B"&amp;MID($A219,2,99),tblBatidas[Batida ID],0)),"")</f>
        <v>ANÁLISE</v>
      </c>
      <c r="I219" s="4">
        <f>IFERROR(MOD(INDEX(tblBatidas[Data e hora],MATCH("B"&amp;MID($A219,2,99),tblBatidas[Batida ID],0)),1),"")</f>
        <v>0.34586805555591127</v>
      </c>
      <c r="J219" s="4">
        <f>IFERROR(MOD(INDEX(tblBatidas[Data e hora],MATCH("B"&amp;MID($A219,2,99),tblBatidas[Início vinculado],0)),1),"")</f>
        <v>0.74702546296612127</v>
      </c>
      <c r="K219" s="14">
        <f>IFERROR((INDEX(tblBatidas[Data e hora],MATCH("B"&amp;MID($A219,2,99),tblBatidas[Início vinculado],0))-INDEX(tblBatidas[Data e hora],MATCH("B"&amp;MID($A219,2,99),tblBatidas[Batida ID],0)))*24,"")</f>
        <v>9.62777777784504</v>
      </c>
      <c r="L219">
        <f>IFERROR(INDEX(tblBatidas[Observação],MATCH("B"&amp;MID($A219,2,99),tblBatidas[Início vinculado],0)),"")</f>
        <v>0</v>
      </c>
      <c r="M219" t="str">
        <f>IFERROR(INDEX(tblPessoas[Base],MATCH(E219,tblPessoas[ID],0)),"")</f>
        <v>Hora</v>
      </c>
      <c r="N219" s="3">
        <f>IFERROR(IF(D219="DIA ÚTIL",INDEX(tblPessoas[R$/h útil],MATCH(E219,tblPessoas[ID],0)),INDEX(tblPessoas[R$/h FDS],MATCH(E219,tblPessoas[ID],0))),0)</f>
        <v>23.5</v>
      </c>
      <c r="O219" s="3">
        <f>IFERROR(INDEX(tblPessoas[R$/diária],MATCH(E219,tblPessoas[ID],0)),0)</f>
        <v>0</v>
      </c>
      <c r="P219" s="3">
        <f t="shared" si="14"/>
        <v>226.25277777935844</v>
      </c>
      <c r="Q219" t="str">
        <f>IF(A219="","",IF(COUNTIF(tblBatidas[Início vinculado],"B"&amp;MID($A219,2,99))=0,"EM ABERTO",IF(OR(COUNTIF(tblBatidas[Início vinculado],"B"&amp;MID($A219,2,99))&gt;1,K219&lt;0,K219&gt;16,INT(INDEX(tblBatidas[Data e hora],MATCH("B"&amp;MID($A219,2,99),tblBatidas[Início vinculado],0)))&lt;&gt;B219,INDEX(tblBatidas[ID],MATCH("B"&amp;MID($A219,2,99),tblBatidas[Início vinculado],0))&lt;&gt;E219,INDEX(tblBatidas[Projeto],MATCH("B"&amp;MID($A219,2,99),tblBatidas[Início vinculado],0))&lt;&gt;G219,INDEX(tblBatidas[Atividade],MATCH("B"&amp;MID($A219,2,99),tblBatidas[Início vinculado],0))&lt;&gt;H219),"REVISAR","CONCLUÍDO")))</f>
        <v>CONCLUÍDO</v>
      </c>
      <c r="R219">
        <f>IF(Q219&lt;&gt;"CONCLUÍDO",0,IF(COUNTIFS($E$5:E219,E219,$B$5:B219,B219,$Q$5:Q219,"CONCLUÍDO")=1,1,0))</f>
        <v>1</v>
      </c>
      <c r="S219" t="str">
        <f t="shared" si="15"/>
        <v>yyyy-09</v>
      </c>
      <c r="T219">
        <f>IF(E219="","",E219*100000+COUNTIFS(tblRegistros[ID],E219,tblRegistros[Data],"&lt;"&amp;B219)+COUNTIFS(tblRegistros[ID],E219,tblRegistros[Data],B219,tblRegistros[Início],"&lt;"&amp;I219)+COUNTIFS($E$5:E219,E219,$B$5:B219,B219,$I$5:I219,I219))</f>
        <v>100300021</v>
      </c>
    </row>
    <row r="220" spans="1:20">
      <c r="A220" t="s">
        <v>312</v>
      </c>
      <c r="B220" s="2">
        <f>IFERROR(INT(INDEX(tblBatidas[Data e hora],MATCH("B"&amp;MID($A220,2,99),tblBatidas[Batida ID],0))),"")</f>
        <v>46273</v>
      </c>
      <c r="C220" t="str">
        <f t="shared" si="12"/>
        <v>TERÇA-FEIRA</v>
      </c>
      <c r="D220" t="str">
        <f t="shared" si="13"/>
        <v>DIA ÚTIL</v>
      </c>
      <c r="E220">
        <f>IFERROR(INDEX(tblBatidas[ID],MATCH("B"&amp;MID($A220,2,99),tblBatidas[Batida ID],0)),"")</f>
        <v>1002</v>
      </c>
      <c r="F220" t="str">
        <f>IFERROR(INDEX(tblPessoas[Pessoa],MATCH(E220,tblPessoas[ID],0)),"")</f>
        <v>Alex de Almeida Mariano</v>
      </c>
      <c r="G220" t="str">
        <f>IFERROR(INDEX(tblBatidas[Projeto],MATCH("B"&amp;MID($A220,2,99),tblBatidas[Batida ID],0)),"")</f>
        <v>TOOLKIT</v>
      </c>
      <c r="H220" t="str">
        <f>IFERROR(INDEX(tblBatidas[Atividade],MATCH("B"&amp;MID($A220,2,99),tblBatidas[Batida ID],0)),"")</f>
        <v>ANÁLISE</v>
      </c>
      <c r="I220" s="4">
        <f>IFERROR(MOD(INDEX(tblBatidas[Data e hora],MATCH("B"&amp;MID($A220,2,99),tblBatidas[Batida ID],0)),1),"")</f>
        <v>0.35415509259473765</v>
      </c>
      <c r="J220" s="4">
        <f>IFERROR(MOD(INDEX(tblBatidas[Data e hora],MATCH("B"&amp;MID($A220,2,99),tblBatidas[Início vinculado],0)),1),"")</f>
        <v>0.51846064814890269</v>
      </c>
      <c r="K220" s="14">
        <f>IFERROR((INDEX(tblBatidas[Data e hora],MATCH("B"&amp;MID($A220,2,99),tblBatidas[Início vinculado],0))-INDEX(tblBatidas[Data e hora],MATCH("B"&amp;MID($A220,2,99),tblBatidas[Batida ID],0)))*24,"")</f>
        <v>3.9433333332999609</v>
      </c>
      <c r="L220">
        <f>IFERROR(INDEX(tblBatidas[Observação],MATCH("B"&amp;MID($A220,2,99),tblBatidas[Início vinculado],0)),"")</f>
        <v>0</v>
      </c>
      <c r="M220" t="str">
        <f>IFERROR(INDEX(tblPessoas[Base],MATCH(E220,tblPessoas[ID],0)),"")</f>
        <v>Hora</v>
      </c>
      <c r="N220" s="3">
        <f>IFERROR(IF(D220="DIA ÚTIL",INDEX(tblPessoas[R$/h útil],MATCH(E220,tblPessoas[ID],0)),INDEX(tblPessoas[R$/h FDS],MATCH(E220,tblPessoas[ID],0))),0)</f>
        <v>23.5</v>
      </c>
      <c r="O220" s="3">
        <f>IFERROR(INDEX(tblPessoas[R$/diária],MATCH(E220,tblPessoas[ID],0)),0)</f>
        <v>0</v>
      </c>
      <c r="P220" s="3">
        <f t="shared" si="14"/>
        <v>92.668333332549082</v>
      </c>
      <c r="Q220" t="str">
        <f>IF(A220="","",IF(COUNTIF(tblBatidas[Início vinculado],"B"&amp;MID($A220,2,99))=0,"EM ABERTO",IF(OR(COUNTIF(tblBatidas[Início vinculado],"B"&amp;MID($A220,2,99))&gt;1,K220&lt;0,K220&gt;16,INT(INDEX(tblBatidas[Data e hora],MATCH("B"&amp;MID($A220,2,99),tblBatidas[Início vinculado],0)))&lt;&gt;B220,INDEX(tblBatidas[ID],MATCH("B"&amp;MID($A220,2,99),tblBatidas[Início vinculado],0))&lt;&gt;E220,INDEX(tblBatidas[Projeto],MATCH("B"&amp;MID($A220,2,99),tblBatidas[Início vinculado],0))&lt;&gt;G220,INDEX(tblBatidas[Atividade],MATCH("B"&amp;MID($A220,2,99),tblBatidas[Início vinculado],0))&lt;&gt;H220),"REVISAR","CONCLUÍDO")))</f>
        <v>CONCLUÍDO</v>
      </c>
      <c r="R220">
        <f>IF(Q220&lt;&gt;"CONCLUÍDO",0,IF(COUNTIFS($E$5:E220,E220,$B$5:B220,B220,$Q$5:Q220,"CONCLUÍDO")=1,1,0))</f>
        <v>1</v>
      </c>
      <c r="S220" t="str">
        <f t="shared" si="15"/>
        <v>yyyy-09</v>
      </c>
      <c r="T220">
        <f>IF(E220="","",E220*100000+COUNTIFS(tblRegistros[ID],E220,tblRegistros[Data],"&lt;"&amp;B220)+COUNTIFS(tblRegistros[ID],E220,tblRegistros[Data],B220,tblRegistros[Início],"&lt;"&amp;I220)+COUNTIFS($E$5:E220,E220,$B$5:B220,B220,$I$5:I220,I220))</f>
        <v>100200012</v>
      </c>
    </row>
    <row r="221" spans="1:20">
      <c r="A221" t="s">
        <v>313</v>
      </c>
      <c r="B221" s="2">
        <f>IFERROR(INT(INDEX(tblBatidas[Data e hora],MATCH("B"&amp;MID($A221,2,99),tblBatidas[Batida ID],0))),"")</f>
        <v>46273</v>
      </c>
      <c r="C221" t="str">
        <f t="shared" si="12"/>
        <v>TERÇA-FEIRA</v>
      </c>
      <c r="D221" t="str">
        <f t="shared" si="13"/>
        <v>DIA ÚTIL</v>
      </c>
      <c r="E221">
        <f>IFERROR(INDEX(tblBatidas[ID],MATCH("B"&amp;MID($A221,2,99),tblBatidas[Batida ID],0)),"")</f>
        <v>1015</v>
      </c>
      <c r="F221" t="str">
        <f>IFERROR(INDEX(tblPessoas[Pessoa],MATCH(E221,tblPessoas[ID],0)),"")</f>
        <v>Vitor Guilherme Miguel Rocha</v>
      </c>
      <c r="G221" t="str">
        <f>IFERROR(INDEX(tblBatidas[Projeto],MATCH("B"&amp;MID($A221,2,99),tblBatidas[Batida ID],0)),"")</f>
        <v>ADMINISTRATIVO</v>
      </c>
      <c r="H221" t="str">
        <f>IFERROR(INDEX(tblBatidas[Atividade],MATCH("B"&amp;MID($A221,2,99),tblBatidas[Batida ID],0)),"")</f>
        <v>ADMINISTRATIVO</v>
      </c>
      <c r="I221" s="4">
        <f>IFERROR(MOD(INDEX(tblBatidas[Data e hora],MATCH("B"&amp;MID($A221,2,99),tblBatidas[Batida ID],0)),1),"")</f>
        <v>0.35981481481576338</v>
      </c>
      <c r="J221" s="4">
        <f>IFERROR(MOD(INDEX(tblBatidas[Data e hora],MATCH("B"&amp;MID($A221,2,99),tblBatidas[Início vinculado],0)),1),"")</f>
        <v>0.53752314814482816</v>
      </c>
      <c r="K221" s="14">
        <f>IFERROR((INDEX(tblBatidas[Data e hora],MATCH("B"&amp;MID($A221,2,99),tblBatidas[Início vinculado],0))-INDEX(tblBatidas[Data e hora],MATCH("B"&amp;MID($A221,2,99),tblBatidas[Batida ID],0)))*24,"")</f>
        <v>4.2649999998975545</v>
      </c>
      <c r="L221">
        <f>IFERROR(INDEX(tblBatidas[Observação],MATCH("B"&amp;MID($A221,2,99),tblBatidas[Início vinculado],0)),"")</f>
        <v>0</v>
      </c>
      <c r="M221" t="str">
        <f>IFERROR(INDEX(tblPessoas[Base],MATCH(E221,tblPessoas[ID],0)),"")</f>
        <v>Hora</v>
      </c>
      <c r="N221" s="3">
        <f>IFERROR(IF(D221="DIA ÚTIL",INDEX(tblPessoas[R$/h útil],MATCH(E221,tblPessoas[ID],0)),INDEX(tblPessoas[R$/h FDS],MATCH(E221,tblPessoas[ID],0))),0)</f>
        <v>21.5</v>
      </c>
      <c r="O221" s="3">
        <f>IFERROR(INDEX(tblPessoas[R$/diária],MATCH(E221,tblPessoas[ID],0)),0)</f>
        <v>0</v>
      </c>
      <c r="P221" s="3">
        <f t="shared" si="14"/>
        <v>91.697499997797422</v>
      </c>
      <c r="Q221" t="str">
        <f>IF(A221="","",IF(COUNTIF(tblBatidas[Início vinculado],"B"&amp;MID($A221,2,99))=0,"EM ABERTO",IF(OR(COUNTIF(tblBatidas[Início vinculado],"B"&amp;MID($A221,2,99))&gt;1,K221&lt;0,K221&gt;16,INT(INDEX(tblBatidas[Data e hora],MATCH("B"&amp;MID($A221,2,99),tblBatidas[Início vinculado],0)))&lt;&gt;B221,INDEX(tblBatidas[ID],MATCH("B"&amp;MID($A221,2,99),tblBatidas[Início vinculado],0))&lt;&gt;E221,INDEX(tblBatidas[Projeto],MATCH("B"&amp;MID($A221,2,99),tblBatidas[Início vinculado],0))&lt;&gt;G221,INDEX(tblBatidas[Atividade],MATCH("B"&amp;MID($A221,2,99),tblBatidas[Início vinculado],0))&lt;&gt;H221),"REVISAR","CONCLUÍDO")))</f>
        <v>CONCLUÍDO</v>
      </c>
      <c r="R221">
        <f>IF(Q221&lt;&gt;"CONCLUÍDO",0,IF(COUNTIFS($E$5:E221,E221,$B$5:B221,B221,$Q$5:Q221,"CONCLUÍDO")=1,1,0))</f>
        <v>1</v>
      </c>
      <c r="S221" t="str">
        <f t="shared" si="15"/>
        <v>yyyy-09</v>
      </c>
      <c r="T221">
        <f>IF(E221="","",E221*100000+COUNTIFS(tblRegistros[ID],E221,tblRegistros[Data],"&lt;"&amp;B221)+COUNTIFS(tblRegistros[ID],E221,tblRegistros[Data],B221,tblRegistros[Início],"&lt;"&amp;I221)+COUNTIFS($E$5:E221,E221,$B$5:B221,B221,$I$5:I221,I221))</f>
        <v>101500023</v>
      </c>
    </row>
    <row r="222" spans="1:20">
      <c r="A222" t="s">
        <v>314</v>
      </c>
      <c r="B222" s="2">
        <f>IFERROR(INT(INDEX(tblBatidas[Data e hora],MATCH("B"&amp;MID($A222,2,99),tblBatidas[Batida ID],0))),"")</f>
        <v>46273</v>
      </c>
      <c r="C222" t="str">
        <f t="shared" si="12"/>
        <v>TERÇA-FEIRA</v>
      </c>
      <c r="D222" t="str">
        <f t="shared" si="13"/>
        <v>DIA ÚTIL</v>
      </c>
      <c r="E222">
        <f>IFERROR(INDEX(tblBatidas[ID],MATCH("B"&amp;MID($A222,2,99),tblBatidas[Batida ID],0)),"")</f>
        <v>1006</v>
      </c>
      <c r="F222" t="str">
        <f>IFERROR(INDEX(tblPessoas[Pessoa],MATCH(E222,tblPessoas[ID],0)),"")</f>
        <v>Eliane dos Santos Oliveira</v>
      </c>
      <c r="G222" t="str">
        <f>IFERROR(INDEX(tblBatidas[Projeto],MATCH("B"&amp;MID($A222,2,99),tblBatidas[Batida ID],0)),"")</f>
        <v>OUTROS</v>
      </c>
      <c r="H222" t="str">
        <f>IFERROR(INDEX(tblBatidas[Atividade],MATCH("B"&amp;MID($A222,2,99),tblBatidas[Batida ID],0)),"")</f>
        <v>CHECAGEM</v>
      </c>
      <c r="I222" s="4">
        <f>IFERROR(MOD(INDEX(tblBatidas[Data e hora],MATCH("B"&amp;MID($A222,2,99),tblBatidas[Batida ID],0)),1),"")</f>
        <v>0.37797453703387873</v>
      </c>
      <c r="J222" s="4">
        <f>IFERROR(MOD(INDEX(tblBatidas[Data e hora],MATCH("B"&amp;MID($A222,2,99),tblBatidas[Início vinculado],0)),1),"")</f>
        <v>0.71959490740846377</v>
      </c>
      <c r="K222" s="14">
        <f>IFERROR((INDEX(tblBatidas[Data e hora],MATCH("B"&amp;MID($A222,2,99),tblBatidas[Início vinculado],0))-INDEX(tblBatidas[Data e hora],MATCH("B"&amp;MID($A222,2,99),tblBatidas[Batida ID],0)))*24,"")</f>
        <v>8.1988888889900409</v>
      </c>
      <c r="L222" t="str">
        <f>IFERROR(INDEX(tblBatidas[Observação],MATCH("B"&amp;MID($A222,2,99),tblBatidas[Início vinculado],0)),"")</f>
        <v>checagem politica betim</v>
      </c>
      <c r="M222" t="str">
        <f>IFERROR(INDEX(tblPessoas[Base],MATCH(E222,tblPessoas[ID],0)),"")</f>
        <v>Hora</v>
      </c>
      <c r="N222" s="3">
        <f>IFERROR(IF(D222="DIA ÚTIL",INDEX(tblPessoas[R$/h útil],MATCH(E222,tblPessoas[ID],0)),INDEX(tblPessoas[R$/h FDS],MATCH(E222,tblPessoas[ID],0))),0)</f>
        <v>14</v>
      </c>
      <c r="O222" s="3">
        <f>IFERROR(INDEX(tblPessoas[R$/diária],MATCH(E222,tblPessoas[ID],0)),0)</f>
        <v>0</v>
      </c>
      <c r="P222" s="3">
        <f t="shared" si="14"/>
        <v>114.78444444586057</v>
      </c>
      <c r="Q222" t="str">
        <f>IF(A222="","",IF(COUNTIF(tblBatidas[Início vinculado],"B"&amp;MID($A222,2,99))=0,"EM ABERTO",IF(OR(COUNTIF(tblBatidas[Início vinculado],"B"&amp;MID($A222,2,99))&gt;1,K222&lt;0,K222&gt;16,INT(INDEX(tblBatidas[Data e hora],MATCH("B"&amp;MID($A222,2,99),tblBatidas[Início vinculado],0)))&lt;&gt;B222,INDEX(tblBatidas[ID],MATCH("B"&amp;MID($A222,2,99),tblBatidas[Início vinculado],0))&lt;&gt;E222,INDEX(tblBatidas[Projeto],MATCH("B"&amp;MID($A222,2,99),tblBatidas[Início vinculado],0))&lt;&gt;G222,INDEX(tblBatidas[Atividade],MATCH("B"&amp;MID($A222,2,99),tblBatidas[Início vinculado],0))&lt;&gt;H222),"REVISAR","CONCLUÍDO")))</f>
        <v>CONCLUÍDO</v>
      </c>
      <c r="R222">
        <f>IF(Q222&lt;&gt;"CONCLUÍDO",0,IF(COUNTIFS($E$5:E222,E222,$B$5:B222,B222,$Q$5:Q222,"CONCLUÍDO")=1,1,0))</f>
        <v>1</v>
      </c>
      <c r="S222" t="str">
        <f t="shared" si="15"/>
        <v>yyyy-09</v>
      </c>
      <c r="T222">
        <f>IF(E222="","",E222*100000+COUNTIFS(tblRegistros[ID],E222,tblRegistros[Data],"&lt;"&amp;B222)+COUNTIFS(tblRegistros[ID],E222,tblRegistros[Data],B222,tblRegistros[Início],"&lt;"&amp;I222)+COUNTIFS($E$5:E222,E222,$B$5:B222,B222,$I$5:I222,I222))</f>
        <v>100600016</v>
      </c>
    </row>
    <row r="223" spans="1:20">
      <c r="A223" t="s">
        <v>315</v>
      </c>
      <c r="B223" s="2">
        <f>IFERROR(INT(INDEX(tblBatidas[Data e hora],MATCH("B"&amp;MID($A223,2,99),tblBatidas[Batida ID],0))),"")</f>
        <v>46273</v>
      </c>
      <c r="C223" t="str">
        <f t="shared" si="12"/>
        <v>TERÇA-FEIRA</v>
      </c>
      <c r="D223" t="str">
        <f t="shared" si="13"/>
        <v>DIA ÚTIL</v>
      </c>
      <c r="E223">
        <f>IFERROR(INDEX(tblBatidas[ID],MATCH("B"&amp;MID($A223,2,99),tblBatidas[Batida ID],0)),"")</f>
        <v>1016</v>
      </c>
      <c r="F223" t="str">
        <f>IFERROR(INDEX(tblPessoas[Pessoa],MATCH(E223,tblPessoas[ID],0)),"")</f>
        <v>Ana Luisa Nardin</v>
      </c>
      <c r="G223" t="str">
        <f>IFERROR(INDEX(tblBatidas[Projeto],MATCH("B"&amp;MID($A223,2,99),tblBatidas[Batida ID],0)),"")</f>
        <v>CFI / ACCION</v>
      </c>
      <c r="H223" t="str">
        <f>IFERROR(INDEX(tblBatidas[Atividade],MATCH("B"&amp;MID($A223,2,99),tblBatidas[Batida ID],0)),"")</f>
        <v>ANÁLISE</v>
      </c>
      <c r="I223" s="4">
        <f>IFERROR(MOD(INDEX(tblBatidas[Data e hora],MATCH("B"&amp;MID($A223,2,99),tblBatidas[Batida ID],0)),1),"")</f>
        <v>0.37961805555823958</v>
      </c>
      <c r="J223" s="4">
        <f>IFERROR(MOD(INDEX(tblBatidas[Data e hora],MATCH("B"&amp;MID($A223,2,99),tblBatidas[Início vinculado],0)),1),"")</f>
        <v>0.52265046296088258</v>
      </c>
      <c r="K223" s="14">
        <f>IFERROR((INDEX(tblBatidas[Data e hora],MATCH("B"&amp;MID($A223,2,99),tblBatidas[Início vinculado],0))-INDEX(tblBatidas[Data e hora],MATCH("B"&amp;MID($A223,2,99),tblBatidas[Batida ID],0)))*24,"")</f>
        <v>3.4327777776634321</v>
      </c>
      <c r="L223">
        <f>IFERROR(INDEX(tblBatidas[Observação],MATCH("B"&amp;MID($A223,2,99),tblBatidas[Início vinculado],0)),"")</f>
        <v>0</v>
      </c>
      <c r="M223" t="str">
        <f>IFERROR(INDEX(tblPessoas[Base],MATCH(E223,tblPessoas[ID],0)),"")</f>
        <v>Hora</v>
      </c>
      <c r="N223" s="3">
        <f>IFERROR(IF(D223="DIA ÚTIL",INDEX(tblPessoas[R$/h útil],MATCH(E223,tblPessoas[ID],0)),INDEX(tblPessoas[R$/h FDS],MATCH(E223,tblPessoas[ID],0))),0)</f>
        <v>23.5</v>
      </c>
      <c r="O223" s="3">
        <f>IFERROR(INDEX(tblPessoas[R$/diária],MATCH(E223,tblPessoas[ID],0)),0)</f>
        <v>0</v>
      </c>
      <c r="P223" s="3">
        <f t="shared" si="14"/>
        <v>80.670277775090653</v>
      </c>
      <c r="Q223" t="str">
        <f>IF(A223="","",IF(COUNTIF(tblBatidas[Início vinculado],"B"&amp;MID($A223,2,99))=0,"EM ABERTO",IF(OR(COUNTIF(tblBatidas[Início vinculado],"B"&amp;MID($A223,2,99))&gt;1,K223&lt;0,K223&gt;16,INT(INDEX(tblBatidas[Data e hora],MATCH("B"&amp;MID($A223,2,99),tblBatidas[Início vinculado],0)))&lt;&gt;B223,INDEX(tblBatidas[ID],MATCH("B"&amp;MID($A223,2,99),tblBatidas[Início vinculado],0))&lt;&gt;E223,INDEX(tblBatidas[Projeto],MATCH("B"&amp;MID($A223,2,99),tblBatidas[Início vinculado],0))&lt;&gt;G223,INDEX(tblBatidas[Atividade],MATCH("B"&amp;MID($A223,2,99),tblBatidas[Início vinculado],0))&lt;&gt;H223),"REVISAR","CONCLUÍDO")))</f>
        <v>CONCLUÍDO</v>
      </c>
      <c r="R223">
        <f>IF(Q223&lt;&gt;"CONCLUÍDO",0,IF(COUNTIFS($E$5:E223,E223,$B$5:B223,B223,$Q$5:Q223,"CONCLUÍDO")=1,1,0))</f>
        <v>1</v>
      </c>
      <c r="S223" t="str">
        <f t="shared" si="15"/>
        <v>yyyy-09</v>
      </c>
      <c r="T223">
        <f>IF(E223="","",E223*100000+COUNTIFS(tblRegistros[ID],E223,tblRegistros[Data],"&lt;"&amp;B223)+COUNTIFS(tblRegistros[ID],E223,tblRegistros[Data],B223,tblRegistros[Início],"&lt;"&amp;I223)+COUNTIFS($E$5:E223,E223,$B$5:B223,B223,$I$5:I223,I223))</f>
        <v>101600023</v>
      </c>
    </row>
    <row r="224" spans="1:20">
      <c r="A224" t="s">
        <v>316</v>
      </c>
      <c r="B224" s="2">
        <f>IFERROR(INT(INDEX(tblBatidas[Data e hora],MATCH("B"&amp;MID($A224,2,99),tblBatidas[Batida ID],0))),"")</f>
        <v>46273</v>
      </c>
      <c r="C224" t="str">
        <f t="shared" si="12"/>
        <v>TERÇA-FEIRA</v>
      </c>
      <c r="D224" t="str">
        <f t="shared" si="13"/>
        <v>DIA ÚTIL</v>
      </c>
      <c r="E224">
        <f>IFERROR(INDEX(tblBatidas[ID],MATCH("B"&amp;MID($A224,2,99),tblBatidas[Batida ID],0)),"")</f>
        <v>1012</v>
      </c>
      <c r="F224" t="str">
        <f>IFERROR(INDEX(tblPessoas[Pessoa],MATCH(E224,tblPessoas[ID],0)),"")</f>
        <v>Nelma Lucia dos S. B. Brandão</v>
      </c>
      <c r="G224" t="str">
        <f>IFERROR(INDEX(tblBatidas[Projeto],MATCH("B"&amp;MID($A224,2,99),tblBatidas[Batida ID],0)),"")</f>
        <v>OTEMPO</v>
      </c>
      <c r="H224" t="str">
        <f>IFERROR(INDEX(tblBatidas[Atividade],MATCH("B"&amp;MID($A224,2,99),tblBatidas[Batida ID],0)),"")</f>
        <v>SUPERVISÃO</v>
      </c>
      <c r="I224" s="4">
        <f>IFERROR(MOD(INDEX(tblBatidas[Data e hora],MATCH("B"&amp;MID($A224,2,99),tblBatidas[Batida ID],0)),1),"")</f>
        <v>0.38280092592322035</v>
      </c>
      <c r="J224" s="4">
        <f>IFERROR(MOD(INDEX(tblBatidas[Data e hora],MATCH("B"&amp;MID($A224,2,99),tblBatidas[Início vinculado],0)),1),"")</f>
        <v>0.53596064815064892</v>
      </c>
      <c r="K224" s="14">
        <f>IFERROR((INDEX(tblBatidas[Data e hora],MATCH("B"&amp;MID($A224,2,99),tblBatidas[Início vinculado],0))-INDEX(tblBatidas[Data e hora],MATCH("B"&amp;MID($A224,2,99),tblBatidas[Batida ID],0)))*24,"")</f>
        <v>3.6758333334582858</v>
      </c>
      <c r="L224">
        <f>IFERROR(INDEX(tblBatidas[Observação],MATCH("B"&amp;MID($A224,2,99),tblBatidas[Início vinculado],0)),"")</f>
        <v>0</v>
      </c>
      <c r="M224" t="str">
        <f>IFERROR(INDEX(tblPessoas[Base],MATCH(E224,tblPessoas[ID],0)),"")</f>
        <v>Diária</v>
      </c>
      <c r="N224" s="3">
        <f>IFERROR(IF(D224="DIA ÚTIL",INDEX(tblPessoas[R$/h útil],MATCH(E224,tblPessoas[ID],0)),INDEX(tblPessoas[R$/h FDS],MATCH(E224,tblPessoas[ID],0))),0)</f>
        <v>0</v>
      </c>
      <c r="O224" s="3">
        <f>IFERROR(INDEX(tblPessoas[R$/diária],MATCH(E224,tblPessoas[ID],0)),0)</f>
        <v>222.72</v>
      </c>
      <c r="P224" s="3">
        <f t="shared" si="14"/>
        <v>222.72</v>
      </c>
      <c r="Q224" t="str">
        <f>IF(A224="","",IF(COUNTIF(tblBatidas[Início vinculado],"B"&amp;MID($A224,2,99))=0,"EM ABERTO",IF(OR(COUNTIF(tblBatidas[Início vinculado],"B"&amp;MID($A224,2,99))&gt;1,K224&lt;0,K224&gt;16,INT(INDEX(tblBatidas[Data e hora],MATCH("B"&amp;MID($A224,2,99),tblBatidas[Início vinculado],0)))&lt;&gt;B224,INDEX(tblBatidas[ID],MATCH("B"&amp;MID($A224,2,99),tblBatidas[Início vinculado],0))&lt;&gt;E224,INDEX(tblBatidas[Projeto],MATCH("B"&amp;MID($A224,2,99),tblBatidas[Início vinculado],0))&lt;&gt;G224,INDEX(tblBatidas[Atividade],MATCH("B"&amp;MID($A224,2,99),tblBatidas[Início vinculado],0))&lt;&gt;H224),"REVISAR","CONCLUÍDO")))</f>
        <v>CONCLUÍDO</v>
      </c>
      <c r="R224">
        <f>IF(Q224&lt;&gt;"CONCLUÍDO",0,IF(COUNTIFS($E$5:E224,E224,$B$5:B224,B224,$Q$5:Q224,"CONCLUÍDO")=1,1,0))</f>
        <v>1</v>
      </c>
      <c r="S224" t="str">
        <f t="shared" si="15"/>
        <v>yyyy-09</v>
      </c>
      <c r="T224">
        <f>IF(E224="","",E224*100000+COUNTIFS(tblRegistros[ID],E224,tblRegistros[Data],"&lt;"&amp;B224)+COUNTIFS(tblRegistros[ID],E224,tblRegistros[Data],B224,tblRegistros[Início],"&lt;"&amp;I224)+COUNTIFS($E$5:E224,E224,$B$5:B224,B224,$I$5:I224,I224))</f>
        <v>101200029</v>
      </c>
    </row>
    <row r="225" spans="1:20">
      <c r="A225" t="s">
        <v>317</v>
      </c>
      <c r="B225" s="2">
        <f>IFERROR(INT(INDEX(tblBatidas[Data e hora],MATCH("B"&amp;MID($A225,2,99),tblBatidas[Batida ID],0))),"")</f>
        <v>46273</v>
      </c>
      <c r="C225" t="str">
        <f t="shared" si="12"/>
        <v>TERÇA-FEIRA</v>
      </c>
      <c r="D225" t="str">
        <f t="shared" si="13"/>
        <v>DIA ÚTIL</v>
      </c>
      <c r="E225">
        <f>IFERROR(INDEX(tblBatidas[ID],MATCH("B"&amp;MID($A225,2,99),tblBatidas[Batida ID],0)),"")</f>
        <v>1004</v>
      </c>
      <c r="F225" t="str">
        <f>IFERROR(INDEX(tblPessoas[Pessoa],MATCH(E225,tblPessoas[ID],0)),"")</f>
        <v>Angela Bertoli</v>
      </c>
      <c r="G225" t="str">
        <f>IFERROR(INDEX(tblBatidas[Projeto],MATCH("B"&amp;MID($A225,2,99),tblBatidas[Batida ID],0)),"")</f>
        <v>SICOOB CREDICOM</v>
      </c>
      <c r="H225" t="str">
        <f>IFERROR(INDEX(tblBatidas[Atividade],MATCH("B"&amp;MID($A225,2,99),tblBatidas[Batida ID],0)),"")</f>
        <v>CODIFICAÇÃO</v>
      </c>
      <c r="I225" s="4">
        <f>IFERROR(MOD(INDEX(tblBatidas[Data e hora],MATCH("B"&amp;MID($A225,2,99),tblBatidas[Batida ID],0)),1),"")</f>
        <v>0.39541666666627862</v>
      </c>
      <c r="J225" s="4">
        <f>IFERROR(MOD(INDEX(tblBatidas[Data e hora],MATCH("B"&amp;MID($A225,2,99),tblBatidas[Início vinculado],0)),1),"")</f>
        <v>0.45353009259270038</v>
      </c>
      <c r="K225" s="14">
        <f>IFERROR((INDEX(tblBatidas[Data e hora],MATCH("B"&amp;MID($A225,2,99),tblBatidas[Início vinculado],0))-INDEX(tblBatidas[Data e hora],MATCH("B"&amp;MID($A225,2,99),tblBatidas[Batida ID],0)))*24,"")</f>
        <v>1.3947222222341225</v>
      </c>
      <c r="L225">
        <f>IFERROR(INDEX(tblBatidas[Observação],MATCH("B"&amp;MID($A225,2,99),tblBatidas[Início vinculado],0)),"")</f>
        <v>0</v>
      </c>
      <c r="M225" t="str">
        <f>IFERROR(INDEX(tblPessoas[Base],MATCH(E225,tblPessoas[ID],0)),"")</f>
        <v>Hora</v>
      </c>
      <c r="N225" s="3">
        <f>IFERROR(IF(D225="DIA ÚTIL",INDEX(tblPessoas[R$/h útil],MATCH(E225,tblPessoas[ID],0)),INDEX(tblPessoas[R$/h FDS],MATCH(E225,tblPessoas[ID],0))),0)</f>
        <v>21.5</v>
      </c>
      <c r="O225" s="3">
        <f>IFERROR(INDEX(tblPessoas[R$/diária],MATCH(E225,tblPessoas[ID],0)),0)</f>
        <v>0</v>
      </c>
      <c r="P225" s="3">
        <f t="shared" si="14"/>
        <v>29.986527778033633</v>
      </c>
      <c r="Q225" t="str">
        <f>IF(A225="","",IF(COUNTIF(tblBatidas[Início vinculado],"B"&amp;MID($A225,2,99))=0,"EM ABERTO",IF(OR(COUNTIF(tblBatidas[Início vinculado],"B"&amp;MID($A225,2,99))&gt;1,K225&lt;0,K225&gt;16,INT(INDEX(tblBatidas[Data e hora],MATCH("B"&amp;MID($A225,2,99),tblBatidas[Início vinculado],0)))&lt;&gt;B225,INDEX(tblBatidas[ID],MATCH("B"&amp;MID($A225,2,99),tblBatidas[Início vinculado],0))&lt;&gt;E225,INDEX(tblBatidas[Projeto],MATCH("B"&amp;MID($A225,2,99),tblBatidas[Início vinculado],0))&lt;&gt;G225,INDEX(tblBatidas[Atividade],MATCH("B"&amp;MID($A225,2,99),tblBatidas[Início vinculado],0))&lt;&gt;H225),"REVISAR","CONCLUÍDO")))</f>
        <v>CONCLUÍDO</v>
      </c>
      <c r="R225">
        <f>IF(Q225&lt;&gt;"CONCLUÍDO",0,IF(COUNTIFS($E$5:E225,E225,$B$5:B225,B225,$Q$5:Q225,"CONCLUÍDO")=1,1,0))</f>
        <v>1</v>
      </c>
      <c r="S225" t="str">
        <f t="shared" si="15"/>
        <v>yyyy-09</v>
      </c>
      <c r="T225">
        <f>IF(E225="","",E225*100000+COUNTIFS(tblRegistros[ID],E225,tblRegistros[Data],"&lt;"&amp;B225)+COUNTIFS(tblRegistros[ID],E225,tblRegistros[Data],B225,tblRegistros[Início],"&lt;"&amp;I225)+COUNTIFS($E$5:E225,E225,$B$5:B225,B225,$I$5:I225,I225))</f>
        <v>100400015</v>
      </c>
    </row>
    <row r="226" spans="1:20">
      <c r="A226" t="s">
        <v>318</v>
      </c>
      <c r="B226" s="2">
        <f>IFERROR(INT(INDEX(tblBatidas[Data e hora],MATCH("B"&amp;MID($A226,2,99),tblBatidas[Batida ID],0))),"")</f>
        <v>46273</v>
      </c>
      <c r="C226" t="str">
        <f t="shared" si="12"/>
        <v>TERÇA-FEIRA</v>
      </c>
      <c r="D226" t="str">
        <f t="shared" si="13"/>
        <v>DIA ÚTIL</v>
      </c>
      <c r="E226">
        <f>IFERROR(INDEX(tblBatidas[ID],MATCH("B"&amp;MID($A226,2,99),tblBatidas[Batida ID],0)),"")</f>
        <v>1014</v>
      </c>
      <c r="F226" t="str">
        <f>IFERROR(INDEX(tblPessoas[Pessoa],MATCH(E226,tblPessoas[ID],0)),"")</f>
        <v>Robert Filipe Orlando de Souza</v>
      </c>
      <c r="G226" t="str">
        <f>IFERROR(INDEX(tblBatidas[Projeto],MATCH("B"&amp;MID($A226,2,99),tblBatidas[Batida ID],0)),"")</f>
        <v>SICOOB CREDICOM</v>
      </c>
      <c r="H226" t="str">
        <f>IFERROR(INDEX(tblBatidas[Atividade],MATCH("B"&amp;MID($A226,2,99),tblBatidas[Batida ID],0)),"")</f>
        <v>CHECAGEM</v>
      </c>
      <c r="I226" s="4">
        <f>IFERROR(MOD(INDEX(tblBatidas[Data e hora],MATCH("B"&amp;MID($A226,2,99),tblBatidas[Batida ID],0)),1),"")</f>
        <v>0.42548611111124046</v>
      </c>
      <c r="J226" s="4">
        <f>IFERROR(MOD(INDEX(tblBatidas[Data e hora],MATCH("B"&amp;MID($A226,2,99),tblBatidas[Início vinculado],0)),1),"")</f>
        <v>0.541678240741021</v>
      </c>
      <c r="K226" s="14">
        <f>IFERROR((INDEX(tblBatidas[Data e hora],MATCH("B"&amp;MID($A226,2,99),tblBatidas[Início vinculado],0))-INDEX(tblBatidas[Data e hora],MATCH("B"&amp;MID($A226,2,99),tblBatidas[Batida ID],0)))*24,"")</f>
        <v>2.7886111111147329</v>
      </c>
      <c r="L226">
        <f>IFERROR(INDEX(tblBatidas[Observação],MATCH("B"&amp;MID($A226,2,99),tblBatidas[Início vinculado],0)),"")</f>
        <v>0</v>
      </c>
      <c r="M226" t="str">
        <f>IFERROR(INDEX(tblPessoas[Base],MATCH(E226,tblPessoas[ID],0)),"")</f>
        <v>Hora</v>
      </c>
      <c r="N226" s="3">
        <f>IFERROR(IF(D226="DIA ÚTIL",INDEX(tblPessoas[R$/h útil],MATCH(E226,tblPessoas[ID],0)),INDEX(tblPessoas[R$/h FDS],MATCH(E226,tblPessoas[ID],0))),0)</f>
        <v>21.5</v>
      </c>
      <c r="O226" s="3">
        <f>IFERROR(INDEX(tblPessoas[R$/diária],MATCH(E226,tblPessoas[ID],0)),0)</f>
        <v>0</v>
      </c>
      <c r="P226" s="3">
        <f t="shared" si="14"/>
        <v>59.955138888966758</v>
      </c>
      <c r="Q226" t="str">
        <f>IF(A226="","",IF(COUNTIF(tblBatidas[Início vinculado],"B"&amp;MID($A226,2,99))=0,"EM ABERTO",IF(OR(COUNTIF(tblBatidas[Início vinculado],"B"&amp;MID($A226,2,99))&gt;1,K226&lt;0,K226&gt;16,INT(INDEX(tblBatidas[Data e hora],MATCH("B"&amp;MID($A226,2,99),tblBatidas[Início vinculado],0)))&lt;&gt;B226,INDEX(tblBatidas[ID],MATCH("B"&amp;MID($A226,2,99),tblBatidas[Início vinculado],0))&lt;&gt;E226,INDEX(tblBatidas[Projeto],MATCH("B"&amp;MID($A226,2,99),tblBatidas[Início vinculado],0))&lt;&gt;G226,INDEX(tblBatidas[Atividade],MATCH("B"&amp;MID($A226,2,99),tblBatidas[Início vinculado],0))&lt;&gt;H226),"REVISAR","CONCLUÍDO")))</f>
        <v>CONCLUÍDO</v>
      </c>
      <c r="R226">
        <f>IF(Q226&lt;&gt;"CONCLUÍDO",0,IF(COUNTIFS($E$5:E226,E226,$B$5:B226,B226,$Q$5:Q226,"CONCLUÍDO")=1,1,0))</f>
        <v>1</v>
      </c>
      <c r="S226" t="str">
        <f t="shared" si="15"/>
        <v>yyyy-09</v>
      </c>
      <c r="T226">
        <f>IF(E226="","",E226*100000+COUNTIFS(tblRegistros[ID],E226,tblRegistros[Data],"&lt;"&amp;B226)+COUNTIFS(tblRegistros[ID],E226,tblRegistros[Data],B226,tblRegistros[Início],"&lt;"&amp;I226)+COUNTIFS($E$5:E226,E226,$B$5:B226,B226,$I$5:I226,I226))</f>
        <v>101400021</v>
      </c>
    </row>
    <row r="227" spans="1:20">
      <c r="A227" t="s">
        <v>319</v>
      </c>
      <c r="B227" s="2">
        <f>IFERROR(INT(INDEX(tblBatidas[Data e hora],MATCH("B"&amp;MID($A227,2,99),tblBatidas[Batida ID],0))),"")</f>
        <v>46273</v>
      </c>
      <c r="C227" t="str">
        <f t="shared" si="12"/>
        <v>TERÇA-FEIRA</v>
      </c>
      <c r="D227" t="str">
        <f t="shared" si="13"/>
        <v>DIA ÚTIL</v>
      </c>
      <c r="E227">
        <f>IFERROR(INDEX(tblBatidas[ID],MATCH("B"&amp;MID($A227,2,99),tblBatidas[Batida ID],0)),"")</f>
        <v>1004</v>
      </c>
      <c r="F227" t="str">
        <f>IFERROR(INDEX(tblPessoas[Pessoa],MATCH(E227,tblPessoas[ID],0)),"")</f>
        <v>Angela Bertoli</v>
      </c>
      <c r="G227" t="str">
        <f>IFERROR(INDEX(tblBatidas[Projeto],MATCH("B"&amp;MID($A227,2,99),tblBatidas[Batida ID],0)),"")</f>
        <v>CAMPANHA</v>
      </c>
      <c r="H227" t="str">
        <f>IFERROR(INDEX(tblBatidas[Atividade],MATCH("B"&amp;MID($A227,2,99),tblBatidas[Batida ID],0)),"")</f>
        <v>CODIFICAÇÃO</v>
      </c>
      <c r="I227" s="4">
        <f>IFERROR(MOD(INDEX(tblBatidas[Data e hora],MATCH("B"&amp;MID($A227,2,99),tblBatidas[Batida ID],0)),1),"")</f>
        <v>0.45428240740875481</v>
      </c>
      <c r="J227" s="4">
        <f>IFERROR(MOD(INDEX(tblBatidas[Data e hora],MATCH("B"&amp;MID($A227,2,99),tblBatidas[Início vinculado],0)),1),"")</f>
        <v>0.50747685185342561</v>
      </c>
      <c r="K227" s="14">
        <f>IFERROR((INDEX(tblBatidas[Data e hora],MATCH("B"&amp;MID($A227,2,99),tblBatidas[Início vinculado],0))-INDEX(tblBatidas[Data e hora],MATCH("B"&amp;MID($A227,2,99),tblBatidas[Batida ID],0)))*24,"")</f>
        <v>1.2766666666720994</v>
      </c>
      <c r="L227" t="str">
        <f>IFERROR(INDEX(tblBatidas[Observação],MATCH("B"&amp;MID($A227,2,99),tblBatidas[Início vinculado],0)),"")</f>
        <v>Tracking Betim</v>
      </c>
      <c r="M227" t="str">
        <f>IFERROR(INDEX(tblPessoas[Base],MATCH(E227,tblPessoas[ID],0)),"")</f>
        <v>Hora</v>
      </c>
      <c r="N227" s="3">
        <f>IFERROR(IF(D227="DIA ÚTIL",INDEX(tblPessoas[R$/h útil],MATCH(E227,tblPessoas[ID],0)),INDEX(tblPessoas[R$/h FDS],MATCH(E227,tblPessoas[ID],0))),0)</f>
        <v>21.5</v>
      </c>
      <c r="O227" s="3">
        <f>IFERROR(INDEX(tblPessoas[R$/diária],MATCH(E227,tblPessoas[ID],0)),0)</f>
        <v>0</v>
      </c>
      <c r="P227" s="3">
        <f t="shared" si="14"/>
        <v>27.448333333450137</v>
      </c>
      <c r="Q227" t="str">
        <f>IF(A227="","",IF(COUNTIF(tblBatidas[Início vinculado],"B"&amp;MID($A227,2,99))=0,"EM ABERTO",IF(OR(COUNTIF(tblBatidas[Início vinculado],"B"&amp;MID($A227,2,99))&gt;1,K227&lt;0,K227&gt;16,INT(INDEX(tblBatidas[Data e hora],MATCH("B"&amp;MID($A227,2,99),tblBatidas[Início vinculado],0)))&lt;&gt;B227,INDEX(tblBatidas[ID],MATCH("B"&amp;MID($A227,2,99),tblBatidas[Início vinculado],0))&lt;&gt;E227,INDEX(tblBatidas[Projeto],MATCH("B"&amp;MID($A227,2,99),tblBatidas[Início vinculado],0))&lt;&gt;G227,INDEX(tblBatidas[Atividade],MATCH("B"&amp;MID($A227,2,99),tblBatidas[Início vinculado],0))&lt;&gt;H227),"REVISAR","CONCLUÍDO")))</f>
        <v>CONCLUÍDO</v>
      </c>
      <c r="R227">
        <f>IF(Q227&lt;&gt;"CONCLUÍDO",0,IF(COUNTIFS($E$5:E227,E227,$B$5:B227,B227,$Q$5:Q227,"CONCLUÍDO")=1,1,0))</f>
        <v>0</v>
      </c>
      <c r="S227" t="str">
        <f t="shared" si="15"/>
        <v>yyyy-09</v>
      </c>
      <c r="T227">
        <f>IF(E227="","",E227*100000+COUNTIFS(tblRegistros[ID],E227,tblRegistros[Data],"&lt;"&amp;B227)+COUNTIFS(tblRegistros[ID],E227,tblRegistros[Data],B227,tblRegistros[Início],"&lt;"&amp;I227)+COUNTIFS($E$5:E227,E227,$B$5:B227,B227,$I$5:I227,I227))</f>
        <v>100400016</v>
      </c>
    </row>
    <row r="228" spans="1:20">
      <c r="A228" t="s">
        <v>320</v>
      </c>
      <c r="B228" s="2">
        <f>IFERROR(INT(INDEX(tblBatidas[Data e hora],MATCH("B"&amp;MID($A228,2,99),tblBatidas[Batida ID],0))),"")</f>
        <v>46273</v>
      </c>
      <c r="C228" t="str">
        <f t="shared" si="12"/>
        <v>TERÇA-FEIRA</v>
      </c>
      <c r="D228" t="str">
        <f t="shared" si="13"/>
        <v>DIA ÚTIL</v>
      </c>
      <c r="E228">
        <f>IFERROR(INDEX(tblBatidas[ID],MATCH("B"&amp;MID($A228,2,99),tblBatidas[Batida ID],0)),"")</f>
        <v>1011</v>
      </c>
      <c r="F228" t="str">
        <f>IFERROR(INDEX(tblPessoas[Pessoa],MATCH(E228,tblPessoas[ID],0)),"")</f>
        <v>Nathalia Arruda</v>
      </c>
      <c r="G228" t="str">
        <f>IFERROR(INDEX(tblBatidas[Projeto],MATCH("B"&amp;MID($A228,2,99),tblBatidas[Batida ID],0)),"")</f>
        <v>OTEMPO</v>
      </c>
      <c r="H228" t="str">
        <f>IFERROR(INDEX(tblBatidas[Atividade],MATCH("B"&amp;MID($A228,2,99),tblBatidas[Batida ID],0)),"")</f>
        <v>ANÁLISE</v>
      </c>
      <c r="I228" s="4">
        <f>IFERROR(MOD(INDEX(tblBatidas[Data e hora],MATCH("B"&amp;MID($A228,2,99),tblBatidas[Batida ID],0)),1),"")</f>
        <v>0.53987268518540077</v>
      </c>
      <c r="J228" s="4">
        <f>IFERROR(MOD(INDEX(tblBatidas[Data e hora],MATCH("B"&amp;MID($A228,2,99),tblBatidas[Início vinculado],0)),1),"")</f>
        <v>0.75039351851592073</v>
      </c>
      <c r="K228" s="14">
        <f>IFERROR((INDEX(tblBatidas[Data e hora],MATCH("B"&amp;MID($A228,2,99),tblBatidas[Início vinculado],0))-INDEX(tblBatidas[Data e hora],MATCH("B"&amp;MID($A228,2,99),tblBatidas[Batida ID],0)))*24,"")</f>
        <v>5.0524999999324791</v>
      </c>
      <c r="L228">
        <f>IFERROR(INDEX(tblBatidas[Observação],MATCH("B"&amp;MID($A228,2,99),tblBatidas[Início vinculado],0)),"")</f>
        <v>0</v>
      </c>
      <c r="M228" t="str">
        <f>IFERROR(INDEX(tblPessoas[Base],MATCH(E228,tblPessoas[ID],0)),"")</f>
        <v>Hora</v>
      </c>
      <c r="N228" s="3">
        <f>IFERROR(IF(D228="DIA ÚTIL",INDEX(tblPessoas[R$/h útil],MATCH(E228,tblPessoas[ID],0)),INDEX(tblPessoas[R$/h FDS],MATCH(E228,tblPessoas[ID],0))),0)</f>
        <v>23.5</v>
      </c>
      <c r="O228" s="3">
        <f>IFERROR(INDEX(tblPessoas[R$/diária],MATCH(E228,tblPessoas[ID],0)),0)</f>
        <v>0</v>
      </c>
      <c r="P228" s="3">
        <f t="shared" si="14"/>
        <v>118.73374999841326</v>
      </c>
      <c r="Q228" t="str">
        <f>IF(A228="","",IF(COUNTIF(tblBatidas[Início vinculado],"B"&amp;MID($A228,2,99))=0,"EM ABERTO",IF(OR(COUNTIF(tblBatidas[Início vinculado],"B"&amp;MID($A228,2,99))&gt;1,K228&lt;0,K228&gt;16,INT(INDEX(tblBatidas[Data e hora],MATCH("B"&amp;MID($A228,2,99),tblBatidas[Início vinculado],0)))&lt;&gt;B228,INDEX(tblBatidas[ID],MATCH("B"&amp;MID($A228,2,99),tblBatidas[Início vinculado],0))&lt;&gt;E228,INDEX(tblBatidas[Projeto],MATCH("B"&amp;MID($A228,2,99),tblBatidas[Início vinculado],0))&lt;&gt;G228,INDEX(tblBatidas[Atividade],MATCH("B"&amp;MID($A228,2,99),tblBatidas[Início vinculado],0))&lt;&gt;H228),"REVISAR","CONCLUÍDO")))</f>
        <v>CONCLUÍDO</v>
      </c>
      <c r="R228">
        <f>IF(Q228&lt;&gt;"CONCLUÍDO",0,IF(COUNTIFS($E$5:E228,E228,$B$5:B228,B228,$Q$5:Q228,"CONCLUÍDO")=1,1,0))</f>
        <v>0</v>
      </c>
      <c r="S228" t="str">
        <f t="shared" si="15"/>
        <v>yyyy-09</v>
      </c>
      <c r="T228">
        <f>IF(E228="","",E228*100000+COUNTIFS(tblRegistros[ID],E228,tblRegistros[Data],"&lt;"&amp;B228)+COUNTIFS(tblRegistros[ID],E228,tblRegistros[Data],B228,tblRegistros[Início],"&lt;"&amp;I228)+COUNTIFS($E$5:E228,E228,$B$5:B228,B228,$I$5:I228,I228))</f>
        <v>101100019</v>
      </c>
    </row>
    <row r="229" spans="1:20">
      <c r="A229" t="s">
        <v>321</v>
      </c>
      <c r="B229" s="2">
        <f>IFERROR(INT(INDEX(tblBatidas[Data e hora],MATCH("B"&amp;MID($A229,2,99),tblBatidas[Batida ID],0))),"")</f>
        <v>46273</v>
      </c>
      <c r="C229" t="str">
        <f t="shared" si="12"/>
        <v>TERÇA-FEIRA</v>
      </c>
      <c r="D229" t="str">
        <f t="shared" si="13"/>
        <v>DIA ÚTIL</v>
      </c>
      <c r="E229">
        <f>IFERROR(INDEX(tblBatidas[ID],MATCH("B"&amp;MID($A229,2,99),tblBatidas[Batida ID],0)),"")</f>
        <v>1003</v>
      </c>
      <c r="F229" t="str">
        <f>IFERROR(INDEX(tblPessoas[Pessoa],MATCH(E229,tblPessoas[ID],0)),"")</f>
        <v>Amanda do Carmo Ribeiro</v>
      </c>
      <c r="G229" t="str">
        <f>IFERROR(INDEX(tblBatidas[Projeto],MATCH("B"&amp;MID($A229,2,99),tblBatidas[Batida ID],0)),"")</f>
        <v>SICOOB CREDICOM</v>
      </c>
      <c r="H229" t="str">
        <f>IFERROR(INDEX(tblBatidas[Atividade],MATCH("B"&amp;MID($A229,2,99),tblBatidas[Batida ID],0)),"")</f>
        <v>ANÁLISE</v>
      </c>
      <c r="I229" s="4">
        <f>IFERROR(MOD(INDEX(tblBatidas[Data e hora],MATCH("B"&amp;MID($A229,2,99),tblBatidas[Batida ID],0)),1),"")</f>
        <v>0.55873842592700385</v>
      </c>
      <c r="J229" s="4" t="str">
        <f>IFERROR(MOD(INDEX(tblBatidas[Data e hora],MATCH("B"&amp;MID($A229,2,99),tblBatidas[Início vinculado],0)),1),"")</f>
        <v/>
      </c>
      <c r="K229" s="14" t="str">
        <f>IFERROR((INDEX(tblBatidas[Data e hora],MATCH("B"&amp;MID($A229,2,99),tblBatidas[Início vinculado],0))-INDEX(tblBatidas[Data e hora],MATCH("B"&amp;MID($A229,2,99),tblBatidas[Batida ID],0)))*24,"")</f>
        <v/>
      </c>
      <c r="L229" t="str">
        <f>IFERROR(INDEX(tblBatidas[Observação],MATCH("B"&amp;MID($A229,2,99),tblBatidas[Início vinculado],0)),"")</f>
        <v/>
      </c>
      <c r="M229" t="str">
        <f>IFERROR(INDEX(tblPessoas[Base],MATCH(E229,tblPessoas[ID],0)),"")</f>
        <v>Hora</v>
      </c>
      <c r="N229" s="3">
        <f>IFERROR(IF(D229="DIA ÚTIL",INDEX(tblPessoas[R$/h útil],MATCH(E229,tblPessoas[ID],0)),INDEX(tblPessoas[R$/h FDS],MATCH(E229,tblPessoas[ID],0))),0)</f>
        <v>23.5</v>
      </c>
      <c r="O229" s="3">
        <f>IFERROR(INDEX(tblPessoas[R$/diária],MATCH(E229,tblPessoas[ID],0)),0)</f>
        <v>0</v>
      </c>
      <c r="P229" s="3" t="str">
        <f t="shared" si="14"/>
        <v/>
      </c>
      <c r="Q229" t="str">
        <f>IF(A229="","",IF(COUNTIF(tblBatidas[Início vinculado],"B"&amp;MID($A229,2,99))=0,"EM ABERTO",IF(OR(COUNTIF(tblBatidas[Início vinculado],"B"&amp;MID($A229,2,99))&gt;1,K229&lt;0,K229&gt;16,INT(INDEX(tblBatidas[Data e hora],MATCH("B"&amp;MID($A229,2,99),tblBatidas[Início vinculado],0)))&lt;&gt;B229,INDEX(tblBatidas[ID],MATCH("B"&amp;MID($A229,2,99),tblBatidas[Início vinculado],0))&lt;&gt;E229,INDEX(tblBatidas[Projeto],MATCH("B"&amp;MID($A229,2,99),tblBatidas[Início vinculado],0))&lt;&gt;G229,INDEX(tblBatidas[Atividade],MATCH("B"&amp;MID($A229,2,99),tblBatidas[Início vinculado],0))&lt;&gt;H229),"REVISAR","CONCLUÍDO")))</f>
        <v>EM ABERTO</v>
      </c>
      <c r="R229">
        <f>IF(Q229&lt;&gt;"CONCLUÍDO",0,IF(COUNTIFS($E$5:E229,E229,$B$5:B229,B229,$Q$5:Q229,"CONCLUÍDO")=1,1,0))</f>
        <v>0</v>
      </c>
      <c r="S229" t="str">
        <f t="shared" si="15"/>
        <v>yyyy-09</v>
      </c>
      <c r="T229">
        <f>IF(E229="","",E229*100000+COUNTIFS(tblRegistros[ID],E229,tblRegistros[Data],"&lt;"&amp;B229)+COUNTIFS(tblRegistros[ID],E229,tblRegistros[Data],B229,tblRegistros[Início],"&lt;"&amp;I229)+COUNTIFS($E$5:E229,E229,$B$5:B229,B229,$I$5:I229,I229))</f>
        <v>100300022</v>
      </c>
    </row>
    <row r="230" spans="1:20">
      <c r="A230" t="s">
        <v>322</v>
      </c>
      <c r="B230" s="2">
        <f>IFERROR(INT(INDEX(tblBatidas[Data e hora],MATCH("B"&amp;MID($A230,2,99),tblBatidas[Batida ID],0))),"")</f>
        <v>46273</v>
      </c>
      <c r="C230" t="str">
        <f t="shared" si="12"/>
        <v>TERÇA-FEIRA</v>
      </c>
      <c r="D230" t="str">
        <f t="shared" si="13"/>
        <v>DIA ÚTIL</v>
      </c>
      <c r="E230">
        <f>IFERROR(INDEX(tblBatidas[ID],MATCH("B"&amp;MID($A230,2,99),tblBatidas[Batida ID],0)),"")</f>
        <v>1002</v>
      </c>
      <c r="F230" t="str">
        <f>IFERROR(INDEX(tblPessoas[Pessoa],MATCH(E230,tblPessoas[ID],0)),"")</f>
        <v>Alex de Almeida Mariano</v>
      </c>
      <c r="G230" t="str">
        <f>IFERROR(INDEX(tblBatidas[Projeto],MATCH("B"&amp;MID($A230,2,99),tblBatidas[Batida ID],0)),"")</f>
        <v>CFI / ACCION</v>
      </c>
      <c r="H230" t="str">
        <f>IFERROR(INDEX(tblBatidas[Atividade],MATCH("B"&amp;MID($A230,2,99),tblBatidas[Batida ID],0)),"")</f>
        <v>ANÁLISE</v>
      </c>
      <c r="I230" s="4">
        <f>IFERROR(MOD(INDEX(tblBatidas[Data e hora],MATCH("B"&amp;MID($A230,2,99),tblBatidas[Batida ID],0)),1),"")</f>
        <v>0.56401620370161254</v>
      </c>
      <c r="J230" s="4">
        <f>IFERROR(MOD(INDEX(tblBatidas[Data e hora],MATCH("B"&amp;MID($A230,2,99),tblBatidas[Início vinculado],0)),1),"")</f>
        <v>0.74927083333022892</v>
      </c>
      <c r="K230" s="14">
        <f>IFERROR((INDEX(tblBatidas[Data e hora],MATCH("B"&amp;MID($A230,2,99),tblBatidas[Início vinculado],0))-INDEX(tblBatidas[Data e hora],MATCH("B"&amp;MID($A230,2,99),tblBatidas[Batida ID],0)))*24,"")</f>
        <v>4.4461111110867932</v>
      </c>
      <c r="L230">
        <f>IFERROR(INDEX(tblBatidas[Observação],MATCH("B"&amp;MID($A230,2,99),tblBatidas[Início vinculado],0)),"")</f>
        <v>0</v>
      </c>
      <c r="M230" t="str">
        <f>IFERROR(INDEX(tblPessoas[Base],MATCH(E230,tblPessoas[ID],0)),"")</f>
        <v>Hora</v>
      </c>
      <c r="N230" s="3">
        <f>IFERROR(IF(D230="DIA ÚTIL",INDEX(tblPessoas[R$/h útil],MATCH(E230,tblPessoas[ID],0)),INDEX(tblPessoas[R$/h FDS],MATCH(E230,tblPessoas[ID],0))),0)</f>
        <v>23.5</v>
      </c>
      <c r="O230" s="3">
        <f>IFERROR(INDEX(tblPessoas[R$/diária],MATCH(E230,tblPessoas[ID],0)),0)</f>
        <v>0</v>
      </c>
      <c r="P230" s="3">
        <f t="shared" si="14"/>
        <v>104.48361111053964</v>
      </c>
      <c r="Q230" t="str">
        <f>IF(A230="","",IF(COUNTIF(tblBatidas[Início vinculado],"B"&amp;MID($A230,2,99))=0,"EM ABERTO",IF(OR(COUNTIF(tblBatidas[Início vinculado],"B"&amp;MID($A230,2,99))&gt;1,K230&lt;0,K230&gt;16,INT(INDEX(tblBatidas[Data e hora],MATCH("B"&amp;MID($A230,2,99),tblBatidas[Início vinculado],0)))&lt;&gt;B230,INDEX(tblBatidas[ID],MATCH("B"&amp;MID($A230,2,99),tblBatidas[Início vinculado],0))&lt;&gt;E230,INDEX(tblBatidas[Projeto],MATCH("B"&amp;MID($A230,2,99),tblBatidas[Início vinculado],0))&lt;&gt;G230,INDEX(tblBatidas[Atividade],MATCH("B"&amp;MID($A230,2,99),tblBatidas[Início vinculado],0))&lt;&gt;H230),"REVISAR","CONCLUÍDO")))</f>
        <v>CONCLUÍDO</v>
      </c>
      <c r="R230">
        <f>IF(Q230&lt;&gt;"CONCLUÍDO",0,IF(COUNTIFS($E$5:E230,E230,$B$5:B230,B230,$Q$5:Q230,"CONCLUÍDO")=1,1,0))</f>
        <v>0</v>
      </c>
      <c r="S230" t="str">
        <f t="shared" si="15"/>
        <v>yyyy-09</v>
      </c>
      <c r="T230">
        <f>IF(E230="","",E230*100000+COUNTIFS(tblRegistros[ID],E230,tblRegistros[Data],"&lt;"&amp;B230)+COUNTIFS(tblRegistros[ID],E230,tblRegistros[Data],B230,tblRegistros[Início],"&lt;"&amp;I230)+COUNTIFS($E$5:E230,E230,$B$5:B230,B230,$I$5:I230,I230))</f>
        <v>100200013</v>
      </c>
    </row>
    <row r="231" spans="1:20">
      <c r="A231" t="s">
        <v>323</v>
      </c>
      <c r="B231" s="2">
        <f>IFERROR(INT(INDEX(tblBatidas[Data e hora],MATCH("B"&amp;MID($A231,2,99),tblBatidas[Batida ID],0))),"")</f>
        <v>46273</v>
      </c>
      <c r="C231" t="str">
        <f t="shared" si="12"/>
        <v>TERÇA-FEIRA</v>
      </c>
      <c r="D231" t="str">
        <f t="shared" si="13"/>
        <v>DIA ÚTIL</v>
      </c>
      <c r="E231">
        <f>IFERROR(INDEX(tblBatidas[ID],MATCH("B"&amp;MID($A231,2,99),tblBatidas[Batida ID],0)),"")</f>
        <v>1016</v>
      </c>
      <c r="F231" t="str">
        <f>IFERROR(INDEX(tblPessoas[Pessoa],MATCH(E231,tblPessoas[ID],0)),"")</f>
        <v>Ana Luisa Nardin</v>
      </c>
      <c r="G231" t="str">
        <f>IFERROR(INDEX(tblBatidas[Projeto],MATCH("B"&amp;MID($A231,2,99),tblBatidas[Batida ID],0)),"")</f>
        <v>CFI / ACCION</v>
      </c>
      <c r="H231" t="str">
        <f>IFERROR(INDEX(tblBatidas[Atividade],MATCH("B"&amp;MID($A231,2,99),tblBatidas[Batida ID],0)),"")</f>
        <v>ANÁLISE</v>
      </c>
      <c r="I231" s="4">
        <f>IFERROR(MOD(INDEX(tblBatidas[Data e hora],MATCH("B"&amp;MID($A231,2,99),tblBatidas[Batida ID],0)),1),"")</f>
        <v>0.5742708333345945</v>
      </c>
      <c r="J231" s="4">
        <f>IFERROR(MOD(INDEX(tblBatidas[Data e hora],MATCH("B"&amp;MID($A231,2,99),tblBatidas[Início vinculado],0)),1),"")</f>
        <v>0.76270833333546761</v>
      </c>
      <c r="K231" s="14">
        <f>IFERROR((INDEX(tblBatidas[Data e hora],MATCH("B"&amp;MID($A231,2,99),tblBatidas[Início vinculado],0))-INDEX(tblBatidas[Data e hora],MATCH("B"&amp;MID($A231,2,99),tblBatidas[Batida ID],0)))*24,"")</f>
        <v>4.5225000000209548</v>
      </c>
      <c r="L231">
        <f>IFERROR(INDEX(tblBatidas[Observação],MATCH("B"&amp;MID($A231,2,99),tblBatidas[Início vinculado],0)),"")</f>
        <v>0</v>
      </c>
      <c r="M231" t="str">
        <f>IFERROR(INDEX(tblPessoas[Base],MATCH(E231,tblPessoas[ID],0)),"")</f>
        <v>Hora</v>
      </c>
      <c r="N231" s="3">
        <f>IFERROR(IF(D231="DIA ÚTIL",INDEX(tblPessoas[R$/h útil],MATCH(E231,tblPessoas[ID],0)),INDEX(tblPessoas[R$/h FDS],MATCH(E231,tblPessoas[ID],0))),0)</f>
        <v>23.5</v>
      </c>
      <c r="O231" s="3">
        <f>IFERROR(INDEX(tblPessoas[R$/diária],MATCH(E231,tblPessoas[ID],0)),0)</f>
        <v>0</v>
      </c>
      <c r="P231" s="3">
        <f t="shared" si="14"/>
        <v>106.27875000049244</v>
      </c>
      <c r="Q231" t="str">
        <f>IF(A231="","",IF(COUNTIF(tblBatidas[Início vinculado],"B"&amp;MID($A231,2,99))=0,"EM ABERTO",IF(OR(COUNTIF(tblBatidas[Início vinculado],"B"&amp;MID($A231,2,99))&gt;1,K231&lt;0,K231&gt;16,INT(INDEX(tblBatidas[Data e hora],MATCH("B"&amp;MID($A231,2,99),tblBatidas[Início vinculado],0)))&lt;&gt;B231,INDEX(tblBatidas[ID],MATCH("B"&amp;MID($A231,2,99),tblBatidas[Início vinculado],0))&lt;&gt;E231,INDEX(tblBatidas[Projeto],MATCH("B"&amp;MID($A231,2,99),tblBatidas[Início vinculado],0))&lt;&gt;G231,INDEX(tblBatidas[Atividade],MATCH("B"&amp;MID($A231,2,99),tblBatidas[Início vinculado],0))&lt;&gt;H231),"REVISAR","CONCLUÍDO")))</f>
        <v>CONCLUÍDO</v>
      </c>
      <c r="R231">
        <f>IF(Q231&lt;&gt;"CONCLUÍDO",0,IF(COUNTIFS($E$5:E231,E231,$B$5:B231,B231,$Q$5:Q231,"CONCLUÍDO")=1,1,0))</f>
        <v>0</v>
      </c>
      <c r="S231" t="str">
        <f t="shared" si="15"/>
        <v>yyyy-09</v>
      </c>
      <c r="T231">
        <f>IF(E231="","",E231*100000+COUNTIFS(tblRegistros[ID],E231,tblRegistros[Data],"&lt;"&amp;B231)+COUNTIFS(tblRegistros[ID],E231,tblRegistros[Data],B231,tblRegistros[Início],"&lt;"&amp;I231)+COUNTIFS($E$5:E231,E231,$B$5:B231,B231,$I$5:I231,I231))</f>
        <v>101600024</v>
      </c>
    </row>
    <row r="232" spans="1:20">
      <c r="A232" t="s">
        <v>324</v>
      </c>
      <c r="B232" s="2">
        <f>IFERROR(INT(INDEX(tblBatidas[Data e hora],MATCH("B"&amp;MID($A232,2,99),tblBatidas[Batida ID],0))),"")</f>
        <v>46273</v>
      </c>
      <c r="C232" t="str">
        <f t="shared" si="12"/>
        <v>TERÇA-FEIRA</v>
      </c>
      <c r="D232" t="str">
        <f t="shared" si="13"/>
        <v>DIA ÚTIL</v>
      </c>
      <c r="E232">
        <f>IFERROR(INDEX(tblBatidas[ID],MATCH("B"&amp;MID($A232,2,99),tblBatidas[Batida ID],0)),"")</f>
        <v>1012</v>
      </c>
      <c r="F232" t="str">
        <f>IFERROR(INDEX(tblPessoas[Pessoa],MATCH(E232,tblPessoas[ID],0)),"")</f>
        <v>Nelma Lucia dos S. B. Brandão</v>
      </c>
      <c r="G232" t="str">
        <f>IFERROR(INDEX(tblBatidas[Projeto],MATCH("B"&amp;MID($A232,2,99),tblBatidas[Batida ID],0)),"")</f>
        <v>OTEMPO</v>
      </c>
      <c r="H232" t="str">
        <f>IFERROR(INDEX(tblBatidas[Atividade],MATCH("B"&amp;MID($A232,2,99),tblBatidas[Batida ID],0)),"")</f>
        <v>SUPERVISÃO</v>
      </c>
      <c r="I232" s="4">
        <f>IFERROR(MOD(INDEX(tblBatidas[Data e hora],MATCH("B"&amp;MID($A232,2,99),tblBatidas[Batida ID],0)),1),"")</f>
        <v>0.57524305555853061</v>
      </c>
      <c r="J232" s="4">
        <f>IFERROR(MOD(INDEX(tblBatidas[Data e hora],MATCH("B"&amp;MID($A232,2,99),tblBatidas[Início vinculado],0)),1),"")</f>
        <v>0.75965277777868323</v>
      </c>
      <c r="K232" s="14">
        <f>IFERROR((INDEX(tblBatidas[Data e hora],MATCH("B"&amp;MID($A232,2,99),tblBatidas[Início vinculado],0))-INDEX(tblBatidas[Data e hora],MATCH("B"&amp;MID($A232,2,99),tblBatidas[Batida ID],0)))*24,"")</f>
        <v>4.4258333332836628</v>
      </c>
      <c r="L232" t="str">
        <f>IFERROR(INDEX(tblBatidas[Observação],MATCH("B"&amp;MID($A232,2,99),tblBatidas[Início vinculado],0)),"")</f>
        <v>Inconsistencias do Marca o Tempo/ impressão e entrega de material estadual/ checagem tracking</v>
      </c>
      <c r="M232" t="str">
        <f>IFERROR(INDEX(tblPessoas[Base],MATCH(E232,tblPessoas[ID],0)),"")</f>
        <v>Diária</v>
      </c>
      <c r="N232" s="3">
        <f>IFERROR(IF(D232="DIA ÚTIL",INDEX(tblPessoas[R$/h útil],MATCH(E232,tblPessoas[ID],0)),INDEX(tblPessoas[R$/h FDS],MATCH(E232,tblPessoas[ID],0))),0)</f>
        <v>0</v>
      </c>
      <c r="O232" s="3">
        <f>IFERROR(INDEX(tblPessoas[R$/diária],MATCH(E232,tblPessoas[ID],0)),0)</f>
        <v>222.72</v>
      </c>
      <c r="P232" s="3">
        <f t="shared" si="14"/>
        <v>0</v>
      </c>
      <c r="Q232" t="str">
        <f>IF(A232="","",IF(COUNTIF(tblBatidas[Início vinculado],"B"&amp;MID($A232,2,99))=0,"EM ABERTO",IF(OR(COUNTIF(tblBatidas[Início vinculado],"B"&amp;MID($A232,2,99))&gt;1,K232&lt;0,K232&gt;16,INT(INDEX(tblBatidas[Data e hora],MATCH("B"&amp;MID($A232,2,99),tblBatidas[Início vinculado],0)))&lt;&gt;B232,INDEX(tblBatidas[ID],MATCH("B"&amp;MID($A232,2,99),tblBatidas[Início vinculado],0))&lt;&gt;E232,INDEX(tblBatidas[Projeto],MATCH("B"&amp;MID($A232,2,99),tblBatidas[Início vinculado],0))&lt;&gt;G232,INDEX(tblBatidas[Atividade],MATCH("B"&amp;MID($A232,2,99),tblBatidas[Início vinculado],0))&lt;&gt;H232),"REVISAR","CONCLUÍDO")))</f>
        <v>CONCLUÍDO</v>
      </c>
      <c r="R232">
        <f>IF(Q232&lt;&gt;"CONCLUÍDO",0,IF(COUNTIFS($E$5:E232,E232,$B$5:B232,B232,$Q$5:Q232,"CONCLUÍDO")=1,1,0))</f>
        <v>0</v>
      </c>
      <c r="S232" t="str">
        <f t="shared" si="15"/>
        <v>yyyy-09</v>
      </c>
      <c r="T232">
        <f>IF(E232="","",E232*100000+COUNTIFS(tblRegistros[ID],E232,tblRegistros[Data],"&lt;"&amp;B232)+COUNTIFS(tblRegistros[ID],E232,tblRegistros[Data],B232,tblRegistros[Início],"&lt;"&amp;I232)+COUNTIFS($E$5:E232,E232,$B$5:B232,B232,$I$5:I232,I232))</f>
        <v>101200030</v>
      </c>
    </row>
    <row r="233" spans="1:20">
      <c r="A233" t="s">
        <v>325</v>
      </c>
      <c r="B233" s="2">
        <f>IFERROR(INT(INDEX(tblBatidas[Data e hora],MATCH("B"&amp;MID($A233,2,99),tblBatidas[Batida ID],0))),"")</f>
        <v>46273</v>
      </c>
      <c r="C233" t="str">
        <f t="shared" si="12"/>
        <v>TERÇA-FEIRA</v>
      </c>
      <c r="D233" t="str">
        <f t="shared" si="13"/>
        <v>DIA ÚTIL</v>
      </c>
      <c r="E233">
        <f>IFERROR(INDEX(tblBatidas[ID],MATCH("B"&amp;MID($A233,2,99),tblBatidas[Batida ID],0)),"")</f>
        <v>1015</v>
      </c>
      <c r="F233" t="str">
        <f>IFERROR(INDEX(tblPessoas[Pessoa],MATCH(E233,tblPessoas[ID],0)),"")</f>
        <v>Vitor Guilherme Miguel Rocha</v>
      </c>
      <c r="G233" t="str">
        <f>IFERROR(INDEX(tblBatidas[Projeto],MATCH("B"&amp;MID($A233,2,99),tblBatidas[Batida ID],0)),"")</f>
        <v>ADMINISTRATIVO</v>
      </c>
      <c r="H233" t="str">
        <f>IFERROR(INDEX(tblBatidas[Atividade],MATCH("B"&amp;MID($A233,2,99),tblBatidas[Batida ID],0)),"")</f>
        <v>ADMINISTRATIVO</v>
      </c>
      <c r="I233" s="4">
        <f>IFERROR(MOD(INDEX(tblBatidas[Data e hora],MATCH("B"&amp;MID($A233,2,99),tblBatidas[Batida ID],0)),1),"")</f>
        <v>0.57835648148466134</v>
      </c>
      <c r="J233" s="4">
        <f>IFERROR(MOD(INDEX(tblBatidas[Data e hora],MATCH("B"&amp;MID($A233,2,99),tblBatidas[Início vinculado],0)),1),"")</f>
        <v>0.74115740740671754</v>
      </c>
      <c r="K233" s="14">
        <f>IFERROR((INDEX(tblBatidas[Data e hora],MATCH("B"&amp;MID($A233,2,99),tblBatidas[Início vinculado],0))-INDEX(tblBatidas[Data e hora],MATCH("B"&amp;MID($A233,2,99),tblBatidas[Batida ID],0)))*24,"")</f>
        <v>3.9072222221293487</v>
      </c>
      <c r="L233">
        <f>IFERROR(INDEX(tblBatidas[Observação],MATCH("B"&amp;MID($A233,2,99),tblBatidas[Início vinculado],0)),"")</f>
        <v>0</v>
      </c>
      <c r="M233" t="str">
        <f>IFERROR(INDEX(tblPessoas[Base],MATCH(E233,tblPessoas[ID],0)),"")</f>
        <v>Hora</v>
      </c>
      <c r="N233" s="3">
        <f>IFERROR(IF(D233="DIA ÚTIL",INDEX(tblPessoas[R$/h útil],MATCH(E233,tblPessoas[ID],0)),INDEX(tblPessoas[R$/h FDS],MATCH(E233,tblPessoas[ID],0))),0)</f>
        <v>21.5</v>
      </c>
      <c r="O233" s="3">
        <f>IFERROR(INDEX(tblPessoas[R$/diária],MATCH(E233,tblPessoas[ID],0)),0)</f>
        <v>0</v>
      </c>
      <c r="P233" s="3">
        <f t="shared" si="14"/>
        <v>84.005277775780996</v>
      </c>
      <c r="Q233" t="str">
        <f>IF(A233="","",IF(COUNTIF(tblBatidas[Início vinculado],"B"&amp;MID($A233,2,99))=0,"EM ABERTO",IF(OR(COUNTIF(tblBatidas[Início vinculado],"B"&amp;MID($A233,2,99))&gt;1,K233&lt;0,K233&gt;16,INT(INDEX(tblBatidas[Data e hora],MATCH("B"&amp;MID($A233,2,99),tblBatidas[Início vinculado],0)))&lt;&gt;B233,INDEX(tblBatidas[ID],MATCH("B"&amp;MID($A233,2,99),tblBatidas[Início vinculado],0))&lt;&gt;E233,INDEX(tblBatidas[Projeto],MATCH("B"&amp;MID($A233,2,99),tblBatidas[Início vinculado],0))&lt;&gt;G233,INDEX(tblBatidas[Atividade],MATCH("B"&amp;MID($A233,2,99),tblBatidas[Início vinculado],0))&lt;&gt;H233),"REVISAR","CONCLUÍDO")))</f>
        <v>CONCLUÍDO</v>
      </c>
      <c r="R233">
        <f>IF(Q233&lt;&gt;"CONCLUÍDO",0,IF(COUNTIFS($E$5:E233,E233,$B$5:B233,B233,$Q$5:Q233,"CONCLUÍDO")=1,1,0))</f>
        <v>0</v>
      </c>
      <c r="S233" t="str">
        <f t="shared" si="15"/>
        <v>yyyy-09</v>
      </c>
      <c r="T233">
        <f>IF(E233="","",E233*100000+COUNTIFS(tblRegistros[ID],E233,tblRegistros[Data],"&lt;"&amp;B233)+COUNTIFS(tblRegistros[ID],E233,tblRegistros[Data],B233,tblRegistros[Início],"&lt;"&amp;I233)+COUNTIFS($E$5:E233,E233,$B$5:B233,B233,$I$5:I233,I233))</f>
        <v>101500024</v>
      </c>
    </row>
    <row r="234" spans="1:20">
      <c r="A234" t="s">
        <v>326</v>
      </c>
      <c r="B234" s="2">
        <f>IFERROR(INT(INDEX(tblBatidas[Data e hora],MATCH("B"&amp;MID($A234,2,99),tblBatidas[Batida ID],0))),"")</f>
        <v>46273</v>
      </c>
      <c r="C234" t="str">
        <f t="shared" si="12"/>
        <v>TERÇA-FEIRA</v>
      </c>
      <c r="D234" t="str">
        <f t="shared" si="13"/>
        <v>DIA ÚTIL</v>
      </c>
      <c r="E234">
        <f>IFERROR(INDEX(tblBatidas[ID],MATCH("B"&amp;MID($A234,2,99),tblBatidas[Batida ID],0)),"")</f>
        <v>1014</v>
      </c>
      <c r="F234" t="str">
        <f>IFERROR(INDEX(tblPessoas[Pessoa],MATCH(E234,tblPessoas[ID],0)),"")</f>
        <v>Robert Filipe Orlando de Souza</v>
      </c>
      <c r="G234" t="str">
        <f>IFERROR(INDEX(tblBatidas[Projeto],MATCH("B"&amp;MID($A234,2,99),tblBatidas[Batida ID],0)),"")</f>
        <v>ESTADUAL - OTEMPO</v>
      </c>
      <c r="H234" t="str">
        <f>IFERROR(INDEX(tblBatidas[Atividade],MATCH("B"&amp;MID($A234,2,99),tblBatidas[Batida ID],0)),"")</f>
        <v>CHECAGEM</v>
      </c>
      <c r="I234" s="4">
        <f>IFERROR(MOD(INDEX(tblBatidas[Data e hora],MATCH("B"&amp;MID($A234,2,99),tblBatidas[Batida ID],0)),1),"")</f>
        <v>0.58559027777664596</v>
      </c>
      <c r="J234" s="4">
        <f>IFERROR(MOD(INDEX(tblBatidas[Data e hora],MATCH("B"&amp;MID($A234,2,99),tblBatidas[Início vinculado],0)),1),"")</f>
        <v>0.76069444444146939</v>
      </c>
      <c r="K234" s="14">
        <f>IFERROR((INDEX(tblBatidas[Data e hora],MATCH("B"&amp;MID($A234,2,99),tblBatidas[Início vinculado],0))-INDEX(tblBatidas[Data e hora],MATCH("B"&amp;MID($A234,2,99),tblBatidas[Batida ID],0)))*24,"")</f>
        <v>4.2024999999557622</v>
      </c>
      <c r="L234" t="str">
        <f>IFERROR(INDEX(tblBatidas[Observação],MATCH("B"&amp;MID($A234,2,99),tblBatidas[Início vinculado],0)),"")</f>
        <v>Inconsistencias do Marca o Tempo/ impressão e entrega de material estadual/ checagem tracking</v>
      </c>
      <c r="M234" t="str">
        <f>IFERROR(INDEX(tblPessoas[Base],MATCH(E234,tblPessoas[ID],0)),"")</f>
        <v>Hora</v>
      </c>
      <c r="N234" s="3">
        <f>IFERROR(IF(D234="DIA ÚTIL",INDEX(tblPessoas[R$/h útil],MATCH(E234,tblPessoas[ID],0)),INDEX(tblPessoas[R$/h FDS],MATCH(E234,tblPessoas[ID],0))),0)</f>
        <v>21.5</v>
      </c>
      <c r="O234" s="3">
        <f>IFERROR(INDEX(tblPessoas[R$/diária],MATCH(E234,tblPessoas[ID],0)),0)</f>
        <v>0</v>
      </c>
      <c r="P234" s="3">
        <f t="shared" si="14"/>
        <v>90.353749999048887</v>
      </c>
      <c r="Q234" t="str">
        <f>IF(A234="","",IF(COUNTIF(tblBatidas[Início vinculado],"B"&amp;MID($A234,2,99))=0,"EM ABERTO",IF(OR(COUNTIF(tblBatidas[Início vinculado],"B"&amp;MID($A234,2,99))&gt;1,K234&lt;0,K234&gt;16,INT(INDEX(tblBatidas[Data e hora],MATCH("B"&amp;MID($A234,2,99),tblBatidas[Início vinculado],0)))&lt;&gt;B234,INDEX(tblBatidas[ID],MATCH("B"&amp;MID($A234,2,99),tblBatidas[Início vinculado],0))&lt;&gt;E234,INDEX(tblBatidas[Projeto],MATCH("B"&amp;MID($A234,2,99),tblBatidas[Início vinculado],0))&lt;&gt;G234,INDEX(tblBatidas[Atividade],MATCH("B"&amp;MID($A234,2,99),tblBatidas[Início vinculado],0))&lt;&gt;H234),"REVISAR","CONCLUÍDO")))</f>
        <v>CONCLUÍDO</v>
      </c>
      <c r="R234">
        <f>IF(Q234&lt;&gt;"CONCLUÍDO",0,IF(COUNTIFS($E$5:E234,E234,$B$5:B234,B234,$Q$5:Q234,"CONCLUÍDO")=1,1,0))</f>
        <v>0</v>
      </c>
      <c r="S234" t="str">
        <f t="shared" si="15"/>
        <v>yyyy-09</v>
      </c>
      <c r="T234">
        <f>IF(E234="","",E234*100000+COUNTIFS(tblRegistros[ID],E234,tblRegistros[Data],"&lt;"&amp;B234)+COUNTIFS(tblRegistros[ID],E234,tblRegistros[Data],B234,tblRegistros[Início],"&lt;"&amp;I234)+COUNTIFS($E$5:E234,E234,$B$5:B234,B234,$I$5:I234,I234))</f>
        <v>101400022</v>
      </c>
    </row>
    <row r="235" spans="1:20">
      <c r="A235" t="s">
        <v>327</v>
      </c>
      <c r="B235" s="2">
        <f>IFERROR(INT(INDEX(tblBatidas[Data e hora],MATCH("B"&amp;MID($A235,2,99),tblBatidas[Batida ID],0))),"")</f>
        <v>46273</v>
      </c>
      <c r="C235" t="str">
        <f t="shared" si="12"/>
        <v>TERÇA-FEIRA</v>
      </c>
      <c r="D235" t="str">
        <f t="shared" si="13"/>
        <v>DIA ÚTIL</v>
      </c>
      <c r="E235">
        <f>IFERROR(INDEX(tblBatidas[ID],MATCH("B"&amp;MID($A235,2,99),tblBatidas[Batida ID],0)),"")</f>
        <v>1004</v>
      </c>
      <c r="F235" t="str">
        <f>IFERROR(INDEX(tblPessoas[Pessoa],MATCH(E235,tblPessoas[ID],0)),"")</f>
        <v>Angela Bertoli</v>
      </c>
      <c r="G235" t="str">
        <f>IFERROR(INDEX(tblBatidas[Projeto],MATCH("B"&amp;MID($A235,2,99),tblBatidas[Batida ID],0)),"")</f>
        <v>OTEMPO</v>
      </c>
      <c r="H235" t="str">
        <f>IFERROR(INDEX(tblBatidas[Atividade],MATCH("B"&amp;MID($A235,2,99),tblBatidas[Batida ID],0)),"")</f>
        <v>CODIFICAÇÃO</v>
      </c>
      <c r="I235" s="4">
        <f>IFERROR(MOD(INDEX(tblBatidas[Data e hora],MATCH("B"&amp;MID($A235,2,99),tblBatidas[Batida ID],0)),1),"")</f>
        <v>0.6157754629603005</v>
      </c>
      <c r="J235" s="4">
        <f>IFERROR(MOD(INDEX(tblBatidas[Data e hora],MATCH("B"&amp;MID($A235,2,99),tblBatidas[Início vinculado],0)),1),"")</f>
        <v>0.77673611111094942</v>
      </c>
      <c r="K235" s="14">
        <f>IFERROR((INDEX(tblBatidas[Data e hora],MATCH("B"&amp;MID($A235,2,99),tblBatidas[Início vinculado],0))-INDEX(tblBatidas[Data e hora],MATCH("B"&amp;MID($A235,2,99),tblBatidas[Batida ID],0)))*24,"")</f>
        <v>3.8630555556155741</v>
      </c>
      <c r="L235">
        <f>IFERROR(INDEX(tblBatidas[Observação],MATCH("B"&amp;MID($A235,2,99),tblBatidas[Início vinculado],0)),"")</f>
        <v>0</v>
      </c>
      <c r="M235" t="str">
        <f>IFERROR(INDEX(tblPessoas[Base],MATCH(E235,tblPessoas[ID],0)),"")</f>
        <v>Hora</v>
      </c>
      <c r="N235" s="3">
        <f>IFERROR(IF(D235="DIA ÚTIL",INDEX(tblPessoas[R$/h útil],MATCH(E235,tblPessoas[ID],0)),INDEX(tblPessoas[R$/h FDS],MATCH(E235,tblPessoas[ID],0))),0)</f>
        <v>21.5</v>
      </c>
      <c r="O235" s="3">
        <f>IFERROR(INDEX(tblPessoas[R$/diária],MATCH(E235,tblPessoas[ID],0)),0)</f>
        <v>0</v>
      </c>
      <c r="P235" s="3">
        <f t="shared" si="14"/>
        <v>83.055694445734844</v>
      </c>
      <c r="Q235" t="str">
        <f>IF(A235="","",IF(COUNTIF(tblBatidas[Início vinculado],"B"&amp;MID($A235,2,99))=0,"EM ABERTO",IF(OR(COUNTIF(tblBatidas[Início vinculado],"B"&amp;MID($A235,2,99))&gt;1,K235&lt;0,K235&gt;16,INT(INDEX(tblBatidas[Data e hora],MATCH("B"&amp;MID($A235,2,99),tblBatidas[Início vinculado],0)))&lt;&gt;B235,INDEX(tblBatidas[ID],MATCH("B"&amp;MID($A235,2,99),tblBatidas[Início vinculado],0))&lt;&gt;E235,INDEX(tblBatidas[Projeto],MATCH("B"&amp;MID($A235,2,99),tblBatidas[Início vinculado],0))&lt;&gt;G235,INDEX(tblBatidas[Atividade],MATCH("B"&amp;MID($A235,2,99),tblBatidas[Início vinculado],0))&lt;&gt;H235),"REVISAR","CONCLUÍDO")))</f>
        <v>CONCLUÍDO</v>
      </c>
      <c r="R235">
        <f>IF(Q235&lt;&gt;"CONCLUÍDO",0,IF(COUNTIFS($E$5:E235,E235,$B$5:B235,B235,$Q$5:Q235,"CONCLUÍDO")=1,1,0))</f>
        <v>0</v>
      </c>
      <c r="S235" t="str">
        <f t="shared" si="15"/>
        <v>yyyy-09</v>
      </c>
      <c r="T235">
        <f>IF(E235="","",E235*100000+COUNTIFS(tblRegistros[ID],E235,tblRegistros[Data],"&lt;"&amp;B235)+COUNTIFS(tblRegistros[ID],E235,tblRegistros[Data],B235,tblRegistros[Início],"&lt;"&amp;I235)+COUNTIFS($E$5:E235,E235,$B$5:B235,B235,$I$5:I235,I235))</f>
        <v>100400017</v>
      </c>
    </row>
    <row r="236" spans="1:20">
      <c r="A236" t="s">
        <v>328</v>
      </c>
      <c r="B236" s="2">
        <f>IFERROR(INT(INDEX(tblBatidas[Data e hora],MATCH("B"&amp;MID($A236,2,99),tblBatidas[Batida ID],0))),"")</f>
        <v>46273</v>
      </c>
      <c r="C236" t="str">
        <f t="shared" si="12"/>
        <v>TERÇA-FEIRA</v>
      </c>
      <c r="D236" t="str">
        <f t="shared" si="13"/>
        <v>DIA ÚTIL</v>
      </c>
      <c r="E236">
        <f>IFERROR(INDEX(tblBatidas[ID],MATCH("B"&amp;MID($A236,2,99),tblBatidas[Batida ID],0)),"")</f>
        <v>1001</v>
      </c>
      <c r="F236" t="str">
        <f>IFERROR(INDEX(tblPessoas[Pessoa],MATCH(E236,tblPessoas[ID],0)),"")</f>
        <v>Adriana Pereira dos Santos</v>
      </c>
      <c r="G236" t="str">
        <f>IFERROR(INDEX(tblBatidas[Projeto],MATCH("B"&amp;MID($A236,2,99),tblBatidas[Batida ID],0)),"")</f>
        <v>SICOOB CREDICOM</v>
      </c>
      <c r="H236" t="str">
        <f>IFERROR(INDEX(tblBatidas[Atividade],MATCH("B"&amp;MID($A236,2,99),tblBatidas[Batida ID],0)),"")</f>
        <v>SUPERVISÃO</v>
      </c>
      <c r="I236" s="4">
        <f>IFERROR(MOD(INDEX(tblBatidas[Data e hora],MATCH("B"&amp;MID($A236,2,99),tblBatidas[Batida ID],0)),1),"")</f>
        <v>0.71143518518510973</v>
      </c>
      <c r="J236" s="4">
        <f>IFERROR(MOD(INDEX(tblBatidas[Data e hora],MATCH("B"&amp;MID($A236,2,99),tblBatidas[Início vinculado],0)),1),"")</f>
        <v>0.90473379629838746</v>
      </c>
      <c r="K236" s="14">
        <f>IFERROR((INDEX(tblBatidas[Data e hora],MATCH("B"&amp;MID($A236,2,99),tblBatidas[Início vinculado],0))-INDEX(tblBatidas[Data e hora],MATCH("B"&amp;MID($A236,2,99),tblBatidas[Batida ID],0)))*24,"")</f>
        <v>4.6391666667186655</v>
      </c>
      <c r="L236" t="str">
        <f>IFERROR(INDEX(tblBatidas[Observação],MATCH("B"&amp;MID($A236,2,99),tblBatidas[Início vinculado],0)),"")</f>
        <v>Primeiro dia do campo betim primeira rodada, dia de viagem da estafual 4.1 e 4.5</v>
      </c>
      <c r="M236" t="str">
        <f>IFERROR(INDEX(tblPessoas[Base],MATCH(E236,tblPessoas[ID],0)),"")</f>
        <v>Hora</v>
      </c>
      <c r="N236" s="3">
        <f>IFERROR(IF(D236="DIA ÚTIL",INDEX(tblPessoas[R$/h útil],MATCH(E236,tblPessoas[ID],0)),INDEX(tblPessoas[R$/h FDS],MATCH(E236,tblPessoas[ID],0))),0)</f>
        <v>17</v>
      </c>
      <c r="O236" s="3">
        <f>IFERROR(INDEX(tblPessoas[R$/diária],MATCH(E236,tblPessoas[ID],0)),0)</f>
        <v>0</v>
      </c>
      <c r="P236" s="3">
        <f t="shared" si="14"/>
        <v>78.865833334217314</v>
      </c>
      <c r="Q236" t="str">
        <f>IF(A236="","",IF(COUNTIF(tblBatidas[Início vinculado],"B"&amp;MID($A236,2,99))=0,"EM ABERTO",IF(OR(COUNTIF(tblBatidas[Início vinculado],"B"&amp;MID($A236,2,99))&gt;1,K236&lt;0,K236&gt;16,INT(INDEX(tblBatidas[Data e hora],MATCH("B"&amp;MID($A236,2,99),tblBatidas[Início vinculado],0)))&lt;&gt;B236,INDEX(tblBatidas[ID],MATCH("B"&amp;MID($A236,2,99),tblBatidas[Início vinculado],0))&lt;&gt;E236,INDEX(tblBatidas[Projeto],MATCH("B"&amp;MID($A236,2,99),tblBatidas[Início vinculado],0))&lt;&gt;G236,INDEX(tblBatidas[Atividade],MATCH("B"&amp;MID($A236,2,99),tblBatidas[Início vinculado],0))&lt;&gt;H236),"REVISAR","CONCLUÍDO")))</f>
        <v>CONCLUÍDO</v>
      </c>
      <c r="R236">
        <f>IF(Q236&lt;&gt;"CONCLUÍDO",0,IF(COUNTIFS($E$5:E236,E236,$B$5:B236,B236,$Q$5:Q236,"CONCLUÍDO")=1,1,0))</f>
        <v>1</v>
      </c>
      <c r="S236" t="str">
        <f t="shared" si="15"/>
        <v>yyyy-09</v>
      </c>
      <c r="T236">
        <f>IF(E236="","",E236*100000+COUNTIFS(tblRegistros[ID],E236,tblRegistros[Data],"&lt;"&amp;B236)+COUNTIFS(tblRegistros[ID],E236,tblRegistros[Data],B236,tblRegistros[Início],"&lt;"&amp;I236)+COUNTIFS($E$5:E236,E236,$B$5:B236,B236,$I$5:I236,I236))</f>
        <v>100100024</v>
      </c>
    </row>
    <row r="237" spans="1:20">
      <c r="A237" t="s">
        <v>329</v>
      </c>
      <c r="B237" s="2">
        <f>IFERROR(INT(INDEX(tblBatidas[Data e hora],MATCH("B"&amp;MID($A237,2,99),tblBatidas[Batida ID],0))),"")</f>
        <v>46273</v>
      </c>
      <c r="C237" t="str">
        <f t="shared" si="12"/>
        <v>TERÇA-FEIRA</v>
      </c>
      <c r="D237" t="str">
        <f t="shared" si="13"/>
        <v>DIA ÚTIL</v>
      </c>
      <c r="E237">
        <f>IFERROR(INDEX(tblBatidas[ID],MATCH("B"&amp;MID($A237,2,99),tblBatidas[Batida ID],0)),"")</f>
        <v>1006</v>
      </c>
      <c r="F237" t="str">
        <f>IFERROR(INDEX(tblPessoas[Pessoa],MATCH(E237,tblPessoas[ID],0)),"")</f>
        <v>Eliane dos Santos Oliveira</v>
      </c>
      <c r="G237" t="str">
        <f>IFERROR(INDEX(tblBatidas[Projeto],MATCH("B"&amp;MID($A237,2,99),tblBatidas[Batida ID],0)),"")</f>
        <v>OUTROS</v>
      </c>
      <c r="H237" t="str">
        <f>IFERROR(INDEX(tblBatidas[Atividade],MATCH("B"&amp;MID($A237,2,99),tblBatidas[Batida ID],0)),"")</f>
        <v>CHECAGEM</v>
      </c>
      <c r="I237" s="4">
        <f>IFERROR(MOD(INDEX(tblBatidas[Data e hora],MATCH("B"&amp;MID($A237,2,99),tblBatidas[Batida ID],0)),1),"")</f>
        <v>0.76452546296059154</v>
      </c>
      <c r="J237" s="4">
        <f>IFERROR(MOD(INDEX(tblBatidas[Data e hora],MATCH("B"&amp;MID($A237,2,99),tblBatidas[Início vinculado],0)),1),"")</f>
        <v>0.90273148148116888</v>
      </c>
      <c r="K237" s="14">
        <f>IFERROR((INDEX(tblBatidas[Data e hora],MATCH("B"&amp;MID($A237,2,99),tblBatidas[Início vinculado],0))-INDEX(tblBatidas[Data e hora],MATCH("B"&amp;MID($A237,2,99),tblBatidas[Batida ID],0)))*24,"")</f>
        <v>3.3169444444938563</v>
      </c>
      <c r="L237" t="str">
        <f>IFERROR(INDEX(tblBatidas[Observação],MATCH("B"&amp;MID($A237,2,99),tblBatidas[Início vinculado],0)),"")</f>
        <v>checagem politica betim</v>
      </c>
      <c r="M237" t="str">
        <f>IFERROR(INDEX(tblPessoas[Base],MATCH(E237,tblPessoas[ID],0)),"")</f>
        <v>Hora</v>
      </c>
      <c r="N237" s="3">
        <f>IFERROR(IF(D237="DIA ÚTIL",INDEX(tblPessoas[R$/h útil],MATCH(E237,tblPessoas[ID],0)),INDEX(tblPessoas[R$/h FDS],MATCH(E237,tblPessoas[ID],0))),0)</f>
        <v>14</v>
      </c>
      <c r="O237" s="3">
        <f>IFERROR(INDEX(tblPessoas[R$/diária],MATCH(E237,tblPessoas[ID],0)),0)</f>
        <v>0</v>
      </c>
      <c r="P237" s="3">
        <f t="shared" si="14"/>
        <v>46.437222222913988</v>
      </c>
      <c r="Q237" t="str">
        <f>IF(A237="","",IF(COUNTIF(tblBatidas[Início vinculado],"B"&amp;MID($A237,2,99))=0,"EM ABERTO",IF(OR(COUNTIF(tblBatidas[Início vinculado],"B"&amp;MID($A237,2,99))&gt;1,K237&lt;0,K237&gt;16,INT(INDEX(tblBatidas[Data e hora],MATCH("B"&amp;MID($A237,2,99),tblBatidas[Início vinculado],0)))&lt;&gt;B237,INDEX(tblBatidas[ID],MATCH("B"&amp;MID($A237,2,99),tblBatidas[Início vinculado],0))&lt;&gt;E237,INDEX(tblBatidas[Projeto],MATCH("B"&amp;MID($A237,2,99),tblBatidas[Início vinculado],0))&lt;&gt;G237,INDEX(tblBatidas[Atividade],MATCH("B"&amp;MID($A237,2,99),tblBatidas[Início vinculado],0))&lt;&gt;H237),"REVISAR","CONCLUÍDO")))</f>
        <v>CONCLUÍDO</v>
      </c>
      <c r="R237">
        <f>IF(Q237&lt;&gt;"CONCLUÍDO",0,IF(COUNTIFS($E$5:E237,E237,$B$5:B237,B237,$Q$5:Q237,"CONCLUÍDO")=1,1,0))</f>
        <v>0</v>
      </c>
      <c r="S237" t="str">
        <f t="shared" si="15"/>
        <v>yyyy-09</v>
      </c>
      <c r="T237">
        <f>IF(E237="","",E237*100000+COUNTIFS(tblRegistros[ID],E237,tblRegistros[Data],"&lt;"&amp;B237)+COUNTIFS(tblRegistros[ID],E237,tblRegistros[Data],B237,tblRegistros[Início],"&lt;"&amp;I237)+COUNTIFS($E$5:E237,E237,$B$5:B237,B237,$I$5:I237,I237))</f>
        <v>100600017</v>
      </c>
    </row>
    <row r="238" spans="1:20">
      <c r="A238" t="s">
        <v>330</v>
      </c>
      <c r="B238" s="2">
        <f>IFERROR(INT(INDEX(tblBatidas[Data e hora],MATCH("B"&amp;MID($A238,2,99),tblBatidas[Batida ID],0))),"")</f>
        <v>46273</v>
      </c>
      <c r="C238" t="str">
        <f t="shared" si="12"/>
        <v>TERÇA-FEIRA</v>
      </c>
      <c r="D238" t="str">
        <f t="shared" si="13"/>
        <v>DIA ÚTIL</v>
      </c>
      <c r="E238">
        <f>IFERROR(INDEX(tblBatidas[ID],MATCH("B"&amp;MID($A238,2,99),tblBatidas[Batida ID],0)),"")</f>
        <v>1004</v>
      </c>
      <c r="F238" t="str">
        <f>IFERROR(INDEX(tblPessoas[Pessoa],MATCH(E238,tblPessoas[ID],0)),"")</f>
        <v>Angela Bertoli</v>
      </c>
      <c r="G238" t="str">
        <f>IFERROR(INDEX(tblBatidas[Projeto],MATCH("B"&amp;MID($A238,2,99),tblBatidas[Batida ID],0)),"")</f>
        <v>CAMPANHA</v>
      </c>
      <c r="H238" t="str">
        <f>IFERROR(INDEX(tblBatidas[Atividade],MATCH("B"&amp;MID($A238,2,99),tblBatidas[Batida ID],0)),"")</f>
        <v>CODIFICAÇÃO</v>
      </c>
      <c r="I238" s="4">
        <f>IFERROR(MOD(INDEX(tblBatidas[Data e hora],MATCH("B"&amp;MID($A238,2,99),tblBatidas[Batida ID],0)),1),"")</f>
        <v>0.82344907407241408</v>
      </c>
      <c r="J238" s="4">
        <f>IFERROR(MOD(INDEX(tblBatidas[Data e hora],MATCH("B"&amp;MID($A238,2,99),tblBatidas[Início vinculado],0)),1),"")</f>
        <v>0.92396990740962792</v>
      </c>
      <c r="K238" s="14">
        <f>IFERROR((INDEX(tblBatidas[Data e hora],MATCH("B"&amp;MID($A238,2,99),tblBatidas[Início vinculado],0))-INDEX(tblBatidas[Data e hora],MATCH("B"&amp;MID($A238,2,99),tblBatidas[Batida ID],0)))*24,"")</f>
        <v>2.4125000000931323</v>
      </c>
      <c r="L238" t="str">
        <f>IFERROR(INDEX(tblBatidas[Observação],MATCH("B"&amp;MID($A238,2,99),tblBatidas[Início vinculado],0)),"")</f>
        <v>Tracking  Betim</v>
      </c>
      <c r="M238" t="str">
        <f>IFERROR(INDEX(tblPessoas[Base],MATCH(E238,tblPessoas[ID],0)),"")</f>
        <v>Hora</v>
      </c>
      <c r="N238" s="3">
        <f>IFERROR(IF(D238="DIA ÚTIL",INDEX(tblPessoas[R$/h útil],MATCH(E238,tblPessoas[ID],0)),INDEX(tblPessoas[R$/h FDS],MATCH(E238,tblPessoas[ID],0))),0)</f>
        <v>21.5</v>
      </c>
      <c r="O238" s="3">
        <f>IFERROR(INDEX(tblPessoas[R$/diária],MATCH(E238,tblPessoas[ID],0)),0)</f>
        <v>0</v>
      </c>
      <c r="P238" s="3">
        <f t="shared" si="14"/>
        <v>51.868750002002344</v>
      </c>
      <c r="Q238" t="str">
        <f>IF(A238="","",IF(COUNTIF(tblBatidas[Início vinculado],"B"&amp;MID($A238,2,99))=0,"EM ABERTO",IF(OR(COUNTIF(tblBatidas[Início vinculado],"B"&amp;MID($A238,2,99))&gt;1,K238&lt;0,K238&gt;16,INT(INDEX(tblBatidas[Data e hora],MATCH("B"&amp;MID($A238,2,99),tblBatidas[Início vinculado],0)))&lt;&gt;B238,INDEX(tblBatidas[ID],MATCH("B"&amp;MID($A238,2,99),tblBatidas[Início vinculado],0))&lt;&gt;E238,INDEX(tblBatidas[Projeto],MATCH("B"&amp;MID($A238,2,99),tblBatidas[Início vinculado],0))&lt;&gt;G238,INDEX(tblBatidas[Atividade],MATCH("B"&amp;MID($A238,2,99),tblBatidas[Início vinculado],0))&lt;&gt;H238),"REVISAR","CONCLUÍDO")))</f>
        <v>CONCLUÍDO</v>
      </c>
      <c r="R238">
        <f>IF(Q238&lt;&gt;"CONCLUÍDO",0,IF(COUNTIFS($E$5:E238,E238,$B$5:B238,B238,$Q$5:Q238,"CONCLUÍDO")=1,1,0))</f>
        <v>0</v>
      </c>
      <c r="S238" t="str">
        <f t="shared" si="15"/>
        <v>yyyy-09</v>
      </c>
      <c r="T238">
        <f>IF(E238="","",E238*100000+COUNTIFS(tblRegistros[ID],E238,tblRegistros[Data],"&lt;"&amp;B238)+COUNTIFS(tblRegistros[ID],E238,tblRegistros[Data],B238,tblRegistros[Início],"&lt;"&amp;I238)+COUNTIFS($E$5:E238,E238,$B$5:B238,B238,$I$5:I238,I238))</f>
        <v>100400018</v>
      </c>
    </row>
    <row r="239" spans="1:20">
      <c r="A239" t="s">
        <v>331</v>
      </c>
      <c r="B239" s="2">
        <f>IFERROR(INT(INDEX(tblBatidas[Data e hora],MATCH("B"&amp;MID($A239,2,99),tblBatidas[Batida ID],0))),"")</f>
        <v>46274</v>
      </c>
      <c r="C239" t="str">
        <f t="shared" si="12"/>
        <v>QUARTA-FEIRA</v>
      </c>
      <c r="D239" t="str">
        <f t="shared" si="13"/>
        <v>DIA ÚTIL</v>
      </c>
      <c r="E239">
        <f>IFERROR(INDEX(tblBatidas[ID],MATCH("B"&amp;MID($A239,2,99),tblBatidas[Batida ID],0)),"")</f>
        <v>1001</v>
      </c>
      <c r="F239" t="str">
        <f>IFERROR(INDEX(tblPessoas[Pessoa],MATCH(E239,tblPessoas[ID],0)),"")</f>
        <v>Adriana Pereira dos Santos</v>
      </c>
      <c r="G239" t="str">
        <f>IFERROR(INDEX(tblBatidas[Projeto],MATCH("B"&amp;MID($A239,2,99),tblBatidas[Batida ID],0)),"")</f>
        <v>SICOOB CREDICOM</v>
      </c>
      <c r="H239" t="str">
        <f>IFERROR(INDEX(tblBatidas[Atividade],MATCH("B"&amp;MID($A239,2,99),tblBatidas[Batida ID],0)),"")</f>
        <v>SUPERVISÃO</v>
      </c>
      <c r="I239" s="4">
        <f>IFERROR(MOD(INDEX(tblBatidas[Data e hora],MATCH("B"&amp;MID($A239,2,99),tblBatidas[Batida ID],0)),1),"")</f>
        <v>0.28814814814541023</v>
      </c>
      <c r="J239" s="4">
        <f>IFERROR(MOD(INDEX(tblBatidas[Data e hora],MATCH("B"&amp;MID($A239,2,99),tblBatidas[Início vinculado],0)),1),"")</f>
        <v>0.66138888888963265</v>
      </c>
      <c r="K239" s="14">
        <f>IFERROR((INDEX(tblBatidas[Data e hora],MATCH("B"&amp;MID($A239,2,99),tblBatidas[Início vinculado],0))-INDEX(tblBatidas[Data e hora],MATCH("B"&amp;MID($A239,2,99),tblBatidas[Batida ID],0)))*24,"")</f>
        <v>8.9577777778613381</v>
      </c>
      <c r="L239" t="str">
        <f>IFERROR(INDEX(tblBatidas[Observação],MATCH("B"&amp;MID($A239,2,99),tblBatidas[Início vinculado],0)),"")</f>
        <v>Primeiro dia de campo Estadual 4.1, Segundo dia de Betim tracking</v>
      </c>
      <c r="M239" t="str">
        <f>IFERROR(INDEX(tblPessoas[Base],MATCH(E239,tblPessoas[ID],0)),"")</f>
        <v>Hora</v>
      </c>
      <c r="N239" s="3">
        <f>IFERROR(IF(D239="DIA ÚTIL",INDEX(tblPessoas[R$/h útil],MATCH(E239,tblPessoas[ID],0)),INDEX(tblPessoas[R$/h FDS],MATCH(E239,tblPessoas[ID],0))),0)</f>
        <v>17</v>
      </c>
      <c r="O239" s="3">
        <f>IFERROR(INDEX(tblPessoas[R$/diária],MATCH(E239,tblPessoas[ID],0)),0)</f>
        <v>0</v>
      </c>
      <c r="P239" s="3">
        <f t="shared" si="14"/>
        <v>152.28222222364275</v>
      </c>
      <c r="Q239" t="str">
        <f>IF(A239="","",IF(COUNTIF(tblBatidas[Início vinculado],"B"&amp;MID($A239,2,99))=0,"EM ABERTO",IF(OR(COUNTIF(tblBatidas[Início vinculado],"B"&amp;MID($A239,2,99))&gt;1,K239&lt;0,K239&gt;16,INT(INDEX(tblBatidas[Data e hora],MATCH("B"&amp;MID($A239,2,99),tblBatidas[Início vinculado],0)))&lt;&gt;B239,INDEX(tblBatidas[ID],MATCH("B"&amp;MID($A239,2,99),tblBatidas[Início vinculado],0))&lt;&gt;E239,INDEX(tblBatidas[Projeto],MATCH("B"&amp;MID($A239,2,99),tblBatidas[Início vinculado],0))&lt;&gt;G239,INDEX(tblBatidas[Atividade],MATCH("B"&amp;MID($A239,2,99),tblBatidas[Início vinculado],0))&lt;&gt;H239),"REVISAR","CONCLUÍDO")))</f>
        <v>CONCLUÍDO</v>
      </c>
      <c r="R239">
        <f>IF(Q239&lt;&gt;"CONCLUÍDO",0,IF(COUNTIFS($E$5:E239,E239,$B$5:B239,B239,$Q$5:Q239,"CONCLUÍDO")=1,1,0))</f>
        <v>1</v>
      </c>
      <c r="S239" t="str">
        <f t="shared" si="15"/>
        <v>yyyy-09</v>
      </c>
      <c r="T239">
        <f>IF(E239="","",E239*100000+COUNTIFS(tblRegistros[ID],E239,tblRegistros[Data],"&lt;"&amp;B239)+COUNTIFS(tblRegistros[ID],E239,tblRegistros[Data],B239,tblRegistros[Início],"&lt;"&amp;I239)+COUNTIFS($E$5:E239,E239,$B$5:B239,B239,$I$5:I239,I239))</f>
        <v>100100025</v>
      </c>
    </row>
    <row r="240" spans="1:20">
      <c r="A240" t="s">
        <v>332</v>
      </c>
      <c r="B240" s="2">
        <f>IFERROR(INT(INDEX(tblBatidas[Data e hora],MATCH("B"&amp;MID($A240,2,99),tblBatidas[Batida ID],0))),"")</f>
        <v>46274</v>
      </c>
      <c r="C240" t="str">
        <f t="shared" si="12"/>
        <v>QUARTA-FEIRA</v>
      </c>
      <c r="D240" t="str">
        <f t="shared" si="13"/>
        <v>DIA ÚTIL</v>
      </c>
      <c r="E240">
        <f>IFERROR(INDEX(tblBatidas[ID],MATCH("B"&amp;MID($A240,2,99),tblBatidas[Batida ID],0)),"")</f>
        <v>1006</v>
      </c>
      <c r="F240" t="str">
        <f>IFERROR(INDEX(tblPessoas[Pessoa],MATCH(E240,tblPessoas[ID],0)),"")</f>
        <v>Eliane dos Santos Oliveira</v>
      </c>
      <c r="G240" t="str">
        <f>IFERROR(INDEX(tblBatidas[Projeto],MATCH("B"&amp;MID($A240,2,99),tblBatidas[Batida ID],0)),"")</f>
        <v>OUTROS</v>
      </c>
      <c r="H240" t="str">
        <f>IFERROR(INDEX(tblBatidas[Atividade],MATCH("B"&amp;MID($A240,2,99),tblBatidas[Batida ID],0)),"")</f>
        <v>CHECAGEM</v>
      </c>
      <c r="I240" s="4">
        <f>IFERROR(MOD(INDEX(tblBatidas[Data e hora],MATCH("B"&amp;MID($A240,2,99),tblBatidas[Batida ID],0)),1),"")</f>
        <v>0.32350694444176042</v>
      </c>
      <c r="J240" s="4">
        <f>IFERROR(MOD(INDEX(tblBatidas[Data e hora],MATCH("B"&amp;MID($A240,2,99),tblBatidas[Início vinculado],0)),1),"")</f>
        <v>0.46075231481518131</v>
      </c>
      <c r="K240" s="14">
        <f>IFERROR((INDEX(tblBatidas[Data e hora],MATCH("B"&amp;MID($A240,2,99),tblBatidas[Início vinculado],0))-INDEX(tblBatidas[Data e hora],MATCH("B"&amp;MID($A240,2,99),tblBatidas[Batida ID],0)))*24,"")</f>
        <v>3.2938888889621012</v>
      </c>
      <c r="L240" t="str">
        <f>IFERROR(INDEX(tblBatidas[Observação],MATCH("B"&amp;MID($A240,2,99),tblBatidas[Início vinculado],0)),"")</f>
        <v>checagem politica betim e estadual</v>
      </c>
      <c r="M240" t="str">
        <f>IFERROR(INDEX(tblPessoas[Base],MATCH(E240,tblPessoas[ID],0)),"")</f>
        <v>Hora</v>
      </c>
      <c r="N240" s="3">
        <f>IFERROR(IF(D240="DIA ÚTIL",INDEX(tblPessoas[R$/h útil],MATCH(E240,tblPessoas[ID],0)),INDEX(tblPessoas[R$/h FDS],MATCH(E240,tblPessoas[ID],0))),0)</f>
        <v>14</v>
      </c>
      <c r="O240" s="3">
        <f>IFERROR(INDEX(tblPessoas[R$/diária],MATCH(E240,tblPessoas[ID],0)),0)</f>
        <v>0</v>
      </c>
      <c r="P240" s="3">
        <f t="shared" si="14"/>
        <v>46.114444445469417</v>
      </c>
      <c r="Q240" t="str">
        <f>IF(A240="","",IF(COUNTIF(tblBatidas[Início vinculado],"B"&amp;MID($A240,2,99))=0,"EM ABERTO",IF(OR(COUNTIF(tblBatidas[Início vinculado],"B"&amp;MID($A240,2,99))&gt;1,K240&lt;0,K240&gt;16,INT(INDEX(tblBatidas[Data e hora],MATCH("B"&amp;MID($A240,2,99),tblBatidas[Início vinculado],0)))&lt;&gt;B240,INDEX(tblBatidas[ID],MATCH("B"&amp;MID($A240,2,99),tblBatidas[Início vinculado],0))&lt;&gt;E240,INDEX(tblBatidas[Projeto],MATCH("B"&amp;MID($A240,2,99),tblBatidas[Início vinculado],0))&lt;&gt;G240,INDEX(tblBatidas[Atividade],MATCH("B"&amp;MID($A240,2,99),tblBatidas[Início vinculado],0))&lt;&gt;H240),"REVISAR","CONCLUÍDO")))</f>
        <v>CONCLUÍDO</v>
      </c>
      <c r="R240">
        <f>IF(Q240&lt;&gt;"CONCLUÍDO",0,IF(COUNTIFS($E$5:E240,E240,$B$5:B240,B240,$Q$5:Q240,"CONCLUÍDO")=1,1,0))</f>
        <v>1</v>
      </c>
      <c r="S240" t="str">
        <f t="shared" si="15"/>
        <v>yyyy-09</v>
      </c>
      <c r="T240">
        <f>IF(E240="","",E240*100000+COUNTIFS(tblRegistros[ID],E240,tblRegistros[Data],"&lt;"&amp;B240)+COUNTIFS(tblRegistros[ID],E240,tblRegistros[Data],B240,tblRegistros[Início],"&lt;"&amp;I240)+COUNTIFS($E$5:E240,E240,$B$5:B240,B240,$I$5:I240,I240))</f>
        <v>100600018</v>
      </c>
    </row>
    <row r="241" spans="1:20">
      <c r="A241" t="s">
        <v>333</v>
      </c>
      <c r="B241" s="2">
        <f>IFERROR(INT(INDEX(tblBatidas[Data e hora],MATCH("B"&amp;MID($A241,2,99),tblBatidas[Batida ID],0))),"")</f>
        <v>46274</v>
      </c>
      <c r="C241" t="str">
        <f t="shared" si="12"/>
        <v>QUARTA-FEIRA</v>
      </c>
      <c r="D241" t="str">
        <f t="shared" si="13"/>
        <v>DIA ÚTIL</v>
      </c>
      <c r="E241">
        <f>IFERROR(INDEX(tblBatidas[ID],MATCH("B"&amp;MID($A241,2,99),tblBatidas[Batida ID],0)),"")</f>
        <v>1011</v>
      </c>
      <c r="F241" t="str">
        <f>IFERROR(INDEX(tblPessoas[Pessoa],MATCH(E241,tblPessoas[ID],0)),"")</f>
        <v>Nathalia Arruda</v>
      </c>
      <c r="G241" t="str">
        <f>IFERROR(INDEX(tblBatidas[Projeto],MATCH("B"&amp;MID($A241,2,99),tblBatidas[Batida ID],0)),"")</f>
        <v>OTEMPO</v>
      </c>
      <c r="H241" t="str">
        <f>IFERROR(INDEX(tblBatidas[Atividade],MATCH("B"&amp;MID($A241,2,99),tblBatidas[Batida ID],0)),"")</f>
        <v>ANÁLISE</v>
      </c>
      <c r="I241" s="4">
        <f>IFERROR(MOD(INDEX(tblBatidas[Data e hora],MATCH("B"&amp;MID($A241,2,99),tblBatidas[Batida ID],0)),1),"")</f>
        <v>0.330775462964084</v>
      </c>
      <c r="J241" s="4">
        <f>IFERROR(MOD(INDEX(tblBatidas[Data e hora],MATCH("B"&amp;MID($A241,2,99),tblBatidas[Início vinculado],0)),1),"")</f>
        <v>0.51249999999708962</v>
      </c>
      <c r="K241" s="14">
        <f>IFERROR((INDEX(tblBatidas[Data e hora],MATCH("B"&amp;MID($A241,2,99),tblBatidas[Início vinculado],0))-INDEX(tblBatidas[Data e hora],MATCH("B"&amp;MID($A241,2,99),tblBatidas[Batida ID],0)))*24,"")</f>
        <v>4.3613888887921348</v>
      </c>
      <c r="L241">
        <f>IFERROR(INDEX(tblBatidas[Observação],MATCH("B"&amp;MID($A241,2,99),tblBatidas[Início vinculado],0)),"")</f>
        <v>0</v>
      </c>
      <c r="M241" t="str">
        <f>IFERROR(INDEX(tblPessoas[Base],MATCH(E241,tblPessoas[ID],0)),"")</f>
        <v>Hora</v>
      </c>
      <c r="N241" s="3">
        <f>IFERROR(IF(D241="DIA ÚTIL",INDEX(tblPessoas[R$/h útil],MATCH(E241,tblPessoas[ID],0)),INDEX(tblPessoas[R$/h FDS],MATCH(E241,tblPessoas[ID],0))),0)</f>
        <v>23.5</v>
      </c>
      <c r="O241" s="3">
        <f>IFERROR(INDEX(tblPessoas[R$/diária],MATCH(E241,tblPessoas[ID],0)),0)</f>
        <v>0</v>
      </c>
      <c r="P241" s="3">
        <f t="shared" si="14"/>
        <v>102.49263888661517</v>
      </c>
      <c r="Q241" t="str">
        <f>IF(A241="","",IF(COUNTIF(tblBatidas[Início vinculado],"B"&amp;MID($A241,2,99))=0,"EM ABERTO",IF(OR(COUNTIF(tblBatidas[Início vinculado],"B"&amp;MID($A241,2,99))&gt;1,K241&lt;0,K241&gt;16,INT(INDEX(tblBatidas[Data e hora],MATCH("B"&amp;MID($A241,2,99),tblBatidas[Início vinculado],0)))&lt;&gt;B241,INDEX(tblBatidas[ID],MATCH("B"&amp;MID($A241,2,99),tblBatidas[Início vinculado],0))&lt;&gt;E241,INDEX(tblBatidas[Projeto],MATCH("B"&amp;MID($A241,2,99),tblBatidas[Início vinculado],0))&lt;&gt;G241,INDEX(tblBatidas[Atividade],MATCH("B"&amp;MID($A241,2,99),tblBatidas[Início vinculado],0))&lt;&gt;H241),"REVISAR","CONCLUÍDO")))</f>
        <v>CONCLUÍDO</v>
      </c>
      <c r="R241">
        <f>IF(Q241&lt;&gt;"CONCLUÍDO",0,IF(COUNTIFS($E$5:E241,E241,$B$5:B241,B241,$Q$5:Q241,"CONCLUÍDO")=1,1,0))</f>
        <v>1</v>
      </c>
      <c r="S241" t="str">
        <f t="shared" si="15"/>
        <v>yyyy-09</v>
      </c>
      <c r="T241">
        <f>IF(E241="","",E241*100000+COUNTIFS(tblRegistros[ID],E241,tblRegistros[Data],"&lt;"&amp;B241)+COUNTIFS(tblRegistros[ID],E241,tblRegistros[Data],B241,tblRegistros[Início],"&lt;"&amp;I241)+COUNTIFS($E$5:E241,E241,$B$5:B241,B241,$I$5:I241,I241))</f>
        <v>101100020</v>
      </c>
    </row>
    <row r="242" spans="1:20">
      <c r="A242" t="s">
        <v>334</v>
      </c>
      <c r="B242" s="2">
        <f>IFERROR(INT(INDEX(tblBatidas[Data e hora],MATCH("B"&amp;MID($A242,2,99),tblBatidas[Batida ID],0))),"")</f>
        <v>46274</v>
      </c>
      <c r="C242" t="str">
        <f t="shared" si="12"/>
        <v>QUARTA-FEIRA</v>
      </c>
      <c r="D242" t="str">
        <f t="shared" si="13"/>
        <v>DIA ÚTIL</v>
      </c>
      <c r="E242">
        <f>IFERROR(INDEX(tblBatidas[ID],MATCH("B"&amp;MID($A242,2,99),tblBatidas[Batida ID],0)),"")</f>
        <v>1013</v>
      </c>
      <c r="F242" t="str">
        <f>IFERROR(INDEX(tblPessoas[Pessoa],MATCH(E242,tblPessoas[ID],0)),"")</f>
        <v>Rafaela Maria Resende Lara</v>
      </c>
      <c r="G242" t="str">
        <f>IFERROR(INDEX(tblBatidas[Projeto],MATCH("B"&amp;MID($A242,2,99),tblBatidas[Batida ID],0)),"")</f>
        <v>TOOLKIT</v>
      </c>
      <c r="H242" t="str">
        <f>IFERROR(INDEX(tblBatidas[Atividade],MATCH("B"&amp;MID($A242,2,99),tblBatidas[Batida ID],0)),"")</f>
        <v>ANÁLISE</v>
      </c>
      <c r="I242" s="4">
        <f>IFERROR(MOD(INDEX(tblBatidas[Data e hora],MATCH("B"&amp;MID($A242,2,99),tblBatidas[Batida ID],0)),1),"")</f>
        <v>0.33340277777460869</v>
      </c>
      <c r="J242" s="4">
        <f>IFERROR(MOD(INDEX(tblBatidas[Data e hora],MATCH("B"&amp;MID($A242,2,99),tblBatidas[Início vinculado],0)),1),"")</f>
        <v>0.47718750000058208</v>
      </c>
      <c r="K242" s="14">
        <f>IFERROR((INDEX(tblBatidas[Data e hora],MATCH("B"&amp;MID($A242,2,99),tblBatidas[Início vinculado],0))-INDEX(tblBatidas[Data e hora],MATCH("B"&amp;MID($A242,2,99),tblBatidas[Batida ID],0)))*24,"")</f>
        <v>3.4508333334233612</v>
      </c>
      <c r="L242">
        <f>IFERROR(INDEX(tblBatidas[Observação],MATCH("B"&amp;MID($A242,2,99),tblBatidas[Início vinculado],0)),"")</f>
        <v>0</v>
      </c>
      <c r="M242" t="str">
        <f>IFERROR(INDEX(tblPessoas[Base],MATCH(E242,tblPessoas[ID],0)),"")</f>
        <v>Hora</v>
      </c>
      <c r="N242" s="3">
        <f>IFERROR(IF(D242="DIA ÚTIL",INDEX(tblPessoas[R$/h útil],MATCH(E242,tblPessoas[ID],0)),INDEX(tblPessoas[R$/h FDS],MATCH(E242,tblPessoas[ID],0))),0)</f>
        <v>23.5</v>
      </c>
      <c r="O242" s="3">
        <f>IFERROR(INDEX(tblPessoas[R$/diária],MATCH(E242,tblPessoas[ID],0)),0)</f>
        <v>0</v>
      </c>
      <c r="P242" s="3">
        <f t="shared" si="14"/>
        <v>81.094583335448988</v>
      </c>
      <c r="Q242" t="str">
        <f>IF(A242="","",IF(COUNTIF(tblBatidas[Início vinculado],"B"&amp;MID($A242,2,99))=0,"EM ABERTO",IF(OR(COUNTIF(tblBatidas[Início vinculado],"B"&amp;MID($A242,2,99))&gt;1,K242&lt;0,K242&gt;16,INT(INDEX(tblBatidas[Data e hora],MATCH("B"&amp;MID($A242,2,99),tblBatidas[Início vinculado],0)))&lt;&gt;B242,INDEX(tblBatidas[ID],MATCH("B"&amp;MID($A242,2,99),tblBatidas[Início vinculado],0))&lt;&gt;E242,INDEX(tblBatidas[Projeto],MATCH("B"&amp;MID($A242,2,99),tblBatidas[Início vinculado],0))&lt;&gt;G242,INDEX(tblBatidas[Atividade],MATCH("B"&amp;MID($A242,2,99),tblBatidas[Início vinculado],0))&lt;&gt;H242),"REVISAR","CONCLUÍDO")))</f>
        <v>CONCLUÍDO</v>
      </c>
      <c r="R242">
        <f>IF(Q242&lt;&gt;"CONCLUÍDO",0,IF(COUNTIFS($E$5:E242,E242,$B$5:B242,B242,$Q$5:Q242,"CONCLUÍDO")=1,1,0))</f>
        <v>1</v>
      </c>
      <c r="S242" t="str">
        <f t="shared" si="15"/>
        <v>yyyy-09</v>
      </c>
      <c r="T242">
        <f>IF(E242="","",E242*100000+COUNTIFS(tblRegistros[ID],E242,tblRegistros[Data],"&lt;"&amp;B242)+COUNTIFS(tblRegistros[ID],E242,tblRegistros[Data],B242,tblRegistros[Início],"&lt;"&amp;I242)+COUNTIFS($E$5:E242,E242,$B$5:B242,B242,$I$5:I242,I242))</f>
        <v>101300022</v>
      </c>
    </row>
    <row r="243" spans="1:20">
      <c r="A243" t="s">
        <v>335</v>
      </c>
      <c r="B243" s="2">
        <f>IFERROR(INT(INDEX(tblBatidas[Data e hora],MATCH("B"&amp;MID($A243,2,99),tblBatidas[Batida ID],0))),"")</f>
        <v>46274</v>
      </c>
      <c r="C243" t="str">
        <f t="shared" si="12"/>
        <v>QUARTA-FEIRA</v>
      </c>
      <c r="D243" t="str">
        <f t="shared" si="13"/>
        <v>DIA ÚTIL</v>
      </c>
      <c r="E243">
        <f>IFERROR(INDEX(tblBatidas[ID],MATCH("B"&amp;MID($A243,2,99),tblBatidas[Batida ID],0)),"")</f>
        <v>1002</v>
      </c>
      <c r="F243" t="str">
        <f>IFERROR(INDEX(tblPessoas[Pessoa],MATCH(E243,tblPessoas[ID],0)),"")</f>
        <v>Alex de Almeida Mariano</v>
      </c>
      <c r="G243" t="str">
        <f>IFERROR(INDEX(tblBatidas[Projeto],MATCH("B"&amp;MID($A243,2,99),tblBatidas[Batida ID],0)),"")</f>
        <v>CFI / ACCION</v>
      </c>
      <c r="H243" t="str">
        <f>IFERROR(INDEX(tblBatidas[Atividade],MATCH("B"&amp;MID($A243,2,99),tblBatidas[Batida ID],0)),"")</f>
        <v>ANÁLISE</v>
      </c>
      <c r="I243" s="4">
        <f>IFERROR(MOD(INDEX(tblBatidas[Data e hora],MATCH("B"&amp;MID($A243,2,99),tblBatidas[Batida ID],0)),1),"")</f>
        <v>0.35462962962628808</v>
      </c>
      <c r="J243" s="4" t="str">
        <f>IFERROR(MOD(INDEX(tblBatidas[Data e hora],MATCH("B"&amp;MID($A243,2,99),tblBatidas[Início vinculado],0)),1),"")</f>
        <v/>
      </c>
      <c r="K243" s="14" t="str">
        <f>IFERROR((INDEX(tblBatidas[Data e hora],MATCH("B"&amp;MID($A243,2,99),tblBatidas[Início vinculado],0))-INDEX(tblBatidas[Data e hora],MATCH("B"&amp;MID($A243,2,99),tblBatidas[Batida ID],0)))*24,"")</f>
        <v/>
      </c>
      <c r="L243" t="str">
        <f>IFERROR(INDEX(tblBatidas[Observação],MATCH("B"&amp;MID($A243,2,99),tblBatidas[Início vinculado],0)),"")</f>
        <v/>
      </c>
      <c r="M243" t="str">
        <f>IFERROR(INDEX(tblPessoas[Base],MATCH(E243,tblPessoas[ID],0)),"")</f>
        <v>Hora</v>
      </c>
      <c r="N243" s="3">
        <f>IFERROR(IF(D243="DIA ÚTIL",INDEX(tblPessoas[R$/h útil],MATCH(E243,tblPessoas[ID],0)),INDEX(tblPessoas[R$/h FDS],MATCH(E243,tblPessoas[ID],0))),0)</f>
        <v>23.5</v>
      </c>
      <c r="O243" s="3">
        <f>IFERROR(INDEX(tblPessoas[R$/diária],MATCH(E243,tblPessoas[ID],0)),0)</f>
        <v>0</v>
      </c>
      <c r="P243" s="3" t="str">
        <f t="shared" si="14"/>
        <v/>
      </c>
      <c r="Q243" t="str">
        <f>IF(A243="","",IF(COUNTIF(tblBatidas[Início vinculado],"B"&amp;MID($A243,2,99))=0,"EM ABERTO",IF(OR(COUNTIF(tblBatidas[Início vinculado],"B"&amp;MID($A243,2,99))&gt;1,K243&lt;0,K243&gt;16,INT(INDEX(tblBatidas[Data e hora],MATCH("B"&amp;MID($A243,2,99),tblBatidas[Início vinculado],0)))&lt;&gt;B243,INDEX(tblBatidas[ID],MATCH("B"&amp;MID($A243,2,99),tblBatidas[Início vinculado],0))&lt;&gt;E243,INDEX(tblBatidas[Projeto],MATCH("B"&amp;MID($A243,2,99),tblBatidas[Início vinculado],0))&lt;&gt;G243,INDEX(tblBatidas[Atividade],MATCH("B"&amp;MID($A243,2,99),tblBatidas[Início vinculado],0))&lt;&gt;H243),"REVISAR","CONCLUÍDO")))</f>
        <v>EM ABERTO</v>
      </c>
      <c r="R243">
        <f>IF(Q243&lt;&gt;"CONCLUÍDO",0,IF(COUNTIFS($E$5:E243,E243,$B$5:B243,B243,$Q$5:Q243,"CONCLUÍDO")=1,1,0))</f>
        <v>0</v>
      </c>
      <c r="S243" t="str">
        <f t="shared" si="15"/>
        <v>yyyy-09</v>
      </c>
      <c r="T243">
        <f>IF(E243="","",E243*100000+COUNTIFS(tblRegistros[ID],E243,tblRegistros[Data],"&lt;"&amp;B243)+COUNTIFS(tblRegistros[ID],E243,tblRegistros[Data],B243,tblRegistros[Início],"&lt;"&amp;I243)+COUNTIFS($E$5:E243,E243,$B$5:B243,B243,$I$5:I243,I243))</f>
        <v>100200014</v>
      </c>
    </row>
    <row r="244" spans="1:20">
      <c r="A244" t="s">
        <v>336</v>
      </c>
      <c r="B244" s="2">
        <f>IFERROR(INT(INDEX(tblBatidas[Data e hora],MATCH("B"&amp;MID($A244,2,99),tblBatidas[Batida ID],0))),"")</f>
        <v>46274</v>
      </c>
      <c r="C244" t="str">
        <f t="shared" si="12"/>
        <v>QUARTA-FEIRA</v>
      </c>
      <c r="D244" t="str">
        <f t="shared" si="13"/>
        <v>DIA ÚTIL</v>
      </c>
      <c r="E244">
        <f>IFERROR(INDEX(tblBatidas[ID],MATCH("B"&amp;MID($A244,2,99),tblBatidas[Batida ID],0)),"")</f>
        <v>1016</v>
      </c>
      <c r="F244" t="str">
        <f>IFERROR(INDEX(tblPessoas[Pessoa],MATCH(E244,tblPessoas[ID],0)),"")</f>
        <v>Ana Luisa Nardin</v>
      </c>
      <c r="G244" t="str">
        <f>IFERROR(INDEX(tblBatidas[Projeto],MATCH("B"&amp;MID($A244,2,99),tblBatidas[Batida ID],0)),"")</f>
        <v>CFI / ACCION</v>
      </c>
      <c r="H244" t="str">
        <f>IFERROR(INDEX(tblBatidas[Atividade],MATCH("B"&amp;MID($A244,2,99),tblBatidas[Batida ID],0)),"")</f>
        <v>ANÁLISE</v>
      </c>
      <c r="I244" s="4">
        <f>IFERROR(MOD(INDEX(tblBatidas[Data e hora],MATCH("B"&amp;MID($A244,2,99),tblBatidas[Batida ID],0)),1),"")</f>
        <v>0.35903935185342561</v>
      </c>
      <c r="J244" s="4">
        <f>IFERROR(MOD(INDEX(tblBatidas[Data e hora],MATCH("B"&amp;MID($A244,2,99),tblBatidas[Início vinculado],0)),1),"")</f>
        <v>0.54737268518510973</v>
      </c>
      <c r="K244" s="14">
        <f>IFERROR((INDEX(tblBatidas[Data e hora],MATCH("B"&amp;MID($A244,2,99),tblBatidas[Início vinculado],0))-INDEX(tblBatidas[Data e hora],MATCH("B"&amp;MID($A244,2,99),tblBatidas[Batida ID],0)))*24,"")</f>
        <v>4.5199999999604188</v>
      </c>
      <c r="L244">
        <f>IFERROR(INDEX(tblBatidas[Observação],MATCH("B"&amp;MID($A244,2,99),tblBatidas[Início vinculado],0)),"")</f>
        <v>0</v>
      </c>
      <c r="M244" t="str">
        <f>IFERROR(INDEX(tblPessoas[Base],MATCH(E244,tblPessoas[ID],0)),"")</f>
        <v>Hora</v>
      </c>
      <c r="N244" s="3">
        <f>IFERROR(IF(D244="DIA ÚTIL",INDEX(tblPessoas[R$/h útil],MATCH(E244,tblPessoas[ID],0)),INDEX(tblPessoas[R$/h FDS],MATCH(E244,tblPessoas[ID],0))),0)</f>
        <v>23.5</v>
      </c>
      <c r="O244" s="3">
        <f>IFERROR(INDEX(tblPessoas[R$/diária],MATCH(E244,tblPessoas[ID],0)),0)</f>
        <v>0</v>
      </c>
      <c r="P244" s="3">
        <f t="shared" si="14"/>
        <v>106.21999999906984</v>
      </c>
      <c r="Q244" t="str">
        <f>IF(A244="","",IF(COUNTIF(tblBatidas[Início vinculado],"B"&amp;MID($A244,2,99))=0,"EM ABERTO",IF(OR(COUNTIF(tblBatidas[Início vinculado],"B"&amp;MID($A244,2,99))&gt;1,K244&lt;0,K244&gt;16,INT(INDEX(tblBatidas[Data e hora],MATCH("B"&amp;MID($A244,2,99),tblBatidas[Início vinculado],0)))&lt;&gt;B244,INDEX(tblBatidas[ID],MATCH("B"&amp;MID($A244,2,99),tblBatidas[Início vinculado],0))&lt;&gt;E244,INDEX(tblBatidas[Projeto],MATCH("B"&amp;MID($A244,2,99),tblBatidas[Início vinculado],0))&lt;&gt;G244,INDEX(tblBatidas[Atividade],MATCH("B"&amp;MID($A244,2,99),tblBatidas[Início vinculado],0))&lt;&gt;H244),"REVISAR","CONCLUÍDO")))</f>
        <v>CONCLUÍDO</v>
      </c>
      <c r="R244">
        <f>IF(Q244&lt;&gt;"CONCLUÍDO",0,IF(COUNTIFS($E$5:E244,E244,$B$5:B244,B244,$Q$5:Q244,"CONCLUÍDO")=1,1,0))</f>
        <v>1</v>
      </c>
      <c r="S244" t="str">
        <f t="shared" si="15"/>
        <v>yyyy-09</v>
      </c>
      <c r="T244">
        <f>IF(E244="","",E244*100000+COUNTIFS(tblRegistros[ID],E244,tblRegistros[Data],"&lt;"&amp;B244)+COUNTIFS(tblRegistros[ID],E244,tblRegistros[Data],B244,tblRegistros[Início],"&lt;"&amp;I244)+COUNTIFS($E$5:E244,E244,$B$5:B244,B244,$I$5:I244,I244))</f>
        <v>101600025</v>
      </c>
    </row>
    <row r="245" spans="1:20">
      <c r="A245" t="s">
        <v>337</v>
      </c>
      <c r="B245" s="2">
        <f>IFERROR(INT(INDEX(tblBatidas[Data e hora],MATCH("B"&amp;MID($A245,2,99),tblBatidas[Batida ID],0))),"")</f>
        <v>46274</v>
      </c>
      <c r="C245" t="str">
        <f t="shared" si="12"/>
        <v>QUARTA-FEIRA</v>
      </c>
      <c r="D245" t="str">
        <f t="shared" si="13"/>
        <v>DIA ÚTIL</v>
      </c>
      <c r="E245">
        <f>IFERROR(INDEX(tblBatidas[ID],MATCH("B"&amp;MID($A245,2,99),tblBatidas[Batida ID],0)),"")</f>
        <v>1012</v>
      </c>
      <c r="F245" t="str">
        <f>IFERROR(INDEX(tblPessoas[Pessoa],MATCH(E245,tblPessoas[ID],0)),"")</f>
        <v>Nelma Lucia dos S. B. Brandão</v>
      </c>
      <c r="G245" t="str">
        <f>IFERROR(INDEX(tblBatidas[Projeto],MATCH("B"&amp;MID($A245,2,99),tblBatidas[Batida ID],0)),"")</f>
        <v>OTEMPO</v>
      </c>
      <c r="H245" t="str">
        <f>IFERROR(INDEX(tblBatidas[Atividade],MATCH("B"&amp;MID($A245,2,99),tblBatidas[Batida ID],0)),"")</f>
        <v>SUPERVISÃO</v>
      </c>
      <c r="I245" s="4">
        <f>IFERROR(MOD(INDEX(tblBatidas[Data e hora],MATCH("B"&amp;MID($A245,2,99),tblBatidas[Batida ID],0)),1),"")</f>
        <v>0.38474537037109258</v>
      </c>
      <c r="J245" s="4">
        <f>IFERROR(MOD(INDEX(tblBatidas[Data e hora],MATCH("B"&amp;MID($A245,2,99),tblBatidas[Início vinculado],0)),1),"")</f>
        <v>0.56082175925985212</v>
      </c>
      <c r="K245" s="14">
        <f>IFERROR((INDEX(tblBatidas[Data e hora],MATCH("B"&amp;MID($A245,2,99),tblBatidas[Início vinculado],0))-INDEX(tblBatidas[Data e hora],MATCH("B"&amp;MID($A245,2,99),tblBatidas[Batida ID],0)))*24,"")</f>
        <v>4.2258333333302289</v>
      </c>
      <c r="L245">
        <f>IFERROR(INDEX(tblBatidas[Observação],MATCH("B"&amp;MID($A245,2,99),tblBatidas[Início vinculado],0)),"")</f>
        <v>0</v>
      </c>
      <c r="M245" t="str">
        <f>IFERROR(INDEX(tblPessoas[Base],MATCH(E245,tblPessoas[ID],0)),"")</f>
        <v>Diária</v>
      </c>
      <c r="N245" s="3">
        <f>IFERROR(IF(D245="DIA ÚTIL",INDEX(tblPessoas[R$/h útil],MATCH(E245,tblPessoas[ID],0)),INDEX(tblPessoas[R$/h FDS],MATCH(E245,tblPessoas[ID],0))),0)</f>
        <v>0</v>
      </c>
      <c r="O245" s="3">
        <f>IFERROR(INDEX(tblPessoas[R$/diária],MATCH(E245,tblPessoas[ID],0)),0)</f>
        <v>222.72</v>
      </c>
      <c r="P245" s="3">
        <f t="shared" si="14"/>
        <v>222.72</v>
      </c>
      <c r="Q245" t="str">
        <f>IF(A245="","",IF(COUNTIF(tblBatidas[Início vinculado],"B"&amp;MID($A245,2,99))=0,"EM ABERTO",IF(OR(COUNTIF(tblBatidas[Início vinculado],"B"&amp;MID($A245,2,99))&gt;1,K245&lt;0,K245&gt;16,INT(INDEX(tblBatidas[Data e hora],MATCH("B"&amp;MID($A245,2,99),tblBatidas[Início vinculado],0)))&lt;&gt;B245,INDEX(tblBatidas[ID],MATCH("B"&amp;MID($A245,2,99),tblBatidas[Início vinculado],0))&lt;&gt;E245,INDEX(tblBatidas[Projeto],MATCH("B"&amp;MID($A245,2,99),tblBatidas[Início vinculado],0))&lt;&gt;G245,INDEX(tblBatidas[Atividade],MATCH("B"&amp;MID($A245,2,99),tblBatidas[Início vinculado],0))&lt;&gt;H245),"REVISAR","CONCLUÍDO")))</f>
        <v>CONCLUÍDO</v>
      </c>
      <c r="R245">
        <f>IF(Q245&lt;&gt;"CONCLUÍDO",0,IF(COUNTIFS($E$5:E245,E245,$B$5:B245,B245,$Q$5:Q245,"CONCLUÍDO")=1,1,0))</f>
        <v>1</v>
      </c>
      <c r="S245" t="str">
        <f t="shared" si="15"/>
        <v>yyyy-09</v>
      </c>
      <c r="T245">
        <f>IF(E245="","",E245*100000+COUNTIFS(tblRegistros[ID],E245,tblRegistros[Data],"&lt;"&amp;B245)+COUNTIFS(tblRegistros[ID],E245,tblRegistros[Data],B245,tblRegistros[Início],"&lt;"&amp;I245)+COUNTIFS($E$5:E245,E245,$B$5:B245,B245,$I$5:I245,I245))</f>
        <v>101200031</v>
      </c>
    </row>
    <row r="246" spans="1:20">
      <c r="A246" t="s">
        <v>338</v>
      </c>
      <c r="B246" s="2">
        <f>IFERROR(INT(INDEX(tblBatidas[Data e hora],MATCH("B"&amp;MID($A246,2,99),tblBatidas[Batida ID],0))),"")</f>
        <v>46274</v>
      </c>
      <c r="C246" t="str">
        <f t="shared" si="12"/>
        <v>QUARTA-FEIRA</v>
      </c>
      <c r="D246" t="str">
        <f t="shared" si="13"/>
        <v>DIA ÚTIL</v>
      </c>
      <c r="E246">
        <f>IFERROR(INDEX(tblBatidas[ID],MATCH("B"&amp;MID($A246,2,99),tblBatidas[Batida ID],0)),"")</f>
        <v>1014</v>
      </c>
      <c r="F246" t="str">
        <f>IFERROR(INDEX(tblPessoas[Pessoa],MATCH(E246,tblPessoas[ID],0)),"")</f>
        <v>Robert Filipe Orlando de Souza</v>
      </c>
      <c r="G246" t="str">
        <f>IFERROR(INDEX(tblBatidas[Projeto],MATCH("B"&amp;MID($A246,2,99),tblBatidas[Batida ID],0)),"")</f>
        <v>ESTADUAL - OTEMPO</v>
      </c>
      <c r="H246" t="str">
        <f>IFERROR(INDEX(tblBatidas[Atividade],MATCH("B"&amp;MID($A246,2,99),tblBatidas[Batida ID],0)),"")</f>
        <v>CHECAGEM</v>
      </c>
      <c r="I246" s="4">
        <f>IFERROR(MOD(INDEX(tblBatidas[Data e hora],MATCH("B"&amp;MID($A246,2,99),tblBatidas[Batida ID],0)),1),"")</f>
        <v>0.39474537037312984</v>
      </c>
      <c r="J246" s="4">
        <f>IFERROR(MOD(INDEX(tblBatidas[Data e hora],MATCH("B"&amp;MID($A246,2,99),tblBatidas[Início vinculado],0)),1),"")</f>
        <v>0.52438657407765277</v>
      </c>
      <c r="K246" s="14">
        <f>IFERROR((INDEX(tblBatidas[Data e hora],MATCH("B"&amp;MID($A246,2,99),tblBatidas[Início vinculado],0))-INDEX(tblBatidas[Data e hora],MATCH("B"&amp;MID($A246,2,99),tblBatidas[Batida ID],0)))*24,"")</f>
        <v>3.1113888889085501</v>
      </c>
      <c r="L246" t="str">
        <f>IFERROR(INDEX(tblBatidas[Observação],MATCH("B"&amp;MID($A246,2,99),tblBatidas[Início vinculado],0)),"")</f>
        <v>Tracking</v>
      </c>
      <c r="M246" t="str">
        <f>IFERROR(INDEX(tblPessoas[Base],MATCH(E246,tblPessoas[ID],0)),"")</f>
        <v>Hora</v>
      </c>
      <c r="N246" s="3">
        <f>IFERROR(IF(D246="DIA ÚTIL",INDEX(tblPessoas[R$/h útil],MATCH(E246,tblPessoas[ID],0)),INDEX(tblPessoas[R$/h FDS],MATCH(E246,tblPessoas[ID],0))),0)</f>
        <v>21.5</v>
      </c>
      <c r="O246" s="3">
        <f>IFERROR(INDEX(tblPessoas[R$/diária],MATCH(E246,tblPessoas[ID],0)),0)</f>
        <v>0</v>
      </c>
      <c r="P246" s="3">
        <f t="shared" si="14"/>
        <v>66.894861111533828</v>
      </c>
      <c r="Q246" t="str">
        <f>IF(A246="","",IF(COUNTIF(tblBatidas[Início vinculado],"B"&amp;MID($A246,2,99))=0,"EM ABERTO",IF(OR(COUNTIF(tblBatidas[Início vinculado],"B"&amp;MID($A246,2,99))&gt;1,K246&lt;0,K246&gt;16,INT(INDEX(tblBatidas[Data e hora],MATCH("B"&amp;MID($A246,2,99),tblBatidas[Início vinculado],0)))&lt;&gt;B246,INDEX(tblBatidas[ID],MATCH("B"&amp;MID($A246,2,99),tblBatidas[Início vinculado],0))&lt;&gt;E246,INDEX(tblBatidas[Projeto],MATCH("B"&amp;MID($A246,2,99),tblBatidas[Início vinculado],0))&lt;&gt;G246,INDEX(tblBatidas[Atividade],MATCH("B"&amp;MID($A246,2,99),tblBatidas[Início vinculado],0))&lt;&gt;H246),"REVISAR","CONCLUÍDO")))</f>
        <v>CONCLUÍDO</v>
      </c>
      <c r="R246">
        <f>IF(Q246&lt;&gt;"CONCLUÍDO",0,IF(COUNTIFS($E$5:E246,E246,$B$5:B246,B246,$Q$5:Q246,"CONCLUÍDO")=1,1,0))</f>
        <v>1</v>
      </c>
      <c r="S246" t="str">
        <f t="shared" si="15"/>
        <v>yyyy-09</v>
      </c>
      <c r="T246">
        <f>IF(E246="","",E246*100000+COUNTIFS(tblRegistros[ID],E246,tblRegistros[Data],"&lt;"&amp;B246)+COUNTIFS(tblRegistros[ID],E246,tblRegistros[Data],B246,tblRegistros[Início],"&lt;"&amp;I246)+COUNTIFS($E$5:E246,E246,$B$5:B246,B246,$I$5:I246,I246))</f>
        <v>101400023</v>
      </c>
    </row>
    <row r="247" spans="1:20">
      <c r="A247" t="s">
        <v>339</v>
      </c>
      <c r="B247" s="2">
        <f>IFERROR(INT(INDEX(tblBatidas[Data e hora],MATCH("B"&amp;MID($A247,2,99),tblBatidas[Batida ID],0))),"")</f>
        <v>46274</v>
      </c>
      <c r="C247" t="str">
        <f t="shared" si="12"/>
        <v>QUARTA-FEIRA</v>
      </c>
      <c r="D247" t="str">
        <f t="shared" si="13"/>
        <v>DIA ÚTIL</v>
      </c>
      <c r="E247">
        <f>IFERROR(INDEX(tblBatidas[ID],MATCH("B"&amp;MID($A247,2,99),tblBatidas[Batida ID],0)),"")</f>
        <v>1015</v>
      </c>
      <c r="F247" t="str">
        <f>IFERROR(INDEX(tblPessoas[Pessoa],MATCH(E247,tblPessoas[ID],0)),"")</f>
        <v>Vitor Guilherme Miguel Rocha</v>
      </c>
      <c r="G247" t="str">
        <f>IFERROR(INDEX(tblBatidas[Projeto],MATCH("B"&amp;MID($A247,2,99),tblBatidas[Batida ID],0)),"")</f>
        <v>ADMINISTRATIVO</v>
      </c>
      <c r="H247" t="str">
        <f>IFERROR(INDEX(tblBatidas[Atividade],MATCH("B"&amp;MID($A247,2,99),tblBatidas[Batida ID],0)),"")</f>
        <v>ADMINISTRATIVO</v>
      </c>
      <c r="I247" s="4">
        <f>IFERROR(MOD(INDEX(tblBatidas[Data e hora],MATCH("B"&amp;MID($A247,2,99),tblBatidas[Batida ID],0)),1),"")</f>
        <v>0.39817129629955161</v>
      </c>
      <c r="J247" s="4">
        <f>IFERROR(MOD(INDEX(tblBatidas[Data e hora],MATCH("B"&amp;MID($A247,2,99),tblBatidas[Início vinculado],0)),1),"")</f>
        <v>0.53960648148495238</v>
      </c>
      <c r="K247" s="14">
        <f>IFERROR((INDEX(tblBatidas[Data e hora],MATCH("B"&amp;MID($A247,2,99),tblBatidas[Início vinculado],0))-INDEX(tblBatidas[Data e hora],MATCH("B"&amp;MID($A247,2,99),tblBatidas[Batida ID],0)))*24,"")</f>
        <v>3.3944444444496185</v>
      </c>
      <c r="L247">
        <f>IFERROR(INDEX(tblBatidas[Observação],MATCH("B"&amp;MID($A247,2,99),tblBatidas[Início vinculado],0)),"")</f>
        <v>0</v>
      </c>
      <c r="M247" t="str">
        <f>IFERROR(INDEX(tblPessoas[Base],MATCH(E247,tblPessoas[ID],0)),"")</f>
        <v>Hora</v>
      </c>
      <c r="N247" s="3">
        <f>IFERROR(IF(D247="DIA ÚTIL",INDEX(tblPessoas[R$/h útil],MATCH(E247,tblPessoas[ID],0)),INDEX(tblPessoas[R$/h FDS],MATCH(E247,tblPessoas[ID],0))),0)</f>
        <v>21.5</v>
      </c>
      <c r="O247" s="3">
        <f>IFERROR(INDEX(tblPessoas[R$/diária],MATCH(E247,tblPessoas[ID],0)),0)</f>
        <v>0</v>
      </c>
      <c r="P247" s="3">
        <f t="shared" si="14"/>
        <v>72.980555555666797</v>
      </c>
      <c r="Q247" t="str">
        <f>IF(A247="","",IF(COUNTIF(tblBatidas[Início vinculado],"B"&amp;MID($A247,2,99))=0,"EM ABERTO",IF(OR(COUNTIF(tblBatidas[Início vinculado],"B"&amp;MID($A247,2,99))&gt;1,K247&lt;0,K247&gt;16,INT(INDEX(tblBatidas[Data e hora],MATCH("B"&amp;MID($A247,2,99),tblBatidas[Início vinculado],0)))&lt;&gt;B247,INDEX(tblBatidas[ID],MATCH("B"&amp;MID($A247,2,99),tblBatidas[Início vinculado],0))&lt;&gt;E247,INDEX(tblBatidas[Projeto],MATCH("B"&amp;MID($A247,2,99),tblBatidas[Início vinculado],0))&lt;&gt;G247,INDEX(tblBatidas[Atividade],MATCH("B"&amp;MID($A247,2,99),tblBatidas[Início vinculado],0))&lt;&gt;H247),"REVISAR","CONCLUÍDO")))</f>
        <v>CONCLUÍDO</v>
      </c>
      <c r="R247">
        <f>IF(Q247&lt;&gt;"CONCLUÍDO",0,IF(COUNTIFS($E$5:E247,E247,$B$5:B247,B247,$Q$5:Q247,"CONCLUÍDO")=1,1,0))</f>
        <v>1</v>
      </c>
      <c r="S247" t="str">
        <f t="shared" si="15"/>
        <v>yyyy-09</v>
      </c>
      <c r="T247">
        <f>IF(E247="","",E247*100000+COUNTIFS(tblRegistros[ID],E247,tblRegistros[Data],"&lt;"&amp;B247)+COUNTIFS(tblRegistros[ID],E247,tblRegistros[Data],B247,tblRegistros[Início],"&lt;"&amp;I247)+COUNTIFS($E$5:E247,E247,$B$5:B247,B247,$I$5:I247,I247))</f>
        <v>101500025</v>
      </c>
    </row>
    <row r="248" spans="1:20">
      <c r="A248" t="s">
        <v>340</v>
      </c>
      <c r="B248" s="2">
        <f>IFERROR(INT(INDEX(tblBatidas[Data e hora],MATCH("B"&amp;MID($A248,2,99),tblBatidas[Batida ID],0))),"")</f>
        <v>46274</v>
      </c>
      <c r="C248" t="str">
        <f t="shared" si="12"/>
        <v>QUARTA-FEIRA</v>
      </c>
      <c r="D248" t="str">
        <f t="shared" si="13"/>
        <v>DIA ÚTIL</v>
      </c>
      <c r="E248">
        <f>IFERROR(INDEX(tblBatidas[ID],MATCH("B"&amp;MID($A248,2,99),tblBatidas[Batida ID],0)),"")</f>
        <v>1010</v>
      </c>
      <c r="F248" t="str">
        <f>IFERROR(INDEX(tblPessoas[Pessoa],MATCH(E248,tblPessoas[ID],0)),"")</f>
        <v>Nataly Tayê</v>
      </c>
      <c r="G248" t="str">
        <f>IFERROR(INDEX(tblBatidas[Projeto],MATCH("B"&amp;MID($A248,2,99),tblBatidas[Batida ID],0)),"")</f>
        <v>ESTADUAL - OTEMPO</v>
      </c>
      <c r="H248" t="str">
        <f>IFERROR(INDEX(tblBatidas[Atividade],MATCH("B"&amp;MID($A248,2,99),tblBatidas[Batida ID],0)),"")</f>
        <v>CHECAGEM</v>
      </c>
      <c r="I248" s="4">
        <f>IFERROR(MOD(INDEX(tblBatidas[Data e hora],MATCH("B"&amp;MID($A248,2,99),tblBatidas[Batida ID],0)),1),"")</f>
        <v>0.40615740740759065</v>
      </c>
      <c r="J248" s="4">
        <f>IFERROR(MOD(INDEX(tblBatidas[Data e hora],MATCH("B"&amp;MID($A248,2,99),tblBatidas[Início vinculado],0)),1),"")</f>
        <v>0.54239583333401242</v>
      </c>
      <c r="K248" s="14">
        <f>IFERROR((INDEX(tblBatidas[Data e hora],MATCH("B"&amp;MID($A248,2,99),tblBatidas[Início vinculado],0))-INDEX(tblBatidas[Data e hora],MATCH("B"&amp;MID($A248,2,99),tblBatidas[Batida ID],0)))*24,"")</f>
        <v>3.2697222222341225</v>
      </c>
      <c r="L248">
        <f>IFERROR(INDEX(tblBatidas[Observação],MATCH("B"&amp;MID($A248,2,99),tblBatidas[Início vinculado],0)),"")</f>
        <v>0</v>
      </c>
      <c r="M248" t="str">
        <f>IFERROR(INDEX(tblPessoas[Base],MATCH(E248,tblPessoas[ID],0)),"")</f>
        <v>Hora</v>
      </c>
      <c r="N248" s="3">
        <f>IFERROR(IF(D248="DIA ÚTIL",INDEX(tblPessoas[R$/h útil],MATCH(E248,tblPessoas[ID],0)),INDEX(tblPessoas[R$/h FDS],MATCH(E248,tblPessoas[ID],0))),0)</f>
        <v>14</v>
      </c>
      <c r="O248" s="3">
        <f>IFERROR(INDEX(tblPessoas[R$/diária],MATCH(E248,tblPessoas[ID],0)),0)</f>
        <v>0</v>
      </c>
      <c r="P248" s="3">
        <f t="shared" si="14"/>
        <v>45.776111111277714</v>
      </c>
      <c r="Q248" t="str">
        <f>IF(A248="","",IF(COUNTIF(tblBatidas[Início vinculado],"B"&amp;MID($A248,2,99))=0,"EM ABERTO",IF(OR(COUNTIF(tblBatidas[Início vinculado],"B"&amp;MID($A248,2,99))&gt;1,K248&lt;0,K248&gt;16,INT(INDEX(tblBatidas[Data e hora],MATCH("B"&amp;MID($A248,2,99),tblBatidas[Início vinculado],0)))&lt;&gt;B248,INDEX(tblBatidas[ID],MATCH("B"&amp;MID($A248,2,99),tblBatidas[Início vinculado],0))&lt;&gt;E248,INDEX(tblBatidas[Projeto],MATCH("B"&amp;MID($A248,2,99),tblBatidas[Início vinculado],0))&lt;&gt;G248,INDEX(tblBatidas[Atividade],MATCH("B"&amp;MID($A248,2,99),tblBatidas[Início vinculado],0))&lt;&gt;H248),"REVISAR","CONCLUÍDO")))</f>
        <v>CONCLUÍDO</v>
      </c>
      <c r="R248">
        <f>IF(Q248&lt;&gt;"CONCLUÍDO",0,IF(COUNTIFS($E$5:E248,E248,$B$5:B248,B248,$Q$5:Q248,"CONCLUÍDO")=1,1,0))</f>
        <v>1</v>
      </c>
      <c r="S248" t="str">
        <f t="shared" si="15"/>
        <v>yyyy-09</v>
      </c>
      <c r="T248">
        <f>IF(E248="","",E248*100000+COUNTIFS(tblRegistros[ID],E248,tblRegistros[Data],"&lt;"&amp;B248)+COUNTIFS(tblRegistros[ID],E248,tblRegistros[Data],B248,tblRegistros[Início],"&lt;"&amp;I248)+COUNTIFS($E$5:E248,E248,$B$5:B248,B248,$I$5:I248,I248))</f>
        <v>101000001</v>
      </c>
    </row>
    <row r="249" spans="1:20">
      <c r="A249" t="s">
        <v>341</v>
      </c>
      <c r="B249" s="2">
        <f>IFERROR(INT(INDEX(tblBatidas[Data e hora],MATCH("B"&amp;MID($A249,2,99),tblBatidas[Batida ID],0))),"")</f>
        <v>46274</v>
      </c>
      <c r="C249" t="str">
        <f t="shared" si="12"/>
        <v>QUARTA-FEIRA</v>
      </c>
      <c r="D249" t="str">
        <f t="shared" si="13"/>
        <v>DIA ÚTIL</v>
      </c>
      <c r="E249">
        <f>IFERROR(INDEX(tblBatidas[ID],MATCH("B"&amp;MID($A249,2,99),tblBatidas[Batida ID],0)),"")</f>
        <v>1004</v>
      </c>
      <c r="F249" t="str">
        <f>IFERROR(INDEX(tblPessoas[Pessoa],MATCH(E249,tblPessoas[ID],0)),"")</f>
        <v>Angela Bertoli</v>
      </c>
      <c r="G249" t="str">
        <f>IFERROR(INDEX(tblBatidas[Projeto],MATCH("B"&amp;MID($A249,2,99),tblBatidas[Batida ID],0)),"")</f>
        <v>OTEMPO</v>
      </c>
      <c r="H249" t="str">
        <f>IFERROR(INDEX(tblBatidas[Atividade],MATCH("B"&amp;MID($A249,2,99),tblBatidas[Batida ID],0)),"")</f>
        <v>CODIFICAÇÃO</v>
      </c>
      <c r="I249" s="4">
        <f>IFERROR(MOD(INDEX(tblBatidas[Data e hora],MATCH("B"&amp;MID($A249,2,99),tblBatidas[Batida ID],0)),1),"")</f>
        <v>0.43616898148320615</v>
      </c>
      <c r="J249" s="4">
        <f>IFERROR(MOD(INDEX(tblBatidas[Data e hora],MATCH("B"&amp;MID($A249,2,99),tblBatidas[Início vinculado],0)),1),"")</f>
        <v>0.53394675925665069</v>
      </c>
      <c r="K249" s="14">
        <f>IFERROR((INDEX(tblBatidas[Data e hora],MATCH("B"&amp;MID($A249,2,99),tblBatidas[Início vinculado],0))-INDEX(tblBatidas[Data e hora],MATCH("B"&amp;MID($A249,2,99),tblBatidas[Batida ID],0)))*24,"")</f>
        <v>2.346666666562669</v>
      </c>
      <c r="L249">
        <f>IFERROR(INDEX(tblBatidas[Observação],MATCH("B"&amp;MID($A249,2,99),tblBatidas[Início vinculado],0)),"")</f>
        <v>0</v>
      </c>
      <c r="M249" t="str">
        <f>IFERROR(INDEX(tblPessoas[Base],MATCH(E249,tblPessoas[ID],0)),"")</f>
        <v>Hora</v>
      </c>
      <c r="N249" s="3">
        <f>IFERROR(IF(D249="DIA ÚTIL",INDEX(tblPessoas[R$/h útil],MATCH(E249,tblPessoas[ID],0)),INDEX(tblPessoas[R$/h FDS],MATCH(E249,tblPessoas[ID],0))),0)</f>
        <v>21.5</v>
      </c>
      <c r="O249" s="3">
        <f>IFERROR(INDEX(tblPessoas[R$/diária],MATCH(E249,tblPessoas[ID],0)),0)</f>
        <v>0</v>
      </c>
      <c r="P249" s="3">
        <f t="shared" si="14"/>
        <v>50.453333331097383</v>
      </c>
      <c r="Q249" t="str">
        <f>IF(A249="","",IF(COUNTIF(tblBatidas[Início vinculado],"B"&amp;MID($A249,2,99))=0,"EM ABERTO",IF(OR(COUNTIF(tblBatidas[Início vinculado],"B"&amp;MID($A249,2,99))&gt;1,K249&lt;0,K249&gt;16,INT(INDEX(tblBatidas[Data e hora],MATCH("B"&amp;MID($A249,2,99),tblBatidas[Início vinculado],0)))&lt;&gt;B249,INDEX(tblBatidas[ID],MATCH("B"&amp;MID($A249,2,99),tblBatidas[Início vinculado],0))&lt;&gt;E249,INDEX(tblBatidas[Projeto],MATCH("B"&amp;MID($A249,2,99),tblBatidas[Início vinculado],0))&lt;&gt;G249,INDEX(tblBatidas[Atividade],MATCH("B"&amp;MID($A249,2,99),tblBatidas[Início vinculado],0))&lt;&gt;H249),"REVISAR","CONCLUÍDO")))</f>
        <v>CONCLUÍDO</v>
      </c>
      <c r="R249">
        <f>IF(Q249&lt;&gt;"CONCLUÍDO",0,IF(COUNTIFS($E$5:E249,E249,$B$5:B249,B249,$Q$5:Q249,"CONCLUÍDO")=1,1,0))</f>
        <v>1</v>
      </c>
      <c r="S249" t="str">
        <f t="shared" si="15"/>
        <v>yyyy-09</v>
      </c>
      <c r="T249">
        <f>IF(E249="","",E249*100000+COUNTIFS(tblRegistros[ID],E249,tblRegistros[Data],"&lt;"&amp;B249)+COUNTIFS(tblRegistros[ID],E249,tblRegistros[Data],B249,tblRegistros[Início],"&lt;"&amp;I249)+COUNTIFS($E$5:E249,E249,$B$5:B249,B249,$I$5:I249,I249))</f>
        <v>100400019</v>
      </c>
    </row>
    <row r="250" spans="1:20">
      <c r="A250" t="s">
        <v>342</v>
      </c>
      <c r="B250" s="2">
        <f>IFERROR(INT(INDEX(tblBatidas[Data e hora],MATCH("B"&amp;MID($A250,2,99),tblBatidas[Batida ID],0))),"")</f>
        <v>46274</v>
      </c>
      <c r="C250" t="str">
        <f t="shared" si="12"/>
        <v>QUARTA-FEIRA</v>
      </c>
      <c r="D250" t="str">
        <f t="shared" si="13"/>
        <v>DIA ÚTIL</v>
      </c>
      <c r="E250">
        <f>IFERROR(INDEX(tblBatidas[ID],MATCH("B"&amp;MID($A250,2,99),tblBatidas[Batida ID],0)),"")</f>
        <v>1013</v>
      </c>
      <c r="F250" t="str">
        <f>IFERROR(INDEX(tblPessoas[Pessoa],MATCH(E250,tblPessoas[ID],0)),"")</f>
        <v>Rafaela Maria Resende Lara</v>
      </c>
      <c r="G250" t="str">
        <f>IFERROR(INDEX(tblBatidas[Projeto],MATCH("B"&amp;MID($A250,2,99),tblBatidas[Batida ID],0)),"")</f>
        <v>TOOLKIT</v>
      </c>
      <c r="H250" t="str">
        <f>IFERROR(INDEX(tblBatidas[Atividade],MATCH("B"&amp;MID($A250,2,99),tblBatidas[Batida ID],0)),"")</f>
        <v>ANÁLISE</v>
      </c>
      <c r="I250" s="4">
        <f>IFERROR(MOD(INDEX(tblBatidas[Data e hora],MATCH("B"&amp;MID($A250,2,99),tblBatidas[Batida ID],0)),1),"")</f>
        <v>0.4987268518525525</v>
      </c>
      <c r="J250" s="4">
        <f>IFERROR(MOD(INDEX(tblBatidas[Data e hora],MATCH("B"&amp;MID($A250,2,99),tblBatidas[Início vinculado],0)),1),"")</f>
        <v>0.75153935185517184</v>
      </c>
      <c r="K250" s="14">
        <f>IFERROR((INDEX(tblBatidas[Data e hora],MATCH("B"&amp;MID($A250,2,99),tblBatidas[Início vinculado],0))-INDEX(tblBatidas[Data e hora],MATCH("B"&amp;MID($A250,2,99),tblBatidas[Batida ID],0)))*24,"")</f>
        <v>6.0675000000628643</v>
      </c>
      <c r="L250">
        <f>IFERROR(INDEX(tblBatidas[Observação],MATCH("B"&amp;MID($A250,2,99),tblBatidas[Início vinculado],0)),"")</f>
        <v>0</v>
      </c>
      <c r="M250" t="str">
        <f>IFERROR(INDEX(tblPessoas[Base],MATCH(E250,tblPessoas[ID],0)),"")</f>
        <v>Hora</v>
      </c>
      <c r="N250" s="3">
        <f>IFERROR(IF(D250="DIA ÚTIL",INDEX(tblPessoas[R$/h útil],MATCH(E250,tblPessoas[ID],0)),INDEX(tblPessoas[R$/h FDS],MATCH(E250,tblPessoas[ID],0))),0)</f>
        <v>23.5</v>
      </c>
      <c r="O250" s="3">
        <f>IFERROR(INDEX(tblPessoas[R$/diária],MATCH(E250,tblPessoas[ID],0)),0)</f>
        <v>0</v>
      </c>
      <c r="P250" s="3">
        <f t="shared" si="14"/>
        <v>142.58625000147731</v>
      </c>
      <c r="Q250" t="str">
        <f>IF(A250="","",IF(COUNTIF(tblBatidas[Início vinculado],"B"&amp;MID($A250,2,99))=0,"EM ABERTO",IF(OR(COUNTIF(tblBatidas[Início vinculado],"B"&amp;MID($A250,2,99))&gt;1,K250&lt;0,K250&gt;16,INT(INDEX(tblBatidas[Data e hora],MATCH("B"&amp;MID($A250,2,99),tblBatidas[Início vinculado],0)))&lt;&gt;B250,INDEX(tblBatidas[ID],MATCH("B"&amp;MID($A250,2,99),tblBatidas[Início vinculado],0))&lt;&gt;E250,INDEX(tblBatidas[Projeto],MATCH("B"&amp;MID($A250,2,99),tblBatidas[Início vinculado],0))&lt;&gt;G250,INDEX(tblBatidas[Atividade],MATCH("B"&amp;MID($A250,2,99),tblBatidas[Início vinculado],0))&lt;&gt;H250),"REVISAR","CONCLUÍDO")))</f>
        <v>CONCLUÍDO</v>
      </c>
      <c r="R250">
        <f>IF(Q250&lt;&gt;"CONCLUÍDO",0,IF(COUNTIFS($E$5:E250,E250,$B$5:B250,B250,$Q$5:Q250,"CONCLUÍDO")=1,1,0))</f>
        <v>0</v>
      </c>
      <c r="S250" t="str">
        <f t="shared" si="15"/>
        <v>yyyy-09</v>
      </c>
      <c r="T250">
        <f>IF(E250="","",E250*100000+COUNTIFS(tblRegistros[ID],E250,tblRegistros[Data],"&lt;"&amp;B250)+COUNTIFS(tblRegistros[ID],E250,tblRegistros[Data],B250,tblRegistros[Início],"&lt;"&amp;I250)+COUNTIFS($E$5:E250,E250,$B$5:B250,B250,$I$5:I250,I250))</f>
        <v>101300023</v>
      </c>
    </row>
    <row r="251" spans="1:20">
      <c r="A251" t="s">
        <v>343</v>
      </c>
      <c r="B251" s="2">
        <f>IFERROR(INT(INDEX(tblBatidas[Data e hora],MATCH("B"&amp;MID($A251,2,99),tblBatidas[Batida ID],0))),"")</f>
        <v>46274</v>
      </c>
      <c r="C251" t="str">
        <f t="shared" si="12"/>
        <v>QUARTA-FEIRA</v>
      </c>
      <c r="D251" t="str">
        <f t="shared" si="13"/>
        <v>DIA ÚTIL</v>
      </c>
      <c r="E251">
        <f>IFERROR(INDEX(tblBatidas[ID],MATCH("B"&amp;MID($A251,2,99),tblBatidas[Batida ID],0)),"")</f>
        <v>1011</v>
      </c>
      <c r="F251" t="str">
        <f>IFERROR(INDEX(tblPessoas[Pessoa],MATCH(E251,tblPessoas[ID],0)),"")</f>
        <v>Nathalia Arruda</v>
      </c>
      <c r="G251" t="str">
        <f>IFERROR(INDEX(tblBatidas[Projeto],MATCH("B"&amp;MID($A251,2,99),tblBatidas[Batida ID],0)),"")</f>
        <v>OTEMPO</v>
      </c>
      <c r="H251" t="str">
        <f>IFERROR(INDEX(tblBatidas[Atividade],MATCH("B"&amp;MID($A251,2,99),tblBatidas[Batida ID],0)),"")</f>
        <v>ANÁLISE</v>
      </c>
      <c r="I251" s="4">
        <f>IFERROR(MOD(INDEX(tblBatidas[Data e hora],MATCH("B"&amp;MID($A251,2,99),tblBatidas[Batida ID],0)),1),"")</f>
        <v>0.53745370370597811</v>
      </c>
      <c r="J251" s="4">
        <f>IFERROR(MOD(INDEX(tblBatidas[Data e hora],MATCH("B"&amp;MID($A251,2,99),tblBatidas[Início vinculado],0)),1),"")</f>
        <v>0.74648148148116888</v>
      </c>
      <c r="K251" s="14">
        <f>IFERROR((INDEX(tblBatidas[Data e hora],MATCH("B"&amp;MID($A251,2,99),tblBatidas[Início vinculado],0))-INDEX(tblBatidas[Data e hora],MATCH("B"&amp;MID($A251,2,99),tblBatidas[Batida ID],0)))*24,"")</f>
        <v>5.0166666666045785</v>
      </c>
      <c r="L251">
        <f>IFERROR(INDEX(tblBatidas[Observação],MATCH("B"&amp;MID($A251,2,99),tblBatidas[Início vinculado],0)),"")</f>
        <v>0</v>
      </c>
      <c r="M251" t="str">
        <f>IFERROR(INDEX(tblPessoas[Base],MATCH(E251,tblPessoas[ID],0)),"")</f>
        <v>Hora</v>
      </c>
      <c r="N251" s="3">
        <f>IFERROR(IF(D251="DIA ÚTIL",INDEX(tblPessoas[R$/h útil],MATCH(E251,tblPessoas[ID],0)),INDEX(tblPessoas[R$/h FDS],MATCH(E251,tblPessoas[ID],0))),0)</f>
        <v>23.5</v>
      </c>
      <c r="O251" s="3">
        <f>IFERROR(INDEX(tblPessoas[R$/diária],MATCH(E251,tblPessoas[ID],0)),0)</f>
        <v>0</v>
      </c>
      <c r="P251" s="3">
        <f t="shared" si="14"/>
        <v>117.89166666520759</v>
      </c>
      <c r="Q251" t="str">
        <f>IF(A251="","",IF(COUNTIF(tblBatidas[Início vinculado],"B"&amp;MID($A251,2,99))=0,"EM ABERTO",IF(OR(COUNTIF(tblBatidas[Início vinculado],"B"&amp;MID($A251,2,99))&gt;1,K251&lt;0,K251&gt;16,INT(INDEX(tblBatidas[Data e hora],MATCH("B"&amp;MID($A251,2,99),tblBatidas[Início vinculado],0)))&lt;&gt;B251,INDEX(tblBatidas[ID],MATCH("B"&amp;MID($A251,2,99),tblBatidas[Início vinculado],0))&lt;&gt;E251,INDEX(tblBatidas[Projeto],MATCH("B"&amp;MID($A251,2,99),tblBatidas[Início vinculado],0))&lt;&gt;G251,INDEX(tblBatidas[Atividade],MATCH("B"&amp;MID($A251,2,99),tblBatidas[Início vinculado],0))&lt;&gt;H251),"REVISAR","CONCLUÍDO")))</f>
        <v>CONCLUÍDO</v>
      </c>
      <c r="R251">
        <f>IF(Q251&lt;&gt;"CONCLUÍDO",0,IF(COUNTIFS($E$5:E251,E251,$B$5:B251,B251,$Q$5:Q251,"CONCLUÍDO")=1,1,0))</f>
        <v>0</v>
      </c>
      <c r="S251" t="str">
        <f t="shared" si="15"/>
        <v>yyyy-09</v>
      </c>
      <c r="T251">
        <f>IF(E251="","",E251*100000+COUNTIFS(tblRegistros[ID],E251,tblRegistros[Data],"&lt;"&amp;B251)+COUNTIFS(tblRegistros[ID],E251,tblRegistros[Data],B251,tblRegistros[Início],"&lt;"&amp;I251)+COUNTIFS($E$5:E251,E251,$B$5:B251,B251,$I$5:I251,I251))</f>
        <v>101100021</v>
      </c>
    </row>
    <row r="252" spans="1:20">
      <c r="A252" t="s">
        <v>344</v>
      </c>
      <c r="B252" s="2">
        <f>IFERROR(INT(INDEX(tblBatidas[Data e hora],MATCH("B"&amp;MID($A252,2,99),tblBatidas[Batida ID],0))),"")</f>
        <v>46274</v>
      </c>
      <c r="C252" t="str">
        <f t="shared" si="12"/>
        <v>QUARTA-FEIRA</v>
      </c>
      <c r="D252" t="str">
        <f t="shared" si="13"/>
        <v>DIA ÚTIL</v>
      </c>
      <c r="E252">
        <f>IFERROR(INDEX(tblBatidas[ID],MATCH("B"&amp;MID($A252,2,99),tblBatidas[Batida ID],0)),"")</f>
        <v>1002</v>
      </c>
      <c r="F252" t="str">
        <f>IFERROR(INDEX(tblPessoas[Pessoa],MATCH(E252,tblPessoas[ID],0)),"")</f>
        <v>Alex de Almeida Mariano</v>
      </c>
      <c r="G252" t="str">
        <f>IFERROR(INDEX(tblBatidas[Projeto],MATCH("B"&amp;MID($A252,2,99),tblBatidas[Batida ID],0)),"")</f>
        <v>CFI / ACCION</v>
      </c>
      <c r="H252" t="str">
        <f>IFERROR(INDEX(tblBatidas[Atividade],MATCH("B"&amp;MID($A252,2,99),tblBatidas[Batida ID],0)),"")</f>
        <v>ANÁLISE</v>
      </c>
      <c r="I252" s="4">
        <f>IFERROR(MOD(INDEX(tblBatidas[Data e hora],MATCH("B"&amp;MID($A252,2,99),tblBatidas[Batida ID],0)),1),"")</f>
        <v>0.55600694444729015</v>
      </c>
      <c r="J252" s="4" t="str">
        <f>IFERROR(MOD(INDEX(tblBatidas[Data e hora],MATCH("B"&amp;MID($A252,2,99),tblBatidas[Início vinculado],0)),1),"")</f>
        <v/>
      </c>
      <c r="K252" s="14" t="str">
        <f>IFERROR((INDEX(tblBatidas[Data e hora],MATCH("B"&amp;MID($A252,2,99),tblBatidas[Início vinculado],0))-INDEX(tblBatidas[Data e hora],MATCH("B"&amp;MID($A252,2,99),tblBatidas[Batida ID],0)))*24,"")</f>
        <v/>
      </c>
      <c r="L252" t="str">
        <f>IFERROR(INDEX(tblBatidas[Observação],MATCH("B"&amp;MID($A252,2,99),tblBatidas[Início vinculado],0)),"")</f>
        <v/>
      </c>
      <c r="M252" t="str">
        <f>IFERROR(INDEX(tblPessoas[Base],MATCH(E252,tblPessoas[ID],0)),"")</f>
        <v>Hora</v>
      </c>
      <c r="N252" s="3">
        <f>IFERROR(IF(D252="DIA ÚTIL",INDEX(tblPessoas[R$/h útil],MATCH(E252,tblPessoas[ID],0)),INDEX(tblPessoas[R$/h FDS],MATCH(E252,tblPessoas[ID],0))),0)</f>
        <v>23.5</v>
      </c>
      <c r="O252" s="3">
        <f>IFERROR(INDEX(tblPessoas[R$/diária],MATCH(E252,tblPessoas[ID],0)),0)</f>
        <v>0</v>
      </c>
      <c r="P252" s="3" t="str">
        <f t="shared" si="14"/>
        <v/>
      </c>
      <c r="Q252" t="str">
        <f>IF(A252="","",IF(COUNTIF(tblBatidas[Início vinculado],"B"&amp;MID($A252,2,99))=0,"EM ABERTO",IF(OR(COUNTIF(tblBatidas[Início vinculado],"B"&amp;MID($A252,2,99))&gt;1,K252&lt;0,K252&gt;16,INT(INDEX(tblBatidas[Data e hora],MATCH("B"&amp;MID($A252,2,99),tblBatidas[Início vinculado],0)))&lt;&gt;B252,INDEX(tblBatidas[ID],MATCH("B"&amp;MID($A252,2,99),tblBatidas[Início vinculado],0))&lt;&gt;E252,INDEX(tblBatidas[Projeto],MATCH("B"&amp;MID($A252,2,99),tblBatidas[Início vinculado],0))&lt;&gt;G252,INDEX(tblBatidas[Atividade],MATCH("B"&amp;MID($A252,2,99),tblBatidas[Início vinculado],0))&lt;&gt;H252),"REVISAR","CONCLUÍDO")))</f>
        <v>EM ABERTO</v>
      </c>
      <c r="R252">
        <f>IF(Q252&lt;&gt;"CONCLUÍDO",0,IF(COUNTIFS($E$5:E252,E252,$B$5:B252,B252,$Q$5:Q252,"CONCLUÍDO")=1,1,0))</f>
        <v>0</v>
      </c>
      <c r="S252" t="str">
        <f t="shared" si="15"/>
        <v>yyyy-09</v>
      </c>
      <c r="T252">
        <f>IF(E252="","",E252*100000+COUNTIFS(tblRegistros[ID],E252,tblRegistros[Data],"&lt;"&amp;B252)+COUNTIFS(tblRegistros[ID],E252,tblRegistros[Data],B252,tblRegistros[Início],"&lt;"&amp;I252)+COUNTIFS($E$5:E252,E252,$B$5:B252,B252,$I$5:I252,I252))</f>
        <v>100200015</v>
      </c>
    </row>
    <row r="253" spans="1:20">
      <c r="A253" t="s">
        <v>345</v>
      </c>
      <c r="B253" s="2">
        <f>IFERROR(INT(INDEX(tblBatidas[Data e hora],MATCH("B"&amp;MID($A253,2,99),tblBatidas[Batida ID],0))),"")</f>
        <v>46274</v>
      </c>
      <c r="C253" t="str">
        <f t="shared" si="12"/>
        <v>QUARTA-FEIRA</v>
      </c>
      <c r="D253" t="str">
        <f t="shared" si="13"/>
        <v>DIA ÚTIL</v>
      </c>
      <c r="E253">
        <f>IFERROR(INDEX(tblBatidas[ID],MATCH("B"&amp;MID($A253,2,99),tblBatidas[Batida ID],0)),"")</f>
        <v>1003</v>
      </c>
      <c r="F253" t="str">
        <f>IFERROR(INDEX(tblPessoas[Pessoa],MATCH(E253,tblPessoas[ID],0)),"")</f>
        <v>Amanda do Carmo Ribeiro</v>
      </c>
      <c r="G253" t="str">
        <f>IFERROR(INDEX(tblBatidas[Projeto],MATCH("B"&amp;MID($A253,2,99),tblBatidas[Batida ID],0)),"")</f>
        <v>TOOLKIT</v>
      </c>
      <c r="H253" t="str">
        <f>IFERROR(INDEX(tblBatidas[Atividade],MATCH("B"&amp;MID($A253,2,99),tblBatidas[Batida ID],0)),"")</f>
        <v>ANÁLISE</v>
      </c>
      <c r="I253" s="4">
        <f>IFERROR(MOD(INDEX(tblBatidas[Data e hora],MATCH("B"&amp;MID($A253,2,99),tblBatidas[Batida ID],0)),1),"")</f>
        <v>0.56437500000174623</v>
      </c>
      <c r="J253" s="4" t="str">
        <f>IFERROR(MOD(INDEX(tblBatidas[Data e hora],MATCH("B"&amp;MID($A253,2,99),tblBatidas[Início vinculado],0)),1),"")</f>
        <v/>
      </c>
      <c r="K253" s="14" t="str">
        <f>IFERROR((INDEX(tblBatidas[Data e hora],MATCH("B"&amp;MID($A253,2,99),tblBatidas[Início vinculado],0))-INDEX(tblBatidas[Data e hora],MATCH("B"&amp;MID($A253,2,99),tblBatidas[Batida ID],0)))*24,"")</f>
        <v/>
      </c>
      <c r="L253" t="str">
        <f>IFERROR(INDEX(tblBatidas[Observação],MATCH("B"&amp;MID($A253,2,99),tblBatidas[Início vinculado],0)),"")</f>
        <v/>
      </c>
      <c r="M253" t="str">
        <f>IFERROR(INDEX(tblPessoas[Base],MATCH(E253,tblPessoas[ID],0)),"")</f>
        <v>Hora</v>
      </c>
      <c r="N253" s="3">
        <f>IFERROR(IF(D253="DIA ÚTIL",INDEX(tblPessoas[R$/h útil],MATCH(E253,tblPessoas[ID],0)),INDEX(tblPessoas[R$/h FDS],MATCH(E253,tblPessoas[ID],0))),0)</f>
        <v>23.5</v>
      </c>
      <c r="O253" s="3">
        <f>IFERROR(INDEX(tblPessoas[R$/diária],MATCH(E253,tblPessoas[ID],0)),0)</f>
        <v>0</v>
      </c>
      <c r="P253" s="3" t="str">
        <f t="shared" si="14"/>
        <v/>
      </c>
      <c r="Q253" t="str">
        <f>IF(A253="","",IF(COUNTIF(tblBatidas[Início vinculado],"B"&amp;MID($A253,2,99))=0,"EM ABERTO",IF(OR(COUNTIF(tblBatidas[Início vinculado],"B"&amp;MID($A253,2,99))&gt;1,K253&lt;0,K253&gt;16,INT(INDEX(tblBatidas[Data e hora],MATCH("B"&amp;MID($A253,2,99),tblBatidas[Início vinculado],0)))&lt;&gt;B253,INDEX(tblBatidas[ID],MATCH("B"&amp;MID($A253,2,99),tblBatidas[Início vinculado],0))&lt;&gt;E253,INDEX(tblBatidas[Projeto],MATCH("B"&amp;MID($A253,2,99),tblBatidas[Início vinculado],0))&lt;&gt;G253,INDEX(tblBatidas[Atividade],MATCH("B"&amp;MID($A253,2,99),tblBatidas[Início vinculado],0))&lt;&gt;H253),"REVISAR","CONCLUÍDO")))</f>
        <v>EM ABERTO</v>
      </c>
      <c r="R253">
        <f>IF(Q253&lt;&gt;"CONCLUÍDO",0,IF(COUNTIFS($E$5:E253,E253,$B$5:B253,B253,$Q$5:Q253,"CONCLUÍDO")=1,1,0))</f>
        <v>0</v>
      </c>
      <c r="S253" t="str">
        <f t="shared" si="15"/>
        <v>yyyy-09</v>
      </c>
      <c r="T253">
        <f>IF(E253="","",E253*100000+COUNTIFS(tblRegistros[ID],E253,tblRegistros[Data],"&lt;"&amp;B253)+COUNTIFS(tblRegistros[ID],E253,tblRegistros[Data],B253,tblRegistros[Início],"&lt;"&amp;I253)+COUNTIFS($E$5:E253,E253,$B$5:B253,B253,$I$5:I253,I253))</f>
        <v>100300023</v>
      </c>
    </row>
    <row r="254" spans="1:20">
      <c r="A254" t="s">
        <v>346</v>
      </c>
      <c r="B254" s="2">
        <f>IFERROR(INT(INDEX(tblBatidas[Data e hora],MATCH("B"&amp;MID($A254,2,99),tblBatidas[Batida ID],0))),"")</f>
        <v>46274</v>
      </c>
      <c r="C254" t="str">
        <f t="shared" si="12"/>
        <v>QUARTA-FEIRA</v>
      </c>
      <c r="D254" t="str">
        <f t="shared" si="13"/>
        <v>DIA ÚTIL</v>
      </c>
      <c r="E254">
        <f>IFERROR(INDEX(tblBatidas[ID],MATCH("B"&amp;MID($A254,2,99),tblBatidas[Batida ID],0)),"")</f>
        <v>1014</v>
      </c>
      <c r="F254" t="str">
        <f>IFERROR(INDEX(tblPessoas[Pessoa],MATCH(E254,tblPessoas[ID],0)),"")</f>
        <v>Robert Filipe Orlando de Souza</v>
      </c>
      <c r="G254" t="str">
        <f>IFERROR(INDEX(tblBatidas[Projeto],MATCH("B"&amp;MID($A254,2,99),tblBatidas[Batida ID],0)),"")</f>
        <v>BETIM - TRACKING</v>
      </c>
      <c r="H254" t="str">
        <f>IFERROR(INDEX(tblBatidas[Atividade],MATCH("B"&amp;MID($A254,2,99),tblBatidas[Batida ID],0)),"")</f>
        <v>CHECAGEM</v>
      </c>
      <c r="I254" s="4">
        <f>IFERROR(MOD(INDEX(tblBatidas[Data e hora],MATCH("B"&amp;MID($A254,2,99),tblBatidas[Batida ID],0)),1),"")</f>
        <v>0.57354166666482342</v>
      </c>
      <c r="J254" s="4">
        <f>IFERROR(MOD(INDEX(tblBatidas[Data e hora],MATCH("B"&amp;MID($A254,2,99),tblBatidas[Início vinculado],0)),1),"")</f>
        <v>0.7539930555576575</v>
      </c>
      <c r="K254" s="14">
        <f>IFERROR((INDEX(tblBatidas[Data e hora],MATCH("B"&amp;MID($A254,2,99),tblBatidas[Início vinculado],0))-INDEX(tblBatidas[Data e hora],MATCH("B"&amp;MID($A254,2,99),tblBatidas[Batida ID],0)))*24,"")</f>
        <v>4.3308333334280178</v>
      </c>
      <c r="L254">
        <f>IFERROR(INDEX(tblBatidas[Observação],MATCH("B"&amp;MID($A254,2,99),tblBatidas[Início vinculado],0)),"")</f>
        <v>0</v>
      </c>
      <c r="M254" t="str">
        <f>IFERROR(INDEX(tblPessoas[Base],MATCH(E254,tblPessoas[ID],0)),"")</f>
        <v>Hora</v>
      </c>
      <c r="N254" s="3">
        <f>IFERROR(IF(D254="DIA ÚTIL",INDEX(tblPessoas[R$/h útil],MATCH(E254,tblPessoas[ID],0)),INDEX(tblPessoas[R$/h FDS],MATCH(E254,tblPessoas[ID],0))),0)</f>
        <v>21.5</v>
      </c>
      <c r="O254" s="3">
        <f>IFERROR(INDEX(tblPessoas[R$/diária],MATCH(E254,tblPessoas[ID],0)),0)</f>
        <v>0</v>
      </c>
      <c r="P254" s="3">
        <f t="shared" si="14"/>
        <v>93.112916668702383</v>
      </c>
      <c r="Q254" t="str">
        <f>IF(A254="","",IF(COUNTIF(tblBatidas[Início vinculado],"B"&amp;MID($A254,2,99))=0,"EM ABERTO",IF(OR(COUNTIF(tblBatidas[Início vinculado],"B"&amp;MID($A254,2,99))&gt;1,K254&lt;0,K254&gt;16,INT(INDEX(tblBatidas[Data e hora],MATCH("B"&amp;MID($A254,2,99),tblBatidas[Início vinculado],0)))&lt;&gt;B254,INDEX(tblBatidas[ID],MATCH("B"&amp;MID($A254,2,99),tblBatidas[Início vinculado],0))&lt;&gt;E254,INDEX(tblBatidas[Projeto],MATCH("B"&amp;MID($A254,2,99),tblBatidas[Início vinculado],0))&lt;&gt;G254,INDEX(tblBatidas[Atividade],MATCH("B"&amp;MID($A254,2,99),tblBatidas[Início vinculado],0))&lt;&gt;H254),"REVISAR","CONCLUÍDO")))</f>
        <v>CONCLUÍDO</v>
      </c>
      <c r="R254">
        <f>IF(Q254&lt;&gt;"CONCLUÍDO",0,IF(COUNTIFS($E$5:E254,E254,$B$5:B254,B254,$Q$5:Q254,"CONCLUÍDO")=1,1,0))</f>
        <v>0</v>
      </c>
      <c r="S254" t="str">
        <f t="shared" si="15"/>
        <v>yyyy-09</v>
      </c>
      <c r="T254">
        <f>IF(E254="","",E254*100000+COUNTIFS(tblRegistros[ID],E254,tblRegistros[Data],"&lt;"&amp;B254)+COUNTIFS(tblRegistros[ID],E254,tblRegistros[Data],B254,tblRegistros[Início],"&lt;"&amp;I254)+COUNTIFS($E$5:E254,E254,$B$5:B254,B254,$I$5:I254,I254))</f>
        <v>101400024</v>
      </c>
    </row>
    <row r="255" spans="1:20">
      <c r="A255" t="s">
        <v>347</v>
      </c>
      <c r="B255" s="2">
        <f>IFERROR(INT(INDEX(tblBatidas[Data e hora],MATCH("B"&amp;MID($A255,2,99),tblBatidas[Batida ID],0))),"")</f>
        <v>46274</v>
      </c>
      <c r="C255" t="str">
        <f t="shared" si="12"/>
        <v>QUARTA-FEIRA</v>
      </c>
      <c r="D255" t="str">
        <f t="shared" si="13"/>
        <v>DIA ÚTIL</v>
      </c>
      <c r="E255">
        <f>IFERROR(INDEX(tblBatidas[ID],MATCH("B"&amp;MID($A255,2,99),tblBatidas[Batida ID],0)),"")</f>
        <v>1015</v>
      </c>
      <c r="F255" t="str">
        <f>IFERROR(INDEX(tblPessoas[Pessoa],MATCH(E255,tblPessoas[ID],0)),"")</f>
        <v>Vitor Guilherme Miguel Rocha</v>
      </c>
      <c r="G255" t="str">
        <f>IFERROR(INDEX(tblBatidas[Projeto],MATCH("B"&amp;MID($A255,2,99),tblBatidas[Batida ID],0)),"")</f>
        <v>ADMINISTRATIVO</v>
      </c>
      <c r="H255" t="str">
        <f>IFERROR(INDEX(tblBatidas[Atividade],MATCH("B"&amp;MID($A255,2,99),tblBatidas[Batida ID],0)),"")</f>
        <v>ADMINISTRATIVO</v>
      </c>
      <c r="I255" s="4">
        <f>IFERROR(MOD(INDEX(tblBatidas[Data e hora],MATCH("B"&amp;MID($A255,2,99),tblBatidas[Batida ID],0)),1),"")</f>
        <v>0.58043981481750961</v>
      </c>
      <c r="J255" s="4">
        <f>IFERROR(MOD(INDEX(tblBatidas[Data e hora],MATCH("B"&amp;MID($A255,2,99),tblBatidas[Início vinculado],0)),1),"")</f>
        <v>0.75096064814715646</v>
      </c>
      <c r="K255" s="14">
        <f>IFERROR((INDEX(tblBatidas[Data e hora],MATCH("B"&amp;MID($A255,2,99),tblBatidas[Início vinculado],0))-INDEX(tblBatidas[Data e hora],MATCH("B"&amp;MID($A255,2,99),tblBatidas[Batida ID],0)))*24,"")</f>
        <v>4.0924999999115244</v>
      </c>
      <c r="L255">
        <f>IFERROR(INDEX(tblBatidas[Observação],MATCH("B"&amp;MID($A255,2,99),tblBatidas[Início vinculado],0)),"")</f>
        <v>0</v>
      </c>
      <c r="M255" t="str">
        <f>IFERROR(INDEX(tblPessoas[Base],MATCH(E255,tblPessoas[ID],0)),"")</f>
        <v>Hora</v>
      </c>
      <c r="N255" s="3">
        <f>IFERROR(IF(D255="DIA ÚTIL",INDEX(tblPessoas[R$/h útil],MATCH(E255,tblPessoas[ID],0)),INDEX(tblPessoas[R$/h FDS],MATCH(E255,tblPessoas[ID],0))),0)</f>
        <v>21.5</v>
      </c>
      <c r="O255" s="3">
        <f>IFERROR(INDEX(tblPessoas[R$/diária],MATCH(E255,tblPessoas[ID],0)),0)</f>
        <v>0</v>
      </c>
      <c r="P255" s="3">
        <f t="shared" si="14"/>
        <v>87.988749998097774</v>
      </c>
      <c r="Q255" t="str">
        <f>IF(A255="","",IF(COUNTIF(tblBatidas[Início vinculado],"B"&amp;MID($A255,2,99))=0,"EM ABERTO",IF(OR(COUNTIF(tblBatidas[Início vinculado],"B"&amp;MID($A255,2,99))&gt;1,K255&lt;0,K255&gt;16,INT(INDEX(tblBatidas[Data e hora],MATCH("B"&amp;MID($A255,2,99),tblBatidas[Início vinculado],0)))&lt;&gt;B255,INDEX(tblBatidas[ID],MATCH("B"&amp;MID($A255,2,99),tblBatidas[Início vinculado],0))&lt;&gt;E255,INDEX(tblBatidas[Projeto],MATCH("B"&amp;MID($A255,2,99),tblBatidas[Início vinculado],0))&lt;&gt;G255,INDEX(tblBatidas[Atividade],MATCH("B"&amp;MID($A255,2,99),tblBatidas[Início vinculado],0))&lt;&gt;H255),"REVISAR","CONCLUÍDO")))</f>
        <v>CONCLUÍDO</v>
      </c>
      <c r="R255">
        <f>IF(Q255&lt;&gt;"CONCLUÍDO",0,IF(COUNTIFS($E$5:E255,E255,$B$5:B255,B255,$Q$5:Q255,"CONCLUÍDO")=1,1,0))</f>
        <v>0</v>
      </c>
      <c r="S255" t="str">
        <f t="shared" si="15"/>
        <v>yyyy-09</v>
      </c>
      <c r="T255">
        <f>IF(E255="","",E255*100000+COUNTIFS(tblRegistros[ID],E255,tblRegistros[Data],"&lt;"&amp;B255)+COUNTIFS(tblRegistros[ID],E255,tblRegistros[Data],B255,tblRegistros[Início],"&lt;"&amp;I255)+COUNTIFS($E$5:E255,E255,$B$5:B255,B255,$I$5:I255,I255))</f>
        <v>101500026</v>
      </c>
    </row>
    <row r="256" spans="1:20">
      <c r="A256" t="s">
        <v>348</v>
      </c>
      <c r="B256" s="2">
        <f>IFERROR(INT(INDEX(tblBatidas[Data e hora],MATCH("B"&amp;MID($A256,2,99),tblBatidas[Batida ID],0))),"")</f>
        <v>46274</v>
      </c>
      <c r="C256" t="str">
        <f t="shared" si="12"/>
        <v>QUARTA-FEIRA</v>
      </c>
      <c r="D256" t="str">
        <f t="shared" si="13"/>
        <v>DIA ÚTIL</v>
      </c>
      <c r="E256">
        <f>IFERROR(INDEX(tblBatidas[ID],MATCH("B"&amp;MID($A256,2,99),tblBatidas[Batida ID],0)),"")</f>
        <v>1010</v>
      </c>
      <c r="F256" t="str">
        <f>IFERROR(INDEX(tblPessoas[Pessoa],MATCH(E256,tblPessoas[ID],0)),"")</f>
        <v>Nataly Tayê</v>
      </c>
      <c r="G256" t="str">
        <f>IFERROR(INDEX(tblBatidas[Projeto],MATCH("B"&amp;MID($A256,2,99),tblBatidas[Batida ID],0)),"")</f>
        <v>ESTADUAL - OTEMPO</v>
      </c>
      <c r="H256" t="str">
        <f>IFERROR(INDEX(tblBatidas[Atividade],MATCH("B"&amp;MID($A256,2,99),tblBatidas[Batida ID],0)),"")</f>
        <v>CHECAGEM</v>
      </c>
      <c r="I256" s="4">
        <f>IFERROR(MOD(INDEX(tblBatidas[Data e hora],MATCH("B"&amp;MID($A256,2,99),tblBatidas[Batida ID],0)),1),"")</f>
        <v>0.59185185185197042</v>
      </c>
      <c r="J256" s="4">
        <f>IFERROR(MOD(INDEX(tblBatidas[Data e hora],MATCH("B"&amp;MID($A256,2,99),tblBatidas[Início vinculado],0)),1),"")</f>
        <v>0.73208333333604969</v>
      </c>
      <c r="K256" s="14">
        <f>IFERROR((INDEX(tblBatidas[Data e hora],MATCH("B"&amp;MID($A256,2,99),tblBatidas[Início vinculado],0))-INDEX(tblBatidas[Data e hora],MATCH("B"&amp;MID($A256,2,99),tblBatidas[Batida ID],0)))*24,"")</f>
        <v>3.3655555556179024</v>
      </c>
      <c r="L256">
        <f>IFERROR(INDEX(tblBatidas[Observação],MATCH("B"&amp;MID($A256,2,99),tblBatidas[Início vinculado],0)),"")</f>
        <v>0</v>
      </c>
      <c r="M256" t="str">
        <f>IFERROR(INDEX(tblPessoas[Base],MATCH(E256,tblPessoas[ID],0)),"")</f>
        <v>Hora</v>
      </c>
      <c r="N256" s="3">
        <f>IFERROR(IF(D256="DIA ÚTIL",INDEX(tblPessoas[R$/h útil],MATCH(E256,tblPessoas[ID],0)),INDEX(tblPessoas[R$/h FDS],MATCH(E256,tblPessoas[ID],0))),0)</f>
        <v>14</v>
      </c>
      <c r="O256" s="3">
        <f>IFERROR(INDEX(tblPessoas[R$/diária],MATCH(E256,tblPessoas[ID],0)),0)</f>
        <v>0</v>
      </c>
      <c r="P256" s="3">
        <f t="shared" si="14"/>
        <v>47.117777778650634</v>
      </c>
      <c r="Q256" t="str">
        <f>IF(A256="","",IF(COUNTIF(tblBatidas[Início vinculado],"B"&amp;MID($A256,2,99))=0,"EM ABERTO",IF(OR(COUNTIF(tblBatidas[Início vinculado],"B"&amp;MID($A256,2,99))&gt;1,K256&lt;0,K256&gt;16,INT(INDEX(tblBatidas[Data e hora],MATCH("B"&amp;MID($A256,2,99),tblBatidas[Início vinculado],0)))&lt;&gt;B256,INDEX(tblBatidas[ID],MATCH("B"&amp;MID($A256,2,99),tblBatidas[Início vinculado],0))&lt;&gt;E256,INDEX(tblBatidas[Projeto],MATCH("B"&amp;MID($A256,2,99),tblBatidas[Início vinculado],0))&lt;&gt;G256,INDEX(tblBatidas[Atividade],MATCH("B"&amp;MID($A256,2,99),tblBatidas[Início vinculado],0))&lt;&gt;H256),"REVISAR","CONCLUÍDO")))</f>
        <v>CONCLUÍDO</v>
      </c>
      <c r="R256">
        <f>IF(Q256&lt;&gt;"CONCLUÍDO",0,IF(COUNTIFS($E$5:E256,E256,$B$5:B256,B256,$Q$5:Q256,"CONCLUÍDO")=1,1,0))</f>
        <v>0</v>
      </c>
      <c r="S256" t="str">
        <f t="shared" si="15"/>
        <v>yyyy-09</v>
      </c>
      <c r="T256">
        <f>IF(E256="","",E256*100000+COUNTIFS(tblRegistros[ID],E256,tblRegistros[Data],"&lt;"&amp;B256)+COUNTIFS(tblRegistros[ID],E256,tblRegistros[Data],B256,tblRegistros[Início],"&lt;"&amp;I256)+COUNTIFS($E$5:E256,E256,$B$5:B256,B256,$I$5:I256,I256))</f>
        <v>101000002</v>
      </c>
    </row>
    <row r="257" spans="1:20">
      <c r="A257" t="s">
        <v>349</v>
      </c>
      <c r="B257" s="2">
        <f>IFERROR(INT(INDEX(tblBatidas[Data e hora],MATCH("B"&amp;MID($A257,2,99),tblBatidas[Batida ID],0))),"")</f>
        <v>46274</v>
      </c>
      <c r="C257" t="str">
        <f t="shared" si="12"/>
        <v>QUARTA-FEIRA</v>
      </c>
      <c r="D257" t="str">
        <f t="shared" si="13"/>
        <v>DIA ÚTIL</v>
      </c>
      <c r="E257">
        <f>IFERROR(INDEX(tblBatidas[ID],MATCH("B"&amp;MID($A257,2,99),tblBatidas[Batida ID],0)),"")</f>
        <v>1016</v>
      </c>
      <c r="F257" t="str">
        <f>IFERROR(INDEX(tblPessoas[Pessoa],MATCH(E257,tblPessoas[ID],0)),"")</f>
        <v>Ana Luisa Nardin</v>
      </c>
      <c r="G257" t="str">
        <f>IFERROR(INDEX(tblBatidas[Projeto],MATCH("B"&amp;MID($A257,2,99),tblBatidas[Batida ID],0)),"")</f>
        <v>CFI / ACCION</v>
      </c>
      <c r="H257" t="str">
        <f>IFERROR(INDEX(tblBatidas[Atividade],MATCH("B"&amp;MID($A257,2,99),tblBatidas[Batida ID],0)),"")</f>
        <v>ANÁLISE</v>
      </c>
      <c r="I257" s="4">
        <f>IFERROR(MOD(INDEX(tblBatidas[Data e hora],MATCH("B"&amp;MID($A257,2,99),tblBatidas[Batida ID],0)),1),"")</f>
        <v>0.59344907407648861</v>
      </c>
      <c r="J257" s="4">
        <f>IFERROR(MOD(INDEX(tblBatidas[Data e hora],MATCH("B"&amp;MID($A257,2,99),tblBatidas[Início vinculado],0)),1),"")</f>
        <v>0.75443287037342088</v>
      </c>
      <c r="K257" s="14">
        <f>IFERROR((INDEX(tblBatidas[Data e hora],MATCH("B"&amp;MID($A257,2,99),tblBatidas[Início vinculado],0))-INDEX(tblBatidas[Data e hora],MATCH("B"&amp;MID($A257,2,99),tblBatidas[Batida ID],0)))*24,"")</f>
        <v>3.8636111111263745</v>
      </c>
      <c r="L257">
        <f>IFERROR(INDEX(tblBatidas[Observação],MATCH("B"&amp;MID($A257,2,99),tblBatidas[Início vinculado],0)),"")</f>
        <v>0</v>
      </c>
      <c r="M257" t="str">
        <f>IFERROR(INDEX(tblPessoas[Base],MATCH(E257,tblPessoas[ID],0)),"")</f>
        <v>Hora</v>
      </c>
      <c r="N257" s="3">
        <f>IFERROR(IF(D257="DIA ÚTIL",INDEX(tblPessoas[R$/h útil],MATCH(E257,tblPessoas[ID],0)),INDEX(tblPessoas[R$/h FDS],MATCH(E257,tblPessoas[ID],0))),0)</f>
        <v>23.5</v>
      </c>
      <c r="O257" s="3">
        <f>IFERROR(INDEX(tblPessoas[R$/diária],MATCH(E257,tblPessoas[ID],0)),0)</f>
        <v>0</v>
      </c>
      <c r="P257" s="3">
        <f t="shared" si="14"/>
        <v>90.7948611114698</v>
      </c>
      <c r="Q257" t="str">
        <f>IF(A257="","",IF(COUNTIF(tblBatidas[Início vinculado],"B"&amp;MID($A257,2,99))=0,"EM ABERTO",IF(OR(COUNTIF(tblBatidas[Início vinculado],"B"&amp;MID($A257,2,99))&gt;1,K257&lt;0,K257&gt;16,INT(INDEX(tblBatidas[Data e hora],MATCH("B"&amp;MID($A257,2,99),tblBatidas[Início vinculado],0)))&lt;&gt;B257,INDEX(tblBatidas[ID],MATCH("B"&amp;MID($A257,2,99),tblBatidas[Início vinculado],0))&lt;&gt;E257,INDEX(tblBatidas[Projeto],MATCH("B"&amp;MID($A257,2,99),tblBatidas[Início vinculado],0))&lt;&gt;G257,INDEX(tblBatidas[Atividade],MATCH("B"&amp;MID($A257,2,99),tblBatidas[Início vinculado],0))&lt;&gt;H257),"REVISAR","CONCLUÍDO")))</f>
        <v>CONCLUÍDO</v>
      </c>
      <c r="R257">
        <f>IF(Q257&lt;&gt;"CONCLUÍDO",0,IF(COUNTIFS($E$5:E257,E257,$B$5:B257,B257,$Q$5:Q257,"CONCLUÍDO")=1,1,0))</f>
        <v>0</v>
      </c>
      <c r="S257" t="str">
        <f t="shared" si="15"/>
        <v>yyyy-09</v>
      </c>
      <c r="T257">
        <f>IF(E257="","",E257*100000+COUNTIFS(tblRegistros[ID],E257,tblRegistros[Data],"&lt;"&amp;B257)+COUNTIFS(tblRegistros[ID],E257,tblRegistros[Data],B257,tblRegistros[Início],"&lt;"&amp;I257)+COUNTIFS($E$5:E257,E257,$B$5:B257,B257,$I$5:I257,I257))</f>
        <v>101600026</v>
      </c>
    </row>
    <row r="258" spans="1:20">
      <c r="A258" t="s">
        <v>350</v>
      </c>
      <c r="B258" s="2">
        <f>IFERROR(INT(INDEX(tblBatidas[Data e hora],MATCH("B"&amp;MID($A258,2,99),tblBatidas[Batida ID],0))),"")</f>
        <v>46274</v>
      </c>
      <c r="C258" t="str">
        <f t="shared" si="12"/>
        <v>QUARTA-FEIRA</v>
      </c>
      <c r="D258" t="str">
        <f t="shared" si="13"/>
        <v>DIA ÚTIL</v>
      </c>
      <c r="E258">
        <f>IFERROR(INDEX(tblBatidas[ID],MATCH("B"&amp;MID($A258,2,99),tblBatidas[Batida ID],0)),"")</f>
        <v>1012</v>
      </c>
      <c r="F258" t="str">
        <f>IFERROR(INDEX(tblPessoas[Pessoa],MATCH(E258,tblPessoas[ID],0)),"")</f>
        <v>Nelma Lucia dos S. B. Brandão</v>
      </c>
      <c r="G258" t="str">
        <f>IFERROR(INDEX(tblBatidas[Projeto],MATCH("B"&amp;MID($A258,2,99),tblBatidas[Batida ID],0)),"")</f>
        <v>ESTADUAL - OTEMPO</v>
      </c>
      <c r="H258" t="str">
        <f>IFERROR(INDEX(tblBatidas[Atividade],MATCH("B"&amp;MID($A258,2,99),tblBatidas[Batida ID],0)),"")</f>
        <v>CHECAGEM</v>
      </c>
      <c r="I258" s="4">
        <f>IFERROR(MOD(INDEX(tblBatidas[Data e hora],MATCH("B"&amp;MID($A258,2,99),tblBatidas[Batida ID],0)),1),"")</f>
        <v>0.59598379629460396</v>
      </c>
      <c r="J258" s="4" t="str">
        <f>IFERROR(MOD(INDEX(tblBatidas[Data e hora],MATCH("B"&amp;MID($A258,2,99),tblBatidas[Início vinculado],0)),1),"")</f>
        <v/>
      </c>
      <c r="K258" s="14" t="str">
        <f>IFERROR((INDEX(tblBatidas[Data e hora],MATCH("B"&amp;MID($A258,2,99),tblBatidas[Início vinculado],0))-INDEX(tblBatidas[Data e hora],MATCH("B"&amp;MID($A258,2,99),tblBatidas[Batida ID],0)))*24,"")</f>
        <v/>
      </c>
      <c r="L258" t="str">
        <f>IFERROR(INDEX(tblBatidas[Observação],MATCH("B"&amp;MID($A258,2,99),tblBatidas[Início vinculado],0)),"")</f>
        <v/>
      </c>
      <c r="M258" t="str">
        <f>IFERROR(INDEX(tblPessoas[Base],MATCH(E258,tblPessoas[ID],0)),"")</f>
        <v>Diária</v>
      </c>
      <c r="N258" s="3">
        <f>IFERROR(IF(D258="DIA ÚTIL",INDEX(tblPessoas[R$/h útil],MATCH(E258,tblPessoas[ID],0)),INDEX(tblPessoas[R$/h FDS],MATCH(E258,tblPessoas[ID],0))),0)</f>
        <v>0</v>
      </c>
      <c r="O258" s="3">
        <f>IFERROR(INDEX(tblPessoas[R$/diária],MATCH(E258,tblPessoas[ID],0)),0)</f>
        <v>222.72</v>
      </c>
      <c r="P258" s="3" t="str">
        <f t="shared" si="14"/>
        <v/>
      </c>
      <c r="Q258" t="str">
        <f>IF(A258="","",IF(COUNTIF(tblBatidas[Início vinculado],"B"&amp;MID($A258,2,99))=0,"EM ABERTO",IF(OR(COUNTIF(tblBatidas[Início vinculado],"B"&amp;MID($A258,2,99))&gt;1,K258&lt;0,K258&gt;16,INT(INDEX(tblBatidas[Data e hora],MATCH("B"&amp;MID($A258,2,99),tblBatidas[Início vinculado],0)))&lt;&gt;B258,INDEX(tblBatidas[ID],MATCH("B"&amp;MID($A258,2,99),tblBatidas[Início vinculado],0))&lt;&gt;E258,INDEX(tblBatidas[Projeto],MATCH("B"&amp;MID($A258,2,99),tblBatidas[Início vinculado],0))&lt;&gt;G258,INDEX(tblBatidas[Atividade],MATCH("B"&amp;MID($A258,2,99),tblBatidas[Início vinculado],0))&lt;&gt;H258),"REVISAR","CONCLUÍDO")))</f>
        <v>EM ABERTO</v>
      </c>
      <c r="R258">
        <f>IF(Q258&lt;&gt;"CONCLUÍDO",0,IF(COUNTIFS($E$5:E258,E258,$B$5:B258,B258,$Q$5:Q258,"CONCLUÍDO")=1,1,0))</f>
        <v>0</v>
      </c>
      <c r="S258" t="str">
        <f t="shared" si="15"/>
        <v>yyyy-09</v>
      </c>
      <c r="T258">
        <f>IF(E258="","",E258*100000+COUNTIFS(tblRegistros[ID],E258,tblRegistros[Data],"&lt;"&amp;B258)+COUNTIFS(tblRegistros[ID],E258,tblRegistros[Data],B258,tblRegistros[Início],"&lt;"&amp;I258)+COUNTIFS($E$5:E258,E258,$B$5:B258,B258,$I$5:I258,I258))</f>
        <v>101200032</v>
      </c>
    </row>
    <row r="259" spans="1:20">
      <c r="A259" t="s">
        <v>351</v>
      </c>
      <c r="B259" s="2">
        <f>IFERROR(INT(INDEX(tblBatidas[Data e hora],MATCH("B"&amp;MID($A259,2,99),tblBatidas[Batida ID],0))),"")</f>
        <v>46274</v>
      </c>
      <c r="C259" t="str">
        <f t="shared" si="12"/>
        <v>QUARTA-FEIRA</v>
      </c>
      <c r="D259" t="str">
        <f t="shared" si="13"/>
        <v>DIA ÚTIL</v>
      </c>
      <c r="E259">
        <f>IFERROR(INDEX(tblBatidas[ID],MATCH("B"&amp;MID($A259,2,99),tblBatidas[Batida ID],0)),"")</f>
        <v>1006</v>
      </c>
      <c r="F259" t="str">
        <f>IFERROR(INDEX(tblPessoas[Pessoa],MATCH(E259,tblPessoas[ID],0)),"")</f>
        <v>Eliane dos Santos Oliveira</v>
      </c>
      <c r="G259" t="str">
        <f>IFERROR(INDEX(tblBatidas[Projeto],MATCH("B"&amp;MID($A259,2,99),tblBatidas[Batida ID],0)),"")</f>
        <v>OUTROS</v>
      </c>
      <c r="H259" t="str">
        <f>IFERROR(INDEX(tblBatidas[Atividade],MATCH("B"&amp;MID($A259,2,99),tblBatidas[Batida ID],0)),"")</f>
        <v>CHECAGEM</v>
      </c>
      <c r="I259" s="4">
        <f>IFERROR(MOD(INDEX(tblBatidas[Data e hora],MATCH("B"&amp;MID($A259,2,99),tblBatidas[Batida ID],0)),1),"")</f>
        <v>0.61162037037138361</v>
      </c>
      <c r="J259" s="4">
        <f>IFERROR(MOD(INDEX(tblBatidas[Data e hora],MATCH("B"&amp;MID($A259,2,99),tblBatidas[Início vinculado],0)),1),"")</f>
        <v>0.94646990740875481</v>
      </c>
      <c r="K259" s="14">
        <f>IFERROR((INDEX(tblBatidas[Data e hora],MATCH("B"&amp;MID($A259,2,99),tblBatidas[Início vinculado],0))-INDEX(tblBatidas[Data e hora],MATCH("B"&amp;MID($A259,2,99),tblBatidas[Batida ID],0)))*24,"")</f>
        <v>8.0363888888969086</v>
      </c>
      <c r="L259" t="str">
        <f>IFERROR(INDEX(tblBatidas[Observação],MATCH("B"&amp;MID($A259,2,99),tblBatidas[Início vinculado],0)),"")</f>
        <v>CHECAGEM politica</v>
      </c>
      <c r="M259" t="str">
        <f>IFERROR(INDEX(tblPessoas[Base],MATCH(E259,tblPessoas[ID],0)),"")</f>
        <v>Hora</v>
      </c>
      <c r="N259" s="3">
        <f>IFERROR(IF(D259="DIA ÚTIL",INDEX(tblPessoas[R$/h útil],MATCH(E259,tblPessoas[ID],0)),INDEX(tblPessoas[R$/h FDS],MATCH(E259,tblPessoas[ID],0))),0)</f>
        <v>14</v>
      </c>
      <c r="O259" s="3">
        <f>IFERROR(INDEX(tblPessoas[R$/diária],MATCH(E259,tblPessoas[ID],0)),0)</f>
        <v>0</v>
      </c>
      <c r="P259" s="3">
        <f t="shared" si="14"/>
        <v>112.50944444455672</v>
      </c>
      <c r="Q259" t="str">
        <f>IF(A259="","",IF(COUNTIF(tblBatidas[Início vinculado],"B"&amp;MID($A259,2,99))=0,"EM ABERTO",IF(OR(COUNTIF(tblBatidas[Início vinculado],"B"&amp;MID($A259,2,99))&gt;1,K259&lt;0,K259&gt;16,INT(INDEX(tblBatidas[Data e hora],MATCH("B"&amp;MID($A259,2,99),tblBatidas[Início vinculado],0)))&lt;&gt;B259,INDEX(tblBatidas[ID],MATCH("B"&amp;MID($A259,2,99),tblBatidas[Início vinculado],0))&lt;&gt;E259,INDEX(tblBatidas[Projeto],MATCH("B"&amp;MID($A259,2,99),tblBatidas[Início vinculado],0))&lt;&gt;G259,INDEX(tblBatidas[Atividade],MATCH("B"&amp;MID($A259,2,99),tblBatidas[Início vinculado],0))&lt;&gt;H259),"REVISAR","CONCLUÍDO")))</f>
        <v>CONCLUÍDO</v>
      </c>
      <c r="R259">
        <f>IF(Q259&lt;&gt;"CONCLUÍDO",0,IF(COUNTIFS($E$5:E259,E259,$B$5:B259,B259,$Q$5:Q259,"CONCLUÍDO")=1,1,0))</f>
        <v>0</v>
      </c>
      <c r="S259" t="str">
        <f t="shared" si="15"/>
        <v>yyyy-09</v>
      </c>
      <c r="T259">
        <f>IF(E259="","",E259*100000+COUNTIFS(tblRegistros[ID],E259,tblRegistros[Data],"&lt;"&amp;B259)+COUNTIFS(tblRegistros[ID],E259,tblRegistros[Data],B259,tblRegistros[Início],"&lt;"&amp;I259)+COUNTIFS($E$5:E259,E259,$B$5:B259,B259,$I$5:I259,I259))</f>
        <v>100600019</v>
      </c>
    </row>
    <row r="260" spans="1:20">
      <c r="A260" t="s">
        <v>352</v>
      </c>
      <c r="B260" s="2">
        <f>IFERROR(INT(INDEX(tblBatidas[Data e hora],MATCH("B"&amp;MID($A260,2,99),tblBatidas[Batida ID],0))),"")</f>
        <v>46274</v>
      </c>
      <c r="C260" t="str">
        <f t="shared" si="12"/>
        <v>QUARTA-FEIRA</v>
      </c>
      <c r="D260" t="str">
        <f t="shared" si="13"/>
        <v>DIA ÚTIL</v>
      </c>
      <c r="E260">
        <f>IFERROR(INDEX(tblBatidas[ID],MATCH("B"&amp;MID($A260,2,99),tblBatidas[Batida ID],0)),"")</f>
        <v>1004</v>
      </c>
      <c r="F260" t="str">
        <f>IFERROR(INDEX(tblPessoas[Pessoa],MATCH(E260,tblPessoas[ID],0)),"")</f>
        <v>Angela Bertoli</v>
      </c>
      <c r="G260" t="str">
        <f>IFERROR(INDEX(tblBatidas[Projeto],MATCH("B"&amp;MID($A260,2,99),tblBatidas[Batida ID],0)),"")</f>
        <v>CAMPANHA</v>
      </c>
      <c r="H260" t="str">
        <f>IFERROR(INDEX(tblBatidas[Atividade],MATCH("B"&amp;MID($A260,2,99),tblBatidas[Batida ID],0)),"")</f>
        <v>CODIFICAÇÃO</v>
      </c>
      <c r="I260" s="4">
        <f>IFERROR(MOD(INDEX(tblBatidas[Data e hora],MATCH("B"&amp;MID($A260,2,99),tblBatidas[Batida ID],0)),1),"")</f>
        <v>0.6209722222192795</v>
      </c>
      <c r="J260" s="4">
        <f>IFERROR(MOD(INDEX(tblBatidas[Data e hora],MATCH("B"&amp;MID($A260,2,99),tblBatidas[Início vinculado],0)),1),"")</f>
        <v>0.81351851851650281</v>
      </c>
      <c r="K260" s="14">
        <f>IFERROR((INDEX(tblBatidas[Data e hora],MATCH("B"&amp;MID($A260,2,99),tblBatidas[Início vinculado],0))-INDEX(tblBatidas[Data e hora],MATCH("B"&amp;MID($A260,2,99),tblBatidas[Batida ID],0)))*24,"")</f>
        <v>4.6211111111333594</v>
      </c>
      <c r="L260" t="str">
        <f>IFERROR(INDEX(tblBatidas[Observação],MATCH("B"&amp;MID($A260,2,99),tblBatidas[Início vinculado],0)),"")</f>
        <v>TRACKING BETIM</v>
      </c>
      <c r="M260" t="str">
        <f>IFERROR(INDEX(tblPessoas[Base],MATCH(E260,tblPessoas[ID],0)),"")</f>
        <v>Hora</v>
      </c>
      <c r="N260" s="3">
        <f>IFERROR(IF(D260="DIA ÚTIL",INDEX(tblPessoas[R$/h útil],MATCH(E260,tblPessoas[ID],0)),INDEX(tblPessoas[R$/h FDS],MATCH(E260,tblPessoas[ID],0))),0)</f>
        <v>21.5</v>
      </c>
      <c r="O260" s="3">
        <f>IFERROR(INDEX(tblPessoas[R$/diária],MATCH(E260,tblPessoas[ID],0)),0)</f>
        <v>0</v>
      </c>
      <c r="P260" s="3">
        <f t="shared" si="14"/>
        <v>99.353888889367227</v>
      </c>
      <c r="Q260" t="str">
        <f>IF(A260="","",IF(COUNTIF(tblBatidas[Início vinculado],"B"&amp;MID($A260,2,99))=0,"EM ABERTO",IF(OR(COUNTIF(tblBatidas[Início vinculado],"B"&amp;MID($A260,2,99))&gt;1,K260&lt;0,K260&gt;16,INT(INDEX(tblBatidas[Data e hora],MATCH("B"&amp;MID($A260,2,99),tblBatidas[Início vinculado],0)))&lt;&gt;B260,INDEX(tblBatidas[ID],MATCH("B"&amp;MID($A260,2,99),tblBatidas[Início vinculado],0))&lt;&gt;E260,INDEX(tblBatidas[Projeto],MATCH("B"&amp;MID($A260,2,99),tblBatidas[Início vinculado],0))&lt;&gt;G260,INDEX(tblBatidas[Atividade],MATCH("B"&amp;MID($A260,2,99),tblBatidas[Início vinculado],0))&lt;&gt;H260),"REVISAR","CONCLUÍDO")))</f>
        <v>CONCLUÍDO</v>
      </c>
      <c r="R260">
        <f>IF(Q260&lt;&gt;"CONCLUÍDO",0,IF(COUNTIFS($E$5:E260,E260,$B$5:B260,B260,$Q$5:Q260,"CONCLUÍDO")=1,1,0))</f>
        <v>0</v>
      </c>
      <c r="S260" t="str">
        <f t="shared" si="15"/>
        <v>yyyy-09</v>
      </c>
      <c r="T260">
        <f>IF(E260="","",E260*100000+COUNTIFS(tblRegistros[ID],E260,tblRegistros[Data],"&lt;"&amp;B260)+COUNTIFS(tblRegistros[ID],E260,tblRegistros[Data],B260,tblRegistros[Início],"&lt;"&amp;I260)+COUNTIFS($E$5:E260,E260,$B$5:B260,B260,$I$5:I260,I260))</f>
        <v>100400020</v>
      </c>
    </row>
    <row r="261" spans="1:20">
      <c r="A261" t="s">
        <v>353</v>
      </c>
      <c r="B261" s="2">
        <f>IFERROR(INT(INDEX(tblBatidas[Data e hora],MATCH("B"&amp;MID($A261,2,99),tblBatidas[Batida ID],0))),"")</f>
        <v>46274</v>
      </c>
      <c r="C261" t="str">
        <f t="shared" ref="C261:C324" si="16">IF(B261="","",CHOOSE(WEEKDAY(B261,2),"SEGUNDA-FEIRA","TERÇA-FEIRA","QUARTA-FEIRA","QUINTA-FEIRA","SEXTA-FEIRA","SÁBADO","DOMINGO"))</f>
        <v>QUARTA-FEIRA</v>
      </c>
      <c r="D261" t="str">
        <f t="shared" ref="D261:D324" si="17">IF(B261="","",IF(WEEKDAY(B261,2)&gt;5,"FDS/FERIADO","DIA ÚTIL"))</f>
        <v>DIA ÚTIL</v>
      </c>
      <c r="E261">
        <f>IFERROR(INDEX(tblBatidas[ID],MATCH("B"&amp;MID($A261,2,99),tblBatidas[Batida ID],0)),"")</f>
        <v>1001</v>
      </c>
      <c r="F261" t="str">
        <f>IFERROR(INDEX(tblPessoas[Pessoa],MATCH(E261,tblPessoas[ID],0)),"")</f>
        <v>Adriana Pereira dos Santos</v>
      </c>
      <c r="G261" t="str">
        <f>IFERROR(INDEX(tblBatidas[Projeto],MATCH("B"&amp;MID($A261,2,99),tblBatidas[Batida ID],0)),"")</f>
        <v>SICOOB CREDICOM</v>
      </c>
      <c r="H261" t="str">
        <f>IFERROR(INDEX(tblBatidas[Atividade],MATCH("B"&amp;MID($A261,2,99),tblBatidas[Batida ID],0)),"")</f>
        <v>SUPERVISÃO</v>
      </c>
      <c r="I261" s="4">
        <f>IFERROR(MOD(INDEX(tblBatidas[Data e hora],MATCH("B"&amp;MID($A261,2,99),tblBatidas[Batida ID],0)),1),"")</f>
        <v>0.68672453703766223</v>
      </c>
      <c r="J261" s="4">
        <f>IFERROR(MOD(INDEX(tblBatidas[Data e hora],MATCH("B"&amp;MID($A261,2,99),tblBatidas[Início vinculado],0)),1),"")</f>
        <v>0.81259259259240935</v>
      </c>
      <c r="K261" s="14">
        <f>IFERROR((INDEX(tblBatidas[Data e hora],MATCH("B"&amp;MID($A261,2,99),tblBatidas[Início vinculado],0))-INDEX(tblBatidas[Data e hora],MATCH("B"&amp;MID($A261,2,99),tblBatidas[Batida ID],0)))*24,"")</f>
        <v>3.0208333333139308</v>
      </c>
      <c r="L261">
        <f>IFERROR(INDEX(tblBatidas[Observação],MATCH("B"&amp;MID($A261,2,99),tblBatidas[Início vinculado],0)),"")</f>
        <v>0</v>
      </c>
      <c r="M261" t="str">
        <f>IFERROR(INDEX(tblPessoas[Base],MATCH(E261,tblPessoas[ID],0)),"")</f>
        <v>Hora</v>
      </c>
      <c r="N261" s="3">
        <f>IFERROR(IF(D261="DIA ÚTIL",INDEX(tblPessoas[R$/h útil],MATCH(E261,tblPessoas[ID],0)),INDEX(tblPessoas[R$/h FDS],MATCH(E261,tblPessoas[ID],0))),0)</f>
        <v>17</v>
      </c>
      <c r="O261" s="3">
        <f>IFERROR(INDEX(tblPessoas[R$/diária],MATCH(E261,tblPessoas[ID],0)),0)</f>
        <v>0</v>
      </c>
      <c r="P261" s="3">
        <f t="shared" ref="P261:P324" si="18">IF(Q261&lt;&gt;"CONCLUÍDO","",IF(M261="Diária",O261*R261,K261*N261))</f>
        <v>51.354166666336823</v>
      </c>
      <c r="Q261" t="str">
        <f>IF(A261="","",IF(COUNTIF(tblBatidas[Início vinculado],"B"&amp;MID($A261,2,99))=0,"EM ABERTO",IF(OR(COUNTIF(tblBatidas[Início vinculado],"B"&amp;MID($A261,2,99))&gt;1,K261&lt;0,K261&gt;16,INT(INDEX(tblBatidas[Data e hora],MATCH("B"&amp;MID($A261,2,99),tblBatidas[Início vinculado],0)))&lt;&gt;B261,INDEX(tblBatidas[ID],MATCH("B"&amp;MID($A261,2,99),tblBatidas[Início vinculado],0))&lt;&gt;E261,INDEX(tblBatidas[Projeto],MATCH("B"&amp;MID($A261,2,99),tblBatidas[Início vinculado],0))&lt;&gt;G261,INDEX(tblBatidas[Atividade],MATCH("B"&amp;MID($A261,2,99),tblBatidas[Início vinculado],0))&lt;&gt;H261),"REVISAR","CONCLUÍDO")))</f>
        <v>CONCLUÍDO</v>
      </c>
      <c r="R261">
        <f>IF(Q261&lt;&gt;"CONCLUÍDO",0,IF(COUNTIFS($E$5:E261,E261,$B$5:B261,B261,$Q$5:Q261,"CONCLUÍDO")=1,1,0))</f>
        <v>0</v>
      </c>
      <c r="S261" t="str">
        <f t="shared" ref="S261:S324" si="19">IF(B261="","",TEXT(B261,"yyyy-mm"))</f>
        <v>yyyy-09</v>
      </c>
      <c r="T261">
        <f>IF(E261="","",E261*100000+COUNTIFS(tblRegistros[ID],E261,tblRegistros[Data],"&lt;"&amp;B261)+COUNTIFS(tblRegistros[ID],E261,tblRegistros[Data],B261,tblRegistros[Início],"&lt;"&amp;I261)+COUNTIFS($E$5:E261,E261,$B$5:B261,B261,$I$5:I261,I261))</f>
        <v>100100026</v>
      </c>
    </row>
    <row r="262" spans="1:20">
      <c r="A262" t="s">
        <v>354</v>
      </c>
      <c r="B262" s="2">
        <f>IFERROR(INT(INDEX(tblBatidas[Data e hora],MATCH("B"&amp;MID($A262,2,99),tblBatidas[Batida ID],0))),"")</f>
        <v>46275</v>
      </c>
      <c r="C262" t="str">
        <f t="shared" si="16"/>
        <v>QUINTA-FEIRA</v>
      </c>
      <c r="D262" t="str">
        <f t="shared" si="17"/>
        <v>DIA ÚTIL</v>
      </c>
      <c r="E262">
        <f>IFERROR(INDEX(tblBatidas[ID],MATCH("B"&amp;MID($A262,2,99),tblBatidas[Batida ID],0)),"")</f>
        <v>1011</v>
      </c>
      <c r="F262" t="str">
        <f>IFERROR(INDEX(tblPessoas[Pessoa],MATCH(E262,tblPessoas[ID],0)),"")</f>
        <v>Nathalia Arruda</v>
      </c>
      <c r="G262" t="str">
        <f>IFERROR(INDEX(tblBatidas[Projeto],MATCH("B"&amp;MID($A262,2,99),tblBatidas[Batida ID],0)),"")</f>
        <v>ESTADUAL - OTEMPO</v>
      </c>
      <c r="H262" t="str">
        <f>IFERROR(INDEX(tblBatidas[Atividade],MATCH("B"&amp;MID($A262,2,99),tblBatidas[Batida ID],0)),"")</f>
        <v>ANÁLISE</v>
      </c>
      <c r="I262" s="4">
        <f>IFERROR(MOD(INDEX(tblBatidas[Data e hora],MATCH("B"&amp;MID($A262,2,99),tblBatidas[Batida ID],0)),1),"")</f>
        <v>0.32431712962716119</v>
      </c>
      <c r="J262" s="4" t="str">
        <f>IFERROR(MOD(INDEX(tblBatidas[Data e hora],MATCH("B"&amp;MID($A262,2,99),tblBatidas[Início vinculado],0)),1),"")</f>
        <v/>
      </c>
      <c r="K262" s="14" t="str">
        <f>IFERROR((INDEX(tblBatidas[Data e hora],MATCH("B"&amp;MID($A262,2,99),tblBatidas[Início vinculado],0))-INDEX(tblBatidas[Data e hora],MATCH("B"&amp;MID($A262,2,99),tblBatidas[Batida ID],0)))*24,"")</f>
        <v/>
      </c>
      <c r="L262" t="str">
        <f>IFERROR(INDEX(tblBatidas[Observação],MATCH("B"&amp;MID($A262,2,99),tblBatidas[Início vinculado],0)),"")</f>
        <v/>
      </c>
      <c r="M262" t="str">
        <f>IFERROR(INDEX(tblPessoas[Base],MATCH(E262,tblPessoas[ID],0)),"")</f>
        <v>Hora</v>
      </c>
      <c r="N262" s="3">
        <f>IFERROR(IF(D262="DIA ÚTIL",INDEX(tblPessoas[R$/h útil],MATCH(E262,tblPessoas[ID],0)),INDEX(tblPessoas[R$/h FDS],MATCH(E262,tblPessoas[ID],0))),0)</f>
        <v>23.5</v>
      </c>
      <c r="O262" s="3">
        <f>IFERROR(INDEX(tblPessoas[R$/diária],MATCH(E262,tblPessoas[ID],0)),0)</f>
        <v>0</v>
      </c>
      <c r="P262" s="3" t="str">
        <f t="shared" si="18"/>
        <v/>
      </c>
      <c r="Q262" t="str">
        <f>IF(A262="","",IF(COUNTIF(tblBatidas[Início vinculado],"B"&amp;MID($A262,2,99))=0,"EM ABERTO",IF(OR(COUNTIF(tblBatidas[Início vinculado],"B"&amp;MID($A262,2,99))&gt;1,K262&lt;0,K262&gt;16,INT(INDEX(tblBatidas[Data e hora],MATCH("B"&amp;MID($A262,2,99),tblBatidas[Início vinculado],0)))&lt;&gt;B262,INDEX(tblBatidas[ID],MATCH("B"&amp;MID($A262,2,99),tblBatidas[Início vinculado],0))&lt;&gt;E262,INDEX(tblBatidas[Projeto],MATCH("B"&amp;MID($A262,2,99),tblBatidas[Início vinculado],0))&lt;&gt;G262,INDEX(tblBatidas[Atividade],MATCH("B"&amp;MID($A262,2,99),tblBatidas[Início vinculado],0))&lt;&gt;H262),"REVISAR","CONCLUÍDO")))</f>
        <v>EM ABERTO</v>
      </c>
      <c r="R262">
        <f>IF(Q262&lt;&gt;"CONCLUÍDO",0,IF(COUNTIFS($E$5:E262,E262,$B$5:B262,B262,$Q$5:Q262,"CONCLUÍDO")=1,1,0))</f>
        <v>0</v>
      </c>
      <c r="S262" t="str">
        <f t="shared" si="19"/>
        <v>yyyy-09</v>
      </c>
      <c r="T262">
        <f>IF(E262="","",E262*100000+COUNTIFS(tblRegistros[ID],E262,tblRegistros[Data],"&lt;"&amp;B262)+COUNTIFS(tblRegistros[ID],E262,tblRegistros[Data],B262,tblRegistros[Início],"&lt;"&amp;I262)+COUNTIFS($E$5:E262,E262,$B$5:B262,B262,$I$5:I262,I262))</f>
        <v>101100022</v>
      </c>
    </row>
    <row r="263" spans="1:20">
      <c r="A263" t="s">
        <v>355</v>
      </c>
      <c r="B263" s="2">
        <f>IFERROR(INT(INDEX(tblBatidas[Data e hora],MATCH("B"&amp;MID($A263,2,99),tblBatidas[Batida ID],0))),"")</f>
        <v>46275</v>
      </c>
      <c r="C263" t="str">
        <f t="shared" si="16"/>
        <v>QUINTA-FEIRA</v>
      </c>
      <c r="D263" t="str">
        <f t="shared" si="17"/>
        <v>DIA ÚTIL</v>
      </c>
      <c r="E263">
        <f>IFERROR(INDEX(tblBatidas[ID],MATCH("B"&amp;MID($A263,2,99),tblBatidas[Batida ID],0)),"")</f>
        <v>1002</v>
      </c>
      <c r="F263" t="str">
        <f>IFERROR(INDEX(tblPessoas[Pessoa],MATCH(E263,tblPessoas[ID],0)),"")</f>
        <v>Alex de Almeida Mariano</v>
      </c>
      <c r="G263" t="str">
        <f>IFERROR(INDEX(tblBatidas[Projeto],MATCH("B"&amp;MID($A263,2,99),tblBatidas[Batida ID],0)),"")</f>
        <v>CFI / ACCION</v>
      </c>
      <c r="H263" t="str">
        <f>IFERROR(INDEX(tblBatidas[Atividade],MATCH("B"&amp;MID($A263,2,99),tblBatidas[Batida ID],0)),"")</f>
        <v>ANÁLISE</v>
      </c>
      <c r="I263" s="4">
        <f>IFERROR(MOD(INDEX(tblBatidas[Data e hora],MATCH("B"&amp;MID($A263,2,99),tblBatidas[Batida ID],0)),1),"")</f>
        <v>0.33028935184847796</v>
      </c>
      <c r="J263" s="4">
        <f>IFERROR(MOD(INDEX(tblBatidas[Data e hora],MATCH("B"&amp;MID($A263,2,99),tblBatidas[Início vinculado],0)),1),"")</f>
        <v>0.50950231481692754</v>
      </c>
      <c r="K263" s="14">
        <f>IFERROR((INDEX(tblBatidas[Data e hora],MATCH("B"&amp;MID($A263,2,99),tblBatidas[Início vinculado],0))-INDEX(tblBatidas[Data e hora],MATCH("B"&amp;MID($A263,2,99),tblBatidas[Batida ID],0)))*24,"")</f>
        <v>4.3011111112427898</v>
      </c>
      <c r="L263">
        <f>IFERROR(INDEX(tblBatidas[Observação],MATCH("B"&amp;MID($A263,2,99),tblBatidas[Início vinculado],0)),"")</f>
        <v>0</v>
      </c>
      <c r="M263" t="str">
        <f>IFERROR(INDEX(tblPessoas[Base],MATCH(E263,tblPessoas[ID],0)),"")</f>
        <v>Hora</v>
      </c>
      <c r="N263" s="3">
        <f>IFERROR(IF(D263="DIA ÚTIL",INDEX(tblPessoas[R$/h útil],MATCH(E263,tblPessoas[ID],0)),INDEX(tblPessoas[R$/h FDS],MATCH(E263,tblPessoas[ID],0))),0)</f>
        <v>23.5</v>
      </c>
      <c r="O263" s="3">
        <f>IFERROR(INDEX(tblPessoas[R$/diária],MATCH(E263,tblPessoas[ID],0)),0)</f>
        <v>0</v>
      </c>
      <c r="P263" s="3">
        <f t="shared" si="18"/>
        <v>101.07611111420556</v>
      </c>
      <c r="Q263" t="str">
        <f>IF(A263="","",IF(COUNTIF(tblBatidas[Início vinculado],"B"&amp;MID($A263,2,99))=0,"EM ABERTO",IF(OR(COUNTIF(tblBatidas[Início vinculado],"B"&amp;MID($A263,2,99))&gt;1,K263&lt;0,K263&gt;16,INT(INDEX(tblBatidas[Data e hora],MATCH("B"&amp;MID($A263,2,99),tblBatidas[Início vinculado],0)))&lt;&gt;B263,INDEX(tblBatidas[ID],MATCH("B"&amp;MID($A263,2,99),tblBatidas[Início vinculado],0))&lt;&gt;E263,INDEX(tblBatidas[Projeto],MATCH("B"&amp;MID($A263,2,99),tblBatidas[Início vinculado],0))&lt;&gt;G263,INDEX(tblBatidas[Atividade],MATCH("B"&amp;MID($A263,2,99),tblBatidas[Início vinculado],0))&lt;&gt;H263),"REVISAR","CONCLUÍDO")))</f>
        <v>CONCLUÍDO</v>
      </c>
      <c r="R263">
        <f>IF(Q263&lt;&gt;"CONCLUÍDO",0,IF(COUNTIFS($E$5:E263,E263,$B$5:B263,B263,$Q$5:Q263,"CONCLUÍDO")=1,1,0))</f>
        <v>1</v>
      </c>
      <c r="S263" t="str">
        <f t="shared" si="19"/>
        <v>yyyy-09</v>
      </c>
      <c r="T263">
        <f>IF(E263="","",E263*100000+COUNTIFS(tblRegistros[ID],E263,tblRegistros[Data],"&lt;"&amp;B263)+COUNTIFS(tblRegistros[ID],E263,tblRegistros[Data],B263,tblRegistros[Início],"&lt;"&amp;I263)+COUNTIFS($E$5:E263,E263,$B$5:B263,B263,$I$5:I263,I263))</f>
        <v>100200016</v>
      </c>
    </row>
    <row r="264" spans="1:20">
      <c r="A264" t="s">
        <v>356</v>
      </c>
      <c r="B264" s="2">
        <f>IFERROR(INT(INDEX(tblBatidas[Data e hora],MATCH("B"&amp;MID($A264,2,99),tblBatidas[Batida ID],0))),"")</f>
        <v>46275</v>
      </c>
      <c r="C264" t="str">
        <f t="shared" si="16"/>
        <v>QUINTA-FEIRA</v>
      </c>
      <c r="D264" t="str">
        <f t="shared" si="17"/>
        <v>DIA ÚTIL</v>
      </c>
      <c r="E264">
        <f>IFERROR(INDEX(tblBatidas[ID],MATCH("B"&amp;MID($A264,2,99),tblBatidas[Batida ID],0)),"")</f>
        <v>1013</v>
      </c>
      <c r="F264" t="str">
        <f>IFERROR(INDEX(tblPessoas[Pessoa],MATCH(E264,tblPessoas[ID],0)),"")</f>
        <v>Rafaela Maria Resende Lara</v>
      </c>
      <c r="G264" t="str">
        <f>IFERROR(INDEX(tblBatidas[Projeto],MATCH("B"&amp;MID($A264,2,99),tblBatidas[Batida ID],0)),"")</f>
        <v>TOOLKIT</v>
      </c>
      <c r="H264" t="str">
        <f>IFERROR(INDEX(tblBatidas[Atividade],MATCH("B"&amp;MID($A264,2,99),tblBatidas[Batida ID],0)),"")</f>
        <v>ANÁLISE</v>
      </c>
      <c r="I264" s="4">
        <f>IFERROR(MOD(INDEX(tblBatidas[Data e hora],MATCH("B"&amp;MID($A264,2,99),tblBatidas[Batida ID],0)),1),"")</f>
        <v>0.33523148148378823</v>
      </c>
      <c r="J264" s="4">
        <f>IFERROR(MOD(INDEX(tblBatidas[Data e hora],MATCH("B"&amp;MID($A264,2,99),tblBatidas[Início vinculado],0)),1),"")</f>
        <v>0.49902777777606389</v>
      </c>
      <c r="K264" s="14">
        <f>IFERROR((INDEX(tblBatidas[Data e hora],MATCH("B"&amp;MID($A264,2,99),tblBatidas[Início vinculado],0))-INDEX(tblBatidas[Data e hora],MATCH("B"&amp;MID($A264,2,99),tblBatidas[Batida ID],0)))*24,"")</f>
        <v>3.9311111110146157</v>
      </c>
      <c r="L264">
        <f>IFERROR(INDEX(tblBatidas[Observação],MATCH("B"&amp;MID($A264,2,99),tblBatidas[Início vinculado],0)),"")</f>
        <v>0</v>
      </c>
      <c r="M264" t="str">
        <f>IFERROR(INDEX(tblPessoas[Base],MATCH(E264,tblPessoas[ID],0)),"")</f>
        <v>Hora</v>
      </c>
      <c r="N264" s="3">
        <f>IFERROR(IF(D264="DIA ÚTIL",INDEX(tblPessoas[R$/h útil],MATCH(E264,tblPessoas[ID],0)),INDEX(tblPessoas[R$/h FDS],MATCH(E264,tblPessoas[ID],0))),0)</f>
        <v>23.5</v>
      </c>
      <c r="O264" s="3">
        <f>IFERROR(INDEX(tblPessoas[R$/diária],MATCH(E264,tblPessoas[ID],0)),0)</f>
        <v>0</v>
      </c>
      <c r="P264" s="3">
        <f t="shared" si="18"/>
        <v>92.38111110884347</v>
      </c>
      <c r="Q264" t="str">
        <f>IF(A264="","",IF(COUNTIF(tblBatidas[Início vinculado],"B"&amp;MID($A264,2,99))=0,"EM ABERTO",IF(OR(COUNTIF(tblBatidas[Início vinculado],"B"&amp;MID($A264,2,99))&gt;1,K264&lt;0,K264&gt;16,INT(INDEX(tblBatidas[Data e hora],MATCH("B"&amp;MID($A264,2,99),tblBatidas[Início vinculado],0)))&lt;&gt;B264,INDEX(tblBatidas[ID],MATCH("B"&amp;MID($A264,2,99),tblBatidas[Início vinculado],0))&lt;&gt;E264,INDEX(tblBatidas[Projeto],MATCH("B"&amp;MID($A264,2,99),tblBatidas[Início vinculado],0))&lt;&gt;G264,INDEX(tblBatidas[Atividade],MATCH("B"&amp;MID($A264,2,99),tblBatidas[Início vinculado],0))&lt;&gt;H264),"REVISAR","CONCLUÍDO")))</f>
        <v>CONCLUÍDO</v>
      </c>
      <c r="R264">
        <f>IF(Q264&lt;&gt;"CONCLUÍDO",0,IF(COUNTIFS($E$5:E264,E264,$B$5:B264,B264,$Q$5:Q264,"CONCLUÍDO")=1,1,0))</f>
        <v>1</v>
      </c>
      <c r="S264" t="str">
        <f t="shared" si="19"/>
        <v>yyyy-09</v>
      </c>
      <c r="T264">
        <f>IF(E264="","",E264*100000+COUNTIFS(tblRegistros[ID],E264,tblRegistros[Data],"&lt;"&amp;B264)+COUNTIFS(tblRegistros[ID],E264,tblRegistros[Data],B264,tblRegistros[Início],"&lt;"&amp;I264)+COUNTIFS($E$5:E264,E264,$B$5:B264,B264,$I$5:I264,I264))</f>
        <v>101300024</v>
      </c>
    </row>
    <row r="265" spans="1:20">
      <c r="A265" t="s">
        <v>357</v>
      </c>
      <c r="B265" s="2">
        <f>IFERROR(INT(INDEX(tblBatidas[Data e hora],MATCH("B"&amp;MID($A265,2,99),tblBatidas[Batida ID],0))),"")</f>
        <v>46275</v>
      </c>
      <c r="C265" t="str">
        <f t="shared" si="16"/>
        <v>QUINTA-FEIRA</v>
      </c>
      <c r="D265" t="str">
        <f t="shared" si="17"/>
        <v>DIA ÚTIL</v>
      </c>
      <c r="E265">
        <f>IFERROR(INDEX(tblBatidas[ID],MATCH("B"&amp;MID($A265,2,99),tblBatidas[Batida ID],0)),"")</f>
        <v>1003</v>
      </c>
      <c r="F265" t="str">
        <f>IFERROR(INDEX(tblPessoas[Pessoa],MATCH(E265,tblPessoas[ID],0)),"")</f>
        <v>Amanda do Carmo Ribeiro</v>
      </c>
      <c r="G265" t="str">
        <f>IFERROR(INDEX(tblBatidas[Projeto],MATCH("B"&amp;MID($A265,2,99),tblBatidas[Batida ID],0)),"")</f>
        <v>OTEMPO</v>
      </c>
      <c r="H265" t="str">
        <f>IFERROR(INDEX(tblBatidas[Atividade],MATCH("B"&amp;MID($A265,2,99),tblBatidas[Batida ID],0)),"")</f>
        <v>ANÁLISE</v>
      </c>
      <c r="I265" s="4">
        <f>IFERROR(MOD(INDEX(tblBatidas[Data e hora],MATCH("B"&amp;MID($A265,2,99),tblBatidas[Batida ID],0)),1),"")</f>
        <v>0.34452546296233777</v>
      </c>
      <c r="J265" s="4">
        <f>IFERROR(MOD(INDEX(tblBatidas[Data e hora],MATCH("B"&amp;MID($A265,2,99),tblBatidas[Início vinculado],0)),1),"")</f>
        <v>0.52820601851999527</v>
      </c>
      <c r="K265" s="14">
        <f>IFERROR((INDEX(tblBatidas[Data e hora],MATCH("B"&amp;MID($A265,2,99),tblBatidas[Início vinculado],0))-INDEX(tblBatidas[Data e hora],MATCH("B"&amp;MID($A265,2,99),tblBatidas[Batida ID],0)))*24,"")</f>
        <v>4.40833333338378</v>
      </c>
      <c r="L265" t="str">
        <f>IFERROR(INDEX(tblBatidas[Observação],MATCH("B"&amp;MID($A265,2,99),tblBatidas[Início vinculado],0)),"")</f>
        <v>Elaboração da estrutura da análise</v>
      </c>
      <c r="M265" t="str">
        <f>IFERROR(INDEX(tblPessoas[Base],MATCH(E265,tblPessoas[ID],0)),"")</f>
        <v>Hora</v>
      </c>
      <c r="N265" s="3">
        <f>IFERROR(IF(D265="DIA ÚTIL",INDEX(tblPessoas[R$/h útil],MATCH(E265,tblPessoas[ID],0)),INDEX(tblPessoas[R$/h FDS],MATCH(E265,tblPessoas[ID],0))),0)</f>
        <v>23.5</v>
      </c>
      <c r="O265" s="3">
        <f>IFERROR(INDEX(tblPessoas[R$/diária],MATCH(E265,tblPessoas[ID],0)),0)</f>
        <v>0</v>
      </c>
      <c r="P265" s="3">
        <f t="shared" si="18"/>
        <v>103.59583333451883</v>
      </c>
      <c r="Q265" t="str">
        <f>IF(A265="","",IF(COUNTIF(tblBatidas[Início vinculado],"B"&amp;MID($A265,2,99))=0,"EM ABERTO",IF(OR(COUNTIF(tblBatidas[Início vinculado],"B"&amp;MID($A265,2,99))&gt;1,K265&lt;0,K265&gt;16,INT(INDEX(tblBatidas[Data e hora],MATCH("B"&amp;MID($A265,2,99),tblBatidas[Início vinculado],0)))&lt;&gt;B265,INDEX(tblBatidas[ID],MATCH("B"&amp;MID($A265,2,99),tblBatidas[Início vinculado],0))&lt;&gt;E265,INDEX(tblBatidas[Projeto],MATCH("B"&amp;MID($A265,2,99),tblBatidas[Início vinculado],0))&lt;&gt;G265,INDEX(tblBatidas[Atividade],MATCH("B"&amp;MID($A265,2,99),tblBatidas[Início vinculado],0))&lt;&gt;H265),"REVISAR","CONCLUÍDO")))</f>
        <v>CONCLUÍDO</v>
      </c>
      <c r="R265">
        <f>IF(Q265&lt;&gt;"CONCLUÍDO",0,IF(COUNTIFS($E$5:E265,E265,$B$5:B265,B265,$Q$5:Q265,"CONCLUÍDO")=1,1,0))</f>
        <v>1</v>
      </c>
      <c r="S265" t="str">
        <f t="shared" si="19"/>
        <v>yyyy-09</v>
      </c>
      <c r="T265">
        <f>IF(E265="","",E265*100000+COUNTIFS(tblRegistros[ID],E265,tblRegistros[Data],"&lt;"&amp;B265)+COUNTIFS(tblRegistros[ID],E265,tblRegistros[Data],B265,tblRegistros[Início],"&lt;"&amp;I265)+COUNTIFS($E$5:E265,E265,$B$5:B265,B265,$I$5:I265,I265))</f>
        <v>100300024</v>
      </c>
    </row>
    <row r="266" spans="1:20">
      <c r="A266" t="s">
        <v>358</v>
      </c>
      <c r="B266" s="2">
        <f>IFERROR(INT(INDEX(tblBatidas[Data e hora],MATCH("B"&amp;MID($A266,2,99),tblBatidas[Batida ID],0))),"")</f>
        <v>46275</v>
      </c>
      <c r="C266" t="str">
        <f t="shared" si="16"/>
        <v>QUINTA-FEIRA</v>
      </c>
      <c r="D266" t="str">
        <f t="shared" si="17"/>
        <v>DIA ÚTIL</v>
      </c>
      <c r="E266">
        <f>IFERROR(INDEX(tblBatidas[ID],MATCH("B"&amp;MID($A266,2,99),tblBatidas[Batida ID],0)),"")</f>
        <v>1001</v>
      </c>
      <c r="F266" t="str">
        <f>IFERROR(INDEX(tblPessoas[Pessoa],MATCH(E266,tblPessoas[ID],0)),"")</f>
        <v>Adriana Pereira dos Santos</v>
      </c>
      <c r="G266" t="str">
        <f>IFERROR(INDEX(tblBatidas[Projeto],MATCH("B"&amp;MID($A266,2,99),tblBatidas[Batida ID],0)),"")</f>
        <v>SICOOB CREDICOM</v>
      </c>
      <c r="H266" t="str">
        <f>IFERROR(INDEX(tblBatidas[Atividade],MATCH("B"&amp;MID($A266,2,99),tblBatidas[Batida ID],0)),"")</f>
        <v>SUPERVISÃO</v>
      </c>
      <c r="I266" s="4">
        <f>IFERROR(MOD(INDEX(tblBatidas[Data e hora],MATCH("B"&amp;MID($A266,2,99),tblBatidas[Batida ID],0)),1),"")</f>
        <v>0.34967592592875008</v>
      </c>
      <c r="J266" s="4">
        <f>IFERROR(MOD(INDEX(tblBatidas[Data e hora],MATCH("B"&amp;MID($A266,2,99),tblBatidas[Início vinculado],0)),1),"")</f>
        <v>0.75278935184906004</v>
      </c>
      <c r="K266" s="14">
        <f>IFERROR((INDEX(tblBatidas[Data e hora],MATCH("B"&amp;MID($A266,2,99),tblBatidas[Início vinculado],0))-INDEX(tblBatidas[Data e hora],MATCH("B"&amp;MID($A266,2,99),tblBatidas[Batida ID],0)))*24,"")</f>
        <v>9.6747222220874391</v>
      </c>
      <c r="L266">
        <f>IFERROR(INDEX(tblBatidas[Observação],MATCH("B"&amp;MID($A266,2,99),tblBatidas[Início vinculado],0)),"")</f>
        <v>0</v>
      </c>
      <c r="M266" t="str">
        <f>IFERROR(INDEX(tblPessoas[Base],MATCH(E266,tblPessoas[ID],0)),"")</f>
        <v>Hora</v>
      </c>
      <c r="N266" s="3">
        <f>IFERROR(IF(D266="DIA ÚTIL",INDEX(tblPessoas[R$/h útil],MATCH(E266,tblPessoas[ID],0)),INDEX(tblPessoas[R$/h FDS],MATCH(E266,tblPessoas[ID],0))),0)</f>
        <v>17</v>
      </c>
      <c r="O266" s="3">
        <f>IFERROR(INDEX(tblPessoas[R$/diária],MATCH(E266,tblPessoas[ID],0)),0)</f>
        <v>0</v>
      </c>
      <c r="P266" s="3">
        <f t="shared" si="18"/>
        <v>164.47027777548647</v>
      </c>
      <c r="Q266" t="str">
        <f>IF(A266="","",IF(COUNTIF(tblBatidas[Início vinculado],"B"&amp;MID($A266,2,99))=0,"EM ABERTO",IF(OR(COUNTIF(tblBatidas[Início vinculado],"B"&amp;MID($A266,2,99))&gt;1,K266&lt;0,K266&gt;16,INT(INDEX(tblBatidas[Data e hora],MATCH("B"&amp;MID($A266,2,99),tblBatidas[Início vinculado],0)))&lt;&gt;B266,INDEX(tblBatidas[ID],MATCH("B"&amp;MID($A266,2,99),tblBatidas[Início vinculado],0))&lt;&gt;E266,INDEX(tblBatidas[Projeto],MATCH("B"&amp;MID($A266,2,99),tblBatidas[Início vinculado],0))&lt;&gt;G266,INDEX(tblBatidas[Atividade],MATCH("B"&amp;MID($A266,2,99),tblBatidas[Início vinculado],0))&lt;&gt;H266),"REVISAR","CONCLUÍDO")))</f>
        <v>CONCLUÍDO</v>
      </c>
      <c r="R266">
        <f>IF(Q266&lt;&gt;"CONCLUÍDO",0,IF(COUNTIFS($E$5:E266,E266,$B$5:B266,B266,$Q$5:Q266,"CONCLUÍDO")=1,1,0))</f>
        <v>1</v>
      </c>
      <c r="S266" t="str">
        <f t="shared" si="19"/>
        <v>yyyy-09</v>
      </c>
      <c r="T266">
        <f>IF(E266="","",E266*100000+COUNTIFS(tblRegistros[ID],E266,tblRegistros[Data],"&lt;"&amp;B266)+COUNTIFS(tblRegistros[ID],E266,tblRegistros[Data],B266,tblRegistros[Início],"&lt;"&amp;I266)+COUNTIFS($E$5:E266,E266,$B$5:B266,B266,$I$5:I266,I266))</f>
        <v>100100027</v>
      </c>
    </row>
    <row r="267" spans="1:20">
      <c r="A267" t="s">
        <v>359</v>
      </c>
      <c r="B267" s="2">
        <f>IFERROR(INT(INDEX(tblBatidas[Data e hora],MATCH("B"&amp;MID($A267,2,99),tblBatidas[Batida ID],0))),"")</f>
        <v>46275</v>
      </c>
      <c r="C267" t="str">
        <f t="shared" si="16"/>
        <v>QUINTA-FEIRA</v>
      </c>
      <c r="D267" t="str">
        <f t="shared" si="17"/>
        <v>DIA ÚTIL</v>
      </c>
      <c r="E267">
        <f>IFERROR(INDEX(tblBatidas[ID],MATCH("B"&amp;MID($A267,2,99),tblBatidas[Batida ID],0)),"")</f>
        <v>1016</v>
      </c>
      <c r="F267" t="str">
        <f>IFERROR(INDEX(tblPessoas[Pessoa],MATCH(E267,tblPessoas[ID],0)),"")</f>
        <v>Ana Luisa Nardin</v>
      </c>
      <c r="G267" t="str">
        <f>IFERROR(INDEX(tblBatidas[Projeto],MATCH("B"&amp;MID($A267,2,99),tblBatidas[Batida ID],0)),"")</f>
        <v>CFI / ACCION</v>
      </c>
      <c r="H267" t="str">
        <f>IFERROR(INDEX(tblBatidas[Atividade],MATCH("B"&amp;MID($A267,2,99),tblBatidas[Batida ID],0)),"")</f>
        <v>ANÁLISE</v>
      </c>
      <c r="I267" s="4">
        <f>IFERROR(MOD(INDEX(tblBatidas[Data e hora],MATCH("B"&amp;MID($A267,2,99),tblBatidas[Batida ID],0)),1),"")</f>
        <v>0.36653935185313458</v>
      </c>
      <c r="J267" s="4">
        <f>IFERROR(MOD(INDEX(tblBatidas[Data e hora],MATCH("B"&amp;MID($A267,2,99),tblBatidas[Início vinculado],0)),1),"")</f>
        <v>0.53096064814599231</v>
      </c>
      <c r="K267" s="14">
        <f>IFERROR((INDEX(tblBatidas[Data e hora],MATCH("B"&amp;MID($A267,2,99),tblBatidas[Início vinculado],0))-INDEX(tblBatidas[Data e hora],MATCH("B"&amp;MID($A267,2,99),tblBatidas[Batida ID],0)))*24,"")</f>
        <v>3.9461111110285856</v>
      </c>
      <c r="L267">
        <f>IFERROR(INDEX(tblBatidas[Observação],MATCH("B"&amp;MID($A267,2,99),tblBatidas[Início vinculado],0)),"")</f>
        <v>0</v>
      </c>
      <c r="M267" t="str">
        <f>IFERROR(INDEX(tblPessoas[Base],MATCH(E267,tblPessoas[ID],0)),"")</f>
        <v>Hora</v>
      </c>
      <c r="N267" s="3">
        <f>IFERROR(IF(D267="DIA ÚTIL",INDEX(tblPessoas[R$/h útil],MATCH(E267,tblPessoas[ID],0)),INDEX(tblPessoas[R$/h FDS],MATCH(E267,tblPessoas[ID],0))),0)</f>
        <v>23.5</v>
      </c>
      <c r="O267" s="3">
        <f>IFERROR(INDEX(tblPessoas[R$/diária],MATCH(E267,tblPessoas[ID],0)),0)</f>
        <v>0</v>
      </c>
      <c r="P267" s="3">
        <f t="shared" si="18"/>
        <v>92.733611109171761</v>
      </c>
      <c r="Q267" t="str">
        <f>IF(A267="","",IF(COUNTIF(tblBatidas[Início vinculado],"B"&amp;MID($A267,2,99))=0,"EM ABERTO",IF(OR(COUNTIF(tblBatidas[Início vinculado],"B"&amp;MID($A267,2,99))&gt;1,K267&lt;0,K267&gt;16,INT(INDEX(tblBatidas[Data e hora],MATCH("B"&amp;MID($A267,2,99),tblBatidas[Início vinculado],0)))&lt;&gt;B267,INDEX(tblBatidas[ID],MATCH("B"&amp;MID($A267,2,99),tblBatidas[Início vinculado],0))&lt;&gt;E267,INDEX(tblBatidas[Projeto],MATCH("B"&amp;MID($A267,2,99),tblBatidas[Início vinculado],0))&lt;&gt;G267,INDEX(tblBatidas[Atividade],MATCH("B"&amp;MID($A267,2,99),tblBatidas[Início vinculado],0))&lt;&gt;H267),"REVISAR","CONCLUÍDO")))</f>
        <v>CONCLUÍDO</v>
      </c>
      <c r="R267">
        <f>IF(Q267&lt;&gt;"CONCLUÍDO",0,IF(COUNTIFS($E$5:E267,E267,$B$5:B267,B267,$Q$5:Q267,"CONCLUÍDO")=1,1,0))</f>
        <v>1</v>
      </c>
      <c r="S267" t="str">
        <f t="shared" si="19"/>
        <v>yyyy-09</v>
      </c>
      <c r="T267">
        <f>IF(E267="","",E267*100000+COUNTIFS(tblRegistros[ID],E267,tblRegistros[Data],"&lt;"&amp;B267)+COUNTIFS(tblRegistros[ID],E267,tblRegistros[Data],B267,tblRegistros[Início],"&lt;"&amp;I267)+COUNTIFS($E$5:E267,E267,$B$5:B267,B267,$I$5:I267,I267))</f>
        <v>101600027</v>
      </c>
    </row>
    <row r="268" spans="1:20">
      <c r="A268" t="s">
        <v>360</v>
      </c>
      <c r="B268" s="2">
        <f>IFERROR(INT(INDEX(tblBatidas[Data e hora],MATCH("B"&amp;MID($A268,2,99),tblBatidas[Batida ID],0))),"")</f>
        <v>46275</v>
      </c>
      <c r="C268" t="str">
        <f t="shared" si="16"/>
        <v>QUINTA-FEIRA</v>
      </c>
      <c r="D268" t="str">
        <f t="shared" si="17"/>
        <v>DIA ÚTIL</v>
      </c>
      <c r="E268">
        <f>IFERROR(INDEX(tblBatidas[ID],MATCH("B"&amp;MID($A268,2,99),tblBatidas[Batida ID],0)),"")</f>
        <v>1015</v>
      </c>
      <c r="F268" t="str">
        <f>IFERROR(INDEX(tblPessoas[Pessoa],MATCH(E268,tblPessoas[ID],0)),"")</f>
        <v>Vitor Guilherme Miguel Rocha</v>
      </c>
      <c r="G268" t="str">
        <f>IFERROR(INDEX(tblBatidas[Projeto],MATCH("B"&amp;MID($A268,2,99),tblBatidas[Batida ID],0)),"")</f>
        <v>ADMINISTRATIVO</v>
      </c>
      <c r="H268" t="str">
        <f>IFERROR(INDEX(tblBatidas[Atividade],MATCH("B"&amp;MID($A268,2,99),tblBatidas[Batida ID],0)),"")</f>
        <v>ADMINISTRATIVO</v>
      </c>
      <c r="I268" s="4">
        <f>IFERROR(MOD(INDEX(tblBatidas[Data e hora],MATCH("B"&amp;MID($A268,2,99),tblBatidas[Batida ID],0)),1),"")</f>
        <v>0.36747685185400769</v>
      </c>
      <c r="J268" s="4">
        <f>IFERROR(MOD(INDEX(tblBatidas[Data e hora],MATCH("B"&amp;MID($A268,2,99),tblBatidas[Início vinculado],0)),1),"")</f>
        <v>0.75175925925577758</v>
      </c>
      <c r="K268" s="14">
        <f>IFERROR((INDEX(tblBatidas[Data e hora],MATCH("B"&amp;MID($A268,2,99),tblBatidas[Início vinculado],0))-INDEX(tblBatidas[Data e hora],MATCH("B"&amp;MID($A268,2,99),tblBatidas[Batida ID],0)))*24,"")</f>
        <v>9.2227777776424773</v>
      </c>
      <c r="L268">
        <f>IFERROR(INDEX(tblBatidas[Observação],MATCH("B"&amp;MID($A268,2,99),tblBatidas[Início vinculado],0)),"")</f>
        <v>0</v>
      </c>
      <c r="M268" t="str">
        <f>IFERROR(INDEX(tblPessoas[Base],MATCH(E268,tblPessoas[ID],0)),"")</f>
        <v>Hora</v>
      </c>
      <c r="N268" s="3">
        <f>IFERROR(IF(D268="DIA ÚTIL",INDEX(tblPessoas[R$/h útil],MATCH(E268,tblPessoas[ID],0)),INDEX(tblPessoas[R$/h FDS],MATCH(E268,tblPessoas[ID],0))),0)</f>
        <v>21.5</v>
      </c>
      <c r="O268" s="3">
        <f>IFERROR(INDEX(tblPessoas[R$/diária],MATCH(E268,tblPessoas[ID],0)),0)</f>
        <v>0</v>
      </c>
      <c r="P268" s="3">
        <f t="shared" si="18"/>
        <v>198.28972221931326</v>
      </c>
      <c r="Q268" t="str">
        <f>IF(A268="","",IF(COUNTIF(tblBatidas[Início vinculado],"B"&amp;MID($A268,2,99))=0,"EM ABERTO",IF(OR(COUNTIF(tblBatidas[Início vinculado],"B"&amp;MID($A268,2,99))&gt;1,K268&lt;0,K268&gt;16,INT(INDEX(tblBatidas[Data e hora],MATCH("B"&amp;MID($A268,2,99),tblBatidas[Início vinculado],0)))&lt;&gt;B268,INDEX(tblBatidas[ID],MATCH("B"&amp;MID($A268,2,99),tblBatidas[Início vinculado],0))&lt;&gt;E268,INDEX(tblBatidas[Projeto],MATCH("B"&amp;MID($A268,2,99),tblBatidas[Início vinculado],0))&lt;&gt;G268,INDEX(tblBatidas[Atividade],MATCH("B"&amp;MID($A268,2,99),tblBatidas[Início vinculado],0))&lt;&gt;H268),"REVISAR","CONCLUÍDO")))</f>
        <v>CONCLUÍDO</v>
      </c>
      <c r="R268">
        <f>IF(Q268&lt;&gt;"CONCLUÍDO",0,IF(COUNTIFS($E$5:E268,E268,$B$5:B268,B268,$Q$5:Q268,"CONCLUÍDO")=1,1,0))</f>
        <v>1</v>
      </c>
      <c r="S268" t="str">
        <f t="shared" si="19"/>
        <v>yyyy-09</v>
      </c>
      <c r="T268">
        <f>IF(E268="","",E268*100000+COUNTIFS(tblRegistros[ID],E268,tblRegistros[Data],"&lt;"&amp;B268)+COUNTIFS(tblRegistros[ID],E268,tblRegistros[Data],B268,tblRegistros[Início],"&lt;"&amp;I268)+COUNTIFS($E$5:E268,E268,$B$5:B268,B268,$I$5:I268,I268))</f>
        <v>101500027</v>
      </c>
    </row>
    <row r="269" spans="1:20">
      <c r="A269" t="s">
        <v>361</v>
      </c>
      <c r="B269" s="2">
        <f>IFERROR(INT(INDEX(tblBatidas[Data e hora],MATCH("B"&amp;MID($A269,2,99),tblBatidas[Batida ID],0))),"")</f>
        <v>46275</v>
      </c>
      <c r="C269" t="str">
        <f t="shared" si="16"/>
        <v>QUINTA-FEIRA</v>
      </c>
      <c r="D269" t="str">
        <f t="shared" si="17"/>
        <v>DIA ÚTIL</v>
      </c>
      <c r="E269">
        <f>IFERROR(INDEX(tblBatidas[ID],MATCH("B"&amp;MID($A269,2,99),tblBatidas[Batida ID],0)),"")</f>
        <v>1006</v>
      </c>
      <c r="F269" t="str">
        <f>IFERROR(INDEX(tblPessoas[Pessoa],MATCH(E269,tblPessoas[ID],0)),"")</f>
        <v>Eliane dos Santos Oliveira</v>
      </c>
      <c r="G269" t="str">
        <f>IFERROR(INDEX(tblBatidas[Projeto],MATCH("B"&amp;MID($A269,2,99),tblBatidas[Batida ID],0)),"")</f>
        <v>OUTROS</v>
      </c>
      <c r="H269" t="str">
        <f>IFERROR(INDEX(tblBatidas[Atividade],MATCH("B"&amp;MID($A269,2,99),tblBatidas[Batida ID],0)),"")</f>
        <v>CHECAGEM</v>
      </c>
      <c r="I269" s="4">
        <f>IFERROR(MOD(INDEX(tblBatidas[Data e hora],MATCH("B"&amp;MID($A269,2,99),tblBatidas[Batida ID],0)),1),"")</f>
        <v>0.38334490740817273</v>
      </c>
      <c r="J269" s="4" t="str">
        <f>IFERROR(MOD(INDEX(tblBatidas[Data e hora],MATCH("B"&amp;MID($A269,2,99),tblBatidas[Início vinculado],0)),1),"")</f>
        <v/>
      </c>
      <c r="K269" s="14" t="str">
        <f>IFERROR((INDEX(tblBatidas[Data e hora],MATCH("B"&amp;MID($A269,2,99),tblBatidas[Início vinculado],0))-INDEX(tblBatidas[Data e hora],MATCH("B"&amp;MID($A269,2,99),tblBatidas[Batida ID],0)))*24,"")</f>
        <v/>
      </c>
      <c r="L269" t="str">
        <f>IFERROR(INDEX(tblBatidas[Observação],MATCH("B"&amp;MID($A269,2,99),tblBatidas[Início vinculado],0)),"")</f>
        <v/>
      </c>
      <c r="M269" t="str">
        <f>IFERROR(INDEX(tblPessoas[Base],MATCH(E269,tblPessoas[ID],0)),"")</f>
        <v>Hora</v>
      </c>
      <c r="N269" s="3">
        <f>IFERROR(IF(D269="DIA ÚTIL",INDEX(tblPessoas[R$/h útil],MATCH(E269,tblPessoas[ID],0)),INDEX(tblPessoas[R$/h FDS],MATCH(E269,tblPessoas[ID],0))),0)</f>
        <v>14</v>
      </c>
      <c r="O269" s="3">
        <f>IFERROR(INDEX(tblPessoas[R$/diária],MATCH(E269,tblPessoas[ID],0)),0)</f>
        <v>0</v>
      </c>
      <c r="P269" s="3" t="str">
        <f t="shared" si="18"/>
        <v/>
      </c>
      <c r="Q269" t="str">
        <f>IF(A269="","",IF(COUNTIF(tblBatidas[Início vinculado],"B"&amp;MID($A269,2,99))=0,"EM ABERTO",IF(OR(COUNTIF(tblBatidas[Início vinculado],"B"&amp;MID($A269,2,99))&gt;1,K269&lt;0,K269&gt;16,INT(INDEX(tblBatidas[Data e hora],MATCH("B"&amp;MID($A269,2,99),tblBatidas[Início vinculado],0)))&lt;&gt;B269,INDEX(tblBatidas[ID],MATCH("B"&amp;MID($A269,2,99),tblBatidas[Início vinculado],0))&lt;&gt;E269,INDEX(tblBatidas[Projeto],MATCH("B"&amp;MID($A269,2,99),tblBatidas[Início vinculado],0))&lt;&gt;G269,INDEX(tblBatidas[Atividade],MATCH("B"&amp;MID($A269,2,99),tblBatidas[Início vinculado],0))&lt;&gt;H269),"REVISAR","CONCLUÍDO")))</f>
        <v>EM ABERTO</v>
      </c>
      <c r="R269">
        <f>IF(Q269&lt;&gt;"CONCLUÍDO",0,IF(COUNTIFS($E$5:E269,E269,$B$5:B269,B269,$Q$5:Q269,"CONCLUÍDO")=1,1,0))</f>
        <v>0</v>
      </c>
      <c r="S269" t="str">
        <f t="shared" si="19"/>
        <v>yyyy-09</v>
      </c>
      <c r="T269">
        <f>IF(E269="","",E269*100000+COUNTIFS(tblRegistros[ID],E269,tblRegistros[Data],"&lt;"&amp;B269)+COUNTIFS(tblRegistros[ID],E269,tblRegistros[Data],B269,tblRegistros[Início],"&lt;"&amp;I269)+COUNTIFS($E$5:E269,E269,$B$5:B269,B269,$I$5:I269,I269))</f>
        <v>100600020</v>
      </c>
    </row>
    <row r="270" spans="1:20">
      <c r="A270" t="s">
        <v>362</v>
      </c>
      <c r="B270" s="2">
        <f>IFERROR(INT(INDEX(tblBatidas[Data e hora],MATCH("B"&amp;MID($A270,2,99),tblBatidas[Batida ID],0))),"")</f>
        <v>46275</v>
      </c>
      <c r="C270" t="str">
        <f t="shared" si="16"/>
        <v>QUINTA-FEIRA</v>
      </c>
      <c r="D270" t="str">
        <f t="shared" si="17"/>
        <v>DIA ÚTIL</v>
      </c>
      <c r="E270">
        <f>IFERROR(INDEX(tblBatidas[ID],MATCH("B"&amp;MID($A270,2,99),tblBatidas[Batida ID],0)),"")</f>
        <v>1012</v>
      </c>
      <c r="F270" t="str">
        <f>IFERROR(INDEX(tblPessoas[Pessoa],MATCH(E270,tblPessoas[ID],0)),"")</f>
        <v>Nelma Lucia dos S. B. Brandão</v>
      </c>
      <c r="G270" t="str">
        <f>IFERROR(INDEX(tblBatidas[Projeto],MATCH("B"&amp;MID($A270,2,99),tblBatidas[Batida ID],0)),"")</f>
        <v>ESTADUAL - OTEMPO</v>
      </c>
      <c r="H270" t="str">
        <f>IFERROR(INDEX(tblBatidas[Atividade],MATCH("B"&amp;MID($A270,2,99),tblBatidas[Batida ID],0)),"")</f>
        <v>CHECAGEM</v>
      </c>
      <c r="I270" s="4">
        <f>IFERROR(MOD(INDEX(tblBatidas[Data e hora],MATCH("B"&amp;MID($A270,2,99),tblBatidas[Batida ID],0)),1),"")</f>
        <v>0.38567129629518604</v>
      </c>
      <c r="J270" s="4">
        <f>IFERROR(MOD(INDEX(tblBatidas[Data e hora],MATCH("B"&amp;MID($A270,2,99),tblBatidas[Início vinculado],0)),1),"")</f>
        <v>0.53253472222422715</v>
      </c>
      <c r="K270" s="14">
        <f>IFERROR((INDEX(tblBatidas[Data e hora],MATCH("B"&amp;MID($A270,2,99),tblBatidas[Início vinculado],0))-INDEX(tblBatidas[Data e hora],MATCH("B"&amp;MID($A270,2,99),tblBatidas[Batida ID],0)))*24,"")</f>
        <v>3.5247222222969867</v>
      </c>
      <c r="L270">
        <f>IFERROR(INDEX(tblBatidas[Observação],MATCH("B"&amp;MID($A270,2,99),tblBatidas[Início vinculado],0)),"")</f>
        <v>0</v>
      </c>
      <c r="M270" t="str">
        <f>IFERROR(INDEX(tblPessoas[Base],MATCH(E270,tblPessoas[ID],0)),"")</f>
        <v>Diária</v>
      </c>
      <c r="N270" s="3">
        <f>IFERROR(IF(D270="DIA ÚTIL",INDEX(tblPessoas[R$/h útil],MATCH(E270,tblPessoas[ID],0)),INDEX(tblPessoas[R$/h FDS],MATCH(E270,tblPessoas[ID],0))),0)</f>
        <v>0</v>
      </c>
      <c r="O270" s="3">
        <f>IFERROR(INDEX(tblPessoas[R$/diária],MATCH(E270,tblPessoas[ID],0)),0)</f>
        <v>222.72</v>
      </c>
      <c r="P270" s="3">
        <f t="shared" si="18"/>
        <v>222.72</v>
      </c>
      <c r="Q270" t="str">
        <f>IF(A270="","",IF(COUNTIF(tblBatidas[Início vinculado],"B"&amp;MID($A270,2,99))=0,"EM ABERTO",IF(OR(COUNTIF(tblBatidas[Início vinculado],"B"&amp;MID($A270,2,99))&gt;1,K270&lt;0,K270&gt;16,INT(INDEX(tblBatidas[Data e hora],MATCH("B"&amp;MID($A270,2,99),tblBatidas[Início vinculado],0)))&lt;&gt;B270,INDEX(tblBatidas[ID],MATCH("B"&amp;MID($A270,2,99),tblBatidas[Início vinculado],0))&lt;&gt;E270,INDEX(tblBatidas[Projeto],MATCH("B"&amp;MID($A270,2,99),tblBatidas[Início vinculado],0))&lt;&gt;G270,INDEX(tblBatidas[Atividade],MATCH("B"&amp;MID($A270,2,99),tblBatidas[Início vinculado],0))&lt;&gt;H270),"REVISAR","CONCLUÍDO")))</f>
        <v>CONCLUÍDO</v>
      </c>
      <c r="R270">
        <f>IF(Q270&lt;&gt;"CONCLUÍDO",0,IF(COUNTIFS($E$5:E270,E270,$B$5:B270,B270,$Q$5:Q270,"CONCLUÍDO")=1,1,0))</f>
        <v>1</v>
      </c>
      <c r="S270" t="str">
        <f t="shared" si="19"/>
        <v>yyyy-09</v>
      </c>
      <c r="T270">
        <f>IF(E270="","",E270*100000+COUNTIFS(tblRegistros[ID],E270,tblRegistros[Data],"&lt;"&amp;B270)+COUNTIFS(tblRegistros[ID],E270,tblRegistros[Data],B270,tblRegistros[Início],"&lt;"&amp;I270)+COUNTIFS($E$5:E270,E270,$B$5:B270,B270,$I$5:I270,I270))</f>
        <v>101200033</v>
      </c>
    </row>
    <row r="271" spans="1:20">
      <c r="A271" t="s">
        <v>363</v>
      </c>
      <c r="B271" s="2">
        <f>IFERROR(INT(INDEX(tblBatidas[Data e hora],MATCH("B"&amp;MID($A271,2,99),tblBatidas[Batida ID],0))),"")</f>
        <v>46275</v>
      </c>
      <c r="C271" t="str">
        <f t="shared" si="16"/>
        <v>QUINTA-FEIRA</v>
      </c>
      <c r="D271" t="str">
        <f t="shared" si="17"/>
        <v>DIA ÚTIL</v>
      </c>
      <c r="E271">
        <f>IFERROR(INDEX(tblBatidas[ID],MATCH("B"&amp;MID($A271,2,99),tblBatidas[Batida ID],0)),"")</f>
        <v>1010</v>
      </c>
      <c r="F271" t="str">
        <f>IFERROR(INDEX(tblPessoas[Pessoa],MATCH(E271,tblPessoas[ID],0)),"")</f>
        <v>Nataly Tayê</v>
      </c>
      <c r="G271" t="str">
        <f>IFERROR(INDEX(tblBatidas[Projeto],MATCH("B"&amp;MID($A271,2,99),tblBatidas[Batida ID],0)),"")</f>
        <v>ESTADUAL - OTEMPO</v>
      </c>
      <c r="H271" t="str">
        <f>IFERROR(INDEX(tblBatidas[Atividade],MATCH("B"&amp;MID($A271,2,99),tblBatidas[Batida ID],0)),"")</f>
        <v>CHECAGEM</v>
      </c>
      <c r="I271" s="4">
        <f>IFERROR(MOD(INDEX(tblBatidas[Data e hora],MATCH("B"&amp;MID($A271,2,99),tblBatidas[Batida ID],0)),1),"")</f>
        <v>0.38813657407445135</v>
      </c>
      <c r="J271" s="4">
        <f>IFERROR(MOD(INDEX(tblBatidas[Data e hora],MATCH("B"&amp;MID($A271,2,99),tblBatidas[Início vinculado],0)),1),"")</f>
        <v>0.92653935185080627</v>
      </c>
      <c r="K271" s="14">
        <f>IFERROR((INDEX(tblBatidas[Data e hora],MATCH("B"&amp;MID($A271,2,99),tblBatidas[Início vinculado],0))-INDEX(tblBatidas[Data e hora],MATCH("B"&amp;MID($A271,2,99),tblBatidas[Batida ID],0)))*24,"")</f>
        <v>12.921666666632518</v>
      </c>
      <c r="L271">
        <f>IFERROR(INDEX(tblBatidas[Observação],MATCH("B"&amp;MID($A271,2,99),tblBatidas[Início vinculado],0)),"")</f>
        <v>0</v>
      </c>
      <c r="M271" t="str">
        <f>IFERROR(INDEX(tblPessoas[Base],MATCH(E271,tblPessoas[ID],0)),"")</f>
        <v>Hora</v>
      </c>
      <c r="N271" s="3">
        <f>IFERROR(IF(D271="DIA ÚTIL",INDEX(tblPessoas[R$/h útil],MATCH(E271,tblPessoas[ID],0)),INDEX(tblPessoas[R$/h FDS],MATCH(E271,tblPessoas[ID],0))),0)</f>
        <v>14</v>
      </c>
      <c r="O271" s="3">
        <f>IFERROR(INDEX(tblPessoas[R$/diária],MATCH(E271,tblPessoas[ID],0)),0)</f>
        <v>0</v>
      </c>
      <c r="P271" s="3">
        <f t="shared" si="18"/>
        <v>180.90333333285525</v>
      </c>
      <c r="Q271" t="str">
        <f>IF(A271="","",IF(COUNTIF(tblBatidas[Início vinculado],"B"&amp;MID($A271,2,99))=0,"EM ABERTO",IF(OR(COUNTIF(tblBatidas[Início vinculado],"B"&amp;MID($A271,2,99))&gt;1,K271&lt;0,K271&gt;16,INT(INDEX(tblBatidas[Data e hora],MATCH("B"&amp;MID($A271,2,99),tblBatidas[Início vinculado],0)))&lt;&gt;B271,INDEX(tblBatidas[ID],MATCH("B"&amp;MID($A271,2,99),tblBatidas[Início vinculado],0))&lt;&gt;E271,INDEX(tblBatidas[Projeto],MATCH("B"&amp;MID($A271,2,99),tblBatidas[Início vinculado],0))&lt;&gt;G271,INDEX(tblBatidas[Atividade],MATCH("B"&amp;MID($A271,2,99),tblBatidas[Início vinculado],0))&lt;&gt;H271),"REVISAR","CONCLUÍDO")))</f>
        <v>CONCLUÍDO</v>
      </c>
      <c r="R271">
        <f>IF(Q271&lt;&gt;"CONCLUÍDO",0,IF(COUNTIFS($E$5:E271,E271,$B$5:B271,B271,$Q$5:Q271,"CONCLUÍDO")=1,1,0))</f>
        <v>1</v>
      </c>
      <c r="S271" t="str">
        <f t="shared" si="19"/>
        <v>yyyy-09</v>
      </c>
      <c r="T271">
        <f>IF(E271="","",E271*100000+COUNTIFS(tblRegistros[ID],E271,tblRegistros[Data],"&lt;"&amp;B271)+COUNTIFS(tblRegistros[ID],E271,tblRegistros[Data],B271,tblRegistros[Início],"&lt;"&amp;I271)+COUNTIFS($E$5:E271,E271,$B$5:B271,B271,$I$5:I271,I271))</f>
        <v>101000003</v>
      </c>
    </row>
    <row r="272" spans="1:20">
      <c r="A272" t="s">
        <v>364</v>
      </c>
      <c r="B272" s="2">
        <f>IFERROR(INT(INDEX(tblBatidas[Data e hora],MATCH("B"&amp;MID($A272,2,99),tblBatidas[Batida ID],0))),"")</f>
        <v>46275</v>
      </c>
      <c r="C272" t="str">
        <f t="shared" si="16"/>
        <v>QUINTA-FEIRA</v>
      </c>
      <c r="D272" t="str">
        <f t="shared" si="17"/>
        <v>DIA ÚTIL</v>
      </c>
      <c r="E272">
        <f>IFERROR(INDEX(tblBatidas[ID],MATCH("B"&amp;MID($A272,2,99),tblBatidas[Batida ID],0)),"")</f>
        <v>1006</v>
      </c>
      <c r="F272" t="str">
        <f>IFERROR(INDEX(tblPessoas[Pessoa],MATCH(E272,tblPessoas[ID],0)),"")</f>
        <v>Eliane dos Santos Oliveira</v>
      </c>
      <c r="G272" t="str">
        <f>IFERROR(INDEX(tblBatidas[Projeto],MATCH("B"&amp;MID($A272,2,99),tblBatidas[Batida ID],0)),"")</f>
        <v>OUTROS</v>
      </c>
      <c r="H272" t="str">
        <f>IFERROR(INDEX(tblBatidas[Atividade],MATCH("B"&amp;MID($A272,2,99),tblBatidas[Batida ID],0)),"")</f>
        <v>CHECAGEM</v>
      </c>
      <c r="I272" s="4">
        <f>IFERROR(MOD(INDEX(tblBatidas[Data e hora],MATCH("B"&amp;MID($A272,2,99),tblBatidas[Batida ID],0)),1),"")</f>
        <v>0.39302083333313931</v>
      </c>
      <c r="J272" s="4" t="str">
        <f>IFERROR(MOD(INDEX(tblBatidas[Data e hora],MATCH("B"&amp;MID($A272,2,99),tblBatidas[Início vinculado],0)),1),"")</f>
        <v/>
      </c>
      <c r="K272" s="14" t="str">
        <f>IFERROR((INDEX(tblBatidas[Data e hora],MATCH("B"&amp;MID($A272,2,99),tblBatidas[Início vinculado],0))-INDEX(tblBatidas[Data e hora],MATCH("B"&amp;MID($A272,2,99),tblBatidas[Batida ID],0)))*24,"")</f>
        <v/>
      </c>
      <c r="L272" t="str">
        <f>IFERROR(INDEX(tblBatidas[Observação],MATCH("B"&amp;MID($A272,2,99),tblBatidas[Início vinculado],0)),"")</f>
        <v/>
      </c>
      <c r="M272" t="str">
        <f>IFERROR(INDEX(tblPessoas[Base],MATCH(E272,tblPessoas[ID],0)),"")</f>
        <v>Hora</v>
      </c>
      <c r="N272" s="3">
        <f>IFERROR(IF(D272="DIA ÚTIL",INDEX(tblPessoas[R$/h útil],MATCH(E272,tblPessoas[ID],0)),INDEX(tblPessoas[R$/h FDS],MATCH(E272,tblPessoas[ID],0))),0)</f>
        <v>14</v>
      </c>
      <c r="O272" s="3">
        <f>IFERROR(INDEX(tblPessoas[R$/diária],MATCH(E272,tblPessoas[ID],0)),0)</f>
        <v>0</v>
      </c>
      <c r="P272" s="3" t="str">
        <f t="shared" si="18"/>
        <v/>
      </c>
      <c r="Q272" t="str">
        <f>IF(A272="","",IF(COUNTIF(tblBatidas[Início vinculado],"B"&amp;MID($A272,2,99))=0,"EM ABERTO",IF(OR(COUNTIF(tblBatidas[Início vinculado],"B"&amp;MID($A272,2,99))&gt;1,K272&lt;0,K272&gt;16,INT(INDEX(tblBatidas[Data e hora],MATCH("B"&amp;MID($A272,2,99),tblBatidas[Início vinculado],0)))&lt;&gt;B272,INDEX(tblBatidas[ID],MATCH("B"&amp;MID($A272,2,99),tblBatidas[Início vinculado],0))&lt;&gt;E272,INDEX(tblBatidas[Projeto],MATCH("B"&amp;MID($A272,2,99),tblBatidas[Início vinculado],0))&lt;&gt;G272,INDEX(tblBatidas[Atividade],MATCH("B"&amp;MID($A272,2,99),tblBatidas[Início vinculado],0))&lt;&gt;H272),"REVISAR","CONCLUÍDO")))</f>
        <v>EM ABERTO</v>
      </c>
      <c r="R272">
        <f>IF(Q272&lt;&gt;"CONCLUÍDO",0,IF(COUNTIFS($E$5:E272,E272,$B$5:B272,B272,$Q$5:Q272,"CONCLUÍDO")=1,1,0))</f>
        <v>0</v>
      </c>
      <c r="S272" t="str">
        <f t="shared" si="19"/>
        <v>yyyy-09</v>
      </c>
      <c r="T272">
        <f>IF(E272="","",E272*100000+COUNTIFS(tblRegistros[ID],E272,tblRegistros[Data],"&lt;"&amp;B272)+COUNTIFS(tblRegistros[ID],E272,tblRegistros[Data],B272,tblRegistros[Início],"&lt;"&amp;I272)+COUNTIFS($E$5:E272,E272,$B$5:B272,B272,$I$5:I272,I272))</f>
        <v>100600021</v>
      </c>
    </row>
    <row r="273" spans="1:20">
      <c r="A273" t="s">
        <v>365</v>
      </c>
      <c r="B273" s="2">
        <f>IFERROR(INT(INDEX(tblBatidas[Data e hora],MATCH("B"&amp;MID($A273,2,99),tblBatidas[Batida ID],0))),"")</f>
        <v>46275</v>
      </c>
      <c r="C273" t="str">
        <f t="shared" si="16"/>
        <v>QUINTA-FEIRA</v>
      </c>
      <c r="D273" t="str">
        <f t="shared" si="17"/>
        <v>DIA ÚTIL</v>
      </c>
      <c r="E273">
        <f>IFERROR(INDEX(tblBatidas[ID],MATCH("B"&amp;MID($A273,2,99),tblBatidas[Batida ID],0)),"")</f>
        <v>1006</v>
      </c>
      <c r="F273" t="str">
        <f>IFERROR(INDEX(tblPessoas[Pessoa],MATCH(E273,tblPessoas[ID],0)),"")</f>
        <v>Eliane dos Santos Oliveira</v>
      </c>
      <c r="G273" t="str">
        <f>IFERROR(INDEX(tblBatidas[Projeto],MATCH("B"&amp;MID($A273,2,99),tblBatidas[Batida ID],0)),"")</f>
        <v>OUTROS</v>
      </c>
      <c r="H273" t="str">
        <f>IFERROR(INDEX(tblBatidas[Atividade],MATCH("B"&amp;MID($A273,2,99),tblBatidas[Batida ID],0)),"")</f>
        <v>CHECAGEM</v>
      </c>
      <c r="I273" s="4">
        <f>IFERROR(MOD(INDEX(tblBatidas[Data e hora],MATCH("B"&amp;MID($A273,2,99),tblBatidas[Batida ID],0)),1),"")</f>
        <v>0.39311342592554865</v>
      </c>
      <c r="J273" s="4" t="str">
        <f>IFERROR(MOD(INDEX(tblBatidas[Data e hora],MATCH("B"&amp;MID($A273,2,99),tblBatidas[Início vinculado],0)),1),"")</f>
        <v/>
      </c>
      <c r="K273" s="14" t="str">
        <f>IFERROR((INDEX(tblBatidas[Data e hora],MATCH("B"&amp;MID($A273,2,99),tblBatidas[Início vinculado],0))-INDEX(tblBatidas[Data e hora],MATCH("B"&amp;MID($A273,2,99),tblBatidas[Batida ID],0)))*24,"")</f>
        <v/>
      </c>
      <c r="L273" t="str">
        <f>IFERROR(INDEX(tblBatidas[Observação],MATCH("B"&amp;MID($A273,2,99),tblBatidas[Início vinculado],0)),"")</f>
        <v/>
      </c>
      <c r="M273" t="str">
        <f>IFERROR(INDEX(tblPessoas[Base],MATCH(E273,tblPessoas[ID],0)),"")</f>
        <v>Hora</v>
      </c>
      <c r="N273" s="3">
        <f>IFERROR(IF(D273="DIA ÚTIL",INDEX(tblPessoas[R$/h útil],MATCH(E273,tblPessoas[ID],0)),INDEX(tblPessoas[R$/h FDS],MATCH(E273,tblPessoas[ID],0))),0)</f>
        <v>14</v>
      </c>
      <c r="O273" s="3">
        <f>IFERROR(INDEX(tblPessoas[R$/diária],MATCH(E273,tblPessoas[ID],0)),0)</f>
        <v>0</v>
      </c>
      <c r="P273" s="3" t="str">
        <f t="shared" si="18"/>
        <v/>
      </c>
      <c r="Q273" t="str">
        <f>IF(A273="","",IF(COUNTIF(tblBatidas[Início vinculado],"B"&amp;MID($A273,2,99))=0,"EM ABERTO",IF(OR(COUNTIF(tblBatidas[Início vinculado],"B"&amp;MID($A273,2,99))&gt;1,K273&lt;0,K273&gt;16,INT(INDEX(tblBatidas[Data e hora],MATCH("B"&amp;MID($A273,2,99),tblBatidas[Início vinculado],0)))&lt;&gt;B273,INDEX(tblBatidas[ID],MATCH("B"&amp;MID($A273,2,99),tblBatidas[Início vinculado],0))&lt;&gt;E273,INDEX(tblBatidas[Projeto],MATCH("B"&amp;MID($A273,2,99),tblBatidas[Início vinculado],0))&lt;&gt;G273,INDEX(tblBatidas[Atividade],MATCH("B"&amp;MID($A273,2,99),tblBatidas[Início vinculado],0))&lt;&gt;H273),"REVISAR","CONCLUÍDO")))</f>
        <v>EM ABERTO</v>
      </c>
      <c r="R273">
        <f>IF(Q273&lt;&gt;"CONCLUÍDO",0,IF(COUNTIFS($E$5:E273,E273,$B$5:B273,B273,$Q$5:Q273,"CONCLUÍDO")=1,1,0))</f>
        <v>0</v>
      </c>
      <c r="S273" t="str">
        <f t="shared" si="19"/>
        <v>yyyy-09</v>
      </c>
      <c r="T273">
        <f>IF(E273="","",E273*100000+COUNTIFS(tblRegistros[ID],E273,tblRegistros[Data],"&lt;"&amp;B273)+COUNTIFS(tblRegistros[ID],E273,tblRegistros[Data],B273,tblRegistros[Início],"&lt;"&amp;I273)+COUNTIFS($E$5:E273,E273,$B$5:B273,B273,$I$5:I273,I273))</f>
        <v>100600022</v>
      </c>
    </row>
    <row r="274" spans="1:20">
      <c r="A274" t="s">
        <v>366</v>
      </c>
      <c r="B274" s="2">
        <f>IFERROR(INT(INDEX(tblBatidas[Data e hora],MATCH("B"&amp;MID($A274,2,99),tblBatidas[Batida ID],0))),"")</f>
        <v>46275</v>
      </c>
      <c r="C274" t="str">
        <f t="shared" si="16"/>
        <v>QUINTA-FEIRA</v>
      </c>
      <c r="D274" t="str">
        <f t="shared" si="17"/>
        <v>DIA ÚTIL</v>
      </c>
      <c r="E274">
        <f>IFERROR(INDEX(tblBatidas[ID],MATCH("B"&amp;MID($A274,2,99),tblBatidas[Batida ID],0)),"")</f>
        <v>1014</v>
      </c>
      <c r="F274" t="str">
        <f>IFERROR(INDEX(tblPessoas[Pessoa],MATCH(E274,tblPessoas[ID],0)),"")</f>
        <v>Robert Filipe Orlando de Souza</v>
      </c>
      <c r="G274" t="str">
        <f>IFERROR(INDEX(tblBatidas[Projeto],MATCH("B"&amp;MID($A274,2,99),tblBatidas[Batida ID],0)),"")</f>
        <v>BETIM - TRACKING</v>
      </c>
      <c r="H274" t="str">
        <f>IFERROR(INDEX(tblBatidas[Atividade],MATCH("B"&amp;MID($A274,2,99),tblBatidas[Batida ID],0)),"")</f>
        <v>CHECAGEM</v>
      </c>
      <c r="I274" s="4">
        <f>IFERROR(MOD(INDEX(tblBatidas[Data e hora],MATCH("B"&amp;MID($A274,2,99),tblBatidas[Batida ID],0)),1),"")</f>
        <v>0.41173611111298669</v>
      </c>
      <c r="J274" s="4">
        <f>IFERROR(MOD(INDEX(tblBatidas[Data e hora],MATCH("B"&amp;MID($A274,2,99),tblBatidas[Início vinculado],0)),1),"")</f>
        <v>0.53767361111385981</v>
      </c>
      <c r="K274" s="14">
        <f>IFERROR((INDEX(tblBatidas[Data e hora],MATCH("B"&amp;MID($A274,2,99),tblBatidas[Início vinculado],0))-INDEX(tblBatidas[Data e hora],MATCH("B"&amp;MID($A274,2,99),tblBatidas[Batida ID],0)))*24,"")</f>
        <v>3.0225000000209548</v>
      </c>
      <c r="L274">
        <f>IFERROR(INDEX(tblBatidas[Observação],MATCH("B"&amp;MID($A274,2,99),tblBatidas[Início vinculado],0)),"")</f>
        <v>0</v>
      </c>
      <c r="M274" t="str">
        <f>IFERROR(INDEX(tblPessoas[Base],MATCH(E274,tblPessoas[ID],0)),"")</f>
        <v>Hora</v>
      </c>
      <c r="N274" s="3">
        <f>IFERROR(IF(D274="DIA ÚTIL",INDEX(tblPessoas[R$/h útil],MATCH(E274,tblPessoas[ID],0)),INDEX(tblPessoas[R$/h FDS],MATCH(E274,tblPessoas[ID],0))),0)</f>
        <v>21.5</v>
      </c>
      <c r="O274" s="3">
        <f>IFERROR(INDEX(tblPessoas[R$/diária],MATCH(E274,tblPessoas[ID],0)),0)</f>
        <v>0</v>
      </c>
      <c r="P274" s="3">
        <f t="shared" si="18"/>
        <v>64.983750000450527</v>
      </c>
      <c r="Q274" t="str">
        <f>IF(A274="","",IF(COUNTIF(tblBatidas[Início vinculado],"B"&amp;MID($A274,2,99))=0,"EM ABERTO",IF(OR(COUNTIF(tblBatidas[Início vinculado],"B"&amp;MID($A274,2,99))&gt;1,K274&lt;0,K274&gt;16,INT(INDEX(tblBatidas[Data e hora],MATCH("B"&amp;MID($A274,2,99),tblBatidas[Início vinculado],0)))&lt;&gt;B274,INDEX(tblBatidas[ID],MATCH("B"&amp;MID($A274,2,99),tblBatidas[Início vinculado],0))&lt;&gt;E274,INDEX(tblBatidas[Projeto],MATCH("B"&amp;MID($A274,2,99),tblBatidas[Início vinculado],0))&lt;&gt;G274,INDEX(tblBatidas[Atividade],MATCH("B"&amp;MID($A274,2,99),tblBatidas[Início vinculado],0))&lt;&gt;H274),"REVISAR","CONCLUÍDO")))</f>
        <v>CONCLUÍDO</v>
      </c>
      <c r="R274">
        <f>IF(Q274&lt;&gt;"CONCLUÍDO",0,IF(COUNTIFS($E$5:E274,E274,$B$5:B274,B274,$Q$5:Q274,"CONCLUÍDO")=1,1,0))</f>
        <v>1</v>
      </c>
      <c r="S274" t="str">
        <f t="shared" si="19"/>
        <v>yyyy-09</v>
      </c>
      <c r="T274">
        <f>IF(E274="","",E274*100000+COUNTIFS(tblRegistros[ID],E274,tblRegistros[Data],"&lt;"&amp;B274)+COUNTIFS(tblRegistros[ID],E274,tblRegistros[Data],B274,tblRegistros[Início],"&lt;"&amp;I274)+COUNTIFS($E$5:E274,E274,$B$5:B274,B274,$I$5:I274,I274))</f>
        <v>101400025</v>
      </c>
    </row>
    <row r="275" spans="1:20">
      <c r="A275" t="s">
        <v>367</v>
      </c>
      <c r="B275" s="2">
        <f>IFERROR(INT(INDEX(tblBatidas[Data e hora],MATCH("B"&amp;MID($A275,2,99),tblBatidas[Batida ID],0))),"")</f>
        <v>46275</v>
      </c>
      <c r="C275" t="str">
        <f t="shared" si="16"/>
        <v>QUINTA-FEIRA</v>
      </c>
      <c r="D275" t="str">
        <f t="shared" si="17"/>
        <v>DIA ÚTIL</v>
      </c>
      <c r="E275">
        <f>IFERROR(INDEX(tblBatidas[ID],MATCH("B"&amp;MID($A275,2,99),tblBatidas[Batida ID],0)),"")</f>
        <v>1004</v>
      </c>
      <c r="F275" t="str">
        <f>IFERROR(INDEX(tblPessoas[Pessoa],MATCH(E275,tblPessoas[ID],0)),"")</f>
        <v>Angela Bertoli</v>
      </c>
      <c r="G275" t="str">
        <f>IFERROR(INDEX(tblBatidas[Projeto],MATCH("B"&amp;MID($A275,2,99),tblBatidas[Batida ID],0)),"")</f>
        <v>OTEMPO</v>
      </c>
      <c r="H275" t="str">
        <f>IFERROR(INDEX(tblBatidas[Atividade],MATCH("B"&amp;MID($A275,2,99),tblBatidas[Batida ID],0)),"")</f>
        <v>CODIFICAÇÃO</v>
      </c>
      <c r="I275" s="4">
        <f>IFERROR(MOD(INDEX(tblBatidas[Data e hora],MATCH("B"&amp;MID($A275,2,99),tblBatidas[Batida ID],0)),1),"")</f>
        <v>0.41796296296524815</v>
      </c>
      <c r="J275" s="4">
        <f>IFERROR(MOD(INDEX(tblBatidas[Data e hora],MATCH("B"&amp;MID($A275,2,99),tblBatidas[Início vinculado],0)),1),"")</f>
        <v>0.77179398148291511</v>
      </c>
      <c r="K275" s="14">
        <f>IFERROR((INDEX(tblBatidas[Data e hora],MATCH("B"&amp;MID($A275,2,99),tblBatidas[Início vinculado],0))-INDEX(tblBatidas[Data e hora],MATCH("B"&amp;MID($A275,2,99),tblBatidas[Batida ID],0)))*24,"")</f>
        <v>8.4919444444240071</v>
      </c>
      <c r="L275">
        <f>IFERROR(INDEX(tblBatidas[Observação],MATCH("B"&amp;MID($A275,2,99),tblBatidas[Início vinculado],0)),"")</f>
        <v>0</v>
      </c>
      <c r="M275" t="str">
        <f>IFERROR(INDEX(tblPessoas[Base],MATCH(E275,tblPessoas[ID],0)),"")</f>
        <v>Hora</v>
      </c>
      <c r="N275" s="3">
        <f>IFERROR(IF(D275="DIA ÚTIL",INDEX(tblPessoas[R$/h útil],MATCH(E275,tblPessoas[ID],0)),INDEX(tblPessoas[R$/h FDS],MATCH(E275,tblPessoas[ID],0))),0)</f>
        <v>21.5</v>
      </c>
      <c r="O275" s="3">
        <f>IFERROR(INDEX(tblPessoas[R$/diária],MATCH(E275,tblPessoas[ID],0)),0)</f>
        <v>0</v>
      </c>
      <c r="P275" s="3">
        <f t="shared" si="18"/>
        <v>182.57680555511615</v>
      </c>
      <c r="Q275" t="str">
        <f>IF(A275="","",IF(COUNTIF(tblBatidas[Início vinculado],"B"&amp;MID($A275,2,99))=0,"EM ABERTO",IF(OR(COUNTIF(tblBatidas[Início vinculado],"B"&amp;MID($A275,2,99))&gt;1,K275&lt;0,K275&gt;16,INT(INDEX(tblBatidas[Data e hora],MATCH("B"&amp;MID($A275,2,99),tblBatidas[Início vinculado],0)))&lt;&gt;B275,INDEX(tblBatidas[ID],MATCH("B"&amp;MID($A275,2,99),tblBatidas[Início vinculado],0))&lt;&gt;E275,INDEX(tblBatidas[Projeto],MATCH("B"&amp;MID($A275,2,99),tblBatidas[Início vinculado],0))&lt;&gt;G275,INDEX(tblBatidas[Atividade],MATCH("B"&amp;MID($A275,2,99),tblBatidas[Início vinculado],0))&lt;&gt;H275),"REVISAR","CONCLUÍDO")))</f>
        <v>CONCLUÍDO</v>
      </c>
      <c r="R275">
        <f>IF(Q275&lt;&gt;"CONCLUÍDO",0,IF(COUNTIFS($E$5:E275,E275,$B$5:B275,B275,$Q$5:Q275,"CONCLUÍDO")=1,1,0))</f>
        <v>1</v>
      </c>
      <c r="S275" t="str">
        <f t="shared" si="19"/>
        <v>yyyy-09</v>
      </c>
      <c r="T275">
        <f>IF(E275="","",E275*100000+COUNTIFS(tblRegistros[ID],E275,tblRegistros[Data],"&lt;"&amp;B275)+COUNTIFS(tblRegistros[ID],E275,tblRegistros[Data],B275,tblRegistros[Início],"&lt;"&amp;I275)+COUNTIFS($E$5:E275,E275,$B$5:B275,B275,$I$5:I275,I275))</f>
        <v>100400021</v>
      </c>
    </row>
    <row r="276" spans="1:20">
      <c r="A276" t="s">
        <v>368</v>
      </c>
      <c r="B276" s="2">
        <f>IFERROR(INT(INDEX(tblBatidas[Data e hora],MATCH("B"&amp;MID($A276,2,99),tblBatidas[Batida ID],0))),"")</f>
        <v>46275</v>
      </c>
      <c r="C276" t="str">
        <f t="shared" si="16"/>
        <v>QUINTA-FEIRA</v>
      </c>
      <c r="D276" t="str">
        <f t="shared" si="17"/>
        <v>DIA ÚTIL</v>
      </c>
      <c r="E276">
        <f>IFERROR(INDEX(tblBatidas[ID],MATCH("B"&amp;MID($A276,2,99),tblBatidas[Batida ID],0)),"")</f>
        <v>1011</v>
      </c>
      <c r="F276" t="str">
        <f>IFERROR(INDEX(tblPessoas[Pessoa],MATCH(E276,tblPessoas[ID],0)),"")</f>
        <v>Nathalia Arruda</v>
      </c>
      <c r="G276" t="str">
        <f>IFERROR(INDEX(tblBatidas[Projeto],MATCH("B"&amp;MID($A276,2,99),tblBatidas[Batida ID],0)),"")</f>
        <v>OTEMPO</v>
      </c>
      <c r="H276" t="str">
        <f>IFERROR(INDEX(tblBatidas[Atividade],MATCH("B"&amp;MID($A276,2,99),tblBatidas[Batida ID],0)),"")</f>
        <v>ANÁLISE</v>
      </c>
      <c r="I276" s="4">
        <f>IFERROR(MOD(INDEX(tblBatidas[Data e hora],MATCH("B"&amp;MID($A276,2,99),tblBatidas[Batida ID],0)),1),"")</f>
        <v>0.50637731481401715</v>
      </c>
      <c r="J276" s="4" t="str">
        <f>IFERROR(MOD(INDEX(tblBatidas[Data e hora],MATCH("B"&amp;MID($A276,2,99),tblBatidas[Início vinculado],0)),1),"")</f>
        <v/>
      </c>
      <c r="K276" s="14" t="str">
        <f>IFERROR((INDEX(tblBatidas[Data e hora],MATCH("B"&amp;MID($A276,2,99),tblBatidas[Início vinculado],0))-INDEX(tblBatidas[Data e hora],MATCH("B"&amp;MID($A276,2,99),tblBatidas[Batida ID],0)))*24,"")</f>
        <v/>
      </c>
      <c r="L276" t="str">
        <f>IFERROR(INDEX(tblBatidas[Observação],MATCH("B"&amp;MID($A276,2,99),tblBatidas[Início vinculado],0)),"")</f>
        <v/>
      </c>
      <c r="M276" t="str">
        <f>IFERROR(INDEX(tblPessoas[Base],MATCH(E276,tblPessoas[ID],0)),"")</f>
        <v>Hora</v>
      </c>
      <c r="N276" s="3">
        <f>IFERROR(IF(D276="DIA ÚTIL",INDEX(tblPessoas[R$/h útil],MATCH(E276,tblPessoas[ID],0)),INDEX(tblPessoas[R$/h FDS],MATCH(E276,tblPessoas[ID],0))),0)</f>
        <v>23.5</v>
      </c>
      <c r="O276" s="3">
        <f>IFERROR(INDEX(tblPessoas[R$/diária],MATCH(E276,tblPessoas[ID],0)),0)</f>
        <v>0</v>
      </c>
      <c r="P276" s="3" t="str">
        <f t="shared" si="18"/>
        <v/>
      </c>
      <c r="Q276" t="str">
        <f>IF(A276="","",IF(COUNTIF(tblBatidas[Início vinculado],"B"&amp;MID($A276,2,99))=0,"EM ABERTO",IF(OR(COUNTIF(tblBatidas[Início vinculado],"B"&amp;MID($A276,2,99))&gt;1,K276&lt;0,K276&gt;16,INT(INDEX(tblBatidas[Data e hora],MATCH("B"&amp;MID($A276,2,99),tblBatidas[Início vinculado],0)))&lt;&gt;B276,INDEX(tblBatidas[ID],MATCH("B"&amp;MID($A276,2,99),tblBatidas[Início vinculado],0))&lt;&gt;E276,INDEX(tblBatidas[Projeto],MATCH("B"&amp;MID($A276,2,99),tblBatidas[Início vinculado],0))&lt;&gt;G276,INDEX(tblBatidas[Atividade],MATCH("B"&amp;MID($A276,2,99),tblBatidas[Início vinculado],0))&lt;&gt;H276),"REVISAR","CONCLUÍDO")))</f>
        <v>EM ABERTO</v>
      </c>
      <c r="R276">
        <f>IF(Q276&lt;&gt;"CONCLUÍDO",0,IF(COUNTIFS($E$5:E276,E276,$B$5:B276,B276,$Q$5:Q276,"CONCLUÍDO")=1,1,0))</f>
        <v>0</v>
      </c>
      <c r="S276" t="str">
        <f t="shared" si="19"/>
        <v>yyyy-09</v>
      </c>
      <c r="T276">
        <f>IF(E276="","",E276*100000+COUNTIFS(tblRegistros[ID],E276,tblRegistros[Data],"&lt;"&amp;B276)+COUNTIFS(tblRegistros[ID],E276,tblRegistros[Data],B276,tblRegistros[Início],"&lt;"&amp;I276)+COUNTIFS($E$5:E276,E276,$B$5:B276,B276,$I$5:I276,I276))</f>
        <v>101100023</v>
      </c>
    </row>
    <row r="277" spans="1:20">
      <c r="A277" t="s">
        <v>369</v>
      </c>
      <c r="B277" s="2">
        <f>IFERROR(INT(INDEX(tblBatidas[Data e hora],MATCH("B"&amp;MID($A277,2,99),tblBatidas[Batida ID],0))),"")</f>
        <v>46275</v>
      </c>
      <c r="C277" t="str">
        <f t="shared" si="16"/>
        <v>QUINTA-FEIRA</v>
      </c>
      <c r="D277" t="str">
        <f t="shared" si="17"/>
        <v>DIA ÚTIL</v>
      </c>
      <c r="E277">
        <f>IFERROR(INDEX(tblBatidas[ID],MATCH("B"&amp;MID($A277,2,99),tblBatidas[Batida ID],0)),"")</f>
        <v>1013</v>
      </c>
      <c r="F277" t="str">
        <f>IFERROR(INDEX(tblPessoas[Pessoa],MATCH(E277,tblPessoas[ID],0)),"")</f>
        <v>Rafaela Maria Resende Lara</v>
      </c>
      <c r="G277" t="str">
        <f>IFERROR(INDEX(tblBatidas[Projeto],MATCH("B"&amp;MID($A277,2,99),tblBatidas[Batida ID],0)),"")</f>
        <v>TOOLKIT</v>
      </c>
      <c r="H277" t="str">
        <f>IFERROR(INDEX(tblBatidas[Atividade],MATCH("B"&amp;MID($A277,2,99),tblBatidas[Batida ID],0)),"")</f>
        <v>ANÁLISE</v>
      </c>
      <c r="I277" s="4">
        <f>IFERROR(MOD(INDEX(tblBatidas[Data e hora],MATCH("B"&amp;MID($A277,2,99),tblBatidas[Batida ID],0)),1),"")</f>
        <v>0.51934027778042946</v>
      </c>
      <c r="J277" s="4" t="str">
        <f>IFERROR(MOD(INDEX(tblBatidas[Data e hora],MATCH("B"&amp;MID($A277,2,99),tblBatidas[Início vinculado],0)),1),"")</f>
        <v/>
      </c>
      <c r="K277" s="14" t="str">
        <f>IFERROR((INDEX(tblBatidas[Data e hora],MATCH("B"&amp;MID($A277,2,99),tblBatidas[Início vinculado],0))-INDEX(tblBatidas[Data e hora],MATCH("B"&amp;MID($A277,2,99),tblBatidas[Batida ID],0)))*24,"")</f>
        <v/>
      </c>
      <c r="L277" t="str">
        <f>IFERROR(INDEX(tblBatidas[Observação],MATCH("B"&amp;MID($A277,2,99),tblBatidas[Início vinculado],0)),"")</f>
        <v/>
      </c>
      <c r="M277" t="str">
        <f>IFERROR(INDEX(tblPessoas[Base],MATCH(E277,tblPessoas[ID],0)),"")</f>
        <v>Hora</v>
      </c>
      <c r="N277" s="3">
        <f>IFERROR(IF(D277="DIA ÚTIL",INDEX(tblPessoas[R$/h útil],MATCH(E277,tblPessoas[ID],0)),INDEX(tblPessoas[R$/h FDS],MATCH(E277,tblPessoas[ID],0))),0)</f>
        <v>23.5</v>
      </c>
      <c r="O277" s="3">
        <f>IFERROR(INDEX(tblPessoas[R$/diária],MATCH(E277,tblPessoas[ID],0)),0)</f>
        <v>0</v>
      </c>
      <c r="P277" s="3" t="str">
        <f t="shared" si="18"/>
        <v/>
      </c>
      <c r="Q277" t="str">
        <f>IF(A277="","",IF(COUNTIF(tblBatidas[Início vinculado],"B"&amp;MID($A277,2,99))=0,"EM ABERTO",IF(OR(COUNTIF(tblBatidas[Início vinculado],"B"&amp;MID($A277,2,99))&gt;1,K277&lt;0,K277&gt;16,INT(INDEX(tblBatidas[Data e hora],MATCH("B"&amp;MID($A277,2,99),tblBatidas[Início vinculado],0)))&lt;&gt;B277,INDEX(tblBatidas[ID],MATCH("B"&amp;MID($A277,2,99),tblBatidas[Início vinculado],0))&lt;&gt;E277,INDEX(tblBatidas[Projeto],MATCH("B"&amp;MID($A277,2,99),tblBatidas[Início vinculado],0))&lt;&gt;G277,INDEX(tblBatidas[Atividade],MATCH("B"&amp;MID($A277,2,99),tblBatidas[Início vinculado],0))&lt;&gt;H277),"REVISAR","CONCLUÍDO")))</f>
        <v>EM ABERTO</v>
      </c>
      <c r="R277">
        <f>IF(Q277&lt;&gt;"CONCLUÍDO",0,IF(COUNTIFS($E$5:E277,E277,$B$5:B277,B277,$Q$5:Q277,"CONCLUÍDO")=1,1,0))</f>
        <v>0</v>
      </c>
      <c r="S277" t="str">
        <f t="shared" si="19"/>
        <v>yyyy-09</v>
      </c>
      <c r="T277">
        <f>IF(E277="","",E277*100000+COUNTIFS(tblRegistros[ID],E277,tblRegistros[Data],"&lt;"&amp;B277)+COUNTIFS(tblRegistros[ID],E277,tblRegistros[Data],B277,tblRegistros[Início],"&lt;"&amp;I277)+COUNTIFS($E$5:E277,E277,$B$5:B277,B277,$I$5:I277,I277))</f>
        <v>101300025</v>
      </c>
    </row>
    <row r="278" spans="1:20">
      <c r="A278" t="s">
        <v>370</v>
      </c>
      <c r="B278" s="2">
        <f>IFERROR(INT(INDEX(tblBatidas[Data e hora],MATCH("B"&amp;MID($A278,2,99),tblBatidas[Batida ID],0))),"")</f>
        <v>46275</v>
      </c>
      <c r="C278" t="str">
        <f t="shared" si="16"/>
        <v>QUINTA-FEIRA</v>
      </c>
      <c r="D278" t="str">
        <f t="shared" si="17"/>
        <v>DIA ÚTIL</v>
      </c>
      <c r="E278">
        <f>IFERROR(INDEX(tblBatidas[ID],MATCH("B"&amp;MID($A278,2,99),tblBatidas[Batida ID],0)),"")</f>
        <v>1004</v>
      </c>
      <c r="F278" t="str">
        <f>IFERROR(INDEX(tblPessoas[Pessoa],MATCH(E278,tblPessoas[ID],0)),"")</f>
        <v>Angela Bertoli</v>
      </c>
      <c r="G278" t="str">
        <f>IFERROR(INDEX(tblBatidas[Projeto],MATCH("B"&amp;MID($A278,2,99),tblBatidas[Batida ID],0)),"")</f>
        <v>ADMINISTRATIVO</v>
      </c>
      <c r="H278" t="str">
        <f>IFERROR(INDEX(tblBatidas[Atividade],MATCH("B"&amp;MID($A278,2,99),tblBatidas[Batida ID],0)),"")</f>
        <v>ADMINISTRATIVO</v>
      </c>
      <c r="I278" s="4">
        <f>IFERROR(MOD(INDEX(tblBatidas[Data e hora],MATCH("B"&amp;MID($A278,2,99),tblBatidas[Batida ID],0)),1),"")</f>
        <v>0.544293981482042</v>
      </c>
      <c r="J278" s="4" t="str">
        <f>IFERROR(MOD(INDEX(tblBatidas[Data e hora],MATCH("B"&amp;MID($A278,2,99),tblBatidas[Início vinculado],0)),1),"")</f>
        <v/>
      </c>
      <c r="K278" s="14" t="str">
        <f>IFERROR((INDEX(tblBatidas[Data e hora],MATCH("B"&amp;MID($A278,2,99),tblBatidas[Início vinculado],0))-INDEX(tblBatidas[Data e hora],MATCH("B"&amp;MID($A278,2,99),tblBatidas[Batida ID],0)))*24,"")</f>
        <v/>
      </c>
      <c r="L278" t="str">
        <f>IFERROR(INDEX(tblBatidas[Observação],MATCH("B"&amp;MID($A278,2,99),tblBatidas[Início vinculado],0)),"")</f>
        <v/>
      </c>
      <c r="M278" t="str">
        <f>IFERROR(INDEX(tblPessoas[Base],MATCH(E278,tblPessoas[ID],0)),"")</f>
        <v>Hora</v>
      </c>
      <c r="N278" s="3">
        <f>IFERROR(IF(D278="DIA ÚTIL",INDEX(tblPessoas[R$/h útil],MATCH(E278,tblPessoas[ID],0)),INDEX(tblPessoas[R$/h FDS],MATCH(E278,tblPessoas[ID],0))),0)</f>
        <v>21.5</v>
      </c>
      <c r="O278" s="3">
        <f>IFERROR(INDEX(tblPessoas[R$/diária],MATCH(E278,tblPessoas[ID],0)),0)</f>
        <v>0</v>
      </c>
      <c r="P278" s="3" t="str">
        <f t="shared" si="18"/>
        <v/>
      </c>
      <c r="Q278" t="str">
        <f>IF(A278="","",IF(COUNTIF(tblBatidas[Início vinculado],"B"&amp;MID($A278,2,99))=0,"EM ABERTO",IF(OR(COUNTIF(tblBatidas[Início vinculado],"B"&amp;MID($A278,2,99))&gt;1,K278&lt;0,K278&gt;16,INT(INDEX(tblBatidas[Data e hora],MATCH("B"&amp;MID($A278,2,99),tblBatidas[Início vinculado],0)))&lt;&gt;B278,INDEX(tblBatidas[ID],MATCH("B"&amp;MID($A278,2,99),tblBatidas[Início vinculado],0))&lt;&gt;E278,INDEX(tblBatidas[Projeto],MATCH("B"&amp;MID($A278,2,99),tblBatidas[Início vinculado],0))&lt;&gt;G278,INDEX(tblBatidas[Atividade],MATCH("B"&amp;MID($A278,2,99),tblBatidas[Início vinculado],0))&lt;&gt;H278),"REVISAR","CONCLUÍDO")))</f>
        <v>EM ABERTO</v>
      </c>
      <c r="R278">
        <f>IF(Q278&lt;&gt;"CONCLUÍDO",0,IF(COUNTIFS($E$5:E278,E278,$B$5:B278,B278,$Q$5:Q278,"CONCLUÍDO")=1,1,0))</f>
        <v>0</v>
      </c>
      <c r="S278" t="str">
        <f t="shared" si="19"/>
        <v>yyyy-09</v>
      </c>
      <c r="T278">
        <f>IF(E278="","",E278*100000+COUNTIFS(tblRegistros[ID],E278,tblRegistros[Data],"&lt;"&amp;B278)+COUNTIFS(tblRegistros[ID],E278,tblRegistros[Data],B278,tblRegistros[Início],"&lt;"&amp;I278)+COUNTIFS($E$5:E278,E278,$B$5:B278,B278,$I$5:I278,I278))</f>
        <v>100400022</v>
      </c>
    </row>
    <row r="279" spans="1:20">
      <c r="A279" t="s">
        <v>371</v>
      </c>
      <c r="B279" s="2">
        <f>IFERROR(INT(INDEX(tblBatidas[Data e hora],MATCH("B"&amp;MID($A279,2,99),tblBatidas[Batida ID],0))),"")</f>
        <v>46275</v>
      </c>
      <c r="C279" t="str">
        <f t="shared" si="16"/>
        <v>QUINTA-FEIRA</v>
      </c>
      <c r="D279" t="str">
        <f t="shared" si="17"/>
        <v>DIA ÚTIL</v>
      </c>
      <c r="E279">
        <f>IFERROR(INDEX(tblBatidas[ID],MATCH("B"&amp;MID($A279,2,99),tblBatidas[Batida ID],0)),"")</f>
        <v>1004</v>
      </c>
      <c r="F279" t="str">
        <f>IFERROR(INDEX(tblPessoas[Pessoa],MATCH(E279,tblPessoas[ID],0)),"")</f>
        <v>Angela Bertoli</v>
      </c>
      <c r="G279" t="str">
        <f>IFERROR(INDEX(tblBatidas[Projeto],MATCH("B"&amp;MID($A279,2,99),tblBatidas[Batida ID],0)),"")</f>
        <v>ADMINISTRATIVO</v>
      </c>
      <c r="H279" t="str">
        <f>IFERROR(INDEX(tblBatidas[Atividade],MATCH("B"&amp;MID($A279,2,99),tblBatidas[Batida ID],0)),"")</f>
        <v>ADMINISTRATIVO</v>
      </c>
      <c r="I279" s="4">
        <f>IFERROR(MOD(INDEX(tblBatidas[Data e hora],MATCH("B"&amp;MID($A279,2,99),tblBatidas[Batida ID],0)),1),"")</f>
        <v>0.54443287036701804</v>
      </c>
      <c r="J279" s="4" t="str">
        <f>IFERROR(MOD(INDEX(tblBatidas[Data e hora],MATCH("B"&amp;MID($A279,2,99),tblBatidas[Início vinculado],0)),1),"")</f>
        <v/>
      </c>
      <c r="K279" s="14" t="str">
        <f>IFERROR((INDEX(tblBatidas[Data e hora],MATCH("B"&amp;MID($A279,2,99),tblBatidas[Início vinculado],0))-INDEX(tblBatidas[Data e hora],MATCH("B"&amp;MID($A279,2,99),tblBatidas[Batida ID],0)))*24,"")</f>
        <v/>
      </c>
      <c r="L279" t="str">
        <f>IFERROR(INDEX(tblBatidas[Observação],MATCH("B"&amp;MID($A279,2,99),tblBatidas[Início vinculado],0)),"")</f>
        <v/>
      </c>
      <c r="M279" t="str">
        <f>IFERROR(INDEX(tblPessoas[Base],MATCH(E279,tblPessoas[ID],0)),"")</f>
        <v>Hora</v>
      </c>
      <c r="N279" s="3">
        <f>IFERROR(IF(D279="DIA ÚTIL",INDEX(tblPessoas[R$/h útil],MATCH(E279,tblPessoas[ID],0)),INDEX(tblPessoas[R$/h FDS],MATCH(E279,tblPessoas[ID],0))),0)</f>
        <v>21.5</v>
      </c>
      <c r="O279" s="3">
        <f>IFERROR(INDEX(tblPessoas[R$/diária],MATCH(E279,tblPessoas[ID],0)),0)</f>
        <v>0</v>
      </c>
      <c r="P279" s="3" t="str">
        <f t="shared" si="18"/>
        <v/>
      </c>
      <c r="Q279" t="str">
        <f>IF(A279="","",IF(COUNTIF(tblBatidas[Início vinculado],"B"&amp;MID($A279,2,99))=0,"EM ABERTO",IF(OR(COUNTIF(tblBatidas[Início vinculado],"B"&amp;MID($A279,2,99))&gt;1,K279&lt;0,K279&gt;16,INT(INDEX(tblBatidas[Data e hora],MATCH("B"&amp;MID($A279,2,99),tblBatidas[Início vinculado],0)))&lt;&gt;B279,INDEX(tblBatidas[ID],MATCH("B"&amp;MID($A279,2,99),tblBatidas[Início vinculado],0))&lt;&gt;E279,INDEX(tblBatidas[Projeto],MATCH("B"&amp;MID($A279,2,99),tblBatidas[Início vinculado],0))&lt;&gt;G279,INDEX(tblBatidas[Atividade],MATCH("B"&amp;MID($A279,2,99),tblBatidas[Início vinculado],0))&lt;&gt;H279),"REVISAR","CONCLUÍDO")))</f>
        <v>EM ABERTO</v>
      </c>
      <c r="R279">
        <f>IF(Q279&lt;&gt;"CONCLUÍDO",0,IF(COUNTIFS($E$5:E279,E279,$B$5:B279,B279,$Q$5:Q279,"CONCLUÍDO")=1,1,0))</f>
        <v>0</v>
      </c>
      <c r="S279" t="str">
        <f t="shared" si="19"/>
        <v>yyyy-09</v>
      </c>
      <c r="T279">
        <f>IF(E279="","",E279*100000+COUNTIFS(tblRegistros[ID],E279,tblRegistros[Data],"&lt;"&amp;B279)+COUNTIFS(tblRegistros[ID],E279,tblRegistros[Data],B279,tblRegistros[Início],"&lt;"&amp;I279)+COUNTIFS($E$5:E279,E279,$B$5:B279,B279,$I$5:I279,I279))</f>
        <v>100400023</v>
      </c>
    </row>
    <row r="280" spans="1:20">
      <c r="A280" t="s">
        <v>371</v>
      </c>
      <c r="B280" s="2">
        <f>IFERROR(INT(INDEX(tblBatidas[Data e hora],MATCH("B"&amp;MID($A280,2,99),tblBatidas[Batida ID],0))),"")</f>
        <v>46275</v>
      </c>
      <c r="C280" t="str">
        <f t="shared" si="16"/>
        <v>QUINTA-FEIRA</v>
      </c>
      <c r="D280" t="str">
        <f t="shared" si="17"/>
        <v>DIA ÚTIL</v>
      </c>
      <c r="E280">
        <f>IFERROR(INDEX(tblBatidas[ID],MATCH("B"&amp;MID($A280,2,99),tblBatidas[Batida ID],0)),"")</f>
        <v>1004</v>
      </c>
      <c r="F280" t="str">
        <f>IFERROR(INDEX(tblPessoas[Pessoa],MATCH(E280,tblPessoas[ID],0)),"")</f>
        <v>Angela Bertoli</v>
      </c>
      <c r="G280" t="str">
        <f>IFERROR(INDEX(tblBatidas[Projeto],MATCH("B"&amp;MID($A280,2,99),tblBatidas[Batida ID],0)),"")</f>
        <v>ADMINISTRATIVO</v>
      </c>
      <c r="H280" t="str">
        <f>IFERROR(INDEX(tblBatidas[Atividade],MATCH("B"&amp;MID($A280,2,99),tblBatidas[Batida ID],0)),"")</f>
        <v>ADMINISTRATIVO</v>
      </c>
      <c r="I280" s="4">
        <f>IFERROR(MOD(INDEX(tblBatidas[Data e hora],MATCH("B"&amp;MID($A280,2,99),tblBatidas[Batida ID],0)),1),"")</f>
        <v>0.54443287036701804</v>
      </c>
      <c r="J280" s="4" t="str">
        <f>IFERROR(MOD(INDEX(tblBatidas[Data e hora],MATCH("B"&amp;MID($A280,2,99),tblBatidas[Início vinculado],0)),1),"")</f>
        <v/>
      </c>
      <c r="K280" s="14" t="str">
        <f>IFERROR((INDEX(tblBatidas[Data e hora],MATCH("B"&amp;MID($A280,2,99),tblBatidas[Início vinculado],0))-INDEX(tblBatidas[Data e hora],MATCH("B"&amp;MID($A280,2,99),tblBatidas[Batida ID],0)))*24,"")</f>
        <v/>
      </c>
      <c r="L280" t="str">
        <f>IFERROR(INDEX(tblBatidas[Observação],MATCH("B"&amp;MID($A280,2,99),tblBatidas[Início vinculado],0)),"")</f>
        <v/>
      </c>
      <c r="M280" t="str">
        <f>IFERROR(INDEX(tblPessoas[Base],MATCH(E280,tblPessoas[ID],0)),"")</f>
        <v>Hora</v>
      </c>
      <c r="N280" s="3">
        <f>IFERROR(IF(D280="DIA ÚTIL",INDEX(tblPessoas[R$/h útil],MATCH(E280,tblPessoas[ID],0)),INDEX(tblPessoas[R$/h FDS],MATCH(E280,tblPessoas[ID],0))),0)</f>
        <v>21.5</v>
      </c>
      <c r="O280" s="3">
        <f>IFERROR(INDEX(tblPessoas[R$/diária],MATCH(E280,tblPessoas[ID],0)),0)</f>
        <v>0</v>
      </c>
      <c r="P280" s="3" t="str">
        <f t="shared" si="18"/>
        <v/>
      </c>
      <c r="Q280" t="str">
        <f>IF(A280="","",IF(COUNTIF(tblBatidas[Início vinculado],"B"&amp;MID($A280,2,99))=0,"EM ABERTO",IF(OR(COUNTIF(tblBatidas[Início vinculado],"B"&amp;MID($A280,2,99))&gt;1,K280&lt;0,K280&gt;16,INT(INDEX(tblBatidas[Data e hora],MATCH("B"&amp;MID($A280,2,99),tblBatidas[Início vinculado],0)))&lt;&gt;B280,INDEX(tblBatidas[ID],MATCH("B"&amp;MID($A280,2,99),tblBatidas[Início vinculado],0))&lt;&gt;E280,INDEX(tblBatidas[Projeto],MATCH("B"&amp;MID($A280,2,99),tblBatidas[Início vinculado],0))&lt;&gt;G280,INDEX(tblBatidas[Atividade],MATCH("B"&amp;MID($A280,2,99),tblBatidas[Início vinculado],0))&lt;&gt;H280),"REVISAR","CONCLUÍDO")))</f>
        <v>EM ABERTO</v>
      </c>
      <c r="R280">
        <f>IF(Q280&lt;&gt;"CONCLUÍDO",0,IF(COUNTIFS($E$5:E280,E280,$B$5:B280,B280,$Q$5:Q280,"CONCLUÍDO")=1,1,0))</f>
        <v>0</v>
      </c>
      <c r="S280" t="str">
        <f t="shared" si="19"/>
        <v>yyyy-09</v>
      </c>
      <c r="T280">
        <f>IF(E280="","",E280*100000+COUNTIFS(tblRegistros[ID],E280,tblRegistros[Data],"&lt;"&amp;B280)+COUNTIFS(tblRegistros[ID],E280,tblRegistros[Data],B280,tblRegistros[Início],"&lt;"&amp;I280)+COUNTIFS($E$5:E280,E280,$B$5:B280,B280,$I$5:I280,I280))</f>
        <v>100400024</v>
      </c>
    </row>
    <row r="281" spans="1:20">
      <c r="A281" t="s">
        <v>372</v>
      </c>
      <c r="B281" s="2">
        <f>IFERROR(INT(INDEX(tblBatidas[Data e hora],MATCH("B"&amp;MID($A281,2,99),tblBatidas[Batida ID],0))),"")</f>
        <v>46275</v>
      </c>
      <c r="C281" t="str">
        <f t="shared" si="16"/>
        <v>QUINTA-FEIRA</v>
      </c>
      <c r="D281" t="str">
        <f t="shared" si="17"/>
        <v>DIA ÚTIL</v>
      </c>
      <c r="E281">
        <f>IFERROR(INDEX(tblBatidas[ID],MATCH("B"&amp;MID($A281,2,99),tblBatidas[Batida ID],0)),"")</f>
        <v>1002</v>
      </c>
      <c r="F281" t="str">
        <f>IFERROR(INDEX(tblPessoas[Pessoa],MATCH(E281,tblPessoas[ID],0)),"")</f>
        <v>Alex de Almeida Mariano</v>
      </c>
      <c r="G281" t="str">
        <f>IFERROR(INDEX(tblBatidas[Projeto],MATCH("B"&amp;MID($A281,2,99),tblBatidas[Batida ID],0)),"")</f>
        <v>CFI / ACCION</v>
      </c>
      <c r="H281" t="str">
        <f>IFERROR(INDEX(tblBatidas[Atividade],MATCH("B"&amp;MID($A281,2,99),tblBatidas[Batida ID],0)),"")</f>
        <v>ANÁLISE</v>
      </c>
      <c r="I281" s="4">
        <f>IFERROR(MOD(INDEX(tblBatidas[Data e hora],MATCH("B"&amp;MID($A281,2,99),tblBatidas[Batida ID],0)),1),"")</f>
        <v>0.55501157407707069</v>
      </c>
      <c r="J281" s="4" t="str">
        <f>IFERROR(MOD(INDEX(tblBatidas[Data e hora],MATCH("B"&amp;MID($A281,2,99),tblBatidas[Início vinculado],0)),1),"")</f>
        <v/>
      </c>
      <c r="K281" s="14" t="str">
        <f>IFERROR((INDEX(tblBatidas[Data e hora],MATCH("B"&amp;MID($A281,2,99),tblBatidas[Início vinculado],0))-INDEX(tblBatidas[Data e hora],MATCH("B"&amp;MID($A281,2,99),tblBatidas[Batida ID],0)))*24,"")</f>
        <v/>
      </c>
      <c r="L281" t="str">
        <f>IFERROR(INDEX(tblBatidas[Observação],MATCH("B"&amp;MID($A281,2,99),tblBatidas[Início vinculado],0)),"")</f>
        <v/>
      </c>
      <c r="M281" t="str">
        <f>IFERROR(INDEX(tblPessoas[Base],MATCH(E281,tblPessoas[ID],0)),"")</f>
        <v>Hora</v>
      </c>
      <c r="N281" s="3">
        <f>IFERROR(IF(D281="DIA ÚTIL",INDEX(tblPessoas[R$/h útil],MATCH(E281,tblPessoas[ID],0)),INDEX(tblPessoas[R$/h FDS],MATCH(E281,tblPessoas[ID],0))),0)</f>
        <v>23.5</v>
      </c>
      <c r="O281" s="3">
        <f>IFERROR(INDEX(tblPessoas[R$/diária],MATCH(E281,tblPessoas[ID],0)),0)</f>
        <v>0</v>
      </c>
      <c r="P281" s="3" t="str">
        <f t="shared" si="18"/>
        <v/>
      </c>
      <c r="Q281" t="str">
        <f>IF(A281="","",IF(COUNTIF(tblBatidas[Início vinculado],"B"&amp;MID($A281,2,99))=0,"EM ABERTO",IF(OR(COUNTIF(tblBatidas[Início vinculado],"B"&amp;MID($A281,2,99))&gt;1,K281&lt;0,K281&gt;16,INT(INDEX(tblBatidas[Data e hora],MATCH("B"&amp;MID($A281,2,99),tblBatidas[Início vinculado],0)))&lt;&gt;B281,INDEX(tblBatidas[ID],MATCH("B"&amp;MID($A281,2,99),tblBatidas[Início vinculado],0))&lt;&gt;E281,INDEX(tblBatidas[Projeto],MATCH("B"&amp;MID($A281,2,99),tblBatidas[Início vinculado],0))&lt;&gt;G281,INDEX(tblBatidas[Atividade],MATCH("B"&amp;MID($A281,2,99),tblBatidas[Início vinculado],0))&lt;&gt;H281),"REVISAR","CONCLUÍDO")))</f>
        <v>EM ABERTO</v>
      </c>
      <c r="R281">
        <f>IF(Q281&lt;&gt;"CONCLUÍDO",0,IF(COUNTIFS($E$5:E281,E281,$B$5:B281,B281,$Q$5:Q281,"CONCLUÍDO")=1,1,0))</f>
        <v>0</v>
      </c>
      <c r="S281" t="str">
        <f t="shared" si="19"/>
        <v>yyyy-09</v>
      </c>
      <c r="T281">
        <f>IF(E281="","",E281*100000+COUNTIFS(tblRegistros[ID],E281,tblRegistros[Data],"&lt;"&amp;B281)+COUNTIFS(tblRegistros[ID],E281,tblRegistros[Data],B281,tblRegistros[Início],"&lt;"&amp;I281)+COUNTIFS($E$5:E281,E281,$B$5:B281,B281,$I$5:I281,I281))</f>
        <v>100200017</v>
      </c>
    </row>
    <row r="282" spans="1:20">
      <c r="A282" t="s">
        <v>373</v>
      </c>
      <c r="B282" s="2">
        <f>IFERROR(INT(INDEX(tblBatidas[Data e hora],MATCH("B"&amp;MID($A282,2,99),tblBatidas[Batida ID],0))),"")</f>
        <v>46275</v>
      </c>
      <c r="C282" t="str">
        <f t="shared" si="16"/>
        <v>QUINTA-FEIRA</v>
      </c>
      <c r="D282" t="str">
        <f t="shared" si="17"/>
        <v>DIA ÚTIL</v>
      </c>
      <c r="E282">
        <f>IFERROR(INDEX(tblBatidas[ID],MATCH("B"&amp;MID($A282,2,99),tblBatidas[Batida ID],0)),"")</f>
        <v>1011</v>
      </c>
      <c r="F282" t="str">
        <f>IFERROR(INDEX(tblPessoas[Pessoa],MATCH(E282,tblPessoas[ID],0)),"")</f>
        <v>Nathalia Arruda</v>
      </c>
      <c r="G282" t="str">
        <f>IFERROR(INDEX(tblBatidas[Projeto],MATCH("B"&amp;MID($A282,2,99),tblBatidas[Batida ID],0)),"")</f>
        <v>OTEMPO</v>
      </c>
      <c r="H282" t="str">
        <f>IFERROR(INDEX(tblBatidas[Atividade],MATCH("B"&amp;MID($A282,2,99),tblBatidas[Batida ID],0)),"")</f>
        <v>ANÁLISE</v>
      </c>
      <c r="I282" s="4">
        <f>IFERROR(MOD(INDEX(tblBatidas[Data e hora],MATCH("B"&amp;MID($A282,2,99),tblBatidas[Batida ID],0)),1),"")</f>
        <v>0.55732638888730435</v>
      </c>
      <c r="J282" s="4" t="str">
        <f>IFERROR(MOD(INDEX(tblBatidas[Data e hora],MATCH("B"&amp;MID($A282,2,99),tblBatidas[Início vinculado],0)),1),"")</f>
        <v/>
      </c>
      <c r="K282" s="14" t="str">
        <f>IFERROR((INDEX(tblBatidas[Data e hora],MATCH("B"&amp;MID($A282,2,99),tblBatidas[Início vinculado],0))-INDEX(tblBatidas[Data e hora],MATCH("B"&amp;MID($A282,2,99),tblBatidas[Batida ID],0)))*24,"")</f>
        <v/>
      </c>
      <c r="L282" t="str">
        <f>IFERROR(INDEX(tblBatidas[Observação],MATCH("B"&amp;MID($A282,2,99),tblBatidas[Início vinculado],0)),"")</f>
        <v/>
      </c>
      <c r="M282" t="str">
        <f>IFERROR(INDEX(tblPessoas[Base],MATCH(E282,tblPessoas[ID],0)),"")</f>
        <v>Hora</v>
      </c>
      <c r="N282" s="3">
        <f>IFERROR(IF(D282="DIA ÚTIL",INDEX(tblPessoas[R$/h útil],MATCH(E282,tblPessoas[ID],0)),INDEX(tblPessoas[R$/h FDS],MATCH(E282,tblPessoas[ID],0))),0)</f>
        <v>23.5</v>
      </c>
      <c r="O282" s="3">
        <f>IFERROR(INDEX(tblPessoas[R$/diária],MATCH(E282,tblPessoas[ID],0)),0)</f>
        <v>0</v>
      </c>
      <c r="P282" s="3" t="str">
        <f t="shared" si="18"/>
        <v/>
      </c>
      <c r="Q282" t="str">
        <f>IF(A282="","",IF(COUNTIF(tblBatidas[Início vinculado],"B"&amp;MID($A282,2,99))=0,"EM ABERTO",IF(OR(COUNTIF(tblBatidas[Início vinculado],"B"&amp;MID($A282,2,99))&gt;1,K282&lt;0,K282&gt;16,INT(INDEX(tblBatidas[Data e hora],MATCH("B"&amp;MID($A282,2,99),tblBatidas[Início vinculado],0)))&lt;&gt;B282,INDEX(tblBatidas[ID],MATCH("B"&amp;MID($A282,2,99),tblBatidas[Início vinculado],0))&lt;&gt;E282,INDEX(tblBatidas[Projeto],MATCH("B"&amp;MID($A282,2,99),tblBatidas[Início vinculado],0))&lt;&gt;G282,INDEX(tblBatidas[Atividade],MATCH("B"&amp;MID($A282,2,99),tblBatidas[Início vinculado],0))&lt;&gt;H282),"REVISAR","CONCLUÍDO")))</f>
        <v>EM ABERTO</v>
      </c>
      <c r="R282">
        <f>IF(Q282&lt;&gt;"CONCLUÍDO",0,IF(COUNTIFS($E$5:E282,E282,$B$5:B282,B282,$Q$5:Q282,"CONCLUÍDO")=1,1,0))</f>
        <v>0</v>
      </c>
      <c r="S282" t="str">
        <f t="shared" si="19"/>
        <v>yyyy-09</v>
      </c>
      <c r="T282">
        <f>IF(E282="","",E282*100000+COUNTIFS(tblRegistros[ID],E282,tblRegistros[Data],"&lt;"&amp;B282)+COUNTIFS(tblRegistros[ID],E282,tblRegistros[Data],B282,tblRegistros[Início],"&lt;"&amp;I282)+COUNTIFS($E$5:E282,E282,$B$5:B282,B282,$I$5:I282,I282))</f>
        <v>101100024</v>
      </c>
    </row>
    <row r="283" spans="1:20">
      <c r="A283" t="s">
        <v>374</v>
      </c>
      <c r="B283" s="2">
        <f>IFERROR(INT(INDEX(tblBatidas[Data e hora],MATCH("B"&amp;MID($A283,2,99),tblBatidas[Batida ID],0))),"")</f>
        <v>46275</v>
      </c>
      <c r="C283" t="str">
        <f t="shared" si="16"/>
        <v>QUINTA-FEIRA</v>
      </c>
      <c r="D283" t="str">
        <f t="shared" si="17"/>
        <v>DIA ÚTIL</v>
      </c>
      <c r="E283">
        <f>IFERROR(INDEX(tblBatidas[ID],MATCH("B"&amp;MID($A283,2,99),tblBatidas[Batida ID],0)),"")</f>
        <v>1016</v>
      </c>
      <c r="F283" t="str">
        <f>IFERROR(INDEX(tblPessoas[Pessoa],MATCH(E283,tblPessoas[ID],0)),"")</f>
        <v>Ana Luisa Nardin</v>
      </c>
      <c r="G283" t="str">
        <f>IFERROR(INDEX(tblBatidas[Projeto],MATCH("B"&amp;MID($A283,2,99),tblBatidas[Batida ID],0)),"")</f>
        <v>CFI / ACCION</v>
      </c>
      <c r="H283" t="str">
        <f>IFERROR(INDEX(tblBatidas[Atividade],MATCH("B"&amp;MID($A283,2,99),tblBatidas[Batida ID],0)),"")</f>
        <v>ANÁLISE</v>
      </c>
      <c r="I283" s="4">
        <f>IFERROR(MOD(INDEX(tblBatidas[Data e hora],MATCH("B"&amp;MID($A283,2,99),tblBatidas[Batida ID],0)),1),"")</f>
        <v>0.56003472222073469</v>
      </c>
      <c r="J283" s="4">
        <f>IFERROR(MOD(INDEX(tblBatidas[Data e hora],MATCH("B"&amp;MID($A283,2,99),tblBatidas[Início vinculado],0)),1),"")</f>
        <v>0.75401620370394085</v>
      </c>
      <c r="K283" s="14">
        <f>IFERROR((INDEX(tblBatidas[Data e hora],MATCH("B"&amp;MID($A283,2,99),tblBatidas[Início vinculado],0))-INDEX(tblBatidas[Data e hora],MATCH("B"&amp;MID($A283,2,99),tblBatidas[Batida ID],0)))*24,"")</f>
        <v>4.6555555555969477</v>
      </c>
      <c r="L283">
        <f>IFERROR(INDEX(tblBatidas[Observação],MATCH("B"&amp;MID($A283,2,99),tblBatidas[Início vinculado],0)),"")</f>
        <v>0</v>
      </c>
      <c r="M283" t="str">
        <f>IFERROR(INDEX(tblPessoas[Base],MATCH(E283,tblPessoas[ID],0)),"")</f>
        <v>Hora</v>
      </c>
      <c r="N283" s="3">
        <f>IFERROR(IF(D283="DIA ÚTIL",INDEX(tblPessoas[R$/h útil],MATCH(E283,tblPessoas[ID],0)),INDEX(tblPessoas[R$/h FDS],MATCH(E283,tblPessoas[ID],0))),0)</f>
        <v>23.5</v>
      </c>
      <c r="O283" s="3">
        <f>IFERROR(INDEX(tblPessoas[R$/diária],MATCH(E283,tblPessoas[ID],0)),0)</f>
        <v>0</v>
      </c>
      <c r="P283" s="3">
        <f t="shared" si="18"/>
        <v>109.40555555652827</v>
      </c>
      <c r="Q283" t="str">
        <f>IF(A283="","",IF(COUNTIF(tblBatidas[Início vinculado],"B"&amp;MID($A283,2,99))=0,"EM ABERTO",IF(OR(COUNTIF(tblBatidas[Início vinculado],"B"&amp;MID($A283,2,99))&gt;1,K283&lt;0,K283&gt;16,INT(INDEX(tblBatidas[Data e hora],MATCH("B"&amp;MID($A283,2,99),tblBatidas[Início vinculado],0)))&lt;&gt;B283,INDEX(tblBatidas[ID],MATCH("B"&amp;MID($A283,2,99),tblBatidas[Início vinculado],0))&lt;&gt;E283,INDEX(tblBatidas[Projeto],MATCH("B"&amp;MID($A283,2,99),tblBatidas[Início vinculado],0))&lt;&gt;G283,INDEX(tblBatidas[Atividade],MATCH("B"&amp;MID($A283,2,99),tblBatidas[Início vinculado],0))&lt;&gt;H283),"REVISAR","CONCLUÍDO")))</f>
        <v>CONCLUÍDO</v>
      </c>
      <c r="R283">
        <f>IF(Q283&lt;&gt;"CONCLUÍDO",0,IF(COUNTIFS($E$5:E283,E283,$B$5:B283,B283,$Q$5:Q283,"CONCLUÍDO")=1,1,0))</f>
        <v>0</v>
      </c>
      <c r="S283" t="str">
        <f t="shared" si="19"/>
        <v>yyyy-09</v>
      </c>
      <c r="T283">
        <f>IF(E283="","",E283*100000+COUNTIFS(tblRegistros[ID],E283,tblRegistros[Data],"&lt;"&amp;B283)+COUNTIFS(tblRegistros[ID],E283,tblRegistros[Data],B283,tblRegistros[Início],"&lt;"&amp;I283)+COUNTIFS($E$5:E283,E283,$B$5:B283,B283,$I$5:I283,I283))</f>
        <v>101600028</v>
      </c>
    </row>
    <row r="284" spans="1:20">
      <c r="A284" t="s">
        <v>375</v>
      </c>
      <c r="B284" s="2">
        <f>IFERROR(INT(INDEX(tblBatidas[Data e hora],MATCH("B"&amp;MID($A284,2,99),tblBatidas[Batida ID],0))),"")</f>
        <v>46275</v>
      </c>
      <c r="C284" t="str">
        <f t="shared" si="16"/>
        <v>QUINTA-FEIRA</v>
      </c>
      <c r="D284" t="str">
        <f t="shared" si="17"/>
        <v>DIA ÚTIL</v>
      </c>
      <c r="E284">
        <f>IFERROR(INDEX(tblBatidas[ID],MATCH("B"&amp;MID($A284,2,99),tblBatidas[Batida ID],0)),"")</f>
        <v>1004</v>
      </c>
      <c r="F284" t="str">
        <f>IFERROR(INDEX(tblPessoas[Pessoa],MATCH(E284,tblPessoas[ID],0)),"")</f>
        <v>Angela Bertoli</v>
      </c>
      <c r="G284" t="str">
        <f>IFERROR(INDEX(tblBatidas[Projeto],MATCH("B"&amp;MID($A284,2,99),tblBatidas[Batida ID],0)),"")</f>
        <v>CAMPANHA</v>
      </c>
      <c r="H284" t="str">
        <f>IFERROR(INDEX(tblBatidas[Atividade],MATCH("B"&amp;MID($A284,2,99),tblBatidas[Batida ID],0)),"")</f>
        <v>CODIFICAÇÃO</v>
      </c>
      <c r="I284" s="4">
        <f>IFERROR(MOD(INDEX(tblBatidas[Data e hora],MATCH("B"&amp;MID($A284,2,99),tblBatidas[Batida ID],0)),1),"")</f>
        <v>0.77231481481430819</v>
      </c>
      <c r="J284" s="4" t="str">
        <f>IFERROR(MOD(INDEX(tblBatidas[Data e hora],MATCH("B"&amp;MID($A284,2,99),tblBatidas[Início vinculado],0)),1),"")</f>
        <v/>
      </c>
      <c r="K284" s="14" t="str">
        <f>IFERROR((INDEX(tblBatidas[Data e hora],MATCH("B"&amp;MID($A284,2,99),tblBatidas[Início vinculado],0))-INDEX(tblBatidas[Data e hora],MATCH("B"&amp;MID($A284,2,99),tblBatidas[Batida ID],0)))*24,"")</f>
        <v/>
      </c>
      <c r="L284" t="str">
        <f>IFERROR(INDEX(tblBatidas[Observação],MATCH("B"&amp;MID($A284,2,99),tblBatidas[Início vinculado],0)),"")</f>
        <v/>
      </c>
      <c r="M284" t="str">
        <f>IFERROR(INDEX(tblPessoas[Base],MATCH(E284,tblPessoas[ID],0)),"")</f>
        <v>Hora</v>
      </c>
      <c r="N284" s="3">
        <f>IFERROR(IF(D284="DIA ÚTIL",INDEX(tblPessoas[R$/h útil],MATCH(E284,tblPessoas[ID],0)),INDEX(tblPessoas[R$/h FDS],MATCH(E284,tblPessoas[ID],0))),0)</f>
        <v>21.5</v>
      </c>
      <c r="O284" s="3">
        <f>IFERROR(INDEX(tblPessoas[R$/diária],MATCH(E284,tblPessoas[ID],0)),0)</f>
        <v>0</v>
      </c>
      <c r="P284" s="3" t="str">
        <f t="shared" si="18"/>
        <v/>
      </c>
      <c r="Q284" t="str">
        <f>IF(A284="","",IF(COUNTIF(tblBatidas[Início vinculado],"B"&amp;MID($A284,2,99))=0,"EM ABERTO",IF(OR(COUNTIF(tblBatidas[Início vinculado],"B"&amp;MID($A284,2,99))&gt;1,K284&lt;0,K284&gt;16,INT(INDEX(tblBatidas[Data e hora],MATCH("B"&amp;MID($A284,2,99),tblBatidas[Início vinculado],0)))&lt;&gt;B284,INDEX(tblBatidas[ID],MATCH("B"&amp;MID($A284,2,99),tblBatidas[Início vinculado],0))&lt;&gt;E284,INDEX(tblBatidas[Projeto],MATCH("B"&amp;MID($A284,2,99),tblBatidas[Início vinculado],0))&lt;&gt;G284,INDEX(tblBatidas[Atividade],MATCH("B"&amp;MID($A284,2,99),tblBatidas[Início vinculado],0))&lt;&gt;H284),"REVISAR","CONCLUÍDO")))</f>
        <v>EM ABERTO</v>
      </c>
      <c r="R284">
        <f>IF(Q284&lt;&gt;"CONCLUÍDO",0,IF(COUNTIFS($E$5:E284,E284,$B$5:B284,B284,$Q$5:Q284,"CONCLUÍDO")=1,1,0))</f>
        <v>0</v>
      </c>
      <c r="S284" t="str">
        <f t="shared" si="19"/>
        <v>yyyy-09</v>
      </c>
      <c r="T284">
        <f>IF(E284="","",E284*100000+COUNTIFS(tblRegistros[ID],E284,tblRegistros[Data],"&lt;"&amp;B284)+COUNTIFS(tblRegistros[ID],E284,tblRegistros[Data],B284,tblRegistros[Início],"&lt;"&amp;I284)+COUNTIFS($E$5:E284,E284,$B$5:B284,B284,$I$5:I284,I284))</f>
        <v>100400025</v>
      </c>
    </row>
    <row r="285" spans="1:20">
      <c r="A285" t="s">
        <v>376</v>
      </c>
      <c r="B285" s="2">
        <f>IFERROR(INT(INDEX(tblBatidas[Data e hora],MATCH("B"&amp;MID($A285,2,99),tblBatidas[Batida ID],0))),"")</f>
        <v>46275</v>
      </c>
      <c r="C285" t="str">
        <f t="shared" si="16"/>
        <v>QUINTA-FEIRA</v>
      </c>
      <c r="D285" t="str">
        <f t="shared" si="17"/>
        <v>DIA ÚTIL</v>
      </c>
      <c r="E285">
        <f>IFERROR(INDEX(tblBatidas[ID],MATCH("B"&amp;MID($A285,2,99),tblBatidas[Batida ID],0)),"")</f>
        <v>1006</v>
      </c>
      <c r="F285" t="str">
        <f>IFERROR(INDEX(tblPessoas[Pessoa],MATCH(E285,tblPessoas[ID],0)),"")</f>
        <v>Eliane dos Santos Oliveira</v>
      </c>
      <c r="G285" t="str">
        <f>IFERROR(INDEX(tblBatidas[Projeto],MATCH("B"&amp;MID($A285,2,99),tblBatidas[Batida ID],0)),"")</f>
        <v>OUTROS</v>
      </c>
      <c r="H285" t="str">
        <f>IFERROR(INDEX(tblBatidas[Atividade],MATCH("B"&amp;MID($A285,2,99),tblBatidas[Batida ID],0)),"")</f>
        <v>CHECAGEM</v>
      </c>
      <c r="I285" s="4">
        <f>IFERROR(MOD(INDEX(tblBatidas[Data e hora],MATCH("B"&amp;MID($A285,2,99),tblBatidas[Batida ID],0)),1),"")</f>
        <v>0.91666666666424135</v>
      </c>
      <c r="J285" s="4" t="str">
        <f>IFERROR(MOD(INDEX(tblBatidas[Data e hora],MATCH("B"&amp;MID($A285,2,99),tblBatidas[Início vinculado],0)),1),"")</f>
        <v/>
      </c>
      <c r="K285" s="14" t="str">
        <f>IFERROR((INDEX(tblBatidas[Data e hora],MATCH("B"&amp;MID($A285,2,99),tblBatidas[Início vinculado],0))-INDEX(tblBatidas[Data e hora],MATCH("B"&amp;MID($A285,2,99),tblBatidas[Batida ID],0)))*24,"")</f>
        <v/>
      </c>
      <c r="L285" t="str">
        <f>IFERROR(INDEX(tblBatidas[Observação],MATCH("B"&amp;MID($A285,2,99),tblBatidas[Início vinculado],0)),"")</f>
        <v/>
      </c>
      <c r="M285" t="str">
        <f>IFERROR(INDEX(tblPessoas[Base],MATCH(E285,tblPessoas[ID],0)),"")</f>
        <v>Hora</v>
      </c>
      <c r="N285" s="3">
        <f>IFERROR(IF(D285="DIA ÚTIL",INDEX(tblPessoas[R$/h útil],MATCH(E285,tblPessoas[ID],0)),INDEX(tblPessoas[R$/h FDS],MATCH(E285,tblPessoas[ID],0))),0)</f>
        <v>14</v>
      </c>
      <c r="O285" s="3">
        <f>IFERROR(INDEX(tblPessoas[R$/diária],MATCH(E285,tblPessoas[ID],0)),0)</f>
        <v>0</v>
      </c>
      <c r="P285" s="3" t="str">
        <f t="shared" si="18"/>
        <v/>
      </c>
      <c r="Q285" t="str">
        <f>IF(A285="","",IF(COUNTIF(tblBatidas[Início vinculado],"B"&amp;MID($A285,2,99))=0,"EM ABERTO",IF(OR(COUNTIF(tblBatidas[Início vinculado],"B"&amp;MID($A285,2,99))&gt;1,K285&lt;0,K285&gt;16,INT(INDEX(tblBatidas[Data e hora],MATCH("B"&amp;MID($A285,2,99),tblBatidas[Início vinculado],0)))&lt;&gt;B285,INDEX(tblBatidas[ID],MATCH("B"&amp;MID($A285,2,99),tblBatidas[Início vinculado],0))&lt;&gt;E285,INDEX(tblBatidas[Projeto],MATCH("B"&amp;MID($A285,2,99),tblBatidas[Início vinculado],0))&lt;&gt;G285,INDEX(tblBatidas[Atividade],MATCH("B"&amp;MID($A285,2,99),tblBatidas[Início vinculado],0))&lt;&gt;H285),"REVISAR","CONCLUÍDO")))</f>
        <v>EM ABERTO</v>
      </c>
      <c r="R285">
        <f>IF(Q285&lt;&gt;"CONCLUÍDO",0,IF(COUNTIFS($E$5:E285,E285,$B$5:B285,B285,$Q$5:Q285,"CONCLUÍDO")=1,1,0))</f>
        <v>0</v>
      </c>
      <c r="S285" t="str">
        <f t="shared" si="19"/>
        <v>yyyy-09</v>
      </c>
      <c r="T285">
        <f>IF(E285="","",E285*100000+COUNTIFS(tblRegistros[ID],E285,tblRegistros[Data],"&lt;"&amp;B285)+COUNTIFS(tblRegistros[ID],E285,tblRegistros[Data],B285,tblRegistros[Início],"&lt;"&amp;I285)+COUNTIFS($E$5:E285,E285,$B$5:B285,B285,$I$5:I285,I285))</f>
        <v>100600023</v>
      </c>
    </row>
    <row r="286" spans="1:20">
      <c r="A286" t="s">
        <v>377</v>
      </c>
      <c r="B286" s="2">
        <f>IFERROR(INT(INDEX(tblBatidas[Data e hora],MATCH("B"&amp;MID($A286,2,99),tblBatidas[Batida ID],0))),"")</f>
        <v>46276</v>
      </c>
      <c r="C286" t="str">
        <f t="shared" si="16"/>
        <v>SEXTA-FEIRA</v>
      </c>
      <c r="D286" t="str">
        <f t="shared" si="17"/>
        <v>DIA ÚTIL</v>
      </c>
      <c r="E286">
        <f>IFERROR(INDEX(tblBatidas[ID],MATCH("B"&amp;MID($A286,2,99),tblBatidas[Batida ID],0)),"")</f>
        <v>1002</v>
      </c>
      <c r="F286" t="str">
        <f>IFERROR(INDEX(tblPessoas[Pessoa],MATCH(E286,tblPessoas[ID],0)),"")</f>
        <v>Alex de Almeida Mariano</v>
      </c>
      <c r="G286" t="str">
        <f>IFERROR(INDEX(tblBatidas[Projeto],MATCH("B"&amp;MID($A286,2,99),tblBatidas[Batida ID],0)),"")</f>
        <v>TOOLKIT</v>
      </c>
      <c r="H286" t="str">
        <f>IFERROR(INDEX(tblBatidas[Atividade],MATCH("B"&amp;MID($A286,2,99),tblBatidas[Batida ID],0)),"")</f>
        <v>ANÁLISE</v>
      </c>
      <c r="I286" s="4">
        <f>IFERROR(MOD(INDEX(tblBatidas[Data e hora],MATCH("B"&amp;MID($A286,2,99),tblBatidas[Batida ID],0)),1),"")</f>
        <v>0.32737268518394558</v>
      </c>
      <c r="J286" s="4">
        <f>IFERROR(MOD(INDEX(tblBatidas[Data e hora],MATCH("B"&amp;MID($A286,2,99),tblBatidas[Início vinculado],0)),1),"")</f>
        <v>0.50534722222073469</v>
      </c>
      <c r="K286" s="14">
        <f>IFERROR((INDEX(tblBatidas[Data e hora],MATCH("B"&amp;MID($A286,2,99),tblBatidas[Início vinculado],0))-INDEX(tblBatidas[Data e hora],MATCH("B"&amp;MID($A286,2,99),tblBatidas[Batida ID],0)))*24,"")</f>
        <v>4.2713888888829388</v>
      </c>
      <c r="L286">
        <f>IFERROR(INDEX(tblBatidas[Observação],MATCH("B"&amp;MID($A286,2,99),tblBatidas[Início vinculado],0)),"")</f>
        <v>0</v>
      </c>
      <c r="M286" t="str">
        <f>IFERROR(INDEX(tblPessoas[Base],MATCH(E286,tblPessoas[ID],0)),"")</f>
        <v>Hora</v>
      </c>
      <c r="N286" s="3">
        <f>IFERROR(IF(D286="DIA ÚTIL",INDEX(tblPessoas[R$/h útil],MATCH(E286,tblPessoas[ID],0)),INDEX(tblPessoas[R$/h FDS],MATCH(E286,tblPessoas[ID],0))),0)</f>
        <v>23.5</v>
      </c>
      <c r="O286" s="3">
        <f>IFERROR(INDEX(tblPessoas[R$/diária],MATCH(E286,tblPessoas[ID],0)),0)</f>
        <v>0</v>
      </c>
      <c r="P286" s="3">
        <f t="shared" si="18"/>
        <v>100.37763888874906</v>
      </c>
      <c r="Q286" t="str">
        <f>IF(A286="","",IF(COUNTIF(tblBatidas[Início vinculado],"B"&amp;MID($A286,2,99))=0,"EM ABERTO",IF(OR(COUNTIF(tblBatidas[Início vinculado],"B"&amp;MID($A286,2,99))&gt;1,K286&lt;0,K286&gt;16,INT(INDEX(tblBatidas[Data e hora],MATCH("B"&amp;MID($A286,2,99),tblBatidas[Início vinculado],0)))&lt;&gt;B286,INDEX(tblBatidas[ID],MATCH("B"&amp;MID($A286,2,99),tblBatidas[Início vinculado],0))&lt;&gt;E286,INDEX(tblBatidas[Projeto],MATCH("B"&amp;MID($A286,2,99),tblBatidas[Início vinculado],0))&lt;&gt;G286,INDEX(tblBatidas[Atividade],MATCH("B"&amp;MID($A286,2,99),tblBatidas[Início vinculado],0))&lt;&gt;H286),"REVISAR","CONCLUÍDO")))</f>
        <v>CONCLUÍDO</v>
      </c>
      <c r="R286">
        <f>IF(Q286&lt;&gt;"CONCLUÍDO",0,IF(COUNTIFS($E$5:E286,E286,$B$5:B286,B286,$Q$5:Q286,"CONCLUÍDO")=1,1,0))</f>
        <v>1</v>
      </c>
      <c r="S286" t="str">
        <f t="shared" si="19"/>
        <v>yyyy-09</v>
      </c>
      <c r="T286">
        <f>IF(E286="","",E286*100000+COUNTIFS(tblRegistros[ID],E286,tblRegistros[Data],"&lt;"&amp;B286)+COUNTIFS(tblRegistros[ID],E286,tblRegistros[Data],B286,tblRegistros[Início],"&lt;"&amp;I286)+COUNTIFS($E$5:E286,E286,$B$5:B286,B286,$I$5:I286,I286))</f>
        <v>100200018</v>
      </c>
    </row>
    <row r="287" spans="1:20">
      <c r="A287" t="s">
        <v>378</v>
      </c>
      <c r="B287" s="2">
        <f>IFERROR(INT(INDEX(tblBatidas[Data e hora],MATCH("B"&amp;MID($A287,2,99),tblBatidas[Batida ID],0))),"")</f>
        <v>46276</v>
      </c>
      <c r="C287" t="str">
        <f t="shared" si="16"/>
        <v>SEXTA-FEIRA</v>
      </c>
      <c r="D287" t="str">
        <f t="shared" si="17"/>
        <v>DIA ÚTIL</v>
      </c>
      <c r="E287">
        <f>IFERROR(INDEX(tblBatidas[ID],MATCH("B"&amp;MID($A287,2,99),tblBatidas[Batida ID],0)),"")</f>
        <v>1013</v>
      </c>
      <c r="F287" t="str">
        <f>IFERROR(INDEX(tblPessoas[Pessoa],MATCH(E287,tblPessoas[ID],0)),"")</f>
        <v>Rafaela Maria Resende Lara</v>
      </c>
      <c r="G287" t="str">
        <f>IFERROR(INDEX(tblBatidas[Projeto],MATCH("B"&amp;MID($A287,2,99),tblBatidas[Batida ID],0)),"")</f>
        <v>OUTROS</v>
      </c>
      <c r="H287" t="str">
        <f>IFERROR(INDEX(tblBatidas[Atividade],MATCH("B"&amp;MID($A287,2,99),tblBatidas[Batida ID],0)),"")</f>
        <v>ANÁLISE</v>
      </c>
      <c r="I287" s="4">
        <f>IFERROR(MOD(INDEX(tblBatidas[Data e hora],MATCH("B"&amp;MID($A287,2,99),tblBatidas[Batida ID],0)),1),"")</f>
        <v>0.33957175925752381</v>
      </c>
      <c r="J287" s="4">
        <f>IFERROR(MOD(INDEX(tblBatidas[Data e hora],MATCH("B"&amp;MID($A287,2,99),tblBatidas[Início vinculado],0)),1),"")</f>
        <v>0.49113425926043419</v>
      </c>
      <c r="K287" s="14">
        <f>IFERROR((INDEX(tblBatidas[Data e hora],MATCH("B"&amp;MID($A287,2,99),tblBatidas[Início vinculado],0))-INDEX(tblBatidas[Data e hora],MATCH("B"&amp;MID($A287,2,99),tblBatidas[Batida ID],0)))*24,"")</f>
        <v>3.6375000000698492</v>
      </c>
      <c r="L287">
        <f>IFERROR(INDEX(tblBatidas[Observação],MATCH("B"&amp;MID($A287,2,99),tblBatidas[Início vinculado],0)),"")</f>
        <v>0</v>
      </c>
      <c r="M287" t="str">
        <f>IFERROR(INDEX(tblPessoas[Base],MATCH(E287,tblPessoas[ID],0)),"")</f>
        <v>Hora</v>
      </c>
      <c r="N287" s="3">
        <f>IFERROR(IF(D287="DIA ÚTIL",INDEX(tblPessoas[R$/h útil],MATCH(E287,tblPessoas[ID],0)),INDEX(tblPessoas[R$/h FDS],MATCH(E287,tblPessoas[ID],0))),0)</f>
        <v>23.5</v>
      </c>
      <c r="O287" s="3">
        <f>IFERROR(INDEX(tblPessoas[R$/diária],MATCH(E287,tblPessoas[ID],0)),0)</f>
        <v>0</v>
      </c>
      <c r="P287" s="3">
        <f t="shared" si="18"/>
        <v>85.481250001641456</v>
      </c>
      <c r="Q287" t="str">
        <f>IF(A287="","",IF(COUNTIF(tblBatidas[Início vinculado],"B"&amp;MID($A287,2,99))=0,"EM ABERTO",IF(OR(COUNTIF(tblBatidas[Início vinculado],"B"&amp;MID($A287,2,99))&gt;1,K287&lt;0,K287&gt;16,INT(INDEX(tblBatidas[Data e hora],MATCH("B"&amp;MID($A287,2,99),tblBatidas[Início vinculado],0)))&lt;&gt;B287,INDEX(tblBatidas[ID],MATCH("B"&amp;MID($A287,2,99),tblBatidas[Início vinculado],0))&lt;&gt;E287,INDEX(tblBatidas[Projeto],MATCH("B"&amp;MID($A287,2,99),tblBatidas[Início vinculado],0))&lt;&gt;G287,INDEX(tblBatidas[Atividade],MATCH("B"&amp;MID($A287,2,99),tblBatidas[Início vinculado],0))&lt;&gt;H287),"REVISAR","CONCLUÍDO")))</f>
        <v>CONCLUÍDO</v>
      </c>
      <c r="R287">
        <f>IF(Q287&lt;&gt;"CONCLUÍDO",0,IF(COUNTIFS($E$5:E287,E287,$B$5:B287,B287,$Q$5:Q287,"CONCLUÍDO")=1,1,0))</f>
        <v>1</v>
      </c>
      <c r="S287" t="str">
        <f t="shared" si="19"/>
        <v>yyyy-09</v>
      </c>
      <c r="T287">
        <f>IF(E287="","",E287*100000+COUNTIFS(tblRegistros[ID],E287,tblRegistros[Data],"&lt;"&amp;B287)+COUNTIFS(tblRegistros[ID],E287,tblRegistros[Data],B287,tblRegistros[Início],"&lt;"&amp;I287)+COUNTIFS($E$5:E287,E287,$B$5:B287,B287,$I$5:I287,I287))</f>
        <v>101300026</v>
      </c>
    </row>
    <row r="288" spans="1:20">
      <c r="A288" t="s">
        <v>379</v>
      </c>
      <c r="B288" s="2">
        <f>IFERROR(INT(INDEX(tblBatidas[Data e hora],MATCH("B"&amp;MID($A288,2,99),tblBatidas[Batida ID],0))),"")</f>
        <v>46276</v>
      </c>
      <c r="C288" t="str">
        <f t="shared" si="16"/>
        <v>SEXTA-FEIRA</v>
      </c>
      <c r="D288" t="str">
        <f t="shared" si="17"/>
        <v>DIA ÚTIL</v>
      </c>
      <c r="E288">
        <f>IFERROR(INDEX(tblBatidas[ID],MATCH("B"&amp;MID($A288,2,99),tblBatidas[Batida ID],0)),"")</f>
        <v>1003</v>
      </c>
      <c r="F288" t="str">
        <f>IFERROR(INDEX(tblPessoas[Pessoa],MATCH(E288,tblPessoas[ID],0)),"")</f>
        <v>Amanda do Carmo Ribeiro</v>
      </c>
      <c r="G288" t="str">
        <f>IFERROR(INDEX(tblBatidas[Projeto],MATCH("B"&amp;MID($A288,2,99),tblBatidas[Batida ID],0)),"")</f>
        <v>OTEMPO</v>
      </c>
      <c r="H288" t="str">
        <f>IFERROR(INDEX(tblBatidas[Atividade],MATCH("B"&amp;MID($A288,2,99),tblBatidas[Batida ID],0)),"")</f>
        <v>ANÁLISE</v>
      </c>
      <c r="I288" s="4">
        <f>IFERROR(MOD(INDEX(tblBatidas[Data e hora],MATCH("B"&amp;MID($A288,2,99),tblBatidas[Batida ID],0)),1),"")</f>
        <v>0.34032407407357823</v>
      </c>
      <c r="J288" s="4">
        <f>IFERROR(MOD(INDEX(tblBatidas[Data e hora],MATCH("B"&amp;MID($A288,2,99),tblBatidas[Início vinculado],0)),1),"")</f>
        <v>0.52945601852115942</v>
      </c>
      <c r="K288" s="14">
        <f>IFERROR((INDEX(tblBatidas[Data e hora],MATCH("B"&amp;MID($A288,2,99),tblBatidas[Início vinculado],0))-INDEX(tblBatidas[Data e hora],MATCH("B"&amp;MID($A288,2,99),tblBatidas[Batida ID],0)))*24,"")</f>
        <v>4.5391666667419486</v>
      </c>
      <c r="L288">
        <f>IFERROR(INDEX(tblBatidas[Observação],MATCH("B"&amp;MID($A288,2,99),tblBatidas[Início vinculado],0)),"")</f>
        <v>0</v>
      </c>
      <c r="M288" t="str">
        <f>IFERROR(INDEX(tblPessoas[Base],MATCH(E288,tblPessoas[ID],0)),"")</f>
        <v>Hora</v>
      </c>
      <c r="N288" s="3">
        <f>IFERROR(IF(D288="DIA ÚTIL",INDEX(tblPessoas[R$/h útil],MATCH(E288,tblPessoas[ID],0)),INDEX(tblPessoas[R$/h FDS],MATCH(E288,tblPessoas[ID],0))),0)</f>
        <v>23.5</v>
      </c>
      <c r="O288" s="3">
        <f>IFERROR(INDEX(tblPessoas[R$/diária],MATCH(E288,tblPessoas[ID],0)),0)</f>
        <v>0</v>
      </c>
      <c r="P288" s="3">
        <f t="shared" si="18"/>
        <v>106.67041666843579</v>
      </c>
      <c r="Q288" t="str">
        <f>IF(A288="","",IF(COUNTIF(tblBatidas[Início vinculado],"B"&amp;MID($A288,2,99))=0,"EM ABERTO",IF(OR(COUNTIF(tblBatidas[Início vinculado],"B"&amp;MID($A288,2,99))&gt;1,K288&lt;0,K288&gt;16,INT(INDEX(tblBatidas[Data e hora],MATCH("B"&amp;MID($A288,2,99),tblBatidas[Início vinculado],0)))&lt;&gt;B288,INDEX(tblBatidas[ID],MATCH("B"&amp;MID($A288,2,99),tblBatidas[Início vinculado],0))&lt;&gt;E288,INDEX(tblBatidas[Projeto],MATCH("B"&amp;MID($A288,2,99),tblBatidas[Início vinculado],0))&lt;&gt;G288,INDEX(tblBatidas[Atividade],MATCH("B"&amp;MID($A288,2,99),tblBatidas[Início vinculado],0))&lt;&gt;H288),"REVISAR","CONCLUÍDO")))</f>
        <v>CONCLUÍDO</v>
      </c>
      <c r="R288">
        <f>IF(Q288&lt;&gt;"CONCLUÍDO",0,IF(COUNTIFS($E$5:E288,E288,$B$5:B288,B288,$Q$5:Q288,"CONCLUÍDO")=1,1,0))</f>
        <v>1</v>
      </c>
      <c r="S288" t="str">
        <f t="shared" si="19"/>
        <v>yyyy-09</v>
      </c>
      <c r="T288">
        <f>IF(E288="","",E288*100000+COUNTIFS(tblRegistros[ID],E288,tblRegistros[Data],"&lt;"&amp;B288)+COUNTIFS(tblRegistros[ID],E288,tblRegistros[Data],B288,tblRegistros[Início],"&lt;"&amp;I288)+COUNTIFS($E$5:E288,E288,$B$5:B288,B288,$I$5:I288,I288))</f>
        <v>100300025</v>
      </c>
    </row>
    <row r="289" spans="1:20">
      <c r="A289" t="s">
        <v>380</v>
      </c>
      <c r="B289" s="2">
        <f>IFERROR(INT(INDEX(tblBatidas[Data e hora],MATCH("B"&amp;MID($A289,2,99),tblBatidas[Batida ID],0))),"")</f>
        <v>46276</v>
      </c>
      <c r="C289" t="str">
        <f t="shared" si="16"/>
        <v>SEXTA-FEIRA</v>
      </c>
      <c r="D289" t="str">
        <f t="shared" si="17"/>
        <v>DIA ÚTIL</v>
      </c>
      <c r="E289">
        <f>IFERROR(INDEX(tblBatidas[ID],MATCH("B"&amp;MID($A289,2,99),tblBatidas[Batida ID],0)),"")</f>
        <v>1011</v>
      </c>
      <c r="F289" t="str">
        <f>IFERROR(INDEX(tblPessoas[Pessoa],MATCH(E289,tblPessoas[ID],0)),"")</f>
        <v>Nathalia Arruda</v>
      </c>
      <c r="G289" t="str">
        <f>IFERROR(INDEX(tblBatidas[Projeto],MATCH("B"&amp;MID($A289,2,99),tblBatidas[Batida ID],0)),"")</f>
        <v>OTEMPO</v>
      </c>
      <c r="H289" t="str">
        <f>IFERROR(INDEX(tblBatidas[Atividade],MATCH("B"&amp;MID($A289,2,99),tblBatidas[Batida ID],0)),"")</f>
        <v>ANÁLISE</v>
      </c>
      <c r="I289" s="4">
        <f>IFERROR(MOD(INDEX(tblBatidas[Data e hora],MATCH("B"&amp;MID($A289,2,99),tblBatidas[Batida ID],0)),1),"")</f>
        <v>0.34298611111444188</v>
      </c>
      <c r="J289" s="4">
        <f>IFERROR(MOD(INDEX(tblBatidas[Data e hora],MATCH("B"&amp;MID($A289,2,99),tblBatidas[Início vinculado],0)),1),"")</f>
        <v>0.52483796296291985</v>
      </c>
      <c r="K289" s="14">
        <f>IFERROR((INDEX(tblBatidas[Data e hora],MATCH("B"&amp;MID($A289,2,99),tblBatidas[Início vinculado],0))-INDEX(tblBatidas[Data e hora],MATCH("B"&amp;MID($A289,2,99),tblBatidas[Batida ID],0)))*24,"")</f>
        <v>4.3644444443634711</v>
      </c>
      <c r="L289">
        <f>IFERROR(INDEX(tblBatidas[Observação],MATCH("B"&amp;MID($A289,2,99),tblBatidas[Início vinculado],0)),"")</f>
        <v>0</v>
      </c>
      <c r="M289" t="str">
        <f>IFERROR(INDEX(tblPessoas[Base],MATCH(E289,tblPessoas[ID],0)),"")</f>
        <v>Hora</v>
      </c>
      <c r="N289" s="3">
        <f>IFERROR(IF(D289="DIA ÚTIL",INDEX(tblPessoas[R$/h útil],MATCH(E289,tblPessoas[ID],0)),INDEX(tblPessoas[R$/h FDS],MATCH(E289,tblPessoas[ID],0))),0)</f>
        <v>23.5</v>
      </c>
      <c r="O289" s="3">
        <f>IFERROR(INDEX(tblPessoas[R$/diária],MATCH(E289,tblPessoas[ID],0)),0)</f>
        <v>0</v>
      </c>
      <c r="P289" s="3">
        <f t="shared" si="18"/>
        <v>102.56444444254157</v>
      </c>
      <c r="Q289" t="str">
        <f>IF(A289="","",IF(COUNTIF(tblBatidas[Início vinculado],"B"&amp;MID($A289,2,99))=0,"EM ABERTO",IF(OR(COUNTIF(tblBatidas[Início vinculado],"B"&amp;MID($A289,2,99))&gt;1,K289&lt;0,K289&gt;16,INT(INDEX(tblBatidas[Data e hora],MATCH("B"&amp;MID($A289,2,99),tblBatidas[Início vinculado],0)))&lt;&gt;B289,INDEX(tblBatidas[ID],MATCH("B"&amp;MID($A289,2,99),tblBatidas[Início vinculado],0))&lt;&gt;E289,INDEX(tblBatidas[Projeto],MATCH("B"&amp;MID($A289,2,99),tblBatidas[Início vinculado],0))&lt;&gt;G289,INDEX(tblBatidas[Atividade],MATCH("B"&amp;MID($A289,2,99),tblBatidas[Início vinculado],0))&lt;&gt;H289),"REVISAR","CONCLUÍDO")))</f>
        <v>CONCLUÍDO</v>
      </c>
      <c r="R289">
        <f>IF(Q289&lt;&gt;"CONCLUÍDO",0,IF(COUNTIFS($E$5:E289,E289,$B$5:B289,B289,$Q$5:Q289,"CONCLUÍDO")=1,1,0))</f>
        <v>1</v>
      </c>
      <c r="S289" t="str">
        <f t="shared" si="19"/>
        <v>yyyy-09</v>
      </c>
      <c r="T289">
        <f>IF(E289="","",E289*100000+COUNTIFS(tblRegistros[ID],E289,tblRegistros[Data],"&lt;"&amp;B289)+COUNTIFS(tblRegistros[ID],E289,tblRegistros[Data],B289,tblRegistros[Início],"&lt;"&amp;I289)+COUNTIFS($E$5:E289,E289,$B$5:B289,B289,$I$5:I289,I289))</f>
        <v>101100025</v>
      </c>
    </row>
    <row r="290" spans="1:20">
      <c r="A290" t="s">
        <v>381</v>
      </c>
      <c r="B290" s="2">
        <f>IFERROR(INT(INDEX(tblBatidas[Data e hora],MATCH("B"&amp;MID($A290,2,99),tblBatidas[Batida ID],0))),"")</f>
        <v>46276</v>
      </c>
      <c r="C290" t="str">
        <f t="shared" si="16"/>
        <v>SEXTA-FEIRA</v>
      </c>
      <c r="D290" t="str">
        <f t="shared" si="17"/>
        <v>DIA ÚTIL</v>
      </c>
      <c r="E290">
        <f>IFERROR(INDEX(tblBatidas[ID],MATCH("B"&amp;MID($A290,2,99),tblBatidas[Batida ID],0)),"")</f>
        <v>1006</v>
      </c>
      <c r="F290" t="str">
        <f>IFERROR(INDEX(tblPessoas[Pessoa],MATCH(E290,tblPessoas[ID],0)),"")</f>
        <v>Eliane dos Santos Oliveira</v>
      </c>
      <c r="G290" t="str">
        <f>IFERROR(INDEX(tblBatidas[Projeto],MATCH("B"&amp;MID($A290,2,99),tblBatidas[Batida ID],0)),"")</f>
        <v>OUTROS</v>
      </c>
      <c r="H290" t="str">
        <f>IFERROR(INDEX(tblBatidas[Atividade],MATCH("B"&amp;MID($A290,2,99),tblBatidas[Batida ID],0)),"")</f>
        <v>CHECAGEM</v>
      </c>
      <c r="I290" s="4">
        <f>IFERROR(MOD(INDEX(tblBatidas[Data e hora],MATCH("B"&amp;MID($A290,2,99),tblBatidas[Batida ID],0)),1),"")</f>
        <v>0.35190972222335404</v>
      </c>
      <c r="J290" s="4">
        <f>IFERROR(MOD(INDEX(tblBatidas[Data e hora],MATCH("B"&amp;MID($A290,2,99),tblBatidas[Início vinculado],0)),1),"")</f>
        <v>0.35202546296204673</v>
      </c>
      <c r="K290" s="14">
        <f>IFERROR((INDEX(tblBatidas[Data e hora],MATCH("B"&amp;MID($A290,2,99),tblBatidas[Início vinculado],0))-INDEX(tblBatidas[Data e hora],MATCH("B"&amp;MID($A290,2,99),tblBatidas[Batida ID],0)))*24,"")</f>
        <v>2.7777777286246419E-3</v>
      </c>
      <c r="L290">
        <f>IFERROR(INDEX(tblBatidas[Observação],MATCH("B"&amp;MID($A290,2,99),tblBatidas[Início vinculado],0)),"")</f>
        <v>0</v>
      </c>
      <c r="M290" t="str">
        <f>IFERROR(INDEX(tblPessoas[Base],MATCH(E290,tblPessoas[ID],0)),"")</f>
        <v>Hora</v>
      </c>
      <c r="N290" s="3">
        <f>IFERROR(IF(D290="DIA ÚTIL",INDEX(tblPessoas[R$/h útil],MATCH(E290,tblPessoas[ID],0)),INDEX(tblPessoas[R$/h FDS],MATCH(E290,tblPessoas[ID],0))),0)</f>
        <v>14</v>
      </c>
      <c r="O290" s="3">
        <f>IFERROR(INDEX(tblPessoas[R$/diária],MATCH(E290,tblPessoas[ID],0)),0)</f>
        <v>0</v>
      </c>
      <c r="P290" s="3">
        <f t="shared" si="18"/>
        <v>3.8888888200744987E-2</v>
      </c>
      <c r="Q290" t="str">
        <f>IF(A290="","",IF(COUNTIF(tblBatidas[Início vinculado],"B"&amp;MID($A290,2,99))=0,"EM ABERTO",IF(OR(COUNTIF(tblBatidas[Início vinculado],"B"&amp;MID($A290,2,99))&gt;1,K290&lt;0,K290&gt;16,INT(INDEX(tblBatidas[Data e hora],MATCH("B"&amp;MID($A290,2,99),tblBatidas[Início vinculado],0)))&lt;&gt;B290,INDEX(tblBatidas[ID],MATCH("B"&amp;MID($A290,2,99),tblBatidas[Início vinculado],0))&lt;&gt;E290,INDEX(tblBatidas[Projeto],MATCH("B"&amp;MID($A290,2,99),tblBatidas[Início vinculado],0))&lt;&gt;G290,INDEX(tblBatidas[Atividade],MATCH("B"&amp;MID($A290,2,99),tblBatidas[Início vinculado],0))&lt;&gt;H290),"REVISAR","CONCLUÍDO")))</f>
        <v>CONCLUÍDO</v>
      </c>
      <c r="R290">
        <f>IF(Q290&lt;&gt;"CONCLUÍDO",0,IF(COUNTIFS($E$5:E290,E290,$B$5:B290,B290,$Q$5:Q290,"CONCLUÍDO")=1,1,0))</f>
        <v>1</v>
      </c>
      <c r="S290" t="str">
        <f t="shared" si="19"/>
        <v>yyyy-09</v>
      </c>
      <c r="T290">
        <f>IF(E290="","",E290*100000+COUNTIFS(tblRegistros[ID],E290,tblRegistros[Data],"&lt;"&amp;B290)+COUNTIFS(tblRegistros[ID],E290,tblRegistros[Data],B290,tblRegistros[Início],"&lt;"&amp;I290)+COUNTIFS($E$5:E290,E290,$B$5:B290,B290,$I$5:I290,I290))</f>
        <v>100600024</v>
      </c>
    </row>
    <row r="291" spans="1:20">
      <c r="A291" t="s">
        <v>382</v>
      </c>
      <c r="B291" s="2">
        <f>IFERROR(INT(INDEX(tblBatidas[Data e hora],MATCH("B"&amp;MID($A291,2,99),tblBatidas[Batida ID],0))),"")</f>
        <v>46276</v>
      </c>
      <c r="C291" t="str">
        <f t="shared" si="16"/>
        <v>SEXTA-FEIRA</v>
      </c>
      <c r="D291" t="str">
        <f t="shared" si="17"/>
        <v>DIA ÚTIL</v>
      </c>
      <c r="E291">
        <f>IFERROR(INDEX(tblBatidas[ID],MATCH("B"&amp;MID($A291,2,99),tblBatidas[Batida ID],0)),"")</f>
        <v>1006</v>
      </c>
      <c r="F291" t="str">
        <f>IFERROR(INDEX(tblPessoas[Pessoa],MATCH(E291,tblPessoas[ID],0)),"")</f>
        <v>Eliane dos Santos Oliveira</v>
      </c>
      <c r="G291" t="str">
        <f>IFERROR(INDEX(tblBatidas[Projeto],MATCH("B"&amp;MID($A291,2,99),tblBatidas[Batida ID],0)),"")</f>
        <v>OUTROS</v>
      </c>
      <c r="H291" t="str">
        <f>IFERROR(INDEX(tblBatidas[Atividade],MATCH("B"&amp;MID($A291,2,99),tblBatidas[Batida ID],0)),"")</f>
        <v>CHECAGEM</v>
      </c>
      <c r="I291" s="4">
        <f>IFERROR(MOD(INDEX(tblBatidas[Data e hora],MATCH("B"&amp;MID($A291,2,99),tblBatidas[Batida ID],0)),1),"")</f>
        <v>0.35259259259328246</v>
      </c>
      <c r="J291" s="4">
        <f>IFERROR(MOD(INDEX(tblBatidas[Data e hora],MATCH("B"&amp;MID($A291,2,99),tblBatidas[Início vinculado],0)),1),"")</f>
        <v>0.59152777777489973</v>
      </c>
      <c r="K291" s="14">
        <f>IFERROR((INDEX(tblBatidas[Data e hora],MATCH("B"&amp;MID($A291,2,99),tblBatidas[Início vinculado],0))-INDEX(tblBatidas[Data e hora],MATCH("B"&amp;MID($A291,2,99),tblBatidas[Batida ID],0)))*24,"")</f>
        <v>5.7344444443588145</v>
      </c>
      <c r="L291">
        <f>IFERROR(INDEX(tblBatidas[Observação],MATCH("B"&amp;MID($A291,2,99),tblBatidas[Início vinculado],0)),"")</f>
        <v>0</v>
      </c>
      <c r="M291" t="str">
        <f>IFERROR(INDEX(tblPessoas[Base],MATCH(E291,tblPessoas[ID],0)),"")</f>
        <v>Hora</v>
      </c>
      <c r="N291" s="3">
        <f>IFERROR(IF(D291="DIA ÚTIL",INDEX(tblPessoas[R$/h útil],MATCH(E291,tblPessoas[ID],0)),INDEX(tblPessoas[R$/h FDS],MATCH(E291,tblPessoas[ID],0))),0)</f>
        <v>14</v>
      </c>
      <c r="O291" s="3">
        <f>IFERROR(INDEX(tblPessoas[R$/diária],MATCH(E291,tblPessoas[ID],0)),0)</f>
        <v>0</v>
      </c>
      <c r="P291" s="3">
        <f t="shared" si="18"/>
        <v>80.282222221023403</v>
      </c>
      <c r="Q291" t="str">
        <f>IF(A291="","",IF(COUNTIF(tblBatidas[Início vinculado],"B"&amp;MID($A291,2,99))=0,"EM ABERTO",IF(OR(COUNTIF(tblBatidas[Início vinculado],"B"&amp;MID($A291,2,99))&gt;1,K291&lt;0,K291&gt;16,INT(INDEX(tblBatidas[Data e hora],MATCH("B"&amp;MID($A291,2,99),tblBatidas[Início vinculado],0)))&lt;&gt;B291,INDEX(tblBatidas[ID],MATCH("B"&amp;MID($A291,2,99),tblBatidas[Início vinculado],0))&lt;&gt;E291,INDEX(tblBatidas[Projeto],MATCH("B"&amp;MID($A291,2,99),tblBatidas[Início vinculado],0))&lt;&gt;G291,INDEX(tblBatidas[Atividade],MATCH("B"&amp;MID($A291,2,99),tblBatidas[Início vinculado],0))&lt;&gt;H291),"REVISAR","CONCLUÍDO")))</f>
        <v>CONCLUÍDO</v>
      </c>
      <c r="R291">
        <f>IF(Q291&lt;&gt;"CONCLUÍDO",0,IF(COUNTIFS($E$5:E291,E291,$B$5:B291,B291,$Q$5:Q291,"CONCLUÍDO")=1,1,0))</f>
        <v>0</v>
      </c>
      <c r="S291" t="str">
        <f t="shared" si="19"/>
        <v>yyyy-09</v>
      </c>
      <c r="T291">
        <f>IF(E291="","",E291*100000+COUNTIFS(tblRegistros[ID],E291,tblRegistros[Data],"&lt;"&amp;B291)+COUNTIFS(tblRegistros[ID],E291,tblRegistros[Data],B291,tblRegistros[Início],"&lt;"&amp;I291)+COUNTIFS($E$5:E291,E291,$B$5:B291,B291,$I$5:I291,I291))</f>
        <v>100600025</v>
      </c>
    </row>
    <row r="292" spans="1:20">
      <c r="A292" t="s">
        <v>383</v>
      </c>
      <c r="B292" s="2">
        <f>IFERROR(INT(INDEX(tblBatidas[Data e hora],MATCH("B"&amp;MID($A292,2,99),tblBatidas[Batida ID],0))),"")</f>
        <v>46276</v>
      </c>
      <c r="C292" t="str">
        <f t="shared" si="16"/>
        <v>SEXTA-FEIRA</v>
      </c>
      <c r="D292" t="str">
        <f t="shared" si="17"/>
        <v>DIA ÚTIL</v>
      </c>
      <c r="E292">
        <f>IFERROR(INDEX(tblBatidas[ID],MATCH("B"&amp;MID($A292,2,99),tblBatidas[Batida ID],0)),"")</f>
        <v>1004</v>
      </c>
      <c r="F292" t="str">
        <f>IFERROR(INDEX(tblPessoas[Pessoa],MATCH(E292,tblPessoas[ID],0)),"")</f>
        <v>Angela Bertoli</v>
      </c>
      <c r="G292" t="str">
        <f>IFERROR(INDEX(tblBatidas[Projeto],MATCH("B"&amp;MID($A292,2,99),tblBatidas[Batida ID],0)),"")</f>
        <v>SICOOB CREDICOM</v>
      </c>
      <c r="H292" t="str">
        <f>IFERROR(INDEX(tblBatidas[Atividade],MATCH("B"&amp;MID($A292,2,99),tblBatidas[Batida ID],0)),"")</f>
        <v>CODIFICAÇÃO</v>
      </c>
      <c r="I292" s="4">
        <f>IFERROR(MOD(INDEX(tblBatidas[Data e hora],MATCH("B"&amp;MID($A292,2,99),tblBatidas[Batida ID],0)),1),"")</f>
        <v>0.36381944444292458</v>
      </c>
      <c r="J292" s="4">
        <f>IFERROR(MOD(INDEX(tblBatidas[Data e hora],MATCH("B"&amp;MID($A292,2,99),tblBatidas[Início vinculado],0)),1),"")</f>
        <v>0.38952546296059154</v>
      </c>
      <c r="K292" s="14">
        <f>IFERROR((INDEX(tblBatidas[Data e hora],MATCH("B"&amp;MID($A292,2,99),tblBatidas[Início vinculado],0))-INDEX(tblBatidas[Data e hora],MATCH("B"&amp;MID($A292,2,99),tblBatidas[Batida ID],0)))*24,"")</f>
        <v>0.61694444442400709</v>
      </c>
      <c r="L292" t="str">
        <f>IFERROR(INDEX(tblBatidas[Observação],MATCH("B"&amp;MID($A292,2,99),tblBatidas[Início vinculado],0)),"")</f>
        <v>controle dos links</v>
      </c>
      <c r="M292" t="str">
        <f>IFERROR(INDEX(tblPessoas[Base],MATCH(E292,tblPessoas[ID],0)),"")</f>
        <v>Hora</v>
      </c>
      <c r="N292" s="3">
        <f>IFERROR(IF(D292="DIA ÚTIL",INDEX(tblPessoas[R$/h útil],MATCH(E292,tblPessoas[ID],0)),INDEX(tblPessoas[R$/h FDS],MATCH(E292,tblPessoas[ID],0))),0)</f>
        <v>21.5</v>
      </c>
      <c r="O292" s="3">
        <f>IFERROR(INDEX(tblPessoas[R$/diária],MATCH(E292,tblPessoas[ID],0)),0)</f>
        <v>0</v>
      </c>
      <c r="P292" s="3">
        <f t="shared" si="18"/>
        <v>13.264305555116152</v>
      </c>
      <c r="Q292" t="str">
        <f>IF(A292="","",IF(COUNTIF(tblBatidas[Início vinculado],"B"&amp;MID($A292,2,99))=0,"EM ABERTO",IF(OR(COUNTIF(tblBatidas[Início vinculado],"B"&amp;MID($A292,2,99))&gt;1,K292&lt;0,K292&gt;16,INT(INDEX(tblBatidas[Data e hora],MATCH("B"&amp;MID($A292,2,99),tblBatidas[Início vinculado],0)))&lt;&gt;B292,INDEX(tblBatidas[ID],MATCH("B"&amp;MID($A292,2,99),tblBatidas[Início vinculado],0))&lt;&gt;E292,INDEX(tblBatidas[Projeto],MATCH("B"&amp;MID($A292,2,99),tblBatidas[Início vinculado],0))&lt;&gt;G292,INDEX(tblBatidas[Atividade],MATCH("B"&amp;MID($A292,2,99),tblBatidas[Início vinculado],0))&lt;&gt;H292),"REVISAR","CONCLUÍDO")))</f>
        <v>CONCLUÍDO</v>
      </c>
      <c r="R292">
        <f>IF(Q292&lt;&gt;"CONCLUÍDO",0,IF(COUNTIFS($E$5:E292,E292,$B$5:B292,B292,$Q$5:Q292,"CONCLUÍDO")=1,1,0))</f>
        <v>1</v>
      </c>
      <c r="S292" t="str">
        <f t="shared" si="19"/>
        <v>yyyy-09</v>
      </c>
      <c r="T292">
        <f>IF(E292="","",E292*100000+COUNTIFS(tblRegistros[ID],E292,tblRegistros[Data],"&lt;"&amp;B292)+COUNTIFS(tblRegistros[ID],E292,tblRegistros[Data],B292,tblRegistros[Início],"&lt;"&amp;I292)+COUNTIFS($E$5:E292,E292,$B$5:B292,B292,$I$5:I292,I292))</f>
        <v>100400026</v>
      </c>
    </row>
    <row r="293" spans="1:20">
      <c r="A293" t="s">
        <v>384</v>
      </c>
      <c r="B293" s="2">
        <f>IFERROR(INT(INDEX(tblBatidas[Data e hora],MATCH("B"&amp;MID($A293,2,99),tblBatidas[Batida ID],0))),"")</f>
        <v>46276</v>
      </c>
      <c r="C293" t="str">
        <f t="shared" si="16"/>
        <v>SEXTA-FEIRA</v>
      </c>
      <c r="D293" t="str">
        <f t="shared" si="17"/>
        <v>DIA ÚTIL</v>
      </c>
      <c r="E293">
        <f>IFERROR(INDEX(tblBatidas[ID],MATCH("B"&amp;MID($A293,2,99),tblBatidas[Batida ID],0)),"")</f>
        <v>1015</v>
      </c>
      <c r="F293" t="str">
        <f>IFERROR(INDEX(tblPessoas[Pessoa],MATCH(E293,tblPessoas[ID],0)),"")</f>
        <v>Vitor Guilherme Miguel Rocha</v>
      </c>
      <c r="G293" t="str">
        <f>IFERROR(INDEX(tblBatidas[Projeto],MATCH("B"&amp;MID($A293,2,99),tblBatidas[Batida ID],0)),"")</f>
        <v>ADMINISTRATIVO</v>
      </c>
      <c r="H293" t="str">
        <f>IFERROR(INDEX(tblBatidas[Atividade],MATCH("B"&amp;MID($A293,2,99),tblBatidas[Batida ID],0)),"")</f>
        <v>ADMINISTRATIVO</v>
      </c>
      <c r="I293" s="4">
        <f>IFERROR(MOD(INDEX(tblBatidas[Data e hora],MATCH("B"&amp;MID($A293,2,99),tblBatidas[Batida ID],0)),1),"")</f>
        <v>0.36857638888614019</v>
      </c>
      <c r="J293" s="4" t="str">
        <f>IFERROR(MOD(INDEX(tblBatidas[Data e hora],MATCH("B"&amp;MID($A293,2,99),tblBatidas[Início vinculado],0)),1),"")</f>
        <v/>
      </c>
      <c r="K293" s="14" t="str">
        <f>IFERROR((INDEX(tblBatidas[Data e hora],MATCH("B"&amp;MID($A293,2,99),tblBatidas[Início vinculado],0))-INDEX(tblBatidas[Data e hora],MATCH("B"&amp;MID($A293,2,99),tblBatidas[Batida ID],0)))*24,"")</f>
        <v/>
      </c>
      <c r="L293" t="str">
        <f>IFERROR(INDEX(tblBatidas[Observação],MATCH("B"&amp;MID($A293,2,99),tblBatidas[Início vinculado],0)),"")</f>
        <v/>
      </c>
      <c r="M293" t="str">
        <f>IFERROR(INDEX(tblPessoas[Base],MATCH(E293,tblPessoas[ID],0)),"")</f>
        <v>Hora</v>
      </c>
      <c r="N293" s="3">
        <f>IFERROR(IF(D293="DIA ÚTIL",INDEX(tblPessoas[R$/h útil],MATCH(E293,tblPessoas[ID],0)),INDEX(tblPessoas[R$/h FDS],MATCH(E293,tblPessoas[ID],0))),0)</f>
        <v>21.5</v>
      </c>
      <c r="O293" s="3">
        <f>IFERROR(INDEX(tblPessoas[R$/diária],MATCH(E293,tblPessoas[ID],0)),0)</f>
        <v>0</v>
      </c>
      <c r="P293" s="3" t="str">
        <f t="shared" si="18"/>
        <v/>
      </c>
      <c r="Q293" t="str">
        <f>IF(A293="","",IF(COUNTIF(tblBatidas[Início vinculado],"B"&amp;MID($A293,2,99))=0,"EM ABERTO",IF(OR(COUNTIF(tblBatidas[Início vinculado],"B"&amp;MID($A293,2,99))&gt;1,K293&lt;0,K293&gt;16,INT(INDEX(tblBatidas[Data e hora],MATCH("B"&amp;MID($A293,2,99),tblBatidas[Início vinculado],0)))&lt;&gt;B293,INDEX(tblBatidas[ID],MATCH("B"&amp;MID($A293,2,99),tblBatidas[Início vinculado],0))&lt;&gt;E293,INDEX(tblBatidas[Projeto],MATCH("B"&amp;MID($A293,2,99),tblBatidas[Início vinculado],0))&lt;&gt;G293,INDEX(tblBatidas[Atividade],MATCH("B"&amp;MID($A293,2,99),tblBatidas[Início vinculado],0))&lt;&gt;H293),"REVISAR","CONCLUÍDO")))</f>
        <v>EM ABERTO</v>
      </c>
      <c r="R293">
        <f>IF(Q293&lt;&gt;"CONCLUÍDO",0,IF(COUNTIFS($E$5:E293,E293,$B$5:B293,B293,$Q$5:Q293,"CONCLUÍDO")=1,1,0))</f>
        <v>0</v>
      </c>
      <c r="S293" t="str">
        <f t="shared" si="19"/>
        <v>yyyy-09</v>
      </c>
      <c r="T293">
        <f>IF(E293="","",E293*100000+COUNTIFS(tblRegistros[ID],E293,tblRegistros[Data],"&lt;"&amp;B293)+COUNTIFS(tblRegistros[ID],E293,tblRegistros[Data],B293,tblRegistros[Início],"&lt;"&amp;I293)+COUNTIFS($E$5:E293,E293,$B$5:B293,B293,$I$5:I293,I293))</f>
        <v>101500028</v>
      </c>
    </row>
    <row r="294" spans="1:20">
      <c r="A294" t="s">
        <v>385</v>
      </c>
      <c r="B294" s="2">
        <f>IFERROR(INT(INDEX(tblBatidas[Data e hora],MATCH("B"&amp;MID($A294,2,99),tblBatidas[Batida ID],0))),"")</f>
        <v>46276</v>
      </c>
      <c r="C294" t="str">
        <f t="shared" si="16"/>
        <v>SEXTA-FEIRA</v>
      </c>
      <c r="D294" t="str">
        <f t="shared" si="17"/>
        <v>DIA ÚTIL</v>
      </c>
      <c r="E294">
        <f>IFERROR(INDEX(tblBatidas[ID],MATCH("B"&amp;MID($A294,2,99),tblBatidas[Batida ID],0)),"")</f>
        <v>1012</v>
      </c>
      <c r="F294" t="str">
        <f>IFERROR(INDEX(tblPessoas[Pessoa],MATCH(E294,tblPessoas[ID],0)),"")</f>
        <v>Nelma Lucia dos S. B. Brandão</v>
      </c>
      <c r="G294" t="str">
        <f>IFERROR(INDEX(tblBatidas[Projeto],MATCH("B"&amp;MID($A294,2,99),tblBatidas[Batida ID],0)),"")</f>
        <v>ESTADUAL - OTEMPO</v>
      </c>
      <c r="H294" t="str">
        <f>IFERROR(INDEX(tblBatidas[Atividade],MATCH("B"&amp;MID($A294,2,99),tblBatidas[Batida ID],0)),"")</f>
        <v>SUPERVISÃO</v>
      </c>
      <c r="I294" s="4">
        <f>IFERROR(MOD(INDEX(tblBatidas[Data e hora],MATCH("B"&amp;MID($A294,2,99),tblBatidas[Batida ID],0)),1),"")</f>
        <v>0.37953703703533392</v>
      </c>
      <c r="J294" s="4" t="str">
        <f>IFERROR(MOD(INDEX(tblBatidas[Data e hora],MATCH("B"&amp;MID($A294,2,99),tblBatidas[Início vinculado],0)),1),"")</f>
        <v/>
      </c>
      <c r="K294" s="14" t="str">
        <f>IFERROR((INDEX(tblBatidas[Data e hora],MATCH("B"&amp;MID($A294,2,99),tblBatidas[Início vinculado],0))-INDEX(tblBatidas[Data e hora],MATCH("B"&amp;MID($A294,2,99),tblBatidas[Batida ID],0)))*24,"")</f>
        <v/>
      </c>
      <c r="L294" t="str">
        <f>IFERROR(INDEX(tblBatidas[Observação],MATCH("B"&amp;MID($A294,2,99),tblBatidas[Início vinculado],0)),"")</f>
        <v/>
      </c>
      <c r="M294" t="str">
        <f>IFERROR(INDEX(tblPessoas[Base],MATCH(E294,tblPessoas[ID],0)),"")</f>
        <v>Diária</v>
      </c>
      <c r="N294" s="3">
        <f>IFERROR(IF(D294="DIA ÚTIL",INDEX(tblPessoas[R$/h útil],MATCH(E294,tblPessoas[ID],0)),INDEX(tblPessoas[R$/h FDS],MATCH(E294,tblPessoas[ID],0))),0)</f>
        <v>0</v>
      </c>
      <c r="O294" s="3">
        <f>IFERROR(INDEX(tblPessoas[R$/diária],MATCH(E294,tblPessoas[ID],0)),0)</f>
        <v>222.72</v>
      </c>
      <c r="P294" s="3" t="str">
        <f t="shared" si="18"/>
        <v/>
      </c>
      <c r="Q294" t="str">
        <f>IF(A294="","",IF(COUNTIF(tblBatidas[Início vinculado],"B"&amp;MID($A294,2,99))=0,"EM ABERTO",IF(OR(COUNTIF(tblBatidas[Início vinculado],"B"&amp;MID($A294,2,99))&gt;1,K294&lt;0,K294&gt;16,INT(INDEX(tblBatidas[Data e hora],MATCH("B"&amp;MID($A294,2,99),tblBatidas[Início vinculado],0)))&lt;&gt;B294,INDEX(tblBatidas[ID],MATCH("B"&amp;MID($A294,2,99),tblBatidas[Início vinculado],0))&lt;&gt;E294,INDEX(tblBatidas[Projeto],MATCH("B"&amp;MID($A294,2,99),tblBatidas[Início vinculado],0))&lt;&gt;G294,INDEX(tblBatidas[Atividade],MATCH("B"&amp;MID($A294,2,99),tblBatidas[Início vinculado],0))&lt;&gt;H294),"REVISAR","CONCLUÍDO")))</f>
        <v>EM ABERTO</v>
      </c>
      <c r="R294">
        <f>IF(Q294&lt;&gt;"CONCLUÍDO",0,IF(COUNTIFS($E$5:E294,E294,$B$5:B294,B294,$Q$5:Q294,"CONCLUÍDO")=1,1,0))</f>
        <v>0</v>
      </c>
      <c r="S294" t="str">
        <f t="shared" si="19"/>
        <v>yyyy-09</v>
      </c>
      <c r="T294">
        <f>IF(E294="","",E294*100000+COUNTIFS(tblRegistros[ID],E294,tblRegistros[Data],"&lt;"&amp;B294)+COUNTIFS(tblRegistros[ID],E294,tblRegistros[Data],B294,tblRegistros[Início],"&lt;"&amp;I294)+COUNTIFS($E$5:E294,E294,$B$5:B294,B294,$I$5:I294,I294))</f>
        <v>101200034</v>
      </c>
    </row>
    <row r="295" spans="1:20">
      <c r="A295" t="s">
        <v>386</v>
      </c>
      <c r="B295" s="2">
        <f>IFERROR(INT(INDEX(tblBatidas[Data e hora],MATCH("B"&amp;MID($A295,2,99),tblBatidas[Batida ID],0))),"")</f>
        <v>46276</v>
      </c>
      <c r="C295" t="str">
        <f t="shared" si="16"/>
        <v>SEXTA-FEIRA</v>
      </c>
      <c r="D295" t="str">
        <f t="shared" si="17"/>
        <v>DIA ÚTIL</v>
      </c>
      <c r="E295">
        <f>IFERROR(INDEX(tblBatidas[ID],MATCH("B"&amp;MID($A295,2,99),tblBatidas[Batida ID],0)),"")</f>
        <v>1017</v>
      </c>
      <c r="F295" t="str">
        <f>IFERROR(INDEX(tblPessoas[Pessoa],MATCH(E295,tblPessoas[ID],0)),"")</f>
        <v>Renato Inácio da Silva</v>
      </c>
      <c r="G295" t="str">
        <f>IFERROR(INDEX(tblBatidas[Projeto],MATCH("B"&amp;MID($A295,2,99),tblBatidas[Batida ID],0)),"")</f>
        <v>BETIM - TRACKING</v>
      </c>
      <c r="H295" t="str">
        <f>IFERROR(INDEX(tblBatidas[Atividade],MATCH("B"&amp;MID($A295,2,99),tblBatidas[Batida ID],0)),"")</f>
        <v>CHECAGEM</v>
      </c>
      <c r="I295" s="4">
        <f>IFERROR(MOD(INDEX(tblBatidas[Data e hora],MATCH("B"&amp;MID($A295,2,99),tblBatidas[Batida ID],0)),1),"")</f>
        <v>0.38258101851533866</v>
      </c>
      <c r="J295" s="4">
        <f>IFERROR(MOD(INDEX(tblBatidas[Data e hora],MATCH("B"&amp;MID($A295,2,99),tblBatidas[Início vinculado],0)),1),"")</f>
        <v>0.56888888889079681</v>
      </c>
      <c r="K295" s="14">
        <f>IFERROR((INDEX(tblBatidas[Data e hora],MATCH("B"&amp;MID($A295,2,99),tblBatidas[Início vinculado],0))-INDEX(tblBatidas[Data e hora],MATCH("B"&amp;MID($A295,2,99),tblBatidas[Batida ID],0)))*24,"")</f>
        <v>4.4713888890109956</v>
      </c>
      <c r="L295">
        <f>IFERROR(INDEX(tblBatidas[Observação],MATCH("B"&amp;MID($A295,2,99),tblBatidas[Início vinculado],0)),"")</f>
        <v>0</v>
      </c>
      <c r="M295" t="str">
        <f>IFERROR(INDEX(tblPessoas[Base],MATCH(E295,tblPessoas[ID],0)),"")</f>
        <v>Hora</v>
      </c>
      <c r="N295" s="3">
        <f>IFERROR(IF(D295="DIA ÚTIL",INDEX(tblPessoas[R$/h útil],MATCH(E295,tblPessoas[ID],0)),INDEX(tblPessoas[R$/h FDS],MATCH(E295,tblPessoas[ID],0))),0)</f>
        <v>14</v>
      </c>
      <c r="O295" s="3">
        <f>IFERROR(INDEX(tblPessoas[R$/diária],MATCH(E295,tblPessoas[ID],0)),0)</f>
        <v>0</v>
      </c>
      <c r="P295" s="3">
        <f t="shared" si="18"/>
        <v>62.599444446153939</v>
      </c>
      <c r="Q295" t="str">
        <f>IF(A295="","",IF(COUNTIF(tblBatidas[Início vinculado],"B"&amp;MID($A295,2,99))=0,"EM ABERTO",IF(OR(COUNTIF(tblBatidas[Início vinculado],"B"&amp;MID($A295,2,99))&gt;1,K295&lt;0,K295&gt;16,INT(INDEX(tblBatidas[Data e hora],MATCH("B"&amp;MID($A295,2,99),tblBatidas[Início vinculado],0)))&lt;&gt;B295,INDEX(tblBatidas[ID],MATCH("B"&amp;MID($A295,2,99),tblBatidas[Início vinculado],0))&lt;&gt;E295,INDEX(tblBatidas[Projeto],MATCH("B"&amp;MID($A295,2,99),tblBatidas[Início vinculado],0))&lt;&gt;G295,INDEX(tblBatidas[Atividade],MATCH("B"&amp;MID($A295,2,99),tblBatidas[Início vinculado],0))&lt;&gt;H295),"REVISAR","CONCLUÍDO")))</f>
        <v>CONCLUÍDO</v>
      </c>
      <c r="R295">
        <f>IF(Q295&lt;&gt;"CONCLUÍDO",0,IF(COUNTIFS($E$5:E295,E295,$B$5:B295,B295,$Q$5:Q295,"CONCLUÍDO")=1,1,0))</f>
        <v>1</v>
      </c>
      <c r="S295" t="str">
        <f t="shared" si="19"/>
        <v>yyyy-09</v>
      </c>
      <c r="T295">
        <f>IF(E295="","",E295*100000+COUNTIFS(tblRegistros[ID],E295,tblRegistros[Data],"&lt;"&amp;B295)+COUNTIFS(tblRegistros[ID],E295,tblRegistros[Data],B295,tblRegistros[Início],"&lt;"&amp;I295)+COUNTIFS($E$5:E295,E295,$B$5:B295,B295,$I$5:I295,I295))</f>
        <v>101700001</v>
      </c>
    </row>
    <row r="296" spans="1:20">
      <c r="A296" t="s">
        <v>387</v>
      </c>
      <c r="B296" s="2">
        <f>IFERROR(INT(INDEX(tblBatidas[Data e hora],MATCH("B"&amp;MID($A296,2,99),tblBatidas[Batida ID],0))),"")</f>
        <v>46276</v>
      </c>
      <c r="C296" t="str">
        <f t="shared" si="16"/>
        <v>SEXTA-FEIRA</v>
      </c>
      <c r="D296" t="str">
        <f t="shared" si="17"/>
        <v>DIA ÚTIL</v>
      </c>
      <c r="E296">
        <f>IFERROR(INDEX(tblBatidas[ID],MATCH("B"&amp;MID($A296,2,99),tblBatidas[Batida ID],0)),"")</f>
        <v>1004</v>
      </c>
      <c r="F296" t="str">
        <f>IFERROR(INDEX(tblPessoas[Pessoa],MATCH(E296,tblPessoas[ID],0)),"")</f>
        <v>Angela Bertoli</v>
      </c>
      <c r="G296" t="str">
        <f>IFERROR(INDEX(tblBatidas[Projeto],MATCH("B"&amp;MID($A296,2,99),tblBatidas[Batida ID],0)),"")</f>
        <v>CAMPANHA</v>
      </c>
      <c r="H296" t="str">
        <f>IFERROR(INDEX(tblBatidas[Atividade],MATCH("B"&amp;MID($A296,2,99),tblBatidas[Batida ID],0)),"")</f>
        <v>CODIFICAÇÃO</v>
      </c>
      <c r="I296" s="4">
        <f>IFERROR(MOD(INDEX(tblBatidas[Data e hora],MATCH("B"&amp;MID($A296,2,99),tblBatidas[Batida ID],0)),1),"")</f>
        <v>0.39009259259182727</v>
      </c>
      <c r="J296" s="4" t="str">
        <f>IFERROR(MOD(INDEX(tblBatidas[Data e hora],MATCH("B"&amp;MID($A296,2,99),tblBatidas[Início vinculado],0)),1),"")</f>
        <v/>
      </c>
      <c r="K296" s="14" t="str">
        <f>IFERROR((INDEX(tblBatidas[Data e hora],MATCH("B"&amp;MID($A296,2,99),tblBatidas[Início vinculado],0))-INDEX(tblBatidas[Data e hora],MATCH("B"&amp;MID($A296,2,99),tblBatidas[Batida ID],0)))*24,"")</f>
        <v/>
      </c>
      <c r="L296" t="str">
        <f>IFERROR(INDEX(tblBatidas[Observação],MATCH("B"&amp;MID($A296,2,99),tblBatidas[Início vinculado],0)),"")</f>
        <v/>
      </c>
      <c r="M296" t="str">
        <f>IFERROR(INDEX(tblPessoas[Base],MATCH(E296,tblPessoas[ID],0)),"")</f>
        <v>Hora</v>
      </c>
      <c r="N296" s="3">
        <f>IFERROR(IF(D296="DIA ÚTIL",INDEX(tblPessoas[R$/h útil],MATCH(E296,tblPessoas[ID],0)),INDEX(tblPessoas[R$/h FDS],MATCH(E296,tblPessoas[ID],0))),0)</f>
        <v>21.5</v>
      </c>
      <c r="O296" s="3">
        <f>IFERROR(INDEX(tblPessoas[R$/diária],MATCH(E296,tblPessoas[ID],0)),0)</f>
        <v>0</v>
      </c>
      <c r="P296" s="3" t="str">
        <f t="shared" si="18"/>
        <v/>
      </c>
      <c r="Q296" t="str">
        <f>IF(A296="","",IF(COUNTIF(tblBatidas[Início vinculado],"B"&amp;MID($A296,2,99))=0,"EM ABERTO",IF(OR(COUNTIF(tblBatidas[Início vinculado],"B"&amp;MID($A296,2,99))&gt;1,K296&lt;0,K296&gt;16,INT(INDEX(tblBatidas[Data e hora],MATCH("B"&amp;MID($A296,2,99),tblBatidas[Início vinculado],0)))&lt;&gt;B296,INDEX(tblBatidas[ID],MATCH("B"&amp;MID($A296,2,99),tblBatidas[Início vinculado],0))&lt;&gt;E296,INDEX(tblBatidas[Projeto],MATCH("B"&amp;MID($A296,2,99),tblBatidas[Início vinculado],0))&lt;&gt;G296,INDEX(tblBatidas[Atividade],MATCH("B"&amp;MID($A296,2,99),tblBatidas[Início vinculado],0))&lt;&gt;H296),"REVISAR","CONCLUÍDO")))</f>
        <v>EM ABERTO</v>
      </c>
      <c r="R296">
        <f>IF(Q296&lt;&gt;"CONCLUÍDO",0,IF(COUNTIFS($E$5:E296,E296,$B$5:B296,B296,$Q$5:Q296,"CONCLUÍDO")=1,1,0))</f>
        <v>0</v>
      </c>
      <c r="S296" t="str">
        <f t="shared" si="19"/>
        <v>yyyy-09</v>
      </c>
      <c r="T296">
        <f>IF(E296="","",E296*100000+COUNTIFS(tblRegistros[ID],E296,tblRegistros[Data],"&lt;"&amp;B296)+COUNTIFS(tblRegistros[ID],E296,tblRegistros[Data],B296,tblRegistros[Início],"&lt;"&amp;I296)+COUNTIFS($E$5:E296,E296,$B$5:B296,B296,$I$5:I296,I296))</f>
        <v>100400027</v>
      </c>
    </row>
    <row r="297" spans="1:20">
      <c r="A297" t="s">
        <v>388</v>
      </c>
      <c r="B297" s="2">
        <f>IFERROR(INT(INDEX(tblBatidas[Data e hora],MATCH("B"&amp;MID($A297,2,99),tblBatidas[Batida ID],0))),"")</f>
        <v>46276</v>
      </c>
      <c r="C297" t="str">
        <f t="shared" si="16"/>
        <v>SEXTA-FEIRA</v>
      </c>
      <c r="D297" t="str">
        <f t="shared" si="17"/>
        <v>DIA ÚTIL</v>
      </c>
      <c r="E297">
        <f>IFERROR(INDEX(tblBatidas[ID],MATCH("B"&amp;MID($A297,2,99),tblBatidas[Batida ID],0)),"")</f>
        <v>1004</v>
      </c>
      <c r="F297" t="str">
        <f>IFERROR(INDEX(tblPessoas[Pessoa],MATCH(E297,tblPessoas[ID],0)),"")</f>
        <v>Angela Bertoli</v>
      </c>
      <c r="G297" t="str">
        <f>IFERROR(INDEX(tblBatidas[Projeto],MATCH("B"&amp;MID($A297,2,99),tblBatidas[Batida ID],0)),"")</f>
        <v>CAMPANHA</v>
      </c>
      <c r="H297" t="str">
        <f>IFERROR(INDEX(tblBatidas[Atividade],MATCH("B"&amp;MID($A297,2,99),tblBatidas[Batida ID],0)),"")</f>
        <v>CODIFICAÇÃO</v>
      </c>
      <c r="I297" s="4">
        <f>IFERROR(MOD(INDEX(tblBatidas[Data e hora],MATCH("B"&amp;MID($A297,2,99),tblBatidas[Batida ID],0)),1),"")</f>
        <v>0.39012731481489027</v>
      </c>
      <c r="J297" s="4">
        <f>IFERROR(MOD(INDEX(tblBatidas[Data e hora],MATCH("B"&amp;MID($A297,2,99),tblBatidas[Início vinculado],0)),1),"")</f>
        <v>0.54626157407619758</v>
      </c>
      <c r="K297" s="14">
        <f>IFERROR((INDEX(tblBatidas[Data e hora],MATCH("B"&amp;MID($A297,2,99),tblBatidas[Início vinculado],0))-INDEX(tblBatidas[Data e hora],MATCH("B"&amp;MID($A297,2,99),tblBatidas[Batida ID],0)))*24,"")</f>
        <v>3.7472222222713754</v>
      </c>
      <c r="L297" t="str">
        <f>IFERROR(INDEX(tblBatidas[Observação],MATCH("B"&amp;MID($A297,2,99),tblBatidas[Início vinculado],0)),"")</f>
        <v>Estadual 4.1</v>
      </c>
      <c r="M297" t="str">
        <f>IFERROR(INDEX(tblPessoas[Base],MATCH(E297,tblPessoas[ID],0)),"")</f>
        <v>Hora</v>
      </c>
      <c r="N297" s="3">
        <f>IFERROR(IF(D297="DIA ÚTIL",INDEX(tblPessoas[R$/h útil],MATCH(E297,tblPessoas[ID],0)),INDEX(tblPessoas[R$/h FDS],MATCH(E297,tblPessoas[ID],0))),0)</f>
        <v>21.5</v>
      </c>
      <c r="O297" s="3">
        <f>IFERROR(INDEX(tblPessoas[R$/diária],MATCH(E297,tblPessoas[ID],0)),0)</f>
        <v>0</v>
      </c>
      <c r="P297" s="3">
        <f t="shared" si="18"/>
        <v>80.56527777883457</v>
      </c>
      <c r="Q297" t="str">
        <f>IF(A297="","",IF(COUNTIF(tblBatidas[Início vinculado],"B"&amp;MID($A297,2,99))=0,"EM ABERTO",IF(OR(COUNTIF(tblBatidas[Início vinculado],"B"&amp;MID($A297,2,99))&gt;1,K297&lt;0,K297&gt;16,INT(INDEX(tblBatidas[Data e hora],MATCH("B"&amp;MID($A297,2,99),tblBatidas[Início vinculado],0)))&lt;&gt;B297,INDEX(tblBatidas[ID],MATCH("B"&amp;MID($A297,2,99),tblBatidas[Início vinculado],0))&lt;&gt;E297,INDEX(tblBatidas[Projeto],MATCH("B"&amp;MID($A297,2,99),tblBatidas[Início vinculado],0))&lt;&gt;G297,INDEX(tblBatidas[Atividade],MATCH("B"&amp;MID($A297,2,99),tblBatidas[Início vinculado],0))&lt;&gt;H297),"REVISAR","CONCLUÍDO")))</f>
        <v>CONCLUÍDO</v>
      </c>
      <c r="R297">
        <f>IF(Q297&lt;&gt;"CONCLUÍDO",0,IF(COUNTIFS($E$5:E297,E297,$B$5:B297,B297,$Q$5:Q297,"CONCLUÍDO")=1,1,0))</f>
        <v>0</v>
      </c>
      <c r="S297" t="str">
        <f t="shared" si="19"/>
        <v>yyyy-09</v>
      </c>
      <c r="T297">
        <f>IF(E297="","",E297*100000+COUNTIFS(tblRegistros[ID],E297,tblRegistros[Data],"&lt;"&amp;B297)+COUNTIFS(tblRegistros[ID],E297,tblRegistros[Data],B297,tblRegistros[Início],"&lt;"&amp;I297)+COUNTIFS($E$5:E297,E297,$B$5:B297,B297,$I$5:I297,I297))</f>
        <v>100400028</v>
      </c>
    </row>
    <row r="298" spans="1:20">
      <c r="A298" t="s">
        <v>389</v>
      </c>
      <c r="B298" s="2">
        <f>IFERROR(INT(INDEX(tblBatidas[Data e hora],MATCH("B"&amp;MID($A298,2,99),tblBatidas[Batida ID],0))),"")</f>
        <v>46276</v>
      </c>
      <c r="C298" t="str">
        <f t="shared" si="16"/>
        <v>SEXTA-FEIRA</v>
      </c>
      <c r="D298" t="str">
        <f t="shared" si="17"/>
        <v>DIA ÚTIL</v>
      </c>
      <c r="E298">
        <f>IFERROR(INDEX(tblBatidas[ID],MATCH("B"&amp;MID($A298,2,99),tblBatidas[Batida ID],0)),"")</f>
        <v>1004</v>
      </c>
      <c r="F298" t="str">
        <f>IFERROR(INDEX(tblPessoas[Pessoa],MATCH(E298,tblPessoas[ID],0)),"")</f>
        <v>Angela Bertoli</v>
      </c>
      <c r="G298" t="str">
        <f>IFERROR(INDEX(tblBatidas[Projeto],MATCH("B"&amp;MID($A298,2,99),tblBatidas[Batida ID],0)),"")</f>
        <v>BETIM - TRACKING</v>
      </c>
      <c r="H298" t="str">
        <f>IFERROR(INDEX(tblBatidas[Atividade],MATCH("B"&amp;MID($A298,2,99),tblBatidas[Batida ID],0)),"")</f>
        <v>CHECAGEM</v>
      </c>
      <c r="I298" s="4">
        <f>IFERROR(MOD(INDEX(tblBatidas[Data e hora],MATCH("B"&amp;MID($A298,2,99),tblBatidas[Batida ID],0)),1),"")</f>
        <v>0.40561342592263827</v>
      </c>
      <c r="J298" s="4" t="str">
        <f>IFERROR(MOD(INDEX(tblBatidas[Data e hora],MATCH("B"&amp;MID($A298,2,99),tblBatidas[Início vinculado],0)),1),"")</f>
        <v/>
      </c>
      <c r="K298" s="14" t="str">
        <f>IFERROR((INDEX(tblBatidas[Data e hora],MATCH("B"&amp;MID($A298,2,99),tblBatidas[Início vinculado],0))-INDEX(tblBatidas[Data e hora],MATCH("B"&amp;MID($A298,2,99),tblBatidas[Batida ID],0)))*24,"")</f>
        <v/>
      </c>
      <c r="L298" t="str">
        <f>IFERROR(INDEX(tblBatidas[Observação],MATCH("B"&amp;MID($A298,2,99),tblBatidas[Início vinculado],0)),"")</f>
        <v/>
      </c>
      <c r="M298" t="str">
        <f>IFERROR(INDEX(tblPessoas[Base],MATCH(E298,tblPessoas[ID],0)),"")</f>
        <v>Hora</v>
      </c>
      <c r="N298" s="3">
        <f>IFERROR(IF(D298="DIA ÚTIL",INDEX(tblPessoas[R$/h útil],MATCH(E298,tblPessoas[ID],0)),INDEX(tblPessoas[R$/h FDS],MATCH(E298,tblPessoas[ID],0))),0)</f>
        <v>21.5</v>
      </c>
      <c r="O298" s="3">
        <f>IFERROR(INDEX(tblPessoas[R$/diária],MATCH(E298,tblPessoas[ID],0)),0)</f>
        <v>0</v>
      </c>
      <c r="P298" s="3" t="str">
        <f t="shared" si="18"/>
        <v/>
      </c>
      <c r="Q298" t="str">
        <f>IF(A298="","",IF(COUNTIF(tblBatidas[Início vinculado],"B"&amp;MID($A298,2,99))=0,"EM ABERTO",IF(OR(COUNTIF(tblBatidas[Início vinculado],"B"&amp;MID($A298,2,99))&gt;1,K298&lt;0,K298&gt;16,INT(INDEX(tblBatidas[Data e hora],MATCH("B"&amp;MID($A298,2,99),tblBatidas[Início vinculado],0)))&lt;&gt;B298,INDEX(tblBatidas[ID],MATCH("B"&amp;MID($A298,2,99),tblBatidas[Início vinculado],0))&lt;&gt;E298,INDEX(tblBatidas[Projeto],MATCH("B"&amp;MID($A298,2,99),tblBatidas[Início vinculado],0))&lt;&gt;G298,INDEX(tblBatidas[Atividade],MATCH("B"&amp;MID($A298,2,99),tblBatidas[Início vinculado],0))&lt;&gt;H298),"REVISAR","CONCLUÍDO")))</f>
        <v>EM ABERTO</v>
      </c>
      <c r="R298">
        <f>IF(Q298&lt;&gt;"CONCLUÍDO",0,IF(COUNTIFS($E$5:E298,E298,$B$5:B298,B298,$Q$5:Q298,"CONCLUÍDO")=1,1,0))</f>
        <v>0</v>
      </c>
      <c r="S298" t="str">
        <f t="shared" si="19"/>
        <v>yyyy-09</v>
      </c>
      <c r="T298">
        <f>IF(E298="","",E298*100000+COUNTIFS(tblRegistros[ID],E298,tblRegistros[Data],"&lt;"&amp;B298)+COUNTIFS(tblRegistros[ID],E298,tblRegistros[Data],B298,tblRegistros[Início],"&lt;"&amp;I298)+COUNTIFS($E$5:E298,E298,$B$5:B298,B298,$I$5:I298,I298))</f>
        <v>100400029</v>
      </c>
    </row>
    <row r="299" spans="1:20">
      <c r="A299" t="s">
        <v>390</v>
      </c>
      <c r="B299" s="2">
        <f>IFERROR(INT(INDEX(tblBatidas[Data e hora],MATCH("B"&amp;MID($A299,2,99),tblBatidas[Batida ID],0))),"")</f>
        <v>46276</v>
      </c>
      <c r="C299" t="str">
        <f t="shared" si="16"/>
        <v>SEXTA-FEIRA</v>
      </c>
      <c r="D299" t="str">
        <f t="shared" si="17"/>
        <v>DIA ÚTIL</v>
      </c>
      <c r="E299">
        <f>IFERROR(INDEX(tblBatidas[ID],MATCH("B"&amp;MID($A299,2,99),tblBatidas[Batida ID],0)),"")</f>
        <v>1014</v>
      </c>
      <c r="F299" t="str">
        <f>IFERROR(INDEX(tblPessoas[Pessoa],MATCH(E299,tblPessoas[ID],0)),"")</f>
        <v>Robert Filipe Orlando de Souza</v>
      </c>
      <c r="G299" t="str">
        <f>IFERROR(INDEX(tblBatidas[Projeto],MATCH("B"&amp;MID($A299,2,99),tblBatidas[Batida ID],0)),"")</f>
        <v>BETIM - TRACKING</v>
      </c>
      <c r="H299" t="str">
        <f>IFERROR(INDEX(tblBatidas[Atividade],MATCH("B"&amp;MID($A299,2,99),tblBatidas[Batida ID],0)),"")</f>
        <v>CHECAGEM</v>
      </c>
      <c r="I299" s="4">
        <f>IFERROR(MOD(INDEX(tblBatidas[Data e hora],MATCH("B"&amp;MID($A299,2,99),tblBatidas[Batida ID],0)),1),"")</f>
        <v>0.40569444444554392</v>
      </c>
      <c r="J299" s="4">
        <f>IFERROR(MOD(INDEX(tblBatidas[Data e hora],MATCH("B"&amp;MID($A299,2,99),tblBatidas[Início vinculado],0)),1),"")</f>
        <v>0.53166666666948004</v>
      </c>
      <c r="K299" s="14">
        <f>IFERROR((INDEX(tblBatidas[Data e hora],MATCH("B"&amp;MID($A299,2,99),tblBatidas[Início vinculado],0))-INDEX(tblBatidas[Data e hora],MATCH("B"&amp;MID($A299,2,99),tblBatidas[Batida ID],0)))*24,"")</f>
        <v>3.0233333333744667</v>
      </c>
      <c r="L299">
        <f>IFERROR(INDEX(tblBatidas[Observação],MATCH("B"&amp;MID($A299,2,99),tblBatidas[Início vinculado],0)),"")</f>
        <v>0</v>
      </c>
      <c r="M299" t="str">
        <f>IFERROR(INDEX(tblPessoas[Base],MATCH(E299,tblPessoas[ID],0)),"")</f>
        <v>Hora</v>
      </c>
      <c r="N299" s="3">
        <f>IFERROR(IF(D299="DIA ÚTIL",INDEX(tblPessoas[R$/h útil],MATCH(E299,tblPessoas[ID],0)),INDEX(tblPessoas[R$/h FDS],MATCH(E299,tblPessoas[ID],0))),0)</f>
        <v>21.5</v>
      </c>
      <c r="O299" s="3">
        <f>IFERROR(INDEX(tblPessoas[R$/diária],MATCH(E299,tblPessoas[ID],0)),0)</f>
        <v>0</v>
      </c>
      <c r="P299" s="3">
        <f t="shared" si="18"/>
        <v>65.001666667551035</v>
      </c>
      <c r="Q299" t="str">
        <f>IF(A299="","",IF(COUNTIF(tblBatidas[Início vinculado],"B"&amp;MID($A299,2,99))=0,"EM ABERTO",IF(OR(COUNTIF(tblBatidas[Início vinculado],"B"&amp;MID($A299,2,99))&gt;1,K299&lt;0,K299&gt;16,INT(INDEX(tblBatidas[Data e hora],MATCH("B"&amp;MID($A299,2,99),tblBatidas[Início vinculado],0)))&lt;&gt;B299,INDEX(tblBatidas[ID],MATCH("B"&amp;MID($A299,2,99),tblBatidas[Início vinculado],0))&lt;&gt;E299,INDEX(tblBatidas[Projeto],MATCH("B"&amp;MID($A299,2,99),tblBatidas[Início vinculado],0))&lt;&gt;G299,INDEX(tblBatidas[Atividade],MATCH("B"&amp;MID($A299,2,99),tblBatidas[Início vinculado],0))&lt;&gt;H299),"REVISAR","CONCLUÍDO")))</f>
        <v>CONCLUÍDO</v>
      </c>
      <c r="R299">
        <f>IF(Q299&lt;&gt;"CONCLUÍDO",0,IF(COUNTIFS($E$5:E299,E299,$B$5:B299,B299,$Q$5:Q299,"CONCLUÍDO")=1,1,0))</f>
        <v>1</v>
      </c>
      <c r="S299" t="str">
        <f t="shared" si="19"/>
        <v>yyyy-09</v>
      </c>
      <c r="T299">
        <f>IF(E299="","",E299*100000+COUNTIFS(tblRegistros[ID],E299,tblRegistros[Data],"&lt;"&amp;B299)+COUNTIFS(tblRegistros[ID],E299,tblRegistros[Data],B299,tblRegistros[Início],"&lt;"&amp;I299)+COUNTIFS($E$5:E299,E299,$B$5:B299,B299,$I$5:I299,I299))</f>
        <v>101400026</v>
      </c>
    </row>
    <row r="300" spans="1:20">
      <c r="A300" t="s">
        <v>391</v>
      </c>
      <c r="B300" s="2">
        <f>IFERROR(INT(INDEX(tblBatidas[Data e hora],MATCH("B"&amp;MID($A300,2,99),tblBatidas[Batida ID],0))),"")</f>
        <v>46276</v>
      </c>
      <c r="C300" t="str">
        <f t="shared" si="16"/>
        <v>SEXTA-FEIRA</v>
      </c>
      <c r="D300" t="str">
        <f t="shared" si="17"/>
        <v>DIA ÚTIL</v>
      </c>
      <c r="E300">
        <f>IFERROR(INDEX(tblBatidas[ID],MATCH("B"&amp;MID($A300,2,99),tblBatidas[Batida ID],0)),"")</f>
        <v>1016</v>
      </c>
      <c r="F300" t="str">
        <f>IFERROR(INDEX(tblPessoas[Pessoa],MATCH(E300,tblPessoas[ID],0)),"")</f>
        <v>Ana Luisa Nardin</v>
      </c>
      <c r="G300" t="str">
        <f>IFERROR(INDEX(tblBatidas[Projeto],MATCH("B"&amp;MID($A300,2,99),tblBatidas[Batida ID],0)),"")</f>
        <v>CFI / ACCION</v>
      </c>
      <c r="H300" t="str">
        <f>IFERROR(INDEX(tblBatidas[Atividade],MATCH("B"&amp;MID($A300,2,99),tblBatidas[Batida ID],0)),"")</f>
        <v>ANÁLISE</v>
      </c>
      <c r="I300" s="4">
        <f>IFERROR(MOD(INDEX(tblBatidas[Data e hora],MATCH("B"&amp;MID($A300,2,99),tblBatidas[Batida ID],0)),1),"")</f>
        <v>0.41304398148349719</v>
      </c>
      <c r="J300" s="4">
        <f>IFERROR(MOD(INDEX(tblBatidas[Data e hora],MATCH("B"&amp;MID($A300,2,99),tblBatidas[Início vinculado],0)),1),"")</f>
        <v>0.55940972222015262</v>
      </c>
      <c r="K300" s="14">
        <f>IFERROR((INDEX(tblBatidas[Data e hora],MATCH("B"&amp;MID($A300,2,99),tblBatidas[Início vinculado],0))-INDEX(tblBatidas[Data e hora],MATCH("B"&amp;MID($A300,2,99),tblBatidas[Batida ID],0)))*24,"")</f>
        <v>3.5127777776797302</v>
      </c>
      <c r="L300">
        <f>IFERROR(INDEX(tblBatidas[Observação],MATCH("B"&amp;MID($A300,2,99),tblBatidas[Início vinculado],0)),"")</f>
        <v>0</v>
      </c>
      <c r="M300" t="str">
        <f>IFERROR(INDEX(tblPessoas[Base],MATCH(E300,tblPessoas[ID],0)),"")</f>
        <v>Hora</v>
      </c>
      <c r="N300" s="3">
        <f>IFERROR(IF(D300="DIA ÚTIL",INDEX(tblPessoas[R$/h útil],MATCH(E300,tblPessoas[ID],0)),INDEX(tblPessoas[R$/h FDS],MATCH(E300,tblPessoas[ID],0))),0)</f>
        <v>23.5</v>
      </c>
      <c r="O300" s="3">
        <f>IFERROR(INDEX(tblPessoas[R$/diária],MATCH(E300,tblPessoas[ID],0)),0)</f>
        <v>0</v>
      </c>
      <c r="P300" s="3">
        <f t="shared" si="18"/>
        <v>82.55027777547366</v>
      </c>
      <c r="Q300" t="str">
        <f>IF(A300="","",IF(COUNTIF(tblBatidas[Início vinculado],"B"&amp;MID($A300,2,99))=0,"EM ABERTO",IF(OR(COUNTIF(tblBatidas[Início vinculado],"B"&amp;MID($A300,2,99))&gt;1,K300&lt;0,K300&gt;16,INT(INDEX(tblBatidas[Data e hora],MATCH("B"&amp;MID($A300,2,99),tblBatidas[Início vinculado],0)))&lt;&gt;B300,INDEX(tblBatidas[ID],MATCH("B"&amp;MID($A300,2,99),tblBatidas[Início vinculado],0))&lt;&gt;E300,INDEX(tblBatidas[Projeto],MATCH("B"&amp;MID($A300,2,99),tblBatidas[Início vinculado],0))&lt;&gt;G300,INDEX(tblBatidas[Atividade],MATCH("B"&amp;MID($A300,2,99),tblBatidas[Início vinculado],0))&lt;&gt;H300),"REVISAR","CONCLUÍDO")))</f>
        <v>CONCLUÍDO</v>
      </c>
      <c r="R300">
        <f>IF(Q300&lt;&gt;"CONCLUÍDO",0,IF(COUNTIFS($E$5:E300,E300,$B$5:B300,B300,$Q$5:Q300,"CONCLUÍDO")=1,1,0))</f>
        <v>1</v>
      </c>
      <c r="S300" t="str">
        <f t="shared" si="19"/>
        <v>yyyy-09</v>
      </c>
      <c r="T300">
        <f>IF(E300="","",E300*100000+COUNTIFS(tblRegistros[ID],E300,tblRegistros[Data],"&lt;"&amp;B300)+COUNTIFS(tblRegistros[ID],E300,tblRegistros[Data],B300,tblRegistros[Início],"&lt;"&amp;I300)+COUNTIFS($E$5:E300,E300,$B$5:B300,B300,$I$5:I300,I300))</f>
        <v>101600029</v>
      </c>
    </row>
    <row r="301" spans="1:20">
      <c r="A301" t="s">
        <v>392</v>
      </c>
      <c r="B301" s="2">
        <f>IFERROR(INT(INDEX(tblBatidas[Data e hora],MATCH("B"&amp;MID($A301,2,99),tblBatidas[Batida ID],0))),"")</f>
        <v>46276</v>
      </c>
      <c r="C301" t="str">
        <f t="shared" si="16"/>
        <v>SEXTA-FEIRA</v>
      </c>
      <c r="D301" t="str">
        <f t="shared" si="17"/>
        <v>DIA ÚTIL</v>
      </c>
      <c r="E301">
        <f>IFERROR(INDEX(tblBatidas[ID],MATCH("B"&amp;MID($A301,2,99),tblBatidas[Batida ID],0)),"")</f>
        <v>1005</v>
      </c>
      <c r="F301" t="str">
        <f>IFERROR(INDEX(tblPessoas[Pessoa],MATCH(E301,tblPessoas[ID],0)),"")</f>
        <v>Carolina Fantini Vidigal Diniz Dias</v>
      </c>
      <c r="G301" t="str">
        <f>IFERROR(INDEX(tblBatidas[Projeto],MATCH("B"&amp;MID($A301,2,99),tblBatidas[Batida ID],0)),"")</f>
        <v>BETIM - TRACKING</v>
      </c>
      <c r="H301" t="str">
        <f>IFERROR(INDEX(tblBatidas[Atividade],MATCH("B"&amp;MID($A301,2,99),tblBatidas[Batida ID],0)),"")</f>
        <v>CHECAGEM</v>
      </c>
      <c r="I301" s="4">
        <f>IFERROR(MOD(INDEX(tblBatidas[Data e hora],MATCH("B"&amp;MID($A301,2,99),tblBatidas[Batida ID],0)),1),"")</f>
        <v>0.42136574073811062</v>
      </c>
      <c r="J301" s="4">
        <f>IFERROR(MOD(INDEX(tblBatidas[Data e hora],MATCH("B"&amp;MID($A301,2,99),tblBatidas[Início vinculado],0)),1),"")</f>
        <v>0.58754629629402189</v>
      </c>
      <c r="K301" s="14">
        <f>IFERROR((INDEX(tblBatidas[Data e hora],MATCH("B"&amp;MID($A301,2,99),tblBatidas[Início vinculado],0))-INDEX(tblBatidas[Data e hora],MATCH("B"&amp;MID($A301,2,99),tblBatidas[Batida ID],0)))*24,"")</f>
        <v>3.9883333333418705</v>
      </c>
      <c r="L301">
        <f>IFERROR(INDEX(tblBatidas[Observação],MATCH("B"&amp;MID($A301,2,99),tblBatidas[Início vinculado],0)),"")</f>
        <v>0</v>
      </c>
      <c r="M301" t="str">
        <f>IFERROR(INDEX(tblPessoas[Base],MATCH(E301,tblPessoas[ID],0)),"")</f>
        <v>Hora</v>
      </c>
      <c r="N301" s="3">
        <f>IFERROR(IF(D301="DIA ÚTIL",INDEX(tblPessoas[R$/h útil],MATCH(E301,tblPessoas[ID],0)),INDEX(tblPessoas[R$/h FDS],MATCH(E301,tblPessoas[ID],0))),0)</f>
        <v>13</v>
      </c>
      <c r="O301" s="3">
        <f>IFERROR(INDEX(tblPessoas[R$/diária],MATCH(E301,tblPessoas[ID],0)),0)</f>
        <v>0</v>
      </c>
      <c r="P301" s="3">
        <f t="shared" si="18"/>
        <v>51.848333333444316</v>
      </c>
      <c r="Q301" t="str">
        <f>IF(A301="","",IF(COUNTIF(tblBatidas[Início vinculado],"B"&amp;MID($A301,2,99))=0,"EM ABERTO",IF(OR(COUNTIF(tblBatidas[Início vinculado],"B"&amp;MID($A301,2,99))&gt;1,K301&lt;0,K301&gt;16,INT(INDEX(tblBatidas[Data e hora],MATCH("B"&amp;MID($A301,2,99),tblBatidas[Início vinculado],0)))&lt;&gt;B301,INDEX(tblBatidas[ID],MATCH("B"&amp;MID($A301,2,99),tblBatidas[Início vinculado],0))&lt;&gt;E301,INDEX(tblBatidas[Projeto],MATCH("B"&amp;MID($A301,2,99),tblBatidas[Início vinculado],0))&lt;&gt;G301,INDEX(tblBatidas[Atividade],MATCH("B"&amp;MID($A301,2,99),tblBatidas[Início vinculado],0))&lt;&gt;H301),"REVISAR","CONCLUÍDO")))</f>
        <v>CONCLUÍDO</v>
      </c>
      <c r="R301">
        <f>IF(Q301&lt;&gt;"CONCLUÍDO",0,IF(COUNTIFS($E$5:E301,E301,$B$5:B301,B301,$Q$5:Q301,"CONCLUÍDO")=1,1,0))</f>
        <v>1</v>
      </c>
      <c r="S301" t="str">
        <f t="shared" si="19"/>
        <v>yyyy-09</v>
      </c>
      <c r="T301">
        <f>IF(E301="","",E301*100000+COUNTIFS(tblRegistros[ID],E301,tblRegistros[Data],"&lt;"&amp;B301)+COUNTIFS(tblRegistros[ID],E301,tblRegistros[Data],B301,tblRegistros[Início],"&lt;"&amp;I301)+COUNTIFS($E$5:E301,E301,$B$5:B301,B301,$I$5:I301,I301))</f>
        <v>100500001</v>
      </c>
    </row>
    <row r="302" spans="1:20">
      <c r="A302" t="s">
        <v>393</v>
      </c>
      <c r="B302" s="2">
        <f>IFERROR(INT(INDEX(tblBatidas[Data e hora],MATCH("B"&amp;MID($A302,2,99),tblBatidas[Batida ID],0))),"")</f>
        <v>46276</v>
      </c>
      <c r="C302" t="str">
        <f t="shared" si="16"/>
        <v>SEXTA-FEIRA</v>
      </c>
      <c r="D302" t="str">
        <f t="shared" si="17"/>
        <v>DIA ÚTIL</v>
      </c>
      <c r="E302">
        <f>IFERROR(INDEX(tblBatidas[ID],MATCH("B"&amp;MID($A302,2,99),tblBatidas[Batida ID],0)),"")</f>
        <v>1013</v>
      </c>
      <c r="F302" t="str">
        <f>IFERROR(INDEX(tblPessoas[Pessoa],MATCH(E302,tblPessoas[ID],0)),"")</f>
        <v>Rafaela Maria Resende Lara</v>
      </c>
      <c r="G302" t="str">
        <f>IFERROR(INDEX(tblBatidas[Projeto],MATCH("B"&amp;MID($A302,2,99),tblBatidas[Batida ID],0)),"")</f>
        <v>TOOLKIT</v>
      </c>
      <c r="H302" t="str">
        <f>IFERROR(INDEX(tblBatidas[Atividade],MATCH("B"&amp;MID($A302,2,99),tblBatidas[Batida ID],0)),"")</f>
        <v>ANÁLISE</v>
      </c>
      <c r="I302" s="4">
        <f>IFERROR(MOD(INDEX(tblBatidas[Data e hora],MATCH("B"&amp;MID($A302,2,99),tblBatidas[Batida ID],0)),1),"")</f>
        <v>0.50565972222102573</v>
      </c>
      <c r="J302" s="4">
        <f>IFERROR(MOD(INDEX(tblBatidas[Data e hora],MATCH("B"&amp;MID($A302,2,99),tblBatidas[Início vinculado],0)),1),"")</f>
        <v>0.75090277777781012</v>
      </c>
      <c r="K302" s="14">
        <f>IFERROR((INDEX(tblBatidas[Data e hora],MATCH("B"&amp;MID($A302,2,99),tblBatidas[Início vinculado],0))-INDEX(tblBatidas[Data e hora],MATCH("B"&amp;MID($A302,2,99),tblBatidas[Batida ID],0)))*24,"")</f>
        <v>5.8858333333628252</v>
      </c>
      <c r="L302">
        <f>IFERROR(INDEX(tblBatidas[Observação],MATCH("B"&amp;MID($A302,2,99),tblBatidas[Início vinculado],0)),"")</f>
        <v>0</v>
      </c>
      <c r="M302" t="str">
        <f>IFERROR(INDEX(tblPessoas[Base],MATCH(E302,tblPessoas[ID],0)),"")</f>
        <v>Hora</v>
      </c>
      <c r="N302" s="3">
        <f>IFERROR(IF(D302="DIA ÚTIL",INDEX(tblPessoas[R$/h útil],MATCH(E302,tblPessoas[ID],0)),INDEX(tblPessoas[R$/h FDS],MATCH(E302,tblPessoas[ID],0))),0)</f>
        <v>23.5</v>
      </c>
      <c r="O302" s="3">
        <f>IFERROR(INDEX(tblPessoas[R$/diária],MATCH(E302,tblPessoas[ID],0)),0)</f>
        <v>0</v>
      </c>
      <c r="P302" s="3">
        <f t="shared" si="18"/>
        <v>138.31708333402639</v>
      </c>
      <c r="Q302" t="str">
        <f>IF(A302="","",IF(COUNTIF(tblBatidas[Início vinculado],"B"&amp;MID($A302,2,99))=0,"EM ABERTO",IF(OR(COUNTIF(tblBatidas[Início vinculado],"B"&amp;MID($A302,2,99))&gt;1,K302&lt;0,K302&gt;16,INT(INDEX(tblBatidas[Data e hora],MATCH("B"&amp;MID($A302,2,99),tblBatidas[Início vinculado],0)))&lt;&gt;B302,INDEX(tblBatidas[ID],MATCH("B"&amp;MID($A302,2,99),tblBatidas[Início vinculado],0))&lt;&gt;E302,INDEX(tblBatidas[Projeto],MATCH("B"&amp;MID($A302,2,99),tblBatidas[Início vinculado],0))&lt;&gt;G302,INDEX(tblBatidas[Atividade],MATCH("B"&amp;MID($A302,2,99),tblBatidas[Início vinculado],0))&lt;&gt;H302),"REVISAR","CONCLUÍDO")))</f>
        <v>CONCLUÍDO</v>
      </c>
      <c r="R302">
        <f>IF(Q302&lt;&gt;"CONCLUÍDO",0,IF(COUNTIFS($E$5:E302,E302,$B$5:B302,B302,$Q$5:Q302,"CONCLUÍDO")=1,1,0))</f>
        <v>0</v>
      </c>
      <c r="S302" t="str">
        <f t="shared" si="19"/>
        <v>yyyy-09</v>
      </c>
      <c r="T302">
        <f>IF(E302="","",E302*100000+COUNTIFS(tblRegistros[ID],E302,tblRegistros[Data],"&lt;"&amp;B302)+COUNTIFS(tblRegistros[ID],E302,tblRegistros[Data],B302,tblRegistros[Início],"&lt;"&amp;I302)+COUNTIFS($E$5:E302,E302,$B$5:B302,B302,$I$5:I302,I302))</f>
        <v>101300027</v>
      </c>
    </row>
    <row r="303" spans="1:20">
      <c r="A303" t="s">
        <v>394</v>
      </c>
      <c r="B303" s="2">
        <f>IFERROR(INT(INDEX(tblBatidas[Data e hora],MATCH("B"&amp;MID($A303,2,99),tblBatidas[Batida ID],0))),"")</f>
        <v>46276</v>
      </c>
      <c r="C303" t="str">
        <f t="shared" si="16"/>
        <v>SEXTA-FEIRA</v>
      </c>
      <c r="D303" t="str">
        <f t="shared" si="17"/>
        <v>DIA ÚTIL</v>
      </c>
      <c r="E303">
        <f>IFERROR(INDEX(tblBatidas[ID],MATCH("B"&amp;MID($A303,2,99),tblBatidas[Batida ID],0)),"")</f>
        <v>1012</v>
      </c>
      <c r="F303" t="str">
        <f>IFERROR(INDEX(tblPessoas[Pessoa],MATCH(E303,tblPessoas[ID],0)),"")</f>
        <v>Nelma Lucia dos S. B. Brandão</v>
      </c>
      <c r="G303" t="str">
        <f>IFERROR(INDEX(tblBatidas[Projeto],MATCH("B"&amp;MID($A303,2,99),tblBatidas[Batida ID],0)),"")</f>
        <v>ESTADUAL - OTEMPO</v>
      </c>
      <c r="H303" t="str">
        <f>IFERROR(INDEX(tblBatidas[Atividade],MATCH("B"&amp;MID($A303,2,99),tblBatidas[Batida ID],0)),"")</f>
        <v>CHECAGEM</v>
      </c>
      <c r="I303" s="4">
        <f>IFERROR(MOD(INDEX(tblBatidas[Data e hora],MATCH("B"&amp;MID($A303,2,99),tblBatidas[Batida ID],0)),1),"")</f>
        <v>0.54320601851941319</v>
      </c>
      <c r="J303" s="4" t="str">
        <f>IFERROR(MOD(INDEX(tblBatidas[Data e hora],MATCH("B"&amp;MID($A303,2,99),tblBatidas[Início vinculado],0)),1),"")</f>
        <v/>
      </c>
      <c r="K303" s="14" t="str">
        <f>IFERROR((INDEX(tblBatidas[Data e hora],MATCH("B"&amp;MID($A303,2,99),tblBatidas[Início vinculado],0))-INDEX(tblBatidas[Data e hora],MATCH("B"&amp;MID($A303,2,99),tblBatidas[Batida ID],0)))*24,"")</f>
        <v/>
      </c>
      <c r="L303" t="str">
        <f>IFERROR(INDEX(tblBatidas[Observação],MATCH("B"&amp;MID($A303,2,99),tblBatidas[Início vinculado],0)),"")</f>
        <v/>
      </c>
      <c r="M303" t="str">
        <f>IFERROR(INDEX(tblPessoas[Base],MATCH(E303,tblPessoas[ID],0)),"")</f>
        <v>Diária</v>
      </c>
      <c r="N303" s="3">
        <f>IFERROR(IF(D303="DIA ÚTIL",INDEX(tblPessoas[R$/h útil],MATCH(E303,tblPessoas[ID],0)),INDEX(tblPessoas[R$/h FDS],MATCH(E303,tblPessoas[ID],0))),0)</f>
        <v>0</v>
      </c>
      <c r="O303" s="3">
        <f>IFERROR(INDEX(tblPessoas[R$/diária],MATCH(E303,tblPessoas[ID],0)),0)</f>
        <v>222.72</v>
      </c>
      <c r="P303" s="3" t="str">
        <f t="shared" si="18"/>
        <v/>
      </c>
      <c r="Q303" t="str">
        <f>IF(A303="","",IF(COUNTIF(tblBatidas[Início vinculado],"B"&amp;MID($A303,2,99))=0,"EM ABERTO",IF(OR(COUNTIF(tblBatidas[Início vinculado],"B"&amp;MID($A303,2,99))&gt;1,K303&lt;0,K303&gt;16,INT(INDEX(tblBatidas[Data e hora],MATCH("B"&amp;MID($A303,2,99),tblBatidas[Início vinculado],0)))&lt;&gt;B303,INDEX(tblBatidas[ID],MATCH("B"&amp;MID($A303,2,99),tblBatidas[Início vinculado],0))&lt;&gt;E303,INDEX(tblBatidas[Projeto],MATCH("B"&amp;MID($A303,2,99),tblBatidas[Início vinculado],0))&lt;&gt;G303,INDEX(tblBatidas[Atividade],MATCH("B"&amp;MID($A303,2,99),tblBatidas[Início vinculado],0))&lt;&gt;H303),"REVISAR","CONCLUÍDO")))</f>
        <v>EM ABERTO</v>
      </c>
      <c r="R303">
        <f>IF(Q303&lt;&gt;"CONCLUÍDO",0,IF(COUNTIFS($E$5:E303,E303,$B$5:B303,B303,$Q$5:Q303,"CONCLUÍDO")=1,1,0))</f>
        <v>0</v>
      </c>
      <c r="S303" t="str">
        <f t="shared" si="19"/>
        <v>yyyy-09</v>
      </c>
      <c r="T303">
        <f>IF(E303="","",E303*100000+COUNTIFS(tblRegistros[ID],E303,tblRegistros[Data],"&lt;"&amp;B303)+COUNTIFS(tblRegistros[ID],E303,tblRegistros[Data],B303,tblRegistros[Início],"&lt;"&amp;I303)+COUNTIFS($E$5:E303,E303,$B$5:B303,B303,$I$5:I303,I303))</f>
        <v>101200035</v>
      </c>
    </row>
    <row r="304" spans="1:20">
      <c r="A304" t="s">
        <v>395</v>
      </c>
      <c r="B304" s="2">
        <f>IFERROR(INT(INDEX(tblBatidas[Data e hora],MATCH("B"&amp;MID($A304,2,99),tblBatidas[Batida ID],0))),"")</f>
        <v>46276</v>
      </c>
      <c r="C304" t="str">
        <f t="shared" si="16"/>
        <v>SEXTA-FEIRA</v>
      </c>
      <c r="D304" t="str">
        <f t="shared" si="17"/>
        <v>DIA ÚTIL</v>
      </c>
      <c r="E304">
        <f>IFERROR(INDEX(tblBatidas[ID],MATCH("B"&amp;MID($A304,2,99),tblBatidas[Batida ID],0)),"")</f>
        <v>1002</v>
      </c>
      <c r="F304" t="str">
        <f>IFERROR(INDEX(tblPessoas[Pessoa],MATCH(E304,tblPessoas[ID],0)),"")</f>
        <v>Alex de Almeida Mariano</v>
      </c>
      <c r="G304" t="str">
        <f>IFERROR(INDEX(tblBatidas[Projeto],MATCH("B"&amp;MID($A304,2,99),tblBatidas[Batida ID],0)),"")</f>
        <v>TOOLKIT</v>
      </c>
      <c r="H304" t="str">
        <f>IFERROR(INDEX(tblBatidas[Atividade],MATCH("B"&amp;MID($A304,2,99),tblBatidas[Batida ID],0)),"")</f>
        <v>ANÁLISE</v>
      </c>
      <c r="I304" s="4">
        <f>IFERROR(MOD(INDEX(tblBatidas[Data e hora],MATCH("B"&amp;MID($A304,2,99),tblBatidas[Batida ID],0)),1),"")</f>
        <v>0.54562499999883585</v>
      </c>
      <c r="J304" s="4">
        <f>IFERROR(MOD(INDEX(tblBatidas[Data e hora],MATCH("B"&amp;MID($A304,2,99),tblBatidas[Início vinculado],0)),1),"")</f>
        <v>0.74494212962599704</v>
      </c>
      <c r="K304" s="14">
        <f>IFERROR((INDEX(tblBatidas[Data e hora],MATCH("B"&amp;MID($A304,2,99),tblBatidas[Início vinculado],0))-INDEX(tblBatidas[Data e hora],MATCH("B"&amp;MID($A304,2,99),tblBatidas[Batida ID],0)))*24,"")</f>
        <v>4.7836111110518686</v>
      </c>
      <c r="L304">
        <f>IFERROR(INDEX(tblBatidas[Observação],MATCH("B"&amp;MID($A304,2,99),tblBatidas[Início vinculado],0)),"")</f>
        <v>0</v>
      </c>
      <c r="M304" t="str">
        <f>IFERROR(INDEX(tblPessoas[Base],MATCH(E304,tblPessoas[ID],0)),"")</f>
        <v>Hora</v>
      </c>
      <c r="N304" s="3">
        <f>IFERROR(IF(D304="DIA ÚTIL",INDEX(tblPessoas[R$/h útil],MATCH(E304,tblPessoas[ID],0)),INDEX(tblPessoas[R$/h FDS],MATCH(E304,tblPessoas[ID],0))),0)</f>
        <v>23.5</v>
      </c>
      <c r="O304" s="3">
        <f>IFERROR(INDEX(tblPessoas[R$/diária],MATCH(E304,tblPessoas[ID],0)),0)</f>
        <v>0</v>
      </c>
      <c r="P304" s="3">
        <f t="shared" si="18"/>
        <v>112.41486110971891</v>
      </c>
      <c r="Q304" t="str">
        <f>IF(A304="","",IF(COUNTIF(tblBatidas[Início vinculado],"B"&amp;MID($A304,2,99))=0,"EM ABERTO",IF(OR(COUNTIF(tblBatidas[Início vinculado],"B"&amp;MID($A304,2,99))&gt;1,K304&lt;0,K304&gt;16,INT(INDEX(tblBatidas[Data e hora],MATCH("B"&amp;MID($A304,2,99),tblBatidas[Início vinculado],0)))&lt;&gt;B304,INDEX(tblBatidas[ID],MATCH("B"&amp;MID($A304,2,99),tblBatidas[Início vinculado],0))&lt;&gt;E304,INDEX(tblBatidas[Projeto],MATCH("B"&amp;MID($A304,2,99),tblBatidas[Início vinculado],0))&lt;&gt;G304,INDEX(tblBatidas[Atividade],MATCH("B"&amp;MID($A304,2,99),tblBatidas[Início vinculado],0))&lt;&gt;H304),"REVISAR","CONCLUÍDO")))</f>
        <v>CONCLUÍDO</v>
      </c>
      <c r="R304">
        <f>IF(Q304&lt;&gt;"CONCLUÍDO",0,IF(COUNTIFS($E$5:E304,E304,$B$5:B304,B304,$Q$5:Q304,"CONCLUÍDO")=1,1,0))</f>
        <v>0</v>
      </c>
      <c r="S304" t="str">
        <f t="shared" si="19"/>
        <v>yyyy-09</v>
      </c>
      <c r="T304">
        <f>IF(E304="","",E304*100000+COUNTIFS(tblRegistros[ID],E304,tblRegistros[Data],"&lt;"&amp;B304)+COUNTIFS(tblRegistros[ID],E304,tblRegistros[Data],B304,tblRegistros[Início],"&lt;"&amp;I304)+COUNTIFS($E$5:E304,E304,$B$5:B304,B304,$I$5:I304,I304))</f>
        <v>100200019</v>
      </c>
    </row>
    <row r="305" spans="1:20">
      <c r="A305" t="s">
        <v>396</v>
      </c>
      <c r="B305" s="2">
        <f>IFERROR(INT(INDEX(tblBatidas[Data e hora],MATCH("B"&amp;MID($A305,2,99),tblBatidas[Batida ID],0))),"")</f>
        <v>46276</v>
      </c>
      <c r="C305" t="str">
        <f t="shared" si="16"/>
        <v>SEXTA-FEIRA</v>
      </c>
      <c r="D305" t="str">
        <f t="shared" si="17"/>
        <v>DIA ÚTIL</v>
      </c>
      <c r="E305">
        <f>IFERROR(INDEX(tblBatidas[ID],MATCH("B"&amp;MID($A305,2,99),tblBatidas[Batida ID],0)),"")</f>
        <v>1011</v>
      </c>
      <c r="F305" t="str">
        <f>IFERROR(INDEX(tblPessoas[Pessoa],MATCH(E305,tblPessoas[ID],0)),"")</f>
        <v>Nathalia Arruda</v>
      </c>
      <c r="G305" t="str">
        <f>IFERROR(INDEX(tblBatidas[Projeto],MATCH("B"&amp;MID($A305,2,99),tblBatidas[Batida ID],0)),"")</f>
        <v>OTEMPO</v>
      </c>
      <c r="H305" t="str">
        <f>IFERROR(INDEX(tblBatidas[Atividade],MATCH("B"&amp;MID($A305,2,99),tblBatidas[Batida ID],0)),"")</f>
        <v>ANÁLISE</v>
      </c>
      <c r="I305" s="4">
        <f>IFERROR(MOD(INDEX(tblBatidas[Data e hora],MATCH("B"&amp;MID($A305,2,99),tblBatidas[Batida ID],0)),1),"")</f>
        <v>0.54649305555358296</v>
      </c>
      <c r="J305" s="4">
        <f>IFERROR(MOD(INDEX(tblBatidas[Data e hora],MATCH("B"&amp;MID($A305,2,99),tblBatidas[Início vinculado],0)),1),"")</f>
        <v>0.75243055555620231</v>
      </c>
      <c r="K305" s="14">
        <f>IFERROR((INDEX(tblBatidas[Data e hora],MATCH("B"&amp;MID($A305,2,99),tblBatidas[Início vinculado],0))-INDEX(tblBatidas[Data e hora],MATCH("B"&amp;MID($A305,2,99),tblBatidas[Batida ID],0)))*24,"")</f>
        <v>4.9425000000628643</v>
      </c>
      <c r="L305">
        <f>IFERROR(INDEX(tblBatidas[Observação],MATCH("B"&amp;MID($A305,2,99),tblBatidas[Início vinculado],0)),"")</f>
        <v>0</v>
      </c>
      <c r="M305" t="str">
        <f>IFERROR(INDEX(tblPessoas[Base],MATCH(E305,tblPessoas[ID],0)),"")</f>
        <v>Hora</v>
      </c>
      <c r="N305" s="3">
        <f>IFERROR(IF(D305="DIA ÚTIL",INDEX(tblPessoas[R$/h útil],MATCH(E305,tblPessoas[ID],0)),INDEX(tblPessoas[R$/h FDS],MATCH(E305,tblPessoas[ID],0))),0)</f>
        <v>23.5</v>
      </c>
      <c r="O305" s="3">
        <f>IFERROR(INDEX(tblPessoas[R$/diária],MATCH(E305,tblPessoas[ID],0)),0)</f>
        <v>0</v>
      </c>
      <c r="P305" s="3">
        <f t="shared" si="18"/>
        <v>116.14875000147731</v>
      </c>
      <c r="Q305" t="str">
        <f>IF(A305="","",IF(COUNTIF(tblBatidas[Início vinculado],"B"&amp;MID($A305,2,99))=0,"EM ABERTO",IF(OR(COUNTIF(tblBatidas[Início vinculado],"B"&amp;MID($A305,2,99))&gt;1,K305&lt;0,K305&gt;16,INT(INDEX(tblBatidas[Data e hora],MATCH("B"&amp;MID($A305,2,99),tblBatidas[Início vinculado],0)))&lt;&gt;B305,INDEX(tblBatidas[ID],MATCH("B"&amp;MID($A305,2,99),tblBatidas[Início vinculado],0))&lt;&gt;E305,INDEX(tblBatidas[Projeto],MATCH("B"&amp;MID($A305,2,99),tblBatidas[Início vinculado],0))&lt;&gt;G305,INDEX(tblBatidas[Atividade],MATCH("B"&amp;MID($A305,2,99),tblBatidas[Início vinculado],0))&lt;&gt;H305),"REVISAR","CONCLUÍDO")))</f>
        <v>CONCLUÍDO</v>
      </c>
      <c r="R305">
        <f>IF(Q305&lt;&gt;"CONCLUÍDO",0,IF(COUNTIFS($E$5:E305,E305,$B$5:B305,B305,$Q$5:Q305,"CONCLUÍDO")=1,1,0))</f>
        <v>0</v>
      </c>
      <c r="S305" t="str">
        <f t="shared" si="19"/>
        <v>yyyy-09</v>
      </c>
      <c r="T305">
        <f>IF(E305="","",E305*100000+COUNTIFS(tblRegistros[ID],E305,tblRegistros[Data],"&lt;"&amp;B305)+COUNTIFS(tblRegistros[ID],E305,tblRegistros[Data],B305,tblRegistros[Início],"&lt;"&amp;I305)+COUNTIFS($E$5:E305,E305,$B$5:B305,B305,$I$5:I305,I305))</f>
        <v>101100026</v>
      </c>
    </row>
    <row r="306" spans="1:20">
      <c r="A306" t="s">
        <v>397</v>
      </c>
      <c r="B306" s="2">
        <f>IFERROR(INT(INDEX(tblBatidas[Data e hora],MATCH("B"&amp;MID($A306,2,99),tblBatidas[Batida ID],0))),"")</f>
        <v>46276</v>
      </c>
      <c r="C306" t="str">
        <f t="shared" si="16"/>
        <v>SEXTA-FEIRA</v>
      </c>
      <c r="D306" t="str">
        <f t="shared" si="17"/>
        <v>DIA ÚTIL</v>
      </c>
      <c r="E306">
        <f>IFERROR(INDEX(tblBatidas[ID],MATCH("B"&amp;MID($A306,2,99),tblBatidas[Batida ID],0)),"")</f>
        <v>1003</v>
      </c>
      <c r="F306" t="str">
        <f>IFERROR(INDEX(tblPessoas[Pessoa],MATCH(E306,tblPessoas[ID],0)),"")</f>
        <v>Amanda do Carmo Ribeiro</v>
      </c>
      <c r="G306" t="str">
        <f>IFERROR(INDEX(tblBatidas[Projeto],MATCH("B"&amp;MID($A306,2,99),tblBatidas[Batida ID],0)),"")</f>
        <v>OTEMPO</v>
      </c>
      <c r="H306" t="str">
        <f>IFERROR(INDEX(tblBatidas[Atividade],MATCH("B"&amp;MID($A306,2,99),tblBatidas[Batida ID],0)),"")</f>
        <v>ANÁLISE</v>
      </c>
      <c r="I306" s="4">
        <f>IFERROR(MOD(INDEX(tblBatidas[Data e hora],MATCH("B"&amp;MID($A306,2,99),tblBatidas[Batida ID],0)),1),"")</f>
        <v>0.57185185185517184</v>
      </c>
      <c r="J306" s="4">
        <f>IFERROR(MOD(INDEX(tblBatidas[Data e hora],MATCH("B"&amp;MID($A306,2,99),tblBatidas[Início vinculado],0)),1),"")</f>
        <v>0.74982638889196096</v>
      </c>
      <c r="K306" s="14">
        <f>IFERROR((INDEX(tblBatidas[Data e hora],MATCH("B"&amp;MID($A306,2,99),tblBatidas[Início vinculado],0))-INDEX(tblBatidas[Data e hora],MATCH("B"&amp;MID($A306,2,99),tblBatidas[Batida ID],0)))*24,"")</f>
        <v>4.2713888888829388</v>
      </c>
      <c r="L306">
        <f>IFERROR(INDEX(tblBatidas[Observação],MATCH("B"&amp;MID($A306,2,99),tblBatidas[Início vinculado],0)),"")</f>
        <v>0</v>
      </c>
      <c r="M306" t="str">
        <f>IFERROR(INDEX(tblPessoas[Base],MATCH(E306,tblPessoas[ID],0)),"")</f>
        <v>Hora</v>
      </c>
      <c r="N306" s="3">
        <f>IFERROR(IF(D306="DIA ÚTIL",INDEX(tblPessoas[R$/h útil],MATCH(E306,tblPessoas[ID],0)),INDEX(tblPessoas[R$/h FDS],MATCH(E306,tblPessoas[ID],0))),0)</f>
        <v>23.5</v>
      </c>
      <c r="O306" s="3">
        <f>IFERROR(INDEX(tblPessoas[R$/diária],MATCH(E306,tblPessoas[ID],0)),0)</f>
        <v>0</v>
      </c>
      <c r="P306" s="3">
        <f t="shared" si="18"/>
        <v>100.37763888874906</v>
      </c>
      <c r="Q306" t="str">
        <f>IF(A306="","",IF(COUNTIF(tblBatidas[Início vinculado],"B"&amp;MID($A306,2,99))=0,"EM ABERTO",IF(OR(COUNTIF(tblBatidas[Início vinculado],"B"&amp;MID($A306,2,99))&gt;1,K306&lt;0,K306&gt;16,INT(INDEX(tblBatidas[Data e hora],MATCH("B"&amp;MID($A306,2,99),tblBatidas[Início vinculado],0)))&lt;&gt;B306,INDEX(tblBatidas[ID],MATCH("B"&amp;MID($A306,2,99),tblBatidas[Início vinculado],0))&lt;&gt;E306,INDEX(tblBatidas[Projeto],MATCH("B"&amp;MID($A306,2,99),tblBatidas[Início vinculado],0))&lt;&gt;G306,INDEX(tblBatidas[Atividade],MATCH("B"&amp;MID($A306,2,99),tblBatidas[Início vinculado],0))&lt;&gt;H306),"REVISAR","CONCLUÍDO")))</f>
        <v>CONCLUÍDO</v>
      </c>
      <c r="R306">
        <f>IF(Q306&lt;&gt;"CONCLUÍDO",0,IF(COUNTIFS($E$5:E306,E306,$B$5:B306,B306,$Q$5:Q306,"CONCLUÍDO")=1,1,0))</f>
        <v>0</v>
      </c>
      <c r="S306" t="str">
        <f t="shared" si="19"/>
        <v>yyyy-09</v>
      </c>
      <c r="T306">
        <f>IF(E306="","",E306*100000+COUNTIFS(tblRegistros[ID],E306,tblRegistros[Data],"&lt;"&amp;B306)+COUNTIFS(tblRegistros[ID],E306,tblRegistros[Data],B306,tblRegistros[Início],"&lt;"&amp;I306)+COUNTIFS($E$5:E306,E306,$B$5:B306,B306,$I$5:I306,I306))</f>
        <v>100300026</v>
      </c>
    </row>
    <row r="307" spans="1:20">
      <c r="A307" t="s">
        <v>398</v>
      </c>
      <c r="B307" s="2">
        <f>IFERROR(INT(INDEX(tblBatidas[Data e hora],MATCH("B"&amp;MID($A307,2,99),tblBatidas[Batida ID],0))),"")</f>
        <v>46276</v>
      </c>
      <c r="C307" t="str">
        <f t="shared" si="16"/>
        <v>SEXTA-FEIRA</v>
      </c>
      <c r="D307" t="str">
        <f t="shared" si="17"/>
        <v>DIA ÚTIL</v>
      </c>
      <c r="E307">
        <f>IFERROR(INDEX(tblBatidas[ID],MATCH("B"&amp;MID($A307,2,99),tblBatidas[Batida ID],0)),"")</f>
        <v>1014</v>
      </c>
      <c r="F307" t="str">
        <f>IFERROR(INDEX(tblPessoas[Pessoa],MATCH(E307,tblPessoas[ID],0)),"")</f>
        <v>Robert Filipe Orlando de Souza</v>
      </c>
      <c r="G307" t="str">
        <f>IFERROR(INDEX(tblBatidas[Projeto],MATCH("B"&amp;MID($A307,2,99),tblBatidas[Batida ID],0)),"")</f>
        <v>BETIM - TRACKING</v>
      </c>
      <c r="H307" t="str">
        <f>IFERROR(INDEX(tblBatidas[Atividade],MATCH("B"&amp;MID($A307,2,99),tblBatidas[Batida ID],0)),"")</f>
        <v>CHECAGEM</v>
      </c>
      <c r="I307" s="4">
        <f>IFERROR(MOD(INDEX(tblBatidas[Data e hora],MATCH("B"&amp;MID($A307,2,99),tblBatidas[Batida ID],0)),1),"")</f>
        <v>0.580671296294895</v>
      </c>
      <c r="J307" s="4">
        <f>IFERROR(MOD(INDEX(tblBatidas[Data e hora],MATCH("B"&amp;MID($A307,2,99),tblBatidas[Início vinculado],0)),1),"")</f>
        <v>0.74939814814570127</v>
      </c>
      <c r="K307" s="14">
        <f>IFERROR((INDEX(tblBatidas[Data e hora],MATCH("B"&amp;MID($A307,2,99),tblBatidas[Início vinculado],0))-INDEX(tblBatidas[Data e hora],MATCH("B"&amp;MID($A307,2,99),tblBatidas[Batida ID],0)))*24,"")</f>
        <v>4.0494444444193505</v>
      </c>
      <c r="L307">
        <f>IFERROR(INDEX(tblBatidas[Observação],MATCH("B"&amp;MID($A307,2,99),tblBatidas[Início vinculado],0)),"")</f>
        <v>0</v>
      </c>
      <c r="M307" t="str">
        <f>IFERROR(INDEX(tblPessoas[Base],MATCH(E307,tblPessoas[ID],0)),"")</f>
        <v>Hora</v>
      </c>
      <c r="N307" s="3">
        <f>IFERROR(IF(D307="DIA ÚTIL",INDEX(tblPessoas[R$/h útil],MATCH(E307,tblPessoas[ID],0)),INDEX(tblPessoas[R$/h FDS],MATCH(E307,tblPessoas[ID],0))),0)</f>
        <v>21.5</v>
      </c>
      <c r="O307" s="3">
        <f>IFERROR(INDEX(tblPessoas[R$/diária],MATCH(E307,tblPessoas[ID],0)),0)</f>
        <v>0</v>
      </c>
      <c r="P307" s="3">
        <f t="shared" si="18"/>
        <v>87.063055555016035</v>
      </c>
      <c r="Q307" t="str">
        <f>IF(A307="","",IF(COUNTIF(tblBatidas[Início vinculado],"B"&amp;MID($A307,2,99))=0,"EM ABERTO",IF(OR(COUNTIF(tblBatidas[Início vinculado],"B"&amp;MID($A307,2,99))&gt;1,K307&lt;0,K307&gt;16,INT(INDEX(tblBatidas[Data e hora],MATCH("B"&amp;MID($A307,2,99),tblBatidas[Início vinculado],0)))&lt;&gt;B307,INDEX(tblBatidas[ID],MATCH("B"&amp;MID($A307,2,99),tblBatidas[Início vinculado],0))&lt;&gt;E307,INDEX(tblBatidas[Projeto],MATCH("B"&amp;MID($A307,2,99),tblBatidas[Início vinculado],0))&lt;&gt;G307,INDEX(tblBatidas[Atividade],MATCH("B"&amp;MID($A307,2,99),tblBatidas[Início vinculado],0))&lt;&gt;H307),"REVISAR","CONCLUÍDO")))</f>
        <v>CONCLUÍDO</v>
      </c>
      <c r="R307">
        <f>IF(Q307&lt;&gt;"CONCLUÍDO",0,IF(COUNTIFS($E$5:E307,E307,$B$5:B307,B307,$Q$5:Q307,"CONCLUÍDO")=1,1,0))</f>
        <v>0</v>
      </c>
      <c r="S307" t="str">
        <f t="shared" si="19"/>
        <v>yyyy-09</v>
      </c>
      <c r="T307">
        <f>IF(E307="","",E307*100000+COUNTIFS(tblRegistros[ID],E307,tblRegistros[Data],"&lt;"&amp;B307)+COUNTIFS(tblRegistros[ID],E307,tblRegistros[Data],B307,tblRegistros[Início],"&lt;"&amp;I307)+COUNTIFS($E$5:E307,E307,$B$5:B307,B307,$I$5:I307,I307))</f>
        <v>101400027</v>
      </c>
    </row>
    <row r="308" spans="1:20">
      <c r="A308" t="s">
        <v>399</v>
      </c>
      <c r="B308" s="2">
        <f>IFERROR(INT(INDEX(tblBatidas[Data e hora],MATCH("B"&amp;MID($A308,2,99),tblBatidas[Batida ID],0))),"")</f>
        <v>46276</v>
      </c>
      <c r="C308" t="str">
        <f t="shared" si="16"/>
        <v>SEXTA-FEIRA</v>
      </c>
      <c r="D308" t="str">
        <f t="shared" si="17"/>
        <v>DIA ÚTIL</v>
      </c>
      <c r="E308">
        <f>IFERROR(INDEX(tblBatidas[ID],MATCH("B"&amp;MID($A308,2,99),tblBatidas[Batida ID],0)),"")</f>
        <v>1012</v>
      </c>
      <c r="F308" t="str">
        <f>IFERROR(INDEX(tblPessoas[Pessoa],MATCH(E308,tblPessoas[ID],0)),"")</f>
        <v>Nelma Lucia dos S. B. Brandão</v>
      </c>
      <c r="G308" t="str">
        <f>IFERROR(INDEX(tblBatidas[Projeto],MATCH("B"&amp;MID($A308,2,99),tblBatidas[Batida ID],0)),"")</f>
        <v>ESTADUAL - OTEMPO</v>
      </c>
      <c r="H308" t="str">
        <f>IFERROR(INDEX(tblBatidas[Atividade],MATCH("B"&amp;MID($A308,2,99),tblBatidas[Batida ID],0)),"")</f>
        <v>CHECAGEM</v>
      </c>
      <c r="I308" s="4">
        <f>IFERROR(MOD(INDEX(tblBatidas[Data e hora],MATCH("B"&amp;MID($A308,2,99),tblBatidas[Batida ID],0)),1),"")</f>
        <v>0.58226851851941319</v>
      </c>
      <c r="J308" s="4">
        <f>IFERROR(MOD(INDEX(tblBatidas[Data e hora],MATCH("B"&amp;MID($A308,2,99),tblBatidas[Início vinculado],0)),1),"")</f>
        <v>0.74923611111444188</v>
      </c>
      <c r="K308" s="14">
        <f>IFERROR((INDEX(tblBatidas[Data e hora],MATCH("B"&amp;MID($A308,2,99),tblBatidas[Início vinculado],0))-INDEX(tblBatidas[Data e hora],MATCH("B"&amp;MID($A308,2,99),tblBatidas[Batida ID],0)))*24,"")</f>
        <v>4.0072222222806886</v>
      </c>
      <c r="L308">
        <f>IFERROR(INDEX(tblBatidas[Observação],MATCH("B"&amp;MID($A308,2,99),tblBatidas[Início vinculado],0)),"")</f>
        <v>0</v>
      </c>
      <c r="M308" t="str">
        <f>IFERROR(INDEX(tblPessoas[Base],MATCH(E308,tblPessoas[ID],0)),"")</f>
        <v>Diária</v>
      </c>
      <c r="N308" s="3">
        <f>IFERROR(IF(D308="DIA ÚTIL",INDEX(tblPessoas[R$/h útil],MATCH(E308,tblPessoas[ID],0)),INDEX(tblPessoas[R$/h FDS],MATCH(E308,tblPessoas[ID],0))),0)</f>
        <v>0</v>
      </c>
      <c r="O308" s="3">
        <f>IFERROR(INDEX(tblPessoas[R$/diária],MATCH(E308,tblPessoas[ID],0)),0)</f>
        <v>222.72</v>
      </c>
      <c r="P308" s="3">
        <f t="shared" si="18"/>
        <v>222.72</v>
      </c>
      <c r="Q308" t="str">
        <f>IF(A308="","",IF(COUNTIF(tblBatidas[Início vinculado],"B"&amp;MID($A308,2,99))=0,"EM ABERTO",IF(OR(COUNTIF(tblBatidas[Início vinculado],"B"&amp;MID($A308,2,99))&gt;1,K308&lt;0,K308&gt;16,INT(INDEX(tblBatidas[Data e hora],MATCH("B"&amp;MID($A308,2,99),tblBatidas[Início vinculado],0)))&lt;&gt;B308,INDEX(tblBatidas[ID],MATCH("B"&amp;MID($A308,2,99),tblBatidas[Início vinculado],0))&lt;&gt;E308,INDEX(tblBatidas[Projeto],MATCH("B"&amp;MID($A308,2,99),tblBatidas[Início vinculado],0))&lt;&gt;G308,INDEX(tblBatidas[Atividade],MATCH("B"&amp;MID($A308,2,99),tblBatidas[Início vinculado],0))&lt;&gt;H308),"REVISAR","CONCLUÍDO")))</f>
        <v>CONCLUÍDO</v>
      </c>
      <c r="R308">
        <f>IF(Q308&lt;&gt;"CONCLUÍDO",0,IF(COUNTIFS($E$5:E308,E308,$B$5:B308,B308,$Q$5:Q308,"CONCLUÍDO")=1,1,0))</f>
        <v>1</v>
      </c>
      <c r="S308" t="str">
        <f t="shared" si="19"/>
        <v>yyyy-09</v>
      </c>
      <c r="T308">
        <f>IF(E308="","",E308*100000+COUNTIFS(tblRegistros[ID],E308,tblRegistros[Data],"&lt;"&amp;B308)+COUNTIFS(tblRegistros[ID],E308,tblRegistros[Data],B308,tblRegistros[Início],"&lt;"&amp;I308)+COUNTIFS($E$5:E308,E308,$B$5:B308,B308,$I$5:I308,I308))</f>
        <v>101200036</v>
      </c>
    </row>
    <row r="309" spans="1:20">
      <c r="A309" t="s">
        <v>400</v>
      </c>
      <c r="B309" s="2">
        <f>IFERROR(INT(INDEX(tblBatidas[Data e hora],MATCH("B"&amp;MID($A309,2,99),tblBatidas[Batida ID],0))),"")</f>
        <v>46276</v>
      </c>
      <c r="C309" t="str">
        <f t="shared" si="16"/>
        <v>SEXTA-FEIRA</v>
      </c>
      <c r="D309" t="str">
        <f t="shared" si="17"/>
        <v>DIA ÚTIL</v>
      </c>
      <c r="E309">
        <f>IFERROR(INDEX(tblBatidas[ID],MATCH("B"&amp;MID($A309,2,99),tblBatidas[Batida ID],0)),"")</f>
        <v>1017</v>
      </c>
      <c r="F309" t="str">
        <f>IFERROR(INDEX(tblPessoas[Pessoa],MATCH(E309,tblPessoas[ID],0)),"")</f>
        <v>Renato Inácio da Silva</v>
      </c>
      <c r="G309" t="str">
        <f>IFERROR(INDEX(tblBatidas[Projeto],MATCH("B"&amp;MID($A309,2,99),tblBatidas[Batida ID],0)),"")</f>
        <v>BETIM - TRACKING</v>
      </c>
      <c r="H309" t="str">
        <f>IFERROR(INDEX(tblBatidas[Atividade],MATCH("B"&amp;MID($A309,2,99),tblBatidas[Batida ID],0)),"")</f>
        <v>CHECAGEM</v>
      </c>
      <c r="I309" s="4">
        <f>IFERROR(MOD(INDEX(tblBatidas[Data e hora],MATCH("B"&amp;MID($A309,2,99),tblBatidas[Batida ID],0)),1),"")</f>
        <v>0.59565972222480923</v>
      </c>
      <c r="J309" s="4">
        <f>IFERROR(MOD(INDEX(tblBatidas[Data e hora],MATCH("B"&amp;MID($A309,2,99),tblBatidas[Início vinculado],0)),1),"")</f>
        <v>0.83805555555591127</v>
      </c>
      <c r="K309" s="14">
        <f>IFERROR((INDEX(tblBatidas[Data e hora],MATCH("B"&amp;MID($A309,2,99),tblBatidas[Início vinculado],0))-INDEX(tblBatidas[Data e hora],MATCH("B"&amp;MID($A309,2,99),tblBatidas[Batida ID],0)))*24,"")</f>
        <v>5.817499999946449</v>
      </c>
      <c r="L309">
        <f>IFERROR(INDEX(tblBatidas[Observação],MATCH("B"&amp;MID($A309,2,99),tblBatidas[Início vinculado],0)),"")</f>
        <v>0</v>
      </c>
      <c r="M309" t="str">
        <f>IFERROR(INDEX(tblPessoas[Base],MATCH(E309,tblPessoas[ID],0)),"")</f>
        <v>Hora</v>
      </c>
      <c r="N309" s="3">
        <f>IFERROR(IF(D309="DIA ÚTIL",INDEX(tblPessoas[R$/h útil],MATCH(E309,tblPessoas[ID],0)),INDEX(tblPessoas[R$/h FDS],MATCH(E309,tblPessoas[ID],0))),0)</f>
        <v>14</v>
      </c>
      <c r="O309" s="3">
        <f>IFERROR(INDEX(tblPessoas[R$/diária],MATCH(E309,tblPessoas[ID],0)),0)</f>
        <v>0</v>
      </c>
      <c r="P309" s="3">
        <f t="shared" si="18"/>
        <v>81.444999999250285</v>
      </c>
      <c r="Q309" t="str">
        <f>IF(A309="","",IF(COUNTIF(tblBatidas[Início vinculado],"B"&amp;MID($A309,2,99))=0,"EM ABERTO",IF(OR(COUNTIF(tblBatidas[Início vinculado],"B"&amp;MID($A309,2,99))&gt;1,K309&lt;0,K309&gt;16,INT(INDEX(tblBatidas[Data e hora],MATCH("B"&amp;MID($A309,2,99),tblBatidas[Início vinculado],0)))&lt;&gt;B309,INDEX(tblBatidas[ID],MATCH("B"&amp;MID($A309,2,99),tblBatidas[Início vinculado],0))&lt;&gt;E309,INDEX(tblBatidas[Projeto],MATCH("B"&amp;MID($A309,2,99),tblBatidas[Início vinculado],0))&lt;&gt;G309,INDEX(tblBatidas[Atividade],MATCH("B"&amp;MID($A309,2,99),tblBatidas[Início vinculado],0))&lt;&gt;H309),"REVISAR","CONCLUÍDO")))</f>
        <v>CONCLUÍDO</v>
      </c>
      <c r="R309">
        <f>IF(Q309&lt;&gt;"CONCLUÍDO",0,IF(COUNTIFS($E$5:E309,E309,$B$5:B309,B309,$Q$5:Q309,"CONCLUÍDO")=1,1,0))</f>
        <v>0</v>
      </c>
      <c r="S309" t="str">
        <f t="shared" si="19"/>
        <v>yyyy-09</v>
      </c>
      <c r="T309">
        <f>IF(E309="","",E309*100000+COUNTIFS(tblRegistros[ID],E309,tblRegistros[Data],"&lt;"&amp;B309)+COUNTIFS(tblRegistros[ID],E309,tblRegistros[Data],B309,tblRegistros[Início],"&lt;"&amp;I309)+COUNTIFS($E$5:E309,E309,$B$5:B309,B309,$I$5:I309,I309))</f>
        <v>101700002</v>
      </c>
    </row>
    <row r="310" spans="1:20">
      <c r="A310" t="s">
        <v>401</v>
      </c>
      <c r="B310" s="2">
        <f>IFERROR(INT(INDEX(tblBatidas[Data e hora],MATCH("B"&amp;MID($A310,2,99),tblBatidas[Batida ID],0))),"")</f>
        <v>46276</v>
      </c>
      <c r="C310" t="str">
        <f t="shared" si="16"/>
        <v>SEXTA-FEIRA</v>
      </c>
      <c r="D310" t="str">
        <f t="shared" si="17"/>
        <v>DIA ÚTIL</v>
      </c>
      <c r="E310">
        <f>IFERROR(INDEX(tblBatidas[ID],MATCH("B"&amp;MID($A310,2,99),tblBatidas[Batida ID],0)),"")</f>
        <v>1010</v>
      </c>
      <c r="F310" t="str">
        <f>IFERROR(INDEX(tblPessoas[Pessoa],MATCH(E310,tblPessoas[ID],0)),"")</f>
        <v>Nataly Tayê</v>
      </c>
      <c r="G310" t="str">
        <f>IFERROR(INDEX(tblBatidas[Projeto],MATCH("B"&amp;MID($A310,2,99),tblBatidas[Batida ID],0)),"")</f>
        <v>ESTADUAL - OTEMPO</v>
      </c>
      <c r="H310" t="str">
        <f>IFERROR(INDEX(tblBatidas[Atividade],MATCH("B"&amp;MID($A310,2,99),tblBatidas[Batida ID],0)),"")</f>
        <v>CHECAGEM</v>
      </c>
      <c r="I310" s="4">
        <f>IFERROR(MOD(INDEX(tblBatidas[Data e hora],MATCH("B"&amp;MID($A310,2,99),tblBatidas[Batida ID],0)),1),"")</f>
        <v>0.60053240740671754</v>
      </c>
      <c r="J310" s="4" t="str">
        <f>IFERROR(MOD(INDEX(tblBatidas[Data e hora],MATCH("B"&amp;MID($A310,2,99),tblBatidas[Início vinculado],0)),1),"")</f>
        <v/>
      </c>
      <c r="K310" s="14" t="str">
        <f>IFERROR((INDEX(tblBatidas[Data e hora],MATCH("B"&amp;MID($A310,2,99),tblBatidas[Início vinculado],0))-INDEX(tblBatidas[Data e hora],MATCH("B"&amp;MID($A310,2,99),tblBatidas[Batida ID],0)))*24,"")</f>
        <v/>
      </c>
      <c r="L310" t="str">
        <f>IFERROR(INDEX(tblBatidas[Observação],MATCH("B"&amp;MID($A310,2,99),tblBatidas[Início vinculado],0)),"")</f>
        <v/>
      </c>
      <c r="M310" t="str">
        <f>IFERROR(INDEX(tblPessoas[Base],MATCH(E310,tblPessoas[ID],0)),"")</f>
        <v>Hora</v>
      </c>
      <c r="N310" s="3">
        <f>IFERROR(IF(D310="DIA ÚTIL",INDEX(tblPessoas[R$/h útil],MATCH(E310,tblPessoas[ID],0)),INDEX(tblPessoas[R$/h FDS],MATCH(E310,tblPessoas[ID],0))),0)</f>
        <v>14</v>
      </c>
      <c r="O310" s="3">
        <f>IFERROR(INDEX(tblPessoas[R$/diária],MATCH(E310,tblPessoas[ID],0)),0)</f>
        <v>0</v>
      </c>
      <c r="P310" s="3" t="str">
        <f t="shared" si="18"/>
        <v/>
      </c>
      <c r="Q310" t="str">
        <f>IF(A310="","",IF(COUNTIF(tblBatidas[Início vinculado],"B"&amp;MID($A310,2,99))=0,"EM ABERTO",IF(OR(COUNTIF(tblBatidas[Início vinculado],"B"&amp;MID($A310,2,99))&gt;1,K310&lt;0,K310&gt;16,INT(INDEX(tblBatidas[Data e hora],MATCH("B"&amp;MID($A310,2,99),tblBatidas[Início vinculado],0)))&lt;&gt;B310,INDEX(tblBatidas[ID],MATCH("B"&amp;MID($A310,2,99),tblBatidas[Início vinculado],0))&lt;&gt;E310,INDEX(tblBatidas[Projeto],MATCH("B"&amp;MID($A310,2,99),tblBatidas[Início vinculado],0))&lt;&gt;G310,INDEX(tblBatidas[Atividade],MATCH("B"&amp;MID($A310,2,99),tblBatidas[Início vinculado],0))&lt;&gt;H310),"REVISAR","CONCLUÍDO")))</f>
        <v>EM ABERTO</v>
      </c>
      <c r="R310">
        <f>IF(Q310&lt;&gt;"CONCLUÍDO",0,IF(COUNTIFS($E$5:E310,E310,$B$5:B310,B310,$Q$5:Q310,"CONCLUÍDO")=1,1,0))</f>
        <v>0</v>
      </c>
      <c r="S310" t="str">
        <f t="shared" si="19"/>
        <v>yyyy-09</v>
      </c>
      <c r="T310">
        <f>IF(E310="","",E310*100000+COUNTIFS(tblRegistros[ID],E310,tblRegistros[Data],"&lt;"&amp;B310)+COUNTIFS(tblRegistros[ID],E310,tblRegistros[Data],B310,tblRegistros[Início],"&lt;"&amp;I310)+COUNTIFS($E$5:E310,E310,$B$5:B310,B310,$I$5:I310,I310))</f>
        <v>101000004</v>
      </c>
    </row>
    <row r="311" spans="1:20">
      <c r="A311" t="s">
        <v>402</v>
      </c>
      <c r="B311" s="2">
        <f>IFERROR(INT(INDEX(tblBatidas[Data e hora],MATCH("B"&amp;MID($A311,2,99),tblBatidas[Batida ID],0))),"")</f>
        <v>46276</v>
      </c>
      <c r="C311" t="str">
        <f t="shared" si="16"/>
        <v>SEXTA-FEIRA</v>
      </c>
      <c r="D311" t="str">
        <f t="shared" si="17"/>
        <v>DIA ÚTIL</v>
      </c>
      <c r="E311">
        <f>IFERROR(INDEX(tblBatidas[ID],MATCH("B"&amp;MID($A311,2,99),tblBatidas[Batida ID],0)),"")</f>
        <v>1016</v>
      </c>
      <c r="F311" t="str">
        <f>IFERROR(INDEX(tblPessoas[Pessoa],MATCH(E311,tblPessoas[ID],0)),"")</f>
        <v>Ana Luisa Nardin</v>
      </c>
      <c r="G311" t="str">
        <f>IFERROR(INDEX(tblBatidas[Projeto],MATCH("B"&amp;MID($A311,2,99),tblBatidas[Batida ID],0)),"")</f>
        <v>CFI / ACCION</v>
      </c>
      <c r="H311" t="str">
        <f>IFERROR(INDEX(tblBatidas[Atividade],MATCH("B"&amp;MID($A311,2,99),tblBatidas[Batida ID],0)),"")</f>
        <v>ANÁLISE</v>
      </c>
      <c r="I311" s="4">
        <f>IFERROR(MOD(INDEX(tblBatidas[Data e hora],MATCH("B"&amp;MID($A311,2,99),tblBatidas[Batida ID],0)),1),"")</f>
        <v>0.611990740741021</v>
      </c>
      <c r="J311" s="4" t="str">
        <f>IFERROR(MOD(INDEX(tblBatidas[Data e hora],MATCH("B"&amp;MID($A311,2,99),tblBatidas[Início vinculado],0)),1),"")</f>
        <v/>
      </c>
      <c r="K311" s="14" t="str">
        <f>IFERROR((INDEX(tblBatidas[Data e hora],MATCH("B"&amp;MID($A311,2,99),tblBatidas[Início vinculado],0))-INDEX(tblBatidas[Data e hora],MATCH("B"&amp;MID($A311,2,99),tblBatidas[Batida ID],0)))*24,"")</f>
        <v/>
      </c>
      <c r="L311" t="str">
        <f>IFERROR(INDEX(tblBatidas[Observação],MATCH("B"&amp;MID($A311,2,99),tblBatidas[Início vinculado],0)),"")</f>
        <v/>
      </c>
      <c r="M311" t="str">
        <f>IFERROR(INDEX(tblPessoas[Base],MATCH(E311,tblPessoas[ID],0)),"")</f>
        <v>Hora</v>
      </c>
      <c r="N311" s="3">
        <f>IFERROR(IF(D311="DIA ÚTIL",INDEX(tblPessoas[R$/h útil],MATCH(E311,tblPessoas[ID],0)),INDEX(tblPessoas[R$/h FDS],MATCH(E311,tblPessoas[ID],0))),0)</f>
        <v>23.5</v>
      </c>
      <c r="O311" s="3">
        <f>IFERROR(INDEX(tblPessoas[R$/diária],MATCH(E311,tblPessoas[ID],0)),0)</f>
        <v>0</v>
      </c>
      <c r="P311" s="3" t="str">
        <f t="shared" si="18"/>
        <v/>
      </c>
      <c r="Q311" t="str">
        <f>IF(A311="","",IF(COUNTIF(tblBatidas[Início vinculado],"B"&amp;MID($A311,2,99))=0,"EM ABERTO",IF(OR(COUNTIF(tblBatidas[Início vinculado],"B"&amp;MID($A311,2,99))&gt;1,K311&lt;0,K311&gt;16,INT(INDEX(tblBatidas[Data e hora],MATCH("B"&amp;MID($A311,2,99),tblBatidas[Início vinculado],0)))&lt;&gt;B311,INDEX(tblBatidas[ID],MATCH("B"&amp;MID($A311,2,99),tblBatidas[Início vinculado],0))&lt;&gt;E311,INDEX(tblBatidas[Projeto],MATCH("B"&amp;MID($A311,2,99),tblBatidas[Início vinculado],0))&lt;&gt;G311,INDEX(tblBatidas[Atividade],MATCH("B"&amp;MID($A311,2,99),tblBatidas[Início vinculado],0))&lt;&gt;H311),"REVISAR","CONCLUÍDO")))</f>
        <v>EM ABERTO</v>
      </c>
      <c r="R311">
        <f>IF(Q311&lt;&gt;"CONCLUÍDO",0,IF(COUNTIFS($E$5:E311,E311,$B$5:B311,B311,$Q$5:Q311,"CONCLUÍDO")=1,1,0))</f>
        <v>0</v>
      </c>
      <c r="S311" t="str">
        <f t="shared" si="19"/>
        <v>yyyy-09</v>
      </c>
      <c r="T311">
        <f>IF(E311="","",E311*100000+COUNTIFS(tblRegistros[ID],E311,tblRegistros[Data],"&lt;"&amp;B311)+COUNTIFS(tblRegistros[ID],E311,tblRegistros[Data],B311,tblRegistros[Início],"&lt;"&amp;I311)+COUNTIFS($E$5:E311,E311,$B$5:B311,B311,$I$5:I311,I311))</f>
        <v>101600030</v>
      </c>
    </row>
    <row r="312" spans="1:20">
      <c r="A312" t="s">
        <v>403</v>
      </c>
      <c r="B312" s="2">
        <f>IFERROR(INT(INDEX(tblBatidas[Data e hora],MATCH("B"&amp;MID($A312,2,99),tblBatidas[Batida ID],0))),"")</f>
        <v>46276</v>
      </c>
      <c r="C312" t="str">
        <f t="shared" si="16"/>
        <v>SEXTA-FEIRA</v>
      </c>
      <c r="D312" t="str">
        <f t="shared" si="17"/>
        <v>DIA ÚTIL</v>
      </c>
      <c r="E312">
        <f>IFERROR(INDEX(tblBatidas[ID],MATCH("B"&amp;MID($A312,2,99),tblBatidas[Batida ID],0)),"")</f>
        <v>1004</v>
      </c>
      <c r="F312" t="str">
        <f>IFERROR(INDEX(tblPessoas[Pessoa],MATCH(E312,tblPessoas[ID],0)),"")</f>
        <v>Angela Bertoli</v>
      </c>
      <c r="G312" t="str">
        <f>IFERROR(INDEX(tblBatidas[Projeto],MATCH("B"&amp;MID($A312,2,99),tblBatidas[Batida ID],0)),"")</f>
        <v>ESTADUAL - OTEMPO</v>
      </c>
      <c r="H312" t="str">
        <f>IFERROR(INDEX(tblBatidas[Atividade],MATCH("B"&amp;MID($A312,2,99),tblBatidas[Batida ID],0)),"")</f>
        <v>CODIFICAÇÃO</v>
      </c>
      <c r="I312" s="4">
        <f>IFERROR(MOD(INDEX(tblBatidas[Data e hora],MATCH("B"&amp;MID($A312,2,99),tblBatidas[Batida ID],0)),1),"")</f>
        <v>0.62780092592583969</v>
      </c>
      <c r="J312" s="4">
        <f>IFERROR(MOD(INDEX(tblBatidas[Data e hora],MATCH("B"&amp;MID($A312,2,99),tblBatidas[Início vinculado],0)),1),"")</f>
        <v>0.87843750000320142</v>
      </c>
      <c r="K312" s="14">
        <f>IFERROR((INDEX(tblBatidas[Data e hora],MATCH("B"&amp;MID($A312,2,99),tblBatidas[Início vinculado],0))-INDEX(tblBatidas[Data e hora],MATCH("B"&amp;MID($A312,2,99),tblBatidas[Batida ID],0)))*24,"")</f>
        <v>6.0152777778566815</v>
      </c>
      <c r="L312">
        <f>IFERROR(INDEX(tblBatidas[Observação],MATCH("B"&amp;MID($A312,2,99),tblBatidas[Início vinculado],0)),"")</f>
        <v>0</v>
      </c>
      <c r="M312" t="str">
        <f>IFERROR(INDEX(tblPessoas[Base],MATCH(E312,tblPessoas[ID],0)),"")</f>
        <v>Hora</v>
      </c>
      <c r="N312" s="3">
        <f>IFERROR(IF(D312="DIA ÚTIL",INDEX(tblPessoas[R$/h útil],MATCH(E312,tblPessoas[ID],0)),INDEX(tblPessoas[R$/h FDS],MATCH(E312,tblPessoas[ID],0))),0)</f>
        <v>21.5</v>
      </c>
      <c r="O312" s="3">
        <f>IFERROR(INDEX(tblPessoas[R$/diária],MATCH(E312,tblPessoas[ID],0)),0)</f>
        <v>0</v>
      </c>
      <c r="P312" s="3">
        <f t="shared" si="18"/>
        <v>129.32847222391865</v>
      </c>
      <c r="Q312" t="str">
        <f>IF(A312="","",IF(COUNTIF(tblBatidas[Início vinculado],"B"&amp;MID($A312,2,99))=0,"EM ABERTO",IF(OR(COUNTIF(tblBatidas[Início vinculado],"B"&amp;MID($A312,2,99))&gt;1,K312&lt;0,K312&gt;16,INT(INDEX(tblBatidas[Data e hora],MATCH("B"&amp;MID($A312,2,99),tblBatidas[Início vinculado],0)))&lt;&gt;B312,INDEX(tblBatidas[ID],MATCH("B"&amp;MID($A312,2,99),tblBatidas[Início vinculado],0))&lt;&gt;E312,INDEX(tblBatidas[Projeto],MATCH("B"&amp;MID($A312,2,99),tblBatidas[Início vinculado],0))&lt;&gt;G312,INDEX(tblBatidas[Atividade],MATCH("B"&amp;MID($A312,2,99),tblBatidas[Início vinculado],0))&lt;&gt;H312),"REVISAR","CONCLUÍDO")))</f>
        <v>CONCLUÍDO</v>
      </c>
      <c r="R312">
        <f>IF(Q312&lt;&gt;"CONCLUÍDO",0,IF(COUNTIFS($E$5:E312,E312,$B$5:B312,B312,$Q$5:Q312,"CONCLUÍDO")=1,1,0))</f>
        <v>0</v>
      </c>
      <c r="S312" t="str">
        <f t="shared" si="19"/>
        <v>yyyy-09</v>
      </c>
      <c r="T312">
        <f>IF(E312="","",E312*100000+COUNTIFS(tblRegistros[ID],E312,tblRegistros[Data],"&lt;"&amp;B312)+COUNTIFS(tblRegistros[ID],E312,tblRegistros[Data],B312,tblRegistros[Início],"&lt;"&amp;I312)+COUNTIFS($E$5:E312,E312,$B$5:B312,B312,$I$5:I312,I312))</f>
        <v>100400030</v>
      </c>
    </row>
    <row r="313" spans="1:20">
      <c r="A313" t="s">
        <v>404</v>
      </c>
      <c r="B313" s="2">
        <f>IFERROR(INT(INDEX(tblBatidas[Data e hora],MATCH("B"&amp;MID($A313,2,99),tblBatidas[Batida ID],0))),"")</f>
        <v>46276</v>
      </c>
      <c r="C313" t="str">
        <f t="shared" si="16"/>
        <v>SEXTA-FEIRA</v>
      </c>
      <c r="D313" t="str">
        <f t="shared" si="17"/>
        <v>DIA ÚTIL</v>
      </c>
      <c r="E313">
        <f>IFERROR(INDEX(tblBatidas[ID],MATCH("B"&amp;MID($A313,2,99),tblBatidas[Batida ID],0)),"")</f>
        <v>1005</v>
      </c>
      <c r="F313" t="str">
        <f>IFERROR(INDEX(tblPessoas[Pessoa],MATCH(E313,tblPessoas[ID],0)),"")</f>
        <v>Carolina Fantini Vidigal Diniz Dias</v>
      </c>
      <c r="G313" t="str">
        <f>IFERROR(INDEX(tblBatidas[Projeto],MATCH("B"&amp;MID($A313,2,99),tblBatidas[Batida ID],0)),"")</f>
        <v>BETIM - TRACKING</v>
      </c>
      <c r="H313" t="str">
        <f>IFERROR(INDEX(tblBatidas[Atividade],MATCH("B"&amp;MID($A313,2,99),tblBatidas[Batida ID],0)),"")</f>
        <v>CHECAGEM</v>
      </c>
      <c r="I313" s="4">
        <f>IFERROR(MOD(INDEX(tblBatidas[Data e hora],MATCH("B"&amp;MID($A313,2,99),tblBatidas[Batida ID],0)),1),"")</f>
        <v>0.630162037035916</v>
      </c>
      <c r="J313" s="4" t="str">
        <f>IFERROR(MOD(INDEX(tblBatidas[Data e hora],MATCH("B"&amp;MID($A313,2,99),tblBatidas[Início vinculado],0)),1),"")</f>
        <v/>
      </c>
      <c r="K313" s="14" t="str">
        <f>IFERROR((INDEX(tblBatidas[Data e hora],MATCH("B"&amp;MID($A313,2,99),tblBatidas[Início vinculado],0))-INDEX(tblBatidas[Data e hora],MATCH("B"&amp;MID($A313,2,99),tblBatidas[Batida ID],0)))*24,"")</f>
        <v/>
      </c>
      <c r="L313" t="str">
        <f>IFERROR(INDEX(tblBatidas[Observação],MATCH("B"&amp;MID($A313,2,99),tblBatidas[Início vinculado],0)),"")</f>
        <v/>
      </c>
      <c r="M313" t="str">
        <f>IFERROR(INDEX(tblPessoas[Base],MATCH(E313,tblPessoas[ID],0)),"")</f>
        <v>Hora</v>
      </c>
      <c r="N313" s="3">
        <f>IFERROR(IF(D313="DIA ÚTIL",INDEX(tblPessoas[R$/h útil],MATCH(E313,tblPessoas[ID],0)),INDEX(tblPessoas[R$/h FDS],MATCH(E313,tblPessoas[ID],0))),0)</f>
        <v>13</v>
      </c>
      <c r="O313" s="3">
        <f>IFERROR(INDEX(tblPessoas[R$/diária],MATCH(E313,tblPessoas[ID],0)),0)</f>
        <v>0</v>
      </c>
      <c r="P313" s="3" t="str">
        <f t="shared" si="18"/>
        <v/>
      </c>
      <c r="Q313" t="str">
        <f>IF(A313="","",IF(COUNTIF(tblBatidas[Início vinculado],"B"&amp;MID($A313,2,99))=0,"EM ABERTO",IF(OR(COUNTIF(tblBatidas[Início vinculado],"B"&amp;MID($A313,2,99))&gt;1,K313&lt;0,K313&gt;16,INT(INDEX(tblBatidas[Data e hora],MATCH("B"&amp;MID($A313,2,99),tblBatidas[Início vinculado],0)))&lt;&gt;B313,INDEX(tblBatidas[ID],MATCH("B"&amp;MID($A313,2,99),tblBatidas[Início vinculado],0))&lt;&gt;E313,INDEX(tblBatidas[Projeto],MATCH("B"&amp;MID($A313,2,99),tblBatidas[Início vinculado],0))&lt;&gt;G313,INDEX(tblBatidas[Atividade],MATCH("B"&amp;MID($A313,2,99),tblBatidas[Início vinculado],0))&lt;&gt;H313),"REVISAR","CONCLUÍDO")))</f>
        <v>EM ABERTO</v>
      </c>
      <c r="R313">
        <f>IF(Q313&lt;&gt;"CONCLUÍDO",0,IF(COUNTIFS($E$5:E313,E313,$B$5:B313,B313,$Q$5:Q313,"CONCLUÍDO")=1,1,0))</f>
        <v>0</v>
      </c>
      <c r="S313" t="str">
        <f t="shared" si="19"/>
        <v>yyyy-09</v>
      </c>
      <c r="T313">
        <f>IF(E313="","",E313*100000+COUNTIFS(tblRegistros[ID],E313,tblRegistros[Data],"&lt;"&amp;B313)+COUNTIFS(tblRegistros[ID],E313,tblRegistros[Data],B313,tblRegistros[Início],"&lt;"&amp;I313)+COUNTIFS($E$5:E313,E313,$B$5:B313,B313,$I$5:I313,I313))</f>
        <v>100500002</v>
      </c>
    </row>
    <row r="314" spans="1:20">
      <c r="A314" t="s">
        <v>405</v>
      </c>
      <c r="B314" s="2">
        <f>IFERROR(INT(INDEX(tblBatidas[Data e hora],MATCH("B"&amp;MID($A314,2,99),tblBatidas[Batida ID],0))),"")</f>
        <v>46276</v>
      </c>
      <c r="C314" t="str">
        <f t="shared" si="16"/>
        <v>SEXTA-FEIRA</v>
      </c>
      <c r="D314" t="str">
        <f t="shared" si="17"/>
        <v>DIA ÚTIL</v>
      </c>
      <c r="E314">
        <f>IFERROR(INDEX(tblBatidas[ID],MATCH("B"&amp;MID($A314,2,99),tblBatidas[Batida ID],0)),"")</f>
        <v>1006</v>
      </c>
      <c r="F314" t="str">
        <f>IFERROR(INDEX(tblPessoas[Pessoa],MATCH(E314,tblPessoas[ID],0)),"")</f>
        <v>Eliane dos Santos Oliveira</v>
      </c>
      <c r="G314" t="str">
        <f>IFERROR(INDEX(tblBatidas[Projeto],MATCH("B"&amp;MID($A314,2,99),tblBatidas[Batida ID],0)),"")</f>
        <v>OUTROS</v>
      </c>
      <c r="H314" t="str">
        <f>IFERROR(INDEX(tblBatidas[Atividade],MATCH("B"&amp;MID($A314,2,99),tblBatidas[Batida ID],0)),"")</f>
        <v>CHECAGEM</v>
      </c>
      <c r="I314" s="4">
        <f>IFERROR(MOD(INDEX(tblBatidas[Data e hora],MATCH("B"&amp;MID($A314,2,99),tblBatidas[Batida ID],0)),1),"")</f>
        <v>0.6342245370396995</v>
      </c>
      <c r="J314" s="4">
        <f>IFERROR(MOD(INDEX(tblBatidas[Data e hora],MATCH("B"&amp;MID($A314,2,99),tblBatidas[Início vinculado],0)),1),"")</f>
        <v>0.776053240741021</v>
      </c>
      <c r="K314" s="14">
        <f>IFERROR((INDEX(tblBatidas[Data e hora],MATCH("B"&amp;MID($A314,2,99),tblBatidas[Início vinculado],0))-INDEX(tblBatidas[Data e hora],MATCH("B"&amp;MID($A314,2,99),tblBatidas[Batida ID],0)))*24,"")</f>
        <v>3.403888888831716</v>
      </c>
      <c r="L314">
        <f>IFERROR(INDEX(tblBatidas[Observação],MATCH("B"&amp;MID($A314,2,99),tblBatidas[Início vinculado],0)),"")</f>
        <v>0</v>
      </c>
      <c r="M314" t="str">
        <f>IFERROR(INDEX(tblPessoas[Base],MATCH(E314,tblPessoas[ID],0)),"")</f>
        <v>Hora</v>
      </c>
      <c r="N314" s="3">
        <f>IFERROR(IF(D314="DIA ÚTIL",INDEX(tblPessoas[R$/h útil],MATCH(E314,tblPessoas[ID],0)),INDEX(tblPessoas[R$/h FDS],MATCH(E314,tblPessoas[ID],0))),0)</f>
        <v>14</v>
      </c>
      <c r="O314" s="3">
        <f>IFERROR(INDEX(tblPessoas[R$/diária],MATCH(E314,tblPessoas[ID],0)),0)</f>
        <v>0</v>
      </c>
      <c r="P314" s="3">
        <f t="shared" si="18"/>
        <v>47.654444443644024</v>
      </c>
      <c r="Q314" t="str">
        <f>IF(A314="","",IF(COUNTIF(tblBatidas[Início vinculado],"B"&amp;MID($A314,2,99))=0,"EM ABERTO",IF(OR(COUNTIF(tblBatidas[Início vinculado],"B"&amp;MID($A314,2,99))&gt;1,K314&lt;0,K314&gt;16,INT(INDEX(tblBatidas[Data e hora],MATCH("B"&amp;MID($A314,2,99),tblBatidas[Início vinculado],0)))&lt;&gt;B314,INDEX(tblBatidas[ID],MATCH("B"&amp;MID($A314,2,99),tblBatidas[Início vinculado],0))&lt;&gt;E314,INDEX(tblBatidas[Projeto],MATCH("B"&amp;MID($A314,2,99),tblBatidas[Início vinculado],0))&lt;&gt;G314,INDEX(tblBatidas[Atividade],MATCH("B"&amp;MID($A314,2,99),tblBatidas[Início vinculado],0))&lt;&gt;H314),"REVISAR","CONCLUÍDO")))</f>
        <v>CONCLUÍDO</v>
      </c>
      <c r="R314">
        <f>IF(Q314&lt;&gt;"CONCLUÍDO",0,IF(COUNTIFS($E$5:E314,E314,$B$5:B314,B314,$Q$5:Q314,"CONCLUÍDO")=1,1,0))</f>
        <v>0</v>
      </c>
      <c r="S314" t="str">
        <f t="shared" si="19"/>
        <v>yyyy-09</v>
      </c>
      <c r="T314">
        <f>IF(E314="","",E314*100000+COUNTIFS(tblRegistros[ID],E314,tblRegistros[Data],"&lt;"&amp;B314)+COUNTIFS(tblRegistros[ID],E314,tblRegistros[Data],B314,tblRegistros[Início],"&lt;"&amp;I314)+COUNTIFS($E$5:E314,E314,$B$5:B314,B314,$I$5:I314,I314))</f>
        <v>100600026</v>
      </c>
    </row>
    <row r="315" spans="1:20">
      <c r="A315" t="s">
        <v>406</v>
      </c>
      <c r="B315" s="2">
        <f>IFERROR(INT(INDEX(tblBatidas[Data e hora],MATCH("B"&amp;MID($A315,2,99),tblBatidas[Batida ID],0))),"")</f>
        <v>46276</v>
      </c>
      <c r="C315" t="str">
        <f t="shared" si="16"/>
        <v>SEXTA-FEIRA</v>
      </c>
      <c r="D315" t="str">
        <f t="shared" si="17"/>
        <v>DIA ÚTIL</v>
      </c>
      <c r="E315">
        <f>IFERROR(INDEX(tblBatidas[ID],MATCH("B"&amp;MID($A315,2,99),tblBatidas[Batida ID],0)),"")</f>
        <v>1001</v>
      </c>
      <c r="F315" t="str">
        <f>IFERROR(INDEX(tblPessoas[Pessoa],MATCH(E315,tblPessoas[ID],0)),"")</f>
        <v>Adriana Pereira dos Santos</v>
      </c>
      <c r="G315" t="str">
        <f>IFERROR(INDEX(tblBatidas[Projeto],MATCH("B"&amp;MID($A315,2,99),tblBatidas[Batida ID],0)),"")</f>
        <v>SICOOB CREDICOM</v>
      </c>
      <c r="H315" t="str">
        <f>IFERROR(INDEX(tblBatidas[Atividade],MATCH("B"&amp;MID($A315,2,99),tblBatidas[Batida ID],0)),"")</f>
        <v>SUPERVISÃO</v>
      </c>
      <c r="I315" s="4">
        <f>IFERROR(MOD(INDEX(tblBatidas[Data e hora],MATCH("B"&amp;MID($A315,2,99),tblBatidas[Batida ID],0)),1),"")</f>
        <v>0.69989583333517658</v>
      </c>
      <c r="J315" s="4">
        <f>IFERROR(MOD(INDEX(tblBatidas[Data e hora],MATCH("B"&amp;MID($A315,2,99),tblBatidas[Início vinculado],0)),1),"")</f>
        <v>0.90296296296583023</v>
      </c>
      <c r="K315" s="14">
        <f>IFERROR((INDEX(tblBatidas[Data e hora],MATCH("B"&amp;MID($A315,2,99),tblBatidas[Início vinculado],0))-INDEX(tblBatidas[Data e hora],MATCH("B"&amp;MID($A315,2,99),tblBatidas[Batida ID],0)))*24,"")</f>
        <v>4.8736111111356877</v>
      </c>
      <c r="L315">
        <f>IFERROR(INDEX(tblBatidas[Observação],MATCH("B"&amp;MID($A315,2,99),tblBatidas[Início vinculado],0)),"")</f>
        <v>0</v>
      </c>
      <c r="M315" t="str">
        <f>IFERROR(INDEX(tblPessoas[Base],MATCH(E315,tblPessoas[ID],0)),"")</f>
        <v>Hora</v>
      </c>
      <c r="N315" s="3">
        <f>IFERROR(IF(D315="DIA ÚTIL",INDEX(tblPessoas[R$/h útil],MATCH(E315,tblPessoas[ID],0)),INDEX(tblPessoas[R$/h FDS],MATCH(E315,tblPessoas[ID],0))),0)</f>
        <v>17</v>
      </c>
      <c r="O315" s="3">
        <f>IFERROR(INDEX(tblPessoas[R$/diária],MATCH(E315,tblPessoas[ID],0)),0)</f>
        <v>0</v>
      </c>
      <c r="P315" s="3">
        <f t="shared" si="18"/>
        <v>82.851388889306691</v>
      </c>
      <c r="Q315" t="str">
        <f>IF(A315="","",IF(COUNTIF(tblBatidas[Início vinculado],"B"&amp;MID($A315,2,99))=0,"EM ABERTO",IF(OR(COUNTIF(tblBatidas[Início vinculado],"B"&amp;MID($A315,2,99))&gt;1,K315&lt;0,K315&gt;16,INT(INDEX(tblBatidas[Data e hora],MATCH("B"&amp;MID($A315,2,99),tblBatidas[Início vinculado],0)))&lt;&gt;B315,INDEX(tblBatidas[ID],MATCH("B"&amp;MID($A315,2,99),tblBatidas[Início vinculado],0))&lt;&gt;E315,INDEX(tblBatidas[Projeto],MATCH("B"&amp;MID($A315,2,99),tblBatidas[Início vinculado],0))&lt;&gt;G315,INDEX(tblBatidas[Atividade],MATCH("B"&amp;MID($A315,2,99),tblBatidas[Início vinculado],0))&lt;&gt;H315),"REVISAR","CONCLUÍDO")))</f>
        <v>CONCLUÍDO</v>
      </c>
      <c r="R315">
        <f>IF(Q315&lt;&gt;"CONCLUÍDO",0,IF(COUNTIFS($E$5:E315,E315,$B$5:B315,B315,$Q$5:Q315,"CONCLUÍDO")=1,1,0))</f>
        <v>1</v>
      </c>
      <c r="S315" t="str">
        <f t="shared" si="19"/>
        <v>yyyy-09</v>
      </c>
      <c r="T315">
        <f>IF(E315="","",E315*100000+COUNTIFS(tblRegistros[ID],E315,tblRegistros[Data],"&lt;"&amp;B315)+COUNTIFS(tblRegistros[ID],E315,tblRegistros[Data],B315,tblRegistros[Início],"&lt;"&amp;I315)+COUNTIFS($E$5:E315,E315,$B$5:B315,B315,$I$5:I315,I315))</f>
        <v>100100028</v>
      </c>
    </row>
    <row r="316" spans="1:20">
      <c r="A316" t="s">
        <v>407</v>
      </c>
      <c r="B316" s="2">
        <f>IFERROR(INT(INDEX(tblBatidas[Data e hora],MATCH("B"&amp;MID($A316,2,99),tblBatidas[Batida ID],0))),"")</f>
        <v>46276</v>
      </c>
      <c r="C316" t="str">
        <f t="shared" si="16"/>
        <v>SEXTA-FEIRA</v>
      </c>
      <c r="D316" t="str">
        <f t="shared" si="17"/>
        <v>DIA ÚTIL</v>
      </c>
      <c r="E316">
        <f>IFERROR(INDEX(tblBatidas[ID],MATCH("B"&amp;MID($A316,2,99),tblBatidas[Batida ID],0)),"")</f>
        <v>1012</v>
      </c>
      <c r="F316" t="str">
        <f>IFERROR(INDEX(tblPessoas[Pessoa],MATCH(E316,tblPessoas[ID],0)),"")</f>
        <v>Nelma Lucia dos S. B. Brandão</v>
      </c>
      <c r="G316" t="str">
        <f>IFERROR(INDEX(tblBatidas[Projeto],MATCH("B"&amp;MID($A316,2,99),tblBatidas[Batida ID],0)),"")</f>
        <v>BETIM - TRACKING</v>
      </c>
      <c r="H316" t="str">
        <f>IFERROR(INDEX(tblBatidas[Atividade],MATCH("B"&amp;MID($A316,2,99),tblBatidas[Batida ID],0)),"")</f>
        <v>CHECAGEM</v>
      </c>
      <c r="I316" s="4">
        <f>IFERROR(MOD(INDEX(tblBatidas[Data e hora],MATCH("B"&amp;MID($A316,2,99),tblBatidas[Batida ID],0)),1),"")</f>
        <v>0.80623842592467554</v>
      </c>
      <c r="J316" s="4">
        <f>IFERROR(MOD(INDEX(tblBatidas[Data e hora],MATCH("B"&amp;MID($A316,2,99),tblBatidas[Início vinculado],0)),1),"")</f>
        <v>0.82048611110803904</v>
      </c>
      <c r="K316" s="14">
        <f>IFERROR((INDEX(tblBatidas[Data e hora],MATCH("B"&amp;MID($A316,2,99),tblBatidas[Início vinculado],0))-INDEX(tblBatidas[Data e hora],MATCH("B"&amp;MID($A316,2,99),tblBatidas[Batida ID],0)))*24,"")</f>
        <v>0.34194444440072402</v>
      </c>
      <c r="L316">
        <f>IFERROR(INDEX(tblBatidas[Observação],MATCH("B"&amp;MID($A316,2,99),tblBatidas[Início vinculado],0)),"")</f>
        <v>0</v>
      </c>
      <c r="M316" t="str">
        <f>IFERROR(INDEX(tblPessoas[Base],MATCH(E316,tblPessoas[ID],0)),"")</f>
        <v>Diária</v>
      </c>
      <c r="N316" s="3">
        <f>IFERROR(IF(D316="DIA ÚTIL",INDEX(tblPessoas[R$/h útil],MATCH(E316,tblPessoas[ID],0)),INDEX(tblPessoas[R$/h FDS],MATCH(E316,tblPessoas[ID],0))),0)</f>
        <v>0</v>
      </c>
      <c r="O316" s="3">
        <f>IFERROR(INDEX(tblPessoas[R$/diária],MATCH(E316,tblPessoas[ID],0)),0)</f>
        <v>222.72</v>
      </c>
      <c r="P316" s="3">
        <f t="shared" si="18"/>
        <v>0</v>
      </c>
      <c r="Q316" t="str">
        <f>IF(A316="","",IF(COUNTIF(tblBatidas[Início vinculado],"B"&amp;MID($A316,2,99))=0,"EM ABERTO",IF(OR(COUNTIF(tblBatidas[Início vinculado],"B"&amp;MID($A316,2,99))&gt;1,K316&lt;0,K316&gt;16,INT(INDEX(tblBatidas[Data e hora],MATCH("B"&amp;MID($A316,2,99),tblBatidas[Início vinculado],0)))&lt;&gt;B316,INDEX(tblBatidas[ID],MATCH("B"&amp;MID($A316,2,99),tblBatidas[Início vinculado],0))&lt;&gt;E316,INDEX(tblBatidas[Projeto],MATCH("B"&amp;MID($A316,2,99),tblBatidas[Início vinculado],0))&lt;&gt;G316,INDEX(tblBatidas[Atividade],MATCH("B"&amp;MID($A316,2,99),tblBatidas[Início vinculado],0))&lt;&gt;H316),"REVISAR","CONCLUÍDO")))</f>
        <v>CONCLUÍDO</v>
      </c>
      <c r="R316">
        <f>IF(Q316&lt;&gt;"CONCLUÍDO",0,IF(COUNTIFS($E$5:E316,E316,$B$5:B316,B316,$Q$5:Q316,"CONCLUÍDO")=1,1,0))</f>
        <v>0</v>
      </c>
      <c r="S316" t="str">
        <f t="shared" si="19"/>
        <v>yyyy-09</v>
      </c>
      <c r="T316">
        <f>IF(E316="","",E316*100000+COUNTIFS(tblRegistros[ID],E316,tblRegistros[Data],"&lt;"&amp;B316)+COUNTIFS(tblRegistros[ID],E316,tblRegistros[Data],B316,tblRegistros[Início],"&lt;"&amp;I316)+COUNTIFS($E$5:E316,E316,$B$5:B316,B316,$I$5:I316,I316))</f>
        <v>101200037</v>
      </c>
    </row>
    <row r="317" spans="1:20">
      <c r="A317" t="s">
        <v>408</v>
      </c>
      <c r="B317" s="2">
        <f>IFERROR(INT(INDEX(tblBatidas[Data e hora],MATCH("B"&amp;MID($A317,2,99),tblBatidas[Batida ID],0))),"")</f>
        <v>46276</v>
      </c>
      <c r="C317" t="str">
        <f t="shared" si="16"/>
        <v>SEXTA-FEIRA</v>
      </c>
      <c r="D317" t="str">
        <f t="shared" si="17"/>
        <v>DIA ÚTIL</v>
      </c>
      <c r="E317">
        <f>IFERROR(INDEX(tblBatidas[ID],MATCH("B"&amp;MID($A317,2,99),tblBatidas[Batida ID],0)),"")</f>
        <v>1006</v>
      </c>
      <c r="F317" t="str">
        <f>IFERROR(INDEX(tblPessoas[Pessoa],MATCH(E317,tblPessoas[ID],0)),"")</f>
        <v>Eliane dos Santos Oliveira</v>
      </c>
      <c r="G317" t="str">
        <f>IFERROR(INDEX(tblBatidas[Projeto],MATCH("B"&amp;MID($A317,2,99),tblBatidas[Batida ID],0)),"")</f>
        <v>OUTROS</v>
      </c>
      <c r="H317" t="str">
        <f>IFERROR(INDEX(tblBatidas[Atividade],MATCH("B"&amp;MID($A317,2,99),tblBatidas[Batida ID],0)),"")</f>
        <v>CHECAGEM</v>
      </c>
      <c r="I317" s="4">
        <f>IFERROR(MOD(INDEX(tblBatidas[Data e hora],MATCH("B"&amp;MID($A317,2,99),tblBatidas[Batida ID],0)),1),"")</f>
        <v>0.87293981481343508</v>
      </c>
      <c r="J317" s="4">
        <f>IFERROR(MOD(INDEX(tblBatidas[Data e hora],MATCH("B"&amp;MID($A317,2,99),tblBatidas[Início vinculado],0)),1),"")</f>
        <v>0.96930555555445608</v>
      </c>
      <c r="K317" s="14">
        <f>IFERROR((INDEX(tblBatidas[Data e hora],MATCH("B"&amp;MID($A317,2,99),tblBatidas[Início vinculado],0))-INDEX(tblBatidas[Data e hora],MATCH("B"&amp;MID($A317,2,99),tblBatidas[Batida ID],0)))*24,"")</f>
        <v>2.312777777784504</v>
      </c>
      <c r="L317">
        <f>IFERROR(INDEX(tblBatidas[Observação],MATCH("B"&amp;MID($A317,2,99),tblBatidas[Início vinculado],0)),"")</f>
        <v>0</v>
      </c>
      <c r="M317" t="str">
        <f>IFERROR(INDEX(tblPessoas[Base],MATCH(E317,tblPessoas[ID],0)),"")</f>
        <v>Hora</v>
      </c>
      <c r="N317" s="3">
        <f>IFERROR(IF(D317="DIA ÚTIL",INDEX(tblPessoas[R$/h útil],MATCH(E317,tblPessoas[ID],0)),INDEX(tblPessoas[R$/h FDS],MATCH(E317,tblPessoas[ID],0))),0)</f>
        <v>14</v>
      </c>
      <c r="O317" s="3">
        <f>IFERROR(INDEX(tblPessoas[R$/diária],MATCH(E317,tblPessoas[ID],0)),0)</f>
        <v>0</v>
      </c>
      <c r="P317" s="3">
        <f t="shared" si="18"/>
        <v>32.378888888983056</v>
      </c>
      <c r="Q317" t="str">
        <f>IF(A317="","",IF(COUNTIF(tblBatidas[Início vinculado],"B"&amp;MID($A317,2,99))=0,"EM ABERTO",IF(OR(COUNTIF(tblBatidas[Início vinculado],"B"&amp;MID($A317,2,99))&gt;1,K317&lt;0,K317&gt;16,INT(INDEX(tblBatidas[Data e hora],MATCH("B"&amp;MID($A317,2,99),tblBatidas[Início vinculado],0)))&lt;&gt;B317,INDEX(tblBatidas[ID],MATCH("B"&amp;MID($A317,2,99),tblBatidas[Início vinculado],0))&lt;&gt;E317,INDEX(tblBatidas[Projeto],MATCH("B"&amp;MID($A317,2,99),tblBatidas[Início vinculado],0))&lt;&gt;G317,INDEX(tblBatidas[Atividade],MATCH("B"&amp;MID($A317,2,99),tblBatidas[Início vinculado],0))&lt;&gt;H317),"REVISAR","CONCLUÍDO")))</f>
        <v>CONCLUÍDO</v>
      </c>
      <c r="R317">
        <f>IF(Q317&lt;&gt;"CONCLUÍDO",0,IF(COUNTIFS($E$5:E317,E317,$B$5:B317,B317,$Q$5:Q317,"CONCLUÍDO")=1,1,0))</f>
        <v>0</v>
      </c>
      <c r="S317" t="str">
        <f t="shared" si="19"/>
        <v>yyyy-09</v>
      </c>
      <c r="T317">
        <f>IF(E317="","",E317*100000+COUNTIFS(tblRegistros[ID],E317,tblRegistros[Data],"&lt;"&amp;B317)+COUNTIFS(tblRegistros[ID],E317,tblRegistros[Data],B317,tblRegistros[Início],"&lt;"&amp;I317)+COUNTIFS($E$5:E317,E317,$B$5:B317,B317,$I$5:I317,I317))</f>
        <v>100600027</v>
      </c>
    </row>
    <row r="318" spans="1:20">
      <c r="A318" t="s">
        <v>409</v>
      </c>
      <c r="B318" s="2">
        <f>IFERROR(INT(INDEX(tblBatidas[Data e hora],MATCH("B"&amp;MID($A318,2,99),tblBatidas[Batida ID],0))),"")</f>
        <v>46277</v>
      </c>
      <c r="C318" t="str">
        <f t="shared" si="16"/>
        <v>SÁBADO</v>
      </c>
      <c r="D318" t="str">
        <f t="shared" si="17"/>
        <v>FDS/FERIADO</v>
      </c>
      <c r="E318">
        <f>IFERROR(INDEX(tblBatidas[ID],MATCH("B"&amp;MID($A318,2,99),tblBatidas[Batida ID],0)),"")</f>
        <v>1003</v>
      </c>
      <c r="F318" t="str">
        <f>IFERROR(INDEX(tblPessoas[Pessoa],MATCH(E318,tblPessoas[ID],0)),"")</f>
        <v>Amanda do Carmo Ribeiro</v>
      </c>
      <c r="G318" t="str">
        <f>IFERROR(INDEX(tblBatidas[Projeto],MATCH("B"&amp;MID($A318,2,99),tblBatidas[Batida ID],0)),"")</f>
        <v>TOOLKIT</v>
      </c>
      <c r="H318" t="str">
        <f>IFERROR(INDEX(tblBatidas[Atividade],MATCH("B"&amp;MID($A318,2,99),tblBatidas[Batida ID],0)),"")</f>
        <v>ANÁLISE</v>
      </c>
      <c r="I318" s="4">
        <f>IFERROR(MOD(INDEX(tblBatidas[Data e hora],MATCH("B"&amp;MID($A318,2,99),tblBatidas[Batida ID],0)),1),"")</f>
        <v>0.34969907407503342</v>
      </c>
      <c r="J318" s="4">
        <f>IFERROR(MOD(INDEX(tblBatidas[Data e hora],MATCH("B"&amp;MID($A318,2,99),tblBatidas[Início vinculado],0)),1),"")</f>
        <v>0.55013888888788642</v>
      </c>
      <c r="K318" s="14">
        <f>IFERROR((INDEX(tblBatidas[Data e hora],MATCH("B"&amp;MID($A318,2,99),tblBatidas[Início vinculado],0))-INDEX(tblBatidas[Data e hora],MATCH("B"&amp;MID($A318,2,99),tblBatidas[Batida ID],0)))*24,"")</f>
        <v>4.810555555508472</v>
      </c>
      <c r="L318">
        <f>IFERROR(INDEX(tblBatidas[Observação],MATCH("B"&amp;MID($A318,2,99),tblBatidas[Início vinculado],0)),"")</f>
        <v>0</v>
      </c>
      <c r="M318" t="str">
        <f>IFERROR(INDEX(tblPessoas[Base],MATCH(E318,tblPessoas[ID],0)),"")</f>
        <v>Hora</v>
      </c>
      <c r="N318" s="3">
        <f>IFERROR(IF(D318="DIA ÚTIL",INDEX(tblPessoas[R$/h útil],MATCH(E318,tblPessoas[ID],0)),INDEX(tblPessoas[R$/h FDS],MATCH(E318,tblPessoas[ID],0))),0)</f>
        <v>23.5</v>
      </c>
      <c r="O318" s="3">
        <f>IFERROR(INDEX(tblPessoas[R$/diária],MATCH(E318,tblPessoas[ID],0)),0)</f>
        <v>0</v>
      </c>
      <c r="P318" s="3">
        <f t="shared" si="18"/>
        <v>113.04805555444909</v>
      </c>
      <c r="Q318" t="str">
        <f>IF(A318="","",IF(COUNTIF(tblBatidas[Início vinculado],"B"&amp;MID($A318,2,99))=0,"EM ABERTO",IF(OR(COUNTIF(tblBatidas[Início vinculado],"B"&amp;MID($A318,2,99))&gt;1,K318&lt;0,K318&gt;16,INT(INDEX(tblBatidas[Data e hora],MATCH("B"&amp;MID($A318,2,99),tblBatidas[Início vinculado],0)))&lt;&gt;B318,INDEX(tblBatidas[ID],MATCH("B"&amp;MID($A318,2,99),tblBatidas[Início vinculado],0))&lt;&gt;E318,INDEX(tblBatidas[Projeto],MATCH("B"&amp;MID($A318,2,99),tblBatidas[Início vinculado],0))&lt;&gt;G318,INDEX(tblBatidas[Atividade],MATCH("B"&amp;MID($A318,2,99),tblBatidas[Início vinculado],0))&lt;&gt;H318),"REVISAR","CONCLUÍDO")))</f>
        <v>CONCLUÍDO</v>
      </c>
      <c r="R318">
        <f>IF(Q318&lt;&gt;"CONCLUÍDO",0,IF(COUNTIFS($E$5:E318,E318,$B$5:B318,B318,$Q$5:Q318,"CONCLUÍDO")=1,1,0))</f>
        <v>1</v>
      </c>
      <c r="S318" t="str">
        <f t="shared" si="19"/>
        <v>yyyy-09</v>
      </c>
      <c r="T318">
        <f>IF(E318="","",E318*100000+COUNTIFS(tblRegistros[ID],E318,tblRegistros[Data],"&lt;"&amp;B318)+COUNTIFS(tblRegistros[ID],E318,tblRegistros[Data],B318,tblRegistros[Início],"&lt;"&amp;I318)+COUNTIFS($E$5:E318,E318,$B$5:B318,B318,$I$5:I318,I318))</f>
        <v>100300027</v>
      </c>
    </row>
    <row r="319" spans="1:20">
      <c r="A319" t="s">
        <v>410</v>
      </c>
      <c r="B319" s="2">
        <f>IFERROR(INT(INDEX(tblBatidas[Data e hora],MATCH("B"&amp;MID($A319,2,99),tblBatidas[Batida ID],0))),"")</f>
        <v>46277</v>
      </c>
      <c r="C319" t="str">
        <f t="shared" si="16"/>
        <v>SÁBADO</v>
      </c>
      <c r="D319" t="str">
        <f t="shared" si="17"/>
        <v>FDS/FERIADO</v>
      </c>
      <c r="E319">
        <f>IFERROR(INDEX(tblBatidas[ID],MATCH("B"&amp;MID($A319,2,99),tblBatidas[Batida ID],0)),"")</f>
        <v>1003</v>
      </c>
      <c r="F319" t="str">
        <f>IFERROR(INDEX(tblPessoas[Pessoa],MATCH(E319,tblPessoas[ID],0)),"")</f>
        <v>Amanda do Carmo Ribeiro</v>
      </c>
      <c r="G319" t="str">
        <f>IFERROR(INDEX(tblBatidas[Projeto],MATCH("B"&amp;MID($A319,2,99),tblBatidas[Batida ID],0)),"")</f>
        <v>TOOLKIT</v>
      </c>
      <c r="H319" t="str">
        <f>IFERROR(INDEX(tblBatidas[Atividade],MATCH("B"&amp;MID($A319,2,99),tblBatidas[Batida ID],0)),"")</f>
        <v>ANÁLISE</v>
      </c>
      <c r="I319" s="4">
        <f>IFERROR(MOD(INDEX(tblBatidas[Data e hora],MATCH("B"&amp;MID($A319,2,99),tblBatidas[Batida ID],0)),1),"")</f>
        <v>0.35034722222189885</v>
      </c>
      <c r="J319" s="4">
        <f>IFERROR(MOD(INDEX(tblBatidas[Data e hora],MATCH("B"&amp;MID($A319,2,99),tblBatidas[Início vinculado],0)),1),"")</f>
        <v>0.50106481481634546</v>
      </c>
      <c r="K319" s="14">
        <f>IFERROR((INDEX(tblBatidas[Data e hora],MATCH("B"&amp;MID($A319,2,99),tblBatidas[Início vinculado],0))-INDEX(tblBatidas[Data e hora],MATCH("B"&amp;MID($A319,2,99),tblBatidas[Batida ID],0)))*24,"")</f>
        <v>3.6172222222667187</v>
      </c>
      <c r="L319">
        <f>IFERROR(INDEX(tblBatidas[Observação],MATCH("B"&amp;MID($A319,2,99),tblBatidas[Início vinculado],0)),"")</f>
        <v>0</v>
      </c>
      <c r="M319" t="str">
        <f>IFERROR(INDEX(tblPessoas[Base],MATCH(E319,tblPessoas[ID],0)),"")</f>
        <v>Hora</v>
      </c>
      <c r="N319" s="3">
        <f>IFERROR(IF(D319="DIA ÚTIL",INDEX(tblPessoas[R$/h útil],MATCH(E319,tblPessoas[ID],0)),INDEX(tblPessoas[R$/h FDS],MATCH(E319,tblPessoas[ID],0))),0)</f>
        <v>23.5</v>
      </c>
      <c r="O319" s="3">
        <f>IFERROR(INDEX(tblPessoas[R$/diária],MATCH(E319,tblPessoas[ID],0)),0)</f>
        <v>0</v>
      </c>
      <c r="P319" s="3">
        <f t="shared" si="18"/>
        <v>85.004722223267891</v>
      </c>
      <c r="Q319" t="str">
        <f>IF(A319="","",IF(COUNTIF(tblBatidas[Início vinculado],"B"&amp;MID($A319,2,99))=0,"EM ABERTO",IF(OR(COUNTIF(tblBatidas[Início vinculado],"B"&amp;MID($A319,2,99))&gt;1,K319&lt;0,K319&gt;16,INT(INDEX(tblBatidas[Data e hora],MATCH("B"&amp;MID($A319,2,99),tblBatidas[Início vinculado],0)))&lt;&gt;B319,INDEX(tblBatidas[ID],MATCH("B"&amp;MID($A319,2,99),tblBatidas[Início vinculado],0))&lt;&gt;E319,INDEX(tblBatidas[Projeto],MATCH("B"&amp;MID($A319,2,99),tblBatidas[Início vinculado],0))&lt;&gt;G319,INDEX(tblBatidas[Atividade],MATCH("B"&amp;MID($A319,2,99),tblBatidas[Início vinculado],0))&lt;&gt;H319),"REVISAR","CONCLUÍDO")))</f>
        <v>CONCLUÍDO</v>
      </c>
      <c r="R319">
        <f>IF(Q319&lt;&gt;"CONCLUÍDO",0,IF(COUNTIFS($E$5:E319,E319,$B$5:B319,B319,$Q$5:Q319,"CONCLUÍDO")=1,1,0))</f>
        <v>0</v>
      </c>
      <c r="S319" t="str">
        <f t="shared" si="19"/>
        <v>yyyy-09</v>
      </c>
      <c r="T319">
        <f>IF(E319="","",E319*100000+COUNTIFS(tblRegistros[ID],E319,tblRegistros[Data],"&lt;"&amp;B319)+COUNTIFS(tblRegistros[ID],E319,tblRegistros[Data],B319,tblRegistros[Início],"&lt;"&amp;I319)+COUNTIFS($E$5:E319,E319,$B$5:B319,B319,$I$5:I319,I319))</f>
        <v>100300028</v>
      </c>
    </row>
    <row r="320" spans="1:20">
      <c r="A320" t="s">
        <v>411</v>
      </c>
      <c r="B320" s="2">
        <f>IFERROR(INT(INDEX(tblBatidas[Data e hora],MATCH("B"&amp;MID($A320,2,99),tblBatidas[Batida ID],0))),"")</f>
        <v>46277</v>
      </c>
      <c r="C320" t="str">
        <f t="shared" si="16"/>
        <v>SÁBADO</v>
      </c>
      <c r="D320" t="str">
        <f t="shared" si="17"/>
        <v>FDS/FERIADO</v>
      </c>
      <c r="E320">
        <f>IFERROR(INDEX(tblBatidas[ID],MATCH("B"&amp;MID($A320,2,99),tblBatidas[Batida ID],0)),"")</f>
        <v>1017</v>
      </c>
      <c r="F320" t="str">
        <f>IFERROR(INDEX(tblPessoas[Pessoa],MATCH(E320,tblPessoas[ID],0)),"")</f>
        <v>Renato Inácio da Silva</v>
      </c>
      <c r="G320" t="str">
        <f>IFERROR(INDEX(tblBatidas[Projeto],MATCH("B"&amp;MID($A320,2,99),tblBatidas[Batida ID],0)),"")</f>
        <v>BETIM - TRACKING</v>
      </c>
      <c r="H320" t="str">
        <f>IFERROR(INDEX(tblBatidas[Atividade],MATCH("B"&amp;MID($A320,2,99),tblBatidas[Batida ID],0)),"")</f>
        <v>CHECAGEM</v>
      </c>
      <c r="I320" s="4">
        <f>IFERROR(MOD(INDEX(tblBatidas[Data e hora],MATCH("B"&amp;MID($A320,2,99),tblBatidas[Batida ID],0)),1),"")</f>
        <v>0.38633101851883112</v>
      </c>
      <c r="J320" s="4">
        <f>IFERROR(MOD(INDEX(tblBatidas[Data e hora],MATCH("B"&amp;MID($A320,2,99),tblBatidas[Início vinculado],0)),1),"")</f>
        <v>0.79271990740380716</v>
      </c>
      <c r="K320" s="14">
        <f>IFERROR((INDEX(tblBatidas[Data e hora],MATCH("B"&amp;MID($A320,2,99),tblBatidas[Início vinculado],0))-INDEX(tblBatidas[Data e hora],MATCH("B"&amp;MID($A320,2,99),tblBatidas[Batida ID],0)))*24,"")</f>
        <v>9.753333333239425</v>
      </c>
      <c r="L320">
        <f>IFERROR(INDEX(tblBatidas[Observação],MATCH("B"&amp;MID($A320,2,99),tblBatidas[Início vinculado],0)),"")</f>
        <v>0</v>
      </c>
      <c r="M320" t="str">
        <f>IFERROR(INDEX(tblPessoas[Base],MATCH(E320,tblPessoas[ID],0)),"")</f>
        <v>Hora</v>
      </c>
      <c r="N320" s="3">
        <f>IFERROR(IF(D320="DIA ÚTIL",INDEX(tblPessoas[R$/h útil],MATCH(E320,tblPessoas[ID],0)),INDEX(tblPessoas[R$/h FDS],MATCH(E320,tblPessoas[ID],0))),0)</f>
        <v>17</v>
      </c>
      <c r="O320" s="3">
        <f>IFERROR(INDEX(tblPessoas[R$/diária],MATCH(E320,tblPessoas[ID],0)),0)</f>
        <v>0</v>
      </c>
      <c r="P320" s="3">
        <f t="shared" si="18"/>
        <v>165.80666666507022</v>
      </c>
      <c r="Q320" t="str">
        <f>IF(A320="","",IF(COUNTIF(tblBatidas[Início vinculado],"B"&amp;MID($A320,2,99))=0,"EM ABERTO",IF(OR(COUNTIF(tblBatidas[Início vinculado],"B"&amp;MID($A320,2,99))&gt;1,K320&lt;0,K320&gt;16,INT(INDEX(tblBatidas[Data e hora],MATCH("B"&amp;MID($A320,2,99),tblBatidas[Início vinculado],0)))&lt;&gt;B320,INDEX(tblBatidas[ID],MATCH("B"&amp;MID($A320,2,99),tblBatidas[Início vinculado],0))&lt;&gt;E320,INDEX(tblBatidas[Projeto],MATCH("B"&amp;MID($A320,2,99),tblBatidas[Início vinculado],0))&lt;&gt;G320,INDEX(tblBatidas[Atividade],MATCH("B"&amp;MID($A320,2,99),tblBatidas[Início vinculado],0))&lt;&gt;H320),"REVISAR","CONCLUÍDO")))</f>
        <v>CONCLUÍDO</v>
      </c>
      <c r="R320">
        <f>IF(Q320&lt;&gt;"CONCLUÍDO",0,IF(COUNTIFS($E$5:E320,E320,$B$5:B320,B320,$Q$5:Q320,"CONCLUÍDO")=1,1,0))</f>
        <v>1</v>
      </c>
      <c r="S320" t="str">
        <f t="shared" si="19"/>
        <v>yyyy-09</v>
      </c>
      <c r="T320">
        <f>IF(E320="","",E320*100000+COUNTIFS(tblRegistros[ID],E320,tblRegistros[Data],"&lt;"&amp;B320)+COUNTIFS(tblRegistros[ID],E320,tblRegistros[Data],B320,tblRegistros[Início],"&lt;"&amp;I320)+COUNTIFS($E$5:E320,E320,$B$5:B320,B320,$I$5:I320,I320))</f>
        <v>101700003</v>
      </c>
    </row>
    <row r="321" spans="1:20">
      <c r="A321" t="s">
        <v>412</v>
      </c>
      <c r="B321" s="2">
        <f>IFERROR(INT(INDEX(tblBatidas[Data e hora],MATCH("B"&amp;MID($A321,2,99),tblBatidas[Batida ID],0))),"")</f>
        <v>46277</v>
      </c>
      <c r="C321" t="str">
        <f t="shared" si="16"/>
        <v>SÁBADO</v>
      </c>
      <c r="D321" t="str">
        <f t="shared" si="17"/>
        <v>FDS/FERIADO</v>
      </c>
      <c r="E321">
        <f>IFERROR(INDEX(tblBatidas[ID],MATCH("B"&amp;MID($A321,2,99),tblBatidas[Batida ID],0)),"")</f>
        <v>1011</v>
      </c>
      <c r="F321" t="str">
        <f>IFERROR(INDEX(tblPessoas[Pessoa],MATCH(E321,tblPessoas[ID],0)),"")</f>
        <v>Nathalia Arruda</v>
      </c>
      <c r="G321" t="str">
        <f>IFERROR(INDEX(tblBatidas[Projeto],MATCH("B"&amp;MID($A321,2,99),tblBatidas[Batida ID],0)),"")</f>
        <v>ESTADUAL - OTEMPO</v>
      </c>
      <c r="H321" t="str">
        <f>IFERROR(INDEX(tblBatidas[Atividade],MATCH("B"&amp;MID($A321,2,99),tblBatidas[Batida ID],0)),"")</f>
        <v>ANÁLISE</v>
      </c>
      <c r="I321" s="4">
        <f>IFERROR(MOD(INDEX(tblBatidas[Data e hora],MATCH("B"&amp;MID($A321,2,99),tblBatidas[Batida ID],0)),1),"")</f>
        <v>0.44706018518627388</v>
      </c>
      <c r="J321" s="4" t="str">
        <f>IFERROR(MOD(INDEX(tblBatidas[Data e hora],MATCH("B"&amp;MID($A321,2,99),tblBatidas[Início vinculado],0)),1),"")</f>
        <v/>
      </c>
      <c r="K321" s="14" t="str">
        <f>IFERROR((INDEX(tblBatidas[Data e hora],MATCH("B"&amp;MID($A321,2,99),tblBatidas[Início vinculado],0))-INDEX(tblBatidas[Data e hora],MATCH("B"&amp;MID($A321,2,99),tblBatidas[Batida ID],0)))*24,"")</f>
        <v/>
      </c>
      <c r="L321" t="str">
        <f>IFERROR(INDEX(tblBatidas[Observação],MATCH("B"&amp;MID($A321,2,99),tblBatidas[Início vinculado],0)),"")</f>
        <v/>
      </c>
      <c r="M321" t="str">
        <f>IFERROR(INDEX(tblPessoas[Base],MATCH(E321,tblPessoas[ID],0)),"")</f>
        <v>Hora</v>
      </c>
      <c r="N321" s="3">
        <f>IFERROR(IF(D321="DIA ÚTIL",INDEX(tblPessoas[R$/h útil],MATCH(E321,tblPessoas[ID],0)),INDEX(tblPessoas[R$/h FDS],MATCH(E321,tblPessoas[ID],0))),0)</f>
        <v>23.5</v>
      </c>
      <c r="O321" s="3">
        <f>IFERROR(INDEX(tblPessoas[R$/diária],MATCH(E321,tblPessoas[ID],0)),0)</f>
        <v>0</v>
      </c>
      <c r="P321" s="3" t="str">
        <f t="shared" si="18"/>
        <v/>
      </c>
      <c r="Q321" t="str">
        <f>IF(A321="","",IF(COUNTIF(tblBatidas[Início vinculado],"B"&amp;MID($A321,2,99))=0,"EM ABERTO",IF(OR(COUNTIF(tblBatidas[Início vinculado],"B"&amp;MID($A321,2,99))&gt;1,K321&lt;0,K321&gt;16,INT(INDEX(tblBatidas[Data e hora],MATCH("B"&amp;MID($A321,2,99),tblBatidas[Início vinculado],0)))&lt;&gt;B321,INDEX(tblBatidas[ID],MATCH("B"&amp;MID($A321,2,99),tblBatidas[Início vinculado],0))&lt;&gt;E321,INDEX(tblBatidas[Projeto],MATCH("B"&amp;MID($A321,2,99),tblBatidas[Início vinculado],0))&lt;&gt;G321,INDEX(tblBatidas[Atividade],MATCH("B"&amp;MID($A321,2,99),tblBatidas[Início vinculado],0))&lt;&gt;H321),"REVISAR","CONCLUÍDO")))</f>
        <v>EM ABERTO</v>
      </c>
      <c r="R321">
        <f>IF(Q321&lt;&gt;"CONCLUÍDO",0,IF(COUNTIFS($E$5:E321,E321,$B$5:B321,B321,$Q$5:Q321,"CONCLUÍDO")=1,1,0))</f>
        <v>0</v>
      </c>
      <c r="S321" t="str">
        <f t="shared" si="19"/>
        <v>yyyy-09</v>
      </c>
      <c r="T321">
        <f>IF(E321="","",E321*100000+COUNTIFS(tblRegistros[ID],E321,tblRegistros[Data],"&lt;"&amp;B321)+COUNTIFS(tblRegistros[ID],E321,tblRegistros[Data],B321,tblRegistros[Início],"&lt;"&amp;I321)+COUNTIFS($E$5:E321,E321,$B$5:B321,B321,$I$5:I321,I321))</f>
        <v>101100027</v>
      </c>
    </row>
    <row r="322" spans="1:20">
      <c r="A322" t="s">
        <v>413</v>
      </c>
      <c r="B322" s="2">
        <f>IFERROR(INT(INDEX(tblBatidas[Data e hora],MATCH("B"&amp;MID($A322,2,99),tblBatidas[Batida ID],0))),"")</f>
        <v>46277</v>
      </c>
      <c r="C322" t="str">
        <f t="shared" si="16"/>
        <v>SÁBADO</v>
      </c>
      <c r="D322" t="str">
        <f t="shared" si="17"/>
        <v>FDS/FERIADO</v>
      </c>
      <c r="E322">
        <f>IFERROR(INDEX(tblBatidas[ID],MATCH("B"&amp;MID($A322,2,99),tblBatidas[Batida ID],0)),"")</f>
        <v>1003</v>
      </c>
      <c r="F322" t="str">
        <f>IFERROR(INDEX(tblPessoas[Pessoa],MATCH(E322,tblPessoas[ID],0)),"")</f>
        <v>Amanda do Carmo Ribeiro</v>
      </c>
      <c r="G322" t="str">
        <f>IFERROR(INDEX(tblBatidas[Projeto],MATCH("B"&amp;MID($A322,2,99),tblBatidas[Batida ID],0)),"")</f>
        <v>TOOLKIT</v>
      </c>
      <c r="H322" t="str">
        <f>IFERROR(INDEX(tblBatidas[Atividade],MATCH("B"&amp;MID($A322,2,99),tblBatidas[Batida ID],0)),"")</f>
        <v>ANÁLISE</v>
      </c>
      <c r="I322" s="4">
        <f>IFERROR(MOD(INDEX(tblBatidas[Data e hora],MATCH("B"&amp;MID($A322,2,99),tblBatidas[Batida ID],0)),1),"")</f>
        <v>0.55412037036876427</v>
      </c>
      <c r="J322" s="4">
        <f>IFERROR(MOD(INDEX(tblBatidas[Data e hora],MATCH("B"&amp;MID($A322,2,99),tblBatidas[Início vinculado],0)),1),"")</f>
        <v>0.77935185185197042</v>
      </c>
      <c r="K322" s="14">
        <f>IFERROR((INDEX(tblBatidas[Data e hora],MATCH("B"&amp;MID($A322,2,99),tblBatidas[Início vinculado],0))-INDEX(tblBatidas[Data e hora],MATCH("B"&amp;MID($A322,2,99),tblBatidas[Batida ID],0)))*24,"")</f>
        <v>5.4055555555969477</v>
      </c>
      <c r="L322">
        <f>IFERROR(INDEX(tblBatidas[Observação],MATCH("B"&amp;MID($A322,2,99),tblBatidas[Início vinculado],0)),"")</f>
        <v>0</v>
      </c>
      <c r="M322" t="str">
        <f>IFERROR(INDEX(tblPessoas[Base],MATCH(E322,tblPessoas[ID],0)),"")</f>
        <v>Hora</v>
      </c>
      <c r="N322" s="3">
        <f>IFERROR(IF(D322="DIA ÚTIL",INDEX(tblPessoas[R$/h útil],MATCH(E322,tblPessoas[ID],0)),INDEX(tblPessoas[R$/h FDS],MATCH(E322,tblPessoas[ID],0))),0)</f>
        <v>23.5</v>
      </c>
      <c r="O322" s="3">
        <f>IFERROR(INDEX(tblPessoas[R$/diária],MATCH(E322,tblPessoas[ID],0)),0)</f>
        <v>0</v>
      </c>
      <c r="P322" s="3">
        <f t="shared" si="18"/>
        <v>127.03055555652827</v>
      </c>
      <c r="Q322" t="str">
        <f>IF(A322="","",IF(COUNTIF(tblBatidas[Início vinculado],"B"&amp;MID($A322,2,99))=0,"EM ABERTO",IF(OR(COUNTIF(tblBatidas[Início vinculado],"B"&amp;MID($A322,2,99))&gt;1,K322&lt;0,K322&gt;16,INT(INDEX(tblBatidas[Data e hora],MATCH("B"&amp;MID($A322,2,99),tblBatidas[Início vinculado],0)))&lt;&gt;B322,INDEX(tblBatidas[ID],MATCH("B"&amp;MID($A322,2,99),tblBatidas[Início vinculado],0))&lt;&gt;E322,INDEX(tblBatidas[Projeto],MATCH("B"&amp;MID($A322,2,99),tblBatidas[Início vinculado],0))&lt;&gt;G322,INDEX(tblBatidas[Atividade],MATCH("B"&amp;MID($A322,2,99),tblBatidas[Início vinculado],0))&lt;&gt;H322),"REVISAR","CONCLUÍDO")))</f>
        <v>CONCLUÍDO</v>
      </c>
      <c r="R322">
        <f>IF(Q322&lt;&gt;"CONCLUÍDO",0,IF(COUNTIFS($E$5:E322,E322,$B$5:B322,B322,$Q$5:Q322,"CONCLUÍDO")=1,1,0))</f>
        <v>0</v>
      </c>
      <c r="S322" t="str">
        <f t="shared" si="19"/>
        <v>yyyy-09</v>
      </c>
      <c r="T322">
        <f>IF(E322="","",E322*100000+COUNTIFS(tblRegistros[ID],E322,tblRegistros[Data],"&lt;"&amp;B322)+COUNTIFS(tblRegistros[ID],E322,tblRegistros[Data],B322,tblRegistros[Início],"&lt;"&amp;I322)+COUNTIFS($E$5:E322,E322,$B$5:B322,B322,$I$5:I322,I322))</f>
        <v>100300029</v>
      </c>
    </row>
    <row r="323" spans="1:20">
      <c r="A323" t="s">
        <v>414</v>
      </c>
      <c r="B323" s="2">
        <f>IFERROR(INT(INDEX(tblBatidas[Data e hora],MATCH("B"&amp;MID($A323,2,99),tblBatidas[Batida ID],0))),"")</f>
        <v>46278</v>
      </c>
      <c r="C323" t="str">
        <f t="shared" si="16"/>
        <v>DOMINGO</v>
      </c>
      <c r="D323" t="str">
        <f t="shared" si="17"/>
        <v>FDS/FERIADO</v>
      </c>
      <c r="E323">
        <f>IFERROR(INDEX(tblBatidas[ID],MATCH("B"&amp;MID($A323,2,99),tblBatidas[Batida ID],0)),"")</f>
        <v>1003</v>
      </c>
      <c r="F323" t="str">
        <f>IFERROR(INDEX(tblPessoas[Pessoa],MATCH(E323,tblPessoas[ID],0)),"")</f>
        <v>Amanda do Carmo Ribeiro</v>
      </c>
      <c r="G323" t="str">
        <f>IFERROR(INDEX(tblBatidas[Projeto],MATCH("B"&amp;MID($A323,2,99),tblBatidas[Batida ID],0)),"")</f>
        <v>ESTADUAL - OTEMPO</v>
      </c>
      <c r="H323" t="str">
        <f>IFERROR(INDEX(tblBatidas[Atividade],MATCH("B"&amp;MID($A323,2,99),tblBatidas[Batida ID],0)),"")</f>
        <v>ANÁLISE</v>
      </c>
      <c r="I323" s="4">
        <f>IFERROR(MOD(INDEX(tblBatidas[Data e hora],MATCH("B"&amp;MID($A323,2,99),tblBatidas[Batida ID],0)),1),"")</f>
        <v>0.33918981481838273</v>
      </c>
      <c r="J323" s="4">
        <f>IFERROR(MOD(INDEX(tblBatidas[Data e hora],MATCH("B"&amp;MID($A323,2,99),tblBatidas[Início vinculado],0)),1),"")</f>
        <v>0.49016203703649808</v>
      </c>
      <c r="K323" s="14">
        <f>IFERROR((INDEX(tblBatidas[Data e hora],MATCH("B"&amp;MID($A323,2,99),tblBatidas[Início vinculado],0))-INDEX(tblBatidas[Data e hora],MATCH("B"&amp;MID($A323,2,99),tblBatidas[Batida ID],0)))*24,"")</f>
        <v>3.6233333332347684</v>
      </c>
      <c r="L323">
        <f>IFERROR(INDEX(tblBatidas[Observação],MATCH("B"&amp;MID($A323,2,99),tblBatidas[Início vinculado],0)),"")</f>
        <v>0</v>
      </c>
      <c r="M323" t="str">
        <f>IFERROR(INDEX(tblPessoas[Base],MATCH(E323,tblPessoas[ID],0)),"")</f>
        <v>Hora</v>
      </c>
      <c r="N323" s="3">
        <f>IFERROR(IF(D323="DIA ÚTIL",INDEX(tblPessoas[R$/h útil],MATCH(E323,tblPessoas[ID],0)),INDEX(tblPessoas[R$/h FDS],MATCH(E323,tblPessoas[ID],0))),0)</f>
        <v>23.5</v>
      </c>
      <c r="O323" s="3">
        <f>IFERROR(INDEX(tblPessoas[R$/diária],MATCH(E323,tblPessoas[ID],0)),0)</f>
        <v>0</v>
      </c>
      <c r="P323" s="3">
        <f t="shared" si="18"/>
        <v>85.148333331017056</v>
      </c>
      <c r="Q323" t="str">
        <f>IF(A323="","",IF(COUNTIF(tblBatidas[Início vinculado],"B"&amp;MID($A323,2,99))=0,"EM ABERTO",IF(OR(COUNTIF(tblBatidas[Início vinculado],"B"&amp;MID($A323,2,99))&gt;1,K323&lt;0,K323&gt;16,INT(INDEX(tblBatidas[Data e hora],MATCH("B"&amp;MID($A323,2,99),tblBatidas[Início vinculado],0)))&lt;&gt;B323,INDEX(tblBatidas[ID],MATCH("B"&amp;MID($A323,2,99),tblBatidas[Início vinculado],0))&lt;&gt;E323,INDEX(tblBatidas[Projeto],MATCH("B"&amp;MID($A323,2,99),tblBatidas[Início vinculado],0))&lt;&gt;G323,INDEX(tblBatidas[Atividade],MATCH("B"&amp;MID($A323,2,99),tblBatidas[Início vinculado],0))&lt;&gt;H323),"REVISAR","CONCLUÍDO")))</f>
        <v>CONCLUÍDO</v>
      </c>
      <c r="R323">
        <f>IF(Q323&lt;&gt;"CONCLUÍDO",0,IF(COUNTIFS($E$5:E323,E323,$B$5:B323,B323,$Q$5:Q323,"CONCLUÍDO")=1,1,0))</f>
        <v>1</v>
      </c>
      <c r="S323" t="str">
        <f t="shared" si="19"/>
        <v>yyyy-09</v>
      </c>
      <c r="T323">
        <f>IF(E323="","",E323*100000+COUNTIFS(tblRegistros[ID],E323,tblRegistros[Data],"&lt;"&amp;B323)+COUNTIFS(tblRegistros[ID],E323,tblRegistros[Data],B323,tblRegistros[Início],"&lt;"&amp;I323)+COUNTIFS($E$5:E323,E323,$B$5:B323,B323,$I$5:I323,I323))</f>
        <v>100300030</v>
      </c>
    </row>
    <row r="324" spans="1:20">
      <c r="A324" t="s">
        <v>415</v>
      </c>
      <c r="B324" s="2">
        <f>IFERROR(INT(INDEX(tblBatidas[Data e hora],MATCH("B"&amp;MID($A324,2,99),tblBatidas[Batida ID],0))),"")</f>
        <v>46278</v>
      </c>
      <c r="C324" t="str">
        <f t="shared" si="16"/>
        <v>DOMINGO</v>
      </c>
      <c r="D324" t="str">
        <f t="shared" si="17"/>
        <v>FDS/FERIADO</v>
      </c>
      <c r="E324">
        <f>IFERROR(INDEX(tblBatidas[ID],MATCH("B"&amp;MID($A324,2,99),tblBatidas[Batida ID],0)),"")</f>
        <v>1011</v>
      </c>
      <c r="F324" t="str">
        <f>IFERROR(INDEX(tblPessoas[Pessoa],MATCH(E324,tblPessoas[ID],0)),"")</f>
        <v>Nathalia Arruda</v>
      </c>
      <c r="G324" t="str">
        <f>IFERROR(INDEX(tblBatidas[Projeto],MATCH("B"&amp;MID($A324,2,99),tblBatidas[Batida ID],0)),"")</f>
        <v>ESTADUAL - OTEMPO</v>
      </c>
      <c r="H324" t="str">
        <f>IFERROR(INDEX(tblBatidas[Atividade],MATCH("B"&amp;MID($A324,2,99),tblBatidas[Batida ID],0)),"")</f>
        <v>ANÁLISE</v>
      </c>
      <c r="I324" s="4">
        <f>IFERROR(MOD(INDEX(tblBatidas[Data e hora],MATCH("B"&amp;MID($A324,2,99),tblBatidas[Batida ID],0)),1),"")</f>
        <v>0.45687500000349246</v>
      </c>
      <c r="J324" s="4">
        <f>IFERROR(MOD(INDEX(tblBatidas[Data e hora],MATCH("B"&amp;MID($A324,2,99),tblBatidas[Início vinculado],0)),1),"")</f>
        <v>0.61828703703940846</v>
      </c>
      <c r="K324" s="14">
        <f>IFERROR((INDEX(tblBatidas[Data e hora],MATCH("B"&amp;MID($A324,2,99),tblBatidas[Início vinculado],0))-INDEX(tblBatidas[Data e hora],MATCH("B"&amp;MID($A324,2,99),tblBatidas[Batida ID],0)))*24,"")</f>
        <v>3.873888888861984</v>
      </c>
      <c r="L324">
        <f>IFERROR(INDEX(tblBatidas[Observação],MATCH("B"&amp;MID($A324,2,99),tblBatidas[Início vinculado],0)),"")</f>
        <v>0</v>
      </c>
      <c r="M324" t="str">
        <f>IFERROR(INDEX(tblPessoas[Base],MATCH(E324,tblPessoas[ID],0)),"")</f>
        <v>Hora</v>
      </c>
      <c r="N324" s="3">
        <f>IFERROR(IF(D324="DIA ÚTIL",INDEX(tblPessoas[R$/h útil],MATCH(E324,tblPessoas[ID],0)),INDEX(tblPessoas[R$/h FDS],MATCH(E324,tblPessoas[ID],0))),0)</f>
        <v>23.5</v>
      </c>
      <c r="O324" s="3">
        <f>IFERROR(INDEX(tblPessoas[R$/diária],MATCH(E324,tblPessoas[ID],0)),0)</f>
        <v>0</v>
      </c>
      <c r="P324" s="3">
        <f t="shared" si="18"/>
        <v>91.036388888256624</v>
      </c>
      <c r="Q324" t="str">
        <f>IF(A324="","",IF(COUNTIF(tblBatidas[Início vinculado],"B"&amp;MID($A324,2,99))=0,"EM ABERTO",IF(OR(COUNTIF(tblBatidas[Início vinculado],"B"&amp;MID($A324,2,99))&gt;1,K324&lt;0,K324&gt;16,INT(INDEX(tblBatidas[Data e hora],MATCH("B"&amp;MID($A324,2,99),tblBatidas[Início vinculado],0)))&lt;&gt;B324,INDEX(tblBatidas[ID],MATCH("B"&amp;MID($A324,2,99),tblBatidas[Início vinculado],0))&lt;&gt;E324,INDEX(tblBatidas[Projeto],MATCH("B"&amp;MID($A324,2,99),tblBatidas[Início vinculado],0))&lt;&gt;G324,INDEX(tblBatidas[Atividade],MATCH("B"&amp;MID($A324,2,99),tblBatidas[Início vinculado],0))&lt;&gt;H324),"REVISAR","CONCLUÍDO")))</f>
        <v>CONCLUÍDO</v>
      </c>
      <c r="R324">
        <f>IF(Q324&lt;&gt;"CONCLUÍDO",0,IF(COUNTIFS($E$5:E324,E324,$B$5:B324,B324,$Q$5:Q324,"CONCLUÍDO")=1,1,0))</f>
        <v>1</v>
      </c>
      <c r="S324" t="str">
        <f t="shared" si="19"/>
        <v>yyyy-09</v>
      </c>
      <c r="T324">
        <f>IF(E324="","",E324*100000+COUNTIFS(tblRegistros[ID],E324,tblRegistros[Data],"&lt;"&amp;B324)+COUNTIFS(tblRegistros[ID],E324,tblRegistros[Data],B324,tblRegistros[Início],"&lt;"&amp;I324)+COUNTIFS($E$5:E324,E324,$B$5:B324,B324,$I$5:I324,I324))</f>
        <v>101100028</v>
      </c>
    </row>
    <row r="325" spans="1:20">
      <c r="A325" t="s">
        <v>416</v>
      </c>
      <c r="B325" s="2">
        <f>IFERROR(INT(INDEX(tblBatidas[Data e hora],MATCH("B"&amp;MID($A325,2,99),tblBatidas[Batida ID],0))),"")</f>
        <v>46278</v>
      </c>
      <c r="C325" t="str">
        <f t="shared" ref="C325:C388" si="20">IF(B325="","",CHOOSE(WEEKDAY(B325,2),"SEGUNDA-FEIRA","TERÇA-FEIRA","QUARTA-FEIRA","QUINTA-FEIRA","SEXTA-FEIRA","SÁBADO","DOMINGO"))</f>
        <v>DOMINGO</v>
      </c>
      <c r="D325" t="str">
        <f t="shared" ref="D325:D388" si="21">IF(B325="","",IF(WEEKDAY(B325,2)&gt;5,"FDS/FERIADO","DIA ÚTIL"))</f>
        <v>FDS/FERIADO</v>
      </c>
      <c r="E325">
        <f>IFERROR(INDEX(tblBatidas[ID],MATCH("B"&amp;MID($A325,2,99),tblBatidas[Batida ID],0)),"")</f>
        <v>1003</v>
      </c>
      <c r="F325" t="str">
        <f>IFERROR(INDEX(tblPessoas[Pessoa],MATCH(E325,tblPessoas[ID],0)),"")</f>
        <v>Amanda do Carmo Ribeiro</v>
      </c>
      <c r="G325" t="str">
        <f>IFERROR(INDEX(tblBatidas[Projeto],MATCH("B"&amp;MID($A325,2,99),tblBatidas[Batida ID],0)),"")</f>
        <v>ESTADUAL - OTEMPO</v>
      </c>
      <c r="H325" t="str">
        <f>IFERROR(INDEX(tblBatidas[Atividade],MATCH("B"&amp;MID($A325,2,99),tblBatidas[Batida ID],0)),"")</f>
        <v>ANÁLISE</v>
      </c>
      <c r="I325" s="4">
        <f>IFERROR(MOD(INDEX(tblBatidas[Data e hora],MATCH("B"&amp;MID($A325,2,99),tblBatidas[Batida ID],0)),1),"")</f>
        <v>0.56721064815064892</v>
      </c>
      <c r="J325" s="4" t="str">
        <f>IFERROR(MOD(INDEX(tblBatidas[Data e hora],MATCH("B"&amp;MID($A325,2,99),tblBatidas[Início vinculado],0)),1),"")</f>
        <v/>
      </c>
      <c r="K325" s="14" t="str">
        <f>IFERROR((INDEX(tblBatidas[Data e hora],MATCH("B"&amp;MID($A325,2,99),tblBatidas[Início vinculado],0))-INDEX(tblBatidas[Data e hora],MATCH("B"&amp;MID($A325,2,99),tblBatidas[Batida ID],0)))*24,"")</f>
        <v/>
      </c>
      <c r="L325" t="str">
        <f>IFERROR(INDEX(tblBatidas[Observação],MATCH("B"&amp;MID($A325,2,99),tblBatidas[Início vinculado],0)),"")</f>
        <v/>
      </c>
      <c r="M325" t="str">
        <f>IFERROR(INDEX(tblPessoas[Base],MATCH(E325,tblPessoas[ID],0)),"")</f>
        <v>Hora</v>
      </c>
      <c r="N325" s="3">
        <f>IFERROR(IF(D325="DIA ÚTIL",INDEX(tblPessoas[R$/h útil],MATCH(E325,tblPessoas[ID],0)),INDEX(tblPessoas[R$/h FDS],MATCH(E325,tblPessoas[ID],0))),0)</f>
        <v>23.5</v>
      </c>
      <c r="O325" s="3">
        <f>IFERROR(INDEX(tblPessoas[R$/diária],MATCH(E325,tblPessoas[ID],0)),0)</f>
        <v>0</v>
      </c>
      <c r="P325" s="3" t="str">
        <f t="shared" ref="P325:P388" si="22">IF(Q325&lt;&gt;"CONCLUÍDO","",IF(M325="Diária",O325*R325,K325*N325))</f>
        <v/>
      </c>
      <c r="Q325" t="str">
        <f>IF(A325="","",IF(COUNTIF(tblBatidas[Início vinculado],"B"&amp;MID($A325,2,99))=0,"EM ABERTO",IF(OR(COUNTIF(tblBatidas[Início vinculado],"B"&amp;MID($A325,2,99))&gt;1,K325&lt;0,K325&gt;16,INT(INDEX(tblBatidas[Data e hora],MATCH("B"&amp;MID($A325,2,99),tblBatidas[Início vinculado],0)))&lt;&gt;B325,INDEX(tblBatidas[ID],MATCH("B"&amp;MID($A325,2,99),tblBatidas[Início vinculado],0))&lt;&gt;E325,INDEX(tblBatidas[Projeto],MATCH("B"&amp;MID($A325,2,99),tblBatidas[Início vinculado],0))&lt;&gt;G325,INDEX(tblBatidas[Atividade],MATCH("B"&amp;MID($A325,2,99),tblBatidas[Início vinculado],0))&lt;&gt;H325),"REVISAR","CONCLUÍDO")))</f>
        <v>EM ABERTO</v>
      </c>
      <c r="R325">
        <f>IF(Q325&lt;&gt;"CONCLUÍDO",0,IF(COUNTIFS($E$5:E325,E325,$B$5:B325,B325,$Q$5:Q325,"CONCLUÍDO")=1,1,0))</f>
        <v>0</v>
      </c>
      <c r="S325" t="str">
        <f t="shared" ref="S325:S388" si="23">IF(B325="","",TEXT(B325,"yyyy-mm"))</f>
        <v>yyyy-09</v>
      </c>
      <c r="T325">
        <f>IF(E325="","",E325*100000+COUNTIFS(tblRegistros[ID],E325,tblRegistros[Data],"&lt;"&amp;B325)+COUNTIFS(tblRegistros[ID],E325,tblRegistros[Data],B325,tblRegistros[Início],"&lt;"&amp;I325)+COUNTIFS($E$5:E325,E325,$B$5:B325,B325,$I$5:I325,I325))</f>
        <v>100300031</v>
      </c>
    </row>
    <row r="326" spans="1:20">
      <c r="A326" t="s">
        <v>417</v>
      </c>
      <c r="B326" s="2">
        <f>IFERROR(INT(INDEX(tblBatidas[Data e hora],MATCH("B"&amp;MID($A326,2,99),tblBatidas[Batida ID],0))),"")</f>
        <v>46279</v>
      </c>
      <c r="C326" t="str">
        <f t="shared" si="20"/>
        <v>SEGUNDA-FEIRA</v>
      </c>
      <c r="D326" t="str">
        <f t="shared" si="21"/>
        <v>DIA ÚTIL</v>
      </c>
      <c r="E326">
        <f>IFERROR(INDEX(tblBatidas[ID],MATCH("B"&amp;MID($A326,2,99),tblBatidas[Batida ID],0)),"")</f>
        <v>1003</v>
      </c>
      <c r="F326" t="str">
        <f>IFERROR(INDEX(tblPessoas[Pessoa],MATCH(E326,tblPessoas[ID],0)),"")</f>
        <v>Amanda do Carmo Ribeiro</v>
      </c>
      <c r="G326" t="str">
        <f>IFERROR(INDEX(tblBatidas[Projeto],MATCH("B"&amp;MID($A326,2,99),tblBatidas[Batida ID],0)),"")</f>
        <v>ESTADUAL - OTEMPO</v>
      </c>
      <c r="H326" t="str">
        <f>IFERROR(INDEX(tblBatidas[Atividade],MATCH("B"&amp;MID($A326,2,99),tblBatidas[Batida ID],0)),"")</f>
        <v>ANÁLISE</v>
      </c>
      <c r="I326" s="4">
        <f>IFERROR(MOD(INDEX(tblBatidas[Data e hora],MATCH("B"&amp;MID($A326,2,99),tblBatidas[Batida ID],0)),1),"")</f>
        <v>0.34025462962745223</v>
      </c>
      <c r="J326" s="4" t="str">
        <f>IFERROR(MOD(INDEX(tblBatidas[Data e hora],MATCH("B"&amp;MID($A326,2,99),tblBatidas[Início vinculado],0)),1),"")</f>
        <v/>
      </c>
      <c r="K326" s="14" t="str">
        <f>IFERROR((INDEX(tblBatidas[Data e hora],MATCH("B"&amp;MID($A326,2,99),tblBatidas[Início vinculado],0))-INDEX(tblBatidas[Data e hora],MATCH("B"&amp;MID($A326,2,99),tblBatidas[Batida ID],0)))*24,"")</f>
        <v/>
      </c>
      <c r="L326" t="str">
        <f>IFERROR(INDEX(tblBatidas[Observação],MATCH("B"&amp;MID($A326,2,99),tblBatidas[Início vinculado],0)),"")</f>
        <v/>
      </c>
      <c r="M326" t="str">
        <f>IFERROR(INDEX(tblPessoas[Base],MATCH(E326,tblPessoas[ID],0)),"")</f>
        <v>Hora</v>
      </c>
      <c r="N326" s="3">
        <f>IFERROR(IF(D326="DIA ÚTIL",INDEX(tblPessoas[R$/h útil],MATCH(E326,tblPessoas[ID],0)),INDEX(tblPessoas[R$/h FDS],MATCH(E326,tblPessoas[ID],0))),0)</f>
        <v>23.5</v>
      </c>
      <c r="O326" s="3">
        <f>IFERROR(INDEX(tblPessoas[R$/diária],MATCH(E326,tblPessoas[ID],0)),0)</f>
        <v>0</v>
      </c>
      <c r="P326" s="3" t="str">
        <f t="shared" si="22"/>
        <v/>
      </c>
      <c r="Q326" t="str">
        <f>IF(A326="","",IF(COUNTIF(tblBatidas[Início vinculado],"B"&amp;MID($A326,2,99))=0,"EM ABERTO",IF(OR(COUNTIF(tblBatidas[Início vinculado],"B"&amp;MID($A326,2,99))&gt;1,K326&lt;0,K326&gt;16,INT(INDEX(tblBatidas[Data e hora],MATCH("B"&amp;MID($A326,2,99),tblBatidas[Início vinculado],0)))&lt;&gt;B326,INDEX(tblBatidas[ID],MATCH("B"&amp;MID($A326,2,99),tblBatidas[Início vinculado],0))&lt;&gt;E326,INDEX(tblBatidas[Projeto],MATCH("B"&amp;MID($A326,2,99),tblBatidas[Início vinculado],0))&lt;&gt;G326,INDEX(tblBatidas[Atividade],MATCH("B"&amp;MID($A326,2,99),tblBatidas[Início vinculado],0))&lt;&gt;H326),"REVISAR","CONCLUÍDO")))</f>
        <v>EM ABERTO</v>
      </c>
      <c r="R326">
        <f>IF(Q326&lt;&gt;"CONCLUÍDO",0,IF(COUNTIFS($E$5:E326,E326,$B$5:B326,B326,$Q$5:Q326,"CONCLUÍDO")=1,1,0))</f>
        <v>0</v>
      </c>
      <c r="S326" t="str">
        <f t="shared" si="23"/>
        <v>yyyy-09</v>
      </c>
      <c r="T326">
        <f>IF(E326="","",E326*100000+COUNTIFS(tblRegistros[ID],E326,tblRegistros[Data],"&lt;"&amp;B326)+COUNTIFS(tblRegistros[ID],E326,tblRegistros[Data],B326,tblRegistros[Início],"&lt;"&amp;I326)+COUNTIFS($E$5:E326,E326,$B$5:B326,B326,$I$5:I326,I326))</f>
        <v>100300032</v>
      </c>
    </row>
    <row r="327" spans="1:20">
      <c r="A327" t="s">
        <v>418</v>
      </c>
      <c r="B327" s="2">
        <f>IFERROR(INT(INDEX(tblBatidas[Data e hora],MATCH("B"&amp;MID($A327,2,99),tblBatidas[Batida ID],0))),"")</f>
        <v>46279</v>
      </c>
      <c r="C327" t="str">
        <f t="shared" si="20"/>
        <v>SEGUNDA-FEIRA</v>
      </c>
      <c r="D327" t="str">
        <f t="shared" si="21"/>
        <v>DIA ÚTIL</v>
      </c>
      <c r="E327">
        <f>IFERROR(INDEX(tblBatidas[ID],MATCH("B"&amp;MID($A327,2,99),tblBatidas[Batida ID],0)),"")</f>
        <v>1002</v>
      </c>
      <c r="F327" t="str">
        <f>IFERROR(INDEX(tblPessoas[Pessoa],MATCH(E327,tblPessoas[ID],0)),"")</f>
        <v>Alex de Almeida Mariano</v>
      </c>
      <c r="G327" t="str">
        <f>IFERROR(INDEX(tblBatidas[Projeto],MATCH("B"&amp;MID($A327,2,99),tblBatidas[Batida ID],0)),"")</f>
        <v>TOOLKIT</v>
      </c>
      <c r="H327" t="str">
        <f>IFERROR(INDEX(tblBatidas[Atividade],MATCH("B"&amp;MID($A327,2,99),tblBatidas[Batida ID],0)),"")</f>
        <v>ANÁLISE</v>
      </c>
      <c r="I327" s="4">
        <f>IFERROR(MOD(INDEX(tblBatidas[Data e hora],MATCH("B"&amp;MID($A327,2,99),tblBatidas[Batida ID],0)),1),"")</f>
        <v>0.34165509259037208</v>
      </c>
      <c r="J327" s="4">
        <f>IFERROR(MOD(INDEX(tblBatidas[Data e hora],MATCH("B"&amp;MID($A327,2,99),tblBatidas[Início vinculado],0)),1),"")</f>
        <v>0.50479166666627862</v>
      </c>
      <c r="K327" s="14">
        <f>IFERROR((INDEX(tblBatidas[Data e hora],MATCH("B"&amp;MID($A327,2,99),tblBatidas[Início vinculado],0))-INDEX(tblBatidas[Data e hora],MATCH("B"&amp;MID($A327,2,99),tblBatidas[Batida ID],0)))*24,"")</f>
        <v>3.9152777778217569</v>
      </c>
      <c r="L327">
        <f>IFERROR(INDEX(tblBatidas[Observação],MATCH("B"&amp;MID($A327,2,99),tblBatidas[Início vinculado],0)),"")</f>
        <v>0</v>
      </c>
      <c r="M327" t="str">
        <f>IFERROR(INDEX(tblPessoas[Base],MATCH(E327,tblPessoas[ID],0)),"")</f>
        <v>Hora</v>
      </c>
      <c r="N327" s="3">
        <f>IFERROR(IF(D327="DIA ÚTIL",INDEX(tblPessoas[R$/h útil],MATCH(E327,tblPessoas[ID],0)),INDEX(tblPessoas[R$/h FDS],MATCH(E327,tblPessoas[ID],0))),0)</f>
        <v>23.5</v>
      </c>
      <c r="O327" s="3">
        <f>IFERROR(INDEX(tblPessoas[R$/diária],MATCH(E327,tblPessoas[ID],0)),0)</f>
        <v>0</v>
      </c>
      <c r="P327" s="3">
        <f t="shared" si="22"/>
        <v>92.009027778811287</v>
      </c>
      <c r="Q327" t="str">
        <f>IF(A327="","",IF(COUNTIF(tblBatidas[Início vinculado],"B"&amp;MID($A327,2,99))=0,"EM ABERTO",IF(OR(COUNTIF(tblBatidas[Início vinculado],"B"&amp;MID($A327,2,99))&gt;1,K327&lt;0,K327&gt;16,INT(INDEX(tblBatidas[Data e hora],MATCH("B"&amp;MID($A327,2,99),tblBatidas[Início vinculado],0)))&lt;&gt;B327,INDEX(tblBatidas[ID],MATCH("B"&amp;MID($A327,2,99),tblBatidas[Início vinculado],0))&lt;&gt;E327,INDEX(tblBatidas[Projeto],MATCH("B"&amp;MID($A327,2,99),tblBatidas[Início vinculado],0))&lt;&gt;G327,INDEX(tblBatidas[Atividade],MATCH("B"&amp;MID($A327,2,99),tblBatidas[Início vinculado],0))&lt;&gt;H327),"REVISAR","CONCLUÍDO")))</f>
        <v>CONCLUÍDO</v>
      </c>
      <c r="R327">
        <f>IF(Q327&lt;&gt;"CONCLUÍDO",0,IF(COUNTIFS($E$5:E327,E327,$B$5:B327,B327,$Q$5:Q327,"CONCLUÍDO")=1,1,0))</f>
        <v>1</v>
      </c>
      <c r="S327" t="str">
        <f t="shared" si="23"/>
        <v>yyyy-09</v>
      </c>
      <c r="T327">
        <f>IF(E327="","",E327*100000+COUNTIFS(tblRegistros[ID],E327,tblRegistros[Data],"&lt;"&amp;B327)+COUNTIFS(tblRegistros[ID],E327,tblRegistros[Data],B327,tblRegistros[Início],"&lt;"&amp;I327)+COUNTIFS($E$5:E327,E327,$B$5:B327,B327,$I$5:I327,I327))</f>
        <v>100200020</v>
      </c>
    </row>
    <row r="328" spans="1:20">
      <c r="A328" t="s">
        <v>419</v>
      </c>
      <c r="B328" s="2">
        <f>IFERROR(INT(INDEX(tblBatidas[Data e hora],MATCH("B"&amp;MID($A328,2,99),tblBatidas[Batida ID],0))),"")</f>
        <v>46279</v>
      </c>
      <c r="C328" t="str">
        <f t="shared" si="20"/>
        <v>SEGUNDA-FEIRA</v>
      </c>
      <c r="D328" t="str">
        <f t="shared" si="21"/>
        <v>DIA ÚTIL</v>
      </c>
      <c r="E328">
        <f>IFERROR(INDEX(tblBatidas[ID],MATCH("B"&amp;MID($A328,2,99),tblBatidas[Batida ID],0)),"")</f>
        <v>1011</v>
      </c>
      <c r="F328" t="str">
        <f>IFERROR(INDEX(tblPessoas[Pessoa],MATCH(E328,tblPessoas[ID],0)),"")</f>
        <v>Nathalia Arruda</v>
      </c>
      <c r="G328" t="str">
        <f>IFERROR(INDEX(tblBatidas[Projeto],MATCH("B"&amp;MID($A328,2,99),tblBatidas[Batida ID],0)),"")</f>
        <v>ESTADUAL - OTEMPO</v>
      </c>
      <c r="H328" t="str">
        <f>IFERROR(INDEX(tblBatidas[Atividade],MATCH("B"&amp;MID($A328,2,99),tblBatidas[Batida ID],0)),"")</f>
        <v>ANÁLISE</v>
      </c>
      <c r="I328" s="4">
        <f>IFERROR(MOD(INDEX(tblBatidas[Data e hora],MATCH("B"&amp;MID($A328,2,99),tblBatidas[Batida ID],0)),1),"")</f>
        <v>0.34337962963036261</v>
      </c>
      <c r="J328" s="4">
        <f>IFERROR(MOD(INDEX(tblBatidas[Data e hora],MATCH("B"&amp;MID($A328,2,99),tblBatidas[Início vinculado],0)),1),"")</f>
        <v>0.49910879629896954</v>
      </c>
      <c r="K328" s="14">
        <f>IFERROR((INDEX(tblBatidas[Data e hora],MATCH("B"&amp;MID($A328,2,99),tblBatidas[Início vinculado],0))-INDEX(tblBatidas[Data e hora],MATCH("B"&amp;MID($A328,2,99),tblBatidas[Batida ID],0)))*24,"")</f>
        <v>3.7375000000465661</v>
      </c>
      <c r="L328">
        <f>IFERROR(INDEX(tblBatidas[Observação],MATCH("B"&amp;MID($A328,2,99),tblBatidas[Início vinculado],0)),"")</f>
        <v>0</v>
      </c>
      <c r="M328" t="str">
        <f>IFERROR(INDEX(tblPessoas[Base],MATCH(E328,tblPessoas[ID],0)),"")</f>
        <v>Hora</v>
      </c>
      <c r="N328" s="3">
        <f>IFERROR(IF(D328="DIA ÚTIL",INDEX(tblPessoas[R$/h útil],MATCH(E328,tblPessoas[ID],0)),INDEX(tblPessoas[R$/h FDS],MATCH(E328,tblPessoas[ID],0))),0)</f>
        <v>23.5</v>
      </c>
      <c r="O328" s="3">
        <f>IFERROR(INDEX(tblPessoas[R$/diária],MATCH(E328,tblPessoas[ID],0)),0)</f>
        <v>0</v>
      </c>
      <c r="P328" s="3">
        <f t="shared" si="22"/>
        <v>87.831250001094304</v>
      </c>
      <c r="Q328" t="str">
        <f>IF(A328="","",IF(COUNTIF(tblBatidas[Início vinculado],"B"&amp;MID($A328,2,99))=0,"EM ABERTO",IF(OR(COUNTIF(tblBatidas[Início vinculado],"B"&amp;MID($A328,2,99))&gt;1,K328&lt;0,K328&gt;16,INT(INDEX(tblBatidas[Data e hora],MATCH("B"&amp;MID($A328,2,99),tblBatidas[Início vinculado],0)))&lt;&gt;B328,INDEX(tblBatidas[ID],MATCH("B"&amp;MID($A328,2,99),tblBatidas[Início vinculado],0))&lt;&gt;E328,INDEX(tblBatidas[Projeto],MATCH("B"&amp;MID($A328,2,99),tblBatidas[Início vinculado],0))&lt;&gt;G328,INDEX(tblBatidas[Atividade],MATCH("B"&amp;MID($A328,2,99),tblBatidas[Início vinculado],0))&lt;&gt;H328),"REVISAR","CONCLUÍDO")))</f>
        <v>CONCLUÍDO</v>
      </c>
      <c r="R328">
        <f>IF(Q328&lt;&gt;"CONCLUÍDO",0,IF(COUNTIFS($E$5:E328,E328,$B$5:B328,B328,$Q$5:Q328,"CONCLUÍDO")=1,1,0))</f>
        <v>1</v>
      </c>
      <c r="S328" t="str">
        <f t="shared" si="23"/>
        <v>yyyy-09</v>
      </c>
      <c r="T328">
        <f>IF(E328="","",E328*100000+COUNTIFS(tblRegistros[ID],E328,tblRegistros[Data],"&lt;"&amp;B328)+COUNTIFS(tblRegistros[ID],E328,tblRegistros[Data],B328,tblRegistros[Início],"&lt;"&amp;I328)+COUNTIFS($E$5:E328,E328,$B$5:B328,B328,$I$5:I328,I328))</f>
        <v>101100029</v>
      </c>
    </row>
    <row r="329" spans="1:20">
      <c r="A329" t="s">
        <v>420</v>
      </c>
      <c r="B329" s="2">
        <f>IFERROR(INT(INDEX(tblBatidas[Data e hora],MATCH("B"&amp;MID($A329,2,99),tblBatidas[Batida ID],0))),"")</f>
        <v>46279</v>
      </c>
      <c r="C329" t="str">
        <f t="shared" si="20"/>
        <v>SEGUNDA-FEIRA</v>
      </c>
      <c r="D329" t="str">
        <f t="shared" si="21"/>
        <v>DIA ÚTIL</v>
      </c>
      <c r="E329">
        <f>IFERROR(INDEX(tblBatidas[ID],MATCH("B"&amp;MID($A329,2,99),tblBatidas[Batida ID],0)),"")</f>
        <v>1013</v>
      </c>
      <c r="F329" t="str">
        <f>IFERROR(INDEX(tblPessoas[Pessoa],MATCH(E329,tblPessoas[ID],0)),"")</f>
        <v>Rafaela Maria Resende Lara</v>
      </c>
      <c r="G329" t="str">
        <f>IFERROR(INDEX(tblBatidas[Projeto],MATCH("B"&amp;MID($A329,2,99),tblBatidas[Batida ID],0)),"")</f>
        <v>TOOLKIT</v>
      </c>
      <c r="H329" t="str">
        <f>IFERROR(INDEX(tblBatidas[Atividade],MATCH("B"&amp;MID($A329,2,99),tblBatidas[Batida ID],0)),"")</f>
        <v>ANÁLISE</v>
      </c>
      <c r="I329" s="4">
        <f>IFERROR(MOD(INDEX(tblBatidas[Data e hora],MATCH("B"&amp;MID($A329,2,99),tblBatidas[Batida ID],0)),1),"")</f>
        <v>0.35663194444350665</v>
      </c>
      <c r="J329" s="4">
        <f>IFERROR(MOD(INDEX(tblBatidas[Data e hora],MATCH("B"&amp;MID($A329,2,99),tblBatidas[Início vinculado],0)),1),"")</f>
        <v>0.49758101852057735</v>
      </c>
      <c r="K329" s="14">
        <f>IFERROR((INDEX(tblBatidas[Data e hora],MATCH("B"&amp;MID($A329,2,99),tblBatidas[Início vinculado],0))-INDEX(tblBatidas[Data e hora],MATCH("B"&amp;MID($A329,2,99),tblBatidas[Batida ID],0)))*24,"")</f>
        <v>3.3827777778496966</v>
      </c>
      <c r="L329">
        <f>IFERROR(INDEX(tblBatidas[Observação],MATCH("B"&amp;MID($A329,2,99),tblBatidas[Início vinculado],0)),"")</f>
        <v>0</v>
      </c>
      <c r="M329" t="str">
        <f>IFERROR(INDEX(tblPessoas[Base],MATCH(E329,tblPessoas[ID],0)),"")</f>
        <v>Hora</v>
      </c>
      <c r="N329" s="3">
        <f>IFERROR(IF(D329="DIA ÚTIL",INDEX(tblPessoas[R$/h útil],MATCH(E329,tblPessoas[ID],0)),INDEX(tblPessoas[R$/h FDS],MATCH(E329,tblPessoas[ID],0))),0)</f>
        <v>23.5</v>
      </c>
      <c r="O329" s="3">
        <f>IFERROR(INDEX(tblPessoas[R$/diária],MATCH(E329,tblPessoas[ID],0)),0)</f>
        <v>0</v>
      </c>
      <c r="P329" s="3">
        <f t="shared" si="22"/>
        <v>79.49527777946787</v>
      </c>
      <c r="Q329" t="str">
        <f>IF(A329="","",IF(COUNTIF(tblBatidas[Início vinculado],"B"&amp;MID($A329,2,99))=0,"EM ABERTO",IF(OR(COUNTIF(tblBatidas[Início vinculado],"B"&amp;MID($A329,2,99))&gt;1,K329&lt;0,K329&gt;16,INT(INDEX(tblBatidas[Data e hora],MATCH("B"&amp;MID($A329,2,99),tblBatidas[Início vinculado],0)))&lt;&gt;B329,INDEX(tblBatidas[ID],MATCH("B"&amp;MID($A329,2,99),tblBatidas[Início vinculado],0))&lt;&gt;E329,INDEX(tblBatidas[Projeto],MATCH("B"&amp;MID($A329,2,99),tblBatidas[Início vinculado],0))&lt;&gt;G329,INDEX(tblBatidas[Atividade],MATCH("B"&amp;MID($A329,2,99),tblBatidas[Início vinculado],0))&lt;&gt;H329),"REVISAR","CONCLUÍDO")))</f>
        <v>CONCLUÍDO</v>
      </c>
      <c r="R329">
        <f>IF(Q329&lt;&gt;"CONCLUÍDO",0,IF(COUNTIFS($E$5:E329,E329,$B$5:B329,B329,$Q$5:Q329,"CONCLUÍDO")=1,1,0))</f>
        <v>1</v>
      </c>
      <c r="S329" t="str">
        <f t="shared" si="23"/>
        <v>yyyy-09</v>
      </c>
      <c r="T329">
        <f>IF(E329="","",E329*100000+COUNTIFS(tblRegistros[ID],E329,tblRegistros[Data],"&lt;"&amp;B329)+COUNTIFS(tblRegistros[ID],E329,tblRegistros[Data],B329,tblRegistros[Início],"&lt;"&amp;I329)+COUNTIFS($E$5:E329,E329,$B$5:B329,B329,$I$5:I329,I329))</f>
        <v>101300028</v>
      </c>
    </row>
    <row r="330" spans="1:20">
      <c r="A330" t="s">
        <v>421</v>
      </c>
      <c r="B330" s="2">
        <f>IFERROR(INT(INDEX(tblBatidas[Data e hora],MATCH("B"&amp;MID($A330,2,99),tblBatidas[Batida ID],0))),"")</f>
        <v>46279</v>
      </c>
      <c r="C330" t="str">
        <f t="shared" si="20"/>
        <v>SEGUNDA-FEIRA</v>
      </c>
      <c r="D330" t="str">
        <f t="shared" si="21"/>
        <v>DIA ÚTIL</v>
      </c>
      <c r="E330">
        <f>IFERROR(INDEX(tblBatidas[ID],MATCH("B"&amp;MID($A330,2,99),tblBatidas[Batida ID],0)),"")</f>
        <v>1009</v>
      </c>
      <c r="F330" t="str">
        <f>IFERROR(INDEX(tblPessoas[Pessoa],MATCH(E330,tblPessoas[ID],0)),"")</f>
        <v>Junia Maria Santos</v>
      </c>
      <c r="G330" t="str">
        <f>IFERROR(INDEX(tblBatidas[Projeto],MATCH("B"&amp;MID($A330,2,99),tblBatidas[Batida ID],0)),"")</f>
        <v>BETIM - TRACKING</v>
      </c>
      <c r="H330" t="str">
        <f>IFERROR(INDEX(tblBatidas[Atividade],MATCH("B"&amp;MID($A330,2,99),tblBatidas[Batida ID],0)),"")</f>
        <v>CHECAGEM</v>
      </c>
      <c r="I330" s="4">
        <f>IFERROR(MOD(INDEX(tblBatidas[Data e hora],MATCH("B"&amp;MID($A330,2,99),tblBatidas[Batida ID],0)),1),"")</f>
        <v>0.39930555555474712</v>
      </c>
      <c r="J330" s="4" t="str">
        <f>IFERROR(MOD(INDEX(tblBatidas[Data e hora],MATCH("B"&amp;MID($A330,2,99),tblBatidas[Início vinculado],0)),1),"")</f>
        <v/>
      </c>
      <c r="K330" s="14" t="str">
        <f>IFERROR((INDEX(tblBatidas[Data e hora],MATCH("B"&amp;MID($A330,2,99),tblBatidas[Início vinculado],0))-INDEX(tblBatidas[Data e hora],MATCH("B"&amp;MID($A330,2,99),tblBatidas[Batida ID],0)))*24,"")</f>
        <v/>
      </c>
      <c r="L330" t="str">
        <f>IFERROR(INDEX(tblBatidas[Observação],MATCH("B"&amp;MID($A330,2,99),tblBatidas[Início vinculado],0)),"")</f>
        <v/>
      </c>
      <c r="M330" t="str">
        <f>IFERROR(INDEX(tblPessoas[Base],MATCH(E330,tblPessoas[ID],0)),"")</f>
        <v>Hora</v>
      </c>
      <c r="N330" s="3">
        <f>IFERROR(IF(D330="DIA ÚTIL",INDEX(tblPessoas[R$/h útil],MATCH(E330,tblPessoas[ID],0)),INDEX(tblPessoas[R$/h FDS],MATCH(E330,tblPessoas[ID],0))),0)</f>
        <v>14</v>
      </c>
      <c r="O330" s="3">
        <f>IFERROR(INDEX(tblPessoas[R$/diária],MATCH(E330,tblPessoas[ID],0)),0)</f>
        <v>0</v>
      </c>
      <c r="P330" s="3" t="str">
        <f t="shared" si="22"/>
        <v/>
      </c>
      <c r="Q330" t="str">
        <f>IF(A330="","",IF(COUNTIF(tblBatidas[Início vinculado],"B"&amp;MID($A330,2,99))=0,"EM ABERTO",IF(OR(COUNTIF(tblBatidas[Início vinculado],"B"&amp;MID($A330,2,99))&gt;1,K330&lt;0,K330&gt;16,INT(INDEX(tblBatidas[Data e hora],MATCH("B"&amp;MID($A330,2,99),tblBatidas[Início vinculado],0)))&lt;&gt;B330,INDEX(tblBatidas[ID],MATCH("B"&amp;MID($A330,2,99),tblBatidas[Início vinculado],0))&lt;&gt;E330,INDEX(tblBatidas[Projeto],MATCH("B"&amp;MID($A330,2,99),tblBatidas[Início vinculado],0))&lt;&gt;G330,INDEX(tblBatidas[Atividade],MATCH("B"&amp;MID($A330,2,99),tblBatidas[Início vinculado],0))&lt;&gt;H330),"REVISAR","CONCLUÍDO")))</f>
        <v>EM ABERTO</v>
      </c>
      <c r="R330">
        <f>IF(Q330&lt;&gt;"CONCLUÍDO",0,IF(COUNTIFS($E$5:E330,E330,$B$5:B330,B330,$Q$5:Q330,"CONCLUÍDO")=1,1,0))</f>
        <v>0</v>
      </c>
      <c r="S330" t="str">
        <f t="shared" si="23"/>
        <v>yyyy-09</v>
      </c>
      <c r="T330">
        <f>IF(E330="","",E330*100000+COUNTIFS(tblRegistros[ID],E330,tblRegistros[Data],"&lt;"&amp;B330)+COUNTIFS(tblRegistros[ID],E330,tblRegistros[Data],B330,tblRegistros[Início],"&lt;"&amp;I330)+COUNTIFS($E$5:E330,E330,$B$5:B330,B330,$I$5:I330,I330))</f>
        <v>100900001</v>
      </c>
    </row>
    <row r="331" spans="1:20">
      <c r="A331" t="s">
        <v>422</v>
      </c>
      <c r="B331" s="2">
        <f>IFERROR(INT(INDEX(tblBatidas[Data e hora],MATCH("B"&amp;MID($A331,2,99),tblBatidas[Batida ID],0))),"")</f>
        <v>46279</v>
      </c>
      <c r="C331" t="str">
        <f t="shared" si="20"/>
        <v>SEGUNDA-FEIRA</v>
      </c>
      <c r="D331" t="str">
        <f t="shared" si="21"/>
        <v>DIA ÚTIL</v>
      </c>
      <c r="E331">
        <f>IFERROR(INDEX(tblBatidas[ID],MATCH("B"&amp;MID($A331,2,99),tblBatidas[Batida ID],0)),"")</f>
        <v>1013</v>
      </c>
      <c r="F331" t="str">
        <f>IFERROR(INDEX(tblPessoas[Pessoa],MATCH(E331,tblPessoas[ID],0)),"")</f>
        <v>Rafaela Maria Resende Lara</v>
      </c>
      <c r="G331" t="str">
        <f>IFERROR(INDEX(tblBatidas[Projeto],MATCH("B"&amp;MID($A331,2,99),tblBatidas[Batida ID],0)),"")</f>
        <v>TOOLKIT</v>
      </c>
      <c r="H331" t="str">
        <f>IFERROR(INDEX(tblBatidas[Atividade],MATCH("B"&amp;MID($A331,2,99),tblBatidas[Batida ID],0)),"")</f>
        <v>ANÁLISE</v>
      </c>
      <c r="I331" s="4">
        <f>IFERROR(MOD(INDEX(tblBatidas[Data e hora],MATCH("B"&amp;MID($A331,2,99),tblBatidas[Batida ID],0)),1),"")</f>
        <v>0.53403935184906004</v>
      </c>
      <c r="J331" s="4">
        <f>IFERROR(MOD(INDEX(tblBatidas[Data e hora],MATCH("B"&amp;MID($A331,2,99),tblBatidas[Início vinculado],0)),1),"")</f>
        <v>0.74982638889196096</v>
      </c>
      <c r="K331" s="14">
        <f>IFERROR((INDEX(tblBatidas[Data e hora],MATCH("B"&amp;MID($A331,2,99),tblBatidas[Início vinculado],0))-INDEX(tblBatidas[Data e hora],MATCH("B"&amp;MID($A331,2,99),tblBatidas[Batida ID],0)))*24,"")</f>
        <v>5.1788888890296221</v>
      </c>
      <c r="L331">
        <f>IFERROR(INDEX(tblBatidas[Observação],MATCH("B"&amp;MID($A331,2,99),tblBatidas[Início vinculado],0)),"")</f>
        <v>0</v>
      </c>
      <c r="M331" t="str">
        <f>IFERROR(INDEX(tblPessoas[Base],MATCH(E331,tblPessoas[ID],0)),"")</f>
        <v>Hora</v>
      </c>
      <c r="N331" s="3">
        <f>IFERROR(IF(D331="DIA ÚTIL",INDEX(tblPessoas[R$/h útil],MATCH(E331,tblPessoas[ID],0)),INDEX(tblPessoas[R$/h FDS],MATCH(E331,tblPessoas[ID],0))),0)</f>
        <v>23.5</v>
      </c>
      <c r="O331" s="3">
        <f>IFERROR(INDEX(tblPessoas[R$/diária],MATCH(E331,tblPessoas[ID],0)),0)</f>
        <v>0</v>
      </c>
      <c r="P331" s="3">
        <f t="shared" si="22"/>
        <v>121.70388889219612</v>
      </c>
      <c r="Q331" t="str">
        <f>IF(A331="","",IF(COUNTIF(tblBatidas[Início vinculado],"B"&amp;MID($A331,2,99))=0,"EM ABERTO",IF(OR(COUNTIF(tblBatidas[Início vinculado],"B"&amp;MID($A331,2,99))&gt;1,K331&lt;0,K331&gt;16,INT(INDEX(tblBatidas[Data e hora],MATCH("B"&amp;MID($A331,2,99),tblBatidas[Início vinculado],0)))&lt;&gt;B331,INDEX(tblBatidas[ID],MATCH("B"&amp;MID($A331,2,99),tblBatidas[Início vinculado],0))&lt;&gt;E331,INDEX(tblBatidas[Projeto],MATCH("B"&amp;MID($A331,2,99),tblBatidas[Início vinculado],0))&lt;&gt;G331,INDEX(tblBatidas[Atividade],MATCH("B"&amp;MID($A331,2,99),tblBatidas[Início vinculado],0))&lt;&gt;H331),"REVISAR","CONCLUÍDO")))</f>
        <v>CONCLUÍDO</v>
      </c>
      <c r="R331">
        <f>IF(Q331&lt;&gt;"CONCLUÍDO",0,IF(COUNTIFS($E$5:E331,E331,$B$5:B331,B331,$Q$5:Q331,"CONCLUÍDO")=1,1,0))</f>
        <v>0</v>
      </c>
      <c r="S331" t="str">
        <f t="shared" si="23"/>
        <v>yyyy-09</v>
      </c>
      <c r="T331">
        <f>IF(E331="","",E331*100000+COUNTIFS(tblRegistros[ID],E331,tblRegistros[Data],"&lt;"&amp;B331)+COUNTIFS(tblRegistros[ID],E331,tblRegistros[Data],B331,tblRegistros[Início],"&lt;"&amp;I331)+COUNTIFS($E$5:E331,E331,$B$5:B331,B331,$I$5:I331,I331))</f>
        <v>101300029</v>
      </c>
    </row>
    <row r="332" spans="1:20">
      <c r="A332" t="s">
        <v>423</v>
      </c>
      <c r="B332" s="2">
        <f>IFERROR(INT(INDEX(tblBatidas[Data e hora],MATCH("B"&amp;MID($A332,2,99),tblBatidas[Batida ID],0))),"")</f>
        <v>46279</v>
      </c>
      <c r="C332" t="str">
        <f t="shared" si="20"/>
        <v>SEGUNDA-FEIRA</v>
      </c>
      <c r="D332" t="str">
        <f t="shared" si="21"/>
        <v>DIA ÚTIL</v>
      </c>
      <c r="E332">
        <f>IFERROR(INDEX(tblBatidas[ID],MATCH("B"&amp;MID($A332,2,99),tblBatidas[Batida ID],0)),"")</f>
        <v>1011</v>
      </c>
      <c r="F332" t="str">
        <f>IFERROR(INDEX(tblPessoas[Pessoa],MATCH(E332,tblPessoas[ID],0)),"")</f>
        <v>Nathalia Arruda</v>
      </c>
      <c r="G332" t="str">
        <f>IFERROR(INDEX(tblBatidas[Projeto],MATCH("B"&amp;MID($A332,2,99),tblBatidas[Batida ID],0)),"")</f>
        <v>ESTADUAL - OTEMPO</v>
      </c>
      <c r="H332" t="str">
        <f>IFERROR(INDEX(tblBatidas[Atividade],MATCH("B"&amp;MID($A332,2,99),tblBatidas[Batida ID],0)),"")</f>
        <v>ANÁLISE</v>
      </c>
      <c r="I332" s="4">
        <f>IFERROR(MOD(INDEX(tblBatidas[Data e hora],MATCH("B"&amp;MID($A332,2,99),tblBatidas[Batida ID],0)),1),"")</f>
        <v>0.53646990740526235</v>
      </c>
      <c r="J332" s="4">
        <f>IFERROR(MOD(INDEX(tblBatidas[Data e hora],MATCH("B"&amp;MID($A332,2,99),tblBatidas[Início vinculado],0)),1),"")</f>
        <v>0.75217592592525762</v>
      </c>
      <c r="K332" s="14">
        <f>IFERROR((INDEX(tblBatidas[Data e hora],MATCH("B"&amp;MID($A332,2,99),tblBatidas[Início vinculado],0))-INDEX(tblBatidas[Data e hora],MATCH("B"&amp;MID($A332,2,99),tblBatidas[Batida ID],0)))*24,"")</f>
        <v>5.1769444444798864</v>
      </c>
      <c r="L332">
        <f>IFERROR(INDEX(tblBatidas[Observação],MATCH("B"&amp;MID($A332,2,99),tblBatidas[Início vinculado],0)),"")</f>
        <v>0</v>
      </c>
      <c r="M332" t="str">
        <f>IFERROR(INDEX(tblPessoas[Base],MATCH(E332,tblPessoas[ID],0)),"")</f>
        <v>Hora</v>
      </c>
      <c r="N332" s="3">
        <f>IFERROR(IF(D332="DIA ÚTIL",INDEX(tblPessoas[R$/h útil],MATCH(E332,tblPessoas[ID],0)),INDEX(tblPessoas[R$/h FDS],MATCH(E332,tblPessoas[ID],0))),0)</f>
        <v>23.5</v>
      </c>
      <c r="O332" s="3">
        <f>IFERROR(INDEX(tblPessoas[R$/diária],MATCH(E332,tblPessoas[ID],0)),0)</f>
        <v>0</v>
      </c>
      <c r="P332" s="3">
        <f t="shared" si="22"/>
        <v>121.65819444527733</v>
      </c>
      <c r="Q332" t="str">
        <f>IF(A332="","",IF(COUNTIF(tblBatidas[Início vinculado],"B"&amp;MID($A332,2,99))=0,"EM ABERTO",IF(OR(COUNTIF(tblBatidas[Início vinculado],"B"&amp;MID($A332,2,99))&gt;1,K332&lt;0,K332&gt;16,INT(INDEX(tblBatidas[Data e hora],MATCH("B"&amp;MID($A332,2,99),tblBatidas[Início vinculado],0)))&lt;&gt;B332,INDEX(tblBatidas[ID],MATCH("B"&amp;MID($A332,2,99),tblBatidas[Início vinculado],0))&lt;&gt;E332,INDEX(tblBatidas[Projeto],MATCH("B"&amp;MID($A332,2,99),tblBatidas[Início vinculado],0))&lt;&gt;G332,INDEX(tblBatidas[Atividade],MATCH("B"&amp;MID($A332,2,99),tblBatidas[Início vinculado],0))&lt;&gt;H332),"REVISAR","CONCLUÍDO")))</f>
        <v>CONCLUÍDO</v>
      </c>
      <c r="R332">
        <f>IF(Q332&lt;&gt;"CONCLUÍDO",0,IF(COUNTIFS($E$5:E332,E332,$B$5:B332,B332,$Q$5:Q332,"CONCLUÍDO")=1,1,0))</f>
        <v>0</v>
      </c>
      <c r="S332" t="str">
        <f t="shared" si="23"/>
        <v>yyyy-09</v>
      </c>
      <c r="T332">
        <f>IF(E332="","",E332*100000+COUNTIFS(tblRegistros[ID],E332,tblRegistros[Data],"&lt;"&amp;B332)+COUNTIFS(tblRegistros[ID],E332,tblRegistros[Data],B332,tblRegistros[Início],"&lt;"&amp;I332)+COUNTIFS($E$5:E332,E332,$B$5:B332,B332,$I$5:I332,I332))</f>
        <v>101100030</v>
      </c>
    </row>
    <row r="333" spans="1:20">
      <c r="A333" t="s">
        <v>424</v>
      </c>
      <c r="B333" s="2">
        <f>IFERROR(INT(INDEX(tblBatidas[Data e hora],MATCH("B"&amp;MID($A333,2,99),tblBatidas[Batida ID],0))),"")</f>
        <v>46279</v>
      </c>
      <c r="C333" t="str">
        <f t="shared" si="20"/>
        <v>SEGUNDA-FEIRA</v>
      </c>
      <c r="D333" t="str">
        <f t="shared" si="21"/>
        <v>DIA ÚTIL</v>
      </c>
      <c r="E333">
        <f>IFERROR(INDEX(tblBatidas[ID],MATCH("B"&amp;MID($A333,2,99),tblBatidas[Batida ID],0)),"")</f>
        <v>1002</v>
      </c>
      <c r="F333" t="str">
        <f>IFERROR(INDEX(tblPessoas[Pessoa],MATCH(E333,tblPessoas[ID],0)),"")</f>
        <v>Alex de Almeida Mariano</v>
      </c>
      <c r="G333" t="str">
        <f>IFERROR(INDEX(tblBatidas[Projeto],MATCH("B"&amp;MID($A333,2,99),tblBatidas[Batida ID],0)),"")</f>
        <v>TOOLKIT</v>
      </c>
      <c r="H333" t="str">
        <f>IFERROR(INDEX(tblBatidas[Atividade],MATCH("B"&amp;MID($A333,2,99),tblBatidas[Batida ID],0)),"")</f>
        <v>ANÁLISE</v>
      </c>
      <c r="I333" s="4">
        <f>IFERROR(MOD(INDEX(tblBatidas[Data e hora],MATCH("B"&amp;MID($A333,2,99),tblBatidas[Batida ID],0)),1),"")</f>
        <v>0.54557870370626915</v>
      </c>
      <c r="J333" s="4">
        <f>IFERROR(MOD(INDEX(tblBatidas[Data e hora],MATCH("B"&amp;MID($A333,2,99),tblBatidas[Início vinculado],0)),1),"")</f>
        <v>0.74646990740438923</v>
      </c>
      <c r="K333" s="14">
        <f>IFERROR((INDEX(tblBatidas[Data e hora],MATCH("B"&amp;MID($A333,2,99),tblBatidas[Início vinculado],0))-INDEX(tblBatidas[Data e hora],MATCH("B"&amp;MID($A333,2,99),tblBatidas[Batida ID],0)))*24,"")</f>
        <v>4.8213888887548819</v>
      </c>
      <c r="L333">
        <f>IFERROR(INDEX(tblBatidas[Observação],MATCH("B"&amp;MID($A333,2,99),tblBatidas[Início vinculado],0)),"")</f>
        <v>0</v>
      </c>
      <c r="M333" t="str">
        <f>IFERROR(INDEX(tblPessoas[Base],MATCH(E333,tblPessoas[ID],0)),"")</f>
        <v>Hora</v>
      </c>
      <c r="N333" s="3">
        <f>IFERROR(IF(D333="DIA ÚTIL",INDEX(tblPessoas[R$/h útil],MATCH(E333,tblPessoas[ID],0)),INDEX(tblPessoas[R$/h FDS],MATCH(E333,tblPessoas[ID],0))),0)</f>
        <v>23.5</v>
      </c>
      <c r="O333" s="3">
        <f>IFERROR(INDEX(tblPessoas[R$/diária],MATCH(E333,tblPessoas[ID],0)),0)</f>
        <v>0</v>
      </c>
      <c r="P333" s="3">
        <f t="shared" si="22"/>
        <v>113.30263888573973</v>
      </c>
      <c r="Q333" t="str">
        <f>IF(A333="","",IF(COUNTIF(tblBatidas[Início vinculado],"B"&amp;MID($A333,2,99))=0,"EM ABERTO",IF(OR(COUNTIF(tblBatidas[Início vinculado],"B"&amp;MID($A333,2,99))&gt;1,K333&lt;0,K333&gt;16,INT(INDEX(tblBatidas[Data e hora],MATCH("B"&amp;MID($A333,2,99),tblBatidas[Início vinculado],0)))&lt;&gt;B333,INDEX(tblBatidas[ID],MATCH("B"&amp;MID($A333,2,99),tblBatidas[Início vinculado],0))&lt;&gt;E333,INDEX(tblBatidas[Projeto],MATCH("B"&amp;MID($A333,2,99),tblBatidas[Início vinculado],0))&lt;&gt;G333,INDEX(tblBatidas[Atividade],MATCH("B"&amp;MID($A333,2,99),tblBatidas[Início vinculado],0))&lt;&gt;H333),"REVISAR","CONCLUÍDO")))</f>
        <v>CONCLUÍDO</v>
      </c>
      <c r="R333">
        <f>IF(Q333&lt;&gt;"CONCLUÍDO",0,IF(COUNTIFS($E$5:E333,E333,$B$5:B333,B333,$Q$5:Q333,"CONCLUÍDO")=1,1,0))</f>
        <v>0</v>
      </c>
      <c r="S333" t="str">
        <f t="shared" si="23"/>
        <v>yyyy-09</v>
      </c>
      <c r="T333">
        <f>IF(E333="","",E333*100000+COUNTIFS(tblRegistros[ID],E333,tblRegistros[Data],"&lt;"&amp;B333)+COUNTIFS(tblRegistros[ID],E333,tblRegistros[Data],B333,tblRegistros[Início],"&lt;"&amp;I333)+COUNTIFS($E$5:E333,E333,$B$5:B333,B333,$I$5:I333,I333))</f>
        <v>100200021</v>
      </c>
    </row>
    <row r="334" spans="1:20">
      <c r="A334" t="s">
        <v>425</v>
      </c>
      <c r="B334" s="2">
        <f>IFERROR(INT(INDEX(tblBatidas[Data e hora],MATCH("B"&amp;MID($A334,2,99),tblBatidas[Batida ID],0))),"")</f>
        <v>46279</v>
      </c>
      <c r="C334" t="str">
        <f t="shared" si="20"/>
        <v>SEGUNDA-FEIRA</v>
      </c>
      <c r="D334" t="str">
        <f t="shared" si="21"/>
        <v>DIA ÚTIL</v>
      </c>
      <c r="E334">
        <f>IFERROR(INDEX(tblBatidas[ID],MATCH("B"&amp;MID($A334,2,99),tblBatidas[Batida ID],0)),"")</f>
        <v>1003</v>
      </c>
      <c r="F334" t="str">
        <f>IFERROR(INDEX(tblPessoas[Pessoa],MATCH(E334,tblPessoas[ID],0)),"")</f>
        <v>Amanda do Carmo Ribeiro</v>
      </c>
      <c r="G334" t="str">
        <f>IFERROR(INDEX(tblBatidas[Projeto],MATCH("B"&amp;MID($A334,2,99),tblBatidas[Batida ID],0)),"")</f>
        <v>OTEMPO</v>
      </c>
      <c r="H334" t="str">
        <f>IFERROR(INDEX(tblBatidas[Atividade],MATCH("B"&amp;MID($A334,2,99),tblBatidas[Batida ID],0)),"")</f>
        <v>ANÁLISE</v>
      </c>
      <c r="I334" s="4">
        <f>IFERROR(MOD(INDEX(tblBatidas[Data e hora],MATCH("B"&amp;MID($A334,2,99),tblBatidas[Batida ID],0)),1),"")</f>
        <v>0.5794675925935735</v>
      </c>
      <c r="J334" s="4">
        <f>IFERROR(MOD(INDEX(tblBatidas[Data e hora],MATCH("B"&amp;MID($A334,2,99),tblBatidas[Início vinculado],0)),1),"")</f>
        <v>0.77437500000087311</v>
      </c>
      <c r="K334" s="14">
        <f>IFERROR((INDEX(tblBatidas[Data e hora],MATCH("B"&amp;MID($A334,2,99),tblBatidas[Início vinculado],0))-INDEX(tblBatidas[Data e hora],MATCH("B"&amp;MID($A334,2,99),tblBatidas[Batida ID],0)))*24,"")</f>
        <v>4.6777777777751908</v>
      </c>
      <c r="L334">
        <f>IFERROR(INDEX(tblBatidas[Observação],MATCH("B"&amp;MID($A334,2,99),tblBatidas[Início vinculado],0)),"")</f>
        <v>0</v>
      </c>
      <c r="M334" t="str">
        <f>IFERROR(INDEX(tblPessoas[Base],MATCH(E334,tblPessoas[ID],0)),"")</f>
        <v>Hora</v>
      </c>
      <c r="N334" s="3">
        <f>IFERROR(IF(D334="DIA ÚTIL",INDEX(tblPessoas[R$/h útil],MATCH(E334,tblPessoas[ID],0)),INDEX(tblPessoas[R$/h FDS],MATCH(E334,tblPessoas[ID],0))),0)</f>
        <v>23.5</v>
      </c>
      <c r="O334" s="3">
        <f>IFERROR(INDEX(tblPessoas[R$/diária],MATCH(E334,tblPessoas[ID],0)),0)</f>
        <v>0</v>
      </c>
      <c r="P334" s="3">
        <f t="shared" si="22"/>
        <v>109.92777777771698</v>
      </c>
      <c r="Q334" t="str">
        <f>IF(A334="","",IF(COUNTIF(tblBatidas[Início vinculado],"B"&amp;MID($A334,2,99))=0,"EM ABERTO",IF(OR(COUNTIF(tblBatidas[Início vinculado],"B"&amp;MID($A334,2,99))&gt;1,K334&lt;0,K334&gt;16,INT(INDEX(tblBatidas[Data e hora],MATCH("B"&amp;MID($A334,2,99),tblBatidas[Início vinculado],0)))&lt;&gt;B334,INDEX(tblBatidas[ID],MATCH("B"&amp;MID($A334,2,99),tblBatidas[Início vinculado],0))&lt;&gt;E334,INDEX(tblBatidas[Projeto],MATCH("B"&amp;MID($A334,2,99),tblBatidas[Início vinculado],0))&lt;&gt;G334,INDEX(tblBatidas[Atividade],MATCH("B"&amp;MID($A334,2,99),tblBatidas[Início vinculado],0))&lt;&gt;H334),"REVISAR","CONCLUÍDO")))</f>
        <v>CONCLUÍDO</v>
      </c>
      <c r="R334">
        <f>IF(Q334&lt;&gt;"CONCLUÍDO",0,IF(COUNTIFS($E$5:E334,E334,$B$5:B334,B334,$Q$5:Q334,"CONCLUÍDO")=1,1,0))</f>
        <v>1</v>
      </c>
      <c r="S334" t="str">
        <f t="shared" si="23"/>
        <v>yyyy-09</v>
      </c>
      <c r="T334">
        <f>IF(E334="","",E334*100000+COUNTIFS(tblRegistros[ID],E334,tblRegistros[Data],"&lt;"&amp;B334)+COUNTIFS(tblRegistros[ID],E334,tblRegistros[Data],B334,tblRegistros[Início],"&lt;"&amp;I334)+COUNTIFS($E$5:E334,E334,$B$5:B334,B334,$I$5:I334,I334))</f>
        <v>100300033</v>
      </c>
    </row>
    <row r="335" spans="1:20">
      <c r="A335" t="s">
        <v>426</v>
      </c>
      <c r="B335" s="2">
        <f>IFERROR(INT(INDEX(tblBatidas[Data e hora],MATCH("B"&amp;MID($A335,2,99),tblBatidas[Batida ID],0))),"")</f>
        <v>46280</v>
      </c>
      <c r="C335" t="str">
        <f t="shared" si="20"/>
        <v>TERÇA-FEIRA</v>
      </c>
      <c r="D335" t="str">
        <f t="shared" si="21"/>
        <v>DIA ÚTIL</v>
      </c>
      <c r="E335">
        <f>IFERROR(INDEX(tblBatidas[ID],MATCH("B"&amp;MID($A335,2,99),tblBatidas[Batida ID],0)),"")</f>
        <v>1002</v>
      </c>
      <c r="F335" t="str">
        <f>IFERROR(INDEX(tblPessoas[Pessoa],MATCH(E335,tblPessoas[ID],0)),"")</f>
        <v>Alex de Almeida Mariano</v>
      </c>
      <c r="G335" t="str">
        <f>IFERROR(INDEX(tblBatidas[Projeto],MATCH("B"&amp;MID($A335,2,99),tblBatidas[Batida ID],0)),"")</f>
        <v>TOOLKIT</v>
      </c>
      <c r="H335" t="str">
        <f>IFERROR(INDEX(tblBatidas[Atividade],MATCH("B"&amp;MID($A335,2,99),tblBatidas[Batida ID],0)),"")</f>
        <v>ANÁLISE</v>
      </c>
      <c r="I335" s="4">
        <f>IFERROR(MOD(INDEX(tblBatidas[Data e hora],MATCH("B"&amp;MID($A335,2,99),tblBatidas[Batida ID],0)),1),"")</f>
        <v>0.32855324073898373</v>
      </c>
      <c r="J335" s="4">
        <f>IFERROR(MOD(INDEX(tblBatidas[Data e hora],MATCH("B"&amp;MID($A335,2,99),tblBatidas[Início vinculado],0)),1),"")</f>
        <v>0.50319444444176042</v>
      </c>
      <c r="K335" s="14">
        <f>IFERROR((INDEX(tblBatidas[Data e hora],MATCH("B"&amp;MID($A335,2,99),tblBatidas[Início vinculado],0))-INDEX(tblBatidas[Data e hora],MATCH("B"&amp;MID($A335,2,99),tblBatidas[Batida ID],0)))*24,"")</f>
        <v>4.1913888888666406</v>
      </c>
      <c r="L335">
        <f>IFERROR(INDEX(tblBatidas[Observação],MATCH("B"&amp;MID($A335,2,99),tblBatidas[Início vinculado],0)),"")</f>
        <v>0</v>
      </c>
      <c r="M335" t="str">
        <f>IFERROR(INDEX(tblPessoas[Base],MATCH(E335,tblPessoas[ID],0)),"")</f>
        <v>Hora</v>
      </c>
      <c r="N335" s="3">
        <f>IFERROR(IF(D335="DIA ÚTIL",INDEX(tblPessoas[R$/h útil],MATCH(E335,tblPessoas[ID],0)),INDEX(tblPessoas[R$/h FDS],MATCH(E335,tblPessoas[ID],0))),0)</f>
        <v>23.5</v>
      </c>
      <c r="O335" s="3">
        <f>IFERROR(INDEX(tblPessoas[R$/diária],MATCH(E335,tblPessoas[ID],0)),0)</f>
        <v>0</v>
      </c>
      <c r="P335" s="3">
        <f t="shared" si="22"/>
        <v>98.497638888366055</v>
      </c>
      <c r="Q335" t="str">
        <f>IF(A335="","",IF(COUNTIF(tblBatidas[Início vinculado],"B"&amp;MID($A335,2,99))=0,"EM ABERTO",IF(OR(COUNTIF(tblBatidas[Início vinculado],"B"&amp;MID($A335,2,99))&gt;1,K335&lt;0,K335&gt;16,INT(INDEX(tblBatidas[Data e hora],MATCH("B"&amp;MID($A335,2,99),tblBatidas[Início vinculado],0)))&lt;&gt;B335,INDEX(tblBatidas[ID],MATCH("B"&amp;MID($A335,2,99),tblBatidas[Início vinculado],0))&lt;&gt;E335,INDEX(tblBatidas[Projeto],MATCH("B"&amp;MID($A335,2,99),tblBatidas[Início vinculado],0))&lt;&gt;G335,INDEX(tblBatidas[Atividade],MATCH("B"&amp;MID($A335,2,99),tblBatidas[Início vinculado],0))&lt;&gt;H335),"REVISAR","CONCLUÍDO")))</f>
        <v>CONCLUÍDO</v>
      </c>
      <c r="R335">
        <f>IF(Q335&lt;&gt;"CONCLUÍDO",0,IF(COUNTIFS($E$5:E335,E335,$B$5:B335,B335,$Q$5:Q335,"CONCLUÍDO")=1,1,0))</f>
        <v>1</v>
      </c>
      <c r="S335" t="str">
        <f t="shared" si="23"/>
        <v>yyyy-09</v>
      </c>
      <c r="T335">
        <f>IF(E335="","",E335*100000+COUNTIFS(tblRegistros[ID],E335,tblRegistros[Data],"&lt;"&amp;B335)+COUNTIFS(tblRegistros[ID],E335,tblRegistros[Data],B335,tblRegistros[Início],"&lt;"&amp;I335)+COUNTIFS($E$5:E335,E335,$B$5:B335,B335,$I$5:I335,I335))</f>
        <v>100200022</v>
      </c>
    </row>
    <row r="336" spans="1:20">
      <c r="A336" t="s">
        <v>427</v>
      </c>
      <c r="B336" s="2">
        <f>IFERROR(INT(INDEX(tblBatidas[Data e hora],MATCH("B"&amp;MID($A336,2,99),tblBatidas[Batida ID],0))),"")</f>
        <v>46280</v>
      </c>
      <c r="C336" t="str">
        <f t="shared" si="20"/>
        <v>TERÇA-FEIRA</v>
      </c>
      <c r="D336" t="str">
        <f t="shared" si="21"/>
        <v>DIA ÚTIL</v>
      </c>
      <c r="E336">
        <f>IFERROR(INDEX(tblBatidas[ID],MATCH("B"&amp;MID($A336,2,99),tblBatidas[Batida ID],0)),"")</f>
        <v>1003</v>
      </c>
      <c r="F336" t="str">
        <f>IFERROR(INDEX(tblPessoas[Pessoa],MATCH(E336,tblPessoas[ID],0)),"")</f>
        <v>Amanda do Carmo Ribeiro</v>
      </c>
      <c r="G336" t="str">
        <f>IFERROR(INDEX(tblBatidas[Projeto],MATCH("B"&amp;MID($A336,2,99),tblBatidas[Batida ID],0)),"")</f>
        <v>TOOLKIT</v>
      </c>
      <c r="H336" t="str">
        <f>IFERROR(INDEX(tblBatidas[Atividade],MATCH("B"&amp;MID($A336,2,99),tblBatidas[Batida ID],0)),"")</f>
        <v>ANÁLISE</v>
      </c>
      <c r="I336" s="4">
        <f>IFERROR(MOD(INDEX(tblBatidas[Data e hora],MATCH("B"&amp;MID($A336,2,99),tblBatidas[Batida ID],0)),1),"")</f>
        <v>0.33927083333401242</v>
      </c>
      <c r="J336" s="4">
        <f>IFERROR(MOD(INDEX(tblBatidas[Data e hora],MATCH("B"&amp;MID($A336,2,99),tblBatidas[Início vinculado],0)),1),"")</f>
        <v>0.52503472222451819</v>
      </c>
      <c r="K336" s="14">
        <f>IFERROR((INDEX(tblBatidas[Data e hora],MATCH("B"&amp;MID($A336,2,99),tblBatidas[Início vinculado],0))-INDEX(tblBatidas[Data e hora],MATCH("B"&amp;MID($A336,2,99),tblBatidas[Batida ID],0)))*24,"")</f>
        <v>4.4583333333721384</v>
      </c>
      <c r="L336">
        <f>IFERROR(INDEX(tblBatidas[Observação],MATCH("B"&amp;MID($A336,2,99),tblBatidas[Início vinculado],0)),"")</f>
        <v>0</v>
      </c>
      <c r="M336" t="str">
        <f>IFERROR(INDEX(tblPessoas[Base],MATCH(E336,tblPessoas[ID],0)),"")</f>
        <v>Hora</v>
      </c>
      <c r="N336" s="3">
        <f>IFERROR(IF(D336="DIA ÚTIL",INDEX(tblPessoas[R$/h útil],MATCH(E336,tblPessoas[ID],0)),INDEX(tblPessoas[R$/h FDS],MATCH(E336,tblPessoas[ID],0))),0)</f>
        <v>23.5</v>
      </c>
      <c r="O336" s="3">
        <f>IFERROR(INDEX(tblPessoas[R$/diária],MATCH(E336,tblPessoas[ID],0)),0)</f>
        <v>0</v>
      </c>
      <c r="P336" s="3">
        <f t="shared" si="22"/>
        <v>104.77083333424525</v>
      </c>
      <c r="Q336" t="str">
        <f>IF(A336="","",IF(COUNTIF(tblBatidas[Início vinculado],"B"&amp;MID($A336,2,99))=0,"EM ABERTO",IF(OR(COUNTIF(tblBatidas[Início vinculado],"B"&amp;MID($A336,2,99))&gt;1,K336&lt;0,K336&gt;16,INT(INDEX(tblBatidas[Data e hora],MATCH("B"&amp;MID($A336,2,99),tblBatidas[Início vinculado],0)))&lt;&gt;B336,INDEX(tblBatidas[ID],MATCH("B"&amp;MID($A336,2,99),tblBatidas[Início vinculado],0))&lt;&gt;E336,INDEX(tblBatidas[Projeto],MATCH("B"&amp;MID($A336,2,99),tblBatidas[Início vinculado],0))&lt;&gt;G336,INDEX(tblBatidas[Atividade],MATCH("B"&amp;MID($A336,2,99),tblBatidas[Início vinculado],0))&lt;&gt;H336),"REVISAR","CONCLUÍDO")))</f>
        <v>CONCLUÍDO</v>
      </c>
      <c r="R336">
        <f>IF(Q336&lt;&gt;"CONCLUÍDO",0,IF(COUNTIFS($E$5:E336,E336,$B$5:B336,B336,$Q$5:Q336,"CONCLUÍDO")=1,1,0))</f>
        <v>1</v>
      </c>
      <c r="S336" t="str">
        <f t="shared" si="23"/>
        <v>yyyy-09</v>
      </c>
      <c r="T336">
        <f>IF(E336="","",E336*100000+COUNTIFS(tblRegistros[ID],E336,tblRegistros[Data],"&lt;"&amp;B336)+COUNTIFS(tblRegistros[ID],E336,tblRegistros[Data],B336,tblRegistros[Início],"&lt;"&amp;I336)+COUNTIFS($E$5:E336,E336,$B$5:B336,B336,$I$5:I336,I336))</f>
        <v>100300034</v>
      </c>
    </row>
    <row r="337" spans="1:20">
      <c r="A337" t="s">
        <v>428</v>
      </c>
      <c r="B337" s="2">
        <f>IFERROR(INT(INDEX(tblBatidas[Data e hora],MATCH("B"&amp;MID($A337,2,99),tblBatidas[Batida ID],0))),"")</f>
        <v>46280</v>
      </c>
      <c r="C337" t="str">
        <f t="shared" si="20"/>
        <v>TERÇA-FEIRA</v>
      </c>
      <c r="D337" t="str">
        <f t="shared" si="21"/>
        <v>DIA ÚTIL</v>
      </c>
      <c r="E337">
        <f>IFERROR(INDEX(tblBatidas[ID],MATCH("B"&amp;MID($A337,2,99),tblBatidas[Batida ID],0)),"")</f>
        <v>1011</v>
      </c>
      <c r="F337" t="str">
        <f>IFERROR(INDEX(tblPessoas[Pessoa],MATCH(E337,tblPessoas[ID],0)),"")</f>
        <v>Nathalia Arruda</v>
      </c>
      <c r="G337" t="str">
        <f>IFERROR(INDEX(tblBatidas[Projeto],MATCH("B"&amp;MID($A337,2,99),tblBatidas[Batida ID],0)),"")</f>
        <v>OTEMPO</v>
      </c>
      <c r="H337" t="str">
        <f>IFERROR(INDEX(tblBatidas[Atividade],MATCH("B"&amp;MID($A337,2,99),tblBatidas[Batida ID],0)),"")</f>
        <v>ANÁLISE</v>
      </c>
      <c r="I337" s="4">
        <f>IFERROR(MOD(INDEX(tblBatidas[Data e hora],MATCH("B"&amp;MID($A337,2,99),tblBatidas[Batida ID],0)),1),"")</f>
        <v>0.34061342592758592</v>
      </c>
      <c r="J337" s="4">
        <f>IFERROR(MOD(INDEX(tblBatidas[Data e hora],MATCH("B"&amp;MID($A337,2,99),tblBatidas[Início vinculado],0)),1),"")</f>
        <v>0.51263888888934162</v>
      </c>
      <c r="K337" s="14">
        <f>IFERROR((INDEX(tblBatidas[Data e hora],MATCH("B"&amp;MID($A337,2,99),tblBatidas[Início vinculado],0))-INDEX(tblBatidas[Data e hora],MATCH("B"&amp;MID($A337,2,99),tblBatidas[Batida ID],0)))*24,"")</f>
        <v>4.1286111110821366</v>
      </c>
      <c r="L337">
        <f>IFERROR(INDEX(tblBatidas[Observação],MATCH("B"&amp;MID($A337,2,99),tblBatidas[Início vinculado],0)),"")</f>
        <v>0</v>
      </c>
      <c r="M337" t="str">
        <f>IFERROR(INDEX(tblPessoas[Base],MATCH(E337,tblPessoas[ID],0)),"")</f>
        <v>Hora</v>
      </c>
      <c r="N337" s="3">
        <f>IFERROR(IF(D337="DIA ÚTIL",INDEX(tblPessoas[R$/h útil],MATCH(E337,tblPessoas[ID],0)),INDEX(tblPessoas[R$/h FDS],MATCH(E337,tblPessoas[ID],0))),0)</f>
        <v>23.5</v>
      </c>
      <c r="O337" s="3">
        <f>IFERROR(INDEX(tblPessoas[R$/diária],MATCH(E337,tblPessoas[ID],0)),0)</f>
        <v>0</v>
      </c>
      <c r="P337" s="3">
        <f t="shared" si="22"/>
        <v>97.022361110430211</v>
      </c>
      <c r="Q337" t="str">
        <f>IF(A337="","",IF(COUNTIF(tblBatidas[Início vinculado],"B"&amp;MID($A337,2,99))=0,"EM ABERTO",IF(OR(COUNTIF(tblBatidas[Início vinculado],"B"&amp;MID($A337,2,99))&gt;1,K337&lt;0,K337&gt;16,INT(INDEX(tblBatidas[Data e hora],MATCH("B"&amp;MID($A337,2,99),tblBatidas[Início vinculado],0)))&lt;&gt;B337,INDEX(tblBatidas[ID],MATCH("B"&amp;MID($A337,2,99),tblBatidas[Início vinculado],0))&lt;&gt;E337,INDEX(tblBatidas[Projeto],MATCH("B"&amp;MID($A337,2,99),tblBatidas[Início vinculado],0))&lt;&gt;G337,INDEX(tblBatidas[Atividade],MATCH("B"&amp;MID($A337,2,99),tblBatidas[Início vinculado],0))&lt;&gt;H337),"REVISAR","CONCLUÍDO")))</f>
        <v>CONCLUÍDO</v>
      </c>
      <c r="R337">
        <f>IF(Q337&lt;&gt;"CONCLUÍDO",0,IF(COUNTIFS($E$5:E337,E337,$B$5:B337,B337,$Q$5:Q337,"CONCLUÍDO")=1,1,0))</f>
        <v>1</v>
      </c>
      <c r="S337" t="str">
        <f t="shared" si="23"/>
        <v>yyyy-09</v>
      </c>
      <c r="T337">
        <f>IF(E337="","",E337*100000+COUNTIFS(tblRegistros[ID],E337,tblRegistros[Data],"&lt;"&amp;B337)+COUNTIFS(tblRegistros[ID],E337,tblRegistros[Data],B337,tblRegistros[Início],"&lt;"&amp;I337)+COUNTIFS($E$5:E337,E337,$B$5:B337,B337,$I$5:I337,I337))</f>
        <v>101100031</v>
      </c>
    </row>
    <row r="338" spans="1:20">
      <c r="A338" t="s">
        <v>429</v>
      </c>
      <c r="B338" s="2">
        <f>IFERROR(INT(INDEX(tblBatidas[Data e hora],MATCH("B"&amp;MID($A338,2,99),tblBatidas[Batida ID],0))),"")</f>
        <v>46280</v>
      </c>
      <c r="C338" t="str">
        <f t="shared" si="20"/>
        <v>TERÇA-FEIRA</v>
      </c>
      <c r="D338" t="str">
        <f t="shared" si="21"/>
        <v>DIA ÚTIL</v>
      </c>
      <c r="E338">
        <f>IFERROR(INDEX(tblBatidas[ID],MATCH("B"&amp;MID($A338,2,99),tblBatidas[Batida ID],0)),"")</f>
        <v>1013</v>
      </c>
      <c r="F338" t="str">
        <f>IFERROR(INDEX(tblPessoas[Pessoa],MATCH(E338,tblPessoas[ID],0)),"")</f>
        <v>Rafaela Maria Resende Lara</v>
      </c>
      <c r="G338" t="str">
        <f>IFERROR(INDEX(tblBatidas[Projeto],MATCH("B"&amp;MID($A338,2,99),tblBatidas[Batida ID],0)),"")</f>
        <v>OTEMPO</v>
      </c>
      <c r="H338" t="str">
        <f>IFERROR(INDEX(tblBatidas[Atividade],MATCH("B"&amp;MID($A338,2,99),tblBatidas[Batida ID],0)),"")</f>
        <v>ANÁLISE</v>
      </c>
      <c r="I338" s="4">
        <f>IFERROR(MOD(INDEX(tblBatidas[Data e hora],MATCH("B"&amp;MID($A338,2,99),tblBatidas[Batida ID],0)),1),"")</f>
        <v>0.37825231481838273</v>
      </c>
      <c r="J338" s="4" t="str">
        <f>IFERROR(MOD(INDEX(tblBatidas[Data e hora],MATCH("B"&amp;MID($A338,2,99),tblBatidas[Início vinculado],0)),1),"")</f>
        <v/>
      </c>
      <c r="K338" s="14" t="str">
        <f>IFERROR((INDEX(tblBatidas[Data e hora],MATCH("B"&amp;MID($A338,2,99),tblBatidas[Início vinculado],0))-INDEX(tblBatidas[Data e hora],MATCH("B"&amp;MID($A338,2,99),tblBatidas[Batida ID],0)))*24,"")</f>
        <v/>
      </c>
      <c r="L338" t="str">
        <f>IFERROR(INDEX(tblBatidas[Observação],MATCH("B"&amp;MID($A338,2,99),tblBatidas[Início vinculado],0)),"")</f>
        <v/>
      </c>
      <c r="M338" t="str">
        <f>IFERROR(INDEX(tblPessoas[Base],MATCH(E338,tblPessoas[ID],0)),"")</f>
        <v>Hora</v>
      </c>
      <c r="N338" s="3">
        <f>IFERROR(IF(D338="DIA ÚTIL",INDEX(tblPessoas[R$/h útil],MATCH(E338,tblPessoas[ID],0)),INDEX(tblPessoas[R$/h FDS],MATCH(E338,tblPessoas[ID],0))),0)</f>
        <v>23.5</v>
      </c>
      <c r="O338" s="3">
        <f>IFERROR(INDEX(tblPessoas[R$/diária],MATCH(E338,tblPessoas[ID],0)),0)</f>
        <v>0</v>
      </c>
      <c r="P338" s="3" t="str">
        <f t="shared" si="22"/>
        <v/>
      </c>
      <c r="Q338" t="str">
        <f>IF(A338="","",IF(COUNTIF(tblBatidas[Início vinculado],"B"&amp;MID($A338,2,99))=0,"EM ABERTO",IF(OR(COUNTIF(tblBatidas[Início vinculado],"B"&amp;MID($A338,2,99))&gt;1,K338&lt;0,K338&gt;16,INT(INDEX(tblBatidas[Data e hora],MATCH("B"&amp;MID($A338,2,99),tblBatidas[Início vinculado],0)))&lt;&gt;B338,INDEX(tblBatidas[ID],MATCH("B"&amp;MID($A338,2,99),tblBatidas[Início vinculado],0))&lt;&gt;E338,INDEX(tblBatidas[Projeto],MATCH("B"&amp;MID($A338,2,99),tblBatidas[Início vinculado],0))&lt;&gt;G338,INDEX(tblBatidas[Atividade],MATCH("B"&amp;MID($A338,2,99),tblBatidas[Início vinculado],0))&lt;&gt;H338),"REVISAR","CONCLUÍDO")))</f>
        <v>EM ABERTO</v>
      </c>
      <c r="R338">
        <f>IF(Q338&lt;&gt;"CONCLUÍDO",0,IF(COUNTIFS($E$5:E338,E338,$B$5:B338,B338,$Q$5:Q338,"CONCLUÍDO")=1,1,0))</f>
        <v>0</v>
      </c>
      <c r="S338" t="str">
        <f t="shared" si="23"/>
        <v>yyyy-09</v>
      </c>
      <c r="T338">
        <f>IF(E338="","",E338*100000+COUNTIFS(tblRegistros[ID],E338,tblRegistros[Data],"&lt;"&amp;B338)+COUNTIFS(tblRegistros[ID],E338,tblRegistros[Data],B338,tblRegistros[Início],"&lt;"&amp;I338)+COUNTIFS($E$5:E338,E338,$B$5:B338,B338,$I$5:I338,I338))</f>
        <v>101300030</v>
      </c>
    </row>
    <row r="339" spans="1:20">
      <c r="A339" t="s">
        <v>430</v>
      </c>
      <c r="B339" s="2">
        <f>IFERROR(INT(INDEX(tblBatidas[Data e hora],MATCH("B"&amp;MID($A339,2,99),tblBatidas[Batida ID],0))),"")</f>
        <v>46280</v>
      </c>
      <c r="C339" t="str">
        <f t="shared" si="20"/>
        <v>TERÇA-FEIRA</v>
      </c>
      <c r="D339" t="str">
        <f t="shared" si="21"/>
        <v>DIA ÚTIL</v>
      </c>
      <c r="E339">
        <f>IFERROR(INDEX(tblBatidas[ID],MATCH("B"&amp;MID($A339,2,99),tblBatidas[Batida ID],0)),"")</f>
        <v>1013</v>
      </c>
      <c r="F339" t="str">
        <f>IFERROR(INDEX(tblPessoas[Pessoa],MATCH(E339,tblPessoas[ID],0)),"")</f>
        <v>Rafaela Maria Resende Lara</v>
      </c>
      <c r="G339" t="str">
        <f>IFERROR(INDEX(tblBatidas[Projeto],MATCH("B"&amp;MID($A339,2,99),tblBatidas[Batida ID],0)),"")</f>
        <v>OTEMPO</v>
      </c>
      <c r="H339" t="str">
        <f>IFERROR(INDEX(tblBatidas[Atividade],MATCH("B"&amp;MID($A339,2,99),tblBatidas[Batida ID],0)),"")</f>
        <v>ANÁLISE</v>
      </c>
      <c r="I339" s="4">
        <f>IFERROR(MOD(INDEX(tblBatidas[Data e hora],MATCH("B"&amp;MID($A339,2,99),tblBatidas[Batida ID],0)),1),"")</f>
        <v>0.49394675925577758</v>
      </c>
      <c r="J339" s="4" t="str">
        <f>IFERROR(MOD(INDEX(tblBatidas[Data e hora],MATCH("B"&amp;MID($A339,2,99),tblBatidas[Início vinculado],0)),1),"")</f>
        <v/>
      </c>
      <c r="K339" s="14" t="str">
        <f>IFERROR((INDEX(tblBatidas[Data e hora],MATCH("B"&amp;MID($A339,2,99),tblBatidas[Início vinculado],0))-INDEX(tblBatidas[Data e hora],MATCH("B"&amp;MID($A339,2,99),tblBatidas[Batida ID],0)))*24,"")</f>
        <v/>
      </c>
      <c r="L339" t="str">
        <f>IFERROR(INDEX(tblBatidas[Observação],MATCH("B"&amp;MID($A339,2,99),tblBatidas[Início vinculado],0)),"")</f>
        <v/>
      </c>
      <c r="M339" t="str">
        <f>IFERROR(INDEX(tblPessoas[Base],MATCH(E339,tblPessoas[ID],0)),"")</f>
        <v>Hora</v>
      </c>
      <c r="N339" s="3">
        <f>IFERROR(IF(D339="DIA ÚTIL",INDEX(tblPessoas[R$/h útil],MATCH(E339,tblPessoas[ID],0)),INDEX(tblPessoas[R$/h FDS],MATCH(E339,tblPessoas[ID],0))),0)</f>
        <v>23.5</v>
      </c>
      <c r="O339" s="3">
        <f>IFERROR(INDEX(tblPessoas[R$/diária],MATCH(E339,tblPessoas[ID],0)),0)</f>
        <v>0</v>
      </c>
      <c r="P339" s="3" t="str">
        <f t="shared" si="22"/>
        <v/>
      </c>
      <c r="Q339" t="str">
        <f>IF(A339="","",IF(COUNTIF(tblBatidas[Início vinculado],"B"&amp;MID($A339,2,99))=0,"EM ABERTO",IF(OR(COUNTIF(tblBatidas[Início vinculado],"B"&amp;MID($A339,2,99))&gt;1,K339&lt;0,K339&gt;16,INT(INDEX(tblBatidas[Data e hora],MATCH("B"&amp;MID($A339,2,99),tblBatidas[Início vinculado],0)))&lt;&gt;B339,INDEX(tblBatidas[ID],MATCH("B"&amp;MID($A339,2,99),tblBatidas[Início vinculado],0))&lt;&gt;E339,INDEX(tblBatidas[Projeto],MATCH("B"&amp;MID($A339,2,99),tblBatidas[Início vinculado],0))&lt;&gt;G339,INDEX(tblBatidas[Atividade],MATCH("B"&amp;MID($A339,2,99),tblBatidas[Início vinculado],0))&lt;&gt;H339),"REVISAR","CONCLUÍDO")))</f>
        <v>EM ABERTO</v>
      </c>
      <c r="R339">
        <f>IF(Q339&lt;&gt;"CONCLUÍDO",0,IF(COUNTIFS($E$5:E339,E339,$B$5:B339,B339,$Q$5:Q339,"CONCLUÍDO")=1,1,0))</f>
        <v>0</v>
      </c>
      <c r="S339" t="str">
        <f t="shared" si="23"/>
        <v>yyyy-09</v>
      </c>
      <c r="T339">
        <f>IF(E339="","",E339*100000+COUNTIFS(tblRegistros[ID],E339,tblRegistros[Data],"&lt;"&amp;B339)+COUNTIFS(tblRegistros[ID],E339,tblRegistros[Data],B339,tblRegistros[Início],"&lt;"&amp;I339)+COUNTIFS($E$5:E339,E339,$B$5:B339,B339,$I$5:I339,I339))</f>
        <v>101300031</v>
      </c>
    </row>
    <row r="340" spans="1:20">
      <c r="A340" t="s">
        <v>431</v>
      </c>
      <c r="B340" s="2">
        <f>IFERROR(INT(INDEX(tblBatidas[Data e hora],MATCH("B"&amp;MID($A340,2,99),tblBatidas[Batida ID],0))),"")</f>
        <v>46280</v>
      </c>
      <c r="C340" t="str">
        <f t="shared" si="20"/>
        <v>TERÇA-FEIRA</v>
      </c>
      <c r="D340" t="str">
        <f t="shared" si="21"/>
        <v>DIA ÚTIL</v>
      </c>
      <c r="E340">
        <f>IFERROR(INDEX(tblBatidas[ID],MATCH("B"&amp;MID($A340,2,99),tblBatidas[Batida ID],0)),"")</f>
        <v>1013</v>
      </c>
      <c r="F340" t="str">
        <f>IFERROR(INDEX(tblPessoas[Pessoa],MATCH(E340,tblPessoas[ID],0)),"")</f>
        <v>Rafaela Maria Resende Lara</v>
      </c>
      <c r="G340" t="str">
        <f>IFERROR(INDEX(tblBatidas[Projeto],MATCH("B"&amp;MID($A340,2,99),tblBatidas[Batida ID],0)),"")</f>
        <v>OTEMPO</v>
      </c>
      <c r="H340" t="str">
        <f>IFERROR(INDEX(tblBatidas[Atividade],MATCH("B"&amp;MID($A340,2,99),tblBatidas[Batida ID],0)),"")</f>
        <v>ANÁLISE</v>
      </c>
      <c r="I340" s="4">
        <f>IFERROR(MOD(INDEX(tblBatidas[Data e hora],MATCH("B"&amp;MID($A340,2,99),tblBatidas[Batida ID],0)),1),"")</f>
        <v>0.52271990740700858</v>
      </c>
      <c r="J340" s="4">
        <f>IFERROR(MOD(INDEX(tblBatidas[Data e hora],MATCH("B"&amp;MID($A340,2,99),tblBatidas[Início vinculado],0)),1),"")</f>
        <v>0.75025462963094469</v>
      </c>
      <c r="K340" s="14">
        <f>IFERROR((INDEX(tblBatidas[Data e hora],MATCH("B"&amp;MID($A340,2,99),tblBatidas[Início vinculado],0))-INDEX(tblBatidas[Data e hora],MATCH("B"&amp;MID($A340,2,99),tblBatidas[Batida ID],0)))*24,"")</f>
        <v>5.4608333333744667</v>
      </c>
      <c r="L340">
        <f>IFERROR(INDEX(tblBatidas[Observação],MATCH("B"&amp;MID($A340,2,99),tblBatidas[Início vinculado],0)),"")</f>
        <v>0</v>
      </c>
      <c r="M340" t="str">
        <f>IFERROR(INDEX(tblPessoas[Base],MATCH(E340,tblPessoas[ID],0)),"")</f>
        <v>Hora</v>
      </c>
      <c r="N340" s="3">
        <f>IFERROR(IF(D340="DIA ÚTIL",INDEX(tblPessoas[R$/h útil],MATCH(E340,tblPessoas[ID],0)),INDEX(tblPessoas[R$/h FDS],MATCH(E340,tblPessoas[ID],0))),0)</f>
        <v>23.5</v>
      </c>
      <c r="O340" s="3">
        <f>IFERROR(INDEX(tblPessoas[R$/diária],MATCH(E340,tblPessoas[ID],0)),0)</f>
        <v>0</v>
      </c>
      <c r="P340" s="3">
        <f t="shared" si="22"/>
        <v>128.32958333429997</v>
      </c>
      <c r="Q340" t="str">
        <f>IF(A340="","",IF(COUNTIF(tblBatidas[Início vinculado],"B"&amp;MID($A340,2,99))=0,"EM ABERTO",IF(OR(COUNTIF(tblBatidas[Início vinculado],"B"&amp;MID($A340,2,99))&gt;1,K340&lt;0,K340&gt;16,INT(INDEX(tblBatidas[Data e hora],MATCH("B"&amp;MID($A340,2,99),tblBatidas[Início vinculado],0)))&lt;&gt;B340,INDEX(tblBatidas[ID],MATCH("B"&amp;MID($A340,2,99),tblBatidas[Início vinculado],0))&lt;&gt;E340,INDEX(tblBatidas[Projeto],MATCH("B"&amp;MID($A340,2,99),tblBatidas[Início vinculado],0))&lt;&gt;G340,INDEX(tblBatidas[Atividade],MATCH("B"&amp;MID($A340,2,99),tblBatidas[Início vinculado],0))&lt;&gt;H340),"REVISAR","CONCLUÍDO")))</f>
        <v>CONCLUÍDO</v>
      </c>
      <c r="R340">
        <f>IF(Q340&lt;&gt;"CONCLUÍDO",0,IF(COUNTIFS($E$5:E340,E340,$B$5:B340,B340,$Q$5:Q340,"CONCLUÍDO")=1,1,0))</f>
        <v>1</v>
      </c>
      <c r="S340" t="str">
        <f t="shared" si="23"/>
        <v>yyyy-09</v>
      </c>
      <c r="T340">
        <f>IF(E340="","",E340*100000+COUNTIFS(tblRegistros[ID],E340,tblRegistros[Data],"&lt;"&amp;B340)+COUNTIFS(tblRegistros[ID],E340,tblRegistros[Data],B340,tblRegistros[Início],"&lt;"&amp;I340)+COUNTIFS($E$5:E340,E340,$B$5:B340,B340,$I$5:I340,I340))</f>
        <v>101300032</v>
      </c>
    </row>
    <row r="341" spans="1:20">
      <c r="A341" t="s">
        <v>432</v>
      </c>
      <c r="B341" s="2">
        <f>IFERROR(INT(INDEX(tblBatidas[Data e hora],MATCH("B"&amp;MID($A341,2,99),tblBatidas[Batida ID],0))),"")</f>
        <v>46280</v>
      </c>
      <c r="C341" t="str">
        <f t="shared" si="20"/>
        <v>TERÇA-FEIRA</v>
      </c>
      <c r="D341" t="str">
        <f t="shared" si="21"/>
        <v>DIA ÚTIL</v>
      </c>
      <c r="E341">
        <f>IFERROR(INDEX(tblBatidas[ID],MATCH("B"&amp;MID($A341,2,99),tblBatidas[Batida ID],0)),"")</f>
        <v>1002</v>
      </c>
      <c r="F341" t="str">
        <f>IFERROR(INDEX(tblPessoas[Pessoa],MATCH(E341,tblPessoas[ID],0)),"")</f>
        <v>Alex de Almeida Mariano</v>
      </c>
      <c r="G341" t="str">
        <f>IFERROR(INDEX(tblBatidas[Projeto],MATCH("B"&amp;MID($A341,2,99),tblBatidas[Batida ID],0)),"")</f>
        <v>TOOLKIT</v>
      </c>
      <c r="H341" t="str">
        <f>IFERROR(INDEX(tblBatidas[Atividade],MATCH("B"&amp;MID($A341,2,99),tblBatidas[Batida ID],0)),"")</f>
        <v>ANÁLISE</v>
      </c>
      <c r="I341" s="4">
        <f>IFERROR(MOD(INDEX(tblBatidas[Data e hora],MATCH("B"&amp;MID($A341,2,99),tblBatidas[Batida ID],0)),1),"")</f>
        <v>0.54193287037196569</v>
      </c>
      <c r="J341" s="4">
        <f>IFERROR(MOD(INDEX(tblBatidas[Data e hora],MATCH("B"&amp;MID($A341,2,99),tblBatidas[Início vinculado],0)),1),"")</f>
        <v>0.74679398148145992</v>
      </c>
      <c r="K341" s="14">
        <f>IFERROR((INDEX(tblBatidas[Data e hora],MATCH("B"&amp;MID($A341,2,99),tblBatidas[Início vinculado],0))-INDEX(tblBatidas[Data e hora],MATCH("B"&amp;MID($A341,2,99),tblBatidas[Batida ID],0)))*24,"")</f>
        <v>4.9166666666278616</v>
      </c>
      <c r="L341">
        <f>IFERROR(INDEX(tblBatidas[Observação],MATCH("B"&amp;MID($A341,2,99),tblBatidas[Início vinculado],0)),"")</f>
        <v>0</v>
      </c>
      <c r="M341" t="str">
        <f>IFERROR(INDEX(tblPessoas[Base],MATCH(E341,tblPessoas[ID],0)),"")</f>
        <v>Hora</v>
      </c>
      <c r="N341" s="3">
        <f>IFERROR(IF(D341="DIA ÚTIL",INDEX(tblPessoas[R$/h útil],MATCH(E341,tblPessoas[ID],0)),INDEX(tblPessoas[R$/h FDS],MATCH(E341,tblPessoas[ID],0))),0)</f>
        <v>23.5</v>
      </c>
      <c r="O341" s="3">
        <f>IFERROR(INDEX(tblPessoas[R$/diária],MATCH(E341,tblPessoas[ID],0)),0)</f>
        <v>0</v>
      </c>
      <c r="P341" s="3">
        <f t="shared" si="22"/>
        <v>115.54166666575475</v>
      </c>
      <c r="Q341" t="str">
        <f>IF(A341="","",IF(COUNTIF(tblBatidas[Início vinculado],"B"&amp;MID($A341,2,99))=0,"EM ABERTO",IF(OR(COUNTIF(tblBatidas[Início vinculado],"B"&amp;MID($A341,2,99))&gt;1,K341&lt;0,K341&gt;16,INT(INDEX(tblBatidas[Data e hora],MATCH("B"&amp;MID($A341,2,99),tblBatidas[Início vinculado],0)))&lt;&gt;B341,INDEX(tblBatidas[ID],MATCH("B"&amp;MID($A341,2,99),tblBatidas[Início vinculado],0))&lt;&gt;E341,INDEX(tblBatidas[Projeto],MATCH("B"&amp;MID($A341,2,99),tblBatidas[Início vinculado],0))&lt;&gt;G341,INDEX(tblBatidas[Atividade],MATCH("B"&amp;MID($A341,2,99),tblBatidas[Início vinculado],0))&lt;&gt;H341),"REVISAR","CONCLUÍDO")))</f>
        <v>CONCLUÍDO</v>
      </c>
      <c r="R341">
        <f>IF(Q341&lt;&gt;"CONCLUÍDO",0,IF(COUNTIFS($E$5:E341,E341,$B$5:B341,B341,$Q$5:Q341,"CONCLUÍDO")=1,1,0))</f>
        <v>0</v>
      </c>
      <c r="S341" t="str">
        <f t="shared" si="23"/>
        <v>yyyy-09</v>
      </c>
      <c r="T341">
        <f>IF(E341="","",E341*100000+COUNTIFS(tblRegistros[ID],E341,tblRegistros[Data],"&lt;"&amp;B341)+COUNTIFS(tblRegistros[ID],E341,tblRegistros[Data],B341,tblRegistros[Início],"&lt;"&amp;I341)+COUNTIFS($E$5:E341,E341,$B$5:B341,B341,$I$5:I341,I341))</f>
        <v>100200023</v>
      </c>
    </row>
    <row r="342" spans="1:20">
      <c r="A342" t="s">
        <v>433</v>
      </c>
      <c r="B342" s="2">
        <f>IFERROR(INT(INDEX(tblBatidas[Data e hora],MATCH("B"&amp;MID($A342,2,99),tblBatidas[Batida ID],0))),"")</f>
        <v>46280</v>
      </c>
      <c r="C342" t="str">
        <f t="shared" si="20"/>
        <v>TERÇA-FEIRA</v>
      </c>
      <c r="D342" t="str">
        <f t="shared" si="21"/>
        <v>DIA ÚTIL</v>
      </c>
      <c r="E342">
        <f>IFERROR(INDEX(tblBatidas[ID],MATCH("B"&amp;MID($A342,2,99),tblBatidas[Batida ID],0)),"")</f>
        <v>1003</v>
      </c>
      <c r="F342" t="str">
        <f>IFERROR(INDEX(tblPessoas[Pessoa],MATCH(E342,tblPessoas[ID],0)),"")</f>
        <v>Amanda do Carmo Ribeiro</v>
      </c>
      <c r="G342" t="str">
        <f>IFERROR(INDEX(tblBatidas[Projeto],MATCH("B"&amp;MID($A342,2,99),tblBatidas[Batida ID],0)),"")</f>
        <v>TOOLKIT</v>
      </c>
      <c r="H342" t="str">
        <f>IFERROR(INDEX(tblBatidas[Atividade],MATCH("B"&amp;MID($A342,2,99),tblBatidas[Batida ID],0)),"")</f>
        <v>ANÁLISE</v>
      </c>
      <c r="I342" s="4">
        <f>IFERROR(MOD(INDEX(tblBatidas[Data e hora],MATCH("B"&amp;MID($A342,2,99),tblBatidas[Batida ID],0)),1),"")</f>
        <v>0.58393518518278142</v>
      </c>
      <c r="J342" s="4">
        <f>IFERROR(MOD(INDEX(tblBatidas[Data e hora],MATCH("B"&amp;MID($A342,2,99),tblBatidas[Início vinculado],0)),1),"")</f>
        <v>0.79924768518685596</v>
      </c>
      <c r="K342" s="14">
        <f>IFERROR((INDEX(tblBatidas[Data e hora],MATCH("B"&amp;MID($A342,2,99),tblBatidas[Início vinculado],0))-INDEX(tblBatidas[Data e hora],MATCH("B"&amp;MID($A342,2,99),tblBatidas[Batida ID],0)))*24,"")</f>
        <v>5.1675000000977889</v>
      </c>
      <c r="L342">
        <f>IFERROR(INDEX(tblBatidas[Observação],MATCH("B"&amp;MID($A342,2,99),tblBatidas[Início vinculado],0)),"")</f>
        <v>0</v>
      </c>
      <c r="M342" t="str">
        <f>IFERROR(INDEX(tblPessoas[Base],MATCH(E342,tblPessoas[ID],0)),"")</f>
        <v>Hora</v>
      </c>
      <c r="N342" s="3">
        <f>IFERROR(IF(D342="DIA ÚTIL",INDEX(tblPessoas[R$/h útil],MATCH(E342,tblPessoas[ID],0)),INDEX(tblPessoas[R$/h FDS],MATCH(E342,tblPessoas[ID],0))),0)</f>
        <v>23.5</v>
      </c>
      <c r="O342" s="3">
        <f>IFERROR(INDEX(tblPessoas[R$/diária],MATCH(E342,tblPessoas[ID],0)),0)</f>
        <v>0</v>
      </c>
      <c r="P342" s="3">
        <f t="shared" si="22"/>
        <v>121.43625000229804</v>
      </c>
      <c r="Q342" t="str">
        <f>IF(A342="","",IF(COUNTIF(tblBatidas[Início vinculado],"B"&amp;MID($A342,2,99))=0,"EM ABERTO",IF(OR(COUNTIF(tblBatidas[Início vinculado],"B"&amp;MID($A342,2,99))&gt;1,K342&lt;0,K342&gt;16,INT(INDEX(tblBatidas[Data e hora],MATCH("B"&amp;MID($A342,2,99),tblBatidas[Início vinculado],0)))&lt;&gt;B342,INDEX(tblBatidas[ID],MATCH("B"&amp;MID($A342,2,99),tblBatidas[Início vinculado],0))&lt;&gt;E342,INDEX(tblBatidas[Projeto],MATCH("B"&amp;MID($A342,2,99),tblBatidas[Início vinculado],0))&lt;&gt;G342,INDEX(tblBatidas[Atividade],MATCH("B"&amp;MID($A342,2,99),tblBatidas[Início vinculado],0))&lt;&gt;H342),"REVISAR","CONCLUÍDO")))</f>
        <v>CONCLUÍDO</v>
      </c>
      <c r="R342">
        <f>IF(Q342&lt;&gt;"CONCLUÍDO",0,IF(COUNTIFS($E$5:E342,E342,$B$5:B342,B342,$Q$5:Q342,"CONCLUÍDO")=1,1,0))</f>
        <v>0</v>
      </c>
      <c r="S342" t="str">
        <f t="shared" si="23"/>
        <v>yyyy-09</v>
      </c>
      <c r="T342">
        <f>IF(E342="","",E342*100000+COUNTIFS(tblRegistros[ID],E342,tblRegistros[Data],"&lt;"&amp;B342)+COUNTIFS(tblRegistros[ID],E342,tblRegistros[Data],B342,tblRegistros[Início],"&lt;"&amp;I342)+COUNTIFS($E$5:E342,E342,$B$5:B342,B342,$I$5:I342,I342))</f>
        <v>100300035</v>
      </c>
    </row>
    <row r="343" spans="1:20">
      <c r="A343" t="s">
        <v>434</v>
      </c>
      <c r="B343" s="2">
        <f>IFERROR(INT(INDEX(tblBatidas[Data e hora],MATCH("B"&amp;MID($A343,2,99),tblBatidas[Batida ID],0))),"")</f>
        <v>46281</v>
      </c>
      <c r="C343" t="str">
        <f t="shared" si="20"/>
        <v>QUARTA-FEIRA</v>
      </c>
      <c r="D343" t="str">
        <f t="shared" si="21"/>
        <v>DIA ÚTIL</v>
      </c>
      <c r="E343">
        <f>IFERROR(INDEX(tblBatidas[ID],MATCH("B"&amp;MID($A343,2,99),tblBatidas[Batida ID],0)),"")</f>
        <v>1011</v>
      </c>
      <c r="F343" t="str">
        <f>IFERROR(INDEX(tblPessoas[Pessoa],MATCH(E343,tblPessoas[ID],0)),"")</f>
        <v>Nathalia Arruda</v>
      </c>
      <c r="G343" t="str">
        <f>IFERROR(INDEX(tblBatidas[Projeto],MATCH("B"&amp;MID($A343,2,99),tblBatidas[Batida ID],0)),"")</f>
        <v>OTEMPO</v>
      </c>
      <c r="H343" t="str">
        <f>IFERROR(INDEX(tblBatidas[Atividade],MATCH("B"&amp;MID($A343,2,99),tblBatidas[Batida ID],0)),"")</f>
        <v>ANÁLISE</v>
      </c>
      <c r="I343" s="4">
        <f>IFERROR(MOD(INDEX(tblBatidas[Data e hora],MATCH("B"&amp;MID($A343,2,99),tblBatidas[Batida ID],0)),1),"")</f>
        <v>0.33133101851854008</v>
      </c>
      <c r="J343" s="4" t="str">
        <f>IFERROR(MOD(INDEX(tblBatidas[Data e hora],MATCH("B"&amp;MID($A343,2,99),tblBatidas[Início vinculado],0)),1),"")</f>
        <v/>
      </c>
      <c r="K343" s="14" t="str">
        <f>IFERROR((INDEX(tblBatidas[Data e hora],MATCH("B"&amp;MID($A343,2,99),tblBatidas[Início vinculado],0))-INDEX(tblBatidas[Data e hora],MATCH("B"&amp;MID($A343,2,99),tblBatidas[Batida ID],0)))*24,"")</f>
        <v/>
      </c>
      <c r="L343" t="str">
        <f>IFERROR(INDEX(tblBatidas[Observação],MATCH("B"&amp;MID($A343,2,99),tblBatidas[Início vinculado],0)),"")</f>
        <v/>
      </c>
      <c r="M343" t="str">
        <f>IFERROR(INDEX(tblPessoas[Base],MATCH(E343,tblPessoas[ID],0)),"")</f>
        <v>Hora</v>
      </c>
      <c r="N343" s="3">
        <f>IFERROR(IF(D343="DIA ÚTIL",INDEX(tblPessoas[R$/h útil],MATCH(E343,tblPessoas[ID],0)),INDEX(tblPessoas[R$/h FDS],MATCH(E343,tblPessoas[ID],0))),0)</f>
        <v>23.5</v>
      </c>
      <c r="O343" s="3">
        <f>IFERROR(INDEX(tblPessoas[R$/diária],MATCH(E343,tblPessoas[ID],0)),0)</f>
        <v>0</v>
      </c>
      <c r="P343" s="3" t="str">
        <f t="shared" si="22"/>
        <v/>
      </c>
      <c r="Q343" t="str">
        <f>IF(A343="","",IF(COUNTIF(tblBatidas[Início vinculado],"B"&amp;MID($A343,2,99))=0,"EM ABERTO",IF(OR(COUNTIF(tblBatidas[Início vinculado],"B"&amp;MID($A343,2,99))&gt;1,K343&lt;0,K343&gt;16,INT(INDEX(tblBatidas[Data e hora],MATCH("B"&amp;MID($A343,2,99),tblBatidas[Início vinculado],0)))&lt;&gt;B343,INDEX(tblBatidas[ID],MATCH("B"&amp;MID($A343,2,99),tblBatidas[Início vinculado],0))&lt;&gt;E343,INDEX(tblBatidas[Projeto],MATCH("B"&amp;MID($A343,2,99),tblBatidas[Início vinculado],0))&lt;&gt;G343,INDEX(tblBatidas[Atividade],MATCH("B"&amp;MID($A343,2,99),tblBatidas[Início vinculado],0))&lt;&gt;H343),"REVISAR","CONCLUÍDO")))</f>
        <v>EM ABERTO</v>
      </c>
      <c r="R343">
        <f>IF(Q343&lt;&gt;"CONCLUÍDO",0,IF(COUNTIFS($E$5:E343,E343,$B$5:B343,B343,$Q$5:Q343,"CONCLUÍDO")=1,1,0))</f>
        <v>0</v>
      </c>
      <c r="S343" t="str">
        <f t="shared" si="23"/>
        <v>yyyy-09</v>
      </c>
      <c r="T343">
        <f>IF(E343="","",E343*100000+COUNTIFS(tblRegistros[ID],E343,tblRegistros[Data],"&lt;"&amp;B343)+COUNTIFS(tblRegistros[ID],E343,tblRegistros[Data],B343,tblRegistros[Início],"&lt;"&amp;I343)+COUNTIFS($E$5:E343,E343,$B$5:B343,B343,$I$5:I343,I343))</f>
        <v>101100032</v>
      </c>
    </row>
    <row r="344" spans="1:20">
      <c r="A344" t="s">
        <v>435</v>
      </c>
      <c r="B344" s="2">
        <f>IFERROR(INT(INDEX(tblBatidas[Data e hora],MATCH("B"&amp;MID($A344,2,99),tblBatidas[Batida ID],0))),"")</f>
        <v>46281</v>
      </c>
      <c r="C344" t="str">
        <f t="shared" si="20"/>
        <v>QUARTA-FEIRA</v>
      </c>
      <c r="D344" t="str">
        <f t="shared" si="21"/>
        <v>DIA ÚTIL</v>
      </c>
      <c r="E344">
        <f>IFERROR(INDEX(tblBatidas[ID],MATCH("B"&amp;MID($A344,2,99),tblBatidas[Batida ID],0)),"")</f>
        <v>1003</v>
      </c>
      <c r="F344" t="str">
        <f>IFERROR(INDEX(tblPessoas[Pessoa],MATCH(E344,tblPessoas[ID],0)),"")</f>
        <v>Amanda do Carmo Ribeiro</v>
      </c>
      <c r="G344" t="str">
        <f>IFERROR(INDEX(tblBatidas[Projeto],MATCH("B"&amp;MID($A344,2,99),tblBatidas[Batida ID],0)),"")</f>
        <v>TOOLKIT</v>
      </c>
      <c r="H344" t="str">
        <f>IFERROR(INDEX(tblBatidas[Atividade],MATCH("B"&amp;MID($A344,2,99),tblBatidas[Batida ID],0)),"")</f>
        <v>ANÁLISE</v>
      </c>
      <c r="I344" s="4">
        <f>IFERROR(MOD(INDEX(tblBatidas[Data e hora],MATCH("B"&amp;MID($A344,2,99),tblBatidas[Batida ID],0)),1),"")</f>
        <v>0.33386574074393138</v>
      </c>
      <c r="J344" s="4">
        <f>IFERROR(MOD(INDEX(tblBatidas[Data e hora],MATCH("B"&amp;MID($A344,2,99),tblBatidas[Início vinculado],0)),1),"")</f>
        <v>0.49965277777664596</v>
      </c>
      <c r="K344" s="14">
        <f>IFERROR((INDEX(tblBatidas[Data e hora],MATCH("B"&amp;MID($A344,2,99),tblBatidas[Início vinculado],0))-INDEX(tblBatidas[Data e hora],MATCH("B"&amp;MID($A344,2,99),tblBatidas[Batida ID],0)))*24,"")</f>
        <v>3.9788888887851499</v>
      </c>
      <c r="L344">
        <f>IFERROR(INDEX(tblBatidas[Observação],MATCH("B"&amp;MID($A344,2,99),tblBatidas[Início vinculado],0)),"")</f>
        <v>0</v>
      </c>
      <c r="M344" t="str">
        <f>IFERROR(INDEX(tblPessoas[Base],MATCH(E344,tblPessoas[ID],0)),"")</f>
        <v>Hora</v>
      </c>
      <c r="N344" s="3">
        <f>IFERROR(IF(D344="DIA ÚTIL",INDEX(tblPessoas[R$/h útil],MATCH(E344,tblPessoas[ID],0)),INDEX(tblPessoas[R$/h FDS],MATCH(E344,tblPessoas[ID],0))),0)</f>
        <v>23.5</v>
      </c>
      <c r="O344" s="3">
        <f>IFERROR(INDEX(tblPessoas[R$/diária],MATCH(E344,tblPessoas[ID],0)),0)</f>
        <v>0</v>
      </c>
      <c r="P344" s="3">
        <f t="shared" si="22"/>
        <v>93.503888886451023</v>
      </c>
      <c r="Q344" t="str">
        <f>IF(A344="","",IF(COUNTIF(tblBatidas[Início vinculado],"B"&amp;MID($A344,2,99))=0,"EM ABERTO",IF(OR(COUNTIF(tblBatidas[Início vinculado],"B"&amp;MID($A344,2,99))&gt;1,K344&lt;0,K344&gt;16,INT(INDEX(tblBatidas[Data e hora],MATCH("B"&amp;MID($A344,2,99),tblBatidas[Início vinculado],0)))&lt;&gt;B344,INDEX(tblBatidas[ID],MATCH("B"&amp;MID($A344,2,99),tblBatidas[Início vinculado],0))&lt;&gt;E344,INDEX(tblBatidas[Projeto],MATCH("B"&amp;MID($A344,2,99),tblBatidas[Início vinculado],0))&lt;&gt;G344,INDEX(tblBatidas[Atividade],MATCH("B"&amp;MID($A344,2,99),tblBatidas[Início vinculado],0))&lt;&gt;H344),"REVISAR","CONCLUÍDO")))</f>
        <v>CONCLUÍDO</v>
      </c>
      <c r="R344">
        <f>IF(Q344&lt;&gt;"CONCLUÍDO",0,IF(COUNTIFS($E$5:E344,E344,$B$5:B344,B344,$Q$5:Q344,"CONCLUÍDO")=1,1,0))</f>
        <v>1</v>
      </c>
      <c r="S344" t="str">
        <f t="shared" si="23"/>
        <v>yyyy-09</v>
      </c>
      <c r="T344">
        <f>IF(E344="","",E344*100000+COUNTIFS(tblRegistros[ID],E344,tblRegistros[Data],"&lt;"&amp;B344)+COUNTIFS(tblRegistros[ID],E344,tblRegistros[Data],B344,tblRegistros[Início],"&lt;"&amp;I344)+COUNTIFS($E$5:E344,E344,$B$5:B344,B344,$I$5:I344,I344))</f>
        <v>100300036</v>
      </c>
    </row>
    <row r="345" spans="1:20">
      <c r="A345" t="s">
        <v>436</v>
      </c>
      <c r="B345" s="2">
        <f>IFERROR(INT(INDEX(tblBatidas[Data e hora],MATCH("B"&amp;MID($A345,2,99),tblBatidas[Batida ID],0))),"")</f>
        <v>46281</v>
      </c>
      <c r="C345" t="str">
        <f t="shared" si="20"/>
        <v>QUARTA-FEIRA</v>
      </c>
      <c r="D345" t="str">
        <f t="shared" si="21"/>
        <v>DIA ÚTIL</v>
      </c>
      <c r="E345">
        <f>IFERROR(INDEX(tblBatidas[ID],MATCH("B"&amp;MID($A345,2,99),tblBatidas[Batida ID],0)),"")</f>
        <v>1013</v>
      </c>
      <c r="F345" t="str">
        <f>IFERROR(INDEX(tblPessoas[Pessoa],MATCH(E345,tblPessoas[ID],0)),"")</f>
        <v>Rafaela Maria Resende Lara</v>
      </c>
      <c r="G345" t="str">
        <f>IFERROR(INDEX(tblBatidas[Projeto],MATCH("B"&amp;MID($A345,2,99),tblBatidas[Batida ID],0)),"")</f>
        <v>OTEMPO</v>
      </c>
      <c r="H345" t="str">
        <f>IFERROR(INDEX(tblBatidas[Atividade],MATCH("B"&amp;MID($A345,2,99),tblBatidas[Batida ID],0)),"")</f>
        <v>ANÁLISE</v>
      </c>
      <c r="I345" s="4">
        <f>IFERROR(MOD(INDEX(tblBatidas[Data e hora],MATCH("B"&amp;MID($A345,2,99),tblBatidas[Batida ID],0)),1),"")</f>
        <v>0.36156250000203727</v>
      </c>
      <c r="J345" s="4">
        <f>IFERROR(MOD(INDEX(tblBatidas[Data e hora],MATCH("B"&amp;MID($A345,2,99),tblBatidas[Início vinculado],0)),1),"")</f>
        <v>0.49931712963007158</v>
      </c>
      <c r="K345" s="14">
        <f>IFERROR((INDEX(tblBatidas[Data e hora],MATCH("B"&amp;MID($A345,2,99),tblBatidas[Início vinculado],0))-INDEX(tblBatidas[Data e hora],MATCH("B"&amp;MID($A345,2,99),tblBatidas[Batida ID],0)))*24,"")</f>
        <v>3.3061111110728234</v>
      </c>
      <c r="L345">
        <f>IFERROR(INDEX(tblBatidas[Observação],MATCH("B"&amp;MID($A345,2,99),tblBatidas[Início vinculado],0)),"")</f>
        <v>0</v>
      </c>
      <c r="M345" t="str">
        <f>IFERROR(INDEX(tblPessoas[Base],MATCH(E345,tblPessoas[ID],0)),"")</f>
        <v>Hora</v>
      </c>
      <c r="N345" s="3">
        <f>IFERROR(IF(D345="DIA ÚTIL",INDEX(tblPessoas[R$/h útil],MATCH(E345,tblPessoas[ID],0)),INDEX(tblPessoas[R$/h FDS],MATCH(E345,tblPessoas[ID],0))),0)</f>
        <v>23.5</v>
      </c>
      <c r="O345" s="3">
        <f>IFERROR(INDEX(tblPessoas[R$/diária],MATCH(E345,tblPessoas[ID],0)),0)</f>
        <v>0</v>
      </c>
      <c r="P345" s="3">
        <f t="shared" si="22"/>
        <v>77.69361111021135</v>
      </c>
      <c r="Q345" t="str">
        <f>IF(A345="","",IF(COUNTIF(tblBatidas[Início vinculado],"B"&amp;MID($A345,2,99))=0,"EM ABERTO",IF(OR(COUNTIF(tblBatidas[Início vinculado],"B"&amp;MID($A345,2,99))&gt;1,K345&lt;0,K345&gt;16,INT(INDEX(tblBatidas[Data e hora],MATCH("B"&amp;MID($A345,2,99),tblBatidas[Início vinculado],0)))&lt;&gt;B345,INDEX(tblBatidas[ID],MATCH("B"&amp;MID($A345,2,99),tblBatidas[Início vinculado],0))&lt;&gt;E345,INDEX(tblBatidas[Projeto],MATCH("B"&amp;MID($A345,2,99),tblBatidas[Início vinculado],0))&lt;&gt;G345,INDEX(tblBatidas[Atividade],MATCH("B"&amp;MID($A345,2,99),tblBatidas[Início vinculado],0))&lt;&gt;H345),"REVISAR","CONCLUÍDO")))</f>
        <v>CONCLUÍDO</v>
      </c>
      <c r="R345">
        <f>IF(Q345&lt;&gt;"CONCLUÍDO",0,IF(COUNTIFS($E$5:E345,E345,$B$5:B345,B345,$Q$5:Q345,"CONCLUÍDO")=1,1,0))</f>
        <v>1</v>
      </c>
      <c r="S345" t="str">
        <f t="shared" si="23"/>
        <v>yyyy-09</v>
      </c>
      <c r="T345">
        <f>IF(E345="","",E345*100000+COUNTIFS(tblRegistros[ID],E345,tblRegistros[Data],"&lt;"&amp;B345)+COUNTIFS(tblRegistros[ID],E345,tblRegistros[Data],B345,tblRegistros[Início],"&lt;"&amp;I345)+COUNTIFS($E$5:E345,E345,$B$5:B345,B345,$I$5:I345,I345))</f>
        <v>101300033</v>
      </c>
    </row>
    <row r="346" spans="1:20">
      <c r="A346" t="s">
        <v>437</v>
      </c>
      <c r="B346" s="2">
        <f>IFERROR(INT(INDEX(tblBatidas[Data e hora],MATCH("B"&amp;MID($A346,2,99),tblBatidas[Batida ID],0))),"")</f>
        <v>46281</v>
      </c>
      <c r="C346" t="str">
        <f t="shared" si="20"/>
        <v>QUARTA-FEIRA</v>
      </c>
      <c r="D346" t="str">
        <f t="shared" si="21"/>
        <v>DIA ÚTIL</v>
      </c>
      <c r="E346">
        <f>IFERROR(INDEX(tblBatidas[ID],MATCH("B"&amp;MID($A346,2,99),tblBatidas[Batida ID],0)),"")</f>
        <v>1002</v>
      </c>
      <c r="F346" t="str">
        <f>IFERROR(INDEX(tblPessoas[Pessoa],MATCH(E346,tblPessoas[ID],0)),"")</f>
        <v>Alex de Almeida Mariano</v>
      </c>
      <c r="G346" t="str">
        <f>IFERROR(INDEX(tblBatidas[Projeto],MATCH("B"&amp;MID($A346,2,99),tblBatidas[Batida ID],0)),"")</f>
        <v>TOOLKIT</v>
      </c>
      <c r="H346" t="str">
        <f>IFERROR(INDEX(tblBatidas[Atividade],MATCH("B"&amp;MID($A346,2,99),tblBatidas[Batida ID],0)),"")</f>
        <v>ANÁLISE</v>
      </c>
      <c r="I346" s="4">
        <f>IFERROR(MOD(INDEX(tblBatidas[Data e hora],MATCH("B"&amp;MID($A346,2,99),tblBatidas[Batida ID],0)),1),"")</f>
        <v>0.36697916666889796</v>
      </c>
      <c r="J346" s="4">
        <f>IFERROR(MOD(INDEX(tblBatidas[Data e hora],MATCH("B"&amp;MID($A346,2,99),tblBatidas[Início vinculado],0)),1),"")</f>
        <v>0.50231481481750961</v>
      </c>
      <c r="K346" s="14">
        <f>IFERROR((INDEX(tblBatidas[Data e hora],MATCH("B"&amp;MID($A346,2,99),tblBatidas[Início vinculado],0))-INDEX(tblBatidas[Data e hora],MATCH("B"&amp;MID($A346,2,99),tblBatidas[Batida ID],0)))*24,"")</f>
        <v>3.2480555555666797</v>
      </c>
      <c r="L346">
        <f>IFERROR(INDEX(tblBatidas[Observação],MATCH("B"&amp;MID($A346,2,99),tblBatidas[Início vinculado],0)),"")</f>
        <v>0</v>
      </c>
      <c r="M346" t="str">
        <f>IFERROR(INDEX(tblPessoas[Base],MATCH(E346,tblPessoas[ID],0)),"")</f>
        <v>Hora</v>
      </c>
      <c r="N346" s="3">
        <f>IFERROR(IF(D346="DIA ÚTIL",INDEX(tblPessoas[R$/h útil],MATCH(E346,tblPessoas[ID],0)),INDEX(tblPessoas[R$/h FDS],MATCH(E346,tblPessoas[ID],0))),0)</f>
        <v>23.5</v>
      </c>
      <c r="O346" s="3">
        <f>IFERROR(INDEX(tblPessoas[R$/diária],MATCH(E346,tblPessoas[ID],0)),0)</f>
        <v>0</v>
      </c>
      <c r="P346" s="3">
        <f t="shared" si="22"/>
        <v>76.329305555816973</v>
      </c>
      <c r="Q346" t="str">
        <f>IF(A346="","",IF(COUNTIF(tblBatidas[Início vinculado],"B"&amp;MID($A346,2,99))=0,"EM ABERTO",IF(OR(COUNTIF(tblBatidas[Início vinculado],"B"&amp;MID($A346,2,99))&gt;1,K346&lt;0,K346&gt;16,INT(INDEX(tblBatidas[Data e hora],MATCH("B"&amp;MID($A346,2,99),tblBatidas[Início vinculado],0)))&lt;&gt;B346,INDEX(tblBatidas[ID],MATCH("B"&amp;MID($A346,2,99),tblBatidas[Início vinculado],0))&lt;&gt;E346,INDEX(tblBatidas[Projeto],MATCH("B"&amp;MID($A346,2,99),tblBatidas[Início vinculado],0))&lt;&gt;G346,INDEX(tblBatidas[Atividade],MATCH("B"&amp;MID($A346,2,99),tblBatidas[Início vinculado],0))&lt;&gt;H346),"REVISAR","CONCLUÍDO")))</f>
        <v>CONCLUÍDO</v>
      </c>
      <c r="R346">
        <f>IF(Q346&lt;&gt;"CONCLUÍDO",0,IF(COUNTIFS($E$5:E346,E346,$B$5:B346,B346,$Q$5:Q346,"CONCLUÍDO")=1,1,0))</f>
        <v>1</v>
      </c>
      <c r="S346" t="str">
        <f t="shared" si="23"/>
        <v>yyyy-09</v>
      </c>
      <c r="T346">
        <f>IF(E346="","",E346*100000+COUNTIFS(tblRegistros[ID],E346,tblRegistros[Data],"&lt;"&amp;B346)+COUNTIFS(tblRegistros[ID],E346,tblRegistros[Data],B346,tblRegistros[Início],"&lt;"&amp;I346)+COUNTIFS($E$5:E346,E346,$B$5:B346,B346,$I$5:I346,I346))</f>
        <v>100200024</v>
      </c>
    </row>
    <row r="347" spans="1:20">
      <c r="A347" t="s">
        <v>438</v>
      </c>
      <c r="B347" s="2">
        <f>IFERROR(INT(INDEX(tblBatidas[Data e hora],MATCH("B"&amp;MID($A347,2,99),tblBatidas[Batida ID],0))),"")</f>
        <v>46281</v>
      </c>
      <c r="C347" t="str">
        <f t="shared" si="20"/>
        <v>QUARTA-FEIRA</v>
      </c>
      <c r="D347" t="str">
        <f t="shared" si="21"/>
        <v>DIA ÚTIL</v>
      </c>
      <c r="E347">
        <f>IFERROR(INDEX(tblBatidas[ID],MATCH("B"&amp;MID($A347,2,99),tblBatidas[Batida ID],0)),"")</f>
        <v>1013</v>
      </c>
      <c r="F347" t="str">
        <f>IFERROR(INDEX(tblPessoas[Pessoa],MATCH(E347,tblPessoas[ID],0)),"")</f>
        <v>Rafaela Maria Resende Lara</v>
      </c>
      <c r="G347" t="str">
        <f>IFERROR(INDEX(tblBatidas[Projeto],MATCH("B"&amp;MID($A347,2,99),tblBatidas[Batida ID],0)),"")</f>
        <v>OUTROS</v>
      </c>
      <c r="H347" t="str">
        <f>IFERROR(INDEX(tblBatidas[Atividade],MATCH("B"&amp;MID($A347,2,99),tblBatidas[Batida ID],0)),"")</f>
        <v>ANÁLISE</v>
      </c>
      <c r="I347" s="4">
        <f>IFERROR(MOD(INDEX(tblBatidas[Data e hora],MATCH("B"&amp;MID($A347,2,99),tblBatidas[Batida ID],0)),1),"")</f>
        <v>0.53584490740468027</v>
      </c>
      <c r="J347" s="4" t="str">
        <f>IFERROR(MOD(INDEX(tblBatidas[Data e hora],MATCH("B"&amp;MID($A347,2,99),tblBatidas[Início vinculado],0)),1),"")</f>
        <v/>
      </c>
      <c r="K347" s="14" t="str">
        <f>IFERROR((INDEX(tblBatidas[Data e hora],MATCH("B"&amp;MID($A347,2,99),tblBatidas[Início vinculado],0))-INDEX(tblBatidas[Data e hora],MATCH("B"&amp;MID($A347,2,99),tblBatidas[Batida ID],0)))*24,"")</f>
        <v/>
      </c>
      <c r="L347" t="str">
        <f>IFERROR(INDEX(tblBatidas[Observação],MATCH("B"&amp;MID($A347,2,99),tblBatidas[Início vinculado],0)),"")</f>
        <v/>
      </c>
      <c r="M347" t="str">
        <f>IFERROR(INDEX(tblPessoas[Base],MATCH(E347,tblPessoas[ID],0)),"")</f>
        <v>Hora</v>
      </c>
      <c r="N347" s="3">
        <f>IFERROR(IF(D347="DIA ÚTIL",INDEX(tblPessoas[R$/h útil],MATCH(E347,tblPessoas[ID],0)),INDEX(tblPessoas[R$/h FDS],MATCH(E347,tblPessoas[ID],0))),0)</f>
        <v>23.5</v>
      </c>
      <c r="O347" s="3">
        <f>IFERROR(INDEX(tblPessoas[R$/diária],MATCH(E347,tblPessoas[ID],0)),0)</f>
        <v>0</v>
      </c>
      <c r="P347" s="3" t="str">
        <f t="shared" si="22"/>
        <v/>
      </c>
      <c r="Q347" t="str">
        <f>IF(A347="","",IF(COUNTIF(tblBatidas[Início vinculado],"B"&amp;MID($A347,2,99))=0,"EM ABERTO",IF(OR(COUNTIF(tblBatidas[Início vinculado],"B"&amp;MID($A347,2,99))&gt;1,K347&lt;0,K347&gt;16,INT(INDEX(tblBatidas[Data e hora],MATCH("B"&amp;MID($A347,2,99),tblBatidas[Início vinculado],0)))&lt;&gt;B347,INDEX(tblBatidas[ID],MATCH("B"&amp;MID($A347,2,99),tblBatidas[Início vinculado],0))&lt;&gt;E347,INDEX(tblBatidas[Projeto],MATCH("B"&amp;MID($A347,2,99),tblBatidas[Início vinculado],0))&lt;&gt;G347,INDEX(tblBatidas[Atividade],MATCH("B"&amp;MID($A347,2,99),tblBatidas[Início vinculado],0))&lt;&gt;H347),"REVISAR","CONCLUÍDO")))</f>
        <v>EM ABERTO</v>
      </c>
      <c r="R347">
        <f>IF(Q347&lt;&gt;"CONCLUÍDO",0,IF(COUNTIFS($E$5:E347,E347,$B$5:B347,B347,$Q$5:Q347,"CONCLUÍDO")=1,1,0))</f>
        <v>0</v>
      </c>
      <c r="S347" t="str">
        <f t="shared" si="23"/>
        <v>yyyy-09</v>
      </c>
      <c r="T347">
        <f>IF(E347="","",E347*100000+COUNTIFS(tblRegistros[ID],E347,tblRegistros[Data],"&lt;"&amp;B347)+COUNTIFS(tblRegistros[ID],E347,tblRegistros[Data],B347,tblRegistros[Início],"&lt;"&amp;I347)+COUNTIFS($E$5:E347,E347,$B$5:B347,B347,$I$5:I347,I347))</f>
        <v>101300034</v>
      </c>
    </row>
    <row r="348" spans="1:20">
      <c r="A348" t="s">
        <v>439</v>
      </c>
      <c r="B348" s="2">
        <f>IFERROR(INT(INDEX(tblBatidas[Data e hora],MATCH("B"&amp;MID($A348,2,99),tblBatidas[Batida ID],0))),"")</f>
        <v>46281</v>
      </c>
      <c r="C348" t="str">
        <f t="shared" si="20"/>
        <v>QUARTA-FEIRA</v>
      </c>
      <c r="D348" t="str">
        <f t="shared" si="21"/>
        <v>DIA ÚTIL</v>
      </c>
      <c r="E348">
        <f>IFERROR(INDEX(tblBatidas[ID],MATCH("B"&amp;MID($A348,2,99),tblBatidas[Batida ID],0)),"")</f>
        <v>1002</v>
      </c>
      <c r="F348" t="str">
        <f>IFERROR(INDEX(tblPessoas[Pessoa],MATCH(E348,tblPessoas[ID],0)),"")</f>
        <v>Alex de Almeida Mariano</v>
      </c>
      <c r="G348" t="str">
        <f>IFERROR(INDEX(tblBatidas[Projeto],MATCH("B"&amp;MID($A348,2,99),tblBatidas[Batida ID],0)),"")</f>
        <v>CFI / ACCION</v>
      </c>
      <c r="H348" t="str">
        <f>IFERROR(INDEX(tblBatidas[Atividade],MATCH("B"&amp;MID($A348,2,99),tblBatidas[Batida ID],0)),"")</f>
        <v>ANÁLISE</v>
      </c>
      <c r="I348" s="4">
        <f>IFERROR(MOD(INDEX(tblBatidas[Data e hora],MATCH("B"&amp;MID($A348,2,99),tblBatidas[Batida ID],0)),1),"")</f>
        <v>0.53659722222073469</v>
      </c>
      <c r="J348" s="4" t="str">
        <f>IFERROR(MOD(INDEX(tblBatidas[Data e hora],MATCH("B"&amp;MID($A348,2,99),tblBatidas[Início vinculado],0)),1),"")</f>
        <v/>
      </c>
      <c r="K348" s="14" t="str">
        <f>IFERROR((INDEX(tblBatidas[Data e hora],MATCH("B"&amp;MID($A348,2,99),tblBatidas[Início vinculado],0))-INDEX(tblBatidas[Data e hora],MATCH("B"&amp;MID($A348,2,99),tblBatidas[Batida ID],0)))*24,"")</f>
        <v/>
      </c>
      <c r="L348" t="str">
        <f>IFERROR(INDEX(tblBatidas[Observação],MATCH("B"&amp;MID($A348,2,99),tblBatidas[Início vinculado],0)),"")</f>
        <v/>
      </c>
      <c r="M348" t="str">
        <f>IFERROR(INDEX(tblPessoas[Base],MATCH(E348,tblPessoas[ID],0)),"")</f>
        <v>Hora</v>
      </c>
      <c r="N348" s="3">
        <f>IFERROR(IF(D348="DIA ÚTIL",INDEX(tblPessoas[R$/h útil],MATCH(E348,tblPessoas[ID],0)),INDEX(tblPessoas[R$/h FDS],MATCH(E348,tblPessoas[ID],0))),0)</f>
        <v>23.5</v>
      </c>
      <c r="O348" s="3">
        <f>IFERROR(INDEX(tblPessoas[R$/diária],MATCH(E348,tblPessoas[ID],0)),0)</f>
        <v>0</v>
      </c>
      <c r="P348" s="3" t="str">
        <f t="shared" si="22"/>
        <v/>
      </c>
      <c r="Q348" t="str">
        <f>IF(A348="","",IF(COUNTIF(tblBatidas[Início vinculado],"B"&amp;MID($A348,2,99))=0,"EM ABERTO",IF(OR(COUNTIF(tblBatidas[Início vinculado],"B"&amp;MID($A348,2,99))&gt;1,K348&lt;0,K348&gt;16,INT(INDEX(tblBatidas[Data e hora],MATCH("B"&amp;MID($A348,2,99),tblBatidas[Início vinculado],0)))&lt;&gt;B348,INDEX(tblBatidas[ID],MATCH("B"&amp;MID($A348,2,99),tblBatidas[Início vinculado],0))&lt;&gt;E348,INDEX(tblBatidas[Projeto],MATCH("B"&amp;MID($A348,2,99),tblBatidas[Início vinculado],0))&lt;&gt;G348,INDEX(tblBatidas[Atividade],MATCH("B"&amp;MID($A348,2,99),tblBatidas[Início vinculado],0))&lt;&gt;H348),"REVISAR","CONCLUÍDO")))</f>
        <v>EM ABERTO</v>
      </c>
      <c r="R348">
        <f>IF(Q348&lt;&gt;"CONCLUÍDO",0,IF(COUNTIFS($E$5:E348,E348,$B$5:B348,B348,$Q$5:Q348,"CONCLUÍDO")=1,1,0))</f>
        <v>0</v>
      </c>
      <c r="S348" t="str">
        <f t="shared" si="23"/>
        <v>yyyy-09</v>
      </c>
      <c r="T348">
        <f>IF(E348="","",E348*100000+COUNTIFS(tblRegistros[ID],E348,tblRegistros[Data],"&lt;"&amp;B348)+COUNTIFS(tblRegistros[ID],E348,tblRegistros[Data],B348,tblRegistros[Início],"&lt;"&amp;I348)+COUNTIFS($E$5:E348,E348,$B$5:B348,B348,$I$5:I348,I348))</f>
        <v>100200025</v>
      </c>
    </row>
    <row r="349" spans="1:20">
      <c r="A349" t="s">
        <v>440</v>
      </c>
      <c r="B349" s="2">
        <f>IFERROR(INT(INDEX(tblBatidas[Data e hora],MATCH("B"&amp;MID($A349,2,99),tblBatidas[Batida ID],0))),"")</f>
        <v>46281</v>
      </c>
      <c r="C349" t="str">
        <f t="shared" si="20"/>
        <v>QUARTA-FEIRA</v>
      </c>
      <c r="D349" t="str">
        <f t="shared" si="21"/>
        <v>DIA ÚTIL</v>
      </c>
      <c r="E349">
        <f>IFERROR(INDEX(tblBatidas[ID],MATCH("B"&amp;MID($A349,2,99),tblBatidas[Batida ID],0)),"")</f>
        <v>1011</v>
      </c>
      <c r="F349" t="str">
        <f>IFERROR(INDEX(tblPessoas[Pessoa],MATCH(E349,tblPessoas[ID],0)),"")</f>
        <v>Nathalia Arruda</v>
      </c>
      <c r="G349" t="str">
        <f>IFERROR(INDEX(tblBatidas[Projeto],MATCH("B"&amp;MID($A349,2,99),tblBatidas[Batida ID],0)),"")</f>
        <v>OTEMPO</v>
      </c>
      <c r="H349" t="str">
        <f>IFERROR(INDEX(tblBatidas[Atividade],MATCH("B"&amp;MID($A349,2,99),tblBatidas[Batida ID],0)),"")</f>
        <v>ANÁLISE</v>
      </c>
      <c r="I349" s="4">
        <f>IFERROR(MOD(INDEX(tblBatidas[Data e hora],MATCH("B"&amp;MID($A349,2,99),tblBatidas[Batida ID],0)),1),"")</f>
        <v>0.53910879629984265</v>
      </c>
      <c r="J349" s="4">
        <f>IFERROR(MOD(INDEX(tblBatidas[Data e hora],MATCH("B"&amp;MID($A349,2,99),tblBatidas[Início vinculado],0)),1),"")</f>
        <v>0.74574074074189411</v>
      </c>
      <c r="K349" s="14">
        <f>IFERROR((INDEX(tblBatidas[Data e hora],MATCH("B"&amp;MID($A349,2,99),tblBatidas[Início vinculado],0))-INDEX(tblBatidas[Data e hora],MATCH("B"&amp;MID($A349,2,99),tblBatidas[Batida ID],0)))*24,"")</f>
        <v>4.9591666666092351</v>
      </c>
      <c r="L349">
        <f>IFERROR(INDEX(tblBatidas[Observação],MATCH("B"&amp;MID($A349,2,99),tblBatidas[Início vinculado],0)),"")</f>
        <v>0</v>
      </c>
      <c r="M349" t="str">
        <f>IFERROR(INDEX(tblPessoas[Base],MATCH(E349,tblPessoas[ID],0)),"")</f>
        <v>Hora</v>
      </c>
      <c r="N349" s="3">
        <f>IFERROR(IF(D349="DIA ÚTIL",INDEX(tblPessoas[R$/h útil],MATCH(E349,tblPessoas[ID],0)),INDEX(tblPessoas[R$/h FDS],MATCH(E349,tblPessoas[ID],0))),0)</f>
        <v>23.5</v>
      </c>
      <c r="O349" s="3">
        <f>IFERROR(INDEX(tblPessoas[R$/diária],MATCH(E349,tblPessoas[ID],0)),0)</f>
        <v>0</v>
      </c>
      <c r="P349" s="3">
        <f t="shared" si="22"/>
        <v>116.54041666531703</v>
      </c>
      <c r="Q349" t="str">
        <f>IF(A349="","",IF(COUNTIF(tblBatidas[Início vinculado],"B"&amp;MID($A349,2,99))=0,"EM ABERTO",IF(OR(COUNTIF(tblBatidas[Início vinculado],"B"&amp;MID($A349,2,99))&gt;1,K349&lt;0,K349&gt;16,INT(INDEX(tblBatidas[Data e hora],MATCH("B"&amp;MID($A349,2,99),tblBatidas[Início vinculado],0)))&lt;&gt;B349,INDEX(tblBatidas[ID],MATCH("B"&amp;MID($A349,2,99),tblBatidas[Início vinculado],0))&lt;&gt;E349,INDEX(tblBatidas[Projeto],MATCH("B"&amp;MID($A349,2,99),tblBatidas[Início vinculado],0))&lt;&gt;G349,INDEX(tblBatidas[Atividade],MATCH("B"&amp;MID($A349,2,99),tblBatidas[Início vinculado],0))&lt;&gt;H349),"REVISAR","CONCLUÍDO")))</f>
        <v>CONCLUÍDO</v>
      </c>
      <c r="R349">
        <f>IF(Q349&lt;&gt;"CONCLUÍDO",0,IF(COUNTIFS($E$5:E349,E349,$B$5:B349,B349,$Q$5:Q349,"CONCLUÍDO")=1,1,0))</f>
        <v>1</v>
      </c>
      <c r="S349" t="str">
        <f t="shared" si="23"/>
        <v>yyyy-09</v>
      </c>
      <c r="T349">
        <f>IF(E349="","",E349*100000+COUNTIFS(tblRegistros[ID],E349,tblRegistros[Data],"&lt;"&amp;B349)+COUNTIFS(tblRegistros[ID],E349,tblRegistros[Data],B349,tblRegistros[Início],"&lt;"&amp;I349)+COUNTIFS($E$5:E349,E349,$B$5:B349,B349,$I$5:I349,I349))</f>
        <v>101100033</v>
      </c>
    </row>
    <row r="350" spans="1:20">
      <c r="A350" t="s">
        <v>441</v>
      </c>
      <c r="B350" s="2">
        <f>IFERROR(INT(INDEX(tblBatidas[Data e hora],MATCH("B"&amp;MID($A350,2,99),tblBatidas[Batida ID],0))),"")</f>
        <v>46281</v>
      </c>
      <c r="C350" t="str">
        <f t="shared" si="20"/>
        <v>QUARTA-FEIRA</v>
      </c>
      <c r="D350" t="str">
        <f t="shared" si="21"/>
        <v>DIA ÚTIL</v>
      </c>
      <c r="E350">
        <f>IFERROR(INDEX(tblBatidas[ID],MATCH("B"&amp;MID($A350,2,99),tblBatidas[Batida ID],0)),"")</f>
        <v>1002</v>
      </c>
      <c r="F350" t="str">
        <f>IFERROR(INDEX(tblPessoas[Pessoa],MATCH(E350,tblPessoas[ID],0)),"")</f>
        <v>Alex de Almeida Mariano</v>
      </c>
      <c r="G350" t="str">
        <f>IFERROR(INDEX(tblBatidas[Projeto],MATCH("B"&amp;MID($A350,2,99),tblBatidas[Batida ID],0)),"")</f>
        <v>CFI / ACCION</v>
      </c>
      <c r="H350" t="str">
        <f>IFERROR(INDEX(tblBatidas[Atividade],MATCH("B"&amp;MID($A350,2,99),tblBatidas[Batida ID],0)),"")</f>
        <v>ANÁLISE</v>
      </c>
      <c r="I350" s="4">
        <f>IFERROR(MOD(INDEX(tblBatidas[Data e hora],MATCH("B"&amp;MID($A350,2,99),tblBatidas[Batida ID],0)),1),"")</f>
        <v>0.74942129629926058</v>
      </c>
      <c r="J350" s="4" t="str">
        <f>IFERROR(MOD(INDEX(tblBatidas[Data e hora],MATCH("B"&amp;MID($A350,2,99),tblBatidas[Início vinculado],0)),1),"")</f>
        <v/>
      </c>
      <c r="K350" s="14" t="str">
        <f>IFERROR((INDEX(tblBatidas[Data e hora],MATCH("B"&amp;MID($A350,2,99),tblBatidas[Início vinculado],0))-INDEX(tblBatidas[Data e hora],MATCH("B"&amp;MID($A350,2,99),tblBatidas[Batida ID],0)))*24,"")</f>
        <v/>
      </c>
      <c r="L350" t="str">
        <f>IFERROR(INDEX(tblBatidas[Observação],MATCH("B"&amp;MID($A350,2,99),tblBatidas[Início vinculado],0)),"")</f>
        <v/>
      </c>
      <c r="M350" t="str">
        <f>IFERROR(INDEX(tblPessoas[Base],MATCH(E350,tblPessoas[ID],0)),"")</f>
        <v>Hora</v>
      </c>
      <c r="N350" s="3">
        <f>IFERROR(IF(D350="DIA ÚTIL",INDEX(tblPessoas[R$/h útil],MATCH(E350,tblPessoas[ID],0)),INDEX(tblPessoas[R$/h FDS],MATCH(E350,tblPessoas[ID],0))),0)</f>
        <v>23.5</v>
      </c>
      <c r="O350" s="3">
        <f>IFERROR(INDEX(tblPessoas[R$/diária],MATCH(E350,tblPessoas[ID],0)),0)</f>
        <v>0</v>
      </c>
      <c r="P350" s="3" t="str">
        <f t="shared" si="22"/>
        <v/>
      </c>
      <c r="Q350" t="str">
        <f>IF(A350="","",IF(COUNTIF(tblBatidas[Início vinculado],"B"&amp;MID($A350,2,99))=0,"EM ABERTO",IF(OR(COUNTIF(tblBatidas[Início vinculado],"B"&amp;MID($A350,2,99))&gt;1,K350&lt;0,K350&gt;16,INT(INDEX(tblBatidas[Data e hora],MATCH("B"&amp;MID($A350,2,99),tblBatidas[Início vinculado],0)))&lt;&gt;B350,INDEX(tblBatidas[ID],MATCH("B"&amp;MID($A350,2,99),tblBatidas[Início vinculado],0))&lt;&gt;E350,INDEX(tblBatidas[Projeto],MATCH("B"&amp;MID($A350,2,99),tblBatidas[Início vinculado],0))&lt;&gt;G350,INDEX(tblBatidas[Atividade],MATCH("B"&amp;MID($A350,2,99),tblBatidas[Início vinculado],0))&lt;&gt;H350),"REVISAR","CONCLUÍDO")))</f>
        <v>EM ABERTO</v>
      </c>
      <c r="R350">
        <f>IF(Q350&lt;&gt;"CONCLUÍDO",0,IF(COUNTIFS($E$5:E350,E350,$B$5:B350,B350,$Q$5:Q350,"CONCLUÍDO")=1,1,0))</f>
        <v>0</v>
      </c>
      <c r="S350" t="str">
        <f t="shared" si="23"/>
        <v>yyyy-09</v>
      </c>
      <c r="T350">
        <f>IF(E350="","",E350*100000+COUNTIFS(tblRegistros[ID],E350,tblRegistros[Data],"&lt;"&amp;B350)+COUNTIFS(tblRegistros[ID],E350,tblRegistros[Data],B350,tblRegistros[Início],"&lt;"&amp;I350)+COUNTIFS($E$5:E350,E350,$B$5:B350,B350,$I$5:I350,I350))</f>
        <v>100200026</v>
      </c>
    </row>
    <row r="351" spans="1:20">
      <c r="A351" t="s">
        <v>442</v>
      </c>
      <c r="B351" s="2">
        <f>IFERROR(INT(INDEX(tblBatidas[Data e hora],MATCH("B"&amp;MID($A351,2,99),tblBatidas[Batida ID],0))),"")</f>
        <v>46282</v>
      </c>
      <c r="C351" t="str">
        <f t="shared" si="20"/>
        <v>QUINTA-FEIRA</v>
      </c>
      <c r="D351" t="str">
        <f t="shared" si="21"/>
        <v>DIA ÚTIL</v>
      </c>
      <c r="E351">
        <f>IFERROR(INDEX(tblBatidas[ID],MATCH("B"&amp;MID($A351,2,99),tblBatidas[Batida ID],0)),"")</f>
        <v>1003</v>
      </c>
      <c r="F351" t="str">
        <f>IFERROR(INDEX(tblPessoas[Pessoa],MATCH(E351,tblPessoas[ID],0)),"")</f>
        <v>Amanda do Carmo Ribeiro</v>
      </c>
      <c r="G351" t="str">
        <f>IFERROR(INDEX(tblBatidas[Projeto],MATCH("B"&amp;MID($A351,2,99),tblBatidas[Batida ID],0)),"")</f>
        <v>TOOLKIT</v>
      </c>
      <c r="H351" t="str">
        <f>IFERROR(INDEX(tblBatidas[Atividade],MATCH("B"&amp;MID($A351,2,99),tblBatidas[Batida ID],0)),"")</f>
        <v>ANÁLISE</v>
      </c>
      <c r="I351" s="4">
        <f>IFERROR(MOD(INDEX(tblBatidas[Data e hora],MATCH("B"&amp;MID($A351,2,99),tblBatidas[Batida ID],0)),1),"")</f>
        <v>0.33125000000291038</v>
      </c>
      <c r="J351" s="4" t="str">
        <f>IFERROR(MOD(INDEX(tblBatidas[Data e hora],MATCH("B"&amp;MID($A351,2,99),tblBatidas[Início vinculado],0)),1),"")</f>
        <v/>
      </c>
      <c r="K351" s="14" t="str">
        <f>IFERROR((INDEX(tblBatidas[Data e hora],MATCH("B"&amp;MID($A351,2,99),tblBatidas[Início vinculado],0))-INDEX(tblBatidas[Data e hora],MATCH("B"&amp;MID($A351,2,99),tblBatidas[Batida ID],0)))*24,"")</f>
        <v/>
      </c>
      <c r="L351" t="str">
        <f>IFERROR(INDEX(tblBatidas[Observação],MATCH("B"&amp;MID($A351,2,99),tblBatidas[Início vinculado],0)),"")</f>
        <v/>
      </c>
      <c r="M351" t="str">
        <f>IFERROR(INDEX(tblPessoas[Base],MATCH(E351,tblPessoas[ID],0)),"")</f>
        <v>Hora</v>
      </c>
      <c r="N351" s="3">
        <f>IFERROR(IF(D351="DIA ÚTIL",INDEX(tblPessoas[R$/h útil],MATCH(E351,tblPessoas[ID],0)),INDEX(tblPessoas[R$/h FDS],MATCH(E351,tblPessoas[ID],0))),0)</f>
        <v>23.5</v>
      </c>
      <c r="O351" s="3">
        <f>IFERROR(INDEX(tblPessoas[R$/diária],MATCH(E351,tblPessoas[ID],0)),0)</f>
        <v>0</v>
      </c>
      <c r="P351" s="3" t="str">
        <f t="shared" si="22"/>
        <v/>
      </c>
      <c r="Q351" t="str">
        <f>IF(A351="","",IF(COUNTIF(tblBatidas[Início vinculado],"B"&amp;MID($A351,2,99))=0,"EM ABERTO",IF(OR(COUNTIF(tblBatidas[Início vinculado],"B"&amp;MID($A351,2,99))&gt;1,K351&lt;0,K351&gt;16,INT(INDEX(tblBatidas[Data e hora],MATCH("B"&amp;MID($A351,2,99),tblBatidas[Início vinculado],0)))&lt;&gt;B351,INDEX(tblBatidas[ID],MATCH("B"&amp;MID($A351,2,99),tblBatidas[Início vinculado],0))&lt;&gt;E351,INDEX(tblBatidas[Projeto],MATCH("B"&amp;MID($A351,2,99),tblBatidas[Início vinculado],0))&lt;&gt;G351,INDEX(tblBatidas[Atividade],MATCH("B"&amp;MID($A351,2,99),tblBatidas[Início vinculado],0))&lt;&gt;H351),"REVISAR","CONCLUÍDO")))</f>
        <v>EM ABERTO</v>
      </c>
      <c r="R351">
        <f>IF(Q351&lt;&gt;"CONCLUÍDO",0,IF(COUNTIFS($E$5:E351,E351,$B$5:B351,B351,$Q$5:Q351,"CONCLUÍDO")=1,1,0))</f>
        <v>0</v>
      </c>
      <c r="S351" t="str">
        <f t="shared" si="23"/>
        <v>yyyy-09</v>
      </c>
      <c r="T351">
        <f>IF(E351="","",E351*100000+COUNTIFS(tblRegistros[ID],E351,tblRegistros[Data],"&lt;"&amp;B351)+COUNTIFS(tblRegistros[ID],E351,tblRegistros[Data],B351,tblRegistros[Início],"&lt;"&amp;I351)+COUNTIFS($E$5:E351,E351,$B$5:B351,B351,$I$5:I351,I351))</f>
        <v>100300037</v>
      </c>
    </row>
    <row r="352" spans="1:20">
      <c r="A352" t="s">
        <v>443</v>
      </c>
      <c r="B352" s="2">
        <f>IFERROR(INT(INDEX(tblBatidas[Data e hora],MATCH("B"&amp;MID($A352,2,99),tblBatidas[Batida ID],0))),"")</f>
        <v>46282</v>
      </c>
      <c r="C352" t="str">
        <f t="shared" si="20"/>
        <v>QUINTA-FEIRA</v>
      </c>
      <c r="D352" t="str">
        <f t="shared" si="21"/>
        <v>DIA ÚTIL</v>
      </c>
      <c r="E352">
        <f>IFERROR(INDEX(tblBatidas[ID],MATCH("B"&amp;MID($A352,2,99),tblBatidas[Batida ID],0)),"")</f>
        <v>1011</v>
      </c>
      <c r="F352" t="str">
        <f>IFERROR(INDEX(tblPessoas[Pessoa],MATCH(E352,tblPessoas[ID],0)),"")</f>
        <v>Nathalia Arruda</v>
      </c>
      <c r="G352" t="str">
        <f>IFERROR(INDEX(tblBatidas[Projeto],MATCH("B"&amp;MID($A352,2,99),tblBatidas[Batida ID],0)),"")</f>
        <v>OTEMPO</v>
      </c>
      <c r="H352" t="str">
        <f>IFERROR(INDEX(tblBatidas[Atividade],MATCH("B"&amp;MID($A352,2,99),tblBatidas[Batida ID],0)),"")</f>
        <v>ANÁLISE</v>
      </c>
      <c r="I352" s="4">
        <f>IFERROR(MOD(INDEX(tblBatidas[Data e hora],MATCH("B"&amp;MID($A352,2,99),tblBatidas[Batida ID],0)),1),"")</f>
        <v>0.33814814814832062</v>
      </c>
      <c r="J352" s="4" t="str">
        <f>IFERROR(MOD(INDEX(tblBatidas[Data e hora],MATCH("B"&amp;MID($A352,2,99),tblBatidas[Início vinculado],0)),1),"")</f>
        <v/>
      </c>
      <c r="K352" s="14" t="str">
        <f>IFERROR((INDEX(tblBatidas[Data e hora],MATCH("B"&amp;MID($A352,2,99),tblBatidas[Início vinculado],0))-INDEX(tblBatidas[Data e hora],MATCH("B"&amp;MID($A352,2,99),tblBatidas[Batida ID],0)))*24,"")</f>
        <v/>
      </c>
      <c r="L352" t="str">
        <f>IFERROR(INDEX(tblBatidas[Observação],MATCH("B"&amp;MID($A352,2,99),tblBatidas[Início vinculado],0)),"")</f>
        <v/>
      </c>
      <c r="M352" t="str">
        <f>IFERROR(INDEX(tblPessoas[Base],MATCH(E352,tblPessoas[ID],0)),"")</f>
        <v>Hora</v>
      </c>
      <c r="N352" s="3">
        <f>IFERROR(IF(D352="DIA ÚTIL",INDEX(tblPessoas[R$/h útil],MATCH(E352,tblPessoas[ID],0)),INDEX(tblPessoas[R$/h FDS],MATCH(E352,tblPessoas[ID],0))),0)</f>
        <v>23.5</v>
      </c>
      <c r="O352" s="3">
        <f>IFERROR(INDEX(tblPessoas[R$/diária],MATCH(E352,tblPessoas[ID],0)),0)</f>
        <v>0</v>
      </c>
      <c r="P352" s="3" t="str">
        <f t="shared" si="22"/>
        <v/>
      </c>
      <c r="Q352" t="str">
        <f>IF(A352="","",IF(COUNTIF(tblBatidas[Início vinculado],"B"&amp;MID($A352,2,99))=0,"EM ABERTO",IF(OR(COUNTIF(tblBatidas[Início vinculado],"B"&amp;MID($A352,2,99))&gt;1,K352&lt;0,K352&gt;16,INT(INDEX(tblBatidas[Data e hora],MATCH("B"&amp;MID($A352,2,99),tblBatidas[Início vinculado],0)))&lt;&gt;B352,INDEX(tblBatidas[ID],MATCH("B"&amp;MID($A352,2,99),tblBatidas[Início vinculado],0))&lt;&gt;E352,INDEX(tblBatidas[Projeto],MATCH("B"&amp;MID($A352,2,99),tblBatidas[Início vinculado],0))&lt;&gt;G352,INDEX(tblBatidas[Atividade],MATCH("B"&amp;MID($A352,2,99),tblBatidas[Início vinculado],0))&lt;&gt;H352),"REVISAR","CONCLUÍDO")))</f>
        <v>EM ABERTO</v>
      </c>
      <c r="R352">
        <f>IF(Q352&lt;&gt;"CONCLUÍDO",0,IF(COUNTIFS($E$5:E352,E352,$B$5:B352,B352,$Q$5:Q352,"CONCLUÍDO")=1,1,0))</f>
        <v>0</v>
      </c>
      <c r="S352" t="str">
        <f t="shared" si="23"/>
        <v>yyyy-09</v>
      </c>
      <c r="T352">
        <f>IF(E352="","",E352*100000+COUNTIFS(tblRegistros[ID],E352,tblRegistros[Data],"&lt;"&amp;B352)+COUNTIFS(tblRegistros[ID],E352,tblRegistros[Data],B352,tblRegistros[Início],"&lt;"&amp;I352)+COUNTIFS($E$5:E352,E352,$B$5:B352,B352,$I$5:I352,I352))</f>
        <v>101100034</v>
      </c>
    </row>
    <row r="353" spans="1:20">
      <c r="A353" t="s">
        <v>444</v>
      </c>
      <c r="B353" s="2">
        <f>IFERROR(INT(INDEX(tblBatidas[Data e hora],MATCH("B"&amp;MID($A353,2,99),tblBatidas[Batida ID],0))),"")</f>
        <v>46282</v>
      </c>
      <c r="C353" t="str">
        <f t="shared" si="20"/>
        <v>QUINTA-FEIRA</v>
      </c>
      <c r="D353" t="str">
        <f t="shared" si="21"/>
        <v>DIA ÚTIL</v>
      </c>
      <c r="E353">
        <f>IFERROR(INDEX(tblBatidas[ID],MATCH("B"&amp;MID($A353,2,99),tblBatidas[Batida ID],0)),"")</f>
        <v>1013</v>
      </c>
      <c r="F353" t="str">
        <f>IFERROR(INDEX(tblPessoas[Pessoa],MATCH(E353,tblPessoas[ID],0)),"")</f>
        <v>Rafaela Maria Resende Lara</v>
      </c>
      <c r="G353" t="str">
        <f>IFERROR(INDEX(tblBatidas[Projeto],MATCH("B"&amp;MID($A353,2,99),tblBatidas[Batida ID],0)),"")</f>
        <v>TOOLKIT</v>
      </c>
      <c r="H353" t="str">
        <f>IFERROR(INDEX(tblBatidas[Atividade],MATCH("B"&amp;MID($A353,2,99),tblBatidas[Batida ID],0)),"")</f>
        <v>ANÁLISE</v>
      </c>
      <c r="I353" s="4">
        <f>IFERROR(MOD(INDEX(tblBatidas[Data e hora],MATCH("B"&amp;MID($A353,2,99),tblBatidas[Batida ID],0)),1),"")</f>
        <v>0.34813657407357823</v>
      </c>
      <c r="J353" s="4" t="str">
        <f>IFERROR(MOD(INDEX(tblBatidas[Data e hora],MATCH("B"&amp;MID($A353,2,99),tblBatidas[Início vinculado],0)),1),"")</f>
        <v/>
      </c>
      <c r="K353" s="14" t="str">
        <f>IFERROR((INDEX(tblBatidas[Data e hora],MATCH("B"&amp;MID($A353,2,99),tblBatidas[Início vinculado],0))-INDEX(tblBatidas[Data e hora],MATCH("B"&amp;MID($A353,2,99),tblBatidas[Batida ID],0)))*24,"")</f>
        <v/>
      </c>
      <c r="L353" t="str">
        <f>IFERROR(INDEX(tblBatidas[Observação],MATCH("B"&amp;MID($A353,2,99),tblBatidas[Início vinculado],0)),"")</f>
        <v/>
      </c>
      <c r="M353" t="str">
        <f>IFERROR(INDEX(tblPessoas[Base],MATCH(E353,tblPessoas[ID],0)),"")</f>
        <v>Hora</v>
      </c>
      <c r="N353" s="3">
        <f>IFERROR(IF(D353="DIA ÚTIL",INDEX(tblPessoas[R$/h útil],MATCH(E353,tblPessoas[ID],0)),INDEX(tblPessoas[R$/h FDS],MATCH(E353,tblPessoas[ID],0))),0)</f>
        <v>23.5</v>
      </c>
      <c r="O353" s="3">
        <f>IFERROR(INDEX(tblPessoas[R$/diária],MATCH(E353,tblPessoas[ID],0)),0)</f>
        <v>0</v>
      </c>
      <c r="P353" s="3" t="str">
        <f t="shared" si="22"/>
        <v/>
      </c>
      <c r="Q353" t="str">
        <f>IF(A353="","",IF(COUNTIF(tblBatidas[Início vinculado],"B"&amp;MID($A353,2,99))=0,"EM ABERTO",IF(OR(COUNTIF(tblBatidas[Início vinculado],"B"&amp;MID($A353,2,99))&gt;1,K353&lt;0,K353&gt;16,INT(INDEX(tblBatidas[Data e hora],MATCH("B"&amp;MID($A353,2,99),tblBatidas[Início vinculado],0)))&lt;&gt;B353,INDEX(tblBatidas[ID],MATCH("B"&amp;MID($A353,2,99),tblBatidas[Início vinculado],0))&lt;&gt;E353,INDEX(tblBatidas[Projeto],MATCH("B"&amp;MID($A353,2,99),tblBatidas[Início vinculado],0))&lt;&gt;G353,INDEX(tblBatidas[Atividade],MATCH("B"&amp;MID($A353,2,99),tblBatidas[Início vinculado],0))&lt;&gt;H353),"REVISAR","CONCLUÍDO")))</f>
        <v>EM ABERTO</v>
      </c>
      <c r="R353">
        <f>IF(Q353&lt;&gt;"CONCLUÍDO",0,IF(COUNTIFS($E$5:E353,E353,$B$5:B353,B353,$Q$5:Q353,"CONCLUÍDO")=1,1,0))</f>
        <v>0</v>
      </c>
      <c r="S353" t="str">
        <f t="shared" si="23"/>
        <v>yyyy-09</v>
      </c>
      <c r="T353">
        <f>IF(E353="","",E353*100000+COUNTIFS(tblRegistros[ID],E353,tblRegistros[Data],"&lt;"&amp;B353)+COUNTIFS(tblRegistros[ID],E353,tblRegistros[Data],B353,tblRegistros[Início],"&lt;"&amp;I353)+COUNTIFS($E$5:E353,E353,$B$5:B353,B353,$I$5:I353,I353))</f>
        <v>101300035</v>
      </c>
    </row>
    <row r="354" spans="1:20">
      <c r="A354" t="s">
        <v>445</v>
      </c>
      <c r="B354" s="2">
        <f>IFERROR(INT(INDEX(tblBatidas[Data e hora],MATCH("B"&amp;MID($A354,2,99),tblBatidas[Batida ID],0))),"")</f>
        <v>46282</v>
      </c>
      <c r="C354" t="str">
        <f t="shared" si="20"/>
        <v>QUINTA-FEIRA</v>
      </c>
      <c r="D354" t="str">
        <f t="shared" si="21"/>
        <v>DIA ÚTIL</v>
      </c>
      <c r="E354">
        <f>IFERROR(INDEX(tblBatidas[ID],MATCH("B"&amp;MID($A354,2,99),tblBatidas[Batida ID],0)),"")</f>
        <v>1002</v>
      </c>
      <c r="F354" t="str">
        <f>IFERROR(INDEX(tblPessoas[Pessoa],MATCH(E354,tblPessoas[ID],0)),"")</f>
        <v>Alex de Almeida Mariano</v>
      </c>
      <c r="G354" t="str">
        <f>IFERROR(INDEX(tblBatidas[Projeto],MATCH("B"&amp;MID($A354,2,99),tblBatidas[Batida ID],0)),"")</f>
        <v>CFI / ACCION</v>
      </c>
      <c r="H354" t="str">
        <f>IFERROR(INDEX(tblBatidas[Atividade],MATCH("B"&amp;MID($A354,2,99),tblBatidas[Batida ID],0)),"")</f>
        <v>ANÁLISE</v>
      </c>
      <c r="I354" s="4">
        <f>IFERROR(MOD(INDEX(tblBatidas[Data e hora],MATCH("B"&amp;MID($A354,2,99),tblBatidas[Batida ID],0)),1),"")</f>
        <v>0.35723379629780538</v>
      </c>
      <c r="J354" s="4">
        <f>IFERROR(MOD(INDEX(tblBatidas[Data e hora],MATCH("B"&amp;MID($A354,2,99),tblBatidas[Início vinculado],0)),1),"")</f>
        <v>0.50310185184935108</v>
      </c>
      <c r="K354" s="14">
        <f>IFERROR((INDEX(tblBatidas[Data e hora],MATCH("B"&amp;MID($A354,2,99),tblBatidas[Início vinculado],0))-INDEX(tblBatidas[Data e hora],MATCH("B"&amp;MID($A354,2,99),tblBatidas[Batida ID],0)))*24,"")</f>
        <v>3.5008333332370967</v>
      </c>
      <c r="L354">
        <f>IFERROR(INDEX(tblBatidas[Observação],MATCH("B"&amp;MID($A354,2,99),tblBatidas[Início vinculado],0)),"")</f>
        <v>0</v>
      </c>
      <c r="M354" t="str">
        <f>IFERROR(INDEX(tblPessoas[Base],MATCH(E354,tblPessoas[ID],0)),"")</f>
        <v>Hora</v>
      </c>
      <c r="N354" s="3">
        <f>IFERROR(IF(D354="DIA ÚTIL",INDEX(tblPessoas[R$/h útil],MATCH(E354,tblPessoas[ID],0)),INDEX(tblPessoas[R$/h FDS],MATCH(E354,tblPessoas[ID],0))),0)</f>
        <v>23.5</v>
      </c>
      <c r="O354" s="3">
        <f>IFERROR(INDEX(tblPessoas[R$/diária],MATCH(E354,tblPessoas[ID],0)),0)</f>
        <v>0</v>
      </c>
      <c r="P354" s="3">
        <f t="shared" si="22"/>
        <v>82.269583331071772</v>
      </c>
      <c r="Q354" t="str">
        <f>IF(A354="","",IF(COUNTIF(tblBatidas[Início vinculado],"B"&amp;MID($A354,2,99))=0,"EM ABERTO",IF(OR(COUNTIF(tblBatidas[Início vinculado],"B"&amp;MID($A354,2,99))&gt;1,K354&lt;0,K354&gt;16,INT(INDEX(tblBatidas[Data e hora],MATCH("B"&amp;MID($A354,2,99),tblBatidas[Início vinculado],0)))&lt;&gt;B354,INDEX(tblBatidas[ID],MATCH("B"&amp;MID($A354,2,99),tblBatidas[Início vinculado],0))&lt;&gt;E354,INDEX(tblBatidas[Projeto],MATCH("B"&amp;MID($A354,2,99),tblBatidas[Início vinculado],0))&lt;&gt;G354,INDEX(tblBatidas[Atividade],MATCH("B"&amp;MID($A354,2,99),tblBatidas[Início vinculado],0))&lt;&gt;H354),"REVISAR","CONCLUÍDO")))</f>
        <v>CONCLUÍDO</v>
      </c>
      <c r="R354">
        <f>IF(Q354&lt;&gt;"CONCLUÍDO",0,IF(COUNTIFS($E$5:E354,E354,$B$5:B354,B354,$Q$5:Q354,"CONCLUÍDO")=1,1,0))</f>
        <v>1</v>
      </c>
      <c r="S354" t="str">
        <f t="shared" si="23"/>
        <v>yyyy-09</v>
      </c>
      <c r="T354">
        <f>IF(E354="","",E354*100000+COUNTIFS(tblRegistros[ID],E354,tblRegistros[Data],"&lt;"&amp;B354)+COUNTIFS(tblRegistros[ID],E354,tblRegistros[Data],B354,tblRegistros[Início],"&lt;"&amp;I354)+COUNTIFS($E$5:E354,E354,$B$5:B354,B354,$I$5:I354,I354))</f>
        <v>100200027</v>
      </c>
    </row>
    <row r="355" spans="1:20">
      <c r="A355" t="s">
        <v>446</v>
      </c>
      <c r="B355" s="2">
        <f>IFERROR(INT(INDEX(tblBatidas[Data e hora],MATCH("B"&amp;MID($A355,2,99),tblBatidas[Batida ID],0))),"")</f>
        <v>46282</v>
      </c>
      <c r="C355" t="str">
        <f t="shared" si="20"/>
        <v>QUINTA-FEIRA</v>
      </c>
      <c r="D355" t="str">
        <f t="shared" si="21"/>
        <v>DIA ÚTIL</v>
      </c>
      <c r="E355">
        <f>IFERROR(INDEX(tblBatidas[ID],MATCH("B"&amp;MID($A355,2,99),tblBatidas[Batida ID],0)),"")</f>
        <v>1003</v>
      </c>
      <c r="F355" t="str">
        <f>IFERROR(INDEX(tblPessoas[Pessoa],MATCH(E355,tblPessoas[ID],0)),"")</f>
        <v>Amanda do Carmo Ribeiro</v>
      </c>
      <c r="G355" t="str">
        <f>IFERROR(INDEX(tblBatidas[Projeto],MATCH("B"&amp;MID($A355,2,99),tblBatidas[Batida ID],0)),"")</f>
        <v>OTEMPO</v>
      </c>
      <c r="H355" t="str">
        <f>IFERROR(INDEX(tblBatidas[Atividade],MATCH("B"&amp;MID($A355,2,99),tblBatidas[Batida ID],0)),"")</f>
        <v>ANÁLISE</v>
      </c>
      <c r="I355" s="4">
        <f>IFERROR(MOD(INDEX(tblBatidas[Data e hora],MATCH("B"&amp;MID($A355,2,99),tblBatidas[Batida ID],0)),1),"")</f>
        <v>0.53688657407474238</v>
      </c>
      <c r="J355" s="4">
        <f>IFERROR(MOD(INDEX(tblBatidas[Data e hora],MATCH("B"&amp;MID($A355,2,99),tblBatidas[Início vinculado],0)),1),"")</f>
        <v>0.75025462963094469</v>
      </c>
      <c r="K355" s="14">
        <f>IFERROR((INDEX(tblBatidas[Data e hora],MATCH("B"&amp;MID($A355,2,99),tblBatidas[Início vinculado],0))-INDEX(tblBatidas[Data e hora],MATCH("B"&amp;MID($A355,2,99),tblBatidas[Batida ID],0)))*24,"")</f>
        <v>5.1208333333488554</v>
      </c>
      <c r="L355">
        <f>IFERROR(INDEX(tblBatidas[Observação],MATCH("B"&amp;MID($A355,2,99),tblBatidas[Início vinculado],0)),"")</f>
        <v>0</v>
      </c>
      <c r="M355" t="str">
        <f>IFERROR(INDEX(tblPessoas[Base],MATCH(E355,tblPessoas[ID],0)),"")</f>
        <v>Hora</v>
      </c>
      <c r="N355" s="3">
        <f>IFERROR(IF(D355="DIA ÚTIL",INDEX(tblPessoas[R$/h útil],MATCH(E355,tblPessoas[ID],0)),INDEX(tblPessoas[R$/h FDS],MATCH(E355,tblPessoas[ID],0))),0)</f>
        <v>23.5</v>
      </c>
      <c r="O355" s="3">
        <f>IFERROR(INDEX(tblPessoas[R$/diária],MATCH(E355,tblPessoas[ID],0)),0)</f>
        <v>0</v>
      </c>
      <c r="P355" s="3">
        <f t="shared" si="22"/>
        <v>120.3395833336981</v>
      </c>
      <c r="Q355" t="str">
        <f>IF(A355="","",IF(COUNTIF(tblBatidas[Início vinculado],"B"&amp;MID($A355,2,99))=0,"EM ABERTO",IF(OR(COUNTIF(tblBatidas[Início vinculado],"B"&amp;MID($A355,2,99))&gt;1,K355&lt;0,K355&gt;16,INT(INDEX(tblBatidas[Data e hora],MATCH("B"&amp;MID($A355,2,99),tblBatidas[Início vinculado],0)))&lt;&gt;B355,INDEX(tblBatidas[ID],MATCH("B"&amp;MID($A355,2,99),tblBatidas[Início vinculado],0))&lt;&gt;E355,INDEX(tblBatidas[Projeto],MATCH("B"&amp;MID($A355,2,99),tblBatidas[Início vinculado],0))&lt;&gt;G355,INDEX(tblBatidas[Atividade],MATCH("B"&amp;MID($A355,2,99),tblBatidas[Início vinculado],0))&lt;&gt;H355),"REVISAR","CONCLUÍDO")))</f>
        <v>CONCLUÍDO</v>
      </c>
      <c r="R355">
        <f>IF(Q355&lt;&gt;"CONCLUÍDO",0,IF(COUNTIFS($E$5:E355,E355,$B$5:B355,B355,$Q$5:Q355,"CONCLUÍDO")=1,1,0))</f>
        <v>1</v>
      </c>
      <c r="S355" t="str">
        <f t="shared" si="23"/>
        <v>yyyy-09</v>
      </c>
      <c r="T355">
        <f>IF(E355="","",E355*100000+COUNTIFS(tblRegistros[ID],E355,tblRegistros[Data],"&lt;"&amp;B355)+COUNTIFS(tblRegistros[ID],E355,tblRegistros[Data],B355,tblRegistros[Início],"&lt;"&amp;I355)+COUNTIFS($E$5:E355,E355,$B$5:B355,B355,$I$5:I355,I355))</f>
        <v>100300038</v>
      </c>
    </row>
    <row r="356" spans="1:20">
      <c r="A356" t="s">
        <v>447</v>
      </c>
      <c r="B356" s="2">
        <f>IFERROR(INT(INDEX(tblBatidas[Data e hora],MATCH("B"&amp;MID($A356,2,99),tblBatidas[Batida ID],0))),"")</f>
        <v>46282</v>
      </c>
      <c r="C356" t="str">
        <f t="shared" si="20"/>
        <v>QUINTA-FEIRA</v>
      </c>
      <c r="D356" t="str">
        <f t="shared" si="21"/>
        <v>DIA ÚTIL</v>
      </c>
      <c r="E356">
        <f>IFERROR(INDEX(tblBatidas[ID],MATCH("B"&amp;MID($A356,2,99),tblBatidas[Batida ID],0)),"")</f>
        <v>1013</v>
      </c>
      <c r="F356" t="str">
        <f>IFERROR(INDEX(tblPessoas[Pessoa],MATCH(E356,tblPessoas[ID],0)),"")</f>
        <v>Rafaela Maria Resende Lara</v>
      </c>
      <c r="G356" t="str">
        <f>IFERROR(INDEX(tblBatidas[Projeto],MATCH("B"&amp;MID($A356,2,99),tblBatidas[Batida ID],0)),"")</f>
        <v>OUTROS</v>
      </c>
      <c r="H356" t="str">
        <f>IFERROR(INDEX(tblBatidas[Atividade],MATCH("B"&amp;MID($A356,2,99),tblBatidas[Batida ID],0)),"")</f>
        <v>ANÁLISE</v>
      </c>
      <c r="I356" s="4">
        <f>IFERROR(MOD(INDEX(tblBatidas[Data e hora],MATCH("B"&amp;MID($A356,2,99),tblBatidas[Batida ID],0)),1),"")</f>
        <v>0.53740740740613546</v>
      </c>
      <c r="J356" s="4">
        <f>IFERROR(MOD(INDEX(tblBatidas[Data e hora],MATCH("B"&amp;MID($A356,2,99),tblBatidas[Início vinculado],0)),1),"")</f>
        <v>0.75064814814686542</v>
      </c>
      <c r="K356" s="14">
        <f>IFERROR((INDEX(tblBatidas[Data e hora],MATCH("B"&amp;MID($A356,2,99),tblBatidas[Início vinculado],0))-INDEX(tblBatidas[Data e hora],MATCH("B"&amp;MID($A356,2,99),tblBatidas[Batida ID],0)))*24,"")</f>
        <v>5.1177777777775191</v>
      </c>
      <c r="L356" t="str">
        <f>IFERROR(INDEX(tblBatidas[Observação],MATCH("B"&amp;MID($A356,2,99),tblBatidas[Início vinculado],0)),"")</f>
        <v>Educação financeira para Mulheres-BC</v>
      </c>
      <c r="M356" t="str">
        <f>IFERROR(INDEX(tblPessoas[Base],MATCH(E356,tblPessoas[ID],0)),"")</f>
        <v>Hora</v>
      </c>
      <c r="N356" s="3">
        <f>IFERROR(IF(D356="DIA ÚTIL",INDEX(tblPessoas[R$/h útil],MATCH(E356,tblPessoas[ID],0)),INDEX(tblPessoas[R$/h FDS],MATCH(E356,tblPessoas[ID],0))),0)</f>
        <v>23.5</v>
      </c>
      <c r="O356" s="3">
        <f>IFERROR(INDEX(tblPessoas[R$/diária],MATCH(E356,tblPessoas[ID],0)),0)</f>
        <v>0</v>
      </c>
      <c r="P356" s="3">
        <f t="shared" si="22"/>
        <v>120.2677777777717</v>
      </c>
      <c r="Q356" t="str">
        <f>IF(A356="","",IF(COUNTIF(tblBatidas[Início vinculado],"B"&amp;MID($A356,2,99))=0,"EM ABERTO",IF(OR(COUNTIF(tblBatidas[Início vinculado],"B"&amp;MID($A356,2,99))&gt;1,K356&lt;0,K356&gt;16,INT(INDEX(tblBatidas[Data e hora],MATCH("B"&amp;MID($A356,2,99),tblBatidas[Início vinculado],0)))&lt;&gt;B356,INDEX(tblBatidas[ID],MATCH("B"&amp;MID($A356,2,99),tblBatidas[Início vinculado],0))&lt;&gt;E356,INDEX(tblBatidas[Projeto],MATCH("B"&amp;MID($A356,2,99),tblBatidas[Início vinculado],0))&lt;&gt;G356,INDEX(tblBatidas[Atividade],MATCH("B"&amp;MID($A356,2,99),tblBatidas[Início vinculado],0))&lt;&gt;H356),"REVISAR","CONCLUÍDO")))</f>
        <v>CONCLUÍDO</v>
      </c>
      <c r="R356">
        <f>IF(Q356&lt;&gt;"CONCLUÍDO",0,IF(COUNTIFS($E$5:E356,E356,$B$5:B356,B356,$Q$5:Q356,"CONCLUÍDO")=1,1,0))</f>
        <v>1</v>
      </c>
      <c r="S356" t="str">
        <f t="shared" si="23"/>
        <v>yyyy-09</v>
      </c>
      <c r="T356">
        <f>IF(E356="","",E356*100000+COUNTIFS(tblRegistros[ID],E356,tblRegistros[Data],"&lt;"&amp;B356)+COUNTIFS(tblRegistros[ID],E356,tblRegistros[Data],B356,tblRegistros[Início],"&lt;"&amp;I356)+COUNTIFS($E$5:E356,E356,$B$5:B356,B356,$I$5:I356,I356))</f>
        <v>101300036</v>
      </c>
    </row>
    <row r="357" spans="1:20">
      <c r="A357" t="s">
        <v>448</v>
      </c>
      <c r="B357" s="2">
        <f>IFERROR(INT(INDEX(tblBatidas[Data e hora],MATCH("B"&amp;MID($A357,2,99),tblBatidas[Batida ID],0))),"")</f>
        <v>46282</v>
      </c>
      <c r="C357" t="str">
        <f t="shared" si="20"/>
        <v>QUINTA-FEIRA</v>
      </c>
      <c r="D357" t="str">
        <f t="shared" si="21"/>
        <v>DIA ÚTIL</v>
      </c>
      <c r="E357">
        <f>IFERROR(INDEX(tblBatidas[ID],MATCH("B"&amp;MID($A357,2,99),tblBatidas[Batida ID],0)),"")</f>
        <v>1011</v>
      </c>
      <c r="F357" t="str">
        <f>IFERROR(INDEX(tblPessoas[Pessoa],MATCH(E357,tblPessoas[ID],0)),"")</f>
        <v>Nathalia Arruda</v>
      </c>
      <c r="G357" t="str">
        <f>IFERROR(INDEX(tblBatidas[Projeto],MATCH("B"&amp;MID($A357,2,99),tblBatidas[Batida ID],0)),"")</f>
        <v>OTEMPO</v>
      </c>
      <c r="H357" t="str">
        <f>IFERROR(INDEX(tblBatidas[Atividade],MATCH("B"&amp;MID($A357,2,99),tblBatidas[Batida ID],0)),"")</f>
        <v>ANÁLISE</v>
      </c>
      <c r="I357" s="4">
        <f>IFERROR(MOD(INDEX(tblBatidas[Data e hora],MATCH("B"&amp;MID($A357,2,99),tblBatidas[Batida ID],0)),1),"")</f>
        <v>0.54118055555591127</v>
      </c>
      <c r="J357" s="4">
        <f>IFERROR(MOD(INDEX(tblBatidas[Data e hora],MATCH("B"&amp;MID($A357,2,99),tblBatidas[Início vinculado],0)),1),"")</f>
        <v>0.85612268518161727</v>
      </c>
      <c r="K357" s="14">
        <f>IFERROR((INDEX(tblBatidas[Data e hora],MATCH("B"&amp;MID($A357,2,99),tblBatidas[Início vinculado],0))-INDEX(tblBatidas[Data e hora],MATCH("B"&amp;MID($A357,2,99),tblBatidas[Batida ID],0)))*24,"")</f>
        <v>7.5586111110169441</v>
      </c>
      <c r="L357">
        <f>IFERROR(INDEX(tblBatidas[Observação],MATCH("B"&amp;MID($A357,2,99),tblBatidas[Início vinculado],0)),"")</f>
        <v>0</v>
      </c>
      <c r="M357" t="str">
        <f>IFERROR(INDEX(tblPessoas[Base],MATCH(E357,tblPessoas[ID],0)),"")</f>
        <v>Hora</v>
      </c>
      <c r="N357" s="3">
        <f>IFERROR(IF(D357="DIA ÚTIL",INDEX(tblPessoas[R$/h útil],MATCH(E357,tblPessoas[ID],0)),INDEX(tblPessoas[R$/h FDS],MATCH(E357,tblPessoas[ID],0))),0)</f>
        <v>23.5</v>
      </c>
      <c r="O357" s="3">
        <f>IFERROR(INDEX(tblPessoas[R$/diária],MATCH(E357,tblPessoas[ID],0)),0)</f>
        <v>0</v>
      </c>
      <c r="P357" s="3">
        <f t="shared" si="22"/>
        <v>177.62736110889819</v>
      </c>
      <c r="Q357" t="str">
        <f>IF(A357="","",IF(COUNTIF(tblBatidas[Início vinculado],"B"&amp;MID($A357,2,99))=0,"EM ABERTO",IF(OR(COUNTIF(tblBatidas[Início vinculado],"B"&amp;MID($A357,2,99))&gt;1,K357&lt;0,K357&gt;16,INT(INDEX(tblBatidas[Data e hora],MATCH("B"&amp;MID($A357,2,99),tblBatidas[Início vinculado],0)))&lt;&gt;B357,INDEX(tblBatidas[ID],MATCH("B"&amp;MID($A357,2,99),tblBatidas[Início vinculado],0))&lt;&gt;E357,INDEX(tblBatidas[Projeto],MATCH("B"&amp;MID($A357,2,99),tblBatidas[Início vinculado],0))&lt;&gt;G357,INDEX(tblBatidas[Atividade],MATCH("B"&amp;MID($A357,2,99),tblBatidas[Início vinculado],0))&lt;&gt;H357),"REVISAR","CONCLUÍDO")))</f>
        <v>CONCLUÍDO</v>
      </c>
      <c r="R357">
        <f>IF(Q357&lt;&gt;"CONCLUÍDO",0,IF(COUNTIFS($E$5:E357,E357,$B$5:B357,B357,$Q$5:Q357,"CONCLUÍDO")=1,1,0))</f>
        <v>1</v>
      </c>
      <c r="S357" t="str">
        <f t="shared" si="23"/>
        <v>yyyy-09</v>
      </c>
      <c r="T357">
        <f>IF(E357="","",E357*100000+COUNTIFS(tblRegistros[ID],E357,tblRegistros[Data],"&lt;"&amp;B357)+COUNTIFS(tblRegistros[ID],E357,tblRegistros[Data],B357,tblRegistros[Início],"&lt;"&amp;I357)+COUNTIFS($E$5:E357,E357,$B$5:B357,B357,$I$5:I357,I357))</f>
        <v>101100035</v>
      </c>
    </row>
    <row r="358" spans="1:20">
      <c r="A358" t="s">
        <v>449</v>
      </c>
      <c r="B358" s="2">
        <f>IFERROR(INT(INDEX(tblBatidas[Data e hora],MATCH("B"&amp;MID($A358,2,99),tblBatidas[Batida ID],0))),"")</f>
        <v>46282</v>
      </c>
      <c r="C358" t="str">
        <f t="shared" si="20"/>
        <v>QUINTA-FEIRA</v>
      </c>
      <c r="D358" t="str">
        <f t="shared" si="21"/>
        <v>DIA ÚTIL</v>
      </c>
      <c r="E358">
        <f>IFERROR(INDEX(tblBatidas[ID],MATCH("B"&amp;MID($A358,2,99),tblBatidas[Batida ID],0)),"")</f>
        <v>1002</v>
      </c>
      <c r="F358" t="str">
        <f>IFERROR(INDEX(tblPessoas[Pessoa],MATCH(E358,tblPessoas[ID],0)),"")</f>
        <v>Alex de Almeida Mariano</v>
      </c>
      <c r="G358" t="str">
        <f>IFERROR(INDEX(tblBatidas[Projeto],MATCH("B"&amp;MID($A358,2,99),tblBatidas[Batida ID],0)),"")</f>
        <v>TOOLKIT</v>
      </c>
      <c r="H358" t="str">
        <f>IFERROR(INDEX(tblBatidas[Atividade],MATCH("B"&amp;MID($A358,2,99),tblBatidas[Batida ID],0)),"")</f>
        <v>ANÁLISE</v>
      </c>
      <c r="I358" s="4">
        <f>IFERROR(MOD(INDEX(tblBatidas[Data e hora],MATCH("B"&amp;MID($A358,2,99),tblBatidas[Batida ID],0)),1),"")</f>
        <v>0.55282407407503342</v>
      </c>
      <c r="J358" s="4">
        <f>IFERROR(MOD(INDEX(tblBatidas[Data e hora],MATCH("B"&amp;MID($A358,2,99),tblBatidas[Início vinculado],0)),1),"")</f>
        <v>0.747349537035916</v>
      </c>
      <c r="K358" s="14">
        <f>IFERROR((INDEX(tblBatidas[Data e hora],MATCH("B"&amp;MID($A358,2,99),tblBatidas[Início vinculado],0))-INDEX(tblBatidas[Data e hora],MATCH("B"&amp;MID($A358,2,99),tblBatidas[Batida ID],0)))*24,"")</f>
        <v>4.6686111110611819</v>
      </c>
      <c r="L358">
        <f>IFERROR(INDEX(tblBatidas[Observação],MATCH("B"&amp;MID($A358,2,99),tblBatidas[Início vinculado],0)),"")</f>
        <v>0</v>
      </c>
      <c r="M358" t="str">
        <f>IFERROR(INDEX(tblPessoas[Base],MATCH(E358,tblPessoas[ID],0)),"")</f>
        <v>Hora</v>
      </c>
      <c r="N358" s="3">
        <f>IFERROR(IF(D358="DIA ÚTIL",INDEX(tblPessoas[R$/h útil],MATCH(E358,tblPessoas[ID],0)),INDEX(tblPessoas[R$/h FDS],MATCH(E358,tblPessoas[ID],0))),0)</f>
        <v>23.5</v>
      </c>
      <c r="O358" s="3">
        <f>IFERROR(INDEX(tblPessoas[R$/diária],MATCH(E358,tblPessoas[ID],0)),0)</f>
        <v>0</v>
      </c>
      <c r="P358" s="3">
        <f t="shared" si="22"/>
        <v>109.71236110993777</v>
      </c>
      <c r="Q358" t="str">
        <f>IF(A358="","",IF(COUNTIF(tblBatidas[Início vinculado],"B"&amp;MID($A358,2,99))=0,"EM ABERTO",IF(OR(COUNTIF(tblBatidas[Início vinculado],"B"&amp;MID($A358,2,99))&gt;1,K358&lt;0,K358&gt;16,INT(INDEX(tblBatidas[Data e hora],MATCH("B"&amp;MID($A358,2,99),tblBatidas[Início vinculado],0)))&lt;&gt;B358,INDEX(tblBatidas[ID],MATCH("B"&amp;MID($A358,2,99),tblBatidas[Início vinculado],0))&lt;&gt;E358,INDEX(tblBatidas[Projeto],MATCH("B"&amp;MID($A358,2,99),tblBatidas[Início vinculado],0))&lt;&gt;G358,INDEX(tblBatidas[Atividade],MATCH("B"&amp;MID($A358,2,99),tblBatidas[Início vinculado],0))&lt;&gt;H358),"REVISAR","CONCLUÍDO")))</f>
        <v>CONCLUÍDO</v>
      </c>
      <c r="R358">
        <f>IF(Q358&lt;&gt;"CONCLUÍDO",0,IF(COUNTIFS($E$5:E358,E358,$B$5:B358,B358,$Q$5:Q358,"CONCLUÍDO")=1,1,0))</f>
        <v>0</v>
      </c>
      <c r="S358" t="str">
        <f t="shared" si="23"/>
        <v>yyyy-09</v>
      </c>
      <c r="T358">
        <f>IF(E358="","",E358*100000+COUNTIFS(tblRegistros[ID],E358,tblRegistros[Data],"&lt;"&amp;B358)+COUNTIFS(tblRegistros[ID],E358,tblRegistros[Data],B358,tblRegistros[Início],"&lt;"&amp;I358)+COUNTIFS($E$5:E358,E358,$B$5:B358,B358,$I$5:I358,I358))</f>
        <v>100200028</v>
      </c>
    </row>
    <row r="359" spans="1:20">
      <c r="A359" t="s">
        <v>450</v>
      </c>
      <c r="B359" s="2">
        <f>IFERROR(INT(INDEX(tblBatidas[Data e hora],MATCH("B"&amp;MID($A359,2,99),tblBatidas[Batida ID],0))),"")</f>
        <v>46283</v>
      </c>
      <c r="C359" t="str">
        <f t="shared" si="20"/>
        <v>SEXTA-FEIRA</v>
      </c>
      <c r="D359" t="str">
        <f t="shared" si="21"/>
        <v>DIA ÚTIL</v>
      </c>
      <c r="E359">
        <f>IFERROR(INDEX(tblBatidas[ID],MATCH("B"&amp;MID($A359,2,99),tblBatidas[Batida ID],0)),"")</f>
        <v>1002</v>
      </c>
      <c r="F359" t="str">
        <f>IFERROR(INDEX(tblPessoas[Pessoa],MATCH(E359,tblPessoas[ID],0)),"")</f>
        <v>Alex de Almeida Mariano</v>
      </c>
      <c r="G359" t="str">
        <f>IFERROR(INDEX(tblBatidas[Projeto],MATCH("B"&amp;MID($A359,2,99),tblBatidas[Batida ID],0)),"")</f>
        <v>TOOLKIT</v>
      </c>
      <c r="H359" t="str">
        <f>IFERROR(INDEX(tblBatidas[Atividade],MATCH("B"&amp;MID($A359,2,99),tblBatidas[Batida ID],0)),"")</f>
        <v>ANÁLISE</v>
      </c>
      <c r="I359" s="4">
        <f>IFERROR(MOD(INDEX(tblBatidas[Data e hora],MATCH("B"&amp;MID($A359,2,99),tblBatidas[Batida ID],0)),1),"")</f>
        <v>0.31225694444583496</v>
      </c>
      <c r="J359" s="4">
        <f>IFERROR(MOD(INDEX(tblBatidas[Data e hora],MATCH("B"&amp;MID($A359,2,99),tblBatidas[Início vinculado],0)),1),"")</f>
        <v>0.51211805555794854</v>
      </c>
      <c r="K359" s="14">
        <f>IFERROR((INDEX(tblBatidas[Data e hora],MATCH("B"&amp;MID($A359,2,99),tblBatidas[Início vinculado],0))-INDEX(tblBatidas[Data e hora],MATCH("B"&amp;MID($A359,2,99),tblBatidas[Batida ID],0)))*24,"")</f>
        <v>4.7966666666907258</v>
      </c>
      <c r="L359">
        <f>IFERROR(INDEX(tblBatidas[Observação],MATCH("B"&amp;MID($A359,2,99),tblBatidas[Início vinculado],0)),"")</f>
        <v>0</v>
      </c>
      <c r="M359" t="str">
        <f>IFERROR(INDEX(tblPessoas[Base],MATCH(E359,tblPessoas[ID],0)),"")</f>
        <v>Hora</v>
      </c>
      <c r="N359" s="3">
        <f>IFERROR(IF(D359="DIA ÚTIL",INDEX(tblPessoas[R$/h útil],MATCH(E359,tblPessoas[ID],0)),INDEX(tblPessoas[R$/h FDS],MATCH(E359,tblPessoas[ID],0))),0)</f>
        <v>23.5</v>
      </c>
      <c r="O359" s="3">
        <f>IFERROR(INDEX(tblPessoas[R$/diária],MATCH(E359,tblPessoas[ID],0)),0)</f>
        <v>0</v>
      </c>
      <c r="P359" s="3">
        <f t="shared" si="22"/>
        <v>112.72166666723206</v>
      </c>
      <c r="Q359" t="str">
        <f>IF(A359="","",IF(COUNTIF(tblBatidas[Início vinculado],"B"&amp;MID($A359,2,99))=0,"EM ABERTO",IF(OR(COUNTIF(tblBatidas[Início vinculado],"B"&amp;MID($A359,2,99))&gt;1,K359&lt;0,K359&gt;16,INT(INDEX(tblBatidas[Data e hora],MATCH("B"&amp;MID($A359,2,99),tblBatidas[Início vinculado],0)))&lt;&gt;B359,INDEX(tblBatidas[ID],MATCH("B"&amp;MID($A359,2,99),tblBatidas[Início vinculado],0))&lt;&gt;E359,INDEX(tblBatidas[Projeto],MATCH("B"&amp;MID($A359,2,99),tblBatidas[Início vinculado],0))&lt;&gt;G359,INDEX(tblBatidas[Atividade],MATCH("B"&amp;MID($A359,2,99),tblBatidas[Início vinculado],0))&lt;&gt;H359),"REVISAR","CONCLUÍDO")))</f>
        <v>CONCLUÍDO</v>
      </c>
      <c r="R359">
        <f>IF(Q359&lt;&gt;"CONCLUÍDO",0,IF(COUNTIFS($E$5:E359,E359,$B$5:B359,B359,$Q$5:Q359,"CONCLUÍDO")=1,1,0))</f>
        <v>1</v>
      </c>
      <c r="S359" t="str">
        <f t="shared" si="23"/>
        <v>yyyy-09</v>
      </c>
      <c r="T359">
        <f>IF(E359="","",E359*100000+COUNTIFS(tblRegistros[ID],E359,tblRegistros[Data],"&lt;"&amp;B359)+COUNTIFS(tblRegistros[ID],E359,tblRegistros[Data],B359,tblRegistros[Início],"&lt;"&amp;I359)+COUNTIFS($E$5:E359,E359,$B$5:B359,B359,$I$5:I359,I359))</f>
        <v>100200029</v>
      </c>
    </row>
    <row r="360" spans="1:20">
      <c r="A360" t="s">
        <v>451</v>
      </c>
      <c r="B360" s="2">
        <f>IFERROR(INT(INDEX(tblBatidas[Data e hora],MATCH("B"&amp;MID($A360,2,99),tblBatidas[Batida ID],0))),"")</f>
        <v>46283</v>
      </c>
      <c r="C360" t="str">
        <f t="shared" si="20"/>
        <v>SEXTA-FEIRA</v>
      </c>
      <c r="D360" t="str">
        <f t="shared" si="21"/>
        <v>DIA ÚTIL</v>
      </c>
      <c r="E360">
        <f>IFERROR(INDEX(tblBatidas[ID],MATCH("B"&amp;MID($A360,2,99),tblBatidas[Batida ID],0)),"")</f>
        <v>1003</v>
      </c>
      <c r="F360" t="str">
        <f>IFERROR(INDEX(tblPessoas[Pessoa],MATCH(E360,tblPessoas[ID],0)),"")</f>
        <v>Amanda do Carmo Ribeiro</v>
      </c>
      <c r="G360" t="str">
        <f>IFERROR(INDEX(tblBatidas[Projeto],MATCH("B"&amp;MID($A360,2,99),tblBatidas[Batida ID],0)),"")</f>
        <v>OTEMPO</v>
      </c>
      <c r="H360" t="str">
        <f>IFERROR(INDEX(tblBatidas[Atividade],MATCH("B"&amp;MID($A360,2,99),tblBatidas[Batida ID],0)),"")</f>
        <v>ANÁLISE</v>
      </c>
      <c r="I360" s="4">
        <f>IFERROR(MOD(INDEX(tblBatidas[Data e hora],MATCH("B"&amp;MID($A360,2,99),tblBatidas[Batida ID],0)),1),"")</f>
        <v>0.33358796295942739</v>
      </c>
      <c r="J360" s="4" t="str">
        <f>IFERROR(MOD(INDEX(tblBatidas[Data e hora],MATCH("B"&amp;MID($A360,2,99),tblBatidas[Início vinculado],0)),1),"")</f>
        <v/>
      </c>
      <c r="K360" s="14" t="str">
        <f>IFERROR((INDEX(tblBatidas[Data e hora],MATCH("B"&amp;MID($A360,2,99),tblBatidas[Início vinculado],0))-INDEX(tblBatidas[Data e hora],MATCH("B"&amp;MID($A360,2,99),tblBatidas[Batida ID],0)))*24,"")</f>
        <v/>
      </c>
      <c r="L360" t="str">
        <f>IFERROR(INDEX(tblBatidas[Observação],MATCH("B"&amp;MID($A360,2,99),tblBatidas[Início vinculado],0)),"")</f>
        <v/>
      </c>
      <c r="M360" t="str">
        <f>IFERROR(INDEX(tblPessoas[Base],MATCH(E360,tblPessoas[ID],0)),"")</f>
        <v>Hora</v>
      </c>
      <c r="N360" s="3">
        <f>IFERROR(IF(D360="DIA ÚTIL",INDEX(tblPessoas[R$/h útil],MATCH(E360,tblPessoas[ID],0)),INDEX(tblPessoas[R$/h FDS],MATCH(E360,tblPessoas[ID],0))),0)</f>
        <v>23.5</v>
      </c>
      <c r="O360" s="3">
        <f>IFERROR(INDEX(tblPessoas[R$/diária],MATCH(E360,tblPessoas[ID],0)),0)</f>
        <v>0</v>
      </c>
      <c r="P360" s="3" t="str">
        <f t="shared" si="22"/>
        <v/>
      </c>
      <c r="Q360" t="str">
        <f>IF(A360="","",IF(COUNTIF(tblBatidas[Início vinculado],"B"&amp;MID($A360,2,99))=0,"EM ABERTO",IF(OR(COUNTIF(tblBatidas[Início vinculado],"B"&amp;MID($A360,2,99))&gt;1,K360&lt;0,K360&gt;16,INT(INDEX(tblBatidas[Data e hora],MATCH("B"&amp;MID($A360,2,99),tblBatidas[Início vinculado],0)))&lt;&gt;B360,INDEX(tblBatidas[ID],MATCH("B"&amp;MID($A360,2,99),tblBatidas[Início vinculado],0))&lt;&gt;E360,INDEX(tblBatidas[Projeto],MATCH("B"&amp;MID($A360,2,99),tblBatidas[Início vinculado],0))&lt;&gt;G360,INDEX(tblBatidas[Atividade],MATCH("B"&amp;MID($A360,2,99),tblBatidas[Início vinculado],0))&lt;&gt;H360),"REVISAR","CONCLUÍDO")))</f>
        <v>EM ABERTO</v>
      </c>
      <c r="R360">
        <f>IF(Q360&lt;&gt;"CONCLUÍDO",0,IF(COUNTIFS($E$5:E360,E360,$B$5:B360,B360,$Q$5:Q360,"CONCLUÍDO")=1,1,0))</f>
        <v>0</v>
      </c>
      <c r="S360" t="str">
        <f t="shared" si="23"/>
        <v>yyyy-09</v>
      </c>
      <c r="T360">
        <f>IF(E360="","",E360*100000+COUNTIFS(tblRegistros[ID],E360,tblRegistros[Data],"&lt;"&amp;B360)+COUNTIFS(tblRegistros[ID],E360,tblRegistros[Data],B360,tblRegistros[Início],"&lt;"&amp;I360)+COUNTIFS($E$5:E360,E360,$B$5:B360,B360,$I$5:I360,I360))</f>
        <v>100300039</v>
      </c>
    </row>
    <row r="361" spans="1:20">
      <c r="A361" t="s">
        <v>452</v>
      </c>
      <c r="B361" s="2">
        <f>IFERROR(INT(INDEX(tblBatidas[Data e hora],MATCH("B"&amp;MID($A361,2,99),tblBatidas[Batida ID],0))),"")</f>
        <v>46283</v>
      </c>
      <c r="C361" t="str">
        <f t="shared" si="20"/>
        <v>SEXTA-FEIRA</v>
      </c>
      <c r="D361" t="str">
        <f t="shared" si="21"/>
        <v>DIA ÚTIL</v>
      </c>
      <c r="E361">
        <f>IFERROR(INDEX(tblBatidas[ID],MATCH("B"&amp;MID($A361,2,99),tblBatidas[Batida ID],0)),"")</f>
        <v>1011</v>
      </c>
      <c r="F361" t="str">
        <f>IFERROR(INDEX(tblPessoas[Pessoa],MATCH(E361,tblPessoas[ID],0)),"")</f>
        <v>Nathalia Arruda</v>
      </c>
      <c r="G361" t="str">
        <f>IFERROR(INDEX(tblBatidas[Projeto],MATCH("B"&amp;MID($A361,2,99),tblBatidas[Batida ID],0)),"")</f>
        <v>OTEMPO</v>
      </c>
      <c r="H361" t="str">
        <f>IFERROR(INDEX(tblBatidas[Atividade],MATCH("B"&amp;MID($A361,2,99),tblBatidas[Batida ID],0)),"")</f>
        <v>ANÁLISE</v>
      </c>
      <c r="I361" s="4">
        <f>IFERROR(MOD(INDEX(tblBatidas[Data e hora],MATCH("B"&amp;MID($A361,2,99),tblBatidas[Batida ID],0)),1),"")</f>
        <v>0.33554398148407927</v>
      </c>
      <c r="J361" s="4">
        <f>IFERROR(MOD(INDEX(tblBatidas[Data e hora],MATCH("B"&amp;MID($A361,2,99),tblBatidas[Início vinculado],0)),1),"")</f>
        <v>0.50755787036905531</v>
      </c>
      <c r="K361" s="14">
        <f>IFERROR((INDEX(tblBatidas[Data e hora],MATCH("B"&amp;MID($A361,2,99),tblBatidas[Início vinculado],0))-INDEX(tblBatidas[Data e hora],MATCH("B"&amp;MID($A361,2,99),tblBatidas[Batida ID],0)))*24,"")</f>
        <v>4.128333333239425</v>
      </c>
      <c r="L361">
        <f>IFERROR(INDEX(tblBatidas[Observação],MATCH("B"&amp;MID($A361,2,99),tblBatidas[Início vinculado],0)),"")</f>
        <v>0</v>
      </c>
      <c r="M361" t="str">
        <f>IFERROR(INDEX(tblPessoas[Base],MATCH(E361,tblPessoas[ID],0)),"")</f>
        <v>Hora</v>
      </c>
      <c r="N361" s="3">
        <f>IFERROR(IF(D361="DIA ÚTIL",INDEX(tblPessoas[R$/h útil],MATCH(E361,tblPessoas[ID],0)),INDEX(tblPessoas[R$/h FDS],MATCH(E361,tblPessoas[ID],0))),0)</f>
        <v>23.5</v>
      </c>
      <c r="O361" s="3">
        <f>IFERROR(INDEX(tblPessoas[R$/diária],MATCH(E361,tblPessoas[ID],0)),0)</f>
        <v>0</v>
      </c>
      <c r="P361" s="3">
        <f t="shared" si="22"/>
        <v>97.015833331126487</v>
      </c>
      <c r="Q361" t="str">
        <f>IF(A361="","",IF(COUNTIF(tblBatidas[Início vinculado],"B"&amp;MID($A361,2,99))=0,"EM ABERTO",IF(OR(COUNTIF(tblBatidas[Início vinculado],"B"&amp;MID($A361,2,99))&gt;1,K361&lt;0,K361&gt;16,INT(INDEX(tblBatidas[Data e hora],MATCH("B"&amp;MID($A361,2,99),tblBatidas[Início vinculado],0)))&lt;&gt;B361,INDEX(tblBatidas[ID],MATCH("B"&amp;MID($A361,2,99),tblBatidas[Início vinculado],0))&lt;&gt;E361,INDEX(tblBatidas[Projeto],MATCH("B"&amp;MID($A361,2,99),tblBatidas[Início vinculado],0))&lt;&gt;G361,INDEX(tblBatidas[Atividade],MATCH("B"&amp;MID($A361,2,99),tblBatidas[Início vinculado],0))&lt;&gt;H361),"REVISAR","CONCLUÍDO")))</f>
        <v>CONCLUÍDO</v>
      </c>
      <c r="R361">
        <f>IF(Q361&lt;&gt;"CONCLUÍDO",0,IF(COUNTIFS($E$5:E361,E361,$B$5:B361,B361,$Q$5:Q361,"CONCLUÍDO")=1,1,0))</f>
        <v>1</v>
      </c>
      <c r="S361" t="str">
        <f t="shared" si="23"/>
        <v>yyyy-09</v>
      </c>
      <c r="T361">
        <f>IF(E361="","",E361*100000+COUNTIFS(tblRegistros[ID],E361,tblRegistros[Data],"&lt;"&amp;B361)+COUNTIFS(tblRegistros[ID],E361,tblRegistros[Data],B361,tblRegistros[Início],"&lt;"&amp;I361)+COUNTIFS($E$5:E361,E361,$B$5:B361,B361,$I$5:I361,I361))</f>
        <v>101100036</v>
      </c>
    </row>
    <row r="362" spans="1:20">
      <c r="A362" t="s">
        <v>453</v>
      </c>
      <c r="B362" s="2">
        <f>IFERROR(INT(INDEX(tblBatidas[Data e hora],MATCH("B"&amp;MID($A362,2,99),tblBatidas[Batida ID],0))),"")</f>
        <v>46283</v>
      </c>
      <c r="C362" t="str">
        <f t="shared" si="20"/>
        <v>SEXTA-FEIRA</v>
      </c>
      <c r="D362" t="str">
        <f t="shared" si="21"/>
        <v>DIA ÚTIL</v>
      </c>
      <c r="E362">
        <f>IFERROR(INDEX(tblBatidas[ID],MATCH("B"&amp;MID($A362,2,99),tblBatidas[Batida ID],0)),"")</f>
        <v>1013</v>
      </c>
      <c r="F362" t="str">
        <f>IFERROR(INDEX(tblPessoas[Pessoa],MATCH(E362,tblPessoas[ID],0)),"")</f>
        <v>Rafaela Maria Resende Lara</v>
      </c>
      <c r="G362" t="str">
        <f>IFERROR(INDEX(tblBatidas[Projeto],MATCH("B"&amp;MID($A362,2,99),tblBatidas[Batida ID],0)),"")</f>
        <v>OUTROS</v>
      </c>
      <c r="H362" t="str">
        <f>IFERROR(INDEX(tblBatidas[Atividade],MATCH("B"&amp;MID($A362,2,99),tblBatidas[Batida ID],0)),"")</f>
        <v>ANÁLISE</v>
      </c>
      <c r="I362" s="4">
        <f>IFERROR(MOD(INDEX(tblBatidas[Data e hora],MATCH("B"&amp;MID($A362,2,99),tblBatidas[Batida ID],0)),1),"")</f>
        <v>0.34739583333430346</v>
      </c>
      <c r="J362" s="4">
        <f>IFERROR(MOD(INDEX(tblBatidas[Data e hora],MATCH("B"&amp;MID($A362,2,99),tblBatidas[Início vinculado],0)),1),"")</f>
        <v>0.50255787037167465</v>
      </c>
      <c r="K362" s="14">
        <f>IFERROR((INDEX(tblBatidas[Data e hora],MATCH("B"&amp;MID($A362,2,99),tblBatidas[Início vinculado],0))-INDEX(tblBatidas[Data e hora],MATCH("B"&amp;MID($A362,2,99),tblBatidas[Batida ID],0)))*24,"")</f>
        <v>3.7238888888969086</v>
      </c>
      <c r="L362" t="str">
        <f>IFERROR(INDEX(tblBatidas[Observação],MATCH("B"&amp;MID($A362,2,99),tblBatidas[Início vinculado],0)),"")</f>
        <v>Educação financeira para mulheres</v>
      </c>
      <c r="M362" t="str">
        <f>IFERROR(INDEX(tblPessoas[Base],MATCH(E362,tblPessoas[ID],0)),"")</f>
        <v>Hora</v>
      </c>
      <c r="N362" s="3">
        <f>IFERROR(IF(D362="DIA ÚTIL",INDEX(tblPessoas[R$/h útil],MATCH(E362,tblPessoas[ID],0)),INDEX(tblPessoas[R$/h FDS],MATCH(E362,tblPessoas[ID],0))),0)</f>
        <v>23.5</v>
      </c>
      <c r="O362" s="3">
        <f>IFERROR(INDEX(tblPessoas[R$/diária],MATCH(E362,tblPessoas[ID],0)),0)</f>
        <v>0</v>
      </c>
      <c r="P362" s="3">
        <f t="shared" si="22"/>
        <v>87.511388889077352</v>
      </c>
      <c r="Q362" t="str">
        <f>IF(A362="","",IF(COUNTIF(tblBatidas[Início vinculado],"B"&amp;MID($A362,2,99))=0,"EM ABERTO",IF(OR(COUNTIF(tblBatidas[Início vinculado],"B"&amp;MID($A362,2,99))&gt;1,K362&lt;0,K362&gt;16,INT(INDEX(tblBatidas[Data e hora],MATCH("B"&amp;MID($A362,2,99),tblBatidas[Início vinculado],0)))&lt;&gt;B362,INDEX(tblBatidas[ID],MATCH("B"&amp;MID($A362,2,99),tblBatidas[Início vinculado],0))&lt;&gt;E362,INDEX(tblBatidas[Projeto],MATCH("B"&amp;MID($A362,2,99),tblBatidas[Início vinculado],0))&lt;&gt;G362,INDEX(tblBatidas[Atividade],MATCH("B"&amp;MID($A362,2,99),tblBatidas[Início vinculado],0))&lt;&gt;H362),"REVISAR","CONCLUÍDO")))</f>
        <v>CONCLUÍDO</v>
      </c>
      <c r="R362">
        <f>IF(Q362&lt;&gt;"CONCLUÍDO",0,IF(COUNTIFS($E$5:E362,E362,$B$5:B362,B362,$Q$5:Q362,"CONCLUÍDO")=1,1,0))</f>
        <v>1</v>
      </c>
      <c r="S362" t="str">
        <f t="shared" si="23"/>
        <v>yyyy-09</v>
      </c>
      <c r="T362">
        <f>IF(E362="","",E362*100000+COUNTIFS(tblRegistros[ID],E362,tblRegistros[Data],"&lt;"&amp;B362)+COUNTIFS(tblRegistros[ID],E362,tblRegistros[Data],B362,tblRegistros[Início],"&lt;"&amp;I362)+COUNTIFS($E$5:E362,E362,$B$5:B362,B362,$I$5:I362,I362))</f>
        <v>101300037</v>
      </c>
    </row>
    <row r="363" spans="1:20">
      <c r="A363" t="s">
        <v>454</v>
      </c>
      <c r="B363" s="2">
        <f>IFERROR(INT(INDEX(tblBatidas[Data e hora],MATCH("B"&amp;MID($A363,2,99),tblBatidas[Batida ID],0))),"")</f>
        <v>46283</v>
      </c>
      <c r="C363" t="str">
        <f t="shared" si="20"/>
        <v>SEXTA-FEIRA</v>
      </c>
      <c r="D363" t="str">
        <f t="shared" si="21"/>
        <v>DIA ÚTIL</v>
      </c>
      <c r="E363">
        <f>IFERROR(INDEX(tblBatidas[ID],MATCH("B"&amp;MID($A363,2,99),tblBatidas[Batida ID],0)),"")</f>
        <v>1003</v>
      </c>
      <c r="F363" t="str">
        <f>IFERROR(INDEX(tblPessoas[Pessoa],MATCH(E363,tblPessoas[ID],0)),"")</f>
        <v>Amanda do Carmo Ribeiro</v>
      </c>
      <c r="G363" t="str">
        <f>IFERROR(INDEX(tblBatidas[Projeto],MATCH("B"&amp;MID($A363,2,99),tblBatidas[Batida ID],0)),"")</f>
        <v>OTEMPO</v>
      </c>
      <c r="H363" t="str">
        <f>IFERROR(INDEX(tblBatidas[Atividade],MATCH("B"&amp;MID($A363,2,99),tblBatidas[Batida ID],0)),"")</f>
        <v>ANÁLISE</v>
      </c>
      <c r="I363" s="4">
        <f>IFERROR(MOD(INDEX(tblBatidas[Data e hora],MATCH("B"&amp;MID($A363,2,99),tblBatidas[Batida ID],0)),1),"")</f>
        <v>0.50305555555678438</v>
      </c>
      <c r="J363" s="4" t="str">
        <f>IFERROR(MOD(INDEX(tblBatidas[Data e hora],MATCH("B"&amp;MID($A363,2,99),tblBatidas[Início vinculado],0)),1),"")</f>
        <v/>
      </c>
      <c r="K363" s="14" t="str">
        <f>IFERROR((INDEX(tblBatidas[Data e hora],MATCH("B"&amp;MID($A363,2,99),tblBatidas[Início vinculado],0))-INDEX(tblBatidas[Data e hora],MATCH("B"&amp;MID($A363,2,99),tblBatidas[Batida ID],0)))*24,"")</f>
        <v/>
      </c>
      <c r="L363" t="str">
        <f>IFERROR(INDEX(tblBatidas[Observação],MATCH("B"&amp;MID($A363,2,99),tblBatidas[Início vinculado],0)),"")</f>
        <v/>
      </c>
      <c r="M363" t="str">
        <f>IFERROR(INDEX(tblPessoas[Base],MATCH(E363,tblPessoas[ID],0)),"")</f>
        <v>Hora</v>
      </c>
      <c r="N363" s="3">
        <f>IFERROR(IF(D363="DIA ÚTIL",INDEX(tblPessoas[R$/h útil],MATCH(E363,tblPessoas[ID],0)),INDEX(tblPessoas[R$/h FDS],MATCH(E363,tblPessoas[ID],0))),0)</f>
        <v>23.5</v>
      </c>
      <c r="O363" s="3">
        <f>IFERROR(INDEX(tblPessoas[R$/diária],MATCH(E363,tblPessoas[ID],0)),0)</f>
        <v>0</v>
      </c>
      <c r="P363" s="3" t="str">
        <f t="shared" si="22"/>
        <v/>
      </c>
      <c r="Q363" t="str">
        <f>IF(A363="","",IF(COUNTIF(tblBatidas[Início vinculado],"B"&amp;MID($A363,2,99))=0,"EM ABERTO",IF(OR(COUNTIF(tblBatidas[Início vinculado],"B"&amp;MID($A363,2,99))&gt;1,K363&lt;0,K363&gt;16,INT(INDEX(tblBatidas[Data e hora],MATCH("B"&amp;MID($A363,2,99),tblBatidas[Início vinculado],0)))&lt;&gt;B363,INDEX(tblBatidas[ID],MATCH("B"&amp;MID($A363,2,99),tblBatidas[Início vinculado],0))&lt;&gt;E363,INDEX(tblBatidas[Projeto],MATCH("B"&amp;MID($A363,2,99),tblBatidas[Início vinculado],0))&lt;&gt;G363,INDEX(tblBatidas[Atividade],MATCH("B"&amp;MID($A363,2,99),tblBatidas[Início vinculado],0))&lt;&gt;H363),"REVISAR","CONCLUÍDO")))</f>
        <v>EM ABERTO</v>
      </c>
      <c r="R363">
        <f>IF(Q363&lt;&gt;"CONCLUÍDO",0,IF(COUNTIFS($E$5:E363,E363,$B$5:B363,B363,$Q$5:Q363,"CONCLUÍDO")=1,1,0))</f>
        <v>0</v>
      </c>
      <c r="S363" t="str">
        <f t="shared" si="23"/>
        <v>yyyy-09</v>
      </c>
      <c r="T363">
        <f>IF(E363="","",E363*100000+COUNTIFS(tblRegistros[ID],E363,tblRegistros[Data],"&lt;"&amp;B363)+COUNTIFS(tblRegistros[ID],E363,tblRegistros[Data],B363,tblRegistros[Início],"&lt;"&amp;I363)+COUNTIFS($E$5:E363,E363,$B$5:B363,B363,$I$5:I363,I363))</f>
        <v>100300040</v>
      </c>
    </row>
    <row r="364" spans="1:20">
      <c r="A364" t="s">
        <v>455</v>
      </c>
      <c r="B364" s="2">
        <f>IFERROR(INT(INDEX(tblBatidas[Data e hora],MATCH("B"&amp;MID($A364,2,99),tblBatidas[Batida ID],0))),"")</f>
        <v>46283</v>
      </c>
      <c r="C364" t="str">
        <f t="shared" si="20"/>
        <v>SEXTA-FEIRA</v>
      </c>
      <c r="D364" t="str">
        <f t="shared" si="21"/>
        <v>DIA ÚTIL</v>
      </c>
      <c r="E364">
        <f>IFERROR(INDEX(tblBatidas[ID],MATCH("B"&amp;MID($A364,2,99),tblBatidas[Batida ID],0)),"")</f>
        <v>1003</v>
      </c>
      <c r="F364" t="str">
        <f>IFERROR(INDEX(tblPessoas[Pessoa],MATCH(E364,tblPessoas[ID],0)),"")</f>
        <v>Amanda do Carmo Ribeiro</v>
      </c>
      <c r="G364" t="str">
        <f>IFERROR(INDEX(tblBatidas[Projeto],MATCH("B"&amp;MID($A364,2,99),tblBatidas[Batida ID],0)),"")</f>
        <v>OTEMPO</v>
      </c>
      <c r="H364" t="str">
        <f>IFERROR(INDEX(tblBatidas[Atividade],MATCH("B"&amp;MID($A364,2,99),tblBatidas[Batida ID],0)),"")</f>
        <v>ANÁLISE</v>
      </c>
      <c r="I364" s="4">
        <f>IFERROR(MOD(INDEX(tblBatidas[Data e hora],MATCH("B"&amp;MID($A364,2,99),tblBatidas[Batida ID],0)),1),"")</f>
        <v>0.53827546296088258</v>
      </c>
      <c r="J364" s="4">
        <f>IFERROR(MOD(INDEX(tblBatidas[Data e hora],MATCH("B"&amp;MID($A364,2,99),tblBatidas[Início vinculado],0)),1),"")</f>
        <v>0.75260416666424135</v>
      </c>
      <c r="K364" s="14">
        <f>IFERROR((INDEX(tblBatidas[Data e hora],MATCH("B"&amp;MID($A364,2,99),tblBatidas[Início vinculado],0))-INDEX(tblBatidas[Data e hora],MATCH("B"&amp;MID($A364,2,99),tblBatidas[Batida ID],0)))*24,"")</f>
        <v>5.1438888888806105</v>
      </c>
      <c r="L364">
        <f>IFERROR(INDEX(tblBatidas[Observação],MATCH("B"&amp;MID($A364,2,99),tblBatidas[Início vinculado],0)),"")</f>
        <v>0</v>
      </c>
      <c r="M364" t="str">
        <f>IFERROR(INDEX(tblPessoas[Base],MATCH(E364,tblPessoas[ID],0)),"")</f>
        <v>Hora</v>
      </c>
      <c r="N364" s="3">
        <f>IFERROR(IF(D364="DIA ÚTIL",INDEX(tblPessoas[R$/h útil],MATCH(E364,tblPessoas[ID],0)),INDEX(tblPessoas[R$/h FDS],MATCH(E364,tblPessoas[ID],0))),0)</f>
        <v>23.5</v>
      </c>
      <c r="O364" s="3">
        <f>IFERROR(INDEX(tblPessoas[R$/diária],MATCH(E364,tblPessoas[ID],0)),0)</f>
        <v>0</v>
      </c>
      <c r="P364" s="3">
        <f t="shared" si="22"/>
        <v>120.88138888869435</v>
      </c>
      <c r="Q364" t="str">
        <f>IF(A364="","",IF(COUNTIF(tblBatidas[Início vinculado],"B"&amp;MID($A364,2,99))=0,"EM ABERTO",IF(OR(COUNTIF(tblBatidas[Início vinculado],"B"&amp;MID($A364,2,99))&gt;1,K364&lt;0,K364&gt;16,INT(INDEX(tblBatidas[Data e hora],MATCH("B"&amp;MID($A364,2,99),tblBatidas[Início vinculado],0)))&lt;&gt;B364,INDEX(tblBatidas[ID],MATCH("B"&amp;MID($A364,2,99),tblBatidas[Início vinculado],0))&lt;&gt;E364,INDEX(tblBatidas[Projeto],MATCH("B"&amp;MID($A364,2,99),tblBatidas[Início vinculado],0))&lt;&gt;G364,INDEX(tblBatidas[Atividade],MATCH("B"&amp;MID($A364,2,99),tblBatidas[Início vinculado],0))&lt;&gt;H364),"REVISAR","CONCLUÍDO")))</f>
        <v>CONCLUÍDO</v>
      </c>
      <c r="R364">
        <f>IF(Q364&lt;&gt;"CONCLUÍDO",0,IF(COUNTIFS($E$5:E364,E364,$B$5:B364,B364,$Q$5:Q364,"CONCLUÍDO")=1,1,0))</f>
        <v>1</v>
      </c>
      <c r="S364" t="str">
        <f t="shared" si="23"/>
        <v>yyyy-09</v>
      </c>
      <c r="T364">
        <f>IF(E364="","",E364*100000+COUNTIFS(tblRegistros[ID],E364,tblRegistros[Data],"&lt;"&amp;B364)+COUNTIFS(tblRegistros[ID],E364,tblRegistros[Data],B364,tblRegistros[Início],"&lt;"&amp;I364)+COUNTIFS($E$5:E364,E364,$B$5:B364,B364,$I$5:I364,I364))</f>
        <v>100300041</v>
      </c>
    </row>
    <row r="365" spans="1:20">
      <c r="A365" t="s">
        <v>456</v>
      </c>
      <c r="B365" s="2">
        <f>IFERROR(INT(INDEX(tblBatidas[Data e hora],MATCH("B"&amp;MID($A365,2,99),tblBatidas[Batida ID],0))),"")</f>
        <v>46283</v>
      </c>
      <c r="C365" t="str">
        <f t="shared" si="20"/>
        <v>SEXTA-FEIRA</v>
      </c>
      <c r="D365" t="str">
        <f t="shared" si="21"/>
        <v>DIA ÚTIL</v>
      </c>
      <c r="E365">
        <f>IFERROR(INDEX(tblBatidas[ID],MATCH("B"&amp;MID($A365,2,99),tblBatidas[Batida ID],0)),"")</f>
        <v>1013</v>
      </c>
      <c r="F365" t="str">
        <f>IFERROR(INDEX(tblPessoas[Pessoa],MATCH(E365,tblPessoas[ID],0)),"")</f>
        <v>Rafaela Maria Resende Lara</v>
      </c>
      <c r="G365" t="str">
        <f>IFERROR(INDEX(tblBatidas[Projeto],MATCH("B"&amp;MID($A365,2,99),tblBatidas[Batida ID],0)),"")</f>
        <v>OUTROS</v>
      </c>
      <c r="H365" t="str">
        <f>IFERROR(INDEX(tblBatidas[Atividade],MATCH("B"&amp;MID($A365,2,99),tblBatidas[Batida ID],0)),"")</f>
        <v>ANÁLISE</v>
      </c>
      <c r="I365" s="4">
        <f>IFERROR(MOD(INDEX(tblBatidas[Data e hora],MATCH("B"&amp;MID($A365,2,99),tblBatidas[Batida ID],0)),1),"")</f>
        <v>0.53930555555416504</v>
      </c>
      <c r="J365" s="4">
        <f>IFERROR(MOD(INDEX(tblBatidas[Data e hora],MATCH("B"&amp;MID($A365,2,99),tblBatidas[Início vinculado],0)),1),"")</f>
        <v>0.77244212962978054</v>
      </c>
      <c r="K365" s="14">
        <f>IFERROR((INDEX(tblBatidas[Data e hora],MATCH("B"&amp;MID($A365,2,99),tblBatidas[Início vinculado],0))-INDEX(tblBatidas[Data e hora],MATCH("B"&amp;MID($A365,2,99),tblBatidas[Batida ID],0)))*24,"")</f>
        <v>5.595277777814772</v>
      </c>
      <c r="L365" t="str">
        <f>IFERROR(INDEX(tblBatidas[Observação],MATCH("B"&amp;MID($A365,2,99),tblBatidas[Início vinculado],0)),"")</f>
        <v>Educação Financeira para mulheres</v>
      </c>
      <c r="M365" t="str">
        <f>IFERROR(INDEX(tblPessoas[Base],MATCH(E365,tblPessoas[ID],0)),"")</f>
        <v>Hora</v>
      </c>
      <c r="N365" s="3">
        <f>IFERROR(IF(D365="DIA ÚTIL",INDEX(tblPessoas[R$/h útil],MATCH(E365,tblPessoas[ID],0)),INDEX(tblPessoas[R$/h FDS],MATCH(E365,tblPessoas[ID],0))),0)</f>
        <v>23.5</v>
      </c>
      <c r="O365" s="3">
        <f>IFERROR(INDEX(tblPessoas[R$/diária],MATCH(E365,tblPessoas[ID],0)),0)</f>
        <v>0</v>
      </c>
      <c r="P365" s="3">
        <f t="shared" si="22"/>
        <v>131.48902777864714</v>
      </c>
      <c r="Q365" t="str">
        <f>IF(A365="","",IF(COUNTIF(tblBatidas[Início vinculado],"B"&amp;MID($A365,2,99))=0,"EM ABERTO",IF(OR(COUNTIF(tblBatidas[Início vinculado],"B"&amp;MID($A365,2,99))&gt;1,K365&lt;0,K365&gt;16,INT(INDEX(tblBatidas[Data e hora],MATCH("B"&amp;MID($A365,2,99),tblBatidas[Início vinculado],0)))&lt;&gt;B365,INDEX(tblBatidas[ID],MATCH("B"&amp;MID($A365,2,99),tblBatidas[Início vinculado],0))&lt;&gt;E365,INDEX(tblBatidas[Projeto],MATCH("B"&amp;MID($A365,2,99),tblBatidas[Início vinculado],0))&lt;&gt;G365,INDEX(tblBatidas[Atividade],MATCH("B"&amp;MID($A365,2,99),tblBatidas[Início vinculado],0))&lt;&gt;H365),"REVISAR","CONCLUÍDO")))</f>
        <v>CONCLUÍDO</v>
      </c>
      <c r="R365">
        <f>IF(Q365&lt;&gt;"CONCLUÍDO",0,IF(COUNTIFS($E$5:E365,E365,$B$5:B365,B365,$Q$5:Q365,"CONCLUÍDO")=1,1,0))</f>
        <v>0</v>
      </c>
      <c r="S365" t="str">
        <f t="shared" si="23"/>
        <v>yyyy-09</v>
      </c>
      <c r="T365">
        <f>IF(E365="","",E365*100000+COUNTIFS(tblRegistros[ID],E365,tblRegistros[Data],"&lt;"&amp;B365)+COUNTIFS(tblRegistros[ID],E365,tblRegistros[Data],B365,tblRegistros[Início],"&lt;"&amp;I365)+COUNTIFS($E$5:E365,E365,$B$5:B365,B365,$I$5:I365,I365))</f>
        <v>101300038</v>
      </c>
    </row>
    <row r="366" spans="1:20">
      <c r="A366" t="s">
        <v>457</v>
      </c>
      <c r="B366" s="2">
        <f>IFERROR(INT(INDEX(tblBatidas[Data e hora],MATCH("B"&amp;MID($A366,2,99),tblBatidas[Batida ID],0))),"")</f>
        <v>46283</v>
      </c>
      <c r="C366" t="str">
        <f t="shared" si="20"/>
        <v>SEXTA-FEIRA</v>
      </c>
      <c r="D366" t="str">
        <f t="shared" si="21"/>
        <v>DIA ÚTIL</v>
      </c>
      <c r="E366">
        <f>IFERROR(INDEX(tblBatidas[ID],MATCH("B"&amp;MID($A366,2,99),tblBatidas[Batida ID],0)),"")</f>
        <v>1002</v>
      </c>
      <c r="F366" t="str">
        <f>IFERROR(INDEX(tblPessoas[Pessoa],MATCH(E366,tblPessoas[ID],0)),"")</f>
        <v>Alex de Almeida Mariano</v>
      </c>
      <c r="G366" t="str">
        <f>IFERROR(INDEX(tblBatidas[Projeto],MATCH("B"&amp;MID($A366,2,99),tblBatidas[Batida ID],0)),"")</f>
        <v>CFI / ACCION</v>
      </c>
      <c r="H366" t="str">
        <f>IFERROR(INDEX(tblBatidas[Atividade],MATCH("B"&amp;MID($A366,2,99),tblBatidas[Batida ID],0)),"")</f>
        <v>ANÁLISE</v>
      </c>
      <c r="I366" s="4">
        <f>IFERROR(MOD(INDEX(tblBatidas[Data e hora],MATCH("B"&amp;MID($A366,2,99),tblBatidas[Batida ID],0)),1),"")</f>
        <v>0.5507986111115315</v>
      </c>
      <c r="J366" s="4">
        <f>IFERROR(MOD(INDEX(tblBatidas[Data e hora],MATCH("B"&amp;MID($A366,2,99),tblBatidas[Início vinculado],0)),1),"")</f>
        <v>0.708425925928168</v>
      </c>
      <c r="K366" s="14">
        <f>IFERROR((INDEX(tblBatidas[Data e hora],MATCH("B"&amp;MID($A366,2,99),tblBatidas[Início vinculado],0))-INDEX(tblBatidas[Data e hora],MATCH("B"&amp;MID($A366,2,99),tblBatidas[Batida ID],0)))*24,"")</f>
        <v>3.783055555599276</v>
      </c>
      <c r="L366">
        <f>IFERROR(INDEX(tblBatidas[Observação],MATCH("B"&amp;MID($A366,2,99),tblBatidas[Início vinculado],0)),"")</f>
        <v>0</v>
      </c>
      <c r="M366" t="str">
        <f>IFERROR(INDEX(tblPessoas[Base],MATCH(E366,tblPessoas[ID],0)),"")</f>
        <v>Hora</v>
      </c>
      <c r="N366" s="3">
        <f>IFERROR(IF(D366="DIA ÚTIL",INDEX(tblPessoas[R$/h útil],MATCH(E366,tblPessoas[ID],0)),INDEX(tblPessoas[R$/h FDS],MATCH(E366,tblPessoas[ID],0))),0)</f>
        <v>23.5</v>
      </c>
      <c r="O366" s="3">
        <f>IFERROR(INDEX(tblPessoas[R$/diária],MATCH(E366,tblPessoas[ID],0)),0)</f>
        <v>0</v>
      </c>
      <c r="P366" s="3">
        <f t="shared" si="22"/>
        <v>88.901805556582985</v>
      </c>
      <c r="Q366" t="str">
        <f>IF(A366="","",IF(COUNTIF(tblBatidas[Início vinculado],"B"&amp;MID($A366,2,99))=0,"EM ABERTO",IF(OR(COUNTIF(tblBatidas[Início vinculado],"B"&amp;MID($A366,2,99))&gt;1,K366&lt;0,K366&gt;16,INT(INDEX(tblBatidas[Data e hora],MATCH("B"&amp;MID($A366,2,99),tblBatidas[Início vinculado],0)))&lt;&gt;B366,INDEX(tblBatidas[ID],MATCH("B"&amp;MID($A366,2,99),tblBatidas[Início vinculado],0))&lt;&gt;E366,INDEX(tblBatidas[Projeto],MATCH("B"&amp;MID($A366,2,99),tblBatidas[Início vinculado],0))&lt;&gt;G366,INDEX(tblBatidas[Atividade],MATCH("B"&amp;MID($A366,2,99),tblBatidas[Início vinculado],0))&lt;&gt;H366),"REVISAR","CONCLUÍDO")))</f>
        <v>CONCLUÍDO</v>
      </c>
      <c r="R366">
        <f>IF(Q366&lt;&gt;"CONCLUÍDO",0,IF(COUNTIFS($E$5:E366,E366,$B$5:B366,B366,$Q$5:Q366,"CONCLUÍDO")=1,1,0))</f>
        <v>0</v>
      </c>
      <c r="S366" t="str">
        <f t="shared" si="23"/>
        <v>yyyy-09</v>
      </c>
      <c r="T366">
        <f>IF(E366="","",E366*100000+COUNTIFS(tblRegistros[ID],E366,tblRegistros[Data],"&lt;"&amp;B366)+COUNTIFS(tblRegistros[ID],E366,tblRegistros[Data],B366,tblRegistros[Início],"&lt;"&amp;I366)+COUNTIFS($E$5:E366,E366,$B$5:B366,B366,$I$5:I366,I366))</f>
        <v>100200030</v>
      </c>
    </row>
    <row r="367" spans="1:20">
      <c r="A367" t="s">
        <v>458</v>
      </c>
      <c r="B367" s="2">
        <f>IFERROR(INT(INDEX(tblBatidas[Data e hora],MATCH("B"&amp;MID($A367,2,99),tblBatidas[Batida ID],0))),"")</f>
        <v>46283</v>
      </c>
      <c r="C367" t="str">
        <f t="shared" si="20"/>
        <v>SEXTA-FEIRA</v>
      </c>
      <c r="D367" t="str">
        <f t="shared" si="21"/>
        <v>DIA ÚTIL</v>
      </c>
      <c r="E367">
        <f>IFERROR(INDEX(tblBatidas[ID],MATCH("B"&amp;MID($A367,2,99),tblBatidas[Batida ID],0)),"")</f>
        <v>1011</v>
      </c>
      <c r="F367" t="str">
        <f>IFERROR(INDEX(tblPessoas[Pessoa],MATCH(E367,tblPessoas[ID],0)),"")</f>
        <v>Nathalia Arruda</v>
      </c>
      <c r="G367" t="str">
        <f>IFERROR(INDEX(tblBatidas[Projeto],MATCH("B"&amp;MID($A367,2,99),tblBatidas[Batida ID],0)),"")</f>
        <v>OTEMPO</v>
      </c>
      <c r="H367" t="str">
        <f>IFERROR(INDEX(tblBatidas[Atividade],MATCH("B"&amp;MID($A367,2,99),tblBatidas[Batida ID],0)),"")</f>
        <v>ANÁLISE</v>
      </c>
      <c r="I367" s="4">
        <f>IFERROR(MOD(INDEX(tblBatidas[Data e hora],MATCH("B"&amp;MID($A367,2,99),tblBatidas[Batida ID],0)),1),"")</f>
        <v>0.55611111110920319</v>
      </c>
      <c r="J367" s="4" t="str">
        <f>IFERROR(MOD(INDEX(tblBatidas[Data e hora],MATCH("B"&amp;MID($A367,2,99),tblBatidas[Início vinculado],0)),1),"")</f>
        <v/>
      </c>
      <c r="K367" s="14" t="str">
        <f>IFERROR((INDEX(tblBatidas[Data e hora],MATCH("B"&amp;MID($A367,2,99),tblBatidas[Início vinculado],0))-INDEX(tblBatidas[Data e hora],MATCH("B"&amp;MID($A367,2,99),tblBatidas[Batida ID],0)))*24,"")</f>
        <v/>
      </c>
      <c r="L367" t="str">
        <f>IFERROR(INDEX(tblBatidas[Observação],MATCH("B"&amp;MID($A367,2,99),tblBatidas[Início vinculado],0)),"")</f>
        <v/>
      </c>
      <c r="M367" t="str">
        <f>IFERROR(INDEX(tblPessoas[Base],MATCH(E367,tblPessoas[ID],0)),"")</f>
        <v>Hora</v>
      </c>
      <c r="N367" s="3">
        <f>IFERROR(IF(D367="DIA ÚTIL",INDEX(tblPessoas[R$/h útil],MATCH(E367,tblPessoas[ID],0)),INDEX(tblPessoas[R$/h FDS],MATCH(E367,tblPessoas[ID],0))),0)</f>
        <v>23.5</v>
      </c>
      <c r="O367" s="3">
        <f>IFERROR(INDEX(tblPessoas[R$/diária],MATCH(E367,tblPessoas[ID],0)),0)</f>
        <v>0</v>
      </c>
      <c r="P367" s="3" t="str">
        <f t="shared" si="22"/>
        <v/>
      </c>
      <c r="Q367" t="str">
        <f>IF(A367="","",IF(COUNTIF(tblBatidas[Início vinculado],"B"&amp;MID($A367,2,99))=0,"EM ABERTO",IF(OR(COUNTIF(tblBatidas[Início vinculado],"B"&amp;MID($A367,2,99))&gt;1,K367&lt;0,K367&gt;16,INT(INDEX(tblBatidas[Data e hora],MATCH("B"&amp;MID($A367,2,99),tblBatidas[Início vinculado],0)))&lt;&gt;B367,INDEX(tblBatidas[ID],MATCH("B"&amp;MID($A367,2,99),tblBatidas[Início vinculado],0))&lt;&gt;E367,INDEX(tblBatidas[Projeto],MATCH("B"&amp;MID($A367,2,99),tblBatidas[Início vinculado],0))&lt;&gt;G367,INDEX(tblBatidas[Atividade],MATCH("B"&amp;MID($A367,2,99),tblBatidas[Início vinculado],0))&lt;&gt;H367),"REVISAR","CONCLUÍDO")))</f>
        <v>EM ABERTO</v>
      </c>
      <c r="R367">
        <f>IF(Q367&lt;&gt;"CONCLUÍDO",0,IF(COUNTIFS($E$5:E367,E367,$B$5:B367,B367,$Q$5:Q367,"CONCLUÍDO")=1,1,0))</f>
        <v>0</v>
      </c>
      <c r="S367" t="str">
        <f t="shared" si="23"/>
        <v>yyyy-09</v>
      </c>
      <c r="T367">
        <f>IF(E367="","",E367*100000+COUNTIFS(tblRegistros[ID],E367,tblRegistros[Data],"&lt;"&amp;B367)+COUNTIFS(tblRegistros[ID],E367,tblRegistros[Data],B367,tblRegistros[Início],"&lt;"&amp;I367)+COUNTIFS($E$5:E367,E367,$B$5:B367,B367,$I$5:I367,I367))</f>
        <v>101100037</v>
      </c>
    </row>
    <row r="368" spans="1:20">
      <c r="A368" t="s">
        <v>459</v>
      </c>
      <c r="B368" s="2">
        <f>IFERROR(INT(INDEX(tblBatidas[Data e hora],MATCH("B"&amp;MID($A368,2,99),tblBatidas[Batida ID],0))),"")</f>
        <v>46284</v>
      </c>
      <c r="C368" t="str">
        <f t="shared" si="20"/>
        <v>SÁBADO</v>
      </c>
      <c r="D368" t="str">
        <f t="shared" si="21"/>
        <v>FDS/FERIADO</v>
      </c>
      <c r="E368">
        <f>IFERROR(INDEX(tblBatidas[ID],MATCH("B"&amp;MID($A368,2,99),tblBatidas[Batida ID],0)),"")</f>
        <v>1011</v>
      </c>
      <c r="F368" t="str">
        <f>IFERROR(INDEX(tblPessoas[Pessoa],MATCH(E368,tblPessoas[ID],0)),"")</f>
        <v>Nathalia Arruda</v>
      </c>
      <c r="G368" t="str">
        <f>IFERROR(INDEX(tblBatidas[Projeto],MATCH("B"&amp;MID($A368,2,99),tblBatidas[Batida ID],0)),"")</f>
        <v>BETIM - TRACKING</v>
      </c>
      <c r="H368" t="str">
        <f>IFERROR(INDEX(tblBatidas[Atividade],MATCH("B"&amp;MID($A368,2,99),tblBatidas[Batida ID],0)),"")</f>
        <v>ANÁLISE</v>
      </c>
      <c r="I368" s="4">
        <f>IFERROR(MOD(INDEX(tblBatidas[Data e hora],MATCH("B"&amp;MID($A368,2,99),tblBatidas[Batida ID],0)),1),"")</f>
        <v>0.34751157407299615</v>
      </c>
      <c r="J368" s="4">
        <f>IFERROR(MOD(INDEX(tblBatidas[Data e hora],MATCH("B"&amp;MID($A368,2,99),tblBatidas[Início vinculado],0)),1),"")</f>
        <v>0.59773148148087785</v>
      </c>
      <c r="K368" s="14">
        <f>IFERROR((INDEX(tblBatidas[Data e hora],MATCH("B"&amp;MID($A368,2,99),tblBatidas[Início vinculado],0))-INDEX(tblBatidas[Data e hora],MATCH("B"&amp;MID($A368,2,99),tblBatidas[Batida ID],0)))*24,"")</f>
        <v>6.0052777777891606</v>
      </c>
      <c r="L368">
        <f>IFERROR(INDEX(tblBatidas[Observação],MATCH("B"&amp;MID($A368,2,99),tblBatidas[Início vinculado],0)),"")</f>
        <v>0</v>
      </c>
      <c r="M368" t="str">
        <f>IFERROR(INDEX(tblPessoas[Base],MATCH(E368,tblPessoas[ID],0)),"")</f>
        <v>Hora</v>
      </c>
      <c r="N368" s="3">
        <f>IFERROR(IF(D368="DIA ÚTIL",INDEX(tblPessoas[R$/h útil],MATCH(E368,tblPessoas[ID],0)),INDEX(tblPessoas[R$/h FDS],MATCH(E368,tblPessoas[ID],0))),0)</f>
        <v>23.5</v>
      </c>
      <c r="O368" s="3">
        <f>IFERROR(INDEX(tblPessoas[R$/diária],MATCH(E368,tblPessoas[ID],0)),0)</f>
        <v>0</v>
      </c>
      <c r="P368" s="3">
        <f t="shared" si="22"/>
        <v>141.12402777804527</v>
      </c>
      <c r="Q368" t="str">
        <f>IF(A368="","",IF(COUNTIF(tblBatidas[Início vinculado],"B"&amp;MID($A368,2,99))=0,"EM ABERTO",IF(OR(COUNTIF(tblBatidas[Início vinculado],"B"&amp;MID($A368,2,99))&gt;1,K368&lt;0,K368&gt;16,INT(INDEX(tblBatidas[Data e hora],MATCH("B"&amp;MID($A368,2,99),tblBatidas[Início vinculado],0)))&lt;&gt;B368,INDEX(tblBatidas[ID],MATCH("B"&amp;MID($A368,2,99),tblBatidas[Início vinculado],0))&lt;&gt;E368,INDEX(tblBatidas[Projeto],MATCH("B"&amp;MID($A368,2,99),tblBatidas[Início vinculado],0))&lt;&gt;G368,INDEX(tblBatidas[Atividade],MATCH("B"&amp;MID($A368,2,99),tblBatidas[Início vinculado],0))&lt;&gt;H368),"REVISAR","CONCLUÍDO")))</f>
        <v>CONCLUÍDO</v>
      </c>
      <c r="R368">
        <f>IF(Q368&lt;&gt;"CONCLUÍDO",0,IF(COUNTIFS($E$5:E368,E368,$B$5:B368,B368,$Q$5:Q368,"CONCLUÍDO")=1,1,0))</f>
        <v>1</v>
      </c>
      <c r="S368" t="str">
        <f t="shared" si="23"/>
        <v>yyyy-09</v>
      </c>
      <c r="T368">
        <f>IF(E368="","",E368*100000+COUNTIFS(tblRegistros[ID],E368,tblRegistros[Data],"&lt;"&amp;B368)+COUNTIFS(tblRegistros[ID],E368,tblRegistros[Data],B368,tblRegistros[Início],"&lt;"&amp;I368)+COUNTIFS($E$5:E368,E368,$B$5:B368,B368,$I$5:I368,I368))</f>
        <v>101100038</v>
      </c>
    </row>
    <row r="369" spans="1:20">
      <c r="A369" t="s">
        <v>460</v>
      </c>
      <c r="B369" s="2">
        <f>IFERROR(INT(INDEX(tblBatidas[Data e hora],MATCH("B"&amp;MID($A369,2,99),tblBatidas[Batida ID],0))),"")</f>
        <v>46284</v>
      </c>
      <c r="C369" t="str">
        <f t="shared" si="20"/>
        <v>SÁBADO</v>
      </c>
      <c r="D369" t="str">
        <f t="shared" si="21"/>
        <v>FDS/FERIADO</v>
      </c>
      <c r="E369">
        <f>IFERROR(INDEX(tblBatidas[ID],MATCH("B"&amp;MID($A369,2,99),tblBatidas[Batida ID],0)),"")</f>
        <v>1013</v>
      </c>
      <c r="F369" t="str">
        <f>IFERROR(INDEX(tblPessoas[Pessoa],MATCH(E369,tblPessoas[ID],0)),"")</f>
        <v>Rafaela Maria Resende Lara</v>
      </c>
      <c r="G369" t="str">
        <f>IFERROR(INDEX(tblBatidas[Projeto],MATCH("B"&amp;MID($A369,2,99),tblBatidas[Batida ID],0)),"")</f>
        <v>TOOLKIT</v>
      </c>
      <c r="H369" t="str">
        <f>IFERROR(INDEX(tblBatidas[Atividade],MATCH("B"&amp;MID($A369,2,99),tblBatidas[Batida ID],0)),"")</f>
        <v>ANÁLISE</v>
      </c>
      <c r="I369" s="4">
        <f>IFERROR(MOD(INDEX(tblBatidas[Data e hora],MATCH("B"&amp;MID($A369,2,99),tblBatidas[Batida ID],0)),1),"")</f>
        <v>0.39460648148087785</v>
      </c>
      <c r="J369" s="4">
        <f>IFERROR(MOD(INDEX(tblBatidas[Data e hora],MATCH("B"&amp;MID($A369,2,99),tblBatidas[Início vinculado],0)),1),"")</f>
        <v>0.50968750000174623</v>
      </c>
      <c r="K369" s="14">
        <f>IFERROR((INDEX(tblBatidas[Data e hora],MATCH("B"&amp;MID($A369,2,99),tblBatidas[Início vinculado],0))-INDEX(tblBatidas[Data e hora],MATCH("B"&amp;MID($A369,2,99),tblBatidas[Batida ID],0)))*24,"")</f>
        <v>2.7619444445008412</v>
      </c>
      <c r="L369">
        <f>IFERROR(INDEX(tblBatidas[Observação],MATCH("B"&amp;MID($A369,2,99),tblBatidas[Início vinculado],0)),"")</f>
        <v>0</v>
      </c>
      <c r="M369" t="str">
        <f>IFERROR(INDEX(tblPessoas[Base],MATCH(E369,tblPessoas[ID],0)),"")</f>
        <v>Hora</v>
      </c>
      <c r="N369" s="3">
        <f>IFERROR(IF(D369="DIA ÚTIL",INDEX(tblPessoas[R$/h útil],MATCH(E369,tblPessoas[ID],0)),INDEX(tblPessoas[R$/h FDS],MATCH(E369,tblPessoas[ID],0))),0)</f>
        <v>23.5</v>
      </c>
      <c r="O369" s="3">
        <f>IFERROR(INDEX(tblPessoas[R$/diária],MATCH(E369,tblPessoas[ID],0)),0)</f>
        <v>0</v>
      </c>
      <c r="P369" s="3">
        <f t="shared" si="22"/>
        <v>64.905694445769768</v>
      </c>
      <c r="Q369" t="str">
        <f>IF(A369="","",IF(COUNTIF(tblBatidas[Início vinculado],"B"&amp;MID($A369,2,99))=0,"EM ABERTO",IF(OR(COUNTIF(tblBatidas[Início vinculado],"B"&amp;MID($A369,2,99))&gt;1,K369&lt;0,K369&gt;16,INT(INDEX(tblBatidas[Data e hora],MATCH("B"&amp;MID($A369,2,99),tblBatidas[Início vinculado],0)))&lt;&gt;B369,INDEX(tblBatidas[ID],MATCH("B"&amp;MID($A369,2,99),tblBatidas[Início vinculado],0))&lt;&gt;E369,INDEX(tblBatidas[Projeto],MATCH("B"&amp;MID($A369,2,99),tblBatidas[Início vinculado],0))&lt;&gt;G369,INDEX(tblBatidas[Atividade],MATCH("B"&amp;MID($A369,2,99),tblBatidas[Início vinculado],0))&lt;&gt;H369),"REVISAR","CONCLUÍDO")))</f>
        <v>CONCLUÍDO</v>
      </c>
      <c r="R369">
        <f>IF(Q369&lt;&gt;"CONCLUÍDO",0,IF(COUNTIFS($E$5:E369,E369,$B$5:B369,B369,$Q$5:Q369,"CONCLUÍDO")=1,1,0))</f>
        <v>1</v>
      </c>
      <c r="S369" t="str">
        <f t="shared" si="23"/>
        <v>yyyy-09</v>
      </c>
      <c r="T369">
        <f>IF(E369="","",E369*100000+COUNTIFS(tblRegistros[ID],E369,tblRegistros[Data],"&lt;"&amp;B369)+COUNTIFS(tblRegistros[ID],E369,tblRegistros[Data],B369,tblRegistros[Início],"&lt;"&amp;I369)+COUNTIFS($E$5:E369,E369,$B$5:B369,B369,$I$5:I369,I369))</f>
        <v>101300039</v>
      </c>
    </row>
    <row r="370" spans="1:20">
      <c r="A370" t="s">
        <v>461</v>
      </c>
      <c r="B370" s="2">
        <f>IFERROR(INT(INDEX(tblBatidas[Data e hora],MATCH("B"&amp;MID($A370,2,99),tblBatidas[Batida ID],0))),"")</f>
        <v>46284</v>
      </c>
      <c r="C370" t="str">
        <f t="shared" si="20"/>
        <v>SÁBADO</v>
      </c>
      <c r="D370" t="str">
        <f t="shared" si="21"/>
        <v>FDS/FERIADO</v>
      </c>
      <c r="E370">
        <f>IFERROR(INDEX(tblBatidas[ID],MATCH("B"&amp;MID($A370,2,99),tblBatidas[Batida ID],0)),"")</f>
        <v>1013</v>
      </c>
      <c r="F370" t="str">
        <f>IFERROR(INDEX(tblPessoas[Pessoa],MATCH(E370,tblPessoas[ID],0)),"")</f>
        <v>Rafaela Maria Resende Lara</v>
      </c>
      <c r="G370" t="str">
        <f>IFERROR(INDEX(tblBatidas[Projeto],MATCH("B"&amp;MID($A370,2,99),tblBatidas[Batida ID],0)),"")</f>
        <v>TOOLKIT</v>
      </c>
      <c r="H370" t="str">
        <f>IFERROR(INDEX(tblBatidas[Atividade],MATCH("B"&amp;MID($A370,2,99),tblBatidas[Batida ID],0)),"")</f>
        <v>ANÁLISE</v>
      </c>
      <c r="I370" s="4">
        <f>IFERROR(MOD(INDEX(tblBatidas[Data e hora],MATCH("B"&amp;MID($A370,2,99),tblBatidas[Batida ID],0)),1),"")</f>
        <v>0.52424768518540077</v>
      </c>
      <c r="J370" s="4">
        <f>IFERROR(MOD(INDEX(tblBatidas[Data e hora],MATCH("B"&amp;MID($A370,2,99),tblBatidas[Início vinculado],0)),1),"")</f>
        <v>0.68062500000087311</v>
      </c>
      <c r="K370" s="14">
        <f>IFERROR((INDEX(tblBatidas[Data e hora],MATCH("B"&amp;MID($A370,2,99),tblBatidas[Início vinculado],0))-INDEX(tblBatidas[Data e hora],MATCH("B"&amp;MID($A370,2,99),tblBatidas[Batida ID],0)))*24,"")</f>
        <v>3.7530555555713363</v>
      </c>
      <c r="L370">
        <f>IFERROR(INDEX(tblBatidas[Observação],MATCH("B"&amp;MID($A370,2,99),tblBatidas[Início vinculado],0)),"")</f>
        <v>0</v>
      </c>
      <c r="M370" t="str">
        <f>IFERROR(INDEX(tblPessoas[Base],MATCH(E370,tblPessoas[ID],0)),"")</f>
        <v>Hora</v>
      </c>
      <c r="N370" s="3">
        <f>IFERROR(IF(D370="DIA ÚTIL",INDEX(tblPessoas[R$/h útil],MATCH(E370,tblPessoas[ID],0)),INDEX(tblPessoas[R$/h FDS],MATCH(E370,tblPessoas[ID],0))),0)</f>
        <v>23.5</v>
      </c>
      <c r="O370" s="3">
        <f>IFERROR(INDEX(tblPessoas[R$/diária],MATCH(E370,tblPessoas[ID],0)),0)</f>
        <v>0</v>
      </c>
      <c r="P370" s="3">
        <f t="shared" si="22"/>
        <v>88.196805555926403</v>
      </c>
      <c r="Q370" t="str">
        <f>IF(A370="","",IF(COUNTIF(tblBatidas[Início vinculado],"B"&amp;MID($A370,2,99))=0,"EM ABERTO",IF(OR(COUNTIF(tblBatidas[Início vinculado],"B"&amp;MID($A370,2,99))&gt;1,K370&lt;0,K370&gt;16,INT(INDEX(tblBatidas[Data e hora],MATCH("B"&amp;MID($A370,2,99),tblBatidas[Início vinculado],0)))&lt;&gt;B370,INDEX(tblBatidas[ID],MATCH("B"&amp;MID($A370,2,99),tblBatidas[Início vinculado],0))&lt;&gt;E370,INDEX(tblBatidas[Projeto],MATCH("B"&amp;MID($A370,2,99),tblBatidas[Início vinculado],0))&lt;&gt;G370,INDEX(tblBatidas[Atividade],MATCH("B"&amp;MID($A370,2,99),tblBatidas[Início vinculado],0))&lt;&gt;H370),"REVISAR","CONCLUÍDO")))</f>
        <v>CONCLUÍDO</v>
      </c>
      <c r="R370">
        <f>IF(Q370&lt;&gt;"CONCLUÍDO",0,IF(COUNTIFS($E$5:E370,E370,$B$5:B370,B370,$Q$5:Q370,"CONCLUÍDO")=1,1,0))</f>
        <v>0</v>
      </c>
      <c r="S370" t="str">
        <f t="shared" si="23"/>
        <v>yyyy-09</v>
      </c>
      <c r="T370">
        <f>IF(E370="","",E370*100000+COUNTIFS(tblRegistros[ID],E370,tblRegistros[Data],"&lt;"&amp;B370)+COUNTIFS(tblRegistros[ID],E370,tblRegistros[Data],B370,tblRegistros[Início],"&lt;"&amp;I370)+COUNTIFS($E$5:E370,E370,$B$5:B370,B370,$I$5:I370,I370))</f>
        <v>101300040</v>
      </c>
    </row>
    <row r="371" spans="1:20">
      <c r="A371" t="s">
        <v>462</v>
      </c>
      <c r="B371" s="2">
        <f>IFERROR(INT(INDEX(tblBatidas[Data e hora],MATCH("B"&amp;MID($A371,2,99),tblBatidas[Batida ID],0))),"")</f>
        <v>46284</v>
      </c>
      <c r="C371" t="str">
        <f t="shared" si="20"/>
        <v>SÁBADO</v>
      </c>
      <c r="D371" t="str">
        <f t="shared" si="21"/>
        <v>FDS/FERIADO</v>
      </c>
      <c r="E371">
        <f>IFERROR(INDEX(tblBatidas[ID],MATCH("B"&amp;MID($A371,2,99),tblBatidas[Batida ID],0)),"")</f>
        <v>1003</v>
      </c>
      <c r="F371" t="str">
        <f>IFERROR(INDEX(tblPessoas[Pessoa],MATCH(E371,tblPessoas[ID],0)),"")</f>
        <v>Amanda do Carmo Ribeiro</v>
      </c>
      <c r="G371" t="str">
        <f>IFERROR(INDEX(tblBatidas[Projeto],MATCH("B"&amp;MID($A371,2,99),tblBatidas[Batida ID],0)),"")</f>
        <v>TOOLKIT</v>
      </c>
      <c r="H371" t="str">
        <f>IFERROR(INDEX(tblBatidas[Atividade],MATCH("B"&amp;MID($A371,2,99),tblBatidas[Batida ID],0)),"")</f>
        <v>ANÁLISE</v>
      </c>
      <c r="I371" s="4">
        <f>IFERROR(MOD(INDEX(tblBatidas[Data e hora],MATCH("B"&amp;MID($A371,2,99),tblBatidas[Batida ID],0)),1),"")</f>
        <v>0.54142361111007631</v>
      </c>
      <c r="J371" s="4" t="str">
        <f>IFERROR(MOD(INDEX(tblBatidas[Data e hora],MATCH("B"&amp;MID($A371,2,99),tblBatidas[Início vinculado],0)),1),"")</f>
        <v/>
      </c>
      <c r="K371" s="14" t="str">
        <f>IFERROR((INDEX(tblBatidas[Data e hora],MATCH("B"&amp;MID($A371,2,99),tblBatidas[Início vinculado],0))-INDEX(tblBatidas[Data e hora],MATCH("B"&amp;MID($A371,2,99),tblBatidas[Batida ID],0)))*24,"")</f>
        <v/>
      </c>
      <c r="L371" t="str">
        <f>IFERROR(INDEX(tblBatidas[Observação],MATCH("B"&amp;MID($A371,2,99),tblBatidas[Início vinculado],0)),"")</f>
        <v/>
      </c>
      <c r="M371" t="str">
        <f>IFERROR(INDEX(tblPessoas[Base],MATCH(E371,tblPessoas[ID],0)),"")</f>
        <v>Hora</v>
      </c>
      <c r="N371" s="3">
        <f>IFERROR(IF(D371="DIA ÚTIL",INDEX(tblPessoas[R$/h útil],MATCH(E371,tblPessoas[ID],0)),INDEX(tblPessoas[R$/h FDS],MATCH(E371,tblPessoas[ID],0))),0)</f>
        <v>23.5</v>
      </c>
      <c r="O371" s="3">
        <f>IFERROR(INDEX(tblPessoas[R$/diária],MATCH(E371,tblPessoas[ID],0)),0)</f>
        <v>0</v>
      </c>
      <c r="P371" s="3" t="str">
        <f t="shared" si="22"/>
        <v/>
      </c>
      <c r="Q371" t="str">
        <f>IF(A371="","",IF(COUNTIF(tblBatidas[Início vinculado],"B"&amp;MID($A371,2,99))=0,"EM ABERTO",IF(OR(COUNTIF(tblBatidas[Início vinculado],"B"&amp;MID($A371,2,99))&gt;1,K371&lt;0,K371&gt;16,INT(INDEX(tblBatidas[Data e hora],MATCH("B"&amp;MID($A371,2,99),tblBatidas[Início vinculado],0)))&lt;&gt;B371,INDEX(tblBatidas[ID],MATCH("B"&amp;MID($A371,2,99),tblBatidas[Início vinculado],0))&lt;&gt;E371,INDEX(tblBatidas[Projeto],MATCH("B"&amp;MID($A371,2,99),tblBatidas[Início vinculado],0))&lt;&gt;G371,INDEX(tblBatidas[Atividade],MATCH("B"&amp;MID($A371,2,99),tblBatidas[Início vinculado],0))&lt;&gt;H371),"REVISAR","CONCLUÍDO")))</f>
        <v>EM ABERTO</v>
      </c>
      <c r="R371">
        <f>IF(Q371&lt;&gt;"CONCLUÍDO",0,IF(COUNTIFS($E$5:E371,E371,$B$5:B371,B371,$Q$5:Q371,"CONCLUÍDO")=1,1,0))</f>
        <v>0</v>
      </c>
      <c r="S371" t="str">
        <f t="shared" si="23"/>
        <v>yyyy-09</v>
      </c>
      <c r="T371">
        <f>IF(E371="","",E371*100000+COUNTIFS(tblRegistros[ID],E371,tblRegistros[Data],"&lt;"&amp;B371)+COUNTIFS(tblRegistros[ID],E371,tblRegistros[Data],B371,tblRegistros[Início],"&lt;"&amp;I371)+COUNTIFS($E$5:E371,E371,$B$5:B371,B371,$I$5:I371,I371))</f>
        <v>100300042</v>
      </c>
    </row>
    <row r="372" spans="1:20">
      <c r="A372" t="s">
        <v>463</v>
      </c>
      <c r="B372" s="2">
        <f>IFERROR(INT(INDEX(tblBatidas[Data e hora],MATCH("B"&amp;MID($A372,2,99),tblBatidas[Batida ID],0))),"")</f>
        <v>46284</v>
      </c>
      <c r="C372" t="str">
        <f t="shared" si="20"/>
        <v>SÁBADO</v>
      </c>
      <c r="D372" t="str">
        <f t="shared" si="21"/>
        <v>FDS/FERIADO</v>
      </c>
      <c r="E372">
        <f>IFERROR(INDEX(tblBatidas[ID],MATCH("B"&amp;MID($A372,2,99),tblBatidas[Batida ID],0)),"")</f>
        <v>1002</v>
      </c>
      <c r="F372" t="str">
        <f>IFERROR(INDEX(tblPessoas[Pessoa],MATCH(E372,tblPessoas[ID],0)),"")</f>
        <v>Alex de Almeida Mariano</v>
      </c>
      <c r="G372" t="str">
        <f>IFERROR(INDEX(tblBatidas[Projeto],MATCH("B"&amp;MID($A372,2,99),tblBatidas[Batida ID],0)),"")</f>
        <v>TOOLKIT</v>
      </c>
      <c r="H372" t="str">
        <f>IFERROR(INDEX(tblBatidas[Atividade],MATCH("B"&amp;MID($A372,2,99),tblBatidas[Batida ID],0)),"")</f>
        <v>ANÁLISE</v>
      </c>
      <c r="I372" s="4">
        <f>IFERROR(MOD(INDEX(tblBatidas[Data e hora],MATCH("B"&amp;MID($A372,2,99),tblBatidas[Batida ID],0)),1),"")</f>
        <v>0.59400462963094469</v>
      </c>
      <c r="J372" s="4">
        <f>IFERROR(MOD(INDEX(tblBatidas[Data e hora],MATCH("B"&amp;MID($A372,2,99),tblBatidas[Início vinculado],0)),1),"")</f>
        <v>0.67712962962832535</v>
      </c>
      <c r="K372" s="14">
        <f>IFERROR((INDEX(tblBatidas[Data e hora],MATCH("B"&amp;MID($A372,2,99),tblBatidas[Início vinculado],0))-INDEX(tblBatidas[Data e hora],MATCH("B"&amp;MID($A372,2,99),tblBatidas[Batida ID],0)))*24,"")</f>
        <v>1.9949999999371357</v>
      </c>
      <c r="L372">
        <f>IFERROR(INDEX(tblBatidas[Observação],MATCH("B"&amp;MID($A372,2,99),tblBatidas[Início vinculado],0)),"")</f>
        <v>0</v>
      </c>
      <c r="M372" t="str">
        <f>IFERROR(INDEX(tblPessoas[Base],MATCH(E372,tblPessoas[ID],0)),"")</f>
        <v>Hora</v>
      </c>
      <c r="N372" s="3">
        <f>IFERROR(IF(D372="DIA ÚTIL",INDEX(tblPessoas[R$/h útil],MATCH(E372,tblPessoas[ID],0)),INDEX(tblPessoas[R$/h FDS],MATCH(E372,tblPessoas[ID],0))),0)</f>
        <v>23.5</v>
      </c>
      <c r="O372" s="3">
        <f>IFERROR(INDEX(tblPessoas[R$/diária],MATCH(E372,tblPessoas[ID],0)),0)</f>
        <v>0</v>
      </c>
      <c r="P372" s="3">
        <f t="shared" si="22"/>
        <v>46.88249999852269</v>
      </c>
      <c r="Q372" t="str">
        <f>IF(A372="","",IF(COUNTIF(tblBatidas[Início vinculado],"B"&amp;MID($A372,2,99))=0,"EM ABERTO",IF(OR(COUNTIF(tblBatidas[Início vinculado],"B"&amp;MID($A372,2,99))&gt;1,K372&lt;0,K372&gt;16,INT(INDEX(tblBatidas[Data e hora],MATCH("B"&amp;MID($A372,2,99),tblBatidas[Início vinculado],0)))&lt;&gt;B372,INDEX(tblBatidas[ID],MATCH("B"&amp;MID($A372,2,99),tblBatidas[Início vinculado],0))&lt;&gt;E372,INDEX(tblBatidas[Projeto],MATCH("B"&amp;MID($A372,2,99),tblBatidas[Início vinculado],0))&lt;&gt;G372,INDEX(tblBatidas[Atividade],MATCH("B"&amp;MID($A372,2,99),tblBatidas[Início vinculado],0))&lt;&gt;H372),"REVISAR","CONCLUÍDO")))</f>
        <v>CONCLUÍDO</v>
      </c>
      <c r="R372">
        <f>IF(Q372&lt;&gt;"CONCLUÍDO",0,IF(COUNTIFS($E$5:E372,E372,$B$5:B372,B372,$Q$5:Q372,"CONCLUÍDO")=1,1,0))</f>
        <v>1</v>
      </c>
      <c r="S372" t="str">
        <f t="shared" si="23"/>
        <v>yyyy-09</v>
      </c>
      <c r="T372">
        <f>IF(E372="","",E372*100000+COUNTIFS(tblRegistros[ID],E372,tblRegistros[Data],"&lt;"&amp;B372)+COUNTIFS(tblRegistros[ID],E372,tblRegistros[Data],B372,tblRegistros[Início],"&lt;"&amp;I372)+COUNTIFS($E$5:E372,E372,$B$5:B372,B372,$I$5:I372,I372))</f>
        <v>100200031</v>
      </c>
    </row>
    <row r="373" spans="1:20">
      <c r="A373" t="s">
        <v>464</v>
      </c>
      <c r="B373" s="2">
        <f>IFERROR(INT(INDEX(tblBatidas[Data e hora],MATCH("B"&amp;MID($A373,2,99),tblBatidas[Batida ID],0))),"")</f>
        <v>46284</v>
      </c>
      <c r="C373" t="str">
        <f t="shared" si="20"/>
        <v>SÁBADO</v>
      </c>
      <c r="D373" t="str">
        <f t="shared" si="21"/>
        <v>FDS/FERIADO</v>
      </c>
      <c r="E373">
        <f>IFERROR(INDEX(tblBatidas[ID],MATCH("B"&amp;MID($A373,2,99),tblBatidas[Batida ID],0)),"")</f>
        <v>1011</v>
      </c>
      <c r="F373" t="str">
        <f>IFERROR(INDEX(tblPessoas[Pessoa],MATCH(E373,tblPessoas[ID],0)),"")</f>
        <v>Nathalia Arruda</v>
      </c>
      <c r="G373" t="str">
        <f>IFERROR(INDEX(tblBatidas[Projeto],MATCH("B"&amp;MID($A373,2,99),tblBatidas[Batida ID],0)),"")</f>
        <v>BETIM - TRACKING</v>
      </c>
      <c r="H373" t="str">
        <f>IFERROR(INDEX(tblBatidas[Atividade],MATCH("B"&amp;MID($A373,2,99),tblBatidas[Batida ID],0)),"")</f>
        <v>ANÁLISE</v>
      </c>
      <c r="I373" s="4">
        <f>IFERROR(MOD(INDEX(tblBatidas[Data e hora],MATCH("B"&amp;MID($A373,2,99),tblBatidas[Batida ID],0)),1),"")</f>
        <v>0.64780092592263827</v>
      </c>
      <c r="J373" s="4">
        <f>IFERROR(MOD(INDEX(tblBatidas[Data e hora],MATCH("B"&amp;MID($A373,2,99),tblBatidas[Início vinculado],0)),1),"")</f>
        <v>0.70072916666686069</v>
      </c>
      <c r="K373" s="14">
        <f>IFERROR((INDEX(tblBatidas[Data e hora],MATCH("B"&amp;MID($A373,2,99),tblBatidas[Início vinculado],0))-INDEX(tblBatidas[Data e hora],MATCH("B"&amp;MID($A373,2,99),tblBatidas[Batida ID],0)))*24,"")</f>
        <v>1.2702777778613381</v>
      </c>
      <c r="L373">
        <f>IFERROR(INDEX(tblBatidas[Observação],MATCH("B"&amp;MID($A373,2,99),tblBatidas[Início vinculado],0)),"")</f>
        <v>0</v>
      </c>
      <c r="M373" t="str">
        <f>IFERROR(INDEX(tblPessoas[Base],MATCH(E373,tblPessoas[ID],0)),"")</f>
        <v>Hora</v>
      </c>
      <c r="N373" s="3">
        <f>IFERROR(IF(D373="DIA ÚTIL",INDEX(tblPessoas[R$/h útil],MATCH(E373,tblPessoas[ID],0)),INDEX(tblPessoas[R$/h FDS],MATCH(E373,tblPessoas[ID],0))),0)</f>
        <v>23.5</v>
      </c>
      <c r="O373" s="3">
        <f>IFERROR(INDEX(tblPessoas[R$/diária],MATCH(E373,tblPessoas[ID],0)),0)</f>
        <v>0</v>
      </c>
      <c r="P373" s="3">
        <f t="shared" si="22"/>
        <v>29.851527779741446</v>
      </c>
      <c r="Q373" t="str">
        <f>IF(A373="","",IF(COUNTIF(tblBatidas[Início vinculado],"B"&amp;MID($A373,2,99))=0,"EM ABERTO",IF(OR(COUNTIF(tblBatidas[Início vinculado],"B"&amp;MID($A373,2,99))&gt;1,K373&lt;0,K373&gt;16,INT(INDEX(tblBatidas[Data e hora],MATCH("B"&amp;MID($A373,2,99),tblBatidas[Início vinculado],0)))&lt;&gt;B373,INDEX(tblBatidas[ID],MATCH("B"&amp;MID($A373,2,99),tblBatidas[Início vinculado],0))&lt;&gt;E373,INDEX(tblBatidas[Projeto],MATCH("B"&amp;MID($A373,2,99),tblBatidas[Início vinculado],0))&lt;&gt;G373,INDEX(tblBatidas[Atividade],MATCH("B"&amp;MID($A373,2,99),tblBatidas[Início vinculado],0))&lt;&gt;H373),"REVISAR","CONCLUÍDO")))</f>
        <v>CONCLUÍDO</v>
      </c>
      <c r="R373">
        <f>IF(Q373&lt;&gt;"CONCLUÍDO",0,IF(COUNTIFS($E$5:E373,E373,$B$5:B373,B373,$Q$5:Q373,"CONCLUÍDO")=1,1,0))</f>
        <v>0</v>
      </c>
      <c r="S373" t="str">
        <f t="shared" si="23"/>
        <v>yyyy-09</v>
      </c>
      <c r="T373">
        <f>IF(E373="","",E373*100000+COUNTIFS(tblRegistros[ID],E373,tblRegistros[Data],"&lt;"&amp;B373)+COUNTIFS(tblRegistros[ID],E373,tblRegistros[Data],B373,tblRegistros[Início],"&lt;"&amp;I373)+COUNTIFS($E$5:E373,E373,$B$5:B373,B373,$I$5:I373,I373))</f>
        <v>101100039</v>
      </c>
    </row>
    <row r="374" spans="1:20">
      <c r="A374" t="s">
        <v>465</v>
      </c>
      <c r="B374" s="2">
        <f>IFERROR(INT(INDEX(tblBatidas[Data e hora],MATCH("B"&amp;MID($A374,2,99),tblBatidas[Batida ID],0))),"")</f>
        <v>46285</v>
      </c>
      <c r="C374" t="str">
        <f t="shared" si="20"/>
        <v>DOMINGO</v>
      </c>
      <c r="D374" t="str">
        <f t="shared" si="21"/>
        <v>FDS/FERIADO</v>
      </c>
      <c r="E374">
        <f>IFERROR(INDEX(tblBatidas[ID],MATCH("B"&amp;MID($A374,2,99),tblBatidas[Batida ID],0)),"")</f>
        <v>1003</v>
      </c>
      <c r="F374" t="str">
        <f>IFERROR(INDEX(tblPessoas[Pessoa],MATCH(E374,tblPessoas[ID],0)),"")</f>
        <v>Amanda do Carmo Ribeiro</v>
      </c>
      <c r="G374" t="str">
        <f>IFERROR(INDEX(tblBatidas[Projeto],MATCH("B"&amp;MID($A374,2,99),tblBatidas[Batida ID],0)),"")</f>
        <v>OTEMPO</v>
      </c>
      <c r="H374" t="str">
        <f>IFERROR(INDEX(tblBatidas[Atividade],MATCH("B"&amp;MID($A374,2,99),tblBatidas[Batida ID],0)),"")</f>
        <v>ANÁLISE</v>
      </c>
      <c r="I374" s="4">
        <f>IFERROR(MOD(INDEX(tblBatidas[Data e hora],MATCH("B"&amp;MID($A374,2,99),tblBatidas[Batida ID],0)),1),"")</f>
        <v>0.54521990740613546</v>
      </c>
      <c r="J374" s="4">
        <f>IFERROR(MOD(INDEX(tblBatidas[Data e hora],MATCH("B"&amp;MID($A374,2,99),tblBatidas[Início vinculado],0)),1),"")</f>
        <v>0.75187500000174623</v>
      </c>
      <c r="K374" s="14">
        <f>IFERROR((INDEX(tblBatidas[Data e hora],MATCH("B"&amp;MID($A374,2,99),tblBatidas[Início vinculado],0))-INDEX(tblBatidas[Data e hora],MATCH("B"&amp;MID($A374,2,99),tblBatidas[Batida ID],0)))*24,"")</f>
        <v>4.9597222222946584</v>
      </c>
      <c r="L374">
        <f>IFERROR(INDEX(tblBatidas[Observação],MATCH("B"&amp;MID($A374,2,99),tblBatidas[Início vinculado],0)),"")</f>
        <v>0</v>
      </c>
      <c r="M374" t="str">
        <f>IFERROR(INDEX(tblPessoas[Base],MATCH(E374,tblPessoas[ID],0)),"")</f>
        <v>Hora</v>
      </c>
      <c r="N374" s="3">
        <f>IFERROR(IF(D374="DIA ÚTIL",INDEX(tblPessoas[R$/h útil],MATCH(E374,tblPessoas[ID],0)),INDEX(tblPessoas[R$/h FDS],MATCH(E374,tblPessoas[ID],0))),0)</f>
        <v>23.5</v>
      </c>
      <c r="O374" s="3">
        <f>IFERROR(INDEX(tblPessoas[R$/diária],MATCH(E374,tblPessoas[ID],0)),0)</f>
        <v>0</v>
      </c>
      <c r="P374" s="3">
        <f t="shared" si="22"/>
        <v>116.55347222392447</v>
      </c>
      <c r="Q374" t="str">
        <f>IF(A374="","",IF(COUNTIF(tblBatidas[Início vinculado],"B"&amp;MID($A374,2,99))=0,"EM ABERTO",IF(OR(COUNTIF(tblBatidas[Início vinculado],"B"&amp;MID($A374,2,99))&gt;1,K374&lt;0,K374&gt;16,INT(INDEX(tblBatidas[Data e hora],MATCH("B"&amp;MID($A374,2,99),tblBatidas[Início vinculado],0)))&lt;&gt;B374,INDEX(tblBatidas[ID],MATCH("B"&amp;MID($A374,2,99),tblBatidas[Início vinculado],0))&lt;&gt;E374,INDEX(tblBatidas[Projeto],MATCH("B"&amp;MID($A374,2,99),tblBatidas[Início vinculado],0))&lt;&gt;G374,INDEX(tblBatidas[Atividade],MATCH("B"&amp;MID($A374,2,99),tblBatidas[Início vinculado],0))&lt;&gt;H374),"REVISAR","CONCLUÍDO")))</f>
        <v>CONCLUÍDO</v>
      </c>
      <c r="R374">
        <f>IF(Q374&lt;&gt;"CONCLUÍDO",0,IF(COUNTIFS($E$5:E374,E374,$B$5:B374,B374,$Q$5:Q374,"CONCLUÍDO")=1,1,0))</f>
        <v>1</v>
      </c>
      <c r="S374" t="str">
        <f t="shared" si="23"/>
        <v>yyyy-09</v>
      </c>
      <c r="T374">
        <f>IF(E374="","",E374*100000+COUNTIFS(tblRegistros[ID],E374,tblRegistros[Data],"&lt;"&amp;B374)+COUNTIFS(tblRegistros[ID],E374,tblRegistros[Data],B374,tblRegistros[Início],"&lt;"&amp;I374)+COUNTIFS($E$5:E374,E374,$B$5:B374,B374,$I$5:I374,I374))</f>
        <v>100300043</v>
      </c>
    </row>
    <row r="375" spans="1:20">
      <c r="A375" t="s">
        <v>466</v>
      </c>
      <c r="B375" s="2">
        <f>IFERROR(INT(INDEX(tblBatidas[Data e hora],MATCH("B"&amp;MID($A375,2,99),tblBatidas[Batida ID],0))),"")</f>
        <v>46286</v>
      </c>
      <c r="C375" t="str">
        <f t="shared" si="20"/>
        <v>SEGUNDA-FEIRA</v>
      </c>
      <c r="D375" t="str">
        <f t="shared" si="21"/>
        <v>DIA ÚTIL</v>
      </c>
      <c r="E375">
        <f>IFERROR(INDEX(tblBatidas[ID],MATCH("B"&amp;MID($A375,2,99),tblBatidas[Batida ID],0)),"")</f>
        <v>1003</v>
      </c>
      <c r="F375" t="str">
        <f>IFERROR(INDEX(tblPessoas[Pessoa],MATCH(E375,tblPessoas[ID],0)),"")</f>
        <v>Amanda do Carmo Ribeiro</v>
      </c>
      <c r="G375" t="str">
        <f>IFERROR(INDEX(tblBatidas[Projeto],MATCH("B"&amp;MID($A375,2,99),tblBatidas[Batida ID],0)),"")</f>
        <v>OTEMPO</v>
      </c>
      <c r="H375" t="str">
        <f>IFERROR(INDEX(tblBatidas[Atividade],MATCH("B"&amp;MID($A375,2,99),tblBatidas[Batida ID],0)),"")</f>
        <v>ANÁLISE</v>
      </c>
      <c r="I375" s="4">
        <f>IFERROR(MOD(INDEX(tblBatidas[Data e hora],MATCH("B"&amp;MID($A375,2,99),tblBatidas[Batida ID],0)),1),"")</f>
        <v>0.30800925925723277</v>
      </c>
      <c r="J375" s="4">
        <f>IFERROR(MOD(INDEX(tblBatidas[Data e hora],MATCH("B"&amp;MID($A375,2,99),tblBatidas[Início vinculado],0)),1),"")</f>
        <v>0.57214120370190358</v>
      </c>
      <c r="K375" s="14">
        <f>IFERROR((INDEX(tblBatidas[Data e hora],MATCH("B"&amp;MID($A375,2,99),tblBatidas[Início vinculado],0))-INDEX(tblBatidas[Data e hora],MATCH("B"&amp;MID($A375,2,99),tblBatidas[Batida ID],0)))*24,"")</f>
        <v>6.3391666666720994</v>
      </c>
      <c r="L375">
        <f>IFERROR(INDEX(tblBatidas[Observação],MATCH("B"&amp;MID($A375,2,99),tblBatidas[Início vinculado],0)),"")</f>
        <v>0</v>
      </c>
      <c r="M375" t="str">
        <f>IFERROR(INDEX(tblPessoas[Base],MATCH(E375,tblPessoas[ID],0)),"")</f>
        <v>Hora</v>
      </c>
      <c r="N375" s="3">
        <f>IFERROR(IF(D375="DIA ÚTIL",INDEX(tblPessoas[R$/h útil],MATCH(E375,tblPessoas[ID],0)),INDEX(tblPessoas[R$/h FDS],MATCH(E375,tblPessoas[ID],0))),0)</f>
        <v>23.5</v>
      </c>
      <c r="O375" s="3">
        <f>IFERROR(INDEX(tblPessoas[R$/diária],MATCH(E375,tblPessoas[ID],0)),0)</f>
        <v>0</v>
      </c>
      <c r="P375" s="3">
        <f t="shared" si="22"/>
        <v>148.97041666679434</v>
      </c>
      <c r="Q375" t="str">
        <f>IF(A375="","",IF(COUNTIF(tblBatidas[Início vinculado],"B"&amp;MID($A375,2,99))=0,"EM ABERTO",IF(OR(COUNTIF(tblBatidas[Início vinculado],"B"&amp;MID($A375,2,99))&gt;1,K375&lt;0,K375&gt;16,INT(INDEX(tblBatidas[Data e hora],MATCH("B"&amp;MID($A375,2,99),tblBatidas[Início vinculado],0)))&lt;&gt;B375,INDEX(tblBatidas[ID],MATCH("B"&amp;MID($A375,2,99),tblBatidas[Início vinculado],0))&lt;&gt;E375,INDEX(tblBatidas[Projeto],MATCH("B"&amp;MID($A375,2,99),tblBatidas[Início vinculado],0))&lt;&gt;G375,INDEX(tblBatidas[Atividade],MATCH("B"&amp;MID($A375,2,99),tblBatidas[Início vinculado],0))&lt;&gt;H375),"REVISAR","CONCLUÍDO")))</f>
        <v>CONCLUÍDO</v>
      </c>
      <c r="R375">
        <f>IF(Q375&lt;&gt;"CONCLUÍDO",0,IF(COUNTIFS($E$5:E375,E375,$B$5:B375,B375,$Q$5:Q375,"CONCLUÍDO")=1,1,0))</f>
        <v>1</v>
      </c>
      <c r="S375" t="str">
        <f t="shared" si="23"/>
        <v>yyyy-09</v>
      </c>
      <c r="T375">
        <f>IF(E375="","",E375*100000+COUNTIFS(tblRegistros[ID],E375,tblRegistros[Data],"&lt;"&amp;B375)+COUNTIFS(tblRegistros[ID],E375,tblRegistros[Data],B375,tblRegistros[Início],"&lt;"&amp;I375)+COUNTIFS($E$5:E375,E375,$B$5:B375,B375,$I$5:I375,I375))</f>
        <v>100300044</v>
      </c>
    </row>
    <row r="376" spans="1:20">
      <c r="A376" t="s">
        <v>467</v>
      </c>
      <c r="B376" s="2">
        <f>IFERROR(INT(INDEX(tblBatidas[Data e hora],MATCH("B"&amp;MID($A376,2,99),tblBatidas[Batida ID],0))),"")</f>
        <v>46286</v>
      </c>
      <c r="C376" t="str">
        <f t="shared" si="20"/>
        <v>SEGUNDA-FEIRA</v>
      </c>
      <c r="D376" t="str">
        <f t="shared" si="21"/>
        <v>DIA ÚTIL</v>
      </c>
      <c r="E376">
        <f>IFERROR(INDEX(tblBatidas[ID],MATCH("B"&amp;MID($A376,2,99),tblBatidas[Batida ID],0)),"")</f>
        <v>1011</v>
      </c>
      <c r="F376" t="str">
        <f>IFERROR(INDEX(tblPessoas[Pessoa],MATCH(E376,tblPessoas[ID],0)),"")</f>
        <v>Nathalia Arruda</v>
      </c>
      <c r="G376" t="str">
        <f>IFERROR(INDEX(tblBatidas[Projeto],MATCH("B"&amp;MID($A376,2,99),tblBatidas[Batida ID],0)),"")</f>
        <v>OTEMPO</v>
      </c>
      <c r="H376" t="str">
        <f>IFERROR(INDEX(tblBatidas[Atividade],MATCH("B"&amp;MID($A376,2,99),tblBatidas[Batida ID],0)),"")</f>
        <v>ANÁLISE</v>
      </c>
      <c r="I376" s="4">
        <f>IFERROR(MOD(INDEX(tblBatidas[Data e hora],MATCH("B"&amp;MID($A376,2,99),tblBatidas[Batida ID],0)),1),"")</f>
        <v>0.33805555555591127</v>
      </c>
      <c r="J376" s="4">
        <f>IFERROR(MOD(INDEX(tblBatidas[Data e hora],MATCH("B"&amp;MID($A376,2,99),tblBatidas[Início vinculado],0)),1),"")</f>
        <v>0.50407407407328719</v>
      </c>
      <c r="K376" s="14">
        <f>IFERROR((INDEX(tblBatidas[Data e hora],MATCH("B"&amp;MID($A376,2,99),tblBatidas[Início vinculado],0))-INDEX(tblBatidas[Data e hora],MATCH("B"&amp;MID($A376,2,99),tblBatidas[Batida ID],0)))*24,"")</f>
        <v>3.9844444444170222</v>
      </c>
      <c r="L376">
        <f>IFERROR(INDEX(tblBatidas[Observação],MATCH("B"&amp;MID($A376,2,99),tblBatidas[Início vinculado],0)),"")</f>
        <v>0</v>
      </c>
      <c r="M376" t="str">
        <f>IFERROR(INDEX(tblPessoas[Base],MATCH(E376,tblPessoas[ID],0)),"")</f>
        <v>Hora</v>
      </c>
      <c r="N376" s="3">
        <f>IFERROR(IF(D376="DIA ÚTIL",INDEX(tblPessoas[R$/h útil],MATCH(E376,tblPessoas[ID],0)),INDEX(tblPessoas[R$/h FDS],MATCH(E376,tblPessoas[ID],0))),0)</f>
        <v>23.5</v>
      </c>
      <c r="O376" s="3">
        <f>IFERROR(INDEX(tblPessoas[R$/diária],MATCH(E376,tblPessoas[ID],0)),0)</f>
        <v>0</v>
      </c>
      <c r="P376" s="3">
        <f t="shared" si="22"/>
        <v>93.634444443800021</v>
      </c>
      <c r="Q376" t="str">
        <f>IF(A376="","",IF(COUNTIF(tblBatidas[Início vinculado],"B"&amp;MID($A376,2,99))=0,"EM ABERTO",IF(OR(COUNTIF(tblBatidas[Início vinculado],"B"&amp;MID($A376,2,99))&gt;1,K376&lt;0,K376&gt;16,INT(INDEX(tblBatidas[Data e hora],MATCH("B"&amp;MID($A376,2,99),tblBatidas[Início vinculado],0)))&lt;&gt;B376,INDEX(tblBatidas[ID],MATCH("B"&amp;MID($A376,2,99),tblBatidas[Início vinculado],0))&lt;&gt;E376,INDEX(tblBatidas[Projeto],MATCH("B"&amp;MID($A376,2,99),tblBatidas[Início vinculado],0))&lt;&gt;G376,INDEX(tblBatidas[Atividade],MATCH("B"&amp;MID($A376,2,99),tblBatidas[Início vinculado],0))&lt;&gt;H376),"REVISAR","CONCLUÍDO")))</f>
        <v>CONCLUÍDO</v>
      </c>
      <c r="R376">
        <f>IF(Q376&lt;&gt;"CONCLUÍDO",0,IF(COUNTIFS($E$5:E376,E376,$B$5:B376,B376,$Q$5:Q376,"CONCLUÍDO")=1,1,0))</f>
        <v>1</v>
      </c>
      <c r="S376" t="str">
        <f t="shared" si="23"/>
        <v>yyyy-09</v>
      </c>
      <c r="T376">
        <f>IF(E376="","",E376*100000+COUNTIFS(tblRegistros[ID],E376,tblRegistros[Data],"&lt;"&amp;B376)+COUNTIFS(tblRegistros[ID],E376,tblRegistros[Data],B376,tblRegistros[Início],"&lt;"&amp;I376)+COUNTIFS($E$5:E376,E376,$B$5:B376,B376,$I$5:I376,I376))</f>
        <v>101100040</v>
      </c>
    </row>
    <row r="377" spans="1:20">
      <c r="A377" t="s">
        <v>468</v>
      </c>
      <c r="B377" s="2">
        <f>IFERROR(INT(INDEX(tblBatidas[Data e hora],MATCH("B"&amp;MID($A377,2,99),tblBatidas[Batida ID],0))),"")</f>
        <v>46286</v>
      </c>
      <c r="C377" t="str">
        <f t="shared" si="20"/>
        <v>SEGUNDA-FEIRA</v>
      </c>
      <c r="D377" t="str">
        <f t="shared" si="21"/>
        <v>DIA ÚTIL</v>
      </c>
      <c r="E377">
        <f>IFERROR(INDEX(tblBatidas[ID],MATCH("B"&amp;MID($A377,2,99),tblBatidas[Batida ID],0)),"")</f>
        <v>1002</v>
      </c>
      <c r="F377" t="str">
        <f>IFERROR(INDEX(tblPessoas[Pessoa],MATCH(E377,tblPessoas[ID],0)),"")</f>
        <v>Alex de Almeida Mariano</v>
      </c>
      <c r="G377" t="str">
        <f>IFERROR(INDEX(tblBatidas[Projeto],MATCH("B"&amp;MID($A377,2,99),tblBatidas[Batida ID],0)),"")</f>
        <v>TOOLKIT</v>
      </c>
      <c r="H377" t="str">
        <f>IFERROR(INDEX(tblBatidas[Atividade],MATCH("B"&amp;MID($A377,2,99),tblBatidas[Batida ID],0)),"")</f>
        <v>ANÁLISE</v>
      </c>
      <c r="I377" s="4">
        <f>IFERROR(MOD(INDEX(tblBatidas[Data e hora],MATCH("B"&amp;MID($A377,2,99),tblBatidas[Batida ID],0)),1),"")</f>
        <v>0.34487268518569181</v>
      </c>
      <c r="J377" s="4">
        <f>IFERROR(MOD(INDEX(tblBatidas[Data e hora],MATCH("B"&amp;MID($A377,2,99),tblBatidas[Início vinculado],0)),1),"")</f>
        <v>0.51094907407241408</v>
      </c>
      <c r="K377" s="14">
        <f>IFERROR((INDEX(tblBatidas[Data e hora],MATCH("B"&amp;MID($A377,2,99),tblBatidas[Início vinculado],0))-INDEX(tblBatidas[Data e hora],MATCH("B"&amp;MID($A377,2,99),tblBatidas[Batida ID],0)))*24,"")</f>
        <v>3.9858333332813345</v>
      </c>
      <c r="L377">
        <f>IFERROR(INDEX(tblBatidas[Observação],MATCH("B"&amp;MID($A377,2,99),tblBatidas[Início vinculado],0)),"")</f>
        <v>0</v>
      </c>
      <c r="M377" t="str">
        <f>IFERROR(INDEX(tblPessoas[Base],MATCH(E377,tblPessoas[ID],0)),"")</f>
        <v>Hora</v>
      </c>
      <c r="N377" s="3">
        <f>IFERROR(IF(D377="DIA ÚTIL",INDEX(tblPessoas[R$/h útil],MATCH(E377,tblPessoas[ID],0)),INDEX(tblPessoas[R$/h FDS],MATCH(E377,tblPessoas[ID],0))),0)</f>
        <v>23.5</v>
      </c>
      <c r="O377" s="3">
        <f>IFERROR(INDEX(tblPessoas[R$/diária],MATCH(E377,tblPessoas[ID],0)),0)</f>
        <v>0</v>
      </c>
      <c r="P377" s="3">
        <f t="shared" si="22"/>
        <v>93.667083332111361</v>
      </c>
      <c r="Q377" t="str">
        <f>IF(A377="","",IF(COUNTIF(tblBatidas[Início vinculado],"B"&amp;MID($A377,2,99))=0,"EM ABERTO",IF(OR(COUNTIF(tblBatidas[Início vinculado],"B"&amp;MID($A377,2,99))&gt;1,K377&lt;0,K377&gt;16,INT(INDEX(tblBatidas[Data e hora],MATCH("B"&amp;MID($A377,2,99),tblBatidas[Início vinculado],0)))&lt;&gt;B377,INDEX(tblBatidas[ID],MATCH("B"&amp;MID($A377,2,99),tblBatidas[Início vinculado],0))&lt;&gt;E377,INDEX(tblBatidas[Projeto],MATCH("B"&amp;MID($A377,2,99),tblBatidas[Início vinculado],0))&lt;&gt;G377,INDEX(tblBatidas[Atividade],MATCH("B"&amp;MID($A377,2,99),tblBatidas[Início vinculado],0))&lt;&gt;H377),"REVISAR","CONCLUÍDO")))</f>
        <v>CONCLUÍDO</v>
      </c>
      <c r="R377">
        <f>IF(Q377&lt;&gt;"CONCLUÍDO",0,IF(COUNTIFS($E$5:E377,E377,$B$5:B377,B377,$Q$5:Q377,"CONCLUÍDO")=1,1,0))</f>
        <v>1</v>
      </c>
      <c r="S377" t="str">
        <f t="shared" si="23"/>
        <v>yyyy-09</v>
      </c>
      <c r="T377">
        <f>IF(E377="","",E377*100000+COUNTIFS(tblRegistros[ID],E377,tblRegistros[Data],"&lt;"&amp;B377)+COUNTIFS(tblRegistros[ID],E377,tblRegistros[Data],B377,tblRegistros[Início],"&lt;"&amp;I377)+COUNTIFS($E$5:E377,E377,$B$5:B377,B377,$I$5:I377,I377))</f>
        <v>100200032</v>
      </c>
    </row>
    <row r="378" spans="1:20">
      <c r="A378" t="s">
        <v>469</v>
      </c>
      <c r="B378" s="2">
        <f>IFERROR(INT(INDEX(tblBatidas[Data e hora],MATCH("B"&amp;MID($A378,2,99),tblBatidas[Batida ID],0))),"")</f>
        <v>46286</v>
      </c>
      <c r="C378" t="str">
        <f t="shared" si="20"/>
        <v>SEGUNDA-FEIRA</v>
      </c>
      <c r="D378" t="str">
        <f t="shared" si="21"/>
        <v>DIA ÚTIL</v>
      </c>
      <c r="E378">
        <f>IFERROR(INDEX(tblBatidas[ID],MATCH("B"&amp;MID($A378,2,99),tblBatidas[Batida ID],0)),"")</f>
        <v>1013</v>
      </c>
      <c r="F378" t="str">
        <f>IFERROR(INDEX(tblPessoas[Pessoa],MATCH(E378,tblPessoas[ID],0)),"")</f>
        <v>Rafaela Maria Resende Lara</v>
      </c>
      <c r="G378" t="str">
        <f>IFERROR(INDEX(tblBatidas[Projeto],MATCH("B"&amp;MID($A378,2,99),tblBatidas[Batida ID],0)),"")</f>
        <v>OUTROS</v>
      </c>
      <c r="H378" t="str">
        <f>IFERROR(INDEX(tblBatidas[Atividade],MATCH("B"&amp;MID($A378,2,99),tblBatidas[Batida ID],0)),"")</f>
        <v>ANÁLISE</v>
      </c>
      <c r="I378" s="4">
        <f>IFERROR(MOD(INDEX(tblBatidas[Data e hora],MATCH("B"&amp;MID($A378,2,99),tblBatidas[Batida ID],0)),1),"")</f>
        <v>0.36603009259124519</v>
      </c>
      <c r="J378" s="4">
        <f>IFERROR(MOD(INDEX(tblBatidas[Data e hora],MATCH("B"&amp;MID($A378,2,99),tblBatidas[Início vinculado],0)),1),"")</f>
        <v>0.51168981481168885</v>
      </c>
      <c r="K378" s="14">
        <f>IFERROR((INDEX(tblBatidas[Data e hora],MATCH("B"&amp;MID($A378,2,99),tblBatidas[Início vinculado],0))-INDEX(tblBatidas[Data e hora],MATCH("B"&amp;MID($A378,2,99),tblBatidas[Batida ID],0)))*24,"")</f>
        <v>3.4958333332906477</v>
      </c>
      <c r="L378" t="str">
        <f>IFERROR(INDEX(tblBatidas[Observação],MATCH("B"&amp;MID($A378,2,99),tblBatidas[Início vinculado],0)),"")</f>
        <v>Educação financeira para mulheres- BC</v>
      </c>
      <c r="M378" t="str">
        <f>IFERROR(INDEX(tblPessoas[Base],MATCH(E378,tblPessoas[ID],0)),"")</f>
        <v>Hora</v>
      </c>
      <c r="N378" s="3">
        <f>IFERROR(IF(D378="DIA ÚTIL",INDEX(tblPessoas[R$/h útil],MATCH(E378,tblPessoas[ID],0)),INDEX(tblPessoas[R$/h FDS],MATCH(E378,tblPessoas[ID],0))),0)</f>
        <v>23.5</v>
      </c>
      <c r="O378" s="3">
        <f>IFERROR(INDEX(tblPessoas[R$/diária],MATCH(E378,tblPessoas[ID],0)),0)</f>
        <v>0</v>
      </c>
      <c r="P378" s="3">
        <f t="shared" si="22"/>
        <v>82.152083332330221</v>
      </c>
      <c r="Q378" t="str">
        <f>IF(A378="","",IF(COUNTIF(tblBatidas[Início vinculado],"B"&amp;MID($A378,2,99))=0,"EM ABERTO",IF(OR(COUNTIF(tblBatidas[Início vinculado],"B"&amp;MID($A378,2,99))&gt;1,K378&lt;0,K378&gt;16,INT(INDEX(tblBatidas[Data e hora],MATCH("B"&amp;MID($A378,2,99),tblBatidas[Início vinculado],0)))&lt;&gt;B378,INDEX(tblBatidas[ID],MATCH("B"&amp;MID($A378,2,99),tblBatidas[Início vinculado],0))&lt;&gt;E378,INDEX(tblBatidas[Projeto],MATCH("B"&amp;MID($A378,2,99),tblBatidas[Início vinculado],0))&lt;&gt;G378,INDEX(tblBatidas[Atividade],MATCH("B"&amp;MID($A378,2,99),tblBatidas[Início vinculado],0))&lt;&gt;H378),"REVISAR","CONCLUÍDO")))</f>
        <v>CONCLUÍDO</v>
      </c>
      <c r="R378">
        <f>IF(Q378&lt;&gt;"CONCLUÍDO",0,IF(COUNTIFS($E$5:E378,E378,$B$5:B378,B378,$Q$5:Q378,"CONCLUÍDO")=1,1,0))</f>
        <v>1</v>
      </c>
      <c r="S378" t="str">
        <f t="shared" si="23"/>
        <v>yyyy-09</v>
      </c>
      <c r="T378">
        <f>IF(E378="","",E378*100000+COUNTIFS(tblRegistros[ID],E378,tblRegistros[Data],"&lt;"&amp;B378)+COUNTIFS(tblRegistros[ID],E378,tblRegistros[Data],B378,tblRegistros[Início],"&lt;"&amp;I378)+COUNTIFS($E$5:E378,E378,$B$5:B378,B378,$I$5:I378,I378))</f>
        <v>101300041</v>
      </c>
    </row>
    <row r="379" spans="1:20">
      <c r="A379" t="s">
        <v>470</v>
      </c>
      <c r="B379" s="2">
        <f>IFERROR(INT(INDEX(tblBatidas[Data e hora],MATCH("B"&amp;MID($A379,2,99),tblBatidas[Batida ID],0))),"")</f>
        <v>46286</v>
      </c>
      <c r="C379" t="str">
        <f t="shared" si="20"/>
        <v>SEGUNDA-FEIRA</v>
      </c>
      <c r="D379" t="str">
        <f t="shared" si="21"/>
        <v>DIA ÚTIL</v>
      </c>
      <c r="E379">
        <f>IFERROR(INDEX(tblBatidas[ID],MATCH("B"&amp;MID($A379,2,99),tblBatidas[Batida ID],0)),"")</f>
        <v>1011</v>
      </c>
      <c r="F379" t="str">
        <f>IFERROR(INDEX(tblPessoas[Pessoa],MATCH(E379,tblPessoas[ID],0)),"")</f>
        <v>Nathalia Arruda</v>
      </c>
      <c r="G379" t="str">
        <f>IFERROR(INDEX(tblBatidas[Projeto],MATCH("B"&amp;MID($A379,2,99),tblBatidas[Batida ID],0)),"")</f>
        <v>OTEMPO</v>
      </c>
      <c r="H379" t="str">
        <f>IFERROR(INDEX(tblBatidas[Atividade],MATCH("B"&amp;MID($A379,2,99),tblBatidas[Batida ID],0)),"")</f>
        <v>ANÁLISE</v>
      </c>
      <c r="I379" s="4">
        <f>IFERROR(MOD(INDEX(tblBatidas[Data e hora],MATCH("B"&amp;MID($A379,2,99),tblBatidas[Batida ID],0)),1),"")</f>
        <v>0.53722222222131677</v>
      </c>
      <c r="J379" s="4" t="str">
        <f>IFERROR(MOD(INDEX(tblBatidas[Data e hora],MATCH("B"&amp;MID($A379,2,99),tblBatidas[Início vinculado],0)),1),"")</f>
        <v/>
      </c>
      <c r="K379" s="14" t="str">
        <f>IFERROR((INDEX(tblBatidas[Data e hora],MATCH("B"&amp;MID($A379,2,99),tblBatidas[Início vinculado],0))-INDEX(tblBatidas[Data e hora],MATCH("B"&amp;MID($A379,2,99),tblBatidas[Batida ID],0)))*24,"")</f>
        <v/>
      </c>
      <c r="L379" t="str">
        <f>IFERROR(INDEX(tblBatidas[Observação],MATCH("B"&amp;MID($A379,2,99),tblBatidas[Início vinculado],0)),"")</f>
        <v/>
      </c>
      <c r="M379" t="str">
        <f>IFERROR(INDEX(tblPessoas[Base],MATCH(E379,tblPessoas[ID],0)),"")</f>
        <v>Hora</v>
      </c>
      <c r="N379" s="3">
        <f>IFERROR(IF(D379="DIA ÚTIL",INDEX(tblPessoas[R$/h útil],MATCH(E379,tblPessoas[ID],0)),INDEX(tblPessoas[R$/h FDS],MATCH(E379,tblPessoas[ID],0))),0)</f>
        <v>23.5</v>
      </c>
      <c r="O379" s="3">
        <f>IFERROR(INDEX(tblPessoas[R$/diária],MATCH(E379,tblPessoas[ID],0)),0)</f>
        <v>0</v>
      </c>
      <c r="P379" s="3" t="str">
        <f t="shared" si="22"/>
        <v/>
      </c>
      <c r="Q379" t="str">
        <f>IF(A379="","",IF(COUNTIF(tblBatidas[Início vinculado],"B"&amp;MID($A379,2,99))=0,"EM ABERTO",IF(OR(COUNTIF(tblBatidas[Início vinculado],"B"&amp;MID($A379,2,99))&gt;1,K379&lt;0,K379&gt;16,INT(INDEX(tblBatidas[Data e hora],MATCH("B"&amp;MID($A379,2,99),tblBatidas[Início vinculado],0)))&lt;&gt;B379,INDEX(tblBatidas[ID],MATCH("B"&amp;MID($A379,2,99),tblBatidas[Início vinculado],0))&lt;&gt;E379,INDEX(tblBatidas[Projeto],MATCH("B"&amp;MID($A379,2,99),tblBatidas[Início vinculado],0))&lt;&gt;G379,INDEX(tblBatidas[Atividade],MATCH("B"&amp;MID($A379,2,99),tblBatidas[Início vinculado],0))&lt;&gt;H379),"REVISAR","CONCLUÍDO")))</f>
        <v>EM ABERTO</v>
      </c>
      <c r="R379">
        <f>IF(Q379&lt;&gt;"CONCLUÍDO",0,IF(COUNTIFS($E$5:E379,E379,$B$5:B379,B379,$Q$5:Q379,"CONCLUÍDO")=1,1,0))</f>
        <v>0</v>
      </c>
      <c r="S379" t="str">
        <f t="shared" si="23"/>
        <v>yyyy-09</v>
      </c>
      <c r="T379">
        <f>IF(E379="","",E379*100000+COUNTIFS(tblRegistros[ID],E379,tblRegistros[Data],"&lt;"&amp;B379)+COUNTIFS(tblRegistros[ID],E379,tblRegistros[Data],B379,tblRegistros[Início],"&lt;"&amp;I379)+COUNTIFS($E$5:E379,E379,$B$5:B379,B379,$I$5:I379,I379))</f>
        <v>101100041</v>
      </c>
    </row>
    <row r="380" spans="1:20">
      <c r="A380" t="s">
        <v>471</v>
      </c>
      <c r="B380" s="2">
        <f>IFERROR(INT(INDEX(tblBatidas[Data e hora],MATCH("B"&amp;MID($A380,2,99),tblBatidas[Batida ID],0))),"")</f>
        <v>46286</v>
      </c>
      <c r="C380" t="str">
        <f t="shared" si="20"/>
        <v>SEGUNDA-FEIRA</v>
      </c>
      <c r="D380" t="str">
        <f t="shared" si="21"/>
        <v>DIA ÚTIL</v>
      </c>
      <c r="E380">
        <f>IFERROR(INDEX(tblBatidas[ID],MATCH("B"&amp;MID($A380,2,99),tblBatidas[Batida ID],0)),"")</f>
        <v>1013</v>
      </c>
      <c r="F380" t="str">
        <f>IFERROR(INDEX(tblPessoas[Pessoa],MATCH(E380,tblPessoas[ID],0)),"")</f>
        <v>Rafaela Maria Resende Lara</v>
      </c>
      <c r="G380" t="str">
        <f>IFERROR(INDEX(tblBatidas[Projeto],MATCH("B"&amp;MID($A380,2,99),tblBatidas[Batida ID],0)),"")</f>
        <v>OUTROS</v>
      </c>
      <c r="H380" t="str">
        <f>IFERROR(INDEX(tblBatidas[Atividade],MATCH("B"&amp;MID($A380,2,99),tblBatidas[Batida ID],0)),"")</f>
        <v>ANÁLISE</v>
      </c>
      <c r="I380" s="4">
        <f>IFERROR(MOD(INDEX(tblBatidas[Data e hora],MATCH("B"&amp;MID($A380,2,99),tblBatidas[Batida ID],0)),1),"")</f>
        <v>0.54531249999854481</v>
      </c>
      <c r="J380" s="4" t="str">
        <f>IFERROR(MOD(INDEX(tblBatidas[Data e hora],MATCH("B"&amp;MID($A380,2,99),tblBatidas[Início vinculado],0)),1),"")</f>
        <v/>
      </c>
      <c r="K380" s="14" t="str">
        <f>IFERROR((INDEX(tblBatidas[Data e hora],MATCH("B"&amp;MID($A380,2,99),tblBatidas[Início vinculado],0))-INDEX(tblBatidas[Data e hora],MATCH("B"&amp;MID($A380,2,99),tblBatidas[Batida ID],0)))*24,"")</f>
        <v/>
      </c>
      <c r="L380" t="str">
        <f>IFERROR(INDEX(tblBatidas[Observação],MATCH("B"&amp;MID($A380,2,99),tblBatidas[Início vinculado],0)),"")</f>
        <v/>
      </c>
      <c r="M380" t="str">
        <f>IFERROR(INDEX(tblPessoas[Base],MATCH(E380,tblPessoas[ID],0)),"")</f>
        <v>Hora</v>
      </c>
      <c r="N380" s="3">
        <f>IFERROR(IF(D380="DIA ÚTIL",INDEX(tblPessoas[R$/h útil],MATCH(E380,tblPessoas[ID],0)),INDEX(tblPessoas[R$/h FDS],MATCH(E380,tblPessoas[ID],0))),0)</f>
        <v>23.5</v>
      </c>
      <c r="O380" s="3">
        <f>IFERROR(INDEX(tblPessoas[R$/diária],MATCH(E380,tblPessoas[ID],0)),0)</f>
        <v>0</v>
      </c>
      <c r="P380" s="3" t="str">
        <f t="shared" si="22"/>
        <v/>
      </c>
      <c r="Q380" t="str">
        <f>IF(A380="","",IF(COUNTIF(tblBatidas[Início vinculado],"B"&amp;MID($A380,2,99))=0,"EM ABERTO",IF(OR(COUNTIF(tblBatidas[Início vinculado],"B"&amp;MID($A380,2,99))&gt;1,K380&lt;0,K380&gt;16,INT(INDEX(tblBatidas[Data e hora],MATCH("B"&amp;MID($A380,2,99),tblBatidas[Início vinculado],0)))&lt;&gt;B380,INDEX(tblBatidas[ID],MATCH("B"&amp;MID($A380,2,99),tblBatidas[Início vinculado],0))&lt;&gt;E380,INDEX(tblBatidas[Projeto],MATCH("B"&amp;MID($A380,2,99),tblBatidas[Início vinculado],0))&lt;&gt;G380,INDEX(tblBatidas[Atividade],MATCH("B"&amp;MID($A380,2,99),tblBatidas[Início vinculado],0))&lt;&gt;H380),"REVISAR","CONCLUÍDO")))</f>
        <v>EM ABERTO</v>
      </c>
      <c r="R380">
        <f>IF(Q380&lt;&gt;"CONCLUÍDO",0,IF(COUNTIFS($E$5:E380,E380,$B$5:B380,B380,$Q$5:Q380,"CONCLUÍDO")=1,1,0))</f>
        <v>0</v>
      </c>
      <c r="S380" t="str">
        <f t="shared" si="23"/>
        <v>yyyy-09</v>
      </c>
      <c r="T380">
        <f>IF(E380="","",E380*100000+COUNTIFS(tblRegistros[ID],E380,tblRegistros[Data],"&lt;"&amp;B380)+COUNTIFS(tblRegistros[ID],E380,tblRegistros[Data],B380,tblRegistros[Início],"&lt;"&amp;I380)+COUNTIFS($E$5:E380,E380,$B$5:B380,B380,$I$5:I380,I380))</f>
        <v>101300042</v>
      </c>
    </row>
    <row r="381" spans="1:20">
      <c r="A381" t="s">
        <v>472</v>
      </c>
      <c r="B381" s="2">
        <f>IFERROR(INT(INDEX(tblBatidas[Data e hora],MATCH("B"&amp;MID($A381,2,99),tblBatidas[Batida ID],0))),"")</f>
        <v>46286</v>
      </c>
      <c r="C381" t="str">
        <f t="shared" si="20"/>
        <v>SEGUNDA-FEIRA</v>
      </c>
      <c r="D381" t="str">
        <f t="shared" si="21"/>
        <v>DIA ÚTIL</v>
      </c>
      <c r="E381">
        <f>IFERROR(INDEX(tblBatidas[ID],MATCH("B"&amp;MID($A381,2,99),tblBatidas[Batida ID],0)),"")</f>
        <v>1002</v>
      </c>
      <c r="F381" t="str">
        <f>IFERROR(INDEX(tblPessoas[Pessoa],MATCH(E381,tblPessoas[ID],0)),"")</f>
        <v>Alex de Almeida Mariano</v>
      </c>
      <c r="G381" t="str">
        <f>IFERROR(INDEX(tblBatidas[Projeto],MATCH("B"&amp;MID($A381,2,99),tblBatidas[Batida ID],0)),"")</f>
        <v>OTEMPO</v>
      </c>
      <c r="H381" t="str">
        <f>IFERROR(INDEX(tblBatidas[Atividade],MATCH("B"&amp;MID($A381,2,99),tblBatidas[Batida ID],0)),"")</f>
        <v>ANÁLISE</v>
      </c>
      <c r="I381" s="4">
        <f>IFERROR(MOD(INDEX(tblBatidas[Data e hora],MATCH("B"&amp;MID($A381,2,99),tblBatidas[Batida ID],0)),1),"")</f>
        <v>0.55280092592875008</v>
      </c>
      <c r="J381" s="4">
        <f>IFERROR(MOD(INDEX(tblBatidas[Data e hora],MATCH("B"&amp;MID($A381,2,99),tblBatidas[Início vinculado],0)),1),"")</f>
        <v>0.7461111111115315</v>
      </c>
      <c r="K381" s="14">
        <f>IFERROR((INDEX(tblBatidas[Data e hora],MATCH("B"&amp;MID($A381,2,99),tblBatidas[Início vinculado],0))-INDEX(tblBatidas[Data e hora],MATCH("B"&amp;MID($A381,2,99),tblBatidas[Batida ID],0)))*24,"")</f>
        <v>4.6394444443867542</v>
      </c>
      <c r="L381">
        <f>IFERROR(INDEX(tblBatidas[Observação],MATCH("B"&amp;MID($A381,2,99),tblBatidas[Início vinculado],0)),"")</f>
        <v>0</v>
      </c>
      <c r="M381" t="str">
        <f>IFERROR(INDEX(tblPessoas[Base],MATCH(E381,tblPessoas[ID],0)),"")</f>
        <v>Hora</v>
      </c>
      <c r="N381" s="3">
        <f>IFERROR(IF(D381="DIA ÚTIL",INDEX(tblPessoas[R$/h útil],MATCH(E381,tblPessoas[ID],0)),INDEX(tblPessoas[R$/h FDS],MATCH(E381,tblPessoas[ID],0))),0)</f>
        <v>23.5</v>
      </c>
      <c r="O381" s="3">
        <f>IFERROR(INDEX(tblPessoas[R$/diária],MATCH(E381,tblPessoas[ID],0)),0)</f>
        <v>0</v>
      </c>
      <c r="P381" s="3">
        <f t="shared" si="22"/>
        <v>109.02694444308872</v>
      </c>
      <c r="Q381" t="str">
        <f>IF(A381="","",IF(COUNTIF(tblBatidas[Início vinculado],"B"&amp;MID($A381,2,99))=0,"EM ABERTO",IF(OR(COUNTIF(tblBatidas[Início vinculado],"B"&amp;MID($A381,2,99))&gt;1,K381&lt;0,K381&gt;16,INT(INDEX(tblBatidas[Data e hora],MATCH("B"&amp;MID($A381,2,99),tblBatidas[Início vinculado],0)))&lt;&gt;B381,INDEX(tblBatidas[ID],MATCH("B"&amp;MID($A381,2,99),tblBatidas[Início vinculado],0))&lt;&gt;E381,INDEX(tblBatidas[Projeto],MATCH("B"&amp;MID($A381,2,99),tblBatidas[Início vinculado],0))&lt;&gt;G381,INDEX(tblBatidas[Atividade],MATCH("B"&amp;MID($A381,2,99),tblBatidas[Início vinculado],0))&lt;&gt;H381),"REVISAR","CONCLUÍDO")))</f>
        <v>CONCLUÍDO</v>
      </c>
      <c r="R381">
        <f>IF(Q381&lt;&gt;"CONCLUÍDO",0,IF(COUNTIFS($E$5:E381,E381,$B$5:B381,B381,$Q$5:Q381,"CONCLUÍDO")=1,1,0))</f>
        <v>0</v>
      </c>
      <c r="S381" t="str">
        <f t="shared" si="23"/>
        <v>yyyy-09</v>
      </c>
      <c r="T381">
        <f>IF(E381="","",E381*100000+COUNTIFS(tblRegistros[ID],E381,tblRegistros[Data],"&lt;"&amp;B381)+COUNTIFS(tblRegistros[ID],E381,tblRegistros[Data],B381,tblRegistros[Início],"&lt;"&amp;I381)+COUNTIFS($E$5:E381,E381,$B$5:B381,B381,$I$5:I381,I381))</f>
        <v>100200033</v>
      </c>
    </row>
    <row r="382" spans="1:20">
      <c r="A382" t="s">
        <v>473</v>
      </c>
      <c r="B382" s="2">
        <f>IFERROR(INT(INDEX(tblBatidas[Data e hora],MATCH("B"&amp;MID($A382,2,99),tblBatidas[Batida ID],0))),"")</f>
        <v>46286</v>
      </c>
      <c r="C382" t="str">
        <f t="shared" si="20"/>
        <v>SEGUNDA-FEIRA</v>
      </c>
      <c r="D382" t="str">
        <f t="shared" si="21"/>
        <v>DIA ÚTIL</v>
      </c>
      <c r="E382">
        <f>IFERROR(INDEX(tblBatidas[ID],MATCH("B"&amp;MID($A382,2,99),tblBatidas[Batida ID],0)),"")</f>
        <v>1003</v>
      </c>
      <c r="F382" t="str">
        <f>IFERROR(INDEX(tblPessoas[Pessoa],MATCH(E382,tblPessoas[ID],0)),"")</f>
        <v>Amanda do Carmo Ribeiro</v>
      </c>
      <c r="G382" t="str">
        <f>IFERROR(INDEX(tblBatidas[Projeto],MATCH("B"&amp;MID($A382,2,99),tblBatidas[Batida ID],0)),"")</f>
        <v>OTEMPO</v>
      </c>
      <c r="H382" t="str">
        <f>IFERROR(INDEX(tblBatidas[Atividade],MATCH("B"&amp;MID($A382,2,99),tblBatidas[Batida ID],0)),"")</f>
        <v>ANÁLISE</v>
      </c>
      <c r="I382" s="4">
        <f>IFERROR(MOD(INDEX(tblBatidas[Data e hora],MATCH("B"&amp;MID($A382,2,99),tblBatidas[Batida ID],0)),1),"")</f>
        <v>0.59200231481372612</v>
      </c>
      <c r="J382" s="4">
        <f>IFERROR(MOD(INDEX(tblBatidas[Data e hora],MATCH("B"&amp;MID($A382,2,99),tblBatidas[Início vinculado],0)),1),"")</f>
        <v>0.80841435184993315</v>
      </c>
      <c r="K382" s="14">
        <f>IFERROR((INDEX(tblBatidas[Data e hora],MATCH("B"&amp;MID($A382,2,99),tblBatidas[Início vinculado],0))-INDEX(tblBatidas[Data e hora],MATCH("B"&amp;MID($A382,2,99),tblBatidas[Batida ID],0)))*24,"")</f>
        <v>5.1938888888689689</v>
      </c>
      <c r="L382">
        <f>IFERROR(INDEX(tblBatidas[Observação],MATCH("B"&amp;MID($A382,2,99),tblBatidas[Início vinculado],0)),"")</f>
        <v>0</v>
      </c>
      <c r="M382" t="str">
        <f>IFERROR(INDEX(tblPessoas[Base],MATCH(E382,tblPessoas[ID],0)),"")</f>
        <v>Hora</v>
      </c>
      <c r="N382" s="3">
        <f>IFERROR(IF(D382="DIA ÚTIL",INDEX(tblPessoas[R$/h útil],MATCH(E382,tblPessoas[ID],0)),INDEX(tblPessoas[R$/h FDS],MATCH(E382,tblPessoas[ID],0))),0)</f>
        <v>23.5</v>
      </c>
      <c r="O382" s="3">
        <f>IFERROR(INDEX(tblPessoas[R$/diária],MATCH(E382,tblPessoas[ID],0)),0)</f>
        <v>0</v>
      </c>
      <c r="P382" s="3">
        <f t="shared" si="22"/>
        <v>122.05638888842077</v>
      </c>
      <c r="Q382" t="str">
        <f>IF(A382="","",IF(COUNTIF(tblBatidas[Início vinculado],"B"&amp;MID($A382,2,99))=0,"EM ABERTO",IF(OR(COUNTIF(tblBatidas[Início vinculado],"B"&amp;MID($A382,2,99))&gt;1,K382&lt;0,K382&gt;16,INT(INDEX(tblBatidas[Data e hora],MATCH("B"&amp;MID($A382,2,99),tblBatidas[Início vinculado],0)))&lt;&gt;B382,INDEX(tblBatidas[ID],MATCH("B"&amp;MID($A382,2,99),tblBatidas[Início vinculado],0))&lt;&gt;E382,INDEX(tblBatidas[Projeto],MATCH("B"&amp;MID($A382,2,99),tblBatidas[Início vinculado],0))&lt;&gt;G382,INDEX(tblBatidas[Atividade],MATCH("B"&amp;MID($A382,2,99),tblBatidas[Início vinculado],0))&lt;&gt;H382),"REVISAR","CONCLUÍDO")))</f>
        <v>CONCLUÍDO</v>
      </c>
      <c r="R382">
        <f>IF(Q382&lt;&gt;"CONCLUÍDO",0,IF(COUNTIFS($E$5:E382,E382,$B$5:B382,B382,$Q$5:Q382,"CONCLUÍDO")=1,1,0))</f>
        <v>0</v>
      </c>
      <c r="S382" t="str">
        <f t="shared" si="23"/>
        <v>yyyy-09</v>
      </c>
      <c r="T382">
        <f>IF(E382="","",E382*100000+COUNTIFS(tblRegistros[ID],E382,tblRegistros[Data],"&lt;"&amp;B382)+COUNTIFS(tblRegistros[ID],E382,tblRegistros[Data],B382,tblRegistros[Início],"&lt;"&amp;I382)+COUNTIFS($E$5:E382,E382,$B$5:B382,B382,$I$5:I382,I382))</f>
        <v>100300045</v>
      </c>
    </row>
    <row r="383" spans="1:20">
      <c r="A383" t="s">
        <v>474</v>
      </c>
      <c r="B383" s="2">
        <f>IFERROR(INT(INDEX(tblBatidas[Data e hora],MATCH("B"&amp;MID($A383,2,99),tblBatidas[Batida ID],0))),"")</f>
        <v>46287</v>
      </c>
      <c r="C383" t="str">
        <f t="shared" si="20"/>
        <v>TERÇA-FEIRA</v>
      </c>
      <c r="D383" t="str">
        <f t="shared" si="21"/>
        <v>DIA ÚTIL</v>
      </c>
      <c r="E383">
        <f>IFERROR(INDEX(tblBatidas[ID],MATCH("B"&amp;MID($A383,2,99),tblBatidas[Batida ID],0)),"")</f>
        <v>1013</v>
      </c>
      <c r="F383" t="str">
        <f>IFERROR(INDEX(tblPessoas[Pessoa],MATCH(E383,tblPessoas[ID],0)),"")</f>
        <v>Rafaela Maria Resende Lara</v>
      </c>
      <c r="G383" t="str">
        <f>IFERROR(INDEX(tblBatidas[Projeto],MATCH("B"&amp;MID($A383,2,99),tblBatidas[Batida ID],0)),"")</f>
        <v>OTEMPO</v>
      </c>
      <c r="H383" t="str">
        <f>IFERROR(INDEX(tblBatidas[Atividade],MATCH("B"&amp;MID($A383,2,99),tblBatidas[Batida ID],0)),"")</f>
        <v>ANÁLISE</v>
      </c>
      <c r="I383" s="4">
        <f>IFERROR(MOD(INDEX(tblBatidas[Data e hora],MATCH("B"&amp;MID($A383,2,99),tblBatidas[Batida ID],0)),1),"")</f>
        <v>0.31332175926218042</v>
      </c>
      <c r="J383" s="4">
        <f>IFERROR(MOD(INDEX(tblBatidas[Data e hora],MATCH("B"&amp;MID($A383,2,99),tblBatidas[Início vinculado],0)),1),"")</f>
        <v>0.50383101851912215</v>
      </c>
      <c r="K383" s="14">
        <f>IFERROR((INDEX(tblBatidas[Data e hora],MATCH("B"&amp;MID($A383,2,99),tblBatidas[Início vinculado],0))-INDEX(tblBatidas[Data e hora],MATCH("B"&amp;MID($A383,2,99),tblBatidas[Batida ID],0)))*24,"")</f>
        <v>4.5722222221666016</v>
      </c>
      <c r="L383">
        <f>IFERROR(INDEX(tblBatidas[Observação],MATCH("B"&amp;MID($A383,2,99),tblBatidas[Início vinculado],0)),"")</f>
        <v>0</v>
      </c>
      <c r="M383" t="str">
        <f>IFERROR(INDEX(tblPessoas[Base],MATCH(E383,tblPessoas[ID],0)),"")</f>
        <v>Hora</v>
      </c>
      <c r="N383" s="3">
        <f>IFERROR(IF(D383="DIA ÚTIL",INDEX(tblPessoas[R$/h útil],MATCH(E383,tblPessoas[ID],0)),INDEX(tblPessoas[R$/h FDS],MATCH(E383,tblPessoas[ID],0))),0)</f>
        <v>23.5</v>
      </c>
      <c r="O383" s="3">
        <f>IFERROR(INDEX(tblPessoas[R$/diária],MATCH(E383,tblPessoas[ID],0)),0)</f>
        <v>0</v>
      </c>
      <c r="P383" s="3">
        <f t="shared" si="22"/>
        <v>107.44722222091514</v>
      </c>
      <c r="Q383" t="str">
        <f>IF(A383="","",IF(COUNTIF(tblBatidas[Início vinculado],"B"&amp;MID($A383,2,99))=0,"EM ABERTO",IF(OR(COUNTIF(tblBatidas[Início vinculado],"B"&amp;MID($A383,2,99))&gt;1,K383&lt;0,K383&gt;16,INT(INDEX(tblBatidas[Data e hora],MATCH("B"&amp;MID($A383,2,99),tblBatidas[Início vinculado],0)))&lt;&gt;B383,INDEX(tblBatidas[ID],MATCH("B"&amp;MID($A383,2,99),tblBatidas[Início vinculado],0))&lt;&gt;E383,INDEX(tblBatidas[Projeto],MATCH("B"&amp;MID($A383,2,99),tblBatidas[Início vinculado],0))&lt;&gt;G383,INDEX(tblBatidas[Atividade],MATCH("B"&amp;MID($A383,2,99),tblBatidas[Início vinculado],0))&lt;&gt;H383),"REVISAR","CONCLUÍDO")))</f>
        <v>CONCLUÍDO</v>
      </c>
      <c r="R383">
        <f>IF(Q383&lt;&gt;"CONCLUÍDO",0,IF(COUNTIFS($E$5:E383,E383,$B$5:B383,B383,$Q$5:Q383,"CONCLUÍDO")=1,1,0))</f>
        <v>1</v>
      </c>
      <c r="S383" t="str">
        <f t="shared" si="23"/>
        <v>yyyy-09</v>
      </c>
      <c r="T383">
        <f>IF(E383="","",E383*100000+COUNTIFS(tblRegistros[ID],E383,tblRegistros[Data],"&lt;"&amp;B383)+COUNTIFS(tblRegistros[ID],E383,tblRegistros[Data],B383,tblRegistros[Início],"&lt;"&amp;I383)+COUNTIFS($E$5:E383,E383,$B$5:B383,B383,$I$5:I383,I383))</f>
        <v>101300043</v>
      </c>
    </row>
    <row r="384" spans="1:20">
      <c r="A384" t="s">
        <v>475</v>
      </c>
      <c r="B384" s="2">
        <f>IFERROR(INT(INDEX(tblBatidas[Data e hora],MATCH("B"&amp;MID($A384,2,99),tblBatidas[Batida ID],0))),"")</f>
        <v>46287</v>
      </c>
      <c r="C384" t="str">
        <f t="shared" si="20"/>
        <v>TERÇA-FEIRA</v>
      </c>
      <c r="D384" t="str">
        <f t="shared" si="21"/>
        <v>DIA ÚTIL</v>
      </c>
      <c r="E384">
        <f>IFERROR(INDEX(tblBatidas[ID],MATCH("B"&amp;MID($A384,2,99),tblBatidas[Batida ID],0)),"")</f>
        <v>1003</v>
      </c>
      <c r="F384" t="str">
        <f>IFERROR(INDEX(tblPessoas[Pessoa],MATCH(E384,tblPessoas[ID],0)),"")</f>
        <v>Amanda do Carmo Ribeiro</v>
      </c>
      <c r="G384" t="str">
        <f>IFERROR(INDEX(tblBatidas[Projeto],MATCH("B"&amp;MID($A384,2,99),tblBatidas[Batida ID],0)),"")</f>
        <v>OTEMPO</v>
      </c>
      <c r="H384" t="str">
        <f>IFERROR(INDEX(tblBatidas[Atividade],MATCH("B"&amp;MID($A384,2,99),tblBatidas[Batida ID],0)),"")</f>
        <v>ANÁLISE</v>
      </c>
      <c r="I384" s="4">
        <f>IFERROR(MOD(INDEX(tblBatidas[Data e hora],MATCH("B"&amp;MID($A384,2,99),tblBatidas[Batida ID],0)),1),"")</f>
        <v>0.33193287037283881</v>
      </c>
      <c r="J384" s="4">
        <f>IFERROR(MOD(INDEX(tblBatidas[Data e hora],MATCH("B"&amp;MID($A384,2,99),tblBatidas[Início vinculado],0)),1),"")</f>
        <v>0.52914351852086838</v>
      </c>
      <c r="K384" s="14">
        <f>IFERROR((INDEX(tblBatidas[Data e hora],MATCH("B"&amp;MID($A384,2,99),tblBatidas[Início vinculado],0))-INDEX(tblBatidas[Data e hora],MATCH("B"&amp;MID($A384,2,99),tblBatidas[Batida ID],0)))*24,"")</f>
        <v>4.7330555555527098</v>
      </c>
      <c r="L384">
        <f>IFERROR(INDEX(tblBatidas[Observação],MATCH("B"&amp;MID($A384,2,99),tblBatidas[Início vinculado],0)),"")</f>
        <v>0</v>
      </c>
      <c r="M384" t="str">
        <f>IFERROR(INDEX(tblPessoas[Base],MATCH(E384,tblPessoas[ID],0)),"")</f>
        <v>Hora</v>
      </c>
      <c r="N384" s="3">
        <f>IFERROR(IF(D384="DIA ÚTIL",INDEX(tblPessoas[R$/h útil],MATCH(E384,tblPessoas[ID],0)),INDEX(tblPessoas[R$/h FDS],MATCH(E384,tblPessoas[ID],0))),0)</f>
        <v>23.5</v>
      </c>
      <c r="O384" s="3">
        <f>IFERROR(INDEX(tblPessoas[R$/diária],MATCH(E384,tblPessoas[ID],0)),0)</f>
        <v>0</v>
      </c>
      <c r="P384" s="3">
        <f t="shared" si="22"/>
        <v>111.22680555548868</v>
      </c>
      <c r="Q384" t="str">
        <f>IF(A384="","",IF(COUNTIF(tblBatidas[Início vinculado],"B"&amp;MID($A384,2,99))=0,"EM ABERTO",IF(OR(COUNTIF(tblBatidas[Início vinculado],"B"&amp;MID($A384,2,99))&gt;1,K384&lt;0,K384&gt;16,INT(INDEX(tblBatidas[Data e hora],MATCH("B"&amp;MID($A384,2,99),tblBatidas[Início vinculado],0)))&lt;&gt;B384,INDEX(tblBatidas[ID],MATCH("B"&amp;MID($A384,2,99),tblBatidas[Início vinculado],0))&lt;&gt;E384,INDEX(tblBatidas[Projeto],MATCH("B"&amp;MID($A384,2,99),tblBatidas[Início vinculado],0))&lt;&gt;G384,INDEX(tblBatidas[Atividade],MATCH("B"&amp;MID($A384,2,99),tblBatidas[Início vinculado],0))&lt;&gt;H384),"REVISAR","CONCLUÍDO")))</f>
        <v>CONCLUÍDO</v>
      </c>
      <c r="R384">
        <f>IF(Q384&lt;&gt;"CONCLUÍDO",0,IF(COUNTIFS($E$5:E384,E384,$B$5:B384,B384,$Q$5:Q384,"CONCLUÍDO")=1,1,0))</f>
        <v>1</v>
      </c>
      <c r="S384" t="str">
        <f t="shared" si="23"/>
        <v>yyyy-09</v>
      </c>
      <c r="T384">
        <f>IF(E384="","",E384*100000+COUNTIFS(tblRegistros[ID],E384,tblRegistros[Data],"&lt;"&amp;B384)+COUNTIFS(tblRegistros[ID],E384,tblRegistros[Data],B384,tblRegistros[Início],"&lt;"&amp;I384)+COUNTIFS($E$5:E384,E384,$B$5:B384,B384,$I$5:I384,I384))</f>
        <v>100300046</v>
      </c>
    </row>
    <row r="385" spans="1:20">
      <c r="A385" t="s">
        <v>476</v>
      </c>
      <c r="B385" s="2">
        <f>IFERROR(INT(INDEX(tblBatidas[Data e hora],MATCH("B"&amp;MID($A385,2,99),tblBatidas[Batida ID],0))),"")</f>
        <v>46287</v>
      </c>
      <c r="C385" t="str">
        <f t="shared" si="20"/>
        <v>TERÇA-FEIRA</v>
      </c>
      <c r="D385" t="str">
        <f t="shared" si="21"/>
        <v>DIA ÚTIL</v>
      </c>
      <c r="E385">
        <f>IFERROR(INDEX(tblBatidas[ID],MATCH("B"&amp;MID($A385,2,99),tblBatidas[Batida ID],0)),"")</f>
        <v>1011</v>
      </c>
      <c r="F385" t="str">
        <f>IFERROR(INDEX(tblPessoas[Pessoa],MATCH(E385,tblPessoas[ID],0)),"")</f>
        <v>Nathalia Arruda</v>
      </c>
      <c r="G385" t="str">
        <f>IFERROR(INDEX(tblBatidas[Projeto],MATCH("B"&amp;MID($A385,2,99),tblBatidas[Batida ID],0)),"")</f>
        <v>OTEMPO</v>
      </c>
      <c r="H385" t="str">
        <f>IFERROR(INDEX(tblBatidas[Atividade],MATCH("B"&amp;MID($A385,2,99),tblBatidas[Batida ID],0)),"")</f>
        <v>ANÁLISE</v>
      </c>
      <c r="I385" s="4">
        <f>IFERROR(MOD(INDEX(tblBatidas[Data e hora],MATCH("B"&amp;MID($A385,2,99),tblBatidas[Batida ID],0)),1),"")</f>
        <v>0.33960648148058681</v>
      </c>
      <c r="J385" s="4">
        <f>IFERROR(MOD(INDEX(tblBatidas[Data e hora],MATCH("B"&amp;MID($A385,2,99),tblBatidas[Início vinculado],0)),1),"")</f>
        <v>0.74868055555270985</v>
      </c>
      <c r="K385" s="14">
        <f>IFERROR((INDEX(tblBatidas[Data e hora],MATCH("B"&amp;MID($A385,2,99),tblBatidas[Início vinculado],0))-INDEX(tblBatidas[Data e hora],MATCH("B"&amp;MID($A385,2,99),tblBatidas[Batida ID],0)))*24,"")</f>
        <v>9.8177777777309529</v>
      </c>
      <c r="L385">
        <f>IFERROR(INDEX(tblBatidas[Observação],MATCH("B"&amp;MID($A385,2,99),tblBatidas[Início vinculado],0)),"")</f>
        <v>0</v>
      </c>
      <c r="M385" t="str">
        <f>IFERROR(INDEX(tblPessoas[Base],MATCH(E385,tblPessoas[ID],0)),"")</f>
        <v>Hora</v>
      </c>
      <c r="N385" s="3">
        <f>IFERROR(IF(D385="DIA ÚTIL",INDEX(tblPessoas[R$/h útil],MATCH(E385,tblPessoas[ID],0)),INDEX(tblPessoas[R$/h FDS],MATCH(E385,tblPessoas[ID],0))),0)</f>
        <v>23.5</v>
      </c>
      <c r="O385" s="3">
        <f>IFERROR(INDEX(tblPessoas[R$/diária],MATCH(E385,tblPessoas[ID],0)),0)</f>
        <v>0</v>
      </c>
      <c r="P385" s="3">
        <f t="shared" si="22"/>
        <v>230.71777777667739</v>
      </c>
      <c r="Q385" t="str">
        <f>IF(A385="","",IF(COUNTIF(tblBatidas[Início vinculado],"B"&amp;MID($A385,2,99))=0,"EM ABERTO",IF(OR(COUNTIF(tblBatidas[Início vinculado],"B"&amp;MID($A385,2,99))&gt;1,K385&lt;0,K385&gt;16,INT(INDEX(tblBatidas[Data e hora],MATCH("B"&amp;MID($A385,2,99),tblBatidas[Início vinculado],0)))&lt;&gt;B385,INDEX(tblBatidas[ID],MATCH("B"&amp;MID($A385,2,99),tblBatidas[Início vinculado],0))&lt;&gt;E385,INDEX(tblBatidas[Projeto],MATCH("B"&amp;MID($A385,2,99),tblBatidas[Início vinculado],0))&lt;&gt;G385,INDEX(tblBatidas[Atividade],MATCH("B"&amp;MID($A385,2,99),tblBatidas[Início vinculado],0))&lt;&gt;H385),"REVISAR","CONCLUÍDO")))</f>
        <v>CONCLUÍDO</v>
      </c>
      <c r="R385">
        <f>IF(Q385&lt;&gt;"CONCLUÍDO",0,IF(COUNTIFS($E$5:E385,E385,$B$5:B385,B385,$Q$5:Q385,"CONCLUÍDO")=1,1,0))</f>
        <v>1</v>
      </c>
      <c r="S385" t="str">
        <f t="shared" si="23"/>
        <v>yyyy-09</v>
      </c>
      <c r="T385">
        <f>IF(E385="","",E385*100000+COUNTIFS(tblRegistros[ID],E385,tblRegistros[Data],"&lt;"&amp;B385)+COUNTIFS(tblRegistros[ID],E385,tblRegistros[Data],B385,tblRegistros[Início],"&lt;"&amp;I385)+COUNTIFS($E$5:E385,E385,$B$5:B385,B385,$I$5:I385,I385))</f>
        <v>101100042</v>
      </c>
    </row>
    <row r="386" spans="1:20">
      <c r="A386" t="s">
        <v>477</v>
      </c>
      <c r="B386" s="2">
        <f>IFERROR(INT(INDEX(tblBatidas[Data e hora],MATCH("B"&amp;MID($A386,2,99),tblBatidas[Batida ID],0))),"")</f>
        <v>46287</v>
      </c>
      <c r="C386" t="str">
        <f t="shared" si="20"/>
        <v>TERÇA-FEIRA</v>
      </c>
      <c r="D386" t="str">
        <f t="shared" si="21"/>
        <v>DIA ÚTIL</v>
      </c>
      <c r="E386">
        <f>IFERROR(INDEX(tblBatidas[ID],MATCH("B"&amp;MID($A386,2,99),tblBatidas[Batida ID],0)),"")</f>
        <v>1002</v>
      </c>
      <c r="F386" t="str">
        <f>IFERROR(INDEX(tblPessoas[Pessoa],MATCH(E386,tblPessoas[ID],0)),"")</f>
        <v>Alex de Almeida Mariano</v>
      </c>
      <c r="G386" t="str">
        <f>IFERROR(INDEX(tblBatidas[Projeto],MATCH("B"&amp;MID($A386,2,99),tblBatidas[Batida ID],0)),"")</f>
        <v>TOOLKIT</v>
      </c>
      <c r="H386" t="str">
        <f>IFERROR(INDEX(tblBatidas[Atividade],MATCH("B"&amp;MID($A386,2,99),tblBatidas[Batida ID],0)),"")</f>
        <v>ANÁLISE</v>
      </c>
      <c r="I386" s="4">
        <f>IFERROR(MOD(INDEX(tblBatidas[Data e hora],MATCH("B"&amp;MID($A386,2,99),tblBatidas[Batida ID],0)),1),"")</f>
        <v>0.37957175925839692</v>
      </c>
      <c r="J386" s="4">
        <f>IFERROR(MOD(INDEX(tblBatidas[Data e hora],MATCH("B"&amp;MID($A386,2,99),tblBatidas[Início vinculado],0)),1),"")</f>
        <v>0.51136574074189411</v>
      </c>
      <c r="K386" s="14">
        <f>IFERROR((INDEX(tblBatidas[Data e hora],MATCH("B"&amp;MID($A386,2,99),tblBatidas[Início vinculado],0))-INDEX(tblBatidas[Data e hora],MATCH("B"&amp;MID($A386,2,99),tblBatidas[Batida ID],0)))*24,"")</f>
        <v>3.1630555556039326</v>
      </c>
      <c r="L386">
        <f>IFERROR(INDEX(tblBatidas[Observação],MATCH("B"&amp;MID($A386,2,99),tblBatidas[Início vinculado],0)),"")</f>
        <v>0</v>
      </c>
      <c r="M386" t="str">
        <f>IFERROR(INDEX(tblPessoas[Base],MATCH(E386,tblPessoas[ID],0)),"")</f>
        <v>Hora</v>
      </c>
      <c r="N386" s="3">
        <f>IFERROR(IF(D386="DIA ÚTIL",INDEX(tblPessoas[R$/h útil],MATCH(E386,tblPessoas[ID],0)),INDEX(tblPessoas[R$/h FDS],MATCH(E386,tblPessoas[ID],0))),0)</f>
        <v>23.5</v>
      </c>
      <c r="O386" s="3">
        <f>IFERROR(INDEX(tblPessoas[R$/diária],MATCH(E386,tblPessoas[ID],0)),0)</f>
        <v>0</v>
      </c>
      <c r="P386" s="3">
        <f t="shared" si="22"/>
        <v>74.331805556692416</v>
      </c>
      <c r="Q386" t="str">
        <f>IF(A386="","",IF(COUNTIF(tblBatidas[Início vinculado],"B"&amp;MID($A386,2,99))=0,"EM ABERTO",IF(OR(COUNTIF(tblBatidas[Início vinculado],"B"&amp;MID($A386,2,99))&gt;1,K386&lt;0,K386&gt;16,INT(INDEX(tblBatidas[Data e hora],MATCH("B"&amp;MID($A386,2,99),tblBatidas[Início vinculado],0)))&lt;&gt;B386,INDEX(tblBatidas[ID],MATCH("B"&amp;MID($A386,2,99),tblBatidas[Início vinculado],0))&lt;&gt;E386,INDEX(tblBatidas[Projeto],MATCH("B"&amp;MID($A386,2,99),tblBatidas[Início vinculado],0))&lt;&gt;G386,INDEX(tblBatidas[Atividade],MATCH("B"&amp;MID($A386,2,99),tblBatidas[Início vinculado],0))&lt;&gt;H386),"REVISAR","CONCLUÍDO")))</f>
        <v>CONCLUÍDO</v>
      </c>
      <c r="R386">
        <f>IF(Q386&lt;&gt;"CONCLUÍDO",0,IF(COUNTIFS($E$5:E386,E386,$B$5:B386,B386,$Q$5:Q386,"CONCLUÍDO")=1,1,0))</f>
        <v>1</v>
      </c>
      <c r="S386" t="str">
        <f t="shared" si="23"/>
        <v>yyyy-09</v>
      </c>
      <c r="T386">
        <f>IF(E386="","",E386*100000+COUNTIFS(tblRegistros[ID],E386,tblRegistros[Data],"&lt;"&amp;B386)+COUNTIFS(tblRegistros[ID],E386,tblRegistros[Data],B386,tblRegistros[Início],"&lt;"&amp;I386)+COUNTIFS($E$5:E386,E386,$B$5:B386,B386,$I$5:I386,I386))</f>
        <v>100200034</v>
      </c>
    </row>
    <row r="387" spans="1:20">
      <c r="A387" t="s">
        <v>478</v>
      </c>
      <c r="B387" s="2">
        <f>IFERROR(INT(INDEX(tblBatidas[Data e hora],MATCH("B"&amp;MID($A387,2,99),tblBatidas[Batida ID],0))),"")</f>
        <v>46287</v>
      </c>
      <c r="C387" t="str">
        <f t="shared" si="20"/>
        <v>TERÇA-FEIRA</v>
      </c>
      <c r="D387" t="str">
        <f t="shared" si="21"/>
        <v>DIA ÚTIL</v>
      </c>
      <c r="E387">
        <f>IFERROR(INDEX(tblBatidas[ID],MATCH("B"&amp;MID($A387,2,99),tblBatidas[Batida ID],0)),"")</f>
        <v>1011</v>
      </c>
      <c r="F387" t="str">
        <f>IFERROR(INDEX(tblPessoas[Pessoa],MATCH(E387,tblPessoas[ID],0)),"")</f>
        <v>Nathalia Arruda</v>
      </c>
      <c r="G387" t="str">
        <f>IFERROR(INDEX(tblBatidas[Projeto],MATCH("B"&amp;MID($A387,2,99),tblBatidas[Batida ID],0)),"")</f>
        <v>BETIM - TRACKING</v>
      </c>
      <c r="H387" t="str">
        <f>IFERROR(INDEX(tblBatidas[Atividade],MATCH("B"&amp;MID($A387,2,99),tblBatidas[Batida ID],0)),"")</f>
        <v>ANÁLISE</v>
      </c>
      <c r="I387" s="4">
        <f>IFERROR(MOD(INDEX(tblBatidas[Data e hora],MATCH("B"&amp;MID($A387,2,99),tblBatidas[Batida ID],0)),1),"")</f>
        <v>0.51253472222015262</v>
      </c>
      <c r="J387" s="4" t="str">
        <f>IFERROR(MOD(INDEX(tblBatidas[Data e hora],MATCH("B"&amp;MID($A387,2,99),tblBatidas[Início vinculado],0)),1),"")</f>
        <v/>
      </c>
      <c r="K387" s="14" t="str">
        <f>IFERROR((INDEX(tblBatidas[Data e hora],MATCH("B"&amp;MID($A387,2,99),tblBatidas[Início vinculado],0))-INDEX(tblBatidas[Data e hora],MATCH("B"&amp;MID($A387,2,99),tblBatidas[Batida ID],0)))*24,"")</f>
        <v/>
      </c>
      <c r="L387" t="str">
        <f>IFERROR(INDEX(tblBatidas[Observação],MATCH("B"&amp;MID($A387,2,99),tblBatidas[Início vinculado],0)),"")</f>
        <v/>
      </c>
      <c r="M387" t="str">
        <f>IFERROR(INDEX(tblPessoas[Base],MATCH(E387,tblPessoas[ID],0)),"")</f>
        <v>Hora</v>
      </c>
      <c r="N387" s="3">
        <f>IFERROR(IF(D387="DIA ÚTIL",INDEX(tblPessoas[R$/h útil],MATCH(E387,tblPessoas[ID],0)),INDEX(tblPessoas[R$/h FDS],MATCH(E387,tblPessoas[ID],0))),0)</f>
        <v>23.5</v>
      </c>
      <c r="O387" s="3">
        <f>IFERROR(INDEX(tblPessoas[R$/diária],MATCH(E387,tblPessoas[ID],0)),0)</f>
        <v>0</v>
      </c>
      <c r="P387" s="3" t="str">
        <f t="shared" si="22"/>
        <v/>
      </c>
      <c r="Q387" t="str">
        <f>IF(A387="","",IF(COUNTIF(tblBatidas[Início vinculado],"B"&amp;MID($A387,2,99))=0,"EM ABERTO",IF(OR(COUNTIF(tblBatidas[Início vinculado],"B"&amp;MID($A387,2,99))&gt;1,K387&lt;0,K387&gt;16,INT(INDEX(tblBatidas[Data e hora],MATCH("B"&amp;MID($A387,2,99),tblBatidas[Início vinculado],0)))&lt;&gt;B387,INDEX(tblBatidas[ID],MATCH("B"&amp;MID($A387,2,99),tblBatidas[Início vinculado],0))&lt;&gt;E387,INDEX(tblBatidas[Projeto],MATCH("B"&amp;MID($A387,2,99),tblBatidas[Início vinculado],0))&lt;&gt;G387,INDEX(tblBatidas[Atividade],MATCH("B"&amp;MID($A387,2,99),tblBatidas[Início vinculado],0))&lt;&gt;H387),"REVISAR","CONCLUÍDO")))</f>
        <v>EM ABERTO</v>
      </c>
      <c r="R387">
        <f>IF(Q387&lt;&gt;"CONCLUÍDO",0,IF(COUNTIFS($E$5:E387,E387,$B$5:B387,B387,$Q$5:Q387,"CONCLUÍDO")=1,1,0))</f>
        <v>0</v>
      </c>
      <c r="S387" t="str">
        <f t="shared" si="23"/>
        <v>yyyy-09</v>
      </c>
      <c r="T387">
        <f>IF(E387="","",E387*100000+COUNTIFS(tblRegistros[ID],E387,tblRegistros[Data],"&lt;"&amp;B387)+COUNTIFS(tblRegistros[ID],E387,tblRegistros[Data],B387,tblRegistros[Início],"&lt;"&amp;I387)+COUNTIFS($E$5:E387,E387,$B$5:B387,B387,$I$5:I387,I387))</f>
        <v>101100043</v>
      </c>
    </row>
    <row r="388" spans="1:20">
      <c r="A388" t="s">
        <v>479</v>
      </c>
      <c r="B388" s="2">
        <f>IFERROR(INT(INDEX(tblBatidas[Data e hora],MATCH("B"&amp;MID($A388,2,99),tblBatidas[Batida ID],0))),"")</f>
        <v>46287</v>
      </c>
      <c r="C388" t="str">
        <f t="shared" si="20"/>
        <v>TERÇA-FEIRA</v>
      </c>
      <c r="D388" t="str">
        <f t="shared" si="21"/>
        <v>DIA ÚTIL</v>
      </c>
      <c r="E388">
        <f>IFERROR(INDEX(tblBatidas[ID],MATCH("B"&amp;MID($A388,2,99),tblBatidas[Batida ID],0)),"")</f>
        <v>1011</v>
      </c>
      <c r="F388" t="str">
        <f>IFERROR(INDEX(tblPessoas[Pessoa],MATCH(E388,tblPessoas[ID],0)),"")</f>
        <v>Nathalia Arruda</v>
      </c>
      <c r="G388" t="str">
        <f>IFERROR(INDEX(tblBatidas[Projeto],MATCH("B"&amp;MID($A388,2,99),tblBatidas[Batida ID],0)),"")</f>
        <v>BETIM - TRACKING</v>
      </c>
      <c r="H388" t="str">
        <f>IFERROR(INDEX(tblBatidas[Atividade],MATCH("B"&amp;MID($A388,2,99),tblBatidas[Batida ID],0)),"")</f>
        <v>ANÁLISE</v>
      </c>
      <c r="I388" s="4">
        <f>IFERROR(MOD(INDEX(tblBatidas[Data e hora],MATCH("B"&amp;MID($A388,2,99),tblBatidas[Batida ID],0)),1),"")</f>
        <v>0.54383101851999527</v>
      </c>
      <c r="J388" s="4" t="str">
        <f>IFERROR(MOD(INDEX(tblBatidas[Data e hora],MATCH("B"&amp;MID($A388,2,99),tblBatidas[Início vinculado],0)),1),"")</f>
        <v/>
      </c>
      <c r="K388" s="14" t="str">
        <f>IFERROR((INDEX(tblBatidas[Data e hora],MATCH("B"&amp;MID($A388,2,99),tblBatidas[Início vinculado],0))-INDEX(tblBatidas[Data e hora],MATCH("B"&amp;MID($A388,2,99),tblBatidas[Batida ID],0)))*24,"")</f>
        <v/>
      </c>
      <c r="L388" t="str">
        <f>IFERROR(INDEX(tblBatidas[Observação],MATCH("B"&amp;MID($A388,2,99),tblBatidas[Início vinculado],0)),"")</f>
        <v/>
      </c>
      <c r="M388" t="str">
        <f>IFERROR(INDEX(tblPessoas[Base],MATCH(E388,tblPessoas[ID],0)),"")</f>
        <v>Hora</v>
      </c>
      <c r="N388" s="3">
        <f>IFERROR(IF(D388="DIA ÚTIL",INDEX(tblPessoas[R$/h útil],MATCH(E388,tblPessoas[ID],0)),INDEX(tblPessoas[R$/h FDS],MATCH(E388,tblPessoas[ID],0))),0)</f>
        <v>23.5</v>
      </c>
      <c r="O388" s="3">
        <f>IFERROR(INDEX(tblPessoas[R$/diária],MATCH(E388,tblPessoas[ID],0)),0)</f>
        <v>0</v>
      </c>
      <c r="P388" s="3" t="str">
        <f t="shared" si="22"/>
        <v/>
      </c>
      <c r="Q388" t="str">
        <f>IF(A388="","",IF(COUNTIF(tblBatidas[Início vinculado],"B"&amp;MID($A388,2,99))=0,"EM ABERTO",IF(OR(COUNTIF(tblBatidas[Início vinculado],"B"&amp;MID($A388,2,99))&gt;1,K388&lt;0,K388&gt;16,INT(INDEX(tblBatidas[Data e hora],MATCH("B"&amp;MID($A388,2,99),tblBatidas[Início vinculado],0)))&lt;&gt;B388,INDEX(tblBatidas[ID],MATCH("B"&amp;MID($A388,2,99),tblBatidas[Início vinculado],0))&lt;&gt;E388,INDEX(tblBatidas[Projeto],MATCH("B"&amp;MID($A388,2,99),tblBatidas[Início vinculado],0))&lt;&gt;G388,INDEX(tblBatidas[Atividade],MATCH("B"&amp;MID($A388,2,99),tblBatidas[Início vinculado],0))&lt;&gt;H388),"REVISAR","CONCLUÍDO")))</f>
        <v>EM ABERTO</v>
      </c>
      <c r="R388">
        <f>IF(Q388&lt;&gt;"CONCLUÍDO",0,IF(COUNTIFS($E$5:E388,E388,$B$5:B388,B388,$Q$5:Q388,"CONCLUÍDO")=1,1,0))</f>
        <v>0</v>
      </c>
      <c r="S388" t="str">
        <f t="shared" si="23"/>
        <v>yyyy-09</v>
      </c>
      <c r="T388">
        <f>IF(E388="","",E388*100000+COUNTIFS(tblRegistros[ID],E388,tblRegistros[Data],"&lt;"&amp;B388)+COUNTIFS(tblRegistros[ID],E388,tblRegistros[Data],B388,tblRegistros[Início],"&lt;"&amp;I388)+COUNTIFS($E$5:E388,E388,$B$5:B388,B388,$I$5:I388,I388))</f>
        <v>101100044</v>
      </c>
    </row>
    <row r="389" spans="1:20">
      <c r="A389" t="s">
        <v>480</v>
      </c>
      <c r="B389" s="2">
        <f>IFERROR(INT(INDEX(tblBatidas[Data e hora],MATCH("B"&amp;MID($A389,2,99),tblBatidas[Batida ID],0))),"")</f>
        <v>46287</v>
      </c>
      <c r="C389" t="str">
        <f t="shared" ref="C389:C398" si="24">IF(B389="","",CHOOSE(WEEKDAY(B389,2),"SEGUNDA-FEIRA","TERÇA-FEIRA","QUARTA-FEIRA","QUINTA-FEIRA","SEXTA-FEIRA","SÁBADO","DOMINGO"))</f>
        <v>TERÇA-FEIRA</v>
      </c>
      <c r="D389" t="str">
        <f t="shared" ref="D389:D398" si="25">IF(B389="","",IF(WEEKDAY(B389,2)&gt;5,"FDS/FERIADO","DIA ÚTIL"))</f>
        <v>DIA ÚTIL</v>
      </c>
      <c r="E389">
        <f>IFERROR(INDEX(tblBatidas[ID],MATCH("B"&amp;MID($A389,2,99),tblBatidas[Batida ID],0)),"")</f>
        <v>1013</v>
      </c>
      <c r="F389" t="str">
        <f>IFERROR(INDEX(tblPessoas[Pessoa],MATCH(E389,tblPessoas[ID],0)),"")</f>
        <v>Rafaela Maria Resende Lara</v>
      </c>
      <c r="G389" t="str">
        <f>IFERROR(INDEX(tblBatidas[Projeto],MATCH("B"&amp;MID($A389,2,99),tblBatidas[Batida ID],0)),"")</f>
        <v>OUTROS</v>
      </c>
      <c r="H389" t="str">
        <f>IFERROR(INDEX(tblBatidas[Atividade],MATCH("B"&amp;MID($A389,2,99),tblBatidas[Batida ID],0)),"")</f>
        <v>ANÁLISE</v>
      </c>
      <c r="I389" s="4">
        <f>IFERROR(MOD(INDEX(tblBatidas[Data e hora],MATCH("B"&amp;MID($A389,2,99),tblBatidas[Batida ID],0)),1),"")</f>
        <v>0.54451388888992369</v>
      </c>
      <c r="J389" s="4">
        <f>IFERROR(MOD(INDEX(tblBatidas[Data e hora],MATCH("B"&amp;MID($A389,2,99),tblBatidas[Início vinculado],0)),1),"")</f>
        <v>0.75011574073869269</v>
      </c>
      <c r="K389" s="14">
        <f>IFERROR((INDEX(tblBatidas[Data e hora],MATCH("B"&amp;MID($A389,2,99),tblBatidas[Início vinculado],0))-INDEX(tblBatidas[Data e hora],MATCH("B"&amp;MID($A389,2,99),tblBatidas[Batida ID],0)))*24,"")</f>
        <v>4.934444444370456</v>
      </c>
      <c r="L389" t="str">
        <f>IFERROR(INDEX(tblBatidas[Observação],MATCH("B"&amp;MID($A389,2,99),tblBatidas[Início vinculado],0)),"")</f>
        <v>CDL Black Friday</v>
      </c>
      <c r="M389" t="str">
        <f>IFERROR(INDEX(tblPessoas[Base],MATCH(E389,tblPessoas[ID],0)),"")</f>
        <v>Hora</v>
      </c>
      <c r="N389" s="3">
        <f>IFERROR(IF(D389="DIA ÚTIL",INDEX(tblPessoas[R$/h útil],MATCH(E389,tblPessoas[ID],0)),INDEX(tblPessoas[R$/h FDS],MATCH(E389,tblPessoas[ID],0))),0)</f>
        <v>23.5</v>
      </c>
      <c r="O389" s="3">
        <f>IFERROR(INDEX(tblPessoas[R$/diária],MATCH(E389,tblPessoas[ID],0)),0)</f>
        <v>0</v>
      </c>
      <c r="P389" s="3">
        <f t="shared" ref="P389:P398" si="26">IF(Q389&lt;&gt;"CONCLUÍDO","",IF(M389="Diária",O389*R389,K389*N389))</f>
        <v>115.95944444270572</v>
      </c>
      <c r="Q389" t="str">
        <f>IF(A389="","",IF(COUNTIF(tblBatidas[Início vinculado],"B"&amp;MID($A389,2,99))=0,"EM ABERTO",IF(OR(COUNTIF(tblBatidas[Início vinculado],"B"&amp;MID($A389,2,99))&gt;1,K389&lt;0,K389&gt;16,INT(INDEX(tblBatidas[Data e hora],MATCH("B"&amp;MID($A389,2,99),tblBatidas[Início vinculado],0)))&lt;&gt;B389,INDEX(tblBatidas[ID],MATCH("B"&amp;MID($A389,2,99),tblBatidas[Início vinculado],0))&lt;&gt;E389,INDEX(tblBatidas[Projeto],MATCH("B"&amp;MID($A389,2,99),tblBatidas[Início vinculado],0))&lt;&gt;G389,INDEX(tblBatidas[Atividade],MATCH("B"&amp;MID($A389,2,99),tblBatidas[Início vinculado],0))&lt;&gt;H389),"REVISAR","CONCLUÍDO")))</f>
        <v>CONCLUÍDO</v>
      </c>
      <c r="R389">
        <f>IF(Q389&lt;&gt;"CONCLUÍDO",0,IF(COUNTIFS($E$5:E389,E389,$B$5:B389,B389,$Q$5:Q389,"CONCLUÍDO")=1,1,0))</f>
        <v>0</v>
      </c>
      <c r="S389" t="str">
        <f t="shared" ref="S389:S398" si="27">IF(B389="","",TEXT(B389,"yyyy-mm"))</f>
        <v>yyyy-09</v>
      </c>
      <c r="T389">
        <f>IF(E389="","",E389*100000+COUNTIFS(tblRegistros[ID],E389,tblRegistros[Data],"&lt;"&amp;B389)+COUNTIFS(tblRegistros[ID],E389,tblRegistros[Data],B389,tblRegistros[Início],"&lt;"&amp;I389)+COUNTIFS($E$5:E389,E389,$B$5:B389,B389,$I$5:I389,I389))</f>
        <v>101300044</v>
      </c>
    </row>
    <row r="390" spans="1:20">
      <c r="A390" t="s">
        <v>481</v>
      </c>
      <c r="B390" s="2">
        <f>IFERROR(INT(INDEX(tblBatidas[Data e hora],MATCH("B"&amp;MID($A390,2,99),tblBatidas[Batida ID],0))),"")</f>
        <v>46287</v>
      </c>
      <c r="C390" t="str">
        <f t="shared" si="24"/>
        <v>TERÇA-FEIRA</v>
      </c>
      <c r="D390" t="str">
        <f t="shared" si="25"/>
        <v>DIA ÚTIL</v>
      </c>
      <c r="E390">
        <f>IFERROR(INDEX(tblBatidas[ID],MATCH("B"&amp;MID($A390,2,99),tblBatidas[Batida ID],0)),"")</f>
        <v>1003</v>
      </c>
      <c r="F390" t="str">
        <f>IFERROR(INDEX(tblPessoas[Pessoa],MATCH(E390,tblPessoas[ID],0)),"")</f>
        <v>Amanda do Carmo Ribeiro</v>
      </c>
      <c r="G390" t="str">
        <f>IFERROR(INDEX(tblBatidas[Projeto],MATCH("B"&amp;MID($A390,2,99),tblBatidas[Batida ID],0)),"")</f>
        <v>OTEMPO</v>
      </c>
      <c r="H390" t="str">
        <f>IFERROR(INDEX(tblBatidas[Atividade],MATCH("B"&amp;MID($A390,2,99),tblBatidas[Batida ID],0)),"")</f>
        <v>ANÁLISE</v>
      </c>
      <c r="I390" s="4">
        <f>IFERROR(MOD(INDEX(tblBatidas[Data e hora],MATCH("B"&amp;MID($A390,2,99),tblBatidas[Batida ID],0)),1),"")</f>
        <v>0.55717592592554865</v>
      </c>
      <c r="J390" s="4">
        <f>IFERROR(MOD(INDEX(tblBatidas[Data e hora],MATCH("B"&amp;MID($A390,2,99),tblBatidas[Início vinculado],0)),1),"")</f>
        <v>0.74828703703678912</v>
      </c>
      <c r="K390" s="14">
        <f>IFERROR((INDEX(tblBatidas[Data e hora],MATCH("B"&amp;MID($A390,2,99),tblBatidas[Início vinculado],0))-INDEX(tblBatidas[Data e hora],MATCH("B"&amp;MID($A390,2,99),tblBatidas[Batida ID],0)))*24,"")</f>
        <v>4.5866666666697711</v>
      </c>
      <c r="L390">
        <f>IFERROR(INDEX(tblBatidas[Observação],MATCH("B"&amp;MID($A390,2,99),tblBatidas[Início vinculado],0)),"")</f>
        <v>0</v>
      </c>
      <c r="M390" t="str">
        <f>IFERROR(INDEX(tblPessoas[Base],MATCH(E390,tblPessoas[ID],0)),"")</f>
        <v>Hora</v>
      </c>
      <c r="N390" s="3">
        <f>IFERROR(IF(D390="DIA ÚTIL",INDEX(tblPessoas[R$/h útil],MATCH(E390,tblPessoas[ID],0)),INDEX(tblPessoas[R$/h FDS],MATCH(E390,tblPessoas[ID],0))),0)</f>
        <v>23.5</v>
      </c>
      <c r="O390" s="3">
        <f>IFERROR(INDEX(tblPessoas[R$/diária],MATCH(E390,tblPessoas[ID],0)),0)</f>
        <v>0</v>
      </c>
      <c r="P390" s="3">
        <f t="shared" si="26"/>
        <v>107.78666666673962</v>
      </c>
      <c r="Q390" t="str">
        <f>IF(A390="","",IF(COUNTIF(tblBatidas[Início vinculado],"B"&amp;MID($A390,2,99))=0,"EM ABERTO",IF(OR(COUNTIF(tblBatidas[Início vinculado],"B"&amp;MID($A390,2,99))&gt;1,K390&lt;0,K390&gt;16,INT(INDEX(tblBatidas[Data e hora],MATCH("B"&amp;MID($A390,2,99),tblBatidas[Início vinculado],0)))&lt;&gt;B390,INDEX(tblBatidas[ID],MATCH("B"&amp;MID($A390,2,99),tblBatidas[Início vinculado],0))&lt;&gt;E390,INDEX(tblBatidas[Projeto],MATCH("B"&amp;MID($A390,2,99),tblBatidas[Início vinculado],0))&lt;&gt;G390,INDEX(tblBatidas[Atividade],MATCH("B"&amp;MID($A390,2,99),tblBatidas[Início vinculado],0))&lt;&gt;H390),"REVISAR","CONCLUÍDO")))</f>
        <v>CONCLUÍDO</v>
      </c>
      <c r="R390">
        <f>IF(Q390&lt;&gt;"CONCLUÍDO",0,IF(COUNTIFS($E$5:E390,E390,$B$5:B390,B390,$Q$5:Q390,"CONCLUÍDO")=1,1,0))</f>
        <v>0</v>
      </c>
      <c r="S390" t="str">
        <f t="shared" si="27"/>
        <v>yyyy-09</v>
      </c>
      <c r="T390">
        <f>IF(E390="","",E390*100000+COUNTIFS(tblRegistros[ID],E390,tblRegistros[Data],"&lt;"&amp;B390)+COUNTIFS(tblRegistros[ID],E390,tblRegistros[Data],B390,tblRegistros[Início],"&lt;"&amp;I390)+COUNTIFS($E$5:E390,E390,$B$5:B390,B390,$I$5:I390,I390))</f>
        <v>100300047</v>
      </c>
    </row>
    <row r="391" spans="1:20">
      <c r="A391" t="s">
        <v>482</v>
      </c>
      <c r="B391" s="2">
        <f>IFERROR(INT(INDEX(tblBatidas[Data e hora],MATCH("B"&amp;MID($A391,2,99),tblBatidas[Batida ID],0))),"")</f>
        <v>46287</v>
      </c>
      <c r="C391" t="str">
        <f t="shared" si="24"/>
        <v>TERÇA-FEIRA</v>
      </c>
      <c r="D391" t="str">
        <f t="shared" si="25"/>
        <v>DIA ÚTIL</v>
      </c>
      <c r="E391">
        <f>IFERROR(INDEX(tblBatidas[ID],MATCH("B"&amp;MID($A391,2,99),tblBatidas[Batida ID],0)),"")</f>
        <v>1002</v>
      </c>
      <c r="F391" t="str">
        <f>IFERROR(INDEX(tblPessoas[Pessoa],MATCH(E391,tblPessoas[ID],0)),"")</f>
        <v>Alex de Almeida Mariano</v>
      </c>
      <c r="G391" t="str">
        <f>IFERROR(INDEX(tblBatidas[Projeto],MATCH("B"&amp;MID($A391,2,99),tblBatidas[Batida ID],0)),"")</f>
        <v>TOOLKIT</v>
      </c>
      <c r="H391" t="str">
        <f>IFERROR(INDEX(tblBatidas[Atividade],MATCH("B"&amp;MID($A391,2,99),tblBatidas[Batida ID],0)),"")</f>
        <v>ANÁLISE</v>
      </c>
      <c r="I391" s="4">
        <f>IFERROR(MOD(INDEX(tblBatidas[Data e hora],MATCH("B"&amp;MID($A391,2,99),tblBatidas[Batida ID],0)),1),"")</f>
        <v>0.55972222222044365</v>
      </c>
      <c r="J391" s="4">
        <f>IFERROR(MOD(INDEX(tblBatidas[Data e hora],MATCH("B"&amp;MID($A391,2,99),tblBatidas[Início vinculado],0)),1),"")</f>
        <v>0.74774305555911269</v>
      </c>
      <c r="K391" s="14">
        <f>IFERROR((INDEX(tblBatidas[Data e hora],MATCH("B"&amp;MID($A391,2,99),tblBatidas[Início vinculado],0))-INDEX(tblBatidas[Data e hora],MATCH("B"&amp;MID($A391,2,99),tblBatidas[Batida ID],0)))*24,"")</f>
        <v>4.5125000001280569</v>
      </c>
      <c r="L391">
        <f>IFERROR(INDEX(tblBatidas[Observação],MATCH("B"&amp;MID($A391,2,99),tblBatidas[Início vinculado],0)),"")</f>
        <v>0</v>
      </c>
      <c r="M391" t="str">
        <f>IFERROR(INDEX(tblPessoas[Base],MATCH(E391,tblPessoas[ID],0)),"")</f>
        <v>Hora</v>
      </c>
      <c r="N391" s="3">
        <f>IFERROR(IF(D391="DIA ÚTIL",INDEX(tblPessoas[R$/h útil],MATCH(E391,tblPessoas[ID],0)),INDEX(tblPessoas[R$/h FDS],MATCH(E391,tblPessoas[ID],0))),0)</f>
        <v>23.5</v>
      </c>
      <c r="O391" s="3">
        <f>IFERROR(INDEX(tblPessoas[R$/diária],MATCH(E391,tblPessoas[ID],0)),0)</f>
        <v>0</v>
      </c>
      <c r="P391" s="3">
        <f t="shared" si="26"/>
        <v>106.04375000300934</v>
      </c>
      <c r="Q391" t="str">
        <f>IF(A391="","",IF(COUNTIF(tblBatidas[Início vinculado],"B"&amp;MID($A391,2,99))=0,"EM ABERTO",IF(OR(COUNTIF(tblBatidas[Início vinculado],"B"&amp;MID($A391,2,99))&gt;1,K391&lt;0,K391&gt;16,INT(INDEX(tblBatidas[Data e hora],MATCH("B"&amp;MID($A391,2,99),tblBatidas[Início vinculado],0)))&lt;&gt;B391,INDEX(tblBatidas[ID],MATCH("B"&amp;MID($A391,2,99),tblBatidas[Início vinculado],0))&lt;&gt;E391,INDEX(tblBatidas[Projeto],MATCH("B"&amp;MID($A391,2,99),tblBatidas[Início vinculado],0))&lt;&gt;G391,INDEX(tblBatidas[Atividade],MATCH("B"&amp;MID($A391,2,99),tblBatidas[Início vinculado],0))&lt;&gt;H391),"REVISAR","CONCLUÍDO")))</f>
        <v>CONCLUÍDO</v>
      </c>
      <c r="R391">
        <f>IF(Q391&lt;&gt;"CONCLUÍDO",0,IF(COUNTIFS($E$5:E391,E391,$B$5:B391,B391,$Q$5:Q391,"CONCLUÍDO")=1,1,0))</f>
        <v>0</v>
      </c>
      <c r="S391" t="str">
        <f t="shared" si="27"/>
        <v>yyyy-09</v>
      </c>
      <c r="T391">
        <f>IF(E391="","",E391*100000+COUNTIFS(tblRegistros[ID],E391,tblRegistros[Data],"&lt;"&amp;B391)+COUNTIFS(tblRegistros[ID],E391,tblRegistros[Data],B391,tblRegistros[Início],"&lt;"&amp;I391)+COUNTIFS($E$5:E391,E391,$B$5:B391,B391,$I$5:I391,I391))</f>
        <v>100200035</v>
      </c>
    </row>
    <row r="392" spans="1:20">
      <c r="A392" t="s">
        <v>483</v>
      </c>
      <c r="B392" s="2">
        <f>IFERROR(INT(INDEX(tblBatidas[Data e hora],MATCH("B"&amp;MID($A392,2,99),tblBatidas[Batida ID],0))),"")</f>
        <v>46288</v>
      </c>
      <c r="C392" t="str">
        <f t="shared" si="24"/>
        <v>QUARTA-FEIRA</v>
      </c>
      <c r="D392" t="str">
        <f t="shared" si="25"/>
        <v>DIA ÚTIL</v>
      </c>
      <c r="E392">
        <f>IFERROR(INDEX(tblBatidas[ID],MATCH("B"&amp;MID($A392,2,99),tblBatidas[Batida ID],0)),"")</f>
        <v>1003</v>
      </c>
      <c r="F392" t="str">
        <f>IFERROR(INDEX(tblPessoas[Pessoa],MATCH(E392,tblPessoas[ID],0)),"")</f>
        <v>Amanda do Carmo Ribeiro</v>
      </c>
      <c r="G392" t="str">
        <f>IFERROR(INDEX(tblBatidas[Projeto],MATCH("B"&amp;MID($A392,2,99),tblBatidas[Batida ID],0)),"")</f>
        <v>OTEMPO</v>
      </c>
      <c r="H392" t="str">
        <f>IFERROR(INDEX(tblBatidas[Atividade],MATCH("B"&amp;MID($A392,2,99),tblBatidas[Batida ID],0)),"")</f>
        <v>ANÁLISE</v>
      </c>
      <c r="I392" s="4">
        <f>IFERROR(MOD(INDEX(tblBatidas[Data e hora],MATCH("B"&amp;MID($A392,2,99),tblBatidas[Batida ID],0)),1),"")</f>
        <v>0.325474537035916</v>
      </c>
      <c r="J392" s="4">
        <f>IFERROR(MOD(INDEX(tblBatidas[Data e hora],MATCH("B"&amp;MID($A392,2,99),tblBatidas[Início vinculado],0)),1),"")</f>
        <v>0.50751157407648861</v>
      </c>
      <c r="K392" s="14">
        <f>IFERROR((INDEX(tblBatidas[Data e hora],MATCH("B"&amp;MID($A392,2,99),tblBatidas[Início vinculado],0))-INDEX(tblBatidas[Data e hora],MATCH("B"&amp;MID($A392,2,99),tblBatidas[Batida ID],0)))*24,"")</f>
        <v>4.3688888889737427</v>
      </c>
      <c r="L392">
        <f>IFERROR(INDEX(tblBatidas[Observação],MATCH("B"&amp;MID($A392,2,99),tblBatidas[Início vinculado],0)),"")</f>
        <v>0</v>
      </c>
      <c r="M392" t="str">
        <f>IFERROR(INDEX(tblPessoas[Base],MATCH(E392,tblPessoas[ID],0)),"")</f>
        <v>Hora</v>
      </c>
      <c r="N392" s="3">
        <f>IFERROR(IF(D392="DIA ÚTIL",INDEX(tblPessoas[R$/h útil],MATCH(E392,tblPessoas[ID],0)),INDEX(tblPessoas[R$/h FDS],MATCH(E392,tblPessoas[ID],0))),0)</f>
        <v>23.5</v>
      </c>
      <c r="O392" s="3">
        <f>IFERROR(INDEX(tblPessoas[R$/diária],MATCH(E392,tblPessoas[ID],0)),0)</f>
        <v>0</v>
      </c>
      <c r="P392" s="3">
        <f t="shared" si="26"/>
        <v>102.66888889088295</v>
      </c>
      <c r="Q392" t="str">
        <f>IF(A392="","",IF(COUNTIF(tblBatidas[Início vinculado],"B"&amp;MID($A392,2,99))=0,"EM ABERTO",IF(OR(COUNTIF(tblBatidas[Início vinculado],"B"&amp;MID($A392,2,99))&gt;1,K392&lt;0,K392&gt;16,INT(INDEX(tblBatidas[Data e hora],MATCH("B"&amp;MID($A392,2,99),tblBatidas[Início vinculado],0)))&lt;&gt;B392,INDEX(tblBatidas[ID],MATCH("B"&amp;MID($A392,2,99),tblBatidas[Início vinculado],0))&lt;&gt;E392,INDEX(tblBatidas[Projeto],MATCH("B"&amp;MID($A392,2,99),tblBatidas[Início vinculado],0))&lt;&gt;G392,INDEX(tblBatidas[Atividade],MATCH("B"&amp;MID($A392,2,99),tblBatidas[Início vinculado],0))&lt;&gt;H392),"REVISAR","CONCLUÍDO")))</f>
        <v>CONCLUÍDO</v>
      </c>
      <c r="R392">
        <f>IF(Q392&lt;&gt;"CONCLUÍDO",0,IF(COUNTIFS($E$5:E392,E392,$B$5:B392,B392,$Q$5:Q392,"CONCLUÍDO")=1,1,0))</f>
        <v>1</v>
      </c>
      <c r="S392" t="str">
        <f t="shared" si="27"/>
        <v>yyyy-09</v>
      </c>
      <c r="T392">
        <f>IF(E392="","",E392*100000+COUNTIFS(tblRegistros[ID],E392,tblRegistros[Data],"&lt;"&amp;B392)+COUNTIFS(tblRegistros[ID],E392,tblRegistros[Data],B392,tblRegistros[Início],"&lt;"&amp;I392)+COUNTIFS($E$5:E392,E392,$B$5:B392,B392,$I$5:I392,I392))</f>
        <v>100300048</v>
      </c>
    </row>
    <row r="393" spans="1:20">
      <c r="A393" t="s">
        <v>484</v>
      </c>
      <c r="B393" s="2">
        <f>IFERROR(INT(INDEX(tblBatidas[Data e hora],MATCH("B"&amp;MID($A393,2,99),tblBatidas[Batida ID],0))),"")</f>
        <v>46288</v>
      </c>
      <c r="C393" t="str">
        <f t="shared" si="24"/>
        <v>QUARTA-FEIRA</v>
      </c>
      <c r="D393" t="str">
        <f t="shared" si="25"/>
        <v>DIA ÚTIL</v>
      </c>
      <c r="E393">
        <f>IFERROR(INDEX(tblBatidas[ID],MATCH("B"&amp;MID($A393,2,99),tblBatidas[Batida ID],0)),"")</f>
        <v>1011</v>
      </c>
      <c r="F393" t="str">
        <f>IFERROR(INDEX(tblPessoas[Pessoa],MATCH(E393,tblPessoas[ID],0)),"")</f>
        <v>Nathalia Arruda</v>
      </c>
      <c r="G393" t="str">
        <f>IFERROR(INDEX(tblBatidas[Projeto],MATCH("B"&amp;MID($A393,2,99),tblBatidas[Batida ID],0)),"")</f>
        <v>OTEMPO</v>
      </c>
      <c r="H393" t="str">
        <f>IFERROR(INDEX(tblBatidas[Atividade],MATCH("B"&amp;MID($A393,2,99),tblBatidas[Batida ID],0)),"")</f>
        <v>ANÁLISE</v>
      </c>
      <c r="I393" s="4">
        <f>IFERROR(MOD(INDEX(tblBatidas[Data e hora],MATCH("B"&amp;MID($A393,2,99),tblBatidas[Batida ID],0)),1),"")</f>
        <v>0.33519675926072523</v>
      </c>
      <c r="J393" s="4">
        <f>IFERROR(MOD(INDEX(tblBatidas[Data e hora],MATCH("B"&amp;MID($A393,2,99),tblBatidas[Início vinculado],0)),1),"")</f>
        <v>0.51619212963123573</v>
      </c>
      <c r="K393" s="14">
        <f>IFERROR((INDEX(tblBatidas[Data e hora],MATCH("B"&amp;MID($A393,2,99),tblBatidas[Início vinculado],0))-INDEX(tblBatidas[Data e hora],MATCH("B"&amp;MID($A393,2,99),tblBatidas[Batida ID],0)))*24,"")</f>
        <v>4.343888888892252</v>
      </c>
      <c r="L393">
        <f>IFERROR(INDEX(tblBatidas[Observação],MATCH("B"&amp;MID($A393,2,99),tblBatidas[Início vinculado],0)),"")</f>
        <v>0</v>
      </c>
      <c r="M393" t="str">
        <f>IFERROR(INDEX(tblPessoas[Base],MATCH(E393,tblPessoas[ID],0)),"")</f>
        <v>Hora</v>
      </c>
      <c r="N393" s="3">
        <f>IFERROR(IF(D393="DIA ÚTIL",INDEX(tblPessoas[R$/h útil],MATCH(E393,tblPessoas[ID],0)),INDEX(tblPessoas[R$/h FDS],MATCH(E393,tblPessoas[ID],0))),0)</f>
        <v>23.5</v>
      </c>
      <c r="O393" s="3">
        <f>IFERROR(INDEX(tblPessoas[R$/diária],MATCH(E393,tblPessoas[ID],0)),0)</f>
        <v>0</v>
      </c>
      <c r="P393" s="3">
        <f t="shared" si="26"/>
        <v>102.08138888896792</v>
      </c>
      <c r="Q393" t="str">
        <f>IF(A393="","",IF(COUNTIF(tblBatidas[Início vinculado],"B"&amp;MID($A393,2,99))=0,"EM ABERTO",IF(OR(COUNTIF(tblBatidas[Início vinculado],"B"&amp;MID($A393,2,99))&gt;1,K393&lt;0,K393&gt;16,INT(INDEX(tblBatidas[Data e hora],MATCH("B"&amp;MID($A393,2,99),tblBatidas[Início vinculado],0)))&lt;&gt;B393,INDEX(tblBatidas[ID],MATCH("B"&amp;MID($A393,2,99),tblBatidas[Início vinculado],0))&lt;&gt;E393,INDEX(tblBatidas[Projeto],MATCH("B"&amp;MID($A393,2,99),tblBatidas[Início vinculado],0))&lt;&gt;G393,INDEX(tblBatidas[Atividade],MATCH("B"&amp;MID($A393,2,99),tblBatidas[Início vinculado],0))&lt;&gt;H393),"REVISAR","CONCLUÍDO")))</f>
        <v>CONCLUÍDO</v>
      </c>
      <c r="R393">
        <f>IF(Q393&lt;&gt;"CONCLUÍDO",0,IF(COUNTIFS($E$5:E393,E393,$B$5:B393,B393,$Q$5:Q393,"CONCLUÍDO")=1,1,0))</f>
        <v>1</v>
      </c>
      <c r="S393" t="str">
        <f t="shared" si="27"/>
        <v>yyyy-09</v>
      </c>
      <c r="T393">
        <f>IF(E393="","",E393*100000+COUNTIFS(tblRegistros[ID],E393,tblRegistros[Data],"&lt;"&amp;B393)+COUNTIFS(tblRegistros[ID],E393,tblRegistros[Data],B393,tblRegistros[Início],"&lt;"&amp;I393)+COUNTIFS($E$5:E393,E393,$B$5:B393,B393,$I$5:I393,I393))</f>
        <v>101100045</v>
      </c>
    </row>
    <row r="394" spans="1:20">
      <c r="A394" t="s">
        <v>485</v>
      </c>
      <c r="B394" s="2">
        <f>IFERROR(INT(INDEX(tblBatidas[Data e hora],MATCH("B"&amp;MID($A394,2,99),tblBatidas[Batida ID],0))),"")</f>
        <v>46288</v>
      </c>
      <c r="C394" t="str">
        <f t="shared" si="24"/>
        <v>QUARTA-FEIRA</v>
      </c>
      <c r="D394" t="str">
        <f t="shared" si="25"/>
        <v>DIA ÚTIL</v>
      </c>
      <c r="E394">
        <f>IFERROR(INDEX(tblBatidas[ID],MATCH("B"&amp;MID($A394,2,99),tblBatidas[Batida ID],0)),"")</f>
        <v>1002</v>
      </c>
      <c r="F394" t="str">
        <f>IFERROR(INDEX(tblPessoas[Pessoa],MATCH(E394,tblPessoas[ID],0)),"")</f>
        <v>Alex de Almeida Mariano</v>
      </c>
      <c r="G394" t="str">
        <f>IFERROR(INDEX(tblBatidas[Projeto],MATCH("B"&amp;MID($A394,2,99),tblBatidas[Batida ID],0)),"")</f>
        <v>CFI / ACCION</v>
      </c>
      <c r="H394" t="str">
        <f>IFERROR(INDEX(tblBatidas[Atividade],MATCH("B"&amp;MID($A394,2,99),tblBatidas[Batida ID],0)),"")</f>
        <v>ANÁLISE</v>
      </c>
      <c r="I394" s="4">
        <f>IFERROR(MOD(INDEX(tblBatidas[Data e hora],MATCH("B"&amp;MID($A394,2,99),tblBatidas[Batida ID],0)),1),"")</f>
        <v>0.37010416666453239</v>
      </c>
      <c r="J394" s="4">
        <f>IFERROR(MOD(INDEX(tblBatidas[Data e hora],MATCH("B"&amp;MID($A394,2,99),tblBatidas[Início vinculado],0)),1),"")</f>
        <v>0.49106481481430819</v>
      </c>
      <c r="K394" s="14">
        <f>IFERROR((INDEX(tblBatidas[Data e hora],MATCH("B"&amp;MID($A394,2,99),tblBatidas[Início vinculado],0))-INDEX(tblBatidas[Data e hora],MATCH("B"&amp;MID($A394,2,99),tblBatidas[Batida ID],0)))*24,"")</f>
        <v>2.9030555555946194</v>
      </c>
      <c r="L394">
        <f>IFERROR(INDEX(tblBatidas[Observação],MATCH("B"&amp;MID($A394,2,99),tblBatidas[Início vinculado],0)),"")</f>
        <v>0</v>
      </c>
      <c r="M394" t="str">
        <f>IFERROR(INDEX(tblPessoas[Base],MATCH(E394,tblPessoas[ID],0)),"")</f>
        <v>Hora</v>
      </c>
      <c r="N394" s="3">
        <f>IFERROR(IF(D394="DIA ÚTIL",INDEX(tblPessoas[R$/h útil],MATCH(E394,tblPessoas[ID],0)),INDEX(tblPessoas[R$/h FDS],MATCH(E394,tblPessoas[ID],0))),0)</f>
        <v>23.5</v>
      </c>
      <c r="O394" s="3">
        <f>IFERROR(INDEX(tblPessoas[R$/diária],MATCH(E394,tblPessoas[ID],0)),0)</f>
        <v>0</v>
      </c>
      <c r="P394" s="3">
        <f t="shared" si="26"/>
        <v>68.221805556473555</v>
      </c>
      <c r="Q394" t="str">
        <f>IF(A394="","",IF(COUNTIF(tblBatidas[Início vinculado],"B"&amp;MID($A394,2,99))=0,"EM ABERTO",IF(OR(COUNTIF(tblBatidas[Início vinculado],"B"&amp;MID($A394,2,99))&gt;1,K394&lt;0,K394&gt;16,INT(INDEX(tblBatidas[Data e hora],MATCH("B"&amp;MID($A394,2,99),tblBatidas[Início vinculado],0)))&lt;&gt;B394,INDEX(tblBatidas[ID],MATCH("B"&amp;MID($A394,2,99),tblBatidas[Início vinculado],0))&lt;&gt;E394,INDEX(tblBatidas[Projeto],MATCH("B"&amp;MID($A394,2,99),tblBatidas[Início vinculado],0))&lt;&gt;G394,INDEX(tblBatidas[Atividade],MATCH("B"&amp;MID($A394,2,99),tblBatidas[Início vinculado],0))&lt;&gt;H394),"REVISAR","CONCLUÍDO")))</f>
        <v>CONCLUÍDO</v>
      </c>
      <c r="R394">
        <f>IF(Q394&lt;&gt;"CONCLUÍDO",0,IF(COUNTIFS($E$5:E394,E394,$B$5:B394,B394,$Q$5:Q394,"CONCLUÍDO")=1,1,0))</f>
        <v>1</v>
      </c>
      <c r="S394" t="str">
        <f t="shared" si="27"/>
        <v>yyyy-09</v>
      </c>
      <c r="T394">
        <f>IF(E394="","",E394*100000+COUNTIFS(tblRegistros[ID],E394,tblRegistros[Data],"&lt;"&amp;B394)+COUNTIFS(tblRegistros[ID],E394,tblRegistros[Data],B394,tblRegistros[Início],"&lt;"&amp;I394)+COUNTIFS($E$5:E394,E394,$B$5:B394,B394,$I$5:I394,I394))</f>
        <v>100200036</v>
      </c>
    </row>
    <row r="395" spans="1:20">
      <c r="A395" t="s">
        <v>486</v>
      </c>
      <c r="B395" s="2">
        <f>IFERROR(INT(INDEX(tblBatidas[Data e hora],MATCH("B"&amp;MID($A395,2,99),tblBatidas[Batida ID],0))),"")</f>
        <v>46288</v>
      </c>
      <c r="C395" t="str">
        <f t="shared" si="24"/>
        <v>QUARTA-FEIRA</v>
      </c>
      <c r="D395" t="str">
        <f t="shared" si="25"/>
        <v>DIA ÚTIL</v>
      </c>
      <c r="E395">
        <f>IFERROR(INDEX(tblBatidas[ID],MATCH("B"&amp;MID($A395,2,99),tblBatidas[Batida ID],0)),"")</f>
        <v>1013</v>
      </c>
      <c r="F395" t="str">
        <f>IFERROR(INDEX(tblPessoas[Pessoa],MATCH(E395,tblPessoas[ID],0)),"")</f>
        <v>Rafaela Maria Resende Lara</v>
      </c>
      <c r="G395" t="str">
        <f>IFERROR(INDEX(tblBatidas[Projeto],MATCH("B"&amp;MID($A395,2,99),tblBatidas[Batida ID],0)),"")</f>
        <v>OUTROS</v>
      </c>
      <c r="H395" t="str">
        <f>IFERROR(INDEX(tblBatidas[Atividade],MATCH("B"&amp;MID($A395,2,99),tblBatidas[Batida ID],0)),"")</f>
        <v>ANÁLISE</v>
      </c>
      <c r="I395" s="4">
        <f>IFERROR(MOD(INDEX(tblBatidas[Data e hora],MATCH("B"&amp;MID($A395,2,99),tblBatidas[Batida ID],0)),1),"")</f>
        <v>0.38729166666598758</v>
      </c>
      <c r="J395" s="4">
        <f>IFERROR(MOD(INDEX(tblBatidas[Data e hora],MATCH("B"&amp;MID($A395,2,99),tblBatidas[Início vinculado],0)),1),"")</f>
        <v>0.48961805555882165</v>
      </c>
      <c r="K395" s="14">
        <f>IFERROR((INDEX(tblBatidas[Data e hora],MATCH("B"&amp;MID($A395,2,99),tblBatidas[Início vinculado],0))-INDEX(tblBatidas[Data e hora],MATCH("B"&amp;MID($A395,2,99),tblBatidas[Batida ID],0)))*24,"")</f>
        <v>2.4558333334280178</v>
      </c>
      <c r="L395" t="str">
        <f>IFERROR(INDEX(tblBatidas[Observação],MATCH("B"&amp;MID($A395,2,99),tblBatidas[Início vinculado],0)),"")</f>
        <v>CDL- Black Friday</v>
      </c>
      <c r="M395" t="str">
        <f>IFERROR(INDEX(tblPessoas[Base],MATCH(E395,tblPessoas[ID],0)),"")</f>
        <v>Hora</v>
      </c>
      <c r="N395" s="3">
        <f>IFERROR(IF(D395="DIA ÚTIL",INDEX(tblPessoas[R$/h útil],MATCH(E395,tblPessoas[ID],0)),INDEX(tblPessoas[R$/h FDS],MATCH(E395,tblPessoas[ID],0))),0)</f>
        <v>23.5</v>
      </c>
      <c r="O395" s="3">
        <f>IFERROR(INDEX(tblPessoas[R$/diária],MATCH(E395,tblPessoas[ID],0)),0)</f>
        <v>0</v>
      </c>
      <c r="P395" s="3">
        <f t="shared" si="26"/>
        <v>57.712083335558418</v>
      </c>
      <c r="Q395" t="str">
        <f>IF(A395="","",IF(COUNTIF(tblBatidas[Início vinculado],"B"&amp;MID($A395,2,99))=0,"EM ABERTO",IF(OR(COUNTIF(tblBatidas[Início vinculado],"B"&amp;MID($A395,2,99))&gt;1,K395&lt;0,K395&gt;16,INT(INDEX(tblBatidas[Data e hora],MATCH("B"&amp;MID($A395,2,99),tblBatidas[Início vinculado],0)))&lt;&gt;B395,INDEX(tblBatidas[ID],MATCH("B"&amp;MID($A395,2,99),tblBatidas[Início vinculado],0))&lt;&gt;E395,INDEX(tblBatidas[Projeto],MATCH("B"&amp;MID($A395,2,99),tblBatidas[Início vinculado],0))&lt;&gt;G395,INDEX(tblBatidas[Atividade],MATCH("B"&amp;MID($A395,2,99),tblBatidas[Início vinculado],0))&lt;&gt;H395),"REVISAR","CONCLUÍDO")))</f>
        <v>CONCLUÍDO</v>
      </c>
      <c r="R395">
        <f>IF(Q395&lt;&gt;"CONCLUÍDO",0,IF(COUNTIFS($E$5:E395,E395,$B$5:B395,B395,$Q$5:Q395,"CONCLUÍDO")=1,1,0))</f>
        <v>1</v>
      </c>
      <c r="S395" t="str">
        <f t="shared" si="27"/>
        <v>yyyy-09</v>
      </c>
      <c r="T395">
        <f>IF(E395="","",E395*100000+COUNTIFS(tblRegistros[ID],E395,tblRegistros[Data],"&lt;"&amp;B395)+COUNTIFS(tblRegistros[ID],E395,tblRegistros[Data],B395,tblRegistros[Início],"&lt;"&amp;I395)+COUNTIFS($E$5:E395,E395,$B$5:B395,B395,$I$5:I395,I395))</f>
        <v>101300045</v>
      </c>
    </row>
    <row r="396" spans="1:20">
      <c r="A396" t="s">
        <v>487</v>
      </c>
      <c r="B396" s="2">
        <f>IFERROR(INT(INDEX(tblBatidas[Data e hora],MATCH("B"&amp;MID($A396,2,99),tblBatidas[Batida ID],0))),"")</f>
        <v>46288</v>
      </c>
      <c r="C396" t="str">
        <f t="shared" si="24"/>
        <v>QUARTA-FEIRA</v>
      </c>
      <c r="D396" t="str">
        <f t="shared" si="25"/>
        <v>DIA ÚTIL</v>
      </c>
      <c r="E396">
        <f>IFERROR(INDEX(tblBatidas[ID],MATCH("B"&amp;MID($A396,2,99),tblBatidas[Batida ID],0)),"")</f>
        <v>1013</v>
      </c>
      <c r="F396" t="str">
        <f>IFERROR(INDEX(tblPessoas[Pessoa],MATCH(E396,tblPessoas[ID],0)),"")</f>
        <v>Rafaela Maria Resende Lara</v>
      </c>
      <c r="G396" t="str">
        <f>IFERROR(INDEX(tblBatidas[Projeto],MATCH("B"&amp;MID($A396,2,99),tblBatidas[Batida ID],0)),"")</f>
        <v>OUTROS</v>
      </c>
      <c r="H396" t="str">
        <f>IFERROR(INDEX(tblBatidas[Atividade],MATCH("B"&amp;MID($A396,2,99),tblBatidas[Batida ID],0)),"")</f>
        <v>ANÁLISE</v>
      </c>
      <c r="I396" s="4">
        <f>IFERROR(MOD(INDEX(tblBatidas[Data e hora],MATCH("B"&amp;MID($A396,2,99),tblBatidas[Batida ID],0)),1),"")</f>
        <v>0.52319444444583496</v>
      </c>
      <c r="J396" s="4">
        <f>IFERROR(MOD(INDEX(tblBatidas[Data e hora],MATCH("B"&amp;MID($A396,2,99),tblBatidas[Início vinculado],0)),1),"")</f>
        <v>0.75042824073898373</v>
      </c>
      <c r="K396" s="14">
        <f>IFERROR((INDEX(tblBatidas[Data e hora],MATCH("B"&amp;MID($A396,2,99),tblBatidas[Início vinculado],0))-INDEX(tblBatidas[Data e hora],MATCH("B"&amp;MID($A396,2,99),tblBatidas[Batida ID],0)))*24,"")</f>
        <v>5.4536111110355705</v>
      </c>
      <c r="L396">
        <f>IFERROR(INDEX(tblBatidas[Observação],MATCH("B"&amp;MID($A396,2,99),tblBatidas[Início vinculado],0)),"")</f>
        <v>0</v>
      </c>
      <c r="M396" t="str">
        <f>IFERROR(INDEX(tblPessoas[Base],MATCH(E396,tblPessoas[ID],0)),"")</f>
        <v>Hora</v>
      </c>
      <c r="N396" s="3">
        <f>IFERROR(IF(D396="DIA ÚTIL",INDEX(tblPessoas[R$/h útil],MATCH(E396,tblPessoas[ID],0)),INDEX(tblPessoas[R$/h FDS],MATCH(E396,tblPessoas[ID],0))),0)</f>
        <v>23.5</v>
      </c>
      <c r="O396" s="3">
        <f>IFERROR(INDEX(tblPessoas[R$/diária],MATCH(E396,tblPessoas[ID],0)),0)</f>
        <v>0</v>
      </c>
      <c r="P396" s="3" t="str">
        <f t="shared" si="26"/>
        <v/>
      </c>
      <c r="Q396" t="str">
        <f>IF(A396="","",IF(COUNTIF(tblBatidas[Início vinculado],"B"&amp;MID($A396,2,99))=0,"EM ABERTO",IF(OR(COUNTIF(tblBatidas[Início vinculado],"B"&amp;MID($A396,2,99))&gt;1,K396&lt;0,K396&gt;16,INT(INDEX(tblBatidas[Data e hora],MATCH("B"&amp;MID($A396,2,99),tblBatidas[Início vinculado],0)))&lt;&gt;B396,INDEX(tblBatidas[ID],MATCH("B"&amp;MID($A396,2,99),tblBatidas[Início vinculado],0))&lt;&gt;E396,INDEX(tblBatidas[Projeto],MATCH("B"&amp;MID($A396,2,99),tblBatidas[Início vinculado],0))&lt;&gt;G396,INDEX(tblBatidas[Atividade],MATCH("B"&amp;MID($A396,2,99),tblBatidas[Início vinculado],0))&lt;&gt;H396),"REVISAR","CONCLUÍDO")))</f>
        <v>REVISAR</v>
      </c>
      <c r="R396">
        <f>IF(Q396&lt;&gt;"CONCLUÍDO",0,IF(COUNTIFS($E$5:E396,E396,$B$5:B396,B396,$Q$5:Q396,"CONCLUÍDO")=1,1,0))</f>
        <v>0</v>
      </c>
      <c r="S396" t="str">
        <f t="shared" si="27"/>
        <v>yyyy-09</v>
      </c>
      <c r="T396">
        <f>IF(E396="","",E396*100000+COUNTIFS(tblRegistros[ID],E396,tblRegistros[Data],"&lt;"&amp;B396)+COUNTIFS(tblRegistros[ID],E396,tblRegistros[Data],B396,tblRegistros[Início],"&lt;"&amp;I396)+COUNTIFS($E$5:E396,E396,$B$5:B396,B396,$I$5:I396,I396))</f>
        <v>101300046</v>
      </c>
    </row>
    <row r="397" spans="1:20">
      <c r="A397" t="s">
        <v>488</v>
      </c>
      <c r="B397" s="2">
        <f>IFERROR(INT(INDEX(tblBatidas[Data e hora],MATCH("B"&amp;MID($A397,2,99),tblBatidas[Batida ID],0))),"")</f>
        <v>46288</v>
      </c>
      <c r="C397" t="str">
        <f t="shared" si="24"/>
        <v>QUARTA-FEIRA</v>
      </c>
      <c r="D397" t="str">
        <f t="shared" si="25"/>
        <v>DIA ÚTIL</v>
      </c>
      <c r="E397">
        <f>IFERROR(INDEX(tblBatidas[ID],MATCH("B"&amp;MID($A397,2,99),tblBatidas[Batida ID],0)),"")</f>
        <v>1011</v>
      </c>
      <c r="F397" t="str">
        <f>IFERROR(INDEX(tblPessoas[Pessoa],MATCH(E397,tblPessoas[ID],0)),"")</f>
        <v>Nathalia Arruda</v>
      </c>
      <c r="G397" t="str">
        <f>IFERROR(INDEX(tblBatidas[Projeto],MATCH("B"&amp;MID($A397,2,99),tblBatidas[Batida ID],0)),"")</f>
        <v>OTEMPO</v>
      </c>
      <c r="H397" t="str">
        <f>IFERROR(INDEX(tblBatidas[Atividade],MATCH("B"&amp;MID($A397,2,99),tblBatidas[Batida ID],0)),"")</f>
        <v>ANÁLISE</v>
      </c>
      <c r="I397" s="4">
        <f>IFERROR(MOD(INDEX(tblBatidas[Data e hora],MATCH("B"&amp;MID($A397,2,99),tblBatidas[Batida ID],0)),1),"")</f>
        <v>0.536550925928168</v>
      </c>
      <c r="J397" s="4">
        <f>IFERROR(MOD(INDEX(tblBatidas[Data e hora],MATCH("B"&amp;MID($A397,2,99),tblBatidas[Início vinculado],0)),1),"")</f>
        <v>0.7512384259243845</v>
      </c>
      <c r="K397" s="14">
        <f>IFERROR((INDEX(tblBatidas[Data e hora],MATCH("B"&amp;MID($A397,2,99),tblBatidas[Início vinculado],0))-INDEX(tblBatidas[Data e hora],MATCH("B"&amp;MID($A397,2,99),tblBatidas[Batida ID],0)))*24,"")</f>
        <v>5.152499999909196</v>
      </c>
      <c r="L397">
        <f>IFERROR(INDEX(tblBatidas[Observação],MATCH("B"&amp;MID($A397,2,99),tblBatidas[Início vinculado],0)),"")</f>
        <v>0</v>
      </c>
      <c r="M397" t="str">
        <f>IFERROR(INDEX(tblPessoas[Base],MATCH(E397,tblPessoas[ID],0)),"")</f>
        <v>Hora</v>
      </c>
      <c r="N397" s="3">
        <f>IFERROR(IF(D397="DIA ÚTIL",INDEX(tblPessoas[R$/h útil],MATCH(E397,tblPessoas[ID],0)),INDEX(tblPessoas[R$/h FDS],MATCH(E397,tblPessoas[ID],0))),0)</f>
        <v>23.5</v>
      </c>
      <c r="O397" s="3">
        <f>IFERROR(INDEX(tblPessoas[R$/diária],MATCH(E397,tblPessoas[ID],0)),0)</f>
        <v>0</v>
      </c>
      <c r="P397" s="3">
        <f t="shared" si="26"/>
        <v>121.08374999786611</v>
      </c>
      <c r="Q397" t="str">
        <f>IF(A397="","",IF(COUNTIF(tblBatidas[Início vinculado],"B"&amp;MID($A397,2,99))=0,"EM ABERTO",IF(OR(COUNTIF(tblBatidas[Início vinculado],"B"&amp;MID($A397,2,99))&gt;1,K397&lt;0,K397&gt;16,INT(INDEX(tblBatidas[Data e hora],MATCH("B"&amp;MID($A397,2,99),tblBatidas[Início vinculado],0)))&lt;&gt;B397,INDEX(tblBatidas[ID],MATCH("B"&amp;MID($A397,2,99),tblBatidas[Início vinculado],0))&lt;&gt;E397,INDEX(tblBatidas[Projeto],MATCH("B"&amp;MID($A397,2,99),tblBatidas[Início vinculado],0))&lt;&gt;G397,INDEX(tblBatidas[Atividade],MATCH("B"&amp;MID($A397,2,99),tblBatidas[Início vinculado],0))&lt;&gt;H397),"REVISAR","CONCLUÍDO")))</f>
        <v>CONCLUÍDO</v>
      </c>
      <c r="R397">
        <f>IF(Q397&lt;&gt;"CONCLUÍDO",0,IF(COUNTIFS($E$5:E397,E397,$B$5:B397,B397,$Q$5:Q397,"CONCLUÍDO")=1,1,0))</f>
        <v>0</v>
      </c>
      <c r="S397" t="str">
        <f t="shared" si="27"/>
        <v>yyyy-09</v>
      </c>
      <c r="T397">
        <f>IF(E397="","",E397*100000+COUNTIFS(tblRegistros[ID],E397,tblRegistros[Data],"&lt;"&amp;B397)+COUNTIFS(tblRegistros[ID],E397,tblRegistros[Data],B397,tblRegistros[Início],"&lt;"&amp;I397)+COUNTIFS($E$5:E397,E397,$B$5:B397,B397,$I$5:I397,I397))</f>
        <v>101100046</v>
      </c>
    </row>
    <row r="398" spans="1:20">
      <c r="A398" t="s">
        <v>489</v>
      </c>
      <c r="B398" s="2">
        <f>IFERROR(INT(INDEX(tblBatidas[Data e hora],MATCH("B"&amp;MID($A398,2,99),tblBatidas[Batida ID],0))),"")</f>
        <v>46288</v>
      </c>
      <c r="C398" t="str">
        <f t="shared" si="24"/>
        <v>QUARTA-FEIRA</v>
      </c>
      <c r="D398" t="str">
        <f t="shared" si="25"/>
        <v>DIA ÚTIL</v>
      </c>
      <c r="E398">
        <f>IFERROR(INDEX(tblBatidas[ID],MATCH("B"&amp;MID($A398,2,99),tblBatidas[Batida ID],0)),"")</f>
        <v>1002</v>
      </c>
      <c r="F398" t="str">
        <f>IFERROR(INDEX(tblPessoas[Pessoa],MATCH(E398,tblPessoas[ID],0)),"")</f>
        <v>Alex de Almeida Mariano</v>
      </c>
      <c r="G398" t="str">
        <f>IFERROR(INDEX(tblBatidas[Projeto],MATCH("B"&amp;MID($A398,2,99),tblBatidas[Batida ID],0)),"")</f>
        <v>CFI / ACCION</v>
      </c>
      <c r="H398" t="str">
        <f>IFERROR(INDEX(tblBatidas[Atividade],MATCH("B"&amp;MID($A398,2,99),tblBatidas[Batida ID],0)),"")</f>
        <v>ANÁLISE</v>
      </c>
      <c r="I398" s="4">
        <f>IFERROR(MOD(INDEX(tblBatidas[Data e hora],MATCH("B"&amp;MID($A398,2,99),tblBatidas[Batida ID],0)),1),"")</f>
        <v>0.54269675925752381</v>
      </c>
      <c r="J398" s="4">
        <f>IFERROR(MOD(INDEX(tblBatidas[Data e hora],MATCH("B"&amp;MID($A398,2,99),tblBatidas[Início vinculado],0)),1),"")</f>
        <v>0.74712962962803431</v>
      </c>
      <c r="K398" s="14">
        <f>IFERROR((INDEX(tblBatidas[Data e hora],MATCH("B"&amp;MID($A398,2,99),tblBatidas[Início vinculado],0))-INDEX(tblBatidas[Data e hora],MATCH("B"&amp;MID($A398,2,99),tblBatidas[Batida ID],0)))*24,"")</f>
        <v>4.906388888892252</v>
      </c>
      <c r="L398">
        <f>IFERROR(INDEX(tblBatidas[Observação],MATCH("B"&amp;MID($A398,2,99),tblBatidas[Início vinculado],0)),"")</f>
        <v>0</v>
      </c>
      <c r="M398" t="str">
        <f>IFERROR(INDEX(tblPessoas[Base],MATCH(E398,tblPessoas[ID],0)),"")</f>
        <v>Hora</v>
      </c>
      <c r="N398" s="3">
        <f>IFERROR(IF(D398="DIA ÚTIL",INDEX(tblPessoas[R$/h útil],MATCH(E398,tblPessoas[ID],0)),INDEX(tblPessoas[R$/h FDS],MATCH(E398,tblPessoas[ID],0))),0)</f>
        <v>23.5</v>
      </c>
      <c r="O398" s="3">
        <f>IFERROR(INDEX(tblPessoas[R$/diária],MATCH(E398,tblPessoas[ID],0)),0)</f>
        <v>0</v>
      </c>
      <c r="P398" s="3">
        <f t="shared" si="26"/>
        <v>115.30013888896792</v>
      </c>
      <c r="Q398" t="str">
        <f>IF(A398="","",IF(COUNTIF(tblBatidas[Início vinculado],"B"&amp;MID($A398,2,99))=0,"EM ABERTO",IF(OR(COUNTIF(tblBatidas[Início vinculado],"B"&amp;MID($A398,2,99))&gt;1,K398&lt;0,K398&gt;16,INT(INDEX(tblBatidas[Data e hora],MATCH("B"&amp;MID($A398,2,99),tblBatidas[Início vinculado],0)))&lt;&gt;B398,INDEX(tblBatidas[ID],MATCH("B"&amp;MID($A398,2,99),tblBatidas[Início vinculado],0))&lt;&gt;E398,INDEX(tblBatidas[Projeto],MATCH("B"&amp;MID($A398,2,99),tblBatidas[Início vinculado],0))&lt;&gt;G398,INDEX(tblBatidas[Atividade],MATCH("B"&amp;MID($A398,2,99),tblBatidas[Início vinculado],0))&lt;&gt;H398),"REVISAR","CONCLUÍDO")))</f>
        <v>CONCLUÍDO</v>
      </c>
      <c r="R398">
        <f>IF(Q398&lt;&gt;"CONCLUÍDO",0,IF(COUNTIFS($E$5:E398,E398,$B$5:B398,B398,$Q$5:Q398,"CONCLUÍDO")=1,1,0))</f>
        <v>0</v>
      </c>
      <c r="S398" t="str">
        <f t="shared" si="27"/>
        <v>yyyy-09</v>
      </c>
      <c r="T398">
        <f>IF(E398="","",E398*100000+COUNTIFS(tblRegistros[ID],E398,tblRegistros[Data],"&lt;"&amp;B398)+COUNTIFS(tblRegistros[ID],E398,tblRegistros[Data],B398,tblRegistros[Início],"&lt;"&amp;I398)+COUNTIFS($E$5:E398,E398,$B$5:B398,B398,$I$5:I398,I398))</f>
        <v>100200037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14"/>
  <sheetViews>
    <sheetView showGridLines="0" workbookViewId="0">
      <pane ySplit="4" topLeftCell="A21" activePane="bottomLeft" state="frozen"/>
      <selection pane="bottomLeft" activeCell="B21" sqref="B21"/>
    </sheetView>
  </sheetViews>
  <sheetFormatPr defaultRowHeight="14.25"/>
  <cols>
    <col min="1" max="1" width="23.875" customWidth="1"/>
    <col min="2" max="2" width="18.875" customWidth="1"/>
    <col min="3" max="3" width="11.625" customWidth="1"/>
    <col min="4" max="4" width="15" customWidth="1"/>
    <col min="5" max="5" width="8.375" customWidth="1"/>
    <col min="6" max="6" width="28.875" customWidth="1"/>
    <col min="7" max="7" width="10.875" customWidth="1"/>
    <col min="8" max="8" width="20.625" customWidth="1"/>
    <col min="9" max="9" width="17.75" customWidth="1"/>
    <col min="10" max="10" width="38.875" customWidth="1"/>
    <col min="11" max="11" width="20.625" customWidth="1"/>
    <col min="12" max="12" width="25.625" customWidth="1"/>
    <col min="13" max="13" width="16.625" customWidth="1"/>
  </cols>
  <sheetData>
    <row r="1" spans="1:13" ht="24" customHeight="1">
      <c r="A1" s="17" t="s">
        <v>490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9.5" customHeight="1">
      <c r="A2" s="7" t="s">
        <v>491</v>
      </c>
    </row>
    <row r="4" spans="1:13" ht="24" customHeight="1">
      <c r="A4" s="5" t="s">
        <v>492</v>
      </c>
      <c r="B4" s="5" t="s">
        <v>493</v>
      </c>
      <c r="C4" s="5" t="s">
        <v>23</v>
      </c>
      <c r="D4" s="5" t="s">
        <v>92</v>
      </c>
      <c r="E4" s="5" t="s">
        <v>35</v>
      </c>
      <c r="F4" s="5" t="s">
        <v>3</v>
      </c>
      <c r="G4" s="5" t="s">
        <v>494</v>
      </c>
      <c r="H4" s="5" t="s">
        <v>6</v>
      </c>
      <c r="I4" s="5" t="s">
        <v>7</v>
      </c>
      <c r="J4" s="5" t="s">
        <v>8</v>
      </c>
      <c r="K4" s="5" t="s">
        <v>495</v>
      </c>
      <c r="L4" s="5" t="s">
        <v>496</v>
      </c>
      <c r="M4" s="5" t="s">
        <v>497</v>
      </c>
    </row>
    <row r="5" spans="1:13" hidden="1">
      <c r="A5" t="s">
        <v>498</v>
      </c>
      <c r="B5" s="21">
        <v>46259.643969907411</v>
      </c>
      <c r="C5" s="2">
        <f t="shared" ref="C5:C68" si="0">IF(B5="","",INT(B5))</f>
        <v>46259</v>
      </c>
      <c r="D5" t="str">
        <f t="shared" ref="D5:D68" si="1">IF(C5="","",CHOOSE(WEEKDAY(C5,2),"SEGUNDA-FEIRA","TERÇA-FEIRA","QUARTA-FEIRA","QUINTA-FEIRA","SEXTA-FEIRA","SÁBADO","DOMINGO"))</f>
        <v>TERÇA-FEIRA</v>
      </c>
      <c r="E5">
        <v>1001</v>
      </c>
      <c r="F5" t="s">
        <v>43</v>
      </c>
      <c r="G5" t="s">
        <v>499</v>
      </c>
      <c r="H5" t="s">
        <v>72</v>
      </c>
      <c r="I5" t="s">
        <v>500</v>
      </c>
      <c r="K5" t="s">
        <v>501</v>
      </c>
      <c r="L5" s="9"/>
      <c r="M5" t="str">
        <f>IF(G5="FIM",IF(L5="","SEM VÍNCULO",IF(COUNTIF(tblBatidas[Batida ID],L5)=0,"VÍNCULO INVÁLIDO",IF(COUNTIF(tblBatidas[Início vinculado],L5)&gt;1,"VÍNCULO DUPLICADO",IF(E5&lt;&gt;INDEX(tblBatidas[ID],MATCH(L5,tblBatidas[Batida ID],0)),"DIVERGÊNCIA DE ID",IF(H5&lt;&gt;INDEX(tblBatidas[Projeto],MATCH(L5,tblBatidas[Batida ID],0)),"DIVERGÊNCIA DE PROJETO",IF(I5&lt;&gt;INDEX(tblBatidas[Atividade],MATCH(L5,tblBatidas[Batida ID],0)),"DIVERGÊNCIA DE ATIVIDADE",IF(OR(B5&lt;=INDEX(tblBatidas[Data e hora],MATCH(L5,tblBatidas[Batida ID],0)),(B5-INDEX(tblBatidas[Data e hora],MATCH(L5,tblBatidas[Batida ID],0)))*24&gt;16),"HORÁRIO INVÁLIDO","VINCULADO"))))))),"INÍCIO")</f>
        <v>INÍCIO</v>
      </c>
    </row>
    <row r="6" spans="1:13" hidden="1">
      <c r="A6" t="s">
        <v>502</v>
      </c>
      <c r="B6" s="21">
        <v>46259.645949074074</v>
      </c>
      <c r="C6" s="2">
        <f t="shared" si="0"/>
        <v>46259</v>
      </c>
      <c r="D6" t="str">
        <f t="shared" si="1"/>
        <v>TERÇA-FEIRA</v>
      </c>
      <c r="E6">
        <v>1001</v>
      </c>
      <c r="F6" t="s">
        <v>43</v>
      </c>
      <c r="G6" t="s">
        <v>503</v>
      </c>
      <c r="H6" t="s">
        <v>72</v>
      </c>
      <c r="I6" t="s">
        <v>500</v>
      </c>
      <c r="J6" t="s">
        <v>504</v>
      </c>
      <c r="K6" t="s">
        <v>501</v>
      </c>
      <c r="L6" s="9" t="s">
        <v>498</v>
      </c>
      <c r="M6" t="str">
        <f>IF(G6="FIM",IF(L6="","SEM VÍNCULO",IF(COUNTIF(tblBatidas[Batida ID],L6)=0,"VÍNCULO INVÁLIDO",IF(COUNTIF(tblBatidas[Início vinculado],L6)&gt;1,"VÍNCULO DUPLICADO",IF(E6&lt;&gt;INDEX(tblBatidas[ID],MATCH(L6,tblBatidas[Batida ID],0)),"DIVERGÊNCIA DE ID",IF(H6&lt;&gt;INDEX(tblBatidas[Projeto],MATCH(L6,tblBatidas[Batida ID],0)),"DIVERGÊNCIA DE PROJETO",IF(I6&lt;&gt;INDEX(tblBatidas[Atividade],MATCH(L6,tblBatidas[Batida ID],0)),"DIVERGÊNCIA DE ATIVIDADE",IF(OR(B6&lt;=INDEX(tblBatidas[Data e hora],MATCH(L6,tblBatidas[Batida ID],0)),(B6-INDEX(tblBatidas[Data e hora],MATCH(L6,tblBatidas[Batida ID],0)))*24&gt;16),"HORÁRIO INVÁLIDO","VINCULADO"))))))),"INÍCIO")</f>
        <v>VINCULADO</v>
      </c>
    </row>
    <row r="7" spans="1:13" hidden="1">
      <c r="A7" t="s">
        <v>505</v>
      </c>
      <c r="B7" s="21">
        <v>46259.678819444445</v>
      </c>
      <c r="C7" s="2">
        <f t="shared" si="0"/>
        <v>46259</v>
      </c>
      <c r="D7" t="str">
        <f t="shared" si="1"/>
        <v>TERÇA-FEIRA</v>
      </c>
      <c r="E7">
        <v>1015</v>
      </c>
      <c r="F7" t="s">
        <v>59</v>
      </c>
      <c r="G7" t="s">
        <v>499</v>
      </c>
      <c r="H7" t="s">
        <v>84</v>
      </c>
      <c r="I7" t="s">
        <v>84</v>
      </c>
      <c r="K7" t="s">
        <v>501</v>
      </c>
      <c r="L7" s="9"/>
      <c r="M7" t="str">
        <f>IF(G7="FIM",IF(L7="","SEM VÍNCULO",IF(COUNTIF(tblBatidas[Batida ID],L7)=0,"VÍNCULO INVÁLIDO",IF(COUNTIF(tblBatidas[Início vinculado],L7)&gt;1,"VÍNCULO DUPLICADO",IF(E7&lt;&gt;INDEX(tblBatidas[ID],MATCH(L7,tblBatidas[Batida ID],0)),"DIVERGÊNCIA DE ID",IF(H7&lt;&gt;INDEX(tblBatidas[Projeto],MATCH(L7,tblBatidas[Batida ID],0)),"DIVERGÊNCIA DE PROJETO",IF(I7&lt;&gt;INDEX(tblBatidas[Atividade],MATCH(L7,tblBatidas[Batida ID],0)),"DIVERGÊNCIA DE ATIVIDADE",IF(OR(B7&lt;=INDEX(tblBatidas[Data e hora],MATCH(L7,tblBatidas[Batida ID],0)),(B7-INDEX(tblBatidas[Data e hora],MATCH(L7,tblBatidas[Batida ID],0)))*24&gt;16),"HORÁRIO INVÁLIDO","VINCULADO"))))))),"INÍCIO")</f>
        <v>INÍCIO</v>
      </c>
    </row>
    <row r="8" spans="1:13" hidden="1">
      <c r="A8" t="s">
        <v>506</v>
      </c>
      <c r="B8" s="21">
        <v>46259.679085648146</v>
      </c>
      <c r="C8" s="2">
        <f t="shared" si="0"/>
        <v>46259</v>
      </c>
      <c r="D8" t="str">
        <f t="shared" si="1"/>
        <v>TERÇA-FEIRA</v>
      </c>
      <c r="E8">
        <v>1015</v>
      </c>
      <c r="F8" t="s">
        <v>59</v>
      </c>
      <c r="G8" t="s">
        <v>499</v>
      </c>
      <c r="H8" t="s">
        <v>84</v>
      </c>
      <c r="I8" t="s">
        <v>84</v>
      </c>
      <c r="K8" t="s">
        <v>501</v>
      </c>
      <c r="L8" s="9"/>
      <c r="M8" t="str">
        <f>IF(G8="FIM",IF(L8="","SEM VÍNCULO",IF(COUNTIF(tblBatidas[Batida ID],L8)=0,"VÍNCULO INVÁLIDO",IF(COUNTIF(tblBatidas[Início vinculado],L8)&gt;1,"VÍNCULO DUPLICADO",IF(E8&lt;&gt;INDEX(tblBatidas[ID],MATCH(L8,tblBatidas[Batida ID],0)),"DIVERGÊNCIA DE ID",IF(H8&lt;&gt;INDEX(tblBatidas[Projeto],MATCH(L8,tblBatidas[Batida ID],0)),"DIVERGÊNCIA DE PROJETO",IF(I8&lt;&gt;INDEX(tblBatidas[Atividade],MATCH(L8,tblBatidas[Batida ID],0)),"DIVERGÊNCIA DE ATIVIDADE",IF(OR(B8&lt;=INDEX(tblBatidas[Data e hora],MATCH(L8,tblBatidas[Batida ID],0)),(B8-INDEX(tblBatidas[Data e hora],MATCH(L8,tblBatidas[Batida ID],0)))*24&gt;16),"HORÁRIO INVÁLIDO","VINCULADO"))))))),"INÍCIO")</f>
        <v>INÍCIO</v>
      </c>
    </row>
    <row r="9" spans="1:13" hidden="1">
      <c r="A9" t="s">
        <v>507</v>
      </c>
      <c r="B9" s="21">
        <v>46259.6796412037</v>
      </c>
      <c r="C9" s="2">
        <f t="shared" si="0"/>
        <v>46259</v>
      </c>
      <c r="D9" t="str">
        <f t="shared" si="1"/>
        <v>TERÇA-FEIRA</v>
      </c>
      <c r="E9">
        <v>1015</v>
      </c>
      <c r="F9" t="s">
        <v>59</v>
      </c>
      <c r="G9" t="s">
        <v>499</v>
      </c>
      <c r="H9" t="s">
        <v>84</v>
      </c>
      <c r="I9" t="s">
        <v>84</v>
      </c>
      <c r="K9" t="s">
        <v>501</v>
      </c>
      <c r="L9" s="9"/>
      <c r="M9" t="str">
        <f>IF(G9="FIM",IF(L9="","SEM VÍNCULO",IF(COUNTIF(tblBatidas[Batida ID],L9)=0,"VÍNCULO INVÁLIDO",IF(COUNTIF(tblBatidas[Início vinculado],L9)&gt;1,"VÍNCULO DUPLICADO",IF(E9&lt;&gt;INDEX(tblBatidas[ID],MATCH(L9,tblBatidas[Batida ID],0)),"DIVERGÊNCIA DE ID",IF(H9&lt;&gt;INDEX(tblBatidas[Projeto],MATCH(L9,tblBatidas[Batida ID],0)),"DIVERGÊNCIA DE PROJETO",IF(I9&lt;&gt;INDEX(tblBatidas[Atividade],MATCH(L9,tblBatidas[Batida ID],0)),"DIVERGÊNCIA DE ATIVIDADE",IF(OR(B9&lt;=INDEX(tblBatidas[Data e hora],MATCH(L9,tblBatidas[Batida ID],0)),(B9-INDEX(tblBatidas[Data e hora],MATCH(L9,tblBatidas[Batida ID],0)))*24&gt;16),"HORÁRIO INVÁLIDO","VINCULADO"))))))),"INÍCIO")</f>
        <v>INÍCIO</v>
      </c>
    </row>
    <row r="10" spans="1:13" hidden="1">
      <c r="A10" t="s">
        <v>508</v>
      </c>
      <c r="B10" s="21">
        <v>46259.68041666667</v>
      </c>
      <c r="C10" s="2">
        <f t="shared" si="0"/>
        <v>46259</v>
      </c>
      <c r="D10" t="str">
        <f t="shared" si="1"/>
        <v>TERÇA-FEIRA</v>
      </c>
      <c r="E10">
        <v>1015</v>
      </c>
      <c r="F10" t="s">
        <v>59</v>
      </c>
      <c r="G10" t="s">
        <v>499</v>
      </c>
      <c r="H10" t="s">
        <v>84</v>
      </c>
      <c r="I10" t="s">
        <v>84</v>
      </c>
      <c r="K10" t="s">
        <v>501</v>
      </c>
      <c r="L10" s="9"/>
      <c r="M10" t="str">
        <f>IF(G10="FIM",IF(L10="","SEM VÍNCULO",IF(COUNTIF(tblBatidas[Batida ID],L10)=0,"VÍNCULO INVÁLIDO",IF(COUNTIF(tblBatidas[Início vinculado],L10)&gt;1,"VÍNCULO DUPLICADO",IF(E10&lt;&gt;INDEX(tblBatidas[ID],MATCH(L10,tblBatidas[Batida ID],0)),"DIVERGÊNCIA DE ID",IF(H10&lt;&gt;INDEX(tblBatidas[Projeto],MATCH(L10,tblBatidas[Batida ID],0)),"DIVERGÊNCIA DE PROJETO",IF(I10&lt;&gt;INDEX(tblBatidas[Atividade],MATCH(L10,tblBatidas[Batida ID],0)),"DIVERGÊNCIA DE ATIVIDADE",IF(OR(B10&lt;=INDEX(tblBatidas[Data e hora],MATCH(L10,tblBatidas[Batida ID],0)),(B10-INDEX(tblBatidas[Data e hora],MATCH(L10,tblBatidas[Batida ID],0)))*24&gt;16),"HORÁRIO INVÁLIDO","VINCULADO"))))))),"INÍCIO")</f>
        <v>INÍCIO</v>
      </c>
    </row>
    <row r="11" spans="1:13" hidden="1">
      <c r="A11" t="s">
        <v>509</v>
      </c>
      <c r="B11" s="21">
        <v>46259.680810185186</v>
      </c>
      <c r="C11" s="2">
        <f t="shared" si="0"/>
        <v>46259</v>
      </c>
      <c r="D11" t="str">
        <f t="shared" si="1"/>
        <v>TERÇA-FEIRA</v>
      </c>
      <c r="E11">
        <v>1015</v>
      </c>
      <c r="F11" t="s">
        <v>59</v>
      </c>
      <c r="G11" t="s">
        <v>499</v>
      </c>
      <c r="H11" t="s">
        <v>84</v>
      </c>
      <c r="I11" t="s">
        <v>84</v>
      </c>
      <c r="K11" t="s">
        <v>501</v>
      </c>
      <c r="L11" s="9"/>
      <c r="M11" t="str">
        <f>IF(G11="FIM",IF(L11="","SEM VÍNCULO",IF(COUNTIF(tblBatidas[Batida ID],L11)=0,"VÍNCULO INVÁLIDO",IF(COUNTIF(tblBatidas[Início vinculado],L11)&gt;1,"VÍNCULO DUPLICADO",IF(E11&lt;&gt;INDEX(tblBatidas[ID],MATCH(L11,tblBatidas[Batida ID],0)),"DIVERGÊNCIA DE ID",IF(H11&lt;&gt;INDEX(tblBatidas[Projeto],MATCH(L11,tblBatidas[Batida ID],0)),"DIVERGÊNCIA DE PROJETO",IF(I11&lt;&gt;INDEX(tblBatidas[Atividade],MATCH(L11,tblBatidas[Batida ID],0)),"DIVERGÊNCIA DE ATIVIDADE",IF(OR(B11&lt;=INDEX(tblBatidas[Data e hora],MATCH(L11,tblBatidas[Batida ID],0)),(B11-INDEX(tblBatidas[Data e hora],MATCH(L11,tblBatidas[Batida ID],0)))*24&gt;16),"HORÁRIO INVÁLIDO","VINCULADO"))))))),"INÍCIO")</f>
        <v>INÍCIO</v>
      </c>
    </row>
    <row r="12" spans="1:13" hidden="1">
      <c r="A12" t="s">
        <v>510</v>
      </c>
      <c r="B12" s="21">
        <v>46259.681122685186</v>
      </c>
      <c r="C12" s="2">
        <f t="shared" si="0"/>
        <v>46259</v>
      </c>
      <c r="D12" t="str">
        <f t="shared" si="1"/>
        <v>TERÇA-FEIRA</v>
      </c>
      <c r="E12">
        <v>1015</v>
      </c>
      <c r="F12" t="s">
        <v>59</v>
      </c>
      <c r="G12" t="s">
        <v>503</v>
      </c>
      <c r="H12" t="s">
        <v>84</v>
      </c>
      <c r="I12" t="s">
        <v>84</v>
      </c>
      <c r="K12" t="s">
        <v>501</v>
      </c>
      <c r="L12" s="9" t="s">
        <v>509</v>
      </c>
      <c r="M12" t="str">
        <f>IF(G12="FIM",IF(L12="","SEM VÍNCULO",IF(COUNTIF(tblBatidas[Batida ID],L12)=0,"VÍNCULO INVÁLIDO",IF(COUNTIF(tblBatidas[Início vinculado],L12)&gt;1,"VÍNCULO DUPLICADO",IF(E12&lt;&gt;INDEX(tblBatidas[ID],MATCH(L12,tblBatidas[Batida ID],0)),"DIVERGÊNCIA DE ID",IF(H12&lt;&gt;INDEX(tblBatidas[Projeto],MATCH(L12,tblBatidas[Batida ID],0)),"DIVERGÊNCIA DE PROJETO",IF(I12&lt;&gt;INDEX(tblBatidas[Atividade],MATCH(L12,tblBatidas[Batida ID],0)),"DIVERGÊNCIA DE ATIVIDADE",IF(OR(B12&lt;=INDEX(tblBatidas[Data e hora],MATCH(L12,tblBatidas[Batida ID],0)),(B12-INDEX(tblBatidas[Data e hora],MATCH(L12,tblBatidas[Batida ID],0)))*24&gt;16),"HORÁRIO INVÁLIDO","VINCULADO"))))))),"INÍCIO")</f>
        <v>VINCULADO</v>
      </c>
    </row>
    <row r="13" spans="1:13" hidden="1">
      <c r="A13" t="s">
        <v>511</v>
      </c>
      <c r="B13" s="21">
        <v>46259.684976851851</v>
      </c>
      <c r="C13" s="2">
        <f t="shared" si="0"/>
        <v>46259</v>
      </c>
      <c r="D13" t="str">
        <f t="shared" si="1"/>
        <v>TERÇA-FEIRA</v>
      </c>
      <c r="E13">
        <v>1001</v>
      </c>
      <c r="F13" t="s">
        <v>43</v>
      </c>
      <c r="G13" t="s">
        <v>499</v>
      </c>
      <c r="H13" t="s">
        <v>76</v>
      </c>
      <c r="I13" t="s">
        <v>512</v>
      </c>
      <c r="K13" t="s">
        <v>501</v>
      </c>
      <c r="L13" s="9"/>
      <c r="M13" t="str">
        <f>IF(G13="FIM",IF(L13="","SEM VÍNCULO",IF(COUNTIF(tblBatidas[Batida ID],L13)=0,"VÍNCULO INVÁLIDO",IF(COUNTIF(tblBatidas[Início vinculado],L13)&gt;1,"VÍNCULO DUPLICADO",IF(E13&lt;&gt;INDEX(tblBatidas[ID],MATCH(L13,tblBatidas[Batida ID],0)),"DIVERGÊNCIA DE ID",IF(H13&lt;&gt;INDEX(tblBatidas[Projeto],MATCH(L13,tblBatidas[Batida ID],0)),"DIVERGÊNCIA DE PROJETO",IF(I13&lt;&gt;INDEX(tblBatidas[Atividade],MATCH(L13,tblBatidas[Batida ID],0)),"DIVERGÊNCIA DE ATIVIDADE",IF(OR(B13&lt;=INDEX(tblBatidas[Data e hora],MATCH(L13,tblBatidas[Batida ID],0)),(B13-INDEX(tblBatidas[Data e hora],MATCH(L13,tblBatidas[Batida ID],0)))*24&gt;16),"HORÁRIO INVÁLIDO","VINCULADO"))))))),"INÍCIO")</f>
        <v>INÍCIO</v>
      </c>
    </row>
    <row r="14" spans="1:13" hidden="1">
      <c r="A14" t="s">
        <v>513</v>
      </c>
      <c r="B14" s="21">
        <v>46259.68540509259</v>
      </c>
      <c r="C14" s="2">
        <f t="shared" si="0"/>
        <v>46259</v>
      </c>
      <c r="D14" t="str">
        <f t="shared" si="1"/>
        <v>TERÇA-FEIRA</v>
      </c>
      <c r="E14">
        <v>1001</v>
      </c>
      <c r="F14" t="s">
        <v>43</v>
      </c>
      <c r="G14" t="s">
        <v>503</v>
      </c>
      <c r="H14" t="s">
        <v>76</v>
      </c>
      <c r="I14" t="s">
        <v>512</v>
      </c>
      <c r="K14" t="s">
        <v>501</v>
      </c>
      <c r="L14" s="9" t="s">
        <v>511</v>
      </c>
      <c r="M14" t="str">
        <f>IF(G14="FIM",IF(L14="","SEM VÍNCULO",IF(COUNTIF(tblBatidas[Batida ID],L14)=0,"VÍNCULO INVÁLIDO",IF(COUNTIF(tblBatidas[Início vinculado],L14)&gt;1,"VÍNCULO DUPLICADO",IF(E14&lt;&gt;INDEX(tblBatidas[ID],MATCH(L14,tblBatidas[Batida ID],0)),"DIVERGÊNCIA DE ID",IF(H14&lt;&gt;INDEX(tblBatidas[Projeto],MATCH(L14,tblBatidas[Batida ID],0)),"DIVERGÊNCIA DE PROJETO",IF(I14&lt;&gt;INDEX(tblBatidas[Atividade],MATCH(L14,tblBatidas[Batida ID],0)),"DIVERGÊNCIA DE ATIVIDADE",IF(OR(B14&lt;=INDEX(tblBatidas[Data e hora],MATCH(L14,tblBatidas[Batida ID],0)),(B14-INDEX(tblBatidas[Data e hora],MATCH(L14,tblBatidas[Batida ID],0)))*24&gt;16),"HORÁRIO INVÁLIDO","VINCULADO"))))))),"INÍCIO")</f>
        <v>VINCULADO</v>
      </c>
    </row>
    <row r="15" spans="1:13" hidden="1">
      <c r="A15" t="s">
        <v>514</v>
      </c>
      <c r="B15" s="21">
        <v>46259.71230324074</v>
      </c>
      <c r="C15" s="2">
        <f t="shared" si="0"/>
        <v>46259</v>
      </c>
      <c r="D15" t="str">
        <f t="shared" si="1"/>
        <v>TERÇA-FEIRA</v>
      </c>
      <c r="E15">
        <v>1015</v>
      </c>
      <c r="F15" t="s">
        <v>59</v>
      </c>
      <c r="G15" t="s">
        <v>499</v>
      </c>
      <c r="H15" t="s">
        <v>84</v>
      </c>
      <c r="I15" t="s">
        <v>84</v>
      </c>
      <c r="K15" t="s">
        <v>501</v>
      </c>
      <c r="L15" s="9"/>
      <c r="M15" t="str">
        <f>IF(G15="FIM",IF(L15="","SEM VÍNCULO",IF(COUNTIF(tblBatidas[Batida ID],L15)=0,"VÍNCULO INVÁLIDO",IF(COUNTIF(tblBatidas[Início vinculado],L15)&gt;1,"VÍNCULO DUPLICADO",IF(E15&lt;&gt;INDEX(tblBatidas[ID],MATCH(L15,tblBatidas[Batida ID],0)),"DIVERGÊNCIA DE ID",IF(H15&lt;&gt;INDEX(tblBatidas[Projeto],MATCH(L15,tblBatidas[Batida ID],0)),"DIVERGÊNCIA DE PROJETO",IF(I15&lt;&gt;INDEX(tblBatidas[Atividade],MATCH(L15,tblBatidas[Batida ID],0)),"DIVERGÊNCIA DE ATIVIDADE",IF(OR(B15&lt;=INDEX(tblBatidas[Data e hora],MATCH(L15,tblBatidas[Batida ID],0)),(B15-INDEX(tblBatidas[Data e hora],MATCH(L15,tblBatidas[Batida ID],0)))*24&gt;16),"HORÁRIO INVÁLIDO","VINCULADO"))))))),"INÍCIO")</f>
        <v>INÍCIO</v>
      </c>
    </row>
    <row r="16" spans="1:13" hidden="1">
      <c r="A16" t="s">
        <v>515</v>
      </c>
      <c r="B16" s="21">
        <v>46259.745763888888</v>
      </c>
      <c r="C16" s="2">
        <f t="shared" si="0"/>
        <v>46259</v>
      </c>
      <c r="D16" t="str">
        <f t="shared" si="1"/>
        <v>TERÇA-FEIRA</v>
      </c>
      <c r="E16">
        <v>1015</v>
      </c>
      <c r="F16" t="s">
        <v>59</v>
      </c>
      <c r="G16" t="s">
        <v>503</v>
      </c>
      <c r="H16" t="s">
        <v>84</v>
      </c>
      <c r="I16" t="s">
        <v>84</v>
      </c>
      <c r="K16" t="s">
        <v>501</v>
      </c>
      <c r="L16" s="9" t="s">
        <v>514</v>
      </c>
      <c r="M16" t="str">
        <f>IF(G16="FIM",IF(L16="","SEM VÍNCULO",IF(COUNTIF(tblBatidas[Batida ID],L16)=0,"VÍNCULO INVÁLIDO",IF(COUNTIF(tblBatidas[Início vinculado],L16)&gt;1,"VÍNCULO DUPLICADO",IF(E16&lt;&gt;INDEX(tblBatidas[ID],MATCH(L16,tblBatidas[Batida ID],0)),"DIVERGÊNCIA DE ID",IF(H16&lt;&gt;INDEX(tblBatidas[Projeto],MATCH(L16,tblBatidas[Batida ID],0)),"DIVERGÊNCIA DE PROJETO",IF(I16&lt;&gt;INDEX(tblBatidas[Atividade],MATCH(L16,tblBatidas[Batida ID],0)),"DIVERGÊNCIA DE ATIVIDADE",IF(OR(B16&lt;=INDEX(tblBatidas[Data e hora],MATCH(L16,tblBatidas[Batida ID],0)),(B16-INDEX(tblBatidas[Data e hora],MATCH(L16,tblBatidas[Batida ID],0)))*24&gt;16),"HORÁRIO INVÁLIDO","VINCULADO"))))))),"INÍCIO")</f>
        <v>VINCULADO</v>
      </c>
    </row>
    <row r="17" spans="1:13" hidden="1">
      <c r="A17" t="s">
        <v>516</v>
      </c>
      <c r="B17" s="21">
        <v>46260.330312500002</v>
      </c>
      <c r="C17" s="2">
        <f t="shared" si="0"/>
        <v>46260</v>
      </c>
      <c r="D17" t="str">
        <f t="shared" si="1"/>
        <v>QUARTA-FEIRA</v>
      </c>
      <c r="E17">
        <v>1011</v>
      </c>
      <c r="F17" t="s">
        <v>54</v>
      </c>
      <c r="G17" t="s">
        <v>499</v>
      </c>
      <c r="H17" t="s">
        <v>76</v>
      </c>
      <c r="I17" t="s">
        <v>517</v>
      </c>
      <c r="J17" t="s">
        <v>518</v>
      </c>
      <c r="K17" t="s">
        <v>501</v>
      </c>
      <c r="L17" s="9"/>
      <c r="M17" t="str">
        <f>IF(G17="FIM",IF(L17="","SEM VÍNCULO",IF(COUNTIF(tblBatidas[Batida ID],L17)=0,"VÍNCULO INVÁLIDO",IF(COUNTIF(tblBatidas[Início vinculado],L17)&gt;1,"VÍNCULO DUPLICADO",IF(E17&lt;&gt;INDEX(tblBatidas[ID],MATCH(L17,tblBatidas[Batida ID],0)),"DIVERGÊNCIA DE ID",IF(H17&lt;&gt;INDEX(tblBatidas[Projeto],MATCH(L17,tblBatidas[Batida ID],0)),"DIVERGÊNCIA DE PROJETO",IF(I17&lt;&gt;INDEX(tblBatidas[Atividade],MATCH(L17,tblBatidas[Batida ID],0)),"DIVERGÊNCIA DE ATIVIDADE",IF(OR(B17&lt;=INDEX(tblBatidas[Data e hora],MATCH(L17,tblBatidas[Batida ID],0)),(B17-INDEX(tblBatidas[Data e hora],MATCH(L17,tblBatidas[Batida ID],0)))*24&gt;16),"HORÁRIO INVÁLIDO","VINCULADO"))))))),"INÍCIO")</f>
        <v>INÍCIO</v>
      </c>
    </row>
    <row r="18" spans="1:13" hidden="1">
      <c r="A18" t="s">
        <v>519</v>
      </c>
      <c r="B18" s="21">
        <v>46260.338587962964</v>
      </c>
      <c r="C18" s="2">
        <f t="shared" si="0"/>
        <v>46260</v>
      </c>
      <c r="D18" t="str">
        <f t="shared" si="1"/>
        <v>QUARTA-FEIRA</v>
      </c>
      <c r="E18">
        <v>1003</v>
      </c>
      <c r="F18" t="s">
        <v>46</v>
      </c>
      <c r="G18" t="s">
        <v>499</v>
      </c>
      <c r="H18" t="s">
        <v>74</v>
      </c>
      <c r="I18" t="s">
        <v>517</v>
      </c>
      <c r="K18" t="s">
        <v>501</v>
      </c>
      <c r="L18" s="9"/>
      <c r="M18" t="str">
        <f>IF(G18="FIM",IF(L18="","SEM VÍNCULO",IF(COUNTIF(tblBatidas[Batida ID],L18)=0,"VÍNCULO INVÁLIDO",IF(COUNTIF(tblBatidas[Início vinculado],L18)&gt;1,"VÍNCULO DUPLICADO",IF(E18&lt;&gt;INDEX(tblBatidas[ID],MATCH(L18,tblBatidas[Batida ID],0)),"DIVERGÊNCIA DE ID",IF(H18&lt;&gt;INDEX(tblBatidas[Projeto],MATCH(L18,tblBatidas[Batida ID],0)),"DIVERGÊNCIA DE PROJETO",IF(I18&lt;&gt;INDEX(tblBatidas[Atividade],MATCH(L18,tblBatidas[Batida ID],0)),"DIVERGÊNCIA DE ATIVIDADE",IF(OR(B18&lt;=INDEX(tblBatidas[Data e hora],MATCH(L18,tblBatidas[Batida ID],0)),(B18-INDEX(tblBatidas[Data e hora],MATCH(L18,tblBatidas[Batida ID],0)))*24&gt;16),"HORÁRIO INVÁLIDO","VINCULADO"))))))),"INÍCIO")</f>
        <v>INÍCIO</v>
      </c>
    </row>
    <row r="19" spans="1:13" hidden="1">
      <c r="A19" t="s">
        <v>520</v>
      </c>
      <c r="B19" s="21">
        <v>46260.341446759259</v>
      </c>
      <c r="C19" s="2">
        <f t="shared" si="0"/>
        <v>46260</v>
      </c>
      <c r="D19" t="str">
        <f t="shared" si="1"/>
        <v>QUARTA-FEIRA</v>
      </c>
      <c r="E19">
        <v>1013</v>
      </c>
      <c r="F19" t="s">
        <v>57</v>
      </c>
      <c r="G19" t="s">
        <v>499</v>
      </c>
      <c r="H19" t="s">
        <v>68</v>
      </c>
      <c r="I19" t="s">
        <v>517</v>
      </c>
      <c r="K19" t="s">
        <v>501</v>
      </c>
      <c r="L19" s="9"/>
      <c r="M19" t="str">
        <f>IF(G19="FIM",IF(L19="","SEM VÍNCULO",IF(COUNTIF(tblBatidas[Batida ID],L19)=0,"VÍNCULO INVÁLIDO",IF(COUNTIF(tblBatidas[Início vinculado],L19)&gt;1,"VÍNCULO DUPLICADO",IF(E19&lt;&gt;INDEX(tblBatidas[ID],MATCH(L19,tblBatidas[Batida ID],0)),"DIVERGÊNCIA DE ID",IF(H19&lt;&gt;INDEX(tblBatidas[Projeto],MATCH(L19,tblBatidas[Batida ID],0)),"DIVERGÊNCIA DE PROJETO",IF(I19&lt;&gt;INDEX(tblBatidas[Atividade],MATCH(L19,tblBatidas[Batida ID],0)),"DIVERGÊNCIA DE ATIVIDADE",IF(OR(B19&lt;=INDEX(tblBatidas[Data e hora],MATCH(L19,tblBatidas[Batida ID],0)),(B19-INDEX(tblBatidas[Data e hora],MATCH(L19,tblBatidas[Batida ID],0)))*24&gt;16),"HORÁRIO INVÁLIDO","VINCULADO"))))))),"INÍCIO")</f>
        <v>INÍCIO</v>
      </c>
    </row>
    <row r="20" spans="1:13" hidden="1">
      <c r="A20" t="s">
        <v>521</v>
      </c>
      <c r="B20" s="21">
        <v>46260.369120370371</v>
      </c>
      <c r="C20" s="2">
        <f t="shared" si="0"/>
        <v>46260</v>
      </c>
      <c r="D20" t="str">
        <f t="shared" si="1"/>
        <v>QUARTA-FEIRA</v>
      </c>
      <c r="E20">
        <v>1015</v>
      </c>
      <c r="F20" t="s">
        <v>59</v>
      </c>
      <c r="G20" t="s">
        <v>499</v>
      </c>
      <c r="H20" t="s">
        <v>84</v>
      </c>
      <c r="I20" t="s">
        <v>84</v>
      </c>
      <c r="K20" t="s">
        <v>501</v>
      </c>
      <c r="L20" s="9"/>
      <c r="M20" t="str">
        <f>IF(G20="FIM",IF(L20="","SEM VÍNCULO",IF(COUNTIF(tblBatidas[Batida ID],L20)=0,"VÍNCULO INVÁLIDO",IF(COUNTIF(tblBatidas[Início vinculado],L20)&gt;1,"VÍNCULO DUPLICADO",IF(E20&lt;&gt;INDEX(tblBatidas[ID],MATCH(L20,tblBatidas[Batida ID],0)),"DIVERGÊNCIA DE ID",IF(H20&lt;&gt;INDEX(tblBatidas[Projeto],MATCH(L20,tblBatidas[Batida ID],0)),"DIVERGÊNCIA DE PROJETO",IF(I20&lt;&gt;INDEX(tblBatidas[Atividade],MATCH(L20,tblBatidas[Batida ID],0)),"DIVERGÊNCIA DE ATIVIDADE",IF(OR(B20&lt;=INDEX(tblBatidas[Data e hora],MATCH(L20,tblBatidas[Batida ID],0)),(B20-INDEX(tblBatidas[Data e hora],MATCH(L20,tblBatidas[Batida ID],0)))*24&gt;16),"HORÁRIO INVÁLIDO","VINCULADO"))))))),"INÍCIO")</f>
        <v>INÍCIO</v>
      </c>
    </row>
    <row r="21" spans="1:13">
      <c r="A21" t="s">
        <v>522</v>
      </c>
      <c r="B21" s="21">
        <v>46260.37054398148</v>
      </c>
      <c r="C21" s="2">
        <f t="shared" si="0"/>
        <v>46260</v>
      </c>
      <c r="D21" t="str">
        <f t="shared" si="1"/>
        <v>QUARTA-FEIRA</v>
      </c>
      <c r="E21">
        <v>1002</v>
      </c>
      <c r="F21" t="s">
        <v>45</v>
      </c>
      <c r="G21" t="s">
        <v>499</v>
      </c>
      <c r="H21" t="s">
        <v>70</v>
      </c>
      <c r="I21" t="s">
        <v>517</v>
      </c>
      <c r="K21" t="s">
        <v>501</v>
      </c>
      <c r="L21" s="9"/>
      <c r="M21" t="str">
        <f>IF(G21="FIM",IF(L21="","SEM VÍNCULO",IF(COUNTIF(tblBatidas[Batida ID],L21)=0,"VÍNCULO INVÁLIDO",IF(COUNTIF(tblBatidas[Início vinculado],L21)&gt;1,"VÍNCULO DUPLICADO",IF(E21&lt;&gt;INDEX(tblBatidas[ID],MATCH(L21,tblBatidas[Batida ID],0)),"DIVERGÊNCIA DE ID",IF(H21&lt;&gt;INDEX(tblBatidas[Projeto],MATCH(L21,tblBatidas[Batida ID],0)),"DIVERGÊNCIA DE PROJETO",IF(I21&lt;&gt;INDEX(tblBatidas[Atividade],MATCH(L21,tblBatidas[Batida ID],0)),"DIVERGÊNCIA DE ATIVIDADE",IF(OR(B21&lt;=INDEX(tblBatidas[Data e hora],MATCH(L21,tblBatidas[Batida ID],0)),(B21-INDEX(tblBatidas[Data e hora],MATCH(L21,tblBatidas[Batida ID],0)))*24&gt;16),"HORÁRIO INVÁLIDO","VINCULADO"))))))),"INÍCIO")</f>
        <v>INÍCIO</v>
      </c>
    </row>
    <row r="22" spans="1:13" hidden="1">
      <c r="A22" t="s">
        <v>523</v>
      </c>
      <c r="B22" s="21">
        <v>46260.380370370367</v>
      </c>
      <c r="C22" s="2">
        <f t="shared" si="0"/>
        <v>46260</v>
      </c>
      <c r="D22" t="str">
        <f t="shared" si="1"/>
        <v>QUARTA-FEIRA</v>
      </c>
      <c r="E22">
        <v>1016</v>
      </c>
      <c r="F22" t="s">
        <v>60</v>
      </c>
      <c r="G22" t="s">
        <v>499</v>
      </c>
      <c r="H22" t="s">
        <v>70</v>
      </c>
      <c r="I22" t="s">
        <v>517</v>
      </c>
      <c r="K22" t="s">
        <v>501</v>
      </c>
      <c r="L22" s="9"/>
      <c r="M22" t="str">
        <f>IF(G22="FIM",IF(L22="","SEM VÍNCULO",IF(COUNTIF(tblBatidas[Batida ID],L22)=0,"VÍNCULO INVÁLIDO",IF(COUNTIF(tblBatidas[Início vinculado],L22)&gt;1,"VÍNCULO DUPLICADO",IF(E22&lt;&gt;INDEX(tblBatidas[ID],MATCH(L22,tblBatidas[Batida ID],0)),"DIVERGÊNCIA DE ID",IF(H22&lt;&gt;INDEX(tblBatidas[Projeto],MATCH(L22,tblBatidas[Batida ID],0)),"DIVERGÊNCIA DE PROJETO",IF(I22&lt;&gt;INDEX(tblBatidas[Atividade],MATCH(L22,tblBatidas[Batida ID],0)),"DIVERGÊNCIA DE ATIVIDADE",IF(OR(B22&lt;=INDEX(tblBatidas[Data e hora],MATCH(L22,tblBatidas[Batida ID],0)),(B22-INDEX(tblBatidas[Data e hora],MATCH(L22,tblBatidas[Batida ID],0)))*24&gt;16),"HORÁRIO INVÁLIDO","VINCULADO"))))))),"INÍCIO")</f>
        <v>INÍCIO</v>
      </c>
    </row>
    <row r="23" spans="1:13" hidden="1">
      <c r="A23" t="s">
        <v>524</v>
      </c>
      <c r="B23" s="21">
        <v>46260.398136574076</v>
      </c>
      <c r="C23" s="2">
        <f t="shared" si="0"/>
        <v>46260</v>
      </c>
      <c r="D23" t="str">
        <f t="shared" si="1"/>
        <v>QUARTA-FEIRA</v>
      </c>
      <c r="E23">
        <v>1001</v>
      </c>
      <c r="F23" t="s">
        <v>43</v>
      </c>
      <c r="G23" t="s">
        <v>499</v>
      </c>
      <c r="H23" t="s">
        <v>80</v>
      </c>
      <c r="I23" t="s">
        <v>500</v>
      </c>
      <c r="J23" t="s">
        <v>525</v>
      </c>
      <c r="K23" t="s">
        <v>501</v>
      </c>
      <c r="L23" s="9"/>
      <c r="M23" t="str">
        <f>IF(G23="FIM",IF(L23="","SEM VÍNCULO",IF(COUNTIF(tblBatidas[Batida ID],L23)=0,"VÍNCULO INVÁLIDO",IF(COUNTIF(tblBatidas[Início vinculado],L23)&gt;1,"VÍNCULO DUPLICADO",IF(E23&lt;&gt;INDEX(tblBatidas[ID],MATCH(L23,tblBatidas[Batida ID],0)),"DIVERGÊNCIA DE ID",IF(H23&lt;&gt;INDEX(tblBatidas[Projeto],MATCH(L23,tblBatidas[Batida ID],0)),"DIVERGÊNCIA DE PROJETO",IF(I23&lt;&gt;INDEX(tblBatidas[Atividade],MATCH(L23,tblBatidas[Batida ID],0)),"DIVERGÊNCIA DE ATIVIDADE",IF(OR(B23&lt;=INDEX(tblBatidas[Data e hora],MATCH(L23,tblBatidas[Batida ID],0)),(B23-INDEX(tblBatidas[Data e hora],MATCH(L23,tblBatidas[Batida ID],0)))*24&gt;16),"HORÁRIO INVÁLIDO","VINCULADO"))))))),"INÍCIO")</f>
        <v>INÍCIO</v>
      </c>
    </row>
    <row r="24" spans="1:13" hidden="1">
      <c r="A24" t="s">
        <v>526</v>
      </c>
      <c r="B24" s="21">
        <v>46260.410104166665</v>
      </c>
      <c r="C24" s="2">
        <f t="shared" si="0"/>
        <v>46260</v>
      </c>
      <c r="D24" t="str">
        <f t="shared" si="1"/>
        <v>QUARTA-FEIRA</v>
      </c>
      <c r="E24">
        <v>1014</v>
      </c>
      <c r="F24" t="s">
        <v>58</v>
      </c>
      <c r="G24" t="s">
        <v>499</v>
      </c>
      <c r="H24" t="s">
        <v>74</v>
      </c>
      <c r="I24" t="s">
        <v>527</v>
      </c>
      <c r="K24" t="s">
        <v>501</v>
      </c>
      <c r="L24" s="9"/>
      <c r="M24" t="str">
        <f>IF(G24="FIM",IF(L24="","SEM VÍNCULO",IF(COUNTIF(tblBatidas[Batida ID],L24)=0,"VÍNCULO INVÁLIDO",IF(COUNTIF(tblBatidas[Início vinculado],L24)&gt;1,"VÍNCULO DUPLICADO",IF(E24&lt;&gt;INDEX(tblBatidas[ID],MATCH(L24,tblBatidas[Batida ID],0)),"DIVERGÊNCIA DE ID",IF(H24&lt;&gt;INDEX(tblBatidas[Projeto],MATCH(L24,tblBatidas[Batida ID],0)),"DIVERGÊNCIA DE PROJETO",IF(I24&lt;&gt;INDEX(tblBatidas[Atividade],MATCH(L24,tblBatidas[Batida ID],0)),"DIVERGÊNCIA DE ATIVIDADE",IF(OR(B24&lt;=INDEX(tblBatidas[Data e hora],MATCH(L24,tblBatidas[Batida ID],0)),(B24-INDEX(tblBatidas[Data e hora],MATCH(L24,tblBatidas[Batida ID],0)))*24&gt;16),"HORÁRIO INVÁLIDO","VINCULADO"))))))),"INÍCIO")</f>
        <v>INÍCIO</v>
      </c>
    </row>
    <row r="25" spans="1:13" hidden="1">
      <c r="A25" t="s">
        <v>528</v>
      </c>
      <c r="B25" s="21">
        <v>46260.433946759258</v>
      </c>
      <c r="C25" s="2">
        <f t="shared" si="0"/>
        <v>46260</v>
      </c>
      <c r="D25" t="str">
        <f t="shared" si="1"/>
        <v>QUARTA-FEIRA</v>
      </c>
      <c r="E25">
        <v>1012</v>
      </c>
      <c r="F25" t="s">
        <v>55</v>
      </c>
      <c r="G25" t="s">
        <v>503</v>
      </c>
      <c r="H25" t="s">
        <v>74</v>
      </c>
      <c r="I25" t="s">
        <v>529</v>
      </c>
      <c r="J25" t="s">
        <v>530</v>
      </c>
      <c r="K25" t="s">
        <v>501</v>
      </c>
      <c r="L25" s="9"/>
      <c r="M25" t="str">
        <f>IF(G25="FIM",IF(L25="","SEM VÍNCULO",IF(COUNTIF(tblBatidas[Batida ID],L25)=0,"VÍNCULO INVÁLIDO",IF(COUNTIF(tblBatidas[Início vinculado],L25)&gt;1,"VÍNCULO DUPLICADO",IF(E25&lt;&gt;INDEX(tblBatidas[ID],MATCH(L25,tblBatidas[Batida ID],0)),"DIVERGÊNCIA DE ID",IF(H25&lt;&gt;INDEX(tblBatidas[Projeto],MATCH(L25,tblBatidas[Batida ID],0)),"DIVERGÊNCIA DE PROJETO",IF(I25&lt;&gt;INDEX(tblBatidas[Atividade],MATCH(L25,tblBatidas[Batida ID],0)),"DIVERGÊNCIA DE ATIVIDADE",IF(OR(B25&lt;=INDEX(tblBatidas[Data e hora],MATCH(L25,tblBatidas[Batida ID],0)),(B25-INDEX(tblBatidas[Data e hora],MATCH(L25,tblBatidas[Batida ID],0)))*24&gt;16),"HORÁRIO INVÁLIDO","VINCULADO"))))))),"INÍCIO")</f>
        <v>SEM VÍNCULO</v>
      </c>
    </row>
    <row r="26" spans="1:13" hidden="1">
      <c r="A26" t="s">
        <v>531</v>
      </c>
      <c r="B26" s="21">
        <v>46260.434178240743</v>
      </c>
      <c r="C26" s="2">
        <f t="shared" si="0"/>
        <v>46260</v>
      </c>
      <c r="D26" t="str">
        <f t="shared" si="1"/>
        <v>QUARTA-FEIRA</v>
      </c>
      <c r="E26">
        <v>1012</v>
      </c>
      <c r="F26" t="s">
        <v>55</v>
      </c>
      <c r="G26" t="s">
        <v>503</v>
      </c>
      <c r="H26" t="s">
        <v>74</v>
      </c>
      <c r="I26" t="s">
        <v>529</v>
      </c>
      <c r="J26" t="s">
        <v>530</v>
      </c>
      <c r="K26" t="s">
        <v>501</v>
      </c>
      <c r="L26" s="9"/>
      <c r="M26" t="str">
        <f>IF(G26="FIM",IF(L26="","SEM VÍNCULO",IF(COUNTIF(tblBatidas[Batida ID],L26)=0,"VÍNCULO INVÁLIDO",IF(COUNTIF(tblBatidas[Início vinculado],L26)&gt;1,"VÍNCULO DUPLICADO",IF(E26&lt;&gt;INDEX(tblBatidas[ID],MATCH(L26,tblBatidas[Batida ID],0)),"DIVERGÊNCIA DE ID",IF(H26&lt;&gt;INDEX(tblBatidas[Projeto],MATCH(L26,tblBatidas[Batida ID],0)),"DIVERGÊNCIA DE PROJETO",IF(I26&lt;&gt;INDEX(tblBatidas[Atividade],MATCH(L26,tblBatidas[Batida ID],0)),"DIVERGÊNCIA DE ATIVIDADE",IF(OR(B26&lt;=INDEX(tblBatidas[Data e hora],MATCH(L26,tblBatidas[Batida ID],0)),(B26-INDEX(tblBatidas[Data e hora],MATCH(L26,tblBatidas[Batida ID],0)))*24&gt;16),"HORÁRIO INVÁLIDO","VINCULADO"))))))),"INÍCIO")</f>
        <v>SEM VÍNCULO</v>
      </c>
    </row>
    <row r="27" spans="1:13" hidden="1">
      <c r="A27" t="s">
        <v>532</v>
      </c>
      <c r="B27" s="21">
        <v>46260.434699074074</v>
      </c>
      <c r="C27" s="2">
        <f t="shared" si="0"/>
        <v>46260</v>
      </c>
      <c r="D27" t="str">
        <f t="shared" si="1"/>
        <v>QUARTA-FEIRA</v>
      </c>
      <c r="E27">
        <v>1012</v>
      </c>
      <c r="F27" t="s">
        <v>55</v>
      </c>
      <c r="G27" t="s">
        <v>503</v>
      </c>
      <c r="H27" t="s">
        <v>74</v>
      </c>
      <c r="I27" t="s">
        <v>529</v>
      </c>
      <c r="J27" t="s">
        <v>530</v>
      </c>
      <c r="K27" t="s">
        <v>501</v>
      </c>
      <c r="L27" s="9"/>
      <c r="M27" t="str">
        <f>IF(G27="FIM",IF(L27="","SEM VÍNCULO",IF(COUNTIF(tblBatidas[Batida ID],L27)=0,"VÍNCULO INVÁLIDO",IF(COUNTIF(tblBatidas[Início vinculado],L27)&gt;1,"VÍNCULO DUPLICADO",IF(E27&lt;&gt;INDEX(tblBatidas[ID],MATCH(L27,tblBatidas[Batida ID],0)),"DIVERGÊNCIA DE ID",IF(H27&lt;&gt;INDEX(tblBatidas[Projeto],MATCH(L27,tblBatidas[Batida ID],0)),"DIVERGÊNCIA DE PROJETO",IF(I27&lt;&gt;INDEX(tblBatidas[Atividade],MATCH(L27,tblBatidas[Batida ID],0)),"DIVERGÊNCIA DE ATIVIDADE",IF(OR(B27&lt;=INDEX(tblBatidas[Data e hora],MATCH(L27,tblBatidas[Batida ID],0)),(B27-INDEX(tblBatidas[Data e hora],MATCH(L27,tblBatidas[Batida ID],0)))*24&gt;16),"HORÁRIO INVÁLIDO","VINCULADO"))))))),"INÍCIO")</f>
        <v>SEM VÍNCULO</v>
      </c>
    </row>
    <row r="28" spans="1:13" hidden="1">
      <c r="A28" t="s">
        <v>533</v>
      </c>
      <c r="B28" s="21">
        <v>46260.437442129631</v>
      </c>
      <c r="C28" s="2">
        <f t="shared" si="0"/>
        <v>46260</v>
      </c>
      <c r="D28" t="str">
        <f t="shared" si="1"/>
        <v>QUARTA-FEIRA</v>
      </c>
      <c r="E28">
        <v>1012</v>
      </c>
      <c r="F28" t="s">
        <v>55</v>
      </c>
      <c r="G28" t="s">
        <v>503</v>
      </c>
      <c r="H28" t="s">
        <v>74</v>
      </c>
      <c r="I28" t="s">
        <v>529</v>
      </c>
      <c r="J28" t="s">
        <v>530</v>
      </c>
      <c r="K28" t="s">
        <v>501</v>
      </c>
      <c r="L28" s="9"/>
      <c r="M28" t="str">
        <f>IF(G28="FIM",IF(L28="","SEM VÍNCULO",IF(COUNTIF(tblBatidas[Batida ID],L28)=0,"VÍNCULO INVÁLIDO",IF(COUNTIF(tblBatidas[Início vinculado],L28)&gt;1,"VÍNCULO DUPLICADO",IF(E28&lt;&gt;INDEX(tblBatidas[ID],MATCH(L28,tblBatidas[Batida ID],0)),"DIVERGÊNCIA DE ID",IF(H28&lt;&gt;INDEX(tblBatidas[Projeto],MATCH(L28,tblBatidas[Batida ID],0)),"DIVERGÊNCIA DE PROJETO",IF(I28&lt;&gt;INDEX(tblBatidas[Atividade],MATCH(L28,tblBatidas[Batida ID],0)),"DIVERGÊNCIA DE ATIVIDADE",IF(OR(B28&lt;=INDEX(tblBatidas[Data e hora],MATCH(L28,tblBatidas[Batida ID],0)),(B28-INDEX(tblBatidas[Data e hora],MATCH(L28,tblBatidas[Batida ID],0)))*24&gt;16),"HORÁRIO INVÁLIDO","VINCULADO"))))))),"INÍCIO")</f>
        <v>SEM VÍNCULO</v>
      </c>
    </row>
    <row r="29" spans="1:13" hidden="1">
      <c r="A29" t="s">
        <v>534</v>
      </c>
      <c r="B29" s="21">
        <v>46260.439120370371</v>
      </c>
      <c r="C29" s="2">
        <f t="shared" si="0"/>
        <v>46260</v>
      </c>
      <c r="D29" t="str">
        <f t="shared" si="1"/>
        <v>QUARTA-FEIRA</v>
      </c>
      <c r="E29">
        <v>1012</v>
      </c>
      <c r="F29" t="s">
        <v>55</v>
      </c>
      <c r="G29" t="s">
        <v>499</v>
      </c>
      <c r="H29" t="s">
        <v>72</v>
      </c>
      <c r="I29" t="s">
        <v>512</v>
      </c>
      <c r="K29" t="s">
        <v>501</v>
      </c>
      <c r="L29" s="9"/>
      <c r="M29" t="str">
        <f>IF(G29="FIM",IF(L29="","SEM VÍNCULO",IF(COUNTIF(tblBatidas[Batida ID],L29)=0,"VÍNCULO INVÁLIDO",IF(COUNTIF(tblBatidas[Início vinculado],L29)&gt;1,"VÍNCULO DUPLICADO",IF(E29&lt;&gt;INDEX(tblBatidas[ID],MATCH(L29,tblBatidas[Batida ID],0)),"DIVERGÊNCIA DE ID",IF(H29&lt;&gt;INDEX(tblBatidas[Projeto],MATCH(L29,tblBatidas[Batida ID],0)),"DIVERGÊNCIA DE PROJETO",IF(I29&lt;&gt;INDEX(tblBatidas[Atividade],MATCH(L29,tblBatidas[Batida ID],0)),"DIVERGÊNCIA DE ATIVIDADE",IF(OR(B29&lt;=INDEX(tblBatidas[Data e hora],MATCH(L29,tblBatidas[Batida ID],0)),(B29-INDEX(tblBatidas[Data e hora],MATCH(L29,tblBatidas[Batida ID],0)))*24&gt;16),"HORÁRIO INVÁLIDO","VINCULADO"))))))),"INÍCIO")</f>
        <v>INÍCIO</v>
      </c>
    </row>
    <row r="30" spans="1:13" hidden="1">
      <c r="A30" t="s">
        <v>535</v>
      </c>
      <c r="B30" s="21">
        <v>46260.49355324074</v>
      </c>
      <c r="C30" s="2">
        <f t="shared" si="0"/>
        <v>46260</v>
      </c>
      <c r="D30" t="str">
        <f t="shared" si="1"/>
        <v>QUARTA-FEIRA</v>
      </c>
      <c r="E30">
        <v>1013</v>
      </c>
      <c r="F30" t="s">
        <v>57</v>
      </c>
      <c r="G30" t="s">
        <v>503</v>
      </c>
      <c r="H30" t="s">
        <v>68</v>
      </c>
      <c r="I30" t="s">
        <v>517</v>
      </c>
      <c r="K30" t="s">
        <v>501</v>
      </c>
      <c r="L30" s="9" t="s">
        <v>520</v>
      </c>
      <c r="M30" t="str">
        <f>IF(G30="FIM",IF(L30="","SEM VÍNCULO",IF(COUNTIF(tblBatidas[Batida ID],L30)=0,"VÍNCULO INVÁLIDO",IF(COUNTIF(tblBatidas[Início vinculado],L30)&gt;1,"VÍNCULO DUPLICADO",IF(E30&lt;&gt;INDEX(tblBatidas[ID],MATCH(L30,tblBatidas[Batida ID],0)),"DIVERGÊNCIA DE ID",IF(H30&lt;&gt;INDEX(tblBatidas[Projeto],MATCH(L30,tblBatidas[Batida ID],0)),"DIVERGÊNCIA DE PROJETO",IF(I30&lt;&gt;INDEX(tblBatidas[Atividade],MATCH(L30,tblBatidas[Batida ID],0)),"DIVERGÊNCIA DE ATIVIDADE",IF(OR(B30&lt;=INDEX(tblBatidas[Data e hora],MATCH(L30,tblBatidas[Batida ID],0)),(B30-INDEX(tblBatidas[Data e hora],MATCH(L30,tblBatidas[Batida ID],0)))*24&gt;16),"HORÁRIO INVÁLIDO","VINCULADO"))))))),"INÍCIO")</f>
        <v>VINCULADO</v>
      </c>
    </row>
    <row r="31" spans="1:13" hidden="1">
      <c r="A31" t="s">
        <v>536</v>
      </c>
      <c r="B31" s="21">
        <v>46260.495381944442</v>
      </c>
      <c r="C31" s="2">
        <f t="shared" si="0"/>
        <v>46260</v>
      </c>
      <c r="D31" t="str">
        <f t="shared" si="1"/>
        <v>QUARTA-FEIRA</v>
      </c>
      <c r="E31">
        <v>1003</v>
      </c>
      <c r="F31" t="s">
        <v>46</v>
      </c>
      <c r="G31" t="s">
        <v>503</v>
      </c>
      <c r="H31" t="s">
        <v>74</v>
      </c>
      <c r="I31" t="s">
        <v>517</v>
      </c>
      <c r="K31" t="s">
        <v>501</v>
      </c>
      <c r="L31" s="9" t="s">
        <v>519</v>
      </c>
      <c r="M31" t="str">
        <f>IF(G31="FIM",IF(L31="","SEM VÍNCULO",IF(COUNTIF(tblBatidas[Batida ID],L31)=0,"VÍNCULO INVÁLIDO",IF(COUNTIF(tblBatidas[Início vinculado],L31)&gt;1,"VÍNCULO DUPLICADO",IF(E31&lt;&gt;INDEX(tblBatidas[ID],MATCH(L31,tblBatidas[Batida ID],0)),"DIVERGÊNCIA DE ID",IF(H31&lt;&gt;INDEX(tblBatidas[Projeto],MATCH(L31,tblBatidas[Batida ID],0)),"DIVERGÊNCIA DE PROJETO",IF(I31&lt;&gt;INDEX(tblBatidas[Atividade],MATCH(L31,tblBatidas[Batida ID],0)),"DIVERGÊNCIA DE ATIVIDADE",IF(OR(B31&lt;=INDEX(tblBatidas[Data e hora],MATCH(L31,tblBatidas[Batida ID],0)),(B31-INDEX(tblBatidas[Data e hora],MATCH(L31,tblBatidas[Batida ID],0)))*24&gt;16),"HORÁRIO INVÁLIDO","VINCULADO"))))))),"INÍCIO")</f>
        <v>VINCULADO</v>
      </c>
    </row>
    <row r="32" spans="1:13" hidden="1">
      <c r="A32" t="s">
        <v>537</v>
      </c>
      <c r="B32" s="21">
        <v>46260.502893518518</v>
      </c>
      <c r="C32" s="2">
        <f t="shared" si="0"/>
        <v>46260</v>
      </c>
      <c r="D32" t="str">
        <f t="shared" si="1"/>
        <v>QUARTA-FEIRA</v>
      </c>
      <c r="E32">
        <v>1004</v>
      </c>
      <c r="F32" t="s">
        <v>47</v>
      </c>
      <c r="G32" t="s">
        <v>499</v>
      </c>
      <c r="H32" t="s">
        <v>72</v>
      </c>
      <c r="I32" t="s">
        <v>538</v>
      </c>
      <c r="J32" t="s">
        <v>539</v>
      </c>
      <c r="K32" t="s">
        <v>501</v>
      </c>
      <c r="L32" s="9"/>
      <c r="M32" t="str">
        <f>IF(G32="FIM",IF(L32="","SEM VÍNCULO",IF(COUNTIF(tblBatidas[Batida ID],L32)=0,"VÍNCULO INVÁLIDO",IF(COUNTIF(tblBatidas[Início vinculado],L32)&gt;1,"VÍNCULO DUPLICADO",IF(E32&lt;&gt;INDEX(tblBatidas[ID],MATCH(L32,tblBatidas[Batida ID],0)),"DIVERGÊNCIA DE ID",IF(H32&lt;&gt;INDEX(tblBatidas[Projeto],MATCH(L32,tblBatidas[Batida ID],0)),"DIVERGÊNCIA DE PROJETO",IF(I32&lt;&gt;INDEX(tblBatidas[Atividade],MATCH(L32,tblBatidas[Batida ID],0)),"DIVERGÊNCIA DE ATIVIDADE",IF(OR(B32&lt;=INDEX(tblBatidas[Data e hora],MATCH(L32,tblBatidas[Batida ID],0)),(B32-INDEX(tblBatidas[Data e hora],MATCH(L32,tblBatidas[Batida ID],0)))*24&gt;16),"HORÁRIO INVÁLIDO","VINCULADO"))))))),"INÍCIO")</f>
        <v>INÍCIO</v>
      </c>
    </row>
    <row r="33" spans="1:13" hidden="1">
      <c r="A33" t="s">
        <v>540</v>
      </c>
      <c r="B33" s="21">
        <v>46260.506747685184</v>
      </c>
      <c r="C33" s="2">
        <f t="shared" si="0"/>
        <v>46260</v>
      </c>
      <c r="D33" t="str">
        <f t="shared" si="1"/>
        <v>QUARTA-FEIRA</v>
      </c>
      <c r="E33">
        <v>1011</v>
      </c>
      <c r="F33" t="s">
        <v>54</v>
      </c>
      <c r="G33" t="s">
        <v>503</v>
      </c>
      <c r="H33" t="s">
        <v>76</v>
      </c>
      <c r="I33" t="s">
        <v>517</v>
      </c>
      <c r="J33" t="s">
        <v>541</v>
      </c>
      <c r="K33" t="s">
        <v>501</v>
      </c>
      <c r="L33" s="9" t="s">
        <v>516</v>
      </c>
      <c r="M33" t="str">
        <f>IF(G33="FIM",IF(L33="","SEM VÍNCULO",IF(COUNTIF(tblBatidas[Batida ID],L33)=0,"VÍNCULO INVÁLIDO",IF(COUNTIF(tblBatidas[Início vinculado],L33)&gt;1,"VÍNCULO DUPLICADO",IF(E33&lt;&gt;INDEX(tblBatidas[ID],MATCH(L33,tblBatidas[Batida ID],0)),"DIVERGÊNCIA DE ID",IF(H33&lt;&gt;INDEX(tblBatidas[Projeto],MATCH(L33,tblBatidas[Batida ID],0)),"DIVERGÊNCIA DE PROJETO",IF(I33&lt;&gt;INDEX(tblBatidas[Atividade],MATCH(L33,tblBatidas[Batida ID],0)),"DIVERGÊNCIA DE ATIVIDADE",IF(OR(B33&lt;=INDEX(tblBatidas[Data e hora],MATCH(L33,tblBatidas[Batida ID],0)),(B33-INDEX(tblBatidas[Data e hora],MATCH(L33,tblBatidas[Batida ID],0)))*24&gt;16),"HORÁRIO INVÁLIDO","VINCULADO"))))))),"INÍCIO")</f>
        <v>VINCULADO</v>
      </c>
    </row>
    <row r="34" spans="1:13" hidden="1">
      <c r="A34" t="s">
        <v>542</v>
      </c>
      <c r="B34" s="21">
        <v>46260.521134259259</v>
      </c>
      <c r="C34" s="2">
        <f t="shared" si="0"/>
        <v>46260</v>
      </c>
      <c r="D34" t="str">
        <f t="shared" si="1"/>
        <v>QUARTA-FEIRA</v>
      </c>
      <c r="E34">
        <v>1016</v>
      </c>
      <c r="F34" t="s">
        <v>60</v>
      </c>
      <c r="G34" t="s">
        <v>503</v>
      </c>
      <c r="H34" t="s">
        <v>70</v>
      </c>
      <c r="I34" t="s">
        <v>517</v>
      </c>
      <c r="K34" t="s">
        <v>501</v>
      </c>
      <c r="L34" s="9" t="s">
        <v>523</v>
      </c>
      <c r="M34" t="str">
        <f>IF(G34="FIM",IF(L34="","SEM VÍNCULO",IF(COUNTIF(tblBatidas[Batida ID],L34)=0,"VÍNCULO INVÁLIDO",IF(COUNTIF(tblBatidas[Início vinculado],L34)&gt;1,"VÍNCULO DUPLICADO",IF(E34&lt;&gt;INDEX(tblBatidas[ID],MATCH(L34,tblBatidas[Batida ID],0)),"DIVERGÊNCIA DE ID",IF(H34&lt;&gt;INDEX(tblBatidas[Projeto],MATCH(L34,tblBatidas[Batida ID],0)),"DIVERGÊNCIA DE PROJETO",IF(I34&lt;&gt;INDEX(tblBatidas[Atividade],MATCH(L34,tblBatidas[Batida ID],0)),"DIVERGÊNCIA DE ATIVIDADE",IF(OR(B34&lt;=INDEX(tblBatidas[Data e hora],MATCH(L34,tblBatidas[Batida ID],0)),(B34-INDEX(tblBatidas[Data e hora],MATCH(L34,tblBatidas[Batida ID],0)))*24&gt;16),"HORÁRIO INVÁLIDO","VINCULADO"))))))),"INÍCIO")</f>
        <v>VINCULADO</v>
      </c>
    </row>
    <row r="35" spans="1:13" hidden="1">
      <c r="A35" t="s">
        <v>543</v>
      </c>
      <c r="B35" s="21">
        <v>46260.526817129627</v>
      </c>
      <c r="C35" s="2">
        <f t="shared" si="0"/>
        <v>46260</v>
      </c>
      <c r="D35" t="str">
        <f t="shared" si="1"/>
        <v>QUARTA-FEIRA</v>
      </c>
      <c r="E35">
        <v>1012</v>
      </c>
      <c r="F35" t="s">
        <v>55</v>
      </c>
      <c r="G35" t="s">
        <v>503</v>
      </c>
      <c r="H35" t="s">
        <v>72</v>
      </c>
      <c r="I35" t="s">
        <v>512</v>
      </c>
      <c r="K35" t="s">
        <v>501</v>
      </c>
      <c r="L35" s="9" t="s">
        <v>534</v>
      </c>
      <c r="M35" t="str">
        <f>IF(G35="FIM",IF(L35="","SEM VÍNCULO",IF(COUNTIF(tblBatidas[Batida ID],L35)=0,"VÍNCULO INVÁLIDO",IF(COUNTIF(tblBatidas[Início vinculado],L35)&gt;1,"VÍNCULO DUPLICADO",IF(E35&lt;&gt;INDEX(tblBatidas[ID],MATCH(L35,tblBatidas[Batida ID],0)),"DIVERGÊNCIA DE ID",IF(H35&lt;&gt;INDEX(tblBatidas[Projeto],MATCH(L35,tblBatidas[Batida ID],0)),"DIVERGÊNCIA DE PROJETO",IF(I35&lt;&gt;INDEX(tblBatidas[Atividade],MATCH(L35,tblBatidas[Batida ID],0)),"DIVERGÊNCIA DE ATIVIDADE",IF(OR(B35&lt;=INDEX(tblBatidas[Data e hora],MATCH(L35,tblBatidas[Batida ID],0)),(B35-INDEX(tblBatidas[Data e hora],MATCH(L35,tblBatidas[Batida ID],0)))*24&gt;16),"HORÁRIO INVÁLIDO","VINCULADO"))))))),"INÍCIO")</f>
        <v>VINCULADO</v>
      </c>
    </row>
    <row r="36" spans="1:13" hidden="1">
      <c r="A36" t="s">
        <v>544</v>
      </c>
      <c r="B36" s="21">
        <v>46260.52747685185</v>
      </c>
      <c r="C36" s="2">
        <f t="shared" si="0"/>
        <v>46260</v>
      </c>
      <c r="D36" t="str">
        <f t="shared" si="1"/>
        <v>QUARTA-FEIRA</v>
      </c>
      <c r="E36">
        <v>1014</v>
      </c>
      <c r="F36" t="s">
        <v>58</v>
      </c>
      <c r="G36" t="s">
        <v>503</v>
      </c>
      <c r="H36" t="s">
        <v>74</v>
      </c>
      <c r="I36" t="s">
        <v>527</v>
      </c>
      <c r="K36" t="s">
        <v>501</v>
      </c>
      <c r="L36" s="9" t="s">
        <v>526</v>
      </c>
      <c r="M36" t="str">
        <f>IF(G36="FIM",IF(L36="","SEM VÍNCULO",IF(COUNTIF(tblBatidas[Batida ID],L36)=0,"VÍNCULO INVÁLIDO",IF(COUNTIF(tblBatidas[Início vinculado],L36)&gt;1,"VÍNCULO DUPLICADO",IF(E36&lt;&gt;INDEX(tblBatidas[ID],MATCH(L36,tblBatidas[Batida ID],0)),"DIVERGÊNCIA DE ID",IF(H36&lt;&gt;INDEX(tblBatidas[Projeto],MATCH(L36,tblBatidas[Batida ID],0)),"DIVERGÊNCIA DE PROJETO",IF(I36&lt;&gt;INDEX(tblBatidas[Atividade],MATCH(L36,tblBatidas[Batida ID],0)),"DIVERGÊNCIA DE ATIVIDADE",IF(OR(B36&lt;=INDEX(tblBatidas[Data e hora],MATCH(L36,tblBatidas[Batida ID],0)),(B36-INDEX(tblBatidas[Data e hora],MATCH(L36,tblBatidas[Batida ID],0)))*24&gt;16),"HORÁRIO INVÁLIDO","VINCULADO"))))))),"INÍCIO")</f>
        <v>VINCULADO</v>
      </c>
    </row>
    <row r="37" spans="1:13" hidden="1">
      <c r="A37" t="s">
        <v>545</v>
      </c>
      <c r="B37" s="21">
        <v>46260.52789351852</v>
      </c>
      <c r="C37" s="2">
        <f t="shared" si="0"/>
        <v>46260</v>
      </c>
      <c r="D37" t="str">
        <f t="shared" si="1"/>
        <v>QUARTA-FEIRA</v>
      </c>
      <c r="E37">
        <v>1011</v>
      </c>
      <c r="F37" t="s">
        <v>54</v>
      </c>
      <c r="G37" t="s">
        <v>499</v>
      </c>
      <c r="H37" t="s">
        <v>74</v>
      </c>
      <c r="I37" t="s">
        <v>517</v>
      </c>
      <c r="J37" t="s">
        <v>546</v>
      </c>
      <c r="K37" t="s">
        <v>501</v>
      </c>
      <c r="L37" s="9"/>
      <c r="M37" t="str">
        <f>IF(G37="FIM",IF(L37="","SEM VÍNCULO",IF(COUNTIF(tblBatidas[Batida ID],L37)=0,"VÍNCULO INVÁLIDO",IF(COUNTIF(tblBatidas[Início vinculado],L37)&gt;1,"VÍNCULO DUPLICADO",IF(E37&lt;&gt;INDEX(tblBatidas[ID],MATCH(L37,tblBatidas[Batida ID],0)),"DIVERGÊNCIA DE ID",IF(H37&lt;&gt;INDEX(tblBatidas[Projeto],MATCH(L37,tblBatidas[Batida ID],0)),"DIVERGÊNCIA DE PROJETO",IF(I37&lt;&gt;INDEX(tblBatidas[Atividade],MATCH(L37,tblBatidas[Batida ID],0)),"DIVERGÊNCIA DE ATIVIDADE",IF(OR(B37&lt;=INDEX(tblBatidas[Data e hora],MATCH(L37,tblBatidas[Batida ID],0)),(B37-INDEX(tblBatidas[Data e hora],MATCH(L37,tblBatidas[Batida ID],0)))*24&gt;16),"HORÁRIO INVÁLIDO","VINCULADO"))))))),"INÍCIO")</f>
        <v>INÍCIO</v>
      </c>
    </row>
    <row r="38" spans="1:13" hidden="1">
      <c r="A38" t="s">
        <v>547</v>
      </c>
      <c r="B38" s="21">
        <v>46260.531967592593</v>
      </c>
      <c r="C38" s="2">
        <f t="shared" si="0"/>
        <v>46260</v>
      </c>
      <c r="D38" t="str">
        <f t="shared" si="1"/>
        <v>QUARTA-FEIRA</v>
      </c>
      <c r="E38">
        <v>1003</v>
      </c>
      <c r="F38" t="s">
        <v>46</v>
      </c>
      <c r="G38" t="s">
        <v>499</v>
      </c>
      <c r="H38" t="s">
        <v>74</v>
      </c>
      <c r="I38" t="s">
        <v>517</v>
      </c>
      <c r="K38" t="s">
        <v>501</v>
      </c>
      <c r="L38" s="9"/>
      <c r="M38" t="str">
        <f>IF(G38="FIM",IF(L38="","SEM VÍNCULO",IF(COUNTIF(tblBatidas[Batida ID],L38)=0,"VÍNCULO INVÁLIDO",IF(COUNTIF(tblBatidas[Início vinculado],L38)&gt;1,"VÍNCULO DUPLICADO",IF(E38&lt;&gt;INDEX(tblBatidas[ID],MATCH(L38,tblBatidas[Batida ID],0)),"DIVERGÊNCIA DE ID",IF(H38&lt;&gt;INDEX(tblBatidas[Projeto],MATCH(L38,tblBatidas[Batida ID],0)),"DIVERGÊNCIA DE PROJETO",IF(I38&lt;&gt;INDEX(tblBatidas[Atividade],MATCH(L38,tblBatidas[Batida ID],0)),"DIVERGÊNCIA DE ATIVIDADE",IF(OR(B38&lt;=INDEX(tblBatidas[Data e hora],MATCH(L38,tblBatidas[Batida ID],0)),(B38-INDEX(tblBatidas[Data e hora],MATCH(L38,tblBatidas[Batida ID],0)))*24&gt;16),"HORÁRIO INVÁLIDO","VINCULADO"))))))),"INÍCIO")</f>
        <v>INÍCIO</v>
      </c>
    </row>
    <row r="39" spans="1:13" hidden="1">
      <c r="A39" t="s">
        <v>548</v>
      </c>
      <c r="B39" s="21">
        <v>46260.532349537039</v>
      </c>
      <c r="C39" s="2">
        <f t="shared" si="0"/>
        <v>46260</v>
      </c>
      <c r="D39" t="str">
        <f t="shared" si="1"/>
        <v>QUARTA-FEIRA</v>
      </c>
      <c r="E39">
        <v>1013</v>
      </c>
      <c r="F39" t="s">
        <v>57</v>
      </c>
      <c r="G39" t="s">
        <v>499</v>
      </c>
      <c r="H39" t="s">
        <v>74</v>
      </c>
      <c r="I39" t="s">
        <v>517</v>
      </c>
      <c r="K39" t="s">
        <v>501</v>
      </c>
      <c r="L39" s="9"/>
      <c r="M39" t="str">
        <f>IF(G39="FIM",IF(L39="","SEM VÍNCULO",IF(COUNTIF(tblBatidas[Batida ID],L39)=0,"VÍNCULO INVÁLIDO",IF(COUNTIF(tblBatidas[Início vinculado],L39)&gt;1,"VÍNCULO DUPLICADO",IF(E39&lt;&gt;INDEX(tblBatidas[ID],MATCH(L39,tblBatidas[Batida ID],0)),"DIVERGÊNCIA DE ID",IF(H39&lt;&gt;INDEX(tblBatidas[Projeto],MATCH(L39,tblBatidas[Batida ID],0)),"DIVERGÊNCIA DE PROJETO",IF(I39&lt;&gt;INDEX(tblBatidas[Atividade],MATCH(L39,tblBatidas[Batida ID],0)),"DIVERGÊNCIA DE ATIVIDADE",IF(OR(B39&lt;=INDEX(tblBatidas[Data e hora],MATCH(L39,tblBatidas[Batida ID],0)),(B39-INDEX(tblBatidas[Data e hora],MATCH(L39,tblBatidas[Batida ID],0)))*24&gt;16),"HORÁRIO INVÁLIDO","VINCULADO"))))))),"INÍCIO")</f>
        <v>INÍCIO</v>
      </c>
    </row>
    <row r="40" spans="1:13" hidden="1">
      <c r="A40" t="s">
        <v>549</v>
      </c>
      <c r="B40" s="21">
        <v>46260.544282407405</v>
      </c>
      <c r="C40" s="2">
        <f t="shared" si="0"/>
        <v>46260</v>
      </c>
      <c r="D40" t="str">
        <f t="shared" si="1"/>
        <v>QUARTA-FEIRA</v>
      </c>
      <c r="E40">
        <v>1015</v>
      </c>
      <c r="F40" t="s">
        <v>59</v>
      </c>
      <c r="G40" t="s">
        <v>503</v>
      </c>
      <c r="H40" t="s">
        <v>84</v>
      </c>
      <c r="I40" t="s">
        <v>84</v>
      </c>
      <c r="K40" t="s">
        <v>501</v>
      </c>
      <c r="L40" s="9" t="s">
        <v>521</v>
      </c>
      <c r="M40" t="str">
        <f>IF(G40="FIM",IF(L40="","SEM VÍNCULO",IF(COUNTIF(tblBatidas[Batida ID],L40)=0,"VÍNCULO INVÁLIDO",IF(COUNTIF(tblBatidas[Início vinculado],L40)&gt;1,"VÍNCULO DUPLICADO",IF(E40&lt;&gt;INDEX(tblBatidas[ID],MATCH(L40,tblBatidas[Batida ID],0)),"DIVERGÊNCIA DE ID",IF(H40&lt;&gt;INDEX(tblBatidas[Projeto],MATCH(L40,tblBatidas[Batida ID],0)),"DIVERGÊNCIA DE PROJETO",IF(I40&lt;&gt;INDEX(tblBatidas[Atividade],MATCH(L40,tblBatidas[Batida ID],0)),"DIVERGÊNCIA DE ATIVIDADE",IF(OR(B40&lt;=INDEX(tblBatidas[Data e hora],MATCH(L40,tblBatidas[Batida ID],0)),(B40-INDEX(tblBatidas[Data e hora],MATCH(L40,tblBatidas[Batida ID],0)))*24&gt;16),"HORÁRIO INVÁLIDO","VINCULADO"))))))),"INÍCIO")</f>
        <v>VINCULADO</v>
      </c>
    </row>
    <row r="41" spans="1:13" hidden="1">
      <c r="A41" t="s">
        <v>550</v>
      </c>
      <c r="B41" s="21">
        <v>46260.55978009259</v>
      </c>
      <c r="C41" s="2">
        <f t="shared" si="0"/>
        <v>46260</v>
      </c>
      <c r="D41" t="str">
        <f t="shared" si="1"/>
        <v>QUARTA-FEIRA</v>
      </c>
      <c r="E41">
        <v>1016</v>
      </c>
      <c r="F41" t="s">
        <v>60</v>
      </c>
      <c r="G41" t="s">
        <v>499</v>
      </c>
      <c r="H41" t="s">
        <v>70</v>
      </c>
      <c r="I41" t="s">
        <v>517</v>
      </c>
      <c r="K41" t="s">
        <v>501</v>
      </c>
      <c r="L41" s="9"/>
      <c r="M41" t="str">
        <f>IF(G41="FIM",IF(L41="","SEM VÍNCULO",IF(COUNTIF(tblBatidas[Batida ID],L41)=0,"VÍNCULO INVÁLIDO",IF(COUNTIF(tblBatidas[Início vinculado],L41)&gt;1,"VÍNCULO DUPLICADO",IF(E41&lt;&gt;INDEX(tblBatidas[ID],MATCH(L41,tblBatidas[Batida ID],0)),"DIVERGÊNCIA DE ID",IF(H41&lt;&gt;INDEX(tblBatidas[Projeto],MATCH(L41,tblBatidas[Batida ID],0)),"DIVERGÊNCIA DE PROJETO",IF(I41&lt;&gt;INDEX(tblBatidas[Atividade],MATCH(L41,tblBatidas[Batida ID],0)),"DIVERGÊNCIA DE ATIVIDADE",IF(OR(B41&lt;=INDEX(tblBatidas[Data e hora],MATCH(L41,tblBatidas[Batida ID],0)),(B41-INDEX(tblBatidas[Data e hora],MATCH(L41,tblBatidas[Batida ID],0)))*24&gt;16),"HORÁRIO INVÁLIDO","VINCULADO"))))))),"INÍCIO")</f>
        <v>INÍCIO</v>
      </c>
    </row>
    <row r="42" spans="1:13" hidden="1">
      <c r="A42" t="s">
        <v>551</v>
      </c>
      <c r="B42" s="21">
        <v>46260.568807870368</v>
      </c>
      <c r="C42" s="2">
        <f t="shared" si="0"/>
        <v>46260</v>
      </c>
      <c r="D42" t="str">
        <f t="shared" si="1"/>
        <v>QUARTA-FEIRA</v>
      </c>
      <c r="E42">
        <v>1004</v>
      </c>
      <c r="F42" t="s">
        <v>47</v>
      </c>
      <c r="G42" t="s">
        <v>503</v>
      </c>
      <c r="H42" t="s">
        <v>72</v>
      </c>
      <c r="I42" t="s">
        <v>538</v>
      </c>
      <c r="J42" t="s">
        <v>552</v>
      </c>
      <c r="K42" t="s">
        <v>501</v>
      </c>
      <c r="L42" s="9" t="s">
        <v>537</v>
      </c>
      <c r="M42" t="str">
        <f>IF(G42="FIM",IF(L42="","SEM VÍNCULO",IF(COUNTIF(tblBatidas[Batida ID],L42)=0,"VÍNCULO INVÁLIDO",IF(COUNTIF(tblBatidas[Início vinculado],L42)&gt;1,"VÍNCULO DUPLICADO",IF(E42&lt;&gt;INDEX(tblBatidas[ID],MATCH(L42,tblBatidas[Batida ID],0)),"DIVERGÊNCIA DE ID",IF(H42&lt;&gt;INDEX(tblBatidas[Projeto],MATCH(L42,tblBatidas[Batida ID],0)),"DIVERGÊNCIA DE PROJETO",IF(I42&lt;&gt;INDEX(tblBatidas[Atividade],MATCH(L42,tblBatidas[Batida ID],0)),"DIVERGÊNCIA DE ATIVIDADE",IF(OR(B42&lt;=INDEX(tblBatidas[Data e hora],MATCH(L42,tblBatidas[Batida ID],0)),(B42-INDEX(tblBatidas[Data e hora],MATCH(L42,tblBatidas[Batida ID],0)))*24&gt;16),"HORÁRIO INVÁLIDO","VINCULADO"))))))),"INÍCIO")</f>
        <v>VINCULADO</v>
      </c>
    </row>
    <row r="43" spans="1:13" hidden="1">
      <c r="A43" t="s">
        <v>553</v>
      </c>
      <c r="B43" s="21">
        <v>46260.571284722224</v>
      </c>
      <c r="C43" s="2">
        <f t="shared" si="0"/>
        <v>46260</v>
      </c>
      <c r="D43" t="str">
        <f t="shared" si="1"/>
        <v>QUARTA-FEIRA</v>
      </c>
      <c r="E43">
        <v>1012</v>
      </c>
      <c r="F43" t="s">
        <v>55</v>
      </c>
      <c r="G43" t="s">
        <v>499</v>
      </c>
      <c r="H43" t="s">
        <v>80</v>
      </c>
      <c r="I43" t="s">
        <v>512</v>
      </c>
      <c r="K43" t="s">
        <v>501</v>
      </c>
      <c r="L43" s="9"/>
      <c r="M43" t="str">
        <f>IF(G43="FIM",IF(L43="","SEM VÍNCULO",IF(COUNTIF(tblBatidas[Batida ID],L43)=0,"VÍNCULO INVÁLIDO",IF(COUNTIF(tblBatidas[Início vinculado],L43)&gt;1,"VÍNCULO DUPLICADO",IF(E43&lt;&gt;INDEX(tblBatidas[ID],MATCH(L43,tblBatidas[Batida ID],0)),"DIVERGÊNCIA DE ID",IF(H43&lt;&gt;INDEX(tblBatidas[Projeto],MATCH(L43,tblBatidas[Batida ID],0)),"DIVERGÊNCIA DE PROJETO",IF(I43&lt;&gt;INDEX(tblBatidas[Atividade],MATCH(L43,tblBatidas[Batida ID],0)),"DIVERGÊNCIA DE ATIVIDADE",IF(OR(B43&lt;=INDEX(tblBatidas[Data e hora],MATCH(L43,tblBatidas[Batida ID],0)),(B43-INDEX(tblBatidas[Data e hora],MATCH(L43,tblBatidas[Batida ID],0)))*24&gt;16),"HORÁRIO INVÁLIDO","VINCULADO"))))))),"INÍCIO")</f>
        <v>INÍCIO</v>
      </c>
    </row>
    <row r="44" spans="1:13" hidden="1">
      <c r="A44" t="s">
        <v>554</v>
      </c>
      <c r="B44" s="21">
        <v>46260.572175925925</v>
      </c>
      <c r="C44" s="2">
        <f t="shared" si="0"/>
        <v>46260</v>
      </c>
      <c r="D44" t="str">
        <f t="shared" si="1"/>
        <v>QUARTA-FEIRA</v>
      </c>
      <c r="E44">
        <v>1014</v>
      </c>
      <c r="F44" t="s">
        <v>58</v>
      </c>
      <c r="G44" t="s">
        <v>499</v>
      </c>
      <c r="H44" t="s">
        <v>74</v>
      </c>
      <c r="I44" t="s">
        <v>527</v>
      </c>
      <c r="K44" t="s">
        <v>501</v>
      </c>
      <c r="L44" s="9"/>
      <c r="M44" t="str">
        <f>IF(G44="FIM",IF(L44="","SEM VÍNCULO",IF(COUNTIF(tblBatidas[Batida ID],L44)=0,"VÍNCULO INVÁLIDO",IF(COUNTIF(tblBatidas[Início vinculado],L44)&gt;1,"VÍNCULO DUPLICADO",IF(E44&lt;&gt;INDEX(tblBatidas[ID],MATCH(L44,tblBatidas[Batida ID],0)),"DIVERGÊNCIA DE ID",IF(H44&lt;&gt;INDEX(tblBatidas[Projeto],MATCH(L44,tblBatidas[Batida ID],0)),"DIVERGÊNCIA DE PROJETO",IF(I44&lt;&gt;INDEX(tblBatidas[Atividade],MATCH(L44,tblBatidas[Batida ID],0)),"DIVERGÊNCIA DE ATIVIDADE",IF(OR(B44&lt;=INDEX(tblBatidas[Data e hora],MATCH(L44,tblBatidas[Batida ID],0)),(B44-INDEX(tblBatidas[Data e hora],MATCH(L44,tblBatidas[Batida ID],0)))*24&gt;16),"HORÁRIO INVÁLIDO","VINCULADO"))))))),"INÍCIO")</f>
        <v>INÍCIO</v>
      </c>
    </row>
    <row r="45" spans="1:13" hidden="1">
      <c r="A45" t="s">
        <v>555</v>
      </c>
      <c r="B45" s="21">
        <v>46260.584930555553</v>
      </c>
      <c r="C45" s="2">
        <f t="shared" si="0"/>
        <v>46260</v>
      </c>
      <c r="D45" t="str">
        <f t="shared" si="1"/>
        <v>QUARTA-FEIRA</v>
      </c>
      <c r="E45">
        <v>1015</v>
      </c>
      <c r="F45" t="s">
        <v>59</v>
      </c>
      <c r="G45" t="s">
        <v>499</v>
      </c>
      <c r="H45" t="s">
        <v>84</v>
      </c>
      <c r="I45" t="s">
        <v>84</v>
      </c>
      <c r="K45" t="s">
        <v>501</v>
      </c>
      <c r="L45" s="9"/>
      <c r="M45" t="str">
        <f>IF(G45="FIM",IF(L45="","SEM VÍNCULO",IF(COUNTIF(tblBatidas[Batida ID],L45)=0,"VÍNCULO INVÁLIDO",IF(COUNTIF(tblBatidas[Início vinculado],L45)&gt;1,"VÍNCULO DUPLICADO",IF(E45&lt;&gt;INDEX(tblBatidas[ID],MATCH(L45,tblBatidas[Batida ID],0)),"DIVERGÊNCIA DE ID",IF(H45&lt;&gt;INDEX(tblBatidas[Projeto],MATCH(L45,tblBatidas[Batida ID],0)),"DIVERGÊNCIA DE PROJETO",IF(I45&lt;&gt;INDEX(tblBatidas[Atividade],MATCH(L45,tblBatidas[Batida ID],0)),"DIVERGÊNCIA DE ATIVIDADE",IF(OR(B45&lt;=INDEX(tblBatidas[Data e hora],MATCH(L45,tblBatidas[Batida ID],0)),(B45-INDEX(tblBatidas[Data e hora],MATCH(L45,tblBatidas[Batida ID],0)))*24&gt;16),"HORÁRIO INVÁLIDO","VINCULADO"))))))),"INÍCIO")</f>
        <v>INÍCIO</v>
      </c>
    </row>
    <row r="46" spans="1:13" hidden="1">
      <c r="A46" t="s">
        <v>556</v>
      </c>
      <c r="B46" s="21">
        <v>46260.605000000003</v>
      </c>
      <c r="C46" s="2">
        <f t="shared" si="0"/>
        <v>46260</v>
      </c>
      <c r="D46" t="str">
        <f t="shared" si="1"/>
        <v>QUARTA-FEIRA</v>
      </c>
      <c r="E46">
        <v>1001</v>
      </c>
      <c r="F46" t="s">
        <v>43</v>
      </c>
      <c r="G46" t="s">
        <v>503</v>
      </c>
      <c r="H46" t="s">
        <v>80</v>
      </c>
      <c r="I46" t="s">
        <v>500</v>
      </c>
      <c r="J46" t="s">
        <v>557</v>
      </c>
      <c r="K46" t="s">
        <v>501</v>
      </c>
      <c r="L46" s="9" t="s">
        <v>524</v>
      </c>
      <c r="M46" t="str">
        <f>IF(G46="FIM",IF(L46="","SEM VÍNCULO",IF(COUNTIF(tblBatidas[Batida ID],L46)=0,"VÍNCULO INVÁLIDO",IF(COUNTIF(tblBatidas[Início vinculado],L46)&gt;1,"VÍNCULO DUPLICADO",IF(E46&lt;&gt;INDEX(tblBatidas[ID],MATCH(L46,tblBatidas[Batida ID],0)),"DIVERGÊNCIA DE ID",IF(H46&lt;&gt;INDEX(tblBatidas[Projeto],MATCH(L46,tblBatidas[Batida ID],0)),"DIVERGÊNCIA DE PROJETO",IF(I46&lt;&gt;INDEX(tblBatidas[Atividade],MATCH(L46,tblBatidas[Batida ID],0)),"DIVERGÊNCIA DE ATIVIDADE",IF(OR(B46&lt;=INDEX(tblBatidas[Data e hora],MATCH(L46,tblBatidas[Batida ID],0)),(B46-INDEX(tblBatidas[Data e hora],MATCH(L46,tblBatidas[Batida ID],0)))*24&gt;16),"HORÁRIO INVÁLIDO","VINCULADO"))))))),"INÍCIO")</f>
        <v>VINCULADO</v>
      </c>
    </row>
    <row r="47" spans="1:13" hidden="1">
      <c r="A47" t="s">
        <v>558</v>
      </c>
      <c r="B47" s="21">
        <v>46260.626481481479</v>
      </c>
      <c r="C47" s="2">
        <f t="shared" si="0"/>
        <v>46260</v>
      </c>
      <c r="D47" t="str">
        <f t="shared" si="1"/>
        <v>QUARTA-FEIRA</v>
      </c>
      <c r="E47">
        <v>1001</v>
      </c>
      <c r="F47" t="s">
        <v>43</v>
      </c>
      <c r="G47" t="s">
        <v>499</v>
      </c>
      <c r="H47" t="s">
        <v>80</v>
      </c>
      <c r="I47" t="s">
        <v>500</v>
      </c>
      <c r="J47" t="s">
        <v>559</v>
      </c>
      <c r="K47" t="s">
        <v>501</v>
      </c>
      <c r="L47" s="9"/>
      <c r="M47" t="str">
        <f>IF(G47="FIM",IF(L47="","SEM VÍNCULO",IF(COUNTIF(tblBatidas[Batida ID],L47)=0,"VÍNCULO INVÁLIDO",IF(COUNTIF(tblBatidas[Início vinculado],L47)&gt;1,"VÍNCULO DUPLICADO",IF(E47&lt;&gt;INDEX(tblBatidas[ID],MATCH(L47,tblBatidas[Batida ID],0)),"DIVERGÊNCIA DE ID",IF(H47&lt;&gt;INDEX(tblBatidas[Projeto],MATCH(L47,tblBatidas[Batida ID],0)),"DIVERGÊNCIA DE PROJETO",IF(I47&lt;&gt;INDEX(tblBatidas[Atividade],MATCH(L47,tblBatidas[Batida ID],0)),"DIVERGÊNCIA DE ATIVIDADE",IF(OR(B47&lt;=INDEX(tblBatidas[Data e hora],MATCH(L47,tblBatidas[Batida ID],0)),(B47-INDEX(tblBatidas[Data e hora],MATCH(L47,tblBatidas[Batida ID],0)))*24&gt;16),"HORÁRIO INVÁLIDO","VINCULADO"))))))),"INÍCIO")</f>
        <v>INÍCIO</v>
      </c>
    </row>
    <row r="48" spans="1:13" hidden="1">
      <c r="A48" t="s">
        <v>560</v>
      </c>
      <c r="B48" s="21">
        <v>46260.635601851849</v>
      </c>
      <c r="C48" s="2">
        <f t="shared" si="0"/>
        <v>46260</v>
      </c>
      <c r="D48" t="str">
        <f t="shared" si="1"/>
        <v>QUARTA-FEIRA</v>
      </c>
      <c r="E48">
        <v>1006</v>
      </c>
      <c r="F48" t="s">
        <v>49</v>
      </c>
      <c r="G48" t="s">
        <v>499</v>
      </c>
      <c r="H48" t="s">
        <v>80</v>
      </c>
      <c r="I48" t="s">
        <v>512</v>
      </c>
      <c r="K48" t="s">
        <v>501</v>
      </c>
      <c r="L48" s="9"/>
      <c r="M48" t="str">
        <f>IF(G48="FIM",IF(L48="","SEM VÍNCULO",IF(COUNTIF(tblBatidas[Batida ID],L48)=0,"VÍNCULO INVÁLIDO",IF(COUNTIF(tblBatidas[Início vinculado],L48)&gt;1,"VÍNCULO DUPLICADO",IF(E48&lt;&gt;INDEX(tblBatidas[ID],MATCH(L48,tblBatidas[Batida ID],0)),"DIVERGÊNCIA DE ID",IF(H48&lt;&gt;INDEX(tblBatidas[Projeto],MATCH(L48,tblBatidas[Batida ID],0)),"DIVERGÊNCIA DE PROJETO",IF(I48&lt;&gt;INDEX(tblBatidas[Atividade],MATCH(L48,tblBatidas[Batida ID],0)),"DIVERGÊNCIA DE ATIVIDADE",IF(OR(B48&lt;=INDEX(tblBatidas[Data e hora],MATCH(L48,tblBatidas[Batida ID],0)),(B48-INDEX(tblBatidas[Data e hora],MATCH(L48,tblBatidas[Batida ID],0)))*24&gt;16),"HORÁRIO INVÁLIDO","VINCULADO"))))))),"INÍCIO")</f>
        <v>INÍCIO</v>
      </c>
    </row>
    <row r="49" spans="1:13" hidden="1">
      <c r="A49" t="s">
        <v>561</v>
      </c>
      <c r="B49" s="21">
        <v>46260.743495370371</v>
      </c>
      <c r="C49" s="2">
        <f t="shared" si="0"/>
        <v>46260</v>
      </c>
      <c r="D49" t="str">
        <f t="shared" si="1"/>
        <v>QUARTA-FEIRA</v>
      </c>
      <c r="E49">
        <v>1015</v>
      </c>
      <c r="F49" t="s">
        <v>59</v>
      </c>
      <c r="G49" t="s">
        <v>503</v>
      </c>
      <c r="H49" t="s">
        <v>84</v>
      </c>
      <c r="I49" t="s">
        <v>84</v>
      </c>
      <c r="K49" t="s">
        <v>501</v>
      </c>
      <c r="L49" s="9" t="s">
        <v>555</v>
      </c>
      <c r="M49" t="str">
        <f>IF(G49="FIM",IF(L49="","SEM VÍNCULO",IF(COUNTIF(tblBatidas[Batida ID],L49)=0,"VÍNCULO INVÁLIDO",IF(COUNTIF(tblBatidas[Início vinculado],L49)&gt;1,"VÍNCULO DUPLICADO",IF(E49&lt;&gt;INDEX(tblBatidas[ID],MATCH(L49,tblBatidas[Batida ID],0)),"DIVERGÊNCIA DE ID",IF(H49&lt;&gt;INDEX(tblBatidas[Projeto],MATCH(L49,tblBatidas[Batida ID],0)),"DIVERGÊNCIA DE PROJETO",IF(I49&lt;&gt;INDEX(tblBatidas[Atividade],MATCH(L49,tblBatidas[Batida ID],0)),"DIVERGÊNCIA DE ATIVIDADE",IF(OR(B49&lt;=INDEX(tblBatidas[Data e hora],MATCH(L49,tblBatidas[Batida ID],0)),(B49-INDEX(tblBatidas[Data e hora],MATCH(L49,tblBatidas[Batida ID],0)))*24&gt;16),"HORÁRIO INVÁLIDO","VINCULADO"))))))),"INÍCIO")</f>
        <v>VINCULADO</v>
      </c>
    </row>
    <row r="50" spans="1:13">
      <c r="A50" t="s">
        <v>562</v>
      </c>
      <c r="B50" s="21">
        <v>46260.749675925923</v>
      </c>
      <c r="C50" s="2">
        <f t="shared" si="0"/>
        <v>46260</v>
      </c>
      <c r="D50" t="str">
        <f t="shared" si="1"/>
        <v>QUARTA-FEIRA</v>
      </c>
      <c r="E50">
        <v>1002</v>
      </c>
      <c r="F50" t="s">
        <v>45</v>
      </c>
      <c r="G50" t="s">
        <v>503</v>
      </c>
      <c r="H50" t="s">
        <v>70</v>
      </c>
      <c r="I50" t="s">
        <v>517</v>
      </c>
      <c r="K50" t="s">
        <v>501</v>
      </c>
      <c r="L50" s="9" t="s">
        <v>522</v>
      </c>
      <c r="M50" t="str">
        <f>IF(G50="FIM",IF(L50="","SEM VÍNCULO",IF(COUNTIF(tblBatidas[Batida ID],L50)=0,"VÍNCULO INVÁLIDO",IF(COUNTIF(tblBatidas[Início vinculado],L50)&gt;1,"VÍNCULO DUPLICADO",IF(E50&lt;&gt;INDEX(tblBatidas[ID],MATCH(L50,tblBatidas[Batida ID],0)),"DIVERGÊNCIA DE ID",IF(H50&lt;&gt;INDEX(tblBatidas[Projeto],MATCH(L50,tblBatidas[Batida ID],0)),"DIVERGÊNCIA DE PROJETO",IF(I50&lt;&gt;INDEX(tblBatidas[Atividade],MATCH(L50,tblBatidas[Batida ID],0)),"DIVERGÊNCIA DE ATIVIDADE",IF(OR(B50&lt;=INDEX(tblBatidas[Data e hora],MATCH(L50,tblBatidas[Batida ID],0)),(B50-INDEX(tblBatidas[Data e hora],MATCH(L50,tblBatidas[Batida ID],0)))*24&gt;16),"HORÁRIO INVÁLIDO","VINCULADO"))))))),"INÍCIO")</f>
        <v>VINCULADO</v>
      </c>
    </row>
    <row r="51" spans="1:13" hidden="1">
      <c r="A51" t="s">
        <v>563</v>
      </c>
      <c r="B51" s="21">
        <v>46260.750787037039</v>
      </c>
      <c r="C51" s="2">
        <f t="shared" si="0"/>
        <v>46260</v>
      </c>
      <c r="D51" t="str">
        <f t="shared" si="1"/>
        <v>QUARTA-FEIRA</v>
      </c>
      <c r="E51">
        <v>1013</v>
      </c>
      <c r="F51" t="s">
        <v>57</v>
      </c>
      <c r="G51" t="s">
        <v>503</v>
      </c>
      <c r="H51" t="s">
        <v>74</v>
      </c>
      <c r="I51" t="s">
        <v>517</v>
      </c>
      <c r="K51" t="s">
        <v>501</v>
      </c>
      <c r="L51" s="9" t="s">
        <v>548</v>
      </c>
      <c r="M51" t="str">
        <f>IF(G51="FIM",IF(L51="","SEM VÍNCULO",IF(COUNTIF(tblBatidas[Batida ID],L51)=0,"VÍNCULO INVÁLIDO",IF(COUNTIF(tblBatidas[Início vinculado],L51)&gt;1,"VÍNCULO DUPLICADO",IF(E51&lt;&gt;INDEX(tblBatidas[ID],MATCH(L51,tblBatidas[Batida ID],0)),"DIVERGÊNCIA DE ID",IF(H51&lt;&gt;INDEX(tblBatidas[Projeto],MATCH(L51,tblBatidas[Batida ID],0)),"DIVERGÊNCIA DE PROJETO",IF(I51&lt;&gt;INDEX(tblBatidas[Atividade],MATCH(L51,tblBatidas[Batida ID],0)),"DIVERGÊNCIA DE ATIVIDADE",IF(OR(B51&lt;=INDEX(tblBatidas[Data e hora],MATCH(L51,tblBatidas[Batida ID],0)),(B51-INDEX(tblBatidas[Data e hora],MATCH(L51,tblBatidas[Batida ID],0)))*24&gt;16),"HORÁRIO INVÁLIDO","VINCULADO"))))))),"INÍCIO")</f>
        <v>VINCULADO</v>
      </c>
    </row>
    <row r="52" spans="1:13" hidden="1">
      <c r="A52" t="s">
        <v>564</v>
      </c>
      <c r="B52" s="21">
        <v>46260.751840277779</v>
      </c>
      <c r="C52" s="2">
        <f t="shared" si="0"/>
        <v>46260</v>
      </c>
      <c r="D52" t="str">
        <f t="shared" si="1"/>
        <v>QUARTA-FEIRA</v>
      </c>
      <c r="E52">
        <v>1003</v>
      </c>
      <c r="F52" t="s">
        <v>46</v>
      </c>
      <c r="G52" t="s">
        <v>503</v>
      </c>
      <c r="H52" t="s">
        <v>74</v>
      </c>
      <c r="I52" t="s">
        <v>517</v>
      </c>
      <c r="K52" t="s">
        <v>501</v>
      </c>
      <c r="L52" s="9" t="s">
        <v>547</v>
      </c>
      <c r="M52" t="str">
        <f>IF(G52="FIM",IF(L52="","SEM VÍNCULO",IF(COUNTIF(tblBatidas[Batida ID],L52)=0,"VÍNCULO INVÁLIDO",IF(COUNTIF(tblBatidas[Início vinculado],L52)&gt;1,"VÍNCULO DUPLICADO",IF(E52&lt;&gt;INDEX(tblBatidas[ID],MATCH(L52,tblBatidas[Batida ID],0)),"DIVERGÊNCIA DE ID",IF(H52&lt;&gt;INDEX(tblBatidas[Projeto],MATCH(L52,tblBatidas[Batida ID],0)),"DIVERGÊNCIA DE PROJETO",IF(I52&lt;&gt;INDEX(tblBatidas[Atividade],MATCH(L52,tblBatidas[Batida ID],0)),"DIVERGÊNCIA DE ATIVIDADE",IF(OR(B52&lt;=INDEX(tblBatidas[Data e hora],MATCH(L52,tblBatidas[Batida ID],0)),(B52-INDEX(tblBatidas[Data e hora],MATCH(L52,tblBatidas[Batida ID],0)))*24&gt;16),"HORÁRIO INVÁLIDO","VINCULADO"))))))),"INÍCIO")</f>
        <v>VINCULADO</v>
      </c>
    </row>
    <row r="53" spans="1:13" hidden="1">
      <c r="A53" t="s">
        <v>565</v>
      </c>
      <c r="B53" s="21">
        <v>46260.752141203702</v>
      </c>
      <c r="C53" s="2">
        <f t="shared" si="0"/>
        <v>46260</v>
      </c>
      <c r="D53" t="str">
        <f t="shared" si="1"/>
        <v>QUARTA-FEIRA</v>
      </c>
      <c r="E53">
        <v>1014</v>
      </c>
      <c r="F53" t="s">
        <v>58</v>
      </c>
      <c r="G53" t="s">
        <v>503</v>
      </c>
      <c r="H53" t="s">
        <v>74</v>
      </c>
      <c r="I53" t="s">
        <v>527</v>
      </c>
      <c r="K53" t="s">
        <v>501</v>
      </c>
      <c r="L53" s="9" t="s">
        <v>554</v>
      </c>
      <c r="M53" t="str">
        <f>IF(G53="FIM",IF(L53="","SEM VÍNCULO",IF(COUNTIF(tblBatidas[Batida ID],L53)=0,"VÍNCULO INVÁLIDO",IF(COUNTIF(tblBatidas[Início vinculado],L53)&gt;1,"VÍNCULO DUPLICADO",IF(E53&lt;&gt;INDEX(tblBatidas[ID],MATCH(L53,tblBatidas[Batida ID],0)),"DIVERGÊNCIA DE ID",IF(H53&lt;&gt;INDEX(tblBatidas[Projeto],MATCH(L53,tblBatidas[Batida ID],0)),"DIVERGÊNCIA DE PROJETO",IF(I53&lt;&gt;INDEX(tblBatidas[Atividade],MATCH(L53,tblBatidas[Batida ID],0)),"DIVERGÊNCIA DE ATIVIDADE",IF(OR(B53&lt;=INDEX(tblBatidas[Data e hora],MATCH(L53,tblBatidas[Batida ID],0)),(B53-INDEX(tblBatidas[Data e hora],MATCH(L53,tblBatidas[Batida ID],0)))*24&gt;16),"HORÁRIO INVÁLIDO","VINCULADO"))))))),"INÍCIO")</f>
        <v>VINCULADO</v>
      </c>
    </row>
    <row r="54" spans="1:13" hidden="1">
      <c r="A54" t="s">
        <v>566</v>
      </c>
      <c r="B54" s="21">
        <v>46260.752858796295</v>
      </c>
      <c r="C54" s="2">
        <f t="shared" si="0"/>
        <v>46260</v>
      </c>
      <c r="D54" t="str">
        <f t="shared" si="1"/>
        <v>QUARTA-FEIRA</v>
      </c>
      <c r="E54">
        <v>1011</v>
      </c>
      <c r="F54" t="s">
        <v>54</v>
      </c>
      <c r="G54" t="s">
        <v>503</v>
      </c>
      <c r="H54" t="s">
        <v>74</v>
      </c>
      <c r="I54" t="s">
        <v>517</v>
      </c>
      <c r="J54" t="s">
        <v>567</v>
      </c>
      <c r="K54" t="s">
        <v>501</v>
      </c>
      <c r="L54" s="9" t="s">
        <v>545</v>
      </c>
      <c r="M54" t="str">
        <f>IF(G54="FIM",IF(L54="","SEM VÍNCULO",IF(COUNTIF(tblBatidas[Batida ID],L54)=0,"VÍNCULO INVÁLIDO",IF(COUNTIF(tblBatidas[Início vinculado],L54)&gt;1,"VÍNCULO DUPLICADO",IF(E54&lt;&gt;INDEX(tblBatidas[ID],MATCH(L54,tblBatidas[Batida ID],0)),"DIVERGÊNCIA DE ID",IF(H54&lt;&gt;INDEX(tblBatidas[Projeto],MATCH(L54,tblBatidas[Batida ID],0)),"DIVERGÊNCIA DE PROJETO",IF(I54&lt;&gt;INDEX(tblBatidas[Atividade],MATCH(L54,tblBatidas[Batida ID],0)),"DIVERGÊNCIA DE ATIVIDADE",IF(OR(B54&lt;=INDEX(tblBatidas[Data e hora],MATCH(L54,tblBatidas[Batida ID],0)),(B54-INDEX(tblBatidas[Data e hora],MATCH(L54,tblBatidas[Batida ID],0)))*24&gt;16),"HORÁRIO INVÁLIDO","VINCULADO"))))))),"INÍCIO")</f>
        <v>VINCULADO</v>
      </c>
    </row>
    <row r="55" spans="1:13" hidden="1">
      <c r="A55" t="s">
        <v>568</v>
      </c>
      <c r="B55" s="21">
        <v>46260.75613425926</v>
      </c>
      <c r="C55" s="2">
        <f t="shared" si="0"/>
        <v>46260</v>
      </c>
      <c r="D55" t="str">
        <f t="shared" si="1"/>
        <v>QUARTA-FEIRA</v>
      </c>
      <c r="E55">
        <v>1012</v>
      </c>
      <c r="F55" t="s">
        <v>55</v>
      </c>
      <c r="G55" t="s">
        <v>503</v>
      </c>
      <c r="H55" t="s">
        <v>72</v>
      </c>
      <c r="I55" t="s">
        <v>512</v>
      </c>
      <c r="K55" t="s">
        <v>501</v>
      </c>
      <c r="L55" s="9"/>
      <c r="M55" t="str">
        <f>IF(G55="FIM",IF(L55="","SEM VÍNCULO",IF(COUNTIF(tblBatidas[Batida ID],L55)=0,"VÍNCULO INVÁLIDO",IF(COUNTIF(tblBatidas[Início vinculado],L55)&gt;1,"VÍNCULO DUPLICADO",IF(E55&lt;&gt;INDEX(tblBatidas[ID],MATCH(L55,tblBatidas[Batida ID],0)),"DIVERGÊNCIA DE ID",IF(H55&lt;&gt;INDEX(tblBatidas[Projeto],MATCH(L55,tblBatidas[Batida ID],0)),"DIVERGÊNCIA DE PROJETO",IF(I55&lt;&gt;INDEX(tblBatidas[Atividade],MATCH(L55,tblBatidas[Batida ID],0)),"DIVERGÊNCIA DE ATIVIDADE",IF(OR(B55&lt;=INDEX(tblBatidas[Data e hora],MATCH(L55,tblBatidas[Batida ID],0)),(B55-INDEX(tblBatidas[Data e hora],MATCH(L55,tblBatidas[Batida ID],0)))*24&gt;16),"HORÁRIO INVÁLIDO","VINCULADO"))))))),"INÍCIO")</f>
        <v>SEM VÍNCULO</v>
      </c>
    </row>
    <row r="56" spans="1:13" hidden="1">
      <c r="A56" t="s">
        <v>569</v>
      </c>
      <c r="B56" s="21">
        <v>46260.756226851852</v>
      </c>
      <c r="C56" s="2">
        <f t="shared" si="0"/>
        <v>46260</v>
      </c>
      <c r="D56" t="str">
        <f t="shared" si="1"/>
        <v>QUARTA-FEIRA</v>
      </c>
      <c r="E56">
        <v>1012</v>
      </c>
      <c r="F56" t="s">
        <v>55</v>
      </c>
      <c r="G56" t="s">
        <v>503</v>
      </c>
      <c r="H56" t="s">
        <v>72</v>
      </c>
      <c r="I56" t="s">
        <v>512</v>
      </c>
      <c r="K56" t="s">
        <v>501</v>
      </c>
      <c r="L56" s="9"/>
      <c r="M56" t="str">
        <f>IF(G56="FIM",IF(L56="","SEM VÍNCULO",IF(COUNTIF(tblBatidas[Batida ID],L56)=0,"VÍNCULO INVÁLIDO",IF(COUNTIF(tblBatidas[Início vinculado],L56)&gt;1,"VÍNCULO DUPLICADO",IF(E56&lt;&gt;INDEX(tblBatidas[ID],MATCH(L56,tblBatidas[Batida ID],0)),"DIVERGÊNCIA DE ID",IF(H56&lt;&gt;INDEX(tblBatidas[Projeto],MATCH(L56,tblBatidas[Batida ID],0)),"DIVERGÊNCIA DE PROJETO",IF(I56&lt;&gt;INDEX(tblBatidas[Atividade],MATCH(L56,tblBatidas[Batida ID],0)),"DIVERGÊNCIA DE ATIVIDADE",IF(OR(B56&lt;=INDEX(tblBatidas[Data e hora],MATCH(L56,tblBatidas[Batida ID],0)),(B56-INDEX(tblBatidas[Data e hora],MATCH(L56,tblBatidas[Batida ID],0)))*24&gt;16),"HORÁRIO INVÁLIDO","VINCULADO"))))))),"INÍCIO")</f>
        <v>SEM VÍNCULO</v>
      </c>
    </row>
    <row r="57" spans="1:13" hidden="1">
      <c r="A57" t="s">
        <v>570</v>
      </c>
      <c r="B57" s="21">
        <v>46260.75644675926</v>
      </c>
      <c r="C57" s="2">
        <f t="shared" si="0"/>
        <v>46260</v>
      </c>
      <c r="D57" t="str">
        <f t="shared" si="1"/>
        <v>QUARTA-FEIRA</v>
      </c>
      <c r="E57">
        <v>1012</v>
      </c>
      <c r="F57" t="s">
        <v>55</v>
      </c>
      <c r="G57" t="s">
        <v>503</v>
      </c>
      <c r="H57" t="s">
        <v>80</v>
      </c>
      <c r="I57" t="s">
        <v>512</v>
      </c>
      <c r="K57" t="s">
        <v>501</v>
      </c>
      <c r="L57" s="9" t="s">
        <v>553</v>
      </c>
      <c r="M57" t="str">
        <f>IF(G57="FIM",IF(L57="","SEM VÍNCULO",IF(COUNTIF(tblBatidas[Batida ID],L57)=0,"VÍNCULO INVÁLIDO",IF(COUNTIF(tblBatidas[Início vinculado],L57)&gt;1,"VÍNCULO DUPLICADO",IF(E57&lt;&gt;INDEX(tblBatidas[ID],MATCH(L57,tblBatidas[Batida ID],0)),"DIVERGÊNCIA DE ID",IF(H57&lt;&gt;INDEX(tblBatidas[Projeto],MATCH(L57,tblBatidas[Batida ID],0)),"DIVERGÊNCIA DE PROJETO",IF(I57&lt;&gt;INDEX(tblBatidas[Atividade],MATCH(L57,tblBatidas[Batida ID],0)),"DIVERGÊNCIA DE ATIVIDADE",IF(OR(B57&lt;=INDEX(tblBatidas[Data e hora],MATCH(L57,tblBatidas[Batida ID],0)),(B57-INDEX(tblBatidas[Data e hora],MATCH(L57,tblBatidas[Batida ID],0)))*24&gt;16),"HORÁRIO INVÁLIDO","VINCULADO"))))))),"INÍCIO")</f>
        <v>VINCULADO</v>
      </c>
    </row>
    <row r="58" spans="1:13" hidden="1">
      <c r="A58" t="s">
        <v>571</v>
      </c>
      <c r="B58" s="21">
        <v>46260.788761574076</v>
      </c>
      <c r="C58" s="2">
        <f t="shared" si="0"/>
        <v>46260</v>
      </c>
      <c r="D58" t="str">
        <f t="shared" si="1"/>
        <v>QUARTA-FEIRA</v>
      </c>
      <c r="E58">
        <v>1001</v>
      </c>
      <c r="F58" t="s">
        <v>43</v>
      </c>
      <c r="G58" t="s">
        <v>503</v>
      </c>
      <c r="H58" t="s">
        <v>80</v>
      </c>
      <c r="I58" t="s">
        <v>500</v>
      </c>
      <c r="J58" t="s">
        <v>572</v>
      </c>
      <c r="K58" t="s">
        <v>501</v>
      </c>
      <c r="L58" s="9" t="s">
        <v>558</v>
      </c>
      <c r="M58" t="str">
        <f>IF(G58="FIM",IF(L58="","SEM VÍNCULO",IF(COUNTIF(tblBatidas[Batida ID],L58)=0,"VÍNCULO INVÁLIDO",IF(COUNTIF(tblBatidas[Início vinculado],L58)&gt;1,"VÍNCULO DUPLICADO",IF(E58&lt;&gt;INDEX(tblBatidas[ID],MATCH(L58,tblBatidas[Batida ID],0)),"DIVERGÊNCIA DE ID",IF(H58&lt;&gt;INDEX(tblBatidas[Projeto],MATCH(L58,tblBatidas[Batida ID],0)),"DIVERGÊNCIA DE PROJETO",IF(I58&lt;&gt;INDEX(tblBatidas[Atividade],MATCH(L58,tblBatidas[Batida ID],0)),"DIVERGÊNCIA DE ATIVIDADE",IF(OR(B58&lt;=INDEX(tblBatidas[Data e hora],MATCH(L58,tblBatidas[Batida ID],0)),(B58-INDEX(tblBatidas[Data e hora],MATCH(L58,tblBatidas[Batida ID],0)))*24&gt;16),"HORÁRIO INVÁLIDO","VINCULADO"))))))),"INÍCIO")</f>
        <v>VINCULADO</v>
      </c>
    </row>
    <row r="59" spans="1:13" hidden="1">
      <c r="A59" t="s">
        <v>573</v>
      </c>
      <c r="B59" s="21">
        <v>46260.801666666666</v>
      </c>
      <c r="C59" s="2">
        <f t="shared" si="0"/>
        <v>46260</v>
      </c>
      <c r="D59" t="str">
        <f t="shared" si="1"/>
        <v>QUARTA-FEIRA</v>
      </c>
      <c r="E59">
        <v>1004</v>
      </c>
      <c r="F59" t="s">
        <v>47</v>
      </c>
      <c r="G59" t="s">
        <v>503</v>
      </c>
      <c r="H59" t="s">
        <v>72</v>
      </c>
      <c r="I59" t="s">
        <v>538</v>
      </c>
      <c r="J59" t="s">
        <v>574</v>
      </c>
      <c r="K59" t="s">
        <v>501</v>
      </c>
      <c r="L59" s="9"/>
      <c r="M59" t="str">
        <f>IF(G59="FIM",IF(L59="","SEM VÍNCULO",IF(COUNTIF(tblBatidas[Batida ID],L59)=0,"VÍNCULO INVÁLIDO",IF(COUNTIF(tblBatidas[Início vinculado],L59)&gt;1,"VÍNCULO DUPLICADO",IF(E59&lt;&gt;INDEX(tblBatidas[ID],MATCH(L59,tblBatidas[Batida ID],0)),"DIVERGÊNCIA DE ID",IF(H59&lt;&gt;INDEX(tblBatidas[Projeto],MATCH(L59,tblBatidas[Batida ID],0)),"DIVERGÊNCIA DE PROJETO",IF(I59&lt;&gt;INDEX(tblBatidas[Atividade],MATCH(L59,tblBatidas[Batida ID],0)),"DIVERGÊNCIA DE ATIVIDADE",IF(OR(B59&lt;=INDEX(tblBatidas[Data e hora],MATCH(L59,tblBatidas[Batida ID],0)),(B59-INDEX(tblBatidas[Data e hora],MATCH(L59,tblBatidas[Batida ID],0)))*24&gt;16),"HORÁRIO INVÁLIDO","VINCULADO"))))))),"INÍCIO")</f>
        <v>SEM VÍNCULO</v>
      </c>
    </row>
    <row r="60" spans="1:13" hidden="1">
      <c r="A60" t="s">
        <v>575</v>
      </c>
      <c r="B60" s="21">
        <v>46260.801840277774</v>
      </c>
      <c r="C60" s="2">
        <f t="shared" si="0"/>
        <v>46260</v>
      </c>
      <c r="D60" t="str">
        <f t="shared" si="1"/>
        <v>QUARTA-FEIRA</v>
      </c>
      <c r="E60">
        <v>1004</v>
      </c>
      <c r="F60" t="s">
        <v>47</v>
      </c>
      <c r="G60" t="s">
        <v>503</v>
      </c>
      <c r="H60" t="s">
        <v>72</v>
      </c>
      <c r="I60" t="s">
        <v>538</v>
      </c>
      <c r="J60" t="s">
        <v>574</v>
      </c>
      <c r="K60" t="s">
        <v>501</v>
      </c>
      <c r="L60" s="9"/>
      <c r="M60" t="str">
        <f>IF(G60="FIM",IF(L60="","SEM VÍNCULO",IF(COUNTIF(tblBatidas[Batida ID],L60)=0,"VÍNCULO INVÁLIDO",IF(COUNTIF(tblBatidas[Início vinculado],L60)&gt;1,"VÍNCULO DUPLICADO",IF(E60&lt;&gt;INDEX(tblBatidas[ID],MATCH(L60,tblBatidas[Batida ID],0)),"DIVERGÊNCIA DE ID",IF(H60&lt;&gt;INDEX(tblBatidas[Projeto],MATCH(L60,tblBatidas[Batida ID],0)),"DIVERGÊNCIA DE PROJETO",IF(I60&lt;&gt;INDEX(tblBatidas[Atividade],MATCH(L60,tblBatidas[Batida ID],0)),"DIVERGÊNCIA DE ATIVIDADE",IF(OR(B60&lt;=INDEX(tblBatidas[Data e hora],MATCH(L60,tblBatidas[Batida ID],0)),(B60-INDEX(tblBatidas[Data e hora],MATCH(L60,tblBatidas[Batida ID],0)))*24&gt;16),"HORÁRIO INVÁLIDO","VINCULADO"))))))),"INÍCIO")</f>
        <v>SEM VÍNCULO</v>
      </c>
    </row>
    <row r="61" spans="1:13" hidden="1">
      <c r="A61" t="s">
        <v>576</v>
      </c>
      <c r="B61" s="21">
        <v>46260.979699074072</v>
      </c>
      <c r="C61" s="2">
        <f t="shared" si="0"/>
        <v>46260</v>
      </c>
      <c r="D61" t="str">
        <f t="shared" si="1"/>
        <v>QUARTA-FEIRA</v>
      </c>
      <c r="E61">
        <v>1006</v>
      </c>
      <c r="F61" t="s">
        <v>49</v>
      </c>
      <c r="G61" t="s">
        <v>503</v>
      </c>
      <c r="H61" t="s">
        <v>80</v>
      </c>
      <c r="I61" t="s">
        <v>512</v>
      </c>
      <c r="J61" t="s">
        <v>577</v>
      </c>
      <c r="K61" t="s">
        <v>501</v>
      </c>
      <c r="L61" s="9" t="s">
        <v>560</v>
      </c>
      <c r="M61" t="str">
        <f>IF(G61="FIM",IF(L61="","SEM VÍNCULO",IF(COUNTIF(tblBatidas[Batida ID],L61)=0,"VÍNCULO INVÁLIDO",IF(COUNTIF(tblBatidas[Início vinculado],L61)&gt;1,"VÍNCULO DUPLICADO",IF(E61&lt;&gt;INDEX(tblBatidas[ID],MATCH(L61,tblBatidas[Batida ID],0)),"DIVERGÊNCIA DE ID",IF(H61&lt;&gt;INDEX(tblBatidas[Projeto],MATCH(L61,tblBatidas[Batida ID],0)),"DIVERGÊNCIA DE PROJETO",IF(I61&lt;&gt;INDEX(tblBatidas[Atividade],MATCH(L61,tblBatidas[Batida ID],0)),"DIVERGÊNCIA DE ATIVIDADE",IF(OR(B61&lt;=INDEX(tblBatidas[Data e hora],MATCH(L61,tblBatidas[Batida ID],0)),(B61-INDEX(tblBatidas[Data e hora],MATCH(L61,tblBatidas[Batida ID],0)))*24&gt;16),"HORÁRIO INVÁLIDO","VINCULADO"))))))),"INÍCIO")</f>
        <v>VINCULADO</v>
      </c>
    </row>
    <row r="62" spans="1:13" hidden="1">
      <c r="A62" t="s">
        <v>578</v>
      </c>
      <c r="B62" s="21">
        <v>46260.980891203704</v>
      </c>
      <c r="C62" s="2">
        <f t="shared" si="0"/>
        <v>46260</v>
      </c>
      <c r="D62" t="str">
        <f t="shared" si="1"/>
        <v>QUARTA-FEIRA</v>
      </c>
      <c r="E62">
        <v>1006</v>
      </c>
      <c r="F62" t="s">
        <v>49</v>
      </c>
      <c r="G62" t="s">
        <v>499</v>
      </c>
      <c r="H62" t="s">
        <v>80</v>
      </c>
      <c r="I62" t="s">
        <v>512</v>
      </c>
      <c r="J62" t="s">
        <v>579</v>
      </c>
      <c r="K62" t="s">
        <v>501</v>
      </c>
      <c r="L62" s="9"/>
      <c r="M62" t="str">
        <f>IF(G62="FIM",IF(L62="","SEM VÍNCULO",IF(COUNTIF(tblBatidas[Batida ID],L62)=0,"VÍNCULO INVÁLIDO",IF(COUNTIF(tblBatidas[Início vinculado],L62)&gt;1,"VÍNCULO DUPLICADO",IF(E62&lt;&gt;INDEX(tblBatidas[ID],MATCH(L62,tblBatidas[Batida ID],0)),"DIVERGÊNCIA DE ID",IF(H62&lt;&gt;INDEX(tblBatidas[Projeto],MATCH(L62,tblBatidas[Batida ID],0)),"DIVERGÊNCIA DE PROJETO",IF(I62&lt;&gt;INDEX(tblBatidas[Atividade],MATCH(L62,tblBatidas[Batida ID],0)),"DIVERGÊNCIA DE ATIVIDADE",IF(OR(B62&lt;=INDEX(tblBatidas[Data e hora],MATCH(L62,tblBatidas[Batida ID],0)),(B62-INDEX(tblBatidas[Data e hora],MATCH(L62,tblBatidas[Batida ID],0)))*24&gt;16),"HORÁRIO INVÁLIDO","VINCULADO"))))))),"INÍCIO")</f>
        <v>INÍCIO</v>
      </c>
    </row>
    <row r="63" spans="1:13" hidden="1">
      <c r="A63" t="s">
        <v>580</v>
      </c>
      <c r="B63" s="21">
        <v>46261.333773148152</v>
      </c>
      <c r="C63" s="2">
        <f t="shared" si="0"/>
        <v>46261</v>
      </c>
      <c r="D63" t="str">
        <f t="shared" si="1"/>
        <v>QUINTA-FEIRA</v>
      </c>
      <c r="E63">
        <v>1013</v>
      </c>
      <c r="F63" t="s">
        <v>57</v>
      </c>
      <c r="G63" t="s">
        <v>499</v>
      </c>
      <c r="H63" t="s">
        <v>74</v>
      </c>
      <c r="I63" t="s">
        <v>517</v>
      </c>
      <c r="K63" t="s">
        <v>501</v>
      </c>
      <c r="L63" s="9"/>
      <c r="M63" t="str">
        <f>IF(G63="FIM",IF(L63="","SEM VÍNCULO",IF(COUNTIF(tblBatidas[Batida ID],L63)=0,"VÍNCULO INVÁLIDO",IF(COUNTIF(tblBatidas[Início vinculado],L63)&gt;1,"VÍNCULO DUPLICADO",IF(E63&lt;&gt;INDEX(tblBatidas[ID],MATCH(L63,tblBatidas[Batida ID],0)),"DIVERGÊNCIA DE ID",IF(H63&lt;&gt;INDEX(tblBatidas[Projeto],MATCH(L63,tblBatidas[Batida ID],0)),"DIVERGÊNCIA DE PROJETO",IF(I63&lt;&gt;INDEX(tblBatidas[Atividade],MATCH(L63,tblBatidas[Batida ID],0)),"DIVERGÊNCIA DE ATIVIDADE",IF(OR(B63&lt;=INDEX(tblBatidas[Data e hora],MATCH(L63,tblBatidas[Batida ID],0)),(B63-INDEX(tblBatidas[Data e hora],MATCH(L63,tblBatidas[Batida ID],0)))*24&gt;16),"HORÁRIO INVÁLIDO","VINCULADO"))))))),"INÍCIO")</f>
        <v>INÍCIO</v>
      </c>
    </row>
    <row r="64" spans="1:13" hidden="1">
      <c r="A64" t="s">
        <v>581</v>
      </c>
      <c r="B64" s="21">
        <v>46261.336875000001</v>
      </c>
      <c r="C64" s="2">
        <f t="shared" si="0"/>
        <v>46261</v>
      </c>
      <c r="D64" t="str">
        <f t="shared" si="1"/>
        <v>QUINTA-FEIRA</v>
      </c>
      <c r="E64">
        <v>1003</v>
      </c>
      <c r="F64" t="s">
        <v>46</v>
      </c>
      <c r="G64" t="s">
        <v>499</v>
      </c>
      <c r="H64" t="s">
        <v>74</v>
      </c>
      <c r="I64" t="s">
        <v>517</v>
      </c>
      <c r="K64" t="s">
        <v>501</v>
      </c>
      <c r="L64" s="9"/>
      <c r="M64" t="str">
        <f>IF(G64="FIM",IF(L64="","SEM VÍNCULO",IF(COUNTIF(tblBatidas[Batida ID],L64)=0,"VÍNCULO INVÁLIDO",IF(COUNTIF(tblBatidas[Início vinculado],L64)&gt;1,"VÍNCULO DUPLICADO",IF(E64&lt;&gt;INDEX(tblBatidas[ID],MATCH(L64,tblBatidas[Batida ID],0)),"DIVERGÊNCIA DE ID",IF(H64&lt;&gt;INDEX(tblBatidas[Projeto],MATCH(L64,tblBatidas[Batida ID],0)),"DIVERGÊNCIA DE PROJETO",IF(I64&lt;&gt;INDEX(tblBatidas[Atividade],MATCH(L64,tblBatidas[Batida ID],0)),"DIVERGÊNCIA DE ATIVIDADE",IF(OR(B64&lt;=INDEX(tblBatidas[Data e hora],MATCH(L64,tblBatidas[Batida ID],0)),(B64-INDEX(tblBatidas[Data e hora],MATCH(L64,tblBatidas[Batida ID],0)))*24&gt;16),"HORÁRIO INVÁLIDO","VINCULADO"))))))),"INÍCIO")</f>
        <v>INÍCIO</v>
      </c>
    </row>
    <row r="65" spans="1:13">
      <c r="A65" t="s">
        <v>582</v>
      </c>
      <c r="B65" s="21">
        <v>46261.340081018519</v>
      </c>
      <c r="C65" s="2">
        <f t="shared" si="0"/>
        <v>46261</v>
      </c>
      <c r="D65" t="str">
        <f t="shared" si="1"/>
        <v>QUINTA-FEIRA</v>
      </c>
      <c r="E65">
        <v>1002</v>
      </c>
      <c r="F65" t="s">
        <v>45</v>
      </c>
      <c r="G65" t="s">
        <v>499</v>
      </c>
      <c r="H65" t="s">
        <v>70</v>
      </c>
      <c r="I65" t="s">
        <v>517</v>
      </c>
      <c r="K65" t="s">
        <v>501</v>
      </c>
      <c r="L65" s="9"/>
      <c r="M65" t="str">
        <f>IF(G65="FIM",IF(L65="","SEM VÍNCULO",IF(COUNTIF(tblBatidas[Batida ID],L65)=0,"VÍNCULO INVÁLIDO",IF(COUNTIF(tblBatidas[Início vinculado],L65)&gt;1,"VÍNCULO DUPLICADO",IF(E65&lt;&gt;INDEX(tblBatidas[ID],MATCH(L65,tblBatidas[Batida ID],0)),"DIVERGÊNCIA DE ID",IF(H65&lt;&gt;INDEX(tblBatidas[Projeto],MATCH(L65,tblBatidas[Batida ID],0)),"DIVERGÊNCIA DE PROJETO",IF(I65&lt;&gt;INDEX(tblBatidas[Atividade],MATCH(L65,tblBatidas[Batida ID],0)),"DIVERGÊNCIA DE ATIVIDADE",IF(OR(B65&lt;=INDEX(tblBatidas[Data e hora],MATCH(L65,tblBatidas[Batida ID],0)),(B65-INDEX(tblBatidas[Data e hora],MATCH(L65,tblBatidas[Batida ID],0)))*24&gt;16),"HORÁRIO INVÁLIDO","VINCULADO"))))))),"INÍCIO")</f>
        <v>INÍCIO</v>
      </c>
    </row>
    <row r="66" spans="1:13" hidden="1">
      <c r="A66" t="s">
        <v>583</v>
      </c>
      <c r="B66" s="21">
        <v>46261.356030092589</v>
      </c>
      <c r="C66" s="2">
        <f t="shared" si="0"/>
        <v>46261</v>
      </c>
      <c r="D66" t="str">
        <f t="shared" si="1"/>
        <v>QUINTA-FEIRA</v>
      </c>
      <c r="E66">
        <v>1001</v>
      </c>
      <c r="F66" t="s">
        <v>43</v>
      </c>
      <c r="G66" t="s">
        <v>499</v>
      </c>
      <c r="H66" t="s">
        <v>80</v>
      </c>
      <c r="I66" t="s">
        <v>500</v>
      </c>
      <c r="J66" t="s">
        <v>584</v>
      </c>
      <c r="K66" t="s">
        <v>501</v>
      </c>
      <c r="L66" s="9"/>
      <c r="M66" t="str">
        <f>IF(G66="FIM",IF(L66="","SEM VÍNCULO",IF(COUNTIF(tblBatidas[Batida ID],L66)=0,"VÍNCULO INVÁLIDO",IF(COUNTIF(tblBatidas[Início vinculado],L66)&gt;1,"VÍNCULO DUPLICADO",IF(E66&lt;&gt;INDEX(tblBatidas[ID],MATCH(L66,tblBatidas[Batida ID],0)),"DIVERGÊNCIA DE ID",IF(H66&lt;&gt;INDEX(tblBatidas[Projeto],MATCH(L66,tblBatidas[Batida ID],0)),"DIVERGÊNCIA DE PROJETO",IF(I66&lt;&gt;INDEX(tblBatidas[Atividade],MATCH(L66,tblBatidas[Batida ID],0)),"DIVERGÊNCIA DE ATIVIDADE",IF(OR(B66&lt;=INDEX(tblBatidas[Data e hora],MATCH(L66,tblBatidas[Batida ID],0)),(B66-INDEX(tblBatidas[Data e hora],MATCH(L66,tblBatidas[Batida ID],0)))*24&gt;16),"HORÁRIO INVÁLIDO","VINCULADO"))))))),"INÍCIO")</f>
        <v>INÍCIO</v>
      </c>
    </row>
    <row r="67" spans="1:13" hidden="1">
      <c r="A67" t="s">
        <v>585</v>
      </c>
      <c r="B67" s="21">
        <v>46261.370034722226</v>
      </c>
      <c r="C67" s="2">
        <f t="shared" si="0"/>
        <v>46261</v>
      </c>
      <c r="D67" t="str">
        <f t="shared" si="1"/>
        <v>QUINTA-FEIRA</v>
      </c>
      <c r="E67">
        <v>1015</v>
      </c>
      <c r="F67" t="s">
        <v>59</v>
      </c>
      <c r="G67" t="s">
        <v>499</v>
      </c>
      <c r="H67" t="s">
        <v>84</v>
      </c>
      <c r="I67" t="s">
        <v>84</v>
      </c>
      <c r="K67" t="s">
        <v>501</v>
      </c>
      <c r="L67" s="9"/>
      <c r="M67" t="str">
        <f>IF(G67="FIM",IF(L67="","SEM VÍNCULO",IF(COUNTIF(tblBatidas[Batida ID],L67)=0,"VÍNCULO INVÁLIDO",IF(COUNTIF(tblBatidas[Início vinculado],L67)&gt;1,"VÍNCULO DUPLICADO",IF(E67&lt;&gt;INDEX(tblBatidas[ID],MATCH(L67,tblBatidas[Batida ID],0)),"DIVERGÊNCIA DE ID",IF(H67&lt;&gt;INDEX(tblBatidas[Projeto],MATCH(L67,tblBatidas[Batida ID],0)),"DIVERGÊNCIA DE PROJETO",IF(I67&lt;&gt;INDEX(tblBatidas[Atividade],MATCH(L67,tblBatidas[Batida ID],0)),"DIVERGÊNCIA DE ATIVIDADE",IF(OR(B67&lt;=INDEX(tblBatidas[Data e hora],MATCH(L67,tblBatidas[Batida ID],0)),(B67-INDEX(tblBatidas[Data e hora],MATCH(L67,tblBatidas[Batida ID],0)))*24&gt;16),"HORÁRIO INVÁLIDO","VINCULADO"))))))),"INÍCIO")</f>
        <v>INÍCIO</v>
      </c>
    </row>
    <row r="68" spans="1:13" hidden="1">
      <c r="A68" t="s">
        <v>586</v>
      </c>
      <c r="B68" s="21">
        <v>46261.370682870373</v>
      </c>
      <c r="C68" s="2">
        <f t="shared" si="0"/>
        <v>46261</v>
      </c>
      <c r="D68" t="str">
        <f t="shared" si="1"/>
        <v>QUINTA-FEIRA</v>
      </c>
      <c r="E68">
        <v>1011</v>
      </c>
      <c r="F68" t="s">
        <v>54</v>
      </c>
      <c r="G68" t="s">
        <v>499</v>
      </c>
      <c r="H68" t="s">
        <v>76</v>
      </c>
      <c r="I68" t="s">
        <v>517</v>
      </c>
      <c r="J68" t="s">
        <v>587</v>
      </c>
      <c r="K68" t="s">
        <v>501</v>
      </c>
      <c r="L68" s="9"/>
      <c r="M68" t="str">
        <f>IF(G68="FIM",IF(L68="","SEM VÍNCULO",IF(COUNTIF(tblBatidas[Batida ID],L68)=0,"VÍNCULO INVÁLIDO",IF(COUNTIF(tblBatidas[Início vinculado],L68)&gt;1,"VÍNCULO DUPLICADO",IF(E68&lt;&gt;INDEX(tblBatidas[ID],MATCH(L68,tblBatidas[Batida ID],0)),"DIVERGÊNCIA DE ID",IF(H68&lt;&gt;INDEX(tblBatidas[Projeto],MATCH(L68,tblBatidas[Batida ID],0)),"DIVERGÊNCIA DE PROJETO",IF(I68&lt;&gt;INDEX(tblBatidas[Atividade],MATCH(L68,tblBatidas[Batida ID],0)),"DIVERGÊNCIA DE ATIVIDADE",IF(OR(B68&lt;=INDEX(tblBatidas[Data e hora],MATCH(L68,tblBatidas[Batida ID],0)),(B68-INDEX(tblBatidas[Data e hora],MATCH(L68,tblBatidas[Batida ID],0)))*24&gt;16),"HORÁRIO INVÁLIDO","VINCULADO"))))))),"INÍCIO")</f>
        <v>INÍCIO</v>
      </c>
    </row>
    <row r="69" spans="1:13" hidden="1">
      <c r="A69" t="s">
        <v>588</v>
      </c>
      <c r="B69" s="21">
        <v>46261.3828125</v>
      </c>
      <c r="C69" s="2">
        <f t="shared" ref="C69:C132" si="2">IF(B69="","",INT(B69))</f>
        <v>46261</v>
      </c>
      <c r="D69" t="str">
        <f t="shared" ref="D69:D132" si="3">IF(C69="","",CHOOSE(WEEKDAY(C69,2),"SEGUNDA-FEIRA","TERÇA-FEIRA","QUARTA-FEIRA","QUINTA-FEIRA","SEXTA-FEIRA","SÁBADO","DOMINGO"))</f>
        <v>QUINTA-FEIRA</v>
      </c>
      <c r="E69">
        <v>1004</v>
      </c>
      <c r="F69" t="s">
        <v>47</v>
      </c>
      <c r="G69" t="s">
        <v>499</v>
      </c>
      <c r="H69" t="s">
        <v>72</v>
      </c>
      <c r="I69" t="s">
        <v>538</v>
      </c>
      <c r="J69" t="s">
        <v>589</v>
      </c>
      <c r="K69" t="s">
        <v>501</v>
      </c>
      <c r="L69" s="9"/>
      <c r="M69" t="str">
        <f>IF(G69="FIM",IF(L69="","SEM VÍNCULO",IF(COUNTIF(tblBatidas[Batida ID],L69)=0,"VÍNCULO INVÁLIDO",IF(COUNTIF(tblBatidas[Início vinculado],L69)&gt;1,"VÍNCULO DUPLICADO",IF(E69&lt;&gt;INDEX(tblBatidas[ID],MATCH(L69,tblBatidas[Batida ID],0)),"DIVERGÊNCIA DE ID",IF(H69&lt;&gt;INDEX(tblBatidas[Projeto],MATCH(L69,tblBatidas[Batida ID],0)),"DIVERGÊNCIA DE PROJETO",IF(I69&lt;&gt;INDEX(tblBatidas[Atividade],MATCH(L69,tblBatidas[Batida ID],0)),"DIVERGÊNCIA DE ATIVIDADE",IF(OR(B69&lt;=INDEX(tblBatidas[Data e hora],MATCH(L69,tblBatidas[Batida ID],0)),(B69-INDEX(tblBatidas[Data e hora],MATCH(L69,tblBatidas[Batida ID],0)))*24&gt;16),"HORÁRIO INVÁLIDO","VINCULADO"))))))),"INÍCIO")</f>
        <v>INÍCIO</v>
      </c>
    </row>
    <row r="70" spans="1:13" hidden="1">
      <c r="A70" t="s">
        <v>590</v>
      </c>
      <c r="B70" s="21">
        <v>46261.403506944444</v>
      </c>
      <c r="C70" s="2">
        <f t="shared" si="2"/>
        <v>46261</v>
      </c>
      <c r="D70" t="str">
        <f t="shared" si="3"/>
        <v>QUINTA-FEIRA</v>
      </c>
      <c r="E70">
        <v>1016</v>
      </c>
      <c r="F70" t="s">
        <v>60</v>
      </c>
      <c r="G70" t="s">
        <v>499</v>
      </c>
      <c r="H70" t="s">
        <v>70</v>
      </c>
      <c r="I70" t="s">
        <v>517</v>
      </c>
      <c r="K70" t="s">
        <v>501</v>
      </c>
      <c r="L70" s="9"/>
      <c r="M70" t="str">
        <f>IF(G70="FIM",IF(L70="","SEM VÍNCULO",IF(COUNTIF(tblBatidas[Batida ID],L70)=0,"VÍNCULO INVÁLIDO",IF(COUNTIF(tblBatidas[Início vinculado],L70)&gt;1,"VÍNCULO DUPLICADO",IF(E70&lt;&gt;INDEX(tblBatidas[ID],MATCH(L70,tblBatidas[Batida ID],0)),"DIVERGÊNCIA DE ID",IF(H70&lt;&gt;INDEX(tblBatidas[Projeto],MATCH(L70,tblBatidas[Batida ID],0)),"DIVERGÊNCIA DE PROJETO",IF(I70&lt;&gt;INDEX(tblBatidas[Atividade],MATCH(L70,tblBatidas[Batida ID],0)),"DIVERGÊNCIA DE ATIVIDADE",IF(OR(B70&lt;=INDEX(tblBatidas[Data e hora],MATCH(L70,tblBatidas[Batida ID],0)),(B70-INDEX(tblBatidas[Data e hora],MATCH(L70,tblBatidas[Batida ID],0)))*24&gt;16),"HORÁRIO INVÁLIDO","VINCULADO"))))))),"INÍCIO")</f>
        <v>INÍCIO</v>
      </c>
    </row>
    <row r="71" spans="1:13" hidden="1">
      <c r="A71" t="s">
        <v>591</v>
      </c>
      <c r="B71" s="21">
        <v>46261.403645833336</v>
      </c>
      <c r="C71" s="2">
        <f t="shared" si="2"/>
        <v>46261</v>
      </c>
      <c r="D71" t="str">
        <f t="shared" si="3"/>
        <v>QUINTA-FEIRA</v>
      </c>
      <c r="E71">
        <v>1016</v>
      </c>
      <c r="F71" t="s">
        <v>60</v>
      </c>
      <c r="G71" t="s">
        <v>499</v>
      </c>
      <c r="H71" t="s">
        <v>70</v>
      </c>
      <c r="I71" t="s">
        <v>517</v>
      </c>
      <c r="K71" t="s">
        <v>501</v>
      </c>
      <c r="L71" s="9"/>
      <c r="M71" t="str">
        <f>IF(G71="FIM",IF(L71="","SEM VÍNCULO",IF(COUNTIF(tblBatidas[Batida ID],L71)=0,"VÍNCULO INVÁLIDO",IF(COUNTIF(tblBatidas[Início vinculado],L71)&gt;1,"VÍNCULO DUPLICADO",IF(E71&lt;&gt;INDEX(tblBatidas[ID],MATCH(L71,tblBatidas[Batida ID],0)),"DIVERGÊNCIA DE ID",IF(H71&lt;&gt;INDEX(tblBatidas[Projeto],MATCH(L71,tblBatidas[Batida ID],0)),"DIVERGÊNCIA DE PROJETO",IF(I71&lt;&gt;INDEX(tblBatidas[Atividade],MATCH(L71,tblBatidas[Batida ID],0)),"DIVERGÊNCIA DE ATIVIDADE",IF(OR(B71&lt;=INDEX(tblBatidas[Data e hora],MATCH(L71,tblBatidas[Batida ID],0)),(B71-INDEX(tblBatidas[Data e hora],MATCH(L71,tblBatidas[Batida ID],0)))*24&gt;16),"HORÁRIO INVÁLIDO","VINCULADO"))))))),"INÍCIO")</f>
        <v>INÍCIO</v>
      </c>
    </row>
    <row r="72" spans="1:13" hidden="1">
      <c r="A72" t="s">
        <v>592</v>
      </c>
      <c r="B72" s="21">
        <v>46261.403773148151</v>
      </c>
      <c r="C72" s="2">
        <f t="shared" si="2"/>
        <v>46261</v>
      </c>
      <c r="D72" t="str">
        <f t="shared" si="3"/>
        <v>QUINTA-FEIRA</v>
      </c>
      <c r="E72">
        <v>1016</v>
      </c>
      <c r="F72" t="s">
        <v>60</v>
      </c>
      <c r="G72" t="s">
        <v>499</v>
      </c>
      <c r="H72" t="s">
        <v>70</v>
      </c>
      <c r="I72" t="s">
        <v>517</v>
      </c>
      <c r="K72" t="s">
        <v>501</v>
      </c>
      <c r="L72" s="9"/>
      <c r="M72" t="str">
        <f>IF(G72="FIM",IF(L72="","SEM VÍNCULO",IF(COUNTIF(tblBatidas[Batida ID],L72)=0,"VÍNCULO INVÁLIDO",IF(COUNTIF(tblBatidas[Início vinculado],L72)&gt;1,"VÍNCULO DUPLICADO",IF(E72&lt;&gt;INDEX(tblBatidas[ID],MATCH(L72,tblBatidas[Batida ID],0)),"DIVERGÊNCIA DE ID",IF(H72&lt;&gt;INDEX(tblBatidas[Projeto],MATCH(L72,tblBatidas[Batida ID],0)),"DIVERGÊNCIA DE PROJETO",IF(I72&lt;&gt;INDEX(tblBatidas[Atividade],MATCH(L72,tblBatidas[Batida ID],0)),"DIVERGÊNCIA DE ATIVIDADE",IF(OR(B72&lt;=INDEX(tblBatidas[Data e hora],MATCH(L72,tblBatidas[Batida ID],0)),(B72-INDEX(tblBatidas[Data e hora],MATCH(L72,tblBatidas[Batida ID],0)))*24&gt;16),"HORÁRIO INVÁLIDO","VINCULADO"))))))),"INÍCIO")</f>
        <v>INÍCIO</v>
      </c>
    </row>
    <row r="73" spans="1:13" hidden="1">
      <c r="A73" t="s">
        <v>593</v>
      </c>
      <c r="B73" s="21">
        <v>46261.405023148145</v>
      </c>
      <c r="C73" s="2">
        <f t="shared" si="2"/>
        <v>46261</v>
      </c>
      <c r="D73" t="str">
        <f t="shared" si="3"/>
        <v>QUINTA-FEIRA</v>
      </c>
      <c r="E73">
        <v>1016</v>
      </c>
      <c r="F73" t="s">
        <v>60</v>
      </c>
      <c r="G73" t="s">
        <v>499</v>
      </c>
      <c r="H73" t="s">
        <v>70</v>
      </c>
      <c r="I73" t="s">
        <v>517</v>
      </c>
      <c r="K73" t="s">
        <v>501</v>
      </c>
      <c r="L73" s="9"/>
      <c r="M73" t="str">
        <f>IF(G73="FIM",IF(L73="","SEM VÍNCULO",IF(COUNTIF(tblBatidas[Batida ID],L73)=0,"VÍNCULO INVÁLIDO",IF(COUNTIF(tblBatidas[Início vinculado],L73)&gt;1,"VÍNCULO DUPLICADO",IF(E73&lt;&gt;INDEX(tblBatidas[ID],MATCH(L73,tblBatidas[Batida ID],0)),"DIVERGÊNCIA DE ID",IF(H73&lt;&gt;INDEX(tblBatidas[Projeto],MATCH(L73,tblBatidas[Batida ID],0)),"DIVERGÊNCIA DE PROJETO",IF(I73&lt;&gt;INDEX(tblBatidas[Atividade],MATCH(L73,tblBatidas[Batida ID],0)),"DIVERGÊNCIA DE ATIVIDADE",IF(OR(B73&lt;=INDEX(tblBatidas[Data e hora],MATCH(L73,tblBatidas[Batida ID],0)),(B73-INDEX(tblBatidas[Data e hora],MATCH(L73,tblBatidas[Batida ID],0)))*24&gt;16),"HORÁRIO INVÁLIDO","VINCULADO"))))))),"INÍCIO")</f>
        <v>INÍCIO</v>
      </c>
    </row>
    <row r="74" spans="1:13" hidden="1">
      <c r="A74" t="s">
        <v>594</v>
      </c>
      <c r="B74" s="21">
        <v>46261.4062037037</v>
      </c>
      <c r="C74" s="2">
        <f t="shared" si="2"/>
        <v>46261</v>
      </c>
      <c r="D74" t="str">
        <f t="shared" si="3"/>
        <v>QUINTA-FEIRA</v>
      </c>
      <c r="E74">
        <v>1012</v>
      </c>
      <c r="F74" t="s">
        <v>55</v>
      </c>
      <c r="G74" t="s">
        <v>499</v>
      </c>
      <c r="H74" t="s">
        <v>72</v>
      </c>
      <c r="I74" t="s">
        <v>512</v>
      </c>
      <c r="K74" t="s">
        <v>501</v>
      </c>
      <c r="L74" s="9"/>
      <c r="M74" t="str">
        <f>IF(G74="FIM",IF(L74="","SEM VÍNCULO",IF(COUNTIF(tblBatidas[Batida ID],L74)=0,"VÍNCULO INVÁLIDO",IF(COUNTIF(tblBatidas[Início vinculado],L74)&gt;1,"VÍNCULO DUPLICADO",IF(E74&lt;&gt;INDEX(tblBatidas[ID],MATCH(L74,tblBatidas[Batida ID],0)),"DIVERGÊNCIA DE ID",IF(H74&lt;&gt;INDEX(tblBatidas[Projeto],MATCH(L74,tblBatidas[Batida ID],0)),"DIVERGÊNCIA DE PROJETO",IF(I74&lt;&gt;INDEX(tblBatidas[Atividade],MATCH(L74,tblBatidas[Batida ID],0)),"DIVERGÊNCIA DE ATIVIDADE",IF(OR(B74&lt;=INDEX(tblBatidas[Data e hora],MATCH(L74,tblBatidas[Batida ID],0)),(B74-INDEX(tblBatidas[Data e hora],MATCH(L74,tblBatidas[Batida ID],0)))*24&gt;16),"HORÁRIO INVÁLIDO","VINCULADO"))))))),"INÍCIO")</f>
        <v>INÍCIO</v>
      </c>
    </row>
    <row r="75" spans="1:13" hidden="1">
      <c r="A75" t="s">
        <v>595</v>
      </c>
      <c r="B75" s="21">
        <v>46261.407037037039</v>
      </c>
      <c r="C75" s="2">
        <f t="shared" si="2"/>
        <v>46261</v>
      </c>
      <c r="D75" t="str">
        <f t="shared" si="3"/>
        <v>QUINTA-FEIRA</v>
      </c>
      <c r="E75">
        <v>1016</v>
      </c>
      <c r="F75" t="s">
        <v>60</v>
      </c>
      <c r="G75" t="s">
        <v>499</v>
      </c>
      <c r="H75" t="s">
        <v>70</v>
      </c>
      <c r="I75" t="s">
        <v>517</v>
      </c>
      <c r="K75" t="s">
        <v>501</v>
      </c>
      <c r="L75" s="9"/>
      <c r="M75" t="str">
        <f>IF(G75="FIM",IF(L75="","SEM VÍNCULO",IF(COUNTIF(tblBatidas[Batida ID],L75)=0,"VÍNCULO INVÁLIDO",IF(COUNTIF(tblBatidas[Início vinculado],L75)&gt;1,"VÍNCULO DUPLICADO",IF(E75&lt;&gt;INDEX(tblBatidas[ID],MATCH(L75,tblBatidas[Batida ID],0)),"DIVERGÊNCIA DE ID",IF(H75&lt;&gt;INDEX(tblBatidas[Projeto],MATCH(L75,tblBatidas[Batida ID],0)),"DIVERGÊNCIA DE PROJETO",IF(I75&lt;&gt;INDEX(tblBatidas[Atividade],MATCH(L75,tblBatidas[Batida ID],0)),"DIVERGÊNCIA DE ATIVIDADE",IF(OR(B75&lt;=INDEX(tblBatidas[Data e hora],MATCH(L75,tblBatidas[Batida ID],0)),(B75-INDEX(tblBatidas[Data e hora],MATCH(L75,tblBatidas[Batida ID],0)))*24&gt;16),"HORÁRIO INVÁLIDO","VINCULADO"))))))),"INÍCIO")</f>
        <v>INÍCIO</v>
      </c>
    </row>
    <row r="76" spans="1:13" hidden="1">
      <c r="A76" t="s">
        <v>596</v>
      </c>
      <c r="B76" s="21">
        <v>46261.407187500001</v>
      </c>
      <c r="C76" s="2">
        <f t="shared" si="2"/>
        <v>46261</v>
      </c>
      <c r="D76" t="str">
        <f t="shared" si="3"/>
        <v>QUINTA-FEIRA</v>
      </c>
      <c r="E76">
        <v>1016</v>
      </c>
      <c r="F76" t="s">
        <v>60</v>
      </c>
      <c r="G76" t="s">
        <v>499</v>
      </c>
      <c r="H76" t="s">
        <v>70</v>
      </c>
      <c r="I76" t="s">
        <v>517</v>
      </c>
      <c r="K76" t="s">
        <v>501</v>
      </c>
      <c r="L76" s="9"/>
      <c r="M76" t="str">
        <f>IF(G76="FIM",IF(L76="","SEM VÍNCULO",IF(COUNTIF(tblBatidas[Batida ID],L76)=0,"VÍNCULO INVÁLIDO",IF(COUNTIF(tblBatidas[Início vinculado],L76)&gt;1,"VÍNCULO DUPLICADO",IF(E76&lt;&gt;INDEX(tblBatidas[ID],MATCH(L76,tblBatidas[Batida ID],0)),"DIVERGÊNCIA DE ID",IF(H76&lt;&gt;INDEX(tblBatidas[Projeto],MATCH(L76,tblBatidas[Batida ID],0)),"DIVERGÊNCIA DE PROJETO",IF(I76&lt;&gt;INDEX(tblBatidas[Atividade],MATCH(L76,tblBatidas[Batida ID],0)),"DIVERGÊNCIA DE ATIVIDADE",IF(OR(B76&lt;=INDEX(tblBatidas[Data e hora],MATCH(L76,tblBatidas[Batida ID],0)),(B76-INDEX(tblBatidas[Data e hora],MATCH(L76,tblBatidas[Batida ID],0)))*24&gt;16),"HORÁRIO INVÁLIDO","VINCULADO"))))))),"INÍCIO")</f>
        <v>INÍCIO</v>
      </c>
    </row>
    <row r="77" spans="1:13" hidden="1">
      <c r="A77" t="s">
        <v>597</v>
      </c>
      <c r="B77" s="21">
        <v>46261.407719907409</v>
      </c>
      <c r="C77" s="2">
        <f t="shared" si="2"/>
        <v>46261</v>
      </c>
      <c r="D77" t="str">
        <f t="shared" si="3"/>
        <v>QUINTA-FEIRA</v>
      </c>
      <c r="E77">
        <v>1016</v>
      </c>
      <c r="F77" t="s">
        <v>60</v>
      </c>
      <c r="G77" t="s">
        <v>499</v>
      </c>
      <c r="H77" t="s">
        <v>70</v>
      </c>
      <c r="I77" t="s">
        <v>517</v>
      </c>
      <c r="K77" t="s">
        <v>501</v>
      </c>
      <c r="L77" s="9"/>
      <c r="M77" t="str">
        <f>IF(G77="FIM",IF(L77="","SEM VÍNCULO",IF(COUNTIF(tblBatidas[Batida ID],L77)=0,"VÍNCULO INVÁLIDO",IF(COUNTIF(tblBatidas[Início vinculado],L77)&gt;1,"VÍNCULO DUPLICADO",IF(E77&lt;&gt;INDEX(tblBatidas[ID],MATCH(L77,tblBatidas[Batida ID],0)),"DIVERGÊNCIA DE ID",IF(H77&lt;&gt;INDEX(tblBatidas[Projeto],MATCH(L77,tblBatidas[Batida ID],0)),"DIVERGÊNCIA DE PROJETO",IF(I77&lt;&gt;INDEX(tblBatidas[Atividade],MATCH(L77,tblBatidas[Batida ID],0)),"DIVERGÊNCIA DE ATIVIDADE",IF(OR(B77&lt;=INDEX(tblBatidas[Data e hora],MATCH(L77,tblBatidas[Batida ID],0)),(B77-INDEX(tblBatidas[Data e hora],MATCH(L77,tblBatidas[Batida ID],0)))*24&gt;16),"HORÁRIO INVÁLIDO","VINCULADO"))))))),"INÍCIO")</f>
        <v>INÍCIO</v>
      </c>
    </row>
    <row r="78" spans="1:13" hidden="1">
      <c r="A78" t="s">
        <v>598</v>
      </c>
      <c r="B78" s="21">
        <v>46261.407951388886</v>
      </c>
      <c r="C78" s="2">
        <f t="shared" si="2"/>
        <v>46261</v>
      </c>
      <c r="D78" t="str">
        <f t="shared" si="3"/>
        <v>QUINTA-FEIRA</v>
      </c>
      <c r="E78">
        <v>1016</v>
      </c>
      <c r="F78" t="s">
        <v>60</v>
      </c>
      <c r="G78" t="s">
        <v>499</v>
      </c>
      <c r="H78" t="s">
        <v>70</v>
      </c>
      <c r="I78" t="s">
        <v>517</v>
      </c>
      <c r="K78" t="s">
        <v>501</v>
      </c>
      <c r="L78" s="9"/>
      <c r="M78" t="str">
        <f>IF(G78="FIM",IF(L78="","SEM VÍNCULO",IF(COUNTIF(tblBatidas[Batida ID],L78)=0,"VÍNCULO INVÁLIDO",IF(COUNTIF(tblBatidas[Início vinculado],L78)&gt;1,"VÍNCULO DUPLICADO",IF(E78&lt;&gt;INDEX(tblBatidas[ID],MATCH(L78,tblBatidas[Batida ID],0)),"DIVERGÊNCIA DE ID",IF(H78&lt;&gt;INDEX(tblBatidas[Projeto],MATCH(L78,tblBatidas[Batida ID],0)),"DIVERGÊNCIA DE PROJETO",IF(I78&lt;&gt;INDEX(tblBatidas[Atividade],MATCH(L78,tblBatidas[Batida ID],0)),"DIVERGÊNCIA DE ATIVIDADE",IF(OR(B78&lt;=INDEX(tblBatidas[Data e hora],MATCH(L78,tblBatidas[Batida ID],0)),(B78-INDEX(tblBatidas[Data e hora],MATCH(L78,tblBatidas[Batida ID],0)))*24&gt;16),"HORÁRIO INVÁLIDO","VINCULADO"))))))),"INÍCIO")</f>
        <v>INÍCIO</v>
      </c>
    </row>
    <row r="79" spans="1:13" hidden="1">
      <c r="A79" t="s">
        <v>599</v>
      </c>
      <c r="B79" s="21">
        <v>46261.420185185183</v>
      </c>
      <c r="C79" s="2">
        <f t="shared" si="2"/>
        <v>46261</v>
      </c>
      <c r="D79" t="str">
        <f t="shared" si="3"/>
        <v>QUINTA-FEIRA</v>
      </c>
      <c r="E79">
        <v>1014</v>
      </c>
      <c r="F79" t="s">
        <v>58</v>
      </c>
      <c r="G79" t="s">
        <v>499</v>
      </c>
      <c r="H79" t="s">
        <v>74</v>
      </c>
      <c r="I79" t="s">
        <v>527</v>
      </c>
      <c r="K79" t="s">
        <v>501</v>
      </c>
      <c r="L79" s="9"/>
      <c r="M79" t="str">
        <f>IF(G79="FIM",IF(L79="","SEM VÍNCULO",IF(COUNTIF(tblBatidas[Batida ID],L79)=0,"VÍNCULO INVÁLIDO",IF(COUNTIF(tblBatidas[Início vinculado],L79)&gt;1,"VÍNCULO DUPLICADO",IF(E79&lt;&gt;INDEX(tblBatidas[ID],MATCH(L79,tblBatidas[Batida ID],0)),"DIVERGÊNCIA DE ID",IF(H79&lt;&gt;INDEX(tblBatidas[Projeto],MATCH(L79,tblBatidas[Batida ID],0)),"DIVERGÊNCIA DE PROJETO",IF(I79&lt;&gt;INDEX(tblBatidas[Atividade],MATCH(L79,tblBatidas[Batida ID],0)),"DIVERGÊNCIA DE ATIVIDADE",IF(OR(B79&lt;=INDEX(tblBatidas[Data e hora],MATCH(L79,tblBatidas[Batida ID],0)),(B79-INDEX(tblBatidas[Data e hora],MATCH(L79,tblBatidas[Batida ID],0)))*24&gt;16),"HORÁRIO INVÁLIDO","VINCULADO"))))))),"INÍCIO")</f>
        <v>INÍCIO</v>
      </c>
    </row>
    <row r="80" spans="1:13" hidden="1">
      <c r="A80" t="s">
        <v>600</v>
      </c>
      <c r="B80" s="21">
        <v>46261.474166666667</v>
      </c>
      <c r="C80" s="2">
        <f t="shared" si="2"/>
        <v>46261</v>
      </c>
      <c r="D80" t="str">
        <f t="shared" si="3"/>
        <v>QUINTA-FEIRA</v>
      </c>
      <c r="E80">
        <v>1012</v>
      </c>
      <c r="F80" t="s">
        <v>55</v>
      </c>
      <c r="G80" t="s">
        <v>503</v>
      </c>
      <c r="H80" t="s">
        <v>72</v>
      </c>
      <c r="I80" t="s">
        <v>512</v>
      </c>
      <c r="K80" t="s">
        <v>501</v>
      </c>
      <c r="L80" s="9" t="s">
        <v>594</v>
      </c>
      <c r="M80" t="str">
        <f>IF(G80="FIM",IF(L80="","SEM VÍNCULO",IF(COUNTIF(tblBatidas[Batida ID],L80)=0,"VÍNCULO INVÁLIDO",IF(COUNTIF(tblBatidas[Início vinculado],L80)&gt;1,"VÍNCULO DUPLICADO",IF(E80&lt;&gt;INDEX(tblBatidas[ID],MATCH(L80,tblBatidas[Batida ID],0)),"DIVERGÊNCIA DE ID",IF(H80&lt;&gt;INDEX(tblBatidas[Projeto],MATCH(L80,tblBatidas[Batida ID],0)),"DIVERGÊNCIA DE PROJETO",IF(I80&lt;&gt;INDEX(tblBatidas[Atividade],MATCH(L80,tblBatidas[Batida ID],0)),"DIVERGÊNCIA DE ATIVIDADE",IF(OR(B80&lt;=INDEX(tblBatidas[Data e hora],MATCH(L80,tblBatidas[Batida ID],0)),(B80-INDEX(tblBatidas[Data e hora],MATCH(L80,tblBatidas[Batida ID],0)))*24&gt;16),"HORÁRIO INVÁLIDO","VINCULADO"))))))),"INÍCIO")</f>
        <v>VINCULADO</v>
      </c>
    </row>
    <row r="81" spans="1:13" hidden="1">
      <c r="A81" t="s">
        <v>601</v>
      </c>
      <c r="B81" s="21">
        <v>46261.474872685183</v>
      </c>
      <c r="C81" s="2">
        <f t="shared" si="2"/>
        <v>46261</v>
      </c>
      <c r="D81" t="str">
        <f t="shared" si="3"/>
        <v>QUINTA-FEIRA</v>
      </c>
      <c r="E81">
        <v>1012</v>
      </c>
      <c r="F81" t="s">
        <v>55</v>
      </c>
      <c r="G81" t="s">
        <v>499</v>
      </c>
      <c r="H81" t="s">
        <v>74</v>
      </c>
      <c r="I81" t="s">
        <v>602</v>
      </c>
      <c r="J81" t="s">
        <v>603</v>
      </c>
      <c r="K81" t="s">
        <v>501</v>
      </c>
      <c r="L81" s="9"/>
      <c r="M81" t="str">
        <f>IF(G81="FIM",IF(L81="","SEM VÍNCULO",IF(COUNTIF(tblBatidas[Batida ID],L81)=0,"VÍNCULO INVÁLIDO",IF(COUNTIF(tblBatidas[Início vinculado],L81)&gt;1,"VÍNCULO DUPLICADO",IF(E81&lt;&gt;INDEX(tblBatidas[ID],MATCH(L81,tblBatidas[Batida ID],0)),"DIVERGÊNCIA DE ID",IF(H81&lt;&gt;INDEX(tblBatidas[Projeto],MATCH(L81,tblBatidas[Batida ID],0)),"DIVERGÊNCIA DE PROJETO",IF(I81&lt;&gt;INDEX(tblBatidas[Atividade],MATCH(L81,tblBatidas[Batida ID],0)),"DIVERGÊNCIA DE ATIVIDADE",IF(OR(B81&lt;=INDEX(tblBatidas[Data e hora],MATCH(L81,tblBatidas[Batida ID],0)),(B81-INDEX(tblBatidas[Data e hora],MATCH(L81,tblBatidas[Batida ID],0)))*24&gt;16),"HORÁRIO INVÁLIDO","VINCULADO"))))))),"INÍCIO")</f>
        <v>INÍCIO</v>
      </c>
    </row>
    <row r="82" spans="1:13" hidden="1">
      <c r="A82" t="s">
        <v>604</v>
      </c>
      <c r="B82" s="21">
        <v>46261.525277777779</v>
      </c>
      <c r="C82" s="2">
        <f t="shared" si="2"/>
        <v>46261</v>
      </c>
      <c r="D82" t="str">
        <f t="shared" si="3"/>
        <v>QUINTA-FEIRA</v>
      </c>
      <c r="E82">
        <v>1016</v>
      </c>
      <c r="F82" t="s">
        <v>60</v>
      </c>
      <c r="G82" t="s">
        <v>503</v>
      </c>
      <c r="H82" t="s">
        <v>70</v>
      </c>
      <c r="I82" t="s">
        <v>517</v>
      </c>
      <c r="K82" t="s">
        <v>501</v>
      </c>
      <c r="L82" s="9" t="s">
        <v>598</v>
      </c>
      <c r="M82" t="str">
        <f>IF(G82="FIM",IF(L82="","SEM VÍNCULO",IF(COUNTIF(tblBatidas[Batida ID],L82)=0,"VÍNCULO INVÁLIDO",IF(COUNTIF(tblBatidas[Início vinculado],L82)&gt;1,"VÍNCULO DUPLICADO",IF(E82&lt;&gt;INDEX(tblBatidas[ID],MATCH(L82,tblBatidas[Batida ID],0)),"DIVERGÊNCIA DE ID",IF(H82&lt;&gt;INDEX(tblBatidas[Projeto],MATCH(L82,tblBatidas[Batida ID],0)),"DIVERGÊNCIA DE PROJETO",IF(I82&lt;&gt;INDEX(tblBatidas[Atividade],MATCH(L82,tblBatidas[Batida ID],0)),"DIVERGÊNCIA DE ATIVIDADE",IF(OR(B82&lt;=INDEX(tblBatidas[Data e hora],MATCH(L82,tblBatidas[Batida ID],0)),(B82-INDEX(tblBatidas[Data e hora],MATCH(L82,tblBatidas[Batida ID],0)))*24&gt;16),"HORÁRIO INVÁLIDO","VINCULADO"))))))),"INÍCIO")</f>
        <v>VINCULADO</v>
      </c>
    </row>
    <row r="83" spans="1:13" hidden="1">
      <c r="A83" t="s">
        <v>605</v>
      </c>
      <c r="B83" s="21">
        <v>46261.527141203704</v>
      </c>
      <c r="C83" s="2">
        <f t="shared" si="2"/>
        <v>46261</v>
      </c>
      <c r="D83" t="str">
        <f t="shared" si="3"/>
        <v>QUINTA-FEIRA</v>
      </c>
      <c r="E83">
        <v>1006</v>
      </c>
      <c r="F83" t="s">
        <v>49</v>
      </c>
      <c r="G83" t="s">
        <v>499</v>
      </c>
      <c r="H83" t="s">
        <v>80</v>
      </c>
      <c r="I83" t="s">
        <v>512</v>
      </c>
      <c r="J83" t="s">
        <v>606</v>
      </c>
      <c r="K83" t="s">
        <v>501</v>
      </c>
      <c r="L83" s="9"/>
      <c r="M83" t="str">
        <f>IF(G83="FIM",IF(L83="","SEM VÍNCULO",IF(COUNTIF(tblBatidas[Batida ID],L83)=0,"VÍNCULO INVÁLIDO",IF(COUNTIF(tblBatidas[Início vinculado],L83)&gt;1,"VÍNCULO DUPLICADO",IF(E83&lt;&gt;INDEX(tblBatidas[ID],MATCH(L83,tblBatidas[Batida ID],0)),"DIVERGÊNCIA DE ID",IF(H83&lt;&gt;INDEX(tblBatidas[Projeto],MATCH(L83,tblBatidas[Batida ID],0)),"DIVERGÊNCIA DE PROJETO",IF(I83&lt;&gt;INDEX(tblBatidas[Atividade],MATCH(L83,tblBatidas[Batida ID],0)),"DIVERGÊNCIA DE ATIVIDADE",IF(OR(B83&lt;=INDEX(tblBatidas[Data e hora],MATCH(L83,tblBatidas[Batida ID],0)),(B83-INDEX(tblBatidas[Data e hora],MATCH(L83,tblBatidas[Batida ID],0)))*24&gt;16),"HORÁRIO INVÁLIDO","VINCULADO"))))))),"INÍCIO")</f>
        <v>INÍCIO</v>
      </c>
    </row>
    <row r="84" spans="1:13" hidden="1">
      <c r="A84" t="s">
        <v>607</v>
      </c>
      <c r="B84" s="21">
        <v>46261.528668981482</v>
      </c>
      <c r="C84" s="2">
        <f t="shared" si="2"/>
        <v>46261</v>
      </c>
      <c r="D84" t="str">
        <f t="shared" si="3"/>
        <v>QUINTA-FEIRA</v>
      </c>
      <c r="E84">
        <v>1003</v>
      </c>
      <c r="F84" t="s">
        <v>46</v>
      </c>
      <c r="G84" t="s">
        <v>503</v>
      </c>
      <c r="H84" t="s">
        <v>72</v>
      </c>
      <c r="I84" t="s">
        <v>517</v>
      </c>
      <c r="K84" t="s">
        <v>501</v>
      </c>
      <c r="L84" s="9"/>
      <c r="M84" t="str">
        <f>IF(G84="FIM",IF(L84="","SEM VÍNCULO",IF(COUNTIF(tblBatidas[Batida ID],L84)=0,"VÍNCULO INVÁLIDO",IF(COUNTIF(tblBatidas[Início vinculado],L84)&gt;1,"VÍNCULO DUPLICADO",IF(E84&lt;&gt;INDEX(tblBatidas[ID],MATCH(L84,tblBatidas[Batida ID],0)),"DIVERGÊNCIA DE ID",IF(H84&lt;&gt;INDEX(tblBatidas[Projeto],MATCH(L84,tblBatidas[Batida ID],0)),"DIVERGÊNCIA DE PROJETO",IF(I84&lt;&gt;INDEX(tblBatidas[Atividade],MATCH(L84,tblBatidas[Batida ID],0)),"DIVERGÊNCIA DE ATIVIDADE",IF(OR(B84&lt;=INDEX(tblBatidas[Data e hora],MATCH(L84,tblBatidas[Batida ID],0)),(B84-INDEX(tblBatidas[Data e hora],MATCH(L84,tblBatidas[Batida ID],0)))*24&gt;16),"HORÁRIO INVÁLIDO","VINCULADO"))))))),"INÍCIO")</f>
        <v>SEM VÍNCULO</v>
      </c>
    </row>
    <row r="85" spans="1:13" hidden="1">
      <c r="A85" t="s">
        <v>608</v>
      </c>
      <c r="B85" s="21">
        <v>46261.533518518518</v>
      </c>
      <c r="C85" s="2">
        <f t="shared" si="2"/>
        <v>46261</v>
      </c>
      <c r="D85" t="str">
        <f t="shared" si="3"/>
        <v>QUINTA-FEIRA</v>
      </c>
      <c r="E85">
        <v>1014</v>
      </c>
      <c r="F85" t="s">
        <v>58</v>
      </c>
      <c r="G85" t="s">
        <v>503</v>
      </c>
      <c r="H85" t="s">
        <v>74</v>
      </c>
      <c r="I85" t="s">
        <v>527</v>
      </c>
      <c r="K85" t="s">
        <v>501</v>
      </c>
      <c r="L85" s="9" t="s">
        <v>599</v>
      </c>
      <c r="M85" t="str">
        <f>IF(G85="FIM",IF(L85="","SEM VÍNCULO",IF(COUNTIF(tblBatidas[Batida ID],L85)=0,"VÍNCULO INVÁLIDO",IF(COUNTIF(tblBatidas[Início vinculado],L85)&gt;1,"VÍNCULO DUPLICADO",IF(E85&lt;&gt;INDEX(tblBatidas[ID],MATCH(L85,tblBatidas[Batida ID],0)),"DIVERGÊNCIA DE ID",IF(H85&lt;&gt;INDEX(tblBatidas[Projeto],MATCH(L85,tblBatidas[Batida ID],0)),"DIVERGÊNCIA DE PROJETO",IF(I85&lt;&gt;INDEX(tblBatidas[Atividade],MATCH(L85,tblBatidas[Batida ID],0)),"DIVERGÊNCIA DE ATIVIDADE",IF(OR(B85&lt;=INDEX(tblBatidas[Data e hora],MATCH(L85,tblBatidas[Batida ID],0)),(B85-INDEX(tblBatidas[Data e hora],MATCH(L85,tblBatidas[Batida ID],0)))*24&gt;16),"HORÁRIO INVÁLIDO","VINCULADO"))))))),"INÍCIO")</f>
        <v>VINCULADO</v>
      </c>
    </row>
    <row r="86" spans="1:13" hidden="1">
      <c r="A86" t="s">
        <v>609</v>
      </c>
      <c r="B86" s="21">
        <v>46261.536585648151</v>
      </c>
      <c r="C86" s="2">
        <f t="shared" si="2"/>
        <v>46261</v>
      </c>
      <c r="D86" t="str">
        <f t="shared" si="3"/>
        <v>QUINTA-FEIRA</v>
      </c>
      <c r="E86">
        <v>1011</v>
      </c>
      <c r="F86" t="s">
        <v>54</v>
      </c>
      <c r="G86" t="s">
        <v>503</v>
      </c>
      <c r="H86" t="s">
        <v>74</v>
      </c>
      <c r="I86" t="s">
        <v>517</v>
      </c>
      <c r="J86" t="s">
        <v>610</v>
      </c>
      <c r="K86" t="s">
        <v>501</v>
      </c>
      <c r="L86" s="9"/>
      <c r="M86" t="str">
        <f>IF(G86="FIM",IF(L86="","SEM VÍNCULO",IF(COUNTIF(tblBatidas[Batida ID],L86)=0,"VÍNCULO INVÁLIDO",IF(COUNTIF(tblBatidas[Início vinculado],L86)&gt;1,"VÍNCULO DUPLICADO",IF(E86&lt;&gt;INDEX(tblBatidas[ID],MATCH(L86,tblBatidas[Batida ID],0)),"DIVERGÊNCIA DE ID",IF(H86&lt;&gt;INDEX(tblBatidas[Projeto],MATCH(L86,tblBatidas[Batida ID],0)),"DIVERGÊNCIA DE PROJETO",IF(I86&lt;&gt;INDEX(tblBatidas[Atividade],MATCH(L86,tblBatidas[Batida ID],0)),"DIVERGÊNCIA DE ATIVIDADE",IF(OR(B86&lt;=INDEX(tblBatidas[Data e hora],MATCH(L86,tblBatidas[Batida ID],0)),(B86-INDEX(tblBatidas[Data e hora],MATCH(L86,tblBatidas[Batida ID],0)))*24&gt;16),"HORÁRIO INVÁLIDO","VINCULADO"))))))),"INÍCIO")</f>
        <v>SEM VÍNCULO</v>
      </c>
    </row>
    <row r="87" spans="1:13" hidden="1">
      <c r="A87" t="s">
        <v>611</v>
      </c>
      <c r="B87" s="21">
        <v>46261.538553240738</v>
      </c>
      <c r="C87" s="2">
        <f t="shared" si="2"/>
        <v>46261</v>
      </c>
      <c r="D87" t="str">
        <f t="shared" si="3"/>
        <v>QUINTA-FEIRA</v>
      </c>
      <c r="E87">
        <v>1015</v>
      </c>
      <c r="F87" t="s">
        <v>59</v>
      </c>
      <c r="G87" t="s">
        <v>503</v>
      </c>
      <c r="H87" t="s">
        <v>84</v>
      </c>
      <c r="I87" t="s">
        <v>84</v>
      </c>
      <c r="K87" t="s">
        <v>501</v>
      </c>
      <c r="L87" s="9" t="s">
        <v>585</v>
      </c>
      <c r="M87" t="str">
        <f>IF(G87="FIM",IF(L87="","SEM VÍNCULO",IF(COUNTIF(tblBatidas[Batida ID],L87)=0,"VÍNCULO INVÁLIDO",IF(COUNTIF(tblBatidas[Início vinculado],L87)&gt;1,"VÍNCULO DUPLICADO",IF(E87&lt;&gt;INDEX(tblBatidas[ID],MATCH(L87,tblBatidas[Batida ID],0)),"DIVERGÊNCIA DE ID",IF(H87&lt;&gt;INDEX(tblBatidas[Projeto],MATCH(L87,tblBatidas[Batida ID],0)),"DIVERGÊNCIA DE PROJETO",IF(I87&lt;&gt;INDEX(tblBatidas[Atividade],MATCH(L87,tblBatidas[Batida ID],0)),"DIVERGÊNCIA DE ATIVIDADE",IF(OR(B87&lt;=INDEX(tblBatidas[Data e hora],MATCH(L87,tblBatidas[Batida ID],0)),(B87-INDEX(tblBatidas[Data e hora],MATCH(L87,tblBatidas[Batida ID],0)))*24&gt;16),"HORÁRIO INVÁLIDO","VINCULADO"))))))),"INÍCIO")</f>
        <v>VINCULADO</v>
      </c>
    </row>
    <row r="88" spans="1:13" hidden="1">
      <c r="A88" t="s">
        <v>612</v>
      </c>
      <c r="B88" s="21">
        <v>46261.542905092596</v>
      </c>
      <c r="C88" s="2">
        <f t="shared" si="2"/>
        <v>46261</v>
      </c>
      <c r="D88" t="str">
        <f t="shared" si="3"/>
        <v>QUINTA-FEIRA</v>
      </c>
      <c r="E88">
        <v>1012</v>
      </c>
      <c r="F88" t="s">
        <v>55</v>
      </c>
      <c r="G88" t="s">
        <v>503</v>
      </c>
      <c r="H88" t="s">
        <v>74</v>
      </c>
      <c r="I88" t="s">
        <v>602</v>
      </c>
      <c r="J88" t="s">
        <v>613</v>
      </c>
      <c r="K88" t="s">
        <v>501</v>
      </c>
      <c r="L88" s="9" t="s">
        <v>601</v>
      </c>
      <c r="M88" t="str">
        <f>IF(G88="FIM",IF(L88="","SEM VÍNCULO",IF(COUNTIF(tblBatidas[Batida ID],L88)=0,"VÍNCULO INVÁLIDO",IF(COUNTIF(tblBatidas[Início vinculado],L88)&gt;1,"VÍNCULO DUPLICADO",IF(E88&lt;&gt;INDEX(tblBatidas[ID],MATCH(L88,tblBatidas[Batida ID],0)),"DIVERGÊNCIA DE ID",IF(H88&lt;&gt;INDEX(tblBatidas[Projeto],MATCH(L88,tblBatidas[Batida ID],0)),"DIVERGÊNCIA DE PROJETO",IF(I88&lt;&gt;INDEX(tblBatidas[Atividade],MATCH(L88,tblBatidas[Batida ID],0)),"DIVERGÊNCIA DE ATIVIDADE",IF(OR(B88&lt;=INDEX(tblBatidas[Data e hora],MATCH(L88,tblBatidas[Batida ID],0)),(B88-INDEX(tblBatidas[Data e hora],MATCH(L88,tblBatidas[Batida ID],0)))*24&gt;16),"HORÁRIO INVÁLIDO","VINCULADO"))))))),"INÍCIO")</f>
        <v>VINCULADO</v>
      </c>
    </row>
    <row r="89" spans="1:13" hidden="1">
      <c r="A89" t="s">
        <v>614</v>
      </c>
      <c r="B89" s="21">
        <v>46261.548495370371</v>
      </c>
      <c r="C89" s="2">
        <f t="shared" si="2"/>
        <v>46261</v>
      </c>
      <c r="D89" t="str">
        <f t="shared" si="3"/>
        <v>QUINTA-FEIRA</v>
      </c>
      <c r="E89">
        <v>1004</v>
      </c>
      <c r="F89" t="s">
        <v>47</v>
      </c>
      <c r="G89" t="s">
        <v>503</v>
      </c>
      <c r="H89" t="s">
        <v>72</v>
      </c>
      <c r="I89" t="s">
        <v>538</v>
      </c>
      <c r="J89" t="s">
        <v>615</v>
      </c>
      <c r="K89" t="s">
        <v>501</v>
      </c>
      <c r="L89" s="9" t="s">
        <v>588</v>
      </c>
      <c r="M89" t="str">
        <f>IF(G89="FIM",IF(L89="","SEM VÍNCULO",IF(COUNTIF(tblBatidas[Batida ID],L89)=0,"VÍNCULO INVÁLIDO",IF(COUNTIF(tblBatidas[Início vinculado],L89)&gt;1,"VÍNCULO DUPLICADO",IF(E89&lt;&gt;INDEX(tblBatidas[ID],MATCH(L89,tblBatidas[Batida ID],0)),"DIVERGÊNCIA DE ID",IF(H89&lt;&gt;INDEX(tblBatidas[Projeto],MATCH(L89,tblBatidas[Batida ID],0)),"DIVERGÊNCIA DE PROJETO",IF(I89&lt;&gt;INDEX(tblBatidas[Atividade],MATCH(L89,tblBatidas[Batida ID],0)),"DIVERGÊNCIA DE ATIVIDADE",IF(OR(B89&lt;=INDEX(tblBatidas[Data e hora],MATCH(L89,tblBatidas[Batida ID],0)),(B89-INDEX(tblBatidas[Data e hora],MATCH(L89,tblBatidas[Batida ID],0)))*24&gt;16),"HORÁRIO INVÁLIDO","VINCULADO"))))))),"INÍCIO")</f>
        <v>VINCULADO</v>
      </c>
    </row>
    <row r="90" spans="1:13" hidden="1">
      <c r="A90" t="s">
        <v>616</v>
      </c>
      <c r="B90" s="21">
        <v>46261.567719907405</v>
      </c>
      <c r="C90" s="2">
        <f t="shared" si="2"/>
        <v>46261</v>
      </c>
      <c r="D90" t="str">
        <f t="shared" si="3"/>
        <v>QUINTA-FEIRA</v>
      </c>
      <c r="E90">
        <v>1003</v>
      </c>
      <c r="F90" t="s">
        <v>46</v>
      </c>
      <c r="G90" t="s">
        <v>499</v>
      </c>
      <c r="H90" t="s">
        <v>74</v>
      </c>
      <c r="I90" t="s">
        <v>517</v>
      </c>
      <c r="K90" t="s">
        <v>501</v>
      </c>
      <c r="L90" s="9"/>
      <c r="M90" t="str">
        <f>IF(G90="FIM",IF(L90="","SEM VÍNCULO",IF(COUNTIF(tblBatidas[Batida ID],L90)=0,"VÍNCULO INVÁLIDO",IF(COUNTIF(tblBatidas[Início vinculado],L90)&gt;1,"VÍNCULO DUPLICADO",IF(E90&lt;&gt;INDEX(tblBatidas[ID],MATCH(L90,tblBatidas[Batida ID],0)),"DIVERGÊNCIA DE ID",IF(H90&lt;&gt;INDEX(tblBatidas[Projeto],MATCH(L90,tblBatidas[Batida ID],0)),"DIVERGÊNCIA DE PROJETO",IF(I90&lt;&gt;INDEX(tblBatidas[Atividade],MATCH(L90,tblBatidas[Batida ID],0)),"DIVERGÊNCIA DE ATIVIDADE",IF(OR(B90&lt;=INDEX(tblBatidas[Data e hora],MATCH(L90,tblBatidas[Batida ID],0)),(B90-INDEX(tblBatidas[Data e hora],MATCH(L90,tblBatidas[Batida ID],0)))*24&gt;16),"HORÁRIO INVÁLIDO","VINCULADO"))))))),"INÍCIO")</f>
        <v>INÍCIO</v>
      </c>
    </row>
    <row r="91" spans="1:13" hidden="1">
      <c r="A91" t="s">
        <v>617</v>
      </c>
      <c r="B91" s="21">
        <v>46261.576412037037</v>
      </c>
      <c r="C91" s="2">
        <f t="shared" si="2"/>
        <v>46261</v>
      </c>
      <c r="D91" t="str">
        <f t="shared" si="3"/>
        <v>QUINTA-FEIRA</v>
      </c>
      <c r="E91">
        <v>1016</v>
      </c>
      <c r="F91" t="s">
        <v>60</v>
      </c>
      <c r="G91" t="s">
        <v>499</v>
      </c>
      <c r="H91" t="s">
        <v>70</v>
      </c>
      <c r="I91" t="s">
        <v>517</v>
      </c>
      <c r="K91" t="s">
        <v>501</v>
      </c>
      <c r="L91" s="9"/>
      <c r="M91" t="str">
        <f>IF(G91="FIM",IF(L91="","SEM VÍNCULO",IF(COUNTIF(tblBatidas[Batida ID],L91)=0,"VÍNCULO INVÁLIDO",IF(COUNTIF(tblBatidas[Início vinculado],L91)&gt;1,"VÍNCULO DUPLICADO",IF(E91&lt;&gt;INDEX(tblBatidas[ID],MATCH(L91,tblBatidas[Batida ID],0)),"DIVERGÊNCIA DE ID",IF(H91&lt;&gt;INDEX(tblBatidas[Projeto],MATCH(L91,tblBatidas[Batida ID],0)),"DIVERGÊNCIA DE PROJETO",IF(I91&lt;&gt;INDEX(tblBatidas[Atividade],MATCH(L91,tblBatidas[Batida ID],0)),"DIVERGÊNCIA DE ATIVIDADE",IF(OR(B91&lt;=INDEX(tblBatidas[Data e hora],MATCH(L91,tblBatidas[Batida ID],0)),(B91-INDEX(tblBatidas[Data e hora],MATCH(L91,tblBatidas[Batida ID],0)))*24&gt;16),"HORÁRIO INVÁLIDO","VINCULADO"))))))),"INÍCIO")</f>
        <v>INÍCIO</v>
      </c>
    </row>
    <row r="92" spans="1:13" hidden="1">
      <c r="A92" t="s">
        <v>618</v>
      </c>
      <c r="B92" s="21">
        <v>46261.579513888886</v>
      </c>
      <c r="C92" s="2">
        <f t="shared" si="2"/>
        <v>46261</v>
      </c>
      <c r="D92" t="str">
        <f t="shared" si="3"/>
        <v>QUINTA-FEIRA</v>
      </c>
      <c r="E92">
        <v>1015</v>
      </c>
      <c r="F92" t="s">
        <v>59</v>
      </c>
      <c r="G92" t="s">
        <v>499</v>
      </c>
      <c r="H92" t="s">
        <v>84</v>
      </c>
      <c r="I92" t="s">
        <v>84</v>
      </c>
      <c r="K92" t="s">
        <v>501</v>
      </c>
      <c r="L92" s="9"/>
      <c r="M92" t="str">
        <f>IF(G92="FIM",IF(L92="","SEM VÍNCULO",IF(COUNTIF(tblBatidas[Batida ID],L92)=0,"VÍNCULO INVÁLIDO",IF(COUNTIF(tblBatidas[Início vinculado],L92)&gt;1,"VÍNCULO DUPLICADO",IF(E92&lt;&gt;INDEX(tblBatidas[ID],MATCH(L92,tblBatidas[Batida ID],0)),"DIVERGÊNCIA DE ID",IF(H92&lt;&gt;INDEX(tblBatidas[Projeto],MATCH(L92,tblBatidas[Batida ID],0)),"DIVERGÊNCIA DE PROJETO",IF(I92&lt;&gt;INDEX(tblBatidas[Atividade],MATCH(L92,tblBatidas[Batida ID],0)),"DIVERGÊNCIA DE ATIVIDADE",IF(OR(B92&lt;=INDEX(tblBatidas[Data e hora],MATCH(L92,tblBatidas[Batida ID],0)),(B92-INDEX(tblBatidas[Data e hora],MATCH(L92,tblBatidas[Batida ID],0)))*24&gt;16),"HORÁRIO INVÁLIDO","VINCULADO"))))))),"INÍCIO")</f>
        <v>INÍCIO</v>
      </c>
    </row>
    <row r="93" spans="1:13" hidden="1">
      <c r="A93" t="s">
        <v>619</v>
      </c>
      <c r="B93" s="21">
        <v>46261.580185185187</v>
      </c>
      <c r="C93" s="2">
        <f t="shared" si="2"/>
        <v>46261</v>
      </c>
      <c r="D93" t="str">
        <f t="shared" si="3"/>
        <v>QUINTA-FEIRA</v>
      </c>
      <c r="E93">
        <v>1014</v>
      </c>
      <c r="F93" t="s">
        <v>58</v>
      </c>
      <c r="G93" t="s">
        <v>499</v>
      </c>
      <c r="H93" t="s">
        <v>74</v>
      </c>
      <c r="I93" t="s">
        <v>527</v>
      </c>
      <c r="K93" t="s">
        <v>501</v>
      </c>
      <c r="L93" s="9"/>
      <c r="M93" t="str">
        <f>IF(G93="FIM",IF(L93="","SEM VÍNCULO",IF(COUNTIF(tblBatidas[Batida ID],L93)=0,"VÍNCULO INVÁLIDO",IF(COUNTIF(tblBatidas[Início vinculado],L93)&gt;1,"VÍNCULO DUPLICADO",IF(E93&lt;&gt;INDEX(tblBatidas[ID],MATCH(L93,tblBatidas[Batida ID],0)),"DIVERGÊNCIA DE ID",IF(H93&lt;&gt;INDEX(tblBatidas[Projeto],MATCH(L93,tblBatidas[Batida ID],0)),"DIVERGÊNCIA DE PROJETO",IF(I93&lt;&gt;INDEX(tblBatidas[Atividade],MATCH(L93,tblBatidas[Batida ID],0)),"DIVERGÊNCIA DE ATIVIDADE",IF(OR(B93&lt;=INDEX(tblBatidas[Data e hora],MATCH(L93,tblBatidas[Batida ID],0)),(B93-INDEX(tblBatidas[Data e hora],MATCH(L93,tblBatidas[Batida ID],0)))*24&gt;16),"HORÁRIO INVÁLIDO","VINCULADO"))))))),"INÍCIO")</f>
        <v>INÍCIO</v>
      </c>
    </row>
    <row r="94" spans="1:13" hidden="1">
      <c r="A94" t="s">
        <v>620</v>
      </c>
      <c r="B94" s="21">
        <v>46261.581145833334</v>
      </c>
      <c r="C94" s="2">
        <f t="shared" si="2"/>
        <v>46261</v>
      </c>
      <c r="D94" t="str">
        <f t="shared" si="3"/>
        <v>QUINTA-FEIRA</v>
      </c>
      <c r="E94">
        <v>1011</v>
      </c>
      <c r="F94" t="s">
        <v>54</v>
      </c>
      <c r="G94" t="s">
        <v>499</v>
      </c>
      <c r="H94" t="s">
        <v>74</v>
      </c>
      <c r="I94" t="s">
        <v>517</v>
      </c>
      <c r="K94" t="s">
        <v>501</v>
      </c>
      <c r="L94" s="9"/>
      <c r="M94" t="str">
        <f>IF(G94="FIM",IF(L94="","SEM VÍNCULO",IF(COUNTIF(tblBatidas[Batida ID],L94)=0,"VÍNCULO INVÁLIDO",IF(COUNTIF(tblBatidas[Início vinculado],L94)&gt;1,"VÍNCULO DUPLICADO",IF(E94&lt;&gt;INDEX(tblBatidas[ID],MATCH(L94,tblBatidas[Batida ID],0)),"DIVERGÊNCIA DE ID",IF(H94&lt;&gt;INDEX(tblBatidas[Projeto],MATCH(L94,tblBatidas[Batida ID],0)),"DIVERGÊNCIA DE PROJETO",IF(I94&lt;&gt;INDEX(tblBatidas[Atividade],MATCH(L94,tblBatidas[Batida ID],0)),"DIVERGÊNCIA DE ATIVIDADE",IF(OR(B94&lt;=INDEX(tblBatidas[Data e hora],MATCH(L94,tblBatidas[Batida ID],0)),(B94-INDEX(tblBatidas[Data e hora],MATCH(L94,tblBatidas[Batida ID],0)))*24&gt;16),"HORÁRIO INVÁLIDO","VINCULADO"))))))),"INÍCIO")</f>
        <v>INÍCIO</v>
      </c>
    </row>
    <row r="95" spans="1:13" hidden="1">
      <c r="A95" t="s">
        <v>621</v>
      </c>
      <c r="B95" s="21">
        <v>46261.595497685186</v>
      </c>
      <c r="C95" s="2">
        <f t="shared" si="2"/>
        <v>46261</v>
      </c>
      <c r="D95" t="str">
        <f t="shared" si="3"/>
        <v>QUINTA-FEIRA</v>
      </c>
      <c r="E95">
        <v>1012</v>
      </c>
      <c r="F95" t="s">
        <v>55</v>
      </c>
      <c r="G95" t="s">
        <v>499</v>
      </c>
      <c r="H95" t="s">
        <v>74</v>
      </c>
      <c r="I95" t="s">
        <v>602</v>
      </c>
      <c r="J95" t="s">
        <v>622</v>
      </c>
      <c r="K95" t="s">
        <v>501</v>
      </c>
      <c r="L95" s="9"/>
      <c r="M95" t="str">
        <f>IF(G95="FIM",IF(L95="","SEM VÍNCULO",IF(COUNTIF(tblBatidas[Batida ID],L95)=0,"VÍNCULO INVÁLIDO",IF(COUNTIF(tblBatidas[Início vinculado],L95)&gt;1,"VÍNCULO DUPLICADO",IF(E95&lt;&gt;INDEX(tblBatidas[ID],MATCH(L95,tblBatidas[Batida ID],0)),"DIVERGÊNCIA DE ID",IF(H95&lt;&gt;INDEX(tblBatidas[Projeto],MATCH(L95,tblBatidas[Batida ID],0)),"DIVERGÊNCIA DE PROJETO",IF(I95&lt;&gt;INDEX(tblBatidas[Atividade],MATCH(L95,tblBatidas[Batida ID],0)),"DIVERGÊNCIA DE ATIVIDADE",IF(OR(B95&lt;=INDEX(tblBatidas[Data e hora],MATCH(L95,tblBatidas[Batida ID],0)),(B95-INDEX(tblBatidas[Data e hora],MATCH(L95,tblBatidas[Batida ID],0)))*24&gt;16),"HORÁRIO INVÁLIDO","VINCULADO"))))))),"INÍCIO")</f>
        <v>INÍCIO</v>
      </c>
    </row>
    <row r="96" spans="1:13" hidden="1">
      <c r="A96" t="s">
        <v>623</v>
      </c>
      <c r="B96" s="21">
        <v>46261.629571759258</v>
      </c>
      <c r="C96" s="2">
        <f t="shared" si="2"/>
        <v>46261</v>
      </c>
      <c r="D96" t="str">
        <f t="shared" si="3"/>
        <v>QUINTA-FEIRA</v>
      </c>
      <c r="E96">
        <v>1004</v>
      </c>
      <c r="F96" t="s">
        <v>47</v>
      </c>
      <c r="G96" t="s">
        <v>499</v>
      </c>
      <c r="H96" t="s">
        <v>72</v>
      </c>
      <c r="I96" t="s">
        <v>538</v>
      </c>
      <c r="J96" t="s">
        <v>624</v>
      </c>
      <c r="K96" t="s">
        <v>501</v>
      </c>
      <c r="L96" s="9"/>
      <c r="M96" t="str">
        <f>IF(G96="FIM",IF(L96="","SEM VÍNCULO",IF(COUNTIF(tblBatidas[Batida ID],L96)=0,"VÍNCULO INVÁLIDO",IF(COUNTIF(tblBatidas[Início vinculado],L96)&gt;1,"VÍNCULO DUPLICADO",IF(E96&lt;&gt;INDEX(tblBatidas[ID],MATCH(L96,tblBatidas[Batida ID],0)),"DIVERGÊNCIA DE ID",IF(H96&lt;&gt;INDEX(tblBatidas[Projeto],MATCH(L96,tblBatidas[Batida ID],0)),"DIVERGÊNCIA DE PROJETO",IF(I96&lt;&gt;INDEX(tblBatidas[Atividade],MATCH(L96,tblBatidas[Batida ID],0)),"DIVERGÊNCIA DE ATIVIDADE",IF(OR(B96&lt;=INDEX(tblBatidas[Data e hora],MATCH(L96,tblBatidas[Batida ID],0)),(B96-INDEX(tblBatidas[Data e hora],MATCH(L96,tblBatidas[Batida ID],0)))*24&gt;16),"HORÁRIO INVÁLIDO","VINCULADO"))))))),"INÍCIO")</f>
        <v>INÍCIO</v>
      </c>
    </row>
    <row r="97" spans="1:13" hidden="1">
      <c r="A97" t="s">
        <v>625</v>
      </c>
      <c r="B97" s="21">
        <v>46261.667812500003</v>
      </c>
      <c r="C97" s="2">
        <f t="shared" si="2"/>
        <v>46261</v>
      </c>
      <c r="D97" t="str">
        <f t="shared" si="3"/>
        <v>QUINTA-FEIRA</v>
      </c>
      <c r="E97">
        <v>1001</v>
      </c>
      <c r="F97" t="s">
        <v>43</v>
      </c>
      <c r="G97" t="s">
        <v>503</v>
      </c>
      <c r="H97" t="s">
        <v>80</v>
      </c>
      <c r="I97" t="s">
        <v>500</v>
      </c>
      <c r="J97" t="s">
        <v>626</v>
      </c>
      <c r="K97" t="s">
        <v>501</v>
      </c>
      <c r="L97" s="9" t="s">
        <v>583</v>
      </c>
      <c r="M97" t="str">
        <f>IF(G97="FIM",IF(L97="","SEM VÍNCULO",IF(COUNTIF(tblBatidas[Batida ID],L97)=0,"VÍNCULO INVÁLIDO",IF(COUNTIF(tblBatidas[Início vinculado],L97)&gt;1,"VÍNCULO DUPLICADO",IF(E97&lt;&gt;INDEX(tblBatidas[ID],MATCH(L97,tblBatidas[Batida ID],0)),"DIVERGÊNCIA DE ID",IF(H97&lt;&gt;INDEX(tblBatidas[Projeto],MATCH(L97,tblBatidas[Batida ID],0)),"DIVERGÊNCIA DE PROJETO",IF(I97&lt;&gt;INDEX(tblBatidas[Atividade],MATCH(L97,tblBatidas[Batida ID],0)),"DIVERGÊNCIA DE ATIVIDADE",IF(OR(B97&lt;=INDEX(tblBatidas[Data e hora],MATCH(L97,tblBatidas[Batida ID],0)),(B97-INDEX(tblBatidas[Data e hora],MATCH(L97,tblBatidas[Batida ID],0)))*24&gt;16),"HORÁRIO INVÁLIDO","VINCULADO"))))))),"INÍCIO")</f>
        <v>VINCULADO</v>
      </c>
    </row>
    <row r="98" spans="1:13" hidden="1">
      <c r="A98" t="s">
        <v>627</v>
      </c>
      <c r="B98" s="21">
        <v>46261.689398148148</v>
      </c>
      <c r="C98" s="2">
        <f t="shared" si="2"/>
        <v>46261</v>
      </c>
      <c r="D98" t="str">
        <f t="shared" si="3"/>
        <v>QUINTA-FEIRA</v>
      </c>
      <c r="E98">
        <v>1001</v>
      </c>
      <c r="F98" t="s">
        <v>43</v>
      </c>
      <c r="G98" t="s">
        <v>499</v>
      </c>
      <c r="H98" t="s">
        <v>80</v>
      </c>
      <c r="I98" t="s">
        <v>500</v>
      </c>
      <c r="K98" t="s">
        <v>501</v>
      </c>
      <c r="L98" s="9"/>
      <c r="M98" t="str">
        <f>IF(G98="FIM",IF(L98="","SEM VÍNCULO",IF(COUNTIF(tblBatidas[Batida ID],L98)=0,"VÍNCULO INVÁLIDO",IF(COUNTIF(tblBatidas[Início vinculado],L98)&gt;1,"VÍNCULO DUPLICADO",IF(E98&lt;&gt;INDEX(tblBatidas[ID],MATCH(L98,tblBatidas[Batida ID],0)),"DIVERGÊNCIA DE ID",IF(H98&lt;&gt;INDEX(tblBatidas[Projeto],MATCH(L98,tblBatidas[Batida ID],0)),"DIVERGÊNCIA DE PROJETO",IF(I98&lt;&gt;INDEX(tblBatidas[Atividade],MATCH(L98,tblBatidas[Batida ID],0)),"DIVERGÊNCIA DE ATIVIDADE",IF(OR(B98&lt;=INDEX(tblBatidas[Data e hora],MATCH(L98,tblBatidas[Batida ID],0)),(B98-INDEX(tblBatidas[Data e hora],MATCH(L98,tblBatidas[Batida ID],0)))*24&gt;16),"HORÁRIO INVÁLIDO","VINCULADO"))))))),"INÍCIO")</f>
        <v>INÍCIO</v>
      </c>
    </row>
    <row r="99" spans="1:13" hidden="1">
      <c r="A99" t="s">
        <v>628</v>
      </c>
      <c r="B99" s="21">
        <v>46261.746863425928</v>
      </c>
      <c r="C99" s="2">
        <f t="shared" si="2"/>
        <v>46261</v>
      </c>
      <c r="D99" t="str">
        <f t="shared" si="3"/>
        <v>QUINTA-FEIRA</v>
      </c>
      <c r="E99">
        <v>1015</v>
      </c>
      <c r="F99" t="s">
        <v>59</v>
      </c>
      <c r="G99" t="s">
        <v>503</v>
      </c>
      <c r="H99" t="s">
        <v>84</v>
      </c>
      <c r="I99" t="s">
        <v>84</v>
      </c>
      <c r="K99" t="s">
        <v>501</v>
      </c>
      <c r="L99" s="9" t="s">
        <v>618</v>
      </c>
      <c r="M99" t="str">
        <f>IF(G99="FIM",IF(L99="","SEM VÍNCULO",IF(COUNTIF(tblBatidas[Batida ID],L99)=0,"VÍNCULO INVÁLIDO",IF(COUNTIF(tblBatidas[Início vinculado],L99)&gt;1,"VÍNCULO DUPLICADO",IF(E99&lt;&gt;INDEX(tblBatidas[ID],MATCH(L99,tblBatidas[Batida ID],0)),"DIVERGÊNCIA DE ID",IF(H99&lt;&gt;INDEX(tblBatidas[Projeto],MATCH(L99,tblBatidas[Batida ID],0)),"DIVERGÊNCIA DE PROJETO",IF(I99&lt;&gt;INDEX(tblBatidas[Atividade],MATCH(L99,tblBatidas[Batida ID],0)),"DIVERGÊNCIA DE ATIVIDADE",IF(OR(B99&lt;=INDEX(tblBatidas[Data e hora],MATCH(L99,tblBatidas[Batida ID],0)),(B99-INDEX(tblBatidas[Data e hora],MATCH(L99,tblBatidas[Batida ID],0)))*24&gt;16),"HORÁRIO INVÁLIDO","VINCULADO"))))))),"INÍCIO")</f>
        <v>VINCULADO</v>
      </c>
    </row>
    <row r="100" spans="1:13" hidden="1">
      <c r="A100" t="s">
        <v>629</v>
      </c>
      <c r="B100" s="21">
        <v>46261.750150462962</v>
      </c>
      <c r="C100" s="2">
        <f t="shared" si="2"/>
        <v>46261</v>
      </c>
      <c r="D100" t="str">
        <f t="shared" si="3"/>
        <v>QUINTA-FEIRA</v>
      </c>
      <c r="E100">
        <v>1003</v>
      </c>
      <c r="F100" t="s">
        <v>46</v>
      </c>
      <c r="G100" t="s">
        <v>503</v>
      </c>
      <c r="H100" t="s">
        <v>74</v>
      </c>
      <c r="I100" t="s">
        <v>517</v>
      </c>
      <c r="K100" t="s">
        <v>501</v>
      </c>
      <c r="L100" s="9" t="s">
        <v>616</v>
      </c>
      <c r="M100" t="str">
        <f>IF(G100="FIM",IF(L100="","SEM VÍNCULO",IF(COUNTIF(tblBatidas[Batida ID],L100)=0,"VÍNCULO INVÁLIDO",IF(COUNTIF(tblBatidas[Início vinculado],L100)&gt;1,"VÍNCULO DUPLICADO",IF(E100&lt;&gt;INDEX(tblBatidas[ID],MATCH(L100,tblBatidas[Batida ID],0)),"DIVERGÊNCIA DE ID",IF(H100&lt;&gt;INDEX(tblBatidas[Projeto],MATCH(L100,tblBatidas[Batida ID],0)),"DIVERGÊNCIA DE PROJETO",IF(I100&lt;&gt;INDEX(tblBatidas[Atividade],MATCH(L100,tblBatidas[Batida ID],0)),"DIVERGÊNCIA DE ATIVIDADE",IF(OR(B100&lt;=INDEX(tblBatidas[Data e hora],MATCH(L100,tblBatidas[Batida ID],0)),(B100-INDEX(tblBatidas[Data e hora],MATCH(L100,tblBatidas[Batida ID],0)))*24&gt;16),"HORÁRIO INVÁLIDO","VINCULADO"))))))),"INÍCIO")</f>
        <v>VINCULADO</v>
      </c>
    </row>
    <row r="101" spans="1:13">
      <c r="A101" t="s">
        <v>630</v>
      </c>
      <c r="B101" s="21">
        <v>46261.752615740741</v>
      </c>
      <c r="C101" s="2">
        <f t="shared" si="2"/>
        <v>46261</v>
      </c>
      <c r="D101" t="str">
        <f t="shared" si="3"/>
        <v>QUINTA-FEIRA</v>
      </c>
      <c r="E101">
        <v>1002</v>
      </c>
      <c r="F101" t="s">
        <v>45</v>
      </c>
      <c r="G101" t="s">
        <v>503</v>
      </c>
      <c r="H101" t="s">
        <v>70</v>
      </c>
      <c r="I101" t="s">
        <v>517</v>
      </c>
      <c r="K101" t="s">
        <v>501</v>
      </c>
      <c r="L101" s="9" t="s">
        <v>582</v>
      </c>
      <c r="M101" t="str">
        <f>IF(G101="FIM",IF(L101="","SEM VÍNCULO",IF(COUNTIF(tblBatidas[Batida ID],L101)=0,"VÍNCULO INVÁLIDO",IF(COUNTIF(tblBatidas[Início vinculado],L101)&gt;1,"VÍNCULO DUPLICADO",IF(E101&lt;&gt;INDEX(tblBatidas[ID],MATCH(L101,tblBatidas[Batida ID],0)),"DIVERGÊNCIA DE ID",IF(H101&lt;&gt;INDEX(tblBatidas[Projeto],MATCH(L101,tblBatidas[Batida ID],0)),"DIVERGÊNCIA DE PROJETO",IF(I101&lt;&gt;INDEX(tblBatidas[Atividade],MATCH(L101,tblBatidas[Batida ID],0)),"DIVERGÊNCIA DE ATIVIDADE",IF(OR(B101&lt;=INDEX(tblBatidas[Data e hora],MATCH(L101,tblBatidas[Batida ID],0)),(B101-INDEX(tblBatidas[Data e hora],MATCH(L101,tblBatidas[Batida ID],0)))*24&gt;16),"HORÁRIO INVÁLIDO","VINCULADO"))))))),"INÍCIO")</f>
        <v>VINCULADO</v>
      </c>
    </row>
    <row r="102" spans="1:13" hidden="1">
      <c r="A102" t="s">
        <v>631</v>
      </c>
      <c r="B102" s="21">
        <v>46261.753506944442</v>
      </c>
      <c r="C102" s="2">
        <f t="shared" si="2"/>
        <v>46261</v>
      </c>
      <c r="D102" t="str">
        <f t="shared" si="3"/>
        <v>QUINTA-FEIRA</v>
      </c>
      <c r="E102">
        <v>1013</v>
      </c>
      <c r="F102" t="s">
        <v>57</v>
      </c>
      <c r="G102" t="s">
        <v>503</v>
      </c>
      <c r="H102" t="s">
        <v>74</v>
      </c>
      <c r="I102" t="s">
        <v>517</v>
      </c>
      <c r="J102" t="s">
        <v>632</v>
      </c>
      <c r="K102" t="s">
        <v>501</v>
      </c>
      <c r="L102" s="9" t="s">
        <v>580</v>
      </c>
      <c r="M102" t="str">
        <f>IF(G102="FIM",IF(L102="","SEM VÍNCULO",IF(COUNTIF(tblBatidas[Batida ID],L102)=0,"VÍNCULO INVÁLIDO",IF(COUNTIF(tblBatidas[Início vinculado],L102)&gt;1,"VÍNCULO DUPLICADO",IF(E102&lt;&gt;INDEX(tblBatidas[ID],MATCH(L102,tblBatidas[Batida ID],0)),"DIVERGÊNCIA DE ID",IF(H102&lt;&gt;INDEX(tblBatidas[Projeto],MATCH(L102,tblBatidas[Batida ID],0)),"DIVERGÊNCIA DE PROJETO",IF(I102&lt;&gt;INDEX(tblBatidas[Atividade],MATCH(L102,tblBatidas[Batida ID],0)),"DIVERGÊNCIA DE ATIVIDADE",IF(OR(B102&lt;=INDEX(tblBatidas[Data e hora],MATCH(L102,tblBatidas[Batida ID],0)),(B102-INDEX(tblBatidas[Data e hora],MATCH(L102,tblBatidas[Batida ID],0)))*24&gt;16),"HORÁRIO INVÁLIDO","VINCULADO"))))))),"INÍCIO")</f>
        <v>VINCULADO</v>
      </c>
    </row>
    <row r="103" spans="1:13" hidden="1">
      <c r="A103" t="s">
        <v>633</v>
      </c>
      <c r="B103" s="21">
        <v>46261.754999999997</v>
      </c>
      <c r="C103" s="2">
        <f t="shared" si="2"/>
        <v>46261</v>
      </c>
      <c r="D103" t="str">
        <f t="shared" si="3"/>
        <v>QUINTA-FEIRA</v>
      </c>
      <c r="E103">
        <v>1016</v>
      </c>
      <c r="F103" t="s">
        <v>60</v>
      </c>
      <c r="G103" t="s">
        <v>503</v>
      </c>
      <c r="H103" t="s">
        <v>70</v>
      </c>
      <c r="I103" t="s">
        <v>517</v>
      </c>
      <c r="K103" t="s">
        <v>501</v>
      </c>
      <c r="L103" s="9" t="s">
        <v>617</v>
      </c>
      <c r="M103" t="str">
        <f>IF(G103="FIM",IF(L103="","SEM VÍNCULO",IF(COUNTIF(tblBatidas[Batida ID],L103)=0,"VÍNCULO INVÁLIDO",IF(COUNTIF(tblBatidas[Início vinculado],L103)&gt;1,"VÍNCULO DUPLICADO",IF(E103&lt;&gt;INDEX(tblBatidas[ID],MATCH(L103,tblBatidas[Batida ID],0)),"DIVERGÊNCIA DE ID",IF(H103&lt;&gt;INDEX(tblBatidas[Projeto],MATCH(L103,tblBatidas[Batida ID],0)),"DIVERGÊNCIA DE PROJETO",IF(I103&lt;&gt;INDEX(tblBatidas[Atividade],MATCH(L103,tblBatidas[Batida ID],0)),"DIVERGÊNCIA DE ATIVIDADE",IF(OR(B103&lt;=INDEX(tblBatidas[Data e hora],MATCH(L103,tblBatidas[Batida ID],0)),(B103-INDEX(tblBatidas[Data e hora],MATCH(L103,tblBatidas[Batida ID],0)))*24&gt;16),"HORÁRIO INVÁLIDO","VINCULADO"))))))),"INÍCIO")</f>
        <v>VINCULADO</v>
      </c>
    </row>
    <row r="104" spans="1:13" hidden="1">
      <c r="A104" t="s">
        <v>634</v>
      </c>
      <c r="B104" s="21">
        <v>46261.75818287037</v>
      </c>
      <c r="C104" s="2">
        <f t="shared" si="2"/>
        <v>46261</v>
      </c>
      <c r="D104" t="str">
        <f t="shared" si="3"/>
        <v>QUINTA-FEIRA</v>
      </c>
      <c r="E104">
        <v>1014</v>
      </c>
      <c r="F104" t="s">
        <v>58</v>
      </c>
      <c r="G104" t="s">
        <v>503</v>
      </c>
      <c r="H104" t="s">
        <v>74</v>
      </c>
      <c r="I104" t="s">
        <v>527</v>
      </c>
      <c r="K104" t="s">
        <v>501</v>
      </c>
      <c r="L104" s="9" t="s">
        <v>619</v>
      </c>
      <c r="M104" t="str">
        <f>IF(G104="FIM",IF(L104="","SEM VÍNCULO",IF(COUNTIF(tblBatidas[Batida ID],L104)=0,"VÍNCULO INVÁLIDO",IF(COUNTIF(tblBatidas[Início vinculado],L104)&gt;1,"VÍNCULO DUPLICADO",IF(E104&lt;&gt;INDEX(tblBatidas[ID],MATCH(L104,tblBatidas[Batida ID],0)),"DIVERGÊNCIA DE ID",IF(H104&lt;&gt;INDEX(tblBatidas[Projeto],MATCH(L104,tblBatidas[Batida ID],0)),"DIVERGÊNCIA DE PROJETO",IF(I104&lt;&gt;INDEX(tblBatidas[Atividade],MATCH(L104,tblBatidas[Batida ID],0)),"DIVERGÊNCIA DE ATIVIDADE",IF(OR(B104&lt;=INDEX(tblBatidas[Data e hora],MATCH(L104,tblBatidas[Batida ID],0)),(B104-INDEX(tblBatidas[Data e hora],MATCH(L104,tblBatidas[Batida ID],0)))*24&gt;16),"HORÁRIO INVÁLIDO","VINCULADO"))))))),"INÍCIO")</f>
        <v>VINCULADO</v>
      </c>
    </row>
    <row r="105" spans="1:13" hidden="1">
      <c r="A105" t="s">
        <v>635</v>
      </c>
      <c r="B105" s="21">
        <v>46261.758900462963</v>
      </c>
      <c r="C105" s="2">
        <f t="shared" si="2"/>
        <v>46261</v>
      </c>
      <c r="D105" t="str">
        <f t="shared" si="3"/>
        <v>QUINTA-FEIRA</v>
      </c>
      <c r="E105">
        <v>1001</v>
      </c>
      <c r="F105" t="s">
        <v>43</v>
      </c>
      <c r="G105" t="s">
        <v>503</v>
      </c>
      <c r="H105" t="s">
        <v>80</v>
      </c>
      <c r="I105" t="s">
        <v>500</v>
      </c>
      <c r="J105" t="s">
        <v>636</v>
      </c>
      <c r="K105" t="s">
        <v>501</v>
      </c>
      <c r="L105" s="9" t="s">
        <v>627</v>
      </c>
      <c r="M105" t="str">
        <f>IF(G105="FIM",IF(L105="","SEM VÍNCULO",IF(COUNTIF(tblBatidas[Batida ID],L105)=0,"VÍNCULO INVÁLIDO",IF(COUNTIF(tblBatidas[Início vinculado],L105)&gt;1,"VÍNCULO DUPLICADO",IF(E105&lt;&gt;INDEX(tblBatidas[ID],MATCH(L105,tblBatidas[Batida ID],0)),"DIVERGÊNCIA DE ID",IF(H105&lt;&gt;INDEX(tblBatidas[Projeto],MATCH(L105,tblBatidas[Batida ID],0)),"DIVERGÊNCIA DE PROJETO",IF(I105&lt;&gt;INDEX(tblBatidas[Atividade],MATCH(L105,tblBatidas[Batida ID],0)),"DIVERGÊNCIA DE ATIVIDADE",IF(OR(B105&lt;=INDEX(tblBatidas[Data e hora],MATCH(L105,tblBatidas[Batida ID],0)),(B105-INDEX(tblBatidas[Data e hora],MATCH(L105,tblBatidas[Batida ID],0)))*24&gt;16),"HORÁRIO INVÁLIDO","VINCULADO"))))))),"INÍCIO")</f>
        <v>VINCULADO</v>
      </c>
    </row>
    <row r="106" spans="1:13" hidden="1">
      <c r="A106" t="s">
        <v>637</v>
      </c>
      <c r="B106" s="21">
        <v>46261.760312500002</v>
      </c>
      <c r="C106" s="2">
        <f t="shared" si="2"/>
        <v>46261</v>
      </c>
      <c r="D106" t="str">
        <f t="shared" si="3"/>
        <v>QUINTA-FEIRA</v>
      </c>
      <c r="E106">
        <v>1001</v>
      </c>
      <c r="F106" t="s">
        <v>43</v>
      </c>
      <c r="G106" t="s">
        <v>503</v>
      </c>
      <c r="H106" t="s">
        <v>80</v>
      </c>
      <c r="I106" t="s">
        <v>500</v>
      </c>
      <c r="J106" t="s">
        <v>638</v>
      </c>
      <c r="K106" t="s">
        <v>501</v>
      </c>
      <c r="L106" s="9"/>
      <c r="M106" t="str">
        <f>IF(G106="FIM",IF(L106="","SEM VÍNCULO",IF(COUNTIF(tblBatidas[Batida ID],L106)=0,"VÍNCULO INVÁLIDO",IF(COUNTIF(tblBatidas[Início vinculado],L106)&gt;1,"VÍNCULO DUPLICADO",IF(E106&lt;&gt;INDEX(tblBatidas[ID],MATCH(L106,tblBatidas[Batida ID],0)),"DIVERGÊNCIA DE ID",IF(H106&lt;&gt;INDEX(tblBatidas[Projeto],MATCH(L106,tblBatidas[Batida ID],0)),"DIVERGÊNCIA DE PROJETO",IF(I106&lt;&gt;INDEX(tblBatidas[Atividade],MATCH(L106,tblBatidas[Batida ID],0)),"DIVERGÊNCIA DE ATIVIDADE",IF(OR(B106&lt;=INDEX(tblBatidas[Data e hora],MATCH(L106,tblBatidas[Batida ID],0)),(B106-INDEX(tblBatidas[Data e hora],MATCH(L106,tblBatidas[Batida ID],0)))*24&gt;16),"HORÁRIO INVÁLIDO","VINCULADO"))))))),"INÍCIO")</f>
        <v>SEM VÍNCULO</v>
      </c>
    </row>
    <row r="107" spans="1:13" hidden="1">
      <c r="A107" t="s">
        <v>639</v>
      </c>
      <c r="B107" s="21">
        <v>46261.760462962964</v>
      </c>
      <c r="C107" s="2">
        <f t="shared" si="2"/>
        <v>46261</v>
      </c>
      <c r="D107" t="str">
        <f t="shared" si="3"/>
        <v>QUINTA-FEIRA</v>
      </c>
      <c r="E107">
        <v>1001</v>
      </c>
      <c r="F107" t="s">
        <v>43</v>
      </c>
      <c r="G107" t="s">
        <v>503</v>
      </c>
      <c r="H107" t="s">
        <v>80</v>
      </c>
      <c r="I107" t="s">
        <v>500</v>
      </c>
      <c r="J107" t="s">
        <v>638</v>
      </c>
      <c r="K107" t="s">
        <v>501</v>
      </c>
      <c r="L107" s="9"/>
      <c r="M107" t="str">
        <f>IF(G107="FIM",IF(L107="","SEM VÍNCULO",IF(COUNTIF(tblBatidas[Batida ID],L107)=0,"VÍNCULO INVÁLIDO",IF(COUNTIF(tblBatidas[Início vinculado],L107)&gt;1,"VÍNCULO DUPLICADO",IF(E107&lt;&gt;INDEX(tblBatidas[ID],MATCH(L107,tblBatidas[Batida ID],0)),"DIVERGÊNCIA DE ID",IF(H107&lt;&gt;INDEX(tblBatidas[Projeto],MATCH(L107,tblBatidas[Batida ID],0)),"DIVERGÊNCIA DE PROJETO",IF(I107&lt;&gt;INDEX(tblBatidas[Atividade],MATCH(L107,tblBatidas[Batida ID],0)),"DIVERGÊNCIA DE ATIVIDADE",IF(OR(B107&lt;=INDEX(tblBatidas[Data e hora],MATCH(L107,tblBatidas[Batida ID],0)),(B107-INDEX(tblBatidas[Data e hora],MATCH(L107,tblBatidas[Batida ID],0)))*24&gt;16),"HORÁRIO INVÁLIDO","VINCULADO"))))))),"INÍCIO")</f>
        <v>SEM VÍNCULO</v>
      </c>
    </row>
    <row r="108" spans="1:13" hidden="1">
      <c r="A108" t="s">
        <v>640</v>
      </c>
      <c r="B108" s="21">
        <v>46261.76116898148</v>
      </c>
      <c r="C108" s="2">
        <f t="shared" si="2"/>
        <v>46261</v>
      </c>
      <c r="D108" t="str">
        <f t="shared" si="3"/>
        <v>QUINTA-FEIRA</v>
      </c>
      <c r="E108">
        <v>1012</v>
      </c>
      <c r="F108" t="s">
        <v>55</v>
      </c>
      <c r="G108" t="s">
        <v>503</v>
      </c>
      <c r="H108" t="s">
        <v>74</v>
      </c>
      <c r="I108" t="s">
        <v>500</v>
      </c>
      <c r="K108" t="s">
        <v>501</v>
      </c>
      <c r="L108" s="9"/>
      <c r="M108" t="str">
        <f>IF(G108="FIM",IF(L108="","SEM VÍNCULO",IF(COUNTIF(tblBatidas[Batida ID],L108)=0,"VÍNCULO INVÁLIDO",IF(COUNTIF(tblBatidas[Início vinculado],L108)&gt;1,"VÍNCULO DUPLICADO",IF(E108&lt;&gt;INDEX(tblBatidas[ID],MATCH(L108,tblBatidas[Batida ID],0)),"DIVERGÊNCIA DE ID",IF(H108&lt;&gt;INDEX(tblBatidas[Projeto],MATCH(L108,tblBatidas[Batida ID],0)),"DIVERGÊNCIA DE PROJETO",IF(I108&lt;&gt;INDEX(tblBatidas[Atividade],MATCH(L108,tblBatidas[Batida ID],0)),"DIVERGÊNCIA DE ATIVIDADE",IF(OR(B108&lt;=INDEX(tblBatidas[Data e hora],MATCH(L108,tblBatidas[Batida ID],0)),(B108-INDEX(tblBatidas[Data e hora],MATCH(L108,tblBatidas[Batida ID],0)))*24&gt;16),"HORÁRIO INVÁLIDO","VINCULADO"))))))),"INÍCIO")</f>
        <v>SEM VÍNCULO</v>
      </c>
    </row>
    <row r="109" spans="1:13" hidden="1">
      <c r="A109" t="s">
        <v>641</v>
      </c>
      <c r="B109" s="21">
        <v>46261.761400462965</v>
      </c>
      <c r="C109" s="2">
        <f t="shared" si="2"/>
        <v>46261</v>
      </c>
      <c r="D109" t="str">
        <f t="shared" si="3"/>
        <v>QUINTA-FEIRA</v>
      </c>
      <c r="E109">
        <v>1012</v>
      </c>
      <c r="F109" t="s">
        <v>55</v>
      </c>
      <c r="G109" t="s">
        <v>503</v>
      </c>
      <c r="H109" t="s">
        <v>74</v>
      </c>
      <c r="I109" t="s">
        <v>500</v>
      </c>
      <c r="K109" t="s">
        <v>501</v>
      </c>
      <c r="L109" s="9"/>
      <c r="M109" t="str">
        <f>IF(G109="FIM",IF(L109="","SEM VÍNCULO",IF(COUNTIF(tblBatidas[Batida ID],L109)=0,"VÍNCULO INVÁLIDO",IF(COUNTIF(tblBatidas[Início vinculado],L109)&gt;1,"VÍNCULO DUPLICADO",IF(E109&lt;&gt;INDEX(tblBatidas[ID],MATCH(L109,tblBatidas[Batida ID],0)),"DIVERGÊNCIA DE ID",IF(H109&lt;&gt;INDEX(tblBatidas[Projeto],MATCH(L109,tblBatidas[Batida ID],0)),"DIVERGÊNCIA DE PROJETO",IF(I109&lt;&gt;INDEX(tblBatidas[Atividade],MATCH(L109,tblBatidas[Batida ID],0)),"DIVERGÊNCIA DE ATIVIDADE",IF(OR(B109&lt;=INDEX(tblBatidas[Data e hora],MATCH(L109,tblBatidas[Batida ID],0)),(B109-INDEX(tblBatidas[Data e hora],MATCH(L109,tblBatidas[Batida ID],0)))*24&gt;16),"HORÁRIO INVÁLIDO","VINCULADO"))))))),"INÍCIO")</f>
        <v>SEM VÍNCULO</v>
      </c>
    </row>
    <row r="110" spans="1:13" hidden="1">
      <c r="A110" t="s">
        <v>642</v>
      </c>
      <c r="B110" s="21">
        <v>46261.795451388891</v>
      </c>
      <c r="C110" s="2">
        <f t="shared" si="2"/>
        <v>46261</v>
      </c>
      <c r="D110" t="str">
        <f t="shared" si="3"/>
        <v>QUINTA-FEIRA</v>
      </c>
      <c r="E110">
        <v>1011</v>
      </c>
      <c r="F110" t="s">
        <v>54</v>
      </c>
      <c r="G110" t="s">
        <v>503</v>
      </c>
      <c r="H110" t="s">
        <v>74</v>
      </c>
      <c r="I110" t="s">
        <v>517</v>
      </c>
      <c r="J110" t="s">
        <v>643</v>
      </c>
      <c r="K110" t="s">
        <v>501</v>
      </c>
      <c r="L110" s="9" t="s">
        <v>620</v>
      </c>
      <c r="M110" t="str">
        <f>IF(G110="FIM",IF(L110="","SEM VÍNCULO",IF(COUNTIF(tblBatidas[Batida ID],L110)=0,"VÍNCULO INVÁLIDO",IF(COUNTIF(tblBatidas[Início vinculado],L110)&gt;1,"VÍNCULO DUPLICADO",IF(E110&lt;&gt;INDEX(tblBatidas[ID],MATCH(L110,tblBatidas[Batida ID],0)),"DIVERGÊNCIA DE ID",IF(H110&lt;&gt;INDEX(tblBatidas[Projeto],MATCH(L110,tblBatidas[Batida ID],0)),"DIVERGÊNCIA DE PROJETO",IF(I110&lt;&gt;INDEX(tblBatidas[Atividade],MATCH(L110,tblBatidas[Batida ID],0)),"DIVERGÊNCIA DE ATIVIDADE",IF(OR(B110&lt;=INDEX(tblBatidas[Data e hora],MATCH(L110,tblBatidas[Batida ID],0)),(B110-INDEX(tblBatidas[Data e hora],MATCH(L110,tblBatidas[Batida ID],0)))*24&gt;16),"HORÁRIO INVÁLIDO","VINCULADO"))))))),"INÍCIO")</f>
        <v>VINCULADO</v>
      </c>
    </row>
    <row r="111" spans="1:13" hidden="1">
      <c r="A111" t="s">
        <v>644</v>
      </c>
      <c r="B111" s="21">
        <v>46261.806145833332</v>
      </c>
      <c r="C111" s="2">
        <f t="shared" si="2"/>
        <v>46261</v>
      </c>
      <c r="D111" t="str">
        <f t="shared" si="3"/>
        <v>QUINTA-FEIRA</v>
      </c>
      <c r="E111">
        <v>1011</v>
      </c>
      <c r="F111" t="s">
        <v>54</v>
      </c>
      <c r="G111" t="s">
        <v>503</v>
      </c>
      <c r="H111" t="s">
        <v>74</v>
      </c>
      <c r="I111" t="s">
        <v>517</v>
      </c>
      <c r="J111" t="s">
        <v>643</v>
      </c>
      <c r="K111" t="s">
        <v>501</v>
      </c>
      <c r="L111" s="9"/>
      <c r="M111" t="str">
        <f>IF(G111="FIM",IF(L111="","SEM VÍNCULO",IF(COUNTIF(tblBatidas[Batida ID],L111)=0,"VÍNCULO INVÁLIDO",IF(COUNTIF(tblBatidas[Início vinculado],L111)&gt;1,"VÍNCULO DUPLICADO",IF(E111&lt;&gt;INDEX(tblBatidas[ID],MATCH(L111,tblBatidas[Batida ID],0)),"DIVERGÊNCIA DE ID",IF(H111&lt;&gt;INDEX(tblBatidas[Projeto],MATCH(L111,tblBatidas[Batida ID],0)),"DIVERGÊNCIA DE PROJETO",IF(I111&lt;&gt;INDEX(tblBatidas[Atividade],MATCH(L111,tblBatidas[Batida ID],0)),"DIVERGÊNCIA DE ATIVIDADE",IF(OR(B111&lt;=INDEX(tblBatidas[Data e hora],MATCH(L111,tblBatidas[Batida ID],0)),(B111-INDEX(tblBatidas[Data e hora],MATCH(L111,tblBatidas[Batida ID],0)))*24&gt;16),"HORÁRIO INVÁLIDO","VINCULADO"))))))),"INÍCIO")</f>
        <v>SEM VÍNCULO</v>
      </c>
    </row>
    <row r="112" spans="1:13" hidden="1">
      <c r="A112" t="s">
        <v>645</v>
      </c>
      <c r="B112" s="21">
        <v>46261.810277777775</v>
      </c>
      <c r="C112" s="2">
        <f t="shared" si="2"/>
        <v>46261</v>
      </c>
      <c r="D112" t="str">
        <f t="shared" si="3"/>
        <v>QUINTA-FEIRA</v>
      </c>
      <c r="E112">
        <v>1006</v>
      </c>
      <c r="F112" t="s">
        <v>49</v>
      </c>
      <c r="G112" t="s">
        <v>503</v>
      </c>
      <c r="H112" t="s">
        <v>80</v>
      </c>
      <c r="I112" t="s">
        <v>512</v>
      </c>
      <c r="J112" t="s">
        <v>577</v>
      </c>
      <c r="K112" t="s">
        <v>501</v>
      </c>
      <c r="L112" s="9" t="s">
        <v>605</v>
      </c>
      <c r="M112" t="str">
        <f>IF(G112="FIM",IF(L112="","SEM VÍNCULO",IF(COUNTIF(tblBatidas[Batida ID],L112)=0,"VÍNCULO INVÁLIDO",IF(COUNTIF(tblBatidas[Início vinculado],L112)&gt;1,"VÍNCULO DUPLICADO",IF(E112&lt;&gt;INDEX(tblBatidas[ID],MATCH(L112,tblBatidas[Batida ID],0)),"DIVERGÊNCIA DE ID",IF(H112&lt;&gt;INDEX(tblBatidas[Projeto],MATCH(L112,tblBatidas[Batida ID],0)),"DIVERGÊNCIA DE PROJETO",IF(I112&lt;&gt;INDEX(tblBatidas[Atividade],MATCH(L112,tblBatidas[Batida ID],0)),"DIVERGÊNCIA DE ATIVIDADE",IF(OR(B112&lt;=INDEX(tblBatidas[Data e hora],MATCH(L112,tblBatidas[Batida ID],0)),(B112-INDEX(tblBatidas[Data e hora],MATCH(L112,tblBatidas[Batida ID],0)))*24&gt;16),"HORÁRIO INVÁLIDO","VINCULADO"))))))),"INÍCIO")</f>
        <v>VINCULADO</v>
      </c>
    </row>
    <row r="113" spans="1:13" hidden="1">
      <c r="A113" t="s">
        <v>646</v>
      </c>
      <c r="B113" s="21">
        <v>46261.810879629629</v>
      </c>
      <c r="C113" s="2">
        <f t="shared" si="2"/>
        <v>46261</v>
      </c>
      <c r="D113" t="str">
        <f t="shared" si="3"/>
        <v>QUINTA-FEIRA</v>
      </c>
      <c r="E113">
        <v>1006</v>
      </c>
      <c r="F113" t="s">
        <v>49</v>
      </c>
      <c r="G113" t="s">
        <v>503</v>
      </c>
      <c r="H113" t="s">
        <v>80</v>
      </c>
      <c r="I113" t="s">
        <v>512</v>
      </c>
      <c r="J113" t="s">
        <v>647</v>
      </c>
      <c r="K113" t="s">
        <v>501</v>
      </c>
      <c r="L113" s="9"/>
      <c r="M113" t="str">
        <f>IF(G113="FIM",IF(L113="","SEM VÍNCULO",IF(COUNTIF(tblBatidas[Batida ID],L113)=0,"VÍNCULO INVÁLIDO",IF(COUNTIF(tblBatidas[Início vinculado],L113)&gt;1,"VÍNCULO DUPLICADO",IF(E113&lt;&gt;INDEX(tblBatidas[ID],MATCH(L113,tblBatidas[Batida ID],0)),"DIVERGÊNCIA DE ID",IF(H113&lt;&gt;INDEX(tblBatidas[Projeto],MATCH(L113,tblBatidas[Batida ID],0)),"DIVERGÊNCIA DE PROJETO",IF(I113&lt;&gt;INDEX(tblBatidas[Atividade],MATCH(L113,tblBatidas[Batida ID],0)),"DIVERGÊNCIA DE ATIVIDADE",IF(OR(B113&lt;=INDEX(tblBatidas[Data e hora],MATCH(L113,tblBatidas[Batida ID],0)),(B113-INDEX(tblBatidas[Data e hora],MATCH(L113,tblBatidas[Batida ID],0)))*24&gt;16),"HORÁRIO INVÁLIDO","VINCULADO"))))))),"INÍCIO")</f>
        <v>SEM VÍNCULO</v>
      </c>
    </row>
    <row r="114" spans="1:13" hidden="1">
      <c r="A114" t="s">
        <v>648</v>
      </c>
      <c r="B114" s="21">
        <v>46261.828206018516</v>
      </c>
      <c r="C114" s="2">
        <f t="shared" si="2"/>
        <v>46261</v>
      </c>
      <c r="D114" t="str">
        <f t="shared" si="3"/>
        <v>QUINTA-FEIRA</v>
      </c>
      <c r="E114">
        <v>1006</v>
      </c>
      <c r="F114" t="s">
        <v>49</v>
      </c>
      <c r="G114" t="s">
        <v>503</v>
      </c>
      <c r="H114" t="s">
        <v>80</v>
      </c>
      <c r="I114" t="s">
        <v>512</v>
      </c>
      <c r="J114" t="s">
        <v>647</v>
      </c>
      <c r="K114" t="s">
        <v>501</v>
      </c>
      <c r="L114" s="9"/>
      <c r="M114" t="str">
        <f>IF(G114="FIM",IF(L114="","SEM VÍNCULO",IF(COUNTIF(tblBatidas[Batida ID],L114)=0,"VÍNCULO INVÁLIDO",IF(COUNTIF(tblBatidas[Início vinculado],L114)&gt;1,"VÍNCULO DUPLICADO",IF(E114&lt;&gt;INDEX(tblBatidas[ID],MATCH(L114,tblBatidas[Batida ID],0)),"DIVERGÊNCIA DE ID",IF(H114&lt;&gt;INDEX(tblBatidas[Projeto],MATCH(L114,tblBatidas[Batida ID],0)),"DIVERGÊNCIA DE PROJETO",IF(I114&lt;&gt;INDEX(tblBatidas[Atividade],MATCH(L114,tblBatidas[Batida ID],0)),"DIVERGÊNCIA DE ATIVIDADE",IF(OR(B114&lt;=INDEX(tblBatidas[Data e hora],MATCH(L114,tblBatidas[Batida ID],0)),(B114-INDEX(tblBatidas[Data e hora],MATCH(L114,tblBatidas[Batida ID],0)))*24&gt;16),"HORÁRIO INVÁLIDO","VINCULADO"))))))),"INÍCIO")</f>
        <v>SEM VÍNCULO</v>
      </c>
    </row>
    <row r="115" spans="1:13" hidden="1">
      <c r="A115" t="s">
        <v>649</v>
      </c>
      <c r="B115" s="21">
        <v>46261.845659722225</v>
      </c>
      <c r="C115" s="2">
        <f t="shared" si="2"/>
        <v>46261</v>
      </c>
      <c r="D115" t="str">
        <f t="shared" si="3"/>
        <v>QUINTA-FEIRA</v>
      </c>
      <c r="E115">
        <v>1006</v>
      </c>
      <c r="F115" t="s">
        <v>49</v>
      </c>
      <c r="G115" t="s">
        <v>503</v>
      </c>
      <c r="H115" t="s">
        <v>80</v>
      </c>
      <c r="I115" t="s">
        <v>512</v>
      </c>
      <c r="J115" t="s">
        <v>647</v>
      </c>
      <c r="K115" t="s">
        <v>501</v>
      </c>
      <c r="L115" s="9"/>
      <c r="M115" t="str">
        <f>IF(G115="FIM",IF(L115="","SEM VÍNCULO",IF(COUNTIF(tblBatidas[Batida ID],L115)=0,"VÍNCULO INVÁLIDO",IF(COUNTIF(tblBatidas[Início vinculado],L115)&gt;1,"VÍNCULO DUPLICADO",IF(E115&lt;&gt;INDEX(tblBatidas[ID],MATCH(L115,tblBatidas[Batida ID],0)),"DIVERGÊNCIA DE ID",IF(H115&lt;&gt;INDEX(tblBatidas[Projeto],MATCH(L115,tblBatidas[Batida ID],0)),"DIVERGÊNCIA DE PROJETO",IF(I115&lt;&gt;INDEX(tblBatidas[Atividade],MATCH(L115,tblBatidas[Batida ID],0)),"DIVERGÊNCIA DE ATIVIDADE",IF(OR(B115&lt;=INDEX(tblBatidas[Data e hora],MATCH(L115,tblBatidas[Batida ID],0)),(B115-INDEX(tblBatidas[Data e hora],MATCH(L115,tblBatidas[Batida ID],0)))*24&gt;16),"HORÁRIO INVÁLIDO","VINCULADO"))))))),"INÍCIO")</f>
        <v>SEM VÍNCULO</v>
      </c>
    </row>
    <row r="116" spans="1:13" hidden="1">
      <c r="A116" t="s">
        <v>650</v>
      </c>
      <c r="B116" s="21">
        <v>46261.845775462964</v>
      </c>
      <c r="C116" s="2">
        <f t="shared" si="2"/>
        <v>46261</v>
      </c>
      <c r="D116" t="str">
        <f t="shared" si="3"/>
        <v>QUINTA-FEIRA</v>
      </c>
      <c r="E116">
        <v>1006</v>
      </c>
      <c r="F116" t="s">
        <v>49</v>
      </c>
      <c r="G116" t="s">
        <v>503</v>
      </c>
      <c r="H116" t="s">
        <v>80</v>
      </c>
      <c r="I116" t="s">
        <v>512</v>
      </c>
      <c r="J116" t="s">
        <v>647</v>
      </c>
      <c r="K116" t="s">
        <v>501</v>
      </c>
      <c r="L116" s="9"/>
      <c r="M116" t="str">
        <f>IF(G116="FIM",IF(L116="","SEM VÍNCULO",IF(COUNTIF(tblBatidas[Batida ID],L116)=0,"VÍNCULO INVÁLIDO",IF(COUNTIF(tblBatidas[Início vinculado],L116)&gt;1,"VÍNCULO DUPLICADO",IF(E116&lt;&gt;INDEX(tblBatidas[ID],MATCH(L116,tblBatidas[Batida ID],0)),"DIVERGÊNCIA DE ID",IF(H116&lt;&gt;INDEX(tblBatidas[Projeto],MATCH(L116,tblBatidas[Batida ID],0)),"DIVERGÊNCIA DE PROJETO",IF(I116&lt;&gt;INDEX(tblBatidas[Atividade],MATCH(L116,tblBatidas[Batida ID],0)),"DIVERGÊNCIA DE ATIVIDADE",IF(OR(B116&lt;=INDEX(tblBatidas[Data e hora],MATCH(L116,tblBatidas[Batida ID],0)),(B116-INDEX(tblBatidas[Data e hora],MATCH(L116,tblBatidas[Batida ID],0)))*24&gt;16),"HORÁRIO INVÁLIDO","VINCULADO"))))))),"INÍCIO")</f>
        <v>SEM VÍNCULO</v>
      </c>
    </row>
    <row r="117" spans="1:13" hidden="1">
      <c r="A117" t="s">
        <v>651</v>
      </c>
      <c r="B117" s="21">
        <v>46261.846574074072</v>
      </c>
      <c r="C117" s="2">
        <f t="shared" si="2"/>
        <v>46261</v>
      </c>
      <c r="D117" t="str">
        <f t="shared" si="3"/>
        <v>QUINTA-FEIRA</v>
      </c>
      <c r="E117">
        <v>1004</v>
      </c>
      <c r="F117" t="s">
        <v>47</v>
      </c>
      <c r="G117" t="s">
        <v>503</v>
      </c>
      <c r="H117" t="s">
        <v>72</v>
      </c>
      <c r="I117" t="s">
        <v>538</v>
      </c>
      <c r="J117" t="s">
        <v>652</v>
      </c>
      <c r="K117" t="s">
        <v>501</v>
      </c>
      <c r="L117" s="9" t="s">
        <v>623</v>
      </c>
      <c r="M117" t="str">
        <f>IF(G117="FIM",IF(L117="","SEM VÍNCULO",IF(COUNTIF(tblBatidas[Batida ID],L117)=0,"VÍNCULO INVÁLIDO",IF(COUNTIF(tblBatidas[Início vinculado],L117)&gt;1,"VÍNCULO DUPLICADO",IF(E117&lt;&gt;INDEX(tblBatidas[ID],MATCH(L117,tblBatidas[Batida ID],0)),"DIVERGÊNCIA DE ID",IF(H117&lt;&gt;INDEX(tblBatidas[Projeto],MATCH(L117,tblBatidas[Batida ID],0)),"DIVERGÊNCIA DE PROJETO",IF(I117&lt;&gt;INDEX(tblBatidas[Atividade],MATCH(L117,tblBatidas[Batida ID],0)),"DIVERGÊNCIA DE ATIVIDADE",IF(OR(B117&lt;=INDEX(tblBatidas[Data e hora],MATCH(L117,tblBatidas[Batida ID],0)),(B117-INDEX(tblBatidas[Data e hora],MATCH(L117,tblBatidas[Batida ID],0)))*24&gt;16),"HORÁRIO INVÁLIDO","VINCULADO"))))))),"INÍCIO")</f>
        <v>VINCULADO</v>
      </c>
    </row>
    <row r="118" spans="1:13" hidden="1">
      <c r="A118" t="s">
        <v>653</v>
      </c>
      <c r="B118" s="21">
        <v>46262.332592592589</v>
      </c>
      <c r="C118" s="2">
        <f t="shared" si="2"/>
        <v>46262</v>
      </c>
      <c r="D118" t="str">
        <f t="shared" si="3"/>
        <v>SEXTA-FEIRA</v>
      </c>
      <c r="E118">
        <v>1003</v>
      </c>
      <c r="F118" t="s">
        <v>46</v>
      </c>
      <c r="G118" t="s">
        <v>499</v>
      </c>
      <c r="H118" t="s">
        <v>74</v>
      </c>
      <c r="I118" t="s">
        <v>517</v>
      </c>
      <c r="J118" t="s">
        <v>654</v>
      </c>
      <c r="K118" t="s">
        <v>501</v>
      </c>
      <c r="L118" s="9"/>
      <c r="M118" t="str">
        <f>IF(G118="FIM",IF(L118="","SEM VÍNCULO",IF(COUNTIF(tblBatidas[Batida ID],L118)=0,"VÍNCULO INVÁLIDO",IF(COUNTIF(tblBatidas[Início vinculado],L118)&gt;1,"VÍNCULO DUPLICADO",IF(E118&lt;&gt;INDEX(tblBatidas[ID],MATCH(L118,tblBatidas[Batida ID],0)),"DIVERGÊNCIA DE ID",IF(H118&lt;&gt;INDEX(tblBatidas[Projeto],MATCH(L118,tblBatidas[Batida ID],0)),"DIVERGÊNCIA DE PROJETO",IF(I118&lt;&gt;INDEX(tblBatidas[Atividade],MATCH(L118,tblBatidas[Batida ID],0)),"DIVERGÊNCIA DE ATIVIDADE",IF(OR(B118&lt;=INDEX(tblBatidas[Data e hora],MATCH(L118,tblBatidas[Batida ID],0)),(B118-INDEX(tblBatidas[Data e hora],MATCH(L118,tblBatidas[Batida ID],0)))*24&gt;16),"HORÁRIO INVÁLIDO","VINCULADO"))))))),"INÍCIO")</f>
        <v>INÍCIO</v>
      </c>
    </row>
    <row r="119" spans="1:13" hidden="1">
      <c r="A119" t="s">
        <v>655</v>
      </c>
      <c r="B119" s="21">
        <v>46262.3434375</v>
      </c>
      <c r="C119" s="2">
        <f t="shared" si="2"/>
        <v>46262</v>
      </c>
      <c r="D119" t="str">
        <f t="shared" si="3"/>
        <v>SEXTA-FEIRA</v>
      </c>
      <c r="E119">
        <v>1011</v>
      </c>
      <c r="F119" t="s">
        <v>54</v>
      </c>
      <c r="G119" t="s">
        <v>499</v>
      </c>
      <c r="H119" t="s">
        <v>76</v>
      </c>
      <c r="I119" t="s">
        <v>517</v>
      </c>
      <c r="J119" t="s">
        <v>656</v>
      </c>
      <c r="K119" t="s">
        <v>501</v>
      </c>
      <c r="L119" s="9"/>
      <c r="M119" t="str">
        <f>IF(G119="FIM",IF(L119="","SEM VÍNCULO",IF(COUNTIF(tblBatidas[Batida ID],L119)=0,"VÍNCULO INVÁLIDO",IF(COUNTIF(tblBatidas[Início vinculado],L119)&gt;1,"VÍNCULO DUPLICADO",IF(E119&lt;&gt;INDEX(tblBatidas[ID],MATCH(L119,tblBatidas[Batida ID],0)),"DIVERGÊNCIA DE ID",IF(H119&lt;&gt;INDEX(tblBatidas[Projeto],MATCH(L119,tblBatidas[Batida ID],0)),"DIVERGÊNCIA DE PROJETO",IF(I119&lt;&gt;INDEX(tblBatidas[Atividade],MATCH(L119,tblBatidas[Batida ID],0)),"DIVERGÊNCIA DE ATIVIDADE",IF(OR(B119&lt;=INDEX(tblBatidas[Data e hora],MATCH(L119,tblBatidas[Batida ID],0)),(B119-INDEX(tblBatidas[Data e hora],MATCH(L119,tblBatidas[Batida ID],0)))*24&gt;16),"HORÁRIO INVÁLIDO","VINCULADO"))))))),"INÍCIO")</f>
        <v>INÍCIO</v>
      </c>
    </row>
    <row r="120" spans="1:13" hidden="1">
      <c r="A120" t="s">
        <v>657</v>
      </c>
      <c r="B120" s="21">
        <v>46262.348958333336</v>
      </c>
      <c r="C120" s="2">
        <f t="shared" si="2"/>
        <v>46262</v>
      </c>
      <c r="D120" t="str">
        <f t="shared" si="3"/>
        <v>SEXTA-FEIRA</v>
      </c>
      <c r="E120">
        <v>1013</v>
      </c>
      <c r="F120" t="s">
        <v>57</v>
      </c>
      <c r="G120" t="s">
        <v>499</v>
      </c>
      <c r="H120" t="s">
        <v>74</v>
      </c>
      <c r="I120" t="s">
        <v>517</v>
      </c>
      <c r="K120" t="s">
        <v>501</v>
      </c>
      <c r="L120" s="9"/>
      <c r="M120" t="str">
        <f>IF(G120="FIM",IF(L120="","SEM VÍNCULO",IF(COUNTIF(tblBatidas[Batida ID],L120)=0,"VÍNCULO INVÁLIDO",IF(COUNTIF(tblBatidas[Início vinculado],L120)&gt;1,"VÍNCULO DUPLICADO",IF(E120&lt;&gt;INDEX(tblBatidas[ID],MATCH(L120,tblBatidas[Batida ID],0)),"DIVERGÊNCIA DE ID",IF(H120&lt;&gt;INDEX(tblBatidas[Projeto],MATCH(L120,tblBatidas[Batida ID],0)),"DIVERGÊNCIA DE PROJETO",IF(I120&lt;&gt;INDEX(tblBatidas[Atividade],MATCH(L120,tblBatidas[Batida ID],0)),"DIVERGÊNCIA DE ATIVIDADE",IF(OR(B120&lt;=INDEX(tblBatidas[Data e hora],MATCH(L120,tblBatidas[Batida ID],0)),(B120-INDEX(tblBatidas[Data e hora],MATCH(L120,tblBatidas[Batida ID],0)))*24&gt;16),"HORÁRIO INVÁLIDO","VINCULADO"))))))),"INÍCIO")</f>
        <v>INÍCIO</v>
      </c>
    </row>
    <row r="121" spans="1:13" hidden="1">
      <c r="A121" t="s">
        <v>658</v>
      </c>
      <c r="B121" s="21">
        <v>46262.356377314813</v>
      </c>
      <c r="C121" s="2">
        <f t="shared" si="2"/>
        <v>46262</v>
      </c>
      <c r="D121" t="str">
        <f t="shared" si="3"/>
        <v>SEXTA-FEIRA</v>
      </c>
      <c r="E121">
        <v>1001</v>
      </c>
      <c r="F121" t="s">
        <v>43</v>
      </c>
      <c r="G121" t="s">
        <v>499</v>
      </c>
      <c r="H121" t="s">
        <v>80</v>
      </c>
      <c r="I121" t="s">
        <v>500</v>
      </c>
      <c r="J121" t="s">
        <v>659</v>
      </c>
      <c r="K121" t="s">
        <v>501</v>
      </c>
      <c r="L121" s="9"/>
      <c r="M121" t="str">
        <f>IF(G121="FIM",IF(L121="","SEM VÍNCULO",IF(COUNTIF(tblBatidas[Batida ID],L121)=0,"VÍNCULO INVÁLIDO",IF(COUNTIF(tblBatidas[Início vinculado],L121)&gt;1,"VÍNCULO DUPLICADO",IF(E121&lt;&gt;INDEX(tblBatidas[ID],MATCH(L121,tblBatidas[Batida ID],0)),"DIVERGÊNCIA DE ID",IF(H121&lt;&gt;INDEX(tblBatidas[Projeto],MATCH(L121,tblBatidas[Batida ID],0)),"DIVERGÊNCIA DE PROJETO",IF(I121&lt;&gt;INDEX(tblBatidas[Atividade],MATCH(L121,tblBatidas[Batida ID],0)),"DIVERGÊNCIA DE ATIVIDADE",IF(OR(B121&lt;=INDEX(tblBatidas[Data e hora],MATCH(L121,tblBatidas[Batida ID],0)),(B121-INDEX(tblBatidas[Data e hora],MATCH(L121,tblBatidas[Batida ID],0)))*24&gt;16),"HORÁRIO INVÁLIDO","VINCULADO"))))))),"INÍCIO")</f>
        <v>INÍCIO</v>
      </c>
    </row>
    <row r="122" spans="1:13" hidden="1">
      <c r="A122" t="s">
        <v>660</v>
      </c>
      <c r="B122" s="21">
        <v>46262.369085648148</v>
      </c>
      <c r="C122" s="2">
        <f t="shared" si="2"/>
        <v>46262</v>
      </c>
      <c r="D122" t="str">
        <f t="shared" si="3"/>
        <v>SEXTA-FEIRA</v>
      </c>
      <c r="E122">
        <v>1006</v>
      </c>
      <c r="F122" t="s">
        <v>49</v>
      </c>
      <c r="G122" t="s">
        <v>499</v>
      </c>
      <c r="H122" t="s">
        <v>80</v>
      </c>
      <c r="I122" t="s">
        <v>512</v>
      </c>
      <c r="J122" t="s">
        <v>577</v>
      </c>
      <c r="K122" t="s">
        <v>501</v>
      </c>
      <c r="L122" s="9"/>
      <c r="M122" t="str">
        <f>IF(G122="FIM",IF(L122="","SEM VÍNCULO",IF(COUNTIF(tblBatidas[Batida ID],L122)=0,"VÍNCULO INVÁLIDO",IF(COUNTIF(tblBatidas[Início vinculado],L122)&gt;1,"VÍNCULO DUPLICADO",IF(E122&lt;&gt;INDEX(tblBatidas[ID],MATCH(L122,tblBatidas[Batida ID],0)),"DIVERGÊNCIA DE ID",IF(H122&lt;&gt;INDEX(tblBatidas[Projeto],MATCH(L122,tblBatidas[Batida ID],0)),"DIVERGÊNCIA DE PROJETO",IF(I122&lt;&gt;INDEX(tblBatidas[Atividade],MATCH(L122,tblBatidas[Batida ID],0)),"DIVERGÊNCIA DE ATIVIDADE",IF(OR(B122&lt;=INDEX(tblBatidas[Data e hora],MATCH(L122,tblBatidas[Batida ID],0)),(B122-INDEX(tblBatidas[Data e hora],MATCH(L122,tblBatidas[Batida ID],0)))*24&gt;16),"HORÁRIO INVÁLIDO","VINCULADO"))))))),"INÍCIO")</f>
        <v>INÍCIO</v>
      </c>
    </row>
    <row r="123" spans="1:13">
      <c r="A123" t="s">
        <v>661</v>
      </c>
      <c r="B123" s="21">
        <v>46262.369513888887</v>
      </c>
      <c r="C123" s="2">
        <f t="shared" si="2"/>
        <v>46262</v>
      </c>
      <c r="D123" t="str">
        <f t="shared" si="3"/>
        <v>SEXTA-FEIRA</v>
      </c>
      <c r="E123">
        <v>1002</v>
      </c>
      <c r="F123" t="s">
        <v>45</v>
      </c>
      <c r="G123" t="s">
        <v>499</v>
      </c>
      <c r="H123" t="s">
        <v>70</v>
      </c>
      <c r="I123" t="s">
        <v>517</v>
      </c>
      <c r="K123" t="s">
        <v>501</v>
      </c>
      <c r="L123" s="9"/>
      <c r="M123" t="str">
        <f>IF(G123="FIM",IF(L123="","SEM VÍNCULO",IF(COUNTIF(tblBatidas[Batida ID],L123)=0,"VÍNCULO INVÁLIDO",IF(COUNTIF(tblBatidas[Início vinculado],L123)&gt;1,"VÍNCULO DUPLICADO",IF(E123&lt;&gt;INDEX(tblBatidas[ID],MATCH(L123,tblBatidas[Batida ID],0)),"DIVERGÊNCIA DE ID",IF(H123&lt;&gt;INDEX(tblBatidas[Projeto],MATCH(L123,tblBatidas[Batida ID],0)),"DIVERGÊNCIA DE PROJETO",IF(I123&lt;&gt;INDEX(tblBatidas[Atividade],MATCH(L123,tblBatidas[Batida ID],0)),"DIVERGÊNCIA DE ATIVIDADE",IF(OR(B123&lt;=INDEX(tblBatidas[Data e hora],MATCH(L123,tblBatidas[Batida ID],0)),(B123-INDEX(tblBatidas[Data e hora],MATCH(L123,tblBatidas[Batida ID],0)))*24&gt;16),"HORÁRIO INVÁLIDO","VINCULADO"))))))),"INÍCIO")</f>
        <v>INÍCIO</v>
      </c>
    </row>
    <row r="124" spans="1:13" hidden="1">
      <c r="A124" t="s">
        <v>662</v>
      </c>
      <c r="B124" s="21">
        <v>46262.375810185185</v>
      </c>
      <c r="C124" s="2">
        <f t="shared" si="2"/>
        <v>46262</v>
      </c>
      <c r="D124" t="str">
        <f t="shared" si="3"/>
        <v>SEXTA-FEIRA</v>
      </c>
      <c r="E124">
        <v>1015</v>
      </c>
      <c r="F124" t="s">
        <v>59</v>
      </c>
      <c r="G124" t="s">
        <v>499</v>
      </c>
      <c r="H124" t="s">
        <v>84</v>
      </c>
      <c r="I124" t="s">
        <v>84</v>
      </c>
      <c r="K124" t="s">
        <v>501</v>
      </c>
      <c r="L124" s="9"/>
      <c r="M124" t="str">
        <f>IF(G124="FIM",IF(L124="","SEM VÍNCULO",IF(COUNTIF(tblBatidas[Batida ID],L124)=0,"VÍNCULO INVÁLIDO",IF(COUNTIF(tblBatidas[Início vinculado],L124)&gt;1,"VÍNCULO DUPLICADO",IF(E124&lt;&gt;INDEX(tblBatidas[ID],MATCH(L124,tblBatidas[Batida ID],0)),"DIVERGÊNCIA DE ID",IF(H124&lt;&gt;INDEX(tblBatidas[Projeto],MATCH(L124,tblBatidas[Batida ID],0)),"DIVERGÊNCIA DE PROJETO",IF(I124&lt;&gt;INDEX(tblBatidas[Atividade],MATCH(L124,tblBatidas[Batida ID],0)),"DIVERGÊNCIA DE ATIVIDADE",IF(OR(B124&lt;=INDEX(tblBatidas[Data e hora],MATCH(L124,tblBatidas[Batida ID],0)),(B124-INDEX(tblBatidas[Data e hora],MATCH(L124,tblBatidas[Batida ID],0)))*24&gt;16),"HORÁRIO INVÁLIDO","VINCULADO"))))))),"INÍCIO")</f>
        <v>INÍCIO</v>
      </c>
    </row>
    <row r="125" spans="1:13" hidden="1">
      <c r="A125" t="s">
        <v>663</v>
      </c>
      <c r="B125" s="21">
        <v>46262.402488425927</v>
      </c>
      <c r="C125" s="2">
        <f t="shared" si="2"/>
        <v>46262</v>
      </c>
      <c r="D125" t="str">
        <f t="shared" si="3"/>
        <v>SEXTA-FEIRA</v>
      </c>
      <c r="E125">
        <v>1012</v>
      </c>
      <c r="F125" t="s">
        <v>55</v>
      </c>
      <c r="G125" t="s">
        <v>499</v>
      </c>
      <c r="H125" t="s">
        <v>74</v>
      </c>
      <c r="I125" t="s">
        <v>500</v>
      </c>
      <c r="J125" t="s">
        <v>664</v>
      </c>
      <c r="K125" t="s">
        <v>501</v>
      </c>
      <c r="L125" s="9"/>
      <c r="M125" t="str">
        <f>IF(G125="FIM",IF(L125="","SEM VÍNCULO",IF(COUNTIF(tblBatidas[Batida ID],L125)=0,"VÍNCULO INVÁLIDO",IF(COUNTIF(tblBatidas[Início vinculado],L125)&gt;1,"VÍNCULO DUPLICADO",IF(E125&lt;&gt;INDEX(tblBatidas[ID],MATCH(L125,tblBatidas[Batida ID],0)),"DIVERGÊNCIA DE ID",IF(H125&lt;&gt;INDEX(tblBatidas[Projeto],MATCH(L125,tblBatidas[Batida ID],0)),"DIVERGÊNCIA DE PROJETO",IF(I125&lt;&gt;INDEX(tblBatidas[Atividade],MATCH(L125,tblBatidas[Batida ID],0)),"DIVERGÊNCIA DE ATIVIDADE",IF(OR(B125&lt;=INDEX(tblBatidas[Data e hora],MATCH(L125,tblBatidas[Batida ID],0)),(B125-INDEX(tblBatidas[Data e hora],MATCH(L125,tblBatidas[Batida ID],0)))*24&gt;16),"HORÁRIO INVÁLIDO","VINCULADO"))))))),"INÍCIO")</f>
        <v>INÍCIO</v>
      </c>
    </row>
    <row r="126" spans="1:13" hidden="1">
      <c r="A126" t="s">
        <v>665</v>
      </c>
      <c r="B126" s="21">
        <v>46262.402638888889</v>
      </c>
      <c r="C126" s="2">
        <f t="shared" si="2"/>
        <v>46262</v>
      </c>
      <c r="D126" t="str">
        <f t="shared" si="3"/>
        <v>SEXTA-FEIRA</v>
      </c>
      <c r="E126">
        <v>1012</v>
      </c>
      <c r="F126" t="s">
        <v>55</v>
      </c>
      <c r="G126" t="s">
        <v>499</v>
      </c>
      <c r="H126" t="s">
        <v>74</v>
      </c>
      <c r="I126" t="s">
        <v>500</v>
      </c>
      <c r="J126" t="s">
        <v>664</v>
      </c>
      <c r="K126" t="s">
        <v>501</v>
      </c>
      <c r="L126" s="9"/>
      <c r="M126" t="str">
        <f>IF(G126="FIM",IF(L126="","SEM VÍNCULO",IF(COUNTIF(tblBatidas[Batida ID],L126)=0,"VÍNCULO INVÁLIDO",IF(COUNTIF(tblBatidas[Início vinculado],L126)&gt;1,"VÍNCULO DUPLICADO",IF(E126&lt;&gt;INDEX(tblBatidas[ID],MATCH(L126,tblBatidas[Batida ID],0)),"DIVERGÊNCIA DE ID",IF(H126&lt;&gt;INDEX(tblBatidas[Projeto],MATCH(L126,tblBatidas[Batida ID],0)),"DIVERGÊNCIA DE PROJETO",IF(I126&lt;&gt;INDEX(tblBatidas[Atividade],MATCH(L126,tblBatidas[Batida ID],0)),"DIVERGÊNCIA DE ATIVIDADE",IF(OR(B126&lt;=INDEX(tblBatidas[Data e hora],MATCH(L126,tblBatidas[Batida ID],0)),(B126-INDEX(tblBatidas[Data e hora],MATCH(L126,tblBatidas[Batida ID],0)))*24&gt;16),"HORÁRIO INVÁLIDO","VINCULADO"))))))),"INÍCIO")</f>
        <v>INÍCIO</v>
      </c>
    </row>
    <row r="127" spans="1:13" hidden="1">
      <c r="A127" t="s">
        <v>666</v>
      </c>
      <c r="B127" s="21">
        <v>46262.403506944444</v>
      </c>
      <c r="C127" s="2">
        <f t="shared" si="2"/>
        <v>46262</v>
      </c>
      <c r="D127" t="str">
        <f t="shared" si="3"/>
        <v>SEXTA-FEIRA</v>
      </c>
      <c r="E127">
        <v>1012</v>
      </c>
      <c r="F127" t="s">
        <v>55</v>
      </c>
      <c r="G127" t="s">
        <v>499</v>
      </c>
      <c r="H127" t="s">
        <v>74</v>
      </c>
      <c r="I127" t="s">
        <v>500</v>
      </c>
      <c r="J127" t="s">
        <v>664</v>
      </c>
      <c r="K127" t="s">
        <v>501</v>
      </c>
      <c r="L127" s="9"/>
      <c r="M127" t="str">
        <f>IF(G127="FIM",IF(L127="","SEM VÍNCULO",IF(COUNTIF(tblBatidas[Batida ID],L127)=0,"VÍNCULO INVÁLIDO",IF(COUNTIF(tblBatidas[Início vinculado],L127)&gt;1,"VÍNCULO DUPLICADO",IF(E127&lt;&gt;INDEX(tblBatidas[ID],MATCH(L127,tblBatidas[Batida ID],0)),"DIVERGÊNCIA DE ID",IF(H127&lt;&gt;INDEX(tblBatidas[Projeto],MATCH(L127,tblBatidas[Batida ID],0)),"DIVERGÊNCIA DE PROJETO",IF(I127&lt;&gt;INDEX(tblBatidas[Atividade],MATCH(L127,tblBatidas[Batida ID],0)),"DIVERGÊNCIA DE ATIVIDADE",IF(OR(B127&lt;=INDEX(tblBatidas[Data e hora],MATCH(L127,tblBatidas[Batida ID],0)),(B127-INDEX(tblBatidas[Data e hora],MATCH(L127,tblBatidas[Batida ID],0)))*24&gt;16),"HORÁRIO INVÁLIDO","VINCULADO"))))))),"INÍCIO")</f>
        <v>INÍCIO</v>
      </c>
    </row>
    <row r="128" spans="1:13" hidden="1">
      <c r="A128" t="s">
        <v>667</v>
      </c>
      <c r="B128" s="21">
        <v>46262.411157407405</v>
      </c>
      <c r="C128" s="2">
        <f t="shared" si="2"/>
        <v>46262</v>
      </c>
      <c r="D128" t="str">
        <f t="shared" si="3"/>
        <v>SEXTA-FEIRA</v>
      </c>
      <c r="E128">
        <v>1014</v>
      </c>
      <c r="F128" t="s">
        <v>58</v>
      </c>
      <c r="G128" t="s">
        <v>499</v>
      </c>
      <c r="H128" t="s">
        <v>80</v>
      </c>
      <c r="I128" t="s">
        <v>512</v>
      </c>
      <c r="K128" t="s">
        <v>501</v>
      </c>
      <c r="L128" s="9"/>
      <c r="M128" t="str">
        <f>IF(G128="FIM",IF(L128="","SEM VÍNCULO",IF(COUNTIF(tblBatidas[Batida ID],L128)=0,"VÍNCULO INVÁLIDO",IF(COUNTIF(tblBatidas[Início vinculado],L128)&gt;1,"VÍNCULO DUPLICADO",IF(E128&lt;&gt;INDEX(tblBatidas[ID],MATCH(L128,tblBatidas[Batida ID],0)),"DIVERGÊNCIA DE ID",IF(H128&lt;&gt;INDEX(tblBatidas[Projeto],MATCH(L128,tblBatidas[Batida ID],0)),"DIVERGÊNCIA DE PROJETO",IF(I128&lt;&gt;INDEX(tblBatidas[Atividade],MATCH(L128,tblBatidas[Batida ID],0)),"DIVERGÊNCIA DE ATIVIDADE",IF(OR(B128&lt;=INDEX(tblBatidas[Data e hora],MATCH(L128,tblBatidas[Batida ID],0)),(B128-INDEX(tblBatidas[Data e hora],MATCH(L128,tblBatidas[Batida ID],0)))*24&gt;16),"HORÁRIO INVÁLIDO","VINCULADO"))))))),"INÍCIO")</f>
        <v>INÍCIO</v>
      </c>
    </row>
    <row r="129" spans="1:13" hidden="1">
      <c r="A129" t="s">
        <v>668</v>
      </c>
      <c r="B129" s="21">
        <v>46262.429699074077</v>
      </c>
      <c r="C129" s="2">
        <f t="shared" si="2"/>
        <v>46262</v>
      </c>
      <c r="D129" t="str">
        <f t="shared" si="3"/>
        <v>SEXTA-FEIRA</v>
      </c>
      <c r="E129">
        <v>1016</v>
      </c>
      <c r="F129" t="s">
        <v>60</v>
      </c>
      <c r="G129" t="s">
        <v>499</v>
      </c>
      <c r="H129" t="s">
        <v>70</v>
      </c>
      <c r="I129" t="s">
        <v>517</v>
      </c>
      <c r="K129" t="s">
        <v>501</v>
      </c>
      <c r="L129" s="9"/>
      <c r="M129" t="str">
        <f>IF(G129="FIM",IF(L129="","SEM VÍNCULO",IF(COUNTIF(tblBatidas[Batida ID],L129)=0,"VÍNCULO INVÁLIDO",IF(COUNTIF(tblBatidas[Início vinculado],L129)&gt;1,"VÍNCULO DUPLICADO",IF(E129&lt;&gt;INDEX(tblBatidas[ID],MATCH(L129,tblBatidas[Batida ID],0)),"DIVERGÊNCIA DE ID",IF(H129&lt;&gt;INDEX(tblBatidas[Projeto],MATCH(L129,tblBatidas[Batida ID],0)),"DIVERGÊNCIA DE PROJETO",IF(I129&lt;&gt;INDEX(tblBatidas[Atividade],MATCH(L129,tblBatidas[Batida ID],0)),"DIVERGÊNCIA DE ATIVIDADE",IF(OR(B129&lt;=INDEX(tblBatidas[Data e hora],MATCH(L129,tblBatidas[Batida ID],0)),(B129-INDEX(tblBatidas[Data e hora],MATCH(L129,tblBatidas[Batida ID],0)))*24&gt;16),"HORÁRIO INVÁLIDO","VINCULADO"))))))),"INÍCIO")</f>
        <v>INÍCIO</v>
      </c>
    </row>
    <row r="130" spans="1:13" hidden="1">
      <c r="A130" t="s">
        <v>669</v>
      </c>
      <c r="B130" s="21">
        <v>46262.44494212963</v>
      </c>
      <c r="C130" s="2">
        <f t="shared" si="2"/>
        <v>46262</v>
      </c>
      <c r="D130" t="str">
        <f t="shared" si="3"/>
        <v>SEXTA-FEIRA</v>
      </c>
      <c r="E130">
        <v>1006</v>
      </c>
      <c r="F130" t="s">
        <v>49</v>
      </c>
      <c r="G130" t="s">
        <v>503</v>
      </c>
      <c r="H130" t="s">
        <v>80</v>
      </c>
      <c r="I130" t="s">
        <v>512</v>
      </c>
      <c r="J130" t="s">
        <v>577</v>
      </c>
      <c r="K130" t="s">
        <v>501</v>
      </c>
      <c r="L130" s="9" t="s">
        <v>660</v>
      </c>
      <c r="M130" t="str">
        <f>IF(G130="FIM",IF(L130="","SEM VÍNCULO",IF(COUNTIF(tblBatidas[Batida ID],L130)=0,"VÍNCULO INVÁLIDO",IF(COUNTIF(tblBatidas[Início vinculado],L130)&gt;1,"VÍNCULO DUPLICADO",IF(E130&lt;&gt;INDEX(tblBatidas[ID],MATCH(L130,tblBatidas[Batida ID],0)),"DIVERGÊNCIA DE ID",IF(H130&lt;&gt;INDEX(tblBatidas[Projeto],MATCH(L130,tblBatidas[Batida ID],0)),"DIVERGÊNCIA DE PROJETO",IF(I130&lt;&gt;INDEX(tblBatidas[Atividade],MATCH(L130,tblBatidas[Batida ID],0)),"DIVERGÊNCIA DE ATIVIDADE",IF(OR(B130&lt;=INDEX(tblBatidas[Data e hora],MATCH(L130,tblBatidas[Batida ID],0)),(B130-INDEX(tblBatidas[Data e hora],MATCH(L130,tblBatidas[Batida ID],0)))*24&gt;16),"HORÁRIO INVÁLIDO","VINCULADO"))))))),"INÍCIO")</f>
        <v>VINCULADO</v>
      </c>
    </row>
    <row r="131" spans="1:13" hidden="1">
      <c r="A131" t="s">
        <v>670</v>
      </c>
      <c r="B131" s="21">
        <v>46262.445960648147</v>
      </c>
      <c r="C131" s="2">
        <f t="shared" si="2"/>
        <v>46262</v>
      </c>
      <c r="D131" t="str">
        <f t="shared" si="3"/>
        <v>SEXTA-FEIRA</v>
      </c>
      <c r="E131">
        <v>1006</v>
      </c>
      <c r="F131" t="s">
        <v>49</v>
      </c>
      <c r="G131" t="s">
        <v>499</v>
      </c>
      <c r="H131" t="s">
        <v>74</v>
      </c>
      <c r="I131" t="s">
        <v>512</v>
      </c>
      <c r="J131" t="s">
        <v>671</v>
      </c>
      <c r="K131" t="s">
        <v>501</v>
      </c>
      <c r="L131" s="9"/>
      <c r="M131" t="str">
        <f>IF(G131="FIM",IF(L131="","SEM VÍNCULO",IF(COUNTIF(tblBatidas[Batida ID],L131)=0,"VÍNCULO INVÁLIDO",IF(COUNTIF(tblBatidas[Início vinculado],L131)&gt;1,"VÍNCULO DUPLICADO",IF(E131&lt;&gt;INDEX(tblBatidas[ID],MATCH(L131,tblBatidas[Batida ID],0)),"DIVERGÊNCIA DE ID",IF(H131&lt;&gt;INDEX(tblBatidas[Projeto],MATCH(L131,tblBatidas[Batida ID],0)),"DIVERGÊNCIA DE PROJETO",IF(I131&lt;&gt;INDEX(tblBatidas[Atividade],MATCH(L131,tblBatidas[Batida ID],0)),"DIVERGÊNCIA DE ATIVIDADE",IF(OR(B131&lt;=INDEX(tblBatidas[Data e hora],MATCH(L131,tblBatidas[Batida ID],0)),(B131-INDEX(tblBatidas[Data e hora],MATCH(L131,tblBatidas[Batida ID],0)))*24&gt;16),"HORÁRIO INVÁLIDO","VINCULADO"))))))),"INÍCIO")</f>
        <v>INÍCIO</v>
      </c>
    </row>
    <row r="132" spans="1:13" hidden="1">
      <c r="A132" t="s">
        <v>672</v>
      </c>
      <c r="B132" s="21">
        <v>46262.449537037035</v>
      </c>
      <c r="C132" s="2">
        <f t="shared" si="2"/>
        <v>46262</v>
      </c>
      <c r="D132" t="str">
        <f t="shared" si="3"/>
        <v>SEXTA-FEIRA</v>
      </c>
      <c r="E132">
        <v>1014</v>
      </c>
      <c r="F132" t="s">
        <v>58</v>
      </c>
      <c r="G132" t="s">
        <v>503</v>
      </c>
      <c r="H132" t="s">
        <v>80</v>
      </c>
      <c r="I132" t="s">
        <v>512</v>
      </c>
      <c r="K132" t="s">
        <v>501</v>
      </c>
      <c r="L132" s="9" t="s">
        <v>667</v>
      </c>
      <c r="M132" t="str">
        <f>IF(G132="FIM",IF(L132="","SEM VÍNCULO",IF(COUNTIF(tblBatidas[Batida ID],L132)=0,"VÍNCULO INVÁLIDO",IF(COUNTIF(tblBatidas[Início vinculado],L132)&gt;1,"VÍNCULO DUPLICADO",IF(E132&lt;&gt;INDEX(tblBatidas[ID],MATCH(L132,tblBatidas[Batida ID],0)),"DIVERGÊNCIA DE ID",IF(H132&lt;&gt;INDEX(tblBatidas[Projeto],MATCH(L132,tblBatidas[Batida ID],0)),"DIVERGÊNCIA DE PROJETO",IF(I132&lt;&gt;INDEX(tblBatidas[Atividade],MATCH(L132,tblBatidas[Batida ID],0)),"DIVERGÊNCIA DE ATIVIDADE",IF(OR(B132&lt;=INDEX(tblBatidas[Data e hora],MATCH(L132,tblBatidas[Batida ID],0)),(B132-INDEX(tblBatidas[Data e hora],MATCH(L132,tblBatidas[Batida ID],0)))*24&gt;16),"HORÁRIO INVÁLIDO","VINCULADO"))))))),"INÍCIO")</f>
        <v>VINCULADO</v>
      </c>
    </row>
    <row r="133" spans="1:13" hidden="1">
      <c r="A133" t="s">
        <v>673</v>
      </c>
      <c r="B133" s="21">
        <v>46262.449756944443</v>
      </c>
      <c r="C133" s="2">
        <f t="shared" ref="C133:C196" si="4">IF(B133="","",INT(B133))</f>
        <v>46262</v>
      </c>
      <c r="D133" t="str">
        <f t="shared" ref="D133:D196" si="5">IF(C133="","",CHOOSE(WEEKDAY(C133,2),"SEGUNDA-FEIRA","TERÇA-FEIRA","QUARTA-FEIRA","QUINTA-FEIRA","SEXTA-FEIRA","SÁBADO","DOMINGO"))</f>
        <v>SEXTA-FEIRA</v>
      </c>
      <c r="E133">
        <v>1014</v>
      </c>
      <c r="F133" t="s">
        <v>58</v>
      </c>
      <c r="G133" t="s">
        <v>499</v>
      </c>
      <c r="H133" t="s">
        <v>72</v>
      </c>
      <c r="I133" t="s">
        <v>512</v>
      </c>
      <c r="K133" t="s">
        <v>501</v>
      </c>
      <c r="L133" s="9"/>
      <c r="M133" t="str">
        <f>IF(G133="FIM",IF(L133="","SEM VÍNCULO",IF(COUNTIF(tblBatidas[Batida ID],L133)=0,"VÍNCULO INVÁLIDO",IF(COUNTIF(tblBatidas[Início vinculado],L133)&gt;1,"VÍNCULO DUPLICADO",IF(E133&lt;&gt;INDEX(tblBatidas[ID],MATCH(L133,tblBatidas[Batida ID],0)),"DIVERGÊNCIA DE ID",IF(H133&lt;&gt;INDEX(tblBatidas[Projeto],MATCH(L133,tblBatidas[Batida ID],0)),"DIVERGÊNCIA DE PROJETO",IF(I133&lt;&gt;INDEX(tblBatidas[Atividade],MATCH(L133,tblBatidas[Batida ID],0)),"DIVERGÊNCIA DE ATIVIDADE",IF(OR(B133&lt;=INDEX(tblBatidas[Data e hora],MATCH(L133,tblBatidas[Batida ID],0)),(B133-INDEX(tblBatidas[Data e hora],MATCH(L133,tblBatidas[Batida ID],0)))*24&gt;16),"HORÁRIO INVÁLIDO","VINCULADO"))))))),"INÍCIO")</f>
        <v>INÍCIO</v>
      </c>
    </row>
    <row r="134" spans="1:13" hidden="1">
      <c r="A134" t="s">
        <v>674</v>
      </c>
      <c r="B134" s="21">
        <v>46262.452719907407</v>
      </c>
      <c r="C134" s="2">
        <f t="shared" si="4"/>
        <v>46262</v>
      </c>
      <c r="D134" t="str">
        <f t="shared" si="5"/>
        <v>SEXTA-FEIRA</v>
      </c>
      <c r="E134">
        <v>1013</v>
      </c>
      <c r="F134" t="s">
        <v>57</v>
      </c>
      <c r="G134" t="s">
        <v>503</v>
      </c>
      <c r="H134" t="s">
        <v>74</v>
      </c>
      <c r="I134" t="s">
        <v>517</v>
      </c>
      <c r="J134" t="s">
        <v>675</v>
      </c>
      <c r="K134" t="s">
        <v>501</v>
      </c>
      <c r="L134" s="9" t="s">
        <v>657</v>
      </c>
      <c r="M134" t="str">
        <f>IF(G134="FIM",IF(L134="","SEM VÍNCULO",IF(COUNTIF(tblBatidas[Batida ID],L134)=0,"VÍNCULO INVÁLIDO",IF(COUNTIF(tblBatidas[Início vinculado],L134)&gt;1,"VÍNCULO DUPLICADO",IF(E134&lt;&gt;INDEX(tblBatidas[ID],MATCH(L134,tblBatidas[Batida ID],0)),"DIVERGÊNCIA DE ID",IF(H134&lt;&gt;INDEX(tblBatidas[Projeto],MATCH(L134,tblBatidas[Batida ID],0)),"DIVERGÊNCIA DE PROJETO",IF(I134&lt;&gt;INDEX(tblBatidas[Atividade],MATCH(L134,tblBatidas[Batida ID],0)),"DIVERGÊNCIA DE ATIVIDADE",IF(OR(B134&lt;=INDEX(tblBatidas[Data e hora],MATCH(L134,tblBatidas[Batida ID],0)),(B134-INDEX(tblBatidas[Data e hora],MATCH(L134,tblBatidas[Batida ID],0)))*24&gt;16),"HORÁRIO INVÁLIDO","VINCULADO"))))))),"INÍCIO")</f>
        <v>VINCULADO</v>
      </c>
    </row>
    <row r="135" spans="1:13" hidden="1">
      <c r="A135" t="s">
        <v>676</v>
      </c>
      <c r="B135" s="21">
        <v>46262.515439814815</v>
      </c>
      <c r="C135" s="2">
        <f t="shared" si="4"/>
        <v>46262</v>
      </c>
      <c r="D135" t="str">
        <f t="shared" si="5"/>
        <v>SEXTA-FEIRA</v>
      </c>
      <c r="E135">
        <v>1013</v>
      </c>
      <c r="F135" t="s">
        <v>57</v>
      </c>
      <c r="G135" t="s">
        <v>499</v>
      </c>
      <c r="H135" t="s">
        <v>74</v>
      </c>
      <c r="I135" t="s">
        <v>517</v>
      </c>
      <c r="K135" t="s">
        <v>501</v>
      </c>
      <c r="L135" s="9"/>
      <c r="M135" t="str">
        <f>IF(G135="FIM",IF(L135="","SEM VÍNCULO",IF(COUNTIF(tblBatidas[Batida ID],L135)=0,"VÍNCULO INVÁLIDO",IF(COUNTIF(tblBatidas[Início vinculado],L135)&gt;1,"VÍNCULO DUPLICADO",IF(E135&lt;&gt;INDEX(tblBatidas[ID],MATCH(L135,tblBatidas[Batida ID],0)),"DIVERGÊNCIA DE ID",IF(H135&lt;&gt;INDEX(tblBatidas[Projeto],MATCH(L135,tblBatidas[Batida ID],0)),"DIVERGÊNCIA DE PROJETO",IF(I135&lt;&gt;INDEX(tblBatidas[Atividade],MATCH(L135,tblBatidas[Batida ID],0)),"DIVERGÊNCIA DE ATIVIDADE",IF(OR(B135&lt;=INDEX(tblBatidas[Data e hora],MATCH(L135,tblBatidas[Batida ID],0)),(B135-INDEX(tblBatidas[Data e hora],MATCH(L135,tblBatidas[Batida ID],0)))*24&gt;16),"HORÁRIO INVÁLIDO","VINCULADO"))))))),"INÍCIO")</f>
        <v>INÍCIO</v>
      </c>
    </row>
    <row r="136" spans="1:13" hidden="1">
      <c r="A136" t="s">
        <v>677</v>
      </c>
      <c r="B136" s="21">
        <v>46262.529583333337</v>
      </c>
      <c r="C136" s="2">
        <f t="shared" si="4"/>
        <v>46262</v>
      </c>
      <c r="D136" t="str">
        <f t="shared" si="5"/>
        <v>SEXTA-FEIRA</v>
      </c>
      <c r="E136">
        <v>1011</v>
      </c>
      <c r="F136" t="s">
        <v>54</v>
      </c>
      <c r="G136" t="s">
        <v>503</v>
      </c>
      <c r="H136" t="s">
        <v>74</v>
      </c>
      <c r="I136" t="s">
        <v>517</v>
      </c>
      <c r="J136" t="s">
        <v>678</v>
      </c>
      <c r="K136" t="s">
        <v>501</v>
      </c>
      <c r="L136" s="9"/>
      <c r="M136" t="str">
        <f>IF(G136="FIM",IF(L136="","SEM VÍNCULO",IF(COUNTIF(tblBatidas[Batida ID],L136)=0,"VÍNCULO INVÁLIDO",IF(COUNTIF(tblBatidas[Início vinculado],L136)&gt;1,"VÍNCULO DUPLICADO",IF(E136&lt;&gt;INDEX(tblBatidas[ID],MATCH(L136,tblBatidas[Batida ID],0)),"DIVERGÊNCIA DE ID",IF(H136&lt;&gt;INDEX(tblBatidas[Projeto],MATCH(L136,tblBatidas[Batida ID],0)),"DIVERGÊNCIA DE PROJETO",IF(I136&lt;&gt;INDEX(tblBatidas[Atividade],MATCH(L136,tblBatidas[Batida ID],0)),"DIVERGÊNCIA DE ATIVIDADE",IF(OR(B136&lt;=INDEX(tblBatidas[Data e hora],MATCH(L136,tblBatidas[Batida ID],0)),(B136-INDEX(tblBatidas[Data e hora],MATCH(L136,tblBatidas[Batida ID],0)))*24&gt;16),"HORÁRIO INVÁLIDO","VINCULADO"))))))),"INÍCIO")</f>
        <v>SEM VÍNCULO</v>
      </c>
    </row>
    <row r="137" spans="1:13" hidden="1">
      <c r="A137" t="s">
        <v>679</v>
      </c>
      <c r="B137" s="21">
        <v>46262.53019675926</v>
      </c>
      <c r="C137" s="2">
        <f t="shared" si="4"/>
        <v>46262</v>
      </c>
      <c r="D137" t="str">
        <f t="shared" si="5"/>
        <v>SEXTA-FEIRA</v>
      </c>
      <c r="E137">
        <v>1003</v>
      </c>
      <c r="F137" t="s">
        <v>46</v>
      </c>
      <c r="G137" t="s">
        <v>503</v>
      </c>
      <c r="H137" t="s">
        <v>74</v>
      </c>
      <c r="I137" t="s">
        <v>517</v>
      </c>
      <c r="J137" t="s">
        <v>680</v>
      </c>
      <c r="K137" t="s">
        <v>501</v>
      </c>
      <c r="L137" s="9" t="s">
        <v>653</v>
      </c>
      <c r="M137" t="str">
        <f>IF(G137="FIM",IF(L137="","SEM VÍNCULO",IF(COUNTIF(tblBatidas[Batida ID],L137)=0,"VÍNCULO INVÁLIDO",IF(COUNTIF(tblBatidas[Início vinculado],L137)&gt;1,"VÍNCULO DUPLICADO",IF(E137&lt;&gt;INDEX(tblBatidas[ID],MATCH(L137,tblBatidas[Batida ID],0)),"DIVERGÊNCIA DE ID",IF(H137&lt;&gt;INDEX(tblBatidas[Projeto],MATCH(L137,tblBatidas[Batida ID],0)),"DIVERGÊNCIA DE PROJETO",IF(I137&lt;&gt;INDEX(tblBatidas[Atividade],MATCH(L137,tblBatidas[Batida ID],0)),"DIVERGÊNCIA DE ATIVIDADE",IF(OR(B137&lt;=INDEX(tblBatidas[Data e hora],MATCH(L137,tblBatidas[Batida ID],0)),(B137-INDEX(tblBatidas[Data e hora],MATCH(L137,tblBatidas[Batida ID],0)))*24&gt;16),"HORÁRIO INVÁLIDO","VINCULADO"))))))),"INÍCIO")</f>
        <v>VINCULADO</v>
      </c>
    </row>
    <row r="138" spans="1:13" hidden="1">
      <c r="A138" t="s">
        <v>681</v>
      </c>
      <c r="B138" s="21">
        <v>46262.532731481479</v>
      </c>
      <c r="C138" s="2">
        <f t="shared" si="4"/>
        <v>46262</v>
      </c>
      <c r="D138" t="str">
        <f t="shared" si="5"/>
        <v>SEXTA-FEIRA</v>
      </c>
      <c r="E138">
        <v>1014</v>
      </c>
      <c r="F138" t="s">
        <v>58</v>
      </c>
      <c r="G138" t="s">
        <v>503</v>
      </c>
      <c r="H138" t="s">
        <v>72</v>
      </c>
      <c r="I138" t="s">
        <v>512</v>
      </c>
      <c r="K138" t="s">
        <v>501</v>
      </c>
      <c r="L138" s="9" t="s">
        <v>673</v>
      </c>
      <c r="M138" t="str">
        <f>IF(G138="FIM",IF(L138="","SEM VÍNCULO",IF(COUNTIF(tblBatidas[Batida ID],L138)=0,"VÍNCULO INVÁLIDO",IF(COUNTIF(tblBatidas[Início vinculado],L138)&gt;1,"VÍNCULO DUPLICADO",IF(E138&lt;&gt;INDEX(tblBatidas[ID],MATCH(L138,tblBatidas[Batida ID],0)),"DIVERGÊNCIA DE ID",IF(H138&lt;&gt;INDEX(tblBatidas[Projeto],MATCH(L138,tblBatidas[Batida ID],0)),"DIVERGÊNCIA DE PROJETO",IF(I138&lt;&gt;INDEX(tblBatidas[Atividade],MATCH(L138,tblBatidas[Batida ID],0)),"DIVERGÊNCIA DE ATIVIDADE",IF(OR(B138&lt;=INDEX(tblBatidas[Data e hora],MATCH(L138,tblBatidas[Batida ID],0)),(B138-INDEX(tblBatidas[Data e hora],MATCH(L138,tblBatidas[Batida ID],0)))*24&gt;16),"HORÁRIO INVÁLIDO","VINCULADO"))))))),"INÍCIO")</f>
        <v>VINCULADO</v>
      </c>
    </row>
    <row r="139" spans="1:13" hidden="1">
      <c r="A139" t="s">
        <v>682</v>
      </c>
      <c r="B139" s="21">
        <v>46262.54283564815</v>
      </c>
      <c r="C139" s="2">
        <f t="shared" si="4"/>
        <v>46262</v>
      </c>
      <c r="D139" t="str">
        <f t="shared" si="5"/>
        <v>SEXTA-FEIRA</v>
      </c>
      <c r="E139">
        <v>1016</v>
      </c>
      <c r="F139" t="s">
        <v>60</v>
      </c>
      <c r="G139" t="s">
        <v>503</v>
      </c>
      <c r="H139" t="s">
        <v>70</v>
      </c>
      <c r="I139" t="s">
        <v>500</v>
      </c>
      <c r="K139" t="s">
        <v>501</v>
      </c>
      <c r="L139" s="9"/>
      <c r="M139" t="str">
        <f>IF(G139="FIM",IF(L139="","SEM VÍNCULO",IF(COUNTIF(tblBatidas[Batida ID],L139)=0,"VÍNCULO INVÁLIDO",IF(COUNTIF(tblBatidas[Início vinculado],L139)&gt;1,"VÍNCULO DUPLICADO",IF(E139&lt;&gt;INDEX(tblBatidas[ID],MATCH(L139,tblBatidas[Batida ID],0)),"DIVERGÊNCIA DE ID",IF(H139&lt;&gt;INDEX(tblBatidas[Projeto],MATCH(L139,tblBatidas[Batida ID],0)),"DIVERGÊNCIA DE PROJETO",IF(I139&lt;&gt;INDEX(tblBatidas[Atividade],MATCH(L139,tblBatidas[Batida ID],0)),"DIVERGÊNCIA DE ATIVIDADE",IF(OR(B139&lt;=INDEX(tblBatidas[Data e hora],MATCH(L139,tblBatidas[Batida ID],0)),(B139-INDEX(tblBatidas[Data e hora],MATCH(L139,tblBatidas[Batida ID],0)))*24&gt;16),"HORÁRIO INVÁLIDO","VINCULADO"))))))),"INÍCIO")</f>
        <v>SEM VÍNCULO</v>
      </c>
    </row>
    <row r="140" spans="1:13" hidden="1">
      <c r="A140" t="s">
        <v>683</v>
      </c>
      <c r="B140" s="21">
        <v>46262.543206018519</v>
      </c>
      <c r="C140" s="2">
        <f t="shared" si="4"/>
        <v>46262</v>
      </c>
      <c r="D140" t="str">
        <f t="shared" si="5"/>
        <v>SEXTA-FEIRA</v>
      </c>
      <c r="E140">
        <v>1016</v>
      </c>
      <c r="F140" t="s">
        <v>60</v>
      </c>
      <c r="G140" t="s">
        <v>503</v>
      </c>
      <c r="H140" t="s">
        <v>70</v>
      </c>
      <c r="I140" t="s">
        <v>500</v>
      </c>
      <c r="K140" t="s">
        <v>501</v>
      </c>
      <c r="L140" s="9"/>
      <c r="M140" t="str">
        <f>IF(G140="FIM",IF(L140="","SEM VÍNCULO",IF(COUNTIF(tblBatidas[Batida ID],L140)=0,"VÍNCULO INVÁLIDO",IF(COUNTIF(tblBatidas[Início vinculado],L140)&gt;1,"VÍNCULO DUPLICADO",IF(E140&lt;&gt;INDEX(tblBatidas[ID],MATCH(L140,tblBatidas[Batida ID],0)),"DIVERGÊNCIA DE ID",IF(H140&lt;&gt;INDEX(tblBatidas[Projeto],MATCH(L140,tblBatidas[Batida ID],0)),"DIVERGÊNCIA DE PROJETO",IF(I140&lt;&gt;INDEX(tblBatidas[Atividade],MATCH(L140,tblBatidas[Batida ID],0)),"DIVERGÊNCIA DE ATIVIDADE",IF(OR(B140&lt;=INDEX(tblBatidas[Data e hora],MATCH(L140,tblBatidas[Batida ID],0)),(B140-INDEX(tblBatidas[Data e hora],MATCH(L140,tblBatidas[Batida ID],0)))*24&gt;16),"HORÁRIO INVÁLIDO","VINCULADO"))))))),"INÍCIO")</f>
        <v>SEM VÍNCULO</v>
      </c>
    </row>
    <row r="141" spans="1:13" hidden="1">
      <c r="A141" t="s">
        <v>684</v>
      </c>
      <c r="B141" s="21">
        <v>46262.543854166666</v>
      </c>
      <c r="C141" s="2">
        <f t="shared" si="4"/>
        <v>46262</v>
      </c>
      <c r="D141" t="str">
        <f t="shared" si="5"/>
        <v>SEXTA-FEIRA</v>
      </c>
      <c r="E141">
        <v>1016</v>
      </c>
      <c r="F141" t="s">
        <v>60</v>
      </c>
      <c r="G141" t="s">
        <v>503</v>
      </c>
      <c r="H141" t="s">
        <v>70</v>
      </c>
      <c r="I141" t="s">
        <v>500</v>
      </c>
      <c r="K141" t="s">
        <v>501</v>
      </c>
      <c r="L141" s="9"/>
      <c r="M141" t="str">
        <f>IF(G141="FIM",IF(L141="","SEM VÍNCULO",IF(COUNTIF(tblBatidas[Batida ID],L141)=0,"VÍNCULO INVÁLIDO",IF(COUNTIF(tblBatidas[Início vinculado],L141)&gt;1,"VÍNCULO DUPLICADO",IF(E141&lt;&gt;INDEX(tblBatidas[ID],MATCH(L141,tblBatidas[Batida ID],0)),"DIVERGÊNCIA DE ID",IF(H141&lt;&gt;INDEX(tblBatidas[Projeto],MATCH(L141,tblBatidas[Batida ID],0)),"DIVERGÊNCIA DE PROJETO",IF(I141&lt;&gt;INDEX(tblBatidas[Atividade],MATCH(L141,tblBatidas[Batida ID],0)),"DIVERGÊNCIA DE ATIVIDADE",IF(OR(B141&lt;=INDEX(tblBatidas[Data e hora],MATCH(L141,tblBatidas[Batida ID],0)),(B141-INDEX(tblBatidas[Data e hora],MATCH(L141,tblBatidas[Batida ID],0)))*24&gt;16),"HORÁRIO INVÁLIDO","VINCULADO"))))))),"INÍCIO")</f>
        <v>SEM VÍNCULO</v>
      </c>
    </row>
    <row r="142" spans="1:13" hidden="1">
      <c r="A142" t="s">
        <v>685</v>
      </c>
      <c r="B142" s="21">
        <v>46262.546122685184</v>
      </c>
      <c r="C142" s="2">
        <f t="shared" si="4"/>
        <v>46262</v>
      </c>
      <c r="D142" t="str">
        <f t="shared" si="5"/>
        <v>SEXTA-FEIRA</v>
      </c>
      <c r="E142">
        <v>1012</v>
      </c>
      <c r="F142" t="s">
        <v>55</v>
      </c>
      <c r="G142" t="s">
        <v>503</v>
      </c>
      <c r="H142" t="s">
        <v>76</v>
      </c>
      <c r="I142" t="s">
        <v>500</v>
      </c>
      <c r="K142" t="s">
        <v>501</v>
      </c>
      <c r="L142" s="9"/>
      <c r="M142" t="str">
        <f>IF(G142="FIM",IF(L142="","SEM VÍNCULO",IF(COUNTIF(tblBatidas[Batida ID],L142)=0,"VÍNCULO INVÁLIDO",IF(COUNTIF(tblBatidas[Início vinculado],L142)&gt;1,"VÍNCULO DUPLICADO",IF(E142&lt;&gt;INDEX(tblBatidas[ID],MATCH(L142,tblBatidas[Batida ID],0)),"DIVERGÊNCIA DE ID",IF(H142&lt;&gt;INDEX(tblBatidas[Projeto],MATCH(L142,tblBatidas[Batida ID],0)),"DIVERGÊNCIA DE PROJETO",IF(I142&lt;&gt;INDEX(tblBatidas[Atividade],MATCH(L142,tblBatidas[Batida ID],0)),"DIVERGÊNCIA DE ATIVIDADE",IF(OR(B142&lt;=INDEX(tblBatidas[Data e hora],MATCH(L142,tblBatidas[Batida ID],0)),(B142-INDEX(tblBatidas[Data e hora],MATCH(L142,tblBatidas[Batida ID],0)))*24&gt;16),"HORÁRIO INVÁLIDO","VINCULADO"))))))),"INÍCIO")</f>
        <v>SEM VÍNCULO</v>
      </c>
    </row>
    <row r="143" spans="1:13" hidden="1">
      <c r="A143" t="s">
        <v>686</v>
      </c>
      <c r="B143" s="21">
        <v>46262.554652777777</v>
      </c>
      <c r="C143" s="2">
        <f t="shared" si="4"/>
        <v>46262</v>
      </c>
      <c r="D143" t="str">
        <f t="shared" si="5"/>
        <v>SEXTA-FEIRA</v>
      </c>
      <c r="E143">
        <v>1011</v>
      </c>
      <c r="F143" t="s">
        <v>54</v>
      </c>
      <c r="G143" t="s">
        <v>499</v>
      </c>
      <c r="H143" t="s">
        <v>76</v>
      </c>
      <c r="I143" t="s">
        <v>517</v>
      </c>
      <c r="K143" t="s">
        <v>501</v>
      </c>
      <c r="L143" s="9"/>
      <c r="M143" t="str">
        <f>IF(G143="FIM",IF(L143="","SEM VÍNCULO",IF(COUNTIF(tblBatidas[Batida ID],L143)=0,"VÍNCULO INVÁLIDO",IF(COUNTIF(tblBatidas[Início vinculado],L143)&gt;1,"VÍNCULO DUPLICADO",IF(E143&lt;&gt;INDEX(tblBatidas[ID],MATCH(L143,tblBatidas[Batida ID],0)),"DIVERGÊNCIA DE ID",IF(H143&lt;&gt;INDEX(tblBatidas[Projeto],MATCH(L143,tblBatidas[Batida ID],0)),"DIVERGÊNCIA DE PROJETO",IF(I143&lt;&gt;INDEX(tblBatidas[Atividade],MATCH(L143,tblBatidas[Batida ID],0)),"DIVERGÊNCIA DE ATIVIDADE",IF(OR(B143&lt;=INDEX(tblBatidas[Data e hora],MATCH(L143,tblBatidas[Batida ID],0)),(B143-INDEX(tblBatidas[Data e hora],MATCH(L143,tblBatidas[Batida ID],0)))*24&gt;16),"HORÁRIO INVÁLIDO","VINCULADO"))))))),"INÍCIO")</f>
        <v>INÍCIO</v>
      </c>
    </row>
    <row r="144" spans="1:13" hidden="1">
      <c r="A144" t="s">
        <v>687</v>
      </c>
      <c r="B144" s="21">
        <v>46262.562268518515</v>
      </c>
      <c r="C144" s="2">
        <f t="shared" si="4"/>
        <v>46262</v>
      </c>
      <c r="D144" t="str">
        <f t="shared" si="5"/>
        <v>SEXTA-FEIRA</v>
      </c>
      <c r="E144">
        <v>1015</v>
      </c>
      <c r="F144" t="s">
        <v>59</v>
      </c>
      <c r="G144" t="s">
        <v>503</v>
      </c>
      <c r="H144" t="s">
        <v>84</v>
      </c>
      <c r="I144" t="s">
        <v>84</v>
      </c>
      <c r="K144" t="s">
        <v>501</v>
      </c>
      <c r="L144" s="9" t="s">
        <v>662</v>
      </c>
      <c r="M144" t="str">
        <f>IF(G144="FIM",IF(L144="","SEM VÍNCULO",IF(COUNTIF(tblBatidas[Batida ID],L144)=0,"VÍNCULO INVÁLIDO",IF(COUNTIF(tblBatidas[Início vinculado],L144)&gt;1,"VÍNCULO DUPLICADO",IF(E144&lt;&gt;INDEX(tblBatidas[ID],MATCH(L144,tblBatidas[Batida ID],0)),"DIVERGÊNCIA DE ID",IF(H144&lt;&gt;INDEX(tblBatidas[Projeto],MATCH(L144,tblBatidas[Batida ID],0)),"DIVERGÊNCIA DE PROJETO",IF(I144&lt;&gt;INDEX(tblBatidas[Atividade],MATCH(L144,tblBatidas[Batida ID],0)),"DIVERGÊNCIA DE ATIVIDADE",IF(OR(B144&lt;=INDEX(tblBatidas[Data e hora],MATCH(L144,tblBatidas[Batida ID],0)),(B144-INDEX(tblBatidas[Data e hora],MATCH(L144,tblBatidas[Batida ID],0)))*24&gt;16),"HORÁRIO INVÁLIDO","VINCULADO"))))))),"INÍCIO")</f>
        <v>VINCULADO</v>
      </c>
    </row>
    <row r="145" spans="1:13" hidden="1">
      <c r="A145" t="s">
        <v>688</v>
      </c>
      <c r="B145" s="21">
        <v>46262.57236111111</v>
      </c>
      <c r="C145" s="2">
        <f t="shared" si="4"/>
        <v>46262</v>
      </c>
      <c r="D145" t="str">
        <f t="shared" si="5"/>
        <v>SEXTA-FEIRA</v>
      </c>
      <c r="E145">
        <v>1003</v>
      </c>
      <c r="F145" t="s">
        <v>46</v>
      </c>
      <c r="G145" t="s">
        <v>499</v>
      </c>
      <c r="H145" t="s">
        <v>74</v>
      </c>
      <c r="I145" t="s">
        <v>517</v>
      </c>
      <c r="K145" t="s">
        <v>501</v>
      </c>
      <c r="L145" s="9"/>
      <c r="M145" t="str">
        <f>IF(G145="FIM",IF(L145="","SEM VÍNCULO",IF(COUNTIF(tblBatidas[Batida ID],L145)=0,"VÍNCULO INVÁLIDO",IF(COUNTIF(tblBatidas[Início vinculado],L145)&gt;1,"VÍNCULO DUPLICADO",IF(E145&lt;&gt;INDEX(tblBatidas[ID],MATCH(L145,tblBatidas[Batida ID],0)),"DIVERGÊNCIA DE ID",IF(H145&lt;&gt;INDEX(tblBatidas[Projeto],MATCH(L145,tblBatidas[Batida ID],0)),"DIVERGÊNCIA DE PROJETO",IF(I145&lt;&gt;INDEX(tblBatidas[Atividade],MATCH(L145,tblBatidas[Batida ID],0)),"DIVERGÊNCIA DE ATIVIDADE",IF(OR(B145&lt;=INDEX(tblBatidas[Data e hora],MATCH(L145,tblBatidas[Batida ID],0)),(B145-INDEX(tblBatidas[Data e hora],MATCH(L145,tblBatidas[Batida ID],0)))*24&gt;16),"HORÁRIO INVÁLIDO","VINCULADO"))))))),"INÍCIO")</f>
        <v>INÍCIO</v>
      </c>
    </row>
    <row r="146" spans="1:13" hidden="1">
      <c r="A146" t="s">
        <v>689</v>
      </c>
      <c r="B146" s="21">
        <v>46262.579814814817</v>
      </c>
      <c r="C146" s="2">
        <f t="shared" si="4"/>
        <v>46262</v>
      </c>
      <c r="D146" t="str">
        <f t="shared" si="5"/>
        <v>SEXTA-FEIRA</v>
      </c>
      <c r="E146">
        <v>1014</v>
      </c>
      <c r="F146" t="s">
        <v>58</v>
      </c>
      <c r="G146" t="s">
        <v>499</v>
      </c>
      <c r="H146" t="s">
        <v>72</v>
      </c>
      <c r="I146" t="s">
        <v>512</v>
      </c>
      <c r="K146" t="s">
        <v>501</v>
      </c>
      <c r="L146" s="9"/>
      <c r="M146" t="str">
        <f>IF(G146="FIM",IF(L146="","SEM VÍNCULO",IF(COUNTIF(tblBatidas[Batida ID],L146)=0,"VÍNCULO INVÁLIDO",IF(COUNTIF(tblBatidas[Início vinculado],L146)&gt;1,"VÍNCULO DUPLICADO",IF(E146&lt;&gt;INDEX(tblBatidas[ID],MATCH(L146,tblBatidas[Batida ID],0)),"DIVERGÊNCIA DE ID",IF(H146&lt;&gt;INDEX(tblBatidas[Projeto],MATCH(L146,tblBatidas[Batida ID],0)),"DIVERGÊNCIA DE PROJETO",IF(I146&lt;&gt;INDEX(tblBatidas[Atividade],MATCH(L146,tblBatidas[Batida ID],0)),"DIVERGÊNCIA DE ATIVIDADE",IF(OR(B146&lt;=INDEX(tblBatidas[Data e hora],MATCH(L146,tblBatidas[Batida ID],0)),(B146-INDEX(tblBatidas[Data e hora],MATCH(L146,tblBatidas[Batida ID],0)))*24&gt;16),"HORÁRIO INVÁLIDO","VINCULADO"))))))),"INÍCIO")</f>
        <v>INÍCIO</v>
      </c>
    </row>
    <row r="147" spans="1:13" hidden="1">
      <c r="A147" t="s">
        <v>690</v>
      </c>
      <c r="B147" s="21">
        <v>46262.590243055558</v>
      </c>
      <c r="C147" s="2">
        <f t="shared" si="4"/>
        <v>46262</v>
      </c>
      <c r="D147" t="str">
        <f t="shared" si="5"/>
        <v>SEXTA-FEIRA</v>
      </c>
      <c r="E147">
        <v>1012</v>
      </c>
      <c r="F147" t="s">
        <v>55</v>
      </c>
      <c r="G147" t="s">
        <v>499</v>
      </c>
      <c r="H147" t="s">
        <v>74</v>
      </c>
      <c r="I147" t="s">
        <v>500</v>
      </c>
      <c r="K147" t="s">
        <v>501</v>
      </c>
      <c r="L147" s="9"/>
      <c r="M147" t="str">
        <f>IF(G147="FIM",IF(L147="","SEM VÍNCULO",IF(COUNTIF(tblBatidas[Batida ID],L147)=0,"VÍNCULO INVÁLIDO",IF(COUNTIF(tblBatidas[Início vinculado],L147)&gt;1,"VÍNCULO DUPLICADO",IF(E147&lt;&gt;INDEX(tblBatidas[ID],MATCH(L147,tblBatidas[Batida ID],0)),"DIVERGÊNCIA DE ID",IF(H147&lt;&gt;INDEX(tblBatidas[Projeto],MATCH(L147,tblBatidas[Batida ID],0)),"DIVERGÊNCIA DE PROJETO",IF(I147&lt;&gt;INDEX(tblBatidas[Atividade],MATCH(L147,tblBatidas[Batida ID],0)),"DIVERGÊNCIA DE ATIVIDADE",IF(OR(B147&lt;=INDEX(tblBatidas[Data e hora],MATCH(L147,tblBatidas[Batida ID],0)),(B147-INDEX(tblBatidas[Data e hora],MATCH(L147,tblBatidas[Batida ID],0)))*24&gt;16),"HORÁRIO INVÁLIDO","VINCULADO"))))))),"INÍCIO")</f>
        <v>INÍCIO</v>
      </c>
    </row>
    <row r="148" spans="1:13" hidden="1">
      <c r="A148" t="s">
        <v>691</v>
      </c>
      <c r="B148" s="21">
        <v>46262.590856481482</v>
      </c>
      <c r="C148" s="2">
        <f t="shared" si="4"/>
        <v>46262</v>
      </c>
      <c r="D148" t="str">
        <f t="shared" si="5"/>
        <v>SEXTA-FEIRA</v>
      </c>
      <c r="E148">
        <v>1016</v>
      </c>
      <c r="F148" t="s">
        <v>60</v>
      </c>
      <c r="G148" t="s">
        <v>503</v>
      </c>
      <c r="H148" t="s">
        <v>74</v>
      </c>
      <c r="I148" t="s">
        <v>517</v>
      </c>
      <c r="K148" t="s">
        <v>501</v>
      </c>
      <c r="L148" s="9"/>
      <c r="M148" t="str">
        <f>IF(G148="FIM",IF(L148="","SEM VÍNCULO",IF(COUNTIF(tblBatidas[Batida ID],L148)=0,"VÍNCULO INVÁLIDO",IF(COUNTIF(tblBatidas[Início vinculado],L148)&gt;1,"VÍNCULO DUPLICADO",IF(E148&lt;&gt;INDEX(tblBatidas[ID],MATCH(L148,tblBatidas[Batida ID],0)),"DIVERGÊNCIA DE ID",IF(H148&lt;&gt;INDEX(tblBatidas[Projeto],MATCH(L148,tblBatidas[Batida ID],0)),"DIVERGÊNCIA DE PROJETO",IF(I148&lt;&gt;INDEX(tblBatidas[Atividade],MATCH(L148,tblBatidas[Batida ID],0)),"DIVERGÊNCIA DE ATIVIDADE",IF(OR(B148&lt;=INDEX(tblBatidas[Data e hora],MATCH(L148,tblBatidas[Batida ID],0)),(B148-INDEX(tblBatidas[Data e hora],MATCH(L148,tblBatidas[Batida ID],0)))*24&gt;16),"HORÁRIO INVÁLIDO","VINCULADO"))))))),"INÍCIO")</f>
        <v>SEM VÍNCULO</v>
      </c>
    </row>
    <row r="149" spans="1:13" hidden="1">
      <c r="A149" t="s">
        <v>692</v>
      </c>
      <c r="B149" s="21">
        <v>46262.601435185185</v>
      </c>
      <c r="C149" s="2">
        <f t="shared" si="4"/>
        <v>46262</v>
      </c>
      <c r="D149" t="str">
        <f t="shared" si="5"/>
        <v>SEXTA-FEIRA</v>
      </c>
      <c r="E149">
        <v>1014</v>
      </c>
      <c r="F149" t="s">
        <v>58</v>
      </c>
      <c r="G149" t="s">
        <v>503</v>
      </c>
      <c r="H149" t="s">
        <v>72</v>
      </c>
      <c r="I149" t="s">
        <v>512</v>
      </c>
      <c r="K149" t="s">
        <v>501</v>
      </c>
      <c r="L149" s="9" t="s">
        <v>689</v>
      </c>
      <c r="M149" t="str">
        <f>IF(G149="FIM",IF(L149="","SEM VÍNCULO",IF(COUNTIF(tblBatidas[Batida ID],L149)=0,"VÍNCULO INVÁLIDO",IF(COUNTIF(tblBatidas[Início vinculado],L149)&gt;1,"VÍNCULO DUPLICADO",IF(E149&lt;&gt;INDEX(tblBatidas[ID],MATCH(L149,tblBatidas[Batida ID],0)),"DIVERGÊNCIA DE ID",IF(H149&lt;&gt;INDEX(tblBatidas[Projeto],MATCH(L149,tblBatidas[Batida ID],0)),"DIVERGÊNCIA DE PROJETO",IF(I149&lt;&gt;INDEX(tblBatidas[Atividade],MATCH(L149,tblBatidas[Batida ID],0)),"DIVERGÊNCIA DE ATIVIDADE",IF(OR(B149&lt;=INDEX(tblBatidas[Data e hora],MATCH(L149,tblBatidas[Batida ID],0)),(B149-INDEX(tblBatidas[Data e hora],MATCH(L149,tblBatidas[Batida ID],0)))*24&gt;16),"HORÁRIO INVÁLIDO","VINCULADO"))))))),"INÍCIO")</f>
        <v>VINCULADO</v>
      </c>
    </row>
    <row r="150" spans="1:13" hidden="1">
      <c r="A150" t="s">
        <v>693</v>
      </c>
      <c r="B150" s="21">
        <v>46262.601655092592</v>
      </c>
      <c r="C150" s="2">
        <f t="shared" si="4"/>
        <v>46262</v>
      </c>
      <c r="D150" t="str">
        <f t="shared" si="5"/>
        <v>SEXTA-FEIRA</v>
      </c>
      <c r="E150">
        <v>1014</v>
      </c>
      <c r="F150" t="s">
        <v>58</v>
      </c>
      <c r="G150" t="s">
        <v>499</v>
      </c>
      <c r="H150" t="s">
        <v>80</v>
      </c>
      <c r="I150" t="s">
        <v>512</v>
      </c>
      <c r="K150" t="s">
        <v>501</v>
      </c>
      <c r="L150" s="9"/>
      <c r="M150" t="str">
        <f>IF(G150="FIM",IF(L150="","SEM VÍNCULO",IF(COUNTIF(tblBatidas[Batida ID],L150)=0,"VÍNCULO INVÁLIDO",IF(COUNTIF(tblBatidas[Início vinculado],L150)&gt;1,"VÍNCULO DUPLICADO",IF(E150&lt;&gt;INDEX(tblBatidas[ID],MATCH(L150,tblBatidas[Batida ID],0)),"DIVERGÊNCIA DE ID",IF(H150&lt;&gt;INDEX(tblBatidas[Projeto],MATCH(L150,tblBatidas[Batida ID],0)),"DIVERGÊNCIA DE PROJETO",IF(I150&lt;&gt;INDEX(tblBatidas[Atividade],MATCH(L150,tblBatidas[Batida ID],0)),"DIVERGÊNCIA DE ATIVIDADE",IF(OR(B150&lt;=INDEX(tblBatidas[Data e hora],MATCH(L150,tblBatidas[Batida ID],0)),(B150-INDEX(tblBatidas[Data e hora],MATCH(L150,tblBatidas[Batida ID],0)))*24&gt;16),"HORÁRIO INVÁLIDO","VINCULADO"))))))),"INÍCIO")</f>
        <v>INÍCIO</v>
      </c>
    </row>
    <row r="151" spans="1:13" hidden="1">
      <c r="A151" t="s">
        <v>694</v>
      </c>
      <c r="B151" s="21">
        <v>46262.604398148149</v>
      </c>
      <c r="C151" s="2">
        <f t="shared" si="4"/>
        <v>46262</v>
      </c>
      <c r="D151" t="str">
        <f t="shared" si="5"/>
        <v>SEXTA-FEIRA</v>
      </c>
      <c r="E151">
        <v>1015</v>
      </c>
      <c r="F151" t="s">
        <v>59</v>
      </c>
      <c r="G151" t="s">
        <v>499</v>
      </c>
      <c r="H151" t="s">
        <v>84</v>
      </c>
      <c r="I151" t="s">
        <v>84</v>
      </c>
      <c r="K151" t="s">
        <v>501</v>
      </c>
      <c r="L151" s="9"/>
      <c r="M151" t="str">
        <f>IF(G151="FIM",IF(L151="","SEM VÍNCULO",IF(COUNTIF(tblBatidas[Batida ID],L151)=0,"VÍNCULO INVÁLIDO",IF(COUNTIF(tblBatidas[Início vinculado],L151)&gt;1,"VÍNCULO DUPLICADO",IF(E151&lt;&gt;INDEX(tblBatidas[ID],MATCH(L151,tblBatidas[Batida ID],0)),"DIVERGÊNCIA DE ID",IF(H151&lt;&gt;INDEX(tblBatidas[Projeto],MATCH(L151,tblBatidas[Batida ID],0)),"DIVERGÊNCIA DE PROJETO",IF(I151&lt;&gt;INDEX(tblBatidas[Atividade],MATCH(L151,tblBatidas[Batida ID],0)),"DIVERGÊNCIA DE ATIVIDADE",IF(OR(B151&lt;=INDEX(tblBatidas[Data e hora],MATCH(L151,tblBatidas[Batida ID],0)),(B151-INDEX(tblBatidas[Data e hora],MATCH(L151,tblBatidas[Batida ID],0)))*24&gt;16),"HORÁRIO INVÁLIDO","VINCULADO"))))))),"INÍCIO")</f>
        <v>INÍCIO</v>
      </c>
    </row>
    <row r="152" spans="1:13" hidden="1">
      <c r="A152" t="s">
        <v>695</v>
      </c>
      <c r="B152" s="21">
        <v>46262.607233796298</v>
      </c>
      <c r="C152" s="2">
        <f t="shared" si="4"/>
        <v>46262</v>
      </c>
      <c r="D152" t="str">
        <f t="shared" si="5"/>
        <v>SEXTA-FEIRA</v>
      </c>
      <c r="E152">
        <v>1001</v>
      </c>
      <c r="F152" t="s">
        <v>43</v>
      </c>
      <c r="G152" t="s">
        <v>503</v>
      </c>
      <c r="H152" t="s">
        <v>80</v>
      </c>
      <c r="I152" t="s">
        <v>500</v>
      </c>
      <c r="J152" t="s">
        <v>638</v>
      </c>
      <c r="K152" t="s">
        <v>501</v>
      </c>
      <c r="L152" s="9" t="s">
        <v>658</v>
      </c>
      <c r="M152" t="str">
        <f>IF(G152="FIM",IF(L152="","SEM VÍNCULO",IF(COUNTIF(tblBatidas[Batida ID],L152)=0,"VÍNCULO INVÁLIDO",IF(COUNTIF(tblBatidas[Início vinculado],L152)&gt;1,"VÍNCULO DUPLICADO",IF(E152&lt;&gt;INDEX(tblBatidas[ID],MATCH(L152,tblBatidas[Batida ID],0)),"DIVERGÊNCIA DE ID",IF(H152&lt;&gt;INDEX(tblBatidas[Projeto],MATCH(L152,tblBatidas[Batida ID],0)),"DIVERGÊNCIA DE PROJETO",IF(I152&lt;&gt;INDEX(tblBatidas[Atividade],MATCH(L152,tblBatidas[Batida ID],0)),"DIVERGÊNCIA DE ATIVIDADE",IF(OR(B152&lt;=INDEX(tblBatidas[Data e hora],MATCH(L152,tblBatidas[Batida ID],0)),(B152-INDEX(tblBatidas[Data e hora],MATCH(L152,tblBatidas[Batida ID],0)))*24&gt;16),"HORÁRIO INVÁLIDO","VINCULADO"))))))),"INÍCIO")</f>
        <v>VINCULADO</v>
      </c>
    </row>
    <row r="153" spans="1:13" hidden="1">
      <c r="A153" t="s">
        <v>696</v>
      </c>
      <c r="B153" s="21">
        <v>46262.6325</v>
      </c>
      <c r="C153" s="2">
        <f t="shared" si="4"/>
        <v>46262</v>
      </c>
      <c r="D153" t="str">
        <f t="shared" si="5"/>
        <v>SEXTA-FEIRA</v>
      </c>
      <c r="E153">
        <v>1001</v>
      </c>
      <c r="F153" t="s">
        <v>43</v>
      </c>
      <c r="G153" t="s">
        <v>499</v>
      </c>
      <c r="H153" t="s">
        <v>80</v>
      </c>
      <c r="I153" t="s">
        <v>500</v>
      </c>
      <c r="J153" t="s">
        <v>697</v>
      </c>
      <c r="K153" t="s">
        <v>501</v>
      </c>
      <c r="L153" s="9"/>
      <c r="M153" t="str">
        <f>IF(G153="FIM",IF(L153="","SEM VÍNCULO",IF(COUNTIF(tblBatidas[Batida ID],L153)=0,"VÍNCULO INVÁLIDO",IF(COUNTIF(tblBatidas[Início vinculado],L153)&gt;1,"VÍNCULO DUPLICADO",IF(E153&lt;&gt;INDEX(tblBatidas[ID],MATCH(L153,tblBatidas[Batida ID],0)),"DIVERGÊNCIA DE ID",IF(H153&lt;&gt;INDEX(tblBatidas[Projeto],MATCH(L153,tblBatidas[Batida ID],0)),"DIVERGÊNCIA DE PROJETO",IF(I153&lt;&gt;INDEX(tblBatidas[Atividade],MATCH(L153,tblBatidas[Batida ID],0)),"DIVERGÊNCIA DE ATIVIDADE",IF(OR(B153&lt;=INDEX(tblBatidas[Data e hora],MATCH(L153,tblBatidas[Batida ID],0)),(B153-INDEX(tblBatidas[Data e hora],MATCH(L153,tblBatidas[Batida ID],0)))*24&gt;16),"HORÁRIO INVÁLIDO","VINCULADO"))))))),"INÍCIO")</f>
        <v>INÍCIO</v>
      </c>
    </row>
    <row r="154" spans="1:13" hidden="1">
      <c r="A154" t="s">
        <v>698</v>
      </c>
      <c r="B154" s="21">
        <v>46262.659317129626</v>
      </c>
      <c r="C154" s="2">
        <f t="shared" si="4"/>
        <v>46262</v>
      </c>
      <c r="D154" t="str">
        <f t="shared" si="5"/>
        <v>SEXTA-FEIRA</v>
      </c>
      <c r="E154">
        <v>1006</v>
      </c>
      <c r="F154" t="s">
        <v>49</v>
      </c>
      <c r="G154" t="s">
        <v>503</v>
      </c>
      <c r="H154" t="s">
        <v>74</v>
      </c>
      <c r="I154" t="s">
        <v>512</v>
      </c>
      <c r="J154" t="s">
        <v>699</v>
      </c>
      <c r="K154" t="s">
        <v>501</v>
      </c>
      <c r="L154" s="9" t="s">
        <v>670</v>
      </c>
      <c r="M154" t="str">
        <f>IF(G154="FIM",IF(L154="","SEM VÍNCULO",IF(COUNTIF(tblBatidas[Batida ID],L154)=0,"VÍNCULO INVÁLIDO",IF(COUNTIF(tblBatidas[Início vinculado],L154)&gt;1,"VÍNCULO DUPLICADO",IF(E154&lt;&gt;INDEX(tblBatidas[ID],MATCH(L154,tblBatidas[Batida ID],0)),"DIVERGÊNCIA DE ID",IF(H154&lt;&gt;INDEX(tblBatidas[Projeto],MATCH(L154,tblBatidas[Batida ID],0)),"DIVERGÊNCIA DE PROJETO",IF(I154&lt;&gt;INDEX(tblBatidas[Atividade],MATCH(L154,tblBatidas[Batida ID],0)),"DIVERGÊNCIA DE ATIVIDADE",IF(OR(B154&lt;=INDEX(tblBatidas[Data e hora],MATCH(L154,tblBatidas[Batida ID],0)),(B154-INDEX(tblBatidas[Data e hora],MATCH(L154,tblBatidas[Batida ID],0)))*24&gt;16),"HORÁRIO INVÁLIDO","VINCULADO"))))))),"INÍCIO")</f>
        <v>VINCULADO</v>
      </c>
    </row>
    <row r="155" spans="1:13" hidden="1">
      <c r="A155" t="s">
        <v>700</v>
      </c>
      <c r="B155" s="21">
        <v>46262.664548611108</v>
      </c>
      <c r="C155" s="2">
        <f t="shared" si="4"/>
        <v>46262</v>
      </c>
      <c r="D155" t="str">
        <f t="shared" si="5"/>
        <v>SEXTA-FEIRA</v>
      </c>
      <c r="E155">
        <v>1014</v>
      </c>
      <c r="F155" t="s">
        <v>58</v>
      </c>
      <c r="G155" t="s">
        <v>503</v>
      </c>
      <c r="H155" t="s">
        <v>80</v>
      </c>
      <c r="I155" t="s">
        <v>512</v>
      </c>
      <c r="K155" t="s">
        <v>501</v>
      </c>
      <c r="L155" s="9" t="s">
        <v>693</v>
      </c>
      <c r="M155" t="str">
        <f>IF(G155="FIM",IF(L155="","SEM VÍNCULO",IF(COUNTIF(tblBatidas[Batida ID],L155)=0,"VÍNCULO INVÁLIDO",IF(COUNTIF(tblBatidas[Início vinculado],L155)&gt;1,"VÍNCULO DUPLICADO",IF(E155&lt;&gt;INDEX(tblBatidas[ID],MATCH(L155,tblBatidas[Batida ID],0)),"DIVERGÊNCIA DE ID",IF(H155&lt;&gt;INDEX(tblBatidas[Projeto],MATCH(L155,tblBatidas[Batida ID],0)),"DIVERGÊNCIA DE PROJETO",IF(I155&lt;&gt;INDEX(tblBatidas[Atividade],MATCH(L155,tblBatidas[Batida ID],0)),"DIVERGÊNCIA DE ATIVIDADE",IF(OR(B155&lt;=INDEX(tblBatidas[Data e hora],MATCH(L155,tblBatidas[Batida ID],0)),(B155-INDEX(tblBatidas[Data e hora],MATCH(L155,tblBatidas[Batida ID],0)))*24&gt;16),"HORÁRIO INVÁLIDO","VINCULADO"))))))),"INÍCIO")</f>
        <v>VINCULADO</v>
      </c>
    </row>
    <row r="156" spans="1:13" hidden="1">
      <c r="A156" t="s">
        <v>701</v>
      </c>
      <c r="B156" s="21">
        <v>46262.665000000001</v>
      </c>
      <c r="C156" s="2">
        <f t="shared" si="4"/>
        <v>46262</v>
      </c>
      <c r="D156" t="str">
        <f t="shared" si="5"/>
        <v>SEXTA-FEIRA</v>
      </c>
      <c r="E156">
        <v>1014</v>
      </c>
      <c r="F156" t="s">
        <v>58</v>
      </c>
      <c r="G156" t="s">
        <v>499</v>
      </c>
      <c r="H156" t="s">
        <v>72</v>
      </c>
      <c r="I156" t="s">
        <v>512</v>
      </c>
      <c r="K156" t="s">
        <v>501</v>
      </c>
      <c r="L156" s="9"/>
      <c r="M156" t="str">
        <f>IF(G156="FIM",IF(L156="","SEM VÍNCULO",IF(COUNTIF(tblBatidas[Batida ID],L156)=0,"VÍNCULO INVÁLIDO",IF(COUNTIF(tblBatidas[Início vinculado],L156)&gt;1,"VÍNCULO DUPLICADO",IF(E156&lt;&gt;INDEX(tblBatidas[ID],MATCH(L156,tblBatidas[Batida ID],0)),"DIVERGÊNCIA DE ID",IF(H156&lt;&gt;INDEX(tblBatidas[Projeto],MATCH(L156,tblBatidas[Batida ID],0)),"DIVERGÊNCIA DE PROJETO",IF(I156&lt;&gt;INDEX(tblBatidas[Atividade],MATCH(L156,tblBatidas[Batida ID],0)),"DIVERGÊNCIA DE ATIVIDADE",IF(OR(B156&lt;=INDEX(tblBatidas[Data e hora],MATCH(L156,tblBatidas[Batida ID],0)),(B156-INDEX(tblBatidas[Data e hora],MATCH(L156,tblBatidas[Batida ID],0)))*24&gt;16),"HORÁRIO INVÁLIDO","VINCULADO"))))))),"INÍCIO")</f>
        <v>INÍCIO</v>
      </c>
    </row>
    <row r="157" spans="1:13" hidden="1">
      <c r="A157" t="s">
        <v>702</v>
      </c>
      <c r="B157" s="21">
        <v>46262.707152777781</v>
      </c>
      <c r="C157" s="2">
        <f t="shared" si="4"/>
        <v>46262</v>
      </c>
      <c r="D157" t="str">
        <f t="shared" si="5"/>
        <v>SEXTA-FEIRA</v>
      </c>
      <c r="E157">
        <v>1006</v>
      </c>
      <c r="F157" t="s">
        <v>49</v>
      </c>
      <c r="G157" t="s">
        <v>499</v>
      </c>
      <c r="H157" t="s">
        <v>74</v>
      </c>
      <c r="I157" t="s">
        <v>512</v>
      </c>
      <c r="J157" t="s">
        <v>703</v>
      </c>
      <c r="K157" t="s">
        <v>501</v>
      </c>
      <c r="L157" s="9"/>
      <c r="M157" t="str">
        <f>IF(G157="FIM",IF(L157="","SEM VÍNCULO",IF(COUNTIF(tblBatidas[Batida ID],L157)=0,"VÍNCULO INVÁLIDO",IF(COUNTIF(tblBatidas[Início vinculado],L157)&gt;1,"VÍNCULO DUPLICADO",IF(E157&lt;&gt;INDEX(tblBatidas[ID],MATCH(L157,tblBatidas[Batida ID],0)),"DIVERGÊNCIA DE ID",IF(H157&lt;&gt;INDEX(tblBatidas[Projeto],MATCH(L157,tblBatidas[Batida ID],0)),"DIVERGÊNCIA DE PROJETO",IF(I157&lt;&gt;INDEX(tblBatidas[Atividade],MATCH(L157,tblBatidas[Batida ID],0)),"DIVERGÊNCIA DE ATIVIDADE",IF(OR(B157&lt;=INDEX(tblBatidas[Data e hora],MATCH(L157,tblBatidas[Batida ID],0)),(B157-INDEX(tblBatidas[Data e hora],MATCH(L157,tblBatidas[Batida ID],0)))*24&gt;16),"HORÁRIO INVÁLIDO","VINCULADO"))))))),"INÍCIO")</f>
        <v>INÍCIO</v>
      </c>
    </row>
    <row r="158" spans="1:13" hidden="1">
      <c r="A158" t="s">
        <v>704</v>
      </c>
      <c r="B158" s="21">
        <v>46262.744490740741</v>
      </c>
      <c r="C158" s="2">
        <f t="shared" si="4"/>
        <v>46262</v>
      </c>
      <c r="D158" t="str">
        <f t="shared" si="5"/>
        <v>SEXTA-FEIRA</v>
      </c>
      <c r="E158">
        <v>1013</v>
      </c>
      <c r="F158" t="s">
        <v>57</v>
      </c>
      <c r="G158" t="s">
        <v>503</v>
      </c>
      <c r="H158" t="s">
        <v>74</v>
      </c>
      <c r="I158" t="s">
        <v>517</v>
      </c>
      <c r="K158" t="s">
        <v>501</v>
      </c>
      <c r="L158" s="9" t="s">
        <v>676</v>
      </c>
      <c r="M158" t="str">
        <f>IF(G158="FIM",IF(L158="","SEM VÍNCULO",IF(COUNTIF(tblBatidas[Batida ID],L158)=0,"VÍNCULO INVÁLIDO",IF(COUNTIF(tblBatidas[Início vinculado],L158)&gt;1,"VÍNCULO DUPLICADO",IF(E158&lt;&gt;INDEX(tblBatidas[ID],MATCH(L158,tblBatidas[Batida ID],0)),"DIVERGÊNCIA DE ID",IF(H158&lt;&gt;INDEX(tblBatidas[Projeto],MATCH(L158,tblBatidas[Batida ID],0)),"DIVERGÊNCIA DE PROJETO",IF(I158&lt;&gt;INDEX(tblBatidas[Atividade],MATCH(L158,tblBatidas[Batida ID],0)),"DIVERGÊNCIA DE ATIVIDADE",IF(OR(B158&lt;=INDEX(tblBatidas[Data e hora],MATCH(L158,tblBatidas[Batida ID],0)),(B158-INDEX(tblBatidas[Data e hora],MATCH(L158,tblBatidas[Batida ID],0)))*24&gt;16),"HORÁRIO INVÁLIDO","VINCULADO"))))))),"INÍCIO")</f>
        <v>VINCULADO</v>
      </c>
    </row>
    <row r="159" spans="1:13">
      <c r="A159" t="s">
        <v>705</v>
      </c>
      <c r="B159" s="21">
        <v>46262.746111111112</v>
      </c>
      <c r="C159" s="2">
        <f t="shared" si="4"/>
        <v>46262</v>
      </c>
      <c r="D159" t="str">
        <f t="shared" si="5"/>
        <v>SEXTA-FEIRA</v>
      </c>
      <c r="E159">
        <v>1002</v>
      </c>
      <c r="F159" t="s">
        <v>45</v>
      </c>
      <c r="G159" t="s">
        <v>503</v>
      </c>
      <c r="H159" t="s">
        <v>70</v>
      </c>
      <c r="I159" t="s">
        <v>517</v>
      </c>
      <c r="K159" t="s">
        <v>501</v>
      </c>
      <c r="L159" s="9" t="s">
        <v>661</v>
      </c>
      <c r="M159" t="str">
        <f>IF(G159="FIM",IF(L159="","SEM VÍNCULO",IF(COUNTIF(tblBatidas[Batida ID],L159)=0,"VÍNCULO INVÁLIDO",IF(COUNTIF(tblBatidas[Início vinculado],L159)&gt;1,"VÍNCULO DUPLICADO",IF(E159&lt;&gt;INDEX(tblBatidas[ID],MATCH(L159,tblBatidas[Batida ID],0)),"DIVERGÊNCIA DE ID",IF(H159&lt;&gt;INDEX(tblBatidas[Projeto],MATCH(L159,tblBatidas[Batida ID],0)),"DIVERGÊNCIA DE PROJETO",IF(I159&lt;&gt;INDEX(tblBatidas[Atividade],MATCH(L159,tblBatidas[Batida ID],0)),"DIVERGÊNCIA DE ATIVIDADE",IF(OR(B159&lt;=INDEX(tblBatidas[Data e hora],MATCH(L159,tblBatidas[Batida ID],0)),(B159-INDEX(tblBatidas[Data e hora],MATCH(L159,tblBatidas[Batida ID],0)))*24&gt;16),"HORÁRIO INVÁLIDO","VINCULADO"))))))),"INÍCIO")</f>
        <v>VINCULADO</v>
      </c>
    </row>
    <row r="160" spans="1:13" hidden="1">
      <c r="A160" t="s">
        <v>706</v>
      </c>
      <c r="B160" s="21">
        <v>46262.746631944443</v>
      </c>
      <c r="C160" s="2">
        <f t="shared" si="4"/>
        <v>46262</v>
      </c>
      <c r="D160" t="str">
        <f t="shared" si="5"/>
        <v>SEXTA-FEIRA</v>
      </c>
      <c r="E160">
        <v>1015</v>
      </c>
      <c r="F160" t="s">
        <v>59</v>
      </c>
      <c r="G160" t="s">
        <v>503</v>
      </c>
      <c r="H160" t="s">
        <v>84</v>
      </c>
      <c r="I160" t="s">
        <v>84</v>
      </c>
      <c r="K160" t="s">
        <v>501</v>
      </c>
      <c r="L160" s="9" t="s">
        <v>694</v>
      </c>
      <c r="M160" t="str">
        <f>IF(G160="FIM",IF(L160="","SEM VÍNCULO",IF(COUNTIF(tblBatidas[Batida ID],L160)=0,"VÍNCULO INVÁLIDO",IF(COUNTIF(tblBatidas[Início vinculado],L160)&gt;1,"VÍNCULO DUPLICADO",IF(E160&lt;&gt;INDEX(tblBatidas[ID],MATCH(L160,tblBatidas[Batida ID],0)),"DIVERGÊNCIA DE ID",IF(H160&lt;&gt;INDEX(tblBatidas[Projeto],MATCH(L160,tblBatidas[Batida ID],0)),"DIVERGÊNCIA DE PROJETO",IF(I160&lt;&gt;INDEX(tblBatidas[Atividade],MATCH(L160,tblBatidas[Batida ID],0)),"DIVERGÊNCIA DE ATIVIDADE",IF(OR(B160&lt;=INDEX(tblBatidas[Data e hora],MATCH(L160,tblBatidas[Batida ID],0)),(B160-INDEX(tblBatidas[Data e hora],MATCH(L160,tblBatidas[Batida ID],0)))*24&gt;16),"HORÁRIO INVÁLIDO","VINCULADO"))))))),"INÍCIO")</f>
        <v>VINCULADO</v>
      </c>
    </row>
    <row r="161" spans="1:13" hidden="1">
      <c r="A161" t="s">
        <v>707</v>
      </c>
      <c r="B161" s="21">
        <v>46262.750405092593</v>
      </c>
      <c r="C161" s="2">
        <f t="shared" si="4"/>
        <v>46262</v>
      </c>
      <c r="D161" t="str">
        <f t="shared" si="5"/>
        <v>SEXTA-FEIRA</v>
      </c>
      <c r="E161">
        <v>1003</v>
      </c>
      <c r="F161" t="s">
        <v>46</v>
      </c>
      <c r="G161" t="s">
        <v>503</v>
      </c>
      <c r="H161" t="s">
        <v>74</v>
      </c>
      <c r="I161" t="s">
        <v>517</v>
      </c>
      <c r="K161" t="s">
        <v>501</v>
      </c>
      <c r="L161" s="9" t="s">
        <v>688</v>
      </c>
      <c r="M161" t="str">
        <f>IF(G161="FIM",IF(L161="","SEM VÍNCULO",IF(COUNTIF(tblBatidas[Batida ID],L161)=0,"VÍNCULO INVÁLIDO",IF(COUNTIF(tblBatidas[Início vinculado],L161)&gt;1,"VÍNCULO DUPLICADO",IF(E161&lt;&gt;INDEX(tblBatidas[ID],MATCH(L161,tblBatidas[Batida ID],0)),"DIVERGÊNCIA DE ID",IF(H161&lt;&gt;INDEX(tblBatidas[Projeto],MATCH(L161,tblBatidas[Batida ID],0)),"DIVERGÊNCIA DE PROJETO",IF(I161&lt;&gt;INDEX(tblBatidas[Atividade],MATCH(L161,tblBatidas[Batida ID],0)),"DIVERGÊNCIA DE ATIVIDADE",IF(OR(B161&lt;=INDEX(tblBatidas[Data e hora],MATCH(L161,tblBatidas[Batida ID],0)),(B161-INDEX(tblBatidas[Data e hora],MATCH(L161,tblBatidas[Batida ID],0)))*24&gt;16),"HORÁRIO INVÁLIDO","VINCULADO"))))))),"INÍCIO")</f>
        <v>VINCULADO</v>
      </c>
    </row>
    <row r="162" spans="1:13" hidden="1">
      <c r="A162" t="s">
        <v>708</v>
      </c>
      <c r="B162" s="21">
        <v>46262.755810185183</v>
      </c>
      <c r="C162" s="2">
        <f t="shared" si="4"/>
        <v>46262</v>
      </c>
      <c r="D162" t="str">
        <f t="shared" si="5"/>
        <v>SEXTA-FEIRA</v>
      </c>
      <c r="E162">
        <v>1011</v>
      </c>
      <c r="F162" t="s">
        <v>54</v>
      </c>
      <c r="G162" t="s">
        <v>503</v>
      </c>
      <c r="H162" t="s">
        <v>74</v>
      </c>
      <c r="I162" t="s">
        <v>517</v>
      </c>
      <c r="K162" t="s">
        <v>501</v>
      </c>
      <c r="L162" s="9"/>
      <c r="M162" t="str">
        <f>IF(G162="FIM",IF(L162="","SEM VÍNCULO",IF(COUNTIF(tblBatidas[Batida ID],L162)=0,"VÍNCULO INVÁLIDO",IF(COUNTIF(tblBatidas[Início vinculado],L162)&gt;1,"VÍNCULO DUPLICADO",IF(E162&lt;&gt;INDEX(tblBatidas[ID],MATCH(L162,tblBatidas[Batida ID],0)),"DIVERGÊNCIA DE ID",IF(H162&lt;&gt;INDEX(tblBatidas[Projeto],MATCH(L162,tblBatidas[Batida ID],0)),"DIVERGÊNCIA DE PROJETO",IF(I162&lt;&gt;INDEX(tblBatidas[Atividade],MATCH(L162,tblBatidas[Batida ID],0)),"DIVERGÊNCIA DE ATIVIDADE",IF(OR(B162&lt;=INDEX(tblBatidas[Data e hora],MATCH(L162,tblBatidas[Batida ID],0)),(B162-INDEX(tblBatidas[Data e hora],MATCH(L162,tblBatidas[Batida ID],0)))*24&gt;16),"HORÁRIO INVÁLIDO","VINCULADO"))))))),"INÍCIO")</f>
        <v>SEM VÍNCULO</v>
      </c>
    </row>
    <row r="163" spans="1:13" hidden="1">
      <c r="A163" t="s">
        <v>709</v>
      </c>
      <c r="B163" s="21">
        <v>46262.756226851852</v>
      </c>
      <c r="C163" s="2">
        <f t="shared" si="4"/>
        <v>46262</v>
      </c>
      <c r="D163" t="str">
        <f t="shared" si="5"/>
        <v>SEXTA-FEIRA</v>
      </c>
      <c r="E163">
        <v>1014</v>
      </c>
      <c r="F163" t="s">
        <v>58</v>
      </c>
      <c r="G163" t="s">
        <v>503</v>
      </c>
      <c r="H163" t="s">
        <v>72</v>
      </c>
      <c r="I163" t="s">
        <v>512</v>
      </c>
      <c r="K163" t="s">
        <v>501</v>
      </c>
      <c r="L163" s="9" t="s">
        <v>701</v>
      </c>
      <c r="M163" t="str">
        <f>IF(G163="FIM",IF(L163="","SEM VÍNCULO",IF(COUNTIF(tblBatidas[Batida ID],L163)=0,"VÍNCULO INVÁLIDO",IF(COUNTIF(tblBatidas[Início vinculado],L163)&gt;1,"VÍNCULO DUPLICADO",IF(E163&lt;&gt;INDEX(tblBatidas[ID],MATCH(L163,tblBatidas[Batida ID],0)),"DIVERGÊNCIA DE ID",IF(H163&lt;&gt;INDEX(tblBatidas[Projeto],MATCH(L163,tblBatidas[Batida ID],0)),"DIVERGÊNCIA DE PROJETO",IF(I163&lt;&gt;INDEX(tblBatidas[Atividade],MATCH(L163,tblBatidas[Batida ID],0)),"DIVERGÊNCIA DE ATIVIDADE",IF(OR(B163&lt;=INDEX(tblBatidas[Data e hora],MATCH(L163,tblBatidas[Batida ID],0)),(B163-INDEX(tblBatidas[Data e hora],MATCH(L163,tblBatidas[Batida ID],0)))*24&gt;16),"HORÁRIO INVÁLIDO","VINCULADO"))))))),"INÍCIO")</f>
        <v>VINCULADO</v>
      </c>
    </row>
    <row r="164" spans="1:13" hidden="1">
      <c r="A164" t="s">
        <v>710</v>
      </c>
      <c r="B164" s="21">
        <v>46262.765439814815</v>
      </c>
      <c r="C164" s="2">
        <f t="shared" si="4"/>
        <v>46262</v>
      </c>
      <c r="D164" t="str">
        <f t="shared" si="5"/>
        <v>SEXTA-FEIRA</v>
      </c>
      <c r="E164">
        <v>1012</v>
      </c>
      <c r="F164" t="s">
        <v>55</v>
      </c>
      <c r="G164" t="s">
        <v>503</v>
      </c>
      <c r="H164" t="s">
        <v>76</v>
      </c>
      <c r="I164" t="s">
        <v>500</v>
      </c>
      <c r="J164" t="s">
        <v>711</v>
      </c>
      <c r="K164" t="s">
        <v>501</v>
      </c>
      <c r="L164" s="9"/>
      <c r="M164" t="str">
        <f>IF(G164="FIM",IF(L164="","SEM VÍNCULO",IF(COUNTIF(tblBatidas[Batida ID],L164)=0,"VÍNCULO INVÁLIDO",IF(COUNTIF(tblBatidas[Início vinculado],L164)&gt;1,"VÍNCULO DUPLICADO",IF(E164&lt;&gt;INDEX(tblBatidas[ID],MATCH(L164,tblBatidas[Batida ID],0)),"DIVERGÊNCIA DE ID",IF(H164&lt;&gt;INDEX(tblBatidas[Projeto],MATCH(L164,tblBatidas[Batida ID],0)),"DIVERGÊNCIA DE PROJETO",IF(I164&lt;&gt;INDEX(tblBatidas[Atividade],MATCH(L164,tblBatidas[Batida ID],0)),"DIVERGÊNCIA DE ATIVIDADE",IF(OR(B164&lt;=INDEX(tblBatidas[Data e hora],MATCH(L164,tblBatidas[Batida ID],0)),(B164-INDEX(tblBatidas[Data e hora],MATCH(L164,tblBatidas[Batida ID],0)))*24&gt;16),"HORÁRIO INVÁLIDO","VINCULADO"))))))),"INÍCIO")</f>
        <v>SEM VÍNCULO</v>
      </c>
    </row>
    <row r="165" spans="1:13" hidden="1">
      <c r="A165" t="s">
        <v>712</v>
      </c>
      <c r="B165" s="21">
        <v>46262.775266203702</v>
      </c>
      <c r="C165" s="2">
        <f t="shared" si="4"/>
        <v>46262</v>
      </c>
      <c r="D165" t="str">
        <f t="shared" si="5"/>
        <v>SEXTA-FEIRA</v>
      </c>
      <c r="E165">
        <v>1012</v>
      </c>
      <c r="F165" t="s">
        <v>55</v>
      </c>
      <c r="G165" t="s">
        <v>503</v>
      </c>
      <c r="H165" t="s">
        <v>76</v>
      </c>
      <c r="I165" t="s">
        <v>500</v>
      </c>
      <c r="J165" t="s">
        <v>711</v>
      </c>
      <c r="K165" t="s">
        <v>501</v>
      </c>
      <c r="L165" s="9"/>
      <c r="M165" t="str">
        <f>IF(G165="FIM",IF(L165="","SEM VÍNCULO",IF(COUNTIF(tblBatidas[Batida ID],L165)=0,"VÍNCULO INVÁLIDO",IF(COUNTIF(tblBatidas[Início vinculado],L165)&gt;1,"VÍNCULO DUPLICADO",IF(E165&lt;&gt;INDEX(tblBatidas[ID],MATCH(L165,tblBatidas[Batida ID],0)),"DIVERGÊNCIA DE ID",IF(H165&lt;&gt;INDEX(tblBatidas[Projeto],MATCH(L165,tblBatidas[Batida ID],0)),"DIVERGÊNCIA DE PROJETO",IF(I165&lt;&gt;INDEX(tblBatidas[Atividade],MATCH(L165,tblBatidas[Batida ID],0)),"DIVERGÊNCIA DE ATIVIDADE",IF(OR(B165&lt;=INDEX(tblBatidas[Data e hora],MATCH(L165,tblBatidas[Batida ID],0)),(B165-INDEX(tblBatidas[Data e hora],MATCH(L165,tblBatidas[Batida ID],0)))*24&gt;16),"HORÁRIO INVÁLIDO","VINCULADO"))))))),"INÍCIO")</f>
        <v>SEM VÍNCULO</v>
      </c>
    </row>
    <row r="166" spans="1:13" hidden="1">
      <c r="A166" t="s">
        <v>713</v>
      </c>
      <c r="B166" s="21">
        <v>46262.775706018518</v>
      </c>
      <c r="C166" s="2">
        <f t="shared" si="4"/>
        <v>46262</v>
      </c>
      <c r="D166" t="str">
        <f t="shared" si="5"/>
        <v>SEXTA-FEIRA</v>
      </c>
      <c r="E166">
        <v>1012</v>
      </c>
      <c r="F166" t="s">
        <v>55</v>
      </c>
      <c r="G166" t="s">
        <v>503</v>
      </c>
      <c r="H166" t="s">
        <v>76</v>
      </c>
      <c r="I166" t="s">
        <v>500</v>
      </c>
      <c r="J166" t="s">
        <v>711</v>
      </c>
      <c r="K166" t="s">
        <v>501</v>
      </c>
      <c r="L166" s="9"/>
      <c r="M166" t="str">
        <f>IF(G166="FIM",IF(L166="","SEM VÍNCULO",IF(COUNTIF(tblBatidas[Batida ID],L166)=0,"VÍNCULO INVÁLIDO",IF(COUNTIF(tblBatidas[Início vinculado],L166)&gt;1,"VÍNCULO DUPLICADO",IF(E166&lt;&gt;INDEX(tblBatidas[ID],MATCH(L166,tblBatidas[Batida ID],0)),"DIVERGÊNCIA DE ID",IF(H166&lt;&gt;INDEX(tblBatidas[Projeto],MATCH(L166,tblBatidas[Batida ID],0)),"DIVERGÊNCIA DE PROJETO",IF(I166&lt;&gt;INDEX(tblBatidas[Atividade],MATCH(L166,tblBatidas[Batida ID],0)),"DIVERGÊNCIA DE ATIVIDADE",IF(OR(B166&lt;=INDEX(tblBatidas[Data e hora],MATCH(L166,tblBatidas[Batida ID],0)),(B166-INDEX(tblBatidas[Data e hora],MATCH(L166,tblBatidas[Batida ID],0)))*24&gt;16),"HORÁRIO INVÁLIDO","VINCULADO"))))))),"INÍCIO")</f>
        <v>SEM VÍNCULO</v>
      </c>
    </row>
    <row r="167" spans="1:13" hidden="1">
      <c r="A167" t="s">
        <v>714</v>
      </c>
      <c r="B167" s="21">
        <v>46262.777511574073</v>
      </c>
      <c r="C167" s="2">
        <f t="shared" si="4"/>
        <v>46262</v>
      </c>
      <c r="D167" t="str">
        <f t="shared" si="5"/>
        <v>SEXTA-FEIRA</v>
      </c>
      <c r="E167">
        <v>1012</v>
      </c>
      <c r="F167" t="s">
        <v>55</v>
      </c>
      <c r="G167" t="s">
        <v>503</v>
      </c>
      <c r="H167" t="s">
        <v>76</v>
      </c>
      <c r="I167" t="s">
        <v>500</v>
      </c>
      <c r="J167" t="s">
        <v>711</v>
      </c>
      <c r="K167" t="s">
        <v>501</v>
      </c>
      <c r="L167" s="9"/>
      <c r="M167" t="str">
        <f>IF(G167="FIM",IF(L167="","SEM VÍNCULO",IF(COUNTIF(tblBatidas[Batida ID],L167)=0,"VÍNCULO INVÁLIDO",IF(COUNTIF(tblBatidas[Início vinculado],L167)&gt;1,"VÍNCULO DUPLICADO",IF(E167&lt;&gt;INDEX(tblBatidas[ID],MATCH(L167,tblBatidas[Batida ID],0)),"DIVERGÊNCIA DE ID",IF(H167&lt;&gt;INDEX(tblBatidas[Projeto],MATCH(L167,tblBatidas[Batida ID],0)),"DIVERGÊNCIA DE PROJETO",IF(I167&lt;&gt;INDEX(tblBatidas[Atividade],MATCH(L167,tblBatidas[Batida ID],0)),"DIVERGÊNCIA DE ATIVIDADE",IF(OR(B167&lt;=INDEX(tblBatidas[Data e hora],MATCH(L167,tblBatidas[Batida ID],0)),(B167-INDEX(tblBatidas[Data e hora],MATCH(L167,tblBatidas[Batida ID],0)))*24&gt;16),"HORÁRIO INVÁLIDO","VINCULADO"))))))),"INÍCIO")</f>
        <v>SEM VÍNCULO</v>
      </c>
    </row>
    <row r="168" spans="1:13" hidden="1">
      <c r="A168" t="s">
        <v>715</v>
      </c>
      <c r="B168" s="21">
        <v>46262.780451388891</v>
      </c>
      <c r="C168" s="2">
        <f t="shared" si="4"/>
        <v>46262</v>
      </c>
      <c r="D168" t="str">
        <f t="shared" si="5"/>
        <v>SEXTA-FEIRA</v>
      </c>
      <c r="E168">
        <v>1012</v>
      </c>
      <c r="F168" t="s">
        <v>55</v>
      </c>
      <c r="G168" t="s">
        <v>503</v>
      </c>
      <c r="H168" t="s">
        <v>76</v>
      </c>
      <c r="I168" t="s">
        <v>500</v>
      </c>
      <c r="J168" t="s">
        <v>711</v>
      </c>
      <c r="K168" t="s">
        <v>501</v>
      </c>
      <c r="L168" s="9"/>
      <c r="M168" t="str">
        <f>IF(G168="FIM",IF(L168="","SEM VÍNCULO",IF(COUNTIF(tblBatidas[Batida ID],L168)=0,"VÍNCULO INVÁLIDO",IF(COUNTIF(tblBatidas[Início vinculado],L168)&gt;1,"VÍNCULO DUPLICADO",IF(E168&lt;&gt;INDEX(tblBatidas[ID],MATCH(L168,tblBatidas[Batida ID],0)),"DIVERGÊNCIA DE ID",IF(H168&lt;&gt;INDEX(tblBatidas[Projeto],MATCH(L168,tblBatidas[Batida ID],0)),"DIVERGÊNCIA DE PROJETO",IF(I168&lt;&gt;INDEX(tblBatidas[Atividade],MATCH(L168,tblBatidas[Batida ID],0)),"DIVERGÊNCIA DE ATIVIDADE",IF(OR(B168&lt;=INDEX(tblBatidas[Data e hora],MATCH(L168,tblBatidas[Batida ID],0)),(B168-INDEX(tblBatidas[Data e hora],MATCH(L168,tblBatidas[Batida ID],0)))*24&gt;16),"HORÁRIO INVÁLIDO","VINCULADO"))))))),"INÍCIO")</f>
        <v>SEM VÍNCULO</v>
      </c>
    </row>
    <row r="169" spans="1:13" hidden="1">
      <c r="A169" t="s">
        <v>716</v>
      </c>
      <c r="B169" s="21">
        <v>46262.782754629632</v>
      </c>
      <c r="C169" s="2">
        <f t="shared" si="4"/>
        <v>46262</v>
      </c>
      <c r="D169" t="str">
        <f t="shared" si="5"/>
        <v>SEXTA-FEIRA</v>
      </c>
      <c r="E169">
        <v>1012</v>
      </c>
      <c r="F169" t="s">
        <v>55</v>
      </c>
      <c r="G169" t="s">
        <v>503</v>
      </c>
      <c r="H169" t="s">
        <v>76</v>
      </c>
      <c r="I169" t="s">
        <v>500</v>
      </c>
      <c r="J169" t="s">
        <v>711</v>
      </c>
      <c r="K169" t="s">
        <v>501</v>
      </c>
      <c r="L169" s="9"/>
      <c r="M169" t="str">
        <f>IF(G169="FIM",IF(L169="","SEM VÍNCULO",IF(COUNTIF(tblBatidas[Batida ID],L169)=0,"VÍNCULO INVÁLIDO",IF(COUNTIF(tblBatidas[Início vinculado],L169)&gt;1,"VÍNCULO DUPLICADO",IF(E169&lt;&gt;INDEX(tblBatidas[ID],MATCH(L169,tblBatidas[Batida ID],0)),"DIVERGÊNCIA DE ID",IF(H169&lt;&gt;INDEX(tblBatidas[Projeto],MATCH(L169,tblBatidas[Batida ID],0)),"DIVERGÊNCIA DE PROJETO",IF(I169&lt;&gt;INDEX(tblBatidas[Atividade],MATCH(L169,tblBatidas[Batida ID],0)),"DIVERGÊNCIA DE ATIVIDADE",IF(OR(B169&lt;=INDEX(tblBatidas[Data e hora],MATCH(L169,tblBatidas[Batida ID],0)),(B169-INDEX(tblBatidas[Data e hora],MATCH(L169,tblBatidas[Batida ID],0)))*24&gt;16),"HORÁRIO INVÁLIDO","VINCULADO"))))))),"INÍCIO")</f>
        <v>SEM VÍNCULO</v>
      </c>
    </row>
    <row r="170" spans="1:13" hidden="1">
      <c r="A170" t="s">
        <v>717</v>
      </c>
      <c r="B170" s="21">
        <v>46262.782881944448</v>
      </c>
      <c r="C170" s="2">
        <f t="shared" si="4"/>
        <v>46262</v>
      </c>
      <c r="D170" t="str">
        <f t="shared" si="5"/>
        <v>SEXTA-FEIRA</v>
      </c>
      <c r="E170">
        <v>1012</v>
      </c>
      <c r="F170" t="s">
        <v>55</v>
      </c>
      <c r="G170" t="s">
        <v>503</v>
      </c>
      <c r="H170" t="s">
        <v>76</v>
      </c>
      <c r="I170" t="s">
        <v>500</v>
      </c>
      <c r="J170" t="s">
        <v>711</v>
      </c>
      <c r="K170" t="s">
        <v>501</v>
      </c>
      <c r="L170" s="9"/>
      <c r="M170" t="str">
        <f>IF(G170="FIM",IF(L170="","SEM VÍNCULO",IF(COUNTIF(tblBatidas[Batida ID],L170)=0,"VÍNCULO INVÁLIDO",IF(COUNTIF(tblBatidas[Início vinculado],L170)&gt;1,"VÍNCULO DUPLICADO",IF(E170&lt;&gt;INDEX(tblBatidas[ID],MATCH(L170,tblBatidas[Batida ID],0)),"DIVERGÊNCIA DE ID",IF(H170&lt;&gt;INDEX(tblBatidas[Projeto],MATCH(L170,tblBatidas[Batida ID],0)),"DIVERGÊNCIA DE PROJETO",IF(I170&lt;&gt;INDEX(tblBatidas[Atividade],MATCH(L170,tblBatidas[Batida ID],0)),"DIVERGÊNCIA DE ATIVIDADE",IF(OR(B170&lt;=INDEX(tblBatidas[Data e hora],MATCH(L170,tblBatidas[Batida ID],0)),(B170-INDEX(tblBatidas[Data e hora],MATCH(L170,tblBatidas[Batida ID],0)))*24&gt;16),"HORÁRIO INVÁLIDO","VINCULADO"))))))),"INÍCIO")</f>
        <v>SEM VÍNCULO</v>
      </c>
    </row>
    <row r="171" spans="1:13" hidden="1">
      <c r="A171" t="s">
        <v>718</v>
      </c>
      <c r="B171" s="21">
        <v>46262.783726851849</v>
      </c>
      <c r="C171" s="2">
        <f t="shared" si="4"/>
        <v>46262</v>
      </c>
      <c r="D171" t="str">
        <f t="shared" si="5"/>
        <v>SEXTA-FEIRA</v>
      </c>
      <c r="E171">
        <v>1006</v>
      </c>
      <c r="F171" t="s">
        <v>49</v>
      </c>
      <c r="G171" t="s">
        <v>503</v>
      </c>
      <c r="H171" t="s">
        <v>74</v>
      </c>
      <c r="I171" t="s">
        <v>512</v>
      </c>
      <c r="J171" t="s">
        <v>719</v>
      </c>
      <c r="K171" t="s">
        <v>501</v>
      </c>
      <c r="L171" s="9" t="s">
        <v>702</v>
      </c>
      <c r="M171" t="str">
        <f>IF(G171="FIM",IF(L171="","SEM VÍNCULO",IF(COUNTIF(tblBatidas[Batida ID],L171)=0,"VÍNCULO INVÁLIDO",IF(COUNTIF(tblBatidas[Início vinculado],L171)&gt;1,"VÍNCULO DUPLICADO",IF(E171&lt;&gt;INDEX(tblBatidas[ID],MATCH(L171,tblBatidas[Batida ID],0)),"DIVERGÊNCIA DE ID",IF(H171&lt;&gt;INDEX(tblBatidas[Projeto],MATCH(L171,tblBatidas[Batida ID],0)),"DIVERGÊNCIA DE PROJETO",IF(I171&lt;&gt;INDEX(tblBatidas[Atividade],MATCH(L171,tblBatidas[Batida ID],0)),"DIVERGÊNCIA DE ATIVIDADE",IF(OR(B171&lt;=INDEX(tblBatidas[Data e hora],MATCH(L171,tblBatidas[Batida ID],0)),(B171-INDEX(tblBatidas[Data e hora],MATCH(L171,tblBatidas[Batida ID],0)))*24&gt;16),"HORÁRIO INVÁLIDO","VINCULADO"))))))),"INÍCIO")</f>
        <v>VINCULADO</v>
      </c>
    </row>
    <row r="172" spans="1:13" hidden="1">
      <c r="A172" t="s">
        <v>720</v>
      </c>
      <c r="B172" s="21">
        <v>46262.784270833334</v>
      </c>
      <c r="C172" s="2">
        <f t="shared" si="4"/>
        <v>46262</v>
      </c>
      <c r="D172" t="str">
        <f t="shared" si="5"/>
        <v>SEXTA-FEIRA</v>
      </c>
      <c r="E172">
        <v>1001</v>
      </c>
      <c r="F172" t="s">
        <v>43</v>
      </c>
      <c r="G172" t="s">
        <v>503</v>
      </c>
      <c r="H172" t="s">
        <v>80</v>
      </c>
      <c r="I172" t="s">
        <v>500</v>
      </c>
      <c r="J172" t="s">
        <v>721</v>
      </c>
      <c r="K172" t="s">
        <v>501</v>
      </c>
      <c r="L172" s="9" t="s">
        <v>696</v>
      </c>
      <c r="M172" t="str">
        <f>IF(G172="FIM",IF(L172="","SEM VÍNCULO",IF(COUNTIF(tblBatidas[Batida ID],L172)=0,"VÍNCULO INVÁLIDO",IF(COUNTIF(tblBatidas[Início vinculado],L172)&gt;1,"VÍNCULO DUPLICADO",IF(E172&lt;&gt;INDEX(tblBatidas[ID],MATCH(L172,tblBatidas[Batida ID],0)),"DIVERGÊNCIA DE ID",IF(H172&lt;&gt;INDEX(tblBatidas[Projeto],MATCH(L172,tblBatidas[Batida ID],0)),"DIVERGÊNCIA DE PROJETO",IF(I172&lt;&gt;INDEX(tblBatidas[Atividade],MATCH(L172,tblBatidas[Batida ID],0)),"DIVERGÊNCIA DE ATIVIDADE",IF(OR(B172&lt;=INDEX(tblBatidas[Data e hora],MATCH(L172,tblBatidas[Batida ID],0)),(B172-INDEX(tblBatidas[Data e hora],MATCH(L172,tblBatidas[Batida ID],0)))*24&gt;16),"HORÁRIO INVÁLIDO","VINCULADO"))))))),"INÍCIO")</f>
        <v>VINCULADO</v>
      </c>
    </row>
    <row r="173" spans="1:13" hidden="1">
      <c r="A173" t="s">
        <v>722</v>
      </c>
      <c r="B173" s="21">
        <v>46263.345312500001</v>
      </c>
      <c r="C173" s="2">
        <f t="shared" si="4"/>
        <v>46263</v>
      </c>
      <c r="D173" t="str">
        <f t="shared" si="5"/>
        <v>SÁBADO</v>
      </c>
      <c r="E173">
        <v>1001</v>
      </c>
      <c r="F173" t="s">
        <v>43</v>
      </c>
      <c r="G173" t="s">
        <v>499</v>
      </c>
      <c r="H173" t="s">
        <v>72</v>
      </c>
      <c r="I173" t="s">
        <v>500</v>
      </c>
      <c r="J173" t="s">
        <v>723</v>
      </c>
      <c r="K173" t="s">
        <v>501</v>
      </c>
      <c r="L173" s="9"/>
      <c r="M173" t="str">
        <f>IF(G173="FIM",IF(L173="","SEM VÍNCULO",IF(COUNTIF(tblBatidas[Batida ID],L173)=0,"VÍNCULO INVÁLIDO",IF(COUNTIF(tblBatidas[Início vinculado],L173)&gt;1,"VÍNCULO DUPLICADO",IF(E173&lt;&gt;INDEX(tblBatidas[ID],MATCH(L173,tblBatidas[Batida ID],0)),"DIVERGÊNCIA DE ID",IF(H173&lt;&gt;INDEX(tblBatidas[Projeto],MATCH(L173,tblBatidas[Batida ID],0)),"DIVERGÊNCIA DE PROJETO",IF(I173&lt;&gt;INDEX(tblBatidas[Atividade],MATCH(L173,tblBatidas[Batida ID],0)),"DIVERGÊNCIA DE ATIVIDADE",IF(OR(B173&lt;=INDEX(tblBatidas[Data e hora],MATCH(L173,tblBatidas[Batida ID],0)),(B173-INDEX(tblBatidas[Data e hora],MATCH(L173,tblBatidas[Batida ID],0)))*24&gt;16),"HORÁRIO INVÁLIDO","VINCULADO"))))))),"INÍCIO")</f>
        <v>INÍCIO</v>
      </c>
    </row>
    <row r="174" spans="1:13" hidden="1">
      <c r="A174" t="s">
        <v>724</v>
      </c>
      <c r="B174" s="21">
        <v>46263.374456018515</v>
      </c>
      <c r="C174" s="2">
        <f t="shared" si="4"/>
        <v>46263</v>
      </c>
      <c r="D174" t="str">
        <f t="shared" si="5"/>
        <v>SÁBADO</v>
      </c>
      <c r="E174">
        <v>1006</v>
      </c>
      <c r="F174" t="s">
        <v>49</v>
      </c>
      <c r="G174" t="s">
        <v>499</v>
      </c>
      <c r="H174" t="s">
        <v>74</v>
      </c>
      <c r="I174" t="s">
        <v>512</v>
      </c>
      <c r="J174" t="s">
        <v>671</v>
      </c>
      <c r="K174" t="s">
        <v>501</v>
      </c>
      <c r="L174" s="9"/>
      <c r="M174" t="str">
        <f>IF(G174="FIM",IF(L174="","SEM VÍNCULO",IF(COUNTIF(tblBatidas[Batida ID],L174)=0,"VÍNCULO INVÁLIDO",IF(COUNTIF(tblBatidas[Início vinculado],L174)&gt;1,"VÍNCULO DUPLICADO",IF(E174&lt;&gt;INDEX(tblBatidas[ID],MATCH(L174,tblBatidas[Batida ID],0)),"DIVERGÊNCIA DE ID",IF(H174&lt;&gt;INDEX(tblBatidas[Projeto],MATCH(L174,tblBatidas[Batida ID],0)),"DIVERGÊNCIA DE PROJETO",IF(I174&lt;&gt;INDEX(tblBatidas[Atividade],MATCH(L174,tblBatidas[Batida ID],0)),"DIVERGÊNCIA DE ATIVIDADE",IF(OR(B174&lt;=INDEX(tblBatidas[Data e hora],MATCH(L174,tblBatidas[Batida ID],0)),(B174-INDEX(tblBatidas[Data e hora],MATCH(L174,tblBatidas[Batida ID],0)))*24&gt;16),"HORÁRIO INVÁLIDO","VINCULADO"))))))),"INÍCIO")</f>
        <v>INÍCIO</v>
      </c>
    </row>
    <row r="175" spans="1:13" hidden="1">
      <c r="A175" t="s">
        <v>725</v>
      </c>
      <c r="B175" s="21">
        <v>46263.381585648145</v>
      </c>
      <c r="C175" s="2">
        <f t="shared" si="4"/>
        <v>46263</v>
      </c>
      <c r="D175" t="str">
        <f t="shared" si="5"/>
        <v>SÁBADO</v>
      </c>
      <c r="E175">
        <v>1012</v>
      </c>
      <c r="F175" t="s">
        <v>55</v>
      </c>
      <c r="G175" t="s">
        <v>503</v>
      </c>
      <c r="H175" t="s">
        <v>74</v>
      </c>
      <c r="I175" t="s">
        <v>500</v>
      </c>
      <c r="J175" t="s">
        <v>726</v>
      </c>
      <c r="K175" t="s">
        <v>501</v>
      </c>
      <c r="L175" s="9"/>
      <c r="M175" t="str">
        <f>IF(G175="FIM",IF(L175="","SEM VÍNCULO",IF(COUNTIF(tblBatidas[Batida ID],L175)=0,"VÍNCULO INVÁLIDO",IF(COUNTIF(tblBatidas[Início vinculado],L175)&gt;1,"VÍNCULO DUPLICADO",IF(E175&lt;&gt;INDEX(tblBatidas[ID],MATCH(L175,tblBatidas[Batida ID],0)),"DIVERGÊNCIA DE ID",IF(H175&lt;&gt;INDEX(tblBatidas[Projeto],MATCH(L175,tblBatidas[Batida ID],0)),"DIVERGÊNCIA DE PROJETO",IF(I175&lt;&gt;INDEX(tblBatidas[Atividade],MATCH(L175,tblBatidas[Batida ID],0)),"DIVERGÊNCIA DE ATIVIDADE",IF(OR(B175&lt;=INDEX(tblBatidas[Data e hora],MATCH(L175,tblBatidas[Batida ID],0)),(B175-INDEX(tblBatidas[Data e hora],MATCH(L175,tblBatidas[Batida ID],0)))*24&gt;16),"HORÁRIO INVÁLIDO","VINCULADO"))))))),"INÍCIO")</f>
        <v>SEM VÍNCULO</v>
      </c>
    </row>
    <row r="176" spans="1:13" hidden="1">
      <c r="A176" t="s">
        <v>727</v>
      </c>
      <c r="B176" s="21">
        <v>46263.381620370368</v>
      </c>
      <c r="C176" s="2">
        <f t="shared" si="4"/>
        <v>46263</v>
      </c>
      <c r="D176" t="str">
        <f t="shared" si="5"/>
        <v>SÁBADO</v>
      </c>
      <c r="E176">
        <v>1012</v>
      </c>
      <c r="F176" t="s">
        <v>55</v>
      </c>
      <c r="G176" t="s">
        <v>503</v>
      </c>
      <c r="H176" t="s">
        <v>74</v>
      </c>
      <c r="I176" t="s">
        <v>500</v>
      </c>
      <c r="J176" t="s">
        <v>726</v>
      </c>
      <c r="K176" t="s">
        <v>501</v>
      </c>
      <c r="L176" s="9"/>
      <c r="M176" t="str">
        <f>IF(G176="FIM",IF(L176="","SEM VÍNCULO",IF(COUNTIF(tblBatidas[Batida ID],L176)=0,"VÍNCULO INVÁLIDO",IF(COUNTIF(tblBatidas[Início vinculado],L176)&gt;1,"VÍNCULO DUPLICADO",IF(E176&lt;&gt;INDEX(tblBatidas[ID],MATCH(L176,tblBatidas[Batida ID],0)),"DIVERGÊNCIA DE ID",IF(H176&lt;&gt;INDEX(tblBatidas[Projeto],MATCH(L176,tblBatidas[Batida ID],0)),"DIVERGÊNCIA DE PROJETO",IF(I176&lt;&gt;INDEX(tblBatidas[Atividade],MATCH(L176,tblBatidas[Batida ID],0)),"DIVERGÊNCIA DE ATIVIDADE",IF(OR(B176&lt;=INDEX(tblBatidas[Data e hora],MATCH(L176,tblBatidas[Batida ID],0)),(B176-INDEX(tblBatidas[Data e hora],MATCH(L176,tblBatidas[Batida ID],0)))*24&gt;16),"HORÁRIO INVÁLIDO","VINCULADO"))))))),"INÍCIO")</f>
        <v>SEM VÍNCULO</v>
      </c>
    </row>
    <row r="177" spans="1:13" hidden="1">
      <c r="A177" t="s">
        <v>728</v>
      </c>
      <c r="B177" s="21">
        <v>46263.383796296293</v>
      </c>
      <c r="C177" s="2">
        <f t="shared" si="4"/>
        <v>46263</v>
      </c>
      <c r="D177" t="str">
        <f t="shared" si="5"/>
        <v>SÁBADO</v>
      </c>
      <c r="E177">
        <v>1012</v>
      </c>
      <c r="F177" t="s">
        <v>55</v>
      </c>
      <c r="G177" t="s">
        <v>499</v>
      </c>
      <c r="H177" t="s">
        <v>74</v>
      </c>
      <c r="I177" t="s">
        <v>500</v>
      </c>
      <c r="J177" t="s">
        <v>729</v>
      </c>
      <c r="K177" t="s">
        <v>501</v>
      </c>
      <c r="L177" s="9"/>
      <c r="M177" t="str">
        <f>IF(G177="FIM",IF(L177="","SEM VÍNCULO",IF(COUNTIF(tblBatidas[Batida ID],L177)=0,"VÍNCULO INVÁLIDO",IF(COUNTIF(tblBatidas[Início vinculado],L177)&gt;1,"VÍNCULO DUPLICADO",IF(E177&lt;&gt;INDEX(tblBatidas[ID],MATCH(L177,tblBatidas[Batida ID],0)),"DIVERGÊNCIA DE ID",IF(H177&lt;&gt;INDEX(tblBatidas[Projeto],MATCH(L177,tblBatidas[Batida ID],0)),"DIVERGÊNCIA DE PROJETO",IF(I177&lt;&gt;INDEX(tblBatidas[Atividade],MATCH(L177,tblBatidas[Batida ID],0)),"DIVERGÊNCIA DE ATIVIDADE",IF(OR(B177&lt;=INDEX(tblBatidas[Data e hora],MATCH(L177,tblBatidas[Batida ID],0)),(B177-INDEX(tblBatidas[Data e hora],MATCH(L177,tblBatidas[Batida ID],0)))*24&gt;16),"HORÁRIO INVÁLIDO","VINCULADO"))))))),"INÍCIO")</f>
        <v>INÍCIO</v>
      </c>
    </row>
    <row r="178" spans="1:13" hidden="1">
      <c r="A178" t="s">
        <v>730</v>
      </c>
      <c r="B178" s="21">
        <v>46263.384027777778</v>
      </c>
      <c r="C178" s="2">
        <f t="shared" si="4"/>
        <v>46263</v>
      </c>
      <c r="D178" t="str">
        <f t="shared" si="5"/>
        <v>SÁBADO</v>
      </c>
      <c r="E178">
        <v>1012</v>
      </c>
      <c r="F178" t="s">
        <v>55</v>
      </c>
      <c r="G178" t="s">
        <v>499</v>
      </c>
      <c r="H178" t="s">
        <v>74</v>
      </c>
      <c r="I178" t="s">
        <v>500</v>
      </c>
      <c r="J178" t="s">
        <v>729</v>
      </c>
      <c r="K178" t="s">
        <v>501</v>
      </c>
      <c r="L178" s="9"/>
      <c r="M178" t="str">
        <f>IF(G178="FIM",IF(L178="","SEM VÍNCULO",IF(COUNTIF(tblBatidas[Batida ID],L178)=0,"VÍNCULO INVÁLIDO",IF(COUNTIF(tblBatidas[Início vinculado],L178)&gt;1,"VÍNCULO DUPLICADO",IF(E178&lt;&gt;INDEX(tblBatidas[ID],MATCH(L178,tblBatidas[Batida ID],0)),"DIVERGÊNCIA DE ID",IF(H178&lt;&gt;INDEX(tblBatidas[Projeto],MATCH(L178,tblBatidas[Batida ID],0)),"DIVERGÊNCIA DE PROJETO",IF(I178&lt;&gt;INDEX(tblBatidas[Atividade],MATCH(L178,tblBatidas[Batida ID],0)),"DIVERGÊNCIA DE ATIVIDADE",IF(OR(B178&lt;=INDEX(tblBatidas[Data e hora],MATCH(L178,tblBatidas[Batida ID],0)),(B178-INDEX(tblBatidas[Data e hora],MATCH(L178,tblBatidas[Batida ID],0)))*24&gt;16),"HORÁRIO INVÁLIDO","VINCULADO"))))))),"INÍCIO")</f>
        <v>INÍCIO</v>
      </c>
    </row>
    <row r="179" spans="1:13" hidden="1">
      <c r="A179" t="s">
        <v>731</v>
      </c>
      <c r="B179" s="21">
        <v>46263.385289351849</v>
      </c>
      <c r="C179" s="2">
        <f t="shared" si="4"/>
        <v>46263</v>
      </c>
      <c r="D179" t="str">
        <f t="shared" si="5"/>
        <v>SÁBADO</v>
      </c>
      <c r="E179">
        <v>1012</v>
      </c>
      <c r="F179" t="s">
        <v>55</v>
      </c>
      <c r="G179" t="s">
        <v>499</v>
      </c>
      <c r="H179" t="s">
        <v>74</v>
      </c>
      <c r="I179" t="s">
        <v>500</v>
      </c>
      <c r="J179" t="s">
        <v>729</v>
      </c>
      <c r="K179" t="s">
        <v>501</v>
      </c>
      <c r="L179" s="9"/>
      <c r="M179" t="str">
        <f>IF(G179="FIM",IF(L179="","SEM VÍNCULO",IF(COUNTIF(tblBatidas[Batida ID],L179)=0,"VÍNCULO INVÁLIDO",IF(COUNTIF(tblBatidas[Início vinculado],L179)&gt;1,"VÍNCULO DUPLICADO",IF(E179&lt;&gt;INDEX(tblBatidas[ID],MATCH(L179,tblBatidas[Batida ID],0)),"DIVERGÊNCIA DE ID",IF(H179&lt;&gt;INDEX(tblBatidas[Projeto],MATCH(L179,tblBatidas[Batida ID],0)),"DIVERGÊNCIA DE PROJETO",IF(I179&lt;&gt;INDEX(tblBatidas[Atividade],MATCH(L179,tblBatidas[Batida ID],0)),"DIVERGÊNCIA DE ATIVIDADE",IF(OR(B179&lt;=INDEX(tblBatidas[Data e hora],MATCH(L179,tblBatidas[Batida ID],0)),(B179-INDEX(tblBatidas[Data e hora],MATCH(L179,tblBatidas[Batida ID],0)))*24&gt;16),"HORÁRIO INVÁLIDO","VINCULADO"))))))),"INÍCIO")</f>
        <v>INÍCIO</v>
      </c>
    </row>
    <row r="180" spans="1:13" hidden="1">
      <c r="A180" t="s">
        <v>732</v>
      </c>
      <c r="B180" s="21">
        <v>46263.390324074076</v>
      </c>
      <c r="C180" s="2">
        <f t="shared" si="4"/>
        <v>46263</v>
      </c>
      <c r="D180" t="str">
        <f t="shared" si="5"/>
        <v>SÁBADO</v>
      </c>
      <c r="E180">
        <v>1012</v>
      </c>
      <c r="F180" t="s">
        <v>55</v>
      </c>
      <c r="G180" t="s">
        <v>499</v>
      </c>
      <c r="H180" t="s">
        <v>74</v>
      </c>
      <c r="I180" t="s">
        <v>500</v>
      </c>
      <c r="J180" t="s">
        <v>729</v>
      </c>
      <c r="K180" t="s">
        <v>501</v>
      </c>
      <c r="L180" s="9"/>
      <c r="M180" t="str">
        <f>IF(G180="FIM",IF(L180="","SEM VÍNCULO",IF(COUNTIF(tblBatidas[Batida ID],L180)=0,"VÍNCULO INVÁLIDO",IF(COUNTIF(tblBatidas[Início vinculado],L180)&gt;1,"VÍNCULO DUPLICADO",IF(E180&lt;&gt;INDEX(tblBatidas[ID],MATCH(L180,tblBatidas[Batida ID],0)),"DIVERGÊNCIA DE ID",IF(H180&lt;&gt;INDEX(tblBatidas[Projeto],MATCH(L180,tblBatidas[Batida ID],0)),"DIVERGÊNCIA DE PROJETO",IF(I180&lt;&gt;INDEX(tblBatidas[Atividade],MATCH(L180,tblBatidas[Batida ID],0)),"DIVERGÊNCIA DE ATIVIDADE",IF(OR(B180&lt;=INDEX(tblBatidas[Data e hora],MATCH(L180,tblBatidas[Batida ID],0)),(B180-INDEX(tblBatidas[Data e hora],MATCH(L180,tblBatidas[Batida ID],0)))*24&gt;16),"HORÁRIO INVÁLIDO","VINCULADO"))))))),"INÍCIO")</f>
        <v>INÍCIO</v>
      </c>
    </row>
    <row r="181" spans="1:13" hidden="1">
      <c r="A181" t="s">
        <v>733</v>
      </c>
      <c r="B181" s="21">
        <v>46263.479710648149</v>
      </c>
      <c r="C181" s="2">
        <f t="shared" si="4"/>
        <v>46263</v>
      </c>
      <c r="D181" t="str">
        <f t="shared" si="5"/>
        <v>SÁBADO</v>
      </c>
      <c r="E181">
        <v>1012</v>
      </c>
      <c r="F181" t="s">
        <v>55</v>
      </c>
      <c r="G181" t="s">
        <v>499</v>
      </c>
      <c r="H181" t="s">
        <v>74</v>
      </c>
      <c r="I181" t="s">
        <v>500</v>
      </c>
      <c r="J181" t="s">
        <v>729</v>
      </c>
      <c r="K181" t="s">
        <v>501</v>
      </c>
      <c r="L181" s="9"/>
      <c r="M181" t="str">
        <f>IF(G181="FIM",IF(L181="","SEM VÍNCULO",IF(COUNTIF(tblBatidas[Batida ID],L181)=0,"VÍNCULO INVÁLIDO",IF(COUNTIF(tblBatidas[Início vinculado],L181)&gt;1,"VÍNCULO DUPLICADO",IF(E181&lt;&gt;INDEX(tblBatidas[ID],MATCH(L181,tblBatidas[Batida ID],0)),"DIVERGÊNCIA DE ID",IF(H181&lt;&gt;INDEX(tblBatidas[Projeto],MATCH(L181,tblBatidas[Batida ID],0)),"DIVERGÊNCIA DE PROJETO",IF(I181&lt;&gt;INDEX(tblBatidas[Atividade],MATCH(L181,tblBatidas[Batida ID],0)),"DIVERGÊNCIA DE ATIVIDADE",IF(OR(B181&lt;=INDEX(tblBatidas[Data e hora],MATCH(L181,tblBatidas[Batida ID],0)),(B181-INDEX(tblBatidas[Data e hora],MATCH(L181,tblBatidas[Batida ID],0)))*24&gt;16),"HORÁRIO INVÁLIDO","VINCULADO"))))))),"INÍCIO")</f>
        <v>INÍCIO</v>
      </c>
    </row>
    <row r="182" spans="1:13" hidden="1">
      <c r="A182" t="s">
        <v>734</v>
      </c>
      <c r="B182" s="21">
        <v>46263.524027777778</v>
      </c>
      <c r="C182" s="2">
        <f t="shared" si="4"/>
        <v>46263</v>
      </c>
      <c r="D182" t="str">
        <f t="shared" si="5"/>
        <v>SÁBADO</v>
      </c>
      <c r="E182">
        <v>1012</v>
      </c>
      <c r="F182" t="s">
        <v>55</v>
      </c>
      <c r="G182" t="s">
        <v>499</v>
      </c>
      <c r="H182" t="s">
        <v>74</v>
      </c>
      <c r="I182" t="s">
        <v>500</v>
      </c>
      <c r="J182" t="s">
        <v>729</v>
      </c>
      <c r="K182" t="s">
        <v>501</v>
      </c>
      <c r="L182" s="9"/>
      <c r="M182" t="str">
        <f>IF(G182="FIM",IF(L182="","SEM VÍNCULO",IF(COUNTIF(tblBatidas[Batida ID],L182)=0,"VÍNCULO INVÁLIDO",IF(COUNTIF(tblBatidas[Início vinculado],L182)&gt;1,"VÍNCULO DUPLICADO",IF(E182&lt;&gt;INDEX(tblBatidas[ID],MATCH(L182,tblBatidas[Batida ID],0)),"DIVERGÊNCIA DE ID",IF(H182&lt;&gt;INDEX(tblBatidas[Projeto],MATCH(L182,tblBatidas[Batida ID],0)),"DIVERGÊNCIA DE PROJETO",IF(I182&lt;&gt;INDEX(tblBatidas[Atividade],MATCH(L182,tblBatidas[Batida ID],0)),"DIVERGÊNCIA DE ATIVIDADE",IF(OR(B182&lt;=INDEX(tblBatidas[Data e hora],MATCH(L182,tblBatidas[Batida ID],0)),(B182-INDEX(tblBatidas[Data e hora],MATCH(L182,tblBatidas[Batida ID],0)))*24&gt;16),"HORÁRIO INVÁLIDO","VINCULADO"))))))),"INÍCIO")</f>
        <v>INÍCIO</v>
      </c>
    </row>
    <row r="183" spans="1:13" hidden="1">
      <c r="A183" t="s">
        <v>735</v>
      </c>
      <c r="B183" s="21">
        <v>46263.533425925925</v>
      </c>
      <c r="C183" s="2">
        <f t="shared" si="4"/>
        <v>46263</v>
      </c>
      <c r="D183" t="str">
        <f t="shared" si="5"/>
        <v>SÁBADO</v>
      </c>
      <c r="E183">
        <v>1004</v>
      </c>
      <c r="F183" t="s">
        <v>47</v>
      </c>
      <c r="G183" t="s">
        <v>499</v>
      </c>
      <c r="H183" t="s">
        <v>72</v>
      </c>
      <c r="I183" t="s">
        <v>538</v>
      </c>
      <c r="J183" t="s">
        <v>736</v>
      </c>
      <c r="K183" t="s">
        <v>501</v>
      </c>
      <c r="L183" s="9"/>
      <c r="M183" t="str">
        <f>IF(G183="FIM",IF(L183="","SEM VÍNCULO",IF(COUNTIF(tblBatidas[Batida ID],L183)=0,"VÍNCULO INVÁLIDO",IF(COUNTIF(tblBatidas[Início vinculado],L183)&gt;1,"VÍNCULO DUPLICADO",IF(E183&lt;&gt;INDEX(tblBatidas[ID],MATCH(L183,tblBatidas[Batida ID],0)),"DIVERGÊNCIA DE ID",IF(H183&lt;&gt;INDEX(tblBatidas[Projeto],MATCH(L183,tblBatidas[Batida ID],0)),"DIVERGÊNCIA DE PROJETO",IF(I183&lt;&gt;INDEX(tblBatidas[Atividade],MATCH(L183,tblBatidas[Batida ID],0)),"DIVERGÊNCIA DE ATIVIDADE",IF(OR(B183&lt;=INDEX(tblBatidas[Data e hora],MATCH(L183,tblBatidas[Batida ID],0)),(B183-INDEX(tblBatidas[Data e hora],MATCH(L183,tblBatidas[Batida ID],0)))*24&gt;16),"HORÁRIO INVÁLIDO","VINCULADO"))))))),"INÍCIO")</f>
        <v>INÍCIO</v>
      </c>
    </row>
    <row r="184" spans="1:13" hidden="1">
      <c r="A184" t="s">
        <v>737</v>
      </c>
      <c r="B184" s="21">
        <v>46263.629131944443</v>
      </c>
      <c r="C184" s="2">
        <f t="shared" si="4"/>
        <v>46263</v>
      </c>
      <c r="D184" t="str">
        <f t="shared" si="5"/>
        <v>SÁBADO</v>
      </c>
      <c r="E184">
        <v>1004</v>
      </c>
      <c r="F184" t="s">
        <v>47</v>
      </c>
      <c r="G184" t="s">
        <v>503</v>
      </c>
      <c r="H184" t="s">
        <v>72</v>
      </c>
      <c r="I184" t="s">
        <v>538</v>
      </c>
      <c r="J184" t="s">
        <v>738</v>
      </c>
      <c r="K184" t="s">
        <v>501</v>
      </c>
      <c r="L184" s="9" t="s">
        <v>735</v>
      </c>
      <c r="M184" t="str">
        <f>IF(G184="FIM",IF(L184="","SEM VÍNCULO",IF(COUNTIF(tblBatidas[Batida ID],L184)=0,"VÍNCULO INVÁLIDO",IF(COUNTIF(tblBatidas[Início vinculado],L184)&gt;1,"VÍNCULO DUPLICADO",IF(E184&lt;&gt;INDEX(tblBatidas[ID],MATCH(L184,tblBatidas[Batida ID],0)),"DIVERGÊNCIA DE ID",IF(H184&lt;&gt;INDEX(tblBatidas[Projeto],MATCH(L184,tblBatidas[Batida ID],0)),"DIVERGÊNCIA DE PROJETO",IF(I184&lt;&gt;INDEX(tblBatidas[Atividade],MATCH(L184,tblBatidas[Batida ID],0)),"DIVERGÊNCIA DE ATIVIDADE",IF(OR(B184&lt;=INDEX(tblBatidas[Data e hora],MATCH(L184,tblBatidas[Batida ID],0)),(B184-INDEX(tblBatidas[Data e hora],MATCH(L184,tblBatidas[Batida ID],0)))*24&gt;16),"HORÁRIO INVÁLIDO","VINCULADO"))))))),"INÍCIO")</f>
        <v>VINCULADO</v>
      </c>
    </row>
    <row r="185" spans="1:13" hidden="1">
      <c r="A185" t="s">
        <v>739</v>
      </c>
      <c r="B185" s="21">
        <v>46263.629432870373</v>
      </c>
      <c r="C185" s="2">
        <f t="shared" si="4"/>
        <v>46263</v>
      </c>
      <c r="D185" t="str">
        <f t="shared" si="5"/>
        <v>SÁBADO</v>
      </c>
      <c r="E185">
        <v>1004</v>
      </c>
      <c r="F185" t="s">
        <v>47</v>
      </c>
      <c r="G185" t="s">
        <v>499</v>
      </c>
      <c r="H185" t="s">
        <v>80</v>
      </c>
      <c r="I185" t="s">
        <v>538</v>
      </c>
      <c r="K185" t="s">
        <v>501</v>
      </c>
      <c r="L185" s="9"/>
      <c r="M185" t="str">
        <f>IF(G185="FIM",IF(L185="","SEM VÍNCULO",IF(COUNTIF(tblBatidas[Batida ID],L185)=0,"VÍNCULO INVÁLIDO",IF(COUNTIF(tblBatidas[Início vinculado],L185)&gt;1,"VÍNCULO DUPLICADO",IF(E185&lt;&gt;INDEX(tblBatidas[ID],MATCH(L185,tblBatidas[Batida ID],0)),"DIVERGÊNCIA DE ID",IF(H185&lt;&gt;INDEX(tblBatidas[Projeto],MATCH(L185,tblBatidas[Batida ID],0)),"DIVERGÊNCIA DE PROJETO",IF(I185&lt;&gt;INDEX(tblBatidas[Atividade],MATCH(L185,tblBatidas[Batida ID],0)),"DIVERGÊNCIA DE ATIVIDADE",IF(OR(B185&lt;=INDEX(tblBatidas[Data e hora],MATCH(L185,tblBatidas[Batida ID],0)),(B185-INDEX(tblBatidas[Data e hora],MATCH(L185,tblBatidas[Batida ID],0)))*24&gt;16),"HORÁRIO INVÁLIDO","VINCULADO"))))))),"INÍCIO")</f>
        <v>INÍCIO</v>
      </c>
    </row>
    <row r="186" spans="1:13" hidden="1">
      <c r="A186" t="s">
        <v>740</v>
      </c>
      <c r="B186" s="21">
        <v>46263.63108796296</v>
      </c>
      <c r="C186" s="2">
        <f t="shared" si="4"/>
        <v>46263</v>
      </c>
      <c r="D186" t="str">
        <f t="shared" si="5"/>
        <v>SÁBADO</v>
      </c>
      <c r="E186">
        <v>1006</v>
      </c>
      <c r="F186" t="s">
        <v>49</v>
      </c>
      <c r="G186" t="s">
        <v>503</v>
      </c>
      <c r="H186" t="s">
        <v>74</v>
      </c>
      <c r="I186" t="s">
        <v>512</v>
      </c>
      <c r="J186" t="s">
        <v>741</v>
      </c>
      <c r="K186" t="s">
        <v>501</v>
      </c>
      <c r="L186" s="9" t="s">
        <v>724</v>
      </c>
      <c r="M186" t="str">
        <f>IF(G186="FIM",IF(L186="","SEM VÍNCULO",IF(COUNTIF(tblBatidas[Batida ID],L186)=0,"VÍNCULO INVÁLIDO",IF(COUNTIF(tblBatidas[Início vinculado],L186)&gt;1,"VÍNCULO DUPLICADO",IF(E186&lt;&gt;INDEX(tblBatidas[ID],MATCH(L186,tblBatidas[Batida ID],0)),"DIVERGÊNCIA DE ID",IF(H186&lt;&gt;INDEX(tblBatidas[Projeto],MATCH(L186,tblBatidas[Batida ID],0)),"DIVERGÊNCIA DE PROJETO",IF(I186&lt;&gt;INDEX(tblBatidas[Atividade],MATCH(L186,tblBatidas[Batida ID],0)),"DIVERGÊNCIA DE ATIVIDADE",IF(OR(B186&lt;=INDEX(tblBatidas[Data e hora],MATCH(L186,tblBatidas[Batida ID],0)),(B186-INDEX(tblBatidas[Data e hora],MATCH(L186,tblBatidas[Batida ID],0)))*24&gt;16),"HORÁRIO INVÁLIDO","VINCULADO"))))))),"INÍCIO")</f>
        <v>VINCULADO</v>
      </c>
    </row>
    <row r="187" spans="1:13" hidden="1">
      <c r="A187" t="s">
        <v>742</v>
      </c>
      <c r="B187" s="21">
        <v>46263.676180555558</v>
      </c>
      <c r="C187" s="2">
        <f t="shared" si="4"/>
        <v>46263</v>
      </c>
      <c r="D187" t="str">
        <f t="shared" si="5"/>
        <v>SÁBADO</v>
      </c>
      <c r="E187">
        <v>1006</v>
      </c>
      <c r="F187" t="s">
        <v>49</v>
      </c>
      <c r="G187" t="s">
        <v>499</v>
      </c>
      <c r="H187" t="s">
        <v>74</v>
      </c>
      <c r="I187" t="s">
        <v>512</v>
      </c>
      <c r="J187" t="s">
        <v>741</v>
      </c>
      <c r="K187" t="s">
        <v>501</v>
      </c>
      <c r="L187" s="9"/>
      <c r="M187" t="str">
        <f>IF(G187="FIM",IF(L187="","SEM VÍNCULO",IF(COUNTIF(tblBatidas[Batida ID],L187)=0,"VÍNCULO INVÁLIDO",IF(COUNTIF(tblBatidas[Início vinculado],L187)&gt;1,"VÍNCULO DUPLICADO",IF(E187&lt;&gt;INDEX(tblBatidas[ID],MATCH(L187,tblBatidas[Batida ID],0)),"DIVERGÊNCIA DE ID",IF(H187&lt;&gt;INDEX(tblBatidas[Projeto],MATCH(L187,tblBatidas[Batida ID],0)),"DIVERGÊNCIA DE PROJETO",IF(I187&lt;&gt;INDEX(tblBatidas[Atividade],MATCH(L187,tblBatidas[Batida ID],0)),"DIVERGÊNCIA DE ATIVIDADE",IF(OR(B187&lt;=INDEX(tblBatidas[Data e hora],MATCH(L187,tblBatidas[Batida ID],0)),(B187-INDEX(tblBatidas[Data e hora],MATCH(L187,tblBatidas[Batida ID],0)))*24&gt;16),"HORÁRIO INVÁLIDO","VINCULADO"))))))),"INÍCIO")</f>
        <v>INÍCIO</v>
      </c>
    </row>
    <row r="188" spans="1:13" hidden="1">
      <c r="A188" t="s">
        <v>743</v>
      </c>
      <c r="B188" s="21">
        <v>46263.749814814815</v>
      </c>
      <c r="C188" s="2">
        <f t="shared" si="4"/>
        <v>46263</v>
      </c>
      <c r="D188" t="str">
        <f t="shared" si="5"/>
        <v>SÁBADO</v>
      </c>
      <c r="E188">
        <v>1004</v>
      </c>
      <c r="F188" t="s">
        <v>47</v>
      </c>
      <c r="G188" t="s">
        <v>503</v>
      </c>
      <c r="H188" t="s">
        <v>80</v>
      </c>
      <c r="I188" t="s">
        <v>538</v>
      </c>
      <c r="J188" t="s">
        <v>744</v>
      </c>
      <c r="K188" t="s">
        <v>501</v>
      </c>
      <c r="L188" s="9" t="s">
        <v>739</v>
      </c>
      <c r="M188" t="str">
        <f>IF(G188="FIM",IF(L188="","SEM VÍNCULO",IF(COUNTIF(tblBatidas[Batida ID],L188)=0,"VÍNCULO INVÁLIDO",IF(COUNTIF(tblBatidas[Início vinculado],L188)&gt;1,"VÍNCULO DUPLICADO",IF(E188&lt;&gt;INDEX(tblBatidas[ID],MATCH(L188,tblBatidas[Batida ID],0)),"DIVERGÊNCIA DE ID",IF(H188&lt;&gt;INDEX(tblBatidas[Projeto],MATCH(L188,tblBatidas[Batida ID],0)),"DIVERGÊNCIA DE PROJETO",IF(I188&lt;&gt;INDEX(tblBatidas[Atividade],MATCH(L188,tblBatidas[Batida ID],0)),"DIVERGÊNCIA DE ATIVIDADE",IF(OR(B188&lt;=INDEX(tblBatidas[Data e hora],MATCH(L188,tblBatidas[Batida ID],0)),(B188-INDEX(tblBatidas[Data e hora],MATCH(L188,tblBatidas[Batida ID],0)))*24&gt;16),"HORÁRIO INVÁLIDO","VINCULADO"))))))),"INÍCIO")</f>
        <v>VINCULADO</v>
      </c>
    </row>
    <row r="189" spans="1:13" hidden="1">
      <c r="A189" t="s">
        <v>745</v>
      </c>
      <c r="B189" s="21">
        <v>46263.75068287037</v>
      </c>
      <c r="C189" s="2">
        <f t="shared" si="4"/>
        <v>46263</v>
      </c>
      <c r="D189" t="str">
        <f t="shared" si="5"/>
        <v>SÁBADO</v>
      </c>
      <c r="E189">
        <v>1001</v>
      </c>
      <c r="F189" t="s">
        <v>43</v>
      </c>
      <c r="G189" t="s">
        <v>503</v>
      </c>
      <c r="H189" t="s">
        <v>72</v>
      </c>
      <c r="I189" t="s">
        <v>500</v>
      </c>
      <c r="J189" t="s">
        <v>746</v>
      </c>
      <c r="K189" t="s">
        <v>501</v>
      </c>
      <c r="L189" s="9" t="s">
        <v>722</v>
      </c>
      <c r="M189" t="str">
        <f>IF(G189="FIM",IF(L189="","SEM VÍNCULO",IF(COUNTIF(tblBatidas[Batida ID],L189)=0,"VÍNCULO INVÁLIDO",IF(COUNTIF(tblBatidas[Início vinculado],L189)&gt;1,"VÍNCULO DUPLICADO",IF(E189&lt;&gt;INDEX(tblBatidas[ID],MATCH(L189,tblBatidas[Batida ID],0)),"DIVERGÊNCIA DE ID",IF(H189&lt;&gt;INDEX(tblBatidas[Projeto],MATCH(L189,tblBatidas[Batida ID],0)),"DIVERGÊNCIA DE PROJETO",IF(I189&lt;&gt;INDEX(tblBatidas[Atividade],MATCH(L189,tblBatidas[Batida ID],0)),"DIVERGÊNCIA DE ATIVIDADE",IF(OR(B189&lt;=INDEX(tblBatidas[Data e hora],MATCH(L189,tblBatidas[Batida ID],0)),(B189-INDEX(tblBatidas[Data e hora],MATCH(L189,tblBatidas[Batida ID],0)))*24&gt;16),"HORÁRIO INVÁLIDO","VINCULADO"))))))),"INÍCIO")</f>
        <v>VINCULADO</v>
      </c>
    </row>
    <row r="190" spans="1:13" hidden="1">
      <c r="A190" t="s">
        <v>747</v>
      </c>
      <c r="B190" s="21">
        <v>46263.752928240741</v>
      </c>
      <c r="C190" s="2">
        <f t="shared" si="4"/>
        <v>46263</v>
      </c>
      <c r="D190" t="str">
        <f t="shared" si="5"/>
        <v>SÁBADO</v>
      </c>
      <c r="E190">
        <v>1006</v>
      </c>
      <c r="F190" t="s">
        <v>49</v>
      </c>
      <c r="G190" t="s">
        <v>503</v>
      </c>
      <c r="H190" t="s">
        <v>74</v>
      </c>
      <c r="I190" t="s">
        <v>512</v>
      </c>
      <c r="J190" t="s">
        <v>748</v>
      </c>
      <c r="K190" t="s">
        <v>501</v>
      </c>
      <c r="L190" s="9" t="s">
        <v>742</v>
      </c>
      <c r="M190" t="str">
        <f>IF(G190="FIM",IF(L190="","SEM VÍNCULO",IF(COUNTIF(tblBatidas[Batida ID],L190)=0,"VÍNCULO INVÁLIDO",IF(COUNTIF(tblBatidas[Início vinculado],L190)&gt;1,"VÍNCULO DUPLICADO",IF(E190&lt;&gt;INDEX(tblBatidas[ID],MATCH(L190,tblBatidas[Batida ID],0)),"DIVERGÊNCIA DE ID",IF(H190&lt;&gt;INDEX(tblBatidas[Projeto],MATCH(L190,tblBatidas[Batida ID],0)),"DIVERGÊNCIA DE PROJETO",IF(I190&lt;&gt;INDEX(tblBatidas[Atividade],MATCH(L190,tblBatidas[Batida ID],0)),"DIVERGÊNCIA DE ATIVIDADE",IF(OR(B190&lt;=INDEX(tblBatidas[Data e hora],MATCH(L190,tblBatidas[Batida ID],0)),(B190-INDEX(tblBatidas[Data e hora],MATCH(L190,tblBatidas[Batida ID],0)))*24&gt;16),"HORÁRIO INVÁLIDO","VINCULADO"))))))),"INÍCIO")</f>
        <v>VINCULADO</v>
      </c>
    </row>
    <row r="191" spans="1:13" hidden="1">
      <c r="A191" t="s">
        <v>749</v>
      </c>
      <c r="B191" s="21">
        <v>46264.350960648146</v>
      </c>
      <c r="C191" s="2">
        <f t="shared" si="4"/>
        <v>46264</v>
      </c>
      <c r="D191" t="str">
        <f t="shared" si="5"/>
        <v>DOMINGO</v>
      </c>
      <c r="E191">
        <v>1001</v>
      </c>
      <c r="F191" t="s">
        <v>43</v>
      </c>
      <c r="G191" t="s">
        <v>499</v>
      </c>
      <c r="H191" t="s">
        <v>72</v>
      </c>
      <c r="I191" t="s">
        <v>500</v>
      </c>
      <c r="K191" t="s">
        <v>501</v>
      </c>
      <c r="L191" s="9"/>
      <c r="M191" t="str">
        <f>IF(G191="FIM",IF(L191="","SEM VÍNCULO",IF(COUNTIF(tblBatidas[Batida ID],L191)=0,"VÍNCULO INVÁLIDO",IF(COUNTIF(tblBatidas[Início vinculado],L191)&gt;1,"VÍNCULO DUPLICADO",IF(E191&lt;&gt;INDEX(tblBatidas[ID],MATCH(L191,tblBatidas[Batida ID],0)),"DIVERGÊNCIA DE ID",IF(H191&lt;&gt;INDEX(tblBatidas[Projeto],MATCH(L191,tblBatidas[Batida ID],0)),"DIVERGÊNCIA DE PROJETO",IF(I191&lt;&gt;INDEX(tblBatidas[Atividade],MATCH(L191,tblBatidas[Batida ID],0)),"DIVERGÊNCIA DE ATIVIDADE",IF(OR(B191&lt;=INDEX(tblBatidas[Data e hora],MATCH(L191,tblBatidas[Batida ID],0)),(B191-INDEX(tblBatidas[Data e hora],MATCH(L191,tblBatidas[Batida ID],0)))*24&gt;16),"HORÁRIO INVÁLIDO","VINCULADO"))))))),"INÍCIO")</f>
        <v>INÍCIO</v>
      </c>
    </row>
    <row r="192" spans="1:13" hidden="1">
      <c r="A192" t="s">
        <v>750</v>
      </c>
      <c r="B192" s="21">
        <v>46264.382164351853</v>
      </c>
      <c r="C192" s="2">
        <f t="shared" si="4"/>
        <v>46264</v>
      </c>
      <c r="D192" t="str">
        <f t="shared" si="5"/>
        <v>DOMINGO</v>
      </c>
      <c r="E192">
        <v>1006</v>
      </c>
      <c r="F192" t="s">
        <v>49</v>
      </c>
      <c r="G192" t="s">
        <v>499</v>
      </c>
      <c r="H192" t="s">
        <v>74</v>
      </c>
      <c r="I192" t="s">
        <v>512</v>
      </c>
      <c r="J192" t="s">
        <v>751</v>
      </c>
      <c r="K192" t="s">
        <v>501</v>
      </c>
      <c r="L192" s="9"/>
      <c r="M192" t="str">
        <f>IF(G192="FIM",IF(L192="","SEM VÍNCULO",IF(COUNTIF(tblBatidas[Batida ID],L192)=0,"VÍNCULO INVÁLIDO",IF(COUNTIF(tblBatidas[Início vinculado],L192)&gt;1,"VÍNCULO DUPLICADO",IF(E192&lt;&gt;INDEX(tblBatidas[ID],MATCH(L192,tblBatidas[Batida ID],0)),"DIVERGÊNCIA DE ID",IF(H192&lt;&gt;INDEX(tblBatidas[Projeto],MATCH(L192,tblBatidas[Batida ID],0)),"DIVERGÊNCIA DE PROJETO",IF(I192&lt;&gt;INDEX(tblBatidas[Atividade],MATCH(L192,tblBatidas[Batida ID],0)),"DIVERGÊNCIA DE ATIVIDADE",IF(OR(B192&lt;=INDEX(tblBatidas[Data e hora],MATCH(L192,tblBatidas[Batida ID],0)),(B192-INDEX(tblBatidas[Data e hora],MATCH(L192,tblBatidas[Batida ID],0)))*24&gt;16),"HORÁRIO INVÁLIDO","VINCULADO"))))))),"INÍCIO")</f>
        <v>INÍCIO</v>
      </c>
    </row>
    <row r="193" spans="1:13" hidden="1">
      <c r="A193" t="s">
        <v>752</v>
      </c>
      <c r="B193" s="21">
        <v>46264.553564814814</v>
      </c>
      <c r="C193" s="2">
        <f t="shared" si="4"/>
        <v>46264</v>
      </c>
      <c r="D193" t="str">
        <f t="shared" si="5"/>
        <v>DOMINGO</v>
      </c>
      <c r="E193">
        <v>1006</v>
      </c>
      <c r="F193" t="s">
        <v>49</v>
      </c>
      <c r="G193" t="s">
        <v>503</v>
      </c>
      <c r="H193" t="s">
        <v>74</v>
      </c>
      <c r="I193" t="s">
        <v>512</v>
      </c>
      <c r="J193" t="s">
        <v>671</v>
      </c>
      <c r="K193" t="s">
        <v>501</v>
      </c>
      <c r="L193" s="9" t="s">
        <v>750</v>
      </c>
      <c r="M193" t="str">
        <f>IF(G193="FIM",IF(L193="","SEM VÍNCULO",IF(COUNTIF(tblBatidas[Batida ID],L193)=0,"VÍNCULO INVÁLIDO",IF(COUNTIF(tblBatidas[Início vinculado],L193)&gt;1,"VÍNCULO DUPLICADO",IF(E193&lt;&gt;INDEX(tblBatidas[ID],MATCH(L193,tblBatidas[Batida ID],0)),"DIVERGÊNCIA DE ID",IF(H193&lt;&gt;INDEX(tblBatidas[Projeto],MATCH(L193,tblBatidas[Batida ID],0)),"DIVERGÊNCIA DE PROJETO",IF(I193&lt;&gt;INDEX(tblBatidas[Atividade],MATCH(L193,tblBatidas[Batida ID],0)),"DIVERGÊNCIA DE ATIVIDADE",IF(OR(B193&lt;=INDEX(tblBatidas[Data e hora],MATCH(L193,tblBatidas[Batida ID],0)),(B193-INDEX(tblBatidas[Data e hora],MATCH(L193,tblBatidas[Batida ID],0)))*24&gt;16),"HORÁRIO INVÁLIDO","VINCULADO"))))))),"INÍCIO")</f>
        <v>VINCULADO</v>
      </c>
    </row>
    <row r="194" spans="1:13" hidden="1">
      <c r="A194" t="s">
        <v>753</v>
      </c>
      <c r="B194" s="21">
        <v>46264.577337962961</v>
      </c>
      <c r="C194" s="2">
        <f t="shared" si="4"/>
        <v>46264</v>
      </c>
      <c r="D194" t="str">
        <f t="shared" si="5"/>
        <v>DOMINGO</v>
      </c>
      <c r="E194">
        <v>1006</v>
      </c>
      <c r="F194" t="s">
        <v>49</v>
      </c>
      <c r="G194" t="s">
        <v>499</v>
      </c>
      <c r="H194" t="s">
        <v>74</v>
      </c>
      <c r="I194" t="s">
        <v>512</v>
      </c>
      <c r="J194" t="s">
        <v>751</v>
      </c>
      <c r="K194" t="s">
        <v>501</v>
      </c>
      <c r="L194" s="9"/>
      <c r="M194" t="str">
        <f>IF(G194="FIM",IF(L194="","SEM VÍNCULO",IF(COUNTIF(tblBatidas[Batida ID],L194)=0,"VÍNCULO INVÁLIDO",IF(COUNTIF(tblBatidas[Início vinculado],L194)&gt;1,"VÍNCULO DUPLICADO",IF(E194&lt;&gt;INDEX(tblBatidas[ID],MATCH(L194,tblBatidas[Batida ID],0)),"DIVERGÊNCIA DE ID",IF(H194&lt;&gt;INDEX(tblBatidas[Projeto],MATCH(L194,tblBatidas[Batida ID],0)),"DIVERGÊNCIA DE PROJETO",IF(I194&lt;&gt;INDEX(tblBatidas[Atividade],MATCH(L194,tblBatidas[Batida ID],0)),"DIVERGÊNCIA DE ATIVIDADE",IF(OR(B194&lt;=INDEX(tblBatidas[Data e hora],MATCH(L194,tblBatidas[Batida ID],0)),(B194-INDEX(tblBatidas[Data e hora],MATCH(L194,tblBatidas[Batida ID],0)))*24&gt;16),"HORÁRIO INVÁLIDO","VINCULADO"))))))),"INÍCIO")</f>
        <v>INÍCIO</v>
      </c>
    </row>
    <row r="195" spans="1:13" hidden="1">
      <c r="A195" t="s">
        <v>754</v>
      </c>
      <c r="B195" s="21">
        <v>46264.582638888889</v>
      </c>
      <c r="C195" s="2">
        <f t="shared" si="4"/>
        <v>46264</v>
      </c>
      <c r="D195" t="str">
        <f t="shared" si="5"/>
        <v>DOMINGO</v>
      </c>
      <c r="E195">
        <v>1001</v>
      </c>
      <c r="F195" t="s">
        <v>43</v>
      </c>
      <c r="G195" t="s">
        <v>503</v>
      </c>
      <c r="H195" t="s">
        <v>72</v>
      </c>
      <c r="I195" t="s">
        <v>500</v>
      </c>
      <c r="K195" t="s">
        <v>501</v>
      </c>
      <c r="L195" s="9" t="s">
        <v>749</v>
      </c>
      <c r="M195" t="str">
        <f>IF(G195="FIM",IF(L195="","SEM VÍNCULO",IF(COUNTIF(tblBatidas[Batida ID],L195)=0,"VÍNCULO INVÁLIDO",IF(COUNTIF(tblBatidas[Início vinculado],L195)&gt;1,"VÍNCULO DUPLICADO",IF(E195&lt;&gt;INDEX(tblBatidas[ID],MATCH(L195,tblBatidas[Batida ID],0)),"DIVERGÊNCIA DE ID",IF(H195&lt;&gt;INDEX(tblBatidas[Projeto],MATCH(L195,tblBatidas[Batida ID],0)),"DIVERGÊNCIA DE PROJETO",IF(I195&lt;&gt;INDEX(tblBatidas[Atividade],MATCH(L195,tblBatidas[Batida ID],0)),"DIVERGÊNCIA DE ATIVIDADE",IF(OR(B195&lt;=INDEX(tblBatidas[Data e hora],MATCH(L195,tblBatidas[Batida ID],0)),(B195-INDEX(tblBatidas[Data e hora],MATCH(L195,tblBatidas[Batida ID],0)))*24&gt;16),"HORÁRIO INVÁLIDO","VINCULADO"))))))),"INÍCIO")</f>
        <v>VINCULADO</v>
      </c>
    </row>
    <row r="196" spans="1:13" hidden="1">
      <c r="A196" t="s">
        <v>755</v>
      </c>
      <c r="B196" s="21">
        <v>46264.624745370369</v>
      </c>
      <c r="C196" s="2">
        <f t="shared" si="4"/>
        <v>46264</v>
      </c>
      <c r="D196" t="str">
        <f t="shared" si="5"/>
        <v>DOMINGO</v>
      </c>
      <c r="E196">
        <v>1001</v>
      </c>
      <c r="F196" t="s">
        <v>43</v>
      </c>
      <c r="G196" t="s">
        <v>499</v>
      </c>
      <c r="H196" t="s">
        <v>72</v>
      </c>
      <c r="I196" t="s">
        <v>500</v>
      </c>
      <c r="K196" t="s">
        <v>501</v>
      </c>
      <c r="L196" s="9"/>
      <c r="M196" t="str">
        <f>IF(G196="FIM",IF(L196="","SEM VÍNCULO",IF(COUNTIF(tblBatidas[Batida ID],L196)=0,"VÍNCULO INVÁLIDO",IF(COUNTIF(tblBatidas[Início vinculado],L196)&gt;1,"VÍNCULO DUPLICADO",IF(E196&lt;&gt;INDEX(tblBatidas[ID],MATCH(L196,tblBatidas[Batida ID],0)),"DIVERGÊNCIA DE ID",IF(H196&lt;&gt;INDEX(tblBatidas[Projeto],MATCH(L196,tblBatidas[Batida ID],0)),"DIVERGÊNCIA DE PROJETO",IF(I196&lt;&gt;INDEX(tblBatidas[Atividade],MATCH(L196,tblBatidas[Batida ID],0)),"DIVERGÊNCIA DE ATIVIDADE",IF(OR(B196&lt;=INDEX(tblBatidas[Data e hora],MATCH(L196,tblBatidas[Batida ID],0)),(B196-INDEX(tblBatidas[Data e hora],MATCH(L196,tblBatidas[Batida ID],0)))*24&gt;16),"HORÁRIO INVÁLIDO","VINCULADO"))))))),"INÍCIO")</f>
        <v>INÍCIO</v>
      </c>
    </row>
    <row r="197" spans="1:13" hidden="1">
      <c r="A197" t="s">
        <v>756</v>
      </c>
      <c r="B197" s="21">
        <v>46264.712951388887</v>
      </c>
      <c r="C197" s="2">
        <f t="shared" ref="C197:C260" si="6">IF(B197="","",INT(B197))</f>
        <v>46264</v>
      </c>
      <c r="D197" t="str">
        <f t="shared" ref="D197:D260" si="7">IF(C197="","",CHOOSE(WEEKDAY(C197,2),"SEGUNDA-FEIRA","TERÇA-FEIRA","QUARTA-FEIRA","QUINTA-FEIRA","SEXTA-FEIRA","SÁBADO","DOMINGO"))</f>
        <v>DOMINGO</v>
      </c>
      <c r="E197">
        <v>1006</v>
      </c>
      <c r="F197" t="s">
        <v>49</v>
      </c>
      <c r="G197" t="s">
        <v>503</v>
      </c>
      <c r="H197" t="s">
        <v>74</v>
      </c>
      <c r="I197" t="s">
        <v>500</v>
      </c>
      <c r="J197" t="s">
        <v>757</v>
      </c>
      <c r="K197" t="s">
        <v>501</v>
      </c>
      <c r="L197" s="9"/>
      <c r="M197" t="str">
        <f>IF(G197="FIM",IF(L197="","SEM VÍNCULO",IF(COUNTIF(tblBatidas[Batida ID],L197)=0,"VÍNCULO INVÁLIDO",IF(COUNTIF(tblBatidas[Início vinculado],L197)&gt;1,"VÍNCULO DUPLICADO",IF(E197&lt;&gt;INDEX(tblBatidas[ID],MATCH(L197,tblBatidas[Batida ID],0)),"DIVERGÊNCIA DE ID",IF(H197&lt;&gt;INDEX(tblBatidas[Projeto],MATCH(L197,tblBatidas[Batida ID],0)),"DIVERGÊNCIA DE PROJETO",IF(I197&lt;&gt;INDEX(tblBatidas[Atividade],MATCH(L197,tblBatidas[Batida ID],0)),"DIVERGÊNCIA DE ATIVIDADE",IF(OR(B197&lt;=INDEX(tblBatidas[Data e hora],MATCH(L197,tblBatidas[Batida ID],0)),(B197-INDEX(tblBatidas[Data e hora],MATCH(L197,tblBatidas[Batida ID],0)))*24&gt;16),"HORÁRIO INVÁLIDO","VINCULADO"))))))),"INÍCIO")</f>
        <v>SEM VÍNCULO</v>
      </c>
    </row>
    <row r="198" spans="1:13" hidden="1">
      <c r="A198" t="s">
        <v>758</v>
      </c>
      <c r="B198" s="21">
        <v>46264.718946759262</v>
      </c>
      <c r="C198" s="2">
        <f t="shared" si="6"/>
        <v>46264</v>
      </c>
      <c r="D198" t="str">
        <f t="shared" si="7"/>
        <v>DOMINGO</v>
      </c>
      <c r="E198">
        <v>1006</v>
      </c>
      <c r="F198" t="s">
        <v>49</v>
      </c>
      <c r="G198" t="s">
        <v>503</v>
      </c>
      <c r="H198" t="s">
        <v>74</v>
      </c>
      <c r="I198" t="s">
        <v>500</v>
      </c>
      <c r="J198" t="s">
        <v>757</v>
      </c>
      <c r="K198" t="s">
        <v>501</v>
      </c>
      <c r="L198" s="9"/>
      <c r="M198" t="str">
        <f>IF(G198="FIM",IF(L198="","SEM VÍNCULO",IF(COUNTIF(tblBatidas[Batida ID],L198)=0,"VÍNCULO INVÁLIDO",IF(COUNTIF(tblBatidas[Início vinculado],L198)&gt;1,"VÍNCULO DUPLICADO",IF(E198&lt;&gt;INDEX(tblBatidas[ID],MATCH(L198,tblBatidas[Batida ID],0)),"DIVERGÊNCIA DE ID",IF(H198&lt;&gt;INDEX(tblBatidas[Projeto],MATCH(L198,tblBatidas[Batida ID],0)),"DIVERGÊNCIA DE PROJETO",IF(I198&lt;&gt;INDEX(tblBatidas[Atividade],MATCH(L198,tblBatidas[Batida ID],0)),"DIVERGÊNCIA DE ATIVIDADE",IF(OR(B198&lt;=INDEX(tblBatidas[Data e hora],MATCH(L198,tblBatidas[Batida ID],0)),(B198-INDEX(tblBatidas[Data e hora],MATCH(L198,tblBatidas[Batida ID],0)))*24&gt;16),"HORÁRIO INVÁLIDO","VINCULADO"))))))),"INÍCIO")</f>
        <v>SEM VÍNCULO</v>
      </c>
    </row>
    <row r="199" spans="1:13" hidden="1">
      <c r="A199" t="s">
        <v>759</v>
      </c>
      <c r="B199" s="21">
        <v>46264.721712962964</v>
      </c>
      <c r="C199" s="2">
        <f t="shared" si="6"/>
        <v>46264</v>
      </c>
      <c r="D199" t="str">
        <f t="shared" si="7"/>
        <v>DOMINGO</v>
      </c>
      <c r="E199">
        <v>1006</v>
      </c>
      <c r="F199" t="s">
        <v>49</v>
      </c>
      <c r="G199" t="s">
        <v>503</v>
      </c>
      <c r="H199" t="s">
        <v>74</v>
      </c>
      <c r="I199" t="s">
        <v>512</v>
      </c>
      <c r="J199" t="s">
        <v>741</v>
      </c>
      <c r="K199" t="s">
        <v>501</v>
      </c>
      <c r="L199" s="9" t="s">
        <v>753</v>
      </c>
      <c r="M199" t="str">
        <f>IF(G199="FIM",IF(L199="","SEM VÍNCULO",IF(COUNTIF(tblBatidas[Batida ID],L199)=0,"VÍNCULO INVÁLIDO",IF(COUNTIF(tblBatidas[Início vinculado],L199)&gt;1,"VÍNCULO DUPLICADO",IF(E199&lt;&gt;INDEX(tblBatidas[ID],MATCH(L199,tblBatidas[Batida ID],0)),"DIVERGÊNCIA DE ID",IF(H199&lt;&gt;INDEX(tblBatidas[Projeto],MATCH(L199,tblBatidas[Batida ID],0)),"DIVERGÊNCIA DE PROJETO",IF(I199&lt;&gt;INDEX(tblBatidas[Atividade],MATCH(L199,tblBatidas[Batida ID],0)),"DIVERGÊNCIA DE ATIVIDADE",IF(OR(B199&lt;=INDEX(tblBatidas[Data e hora],MATCH(L199,tblBatidas[Batida ID],0)),(B199-INDEX(tblBatidas[Data e hora],MATCH(L199,tblBatidas[Batida ID],0)))*24&gt;16),"HORÁRIO INVÁLIDO","VINCULADO"))))))),"INÍCIO")</f>
        <v>VINCULADO</v>
      </c>
    </row>
    <row r="200" spans="1:13" hidden="1">
      <c r="A200" t="s">
        <v>760</v>
      </c>
      <c r="B200" s="21">
        <v>46265.344270833331</v>
      </c>
      <c r="C200" s="2">
        <f t="shared" si="6"/>
        <v>46265</v>
      </c>
      <c r="D200" t="str">
        <f t="shared" si="7"/>
        <v>SEGUNDA-FEIRA</v>
      </c>
      <c r="E200">
        <v>1011</v>
      </c>
      <c r="F200" t="s">
        <v>54</v>
      </c>
      <c r="G200" t="s">
        <v>499</v>
      </c>
      <c r="H200" t="s">
        <v>76</v>
      </c>
      <c r="I200" t="s">
        <v>517</v>
      </c>
      <c r="J200" t="s">
        <v>761</v>
      </c>
      <c r="K200" t="s">
        <v>501</v>
      </c>
      <c r="L200" s="9"/>
      <c r="M200" t="str">
        <f>IF(G200="FIM",IF(L200="","SEM VÍNCULO",IF(COUNTIF(tblBatidas[Batida ID],L200)=0,"VÍNCULO INVÁLIDO",IF(COUNTIF(tblBatidas[Início vinculado],L200)&gt;1,"VÍNCULO DUPLICADO",IF(E200&lt;&gt;INDEX(tblBatidas[ID],MATCH(L200,tblBatidas[Batida ID],0)),"DIVERGÊNCIA DE ID",IF(H200&lt;&gt;INDEX(tblBatidas[Projeto],MATCH(L200,tblBatidas[Batida ID],0)),"DIVERGÊNCIA DE PROJETO",IF(I200&lt;&gt;INDEX(tblBatidas[Atividade],MATCH(L200,tblBatidas[Batida ID],0)),"DIVERGÊNCIA DE ATIVIDADE",IF(OR(B200&lt;=INDEX(tblBatidas[Data e hora],MATCH(L200,tblBatidas[Batida ID],0)),(B200-INDEX(tblBatidas[Data e hora],MATCH(L200,tblBatidas[Batida ID],0)))*24&gt;16),"HORÁRIO INVÁLIDO","VINCULADO"))))))),"INÍCIO")</f>
        <v>INÍCIO</v>
      </c>
    </row>
    <row r="201" spans="1:13">
      <c r="A201" t="s">
        <v>762</v>
      </c>
      <c r="B201" s="21">
        <v>46265.349398148152</v>
      </c>
      <c r="C201" s="2">
        <f t="shared" si="6"/>
        <v>46265</v>
      </c>
      <c r="D201" t="str">
        <f t="shared" si="7"/>
        <v>SEGUNDA-FEIRA</v>
      </c>
      <c r="E201">
        <v>1002</v>
      </c>
      <c r="F201" t="s">
        <v>45</v>
      </c>
      <c r="G201" t="s">
        <v>499</v>
      </c>
      <c r="H201" t="s">
        <v>70</v>
      </c>
      <c r="I201" t="s">
        <v>517</v>
      </c>
      <c r="K201" t="s">
        <v>501</v>
      </c>
      <c r="L201" s="9"/>
      <c r="M201" t="str">
        <f>IF(G201="FIM",IF(L201="","SEM VÍNCULO",IF(COUNTIF(tblBatidas[Batida ID],L201)=0,"VÍNCULO INVÁLIDO",IF(COUNTIF(tblBatidas[Início vinculado],L201)&gt;1,"VÍNCULO DUPLICADO",IF(E201&lt;&gt;INDEX(tblBatidas[ID],MATCH(L201,tblBatidas[Batida ID],0)),"DIVERGÊNCIA DE ID",IF(H201&lt;&gt;INDEX(tblBatidas[Projeto],MATCH(L201,tblBatidas[Batida ID],0)),"DIVERGÊNCIA DE PROJETO",IF(I201&lt;&gt;INDEX(tblBatidas[Atividade],MATCH(L201,tblBatidas[Batida ID],0)),"DIVERGÊNCIA DE ATIVIDADE",IF(OR(B201&lt;=INDEX(tblBatidas[Data e hora],MATCH(L201,tblBatidas[Batida ID],0)),(B201-INDEX(tblBatidas[Data e hora],MATCH(L201,tblBatidas[Batida ID],0)))*24&gt;16),"HORÁRIO INVÁLIDO","VINCULADO"))))))),"INÍCIO")</f>
        <v>INÍCIO</v>
      </c>
    </row>
    <row r="202" spans="1:13" hidden="1">
      <c r="A202" t="s">
        <v>763</v>
      </c>
      <c r="B202" s="21">
        <v>46265.352384259262</v>
      </c>
      <c r="C202" s="2">
        <f t="shared" si="6"/>
        <v>46265</v>
      </c>
      <c r="D202" t="str">
        <f t="shared" si="7"/>
        <v>SEGUNDA-FEIRA</v>
      </c>
      <c r="E202">
        <v>1013</v>
      </c>
      <c r="F202" t="s">
        <v>57</v>
      </c>
      <c r="G202" t="s">
        <v>499</v>
      </c>
      <c r="H202" t="s">
        <v>80</v>
      </c>
      <c r="I202" t="s">
        <v>517</v>
      </c>
      <c r="K202" t="s">
        <v>501</v>
      </c>
      <c r="L202" s="9"/>
      <c r="M202" t="str">
        <f>IF(G202="FIM",IF(L202="","SEM VÍNCULO",IF(COUNTIF(tblBatidas[Batida ID],L202)=0,"VÍNCULO INVÁLIDO",IF(COUNTIF(tblBatidas[Início vinculado],L202)&gt;1,"VÍNCULO DUPLICADO",IF(E202&lt;&gt;INDEX(tblBatidas[ID],MATCH(L202,tblBatidas[Batida ID],0)),"DIVERGÊNCIA DE ID",IF(H202&lt;&gt;INDEX(tblBatidas[Projeto],MATCH(L202,tblBatidas[Batida ID],0)),"DIVERGÊNCIA DE PROJETO",IF(I202&lt;&gt;INDEX(tblBatidas[Atividade],MATCH(L202,tblBatidas[Batida ID],0)),"DIVERGÊNCIA DE ATIVIDADE",IF(OR(B202&lt;=INDEX(tblBatidas[Data e hora],MATCH(L202,tblBatidas[Batida ID],0)),(B202-INDEX(tblBatidas[Data e hora],MATCH(L202,tblBatidas[Batida ID],0)))*24&gt;16),"HORÁRIO INVÁLIDO","VINCULADO"))))))),"INÍCIO")</f>
        <v>INÍCIO</v>
      </c>
    </row>
    <row r="203" spans="1:13" hidden="1">
      <c r="A203" t="s">
        <v>764</v>
      </c>
      <c r="B203" s="21">
        <v>46265.362314814818</v>
      </c>
      <c r="C203" s="2">
        <f t="shared" si="6"/>
        <v>46265</v>
      </c>
      <c r="D203" t="str">
        <f t="shared" si="7"/>
        <v>SEGUNDA-FEIRA</v>
      </c>
      <c r="E203">
        <v>1003</v>
      </c>
      <c r="F203" t="s">
        <v>46</v>
      </c>
      <c r="G203" t="s">
        <v>499</v>
      </c>
      <c r="H203" t="s">
        <v>74</v>
      </c>
      <c r="I203" t="s">
        <v>517</v>
      </c>
      <c r="K203" t="s">
        <v>501</v>
      </c>
      <c r="L203" s="9"/>
      <c r="M203" t="str">
        <f>IF(G203="FIM",IF(L203="","SEM VÍNCULO",IF(COUNTIF(tblBatidas[Batida ID],L203)=0,"VÍNCULO INVÁLIDO",IF(COUNTIF(tblBatidas[Início vinculado],L203)&gt;1,"VÍNCULO DUPLICADO",IF(E203&lt;&gt;INDEX(tblBatidas[ID],MATCH(L203,tblBatidas[Batida ID],0)),"DIVERGÊNCIA DE ID",IF(H203&lt;&gt;INDEX(tblBatidas[Projeto],MATCH(L203,tblBatidas[Batida ID],0)),"DIVERGÊNCIA DE PROJETO",IF(I203&lt;&gt;INDEX(tblBatidas[Atividade],MATCH(L203,tblBatidas[Batida ID],0)),"DIVERGÊNCIA DE ATIVIDADE",IF(OR(B203&lt;=INDEX(tblBatidas[Data e hora],MATCH(L203,tblBatidas[Batida ID],0)),(B203-INDEX(tblBatidas[Data e hora],MATCH(L203,tblBatidas[Batida ID],0)))*24&gt;16),"HORÁRIO INVÁLIDO","VINCULADO"))))))),"INÍCIO")</f>
        <v>INÍCIO</v>
      </c>
    </row>
    <row r="204" spans="1:13" hidden="1">
      <c r="A204" t="s">
        <v>765</v>
      </c>
      <c r="B204" s="21">
        <v>46265.370659722219</v>
      </c>
      <c r="C204" s="2">
        <f t="shared" si="6"/>
        <v>46265</v>
      </c>
      <c r="D204" t="str">
        <f t="shared" si="7"/>
        <v>SEGUNDA-FEIRA</v>
      </c>
      <c r="E204">
        <v>1015</v>
      </c>
      <c r="F204" t="s">
        <v>59</v>
      </c>
      <c r="G204" t="s">
        <v>499</v>
      </c>
      <c r="H204" t="s">
        <v>84</v>
      </c>
      <c r="I204" t="s">
        <v>84</v>
      </c>
      <c r="K204" t="s">
        <v>501</v>
      </c>
      <c r="L204" s="9"/>
      <c r="M204" t="str">
        <f>IF(G204="FIM",IF(L204="","SEM VÍNCULO",IF(COUNTIF(tblBatidas[Batida ID],L204)=0,"VÍNCULO INVÁLIDO",IF(COUNTIF(tblBatidas[Início vinculado],L204)&gt;1,"VÍNCULO DUPLICADO",IF(E204&lt;&gt;INDEX(tblBatidas[ID],MATCH(L204,tblBatidas[Batida ID],0)),"DIVERGÊNCIA DE ID",IF(H204&lt;&gt;INDEX(tblBatidas[Projeto],MATCH(L204,tblBatidas[Batida ID],0)),"DIVERGÊNCIA DE PROJETO",IF(I204&lt;&gt;INDEX(tblBatidas[Atividade],MATCH(L204,tblBatidas[Batida ID],0)),"DIVERGÊNCIA DE ATIVIDADE",IF(OR(B204&lt;=INDEX(tblBatidas[Data e hora],MATCH(L204,tblBatidas[Batida ID],0)),(B204-INDEX(tblBatidas[Data e hora],MATCH(L204,tblBatidas[Batida ID],0)))*24&gt;16),"HORÁRIO INVÁLIDO","VINCULADO"))))))),"INÍCIO")</f>
        <v>INÍCIO</v>
      </c>
    </row>
    <row r="205" spans="1:13" hidden="1">
      <c r="A205" t="s">
        <v>766</v>
      </c>
      <c r="B205" s="21">
        <v>46265.376840277779</v>
      </c>
      <c r="C205" s="2">
        <f t="shared" si="6"/>
        <v>46265</v>
      </c>
      <c r="D205" t="str">
        <f t="shared" si="7"/>
        <v>SEGUNDA-FEIRA</v>
      </c>
      <c r="E205">
        <v>1006</v>
      </c>
      <c r="F205" t="s">
        <v>49</v>
      </c>
      <c r="G205" t="s">
        <v>499</v>
      </c>
      <c r="H205" t="s">
        <v>74</v>
      </c>
      <c r="I205" t="s">
        <v>512</v>
      </c>
      <c r="J205" t="s">
        <v>671</v>
      </c>
      <c r="K205" t="s">
        <v>501</v>
      </c>
      <c r="L205" s="9"/>
      <c r="M205" t="str">
        <f>IF(G205="FIM",IF(L205="","SEM VÍNCULO",IF(COUNTIF(tblBatidas[Batida ID],L205)=0,"VÍNCULO INVÁLIDO",IF(COUNTIF(tblBatidas[Início vinculado],L205)&gt;1,"VÍNCULO DUPLICADO",IF(E205&lt;&gt;INDEX(tblBatidas[ID],MATCH(L205,tblBatidas[Batida ID],0)),"DIVERGÊNCIA DE ID",IF(H205&lt;&gt;INDEX(tblBatidas[Projeto],MATCH(L205,tblBatidas[Batida ID],0)),"DIVERGÊNCIA DE PROJETO",IF(I205&lt;&gt;INDEX(tblBatidas[Atividade],MATCH(L205,tblBatidas[Batida ID],0)),"DIVERGÊNCIA DE ATIVIDADE",IF(OR(B205&lt;=INDEX(tblBatidas[Data e hora],MATCH(L205,tblBatidas[Batida ID],0)),(B205-INDEX(tblBatidas[Data e hora],MATCH(L205,tblBatidas[Batida ID],0)))*24&gt;16),"HORÁRIO INVÁLIDO","VINCULADO"))))))),"INÍCIO")</f>
        <v>INÍCIO</v>
      </c>
    </row>
    <row r="206" spans="1:13" hidden="1">
      <c r="A206" t="s">
        <v>767</v>
      </c>
      <c r="B206" s="21">
        <v>46265.435590277775</v>
      </c>
      <c r="C206" s="2">
        <f t="shared" si="6"/>
        <v>46265</v>
      </c>
      <c r="D206" t="str">
        <f t="shared" si="7"/>
        <v>SEGUNDA-FEIRA</v>
      </c>
      <c r="E206">
        <v>1014</v>
      </c>
      <c r="F206" t="s">
        <v>58</v>
      </c>
      <c r="G206" t="s">
        <v>499</v>
      </c>
      <c r="H206" t="s">
        <v>72</v>
      </c>
      <c r="I206" t="s">
        <v>512</v>
      </c>
      <c r="K206" t="s">
        <v>501</v>
      </c>
      <c r="L206" s="9"/>
      <c r="M206" t="str">
        <f>IF(G206="FIM",IF(L206="","SEM VÍNCULO",IF(COUNTIF(tblBatidas[Batida ID],L206)=0,"VÍNCULO INVÁLIDO",IF(COUNTIF(tblBatidas[Início vinculado],L206)&gt;1,"VÍNCULO DUPLICADO",IF(E206&lt;&gt;INDEX(tblBatidas[ID],MATCH(L206,tblBatidas[Batida ID],0)),"DIVERGÊNCIA DE ID",IF(H206&lt;&gt;INDEX(tblBatidas[Projeto],MATCH(L206,tblBatidas[Batida ID],0)),"DIVERGÊNCIA DE PROJETO",IF(I206&lt;&gt;INDEX(tblBatidas[Atividade],MATCH(L206,tblBatidas[Batida ID],0)),"DIVERGÊNCIA DE ATIVIDADE",IF(OR(B206&lt;=INDEX(tblBatidas[Data e hora],MATCH(L206,tblBatidas[Batida ID],0)),(B206-INDEX(tblBatidas[Data e hora],MATCH(L206,tblBatidas[Batida ID],0)))*24&gt;16),"HORÁRIO INVÁLIDO","VINCULADO"))))))),"INÍCIO")</f>
        <v>INÍCIO</v>
      </c>
    </row>
    <row r="207" spans="1:13" hidden="1">
      <c r="A207" t="s">
        <v>768</v>
      </c>
      <c r="B207" s="21">
        <v>46265.489710648151</v>
      </c>
      <c r="C207" s="2">
        <f t="shared" si="6"/>
        <v>46265</v>
      </c>
      <c r="D207" t="str">
        <f t="shared" si="7"/>
        <v>SEGUNDA-FEIRA</v>
      </c>
      <c r="E207">
        <v>1013</v>
      </c>
      <c r="F207" t="s">
        <v>57</v>
      </c>
      <c r="G207" t="s">
        <v>503</v>
      </c>
      <c r="H207" t="s">
        <v>80</v>
      </c>
      <c r="I207" t="s">
        <v>517</v>
      </c>
      <c r="K207" t="s">
        <v>501</v>
      </c>
      <c r="L207" s="9" t="s">
        <v>763</v>
      </c>
      <c r="M207" t="str">
        <f>IF(G207="FIM",IF(L207="","SEM VÍNCULO",IF(COUNTIF(tblBatidas[Batida ID],L207)=0,"VÍNCULO INVÁLIDO",IF(COUNTIF(tblBatidas[Início vinculado],L207)&gt;1,"VÍNCULO DUPLICADO",IF(E207&lt;&gt;INDEX(tblBatidas[ID],MATCH(L207,tblBatidas[Batida ID],0)),"DIVERGÊNCIA DE ID",IF(H207&lt;&gt;INDEX(tblBatidas[Projeto],MATCH(L207,tblBatidas[Batida ID],0)),"DIVERGÊNCIA DE PROJETO",IF(I207&lt;&gt;INDEX(tblBatidas[Atividade],MATCH(L207,tblBatidas[Batida ID],0)),"DIVERGÊNCIA DE ATIVIDADE",IF(OR(B207&lt;=INDEX(tblBatidas[Data e hora],MATCH(L207,tblBatidas[Batida ID],0)),(B207-INDEX(tblBatidas[Data e hora],MATCH(L207,tblBatidas[Batida ID],0)))*24&gt;16),"HORÁRIO INVÁLIDO","VINCULADO"))))))),"INÍCIO")</f>
        <v>VINCULADO</v>
      </c>
    </row>
    <row r="208" spans="1:13" hidden="1">
      <c r="A208" t="s">
        <v>769</v>
      </c>
      <c r="B208" s="21">
        <v>46265.492418981485</v>
      </c>
      <c r="C208" s="2">
        <f t="shared" si="6"/>
        <v>46265</v>
      </c>
      <c r="D208" t="str">
        <f t="shared" si="7"/>
        <v>SEGUNDA-FEIRA</v>
      </c>
      <c r="E208">
        <v>1016</v>
      </c>
      <c r="F208" t="s">
        <v>60</v>
      </c>
      <c r="G208" t="s">
        <v>499</v>
      </c>
      <c r="H208" t="s">
        <v>70</v>
      </c>
      <c r="I208" t="s">
        <v>517</v>
      </c>
      <c r="J208" t="s">
        <v>770</v>
      </c>
      <c r="K208" t="s">
        <v>501</v>
      </c>
      <c r="L208" s="9"/>
      <c r="M208" t="str">
        <f>IF(G208="FIM",IF(L208="","SEM VÍNCULO",IF(COUNTIF(tblBatidas[Batida ID],L208)=0,"VÍNCULO INVÁLIDO",IF(COUNTIF(tblBatidas[Início vinculado],L208)&gt;1,"VÍNCULO DUPLICADO",IF(E208&lt;&gt;INDEX(tblBatidas[ID],MATCH(L208,tblBatidas[Batida ID],0)),"DIVERGÊNCIA DE ID",IF(H208&lt;&gt;INDEX(tblBatidas[Projeto],MATCH(L208,tblBatidas[Batida ID],0)),"DIVERGÊNCIA DE PROJETO",IF(I208&lt;&gt;INDEX(tblBatidas[Atividade],MATCH(L208,tblBatidas[Batida ID],0)),"DIVERGÊNCIA DE ATIVIDADE",IF(OR(B208&lt;=INDEX(tblBatidas[Data e hora],MATCH(L208,tblBatidas[Batida ID],0)),(B208-INDEX(tblBatidas[Data e hora],MATCH(L208,tblBatidas[Batida ID],0)))*24&gt;16),"HORÁRIO INVÁLIDO","VINCULADO"))))))),"INÍCIO")</f>
        <v>INÍCIO</v>
      </c>
    </row>
    <row r="209" spans="1:13" hidden="1">
      <c r="A209" t="s">
        <v>771</v>
      </c>
      <c r="B209" s="21">
        <v>46265.492581018516</v>
      </c>
      <c r="C209" s="2">
        <f t="shared" si="6"/>
        <v>46265</v>
      </c>
      <c r="D209" t="str">
        <f t="shared" si="7"/>
        <v>SEGUNDA-FEIRA</v>
      </c>
      <c r="E209">
        <v>1016</v>
      </c>
      <c r="F209" t="s">
        <v>60</v>
      </c>
      <c r="G209" t="s">
        <v>499</v>
      </c>
      <c r="H209" t="s">
        <v>70</v>
      </c>
      <c r="I209" t="s">
        <v>517</v>
      </c>
      <c r="J209" t="s">
        <v>770</v>
      </c>
      <c r="K209" t="s">
        <v>501</v>
      </c>
      <c r="L209" s="9"/>
      <c r="M209" t="str">
        <f>IF(G209="FIM",IF(L209="","SEM VÍNCULO",IF(COUNTIF(tblBatidas[Batida ID],L209)=0,"VÍNCULO INVÁLIDO",IF(COUNTIF(tblBatidas[Início vinculado],L209)&gt;1,"VÍNCULO DUPLICADO",IF(E209&lt;&gt;INDEX(tblBatidas[ID],MATCH(L209,tblBatidas[Batida ID],0)),"DIVERGÊNCIA DE ID",IF(H209&lt;&gt;INDEX(tblBatidas[Projeto],MATCH(L209,tblBatidas[Batida ID],0)),"DIVERGÊNCIA DE PROJETO",IF(I209&lt;&gt;INDEX(tblBatidas[Atividade],MATCH(L209,tblBatidas[Batida ID],0)),"DIVERGÊNCIA DE ATIVIDADE",IF(OR(B209&lt;=INDEX(tblBatidas[Data e hora],MATCH(L209,tblBatidas[Batida ID],0)),(B209-INDEX(tblBatidas[Data e hora],MATCH(L209,tblBatidas[Batida ID],0)))*24&gt;16),"HORÁRIO INVÁLIDO","VINCULADO"))))))),"INÍCIO")</f>
        <v>INÍCIO</v>
      </c>
    </row>
    <row r="210" spans="1:13" hidden="1">
      <c r="A210" t="s">
        <v>772</v>
      </c>
      <c r="B210" s="21">
        <v>46265.498645833337</v>
      </c>
      <c r="C210" s="2">
        <f t="shared" si="6"/>
        <v>46265</v>
      </c>
      <c r="D210" t="str">
        <f t="shared" si="7"/>
        <v>SEGUNDA-FEIRA</v>
      </c>
      <c r="E210">
        <v>1011</v>
      </c>
      <c r="F210" t="s">
        <v>54</v>
      </c>
      <c r="G210" t="s">
        <v>503</v>
      </c>
      <c r="H210" t="s">
        <v>74</v>
      </c>
      <c r="I210" t="s">
        <v>517</v>
      </c>
      <c r="K210" t="s">
        <v>501</v>
      </c>
      <c r="L210" s="9"/>
      <c r="M210" t="str">
        <f>IF(G210="FIM",IF(L210="","SEM VÍNCULO",IF(COUNTIF(tblBatidas[Batida ID],L210)=0,"VÍNCULO INVÁLIDO",IF(COUNTIF(tblBatidas[Início vinculado],L210)&gt;1,"VÍNCULO DUPLICADO",IF(E210&lt;&gt;INDEX(tblBatidas[ID],MATCH(L210,tblBatidas[Batida ID],0)),"DIVERGÊNCIA DE ID",IF(H210&lt;&gt;INDEX(tblBatidas[Projeto],MATCH(L210,tblBatidas[Batida ID],0)),"DIVERGÊNCIA DE PROJETO",IF(I210&lt;&gt;INDEX(tblBatidas[Atividade],MATCH(L210,tblBatidas[Batida ID],0)),"DIVERGÊNCIA DE ATIVIDADE",IF(OR(B210&lt;=INDEX(tblBatidas[Data e hora],MATCH(L210,tblBatidas[Batida ID],0)),(B210-INDEX(tblBatidas[Data e hora],MATCH(L210,tblBatidas[Batida ID],0)))*24&gt;16),"HORÁRIO INVÁLIDO","VINCULADO"))))))),"INÍCIO")</f>
        <v>SEM VÍNCULO</v>
      </c>
    </row>
    <row r="211" spans="1:13" hidden="1">
      <c r="A211" t="s">
        <v>773</v>
      </c>
      <c r="B211" s="21">
        <v>46265.522951388892</v>
      </c>
      <c r="C211" s="2">
        <f t="shared" si="6"/>
        <v>46265</v>
      </c>
      <c r="D211" t="str">
        <f t="shared" si="7"/>
        <v>SEGUNDA-FEIRA</v>
      </c>
      <c r="E211">
        <v>1011</v>
      </c>
      <c r="F211" t="s">
        <v>54</v>
      </c>
      <c r="G211" t="s">
        <v>499</v>
      </c>
      <c r="H211" t="s">
        <v>74</v>
      </c>
      <c r="I211" t="s">
        <v>517</v>
      </c>
      <c r="K211" t="s">
        <v>501</v>
      </c>
      <c r="L211" s="9"/>
      <c r="M211" t="str">
        <f>IF(G211="FIM",IF(L211="","SEM VÍNCULO",IF(COUNTIF(tblBatidas[Batida ID],L211)=0,"VÍNCULO INVÁLIDO",IF(COUNTIF(tblBatidas[Início vinculado],L211)&gt;1,"VÍNCULO DUPLICADO",IF(E211&lt;&gt;INDEX(tblBatidas[ID],MATCH(L211,tblBatidas[Batida ID],0)),"DIVERGÊNCIA DE ID",IF(H211&lt;&gt;INDEX(tblBatidas[Projeto],MATCH(L211,tblBatidas[Batida ID],0)),"DIVERGÊNCIA DE PROJETO",IF(I211&lt;&gt;INDEX(tblBatidas[Atividade],MATCH(L211,tblBatidas[Batida ID],0)),"DIVERGÊNCIA DE ATIVIDADE",IF(OR(B211&lt;=INDEX(tblBatidas[Data e hora],MATCH(L211,tblBatidas[Batida ID],0)),(B211-INDEX(tblBatidas[Data e hora],MATCH(L211,tblBatidas[Batida ID],0)))*24&gt;16),"HORÁRIO INVÁLIDO","VINCULADO"))))))),"INÍCIO")</f>
        <v>INÍCIO</v>
      </c>
    </row>
    <row r="212" spans="1:13" hidden="1">
      <c r="A212" t="s">
        <v>774</v>
      </c>
      <c r="B212" s="21">
        <v>46265.52716435185</v>
      </c>
      <c r="C212" s="2">
        <f t="shared" si="6"/>
        <v>46265</v>
      </c>
      <c r="D212" t="str">
        <f t="shared" si="7"/>
        <v>SEGUNDA-FEIRA</v>
      </c>
      <c r="E212">
        <v>1013</v>
      </c>
      <c r="F212" t="s">
        <v>57</v>
      </c>
      <c r="G212" t="s">
        <v>499</v>
      </c>
      <c r="H212" t="s">
        <v>80</v>
      </c>
      <c r="I212" t="s">
        <v>517</v>
      </c>
      <c r="K212" t="s">
        <v>501</v>
      </c>
      <c r="L212" s="9"/>
      <c r="M212" t="str">
        <f>IF(G212="FIM",IF(L212="","SEM VÍNCULO",IF(COUNTIF(tblBatidas[Batida ID],L212)=0,"VÍNCULO INVÁLIDO",IF(COUNTIF(tblBatidas[Início vinculado],L212)&gt;1,"VÍNCULO DUPLICADO",IF(E212&lt;&gt;INDEX(tblBatidas[ID],MATCH(L212,tblBatidas[Batida ID],0)),"DIVERGÊNCIA DE ID",IF(H212&lt;&gt;INDEX(tblBatidas[Projeto],MATCH(L212,tblBatidas[Batida ID],0)),"DIVERGÊNCIA DE PROJETO",IF(I212&lt;&gt;INDEX(tblBatidas[Atividade],MATCH(L212,tblBatidas[Batida ID],0)),"DIVERGÊNCIA DE ATIVIDADE",IF(OR(B212&lt;=INDEX(tblBatidas[Data e hora],MATCH(L212,tblBatidas[Batida ID],0)),(B212-INDEX(tblBatidas[Data e hora],MATCH(L212,tblBatidas[Batida ID],0)))*24&gt;16),"HORÁRIO INVÁLIDO","VINCULADO"))))))),"INÍCIO")</f>
        <v>INÍCIO</v>
      </c>
    </row>
    <row r="213" spans="1:13" hidden="1">
      <c r="A213" t="s">
        <v>775</v>
      </c>
      <c r="B213" s="21">
        <v>46265.538553240738</v>
      </c>
      <c r="C213" s="2">
        <f t="shared" si="6"/>
        <v>46265</v>
      </c>
      <c r="D213" t="str">
        <f t="shared" si="7"/>
        <v>SEGUNDA-FEIRA</v>
      </c>
      <c r="E213">
        <v>1014</v>
      </c>
      <c r="F213" t="s">
        <v>58</v>
      </c>
      <c r="G213" t="s">
        <v>503</v>
      </c>
      <c r="H213" t="s">
        <v>72</v>
      </c>
      <c r="I213" t="s">
        <v>512</v>
      </c>
      <c r="K213" t="s">
        <v>501</v>
      </c>
      <c r="L213" s="9" t="s">
        <v>767</v>
      </c>
      <c r="M213" t="str">
        <f>IF(G213="FIM",IF(L213="","SEM VÍNCULO",IF(COUNTIF(tblBatidas[Batida ID],L213)=0,"VÍNCULO INVÁLIDO",IF(COUNTIF(tblBatidas[Início vinculado],L213)&gt;1,"VÍNCULO DUPLICADO",IF(E213&lt;&gt;INDEX(tblBatidas[ID],MATCH(L213,tblBatidas[Batida ID],0)),"DIVERGÊNCIA DE ID",IF(H213&lt;&gt;INDEX(tblBatidas[Projeto],MATCH(L213,tblBatidas[Batida ID],0)),"DIVERGÊNCIA DE PROJETO",IF(I213&lt;&gt;INDEX(tblBatidas[Atividade],MATCH(L213,tblBatidas[Batida ID],0)),"DIVERGÊNCIA DE ATIVIDADE",IF(OR(B213&lt;=INDEX(tblBatidas[Data e hora],MATCH(L213,tblBatidas[Batida ID],0)),(B213-INDEX(tblBatidas[Data e hora],MATCH(L213,tblBatidas[Batida ID],0)))*24&gt;16),"HORÁRIO INVÁLIDO","VINCULADO"))))))),"INÍCIO")</f>
        <v>VINCULADO</v>
      </c>
    </row>
    <row r="214" spans="1:13" hidden="1">
      <c r="A214" t="s">
        <v>776</v>
      </c>
      <c r="B214" s="21">
        <v>46265.540694444448</v>
      </c>
      <c r="C214" s="2">
        <f t="shared" si="6"/>
        <v>46265</v>
      </c>
      <c r="D214" t="str">
        <f t="shared" si="7"/>
        <v>SEGUNDA-FEIRA</v>
      </c>
      <c r="E214">
        <v>1015</v>
      </c>
      <c r="F214" t="s">
        <v>59</v>
      </c>
      <c r="G214" t="s">
        <v>503</v>
      </c>
      <c r="H214" t="s">
        <v>84</v>
      </c>
      <c r="I214" t="s">
        <v>84</v>
      </c>
      <c r="K214" t="s">
        <v>501</v>
      </c>
      <c r="L214" s="9" t="s">
        <v>765</v>
      </c>
      <c r="M214" t="str">
        <f>IF(G214="FIM",IF(L214="","SEM VÍNCULO",IF(COUNTIF(tblBatidas[Batida ID],L214)=0,"VÍNCULO INVÁLIDO",IF(COUNTIF(tblBatidas[Início vinculado],L214)&gt;1,"VÍNCULO DUPLICADO",IF(E214&lt;&gt;INDEX(tblBatidas[ID],MATCH(L214,tblBatidas[Batida ID],0)),"DIVERGÊNCIA DE ID",IF(H214&lt;&gt;INDEX(tblBatidas[Projeto],MATCH(L214,tblBatidas[Batida ID],0)),"DIVERGÊNCIA DE PROJETO",IF(I214&lt;&gt;INDEX(tblBatidas[Atividade],MATCH(L214,tblBatidas[Batida ID],0)),"DIVERGÊNCIA DE ATIVIDADE",IF(OR(B214&lt;=INDEX(tblBatidas[Data e hora],MATCH(L214,tblBatidas[Batida ID],0)),(B214-INDEX(tblBatidas[Data e hora],MATCH(L214,tblBatidas[Batida ID],0)))*24&gt;16),"HORÁRIO INVÁLIDO","VINCULADO"))))))),"INÍCIO")</f>
        <v>VINCULADO</v>
      </c>
    </row>
    <row r="215" spans="1:13" hidden="1">
      <c r="A215" t="s">
        <v>777</v>
      </c>
      <c r="B215" s="21">
        <v>46265.582268518519</v>
      </c>
      <c r="C215" s="2">
        <f t="shared" si="6"/>
        <v>46265</v>
      </c>
      <c r="D215" t="str">
        <f t="shared" si="7"/>
        <v>SEGUNDA-FEIRA</v>
      </c>
      <c r="E215">
        <v>1015</v>
      </c>
      <c r="F215" t="s">
        <v>59</v>
      </c>
      <c r="G215" t="s">
        <v>499</v>
      </c>
      <c r="H215" t="s">
        <v>84</v>
      </c>
      <c r="I215" t="s">
        <v>84</v>
      </c>
      <c r="K215" t="s">
        <v>501</v>
      </c>
      <c r="L215" s="9"/>
      <c r="M215" t="str">
        <f>IF(G215="FIM",IF(L215="","SEM VÍNCULO",IF(COUNTIF(tblBatidas[Batida ID],L215)=0,"VÍNCULO INVÁLIDO",IF(COUNTIF(tblBatidas[Início vinculado],L215)&gt;1,"VÍNCULO DUPLICADO",IF(E215&lt;&gt;INDEX(tblBatidas[ID],MATCH(L215,tblBatidas[Batida ID],0)),"DIVERGÊNCIA DE ID",IF(H215&lt;&gt;INDEX(tblBatidas[Projeto],MATCH(L215,tblBatidas[Batida ID],0)),"DIVERGÊNCIA DE PROJETO",IF(I215&lt;&gt;INDEX(tblBatidas[Atividade],MATCH(L215,tblBatidas[Batida ID],0)),"DIVERGÊNCIA DE ATIVIDADE",IF(OR(B215&lt;=INDEX(tblBatidas[Data e hora],MATCH(L215,tblBatidas[Batida ID],0)),(B215-INDEX(tblBatidas[Data e hora],MATCH(L215,tblBatidas[Batida ID],0)))*24&gt;16),"HORÁRIO INVÁLIDO","VINCULADO"))))))),"INÍCIO")</f>
        <v>INÍCIO</v>
      </c>
    </row>
    <row r="216" spans="1:13" hidden="1">
      <c r="A216" t="s">
        <v>778</v>
      </c>
      <c r="B216" s="21">
        <v>46265.584791666668</v>
      </c>
      <c r="C216" s="2">
        <f t="shared" si="6"/>
        <v>46265</v>
      </c>
      <c r="D216" t="str">
        <f t="shared" si="7"/>
        <v>SEGUNDA-FEIRA</v>
      </c>
      <c r="E216">
        <v>1014</v>
      </c>
      <c r="F216" t="s">
        <v>58</v>
      </c>
      <c r="G216" t="s">
        <v>499</v>
      </c>
      <c r="H216" t="s">
        <v>72</v>
      </c>
      <c r="I216" t="s">
        <v>512</v>
      </c>
      <c r="K216" t="s">
        <v>501</v>
      </c>
      <c r="L216" s="9"/>
      <c r="M216" t="str">
        <f>IF(G216="FIM",IF(L216="","SEM VÍNCULO",IF(COUNTIF(tblBatidas[Batida ID],L216)=0,"VÍNCULO INVÁLIDO",IF(COUNTIF(tblBatidas[Início vinculado],L216)&gt;1,"VÍNCULO DUPLICADO",IF(E216&lt;&gt;INDEX(tblBatidas[ID],MATCH(L216,tblBatidas[Batida ID],0)),"DIVERGÊNCIA DE ID",IF(H216&lt;&gt;INDEX(tblBatidas[Projeto],MATCH(L216,tblBatidas[Batida ID],0)),"DIVERGÊNCIA DE PROJETO",IF(I216&lt;&gt;INDEX(tblBatidas[Atividade],MATCH(L216,tblBatidas[Batida ID],0)),"DIVERGÊNCIA DE ATIVIDADE",IF(OR(B216&lt;=INDEX(tblBatidas[Data e hora],MATCH(L216,tblBatidas[Batida ID],0)),(B216-INDEX(tblBatidas[Data e hora],MATCH(L216,tblBatidas[Batida ID],0)))*24&gt;16),"HORÁRIO INVÁLIDO","VINCULADO"))))))),"INÍCIO")</f>
        <v>INÍCIO</v>
      </c>
    </row>
    <row r="217" spans="1:13" hidden="1">
      <c r="A217" t="s">
        <v>779</v>
      </c>
      <c r="B217" s="21">
        <v>46265.595185185186</v>
      </c>
      <c r="C217" s="2">
        <f t="shared" si="6"/>
        <v>46265</v>
      </c>
      <c r="D217" t="str">
        <f t="shared" si="7"/>
        <v>SEGUNDA-FEIRA</v>
      </c>
      <c r="E217">
        <v>1012</v>
      </c>
      <c r="F217" t="s">
        <v>55</v>
      </c>
      <c r="G217" t="s">
        <v>499</v>
      </c>
      <c r="H217" t="s">
        <v>74</v>
      </c>
      <c r="I217" t="s">
        <v>500</v>
      </c>
      <c r="K217" t="s">
        <v>501</v>
      </c>
      <c r="L217" s="9"/>
      <c r="M217" t="str">
        <f>IF(G217="FIM",IF(L217="","SEM VÍNCULO",IF(COUNTIF(tblBatidas[Batida ID],L217)=0,"VÍNCULO INVÁLIDO",IF(COUNTIF(tblBatidas[Início vinculado],L217)&gt;1,"VÍNCULO DUPLICADO",IF(E217&lt;&gt;INDEX(tblBatidas[ID],MATCH(L217,tblBatidas[Batida ID],0)),"DIVERGÊNCIA DE ID",IF(H217&lt;&gt;INDEX(tblBatidas[Projeto],MATCH(L217,tblBatidas[Batida ID],0)),"DIVERGÊNCIA DE PROJETO",IF(I217&lt;&gt;INDEX(tblBatidas[Atividade],MATCH(L217,tblBatidas[Batida ID],0)),"DIVERGÊNCIA DE ATIVIDADE",IF(OR(B217&lt;=INDEX(tblBatidas[Data e hora],MATCH(L217,tblBatidas[Batida ID],0)),(B217-INDEX(tblBatidas[Data e hora],MATCH(L217,tblBatidas[Batida ID],0)))*24&gt;16),"HORÁRIO INVÁLIDO","VINCULADO"))))))),"INÍCIO")</f>
        <v>INÍCIO</v>
      </c>
    </row>
    <row r="218" spans="1:13" hidden="1">
      <c r="A218" t="s">
        <v>780</v>
      </c>
      <c r="B218" s="21">
        <v>46265.641099537039</v>
      </c>
      <c r="C218" s="2">
        <f t="shared" si="6"/>
        <v>46265</v>
      </c>
      <c r="D218" t="str">
        <f t="shared" si="7"/>
        <v>SEGUNDA-FEIRA</v>
      </c>
      <c r="E218">
        <v>1006</v>
      </c>
      <c r="F218" t="s">
        <v>49</v>
      </c>
      <c r="G218" t="s">
        <v>503</v>
      </c>
      <c r="H218" t="s">
        <v>74</v>
      </c>
      <c r="I218" t="s">
        <v>512</v>
      </c>
      <c r="J218" t="s">
        <v>671</v>
      </c>
      <c r="K218" t="s">
        <v>501</v>
      </c>
      <c r="L218" s="9" t="s">
        <v>766</v>
      </c>
      <c r="M218" t="str">
        <f>IF(G218="FIM",IF(L218="","SEM VÍNCULO",IF(COUNTIF(tblBatidas[Batida ID],L218)=0,"VÍNCULO INVÁLIDO",IF(COUNTIF(tblBatidas[Início vinculado],L218)&gt;1,"VÍNCULO DUPLICADO",IF(E218&lt;&gt;INDEX(tblBatidas[ID],MATCH(L218,tblBatidas[Batida ID],0)),"DIVERGÊNCIA DE ID",IF(H218&lt;&gt;INDEX(tblBatidas[Projeto],MATCH(L218,tblBatidas[Batida ID],0)),"DIVERGÊNCIA DE PROJETO",IF(I218&lt;&gt;INDEX(tblBatidas[Atividade],MATCH(L218,tblBatidas[Batida ID],0)),"DIVERGÊNCIA DE ATIVIDADE",IF(OR(B218&lt;=INDEX(tblBatidas[Data e hora],MATCH(L218,tblBatidas[Batida ID],0)),(B218-INDEX(tblBatidas[Data e hora],MATCH(L218,tblBatidas[Batida ID],0)))*24&gt;16),"HORÁRIO INVÁLIDO","VINCULADO"))))))),"INÍCIO")</f>
        <v>VINCULADO</v>
      </c>
    </row>
    <row r="219" spans="1:13" hidden="1">
      <c r="A219" t="s">
        <v>781</v>
      </c>
      <c r="B219" s="21">
        <v>46265.683229166665</v>
      </c>
      <c r="C219" s="2">
        <f t="shared" si="6"/>
        <v>46265</v>
      </c>
      <c r="D219" t="str">
        <f t="shared" si="7"/>
        <v>SEGUNDA-FEIRA</v>
      </c>
      <c r="E219">
        <v>1006</v>
      </c>
      <c r="F219" t="s">
        <v>49</v>
      </c>
      <c r="G219" t="s">
        <v>499</v>
      </c>
      <c r="H219" t="s">
        <v>74</v>
      </c>
      <c r="I219" t="s">
        <v>512</v>
      </c>
      <c r="J219" t="s">
        <v>671</v>
      </c>
      <c r="K219" t="s">
        <v>501</v>
      </c>
      <c r="L219" s="9"/>
      <c r="M219" t="str">
        <f>IF(G219="FIM",IF(L219="","SEM VÍNCULO",IF(COUNTIF(tblBatidas[Batida ID],L219)=0,"VÍNCULO INVÁLIDO",IF(COUNTIF(tblBatidas[Início vinculado],L219)&gt;1,"VÍNCULO DUPLICADO",IF(E219&lt;&gt;INDEX(tblBatidas[ID],MATCH(L219,tblBatidas[Batida ID],0)),"DIVERGÊNCIA DE ID",IF(H219&lt;&gt;INDEX(tblBatidas[Projeto],MATCH(L219,tblBatidas[Batida ID],0)),"DIVERGÊNCIA DE PROJETO",IF(I219&lt;&gt;INDEX(tblBatidas[Atividade],MATCH(L219,tblBatidas[Batida ID],0)),"DIVERGÊNCIA DE ATIVIDADE",IF(OR(B219&lt;=INDEX(tblBatidas[Data e hora],MATCH(L219,tblBatidas[Batida ID],0)),(B219-INDEX(tblBatidas[Data e hora],MATCH(L219,tblBatidas[Batida ID],0)))*24&gt;16),"HORÁRIO INVÁLIDO","VINCULADO"))))))),"INÍCIO")</f>
        <v>INÍCIO</v>
      </c>
    </row>
    <row r="220" spans="1:13" hidden="1">
      <c r="A220" t="s">
        <v>782</v>
      </c>
      <c r="B220" s="21">
        <v>46265.709189814814</v>
      </c>
      <c r="C220" s="2">
        <f t="shared" si="6"/>
        <v>46265</v>
      </c>
      <c r="D220" t="str">
        <f t="shared" si="7"/>
        <v>SEGUNDA-FEIRA</v>
      </c>
      <c r="E220">
        <v>1003</v>
      </c>
      <c r="F220" t="s">
        <v>46</v>
      </c>
      <c r="G220" t="s">
        <v>503</v>
      </c>
      <c r="H220" t="s">
        <v>74</v>
      </c>
      <c r="I220" t="s">
        <v>517</v>
      </c>
      <c r="J220" t="s">
        <v>783</v>
      </c>
      <c r="K220" t="s">
        <v>501</v>
      </c>
      <c r="L220" s="9" t="s">
        <v>764</v>
      </c>
      <c r="M220" t="str">
        <f>IF(G220="FIM",IF(L220="","SEM VÍNCULO",IF(COUNTIF(tblBatidas[Batida ID],L220)=0,"VÍNCULO INVÁLIDO",IF(COUNTIF(tblBatidas[Início vinculado],L220)&gt;1,"VÍNCULO DUPLICADO",IF(E220&lt;&gt;INDEX(tblBatidas[ID],MATCH(L220,tblBatidas[Batida ID],0)),"DIVERGÊNCIA DE ID",IF(H220&lt;&gt;INDEX(tblBatidas[Projeto],MATCH(L220,tblBatidas[Batida ID],0)),"DIVERGÊNCIA DE PROJETO",IF(I220&lt;&gt;INDEX(tblBatidas[Atividade],MATCH(L220,tblBatidas[Batida ID],0)),"DIVERGÊNCIA DE ATIVIDADE",IF(OR(B220&lt;=INDEX(tblBatidas[Data e hora],MATCH(L220,tblBatidas[Batida ID],0)),(B220-INDEX(tblBatidas[Data e hora],MATCH(L220,tblBatidas[Batida ID],0)))*24&gt;16),"HORÁRIO INVÁLIDO","VINCULADO"))))))),"INÍCIO")</f>
        <v>VINCULADO</v>
      </c>
    </row>
    <row r="221" spans="1:13" hidden="1">
      <c r="A221" t="s">
        <v>784</v>
      </c>
      <c r="B221" s="21">
        <v>46265.746793981481</v>
      </c>
      <c r="C221" s="2">
        <f t="shared" si="6"/>
        <v>46265</v>
      </c>
      <c r="D221" t="str">
        <f t="shared" si="7"/>
        <v>SEGUNDA-FEIRA</v>
      </c>
      <c r="E221">
        <v>1015</v>
      </c>
      <c r="F221" t="s">
        <v>59</v>
      </c>
      <c r="G221" t="s">
        <v>503</v>
      </c>
      <c r="H221" t="s">
        <v>84</v>
      </c>
      <c r="I221" t="s">
        <v>84</v>
      </c>
      <c r="K221" t="s">
        <v>501</v>
      </c>
      <c r="L221" s="9" t="s">
        <v>777</v>
      </c>
      <c r="M221" t="str">
        <f>IF(G221="FIM",IF(L221="","SEM VÍNCULO",IF(COUNTIF(tblBatidas[Batida ID],L221)=0,"VÍNCULO INVÁLIDO",IF(COUNTIF(tblBatidas[Início vinculado],L221)&gt;1,"VÍNCULO DUPLICADO",IF(E221&lt;&gt;INDEX(tblBatidas[ID],MATCH(L221,tblBatidas[Batida ID],0)),"DIVERGÊNCIA DE ID",IF(H221&lt;&gt;INDEX(tblBatidas[Projeto],MATCH(L221,tblBatidas[Batida ID],0)),"DIVERGÊNCIA DE PROJETO",IF(I221&lt;&gt;INDEX(tblBatidas[Atividade],MATCH(L221,tblBatidas[Batida ID],0)),"DIVERGÊNCIA DE ATIVIDADE",IF(OR(B221&lt;=INDEX(tblBatidas[Data e hora],MATCH(L221,tblBatidas[Batida ID],0)),(B221-INDEX(tblBatidas[Data e hora],MATCH(L221,tblBatidas[Batida ID],0)))*24&gt;16),"HORÁRIO INVÁLIDO","VINCULADO"))))))),"INÍCIO")</f>
        <v>VINCULADO</v>
      </c>
    </row>
    <row r="222" spans="1:13" hidden="1">
      <c r="A222" t="s">
        <v>785</v>
      </c>
      <c r="B222" s="21">
        <v>46265.749085648145</v>
      </c>
      <c r="C222" s="2">
        <f t="shared" si="6"/>
        <v>46265</v>
      </c>
      <c r="D222" t="str">
        <f t="shared" si="7"/>
        <v>SEGUNDA-FEIRA</v>
      </c>
      <c r="E222">
        <v>1013</v>
      </c>
      <c r="F222" t="s">
        <v>57</v>
      </c>
      <c r="G222" t="s">
        <v>503</v>
      </c>
      <c r="H222" t="s">
        <v>74</v>
      </c>
      <c r="I222" t="s">
        <v>517</v>
      </c>
      <c r="K222" t="s">
        <v>501</v>
      </c>
      <c r="L222" s="9"/>
      <c r="M222" t="str">
        <f>IF(G222="FIM",IF(L222="","SEM VÍNCULO",IF(COUNTIF(tblBatidas[Batida ID],L222)=0,"VÍNCULO INVÁLIDO",IF(COUNTIF(tblBatidas[Início vinculado],L222)&gt;1,"VÍNCULO DUPLICADO",IF(E222&lt;&gt;INDEX(tblBatidas[ID],MATCH(L222,tblBatidas[Batida ID],0)),"DIVERGÊNCIA DE ID",IF(H222&lt;&gt;INDEX(tblBatidas[Projeto],MATCH(L222,tblBatidas[Batida ID],0)),"DIVERGÊNCIA DE PROJETO",IF(I222&lt;&gt;INDEX(tblBatidas[Atividade],MATCH(L222,tblBatidas[Batida ID],0)),"DIVERGÊNCIA DE ATIVIDADE",IF(OR(B222&lt;=INDEX(tblBatidas[Data e hora],MATCH(L222,tblBatidas[Batida ID],0)),(B222-INDEX(tblBatidas[Data e hora],MATCH(L222,tblBatidas[Batida ID],0)))*24&gt;16),"HORÁRIO INVÁLIDO","VINCULADO"))))))),"INÍCIO")</f>
        <v>SEM VÍNCULO</v>
      </c>
    </row>
    <row r="223" spans="1:13" hidden="1">
      <c r="A223" t="s">
        <v>786</v>
      </c>
      <c r="B223" s="21">
        <v>46265.750185185185</v>
      </c>
      <c r="C223" s="2">
        <f t="shared" si="6"/>
        <v>46265</v>
      </c>
      <c r="D223" t="str">
        <f t="shared" si="7"/>
        <v>SEGUNDA-FEIRA</v>
      </c>
      <c r="E223">
        <v>1011</v>
      </c>
      <c r="F223" t="s">
        <v>54</v>
      </c>
      <c r="G223" t="s">
        <v>503</v>
      </c>
      <c r="H223" t="s">
        <v>74</v>
      </c>
      <c r="I223" t="s">
        <v>517</v>
      </c>
      <c r="K223" t="s">
        <v>501</v>
      </c>
      <c r="L223" s="9" t="s">
        <v>773</v>
      </c>
      <c r="M223" t="str">
        <f>IF(G223="FIM",IF(L223="","SEM VÍNCULO",IF(COUNTIF(tblBatidas[Batida ID],L223)=0,"VÍNCULO INVÁLIDO",IF(COUNTIF(tblBatidas[Início vinculado],L223)&gt;1,"VÍNCULO DUPLICADO",IF(E223&lt;&gt;INDEX(tblBatidas[ID],MATCH(L223,tblBatidas[Batida ID],0)),"DIVERGÊNCIA DE ID",IF(H223&lt;&gt;INDEX(tblBatidas[Projeto],MATCH(L223,tblBatidas[Batida ID],0)),"DIVERGÊNCIA DE PROJETO",IF(I223&lt;&gt;INDEX(tblBatidas[Atividade],MATCH(L223,tblBatidas[Batida ID],0)),"DIVERGÊNCIA DE ATIVIDADE",IF(OR(B223&lt;=INDEX(tblBatidas[Data e hora],MATCH(L223,tblBatidas[Batida ID],0)),(B223-INDEX(tblBatidas[Data e hora],MATCH(L223,tblBatidas[Batida ID],0)))*24&gt;16),"HORÁRIO INVÁLIDO","VINCULADO"))))))),"INÍCIO")</f>
        <v>VINCULADO</v>
      </c>
    </row>
    <row r="224" spans="1:13" hidden="1">
      <c r="A224" t="s">
        <v>787</v>
      </c>
      <c r="B224" s="21">
        <v>46265.754664351851</v>
      </c>
      <c r="C224" s="2">
        <f t="shared" si="6"/>
        <v>46265</v>
      </c>
      <c r="D224" t="str">
        <f t="shared" si="7"/>
        <v>SEGUNDA-FEIRA</v>
      </c>
      <c r="E224">
        <v>1016</v>
      </c>
      <c r="F224" t="s">
        <v>60</v>
      </c>
      <c r="G224" t="s">
        <v>503</v>
      </c>
      <c r="H224" t="s">
        <v>70</v>
      </c>
      <c r="I224" t="s">
        <v>517</v>
      </c>
      <c r="K224" t="s">
        <v>501</v>
      </c>
      <c r="L224" s="9" t="s">
        <v>771</v>
      </c>
      <c r="M224" t="str">
        <f>IF(G224="FIM",IF(L224="","SEM VÍNCULO",IF(COUNTIF(tblBatidas[Batida ID],L224)=0,"VÍNCULO INVÁLIDO",IF(COUNTIF(tblBatidas[Início vinculado],L224)&gt;1,"VÍNCULO DUPLICADO",IF(E224&lt;&gt;INDEX(tblBatidas[ID],MATCH(L224,tblBatidas[Batida ID],0)),"DIVERGÊNCIA DE ID",IF(H224&lt;&gt;INDEX(tblBatidas[Projeto],MATCH(L224,tblBatidas[Batida ID],0)),"DIVERGÊNCIA DE PROJETO",IF(I224&lt;&gt;INDEX(tblBatidas[Atividade],MATCH(L224,tblBatidas[Batida ID],0)),"DIVERGÊNCIA DE ATIVIDADE",IF(OR(B224&lt;=INDEX(tblBatidas[Data e hora],MATCH(L224,tblBatidas[Batida ID],0)),(B224-INDEX(tblBatidas[Data e hora],MATCH(L224,tblBatidas[Batida ID],0)))*24&gt;16),"HORÁRIO INVÁLIDO","VINCULADO"))))))),"INÍCIO")</f>
        <v>VINCULADO</v>
      </c>
    </row>
    <row r="225" spans="1:13">
      <c r="A225" t="s">
        <v>788</v>
      </c>
      <c r="B225" s="21">
        <v>46265.755277777775</v>
      </c>
      <c r="C225" s="2">
        <f t="shared" si="6"/>
        <v>46265</v>
      </c>
      <c r="D225" t="str">
        <f t="shared" si="7"/>
        <v>SEGUNDA-FEIRA</v>
      </c>
      <c r="E225">
        <v>1002</v>
      </c>
      <c r="F225" t="s">
        <v>45</v>
      </c>
      <c r="G225" t="s">
        <v>503</v>
      </c>
      <c r="H225" t="s">
        <v>70</v>
      </c>
      <c r="I225" t="s">
        <v>517</v>
      </c>
      <c r="K225" t="s">
        <v>501</v>
      </c>
      <c r="L225" s="9" t="s">
        <v>762</v>
      </c>
      <c r="M225" t="str">
        <f>IF(G225="FIM",IF(L225="","SEM VÍNCULO",IF(COUNTIF(tblBatidas[Batida ID],L225)=0,"VÍNCULO INVÁLIDO",IF(COUNTIF(tblBatidas[Início vinculado],L225)&gt;1,"VÍNCULO DUPLICADO",IF(E225&lt;&gt;INDEX(tblBatidas[ID],MATCH(L225,tblBatidas[Batida ID],0)),"DIVERGÊNCIA DE ID",IF(H225&lt;&gt;INDEX(tblBatidas[Projeto],MATCH(L225,tblBatidas[Batida ID],0)),"DIVERGÊNCIA DE PROJETO",IF(I225&lt;&gt;INDEX(tblBatidas[Atividade],MATCH(L225,tblBatidas[Batida ID],0)),"DIVERGÊNCIA DE ATIVIDADE",IF(OR(B225&lt;=INDEX(tblBatidas[Data e hora],MATCH(L225,tblBatidas[Batida ID],0)),(B225-INDEX(tblBatidas[Data e hora],MATCH(L225,tblBatidas[Batida ID],0)))*24&gt;16),"HORÁRIO INVÁLIDO","VINCULADO"))))))),"INÍCIO")</f>
        <v>VINCULADO</v>
      </c>
    </row>
    <row r="226" spans="1:13" hidden="1">
      <c r="A226" t="s">
        <v>789</v>
      </c>
      <c r="B226" s="21">
        <v>46265.756053240744</v>
      </c>
      <c r="C226" s="2">
        <f t="shared" si="6"/>
        <v>46265</v>
      </c>
      <c r="D226" t="str">
        <f t="shared" si="7"/>
        <v>SEGUNDA-FEIRA</v>
      </c>
      <c r="E226">
        <v>1006</v>
      </c>
      <c r="F226" t="s">
        <v>49</v>
      </c>
      <c r="G226" t="s">
        <v>503</v>
      </c>
      <c r="H226" t="s">
        <v>74</v>
      </c>
      <c r="I226" t="s">
        <v>512</v>
      </c>
      <c r="J226" t="s">
        <v>790</v>
      </c>
      <c r="K226" t="s">
        <v>501</v>
      </c>
      <c r="L226" s="9" t="s">
        <v>781</v>
      </c>
      <c r="M226" t="str">
        <f>IF(G226="FIM",IF(L226="","SEM VÍNCULO",IF(COUNTIF(tblBatidas[Batida ID],L226)=0,"VÍNCULO INVÁLIDO",IF(COUNTIF(tblBatidas[Início vinculado],L226)&gt;1,"VÍNCULO DUPLICADO",IF(E226&lt;&gt;INDEX(tblBatidas[ID],MATCH(L226,tblBatidas[Batida ID],0)),"DIVERGÊNCIA DE ID",IF(H226&lt;&gt;INDEX(tblBatidas[Projeto],MATCH(L226,tblBatidas[Batida ID],0)),"DIVERGÊNCIA DE PROJETO",IF(I226&lt;&gt;INDEX(tblBatidas[Atividade],MATCH(L226,tblBatidas[Batida ID],0)),"DIVERGÊNCIA DE ATIVIDADE",IF(OR(B226&lt;=INDEX(tblBatidas[Data e hora],MATCH(L226,tblBatidas[Batida ID],0)),(B226-INDEX(tblBatidas[Data e hora],MATCH(L226,tblBatidas[Batida ID],0)))*24&gt;16),"HORÁRIO INVÁLIDO","VINCULADO"))))))),"INÍCIO")</f>
        <v>VINCULADO</v>
      </c>
    </row>
    <row r="227" spans="1:13" hidden="1">
      <c r="A227" t="s">
        <v>791</v>
      </c>
      <c r="B227" s="21">
        <v>46265.758356481485</v>
      </c>
      <c r="C227" s="2">
        <f t="shared" si="6"/>
        <v>46265</v>
      </c>
      <c r="D227" t="str">
        <f t="shared" si="7"/>
        <v>SEGUNDA-FEIRA</v>
      </c>
      <c r="E227">
        <v>1001</v>
      </c>
      <c r="F227" t="s">
        <v>43</v>
      </c>
      <c r="G227" t="s">
        <v>503</v>
      </c>
      <c r="H227" t="s">
        <v>72</v>
      </c>
      <c r="I227" t="s">
        <v>500</v>
      </c>
      <c r="J227" t="s">
        <v>792</v>
      </c>
      <c r="K227" t="s">
        <v>501</v>
      </c>
      <c r="L227" s="9"/>
      <c r="M227" t="str">
        <f>IF(G227="FIM",IF(L227="","SEM VÍNCULO",IF(COUNTIF(tblBatidas[Batida ID],L227)=0,"VÍNCULO INVÁLIDO",IF(COUNTIF(tblBatidas[Início vinculado],L227)&gt;1,"VÍNCULO DUPLICADO",IF(E227&lt;&gt;INDEX(tblBatidas[ID],MATCH(L227,tblBatidas[Batida ID],0)),"DIVERGÊNCIA DE ID",IF(H227&lt;&gt;INDEX(tblBatidas[Projeto],MATCH(L227,tblBatidas[Batida ID],0)),"DIVERGÊNCIA DE PROJETO",IF(I227&lt;&gt;INDEX(tblBatidas[Atividade],MATCH(L227,tblBatidas[Batida ID],0)),"DIVERGÊNCIA DE ATIVIDADE",IF(OR(B227&lt;=INDEX(tblBatidas[Data e hora],MATCH(L227,tblBatidas[Batida ID],0)),(B227-INDEX(tblBatidas[Data e hora],MATCH(L227,tblBatidas[Batida ID],0)))*24&gt;16),"HORÁRIO INVÁLIDO","VINCULADO"))))))),"INÍCIO")</f>
        <v>SEM VÍNCULO</v>
      </c>
    </row>
    <row r="228" spans="1:13" hidden="1">
      <c r="A228" t="s">
        <v>793</v>
      </c>
      <c r="B228" s="21">
        <v>46265.760127314818</v>
      </c>
      <c r="C228" s="2">
        <f t="shared" si="6"/>
        <v>46265</v>
      </c>
      <c r="D228" t="str">
        <f t="shared" si="7"/>
        <v>SEGUNDA-FEIRA</v>
      </c>
      <c r="E228">
        <v>1012</v>
      </c>
      <c r="F228" t="s">
        <v>55</v>
      </c>
      <c r="G228" t="s">
        <v>503</v>
      </c>
      <c r="H228" t="s">
        <v>74</v>
      </c>
      <c r="I228" t="s">
        <v>500</v>
      </c>
      <c r="K228" t="s">
        <v>501</v>
      </c>
      <c r="L228" s="9" t="s">
        <v>779</v>
      </c>
      <c r="M228" t="str">
        <f>IF(G228="FIM",IF(L228="","SEM VÍNCULO",IF(COUNTIF(tblBatidas[Batida ID],L228)=0,"VÍNCULO INVÁLIDO",IF(COUNTIF(tblBatidas[Início vinculado],L228)&gt;1,"VÍNCULO DUPLICADO",IF(E228&lt;&gt;INDEX(tblBatidas[ID],MATCH(L228,tblBatidas[Batida ID],0)),"DIVERGÊNCIA DE ID",IF(H228&lt;&gt;INDEX(tblBatidas[Projeto],MATCH(L228,tblBatidas[Batida ID],0)),"DIVERGÊNCIA DE PROJETO",IF(I228&lt;&gt;INDEX(tblBatidas[Atividade],MATCH(L228,tblBatidas[Batida ID],0)),"DIVERGÊNCIA DE ATIVIDADE",IF(OR(B228&lt;=INDEX(tblBatidas[Data e hora],MATCH(L228,tblBatidas[Batida ID],0)),(B228-INDEX(tblBatidas[Data e hora],MATCH(L228,tblBatidas[Batida ID],0)))*24&gt;16),"HORÁRIO INVÁLIDO","VINCULADO"))))))),"INÍCIO")</f>
        <v>VINCULADO</v>
      </c>
    </row>
    <row r="229" spans="1:13" hidden="1">
      <c r="A229" t="s">
        <v>794</v>
      </c>
      <c r="B229" s="21">
        <v>46265.762349537035</v>
      </c>
      <c r="C229" s="2">
        <f t="shared" si="6"/>
        <v>46265</v>
      </c>
      <c r="D229" t="str">
        <f t="shared" si="7"/>
        <v>SEGUNDA-FEIRA</v>
      </c>
      <c r="E229">
        <v>1014</v>
      </c>
      <c r="F229" t="s">
        <v>58</v>
      </c>
      <c r="G229" t="s">
        <v>503</v>
      </c>
      <c r="H229" t="s">
        <v>72</v>
      </c>
      <c r="I229" t="s">
        <v>512</v>
      </c>
      <c r="K229" t="s">
        <v>501</v>
      </c>
      <c r="L229" s="9" t="s">
        <v>778</v>
      </c>
      <c r="M229" t="str">
        <f>IF(G229="FIM",IF(L229="","SEM VÍNCULO",IF(COUNTIF(tblBatidas[Batida ID],L229)=0,"VÍNCULO INVÁLIDO",IF(COUNTIF(tblBatidas[Início vinculado],L229)&gt;1,"VÍNCULO DUPLICADO",IF(E229&lt;&gt;INDEX(tblBatidas[ID],MATCH(L229,tblBatidas[Batida ID],0)),"DIVERGÊNCIA DE ID",IF(H229&lt;&gt;INDEX(tblBatidas[Projeto],MATCH(L229,tblBatidas[Batida ID],0)),"DIVERGÊNCIA DE PROJETO",IF(I229&lt;&gt;INDEX(tblBatidas[Atividade],MATCH(L229,tblBatidas[Batida ID],0)),"DIVERGÊNCIA DE ATIVIDADE",IF(OR(B229&lt;=INDEX(tblBatidas[Data e hora],MATCH(L229,tblBatidas[Batida ID],0)),(B229-INDEX(tblBatidas[Data e hora],MATCH(L229,tblBatidas[Batida ID],0)))*24&gt;16),"HORÁRIO INVÁLIDO","VINCULADO"))))))),"INÍCIO")</f>
        <v>VINCULADO</v>
      </c>
    </row>
    <row r="230" spans="1:13" hidden="1">
      <c r="A230" t="s">
        <v>795</v>
      </c>
      <c r="B230" s="21">
        <v>46266.330740740741</v>
      </c>
      <c r="C230" s="2">
        <f t="shared" si="6"/>
        <v>46266</v>
      </c>
      <c r="D230" t="str">
        <f t="shared" si="7"/>
        <v>TERÇA-FEIRA</v>
      </c>
      <c r="E230">
        <v>1003</v>
      </c>
      <c r="F230" t="s">
        <v>46</v>
      </c>
      <c r="G230" t="s">
        <v>499</v>
      </c>
      <c r="H230" t="s">
        <v>74</v>
      </c>
      <c r="I230" t="s">
        <v>517</v>
      </c>
      <c r="J230" t="s">
        <v>783</v>
      </c>
      <c r="K230" t="s">
        <v>501</v>
      </c>
      <c r="L230" s="9"/>
      <c r="M230" t="str">
        <f>IF(G230="FIM",IF(L230="","SEM VÍNCULO",IF(COUNTIF(tblBatidas[Batida ID],L230)=0,"VÍNCULO INVÁLIDO",IF(COUNTIF(tblBatidas[Início vinculado],L230)&gt;1,"VÍNCULO DUPLICADO",IF(E230&lt;&gt;INDEX(tblBatidas[ID],MATCH(L230,tblBatidas[Batida ID],0)),"DIVERGÊNCIA DE ID",IF(H230&lt;&gt;INDEX(tblBatidas[Projeto],MATCH(L230,tblBatidas[Batida ID],0)),"DIVERGÊNCIA DE PROJETO",IF(I230&lt;&gt;INDEX(tblBatidas[Atividade],MATCH(L230,tblBatidas[Batida ID],0)),"DIVERGÊNCIA DE ATIVIDADE",IF(OR(B230&lt;=INDEX(tblBatidas[Data e hora],MATCH(L230,tblBatidas[Batida ID],0)),(B230-INDEX(tblBatidas[Data e hora],MATCH(L230,tblBatidas[Batida ID],0)))*24&gt;16),"HORÁRIO INVÁLIDO","VINCULADO"))))))),"INÍCIO")</f>
        <v>INÍCIO</v>
      </c>
    </row>
    <row r="231" spans="1:13" hidden="1">
      <c r="A231" t="s">
        <v>796</v>
      </c>
      <c r="B231" s="21">
        <v>46266.332662037035</v>
      </c>
      <c r="C231" s="2">
        <f t="shared" si="6"/>
        <v>46266</v>
      </c>
      <c r="D231" t="str">
        <f t="shared" si="7"/>
        <v>TERÇA-FEIRA</v>
      </c>
      <c r="E231">
        <v>1011</v>
      </c>
      <c r="F231" t="s">
        <v>54</v>
      </c>
      <c r="G231" t="s">
        <v>499</v>
      </c>
      <c r="H231" t="s">
        <v>74</v>
      </c>
      <c r="I231" t="s">
        <v>517</v>
      </c>
      <c r="K231" t="s">
        <v>501</v>
      </c>
      <c r="L231" s="9"/>
      <c r="M231" t="str">
        <f>IF(G231="FIM",IF(L231="","SEM VÍNCULO",IF(COUNTIF(tblBatidas[Batida ID],L231)=0,"VÍNCULO INVÁLIDO",IF(COUNTIF(tblBatidas[Início vinculado],L231)&gt;1,"VÍNCULO DUPLICADO",IF(E231&lt;&gt;INDEX(tblBatidas[ID],MATCH(L231,tblBatidas[Batida ID],0)),"DIVERGÊNCIA DE ID",IF(H231&lt;&gt;INDEX(tblBatidas[Projeto],MATCH(L231,tblBatidas[Batida ID],0)),"DIVERGÊNCIA DE PROJETO",IF(I231&lt;&gt;INDEX(tblBatidas[Atividade],MATCH(L231,tblBatidas[Batida ID],0)),"DIVERGÊNCIA DE ATIVIDADE",IF(OR(B231&lt;=INDEX(tblBatidas[Data e hora],MATCH(L231,tblBatidas[Batida ID],0)),(B231-INDEX(tblBatidas[Data e hora],MATCH(L231,tblBatidas[Batida ID],0)))*24&gt;16),"HORÁRIO INVÁLIDO","VINCULADO"))))))),"INÍCIO")</f>
        <v>INÍCIO</v>
      </c>
    </row>
    <row r="232" spans="1:13" hidden="1">
      <c r="A232" t="s">
        <v>797</v>
      </c>
      <c r="B232" s="21">
        <v>46266.355567129627</v>
      </c>
      <c r="C232" s="2">
        <f t="shared" si="6"/>
        <v>46266</v>
      </c>
      <c r="D232" t="str">
        <f t="shared" si="7"/>
        <v>TERÇA-FEIRA</v>
      </c>
      <c r="E232">
        <v>1001</v>
      </c>
      <c r="F232" t="s">
        <v>43</v>
      </c>
      <c r="G232" t="s">
        <v>499</v>
      </c>
      <c r="H232" t="s">
        <v>72</v>
      </c>
      <c r="I232" t="s">
        <v>500</v>
      </c>
      <c r="J232" t="s">
        <v>798</v>
      </c>
      <c r="K232" t="s">
        <v>501</v>
      </c>
      <c r="L232" s="9"/>
      <c r="M232" t="str">
        <f>IF(G232="FIM",IF(L232="","SEM VÍNCULO",IF(COUNTIF(tblBatidas[Batida ID],L232)=0,"VÍNCULO INVÁLIDO",IF(COUNTIF(tblBatidas[Início vinculado],L232)&gt;1,"VÍNCULO DUPLICADO",IF(E232&lt;&gt;INDEX(tblBatidas[ID],MATCH(L232,tblBatidas[Batida ID],0)),"DIVERGÊNCIA DE ID",IF(H232&lt;&gt;INDEX(tblBatidas[Projeto],MATCH(L232,tblBatidas[Batida ID],0)),"DIVERGÊNCIA DE PROJETO",IF(I232&lt;&gt;INDEX(tblBatidas[Atividade],MATCH(L232,tblBatidas[Batida ID],0)),"DIVERGÊNCIA DE ATIVIDADE",IF(OR(B232&lt;=INDEX(tblBatidas[Data e hora],MATCH(L232,tblBatidas[Batida ID],0)),(B232-INDEX(tblBatidas[Data e hora],MATCH(L232,tblBatidas[Batida ID],0)))*24&gt;16),"HORÁRIO INVÁLIDO","VINCULADO"))))))),"INÍCIO")</f>
        <v>INÍCIO</v>
      </c>
    </row>
    <row r="233" spans="1:13" hidden="1">
      <c r="A233" t="s">
        <v>799</v>
      </c>
      <c r="B233" s="21">
        <v>46266.357604166667</v>
      </c>
      <c r="C233" s="2">
        <f t="shared" si="6"/>
        <v>46266</v>
      </c>
      <c r="D233" t="str">
        <f t="shared" si="7"/>
        <v>TERÇA-FEIRA</v>
      </c>
      <c r="E233">
        <v>1013</v>
      </c>
      <c r="F233" t="s">
        <v>57</v>
      </c>
      <c r="G233" t="s">
        <v>499</v>
      </c>
      <c r="H233" t="s">
        <v>74</v>
      </c>
      <c r="I233" t="s">
        <v>517</v>
      </c>
      <c r="J233" t="s">
        <v>800</v>
      </c>
      <c r="K233" t="s">
        <v>501</v>
      </c>
      <c r="L233" s="9"/>
      <c r="M233" t="str">
        <f>IF(G233="FIM",IF(L233="","SEM VÍNCULO",IF(COUNTIF(tblBatidas[Batida ID],L233)=0,"VÍNCULO INVÁLIDO",IF(COUNTIF(tblBatidas[Início vinculado],L233)&gt;1,"VÍNCULO DUPLICADO",IF(E233&lt;&gt;INDEX(tblBatidas[ID],MATCH(L233,tblBatidas[Batida ID],0)),"DIVERGÊNCIA DE ID",IF(H233&lt;&gt;INDEX(tblBatidas[Projeto],MATCH(L233,tblBatidas[Batida ID],0)),"DIVERGÊNCIA DE PROJETO",IF(I233&lt;&gt;INDEX(tblBatidas[Atividade],MATCH(L233,tblBatidas[Batida ID],0)),"DIVERGÊNCIA DE ATIVIDADE",IF(OR(B233&lt;=INDEX(tblBatidas[Data e hora],MATCH(L233,tblBatidas[Batida ID],0)),(B233-INDEX(tblBatidas[Data e hora],MATCH(L233,tblBatidas[Batida ID],0)))*24&gt;16),"HORÁRIO INVÁLIDO","VINCULADO"))))))),"INÍCIO")</f>
        <v>INÍCIO</v>
      </c>
    </row>
    <row r="234" spans="1:13" hidden="1">
      <c r="A234" t="s">
        <v>801</v>
      </c>
      <c r="B234" s="21">
        <v>46266.363263888888</v>
      </c>
      <c r="C234" s="2">
        <f t="shared" si="6"/>
        <v>46266</v>
      </c>
      <c r="D234" t="str">
        <f t="shared" si="7"/>
        <v>TERÇA-FEIRA</v>
      </c>
      <c r="E234">
        <v>1015</v>
      </c>
      <c r="F234" t="s">
        <v>59</v>
      </c>
      <c r="G234" t="s">
        <v>499</v>
      </c>
      <c r="H234" t="s">
        <v>84</v>
      </c>
      <c r="I234" t="s">
        <v>84</v>
      </c>
      <c r="K234" t="s">
        <v>501</v>
      </c>
      <c r="L234" s="9"/>
      <c r="M234" t="str">
        <f>IF(G234="FIM",IF(L234="","SEM VÍNCULO",IF(COUNTIF(tblBatidas[Batida ID],L234)=0,"VÍNCULO INVÁLIDO",IF(COUNTIF(tblBatidas[Início vinculado],L234)&gt;1,"VÍNCULO DUPLICADO",IF(E234&lt;&gt;INDEX(tblBatidas[ID],MATCH(L234,tblBatidas[Batida ID],0)),"DIVERGÊNCIA DE ID",IF(H234&lt;&gt;INDEX(tblBatidas[Projeto],MATCH(L234,tblBatidas[Batida ID],0)),"DIVERGÊNCIA DE PROJETO",IF(I234&lt;&gt;INDEX(tblBatidas[Atividade],MATCH(L234,tblBatidas[Batida ID],0)),"DIVERGÊNCIA DE ATIVIDADE",IF(OR(B234&lt;=INDEX(tblBatidas[Data e hora],MATCH(L234,tblBatidas[Batida ID],0)),(B234-INDEX(tblBatidas[Data e hora],MATCH(L234,tblBatidas[Batida ID],0)))*24&gt;16),"HORÁRIO INVÁLIDO","VINCULADO"))))))),"INÍCIO")</f>
        <v>INÍCIO</v>
      </c>
    </row>
    <row r="235" spans="1:13">
      <c r="A235" t="s">
        <v>802</v>
      </c>
      <c r="B235" s="21">
        <v>46266.371238425927</v>
      </c>
      <c r="C235" s="2">
        <f t="shared" si="6"/>
        <v>46266</v>
      </c>
      <c r="D235" t="str">
        <f t="shared" si="7"/>
        <v>TERÇA-FEIRA</v>
      </c>
      <c r="E235">
        <v>1002</v>
      </c>
      <c r="F235" t="s">
        <v>45</v>
      </c>
      <c r="G235" t="s">
        <v>499</v>
      </c>
      <c r="H235" t="s">
        <v>70</v>
      </c>
      <c r="I235" t="s">
        <v>517</v>
      </c>
      <c r="K235" t="s">
        <v>501</v>
      </c>
      <c r="L235" s="9"/>
      <c r="M235" t="str">
        <f>IF(G235="FIM",IF(L235="","SEM VÍNCULO",IF(COUNTIF(tblBatidas[Batida ID],L235)=0,"VÍNCULO INVÁLIDO",IF(COUNTIF(tblBatidas[Início vinculado],L235)&gt;1,"VÍNCULO DUPLICADO",IF(E235&lt;&gt;INDEX(tblBatidas[ID],MATCH(L235,tblBatidas[Batida ID],0)),"DIVERGÊNCIA DE ID",IF(H235&lt;&gt;INDEX(tblBatidas[Projeto],MATCH(L235,tblBatidas[Batida ID],0)),"DIVERGÊNCIA DE PROJETO",IF(I235&lt;&gt;INDEX(tblBatidas[Atividade],MATCH(L235,tblBatidas[Batida ID],0)),"DIVERGÊNCIA DE ATIVIDADE",IF(OR(B235&lt;=INDEX(tblBatidas[Data e hora],MATCH(L235,tblBatidas[Batida ID],0)),(B235-INDEX(tblBatidas[Data e hora],MATCH(L235,tblBatidas[Batida ID],0)))*24&gt;16),"HORÁRIO INVÁLIDO","VINCULADO"))))))),"INÍCIO")</f>
        <v>INÍCIO</v>
      </c>
    </row>
    <row r="236" spans="1:13" hidden="1">
      <c r="A236" t="s">
        <v>803</v>
      </c>
      <c r="B236" s="21">
        <v>46266.377581018518</v>
      </c>
      <c r="C236" s="2">
        <f t="shared" si="6"/>
        <v>46266</v>
      </c>
      <c r="D236" t="str">
        <f t="shared" si="7"/>
        <v>TERÇA-FEIRA</v>
      </c>
      <c r="E236">
        <v>1006</v>
      </c>
      <c r="F236" t="s">
        <v>49</v>
      </c>
      <c r="G236" t="s">
        <v>499</v>
      </c>
      <c r="H236" t="s">
        <v>74</v>
      </c>
      <c r="I236" t="s">
        <v>512</v>
      </c>
      <c r="J236" t="s">
        <v>671</v>
      </c>
      <c r="K236" t="s">
        <v>501</v>
      </c>
      <c r="L236" s="9"/>
      <c r="M236" t="str">
        <f>IF(G236="FIM",IF(L236="","SEM VÍNCULO",IF(COUNTIF(tblBatidas[Batida ID],L236)=0,"VÍNCULO INVÁLIDO",IF(COUNTIF(tblBatidas[Início vinculado],L236)&gt;1,"VÍNCULO DUPLICADO",IF(E236&lt;&gt;INDEX(tblBatidas[ID],MATCH(L236,tblBatidas[Batida ID],0)),"DIVERGÊNCIA DE ID",IF(H236&lt;&gt;INDEX(tblBatidas[Projeto],MATCH(L236,tblBatidas[Batida ID],0)),"DIVERGÊNCIA DE PROJETO",IF(I236&lt;&gt;INDEX(tblBatidas[Atividade],MATCH(L236,tblBatidas[Batida ID],0)),"DIVERGÊNCIA DE ATIVIDADE",IF(OR(B236&lt;=INDEX(tblBatidas[Data e hora],MATCH(L236,tblBatidas[Batida ID],0)),(B236-INDEX(tblBatidas[Data e hora],MATCH(L236,tblBatidas[Batida ID],0)))*24&gt;16),"HORÁRIO INVÁLIDO","VINCULADO"))))))),"INÍCIO")</f>
        <v>INÍCIO</v>
      </c>
    </row>
    <row r="237" spans="1:13" hidden="1">
      <c r="A237" t="s">
        <v>804</v>
      </c>
      <c r="B237" s="21">
        <v>46266.391365740739</v>
      </c>
      <c r="C237" s="2">
        <f t="shared" si="6"/>
        <v>46266</v>
      </c>
      <c r="D237" t="str">
        <f t="shared" si="7"/>
        <v>TERÇA-FEIRA</v>
      </c>
      <c r="E237">
        <v>1016</v>
      </c>
      <c r="F237" t="s">
        <v>60</v>
      </c>
      <c r="G237" t="s">
        <v>499</v>
      </c>
      <c r="H237" t="s">
        <v>70</v>
      </c>
      <c r="I237" t="s">
        <v>517</v>
      </c>
      <c r="K237" t="s">
        <v>501</v>
      </c>
      <c r="L237" s="9"/>
      <c r="M237" t="str">
        <f>IF(G237="FIM",IF(L237="","SEM VÍNCULO",IF(COUNTIF(tblBatidas[Batida ID],L237)=0,"VÍNCULO INVÁLIDO",IF(COUNTIF(tblBatidas[Início vinculado],L237)&gt;1,"VÍNCULO DUPLICADO",IF(E237&lt;&gt;INDEX(tblBatidas[ID],MATCH(L237,tblBatidas[Batida ID],0)),"DIVERGÊNCIA DE ID",IF(H237&lt;&gt;INDEX(tblBatidas[Projeto],MATCH(L237,tblBatidas[Batida ID],0)),"DIVERGÊNCIA DE PROJETO",IF(I237&lt;&gt;INDEX(tblBatidas[Atividade],MATCH(L237,tblBatidas[Batida ID],0)),"DIVERGÊNCIA DE ATIVIDADE",IF(OR(B237&lt;=INDEX(tblBatidas[Data e hora],MATCH(L237,tblBatidas[Batida ID],0)),(B237-INDEX(tblBatidas[Data e hora],MATCH(L237,tblBatidas[Batida ID],0)))*24&gt;16),"HORÁRIO INVÁLIDO","VINCULADO"))))))),"INÍCIO")</f>
        <v>INÍCIO</v>
      </c>
    </row>
    <row r="238" spans="1:13" hidden="1">
      <c r="A238" t="s">
        <v>805</v>
      </c>
      <c r="B238" s="21">
        <v>46266.391782407409</v>
      </c>
      <c r="C238" s="2">
        <f t="shared" si="6"/>
        <v>46266</v>
      </c>
      <c r="D238" t="str">
        <f t="shared" si="7"/>
        <v>TERÇA-FEIRA</v>
      </c>
      <c r="E238">
        <v>1012</v>
      </c>
      <c r="F238" t="s">
        <v>55</v>
      </c>
      <c r="G238" t="s">
        <v>499</v>
      </c>
      <c r="H238" t="s">
        <v>74</v>
      </c>
      <c r="I238" t="s">
        <v>500</v>
      </c>
      <c r="K238" t="s">
        <v>501</v>
      </c>
      <c r="L238" s="9"/>
      <c r="M238" t="str">
        <f>IF(G238="FIM",IF(L238="","SEM VÍNCULO",IF(COUNTIF(tblBatidas[Batida ID],L238)=0,"VÍNCULO INVÁLIDO",IF(COUNTIF(tblBatidas[Início vinculado],L238)&gt;1,"VÍNCULO DUPLICADO",IF(E238&lt;&gt;INDEX(tblBatidas[ID],MATCH(L238,tblBatidas[Batida ID],0)),"DIVERGÊNCIA DE ID",IF(H238&lt;&gt;INDEX(tblBatidas[Projeto],MATCH(L238,tblBatidas[Batida ID],0)),"DIVERGÊNCIA DE PROJETO",IF(I238&lt;&gt;INDEX(tblBatidas[Atividade],MATCH(L238,tblBatidas[Batida ID],0)),"DIVERGÊNCIA DE ATIVIDADE",IF(OR(B238&lt;=INDEX(tblBatidas[Data e hora],MATCH(L238,tblBatidas[Batida ID],0)),(B238-INDEX(tblBatidas[Data e hora],MATCH(L238,tblBatidas[Batida ID],0)))*24&gt;16),"HORÁRIO INVÁLIDO","VINCULADO"))))))),"INÍCIO")</f>
        <v>INÍCIO</v>
      </c>
    </row>
    <row r="239" spans="1:13" hidden="1">
      <c r="A239" t="s">
        <v>806</v>
      </c>
      <c r="B239" s="21">
        <v>46266.400509259256</v>
      </c>
      <c r="C239" s="2">
        <f t="shared" si="6"/>
        <v>46266</v>
      </c>
      <c r="D239" t="str">
        <f t="shared" si="7"/>
        <v>TERÇA-FEIRA</v>
      </c>
      <c r="E239">
        <v>1014</v>
      </c>
      <c r="F239" t="s">
        <v>58</v>
      </c>
      <c r="G239" t="s">
        <v>499</v>
      </c>
      <c r="H239" t="s">
        <v>72</v>
      </c>
      <c r="I239" t="s">
        <v>512</v>
      </c>
      <c r="K239" t="s">
        <v>501</v>
      </c>
      <c r="L239" s="9"/>
      <c r="M239" t="str">
        <f>IF(G239="FIM",IF(L239="","SEM VÍNCULO",IF(COUNTIF(tblBatidas[Batida ID],L239)=0,"VÍNCULO INVÁLIDO",IF(COUNTIF(tblBatidas[Início vinculado],L239)&gt;1,"VÍNCULO DUPLICADO",IF(E239&lt;&gt;INDEX(tblBatidas[ID],MATCH(L239,tblBatidas[Batida ID],0)),"DIVERGÊNCIA DE ID",IF(H239&lt;&gt;INDEX(tblBatidas[Projeto],MATCH(L239,tblBatidas[Batida ID],0)),"DIVERGÊNCIA DE PROJETO",IF(I239&lt;&gt;INDEX(tblBatidas[Atividade],MATCH(L239,tblBatidas[Batida ID],0)),"DIVERGÊNCIA DE ATIVIDADE",IF(OR(B239&lt;=INDEX(tblBatidas[Data e hora],MATCH(L239,tblBatidas[Batida ID],0)),(B239-INDEX(tblBatidas[Data e hora],MATCH(L239,tblBatidas[Batida ID],0)))*24&gt;16),"HORÁRIO INVÁLIDO","VINCULADO"))))))),"INÍCIO")</f>
        <v>INÍCIO</v>
      </c>
    </row>
    <row r="240" spans="1:13" hidden="1">
      <c r="A240" t="s">
        <v>807</v>
      </c>
      <c r="B240" s="21">
        <v>46266.487256944441</v>
      </c>
      <c r="C240" s="2">
        <f t="shared" si="6"/>
        <v>46266</v>
      </c>
      <c r="D240" t="str">
        <f t="shared" si="7"/>
        <v>TERÇA-FEIRA</v>
      </c>
      <c r="E240">
        <v>1013</v>
      </c>
      <c r="F240" t="s">
        <v>57</v>
      </c>
      <c r="G240" t="s">
        <v>503</v>
      </c>
      <c r="H240" t="s">
        <v>74</v>
      </c>
      <c r="I240" t="s">
        <v>517</v>
      </c>
      <c r="J240" t="s">
        <v>808</v>
      </c>
      <c r="K240" t="s">
        <v>501</v>
      </c>
      <c r="L240" s="9" t="s">
        <v>799</v>
      </c>
      <c r="M240" t="str">
        <f>IF(G240="FIM",IF(L240="","SEM VÍNCULO",IF(COUNTIF(tblBatidas[Batida ID],L240)=0,"VÍNCULO INVÁLIDO",IF(COUNTIF(tblBatidas[Início vinculado],L240)&gt;1,"VÍNCULO DUPLICADO",IF(E240&lt;&gt;INDEX(tblBatidas[ID],MATCH(L240,tblBatidas[Batida ID],0)),"DIVERGÊNCIA DE ID",IF(H240&lt;&gt;INDEX(tblBatidas[Projeto],MATCH(L240,tblBatidas[Batida ID],0)),"DIVERGÊNCIA DE PROJETO",IF(I240&lt;&gt;INDEX(tblBatidas[Atividade],MATCH(L240,tblBatidas[Batida ID],0)),"DIVERGÊNCIA DE ATIVIDADE",IF(OR(B240&lt;=INDEX(tblBatidas[Data e hora],MATCH(L240,tblBatidas[Batida ID],0)),(B240-INDEX(tblBatidas[Data e hora],MATCH(L240,tblBatidas[Batida ID],0)))*24&gt;16),"HORÁRIO INVÁLIDO","VINCULADO"))))))),"INÍCIO")</f>
        <v>VINCULADO</v>
      </c>
    </row>
    <row r="241" spans="1:13" hidden="1">
      <c r="A241" t="s">
        <v>809</v>
      </c>
      <c r="B241" s="21">
        <v>46266.517152777778</v>
      </c>
      <c r="C241" s="2">
        <f t="shared" si="6"/>
        <v>46266</v>
      </c>
      <c r="D241" t="str">
        <f t="shared" si="7"/>
        <v>TERÇA-FEIRA</v>
      </c>
      <c r="E241">
        <v>1011</v>
      </c>
      <c r="F241" t="s">
        <v>54</v>
      </c>
      <c r="G241" t="s">
        <v>503</v>
      </c>
      <c r="H241" t="s">
        <v>74</v>
      </c>
      <c r="I241" t="s">
        <v>517</v>
      </c>
      <c r="K241" t="s">
        <v>501</v>
      </c>
      <c r="L241" s="9" t="s">
        <v>796</v>
      </c>
      <c r="M241" t="str">
        <f>IF(G241="FIM",IF(L241="","SEM VÍNCULO",IF(COUNTIF(tblBatidas[Batida ID],L241)=0,"VÍNCULO INVÁLIDO",IF(COUNTIF(tblBatidas[Início vinculado],L241)&gt;1,"VÍNCULO DUPLICADO",IF(E241&lt;&gt;INDEX(tblBatidas[ID],MATCH(L241,tblBatidas[Batida ID],0)),"DIVERGÊNCIA DE ID",IF(H241&lt;&gt;INDEX(tblBatidas[Projeto],MATCH(L241,tblBatidas[Batida ID],0)),"DIVERGÊNCIA DE PROJETO",IF(I241&lt;&gt;INDEX(tblBatidas[Atividade],MATCH(L241,tblBatidas[Batida ID],0)),"DIVERGÊNCIA DE ATIVIDADE",IF(OR(B241&lt;=INDEX(tblBatidas[Data e hora],MATCH(L241,tblBatidas[Batida ID],0)),(B241-INDEX(tblBatidas[Data e hora],MATCH(L241,tblBatidas[Batida ID],0)))*24&gt;16),"HORÁRIO INVÁLIDO","VINCULADO"))))))),"INÍCIO")</f>
        <v>VINCULADO</v>
      </c>
    </row>
    <row r="242" spans="1:13" hidden="1">
      <c r="A242" t="s">
        <v>810</v>
      </c>
      <c r="B242" s="21">
        <v>46266.521099537036</v>
      </c>
      <c r="C242" s="2">
        <f t="shared" si="6"/>
        <v>46266</v>
      </c>
      <c r="D242" t="str">
        <f t="shared" si="7"/>
        <v>TERÇA-FEIRA</v>
      </c>
      <c r="E242">
        <v>1013</v>
      </c>
      <c r="F242" t="s">
        <v>57</v>
      </c>
      <c r="G242" t="s">
        <v>499</v>
      </c>
      <c r="H242" t="s">
        <v>74</v>
      </c>
      <c r="I242" t="s">
        <v>517</v>
      </c>
      <c r="J242" t="s">
        <v>800</v>
      </c>
      <c r="K242" t="s">
        <v>501</v>
      </c>
      <c r="L242" s="9"/>
      <c r="M242" t="str">
        <f>IF(G242="FIM",IF(L242="","SEM VÍNCULO",IF(COUNTIF(tblBatidas[Batida ID],L242)=0,"VÍNCULO INVÁLIDO",IF(COUNTIF(tblBatidas[Início vinculado],L242)&gt;1,"VÍNCULO DUPLICADO",IF(E242&lt;&gt;INDEX(tblBatidas[ID],MATCH(L242,tblBatidas[Batida ID],0)),"DIVERGÊNCIA DE ID",IF(H242&lt;&gt;INDEX(tblBatidas[Projeto],MATCH(L242,tblBatidas[Batida ID],0)),"DIVERGÊNCIA DE PROJETO",IF(I242&lt;&gt;INDEX(tblBatidas[Atividade],MATCH(L242,tblBatidas[Batida ID],0)),"DIVERGÊNCIA DE ATIVIDADE",IF(OR(B242&lt;=INDEX(tblBatidas[Data e hora],MATCH(L242,tblBatidas[Batida ID],0)),(B242-INDEX(tblBatidas[Data e hora],MATCH(L242,tblBatidas[Batida ID],0)))*24&gt;16),"HORÁRIO INVÁLIDO","VINCULADO"))))))),"INÍCIO")</f>
        <v>INÍCIO</v>
      </c>
    </row>
    <row r="243" spans="1:13" hidden="1">
      <c r="A243" t="s">
        <v>811</v>
      </c>
      <c r="B243" s="21">
        <v>46266.522060185183</v>
      </c>
      <c r="C243" s="2">
        <f t="shared" si="6"/>
        <v>46266</v>
      </c>
      <c r="D243" t="str">
        <f t="shared" si="7"/>
        <v>TERÇA-FEIRA</v>
      </c>
      <c r="E243">
        <v>1016</v>
      </c>
      <c r="F243" t="s">
        <v>60</v>
      </c>
      <c r="G243" t="s">
        <v>503</v>
      </c>
      <c r="H243" t="s">
        <v>70</v>
      </c>
      <c r="I243" t="s">
        <v>500</v>
      </c>
      <c r="K243" t="s">
        <v>501</v>
      </c>
      <c r="L243" s="9"/>
      <c r="M243" t="str">
        <f>IF(G243="FIM",IF(L243="","SEM VÍNCULO",IF(COUNTIF(tblBatidas[Batida ID],L243)=0,"VÍNCULO INVÁLIDO",IF(COUNTIF(tblBatidas[Início vinculado],L243)&gt;1,"VÍNCULO DUPLICADO",IF(E243&lt;&gt;INDEX(tblBatidas[ID],MATCH(L243,tblBatidas[Batida ID],0)),"DIVERGÊNCIA DE ID",IF(H243&lt;&gt;INDEX(tblBatidas[Projeto],MATCH(L243,tblBatidas[Batida ID],0)),"DIVERGÊNCIA DE PROJETO",IF(I243&lt;&gt;INDEX(tblBatidas[Atividade],MATCH(L243,tblBatidas[Batida ID],0)),"DIVERGÊNCIA DE ATIVIDADE",IF(OR(B243&lt;=INDEX(tblBatidas[Data e hora],MATCH(L243,tblBatidas[Batida ID],0)),(B243-INDEX(tblBatidas[Data e hora],MATCH(L243,tblBatidas[Batida ID],0)))*24&gt;16),"HORÁRIO INVÁLIDO","VINCULADO"))))))),"INÍCIO")</f>
        <v>SEM VÍNCULO</v>
      </c>
    </row>
    <row r="244" spans="1:13" hidden="1">
      <c r="A244" t="s">
        <v>812</v>
      </c>
      <c r="B244" s="21">
        <v>46266.522245370368</v>
      </c>
      <c r="C244" s="2">
        <f t="shared" si="6"/>
        <v>46266</v>
      </c>
      <c r="D244" t="str">
        <f t="shared" si="7"/>
        <v>TERÇA-FEIRA</v>
      </c>
      <c r="E244">
        <v>1016</v>
      </c>
      <c r="F244" t="s">
        <v>60</v>
      </c>
      <c r="G244" t="s">
        <v>503</v>
      </c>
      <c r="H244" t="s">
        <v>70</v>
      </c>
      <c r="I244" t="s">
        <v>517</v>
      </c>
      <c r="K244" t="s">
        <v>501</v>
      </c>
      <c r="L244" s="9" t="s">
        <v>804</v>
      </c>
      <c r="M244" t="str">
        <f>IF(G244="FIM",IF(L244="","SEM VÍNCULO",IF(COUNTIF(tblBatidas[Batida ID],L244)=0,"VÍNCULO INVÁLIDO",IF(COUNTIF(tblBatidas[Início vinculado],L244)&gt;1,"VÍNCULO DUPLICADO",IF(E244&lt;&gt;INDEX(tblBatidas[ID],MATCH(L244,tblBatidas[Batida ID],0)),"DIVERGÊNCIA DE ID",IF(H244&lt;&gt;INDEX(tblBatidas[Projeto],MATCH(L244,tblBatidas[Batida ID],0)),"DIVERGÊNCIA DE PROJETO",IF(I244&lt;&gt;INDEX(tblBatidas[Atividade],MATCH(L244,tblBatidas[Batida ID],0)),"DIVERGÊNCIA DE ATIVIDADE",IF(OR(B244&lt;=INDEX(tblBatidas[Data e hora],MATCH(L244,tblBatidas[Batida ID],0)),(B244-INDEX(tblBatidas[Data e hora],MATCH(L244,tblBatidas[Batida ID],0)))*24&gt;16),"HORÁRIO INVÁLIDO","VINCULADO"))))))),"INÍCIO")</f>
        <v>VINCULADO</v>
      </c>
    </row>
    <row r="245" spans="1:13" hidden="1">
      <c r="A245" t="s">
        <v>813</v>
      </c>
      <c r="B245" s="21">
        <v>46266.524606481478</v>
      </c>
      <c r="C245" s="2">
        <f t="shared" si="6"/>
        <v>46266</v>
      </c>
      <c r="D245" t="str">
        <f t="shared" si="7"/>
        <v>TERÇA-FEIRA</v>
      </c>
      <c r="E245">
        <v>1014</v>
      </c>
      <c r="F245" t="s">
        <v>58</v>
      </c>
      <c r="G245" t="s">
        <v>503</v>
      </c>
      <c r="H245" t="s">
        <v>72</v>
      </c>
      <c r="I245" t="s">
        <v>512</v>
      </c>
      <c r="K245" t="s">
        <v>501</v>
      </c>
      <c r="L245" s="9" t="s">
        <v>806</v>
      </c>
      <c r="M245" t="str">
        <f>IF(G245="FIM",IF(L245="","SEM VÍNCULO",IF(COUNTIF(tblBatidas[Batida ID],L245)=0,"VÍNCULO INVÁLIDO",IF(COUNTIF(tblBatidas[Início vinculado],L245)&gt;1,"VÍNCULO DUPLICADO",IF(E245&lt;&gt;INDEX(tblBatidas[ID],MATCH(L245,tblBatidas[Batida ID],0)),"DIVERGÊNCIA DE ID",IF(H245&lt;&gt;INDEX(tblBatidas[Projeto],MATCH(L245,tblBatidas[Batida ID],0)),"DIVERGÊNCIA DE PROJETO",IF(I245&lt;&gt;INDEX(tblBatidas[Atividade],MATCH(L245,tblBatidas[Batida ID],0)),"DIVERGÊNCIA DE ATIVIDADE",IF(OR(B245&lt;=INDEX(tblBatidas[Data e hora],MATCH(L245,tblBatidas[Batida ID],0)),(B245-INDEX(tblBatidas[Data e hora],MATCH(L245,tblBatidas[Batida ID],0)))*24&gt;16),"HORÁRIO INVÁLIDO","VINCULADO"))))))),"INÍCIO")</f>
        <v>VINCULADO</v>
      </c>
    </row>
    <row r="246" spans="1:13" hidden="1">
      <c r="A246" t="s">
        <v>814</v>
      </c>
      <c r="B246" s="21">
        <v>46266.526053240741</v>
      </c>
      <c r="C246" s="2">
        <f t="shared" si="6"/>
        <v>46266</v>
      </c>
      <c r="D246" t="str">
        <f t="shared" si="7"/>
        <v>TERÇA-FEIRA</v>
      </c>
      <c r="E246">
        <v>1003</v>
      </c>
      <c r="F246" t="s">
        <v>46</v>
      </c>
      <c r="G246" t="s">
        <v>503</v>
      </c>
      <c r="H246" t="s">
        <v>74</v>
      </c>
      <c r="I246" t="s">
        <v>517</v>
      </c>
      <c r="J246" t="s">
        <v>808</v>
      </c>
      <c r="K246" t="s">
        <v>501</v>
      </c>
      <c r="L246" s="9" t="s">
        <v>795</v>
      </c>
      <c r="M246" t="str">
        <f>IF(G246="FIM",IF(L246="","SEM VÍNCULO",IF(COUNTIF(tblBatidas[Batida ID],L246)=0,"VÍNCULO INVÁLIDO",IF(COUNTIF(tblBatidas[Início vinculado],L246)&gt;1,"VÍNCULO DUPLICADO",IF(E246&lt;&gt;INDEX(tblBatidas[ID],MATCH(L246,tblBatidas[Batida ID],0)),"DIVERGÊNCIA DE ID",IF(H246&lt;&gt;INDEX(tblBatidas[Projeto],MATCH(L246,tblBatidas[Batida ID],0)),"DIVERGÊNCIA DE PROJETO",IF(I246&lt;&gt;INDEX(tblBatidas[Atividade],MATCH(L246,tblBatidas[Batida ID],0)),"DIVERGÊNCIA DE ATIVIDADE",IF(OR(B246&lt;=INDEX(tblBatidas[Data e hora],MATCH(L246,tblBatidas[Batida ID],0)),(B246-INDEX(tblBatidas[Data e hora],MATCH(L246,tblBatidas[Batida ID],0)))*24&gt;16),"HORÁRIO INVÁLIDO","VINCULADO"))))))),"INÍCIO")</f>
        <v>VINCULADO</v>
      </c>
    </row>
    <row r="247" spans="1:13" hidden="1">
      <c r="A247" t="s">
        <v>815</v>
      </c>
      <c r="B247" s="21">
        <v>46266.530844907407</v>
      </c>
      <c r="C247" s="2">
        <f t="shared" si="6"/>
        <v>46266</v>
      </c>
      <c r="D247" t="str">
        <f t="shared" si="7"/>
        <v>TERÇA-FEIRA</v>
      </c>
      <c r="E247">
        <v>1006</v>
      </c>
      <c r="F247" t="s">
        <v>49</v>
      </c>
      <c r="G247" t="s">
        <v>503</v>
      </c>
      <c r="H247" t="s">
        <v>74</v>
      </c>
      <c r="I247" t="s">
        <v>512</v>
      </c>
      <c r="J247" t="s">
        <v>790</v>
      </c>
      <c r="K247" t="s">
        <v>501</v>
      </c>
      <c r="L247" s="9" t="s">
        <v>803</v>
      </c>
      <c r="M247" t="str">
        <f>IF(G247="FIM",IF(L247="","SEM VÍNCULO",IF(COUNTIF(tblBatidas[Batida ID],L247)=0,"VÍNCULO INVÁLIDO",IF(COUNTIF(tblBatidas[Início vinculado],L247)&gt;1,"VÍNCULO DUPLICADO",IF(E247&lt;&gt;INDEX(tblBatidas[ID],MATCH(L247,tblBatidas[Batida ID],0)),"DIVERGÊNCIA DE ID",IF(H247&lt;&gt;INDEX(tblBatidas[Projeto],MATCH(L247,tblBatidas[Batida ID],0)),"DIVERGÊNCIA DE PROJETO",IF(I247&lt;&gt;INDEX(tblBatidas[Atividade],MATCH(L247,tblBatidas[Batida ID],0)),"DIVERGÊNCIA DE ATIVIDADE",IF(OR(B247&lt;=INDEX(tblBatidas[Data e hora],MATCH(L247,tblBatidas[Batida ID],0)),(B247-INDEX(tblBatidas[Data e hora],MATCH(L247,tblBatidas[Batida ID],0)))*24&gt;16),"HORÁRIO INVÁLIDO","VINCULADO"))))))),"INÍCIO")</f>
        <v>VINCULADO</v>
      </c>
    </row>
    <row r="248" spans="1:13" hidden="1">
      <c r="A248" t="s">
        <v>816</v>
      </c>
      <c r="B248" s="21">
        <v>46266.537349537037</v>
      </c>
      <c r="C248" s="2">
        <f t="shared" si="6"/>
        <v>46266</v>
      </c>
      <c r="D248" t="str">
        <f t="shared" si="7"/>
        <v>TERÇA-FEIRA</v>
      </c>
      <c r="E248">
        <v>1011</v>
      </c>
      <c r="F248" t="s">
        <v>54</v>
      </c>
      <c r="G248" t="s">
        <v>499</v>
      </c>
      <c r="H248" t="s">
        <v>74</v>
      </c>
      <c r="I248" t="s">
        <v>517</v>
      </c>
      <c r="K248" t="s">
        <v>501</v>
      </c>
      <c r="L248" s="9"/>
      <c r="M248" t="str">
        <f>IF(G248="FIM",IF(L248="","SEM VÍNCULO",IF(COUNTIF(tblBatidas[Batida ID],L248)=0,"VÍNCULO INVÁLIDO",IF(COUNTIF(tblBatidas[Início vinculado],L248)&gt;1,"VÍNCULO DUPLICADO",IF(E248&lt;&gt;INDEX(tblBatidas[ID],MATCH(L248,tblBatidas[Batida ID],0)),"DIVERGÊNCIA DE ID",IF(H248&lt;&gt;INDEX(tblBatidas[Projeto],MATCH(L248,tblBatidas[Batida ID],0)),"DIVERGÊNCIA DE PROJETO",IF(I248&lt;&gt;INDEX(tblBatidas[Atividade],MATCH(L248,tblBatidas[Batida ID],0)),"DIVERGÊNCIA DE ATIVIDADE",IF(OR(B248&lt;=INDEX(tblBatidas[Data e hora],MATCH(L248,tblBatidas[Batida ID],0)),(B248-INDEX(tblBatidas[Data e hora],MATCH(L248,tblBatidas[Batida ID],0)))*24&gt;16),"HORÁRIO INVÁLIDO","VINCULADO"))))))),"INÍCIO")</f>
        <v>INÍCIO</v>
      </c>
    </row>
    <row r="249" spans="1:13" hidden="1">
      <c r="A249" t="s">
        <v>817</v>
      </c>
      <c r="B249" s="21">
        <v>46266.542303240742</v>
      </c>
      <c r="C249" s="2">
        <f t="shared" si="6"/>
        <v>46266</v>
      </c>
      <c r="D249" t="str">
        <f t="shared" si="7"/>
        <v>TERÇA-FEIRA</v>
      </c>
      <c r="E249">
        <v>1015</v>
      </c>
      <c r="F249" t="s">
        <v>59</v>
      </c>
      <c r="G249" t="s">
        <v>503</v>
      </c>
      <c r="H249" t="s">
        <v>84</v>
      </c>
      <c r="I249" t="s">
        <v>84</v>
      </c>
      <c r="K249" t="s">
        <v>501</v>
      </c>
      <c r="L249" s="9" t="s">
        <v>801</v>
      </c>
      <c r="M249" t="str">
        <f>IF(G249="FIM",IF(L249="","SEM VÍNCULO",IF(COUNTIF(tblBatidas[Batida ID],L249)=0,"VÍNCULO INVÁLIDO",IF(COUNTIF(tblBatidas[Início vinculado],L249)&gt;1,"VÍNCULO DUPLICADO",IF(E249&lt;&gt;INDEX(tblBatidas[ID],MATCH(L249,tblBatidas[Batida ID],0)),"DIVERGÊNCIA DE ID",IF(H249&lt;&gt;INDEX(tblBatidas[Projeto],MATCH(L249,tblBatidas[Batida ID],0)),"DIVERGÊNCIA DE PROJETO",IF(I249&lt;&gt;INDEX(tblBatidas[Atividade],MATCH(L249,tblBatidas[Batida ID],0)),"DIVERGÊNCIA DE ATIVIDADE",IF(OR(B249&lt;=INDEX(tblBatidas[Data e hora],MATCH(L249,tblBatidas[Batida ID],0)),(B249-INDEX(tblBatidas[Data e hora],MATCH(L249,tblBatidas[Batida ID],0)))*24&gt;16),"HORÁRIO INVÁLIDO","VINCULADO"))))))),"INÍCIO")</f>
        <v>VINCULADO</v>
      </c>
    </row>
    <row r="250" spans="1:13" hidden="1">
      <c r="A250" t="s">
        <v>818</v>
      </c>
      <c r="B250" s="21">
        <v>46266.562986111108</v>
      </c>
      <c r="C250" s="2">
        <f t="shared" si="6"/>
        <v>46266</v>
      </c>
      <c r="D250" t="str">
        <f t="shared" si="7"/>
        <v>TERÇA-FEIRA</v>
      </c>
      <c r="E250">
        <v>1003</v>
      </c>
      <c r="F250" t="s">
        <v>46</v>
      </c>
      <c r="G250" t="s">
        <v>499</v>
      </c>
      <c r="H250" t="s">
        <v>74</v>
      </c>
      <c r="I250" t="s">
        <v>517</v>
      </c>
      <c r="J250" t="s">
        <v>808</v>
      </c>
      <c r="K250" t="s">
        <v>501</v>
      </c>
      <c r="L250" s="9"/>
      <c r="M250" t="str">
        <f>IF(G250="FIM",IF(L250="","SEM VÍNCULO",IF(COUNTIF(tblBatidas[Batida ID],L250)=0,"VÍNCULO INVÁLIDO",IF(COUNTIF(tblBatidas[Início vinculado],L250)&gt;1,"VÍNCULO DUPLICADO",IF(E250&lt;&gt;INDEX(tblBatidas[ID],MATCH(L250,tblBatidas[Batida ID],0)),"DIVERGÊNCIA DE ID",IF(H250&lt;&gt;INDEX(tblBatidas[Projeto],MATCH(L250,tblBatidas[Batida ID],0)),"DIVERGÊNCIA DE PROJETO",IF(I250&lt;&gt;INDEX(tblBatidas[Atividade],MATCH(L250,tblBatidas[Batida ID],0)),"DIVERGÊNCIA DE ATIVIDADE",IF(OR(B250&lt;=INDEX(tblBatidas[Data e hora],MATCH(L250,tblBatidas[Batida ID],0)),(B250-INDEX(tblBatidas[Data e hora],MATCH(L250,tblBatidas[Batida ID],0)))*24&gt;16),"HORÁRIO INVÁLIDO","VINCULADO"))))))),"INÍCIO")</f>
        <v>INÍCIO</v>
      </c>
    </row>
    <row r="251" spans="1:13" hidden="1">
      <c r="A251" t="s">
        <v>819</v>
      </c>
      <c r="B251" s="21">
        <v>46266.565983796296</v>
      </c>
      <c r="C251" s="2">
        <f t="shared" si="6"/>
        <v>46266</v>
      </c>
      <c r="D251" t="str">
        <f t="shared" si="7"/>
        <v>TERÇA-FEIRA</v>
      </c>
      <c r="E251">
        <v>1016</v>
      </c>
      <c r="F251" t="s">
        <v>60</v>
      </c>
      <c r="G251" t="s">
        <v>499</v>
      </c>
      <c r="H251" t="s">
        <v>70</v>
      </c>
      <c r="I251" t="s">
        <v>517</v>
      </c>
      <c r="K251" t="s">
        <v>501</v>
      </c>
      <c r="L251" s="9"/>
      <c r="M251" t="str">
        <f>IF(G251="FIM",IF(L251="","SEM VÍNCULO",IF(COUNTIF(tblBatidas[Batida ID],L251)=0,"VÍNCULO INVÁLIDO",IF(COUNTIF(tblBatidas[Início vinculado],L251)&gt;1,"VÍNCULO DUPLICADO",IF(E251&lt;&gt;INDEX(tblBatidas[ID],MATCH(L251,tblBatidas[Batida ID],0)),"DIVERGÊNCIA DE ID",IF(H251&lt;&gt;INDEX(tblBatidas[Projeto],MATCH(L251,tblBatidas[Batida ID],0)),"DIVERGÊNCIA DE PROJETO",IF(I251&lt;&gt;INDEX(tblBatidas[Atividade],MATCH(L251,tblBatidas[Batida ID],0)),"DIVERGÊNCIA DE ATIVIDADE",IF(OR(B251&lt;=INDEX(tblBatidas[Data e hora],MATCH(L251,tblBatidas[Batida ID],0)),(B251-INDEX(tblBatidas[Data e hora],MATCH(L251,tblBatidas[Batida ID],0)))*24&gt;16),"HORÁRIO INVÁLIDO","VINCULADO"))))))),"INÍCIO")</f>
        <v>INÍCIO</v>
      </c>
    </row>
    <row r="252" spans="1:13" hidden="1">
      <c r="A252" t="s">
        <v>820</v>
      </c>
      <c r="B252" s="21">
        <v>46266.569560185184</v>
      </c>
      <c r="C252" s="2">
        <f t="shared" si="6"/>
        <v>46266</v>
      </c>
      <c r="D252" t="str">
        <f t="shared" si="7"/>
        <v>TERÇA-FEIRA</v>
      </c>
      <c r="E252">
        <v>1012</v>
      </c>
      <c r="F252" t="s">
        <v>55</v>
      </c>
      <c r="G252" t="s">
        <v>499</v>
      </c>
      <c r="H252" t="s">
        <v>74</v>
      </c>
      <c r="I252" t="s">
        <v>500</v>
      </c>
      <c r="K252" t="s">
        <v>501</v>
      </c>
      <c r="L252" s="9"/>
      <c r="M252" t="str">
        <f>IF(G252="FIM",IF(L252="","SEM VÍNCULO",IF(COUNTIF(tblBatidas[Batida ID],L252)=0,"VÍNCULO INVÁLIDO",IF(COUNTIF(tblBatidas[Início vinculado],L252)&gt;1,"VÍNCULO DUPLICADO",IF(E252&lt;&gt;INDEX(tblBatidas[ID],MATCH(L252,tblBatidas[Batida ID],0)),"DIVERGÊNCIA DE ID",IF(H252&lt;&gt;INDEX(tblBatidas[Projeto],MATCH(L252,tblBatidas[Batida ID],0)),"DIVERGÊNCIA DE PROJETO",IF(I252&lt;&gt;INDEX(tblBatidas[Atividade],MATCH(L252,tblBatidas[Batida ID],0)),"DIVERGÊNCIA DE ATIVIDADE",IF(OR(B252&lt;=INDEX(tblBatidas[Data e hora],MATCH(L252,tblBatidas[Batida ID],0)),(B252-INDEX(tblBatidas[Data e hora],MATCH(L252,tblBatidas[Batida ID],0)))*24&gt;16),"HORÁRIO INVÁLIDO","VINCULADO"))))))),"INÍCIO")</f>
        <v>INÍCIO</v>
      </c>
    </row>
    <row r="253" spans="1:13" hidden="1">
      <c r="A253" t="s">
        <v>821</v>
      </c>
      <c r="B253" s="21">
        <v>46266.570636574077</v>
      </c>
      <c r="C253" s="2">
        <f t="shared" si="6"/>
        <v>46266</v>
      </c>
      <c r="D253" t="str">
        <f t="shared" si="7"/>
        <v>TERÇA-FEIRA</v>
      </c>
      <c r="E253">
        <v>1006</v>
      </c>
      <c r="F253" t="s">
        <v>49</v>
      </c>
      <c r="G253" t="s">
        <v>499</v>
      </c>
      <c r="H253" t="s">
        <v>74</v>
      </c>
      <c r="I253" t="s">
        <v>512</v>
      </c>
      <c r="J253" t="s">
        <v>790</v>
      </c>
      <c r="K253" t="s">
        <v>501</v>
      </c>
      <c r="L253" s="9"/>
      <c r="M253" t="str">
        <f>IF(G253="FIM",IF(L253="","SEM VÍNCULO",IF(COUNTIF(tblBatidas[Batida ID],L253)=0,"VÍNCULO INVÁLIDO",IF(COUNTIF(tblBatidas[Início vinculado],L253)&gt;1,"VÍNCULO DUPLICADO",IF(E253&lt;&gt;INDEX(tblBatidas[ID],MATCH(L253,tblBatidas[Batida ID],0)),"DIVERGÊNCIA DE ID",IF(H253&lt;&gt;INDEX(tblBatidas[Projeto],MATCH(L253,tblBatidas[Batida ID],0)),"DIVERGÊNCIA DE PROJETO",IF(I253&lt;&gt;INDEX(tblBatidas[Atividade],MATCH(L253,tblBatidas[Batida ID],0)),"DIVERGÊNCIA DE ATIVIDADE",IF(OR(B253&lt;=INDEX(tblBatidas[Data e hora],MATCH(L253,tblBatidas[Batida ID],0)),(B253-INDEX(tblBatidas[Data e hora],MATCH(L253,tblBatidas[Batida ID],0)))*24&gt;16),"HORÁRIO INVÁLIDO","VINCULADO"))))))),"INÍCIO")</f>
        <v>INÍCIO</v>
      </c>
    </row>
    <row r="254" spans="1:13" hidden="1">
      <c r="A254" t="s">
        <v>822</v>
      </c>
      <c r="B254" s="21">
        <v>46266.576342592591</v>
      </c>
      <c r="C254" s="2">
        <f t="shared" si="6"/>
        <v>46266</v>
      </c>
      <c r="D254" t="str">
        <f t="shared" si="7"/>
        <v>TERÇA-FEIRA</v>
      </c>
      <c r="E254">
        <v>1001</v>
      </c>
      <c r="F254" t="s">
        <v>43</v>
      </c>
      <c r="G254" t="s">
        <v>503</v>
      </c>
      <c r="H254" t="s">
        <v>72</v>
      </c>
      <c r="I254" t="s">
        <v>500</v>
      </c>
      <c r="J254" t="s">
        <v>823</v>
      </c>
      <c r="K254" t="s">
        <v>501</v>
      </c>
      <c r="L254" s="9" t="s">
        <v>797</v>
      </c>
      <c r="M254" t="str">
        <f>IF(G254="FIM",IF(L254="","SEM VÍNCULO",IF(COUNTIF(tblBatidas[Batida ID],L254)=0,"VÍNCULO INVÁLIDO",IF(COUNTIF(tblBatidas[Início vinculado],L254)&gt;1,"VÍNCULO DUPLICADO",IF(E254&lt;&gt;INDEX(tblBatidas[ID],MATCH(L254,tblBatidas[Batida ID],0)),"DIVERGÊNCIA DE ID",IF(H254&lt;&gt;INDEX(tblBatidas[Projeto],MATCH(L254,tblBatidas[Batida ID],0)),"DIVERGÊNCIA DE PROJETO",IF(I254&lt;&gt;INDEX(tblBatidas[Atividade],MATCH(L254,tblBatidas[Batida ID],0)),"DIVERGÊNCIA DE ATIVIDADE",IF(OR(B254&lt;=INDEX(tblBatidas[Data e hora],MATCH(L254,tblBatidas[Batida ID],0)),(B254-INDEX(tblBatidas[Data e hora],MATCH(L254,tblBatidas[Batida ID],0)))*24&gt;16),"HORÁRIO INVÁLIDO","VINCULADO"))))))),"INÍCIO")</f>
        <v>VINCULADO</v>
      </c>
    </row>
    <row r="255" spans="1:13" hidden="1">
      <c r="A255" t="s">
        <v>824</v>
      </c>
      <c r="B255" s="21">
        <v>46266.581932870373</v>
      </c>
      <c r="C255" s="2">
        <f t="shared" si="6"/>
        <v>46266</v>
      </c>
      <c r="D255" t="str">
        <f t="shared" si="7"/>
        <v>TERÇA-FEIRA</v>
      </c>
      <c r="E255">
        <v>1015</v>
      </c>
      <c r="F255" t="s">
        <v>59</v>
      </c>
      <c r="G255" t="s">
        <v>499</v>
      </c>
      <c r="H255" t="s">
        <v>84</v>
      </c>
      <c r="I255" t="s">
        <v>84</v>
      </c>
      <c r="K255" t="s">
        <v>501</v>
      </c>
      <c r="L255" s="9"/>
      <c r="M255" t="str">
        <f>IF(G255="FIM",IF(L255="","SEM VÍNCULO",IF(COUNTIF(tblBatidas[Batida ID],L255)=0,"VÍNCULO INVÁLIDO",IF(COUNTIF(tblBatidas[Início vinculado],L255)&gt;1,"VÍNCULO DUPLICADO",IF(E255&lt;&gt;INDEX(tblBatidas[ID],MATCH(L255,tblBatidas[Batida ID],0)),"DIVERGÊNCIA DE ID",IF(H255&lt;&gt;INDEX(tblBatidas[Projeto],MATCH(L255,tblBatidas[Batida ID],0)),"DIVERGÊNCIA DE PROJETO",IF(I255&lt;&gt;INDEX(tblBatidas[Atividade],MATCH(L255,tblBatidas[Batida ID],0)),"DIVERGÊNCIA DE ATIVIDADE",IF(OR(B255&lt;=INDEX(tblBatidas[Data e hora],MATCH(L255,tblBatidas[Batida ID],0)),(B255-INDEX(tblBatidas[Data e hora],MATCH(L255,tblBatidas[Batida ID],0)))*24&gt;16),"HORÁRIO INVÁLIDO","VINCULADO"))))))),"INÍCIO")</f>
        <v>INÍCIO</v>
      </c>
    </row>
    <row r="256" spans="1:13" hidden="1">
      <c r="A256" t="s">
        <v>825</v>
      </c>
      <c r="B256" s="21">
        <v>46266.595578703702</v>
      </c>
      <c r="C256" s="2">
        <f t="shared" si="6"/>
        <v>46266</v>
      </c>
      <c r="D256" t="str">
        <f t="shared" si="7"/>
        <v>TERÇA-FEIRA</v>
      </c>
      <c r="E256">
        <v>1004</v>
      </c>
      <c r="F256" t="s">
        <v>47</v>
      </c>
      <c r="G256" t="s">
        <v>499</v>
      </c>
      <c r="H256" t="s">
        <v>74</v>
      </c>
      <c r="I256" t="s">
        <v>538</v>
      </c>
      <c r="J256" t="s">
        <v>826</v>
      </c>
      <c r="K256" t="s">
        <v>501</v>
      </c>
      <c r="L256" s="9"/>
      <c r="M256" t="str">
        <f>IF(G256="FIM",IF(L256="","SEM VÍNCULO",IF(COUNTIF(tblBatidas[Batida ID],L256)=0,"VÍNCULO INVÁLIDO",IF(COUNTIF(tblBatidas[Início vinculado],L256)&gt;1,"VÍNCULO DUPLICADO",IF(E256&lt;&gt;INDEX(tblBatidas[ID],MATCH(L256,tblBatidas[Batida ID],0)),"DIVERGÊNCIA DE ID",IF(H256&lt;&gt;INDEX(tblBatidas[Projeto],MATCH(L256,tblBatidas[Batida ID],0)),"DIVERGÊNCIA DE PROJETO",IF(I256&lt;&gt;INDEX(tblBatidas[Atividade],MATCH(L256,tblBatidas[Batida ID],0)),"DIVERGÊNCIA DE ATIVIDADE",IF(OR(B256&lt;=INDEX(tblBatidas[Data e hora],MATCH(L256,tblBatidas[Batida ID],0)),(B256-INDEX(tblBatidas[Data e hora],MATCH(L256,tblBatidas[Batida ID],0)))*24&gt;16),"HORÁRIO INVÁLIDO","VINCULADO"))))))),"INÍCIO")</f>
        <v>INÍCIO</v>
      </c>
    </row>
    <row r="257" spans="1:13" hidden="1">
      <c r="A257" t="s">
        <v>827</v>
      </c>
      <c r="B257" s="21">
        <v>46266.598275462966</v>
      </c>
      <c r="C257" s="2">
        <f t="shared" si="6"/>
        <v>46266</v>
      </c>
      <c r="D257" t="str">
        <f t="shared" si="7"/>
        <v>TERÇA-FEIRA</v>
      </c>
      <c r="E257">
        <v>1001</v>
      </c>
      <c r="F257" t="s">
        <v>43</v>
      </c>
      <c r="G257" t="s">
        <v>499</v>
      </c>
      <c r="H257" t="s">
        <v>72</v>
      </c>
      <c r="I257" t="s">
        <v>500</v>
      </c>
      <c r="K257" t="s">
        <v>501</v>
      </c>
      <c r="L257" s="9"/>
      <c r="M257" t="str">
        <f>IF(G257="FIM",IF(L257="","SEM VÍNCULO",IF(COUNTIF(tblBatidas[Batida ID],L257)=0,"VÍNCULO INVÁLIDO",IF(COUNTIF(tblBatidas[Início vinculado],L257)&gt;1,"VÍNCULO DUPLICADO",IF(E257&lt;&gt;INDEX(tblBatidas[ID],MATCH(L257,tblBatidas[Batida ID],0)),"DIVERGÊNCIA DE ID",IF(H257&lt;&gt;INDEX(tblBatidas[Projeto],MATCH(L257,tblBatidas[Batida ID],0)),"DIVERGÊNCIA DE PROJETO",IF(I257&lt;&gt;INDEX(tblBatidas[Atividade],MATCH(L257,tblBatidas[Batida ID],0)),"DIVERGÊNCIA DE ATIVIDADE",IF(OR(B257&lt;=INDEX(tblBatidas[Data e hora],MATCH(L257,tblBatidas[Batida ID],0)),(B257-INDEX(tblBatidas[Data e hora],MATCH(L257,tblBatidas[Batida ID],0)))*24&gt;16),"HORÁRIO INVÁLIDO","VINCULADO"))))))),"INÍCIO")</f>
        <v>INÍCIO</v>
      </c>
    </row>
    <row r="258" spans="1:13" hidden="1">
      <c r="A258" t="s">
        <v>828</v>
      </c>
      <c r="B258" s="21">
        <v>46266.623912037037</v>
      </c>
      <c r="C258" s="2">
        <f t="shared" si="6"/>
        <v>46266</v>
      </c>
      <c r="D258" t="str">
        <f t="shared" si="7"/>
        <v>TERÇA-FEIRA</v>
      </c>
      <c r="E258">
        <v>1014</v>
      </c>
      <c r="F258" t="s">
        <v>58</v>
      </c>
      <c r="G258" t="s">
        <v>499</v>
      </c>
      <c r="H258" t="s">
        <v>72</v>
      </c>
      <c r="I258" t="s">
        <v>512</v>
      </c>
      <c r="K258" t="s">
        <v>501</v>
      </c>
      <c r="L258" s="9"/>
      <c r="M258" t="str">
        <f>IF(G258="FIM",IF(L258="","SEM VÍNCULO",IF(COUNTIF(tblBatidas[Batida ID],L258)=0,"VÍNCULO INVÁLIDO",IF(COUNTIF(tblBatidas[Início vinculado],L258)&gt;1,"VÍNCULO DUPLICADO",IF(E258&lt;&gt;INDEX(tblBatidas[ID],MATCH(L258,tblBatidas[Batida ID],0)),"DIVERGÊNCIA DE ID",IF(H258&lt;&gt;INDEX(tblBatidas[Projeto],MATCH(L258,tblBatidas[Batida ID],0)),"DIVERGÊNCIA DE PROJETO",IF(I258&lt;&gt;INDEX(tblBatidas[Atividade],MATCH(L258,tblBatidas[Batida ID],0)),"DIVERGÊNCIA DE ATIVIDADE",IF(OR(B258&lt;=INDEX(tblBatidas[Data e hora],MATCH(L258,tblBatidas[Batida ID],0)),(B258-INDEX(tblBatidas[Data e hora],MATCH(L258,tblBatidas[Batida ID],0)))*24&gt;16),"HORÁRIO INVÁLIDO","VINCULADO"))))))),"INÍCIO")</f>
        <v>INÍCIO</v>
      </c>
    </row>
    <row r="259" spans="1:13" hidden="1">
      <c r="A259" t="s">
        <v>829</v>
      </c>
      <c r="B259" s="21">
        <v>46266.748124999998</v>
      </c>
      <c r="C259" s="2">
        <f t="shared" si="6"/>
        <v>46266</v>
      </c>
      <c r="D259" t="str">
        <f t="shared" si="7"/>
        <v>TERÇA-FEIRA</v>
      </c>
      <c r="E259">
        <v>1014</v>
      </c>
      <c r="F259" t="s">
        <v>58</v>
      </c>
      <c r="G259" t="s">
        <v>503</v>
      </c>
      <c r="H259" t="s">
        <v>72</v>
      </c>
      <c r="I259" t="s">
        <v>512</v>
      </c>
      <c r="K259" t="s">
        <v>501</v>
      </c>
      <c r="L259" s="9" t="s">
        <v>828</v>
      </c>
      <c r="M259" t="str">
        <f>IF(G259="FIM",IF(L259="","SEM VÍNCULO",IF(COUNTIF(tblBatidas[Batida ID],L259)=0,"VÍNCULO INVÁLIDO",IF(COUNTIF(tblBatidas[Início vinculado],L259)&gt;1,"VÍNCULO DUPLICADO",IF(E259&lt;&gt;INDEX(tblBatidas[ID],MATCH(L259,tblBatidas[Batida ID],0)),"DIVERGÊNCIA DE ID",IF(H259&lt;&gt;INDEX(tblBatidas[Projeto],MATCH(L259,tblBatidas[Batida ID],0)),"DIVERGÊNCIA DE PROJETO",IF(I259&lt;&gt;INDEX(tblBatidas[Atividade],MATCH(L259,tblBatidas[Batida ID],0)),"DIVERGÊNCIA DE ATIVIDADE",IF(OR(B259&lt;=INDEX(tblBatidas[Data e hora],MATCH(L259,tblBatidas[Batida ID],0)),(B259-INDEX(tblBatidas[Data e hora],MATCH(L259,tblBatidas[Batida ID],0)))*24&gt;16),"HORÁRIO INVÁLIDO","VINCULADO"))))))),"INÍCIO")</f>
        <v>VINCULADO</v>
      </c>
    </row>
    <row r="260" spans="1:13" hidden="1">
      <c r="A260" t="s">
        <v>830</v>
      </c>
      <c r="B260" s="21">
        <v>46266.750173611108</v>
      </c>
      <c r="C260" s="2">
        <f t="shared" si="6"/>
        <v>46266</v>
      </c>
      <c r="D260" t="str">
        <f t="shared" si="7"/>
        <v>TERÇA-FEIRA</v>
      </c>
      <c r="E260">
        <v>1015</v>
      </c>
      <c r="F260" t="s">
        <v>59</v>
      </c>
      <c r="G260" t="s">
        <v>503</v>
      </c>
      <c r="H260" t="s">
        <v>84</v>
      </c>
      <c r="I260" t="s">
        <v>84</v>
      </c>
      <c r="J260" t="s">
        <v>831</v>
      </c>
      <c r="K260" t="s">
        <v>501</v>
      </c>
      <c r="L260" s="9" t="s">
        <v>824</v>
      </c>
      <c r="M260" t="str">
        <f>IF(G260="FIM",IF(L260="","SEM VÍNCULO",IF(COUNTIF(tblBatidas[Batida ID],L260)=0,"VÍNCULO INVÁLIDO",IF(COUNTIF(tblBatidas[Início vinculado],L260)&gt;1,"VÍNCULO DUPLICADO",IF(E260&lt;&gt;INDEX(tblBatidas[ID],MATCH(L260,tblBatidas[Batida ID],0)),"DIVERGÊNCIA DE ID",IF(H260&lt;&gt;INDEX(tblBatidas[Projeto],MATCH(L260,tblBatidas[Batida ID],0)),"DIVERGÊNCIA DE PROJETO",IF(I260&lt;&gt;INDEX(tblBatidas[Atividade],MATCH(L260,tblBatidas[Batida ID],0)),"DIVERGÊNCIA DE ATIVIDADE",IF(OR(B260&lt;=INDEX(tblBatidas[Data e hora],MATCH(L260,tblBatidas[Batida ID],0)),(B260-INDEX(tblBatidas[Data e hora],MATCH(L260,tblBatidas[Batida ID],0)))*24&gt;16),"HORÁRIO INVÁLIDO","VINCULADO"))))))),"INÍCIO")</f>
        <v>VINCULADO</v>
      </c>
    </row>
    <row r="261" spans="1:13" hidden="1">
      <c r="A261" t="s">
        <v>832</v>
      </c>
      <c r="B261" s="21">
        <v>46266.750590277778</v>
      </c>
      <c r="C261" s="2">
        <f t="shared" ref="C261:C324" si="8">IF(B261="","",INT(B261))</f>
        <v>46266</v>
      </c>
      <c r="D261" t="str">
        <f t="shared" ref="D261:D324" si="9">IF(C261="","",CHOOSE(WEEKDAY(C261,2),"SEGUNDA-FEIRA","TERÇA-FEIRA","QUARTA-FEIRA","QUINTA-FEIRA","SEXTA-FEIRA","SÁBADO","DOMINGO"))</f>
        <v>TERÇA-FEIRA</v>
      </c>
      <c r="E261">
        <v>1015</v>
      </c>
      <c r="F261" t="s">
        <v>59</v>
      </c>
      <c r="G261" t="s">
        <v>503</v>
      </c>
      <c r="H261" t="s">
        <v>84</v>
      </c>
      <c r="I261" t="s">
        <v>84</v>
      </c>
      <c r="K261" t="s">
        <v>501</v>
      </c>
      <c r="L261" s="9"/>
      <c r="M261" t="str">
        <f>IF(G261="FIM",IF(L261="","SEM VÍNCULO",IF(COUNTIF(tblBatidas[Batida ID],L261)=0,"VÍNCULO INVÁLIDO",IF(COUNTIF(tblBatidas[Início vinculado],L261)&gt;1,"VÍNCULO DUPLICADO",IF(E261&lt;&gt;INDEX(tblBatidas[ID],MATCH(L261,tblBatidas[Batida ID],0)),"DIVERGÊNCIA DE ID",IF(H261&lt;&gt;INDEX(tblBatidas[Projeto],MATCH(L261,tblBatidas[Batida ID],0)),"DIVERGÊNCIA DE PROJETO",IF(I261&lt;&gt;INDEX(tblBatidas[Atividade],MATCH(L261,tblBatidas[Batida ID],0)),"DIVERGÊNCIA DE ATIVIDADE",IF(OR(B261&lt;=INDEX(tblBatidas[Data e hora],MATCH(L261,tblBatidas[Batida ID],0)),(B261-INDEX(tblBatidas[Data e hora],MATCH(L261,tblBatidas[Batida ID],0)))*24&gt;16),"HORÁRIO INVÁLIDO","VINCULADO"))))))),"INÍCIO")</f>
        <v>SEM VÍNCULO</v>
      </c>
    </row>
    <row r="262" spans="1:13">
      <c r="A262" t="s">
        <v>833</v>
      </c>
      <c r="B262" s="21">
        <v>46266.752256944441</v>
      </c>
      <c r="C262" s="2">
        <f t="shared" si="8"/>
        <v>46266</v>
      </c>
      <c r="D262" t="str">
        <f t="shared" si="9"/>
        <v>TERÇA-FEIRA</v>
      </c>
      <c r="E262">
        <v>1002</v>
      </c>
      <c r="F262" t="s">
        <v>45</v>
      </c>
      <c r="G262" t="s">
        <v>503</v>
      </c>
      <c r="H262" t="s">
        <v>70</v>
      </c>
      <c r="I262" t="s">
        <v>517</v>
      </c>
      <c r="K262" t="s">
        <v>501</v>
      </c>
      <c r="L262" s="9" t="s">
        <v>802</v>
      </c>
      <c r="M262" t="str">
        <f>IF(G262="FIM",IF(L262="","SEM VÍNCULO",IF(COUNTIF(tblBatidas[Batida ID],L262)=0,"VÍNCULO INVÁLIDO",IF(COUNTIF(tblBatidas[Início vinculado],L262)&gt;1,"VÍNCULO DUPLICADO",IF(E262&lt;&gt;INDEX(tblBatidas[ID],MATCH(L262,tblBatidas[Batida ID],0)),"DIVERGÊNCIA DE ID",IF(H262&lt;&gt;INDEX(tblBatidas[Projeto],MATCH(L262,tblBatidas[Batida ID],0)),"DIVERGÊNCIA DE PROJETO",IF(I262&lt;&gt;INDEX(tblBatidas[Atividade],MATCH(L262,tblBatidas[Batida ID],0)),"DIVERGÊNCIA DE ATIVIDADE",IF(OR(B262&lt;=INDEX(tblBatidas[Data e hora],MATCH(L262,tblBatidas[Batida ID],0)),(B262-INDEX(tblBatidas[Data e hora],MATCH(L262,tblBatidas[Batida ID],0)))*24&gt;16),"HORÁRIO INVÁLIDO","VINCULADO"))))))),"INÍCIO")</f>
        <v>VINCULADO</v>
      </c>
    </row>
    <row r="263" spans="1:13" hidden="1">
      <c r="A263" t="s">
        <v>834</v>
      </c>
      <c r="B263" s="21">
        <v>46266.752905092595</v>
      </c>
      <c r="C263" s="2">
        <f t="shared" si="8"/>
        <v>46266</v>
      </c>
      <c r="D263" t="str">
        <f t="shared" si="9"/>
        <v>TERÇA-FEIRA</v>
      </c>
      <c r="E263">
        <v>1003</v>
      </c>
      <c r="F263" t="s">
        <v>46</v>
      </c>
      <c r="G263" t="s">
        <v>503</v>
      </c>
      <c r="H263" t="s">
        <v>74</v>
      </c>
      <c r="I263" t="s">
        <v>517</v>
      </c>
      <c r="J263" t="s">
        <v>835</v>
      </c>
      <c r="K263" t="s">
        <v>501</v>
      </c>
      <c r="L263" s="9" t="s">
        <v>818</v>
      </c>
      <c r="M263" t="str">
        <f>IF(G263="FIM",IF(L263="","SEM VÍNCULO",IF(COUNTIF(tblBatidas[Batida ID],L263)=0,"VÍNCULO INVÁLIDO",IF(COUNTIF(tblBatidas[Início vinculado],L263)&gt;1,"VÍNCULO DUPLICADO",IF(E263&lt;&gt;INDEX(tblBatidas[ID],MATCH(L263,tblBatidas[Batida ID],0)),"DIVERGÊNCIA DE ID",IF(H263&lt;&gt;INDEX(tblBatidas[Projeto],MATCH(L263,tblBatidas[Batida ID],0)),"DIVERGÊNCIA DE PROJETO",IF(I263&lt;&gt;INDEX(tblBatidas[Atividade],MATCH(L263,tblBatidas[Batida ID],0)),"DIVERGÊNCIA DE ATIVIDADE",IF(OR(B263&lt;=INDEX(tblBatidas[Data e hora],MATCH(L263,tblBatidas[Batida ID],0)),(B263-INDEX(tblBatidas[Data e hora],MATCH(L263,tblBatidas[Batida ID],0)))*24&gt;16),"HORÁRIO INVÁLIDO","VINCULADO"))))))),"INÍCIO")</f>
        <v>VINCULADO</v>
      </c>
    </row>
    <row r="264" spans="1:13" hidden="1">
      <c r="A264" t="s">
        <v>836</v>
      </c>
      <c r="B264" s="21">
        <v>46266.754629629628</v>
      </c>
      <c r="C264" s="2">
        <f t="shared" si="8"/>
        <v>46266</v>
      </c>
      <c r="D264" t="str">
        <f t="shared" si="9"/>
        <v>TERÇA-FEIRA</v>
      </c>
      <c r="E264">
        <v>1012</v>
      </c>
      <c r="F264" t="s">
        <v>55</v>
      </c>
      <c r="G264" t="s">
        <v>503</v>
      </c>
      <c r="H264" t="s">
        <v>74</v>
      </c>
      <c r="I264" t="s">
        <v>500</v>
      </c>
      <c r="K264" t="s">
        <v>501</v>
      </c>
      <c r="L264" s="9" t="s">
        <v>820</v>
      </c>
      <c r="M264" t="str">
        <f>IF(G264="FIM",IF(L264="","SEM VÍNCULO",IF(COUNTIF(tblBatidas[Batida ID],L264)=0,"VÍNCULO INVÁLIDO",IF(COUNTIF(tblBatidas[Início vinculado],L264)&gt;1,"VÍNCULO DUPLICADO",IF(E264&lt;&gt;INDEX(tblBatidas[ID],MATCH(L264,tblBatidas[Batida ID],0)),"DIVERGÊNCIA DE ID",IF(H264&lt;&gt;INDEX(tblBatidas[Projeto],MATCH(L264,tblBatidas[Batida ID],0)),"DIVERGÊNCIA DE PROJETO",IF(I264&lt;&gt;INDEX(tblBatidas[Atividade],MATCH(L264,tblBatidas[Batida ID],0)),"DIVERGÊNCIA DE ATIVIDADE",IF(OR(B264&lt;=INDEX(tblBatidas[Data e hora],MATCH(L264,tblBatidas[Batida ID],0)),(B264-INDEX(tblBatidas[Data e hora],MATCH(L264,tblBatidas[Batida ID],0)))*24&gt;16),"HORÁRIO INVÁLIDO","VINCULADO"))))))),"INÍCIO")</f>
        <v>VINCULADO</v>
      </c>
    </row>
    <row r="265" spans="1:13" hidden="1">
      <c r="A265" t="s">
        <v>837</v>
      </c>
      <c r="B265" s="21">
        <v>46266.75513888889</v>
      </c>
      <c r="C265" s="2">
        <f t="shared" si="8"/>
        <v>46266</v>
      </c>
      <c r="D265" t="str">
        <f t="shared" si="9"/>
        <v>TERÇA-FEIRA</v>
      </c>
      <c r="E265">
        <v>1016</v>
      </c>
      <c r="F265" t="s">
        <v>60</v>
      </c>
      <c r="G265" t="s">
        <v>503</v>
      </c>
      <c r="H265" t="s">
        <v>70</v>
      </c>
      <c r="I265" t="s">
        <v>517</v>
      </c>
      <c r="K265" t="s">
        <v>501</v>
      </c>
      <c r="L265" s="9" t="s">
        <v>819</v>
      </c>
      <c r="M265" t="str">
        <f>IF(G265="FIM",IF(L265="","SEM VÍNCULO",IF(COUNTIF(tblBatidas[Batida ID],L265)=0,"VÍNCULO INVÁLIDO",IF(COUNTIF(tblBatidas[Início vinculado],L265)&gt;1,"VÍNCULO DUPLICADO",IF(E265&lt;&gt;INDEX(tblBatidas[ID],MATCH(L265,tblBatidas[Batida ID],0)),"DIVERGÊNCIA DE ID",IF(H265&lt;&gt;INDEX(tblBatidas[Projeto],MATCH(L265,tblBatidas[Batida ID],0)),"DIVERGÊNCIA DE PROJETO",IF(I265&lt;&gt;INDEX(tblBatidas[Atividade],MATCH(L265,tblBatidas[Batida ID],0)),"DIVERGÊNCIA DE ATIVIDADE",IF(OR(B265&lt;=INDEX(tblBatidas[Data e hora],MATCH(L265,tblBatidas[Batida ID],0)),(B265-INDEX(tblBatidas[Data e hora],MATCH(L265,tblBatidas[Batida ID],0)))*24&gt;16),"HORÁRIO INVÁLIDO","VINCULADO"))))))),"INÍCIO")</f>
        <v>VINCULADO</v>
      </c>
    </row>
    <row r="266" spans="1:13" hidden="1">
      <c r="A266" t="s">
        <v>838</v>
      </c>
      <c r="B266" s="21">
        <v>46266.760381944441</v>
      </c>
      <c r="C266" s="2">
        <f t="shared" si="8"/>
        <v>46266</v>
      </c>
      <c r="D266" t="str">
        <f t="shared" si="9"/>
        <v>TERÇA-FEIRA</v>
      </c>
      <c r="E266">
        <v>1011</v>
      </c>
      <c r="F266" t="s">
        <v>54</v>
      </c>
      <c r="G266" t="s">
        <v>503</v>
      </c>
      <c r="H266" t="s">
        <v>86</v>
      </c>
      <c r="I266" t="s">
        <v>517</v>
      </c>
      <c r="K266" t="s">
        <v>501</v>
      </c>
      <c r="L266" s="9"/>
      <c r="M266" t="str">
        <f>IF(G266="FIM",IF(L266="","SEM VÍNCULO",IF(COUNTIF(tblBatidas[Batida ID],L266)=0,"VÍNCULO INVÁLIDO",IF(COUNTIF(tblBatidas[Início vinculado],L266)&gt;1,"VÍNCULO DUPLICADO",IF(E266&lt;&gt;INDEX(tblBatidas[ID],MATCH(L266,tblBatidas[Batida ID],0)),"DIVERGÊNCIA DE ID",IF(H266&lt;&gt;INDEX(tblBatidas[Projeto],MATCH(L266,tblBatidas[Batida ID],0)),"DIVERGÊNCIA DE PROJETO",IF(I266&lt;&gt;INDEX(tblBatidas[Atividade],MATCH(L266,tblBatidas[Batida ID],0)),"DIVERGÊNCIA DE ATIVIDADE",IF(OR(B266&lt;=INDEX(tblBatidas[Data e hora],MATCH(L266,tblBatidas[Batida ID],0)),(B266-INDEX(tblBatidas[Data e hora],MATCH(L266,tblBatidas[Batida ID],0)))*24&gt;16),"HORÁRIO INVÁLIDO","VINCULADO"))))))),"INÍCIO")</f>
        <v>SEM VÍNCULO</v>
      </c>
    </row>
    <row r="267" spans="1:13" hidden="1">
      <c r="A267" t="s">
        <v>839</v>
      </c>
      <c r="B267" s="21">
        <v>46266.761967592596</v>
      </c>
      <c r="C267" s="2">
        <f t="shared" si="8"/>
        <v>46266</v>
      </c>
      <c r="D267" t="str">
        <f t="shared" si="9"/>
        <v>TERÇA-FEIRA</v>
      </c>
      <c r="E267">
        <v>1006</v>
      </c>
      <c r="F267" t="s">
        <v>49</v>
      </c>
      <c r="G267" t="s">
        <v>503</v>
      </c>
      <c r="H267" t="s">
        <v>74</v>
      </c>
      <c r="I267" t="s">
        <v>512</v>
      </c>
      <c r="J267" t="s">
        <v>840</v>
      </c>
      <c r="K267" t="s">
        <v>501</v>
      </c>
      <c r="L267" s="9" t="s">
        <v>821</v>
      </c>
      <c r="M267" t="str">
        <f>IF(G267="FIM",IF(L267="","SEM VÍNCULO",IF(COUNTIF(tblBatidas[Batida ID],L267)=0,"VÍNCULO INVÁLIDO",IF(COUNTIF(tblBatidas[Início vinculado],L267)&gt;1,"VÍNCULO DUPLICADO",IF(E267&lt;&gt;INDEX(tblBatidas[ID],MATCH(L267,tblBatidas[Batida ID],0)),"DIVERGÊNCIA DE ID",IF(H267&lt;&gt;INDEX(tblBatidas[Projeto],MATCH(L267,tblBatidas[Batida ID],0)),"DIVERGÊNCIA DE PROJETO",IF(I267&lt;&gt;INDEX(tblBatidas[Atividade],MATCH(L267,tblBatidas[Batida ID],0)),"DIVERGÊNCIA DE ATIVIDADE",IF(OR(B267&lt;=INDEX(tblBatidas[Data e hora],MATCH(L267,tblBatidas[Batida ID],0)),(B267-INDEX(tblBatidas[Data e hora],MATCH(L267,tblBatidas[Batida ID],0)))*24&gt;16),"HORÁRIO INVÁLIDO","VINCULADO"))))))),"INÍCIO")</f>
        <v>VINCULADO</v>
      </c>
    </row>
    <row r="268" spans="1:13" hidden="1">
      <c r="A268" t="s">
        <v>841</v>
      </c>
      <c r="B268" s="21">
        <v>46266.768761574072</v>
      </c>
      <c r="C268" s="2">
        <f t="shared" si="8"/>
        <v>46266</v>
      </c>
      <c r="D268" t="str">
        <f t="shared" si="9"/>
        <v>TERÇA-FEIRA</v>
      </c>
      <c r="E268">
        <v>1001</v>
      </c>
      <c r="F268" t="s">
        <v>43</v>
      </c>
      <c r="G268" t="s">
        <v>503</v>
      </c>
      <c r="H268" t="s">
        <v>72</v>
      </c>
      <c r="I268" t="s">
        <v>500</v>
      </c>
      <c r="J268" t="s">
        <v>842</v>
      </c>
      <c r="K268" t="s">
        <v>501</v>
      </c>
      <c r="L268" s="9" t="s">
        <v>827</v>
      </c>
      <c r="M268" t="str">
        <f>IF(G268="FIM",IF(L268="","SEM VÍNCULO",IF(COUNTIF(tblBatidas[Batida ID],L268)=0,"VÍNCULO INVÁLIDO",IF(COUNTIF(tblBatidas[Início vinculado],L268)&gt;1,"VÍNCULO DUPLICADO",IF(E268&lt;&gt;INDEX(tblBatidas[ID],MATCH(L268,tblBatidas[Batida ID],0)),"DIVERGÊNCIA DE ID",IF(H268&lt;&gt;INDEX(tblBatidas[Projeto],MATCH(L268,tblBatidas[Batida ID],0)),"DIVERGÊNCIA DE PROJETO",IF(I268&lt;&gt;INDEX(tblBatidas[Atividade],MATCH(L268,tblBatidas[Batida ID],0)),"DIVERGÊNCIA DE ATIVIDADE",IF(OR(B268&lt;=INDEX(tblBatidas[Data e hora],MATCH(L268,tblBatidas[Batida ID],0)),(B268-INDEX(tblBatidas[Data e hora],MATCH(L268,tblBatidas[Batida ID],0)))*24&gt;16),"HORÁRIO INVÁLIDO","VINCULADO"))))))),"INÍCIO")</f>
        <v>VINCULADO</v>
      </c>
    </row>
    <row r="269" spans="1:13" hidden="1">
      <c r="A269" t="s">
        <v>843</v>
      </c>
      <c r="B269" s="21">
        <v>46266.799976851849</v>
      </c>
      <c r="C269" s="2">
        <f t="shared" si="8"/>
        <v>46266</v>
      </c>
      <c r="D269" t="str">
        <f t="shared" si="9"/>
        <v>TERÇA-FEIRA</v>
      </c>
      <c r="E269">
        <v>1004</v>
      </c>
      <c r="F269" t="s">
        <v>47</v>
      </c>
      <c r="G269" t="s">
        <v>503</v>
      </c>
      <c r="H269" t="s">
        <v>74</v>
      </c>
      <c r="I269" t="s">
        <v>538</v>
      </c>
      <c r="K269" t="s">
        <v>501</v>
      </c>
      <c r="L269" s="9" t="s">
        <v>825</v>
      </c>
      <c r="M269" t="str">
        <f>IF(G269="FIM",IF(L269="","SEM VÍNCULO",IF(COUNTIF(tblBatidas[Batida ID],L269)=0,"VÍNCULO INVÁLIDO",IF(COUNTIF(tblBatidas[Início vinculado],L269)&gt;1,"VÍNCULO DUPLICADO",IF(E269&lt;&gt;INDEX(tblBatidas[ID],MATCH(L269,tblBatidas[Batida ID],0)),"DIVERGÊNCIA DE ID",IF(H269&lt;&gt;INDEX(tblBatidas[Projeto],MATCH(L269,tblBatidas[Batida ID],0)),"DIVERGÊNCIA DE PROJETO",IF(I269&lt;&gt;INDEX(tblBatidas[Atividade],MATCH(L269,tblBatidas[Batida ID],0)),"DIVERGÊNCIA DE ATIVIDADE",IF(OR(B269&lt;=INDEX(tblBatidas[Data e hora],MATCH(L269,tblBatidas[Batida ID],0)),(B269-INDEX(tblBatidas[Data e hora],MATCH(L269,tblBatidas[Batida ID],0)))*24&gt;16),"HORÁRIO INVÁLIDO","VINCULADO"))))))),"INÍCIO")</f>
        <v>VINCULADO</v>
      </c>
    </row>
    <row r="270" spans="1:13" hidden="1">
      <c r="A270" t="s">
        <v>844</v>
      </c>
      <c r="B270" s="21">
        <v>46266.865081018521</v>
      </c>
      <c r="C270" s="2">
        <f t="shared" si="8"/>
        <v>46266</v>
      </c>
      <c r="D270" t="str">
        <f t="shared" si="9"/>
        <v>TERÇA-FEIRA</v>
      </c>
      <c r="E270">
        <v>1004</v>
      </c>
      <c r="F270" t="s">
        <v>47</v>
      </c>
      <c r="G270" t="s">
        <v>499</v>
      </c>
      <c r="H270" t="s">
        <v>72</v>
      </c>
      <c r="I270" t="s">
        <v>538</v>
      </c>
      <c r="J270" t="s">
        <v>624</v>
      </c>
      <c r="K270" t="s">
        <v>501</v>
      </c>
      <c r="L270" s="9"/>
      <c r="M270" t="str">
        <f>IF(G270="FIM",IF(L270="","SEM VÍNCULO",IF(COUNTIF(tblBatidas[Batida ID],L270)=0,"VÍNCULO INVÁLIDO",IF(COUNTIF(tblBatidas[Início vinculado],L270)&gt;1,"VÍNCULO DUPLICADO",IF(E270&lt;&gt;INDEX(tblBatidas[ID],MATCH(L270,tblBatidas[Batida ID],0)),"DIVERGÊNCIA DE ID",IF(H270&lt;&gt;INDEX(tblBatidas[Projeto],MATCH(L270,tblBatidas[Batida ID],0)),"DIVERGÊNCIA DE PROJETO",IF(I270&lt;&gt;INDEX(tblBatidas[Atividade],MATCH(L270,tblBatidas[Batida ID],0)),"DIVERGÊNCIA DE ATIVIDADE",IF(OR(B270&lt;=INDEX(tblBatidas[Data e hora],MATCH(L270,tblBatidas[Batida ID],0)),(B270-INDEX(tblBatidas[Data e hora],MATCH(L270,tblBatidas[Batida ID],0)))*24&gt;16),"HORÁRIO INVÁLIDO","VINCULADO"))))))),"INÍCIO")</f>
        <v>INÍCIO</v>
      </c>
    </row>
    <row r="271" spans="1:13" hidden="1">
      <c r="A271" t="s">
        <v>845</v>
      </c>
      <c r="B271" s="21">
        <v>46266.926087962966</v>
      </c>
      <c r="C271" s="2">
        <f t="shared" si="8"/>
        <v>46266</v>
      </c>
      <c r="D271" t="str">
        <f t="shared" si="9"/>
        <v>TERÇA-FEIRA</v>
      </c>
      <c r="E271">
        <v>1004</v>
      </c>
      <c r="F271" t="s">
        <v>47</v>
      </c>
      <c r="G271" t="s">
        <v>503</v>
      </c>
      <c r="H271" t="s">
        <v>72</v>
      </c>
      <c r="I271" t="s">
        <v>538</v>
      </c>
      <c r="J271" t="s">
        <v>846</v>
      </c>
      <c r="K271" t="s">
        <v>501</v>
      </c>
      <c r="L271" s="9" t="s">
        <v>844</v>
      </c>
      <c r="M271" t="str">
        <f>IF(G271="FIM",IF(L271="","SEM VÍNCULO",IF(COUNTIF(tblBatidas[Batida ID],L271)=0,"VÍNCULO INVÁLIDO",IF(COUNTIF(tblBatidas[Início vinculado],L271)&gt;1,"VÍNCULO DUPLICADO",IF(E271&lt;&gt;INDEX(tblBatidas[ID],MATCH(L271,tblBatidas[Batida ID],0)),"DIVERGÊNCIA DE ID",IF(H271&lt;&gt;INDEX(tblBatidas[Projeto],MATCH(L271,tblBatidas[Batida ID],0)),"DIVERGÊNCIA DE PROJETO",IF(I271&lt;&gt;INDEX(tblBatidas[Atividade],MATCH(L271,tblBatidas[Batida ID],0)),"DIVERGÊNCIA DE ATIVIDADE",IF(OR(B271&lt;=INDEX(tblBatidas[Data e hora],MATCH(L271,tblBatidas[Batida ID],0)),(B271-INDEX(tblBatidas[Data e hora],MATCH(L271,tblBatidas[Batida ID],0)))*24&gt;16),"HORÁRIO INVÁLIDO","VINCULADO"))))))),"INÍCIO")</f>
        <v>VINCULADO</v>
      </c>
    </row>
    <row r="272" spans="1:13" hidden="1">
      <c r="A272" t="s">
        <v>847</v>
      </c>
      <c r="B272" s="21">
        <v>46267.331712962965</v>
      </c>
      <c r="C272" s="2">
        <f t="shared" si="8"/>
        <v>46267</v>
      </c>
      <c r="D272" t="str">
        <f t="shared" si="9"/>
        <v>QUARTA-FEIRA</v>
      </c>
      <c r="E272">
        <v>1003</v>
      </c>
      <c r="F272" t="s">
        <v>46</v>
      </c>
      <c r="G272" t="s">
        <v>499</v>
      </c>
      <c r="H272" t="s">
        <v>74</v>
      </c>
      <c r="I272" t="s">
        <v>517</v>
      </c>
      <c r="J272" t="s">
        <v>848</v>
      </c>
      <c r="K272" t="s">
        <v>501</v>
      </c>
      <c r="L272" s="9"/>
      <c r="M272" t="str">
        <f>IF(G272="FIM",IF(L272="","SEM VÍNCULO",IF(COUNTIF(tblBatidas[Batida ID],L272)=0,"VÍNCULO INVÁLIDO",IF(COUNTIF(tblBatidas[Início vinculado],L272)&gt;1,"VÍNCULO DUPLICADO",IF(E272&lt;&gt;INDEX(tblBatidas[ID],MATCH(L272,tblBatidas[Batida ID],0)),"DIVERGÊNCIA DE ID",IF(H272&lt;&gt;INDEX(tblBatidas[Projeto],MATCH(L272,tblBatidas[Batida ID],0)),"DIVERGÊNCIA DE PROJETO",IF(I272&lt;&gt;INDEX(tblBatidas[Atividade],MATCH(L272,tblBatidas[Batida ID],0)),"DIVERGÊNCIA DE ATIVIDADE",IF(OR(B272&lt;=INDEX(tblBatidas[Data e hora],MATCH(L272,tblBatidas[Batida ID],0)),(B272-INDEX(tblBatidas[Data e hora],MATCH(L272,tblBatidas[Batida ID],0)))*24&gt;16),"HORÁRIO INVÁLIDO","VINCULADO"))))))),"INÍCIO")</f>
        <v>INÍCIO</v>
      </c>
    </row>
    <row r="273" spans="1:13" hidden="1">
      <c r="A273" t="s">
        <v>849</v>
      </c>
      <c r="B273" s="21">
        <v>46267.345381944448</v>
      </c>
      <c r="C273" s="2">
        <f t="shared" si="8"/>
        <v>46267</v>
      </c>
      <c r="D273" t="str">
        <f t="shared" si="9"/>
        <v>QUARTA-FEIRA</v>
      </c>
      <c r="E273">
        <v>1011</v>
      </c>
      <c r="F273" t="s">
        <v>54</v>
      </c>
      <c r="G273" t="s">
        <v>499</v>
      </c>
      <c r="H273" t="s">
        <v>76</v>
      </c>
      <c r="I273" t="s">
        <v>517</v>
      </c>
      <c r="K273" t="s">
        <v>501</v>
      </c>
      <c r="L273" s="9"/>
      <c r="M273" t="str">
        <f>IF(G273="FIM",IF(L273="","SEM VÍNCULO",IF(COUNTIF(tblBatidas[Batida ID],L273)=0,"VÍNCULO INVÁLIDO",IF(COUNTIF(tblBatidas[Início vinculado],L273)&gt;1,"VÍNCULO DUPLICADO",IF(E273&lt;&gt;INDEX(tblBatidas[ID],MATCH(L273,tblBatidas[Batida ID],0)),"DIVERGÊNCIA DE ID",IF(H273&lt;&gt;INDEX(tblBatidas[Projeto],MATCH(L273,tblBatidas[Batida ID],0)),"DIVERGÊNCIA DE PROJETO",IF(I273&lt;&gt;INDEX(tblBatidas[Atividade],MATCH(L273,tblBatidas[Batida ID],0)),"DIVERGÊNCIA DE ATIVIDADE",IF(OR(B273&lt;=INDEX(tblBatidas[Data e hora],MATCH(L273,tblBatidas[Batida ID],0)),(B273-INDEX(tblBatidas[Data e hora],MATCH(L273,tblBatidas[Batida ID],0)))*24&gt;16),"HORÁRIO INVÁLIDO","VINCULADO"))))))),"INÍCIO")</f>
        <v>INÍCIO</v>
      </c>
    </row>
    <row r="274" spans="1:13" hidden="1">
      <c r="A274" t="s">
        <v>850</v>
      </c>
      <c r="B274" s="21">
        <v>46267.364432870374</v>
      </c>
      <c r="C274" s="2">
        <f t="shared" si="8"/>
        <v>46267</v>
      </c>
      <c r="D274" t="str">
        <f t="shared" si="9"/>
        <v>QUARTA-FEIRA</v>
      </c>
      <c r="E274">
        <v>1001</v>
      </c>
      <c r="F274" t="s">
        <v>43</v>
      </c>
      <c r="G274" t="s">
        <v>499</v>
      </c>
      <c r="H274" t="s">
        <v>72</v>
      </c>
      <c r="I274" t="s">
        <v>500</v>
      </c>
      <c r="J274" t="s">
        <v>851</v>
      </c>
      <c r="K274" t="s">
        <v>501</v>
      </c>
      <c r="L274" s="9"/>
      <c r="M274" t="str">
        <f>IF(G274="FIM",IF(L274="","SEM VÍNCULO",IF(COUNTIF(tblBatidas[Batida ID],L274)=0,"VÍNCULO INVÁLIDO",IF(COUNTIF(tblBatidas[Início vinculado],L274)&gt;1,"VÍNCULO DUPLICADO",IF(E274&lt;&gt;INDEX(tblBatidas[ID],MATCH(L274,tblBatidas[Batida ID],0)),"DIVERGÊNCIA DE ID",IF(H274&lt;&gt;INDEX(tblBatidas[Projeto],MATCH(L274,tblBatidas[Batida ID],0)),"DIVERGÊNCIA DE PROJETO",IF(I274&lt;&gt;INDEX(tblBatidas[Atividade],MATCH(L274,tblBatidas[Batida ID],0)),"DIVERGÊNCIA DE ATIVIDADE",IF(OR(B274&lt;=INDEX(tblBatidas[Data e hora],MATCH(L274,tblBatidas[Batida ID],0)),(B274-INDEX(tblBatidas[Data e hora],MATCH(L274,tblBatidas[Batida ID],0)))*24&gt;16),"HORÁRIO INVÁLIDO","VINCULADO"))))))),"INÍCIO")</f>
        <v>INÍCIO</v>
      </c>
    </row>
    <row r="275" spans="1:13" hidden="1">
      <c r="A275" t="s">
        <v>852</v>
      </c>
      <c r="B275" s="21">
        <v>46267.371516203704</v>
      </c>
      <c r="C275" s="2">
        <f t="shared" si="8"/>
        <v>46267</v>
      </c>
      <c r="D275" t="str">
        <f t="shared" si="9"/>
        <v>QUARTA-FEIRA</v>
      </c>
      <c r="E275">
        <v>1015</v>
      </c>
      <c r="F275" t="s">
        <v>59</v>
      </c>
      <c r="G275" t="s">
        <v>499</v>
      </c>
      <c r="H275" t="s">
        <v>84</v>
      </c>
      <c r="I275" t="s">
        <v>84</v>
      </c>
      <c r="K275" t="s">
        <v>501</v>
      </c>
      <c r="L275" s="9"/>
      <c r="M275" t="str">
        <f>IF(G275="FIM",IF(L275="","SEM VÍNCULO",IF(COUNTIF(tblBatidas[Batida ID],L275)=0,"VÍNCULO INVÁLIDO",IF(COUNTIF(tblBatidas[Início vinculado],L275)&gt;1,"VÍNCULO DUPLICADO",IF(E275&lt;&gt;INDEX(tblBatidas[ID],MATCH(L275,tblBatidas[Batida ID],0)),"DIVERGÊNCIA DE ID",IF(H275&lt;&gt;INDEX(tblBatidas[Projeto],MATCH(L275,tblBatidas[Batida ID],0)),"DIVERGÊNCIA DE PROJETO",IF(I275&lt;&gt;INDEX(tblBatidas[Atividade],MATCH(L275,tblBatidas[Batida ID],0)),"DIVERGÊNCIA DE ATIVIDADE",IF(OR(B275&lt;=INDEX(tblBatidas[Data e hora],MATCH(L275,tblBatidas[Batida ID],0)),(B275-INDEX(tblBatidas[Data e hora],MATCH(L275,tblBatidas[Batida ID],0)))*24&gt;16),"HORÁRIO INVÁLIDO","VINCULADO"))))))),"INÍCIO")</f>
        <v>INÍCIO</v>
      </c>
    </row>
    <row r="276" spans="1:13">
      <c r="A276" t="s">
        <v>853</v>
      </c>
      <c r="B276" s="21">
        <v>46267.37773148148</v>
      </c>
      <c r="C276" s="2">
        <f t="shared" si="8"/>
        <v>46267</v>
      </c>
      <c r="D276" t="str">
        <f t="shared" si="9"/>
        <v>QUARTA-FEIRA</v>
      </c>
      <c r="E276">
        <v>1002</v>
      </c>
      <c r="F276" t="s">
        <v>45</v>
      </c>
      <c r="G276" t="s">
        <v>499</v>
      </c>
      <c r="H276" t="s">
        <v>70</v>
      </c>
      <c r="I276" t="s">
        <v>517</v>
      </c>
      <c r="K276" t="s">
        <v>501</v>
      </c>
      <c r="L276" s="9"/>
      <c r="M276" t="str">
        <f>IF(G276="FIM",IF(L276="","SEM VÍNCULO",IF(COUNTIF(tblBatidas[Batida ID],L276)=0,"VÍNCULO INVÁLIDO",IF(COUNTIF(tblBatidas[Início vinculado],L276)&gt;1,"VÍNCULO DUPLICADO",IF(E276&lt;&gt;INDEX(tblBatidas[ID],MATCH(L276,tblBatidas[Batida ID],0)),"DIVERGÊNCIA DE ID",IF(H276&lt;&gt;INDEX(tblBatidas[Projeto],MATCH(L276,tblBatidas[Batida ID],0)),"DIVERGÊNCIA DE PROJETO",IF(I276&lt;&gt;INDEX(tblBatidas[Atividade],MATCH(L276,tblBatidas[Batida ID],0)),"DIVERGÊNCIA DE ATIVIDADE",IF(OR(B276&lt;=INDEX(tblBatidas[Data e hora],MATCH(L276,tblBatidas[Batida ID],0)),(B276-INDEX(tblBatidas[Data e hora],MATCH(L276,tblBatidas[Batida ID],0)))*24&gt;16),"HORÁRIO INVÁLIDO","VINCULADO"))))))),"INÍCIO")</f>
        <v>INÍCIO</v>
      </c>
    </row>
    <row r="277" spans="1:13" hidden="1">
      <c r="A277" t="s">
        <v>854</v>
      </c>
      <c r="B277" s="21">
        <v>46267.385717592595</v>
      </c>
      <c r="C277" s="2">
        <f t="shared" si="8"/>
        <v>46267</v>
      </c>
      <c r="D277" t="str">
        <f t="shared" si="9"/>
        <v>QUARTA-FEIRA</v>
      </c>
      <c r="E277">
        <v>1013</v>
      </c>
      <c r="F277" t="s">
        <v>57</v>
      </c>
      <c r="G277" t="s">
        <v>499</v>
      </c>
      <c r="H277" t="s">
        <v>74</v>
      </c>
      <c r="I277" t="s">
        <v>517</v>
      </c>
      <c r="K277" t="s">
        <v>501</v>
      </c>
      <c r="L277" s="9"/>
      <c r="M277" t="str">
        <f>IF(G277="FIM",IF(L277="","SEM VÍNCULO",IF(COUNTIF(tblBatidas[Batida ID],L277)=0,"VÍNCULO INVÁLIDO",IF(COUNTIF(tblBatidas[Início vinculado],L277)&gt;1,"VÍNCULO DUPLICADO",IF(E277&lt;&gt;INDEX(tblBatidas[ID],MATCH(L277,tblBatidas[Batida ID],0)),"DIVERGÊNCIA DE ID",IF(H277&lt;&gt;INDEX(tblBatidas[Projeto],MATCH(L277,tblBatidas[Batida ID],0)),"DIVERGÊNCIA DE PROJETO",IF(I277&lt;&gt;INDEX(tblBatidas[Atividade],MATCH(L277,tblBatidas[Batida ID],0)),"DIVERGÊNCIA DE ATIVIDADE",IF(OR(B277&lt;=INDEX(tblBatidas[Data e hora],MATCH(L277,tblBatidas[Batida ID],0)),(B277-INDEX(tblBatidas[Data e hora],MATCH(L277,tblBatidas[Batida ID],0)))*24&gt;16),"HORÁRIO INVÁLIDO","VINCULADO"))))))),"INÍCIO")</f>
        <v>INÍCIO</v>
      </c>
    </row>
    <row r="278" spans="1:13" hidden="1">
      <c r="A278" t="s">
        <v>855</v>
      </c>
      <c r="B278" s="21">
        <v>46267.38994212963</v>
      </c>
      <c r="C278" s="2">
        <f t="shared" si="8"/>
        <v>46267</v>
      </c>
      <c r="D278" t="str">
        <f t="shared" si="9"/>
        <v>QUARTA-FEIRA</v>
      </c>
      <c r="E278">
        <v>1012</v>
      </c>
      <c r="F278" t="s">
        <v>55</v>
      </c>
      <c r="G278" t="s">
        <v>499</v>
      </c>
      <c r="H278" t="s">
        <v>74</v>
      </c>
      <c r="I278" t="s">
        <v>500</v>
      </c>
      <c r="K278" t="s">
        <v>501</v>
      </c>
      <c r="L278" s="9"/>
      <c r="M278" t="str">
        <f>IF(G278="FIM",IF(L278="","SEM VÍNCULO",IF(COUNTIF(tblBatidas[Batida ID],L278)=0,"VÍNCULO INVÁLIDO",IF(COUNTIF(tblBatidas[Início vinculado],L278)&gt;1,"VÍNCULO DUPLICADO",IF(E278&lt;&gt;INDEX(tblBatidas[ID],MATCH(L278,tblBatidas[Batida ID],0)),"DIVERGÊNCIA DE ID",IF(H278&lt;&gt;INDEX(tblBatidas[Projeto],MATCH(L278,tblBatidas[Batida ID],0)),"DIVERGÊNCIA DE PROJETO",IF(I278&lt;&gt;INDEX(tblBatidas[Atividade],MATCH(L278,tblBatidas[Batida ID],0)),"DIVERGÊNCIA DE ATIVIDADE",IF(OR(B278&lt;=INDEX(tblBatidas[Data e hora],MATCH(L278,tblBatidas[Batida ID],0)),(B278-INDEX(tblBatidas[Data e hora],MATCH(L278,tblBatidas[Batida ID],0)))*24&gt;16),"HORÁRIO INVÁLIDO","VINCULADO"))))))),"INÍCIO")</f>
        <v>INÍCIO</v>
      </c>
    </row>
    <row r="279" spans="1:13" hidden="1">
      <c r="A279" t="s">
        <v>856</v>
      </c>
      <c r="B279" s="21">
        <v>46267.391250000001</v>
      </c>
      <c r="C279" s="2">
        <f t="shared" si="8"/>
        <v>46267</v>
      </c>
      <c r="D279" t="str">
        <f t="shared" si="9"/>
        <v>QUARTA-FEIRA</v>
      </c>
      <c r="E279">
        <v>1016</v>
      </c>
      <c r="F279" t="s">
        <v>60</v>
      </c>
      <c r="G279" t="s">
        <v>499</v>
      </c>
      <c r="H279" t="s">
        <v>70</v>
      </c>
      <c r="I279" t="s">
        <v>517</v>
      </c>
      <c r="K279" t="s">
        <v>501</v>
      </c>
      <c r="L279" s="9"/>
      <c r="M279" t="str">
        <f>IF(G279="FIM",IF(L279="","SEM VÍNCULO",IF(COUNTIF(tblBatidas[Batida ID],L279)=0,"VÍNCULO INVÁLIDO",IF(COUNTIF(tblBatidas[Início vinculado],L279)&gt;1,"VÍNCULO DUPLICADO",IF(E279&lt;&gt;INDEX(tblBatidas[ID],MATCH(L279,tblBatidas[Batida ID],0)),"DIVERGÊNCIA DE ID",IF(H279&lt;&gt;INDEX(tblBatidas[Projeto],MATCH(L279,tblBatidas[Batida ID],0)),"DIVERGÊNCIA DE PROJETO",IF(I279&lt;&gt;INDEX(tblBatidas[Atividade],MATCH(L279,tblBatidas[Batida ID],0)),"DIVERGÊNCIA DE ATIVIDADE",IF(OR(B279&lt;=INDEX(tblBatidas[Data e hora],MATCH(L279,tblBatidas[Batida ID],0)),(B279-INDEX(tblBatidas[Data e hora],MATCH(L279,tblBatidas[Batida ID],0)))*24&gt;16),"HORÁRIO INVÁLIDO","VINCULADO"))))))),"INÍCIO")</f>
        <v>INÍCIO</v>
      </c>
    </row>
    <row r="280" spans="1:13" hidden="1">
      <c r="A280" t="s">
        <v>857</v>
      </c>
      <c r="B280" s="21">
        <v>46267.394317129627</v>
      </c>
      <c r="C280" s="2">
        <f t="shared" si="8"/>
        <v>46267</v>
      </c>
      <c r="D280" t="str">
        <f t="shared" si="9"/>
        <v>QUARTA-FEIRA</v>
      </c>
      <c r="E280">
        <v>1004</v>
      </c>
      <c r="F280" t="s">
        <v>47</v>
      </c>
      <c r="G280" t="s">
        <v>499</v>
      </c>
      <c r="H280" t="s">
        <v>74</v>
      </c>
      <c r="I280" t="s">
        <v>538</v>
      </c>
      <c r="K280" t="s">
        <v>501</v>
      </c>
      <c r="L280" s="9"/>
      <c r="M280" t="str">
        <f>IF(G280="FIM",IF(L280="","SEM VÍNCULO",IF(COUNTIF(tblBatidas[Batida ID],L280)=0,"VÍNCULO INVÁLIDO",IF(COUNTIF(tblBatidas[Início vinculado],L280)&gt;1,"VÍNCULO DUPLICADO",IF(E280&lt;&gt;INDEX(tblBatidas[ID],MATCH(L280,tblBatidas[Batida ID],0)),"DIVERGÊNCIA DE ID",IF(H280&lt;&gt;INDEX(tblBatidas[Projeto],MATCH(L280,tblBatidas[Batida ID],0)),"DIVERGÊNCIA DE PROJETO",IF(I280&lt;&gt;INDEX(tblBatidas[Atividade],MATCH(L280,tblBatidas[Batida ID],0)),"DIVERGÊNCIA DE ATIVIDADE",IF(OR(B280&lt;=INDEX(tblBatidas[Data e hora],MATCH(L280,tblBatidas[Batida ID],0)),(B280-INDEX(tblBatidas[Data e hora],MATCH(L280,tblBatidas[Batida ID],0)))*24&gt;16),"HORÁRIO INVÁLIDO","VINCULADO"))))))),"INÍCIO")</f>
        <v>INÍCIO</v>
      </c>
    </row>
    <row r="281" spans="1:13" hidden="1">
      <c r="A281" t="s">
        <v>858</v>
      </c>
      <c r="B281" s="21">
        <v>46267.40797453704</v>
      </c>
      <c r="C281" s="2">
        <f t="shared" si="8"/>
        <v>46267</v>
      </c>
      <c r="D281" t="str">
        <f t="shared" si="9"/>
        <v>QUARTA-FEIRA</v>
      </c>
      <c r="E281">
        <v>1014</v>
      </c>
      <c r="F281" t="s">
        <v>58</v>
      </c>
      <c r="G281" t="s">
        <v>499</v>
      </c>
      <c r="H281" t="s">
        <v>72</v>
      </c>
      <c r="I281" t="s">
        <v>512</v>
      </c>
      <c r="K281" t="s">
        <v>501</v>
      </c>
      <c r="L281" s="9"/>
      <c r="M281" t="str">
        <f>IF(G281="FIM",IF(L281="","SEM VÍNCULO",IF(COUNTIF(tblBatidas[Batida ID],L281)=0,"VÍNCULO INVÁLIDO",IF(COUNTIF(tblBatidas[Início vinculado],L281)&gt;1,"VÍNCULO DUPLICADO",IF(E281&lt;&gt;INDEX(tblBatidas[ID],MATCH(L281,tblBatidas[Batida ID],0)),"DIVERGÊNCIA DE ID",IF(H281&lt;&gt;INDEX(tblBatidas[Projeto],MATCH(L281,tblBatidas[Batida ID],0)),"DIVERGÊNCIA DE PROJETO",IF(I281&lt;&gt;INDEX(tblBatidas[Atividade],MATCH(L281,tblBatidas[Batida ID],0)),"DIVERGÊNCIA DE ATIVIDADE",IF(OR(B281&lt;=INDEX(tblBatidas[Data e hora],MATCH(L281,tblBatidas[Batida ID],0)),(B281-INDEX(tblBatidas[Data e hora],MATCH(L281,tblBatidas[Batida ID],0)))*24&gt;16),"HORÁRIO INVÁLIDO","VINCULADO"))))))),"INÍCIO")</f>
        <v>INÍCIO</v>
      </c>
    </row>
    <row r="282" spans="1:13" hidden="1">
      <c r="A282" t="s">
        <v>859</v>
      </c>
      <c r="B282" s="21">
        <v>46267.500208333331</v>
      </c>
      <c r="C282" s="2">
        <f t="shared" si="8"/>
        <v>46267</v>
      </c>
      <c r="D282" t="str">
        <f t="shared" si="9"/>
        <v>QUARTA-FEIRA</v>
      </c>
      <c r="E282">
        <v>1013</v>
      </c>
      <c r="F282" t="s">
        <v>57</v>
      </c>
      <c r="G282" t="s">
        <v>503</v>
      </c>
      <c r="H282" t="s">
        <v>74</v>
      </c>
      <c r="I282" t="s">
        <v>517</v>
      </c>
      <c r="K282" t="s">
        <v>501</v>
      </c>
      <c r="L282" s="9" t="s">
        <v>854</v>
      </c>
      <c r="M282" t="str">
        <f>IF(G282="FIM",IF(L282="","SEM VÍNCULO",IF(COUNTIF(tblBatidas[Batida ID],L282)=0,"VÍNCULO INVÁLIDO",IF(COUNTIF(tblBatidas[Início vinculado],L282)&gt;1,"VÍNCULO DUPLICADO",IF(E282&lt;&gt;INDEX(tblBatidas[ID],MATCH(L282,tblBatidas[Batida ID],0)),"DIVERGÊNCIA DE ID",IF(H282&lt;&gt;INDEX(tblBatidas[Projeto],MATCH(L282,tblBatidas[Batida ID],0)),"DIVERGÊNCIA DE PROJETO",IF(I282&lt;&gt;INDEX(tblBatidas[Atividade],MATCH(L282,tblBatidas[Batida ID],0)),"DIVERGÊNCIA DE ATIVIDADE",IF(OR(B282&lt;=INDEX(tblBatidas[Data e hora],MATCH(L282,tblBatidas[Batida ID],0)),(B282-INDEX(tblBatidas[Data e hora],MATCH(L282,tblBatidas[Batida ID],0)))*24&gt;16),"HORÁRIO INVÁLIDO","VINCULADO"))))))),"INÍCIO")</f>
        <v>VINCULADO</v>
      </c>
    </row>
    <row r="283" spans="1:13" hidden="1">
      <c r="A283" t="s">
        <v>860</v>
      </c>
      <c r="B283" s="21">
        <v>46267.520636574074</v>
      </c>
      <c r="C283" s="2">
        <f t="shared" si="8"/>
        <v>46267</v>
      </c>
      <c r="D283" t="str">
        <f t="shared" si="9"/>
        <v>QUARTA-FEIRA</v>
      </c>
      <c r="E283">
        <v>1014</v>
      </c>
      <c r="F283" t="s">
        <v>58</v>
      </c>
      <c r="G283" t="s">
        <v>503</v>
      </c>
      <c r="H283" t="s">
        <v>72</v>
      </c>
      <c r="I283" t="s">
        <v>512</v>
      </c>
      <c r="K283" t="s">
        <v>501</v>
      </c>
      <c r="L283" s="9" t="s">
        <v>858</v>
      </c>
      <c r="M283" t="str">
        <f>IF(G283="FIM",IF(L283="","SEM VÍNCULO",IF(COUNTIF(tblBatidas[Batida ID],L283)=0,"VÍNCULO INVÁLIDO",IF(COUNTIF(tblBatidas[Início vinculado],L283)&gt;1,"VÍNCULO DUPLICADO",IF(E283&lt;&gt;INDEX(tblBatidas[ID],MATCH(L283,tblBatidas[Batida ID],0)),"DIVERGÊNCIA DE ID",IF(H283&lt;&gt;INDEX(tblBatidas[Projeto],MATCH(L283,tblBatidas[Batida ID],0)),"DIVERGÊNCIA DE PROJETO",IF(I283&lt;&gt;INDEX(tblBatidas[Atividade],MATCH(L283,tblBatidas[Batida ID],0)),"DIVERGÊNCIA DE ATIVIDADE",IF(OR(B283&lt;=INDEX(tblBatidas[Data e hora],MATCH(L283,tblBatidas[Batida ID],0)),(B283-INDEX(tblBatidas[Data e hora],MATCH(L283,tblBatidas[Batida ID],0)))*24&gt;16),"HORÁRIO INVÁLIDO","VINCULADO"))))))),"INÍCIO")</f>
        <v>VINCULADO</v>
      </c>
    </row>
    <row r="284" spans="1:13" hidden="1">
      <c r="A284" t="s">
        <v>861</v>
      </c>
      <c r="B284" s="21">
        <v>46267.520972222221</v>
      </c>
      <c r="C284" s="2">
        <f t="shared" si="8"/>
        <v>46267</v>
      </c>
      <c r="D284" t="str">
        <f t="shared" si="9"/>
        <v>QUARTA-FEIRA</v>
      </c>
      <c r="E284">
        <v>1016</v>
      </c>
      <c r="F284" t="s">
        <v>60</v>
      </c>
      <c r="G284" t="s">
        <v>503</v>
      </c>
      <c r="H284" t="s">
        <v>70</v>
      </c>
      <c r="I284" t="s">
        <v>517</v>
      </c>
      <c r="K284" t="s">
        <v>501</v>
      </c>
      <c r="L284" s="9" t="s">
        <v>856</v>
      </c>
      <c r="M284" t="str">
        <f>IF(G284="FIM",IF(L284="","SEM VÍNCULO",IF(COUNTIF(tblBatidas[Batida ID],L284)=0,"VÍNCULO INVÁLIDO",IF(COUNTIF(tblBatidas[Início vinculado],L284)&gt;1,"VÍNCULO DUPLICADO",IF(E284&lt;&gt;INDEX(tblBatidas[ID],MATCH(L284,tblBatidas[Batida ID],0)),"DIVERGÊNCIA DE ID",IF(H284&lt;&gt;INDEX(tblBatidas[Projeto],MATCH(L284,tblBatidas[Batida ID],0)),"DIVERGÊNCIA DE PROJETO",IF(I284&lt;&gt;INDEX(tblBatidas[Atividade],MATCH(L284,tblBatidas[Batida ID],0)),"DIVERGÊNCIA DE ATIVIDADE",IF(OR(B284&lt;=INDEX(tblBatidas[Data e hora],MATCH(L284,tblBatidas[Batida ID],0)),(B284-INDEX(tblBatidas[Data e hora],MATCH(L284,tblBatidas[Batida ID],0)))*24&gt;16),"HORÁRIO INVÁLIDO","VINCULADO"))))))),"INÍCIO")</f>
        <v>VINCULADO</v>
      </c>
    </row>
    <row r="285" spans="1:13" hidden="1">
      <c r="A285" t="s">
        <v>862</v>
      </c>
      <c r="B285" s="21">
        <v>46267.524583333332</v>
      </c>
      <c r="C285" s="2">
        <f t="shared" si="8"/>
        <v>46267</v>
      </c>
      <c r="D285" t="str">
        <f t="shared" si="9"/>
        <v>QUARTA-FEIRA</v>
      </c>
      <c r="E285">
        <v>1011</v>
      </c>
      <c r="F285" t="s">
        <v>54</v>
      </c>
      <c r="G285" t="s">
        <v>503</v>
      </c>
      <c r="H285" t="s">
        <v>74</v>
      </c>
      <c r="I285" t="s">
        <v>517</v>
      </c>
      <c r="K285" t="s">
        <v>501</v>
      </c>
      <c r="L285" s="9"/>
      <c r="M285" t="str">
        <f>IF(G285="FIM",IF(L285="","SEM VÍNCULO",IF(COUNTIF(tblBatidas[Batida ID],L285)=0,"VÍNCULO INVÁLIDO",IF(COUNTIF(tblBatidas[Início vinculado],L285)&gt;1,"VÍNCULO DUPLICADO",IF(E285&lt;&gt;INDEX(tblBatidas[ID],MATCH(L285,tblBatidas[Batida ID],0)),"DIVERGÊNCIA DE ID",IF(H285&lt;&gt;INDEX(tblBatidas[Projeto],MATCH(L285,tblBatidas[Batida ID],0)),"DIVERGÊNCIA DE PROJETO",IF(I285&lt;&gt;INDEX(tblBatidas[Atividade],MATCH(L285,tblBatidas[Batida ID],0)),"DIVERGÊNCIA DE ATIVIDADE",IF(OR(B285&lt;=INDEX(tblBatidas[Data e hora],MATCH(L285,tblBatidas[Batida ID],0)),(B285-INDEX(tblBatidas[Data e hora],MATCH(L285,tblBatidas[Batida ID],0)))*24&gt;16),"HORÁRIO INVÁLIDO","VINCULADO"))))))),"INÍCIO")</f>
        <v>SEM VÍNCULO</v>
      </c>
    </row>
    <row r="286" spans="1:13" hidden="1">
      <c r="A286" t="s">
        <v>863</v>
      </c>
      <c r="B286" s="21">
        <v>46267.527094907404</v>
      </c>
      <c r="C286" s="2">
        <f t="shared" si="8"/>
        <v>46267</v>
      </c>
      <c r="D286" t="str">
        <f t="shared" si="9"/>
        <v>QUARTA-FEIRA</v>
      </c>
      <c r="E286">
        <v>1013</v>
      </c>
      <c r="F286" t="s">
        <v>57</v>
      </c>
      <c r="G286" t="s">
        <v>499</v>
      </c>
      <c r="H286" t="s">
        <v>74</v>
      </c>
      <c r="I286" t="s">
        <v>517</v>
      </c>
      <c r="K286" t="s">
        <v>501</v>
      </c>
      <c r="L286" s="9"/>
      <c r="M286" t="str">
        <f>IF(G286="FIM",IF(L286="","SEM VÍNCULO",IF(COUNTIF(tblBatidas[Batida ID],L286)=0,"VÍNCULO INVÁLIDO",IF(COUNTIF(tblBatidas[Início vinculado],L286)&gt;1,"VÍNCULO DUPLICADO",IF(E286&lt;&gt;INDEX(tblBatidas[ID],MATCH(L286,tblBatidas[Batida ID],0)),"DIVERGÊNCIA DE ID",IF(H286&lt;&gt;INDEX(tblBatidas[Projeto],MATCH(L286,tblBatidas[Batida ID],0)),"DIVERGÊNCIA DE PROJETO",IF(I286&lt;&gt;INDEX(tblBatidas[Atividade],MATCH(L286,tblBatidas[Batida ID],0)),"DIVERGÊNCIA DE ATIVIDADE",IF(OR(B286&lt;=INDEX(tblBatidas[Data e hora],MATCH(L286,tblBatidas[Batida ID],0)),(B286-INDEX(tblBatidas[Data e hora],MATCH(L286,tblBatidas[Batida ID],0)))*24&gt;16),"HORÁRIO INVÁLIDO","VINCULADO"))))))),"INÍCIO")</f>
        <v>INÍCIO</v>
      </c>
    </row>
    <row r="287" spans="1:13" hidden="1">
      <c r="A287" t="s">
        <v>864</v>
      </c>
      <c r="B287" s="21">
        <v>46267.5312037037</v>
      </c>
      <c r="C287" s="2">
        <f t="shared" si="8"/>
        <v>46267</v>
      </c>
      <c r="D287" t="str">
        <f t="shared" si="9"/>
        <v>QUARTA-FEIRA</v>
      </c>
      <c r="E287">
        <v>1003</v>
      </c>
      <c r="F287" t="s">
        <v>46</v>
      </c>
      <c r="G287" t="s">
        <v>503</v>
      </c>
      <c r="H287" t="s">
        <v>74</v>
      </c>
      <c r="I287" t="s">
        <v>517</v>
      </c>
      <c r="J287" t="s">
        <v>865</v>
      </c>
      <c r="K287" t="s">
        <v>501</v>
      </c>
      <c r="L287" s="9" t="s">
        <v>847</v>
      </c>
      <c r="M287" t="str">
        <f>IF(G287="FIM",IF(L287="","SEM VÍNCULO",IF(COUNTIF(tblBatidas[Batida ID],L287)=0,"VÍNCULO INVÁLIDO",IF(COUNTIF(tblBatidas[Início vinculado],L287)&gt;1,"VÍNCULO DUPLICADO",IF(E287&lt;&gt;INDEX(tblBatidas[ID],MATCH(L287,tblBatidas[Batida ID],0)),"DIVERGÊNCIA DE ID",IF(H287&lt;&gt;INDEX(tblBatidas[Projeto],MATCH(L287,tblBatidas[Batida ID],0)),"DIVERGÊNCIA DE PROJETO",IF(I287&lt;&gt;INDEX(tblBatidas[Atividade],MATCH(L287,tblBatidas[Batida ID],0)),"DIVERGÊNCIA DE ATIVIDADE",IF(OR(B287&lt;=INDEX(tblBatidas[Data e hora],MATCH(L287,tblBatidas[Batida ID],0)),(B287-INDEX(tblBatidas[Data e hora],MATCH(L287,tblBatidas[Batida ID],0)))*24&gt;16),"HORÁRIO INVÁLIDO","VINCULADO"))))))),"INÍCIO")</f>
        <v>VINCULADO</v>
      </c>
    </row>
    <row r="288" spans="1:13" hidden="1">
      <c r="A288" t="s">
        <v>866</v>
      </c>
      <c r="B288" s="21">
        <v>46267.542488425926</v>
      </c>
      <c r="C288" s="2">
        <f t="shared" si="8"/>
        <v>46267</v>
      </c>
      <c r="D288" t="str">
        <f t="shared" si="9"/>
        <v>QUARTA-FEIRA</v>
      </c>
      <c r="E288">
        <v>1006</v>
      </c>
      <c r="F288" t="s">
        <v>49</v>
      </c>
      <c r="G288" t="s">
        <v>499</v>
      </c>
      <c r="H288" t="s">
        <v>74</v>
      </c>
      <c r="I288" t="s">
        <v>512</v>
      </c>
      <c r="J288" t="s">
        <v>867</v>
      </c>
      <c r="K288" t="s">
        <v>501</v>
      </c>
      <c r="L288" s="9"/>
      <c r="M288" t="str">
        <f>IF(G288="FIM",IF(L288="","SEM VÍNCULO",IF(COUNTIF(tblBatidas[Batida ID],L288)=0,"VÍNCULO INVÁLIDO",IF(COUNTIF(tblBatidas[Início vinculado],L288)&gt;1,"VÍNCULO DUPLICADO",IF(E288&lt;&gt;INDEX(tblBatidas[ID],MATCH(L288,tblBatidas[Batida ID],0)),"DIVERGÊNCIA DE ID",IF(H288&lt;&gt;INDEX(tblBatidas[Projeto],MATCH(L288,tblBatidas[Batida ID],0)),"DIVERGÊNCIA DE PROJETO",IF(I288&lt;&gt;INDEX(tblBatidas[Atividade],MATCH(L288,tblBatidas[Batida ID],0)),"DIVERGÊNCIA DE ATIVIDADE",IF(OR(B288&lt;=INDEX(tblBatidas[Data e hora],MATCH(L288,tblBatidas[Batida ID],0)),(B288-INDEX(tblBatidas[Data e hora],MATCH(L288,tblBatidas[Batida ID],0)))*24&gt;16),"HORÁRIO INVÁLIDO","VINCULADO"))))))),"INÍCIO")</f>
        <v>INÍCIO</v>
      </c>
    </row>
    <row r="289" spans="1:13" hidden="1">
      <c r="A289" t="s">
        <v>868</v>
      </c>
      <c r="B289" s="21">
        <v>46267.544131944444</v>
      </c>
      <c r="C289" s="2">
        <f t="shared" si="8"/>
        <v>46267</v>
      </c>
      <c r="D289" t="str">
        <f t="shared" si="9"/>
        <v>QUARTA-FEIRA</v>
      </c>
      <c r="E289">
        <v>1015</v>
      </c>
      <c r="F289" t="s">
        <v>59</v>
      </c>
      <c r="G289" t="s">
        <v>503</v>
      </c>
      <c r="H289" t="s">
        <v>84</v>
      </c>
      <c r="I289" t="s">
        <v>84</v>
      </c>
      <c r="K289" t="s">
        <v>501</v>
      </c>
      <c r="L289" s="9" t="s">
        <v>852</v>
      </c>
      <c r="M289" t="str">
        <f>IF(G289="FIM",IF(L289="","SEM VÍNCULO",IF(COUNTIF(tblBatidas[Batida ID],L289)=0,"VÍNCULO INVÁLIDO",IF(COUNTIF(tblBatidas[Início vinculado],L289)&gt;1,"VÍNCULO DUPLICADO",IF(E289&lt;&gt;INDEX(tblBatidas[ID],MATCH(L289,tblBatidas[Batida ID],0)),"DIVERGÊNCIA DE ID",IF(H289&lt;&gt;INDEX(tblBatidas[Projeto],MATCH(L289,tblBatidas[Batida ID],0)),"DIVERGÊNCIA DE PROJETO",IF(I289&lt;&gt;INDEX(tblBatidas[Atividade],MATCH(L289,tblBatidas[Batida ID],0)),"DIVERGÊNCIA DE ATIVIDADE",IF(OR(B289&lt;=INDEX(tblBatidas[Data e hora],MATCH(L289,tblBatidas[Batida ID],0)),(B289-INDEX(tblBatidas[Data e hora],MATCH(L289,tblBatidas[Batida ID],0)))*24&gt;16),"HORÁRIO INVÁLIDO","VINCULADO"))))))),"INÍCIO")</f>
        <v>VINCULADO</v>
      </c>
    </row>
    <row r="290" spans="1:13" hidden="1">
      <c r="A290" t="s">
        <v>869</v>
      </c>
      <c r="B290" s="21">
        <v>46267.551481481481</v>
      </c>
      <c r="C290" s="2">
        <f t="shared" si="8"/>
        <v>46267</v>
      </c>
      <c r="D290" t="str">
        <f t="shared" si="9"/>
        <v>QUARTA-FEIRA</v>
      </c>
      <c r="E290">
        <v>1012</v>
      </c>
      <c r="F290" t="s">
        <v>55</v>
      </c>
      <c r="G290" t="s">
        <v>503</v>
      </c>
      <c r="H290" t="s">
        <v>74</v>
      </c>
      <c r="I290" t="s">
        <v>512</v>
      </c>
      <c r="K290" t="s">
        <v>501</v>
      </c>
      <c r="L290" s="9"/>
      <c r="M290" t="str">
        <f>IF(G290="FIM",IF(L290="","SEM VÍNCULO",IF(COUNTIF(tblBatidas[Batida ID],L290)=0,"VÍNCULO INVÁLIDO",IF(COUNTIF(tblBatidas[Início vinculado],L290)&gt;1,"VÍNCULO DUPLICADO",IF(E290&lt;&gt;INDEX(tblBatidas[ID],MATCH(L290,tblBatidas[Batida ID],0)),"DIVERGÊNCIA DE ID",IF(H290&lt;&gt;INDEX(tblBatidas[Projeto],MATCH(L290,tblBatidas[Batida ID],0)),"DIVERGÊNCIA DE PROJETO",IF(I290&lt;&gt;INDEX(tblBatidas[Atividade],MATCH(L290,tblBatidas[Batida ID],0)),"DIVERGÊNCIA DE ATIVIDADE",IF(OR(B290&lt;=INDEX(tblBatidas[Data e hora],MATCH(L290,tblBatidas[Batida ID],0)),(B290-INDEX(tblBatidas[Data e hora],MATCH(L290,tblBatidas[Batida ID],0)))*24&gt;16),"HORÁRIO INVÁLIDO","VINCULADO"))))))),"INÍCIO")</f>
        <v>SEM VÍNCULO</v>
      </c>
    </row>
    <row r="291" spans="1:13" hidden="1">
      <c r="A291" t="s">
        <v>870</v>
      </c>
      <c r="B291" s="21">
        <v>46267.573206018518</v>
      </c>
      <c r="C291" s="2">
        <f t="shared" si="8"/>
        <v>46267</v>
      </c>
      <c r="D291" t="str">
        <f t="shared" si="9"/>
        <v>QUARTA-FEIRA</v>
      </c>
      <c r="E291">
        <v>1016</v>
      </c>
      <c r="F291" t="s">
        <v>60</v>
      </c>
      <c r="G291" t="s">
        <v>499</v>
      </c>
      <c r="H291" t="s">
        <v>70</v>
      </c>
      <c r="I291" t="s">
        <v>517</v>
      </c>
      <c r="J291" t="s">
        <v>871</v>
      </c>
      <c r="K291" t="s">
        <v>501</v>
      </c>
      <c r="L291" s="9"/>
      <c r="M291" t="str">
        <f>IF(G291="FIM",IF(L291="","SEM VÍNCULO",IF(COUNTIF(tblBatidas[Batida ID],L291)=0,"VÍNCULO INVÁLIDO",IF(COUNTIF(tblBatidas[Início vinculado],L291)&gt;1,"VÍNCULO DUPLICADO",IF(E291&lt;&gt;INDEX(tblBatidas[ID],MATCH(L291,tblBatidas[Batida ID],0)),"DIVERGÊNCIA DE ID",IF(H291&lt;&gt;INDEX(tblBatidas[Projeto],MATCH(L291,tblBatidas[Batida ID],0)),"DIVERGÊNCIA DE PROJETO",IF(I291&lt;&gt;INDEX(tblBatidas[Atividade],MATCH(L291,tblBatidas[Batida ID],0)),"DIVERGÊNCIA DE ATIVIDADE",IF(OR(B291&lt;=INDEX(tblBatidas[Data e hora],MATCH(L291,tblBatidas[Batida ID],0)),(B291-INDEX(tblBatidas[Data e hora],MATCH(L291,tblBatidas[Batida ID],0)))*24&gt;16),"HORÁRIO INVÁLIDO","VINCULADO"))))))),"INÍCIO")</f>
        <v>INÍCIO</v>
      </c>
    </row>
    <row r="292" spans="1:13" hidden="1">
      <c r="A292" t="s">
        <v>872</v>
      </c>
      <c r="B292" s="21">
        <v>46267.575358796297</v>
      </c>
      <c r="C292" s="2">
        <f t="shared" si="8"/>
        <v>46267</v>
      </c>
      <c r="D292" t="str">
        <f t="shared" si="9"/>
        <v>QUARTA-FEIRA</v>
      </c>
      <c r="E292">
        <v>1001</v>
      </c>
      <c r="F292" t="s">
        <v>43</v>
      </c>
      <c r="G292" t="s">
        <v>499</v>
      </c>
      <c r="H292" t="s">
        <v>72</v>
      </c>
      <c r="I292" t="s">
        <v>500</v>
      </c>
      <c r="K292" t="s">
        <v>501</v>
      </c>
      <c r="L292" s="9"/>
      <c r="M292" t="str">
        <f>IF(G292="FIM",IF(L292="","SEM VÍNCULO",IF(COUNTIF(tblBatidas[Batida ID],L292)=0,"VÍNCULO INVÁLIDO",IF(COUNTIF(tblBatidas[Início vinculado],L292)&gt;1,"VÍNCULO DUPLICADO",IF(E292&lt;&gt;INDEX(tblBatidas[ID],MATCH(L292,tblBatidas[Batida ID],0)),"DIVERGÊNCIA DE ID",IF(H292&lt;&gt;INDEX(tblBatidas[Projeto],MATCH(L292,tblBatidas[Batida ID],0)),"DIVERGÊNCIA DE PROJETO",IF(I292&lt;&gt;INDEX(tblBatidas[Atividade],MATCH(L292,tblBatidas[Batida ID],0)),"DIVERGÊNCIA DE ATIVIDADE",IF(OR(B292&lt;=INDEX(tblBatidas[Data e hora],MATCH(L292,tblBatidas[Batida ID],0)),(B292-INDEX(tblBatidas[Data e hora],MATCH(L292,tblBatidas[Batida ID],0)))*24&gt;16),"HORÁRIO INVÁLIDO","VINCULADO"))))))),"INÍCIO")</f>
        <v>INÍCIO</v>
      </c>
    </row>
    <row r="293" spans="1:13" hidden="1">
      <c r="A293" t="s">
        <v>873</v>
      </c>
      <c r="B293" s="21">
        <v>46267.57613425926</v>
      </c>
      <c r="C293" s="2">
        <f t="shared" si="8"/>
        <v>46267</v>
      </c>
      <c r="D293" t="str">
        <f t="shared" si="9"/>
        <v>QUARTA-FEIRA</v>
      </c>
      <c r="E293">
        <v>1003</v>
      </c>
      <c r="F293" t="s">
        <v>46</v>
      </c>
      <c r="G293" t="s">
        <v>499</v>
      </c>
      <c r="H293" t="s">
        <v>74</v>
      </c>
      <c r="I293" t="s">
        <v>517</v>
      </c>
      <c r="K293" t="s">
        <v>501</v>
      </c>
      <c r="L293" s="9"/>
      <c r="M293" t="str">
        <f>IF(G293="FIM",IF(L293="","SEM VÍNCULO",IF(COUNTIF(tblBatidas[Batida ID],L293)=0,"VÍNCULO INVÁLIDO",IF(COUNTIF(tblBatidas[Início vinculado],L293)&gt;1,"VÍNCULO DUPLICADO",IF(E293&lt;&gt;INDEX(tblBatidas[ID],MATCH(L293,tblBatidas[Batida ID],0)),"DIVERGÊNCIA DE ID",IF(H293&lt;&gt;INDEX(tblBatidas[Projeto],MATCH(L293,tblBatidas[Batida ID],0)),"DIVERGÊNCIA DE PROJETO",IF(I293&lt;&gt;INDEX(tblBatidas[Atividade],MATCH(L293,tblBatidas[Batida ID],0)),"DIVERGÊNCIA DE ATIVIDADE",IF(OR(B293&lt;=INDEX(tblBatidas[Data e hora],MATCH(L293,tblBatidas[Batida ID],0)),(B293-INDEX(tblBatidas[Data e hora],MATCH(L293,tblBatidas[Batida ID],0)))*24&gt;16),"HORÁRIO INVÁLIDO","VINCULADO"))))))),"INÍCIO")</f>
        <v>INÍCIO</v>
      </c>
    </row>
    <row r="294" spans="1:13" hidden="1">
      <c r="A294" t="s">
        <v>874</v>
      </c>
      <c r="B294" s="21">
        <v>46267.583078703705</v>
      </c>
      <c r="C294" s="2">
        <f t="shared" si="8"/>
        <v>46267</v>
      </c>
      <c r="D294" t="str">
        <f t="shared" si="9"/>
        <v>QUARTA-FEIRA</v>
      </c>
      <c r="E294">
        <v>1015</v>
      </c>
      <c r="F294" t="s">
        <v>59</v>
      </c>
      <c r="G294" t="s">
        <v>499</v>
      </c>
      <c r="H294" t="s">
        <v>84</v>
      </c>
      <c r="I294" t="s">
        <v>84</v>
      </c>
      <c r="K294" t="s">
        <v>501</v>
      </c>
      <c r="L294" s="9"/>
      <c r="M294" t="str">
        <f>IF(G294="FIM",IF(L294="","SEM VÍNCULO",IF(COUNTIF(tblBatidas[Batida ID],L294)=0,"VÍNCULO INVÁLIDO",IF(COUNTIF(tblBatidas[Início vinculado],L294)&gt;1,"VÍNCULO DUPLICADO",IF(E294&lt;&gt;INDEX(tblBatidas[ID],MATCH(L294,tblBatidas[Batida ID],0)),"DIVERGÊNCIA DE ID",IF(H294&lt;&gt;INDEX(tblBatidas[Projeto],MATCH(L294,tblBatidas[Batida ID],0)),"DIVERGÊNCIA DE PROJETO",IF(I294&lt;&gt;INDEX(tblBatidas[Atividade],MATCH(L294,tblBatidas[Batida ID],0)),"DIVERGÊNCIA DE ATIVIDADE",IF(OR(B294&lt;=INDEX(tblBatidas[Data e hora],MATCH(L294,tblBatidas[Batida ID],0)),(B294-INDEX(tblBatidas[Data e hora],MATCH(L294,tblBatidas[Batida ID],0)))*24&gt;16),"HORÁRIO INVÁLIDO","VINCULADO"))))))),"INÍCIO")</f>
        <v>INÍCIO</v>
      </c>
    </row>
    <row r="295" spans="1:13" hidden="1">
      <c r="A295" t="s">
        <v>875</v>
      </c>
      <c r="B295" s="21">
        <v>46267.624490740738</v>
      </c>
      <c r="C295" s="2">
        <f t="shared" si="8"/>
        <v>46267</v>
      </c>
      <c r="D295" t="str">
        <f t="shared" si="9"/>
        <v>QUARTA-FEIRA</v>
      </c>
      <c r="E295">
        <v>1004</v>
      </c>
      <c r="F295" t="s">
        <v>47</v>
      </c>
      <c r="G295" t="s">
        <v>503</v>
      </c>
      <c r="H295" t="s">
        <v>74</v>
      </c>
      <c r="I295" t="s">
        <v>538</v>
      </c>
      <c r="K295" t="s">
        <v>501</v>
      </c>
      <c r="L295" s="9" t="s">
        <v>857</v>
      </c>
      <c r="M295" t="str">
        <f>IF(G295="FIM",IF(L295="","SEM VÍNCULO",IF(COUNTIF(tblBatidas[Batida ID],L295)=0,"VÍNCULO INVÁLIDO",IF(COUNTIF(tblBatidas[Início vinculado],L295)&gt;1,"VÍNCULO DUPLICADO",IF(E295&lt;&gt;INDEX(tblBatidas[ID],MATCH(L295,tblBatidas[Batida ID],0)),"DIVERGÊNCIA DE ID",IF(H295&lt;&gt;INDEX(tblBatidas[Projeto],MATCH(L295,tblBatidas[Batida ID],0)),"DIVERGÊNCIA DE PROJETO",IF(I295&lt;&gt;INDEX(tblBatidas[Atividade],MATCH(L295,tblBatidas[Batida ID],0)),"DIVERGÊNCIA DE ATIVIDADE",IF(OR(B295&lt;=INDEX(tblBatidas[Data e hora],MATCH(L295,tblBatidas[Batida ID],0)),(B295-INDEX(tblBatidas[Data e hora],MATCH(L295,tblBatidas[Batida ID],0)))*24&gt;16),"HORÁRIO INVÁLIDO","VINCULADO"))))))),"INÍCIO")</f>
        <v>VINCULADO</v>
      </c>
    </row>
    <row r="296" spans="1:13" hidden="1">
      <c r="A296" t="s">
        <v>876</v>
      </c>
      <c r="B296" s="21">
        <v>46267.712557870371</v>
      </c>
      <c r="C296" s="2">
        <f t="shared" si="8"/>
        <v>46267</v>
      </c>
      <c r="D296" t="str">
        <f t="shared" si="9"/>
        <v>QUARTA-FEIRA</v>
      </c>
      <c r="E296">
        <v>1006</v>
      </c>
      <c r="F296" t="s">
        <v>49</v>
      </c>
      <c r="G296" t="s">
        <v>503</v>
      </c>
      <c r="H296" t="s">
        <v>74</v>
      </c>
      <c r="I296" t="s">
        <v>512</v>
      </c>
      <c r="J296" t="s">
        <v>867</v>
      </c>
      <c r="K296" t="s">
        <v>501</v>
      </c>
      <c r="L296" s="9" t="s">
        <v>866</v>
      </c>
      <c r="M296" t="str">
        <f>IF(G296="FIM",IF(L296="","SEM VÍNCULO",IF(COUNTIF(tblBatidas[Batida ID],L296)=0,"VÍNCULO INVÁLIDO",IF(COUNTIF(tblBatidas[Início vinculado],L296)&gt;1,"VÍNCULO DUPLICADO",IF(E296&lt;&gt;INDEX(tblBatidas[ID],MATCH(L296,tblBatidas[Batida ID],0)),"DIVERGÊNCIA DE ID",IF(H296&lt;&gt;INDEX(tblBatidas[Projeto],MATCH(L296,tblBatidas[Batida ID],0)),"DIVERGÊNCIA DE PROJETO",IF(I296&lt;&gt;INDEX(tblBatidas[Atividade],MATCH(L296,tblBatidas[Batida ID],0)),"DIVERGÊNCIA DE ATIVIDADE",IF(OR(B296&lt;=INDEX(tblBatidas[Data e hora],MATCH(L296,tblBatidas[Batida ID],0)),(B296-INDEX(tblBatidas[Data e hora],MATCH(L296,tblBatidas[Batida ID],0)))*24&gt;16),"HORÁRIO INVÁLIDO","VINCULADO"))))))),"INÍCIO")</f>
        <v>VINCULADO</v>
      </c>
    </row>
    <row r="297" spans="1:13" hidden="1">
      <c r="A297" t="s">
        <v>877</v>
      </c>
      <c r="B297" s="21">
        <v>46267.714259259257</v>
      </c>
      <c r="C297" s="2">
        <f t="shared" si="8"/>
        <v>46267</v>
      </c>
      <c r="D297" t="str">
        <f t="shared" si="9"/>
        <v>QUARTA-FEIRA</v>
      </c>
      <c r="E297">
        <v>1004</v>
      </c>
      <c r="F297" t="s">
        <v>47</v>
      </c>
      <c r="G297" t="s">
        <v>499</v>
      </c>
      <c r="H297" t="s">
        <v>74</v>
      </c>
      <c r="I297" t="s">
        <v>538</v>
      </c>
      <c r="K297" t="s">
        <v>501</v>
      </c>
      <c r="L297" s="9"/>
      <c r="M297" t="str">
        <f>IF(G297="FIM",IF(L297="","SEM VÍNCULO",IF(COUNTIF(tblBatidas[Batida ID],L297)=0,"VÍNCULO INVÁLIDO",IF(COUNTIF(tblBatidas[Início vinculado],L297)&gt;1,"VÍNCULO DUPLICADO",IF(E297&lt;&gt;INDEX(tblBatidas[ID],MATCH(L297,tblBatidas[Batida ID],0)),"DIVERGÊNCIA DE ID",IF(H297&lt;&gt;INDEX(tblBatidas[Projeto],MATCH(L297,tblBatidas[Batida ID],0)),"DIVERGÊNCIA DE PROJETO",IF(I297&lt;&gt;INDEX(tblBatidas[Atividade],MATCH(L297,tblBatidas[Batida ID],0)),"DIVERGÊNCIA DE ATIVIDADE",IF(OR(B297&lt;=INDEX(tblBatidas[Data e hora],MATCH(L297,tblBatidas[Batida ID],0)),(B297-INDEX(tblBatidas[Data e hora],MATCH(L297,tblBatidas[Batida ID],0)))*24&gt;16),"HORÁRIO INVÁLIDO","VINCULADO"))))))),"INÍCIO")</f>
        <v>INÍCIO</v>
      </c>
    </row>
    <row r="298" spans="1:13" hidden="1">
      <c r="A298" t="s">
        <v>878</v>
      </c>
      <c r="B298" s="21">
        <v>46267.731863425928</v>
      </c>
      <c r="C298" s="2">
        <f t="shared" si="8"/>
        <v>46267</v>
      </c>
      <c r="D298" t="str">
        <f t="shared" si="9"/>
        <v>QUARTA-FEIRA</v>
      </c>
      <c r="E298">
        <v>1001</v>
      </c>
      <c r="F298" t="s">
        <v>43</v>
      </c>
      <c r="G298" t="s">
        <v>503</v>
      </c>
      <c r="H298" t="s">
        <v>72</v>
      </c>
      <c r="I298" t="s">
        <v>500</v>
      </c>
      <c r="K298" t="s">
        <v>501</v>
      </c>
      <c r="L298" s="9" t="s">
        <v>872</v>
      </c>
      <c r="M298" t="str">
        <f>IF(G298="FIM",IF(L298="","SEM VÍNCULO",IF(COUNTIF(tblBatidas[Batida ID],L298)=0,"VÍNCULO INVÁLIDO",IF(COUNTIF(tblBatidas[Início vinculado],L298)&gt;1,"VÍNCULO DUPLICADO",IF(E298&lt;&gt;INDEX(tblBatidas[ID],MATCH(L298,tblBatidas[Batida ID],0)),"DIVERGÊNCIA DE ID",IF(H298&lt;&gt;INDEX(tblBatidas[Projeto],MATCH(L298,tblBatidas[Batida ID],0)),"DIVERGÊNCIA DE PROJETO",IF(I298&lt;&gt;INDEX(tblBatidas[Atividade],MATCH(L298,tblBatidas[Batida ID],0)),"DIVERGÊNCIA DE ATIVIDADE",IF(OR(B298&lt;=INDEX(tblBatidas[Data e hora],MATCH(L298,tblBatidas[Batida ID],0)),(B298-INDEX(tblBatidas[Data e hora],MATCH(L298,tblBatidas[Batida ID],0)))*24&gt;16),"HORÁRIO INVÁLIDO","VINCULADO"))))))),"INÍCIO")</f>
        <v>VINCULADO</v>
      </c>
    </row>
    <row r="299" spans="1:13" hidden="1">
      <c r="A299" t="s">
        <v>879</v>
      </c>
      <c r="B299" s="21">
        <v>46267.746689814812</v>
      </c>
      <c r="C299" s="2">
        <f t="shared" si="8"/>
        <v>46267</v>
      </c>
      <c r="D299" t="str">
        <f t="shared" si="9"/>
        <v>QUARTA-FEIRA</v>
      </c>
      <c r="E299">
        <v>1014</v>
      </c>
      <c r="F299" t="s">
        <v>58</v>
      </c>
      <c r="G299" t="s">
        <v>503</v>
      </c>
      <c r="H299" t="s">
        <v>72</v>
      </c>
      <c r="I299" t="s">
        <v>512</v>
      </c>
      <c r="K299" t="s">
        <v>501</v>
      </c>
      <c r="L299" s="9"/>
      <c r="M299" t="str">
        <f>IF(G299="FIM",IF(L299="","SEM VÍNCULO",IF(COUNTIF(tblBatidas[Batida ID],L299)=0,"VÍNCULO INVÁLIDO",IF(COUNTIF(tblBatidas[Início vinculado],L299)&gt;1,"VÍNCULO DUPLICADO",IF(E299&lt;&gt;INDEX(tblBatidas[ID],MATCH(L299,tblBatidas[Batida ID],0)),"DIVERGÊNCIA DE ID",IF(H299&lt;&gt;INDEX(tblBatidas[Projeto],MATCH(L299,tblBatidas[Batida ID],0)),"DIVERGÊNCIA DE PROJETO",IF(I299&lt;&gt;INDEX(tblBatidas[Atividade],MATCH(L299,tblBatidas[Batida ID],0)),"DIVERGÊNCIA DE ATIVIDADE",IF(OR(B299&lt;=INDEX(tblBatidas[Data e hora],MATCH(L299,tblBatidas[Batida ID],0)),(B299-INDEX(tblBatidas[Data e hora],MATCH(L299,tblBatidas[Batida ID],0)))*24&gt;16),"HORÁRIO INVÁLIDO","VINCULADO"))))))),"INÍCIO")</f>
        <v>SEM VÍNCULO</v>
      </c>
    </row>
    <row r="300" spans="1:13" hidden="1">
      <c r="A300" t="s">
        <v>880</v>
      </c>
      <c r="B300" s="21">
        <v>46267.748726851853</v>
      </c>
      <c r="C300" s="2">
        <f t="shared" si="8"/>
        <v>46267</v>
      </c>
      <c r="D300" t="str">
        <f t="shared" si="9"/>
        <v>QUARTA-FEIRA</v>
      </c>
      <c r="E300">
        <v>1012</v>
      </c>
      <c r="F300" t="s">
        <v>55</v>
      </c>
      <c r="G300" t="s">
        <v>503</v>
      </c>
      <c r="H300" t="s">
        <v>74</v>
      </c>
      <c r="I300" t="s">
        <v>517</v>
      </c>
      <c r="J300" t="s">
        <v>808</v>
      </c>
      <c r="K300" t="s">
        <v>501</v>
      </c>
      <c r="L300" s="9"/>
      <c r="M300" t="str">
        <f>IF(G300="FIM",IF(L300="","SEM VÍNCULO",IF(COUNTIF(tblBatidas[Batida ID],L300)=0,"VÍNCULO INVÁLIDO",IF(COUNTIF(tblBatidas[Início vinculado],L300)&gt;1,"VÍNCULO DUPLICADO",IF(E300&lt;&gt;INDEX(tblBatidas[ID],MATCH(L300,tblBatidas[Batida ID],0)),"DIVERGÊNCIA DE ID",IF(H300&lt;&gt;INDEX(tblBatidas[Projeto],MATCH(L300,tblBatidas[Batida ID],0)),"DIVERGÊNCIA DE PROJETO",IF(I300&lt;&gt;INDEX(tblBatidas[Atividade],MATCH(L300,tblBatidas[Batida ID],0)),"DIVERGÊNCIA DE ATIVIDADE",IF(OR(B300&lt;=INDEX(tblBatidas[Data e hora],MATCH(L300,tblBatidas[Batida ID],0)),(B300-INDEX(tblBatidas[Data e hora],MATCH(L300,tblBatidas[Batida ID],0)))*24&gt;16),"HORÁRIO INVÁLIDO","VINCULADO"))))))),"INÍCIO")</f>
        <v>SEM VÍNCULO</v>
      </c>
    </row>
    <row r="301" spans="1:13" hidden="1">
      <c r="A301" t="s">
        <v>881</v>
      </c>
      <c r="B301" s="21">
        <v>46267.748900462961</v>
      </c>
      <c r="C301" s="2">
        <f t="shared" si="8"/>
        <v>46267</v>
      </c>
      <c r="D301" t="str">
        <f t="shared" si="9"/>
        <v>QUARTA-FEIRA</v>
      </c>
      <c r="E301">
        <v>1003</v>
      </c>
      <c r="F301" t="s">
        <v>46</v>
      </c>
      <c r="G301" t="s">
        <v>503</v>
      </c>
      <c r="H301" t="s">
        <v>74</v>
      </c>
      <c r="I301" t="s">
        <v>517</v>
      </c>
      <c r="K301" t="s">
        <v>501</v>
      </c>
      <c r="L301" s="9" t="s">
        <v>873</v>
      </c>
      <c r="M301" t="str">
        <f>IF(G301="FIM",IF(L301="","SEM VÍNCULO",IF(COUNTIF(tblBatidas[Batida ID],L301)=0,"VÍNCULO INVÁLIDO",IF(COUNTIF(tblBatidas[Início vinculado],L301)&gt;1,"VÍNCULO DUPLICADO",IF(E301&lt;&gt;INDEX(tblBatidas[ID],MATCH(L301,tblBatidas[Batida ID],0)),"DIVERGÊNCIA DE ID",IF(H301&lt;&gt;INDEX(tblBatidas[Projeto],MATCH(L301,tblBatidas[Batida ID],0)),"DIVERGÊNCIA DE PROJETO",IF(I301&lt;&gt;INDEX(tblBatidas[Atividade],MATCH(L301,tblBatidas[Batida ID],0)),"DIVERGÊNCIA DE ATIVIDADE",IF(OR(B301&lt;=INDEX(tblBatidas[Data e hora],MATCH(L301,tblBatidas[Batida ID],0)),(B301-INDEX(tblBatidas[Data e hora],MATCH(L301,tblBatidas[Batida ID],0)))*24&gt;16),"HORÁRIO INVÁLIDO","VINCULADO"))))))),"INÍCIO")</f>
        <v>VINCULADO</v>
      </c>
    </row>
    <row r="302" spans="1:13" hidden="1">
      <c r="A302" t="s">
        <v>882</v>
      </c>
      <c r="B302" s="21">
        <v>46267.750347222223</v>
      </c>
      <c r="C302" s="2">
        <f t="shared" si="8"/>
        <v>46267</v>
      </c>
      <c r="D302" t="str">
        <f t="shared" si="9"/>
        <v>QUARTA-FEIRA</v>
      </c>
      <c r="E302">
        <v>1013</v>
      </c>
      <c r="F302" t="s">
        <v>57</v>
      </c>
      <c r="G302" t="s">
        <v>503</v>
      </c>
      <c r="H302" t="s">
        <v>74</v>
      </c>
      <c r="I302" t="s">
        <v>517</v>
      </c>
      <c r="K302" t="s">
        <v>501</v>
      </c>
      <c r="L302" s="9" t="s">
        <v>863</v>
      </c>
      <c r="M302" t="str">
        <f>IF(G302="FIM",IF(L302="","SEM VÍNCULO",IF(COUNTIF(tblBatidas[Batida ID],L302)=0,"VÍNCULO INVÁLIDO",IF(COUNTIF(tblBatidas[Início vinculado],L302)&gt;1,"VÍNCULO DUPLICADO",IF(E302&lt;&gt;INDEX(tblBatidas[ID],MATCH(L302,tblBatidas[Batida ID],0)),"DIVERGÊNCIA DE ID",IF(H302&lt;&gt;INDEX(tblBatidas[Projeto],MATCH(L302,tblBatidas[Batida ID],0)),"DIVERGÊNCIA DE PROJETO",IF(I302&lt;&gt;INDEX(tblBatidas[Atividade],MATCH(L302,tblBatidas[Batida ID],0)),"DIVERGÊNCIA DE ATIVIDADE",IF(OR(B302&lt;=INDEX(tblBatidas[Data e hora],MATCH(L302,tblBatidas[Batida ID],0)),(B302-INDEX(tblBatidas[Data e hora],MATCH(L302,tblBatidas[Batida ID],0)))*24&gt;16),"HORÁRIO INVÁLIDO","VINCULADO"))))))),"INÍCIO")</f>
        <v>VINCULADO</v>
      </c>
    </row>
    <row r="303" spans="1:13" hidden="1">
      <c r="A303" t="s">
        <v>883</v>
      </c>
      <c r="B303" s="21">
        <v>46267.751597222225</v>
      </c>
      <c r="C303" s="2">
        <f t="shared" si="8"/>
        <v>46267</v>
      </c>
      <c r="D303" t="str">
        <f t="shared" si="9"/>
        <v>QUARTA-FEIRA</v>
      </c>
      <c r="E303">
        <v>1016</v>
      </c>
      <c r="F303" t="s">
        <v>60</v>
      </c>
      <c r="G303" t="s">
        <v>503</v>
      </c>
      <c r="H303" t="s">
        <v>70</v>
      </c>
      <c r="I303" t="s">
        <v>517</v>
      </c>
      <c r="K303" t="s">
        <v>501</v>
      </c>
      <c r="L303" s="9" t="s">
        <v>870</v>
      </c>
      <c r="M303" t="str">
        <f>IF(G303="FIM",IF(L303="","SEM VÍNCULO",IF(COUNTIF(tblBatidas[Batida ID],L303)=0,"VÍNCULO INVÁLIDO",IF(COUNTIF(tblBatidas[Início vinculado],L303)&gt;1,"VÍNCULO DUPLICADO",IF(E303&lt;&gt;INDEX(tblBatidas[ID],MATCH(L303,tblBatidas[Batida ID],0)),"DIVERGÊNCIA DE ID",IF(H303&lt;&gt;INDEX(tblBatidas[Projeto],MATCH(L303,tblBatidas[Batida ID],0)),"DIVERGÊNCIA DE PROJETO",IF(I303&lt;&gt;INDEX(tblBatidas[Atividade],MATCH(L303,tblBatidas[Batida ID],0)),"DIVERGÊNCIA DE ATIVIDADE",IF(OR(B303&lt;=INDEX(tblBatidas[Data e hora],MATCH(L303,tblBatidas[Batida ID],0)),(B303-INDEX(tblBatidas[Data e hora],MATCH(L303,tblBatidas[Batida ID],0)))*24&gt;16),"HORÁRIO INVÁLIDO","VINCULADO"))))))),"INÍCIO")</f>
        <v>VINCULADO</v>
      </c>
    </row>
    <row r="304" spans="1:13" hidden="1">
      <c r="A304" t="s">
        <v>884</v>
      </c>
      <c r="B304" s="21">
        <v>46267.75309027778</v>
      </c>
      <c r="C304" s="2">
        <f t="shared" si="8"/>
        <v>46267</v>
      </c>
      <c r="D304" t="str">
        <f t="shared" si="9"/>
        <v>QUARTA-FEIRA</v>
      </c>
      <c r="E304">
        <v>1015</v>
      </c>
      <c r="F304" t="s">
        <v>59</v>
      </c>
      <c r="G304" t="s">
        <v>503</v>
      </c>
      <c r="H304" t="s">
        <v>84</v>
      </c>
      <c r="I304" t="s">
        <v>84</v>
      </c>
      <c r="K304" t="s">
        <v>501</v>
      </c>
      <c r="L304" s="9" t="s">
        <v>874</v>
      </c>
      <c r="M304" t="str">
        <f>IF(G304="FIM",IF(L304="","SEM VÍNCULO",IF(COUNTIF(tblBatidas[Batida ID],L304)=0,"VÍNCULO INVÁLIDO",IF(COUNTIF(tblBatidas[Início vinculado],L304)&gt;1,"VÍNCULO DUPLICADO",IF(E304&lt;&gt;INDEX(tblBatidas[ID],MATCH(L304,tblBatidas[Batida ID],0)),"DIVERGÊNCIA DE ID",IF(H304&lt;&gt;INDEX(tblBatidas[Projeto],MATCH(L304,tblBatidas[Batida ID],0)),"DIVERGÊNCIA DE PROJETO",IF(I304&lt;&gt;INDEX(tblBatidas[Atividade],MATCH(L304,tblBatidas[Batida ID],0)),"DIVERGÊNCIA DE ATIVIDADE",IF(OR(B304&lt;=INDEX(tblBatidas[Data e hora],MATCH(L304,tblBatidas[Batida ID],0)),(B304-INDEX(tblBatidas[Data e hora],MATCH(L304,tblBatidas[Batida ID],0)))*24&gt;16),"HORÁRIO INVÁLIDO","VINCULADO"))))))),"INÍCIO")</f>
        <v>VINCULADO</v>
      </c>
    </row>
    <row r="305" spans="1:13" hidden="1">
      <c r="A305" t="s">
        <v>885</v>
      </c>
      <c r="B305" s="21">
        <v>46267.753460648149</v>
      </c>
      <c r="C305" s="2">
        <f t="shared" si="8"/>
        <v>46267</v>
      </c>
      <c r="D305" t="str">
        <f t="shared" si="9"/>
        <v>QUARTA-FEIRA</v>
      </c>
      <c r="E305">
        <v>1011</v>
      </c>
      <c r="F305" t="s">
        <v>54</v>
      </c>
      <c r="G305" t="s">
        <v>503</v>
      </c>
      <c r="H305" t="s">
        <v>74</v>
      </c>
      <c r="I305" t="s">
        <v>517</v>
      </c>
      <c r="K305" t="s">
        <v>501</v>
      </c>
      <c r="L305" s="9"/>
      <c r="M305" t="str">
        <f>IF(G305="FIM",IF(L305="","SEM VÍNCULO",IF(COUNTIF(tblBatidas[Batida ID],L305)=0,"VÍNCULO INVÁLIDO",IF(COUNTIF(tblBatidas[Início vinculado],L305)&gt;1,"VÍNCULO DUPLICADO",IF(E305&lt;&gt;INDEX(tblBatidas[ID],MATCH(L305,tblBatidas[Batida ID],0)),"DIVERGÊNCIA DE ID",IF(H305&lt;&gt;INDEX(tblBatidas[Projeto],MATCH(L305,tblBatidas[Batida ID],0)),"DIVERGÊNCIA DE PROJETO",IF(I305&lt;&gt;INDEX(tblBatidas[Atividade],MATCH(L305,tblBatidas[Batida ID],0)),"DIVERGÊNCIA DE ATIVIDADE",IF(OR(B305&lt;=INDEX(tblBatidas[Data e hora],MATCH(L305,tblBatidas[Batida ID],0)),(B305-INDEX(tblBatidas[Data e hora],MATCH(L305,tblBatidas[Batida ID],0)))*24&gt;16),"HORÁRIO INVÁLIDO","VINCULADO"))))))),"INÍCIO")</f>
        <v>SEM VÍNCULO</v>
      </c>
    </row>
    <row r="306" spans="1:13">
      <c r="A306" t="s">
        <v>886</v>
      </c>
      <c r="B306" s="21">
        <v>46267.755069444444</v>
      </c>
      <c r="C306" s="2">
        <f t="shared" si="8"/>
        <v>46267</v>
      </c>
      <c r="D306" t="str">
        <f t="shared" si="9"/>
        <v>QUARTA-FEIRA</v>
      </c>
      <c r="E306">
        <v>1002</v>
      </c>
      <c r="F306" t="s">
        <v>45</v>
      </c>
      <c r="G306" t="s">
        <v>503</v>
      </c>
      <c r="H306" t="s">
        <v>70</v>
      </c>
      <c r="I306" t="s">
        <v>517</v>
      </c>
      <c r="K306" t="s">
        <v>501</v>
      </c>
      <c r="L306" s="9" t="s">
        <v>853</v>
      </c>
      <c r="M306" t="str">
        <f>IF(G306="FIM",IF(L306="","SEM VÍNCULO",IF(COUNTIF(tblBatidas[Batida ID],L306)=0,"VÍNCULO INVÁLIDO",IF(COUNTIF(tblBatidas[Início vinculado],L306)&gt;1,"VÍNCULO DUPLICADO",IF(E306&lt;&gt;INDEX(tblBatidas[ID],MATCH(L306,tblBatidas[Batida ID],0)),"DIVERGÊNCIA DE ID",IF(H306&lt;&gt;INDEX(tblBatidas[Projeto],MATCH(L306,tblBatidas[Batida ID],0)),"DIVERGÊNCIA DE PROJETO",IF(I306&lt;&gt;INDEX(tblBatidas[Atividade],MATCH(L306,tblBatidas[Batida ID],0)),"DIVERGÊNCIA DE ATIVIDADE",IF(OR(B306&lt;=INDEX(tblBatidas[Data e hora],MATCH(L306,tblBatidas[Batida ID],0)),(B306-INDEX(tblBatidas[Data e hora],MATCH(L306,tblBatidas[Batida ID],0)))*24&gt;16),"HORÁRIO INVÁLIDO","VINCULADO"))))))),"INÍCIO")</f>
        <v>VINCULADO</v>
      </c>
    </row>
    <row r="307" spans="1:13" hidden="1">
      <c r="A307" t="s">
        <v>887</v>
      </c>
      <c r="B307" s="21">
        <v>46267.837280092594</v>
      </c>
      <c r="C307" s="2">
        <f t="shared" si="8"/>
        <v>46267</v>
      </c>
      <c r="D307" t="str">
        <f t="shared" si="9"/>
        <v>QUARTA-FEIRA</v>
      </c>
      <c r="E307">
        <v>1004</v>
      </c>
      <c r="F307" t="s">
        <v>47</v>
      </c>
      <c r="G307" t="s">
        <v>503</v>
      </c>
      <c r="H307" t="s">
        <v>74</v>
      </c>
      <c r="I307" t="s">
        <v>538</v>
      </c>
      <c r="K307" t="s">
        <v>501</v>
      </c>
      <c r="L307" s="9" t="s">
        <v>877</v>
      </c>
      <c r="M307" t="str">
        <f>IF(G307="FIM",IF(L307="","SEM VÍNCULO",IF(COUNTIF(tblBatidas[Batida ID],L307)=0,"VÍNCULO INVÁLIDO",IF(COUNTIF(tblBatidas[Início vinculado],L307)&gt;1,"VÍNCULO DUPLICADO",IF(E307&lt;&gt;INDEX(tblBatidas[ID],MATCH(L307,tblBatidas[Batida ID],0)),"DIVERGÊNCIA DE ID",IF(H307&lt;&gt;INDEX(tblBatidas[Projeto],MATCH(L307,tblBatidas[Batida ID],0)),"DIVERGÊNCIA DE PROJETO",IF(I307&lt;&gt;INDEX(tblBatidas[Atividade],MATCH(L307,tblBatidas[Batida ID],0)),"DIVERGÊNCIA DE ATIVIDADE",IF(OR(B307&lt;=INDEX(tblBatidas[Data e hora],MATCH(L307,tblBatidas[Batida ID],0)),(B307-INDEX(tblBatidas[Data e hora],MATCH(L307,tblBatidas[Batida ID],0)))*24&gt;16),"HORÁRIO INVÁLIDO","VINCULADO"))))))),"INÍCIO")</f>
        <v>VINCULADO</v>
      </c>
    </row>
    <row r="308" spans="1:13">
      <c r="A308" t="s">
        <v>888</v>
      </c>
      <c r="B308" s="21">
        <v>46268.319618055553</v>
      </c>
      <c r="C308" s="2">
        <f t="shared" si="8"/>
        <v>46268</v>
      </c>
      <c r="D308" t="str">
        <f t="shared" si="9"/>
        <v>QUINTA-FEIRA</v>
      </c>
      <c r="E308">
        <v>1002</v>
      </c>
      <c r="F308" t="s">
        <v>45</v>
      </c>
      <c r="G308" t="s">
        <v>499</v>
      </c>
      <c r="H308" t="s">
        <v>70</v>
      </c>
      <c r="I308" t="s">
        <v>517</v>
      </c>
      <c r="K308" t="s">
        <v>501</v>
      </c>
      <c r="L308" s="9"/>
      <c r="M308" t="str">
        <f>IF(G308="FIM",IF(L308="","SEM VÍNCULO",IF(COUNTIF(tblBatidas[Batida ID],L308)=0,"VÍNCULO INVÁLIDO",IF(COUNTIF(tblBatidas[Início vinculado],L308)&gt;1,"VÍNCULO DUPLICADO",IF(E308&lt;&gt;INDEX(tblBatidas[ID],MATCH(L308,tblBatidas[Batida ID],0)),"DIVERGÊNCIA DE ID",IF(H308&lt;&gt;INDEX(tblBatidas[Projeto],MATCH(L308,tblBatidas[Batida ID],0)),"DIVERGÊNCIA DE PROJETO",IF(I308&lt;&gt;INDEX(tblBatidas[Atividade],MATCH(L308,tblBatidas[Batida ID],0)),"DIVERGÊNCIA DE ATIVIDADE",IF(OR(B308&lt;=INDEX(tblBatidas[Data e hora],MATCH(L308,tblBatidas[Batida ID],0)),(B308-INDEX(tblBatidas[Data e hora],MATCH(L308,tblBatidas[Batida ID],0)))*24&gt;16),"HORÁRIO INVÁLIDO","VINCULADO"))))))),"INÍCIO")</f>
        <v>INÍCIO</v>
      </c>
    </row>
    <row r="309" spans="1:13" hidden="1">
      <c r="A309" t="s">
        <v>889</v>
      </c>
      <c r="B309" s="21">
        <v>46268.332384259258</v>
      </c>
      <c r="C309" s="2">
        <f t="shared" si="8"/>
        <v>46268</v>
      </c>
      <c r="D309" t="str">
        <f t="shared" si="9"/>
        <v>QUINTA-FEIRA</v>
      </c>
      <c r="E309">
        <v>1011</v>
      </c>
      <c r="F309" t="s">
        <v>54</v>
      </c>
      <c r="G309" t="s">
        <v>499</v>
      </c>
      <c r="H309" t="s">
        <v>74</v>
      </c>
      <c r="I309" t="s">
        <v>517</v>
      </c>
      <c r="K309" t="s">
        <v>501</v>
      </c>
      <c r="L309" s="9"/>
      <c r="M309" t="str">
        <f>IF(G309="FIM",IF(L309="","SEM VÍNCULO",IF(COUNTIF(tblBatidas[Batida ID],L309)=0,"VÍNCULO INVÁLIDO",IF(COUNTIF(tblBatidas[Início vinculado],L309)&gt;1,"VÍNCULO DUPLICADO",IF(E309&lt;&gt;INDEX(tblBatidas[ID],MATCH(L309,tblBatidas[Batida ID],0)),"DIVERGÊNCIA DE ID",IF(H309&lt;&gt;INDEX(tblBatidas[Projeto],MATCH(L309,tblBatidas[Batida ID],0)),"DIVERGÊNCIA DE PROJETO",IF(I309&lt;&gt;INDEX(tblBatidas[Atividade],MATCH(L309,tblBatidas[Batida ID],0)),"DIVERGÊNCIA DE ATIVIDADE",IF(OR(B309&lt;=INDEX(tblBatidas[Data e hora],MATCH(L309,tblBatidas[Batida ID],0)),(B309-INDEX(tblBatidas[Data e hora],MATCH(L309,tblBatidas[Batida ID],0)))*24&gt;16),"HORÁRIO INVÁLIDO","VINCULADO"))))))),"INÍCIO")</f>
        <v>INÍCIO</v>
      </c>
    </row>
    <row r="310" spans="1:13" hidden="1">
      <c r="A310" t="s">
        <v>890</v>
      </c>
      <c r="B310" s="21">
        <v>46268.333078703705</v>
      </c>
      <c r="C310" s="2">
        <f t="shared" si="8"/>
        <v>46268</v>
      </c>
      <c r="D310" t="str">
        <f t="shared" si="9"/>
        <v>QUINTA-FEIRA</v>
      </c>
      <c r="E310">
        <v>1003</v>
      </c>
      <c r="F310" t="s">
        <v>46</v>
      </c>
      <c r="G310" t="s">
        <v>499</v>
      </c>
      <c r="H310" t="s">
        <v>74</v>
      </c>
      <c r="I310" t="s">
        <v>517</v>
      </c>
      <c r="J310" t="s">
        <v>835</v>
      </c>
      <c r="K310" t="s">
        <v>501</v>
      </c>
      <c r="L310" s="9"/>
      <c r="M310" t="str">
        <f>IF(G310="FIM",IF(L310="","SEM VÍNCULO",IF(COUNTIF(tblBatidas[Batida ID],L310)=0,"VÍNCULO INVÁLIDO",IF(COUNTIF(tblBatidas[Início vinculado],L310)&gt;1,"VÍNCULO DUPLICADO",IF(E310&lt;&gt;INDEX(tblBatidas[ID],MATCH(L310,tblBatidas[Batida ID],0)),"DIVERGÊNCIA DE ID",IF(H310&lt;&gt;INDEX(tblBatidas[Projeto],MATCH(L310,tblBatidas[Batida ID],0)),"DIVERGÊNCIA DE PROJETO",IF(I310&lt;&gt;INDEX(tblBatidas[Atividade],MATCH(L310,tblBatidas[Batida ID],0)),"DIVERGÊNCIA DE ATIVIDADE",IF(OR(B310&lt;=INDEX(tblBatidas[Data e hora],MATCH(L310,tblBatidas[Batida ID],0)),(B310-INDEX(tblBatidas[Data e hora],MATCH(L310,tblBatidas[Batida ID],0)))*24&gt;16),"HORÁRIO INVÁLIDO","VINCULADO"))))))),"INÍCIO")</f>
        <v>INÍCIO</v>
      </c>
    </row>
    <row r="311" spans="1:13" hidden="1">
      <c r="A311" t="s">
        <v>891</v>
      </c>
      <c r="B311" s="21">
        <v>46268.362951388888</v>
      </c>
      <c r="C311" s="2">
        <f t="shared" si="8"/>
        <v>46268</v>
      </c>
      <c r="D311" t="str">
        <f t="shared" si="9"/>
        <v>QUINTA-FEIRA</v>
      </c>
      <c r="E311">
        <v>1013</v>
      </c>
      <c r="F311" t="s">
        <v>57</v>
      </c>
      <c r="G311" t="s">
        <v>499</v>
      </c>
      <c r="H311" t="s">
        <v>74</v>
      </c>
      <c r="I311" t="s">
        <v>517</v>
      </c>
      <c r="K311" t="s">
        <v>501</v>
      </c>
      <c r="L311" s="9"/>
      <c r="M311" t="str">
        <f>IF(G311="FIM",IF(L311="","SEM VÍNCULO",IF(COUNTIF(tblBatidas[Batida ID],L311)=0,"VÍNCULO INVÁLIDO",IF(COUNTIF(tblBatidas[Início vinculado],L311)&gt;1,"VÍNCULO DUPLICADO",IF(E311&lt;&gt;INDEX(tblBatidas[ID],MATCH(L311,tblBatidas[Batida ID],0)),"DIVERGÊNCIA DE ID",IF(H311&lt;&gt;INDEX(tblBatidas[Projeto],MATCH(L311,tblBatidas[Batida ID],0)),"DIVERGÊNCIA DE PROJETO",IF(I311&lt;&gt;INDEX(tblBatidas[Atividade],MATCH(L311,tblBatidas[Batida ID],0)),"DIVERGÊNCIA DE ATIVIDADE",IF(OR(B311&lt;=INDEX(tblBatidas[Data e hora],MATCH(L311,tblBatidas[Batida ID],0)),(B311-INDEX(tblBatidas[Data e hora],MATCH(L311,tblBatidas[Batida ID],0)))*24&gt;16),"HORÁRIO INVÁLIDO","VINCULADO"))))))),"INÍCIO")</f>
        <v>INÍCIO</v>
      </c>
    </row>
    <row r="312" spans="1:13" hidden="1">
      <c r="A312" t="s">
        <v>892</v>
      </c>
      <c r="B312" s="21">
        <v>46268.366203703707</v>
      </c>
      <c r="C312" s="2">
        <f t="shared" si="8"/>
        <v>46268</v>
      </c>
      <c r="D312" t="str">
        <f t="shared" si="9"/>
        <v>QUINTA-FEIRA</v>
      </c>
      <c r="E312">
        <v>1015</v>
      </c>
      <c r="F312" t="s">
        <v>59</v>
      </c>
      <c r="G312" t="s">
        <v>499</v>
      </c>
      <c r="H312" t="s">
        <v>84</v>
      </c>
      <c r="I312" t="s">
        <v>84</v>
      </c>
      <c r="K312" t="s">
        <v>501</v>
      </c>
      <c r="L312" s="9"/>
      <c r="M312" t="str">
        <f>IF(G312="FIM",IF(L312="","SEM VÍNCULO",IF(COUNTIF(tblBatidas[Batida ID],L312)=0,"VÍNCULO INVÁLIDO",IF(COUNTIF(tblBatidas[Início vinculado],L312)&gt;1,"VÍNCULO DUPLICADO",IF(E312&lt;&gt;INDEX(tblBatidas[ID],MATCH(L312,tblBatidas[Batida ID],0)),"DIVERGÊNCIA DE ID",IF(H312&lt;&gt;INDEX(tblBatidas[Projeto],MATCH(L312,tblBatidas[Batida ID],0)),"DIVERGÊNCIA DE PROJETO",IF(I312&lt;&gt;INDEX(tblBatidas[Atividade],MATCH(L312,tblBatidas[Batida ID],0)),"DIVERGÊNCIA DE ATIVIDADE",IF(OR(B312&lt;=INDEX(tblBatidas[Data e hora],MATCH(L312,tblBatidas[Batida ID],0)),(B312-INDEX(tblBatidas[Data e hora],MATCH(L312,tblBatidas[Batida ID],0)))*24&gt;16),"HORÁRIO INVÁLIDO","VINCULADO"))))))),"INÍCIO")</f>
        <v>INÍCIO</v>
      </c>
    </row>
    <row r="313" spans="1:13" hidden="1">
      <c r="A313" t="s">
        <v>893</v>
      </c>
      <c r="B313" s="21">
        <v>46268.373449074075</v>
      </c>
      <c r="C313" s="2">
        <f t="shared" si="8"/>
        <v>46268</v>
      </c>
      <c r="D313" t="str">
        <f t="shared" si="9"/>
        <v>QUINTA-FEIRA</v>
      </c>
      <c r="E313">
        <v>1012</v>
      </c>
      <c r="F313" t="s">
        <v>55</v>
      </c>
      <c r="G313" t="s">
        <v>499</v>
      </c>
      <c r="H313" t="s">
        <v>74</v>
      </c>
      <c r="I313" t="s">
        <v>500</v>
      </c>
      <c r="K313" t="s">
        <v>501</v>
      </c>
      <c r="L313" s="9"/>
      <c r="M313" t="str">
        <f>IF(G313="FIM",IF(L313="","SEM VÍNCULO",IF(COUNTIF(tblBatidas[Batida ID],L313)=0,"VÍNCULO INVÁLIDO",IF(COUNTIF(tblBatidas[Início vinculado],L313)&gt;1,"VÍNCULO DUPLICADO",IF(E313&lt;&gt;INDEX(tblBatidas[ID],MATCH(L313,tblBatidas[Batida ID],0)),"DIVERGÊNCIA DE ID",IF(H313&lt;&gt;INDEX(tblBatidas[Projeto],MATCH(L313,tblBatidas[Batida ID],0)),"DIVERGÊNCIA DE PROJETO",IF(I313&lt;&gt;INDEX(tblBatidas[Atividade],MATCH(L313,tblBatidas[Batida ID],0)),"DIVERGÊNCIA DE ATIVIDADE",IF(OR(B313&lt;=INDEX(tblBatidas[Data e hora],MATCH(L313,tblBatidas[Batida ID],0)),(B313-INDEX(tblBatidas[Data e hora],MATCH(L313,tblBatidas[Batida ID],0)))*24&gt;16),"HORÁRIO INVÁLIDO","VINCULADO"))))))),"INÍCIO")</f>
        <v>INÍCIO</v>
      </c>
    </row>
    <row r="314" spans="1:13" hidden="1">
      <c r="A314" t="s">
        <v>894</v>
      </c>
      <c r="B314" s="21">
        <v>46268.375625000001</v>
      </c>
      <c r="C314" s="2">
        <f t="shared" si="8"/>
        <v>46268</v>
      </c>
      <c r="D314" t="str">
        <f t="shared" si="9"/>
        <v>QUINTA-FEIRA</v>
      </c>
      <c r="E314">
        <v>1004</v>
      </c>
      <c r="F314" t="s">
        <v>47</v>
      </c>
      <c r="G314" t="s">
        <v>499</v>
      </c>
      <c r="H314" t="s">
        <v>74</v>
      </c>
      <c r="I314" t="s">
        <v>538</v>
      </c>
      <c r="K314" t="s">
        <v>501</v>
      </c>
      <c r="L314" s="9"/>
      <c r="M314" t="str">
        <f>IF(G314="FIM",IF(L314="","SEM VÍNCULO",IF(COUNTIF(tblBatidas[Batida ID],L314)=0,"VÍNCULO INVÁLIDO",IF(COUNTIF(tblBatidas[Início vinculado],L314)&gt;1,"VÍNCULO DUPLICADO",IF(E314&lt;&gt;INDEX(tblBatidas[ID],MATCH(L314,tblBatidas[Batida ID],0)),"DIVERGÊNCIA DE ID",IF(H314&lt;&gt;INDEX(tblBatidas[Projeto],MATCH(L314,tblBatidas[Batida ID],0)),"DIVERGÊNCIA DE PROJETO",IF(I314&lt;&gt;INDEX(tblBatidas[Atividade],MATCH(L314,tblBatidas[Batida ID],0)),"DIVERGÊNCIA DE ATIVIDADE",IF(OR(B314&lt;=INDEX(tblBatidas[Data e hora],MATCH(L314,tblBatidas[Batida ID],0)),(B314-INDEX(tblBatidas[Data e hora],MATCH(L314,tblBatidas[Batida ID],0)))*24&gt;16),"HORÁRIO INVÁLIDO","VINCULADO"))))))),"INÍCIO")</f>
        <v>INÍCIO</v>
      </c>
    </row>
    <row r="315" spans="1:13" hidden="1">
      <c r="A315" t="s">
        <v>895</v>
      </c>
      <c r="B315" s="21">
        <v>46268.390960648147</v>
      </c>
      <c r="C315" s="2">
        <f t="shared" si="8"/>
        <v>46268</v>
      </c>
      <c r="D315" t="str">
        <f t="shared" si="9"/>
        <v>QUINTA-FEIRA</v>
      </c>
      <c r="E315">
        <v>1016</v>
      </c>
      <c r="F315" t="s">
        <v>60</v>
      </c>
      <c r="G315" t="s">
        <v>499</v>
      </c>
      <c r="H315" t="s">
        <v>70</v>
      </c>
      <c r="I315" t="s">
        <v>517</v>
      </c>
      <c r="K315" t="s">
        <v>501</v>
      </c>
      <c r="L315" s="9"/>
      <c r="M315" t="str">
        <f>IF(G315="FIM",IF(L315="","SEM VÍNCULO",IF(COUNTIF(tblBatidas[Batida ID],L315)=0,"VÍNCULO INVÁLIDO",IF(COUNTIF(tblBatidas[Início vinculado],L315)&gt;1,"VÍNCULO DUPLICADO",IF(E315&lt;&gt;INDEX(tblBatidas[ID],MATCH(L315,tblBatidas[Batida ID],0)),"DIVERGÊNCIA DE ID",IF(H315&lt;&gt;INDEX(tblBatidas[Projeto],MATCH(L315,tblBatidas[Batida ID],0)),"DIVERGÊNCIA DE PROJETO",IF(I315&lt;&gt;INDEX(tblBatidas[Atividade],MATCH(L315,tblBatidas[Batida ID],0)),"DIVERGÊNCIA DE ATIVIDADE",IF(OR(B315&lt;=INDEX(tblBatidas[Data e hora],MATCH(L315,tblBatidas[Batida ID],0)),(B315-INDEX(tblBatidas[Data e hora],MATCH(L315,tblBatidas[Batida ID],0)))*24&gt;16),"HORÁRIO INVÁLIDO","VINCULADO"))))))),"INÍCIO")</f>
        <v>INÍCIO</v>
      </c>
    </row>
    <row r="316" spans="1:13" hidden="1">
      <c r="A316" t="s">
        <v>896</v>
      </c>
      <c r="B316" s="21">
        <v>46268.411006944443</v>
      </c>
      <c r="C316" s="2">
        <f t="shared" si="8"/>
        <v>46268</v>
      </c>
      <c r="D316" t="str">
        <f t="shared" si="9"/>
        <v>QUINTA-FEIRA</v>
      </c>
      <c r="E316">
        <v>1014</v>
      </c>
      <c r="F316" t="s">
        <v>58</v>
      </c>
      <c r="G316" t="s">
        <v>499</v>
      </c>
      <c r="H316" t="s">
        <v>72</v>
      </c>
      <c r="I316" t="s">
        <v>512</v>
      </c>
      <c r="K316" t="s">
        <v>501</v>
      </c>
      <c r="L316" s="9"/>
      <c r="M316" t="str">
        <f>IF(G316="FIM",IF(L316="","SEM VÍNCULO",IF(COUNTIF(tblBatidas[Batida ID],L316)=0,"VÍNCULO INVÁLIDO",IF(COUNTIF(tblBatidas[Início vinculado],L316)&gt;1,"VÍNCULO DUPLICADO",IF(E316&lt;&gt;INDEX(tblBatidas[ID],MATCH(L316,tblBatidas[Batida ID],0)),"DIVERGÊNCIA DE ID",IF(H316&lt;&gt;INDEX(tblBatidas[Projeto],MATCH(L316,tblBatidas[Batida ID],0)),"DIVERGÊNCIA DE PROJETO",IF(I316&lt;&gt;INDEX(tblBatidas[Atividade],MATCH(L316,tblBatidas[Batida ID],0)),"DIVERGÊNCIA DE ATIVIDADE",IF(OR(B316&lt;=INDEX(tblBatidas[Data e hora],MATCH(L316,tblBatidas[Batida ID],0)),(B316-INDEX(tblBatidas[Data e hora],MATCH(L316,tblBatidas[Batida ID],0)))*24&gt;16),"HORÁRIO INVÁLIDO","VINCULADO"))))))),"INÍCIO")</f>
        <v>INÍCIO</v>
      </c>
    </row>
    <row r="317" spans="1:13" hidden="1">
      <c r="A317" t="s">
        <v>897</v>
      </c>
      <c r="B317" s="21">
        <v>46268.444027777776</v>
      </c>
      <c r="C317" s="2">
        <f t="shared" si="8"/>
        <v>46268</v>
      </c>
      <c r="D317" t="str">
        <f t="shared" si="9"/>
        <v>QUINTA-FEIRA</v>
      </c>
      <c r="E317">
        <v>1001</v>
      </c>
      <c r="F317" t="s">
        <v>43</v>
      </c>
      <c r="G317" t="s">
        <v>499</v>
      </c>
      <c r="H317" t="s">
        <v>72</v>
      </c>
      <c r="I317" t="s">
        <v>500</v>
      </c>
      <c r="J317" t="s">
        <v>898</v>
      </c>
      <c r="K317" t="s">
        <v>501</v>
      </c>
      <c r="L317" s="9"/>
      <c r="M317" t="str">
        <f>IF(G317="FIM",IF(L317="","SEM VÍNCULO",IF(COUNTIF(tblBatidas[Batida ID],L317)=0,"VÍNCULO INVÁLIDO",IF(COUNTIF(tblBatidas[Início vinculado],L317)&gt;1,"VÍNCULO DUPLICADO",IF(E317&lt;&gt;INDEX(tblBatidas[ID],MATCH(L317,tblBatidas[Batida ID],0)),"DIVERGÊNCIA DE ID",IF(H317&lt;&gt;INDEX(tblBatidas[Projeto],MATCH(L317,tblBatidas[Batida ID],0)),"DIVERGÊNCIA DE PROJETO",IF(I317&lt;&gt;INDEX(tblBatidas[Atividade],MATCH(L317,tblBatidas[Batida ID],0)),"DIVERGÊNCIA DE ATIVIDADE",IF(OR(B317&lt;=INDEX(tblBatidas[Data e hora],MATCH(L317,tblBatidas[Batida ID],0)),(B317-INDEX(tblBatidas[Data e hora],MATCH(L317,tblBatidas[Batida ID],0)))*24&gt;16),"HORÁRIO INVÁLIDO","VINCULADO"))))))),"INÍCIO")</f>
        <v>INÍCIO</v>
      </c>
    </row>
    <row r="318" spans="1:13" hidden="1">
      <c r="A318" t="s">
        <v>899</v>
      </c>
      <c r="B318" s="21">
        <v>46268.499131944445</v>
      </c>
      <c r="C318" s="2">
        <f t="shared" si="8"/>
        <v>46268</v>
      </c>
      <c r="D318" t="str">
        <f t="shared" si="9"/>
        <v>QUINTA-FEIRA</v>
      </c>
      <c r="E318">
        <v>1013</v>
      </c>
      <c r="F318" t="s">
        <v>57</v>
      </c>
      <c r="G318" t="s">
        <v>503</v>
      </c>
      <c r="H318" t="s">
        <v>74</v>
      </c>
      <c r="I318" t="s">
        <v>517</v>
      </c>
      <c r="K318" t="s">
        <v>501</v>
      </c>
      <c r="L318" s="9" t="s">
        <v>891</v>
      </c>
      <c r="M318" t="str">
        <f>IF(G318="FIM",IF(L318="","SEM VÍNCULO",IF(COUNTIF(tblBatidas[Batida ID],L318)=0,"VÍNCULO INVÁLIDO",IF(COUNTIF(tblBatidas[Início vinculado],L318)&gt;1,"VÍNCULO DUPLICADO",IF(E318&lt;&gt;INDEX(tblBatidas[ID],MATCH(L318,tblBatidas[Batida ID],0)),"DIVERGÊNCIA DE ID",IF(H318&lt;&gt;INDEX(tblBatidas[Projeto],MATCH(L318,tblBatidas[Batida ID],0)),"DIVERGÊNCIA DE PROJETO",IF(I318&lt;&gt;INDEX(tblBatidas[Atividade],MATCH(L318,tblBatidas[Batida ID],0)),"DIVERGÊNCIA DE ATIVIDADE",IF(OR(B318&lt;=INDEX(tblBatidas[Data e hora],MATCH(L318,tblBatidas[Batida ID],0)),(B318-INDEX(tblBatidas[Data e hora],MATCH(L318,tblBatidas[Batida ID],0)))*24&gt;16),"HORÁRIO INVÁLIDO","VINCULADO"))))))),"INÍCIO")</f>
        <v>VINCULADO</v>
      </c>
    </row>
    <row r="319" spans="1:13" hidden="1">
      <c r="A319" t="s">
        <v>900</v>
      </c>
      <c r="B319" s="21">
        <v>46268.517210648148</v>
      </c>
      <c r="C319" s="2">
        <f t="shared" si="8"/>
        <v>46268</v>
      </c>
      <c r="D319" t="str">
        <f t="shared" si="9"/>
        <v>QUINTA-FEIRA</v>
      </c>
      <c r="E319">
        <v>1015</v>
      </c>
      <c r="F319" t="s">
        <v>59</v>
      </c>
      <c r="G319" t="s">
        <v>503</v>
      </c>
      <c r="H319" t="s">
        <v>84</v>
      </c>
      <c r="I319" t="s">
        <v>84</v>
      </c>
      <c r="K319" t="s">
        <v>501</v>
      </c>
      <c r="L319" s="9" t="s">
        <v>892</v>
      </c>
      <c r="M319" t="str">
        <f>IF(G319="FIM",IF(L319="","SEM VÍNCULO",IF(COUNTIF(tblBatidas[Batida ID],L319)=0,"VÍNCULO INVÁLIDO",IF(COUNTIF(tblBatidas[Início vinculado],L319)&gt;1,"VÍNCULO DUPLICADO",IF(E319&lt;&gt;INDEX(tblBatidas[ID],MATCH(L319,tblBatidas[Batida ID],0)),"DIVERGÊNCIA DE ID",IF(H319&lt;&gt;INDEX(tblBatidas[Projeto],MATCH(L319,tblBatidas[Batida ID],0)),"DIVERGÊNCIA DE PROJETO",IF(I319&lt;&gt;INDEX(tblBatidas[Atividade],MATCH(L319,tblBatidas[Batida ID],0)),"DIVERGÊNCIA DE ATIVIDADE",IF(OR(B319&lt;=INDEX(tblBatidas[Data e hora],MATCH(L319,tblBatidas[Batida ID],0)),(B319-INDEX(tblBatidas[Data e hora],MATCH(L319,tblBatidas[Batida ID],0)))*24&gt;16),"HORÁRIO INVÁLIDO","VINCULADO"))))))),"INÍCIO")</f>
        <v>VINCULADO</v>
      </c>
    </row>
    <row r="320" spans="1:13" hidden="1">
      <c r="A320" t="s">
        <v>901</v>
      </c>
      <c r="B320" s="21">
        <v>46268.523761574077</v>
      </c>
      <c r="C320" s="2">
        <f t="shared" si="8"/>
        <v>46268</v>
      </c>
      <c r="D320" t="str">
        <f t="shared" si="9"/>
        <v>QUINTA-FEIRA</v>
      </c>
      <c r="E320">
        <v>1016</v>
      </c>
      <c r="F320" t="s">
        <v>60</v>
      </c>
      <c r="G320" t="s">
        <v>503</v>
      </c>
      <c r="H320" t="s">
        <v>70</v>
      </c>
      <c r="I320" t="s">
        <v>517</v>
      </c>
      <c r="K320" t="s">
        <v>501</v>
      </c>
      <c r="L320" s="9" t="s">
        <v>895</v>
      </c>
      <c r="M320" t="str">
        <f>IF(G320="FIM",IF(L320="","SEM VÍNCULO",IF(COUNTIF(tblBatidas[Batida ID],L320)=0,"VÍNCULO INVÁLIDO",IF(COUNTIF(tblBatidas[Início vinculado],L320)&gt;1,"VÍNCULO DUPLICADO",IF(E320&lt;&gt;INDEX(tblBatidas[ID],MATCH(L320,tblBatidas[Batida ID],0)),"DIVERGÊNCIA DE ID",IF(H320&lt;&gt;INDEX(tblBatidas[Projeto],MATCH(L320,tblBatidas[Batida ID],0)),"DIVERGÊNCIA DE PROJETO",IF(I320&lt;&gt;INDEX(tblBatidas[Atividade],MATCH(L320,tblBatidas[Batida ID],0)),"DIVERGÊNCIA DE ATIVIDADE",IF(OR(B320&lt;=INDEX(tblBatidas[Data e hora],MATCH(L320,tblBatidas[Batida ID],0)),(B320-INDEX(tblBatidas[Data e hora],MATCH(L320,tblBatidas[Batida ID],0)))*24&gt;16),"HORÁRIO INVÁLIDO","VINCULADO"))))))),"INÍCIO")</f>
        <v>VINCULADO</v>
      </c>
    </row>
    <row r="321" spans="1:13" hidden="1">
      <c r="A321" t="s">
        <v>902</v>
      </c>
      <c r="B321" s="21">
        <v>46268.528078703705</v>
      </c>
      <c r="C321" s="2">
        <f t="shared" si="8"/>
        <v>46268</v>
      </c>
      <c r="D321" t="str">
        <f t="shared" si="9"/>
        <v>QUINTA-FEIRA</v>
      </c>
      <c r="E321">
        <v>1004</v>
      </c>
      <c r="F321" t="s">
        <v>47</v>
      </c>
      <c r="G321" t="s">
        <v>503</v>
      </c>
      <c r="H321" t="s">
        <v>74</v>
      </c>
      <c r="I321" t="s">
        <v>538</v>
      </c>
      <c r="K321" t="s">
        <v>501</v>
      </c>
      <c r="L321" s="9" t="s">
        <v>894</v>
      </c>
      <c r="M321" t="str">
        <f>IF(G321="FIM",IF(L321="","SEM VÍNCULO",IF(COUNTIF(tblBatidas[Batida ID],L321)=0,"VÍNCULO INVÁLIDO",IF(COUNTIF(tblBatidas[Início vinculado],L321)&gt;1,"VÍNCULO DUPLICADO",IF(E321&lt;&gt;INDEX(tblBatidas[ID],MATCH(L321,tblBatidas[Batida ID],0)),"DIVERGÊNCIA DE ID",IF(H321&lt;&gt;INDEX(tblBatidas[Projeto],MATCH(L321,tblBatidas[Batida ID],0)),"DIVERGÊNCIA DE PROJETO",IF(I321&lt;&gt;INDEX(tblBatidas[Atividade],MATCH(L321,tblBatidas[Batida ID],0)),"DIVERGÊNCIA DE ATIVIDADE",IF(OR(B321&lt;=INDEX(tblBatidas[Data e hora],MATCH(L321,tblBatidas[Batida ID],0)),(B321-INDEX(tblBatidas[Data e hora],MATCH(L321,tblBatidas[Batida ID],0)))*24&gt;16),"HORÁRIO INVÁLIDO","VINCULADO"))))))),"INÍCIO")</f>
        <v>VINCULADO</v>
      </c>
    </row>
    <row r="322" spans="1:13" hidden="1">
      <c r="A322" t="s">
        <v>903</v>
      </c>
      <c r="B322" s="21">
        <v>46268.532002314816</v>
      </c>
      <c r="C322" s="2">
        <f t="shared" si="8"/>
        <v>46268</v>
      </c>
      <c r="D322" t="str">
        <f t="shared" si="9"/>
        <v>QUINTA-FEIRA</v>
      </c>
      <c r="E322">
        <v>1003</v>
      </c>
      <c r="F322" t="s">
        <v>46</v>
      </c>
      <c r="G322" t="s">
        <v>503</v>
      </c>
      <c r="H322" t="s">
        <v>74</v>
      </c>
      <c r="I322" t="s">
        <v>517</v>
      </c>
      <c r="J322" t="s">
        <v>904</v>
      </c>
      <c r="K322" t="s">
        <v>501</v>
      </c>
      <c r="L322" s="9" t="s">
        <v>890</v>
      </c>
      <c r="M322" t="str">
        <f>IF(G322="FIM",IF(L322="","SEM VÍNCULO",IF(COUNTIF(tblBatidas[Batida ID],L322)=0,"VÍNCULO INVÁLIDO",IF(COUNTIF(tblBatidas[Início vinculado],L322)&gt;1,"VÍNCULO DUPLICADO",IF(E322&lt;&gt;INDEX(tblBatidas[ID],MATCH(L322,tblBatidas[Batida ID],0)),"DIVERGÊNCIA DE ID",IF(H322&lt;&gt;INDEX(tblBatidas[Projeto],MATCH(L322,tblBatidas[Batida ID],0)),"DIVERGÊNCIA DE PROJETO",IF(I322&lt;&gt;INDEX(tblBatidas[Atividade],MATCH(L322,tblBatidas[Batida ID],0)),"DIVERGÊNCIA DE ATIVIDADE",IF(OR(B322&lt;=INDEX(tblBatidas[Data e hora],MATCH(L322,tblBatidas[Batida ID],0)),(B322-INDEX(tblBatidas[Data e hora],MATCH(L322,tblBatidas[Batida ID],0)))*24&gt;16),"HORÁRIO INVÁLIDO","VINCULADO"))))))),"INÍCIO")</f>
        <v>VINCULADO</v>
      </c>
    </row>
    <row r="323" spans="1:13" hidden="1">
      <c r="A323" t="s">
        <v>905</v>
      </c>
      <c r="B323" s="21">
        <v>46268.533877314818</v>
      </c>
      <c r="C323" s="2">
        <f t="shared" si="8"/>
        <v>46268</v>
      </c>
      <c r="D323" t="str">
        <f t="shared" si="9"/>
        <v>QUINTA-FEIRA</v>
      </c>
      <c r="E323">
        <v>1014</v>
      </c>
      <c r="F323" t="s">
        <v>58</v>
      </c>
      <c r="G323" t="s">
        <v>503</v>
      </c>
      <c r="H323" t="s">
        <v>72</v>
      </c>
      <c r="I323" t="s">
        <v>512</v>
      </c>
      <c r="K323" t="s">
        <v>501</v>
      </c>
      <c r="L323" s="9" t="s">
        <v>896</v>
      </c>
      <c r="M323" t="str">
        <f>IF(G323="FIM",IF(L323="","SEM VÍNCULO",IF(COUNTIF(tblBatidas[Batida ID],L323)=0,"VÍNCULO INVÁLIDO",IF(COUNTIF(tblBatidas[Início vinculado],L323)&gt;1,"VÍNCULO DUPLICADO",IF(E323&lt;&gt;INDEX(tblBatidas[ID],MATCH(L323,tblBatidas[Batida ID],0)),"DIVERGÊNCIA DE ID",IF(H323&lt;&gt;INDEX(tblBatidas[Projeto],MATCH(L323,tblBatidas[Batida ID],0)),"DIVERGÊNCIA DE PROJETO",IF(I323&lt;&gt;INDEX(tblBatidas[Atividade],MATCH(L323,tblBatidas[Batida ID],0)),"DIVERGÊNCIA DE ATIVIDADE",IF(OR(B323&lt;=INDEX(tblBatidas[Data e hora],MATCH(L323,tblBatidas[Batida ID],0)),(B323-INDEX(tblBatidas[Data e hora],MATCH(L323,tblBatidas[Batida ID],0)))*24&gt;16),"HORÁRIO INVÁLIDO","VINCULADO"))))))),"INÍCIO")</f>
        <v>VINCULADO</v>
      </c>
    </row>
    <row r="324" spans="1:13" hidden="1">
      <c r="A324" t="s">
        <v>906</v>
      </c>
      <c r="B324" s="21">
        <v>46268.543553240743</v>
      </c>
      <c r="C324" s="2">
        <f t="shared" si="8"/>
        <v>46268</v>
      </c>
      <c r="D324" t="str">
        <f t="shared" si="9"/>
        <v>QUINTA-FEIRA</v>
      </c>
      <c r="E324">
        <v>1013</v>
      </c>
      <c r="F324" t="s">
        <v>57</v>
      </c>
      <c r="G324" t="s">
        <v>499</v>
      </c>
      <c r="H324" t="s">
        <v>74</v>
      </c>
      <c r="I324" t="s">
        <v>517</v>
      </c>
      <c r="K324" t="s">
        <v>501</v>
      </c>
      <c r="L324" s="9"/>
      <c r="M324" t="str">
        <f>IF(G324="FIM",IF(L324="","SEM VÍNCULO",IF(COUNTIF(tblBatidas[Batida ID],L324)=0,"VÍNCULO INVÁLIDO",IF(COUNTIF(tblBatidas[Início vinculado],L324)&gt;1,"VÍNCULO DUPLICADO",IF(E324&lt;&gt;INDEX(tblBatidas[ID],MATCH(L324,tblBatidas[Batida ID],0)),"DIVERGÊNCIA DE ID",IF(H324&lt;&gt;INDEX(tblBatidas[Projeto],MATCH(L324,tblBatidas[Batida ID],0)),"DIVERGÊNCIA DE PROJETO",IF(I324&lt;&gt;INDEX(tblBatidas[Atividade],MATCH(L324,tblBatidas[Batida ID],0)),"DIVERGÊNCIA DE ATIVIDADE",IF(OR(B324&lt;=INDEX(tblBatidas[Data e hora],MATCH(L324,tblBatidas[Batida ID],0)),(B324-INDEX(tblBatidas[Data e hora],MATCH(L324,tblBatidas[Batida ID],0)))*24&gt;16),"HORÁRIO INVÁLIDO","VINCULADO"))))))),"INÍCIO")</f>
        <v>INÍCIO</v>
      </c>
    </row>
    <row r="325" spans="1:13" hidden="1">
      <c r="A325" t="s">
        <v>907</v>
      </c>
      <c r="B325" s="21">
        <v>46268.556238425925</v>
      </c>
      <c r="C325" s="2">
        <f t="shared" ref="C325:C388" si="10">IF(B325="","",INT(B325))</f>
        <v>46268</v>
      </c>
      <c r="D325" t="str">
        <f t="shared" ref="D325:D388" si="11">IF(C325="","",CHOOSE(WEEKDAY(C325,2),"SEGUNDA-FEIRA","TERÇA-FEIRA","QUARTA-FEIRA","QUINTA-FEIRA","SEXTA-FEIRA","SÁBADO","DOMINGO"))</f>
        <v>QUINTA-FEIRA</v>
      </c>
      <c r="E325">
        <v>1016</v>
      </c>
      <c r="F325" t="s">
        <v>60</v>
      </c>
      <c r="G325" t="s">
        <v>499</v>
      </c>
      <c r="H325" t="s">
        <v>70</v>
      </c>
      <c r="I325" t="s">
        <v>517</v>
      </c>
      <c r="K325" t="s">
        <v>501</v>
      </c>
      <c r="L325" s="9"/>
      <c r="M325" t="str">
        <f>IF(G325="FIM",IF(L325="","SEM VÍNCULO",IF(COUNTIF(tblBatidas[Batida ID],L325)=0,"VÍNCULO INVÁLIDO",IF(COUNTIF(tblBatidas[Início vinculado],L325)&gt;1,"VÍNCULO DUPLICADO",IF(E325&lt;&gt;INDEX(tblBatidas[ID],MATCH(L325,tblBatidas[Batida ID],0)),"DIVERGÊNCIA DE ID",IF(H325&lt;&gt;INDEX(tblBatidas[Projeto],MATCH(L325,tblBatidas[Batida ID],0)),"DIVERGÊNCIA DE PROJETO",IF(I325&lt;&gt;INDEX(tblBatidas[Atividade],MATCH(L325,tblBatidas[Batida ID],0)),"DIVERGÊNCIA DE ATIVIDADE",IF(OR(B325&lt;=INDEX(tblBatidas[Data e hora],MATCH(L325,tblBatidas[Batida ID],0)),(B325-INDEX(tblBatidas[Data e hora],MATCH(L325,tblBatidas[Batida ID],0)))*24&gt;16),"HORÁRIO INVÁLIDO","VINCULADO"))))))),"INÍCIO")</f>
        <v>INÍCIO</v>
      </c>
    </row>
    <row r="326" spans="1:13" hidden="1">
      <c r="A326" t="s">
        <v>908</v>
      </c>
      <c r="B326" s="21">
        <v>46268.557962962965</v>
      </c>
      <c r="C326" s="2">
        <f t="shared" si="10"/>
        <v>46268</v>
      </c>
      <c r="D326" t="str">
        <f t="shared" si="11"/>
        <v>QUINTA-FEIRA</v>
      </c>
      <c r="E326">
        <v>1015</v>
      </c>
      <c r="F326" t="s">
        <v>59</v>
      </c>
      <c r="G326" t="s">
        <v>499</v>
      </c>
      <c r="H326" t="s">
        <v>84</v>
      </c>
      <c r="I326" t="s">
        <v>84</v>
      </c>
      <c r="K326" t="s">
        <v>501</v>
      </c>
      <c r="L326" s="9"/>
      <c r="M326" t="str">
        <f>IF(G326="FIM",IF(L326="","SEM VÍNCULO",IF(COUNTIF(tblBatidas[Batida ID],L326)=0,"VÍNCULO INVÁLIDO",IF(COUNTIF(tblBatidas[Início vinculado],L326)&gt;1,"VÍNCULO DUPLICADO",IF(E326&lt;&gt;INDEX(tblBatidas[ID],MATCH(L326,tblBatidas[Batida ID],0)),"DIVERGÊNCIA DE ID",IF(H326&lt;&gt;INDEX(tblBatidas[Projeto],MATCH(L326,tblBatidas[Batida ID],0)),"DIVERGÊNCIA DE PROJETO",IF(I326&lt;&gt;INDEX(tblBatidas[Atividade],MATCH(L326,tblBatidas[Batida ID],0)),"DIVERGÊNCIA DE ATIVIDADE",IF(OR(B326&lt;=INDEX(tblBatidas[Data e hora],MATCH(L326,tblBatidas[Batida ID],0)),(B326-INDEX(tblBatidas[Data e hora],MATCH(L326,tblBatidas[Batida ID],0)))*24&gt;16),"HORÁRIO INVÁLIDO","VINCULADO"))))))),"INÍCIO")</f>
        <v>INÍCIO</v>
      </c>
    </row>
    <row r="327" spans="1:13" hidden="1">
      <c r="A327" t="s">
        <v>909</v>
      </c>
      <c r="B327" s="21">
        <v>46268.566041666665</v>
      </c>
      <c r="C327" s="2">
        <f t="shared" si="10"/>
        <v>46268</v>
      </c>
      <c r="D327" t="str">
        <f t="shared" si="11"/>
        <v>QUINTA-FEIRA</v>
      </c>
      <c r="E327">
        <v>1003</v>
      </c>
      <c r="F327" t="s">
        <v>46</v>
      </c>
      <c r="G327" t="s">
        <v>499</v>
      </c>
      <c r="H327" t="s">
        <v>72</v>
      </c>
      <c r="I327" t="s">
        <v>517</v>
      </c>
      <c r="J327" t="s">
        <v>910</v>
      </c>
      <c r="K327" t="s">
        <v>501</v>
      </c>
      <c r="L327" s="9"/>
      <c r="M327" t="str">
        <f>IF(G327="FIM",IF(L327="","SEM VÍNCULO",IF(COUNTIF(tblBatidas[Batida ID],L327)=0,"VÍNCULO INVÁLIDO",IF(COUNTIF(tblBatidas[Início vinculado],L327)&gt;1,"VÍNCULO DUPLICADO",IF(E327&lt;&gt;INDEX(tblBatidas[ID],MATCH(L327,tblBatidas[Batida ID],0)),"DIVERGÊNCIA DE ID",IF(H327&lt;&gt;INDEX(tblBatidas[Projeto],MATCH(L327,tblBatidas[Batida ID],0)),"DIVERGÊNCIA DE PROJETO",IF(I327&lt;&gt;INDEX(tblBatidas[Atividade],MATCH(L327,tblBatidas[Batida ID],0)),"DIVERGÊNCIA DE ATIVIDADE",IF(OR(B327&lt;=INDEX(tblBatidas[Data e hora],MATCH(L327,tblBatidas[Batida ID],0)),(B327-INDEX(tblBatidas[Data e hora],MATCH(L327,tblBatidas[Batida ID],0)))*24&gt;16),"HORÁRIO INVÁLIDO","VINCULADO"))))))),"INÍCIO")</f>
        <v>INÍCIO</v>
      </c>
    </row>
    <row r="328" spans="1:13" hidden="1">
      <c r="A328" t="s">
        <v>911</v>
      </c>
      <c r="B328" s="21">
        <v>46268.578263888892</v>
      </c>
      <c r="C328" s="2">
        <f t="shared" si="10"/>
        <v>46268</v>
      </c>
      <c r="D328" t="str">
        <f t="shared" si="11"/>
        <v>QUINTA-FEIRA</v>
      </c>
      <c r="E328">
        <v>1012</v>
      </c>
      <c r="F328" t="s">
        <v>55</v>
      </c>
      <c r="G328" t="s">
        <v>499</v>
      </c>
      <c r="H328" t="s">
        <v>74</v>
      </c>
      <c r="I328" t="s">
        <v>500</v>
      </c>
      <c r="K328" t="s">
        <v>501</v>
      </c>
      <c r="L328" s="9"/>
      <c r="M328" t="str">
        <f>IF(G328="FIM",IF(L328="","SEM VÍNCULO",IF(COUNTIF(tblBatidas[Batida ID],L328)=0,"VÍNCULO INVÁLIDO",IF(COUNTIF(tblBatidas[Início vinculado],L328)&gt;1,"VÍNCULO DUPLICADO",IF(E328&lt;&gt;INDEX(tblBatidas[ID],MATCH(L328,tblBatidas[Batida ID],0)),"DIVERGÊNCIA DE ID",IF(H328&lt;&gt;INDEX(tblBatidas[Projeto],MATCH(L328,tblBatidas[Batida ID],0)),"DIVERGÊNCIA DE PROJETO",IF(I328&lt;&gt;INDEX(tblBatidas[Atividade],MATCH(L328,tblBatidas[Batida ID],0)),"DIVERGÊNCIA DE ATIVIDADE",IF(OR(B328&lt;=INDEX(tblBatidas[Data e hora],MATCH(L328,tblBatidas[Batida ID],0)),(B328-INDEX(tblBatidas[Data e hora],MATCH(L328,tblBatidas[Batida ID],0)))*24&gt;16),"HORÁRIO INVÁLIDO","VINCULADO"))))))),"INÍCIO")</f>
        <v>INÍCIO</v>
      </c>
    </row>
    <row r="329" spans="1:13" hidden="1">
      <c r="A329" t="s">
        <v>912</v>
      </c>
      <c r="B329" s="21">
        <v>46268.579571759263</v>
      </c>
      <c r="C329" s="2">
        <f t="shared" si="10"/>
        <v>46268</v>
      </c>
      <c r="D329" t="str">
        <f t="shared" si="11"/>
        <v>QUINTA-FEIRA</v>
      </c>
      <c r="E329">
        <v>1001</v>
      </c>
      <c r="F329" t="s">
        <v>43</v>
      </c>
      <c r="G329" t="s">
        <v>503</v>
      </c>
      <c r="H329" t="s">
        <v>72</v>
      </c>
      <c r="I329" t="s">
        <v>500</v>
      </c>
      <c r="J329" t="s">
        <v>913</v>
      </c>
      <c r="K329" t="s">
        <v>501</v>
      </c>
      <c r="L329" s="9" t="s">
        <v>897</v>
      </c>
      <c r="M329" t="str">
        <f>IF(G329="FIM",IF(L329="","SEM VÍNCULO",IF(COUNTIF(tblBatidas[Batida ID],L329)=0,"VÍNCULO INVÁLIDO",IF(COUNTIF(tblBatidas[Início vinculado],L329)&gt;1,"VÍNCULO DUPLICADO",IF(E329&lt;&gt;INDEX(tblBatidas[ID],MATCH(L329,tblBatidas[Batida ID],0)),"DIVERGÊNCIA DE ID",IF(H329&lt;&gt;INDEX(tblBatidas[Projeto],MATCH(L329,tblBatidas[Batida ID],0)),"DIVERGÊNCIA DE PROJETO",IF(I329&lt;&gt;INDEX(tblBatidas[Atividade],MATCH(L329,tblBatidas[Batida ID],0)),"DIVERGÊNCIA DE ATIVIDADE",IF(OR(B329&lt;=INDEX(tblBatidas[Data e hora],MATCH(L329,tblBatidas[Batida ID],0)),(B329-INDEX(tblBatidas[Data e hora],MATCH(L329,tblBatidas[Batida ID],0)))*24&gt;16),"HORÁRIO INVÁLIDO","VINCULADO"))))))),"INÍCIO")</f>
        <v>VINCULADO</v>
      </c>
    </row>
    <row r="330" spans="1:13" hidden="1">
      <c r="A330" t="s">
        <v>914</v>
      </c>
      <c r="B330" s="21">
        <v>46268.586851851855</v>
      </c>
      <c r="C330" s="2">
        <f t="shared" si="10"/>
        <v>46268</v>
      </c>
      <c r="D330" t="str">
        <f t="shared" si="11"/>
        <v>QUINTA-FEIRA</v>
      </c>
      <c r="E330">
        <v>1011</v>
      </c>
      <c r="F330" t="s">
        <v>54</v>
      </c>
      <c r="G330" t="s">
        <v>503</v>
      </c>
      <c r="H330" t="s">
        <v>74</v>
      </c>
      <c r="I330" t="s">
        <v>517</v>
      </c>
      <c r="K330" t="s">
        <v>501</v>
      </c>
      <c r="L330" s="9" t="s">
        <v>889</v>
      </c>
      <c r="M330" t="str">
        <f>IF(G330="FIM",IF(L330="","SEM VÍNCULO",IF(COUNTIF(tblBatidas[Batida ID],L330)=0,"VÍNCULO INVÁLIDO",IF(COUNTIF(tblBatidas[Início vinculado],L330)&gt;1,"VÍNCULO DUPLICADO",IF(E330&lt;&gt;INDEX(tblBatidas[ID],MATCH(L330,tblBatidas[Batida ID],0)),"DIVERGÊNCIA DE ID",IF(H330&lt;&gt;INDEX(tblBatidas[Projeto],MATCH(L330,tblBatidas[Batida ID],0)),"DIVERGÊNCIA DE PROJETO",IF(I330&lt;&gt;INDEX(tblBatidas[Atividade],MATCH(L330,tblBatidas[Batida ID],0)),"DIVERGÊNCIA DE ATIVIDADE",IF(OR(B330&lt;=INDEX(tblBatidas[Data e hora],MATCH(L330,tblBatidas[Batida ID],0)),(B330-INDEX(tblBatidas[Data e hora],MATCH(L330,tblBatidas[Batida ID],0)))*24&gt;16),"HORÁRIO INVÁLIDO","VINCULADO"))))))),"INÍCIO")</f>
        <v>VINCULADO</v>
      </c>
    </row>
    <row r="331" spans="1:13" hidden="1">
      <c r="A331" t="s">
        <v>915</v>
      </c>
      <c r="B331" s="21">
        <v>46268.587175925924</v>
      </c>
      <c r="C331" s="2">
        <f t="shared" si="10"/>
        <v>46268</v>
      </c>
      <c r="D331" t="str">
        <f t="shared" si="11"/>
        <v>QUINTA-FEIRA</v>
      </c>
      <c r="E331">
        <v>1004</v>
      </c>
      <c r="F331" t="s">
        <v>47</v>
      </c>
      <c r="G331" t="s">
        <v>503</v>
      </c>
      <c r="H331" t="s">
        <v>74</v>
      </c>
      <c r="I331" t="s">
        <v>538</v>
      </c>
      <c r="K331" t="s">
        <v>501</v>
      </c>
      <c r="L331" s="9"/>
      <c r="M331" t="str">
        <f>IF(G331="FIM",IF(L331="","SEM VÍNCULO",IF(COUNTIF(tblBatidas[Batida ID],L331)=0,"VÍNCULO INVÁLIDO",IF(COUNTIF(tblBatidas[Início vinculado],L331)&gt;1,"VÍNCULO DUPLICADO",IF(E331&lt;&gt;INDEX(tblBatidas[ID],MATCH(L331,tblBatidas[Batida ID],0)),"DIVERGÊNCIA DE ID",IF(H331&lt;&gt;INDEX(tblBatidas[Projeto],MATCH(L331,tblBatidas[Batida ID],0)),"DIVERGÊNCIA DE PROJETO",IF(I331&lt;&gt;INDEX(tblBatidas[Atividade],MATCH(L331,tblBatidas[Batida ID],0)),"DIVERGÊNCIA DE ATIVIDADE",IF(OR(B331&lt;=INDEX(tblBatidas[Data e hora],MATCH(L331,tblBatidas[Batida ID],0)),(B331-INDEX(tblBatidas[Data e hora],MATCH(L331,tblBatidas[Batida ID],0)))*24&gt;16),"HORÁRIO INVÁLIDO","VINCULADO"))))))),"INÍCIO")</f>
        <v>SEM VÍNCULO</v>
      </c>
    </row>
    <row r="332" spans="1:13" hidden="1">
      <c r="A332" t="s">
        <v>916</v>
      </c>
      <c r="B332" s="21">
        <v>46268.598587962966</v>
      </c>
      <c r="C332" s="2">
        <f t="shared" si="10"/>
        <v>46268</v>
      </c>
      <c r="D332" t="str">
        <f t="shared" si="11"/>
        <v>QUINTA-FEIRA</v>
      </c>
      <c r="E332">
        <v>1014</v>
      </c>
      <c r="F332" t="s">
        <v>58</v>
      </c>
      <c r="G332" t="s">
        <v>499</v>
      </c>
      <c r="H332" t="s">
        <v>72</v>
      </c>
      <c r="I332" t="s">
        <v>512</v>
      </c>
      <c r="K332" t="s">
        <v>501</v>
      </c>
      <c r="L332" s="9"/>
      <c r="M332" t="str">
        <f>IF(G332="FIM",IF(L332="","SEM VÍNCULO",IF(COUNTIF(tblBatidas[Batida ID],L332)=0,"VÍNCULO INVÁLIDO",IF(COUNTIF(tblBatidas[Início vinculado],L332)&gt;1,"VÍNCULO DUPLICADO",IF(E332&lt;&gt;INDEX(tblBatidas[ID],MATCH(L332,tblBatidas[Batida ID],0)),"DIVERGÊNCIA DE ID",IF(H332&lt;&gt;INDEX(tblBatidas[Projeto],MATCH(L332,tblBatidas[Batida ID],0)),"DIVERGÊNCIA DE PROJETO",IF(I332&lt;&gt;INDEX(tblBatidas[Atividade],MATCH(L332,tblBatidas[Batida ID],0)),"DIVERGÊNCIA DE ATIVIDADE",IF(OR(B332&lt;=INDEX(tblBatidas[Data e hora],MATCH(L332,tblBatidas[Batida ID],0)),(B332-INDEX(tblBatidas[Data e hora],MATCH(L332,tblBatidas[Batida ID],0)))*24&gt;16),"HORÁRIO INVÁLIDO","VINCULADO"))))))),"INÍCIO")</f>
        <v>INÍCIO</v>
      </c>
    </row>
    <row r="333" spans="1:13" hidden="1">
      <c r="A333" t="s">
        <v>917</v>
      </c>
      <c r="B333" s="21">
        <v>46268.644421296296</v>
      </c>
      <c r="C333" s="2">
        <f t="shared" si="10"/>
        <v>46268</v>
      </c>
      <c r="D333" t="str">
        <f t="shared" si="11"/>
        <v>QUINTA-FEIRA</v>
      </c>
      <c r="E333">
        <v>1011</v>
      </c>
      <c r="F333" t="s">
        <v>54</v>
      </c>
      <c r="G333" t="s">
        <v>499</v>
      </c>
      <c r="H333" t="s">
        <v>74</v>
      </c>
      <c r="I333" t="s">
        <v>517</v>
      </c>
      <c r="K333" t="s">
        <v>501</v>
      </c>
      <c r="L333" s="9"/>
      <c r="M333" t="str">
        <f>IF(G333="FIM",IF(L333="","SEM VÍNCULO",IF(COUNTIF(tblBatidas[Batida ID],L333)=0,"VÍNCULO INVÁLIDO",IF(COUNTIF(tblBatidas[Início vinculado],L333)&gt;1,"VÍNCULO DUPLICADO",IF(E333&lt;&gt;INDEX(tblBatidas[ID],MATCH(L333,tblBatidas[Batida ID],0)),"DIVERGÊNCIA DE ID",IF(H333&lt;&gt;INDEX(tblBatidas[Projeto],MATCH(L333,tblBatidas[Batida ID],0)),"DIVERGÊNCIA DE PROJETO",IF(I333&lt;&gt;INDEX(tblBatidas[Atividade],MATCH(L333,tblBatidas[Batida ID],0)),"DIVERGÊNCIA DE ATIVIDADE",IF(OR(B333&lt;=INDEX(tblBatidas[Data e hora],MATCH(L333,tblBatidas[Batida ID],0)),(B333-INDEX(tblBatidas[Data e hora],MATCH(L333,tblBatidas[Batida ID],0)))*24&gt;16),"HORÁRIO INVÁLIDO","VINCULADO"))))))),"INÍCIO")</f>
        <v>INÍCIO</v>
      </c>
    </row>
    <row r="334" spans="1:13" hidden="1">
      <c r="A334" t="s">
        <v>918</v>
      </c>
      <c r="B334" s="21">
        <v>46268.680902777778</v>
      </c>
      <c r="C334" s="2">
        <f t="shared" si="10"/>
        <v>46268</v>
      </c>
      <c r="D334" t="str">
        <f t="shared" si="11"/>
        <v>QUINTA-FEIRA</v>
      </c>
      <c r="E334">
        <v>1014</v>
      </c>
      <c r="F334" t="s">
        <v>58</v>
      </c>
      <c r="G334" t="s">
        <v>499</v>
      </c>
      <c r="H334" t="s">
        <v>72</v>
      </c>
      <c r="I334" t="s">
        <v>512</v>
      </c>
      <c r="K334" t="s">
        <v>501</v>
      </c>
      <c r="L334" s="9"/>
      <c r="M334" t="str">
        <f>IF(G334="FIM",IF(L334="","SEM VÍNCULO",IF(COUNTIF(tblBatidas[Batida ID],L334)=0,"VÍNCULO INVÁLIDO",IF(COUNTIF(tblBatidas[Início vinculado],L334)&gt;1,"VÍNCULO DUPLICADO",IF(E334&lt;&gt;INDEX(tblBatidas[ID],MATCH(L334,tblBatidas[Batida ID],0)),"DIVERGÊNCIA DE ID",IF(H334&lt;&gt;INDEX(tblBatidas[Projeto],MATCH(L334,tblBatidas[Batida ID],0)),"DIVERGÊNCIA DE PROJETO",IF(I334&lt;&gt;INDEX(tblBatidas[Atividade],MATCH(L334,tblBatidas[Batida ID],0)),"DIVERGÊNCIA DE ATIVIDADE",IF(OR(B334&lt;=INDEX(tblBatidas[Data e hora],MATCH(L334,tblBatidas[Batida ID],0)),(B334-INDEX(tblBatidas[Data e hora],MATCH(L334,tblBatidas[Batida ID],0)))*24&gt;16),"HORÁRIO INVÁLIDO","VINCULADO"))))))),"INÍCIO")</f>
        <v>INÍCIO</v>
      </c>
    </row>
    <row r="335" spans="1:13" hidden="1">
      <c r="A335" t="s">
        <v>919</v>
      </c>
      <c r="B335" s="21">
        <v>46268.740833333337</v>
      </c>
      <c r="C335" s="2">
        <f t="shared" si="10"/>
        <v>46268</v>
      </c>
      <c r="D335" t="str">
        <f t="shared" si="11"/>
        <v>QUINTA-FEIRA</v>
      </c>
      <c r="E335">
        <v>1001</v>
      </c>
      <c r="F335" t="s">
        <v>43</v>
      </c>
      <c r="G335" t="s">
        <v>503</v>
      </c>
      <c r="H335" t="s">
        <v>72</v>
      </c>
      <c r="I335" t="s">
        <v>500</v>
      </c>
      <c r="J335" t="s">
        <v>920</v>
      </c>
      <c r="K335" t="s">
        <v>501</v>
      </c>
      <c r="L335" s="9"/>
      <c r="M335" t="str">
        <f>IF(G335="FIM",IF(L335="","SEM VÍNCULO",IF(COUNTIF(tblBatidas[Batida ID],L335)=0,"VÍNCULO INVÁLIDO",IF(COUNTIF(tblBatidas[Início vinculado],L335)&gt;1,"VÍNCULO DUPLICADO",IF(E335&lt;&gt;INDEX(tblBatidas[ID],MATCH(L335,tblBatidas[Batida ID],0)),"DIVERGÊNCIA DE ID",IF(H335&lt;&gt;INDEX(tblBatidas[Projeto],MATCH(L335,tblBatidas[Batida ID],0)),"DIVERGÊNCIA DE PROJETO",IF(I335&lt;&gt;INDEX(tblBatidas[Atividade],MATCH(L335,tblBatidas[Batida ID],0)),"DIVERGÊNCIA DE ATIVIDADE",IF(OR(B335&lt;=INDEX(tblBatidas[Data e hora],MATCH(L335,tblBatidas[Batida ID],0)),(B335-INDEX(tblBatidas[Data e hora],MATCH(L335,tblBatidas[Batida ID],0)))*24&gt;16),"HORÁRIO INVÁLIDO","VINCULADO"))))))),"INÍCIO")</f>
        <v>SEM VÍNCULO</v>
      </c>
    </row>
    <row r="336" spans="1:13" hidden="1">
      <c r="A336" t="s">
        <v>921</v>
      </c>
      <c r="B336" s="21">
        <v>46268.74114583333</v>
      </c>
      <c r="C336" s="2">
        <f t="shared" si="10"/>
        <v>46268</v>
      </c>
      <c r="D336" t="str">
        <f t="shared" si="11"/>
        <v>QUINTA-FEIRA</v>
      </c>
      <c r="E336">
        <v>1001</v>
      </c>
      <c r="F336" t="s">
        <v>43</v>
      </c>
      <c r="G336" t="s">
        <v>503</v>
      </c>
      <c r="H336" t="s">
        <v>72</v>
      </c>
      <c r="I336" t="s">
        <v>500</v>
      </c>
      <c r="J336" t="s">
        <v>920</v>
      </c>
      <c r="K336" t="s">
        <v>501</v>
      </c>
      <c r="L336" s="9"/>
      <c r="M336" t="str">
        <f>IF(G336="FIM",IF(L336="","SEM VÍNCULO",IF(COUNTIF(tblBatidas[Batida ID],L336)=0,"VÍNCULO INVÁLIDO",IF(COUNTIF(tblBatidas[Início vinculado],L336)&gt;1,"VÍNCULO DUPLICADO",IF(E336&lt;&gt;INDEX(tblBatidas[ID],MATCH(L336,tblBatidas[Batida ID],0)),"DIVERGÊNCIA DE ID",IF(H336&lt;&gt;INDEX(tblBatidas[Projeto],MATCH(L336,tblBatidas[Batida ID],0)),"DIVERGÊNCIA DE PROJETO",IF(I336&lt;&gt;INDEX(tblBatidas[Atividade],MATCH(L336,tblBatidas[Batida ID],0)),"DIVERGÊNCIA DE ATIVIDADE",IF(OR(B336&lt;=INDEX(tblBatidas[Data e hora],MATCH(L336,tblBatidas[Batida ID],0)),(B336-INDEX(tblBatidas[Data e hora],MATCH(L336,tblBatidas[Batida ID],0)))*24&gt;16),"HORÁRIO INVÁLIDO","VINCULADO"))))))),"INÍCIO")</f>
        <v>SEM VÍNCULO</v>
      </c>
    </row>
    <row r="337" spans="1:13" hidden="1">
      <c r="A337" t="s">
        <v>922</v>
      </c>
      <c r="B337" s="21">
        <v>46268.74359953704</v>
      </c>
      <c r="C337" s="2">
        <f t="shared" si="10"/>
        <v>46268</v>
      </c>
      <c r="D337" t="str">
        <f t="shared" si="11"/>
        <v>QUINTA-FEIRA</v>
      </c>
      <c r="E337">
        <v>1015</v>
      </c>
      <c r="F337" t="s">
        <v>59</v>
      </c>
      <c r="G337" t="s">
        <v>503</v>
      </c>
      <c r="H337" t="s">
        <v>84</v>
      </c>
      <c r="I337" t="s">
        <v>84</v>
      </c>
      <c r="K337" t="s">
        <v>501</v>
      </c>
      <c r="L337" s="9" t="s">
        <v>908</v>
      </c>
      <c r="M337" t="str">
        <f>IF(G337="FIM",IF(L337="","SEM VÍNCULO",IF(COUNTIF(tblBatidas[Batida ID],L337)=0,"VÍNCULO INVÁLIDO",IF(COUNTIF(tblBatidas[Início vinculado],L337)&gt;1,"VÍNCULO DUPLICADO",IF(E337&lt;&gt;INDEX(tblBatidas[ID],MATCH(L337,tblBatidas[Batida ID],0)),"DIVERGÊNCIA DE ID",IF(H337&lt;&gt;INDEX(tblBatidas[Projeto],MATCH(L337,tblBatidas[Batida ID],0)),"DIVERGÊNCIA DE PROJETO",IF(I337&lt;&gt;INDEX(tblBatidas[Atividade],MATCH(L337,tblBatidas[Batida ID],0)),"DIVERGÊNCIA DE ATIVIDADE",IF(OR(B337&lt;=INDEX(tblBatidas[Data e hora],MATCH(L337,tblBatidas[Batida ID],0)),(B337-INDEX(tblBatidas[Data e hora],MATCH(L337,tblBatidas[Batida ID],0)))*24&gt;16),"HORÁRIO INVÁLIDO","VINCULADO"))))))),"INÍCIO")</f>
        <v>VINCULADO</v>
      </c>
    </row>
    <row r="338" spans="1:13" hidden="1">
      <c r="A338" t="s">
        <v>923</v>
      </c>
      <c r="B338" s="21">
        <v>46268.749756944446</v>
      </c>
      <c r="C338" s="2">
        <f t="shared" si="10"/>
        <v>46268</v>
      </c>
      <c r="D338" t="str">
        <f t="shared" si="11"/>
        <v>QUINTA-FEIRA</v>
      </c>
      <c r="E338">
        <v>1016</v>
      </c>
      <c r="F338" t="s">
        <v>60</v>
      </c>
      <c r="G338" t="s">
        <v>503</v>
      </c>
      <c r="H338" t="s">
        <v>70</v>
      </c>
      <c r="I338" t="s">
        <v>500</v>
      </c>
      <c r="K338" t="s">
        <v>501</v>
      </c>
      <c r="L338" s="9"/>
      <c r="M338" t="str">
        <f>IF(G338="FIM",IF(L338="","SEM VÍNCULO",IF(COUNTIF(tblBatidas[Batida ID],L338)=0,"VÍNCULO INVÁLIDO",IF(COUNTIF(tblBatidas[Início vinculado],L338)&gt;1,"VÍNCULO DUPLICADO",IF(E338&lt;&gt;INDEX(tblBatidas[ID],MATCH(L338,tblBatidas[Batida ID],0)),"DIVERGÊNCIA DE ID",IF(H338&lt;&gt;INDEX(tblBatidas[Projeto],MATCH(L338,tblBatidas[Batida ID],0)),"DIVERGÊNCIA DE PROJETO",IF(I338&lt;&gt;INDEX(tblBatidas[Atividade],MATCH(L338,tblBatidas[Batida ID],0)),"DIVERGÊNCIA DE ATIVIDADE",IF(OR(B338&lt;=INDEX(tblBatidas[Data e hora],MATCH(L338,tblBatidas[Batida ID],0)),(B338-INDEX(tblBatidas[Data e hora],MATCH(L338,tblBatidas[Batida ID],0)))*24&gt;16),"HORÁRIO INVÁLIDO","VINCULADO"))))))),"INÍCIO")</f>
        <v>SEM VÍNCULO</v>
      </c>
    </row>
    <row r="339" spans="1:13" hidden="1">
      <c r="A339" t="s">
        <v>924</v>
      </c>
      <c r="B339" s="21">
        <v>46268.750879629632</v>
      </c>
      <c r="C339" s="2">
        <f t="shared" si="10"/>
        <v>46268</v>
      </c>
      <c r="D339" t="str">
        <f t="shared" si="11"/>
        <v>QUINTA-FEIRA</v>
      </c>
      <c r="E339">
        <v>1013</v>
      </c>
      <c r="F339" t="s">
        <v>57</v>
      </c>
      <c r="G339" t="s">
        <v>503</v>
      </c>
      <c r="H339" t="s">
        <v>74</v>
      </c>
      <c r="I339" t="s">
        <v>517</v>
      </c>
      <c r="K339" t="s">
        <v>501</v>
      </c>
      <c r="L339" s="9" t="s">
        <v>906</v>
      </c>
      <c r="M339" t="str">
        <f>IF(G339="FIM",IF(L339="","SEM VÍNCULO",IF(COUNTIF(tblBatidas[Batida ID],L339)=0,"VÍNCULO INVÁLIDO",IF(COUNTIF(tblBatidas[Início vinculado],L339)&gt;1,"VÍNCULO DUPLICADO",IF(E339&lt;&gt;INDEX(tblBatidas[ID],MATCH(L339,tblBatidas[Batida ID],0)),"DIVERGÊNCIA DE ID",IF(H339&lt;&gt;INDEX(tblBatidas[Projeto],MATCH(L339,tblBatidas[Batida ID],0)),"DIVERGÊNCIA DE PROJETO",IF(I339&lt;&gt;INDEX(tblBatidas[Atividade],MATCH(L339,tblBatidas[Batida ID],0)),"DIVERGÊNCIA DE ATIVIDADE",IF(OR(B339&lt;=INDEX(tblBatidas[Data e hora],MATCH(L339,tblBatidas[Batida ID],0)),(B339-INDEX(tblBatidas[Data e hora],MATCH(L339,tblBatidas[Batida ID],0)))*24&gt;16),"HORÁRIO INVÁLIDO","VINCULADO"))))))),"INÍCIO")</f>
        <v>VINCULADO</v>
      </c>
    </row>
    <row r="340" spans="1:13" hidden="1">
      <c r="A340" t="s">
        <v>925</v>
      </c>
      <c r="B340" s="21">
        <v>46268.751168981478</v>
      </c>
      <c r="C340" s="2">
        <f t="shared" si="10"/>
        <v>46268</v>
      </c>
      <c r="D340" t="str">
        <f t="shared" si="11"/>
        <v>QUINTA-FEIRA</v>
      </c>
      <c r="E340">
        <v>1003</v>
      </c>
      <c r="F340" t="s">
        <v>46</v>
      </c>
      <c r="G340" t="s">
        <v>503</v>
      </c>
      <c r="H340" t="s">
        <v>74</v>
      </c>
      <c r="I340" t="s">
        <v>517</v>
      </c>
      <c r="K340" t="s">
        <v>501</v>
      </c>
      <c r="L340" s="9"/>
      <c r="M340" t="str">
        <f>IF(G340="FIM",IF(L340="","SEM VÍNCULO",IF(COUNTIF(tblBatidas[Batida ID],L340)=0,"VÍNCULO INVÁLIDO",IF(COUNTIF(tblBatidas[Início vinculado],L340)&gt;1,"VÍNCULO DUPLICADO",IF(E340&lt;&gt;INDEX(tblBatidas[ID],MATCH(L340,tblBatidas[Batida ID],0)),"DIVERGÊNCIA DE ID",IF(H340&lt;&gt;INDEX(tblBatidas[Projeto],MATCH(L340,tblBatidas[Batida ID],0)),"DIVERGÊNCIA DE PROJETO",IF(I340&lt;&gt;INDEX(tblBatidas[Atividade],MATCH(L340,tblBatidas[Batida ID],0)),"DIVERGÊNCIA DE ATIVIDADE",IF(OR(B340&lt;=INDEX(tblBatidas[Data e hora],MATCH(L340,tblBatidas[Batida ID],0)),(B340-INDEX(tblBatidas[Data e hora],MATCH(L340,tblBatidas[Batida ID],0)))*24&gt;16),"HORÁRIO INVÁLIDO","VINCULADO"))))))),"INÍCIO")</f>
        <v>SEM VÍNCULO</v>
      </c>
    </row>
    <row r="341" spans="1:13" hidden="1">
      <c r="A341" t="s">
        <v>926</v>
      </c>
      <c r="B341" s="21">
        <v>46268.754363425927</v>
      </c>
      <c r="C341" s="2">
        <f t="shared" si="10"/>
        <v>46268</v>
      </c>
      <c r="D341" t="str">
        <f t="shared" si="11"/>
        <v>QUINTA-FEIRA</v>
      </c>
      <c r="E341">
        <v>1011</v>
      </c>
      <c r="F341" t="s">
        <v>54</v>
      </c>
      <c r="G341" t="s">
        <v>503</v>
      </c>
      <c r="H341" t="s">
        <v>76</v>
      </c>
      <c r="I341" t="s">
        <v>517</v>
      </c>
      <c r="K341" t="s">
        <v>501</v>
      </c>
      <c r="L341" s="9"/>
      <c r="M341" t="str">
        <f>IF(G341="FIM",IF(L341="","SEM VÍNCULO",IF(COUNTIF(tblBatidas[Batida ID],L341)=0,"VÍNCULO INVÁLIDO",IF(COUNTIF(tblBatidas[Início vinculado],L341)&gt;1,"VÍNCULO DUPLICADO",IF(E341&lt;&gt;INDEX(tblBatidas[ID],MATCH(L341,tblBatidas[Batida ID],0)),"DIVERGÊNCIA DE ID",IF(H341&lt;&gt;INDEX(tblBatidas[Projeto],MATCH(L341,tblBatidas[Batida ID],0)),"DIVERGÊNCIA DE PROJETO",IF(I341&lt;&gt;INDEX(tblBatidas[Atividade],MATCH(L341,tblBatidas[Batida ID],0)),"DIVERGÊNCIA DE ATIVIDADE",IF(OR(B341&lt;=INDEX(tblBatidas[Data e hora],MATCH(L341,tblBatidas[Batida ID],0)),(B341-INDEX(tblBatidas[Data e hora],MATCH(L341,tblBatidas[Batida ID],0)))*24&gt;16),"HORÁRIO INVÁLIDO","VINCULADO"))))))),"INÍCIO")</f>
        <v>SEM VÍNCULO</v>
      </c>
    </row>
    <row r="342" spans="1:13" hidden="1">
      <c r="A342" t="s">
        <v>927</v>
      </c>
      <c r="B342" s="21">
        <v>46268.754583333335</v>
      </c>
      <c r="C342" s="2">
        <f t="shared" si="10"/>
        <v>46268</v>
      </c>
      <c r="D342" t="str">
        <f t="shared" si="11"/>
        <v>QUINTA-FEIRA</v>
      </c>
      <c r="E342">
        <v>1011</v>
      </c>
      <c r="F342" t="s">
        <v>54</v>
      </c>
      <c r="G342" t="s">
        <v>503</v>
      </c>
      <c r="H342" t="s">
        <v>76</v>
      </c>
      <c r="I342" t="s">
        <v>517</v>
      </c>
      <c r="K342" t="s">
        <v>501</v>
      </c>
      <c r="L342" s="9"/>
      <c r="M342" t="str">
        <f>IF(G342="FIM",IF(L342="","SEM VÍNCULO",IF(COUNTIF(tblBatidas[Batida ID],L342)=0,"VÍNCULO INVÁLIDO",IF(COUNTIF(tblBatidas[Início vinculado],L342)&gt;1,"VÍNCULO DUPLICADO",IF(E342&lt;&gt;INDEX(tblBatidas[ID],MATCH(L342,tblBatidas[Batida ID],0)),"DIVERGÊNCIA DE ID",IF(H342&lt;&gt;INDEX(tblBatidas[Projeto],MATCH(L342,tblBatidas[Batida ID],0)),"DIVERGÊNCIA DE PROJETO",IF(I342&lt;&gt;INDEX(tblBatidas[Atividade],MATCH(L342,tblBatidas[Batida ID],0)),"DIVERGÊNCIA DE ATIVIDADE",IF(OR(B342&lt;=INDEX(tblBatidas[Data e hora],MATCH(L342,tblBatidas[Batida ID],0)),(B342-INDEX(tblBatidas[Data e hora],MATCH(L342,tblBatidas[Batida ID],0)))*24&gt;16),"HORÁRIO INVÁLIDO","VINCULADO"))))))),"INÍCIO")</f>
        <v>SEM VÍNCULO</v>
      </c>
    </row>
    <row r="343" spans="1:13">
      <c r="A343" t="s">
        <v>928</v>
      </c>
      <c r="B343" s="21">
        <v>46268.755682870367</v>
      </c>
      <c r="C343" s="2">
        <f t="shared" si="10"/>
        <v>46268</v>
      </c>
      <c r="D343" t="str">
        <f t="shared" si="11"/>
        <v>QUINTA-FEIRA</v>
      </c>
      <c r="E343">
        <v>1002</v>
      </c>
      <c r="F343" t="s">
        <v>45</v>
      </c>
      <c r="G343" t="s">
        <v>503</v>
      </c>
      <c r="H343" t="s">
        <v>70</v>
      </c>
      <c r="I343" t="s">
        <v>517</v>
      </c>
      <c r="K343" t="s">
        <v>501</v>
      </c>
      <c r="L343" s="9" t="s">
        <v>888</v>
      </c>
      <c r="M343" t="str">
        <f>IF(G343="FIM",IF(L343="","SEM VÍNCULO",IF(COUNTIF(tblBatidas[Batida ID],L343)=0,"VÍNCULO INVÁLIDO",IF(COUNTIF(tblBatidas[Início vinculado],L343)&gt;1,"VÍNCULO DUPLICADO",IF(E343&lt;&gt;INDEX(tblBatidas[ID],MATCH(L343,tblBatidas[Batida ID],0)),"DIVERGÊNCIA DE ID",IF(H343&lt;&gt;INDEX(tblBatidas[Projeto],MATCH(L343,tblBatidas[Batida ID],0)),"DIVERGÊNCIA DE PROJETO",IF(I343&lt;&gt;INDEX(tblBatidas[Atividade],MATCH(L343,tblBatidas[Batida ID],0)),"DIVERGÊNCIA DE ATIVIDADE",IF(OR(B343&lt;=INDEX(tblBatidas[Data e hora],MATCH(L343,tblBatidas[Batida ID],0)),(B343-INDEX(tblBatidas[Data e hora],MATCH(L343,tblBatidas[Batida ID],0)))*24&gt;16),"HORÁRIO INVÁLIDO","VINCULADO"))))))),"INÍCIO")</f>
        <v>VINCULADO</v>
      </c>
    </row>
    <row r="344" spans="1:13" hidden="1">
      <c r="A344" t="s">
        <v>929</v>
      </c>
      <c r="B344" s="21">
        <v>46268.882789351854</v>
      </c>
      <c r="C344" s="2">
        <f t="shared" si="10"/>
        <v>46268</v>
      </c>
      <c r="D344" t="str">
        <f t="shared" si="11"/>
        <v>QUINTA-FEIRA</v>
      </c>
      <c r="E344">
        <v>1004</v>
      </c>
      <c r="F344" t="s">
        <v>47</v>
      </c>
      <c r="G344" t="s">
        <v>503</v>
      </c>
      <c r="H344" t="s">
        <v>74</v>
      </c>
      <c r="I344" t="s">
        <v>538</v>
      </c>
      <c r="K344" t="s">
        <v>501</v>
      </c>
      <c r="L344" s="9"/>
      <c r="M344" t="str">
        <f>IF(G344="FIM",IF(L344="","SEM VÍNCULO",IF(COUNTIF(tblBatidas[Batida ID],L344)=0,"VÍNCULO INVÁLIDO",IF(COUNTIF(tblBatidas[Início vinculado],L344)&gt;1,"VÍNCULO DUPLICADO",IF(E344&lt;&gt;INDEX(tblBatidas[ID],MATCH(L344,tblBatidas[Batida ID],0)),"DIVERGÊNCIA DE ID",IF(H344&lt;&gt;INDEX(tblBatidas[Projeto],MATCH(L344,tblBatidas[Batida ID],0)),"DIVERGÊNCIA DE PROJETO",IF(I344&lt;&gt;INDEX(tblBatidas[Atividade],MATCH(L344,tblBatidas[Batida ID],0)),"DIVERGÊNCIA DE ATIVIDADE",IF(OR(B344&lt;=INDEX(tblBatidas[Data e hora],MATCH(L344,tblBatidas[Batida ID],0)),(B344-INDEX(tblBatidas[Data e hora],MATCH(L344,tblBatidas[Batida ID],0)))*24&gt;16),"HORÁRIO INVÁLIDO","VINCULADO"))))))),"INÍCIO")</f>
        <v>SEM VÍNCULO</v>
      </c>
    </row>
    <row r="345" spans="1:13" hidden="1">
      <c r="A345" t="s">
        <v>930</v>
      </c>
      <c r="B345" s="21">
        <v>46268.882881944446</v>
      </c>
      <c r="C345" s="2">
        <f t="shared" si="10"/>
        <v>46268</v>
      </c>
      <c r="D345" t="str">
        <f t="shared" si="11"/>
        <v>QUINTA-FEIRA</v>
      </c>
      <c r="E345">
        <v>1004</v>
      </c>
      <c r="F345" t="s">
        <v>47</v>
      </c>
      <c r="G345" t="s">
        <v>503</v>
      </c>
      <c r="H345" t="s">
        <v>74</v>
      </c>
      <c r="I345" t="s">
        <v>538</v>
      </c>
      <c r="K345" t="s">
        <v>501</v>
      </c>
      <c r="L345" s="9"/>
      <c r="M345" t="str">
        <f>IF(G345="FIM",IF(L345="","SEM VÍNCULO",IF(COUNTIF(tblBatidas[Batida ID],L345)=0,"VÍNCULO INVÁLIDO",IF(COUNTIF(tblBatidas[Início vinculado],L345)&gt;1,"VÍNCULO DUPLICADO",IF(E345&lt;&gt;INDEX(tblBatidas[ID],MATCH(L345,tblBatidas[Batida ID],0)),"DIVERGÊNCIA DE ID",IF(H345&lt;&gt;INDEX(tblBatidas[Projeto],MATCH(L345,tblBatidas[Batida ID],0)),"DIVERGÊNCIA DE PROJETO",IF(I345&lt;&gt;INDEX(tblBatidas[Atividade],MATCH(L345,tblBatidas[Batida ID],0)),"DIVERGÊNCIA DE ATIVIDADE",IF(OR(B345&lt;=INDEX(tblBatidas[Data e hora],MATCH(L345,tblBatidas[Batida ID],0)),(B345-INDEX(tblBatidas[Data e hora],MATCH(L345,tblBatidas[Batida ID],0)))*24&gt;16),"HORÁRIO INVÁLIDO","VINCULADO"))))))),"INÍCIO")</f>
        <v>SEM VÍNCULO</v>
      </c>
    </row>
    <row r="346" spans="1:13" hidden="1">
      <c r="A346" t="s">
        <v>931</v>
      </c>
      <c r="B346" s="21">
        <v>46269.337581018517</v>
      </c>
      <c r="C346" s="2">
        <f t="shared" si="10"/>
        <v>46269</v>
      </c>
      <c r="D346" t="str">
        <f t="shared" si="11"/>
        <v>SEXTA-FEIRA</v>
      </c>
      <c r="E346">
        <v>1003</v>
      </c>
      <c r="F346" t="s">
        <v>46</v>
      </c>
      <c r="G346" t="s">
        <v>499</v>
      </c>
      <c r="H346" t="s">
        <v>74</v>
      </c>
      <c r="I346" t="s">
        <v>517</v>
      </c>
      <c r="K346" t="s">
        <v>501</v>
      </c>
      <c r="L346" s="9"/>
      <c r="M346" t="str">
        <f>IF(G346="FIM",IF(L346="","SEM VÍNCULO",IF(COUNTIF(tblBatidas[Batida ID],L346)=0,"VÍNCULO INVÁLIDO",IF(COUNTIF(tblBatidas[Início vinculado],L346)&gt;1,"VÍNCULO DUPLICADO",IF(E346&lt;&gt;INDEX(tblBatidas[ID],MATCH(L346,tblBatidas[Batida ID],0)),"DIVERGÊNCIA DE ID",IF(H346&lt;&gt;INDEX(tblBatidas[Projeto],MATCH(L346,tblBatidas[Batida ID],0)),"DIVERGÊNCIA DE PROJETO",IF(I346&lt;&gt;INDEX(tblBatidas[Atividade],MATCH(L346,tblBatidas[Batida ID],0)),"DIVERGÊNCIA DE ATIVIDADE",IF(OR(B346&lt;=INDEX(tblBatidas[Data e hora],MATCH(L346,tblBatidas[Batida ID],0)),(B346-INDEX(tblBatidas[Data e hora],MATCH(L346,tblBatidas[Batida ID],0)))*24&gt;16),"HORÁRIO INVÁLIDO","VINCULADO"))))))),"INÍCIO")</f>
        <v>INÍCIO</v>
      </c>
    </row>
    <row r="347" spans="1:13" hidden="1">
      <c r="A347" t="s">
        <v>932</v>
      </c>
      <c r="B347" s="21">
        <v>46269.349687499998</v>
      </c>
      <c r="C347" s="2">
        <f t="shared" si="10"/>
        <v>46269</v>
      </c>
      <c r="D347" t="str">
        <f t="shared" si="11"/>
        <v>SEXTA-FEIRA</v>
      </c>
      <c r="E347">
        <v>1013</v>
      </c>
      <c r="F347" t="s">
        <v>57</v>
      </c>
      <c r="G347" t="s">
        <v>499</v>
      </c>
      <c r="H347" t="s">
        <v>74</v>
      </c>
      <c r="I347" t="s">
        <v>517</v>
      </c>
      <c r="K347" t="s">
        <v>501</v>
      </c>
      <c r="L347" s="9"/>
      <c r="M347" t="str">
        <f>IF(G347="FIM",IF(L347="","SEM VÍNCULO",IF(COUNTIF(tblBatidas[Batida ID],L347)=0,"VÍNCULO INVÁLIDO",IF(COUNTIF(tblBatidas[Início vinculado],L347)&gt;1,"VÍNCULO DUPLICADO",IF(E347&lt;&gt;INDEX(tblBatidas[ID],MATCH(L347,tblBatidas[Batida ID],0)),"DIVERGÊNCIA DE ID",IF(H347&lt;&gt;INDEX(tblBatidas[Projeto],MATCH(L347,tblBatidas[Batida ID],0)),"DIVERGÊNCIA DE PROJETO",IF(I347&lt;&gt;INDEX(tblBatidas[Atividade],MATCH(L347,tblBatidas[Batida ID],0)),"DIVERGÊNCIA DE ATIVIDADE",IF(OR(B347&lt;=INDEX(tblBatidas[Data e hora],MATCH(L347,tblBatidas[Batida ID],0)),(B347-INDEX(tblBatidas[Data e hora],MATCH(L347,tblBatidas[Batida ID],0)))*24&gt;16),"HORÁRIO INVÁLIDO","VINCULADO"))))))),"INÍCIO")</f>
        <v>INÍCIO</v>
      </c>
    </row>
    <row r="348" spans="1:13">
      <c r="A348" t="s">
        <v>933</v>
      </c>
      <c r="B348" s="21">
        <v>46269.370034722226</v>
      </c>
      <c r="C348" s="2">
        <f t="shared" si="10"/>
        <v>46269</v>
      </c>
      <c r="D348" t="str">
        <f t="shared" si="11"/>
        <v>SEXTA-FEIRA</v>
      </c>
      <c r="E348">
        <v>1002</v>
      </c>
      <c r="F348" t="s">
        <v>45</v>
      </c>
      <c r="G348" t="s">
        <v>499</v>
      </c>
      <c r="H348" t="s">
        <v>70</v>
      </c>
      <c r="I348" t="s">
        <v>517</v>
      </c>
      <c r="K348" t="s">
        <v>501</v>
      </c>
      <c r="L348" s="9"/>
      <c r="M348" t="str">
        <f>IF(G348="FIM",IF(L348="","SEM VÍNCULO",IF(COUNTIF(tblBatidas[Batida ID],L348)=0,"VÍNCULO INVÁLIDO",IF(COUNTIF(tblBatidas[Início vinculado],L348)&gt;1,"VÍNCULO DUPLICADO",IF(E348&lt;&gt;INDEX(tblBatidas[ID],MATCH(L348,tblBatidas[Batida ID],0)),"DIVERGÊNCIA DE ID",IF(H348&lt;&gt;INDEX(tblBatidas[Projeto],MATCH(L348,tblBatidas[Batida ID],0)),"DIVERGÊNCIA DE PROJETO",IF(I348&lt;&gt;INDEX(tblBatidas[Atividade],MATCH(L348,tblBatidas[Batida ID],0)),"DIVERGÊNCIA DE ATIVIDADE",IF(OR(B348&lt;=INDEX(tblBatidas[Data e hora],MATCH(L348,tblBatidas[Batida ID],0)),(B348-INDEX(tblBatidas[Data e hora],MATCH(L348,tblBatidas[Batida ID],0)))*24&gt;16),"HORÁRIO INVÁLIDO","VINCULADO"))))))),"INÍCIO")</f>
        <v>INÍCIO</v>
      </c>
    </row>
    <row r="349" spans="1:13" hidden="1">
      <c r="A349" t="s">
        <v>934</v>
      </c>
      <c r="B349" s="21">
        <v>46269.37222222222</v>
      </c>
      <c r="C349" s="2">
        <f t="shared" si="10"/>
        <v>46269</v>
      </c>
      <c r="D349" t="str">
        <f t="shared" si="11"/>
        <v>SEXTA-FEIRA</v>
      </c>
      <c r="E349">
        <v>1015</v>
      </c>
      <c r="F349" t="s">
        <v>59</v>
      </c>
      <c r="G349" t="s">
        <v>499</v>
      </c>
      <c r="H349" t="s">
        <v>84</v>
      </c>
      <c r="I349" t="s">
        <v>84</v>
      </c>
      <c r="K349" t="s">
        <v>501</v>
      </c>
      <c r="L349" s="9"/>
      <c r="M349" t="str">
        <f>IF(G349="FIM",IF(L349="","SEM VÍNCULO",IF(COUNTIF(tblBatidas[Batida ID],L349)=0,"VÍNCULO INVÁLIDO",IF(COUNTIF(tblBatidas[Início vinculado],L349)&gt;1,"VÍNCULO DUPLICADO",IF(E349&lt;&gt;INDEX(tblBatidas[ID],MATCH(L349,tblBatidas[Batida ID],0)),"DIVERGÊNCIA DE ID",IF(H349&lt;&gt;INDEX(tblBatidas[Projeto],MATCH(L349,tblBatidas[Batida ID],0)),"DIVERGÊNCIA DE PROJETO",IF(I349&lt;&gt;INDEX(tblBatidas[Atividade],MATCH(L349,tblBatidas[Batida ID],0)),"DIVERGÊNCIA DE ATIVIDADE",IF(OR(B349&lt;=INDEX(tblBatidas[Data e hora],MATCH(L349,tblBatidas[Batida ID],0)),(B349-INDEX(tblBatidas[Data e hora],MATCH(L349,tblBatidas[Batida ID],0)))*24&gt;16),"HORÁRIO INVÁLIDO","VINCULADO"))))))),"INÍCIO")</f>
        <v>INÍCIO</v>
      </c>
    </row>
    <row r="350" spans="1:13" hidden="1">
      <c r="A350" t="s">
        <v>935</v>
      </c>
      <c r="B350" s="21">
        <v>46269.374189814815</v>
      </c>
      <c r="C350" s="2">
        <f t="shared" si="10"/>
        <v>46269</v>
      </c>
      <c r="D350" t="str">
        <f t="shared" si="11"/>
        <v>SEXTA-FEIRA</v>
      </c>
      <c r="E350">
        <v>1004</v>
      </c>
      <c r="F350" t="s">
        <v>47</v>
      </c>
      <c r="G350" t="s">
        <v>499</v>
      </c>
      <c r="H350" t="s">
        <v>74</v>
      </c>
      <c r="I350" t="s">
        <v>538</v>
      </c>
      <c r="K350" t="s">
        <v>501</v>
      </c>
      <c r="L350" s="9"/>
      <c r="M350" t="str">
        <f>IF(G350="FIM",IF(L350="","SEM VÍNCULO",IF(COUNTIF(tblBatidas[Batida ID],L350)=0,"VÍNCULO INVÁLIDO",IF(COUNTIF(tblBatidas[Início vinculado],L350)&gt;1,"VÍNCULO DUPLICADO",IF(E350&lt;&gt;INDEX(tblBatidas[ID],MATCH(L350,tblBatidas[Batida ID],0)),"DIVERGÊNCIA DE ID",IF(H350&lt;&gt;INDEX(tblBatidas[Projeto],MATCH(L350,tblBatidas[Batida ID],0)),"DIVERGÊNCIA DE PROJETO",IF(I350&lt;&gt;INDEX(tblBatidas[Atividade],MATCH(L350,tblBatidas[Batida ID],0)),"DIVERGÊNCIA DE ATIVIDADE",IF(OR(B350&lt;=INDEX(tblBatidas[Data e hora],MATCH(L350,tblBatidas[Batida ID],0)),(B350-INDEX(tblBatidas[Data e hora],MATCH(L350,tblBatidas[Batida ID],0)))*24&gt;16),"HORÁRIO INVÁLIDO","VINCULADO"))))))),"INÍCIO")</f>
        <v>INÍCIO</v>
      </c>
    </row>
    <row r="351" spans="1:13" hidden="1">
      <c r="A351" t="s">
        <v>936</v>
      </c>
      <c r="B351" s="21">
        <v>46269.379131944443</v>
      </c>
      <c r="C351" s="2">
        <f t="shared" si="10"/>
        <v>46269</v>
      </c>
      <c r="D351" t="str">
        <f t="shared" si="11"/>
        <v>SEXTA-FEIRA</v>
      </c>
      <c r="E351">
        <v>1001</v>
      </c>
      <c r="F351" t="s">
        <v>43</v>
      </c>
      <c r="G351" t="s">
        <v>499</v>
      </c>
      <c r="H351" t="s">
        <v>72</v>
      </c>
      <c r="I351" t="s">
        <v>500</v>
      </c>
      <c r="J351" t="s">
        <v>937</v>
      </c>
      <c r="K351" t="s">
        <v>501</v>
      </c>
      <c r="L351" s="9"/>
      <c r="M351" t="str">
        <f>IF(G351="FIM",IF(L351="","SEM VÍNCULO",IF(COUNTIF(tblBatidas[Batida ID],L351)=0,"VÍNCULO INVÁLIDO",IF(COUNTIF(tblBatidas[Início vinculado],L351)&gt;1,"VÍNCULO DUPLICADO",IF(E351&lt;&gt;INDEX(tblBatidas[ID],MATCH(L351,tblBatidas[Batida ID],0)),"DIVERGÊNCIA DE ID",IF(H351&lt;&gt;INDEX(tblBatidas[Projeto],MATCH(L351,tblBatidas[Batida ID],0)),"DIVERGÊNCIA DE PROJETO",IF(I351&lt;&gt;INDEX(tblBatidas[Atividade],MATCH(L351,tblBatidas[Batida ID],0)),"DIVERGÊNCIA DE ATIVIDADE",IF(OR(B351&lt;=INDEX(tblBatidas[Data e hora],MATCH(L351,tblBatidas[Batida ID],0)),(B351-INDEX(tblBatidas[Data e hora],MATCH(L351,tblBatidas[Batida ID],0)))*24&gt;16),"HORÁRIO INVÁLIDO","VINCULADO"))))))),"INÍCIO")</f>
        <v>INÍCIO</v>
      </c>
    </row>
    <row r="352" spans="1:13" hidden="1">
      <c r="A352" t="s">
        <v>938</v>
      </c>
      <c r="B352" s="21">
        <v>46269.384444444448</v>
      </c>
      <c r="C352" s="2">
        <f t="shared" si="10"/>
        <v>46269</v>
      </c>
      <c r="D352" t="str">
        <f t="shared" si="11"/>
        <v>SEXTA-FEIRA</v>
      </c>
      <c r="E352">
        <v>1012</v>
      </c>
      <c r="F352" t="s">
        <v>55</v>
      </c>
      <c r="G352" t="s">
        <v>499</v>
      </c>
      <c r="H352" t="s">
        <v>74</v>
      </c>
      <c r="I352" t="s">
        <v>500</v>
      </c>
      <c r="J352" t="s">
        <v>939</v>
      </c>
      <c r="K352" t="s">
        <v>501</v>
      </c>
      <c r="L352" s="9"/>
      <c r="M352" t="str">
        <f>IF(G352="FIM",IF(L352="","SEM VÍNCULO",IF(COUNTIF(tblBatidas[Batida ID],L352)=0,"VÍNCULO INVÁLIDO",IF(COUNTIF(tblBatidas[Início vinculado],L352)&gt;1,"VÍNCULO DUPLICADO",IF(E352&lt;&gt;INDEX(tblBatidas[ID],MATCH(L352,tblBatidas[Batida ID],0)),"DIVERGÊNCIA DE ID",IF(H352&lt;&gt;INDEX(tblBatidas[Projeto],MATCH(L352,tblBatidas[Batida ID],0)),"DIVERGÊNCIA DE PROJETO",IF(I352&lt;&gt;INDEX(tblBatidas[Atividade],MATCH(L352,tblBatidas[Batida ID],0)),"DIVERGÊNCIA DE ATIVIDADE",IF(OR(B352&lt;=INDEX(tblBatidas[Data e hora],MATCH(L352,tblBatidas[Batida ID],0)),(B352-INDEX(tblBatidas[Data e hora],MATCH(L352,tblBatidas[Batida ID],0)))*24&gt;16),"HORÁRIO INVÁLIDO","VINCULADO"))))))),"INÍCIO")</f>
        <v>INÍCIO</v>
      </c>
    </row>
    <row r="353" spans="1:13" hidden="1">
      <c r="A353" t="s">
        <v>940</v>
      </c>
      <c r="B353" s="21">
        <v>46269.384745370371</v>
      </c>
      <c r="C353" s="2">
        <f t="shared" si="10"/>
        <v>46269</v>
      </c>
      <c r="D353" t="str">
        <f t="shared" si="11"/>
        <v>SEXTA-FEIRA</v>
      </c>
      <c r="E353">
        <v>1012</v>
      </c>
      <c r="F353" t="s">
        <v>55</v>
      </c>
      <c r="G353" t="s">
        <v>499</v>
      </c>
      <c r="H353" t="s">
        <v>74</v>
      </c>
      <c r="I353" t="s">
        <v>500</v>
      </c>
      <c r="J353" t="s">
        <v>939</v>
      </c>
      <c r="K353" t="s">
        <v>501</v>
      </c>
      <c r="L353" s="9"/>
      <c r="M353" t="str">
        <f>IF(G353="FIM",IF(L353="","SEM VÍNCULO",IF(COUNTIF(tblBatidas[Batida ID],L353)=0,"VÍNCULO INVÁLIDO",IF(COUNTIF(tblBatidas[Início vinculado],L353)&gt;1,"VÍNCULO DUPLICADO",IF(E353&lt;&gt;INDEX(tblBatidas[ID],MATCH(L353,tblBatidas[Batida ID],0)),"DIVERGÊNCIA DE ID",IF(H353&lt;&gt;INDEX(tblBatidas[Projeto],MATCH(L353,tblBatidas[Batida ID],0)),"DIVERGÊNCIA DE PROJETO",IF(I353&lt;&gt;INDEX(tblBatidas[Atividade],MATCH(L353,tblBatidas[Batida ID],0)),"DIVERGÊNCIA DE ATIVIDADE",IF(OR(B353&lt;=INDEX(tblBatidas[Data e hora],MATCH(L353,tblBatidas[Batida ID],0)),(B353-INDEX(tblBatidas[Data e hora],MATCH(L353,tblBatidas[Batida ID],0)))*24&gt;16),"HORÁRIO INVÁLIDO","VINCULADO"))))))),"INÍCIO")</f>
        <v>INÍCIO</v>
      </c>
    </row>
    <row r="354" spans="1:13" hidden="1">
      <c r="A354" t="s">
        <v>941</v>
      </c>
      <c r="B354" s="21">
        <v>46269.410960648151</v>
      </c>
      <c r="C354" s="2">
        <f t="shared" si="10"/>
        <v>46269</v>
      </c>
      <c r="D354" t="str">
        <f t="shared" si="11"/>
        <v>SEXTA-FEIRA</v>
      </c>
      <c r="E354">
        <v>1014</v>
      </c>
      <c r="F354" t="s">
        <v>58</v>
      </c>
      <c r="G354" t="s">
        <v>499</v>
      </c>
      <c r="H354" t="s">
        <v>72</v>
      </c>
      <c r="I354" t="s">
        <v>512</v>
      </c>
      <c r="K354" t="s">
        <v>501</v>
      </c>
      <c r="L354" s="9"/>
      <c r="M354" t="str">
        <f>IF(G354="FIM",IF(L354="","SEM VÍNCULO",IF(COUNTIF(tblBatidas[Batida ID],L354)=0,"VÍNCULO INVÁLIDO",IF(COUNTIF(tblBatidas[Início vinculado],L354)&gt;1,"VÍNCULO DUPLICADO",IF(E354&lt;&gt;INDEX(tblBatidas[ID],MATCH(L354,tblBatidas[Batida ID],0)),"DIVERGÊNCIA DE ID",IF(H354&lt;&gt;INDEX(tblBatidas[Projeto],MATCH(L354,tblBatidas[Batida ID],0)),"DIVERGÊNCIA DE PROJETO",IF(I354&lt;&gt;INDEX(tblBatidas[Atividade],MATCH(L354,tblBatidas[Batida ID],0)),"DIVERGÊNCIA DE ATIVIDADE",IF(OR(B354&lt;=INDEX(tblBatidas[Data e hora],MATCH(L354,tblBatidas[Batida ID],0)),(B354-INDEX(tblBatidas[Data e hora],MATCH(L354,tblBatidas[Batida ID],0)))*24&gt;16),"HORÁRIO INVÁLIDO","VINCULADO"))))))),"INÍCIO")</f>
        <v>INÍCIO</v>
      </c>
    </row>
    <row r="355" spans="1:13" hidden="1">
      <c r="A355" t="s">
        <v>942</v>
      </c>
      <c r="B355" s="21">
        <v>46269.512106481481</v>
      </c>
      <c r="C355" s="2">
        <f t="shared" si="10"/>
        <v>46269</v>
      </c>
      <c r="D355" t="str">
        <f t="shared" si="11"/>
        <v>SEXTA-FEIRA</v>
      </c>
      <c r="E355">
        <v>1014</v>
      </c>
      <c r="F355" t="s">
        <v>58</v>
      </c>
      <c r="G355" t="s">
        <v>503</v>
      </c>
      <c r="H355" t="s">
        <v>72</v>
      </c>
      <c r="I355" t="s">
        <v>512</v>
      </c>
      <c r="K355" t="s">
        <v>501</v>
      </c>
      <c r="L355" s="9" t="s">
        <v>941</v>
      </c>
      <c r="M355" t="str">
        <f>IF(G355="FIM",IF(L355="","SEM VÍNCULO",IF(COUNTIF(tblBatidas[Batida ID],L355)=0,"VÍNCULO INVÁLIDO",IF(COUNTIF(tblBatidas[Início vinculado],L355)&gt;1,"VÍNCULO DUPLICADO",IF(E355&lt;&gt;INDEX(tblBatidas[ID],MATCH(L355,tblBatidas[Batida ID],0)),"DIVERGÊNCIA DE ID",IF(H355&lt;&gt;INDEX(tblBatidas[Projeto],MATCH(L355,tblBatidas[Batida ID],0)),"DIVERGÊNCIA DE PROJETO",IF(I355&lt;&gt;INDEX(tblBatidas[Atividade],MATCH(L355,tblBatidas[Batida ID],0)),"DIVERGÊNCIA DE ATIVIDADE",IF(OR(B355&lt;=INDEX(tblBatidas[Data e hora],MATCH(L355,tblBatidas[Batida ID],0)),(B355-INDEX(tblBatidas[Data e hora],MATCH(L355,tblBatidas[Batida ID],0)))*24&gt;16),"HORÁRIO INVÁLIDO","VINCULADO"))))))),"INÍCIO")</f>
        <v>VINCULADO</v>
      </c>
    </row>
    <row r="356" spans="1:13" hidden="1">
      <c r="A356" t="s">
        <v>943</v>
      </c>
      <c r="B356" s="21">
        <v>46269.512465277781</v>
      </c>
      <c r="C356" s="2">
        <f t="shared" si="10"/>
        <v>46269</v>
      </c>
      <c r="D356" t="str">
        <f t="shared" si="11"/>
        <v>SEXTA-FEIRA</v>
      </c>
      <c r="E356">
        <v>1016</v>
      </c>
      <c r="F356" t="s">
        <v>60</v>
      </c>
      <c r="G356" t="s">
        <v>503</v>
      </c>
      <c r="H356" t="s">
        <v>70</v>
      </c>
      <c r="I356" t="s">
        <v>517</v>
      </c>
      <c r="K356" t="s">
        <v>501</v>
      </c>
      <c r="L356" s="9"/>
      <c r="M356" t="str">
        <f>IF(G356="FIM",IF(L356="","SEM VÍNCULO",IF(COUNTIF(tblBatidas[Batida ID],L356)=0,"VÍNCULO INVÁLIDO",IF(COUNTIF(tblBatidas[Início vinculado],L356)&gt;1,"VÍNCULO DUPLICADO",IF(E356&lt;&gt;INDEX(tblBatidas[ID],MATCH(L356,tblBatidas[Batida ID],0)),"DIVERGÊNCIA DE ID",IF(H356&lt;&gt;INDEX(tblBatidas[Projeto],MATCH(L356,tblBatidas[Batida ID],0)),"DIVERGÊNCIA DE PROJETO",IF(I356&lt;&gt;INDEX(tblBatidas[Atividade],MATCH(L356,tblBatidas[Batida ID],0)),"DIVERGÊNCIA DE ATIVIDADE",IF(OR(B356&lt;=INDEX(tblBatidas[Data e hora],MATCH(L356,tblBatidas[Batida ID],0)),(B356-INDEX(tblBatidas[Data e hora],MATCH(L356,tblBatidas[Batida ID],0)))*24&gt;16),"HORÁRIO INVÁLIDO","VINCULADO"))))))),"INÍCIO")</f>
        <v>SEM VÍNCULO</v>
      </c>
    </row>
    <row r="357" spans="1:13" hidden="1">
      <c r="A357" t="s">
        <v>944</v>
      </c>
      <c r="B357" s="21">
        <v>46269.514745370368</v>
      </c>
      <c r="C357" s="2">
        <f t="shared" si="10"/>
        <v>46269</v>
      </c>
      <c r="D357" t="str">
        <f t="shared" si="11"/>
        <v>SEXTA-FEIRA</v>
      </c>
      <c r="E357">
        <v>1013</v>
      </c>
      <c r="F357" t="s">
        <v>57</v>
      </c>
      <c r="G357" t="s">
        <v>503</v>
      </c>
      <c r="H357" t="s">
        <v>70</v>
      </c>
      <c r="I357" t="s">
        <v>517</v>
      </c>
      <c r="K357" t="s">
        <v>501</v>
      </c>
      <c r="L357" s="9"/>
      <c r="M357" t="str">
        <f>IF(G357="FIM",IF(L357="","SEM VÍNCULO",IF(COUNTIF(tblBatidas[Batida ID],L357)=0,"VÍNCULO INVÁLIDO",IF(COUNTIF(tblBatidas[Início vinculado],L357)&gt;1,"VÍNCULO DUPLICADO",IF(E357&lt;&gt;INDEX(tblBatidas[ID],MATCH(L357,tblBatidas[Batida ID],0)),"DIVERGÊNCIA DE ID",IF(H357&lt;&gt;INDEX(tblBatidas[Projeto],MATCH(L357,tblBatidas[Batida ID],0)),"DIVERGÊNCIA DE PROJETO",IF(I357&lt;&gt;INDEX(tblBatidas[Atividade],MATCH(L357,tblBatidas[Batida ID],0)),"DIVERGÊNCIA DE ATIVIDADE",IF(OR(B357&lt;=INDEX(tblBatidas[Data e hora],MATCH(L357,tblBatidas[Batida ID],0)),(B357-INDEX(tblBatidas[Data e hora],MATCH(L357,tblBatidas[Batida ID],0)))*24&gt;16),"HORÁRIO INVÁLIDO","VINCULADO"))))))),"INÍCIO")</f>
        <v>SEM VÍNCULO</v>
      </c>
    </row>
    <row r="358" spans="1:13" hidden="1">
      <c r="A358" t="s">
        <v>945</v>
      </c>
      <c r="B358" s="21">
        <v>46269.514930555553</v>
      </c>
      <c r="C358" s="2">
        <f t="shared" si="10"/>
        <v>46269</v>
      </c>
      <c r="D358" t="str">
        <f t="shared" si="11"/>
        <v>SEXTA-FEIRA</v>
      </c>
      <c r="E358">
        <v>1013</v>
      </c>
      <c r="F358" t="s">
        <v>57</v>
      </c>
      <c r="G358" t="s">
        <v>503</v>
      </c>
      <c r="H358" t="s">
        <v>74</v>
      </c>
      <c r="I358" t="s">
        <v>517</v>
      </c>
      <c r="K358" t="s">
        <v>501</v>
      </c>
      <c r="L358" s="9" t="s">
        <v>932</v>
      </c>
      <c r="M358" t="str">
        <f>IF(G358="FIM",IF(L358="","SEM VÍNCULO",IF(COUNTIF(tblBatidas[Batida ID],L358)=0,"VÍNCULO INVÁLIDO",IF(COUNTIF(tblBatidas[Início vinculado],L358)&gt;1,"VÍNCULO DUPLICADO",IF(E358&lt;&gt;INDEX(tblBatidas[ID],MATCH(L358,tblBatidas[Batida ID],0)),"DIVERGÊNCIA DE ID",IF(H358&lt;&gt;INDEX(tblBatidas[Projeto],MATCH(L358,tblBatidas[Batida ID],0)),"DIVERGÊNCIA DE PROJETO",IF(I358&lt;&gt;INDEX(tblBatidas[Atividade],MATCH(L358,tblBatidas[Batida ID],0)),"DIVERGÊNCIA DE ATIVIDADE",IF(OR(B358&lt;=INDEX(tblBatidas[Data e hora],MATCH(L358,tblBatidas[Batida ID],0)),(B358-INDEX(tblBatidas[Data e hora],MATCH(L358,tblBatidas[Batida ID],0)))*24&gt;16),"HORÁRIO INVÁLIDO","VINCULADO"))))))),"INÍCIO")</f>
        <v>VINCULADO</v>
      </c>
    </row>
    <row r="359" spans="1:13">
      <c r="A359" t="s">
        <v>946</v>
      </c>
      <c r="B359" s="21">
        <v>46269.5153125</v>
      </c>
      <c r="C359" s="2">
        <f t="shared" si="10"/>
        <v>46269</v>
      </c>
      <c r="D359" t="str">
        <f t="shared" si="11"/>
        <v>SEXTA-FEIRA</v>
      </c>
      <c r="E359">
        <v>1002</v>
      </c>
      <c r="F359" t="s">
        <v>45</v>
      </c>
      <c r="G359" t="s">
        <v>503</v>
      </c>
      <c r="H359" t="s">
        <v>70</v>
      </c>
      <c r="I359" t="s">
        <v>517</v>
      </c>
      <c r="K359" t="s">
        <v>501</v>
      </c>
      <c r="L359" s="9" t="s">
        <v>933</v>
      </c>
      <c r="M359" t="str">
        <f>IF(G359="FIM",IF(L359="","SEM VÍNCULO",IF(COUNTIF(tblBatidas[Batida ID],L359)=0,"VÍNCULO INVÁLIDO",IF(COUNTIF(tblBatidas[Início vinculado],L359)&gt;1,"VÍNCULO DUPLICADO",IF(E359&lt;&gt;INDEX(tblBatidas[ID],MATCH(L359,tblBatidas[Batida ID],0)),"DIVERGÊNCIA DE ID",IF(H359&lt;&gt;INDEX(tblBatidas[Projeto],MATCH(L359,tblBatidas[Batida ID],0)),"DIVERGÊNCIA DE PROJETO",IF(I359&lt;&gt;INDEX(tblBatidas[Atividade],MATCH(L359,tblBatidas[Batida ID],0)),"DIVERGÊNCIA DE ATIVIDADE",IF(OR(B359&lt;=INDEX(tblBatidas[Data e hora],MATCH(L359,tblBatidas[Batida ID],0)),(B359-INDEX(tblBatidas[Data e hora],MATCH(L359,tblBatidas[Batida ID],0)))*24&gt;16),"HORÁRIO INVÁLIDO","VINCULADO"))))))),"INÍCIO")</f>
        <v>VINCULADO</v>
      </c>
    </row>
    <row r="360" spans="1:13" hidden="1">
      <c r="A360" t="s">
        <v>947</v>
      </c>
      <c r="B360" s="21">
        <v>46269.524178240739</v>
      </c>
      <c r="C360" s="2">
        <f t="shared" si="10"/>
        <v>46269</v>
      </c>
      <c r="D360" t="str">
        <f t="shared" si="11"/>
        <v>SEXTA-FEIRA</v>
      </c>
      <c r="E360">
        <v>1004</v>
      </c>
      <c r="F360" t="s">
        <v>47</v>
      </c>
      <c r="G360" t="s">
        <v>503</v>
      </c>
      <c r="H360" t="s">
        <v>74</v>
      </c>
      <c r="I360" t="s">
        <v>538</v>
      </c>
      <c r="K360" t="s">
        <v>501</v>
      </c>
      <c r="L360" s="9" t="s">
        <v>935</v>
      </c>
      <c r="M360" t="str">
        <f>IF(G360="FIM",IF(L360="","SEM VÍNCULO",IF(COUNTIF(tblBatidas[Batida ID],L360)=0,"VÍNCULO INVÁLIDO",IF(COUNTIF(tblBatidas[Início vinculado],L360)&gt;1,"VÍNCULO DUPLICADO",IF(E360&lt;&gt;INDEX(tblBatidas[ID],MATCH(L360,tblBatidas[Batida ID],0)),"DIVERGÊNCIA DE ID",IF(H360&lt;&gt;INDEX(tblBatidas[Projeto],MATCH(L360,tblBatidas[Batida ID],0)),"DIVERGÊNCIA DE PROJETO",IF(I360&lt;&gt;INDEX(tblBatidas[Atividade],MATCH(L360,tblBatidas[Batida ID],0)),"DIVERGÊNCIA DE ATIVIDADE",IF(OR(B360&lt;=INDEX(tblBatidas[Data e hora],MATCH(L360,tblBatidas[Batida ID],0)),(B360-INDEX(tblBatidas[Data e hora],MATCH(L360,tblBatidas[Batida ID],0)))*24&gt;16),"HORÁRIO INVÁLIDO","VINCULADO"))))))),"INÍCIO")</f>
        <v>VINCULADO</v>
      </c>
    </row>
    <row r="361" spans="1:13" hidden="1">
      <c r="A361" t="s">
        <v>948</v>
      </c>
      <c r="B361" s="21">
        <v>46269.541006944448</v>
      </c>
      <c r="C361" s="2">
        <f t="shared" si="10"/>
        <v>46269</v>
      </c>
      <c r="D361" t="str">
        <f t="shared" si="11"/>
        <v>SEXTA-FEIRA</v>
      </c>
      <c r="E361">
        <v>1003</v>
      </c>
      <c r="F361" t="s">
        <v>46</v>
      </c>
      <c r="G361" t="s">
        <v>503</v>
      </c>
      <c r="H361" t="s">
        <v>74</v>
      </c>
      <c r="I361" t="s">
        <v>517</v>
      </c>
      <c r="J361" t="s">
        <v>865</v>
      </c>
      <c r="K361" t="s">
        <v>501</v>
      </c>
      <c r="L361" s="9" t="s">
        <v>931</v>
      </c>
      <c r="M361" t="str">
        <f>IF(G361="FIM",IF(L361="","SEM VÍNCULO",IF(COUNTIF(tblBatidas[Batida ID],L361)=0,"VÍNCULO INVÁLIDO",IF(COUNTIF(tblBatidas[Início vinculado],L361)&gt;1,"VÍNCULO DUPLICADO",IF(E361&lt;&gt;INDEX(tblBatidas[ID],MATCH(L361,tblBatidas[Batida ID],0)),"DIVERGÊNCIA DE ID",IF(H361&lt;&gt;INDEX(tblBatidas[Projeto],MATCH(L361,tblBatidas[Batida ID],0)),"DIVERGÊNCIA DE PROJETO",IF(I361&lt;&gt;INDEX(tblBatidas[Atividade],MATCH(L361,tblBatidas[Batida ID],0)),"DIVERGÊNCIA DE ATIVIDADE",IF(OR(B361&lt;=INDEX(tblBatidas[Data e hora],MATCH(L361,tblBatidas[Batida ID],0)),(B361-INDEX(tblBatidas[Data e hora],MATCH(L361,tblBatidas[Batida ID],0)))*24&gt;16),"HORÁRIO INVÁLIDO","VINCULADO"))))))),"INÍCIO")</f>
        <v>VINCULADO</v>
      </c>
    </row>
    <row r="362" spans="1:13" hidden="1">
      <c r="A362" t="s">
        <v>949</v>
      </c>
      <c r="B362" s="21">
        <v>46269.542291666665</v>
      </c>
      <c r="C362" s="2">
        <f t="shared" si="10"/>
        <v>46269</v>
      </c>
      <c r="D362" t="str">
        <f t="shared" si="11"/>
        <v>SEXTA-FEIRA</v>
      </c>
      <c r="E362">
        <v>1015</v>
      </c>
      <c r="F362" t="s">
        <v>59</v>
      </c>
      <c r="G362" t="s">
        <v>503</v>
      </c>
      <c r="H362" t="s">
        <v>84</v>
      </c>
      <c r="I362" t="s">
        <v>84</v>
      </c>
      <c r="K362" t="s">
        <v>501</v>
      </c>
      <c r="L362" s="9" t="s">
        <v>934</v>
      </c>
      <c r="M362" t="str">
        <f>IF(G362="FIM",IF(L362="","SEM VÍNCULO",IF(COUNTIF(tblBatidas[Batida ID],L362)=0,"VÍNCULO INVÁLIDO",IF(COUNTIF(tblBatidas[Início vinculado],L362)&gt;1,"VÍNCULO DUPLICADO",IF(E362&lt;&gt;INDEX(tblBatidas[ID],MATCH(L362,tblBatidas[Batida ID],0)),"DIVERGÊNCIA DE ID",IF(H362&lt;&gt;INDEX(tblBatidas[Projeto],MATCH(L362,tblBatidas[Batida ID],0)),"DIVERGÊNCIA DE PROJETO",IF(I362&lt;&gt;INDEX(tblBatidas[Atividade],MATCH(L362,tblBatidas[Batida ID],0)),"DIVERGÊNCIA DE ATIVIDADE",IF(OR(B362&lt;=INDEX(tblBatidas[Data e hora],MATCH(L362,tblBatidas[Batida ID],0)),(B362-INDEX(tblBatidas[Data e hora],MATCH(L362,tblBatidas[Batida ID],0)))*24&gt;16),"HORÁRIO INVÁLIDO","VINCULADO"))))))),"INÍCIO")</f>
        <v>VINCULADO</v>
      </c>
    </row>
    <row r="363" spans="1:13" hidden="1">
      <c r="A363" t="s">
        <v>950</v>
      </c>
      <c r="B363" s="21">
        <v>46269.547280092593</v>
      </c>
      <c r="C363" s="2">
        <f t="shared" si="10"/>
        <v>46269</v>
      </c>
      <c r="D363" t="str">
        <f t="shared" si="11"/>
        <v>SEXTA-FEIRA</v>
      </c>
      <c r="E363">
        <v>1012</v>
      </c>
      <c r="F363" t="s">
        <v>55</v>
      </c>
      <c r="G363" t="s">
        <v>499</v>
      </c>
      <c r="H363" t="s">
        <v>74</v>
      </c>
      <c r="I363" t="s">
        <v>500</v>
      </c>
      <c r="J363" t="s">
        <v>951</v>
      </c>
      <c r="K363" t="s">
        <v>501</v>
      </c>
      <c r="L363" s="9"/>
      <c r="M363" t="str">
        <f>IF(G363="FIM",IF(L363="","SEM VÍNCULO",IF(COUNTIF(tblBatidas[Batida ID],L363)=0,"VÍNCULO INVÁLIDO",IF(COUNTIF(tblBatidas[Início vinculado],L363)&gt;1,"VÍNCULO DUPLICADO",IF(E363&lt;&gt;INDEX(tblBatidas[ID],MATCH(L363,tblBatidas[Batida ID],0)),"DIVERGÊNCIA DE ID",IF(H363&lt;&gt;INDEX(tblBatidas[Projeto],MATCH(L363,tblBatidas[Batida ID],0)),"DIVERGÊNCIA DE PROJETO",IF(I363&lt;&gt;INDEX(tblBatidas[Atividade],MATCH(L363,tblBatidas[Batida ID],0)),"DIVERGÊNCIA DE ATIVIDADE",IF(OR(B363&lt;=INDEX(tblBatidas[Data e hora],MATCH(L363,tblBatidas[Batida ID],0)),(B363-INDEX(tblBatidas[Data e hora],MATCH(L363,tblBatidas[Batida ID],0)))*24&gt;16),"HORÁRIO INVÁLIDO","VINCULADO"))))))),"INÍCIO")</f>
        <v>INÍCIO</v>
      </c>
    </row>
    <row r="364" spans="1:13" hidden="1">
      <c r="A364" t="s">
        <v>952</v>
      </c>
      <c r="B364" s="21">
        <v>46269.559155092589</v>
      </c>
      <c r="C364" s="2">
        <f t="shared" si="10"/>
        <v>46269</v>
      </c>
      <c r="D364" t="str">
        <f t="shared" si="11"/>
        <v>SEXTA-FEIRA</v>
      </c>
      <c r="E364">
        <v>1013</v>
      </c>
      <c r="F364" t="s">
        <v>57</v>
      </c>
      <c r="G364" t="s">
        <v>499</v>
      </c>
      <c r="H364" t="s">
        <v>74</v>
      </c>
      <c r="I364" t="s">
        <v>517</v>
      </c>
      <c r="K364" t="s">
        <v>501</v>
      </c>
      <c r="L364" s="9"/>
      <c r="M364" t="str">
        <f>IF(G364="FIM",IF(L364="","SEM VÍNCULO",IF(COUNTIF(tblBatidas[Batida ID],L364)=0,"VÍNCULO INVÁLIDO",IF(COUNTIF(tblBatidas[Início vinculado],L364)&gt;1,"VÍNCULO DUPLICADO",IF(E364&lt;&gt;INDEX(tblBatidas[ID],MATCH(L364,tblBatidas[Batida ID],0)),"DIVERGÊNCIA DE ID",IF(H364&lt;&gt;INDEX(tblBatidas[Projeto],MATCH(L364,tblBatidas[Batida ID],0)),"DIVERGÊNCIA DE PROJETO",IF(I364&lt;&gt;INDEX(tblBatidas[Atividade],MATCH(L364,tblBatidas[Batida ID],0)),"DIVERGÊNCIA DE ATIVIDADE",IF(OR(B364&lt;=INDEX(tblBatidas[Data e hora],MATCH(L364,tblBatidas[Batida ID],0)),(B364-INDEX(tblBatidas[Data e hora],MATCH(L364,tblBatidas[Batida ID],0)))*24&gt;16),"HORÁRIO INVÁLIDO","VINCULADO"))))))),"INÍCIO")</f>
        <v>INÍCIO</v>
      </c>
    </row>
    <row r="365" spans="1:13" hidden="1">
      <c r="A365" t="s">
        <v>953</v>
      </c>
      <c r="B365" s="21">
        <v>46269.572696759256</v>
      </c>
      <c r="C365" s="2">
        <f t="shared" si="10"/>
        <v>46269</v>
      </c>
      <c r="D365" t="str">
        <f t="shared" si="11"/>
        <v>SEXTA-FEIRA</v>
      </c>
      <c r="E365">
        <v>1016</v>
      </c>
      <c r="F365" t="s">
        <v>60</v>
      </c>
      <c r="G365" t="s">
        <v>499</v>
      </c>
      <c r="H365" t="s">
        <v>70</v>
      </c>
      <c r="I365" t="s">
        <v>517</v>
      </c>
      <c r="K365" t="s">
        <v>501</v>
      </c>
      <c r="L365" s="9"/>
      <c r="M365" t="str">
        <f>IF(G365="FIM",IF(L365="","SEM VÍNCULO",IF(COUNTIF(tblBatidas[Batida ID],L365)=0,"VÍNCULO INVÁLIDO",IF(COUNTIF(tblBatidas[Início vinculado],L365)&gt;1,"VÍNCULO DUPLICADO",IF(E365&lt;&gt;INDEX(tblBatidas[ID],MATCH(L365,tblBatidas[Batida ID],0)),"DIVERGÊNCIA DE ID",IF(H365&lt;&gt;INDEX(tblBatidas[Projeto],MATCH(L365,tblBatidas[Batida ID],0)),"DIVERGÊNCIA DE PROJETO",IF(I365&lt;&gt;INDEX(tblBatidas[Atividade],MATCH(L365,tblBatidas[Batida ID],0)),"DIVERGÊNCIA DE ATIVIDADE",IF(OR(B365&lt;=INDEX(tblBatidas[Data e hora],MATCH(L365,tblBatidas[Batida ID],0)),(B365-INDEX(tblBatidas[Data e hora],MATCH(L365,tblBatidas[Batida ID],0)))*24&gt;16),"HORÁRIO INVÁLIDO","VINCULADO"))))))),"INÍCIO")</f>
        <v>INÍCIO</v>
      </c>
    </row>
    <row r="366" spans="1:13" hidden="1">
      <c r="A366" t="s">
        <v>954</v>
      </c>
      <c r="B366" s="21">
        <v>46269.573263888888</v>
      </c>
      <c r="C366" s="2">
        <f t="shared" si="10"/>
        <v>46269</v>
      </c>
      <c r="D366" t="str">
        <f t="shared" si="11"/>
        <v>SEXTA-FEIRA</v>
      </c>
      <c r="E366">
        <v>1014</v>
      </c>
      <c r="F366" t="s">
        <v>58</v>
      </c>
      <c r="G366" t="s">
        <v>499</v>
      </c>
      <c r="H366" t="s">
        <v>74</v>
      </c>
      <c r="I366" t="s">
        <v>512</v>
      </c>
      <c r="K366" t="s">
        <v>501</v>
      </c>
      <c r="L366" s="9"/>
      <c r="M366" t="str">
        <f>IF(G366="FIM",IF(L366="","SEM VÍNCULO",IF(COUNTIF(tblBatidas[Batida ID],L366)=0,"VÍNCULO INVÁLIDO",IF(COUNTIF(tblBatidas[Início vinculado],L366)&gt;1,"VÍNCULO DUPLICADO",IF(E366&lt;&gt;INDEX(tblBatidas[ID],MATCH(L366,tblBatidas[Batida ID],0)),"DIVERGÊNCIA DE ID",IF(H366&lt;&gt;INDEX(tblBatidas[Projeto],MATCH(L366,tblBatidas[Batida ID],0)),"DIVERGÊNCIA DE PROJETO",IF(I366&lt;&gt;INDEX(tblBatidas[Atividade],MATCH(L366,tblBatidas[Batida ID],0)),"DIVERGÊNCIA DE ATIVIDADE",IF(OR(B366&lt;=INDEX(tblBatidas[Data e hora],MATCH(L366,tblBatidas[Batida ID],0)),(B366-INDEX(tblBatidas[Data e hora],MATCH(L366,tblBatidas[Batida ID],0)))*24&gt;16),"HORÁRIO INVÁLIDO","VINCULADO"))))))),"INÍCIO")</f>
        <v>INÍCIO</v>
      </c>
    </row>
    <row r="367" spans="1:13" hidden="1">
      <c r="A367" t="s">
        <v>955</v>
      </c>
      <c r="B367" s="21">
        <v>46269.577245370368</v>
      </c>
      <c r="C367" s="2">
        <f t="shared" si="10"/>
        <v>46269</v>
      </c>
      <c r="D367" t="str">
        <f t="shared" si="11"/>
        <v>SEXTA-FEIRA</v>
      </c>
      <c r="E367">
        <v>1003</v>
      </c>
      <c r="F367" t="s">
        <v>46</v>
      </c>
      <c r="G367" t="s">
        <v>499</v>
      </c>
      <c r="H367" t="s">
        <v>74</v>
      </c>
      <c r="I367" t="s">
        <v>517</v>
      </c>
      <c r="J367" t="s">
        <v>956</v>
      </c>
      <c r="K367" t="s">
        <v>501</v>
      </c>
      <c r="L367" s="9"/>
      <c r="M367" t="str">
        <f>IF(G367="FIM",IF(L367="","SEM VÍNCULO",IF(COUNTIF(tblBatidas[Batida ID],L367)=0,"VÍNCULO INVÁLIDO",IF(COUNTIF(tblBatidas[Início vinculado],L367)&gt;1,"VÍNCULO DUPLICADO",IF(E367&lt;&gt;INDEX(tblBatidas[ID],MATCH(L367,tblBatidas[Batida ID],0)),"DIVERGÊNCIA DE ID",IF(H367&lt;&gt;INDEX(tblBatidas[Projeto],MATCH(L367,tblBatidas[Batida ID],0)),"DIVERGÊNCIA DE PROJETO",IF(I367&lt;&gt;INDEX(tblBatidas[Atividade],MATCH(L367,tblBatidas[Batida ID],0)),"DIVERGÊNCIA DE ATIVIDADE",IF(OR(B367&lt;=INDEX(tblBatidas[Data e hora],MATCH(L367,tblBatidas[Batida ID],0)),(B367-INDEX(tblBatidas[Data e hora],MATCH(L367,tblBatidas[Batida ID],0)))*24&gt;16),"HORÁRIO INVÁLIDO","VINCULADO"))))))),"INÍCIO")</f>
        <v>INÍCIO</v>
      </c>
    </row>
    <row r="368" spans="1:13" hidden="1">
      <c r="A368" t="s">
        <v>957</v>
      </c>
      <c r="B368" s="21">
        <v>46269.583043981482</v>
      </c>
      <c r="C368" s="2">
        <f t="shared" si="10"/>
        <v>46269</v>
      </c>
      <c r="D368" t="str">
        <f t="shared" si="11"/>
        <v>SEXTA-FEIRA</v>
      </c>
      <c r="E368">
        <v>1015</v>
      </c>
      <c r="F368" t="s">
        <v>59</v>
      </c>
      <c r="G368" t="s">
        <v>499</v>
      </c>
      <c r="H368" t="s">
        <v>84</v>
      </c>
      <c r="I368" t="s">
        <v>84</v>
      </c>
      <c r="K368" t="s">
        <v>501</v>
      </c>
      <c r="L368" s="9"/>
      <c r="M368" t="str">
        <f>IF(G368="FIM",IF(L368="","SEM VÍNCULO",IF(COUNTIF(tblBatidas[Batida ID],L368)=0,"VÍNCULO INVÁLIDO",IF(COUNTIF(tblBatidas[Início vinculado],L368)&gt;1,"VÍNCULO DUPLICADO",IF(E368&lt;&gt;INDEX(tblBatidas[ID],MATCH(L368,tblBatidas[Batida ID],0)),"DIVERGÊNCIA DE ID",IF(H368&lt;&gt;INDEX(tblBatidas[Projeto],MATCH(L368,tblBatidas[Batida ID],0)),"DIVERGÊNCIA DE PROJETO",IF(I368&lt;&gt;INDEX(tblBatidas[Atividade],MATCH(L368,tblBatidas[Batida ID],0)),"DIVERGÊNCIA DE ATIVIDADE",IF(OR(B368&lt;=INDEX(tblBatidas[Data e hora],MATCH(L368,tblBatidas[Batida ID],0)),(B368-INDEX(tblBatidas[Data e hora],MATCH(L368,tblBatidas[Batida ID],0)))*24&gt;16),"HORÁRIO INVÁLIDO","VINCULADO"))))))),"INÍCIO")</f>
        <v>INÍCIO</v>
      </c>
    </row>
    <row r="369" spans="1:13">
      <c r="A369" t="s">
        <v>958</v>
      </c>
      <c r="B369" s="21">
        <v>46269.555601851855</v>
      </c>
      <c r="C369" s="2">
        <f t="shared" si="10"/>
        <v>46269</v>
      </c>
      <c r="D369" t="str">
        <f t="shared" si="11"/>
        <v>SEXTA-FEIRA</v>
      </c>
      <c r="E369">
        <v>1002</v>
      </c>
      <c r="F369" t="s">
        <v>45</v>
      </c>
      <c r="G369" t="s">
        <v>499</v>
      </c>
      <c r="H369" t="s">
        <v>70</v>
      </c>
      <c r="I369" t="s">
        <v>517</v>
      </c>
      <c r="J369" t="s">
        <v>959</v>
      </c>
      <c r="K369" t="s">
        <v>501</v>
      </c>
      <c r="L369" s="9" t="s">
        <v>1674</v>
      </c>
      <c r="M369" t="str">
        <f>IF(G369="FIM",IF(L369="","SEM VÍNCULO",IF(COUNTIF(tblBatidas[Batida ID],L369)=0,"VÍNCULO INVÁLIDO",IF(COUNTIF(tblBatidas[Início vinculado],L369)&gt;1,"VÍNCULO DUPLICADO",IF(E369&lt;&gt;INDEX(tblBatidas[ID],MATCH(L369,tblBatidas[Batida ID],0)),"DIVERGÊNCIA DE ID",IF(H369&lt;&gt;INDEX(tblBatidas[Projeto],MATCH(L369,tblBatidas[Batida ID],0)),"DIVERGÊNCIA DE PROJETO",IF(I369&lt;&gt;INDEX(tblBatidas[Atividade],MATCH(L369,tblBatidas[Batida ID],0)),"DIVERGÊNCIA DE ATIVIDADE",IF(OR(B369&lt;=INDEX(tblBatidas[Data e hora],MATCH(L369,tblBatidas[Batida ID],0)),(B369-INDEX(tblBatidas[Data e hora],MATCH(L369,tblBatidas[Batida ID],0)))*24&gt;16),"HORÁRIO INVÁLIDO","VINCULADO"))))))),"INÍCIO")</f>
        <v>INÍCIO</v>
      </c>
    </row>
    <row r="370" spans="1:13" hidden="1">
      <c r="A370" t="s">
        <v>960</v>
      </c>
      <c r="B370" s="21">
        <v>46269.629143518519</v>
      </c>
      <c r="C370" s="2">
        <f t="shared" si="10"/>
        <v>46269</v>
      </c>
      <c r="D370" t="str">
        <f t="shared" si="11"/>
        <v>SEXTA-FEIRA</v>
      </c>
      <c r="E370">
        <v>1004</v>
      </c>
      <c r="F370" t="s">
        <v>47</v>
      </c>
      <c r="G370" t="s">
        <v>503</v>
      </c>
      <c r="H370" t="s">
        <v>74</v>
      </c>
      <c r="I370" t="s">
        <v>538</v>
      </c>
      <c r="K370" t="s">
        <v>501</v>
      </c>
      <c r="L370" s="9"/>
      <c r="M370" t="str">
        <f>IF(G370="FIM",IF(L370="","SEM VÍNCULO",IF(COUNTIF(tblBatidas[Batida ID],L370)=0,"VÍNCULO INVÁLIDO",IF(COUNTIF(tblBatidas[Início vinculado],L370)&gt;1,"VÍNCULO DUPLICADO",IF(E370&lt;&gt;INDEX(tblBatidas[ID],MATCH(L370,tblBatidas[Batida ID],0)),"DIVERGÊNCIA DE ID",IF(H370&lt;&gt;INDEX(tblBatidas[Projeto],MATCH(L370,tblBatidas[Batida ID],0)),"DIVERGÊNCIA DE PROJETO",IF(I370&lt;&gt;INDEX(tblBatidas[Atividade],MATCH(L370,tblBatidas[Batida ID],0)),"DIVERGÊNCIA DE ATIVIDADE",IF(OR(B370&lt;=INDEX(tblBatidas[Data e hora],MATCH(L370,tblBatidas[Batida ID],0)),(B370-INDEX(tblBatidas[Data e hora],MATCH(L370,tblBatidas[Batida ID],0)))*24&gt;16),"HORÁRIO INVÁLIDO","VINCULADO"))))))),"INÍCIO")</f>
        <v>SEM VÍNCULO</v>
      </c>
    </row>
    <row r="371" spans="1:13" hidden="1">
      <c r="A371" t="s">
        <v>961</v>
      </c>
      <c r="B371" s="21">
        <v>46269.629606481481</v>
      </c>
      <c r="C371" s="2">
        <f t="shared" si="10"/>
        <v>46269</v>
      </c>
      <c r="D371" t="str">
        <f t="shared" si="11"/>
        <v>SEXTA-FEIRA</v>
      </c>
      <c r="E371">
        <v>1004</v>
      </c>
      <c r="F371" t="s">
        <v>47</v>
      </c>
      <c r="G371" t="s">
        <v>503</v>
      </c>
      <c r="H371" t="s">
        <v>74</v>
      </c>
      <c r="I371" t="s">
        <v>538</v>
      </c>
      <c r="K371" t="s">
        <v>501</v>
      </c>
      <c r="L371" s="9"/>
      <c r="M371" t="str">
        <f>IF(G371="FIM",IF(L371="","SEM VÍNCULO",IF(COUNTIF(tblBatidas[Batida ID],L371)=0,"VÍNCULO INVÁLIDO",IF(COUNTIF(tblBatidas[Início vinculado],L371)&gt;1,"VÍNCULO DUPLICADO",IF(E371&lt;&gt;INDEX(tblBatidas[ID],MATCH(L371,tblBatidas[Batida ID],0)),"DIVERGÊNCIA DE ID",IF(H371&lt;&gt;INDEX(tblBatidas[Projeto],MATCH(L371,tblBatidas[Batida ID],0)),"DIVERGÊNCIA DE PROJETO",IF(I371&lt;&gt;INDEX(tblBatidas[Atividade],MATCH(L371,tblBatidas[Batida ID],0)),"DIVERGÊNCIA DE ATIVIDADE",IF(OR(B371&lt;=INDEX(tblBatidas[Data e hora],MATCH(L371,tblBatidas[Batida ID],0)),(B371-INDEX(tblBatidas[Data e hora],MATCH(L371,tblBatidas[Batida ID],0)))*24&gt;16),"HORÁRIO INVÁLIDO","VINCULADO"))))))),"INÍCIO")</f>
        <v>SEM VÍNCULO</v>
      </c>
    </row>
    <row r="372" spans="1:13" hidden="1">
      <c r="A372" t="s">
        <v>962</v>
      </c>
      <c r="B372" s="21">
        <v>46269.630486111113</v>
      </c>
      <c r="C372" s="2">
        <f t="shared" si="10"/>
        <v>46269</v>
      </c>
      <c r="D372" t="str">
        <f t="shared" si="11"/>
        <v>SEXTA-FEIRA</v>
      </c>
      <c r="E372">
        <v>1014</v>
      </c>
      <c r="F372" t="s">
        <v>58</v>
      </c>
      <c r="G372" t="s">
        <v>503</v>
      </c>
      <c r="H372" t="s">
        <v>74</v>
      </c>
      <c r="I372" t="s">
        <v>512</v>
      </c>
      <c r="K372" t="s">
        <v>501</v>
      </c>
      <c r="L372" s="9" t="s">
        <v>954</v>
      </c>
      <c r="M372" t="str">
        <f>IF(G372="FIM",IF(L372="","SEM VÍNCULO",IF(COUNTIF(tblBatidas[Batida ID],L372)=0,"VÍNCULO INVÁLIDO",IF(COUNTIF(tblBatidas[Início vinculado],L372)&gt;1,"VÍNCULO DUPLICADO",IF(E372&lt;&gt;INDEX(tblBatidas[ID],MATCH(L372,tblBatidas[Batida ID],0)),"DIVERGÊNCIA DE ID",IF(H372&lt;&gt;INDEX(tblBatidas[Projeto],MATCH(L372,tblBatidas[Batida ID],0)),"DIVERGÊNCIA DE PROJETO",IF(I372&lt;&gt;INDEX(tblBatidas[Atividade],MATCH(L372,tblBatidas[Batida ID],0)),"DIVERGÊNCIA DE ATIVIDADE",IF(OR(B372&lt;=INDEX(tblBatidas[Data e hora],MATCH(L372,tblBatidas[Batida ID],0)),(B372-INDEX(tblBatidas[Data e hora],MATCH(L372,tblBatidas[Batida ID],0)))*24&gt;16),"HORÁRIO INVÁLIDO","VINCULADO"))))))),"INÍCIO")</f>
        <v>VINCULADO</v>
      </c>
    </row>
    <row r="373" spans="1:13" hidden="1">
      <c r="A373" t="s">
        <v>963</v>
      </c>
      <c r="B373" s="21">
        <v>46269.630706018521</v>
      </c>
      <c r="C373" s="2">
        <f t="shared" si="10"/>
        <v>46269</v>
      </c>
      <c r="D373" t="str">
        <f t="shared" si="11"/>
        <v>SEXTA-FEIRA</v>
      </c>
      <c r="E373">
        <v>1014</v>
      </c>
      <c r="F373" t="s">
        <v>58</v>
      </c>
      <c r="G373" t="s">
        <v>499</v>
      </c>
      <c r="H373" t="s">
        <v>72</v>
      </c>
      <c r="I373" t="s">
        <v>512</v>
      </c>
      <c r="K373" t="s">
        <v>501</v>
      </c>
      <c r="L373" s="9"/>
      <c r="M373" t="str">
        <f>IF(G373="FIM",IF(L373="","SEM VÍNCULO",IF(COUNTIF(tblBatidas[Batida ID],L373)=0,"VÍNCULO INVÁLIDO",IF(COUNTIF(tblBatidas[Início vinculado],L373)&gt;1,"VÍNCULO DUPLICADO",IF(E373&lt;&gt;INDEX(tblBatidas[ID],MATCH(L373,tblBatidas[Batida ID],0)),"DIVERGÊNCIA DE ID",IF(H373&lt;&gt;INDEX(tblBatidas[Projeto],MATCH(L373,tblBatidas[Batida ID],0)),"DIVERGÊNCIA DE PROJETO",IF(I373&lt;&gt;INDEX(tblBatidas[Atividade],MATCH(L373,tblBatidas[Batida ID],0)),"DIVERGÊNCIA DE ATIVIDADE",IF(OR(B373&lt;=INDEX(tblBatidas[Data e hora],MATCH(L373,tblBatidas[Batida ID],0)),(B373-INDEX(tblBatidas[Data e hora],MATCH(L373,tblBatidas[Batida ID],0)))*24&gt;16),"HORÁRIO INVÁLIDO","VINCULADO"))))))),"INÍCIO")</f>
        <v>INÍCIO</v>
      </c>
    </row>
    <row r="374" spans="1:13" hidden="1">
      <c r="A374" t="s">
        <v>964</v>
      </c>
      <c r="B374" s="21">
        <v>46269.651504629626</v>
      </c>
      <c r="C374" s="2">
        <f t="shared" si="10"/>
        <v>46269</v>
      </c>
      <c r="D374" t="str">
        <f t="shared" si="11"/>
        <v>SEXTA-FEIRA</v>
      </c>
      <c r="E374">
        <v>1001</v>
      </c>
      <c r="F374" t="s">
        <v>43</v>
      </c>
      <c r="G374" t="s">
        <v>503</v>
      </c>
      <c r="H374" t="s">
        <v>72</v>
      </c>
      <c r="I374" t="s">
        <v>500</v>
      </c>
      <c r="K374" t="s">
        <v>501</v>
      </c>
      <c r="L374" s="9" t="s">
        <v>936</v>
      </c>
      <c r="M374" t="str">
        <f>IF(G374="FIM",IF(L374="","SEM VÍNCULO",IF(COUNTIF(tblBatidas[Batida ID],L374)=0,"VÍNCULO INVÁLIDO",IF(COUNTIF(tblBatidas[Início vinculado],L374)&gt;1,"VÍNCULO DUPLICADO",IF(E374&lt;&gt;INDEX(tblBatidas[ID],MATCH(L374,tblBatidas[Batida ID],0)),"DIVERGÊNCIA DE ID",IF(H374&lt;&gt;INDEX(tblBatidas[Projeto],MATCH(L374,tblBatidas[Batida ID],0)),"DIVERGÊNCIA DE PROJETO",IF(I374&lt;&gt;INDEX(tblBatidas[Atividade],MATCH(L374,tblBatidas[Batida ID],0)),"DIVERGÊNCIA DE ATIVIDADE",IF(OR(B374&lt;=INDEX(tblBatidas[Data e hora],MATCH(L374,tblBatidas[Batida ID],0)),(B374-INDEX(tblBatidas[Data e hora],MATCH(L374,tblBatidas[Batida ID],0)))*24&gt;16),"HORÁRIO INVÁLIDO","VINCULADO"))))))),"INÍCIO")</f>
        <v>VINCULADO</v>
      </c>
    </row>
    <row r="375" spans="1:13" hidden="1">
      <c r="A375" t="s">
        <v>965</v>
      </c>
      <c r="B375" s="21">
        <v>46269.674039351848</v>
      </c>
      <c r="C375" s="2">
        <f t="shared" si="10"/>
        <v>46269</v>
      </c>
      <c r="D375" t="str">
        <f t="shared" si="11"/>
        <v>SEXTA-FEIRA</v>
      </c>
      <c r="E375">
        <v>1001</v>
      </c>
      <c r="F375" t="s">
        <v>43</v>
      </c>
      <c r="G375" t="s">
        <v>499</v>
      </c>
      <c r="H375" t="s">
        <v>72</v>
      </c>
      <c r="I375" t="s">
        <v>500</v>
      </c>
      <c r="K375" t="s">
        <v>501</v>
      </c>
      <c r="L375" s="9"/>
      <c r="M375" t="str">
        <f>IF(G375="FIM",IF(L375="","SEM VÍNCULO",IF(COUNTIF(tblBatidas[Batida ID],L375)=0,"VÍNCULO INVÁLIDO",IF(COUNTIF(tblBatidas[Início vinculado],L375)&gt;1,"VÍNCULO DUPLICADO",IF(E375&lt;&gt;INDEX(tblBatidas[ID],MATCH(L375,tblBatidas[Batida ID],0)),"DIVERGÊNCIA DE ID",IF(H375&lt;&gt;INDEX(tblBatidas[Projeto],MATCH(L375,tblBatidas[Batida ID],0)),"DIVERGÊNCIA DE PROJETO",IF(I375&lt;&gt;INDEX(tblBatidas[Atividade],MATCH(L375,tblBatidas[Batida ID],0)),"DIVERGÊNCIA DE ATIVIDADE",IF(OR(B375&lt;=INDEX(tblBatidas[Data e hora],MATCH(L375,tblBatidas[Batida ID],0)),(B375-INDEX(tblBatidas[Data e hora],MATCH(L375,tblBatidas[Batida ID],0)))*24&gt;16),"HORÁRIO INVÁLIDO","VINCULADO"))))))),"INÍCIO")</f>
        <v>INÍCIO</v>
      </c>
    </row>
    <row r="376" spans="1:13" hidden="1">
      <c r="A376" t="s">
        <v>966</v>
      </c>
      <c r="B376" s="21">
        <v>46269.739201388889</v>
      </c>
      <c r="C376" s="2">
        <f t="shared" si="10"/>
        <v>46269</v>
      </c>
      <c r="D376" t="str">
        <f t="shared" si="11"/>
        <v>SEXTA-FEIRA</v>
      </c>
      <c r="E376">
        <v>1014</v>
      </c>
      <c r="F376" t="s">
        <v>58</v>
      </c>
      <c r="G376" t="s">
        <v>503</v>
      </c>
      <c r="H376" t="s">
        <v>74</v>
      </c>
      <c r="I376" t="s">
        <v>512</v>
      </c>
      <c r="K376" t="s">
        <v>501</v>
      </c>
      <c r="L376" s="9"/>
      <c r="M376" t="str">
        <f>IF(G376="FIM",IF(L376="","SEM VÍNCULO",IF(COUNTIF(tblBatidas[Batida ID],L376)=0,"VÍNCULO INVÁLIDO",IF(COUNTIF(tblBatidas[Início vinculado],L376)&gt;1,"VÍNCULO DUPLICADO",IF(E376&lt;&gt;INDEX(tblBatidas[ID],MATCH(L376,tblBatidas[Batida ID],0)),"DIVERGÊNCIA DE ID",IF(H376&lt;&gt;INDEX(tblBatidas[Projeto],MATCH(L376,tblBatidas[Batida ID],0)),"DIVERGÊNCIA DE PROJETO",IF(I376&lt;&gt;INDEX(tblBatidas[Atividade],MATCH(L376,tblBatidas[Batida ID],0)),"DIVERGÊNCIA DE ATIVIDADE",IF(OR(B376&lt;=INDEX(tblBatidas[Data e hora],MATCH(L376,tblBatidas[Batida ID],0)),(B376-INDEX(tblBatidas[Data e hora],MATCH(L376,tblBatidas[Batida ID],0)))*24&gt;16),"HORÁRIO INVÁLIDO","VINCULADO"))))))),"INÍCIO")</f>
        <v>SEM VÍNCULO</v>
      </c>
    </row>
    <row r="377" spans="1:13">
      <c r="A377" t="s">
        <v>967</v>
      </c>
      <c r="B377" s="21">
        <v>46269.749641203707</v>
      </c>
      <c r="C377" s="2">
        <f t="shared" si="10"/>
        <v>46269</v>
      </c>
      <c r="D377" t="str">
        <f t="shared" si="11"/>
        <v>SEXTA-FEIRA</v>
      </c>
      <c r="E377">
        <v>1002</v>
      </c>
      <c r="F377" t="s">
        <v>45</v>
      </c>
      <c r="G377" t="s">
        <v>503</v>
      </c>
      <c r="H377" t="s">
        <v>70</v>
      </c>
      <c r="I377" t="s">
        <v>517</v>
      </c>
      <c r="K377" t="s">
        <v>501</v>
      </c>
      <c r="L377" s="9" t="s">
        <v>958</v>
      </c>
      <c r="M377" t="str">
        <f>IF(G377="FIM",IF(L377="","SEM VÍNCULO",IF(COUNTIF(tblBatidas[Batida ID],L377)=0,"VÍNCULO INVÁLIDO",IF(COUNTIF(tblBatidas[Início vinculado],L377)&gt;1,"VÍNCULO DUPLICADO",IF(E377&lt;&gt;INDEX(tblBatidas[ID],MATCH(L377,tblBatidas[Batida ID],0)),"DIVERGÊNCIA DE ID",IF(H377&lt;&gt;INDEX(tblBatidas[Projeto],MATCH(L377,tblBatidas[Batida ID],0)),"DIVERGÊNCIA DE PROJETO",IF(I377&lt;&gt;INDEX(tblBatidas[Atividade],MATCH(L377,tblBatidas[Batida ID],0)),"DIVERGÊNCIA DE ATIVIDADE",IF(OR(B377&lt;=INDEX(tblBatidas[Data e hora],MATCH(L377,tblBatidas[Batida ID],0)),(B377-INDEX(tblBatidas[Data e hora],MATCH(L377,tblBatidas[Batida ID],0)))*24&gt;16),"HORÁRIO INVÁLIDO","VINCULADO"))))))),"INÍCIO")</f>
        <v>VINCULADO</v>
      </c>
    </row>
    <row r="378" spans="1:13" hidden="1">
      <c r="A378" t="s">
        <v>968</v>
      </c>
      <c r="B378" s="21">
        <v>46269.750451388885</v>
      </c>
      <c r="C378" s="2">
        <f t="shared" si="10"/>
        <v>46269</v>
      </c>
      <c r="D378" t="str">
        <f t="shared" si="11"/>
        <v>SEXTA-FEIRA</v>
      </c>
      <c r="E378">
        <v>1016</v>
      </c>
      <c r="F378" t="s">
        <v>60</v>
      </c>
      <c r="G378" t="s">
        <v>503</v>
      </c>
      <c r="H378" t="s">
        <v>70</v>
      </c>
      <c r="I378" t="s">
        <v>517</v>
      </c>
      <c r="K378" t="s">
        <v>501</v>
      </c>
      <c r="L378" s="9" t="s">
        <v>953</v>
      </c>
      <c r="M378" t="str">
        <f>IF(G378="FIM",IF(L378="","SEM VÍNCULO",IF(COUNTIF(tblBatidas[Batida ID],L378)=0,"VÍNCULO INVÁLIDO",IF(COUNTIF(tblBatidas[Início vinculado],L378)&gt;1,"VÍNCULO DUPLICADO",IF(E378&lt;&gt;INDEX(tblBatidas[ID],MATCH(L378,tblBatidas[Batida ID],0)),"DIVERGÊNCIA DE ID",IF(H378&lt;&gt;INDEX(tblBatidas[Projeto],MATCH(L378,tblBatidas[Batida ID],0)),"DIVERGÊNCIA DE PROJETO",IF(I378&lt;&gt;INDEX(tblBatidas[Atividade],MATCH(L378,tblBatidas[Batida ID],0)),"DIVERGÊNCIA DE ATIVIDADE",IF(OR(B378&lt;=INDEX(tblBatidas[Data e hora],MATCH(L378,tblBatidas[Batida ID],0)),(B378-INDEX(tblBatidas[Data e hora],MATCH(L378,tblBatidas[Batida ID],0)))*24&gt;16),"HORÁRIO INVÁLIDO","VINCULADO"))))))),"INÍCIO")</f>
        <v>VINCULADO</v>
      </c>
    </row>
    <row r="379" spans="1:13" hidden="1">
      <c r="A379" t="s">
        <v>969</v>
      </c>
      <c r="B379" s="21">
        <v>46269.750694444447</v>
      </c>
      <c r="C379" s="2">
        <f t="shared" si="10"/>
        <v>46269</v>
      </c>
      <c r="D379" t="str">
        <f t="shared" si="11"/>
        <v>SEXTA-FEIRA</v>
      </c>
      <c r="E379">
        <v>1003</v>
      </c>
      <c r="F379" t="s">
        <v>46</v>
      </c>
      <c r="G379" t="s">
        <v>503</v>
      </c>
      <c r="H379" t="s">
        <v>80</v>
      </c>
      <c r="I379" t="s">
        <v>517</v>
      </c>
      <c r="K379" t="s">
        <v>501</v>
      </c>
      <c r="L379" s="9"/>
      <c r="M379" t="str">
        <f>IF(G379="FIM",IF(L379="","SEM VÍNCULO",IF(COUNTIF(tblBatidas[Batida ID],L379)=0,"VÍNCULO INVÁLIDO",IF(COUNTIF(tblBatidas[Início vinculado],L379)&gt;1,"VÍNCULO DUPLICADO",IF(E379&lt;&gt;INDEX(tblBatidas[ID],MATCH(L379,tblBatidas[Batida ID],0)),"DIVERGÊNCIA DE ID",IF(H379&lt;&gt;INDEX(tblBatidas[Projeto],MATCH(L379,tblBatidas[Batida ID],0)),"DIVERGÊNCIA DE PROJETO",IF(I379&lt;&gt;INDEX(tblBatidas[Atividade],MATCH(L379,tblBatidas[Batida ID],0)),"DIVERGÊNCIA DE ATIVIDADE",IF(OR(B379&lt;=INDEX(tblBatidas[Data e hora],MATCH(L379,tblBatidas[Batida ID],0)),(B379-INDEX(tblBatidas[Data e hora],MATCH(L379,tblBatidas[Batida ID],0)))*24&gt;16),"HORÁRIO INVÁLIDO","VINCULADO"))))))),"INÍCIO")</f>
        <v>SEM VÍNCULO</v>
      </c>
    </row>
    <row r="380" spans="1:13" hidden="1">
      <c r="A380" t="s">
        <v>970</v>
      </c>
      <c r="B380" s="21">
        <v>46269.751180555555</v>
      </c>
      <c r="C380" s="2">
        <f t="shared" si="10"/>
        <v>46269</v>
      </c>
      <c r="D380" t="str">
        <f t="shared" si="11"/>
        <v>SEXTA-FEIRA</v>
      </c>
      <c r="E380">
        <v>1013</v>
      </c>
      <c r="F380" t="s">
        <v>57</v>
      </c>
      <c r="G380" t="s">
        <v>503</v>
      </c>
      <c r="H380" t="s">
        <v>80</v>
      </c>
      <c r="I380" t="s">
        <v>517</v>
      </c>
      <c r="K380" t="s">
        <v>501</v>
      </c>
      <c r="L380" s="9"/>
      <c r="M380" t="str">
        <f>IF(G380="FIM",IF(L380="","SEM VÍNCULO",IF(COUNTIF(tblBatidas[Batida ID],L380)=0,"VÍNCULO INVÁLIDO",IF(COUNTIF(tblBatidas[Início vinculado],L380)&gt;1,"VÍNCULO DUPLICADO",IF(E380&lt;&gt;INDEX(tblBatidas[ID],MATCH(L380,tblBatidas[Batida ID],0)),"DIVERGÊNCIA DE ID",IF(H380&lt;&gt;INDEX(tblBatidas[Projeto],MATCH(L380,tblBatidas[Batida ID],0)),"DIVERGÊNCIA DE PROJETO",IF(I380&lt;&gt;INDEX(tblBatidas[Atividade],MATCH(L380,tblBatidas[Batida ID],0)),"DIVERGÊNCIA DE ATIVIDADE",IF(OR(B380&lt;=INDEX(tblBatidas[Data e hora],MATCH(L380,tblBatidas[Batida ID],0)),(B380-INDEX(tblBatidas[Data e hora],MATCH(L380,tblBatidas[Batida ID],0)))*24&gt;16),"HORÁRIO INVÁLIDO","VINCULADO"))))))),"INÍCIO")</f>
        <v>SEM VÍNCULO</v>
      </c>
    </row>
    <row r="381" spans="1:13" hidden="1">
      <c r="A381" t="s">
        <v>971</v>
      </c>
      <c r="B381" s="21">
        <v>46269.751469907409</v>
      </c>
      <c r="C381" s="2">
        <f t="shared" si="10"/>
        <v>46269</v>
      </c>
      <c r="D381" t="str">
        <f t="shared" si="11"/>
        <v>SEXTA-FEIRA</v>
      </c>
      <c r="E381">
        <v>1012</v>
      </c>
      <c r="F381" t="s">
        <v>55</v>
      </c>
      <c r="G381" t="s">
        <v>503</v>
      </c>
      <c r="H381" t="s">
        <v>74</v>
      </c>
      <c r="I381" t="s">
        <v>500</v>
      </c>
      <c r="K381" t="s">
        <v>501</v>
      </c>
      <c r="L381" s="9" t="s">
        <v>950</v>
      </c>
      <c r="M381" t="str">
        <f>IF(G381="FIM",IF(L381="","SEM VÍNCULO",IF(COUNTIF(tblBatidas[Batida ID],L381)=0,"VÍNCULO INVÁLIDO",IF(COUNTIF(tblBatidas[Início vinculado],L381)&gt;1,"VÍNCULO DUPLICADO",IF(E381&lt;&gt;INDEX(tblBatidas[ID],MATCH(L381,tblBatidas[Batida ID],0)),"DIVERGÊNCIA DE ID",IF(H381&lt;&gt;INDEX(tblBatidas[Projeto],MATCH(L381,tblBatidas[Batida ID],0)),"DIVERGÊNCIA DE PROJETO",IF(I381&lt;&gt;INDEX(tblBatidas[Atividade],MATCH(L381,tblBatidas[Batida ID],0)),"DIVERGÊNCIA DE ATIVIDADE",IF(OR(B381&lt;=INDEX(tblBatidas[Data e hora],MATCH(L381,tblBatidas[Batida ID],0)),(B381-INDEX(tblBatidas[Data e hora],MATCH(L381,tblBatidas[Batida ID],0)))*24&gt;16),"HORÁRIO INVÁLIDO","VINCULADO"))))))),"INÍCIO")</f>
        <v>VINCULADO</v>
      </c>
    </row>
    <row r="382" spans="1:13" hidden="1">
      <c r="A382" t="s">
        <v>972</v>
      </c>
      <c r="B382" s="21">
        <v>46269.783842592595</v>
      </c>
      <c r="C382" s="2">
        <f t="shared" si="10"/>
        <v>46269</v>
      </c>
      <c r="D382" t="str">
        <f t="shared" si="11"/>
        <v>SEXTA-FEIRA</v>
      </c>
      <c r="E382">
        <v>1001</v>
      </c>
      <c r="F382" t="s">
        <v>43</v>
      </c>
      <c r="G382" t="s">
        <v>503</v>
      </c>
      <c r="H382" t="s">
        <v>76</v>
      </c>
      <c r="I382" t="s">
        <v>500</v>
      </c>
      <c r="J382" t="s">
        <v>973</v>
      </c>
      <c r="K382" t="s">
        <v>501</v>
      </c>
      <c r="L382" s="9"/>
      <c r="M382" t="str">
        <f>IF(G382="FIM",IF(L382="","SEM VÍNCULO",IF(COUNTIF(tblBatidas[Batida ID],L382)=0,"VÍNCULO INVÁLIDO",IF(COUNTIF(tblBatidas[Início vinculado],L382)&gt;1,"VÍNCULO DUPLICADO",IF(E382&lt;&gt;INDEX(tblBatidas[ID],MATCH(L382,tblBatidas[Batida ID],0)),"DIVERGÊNCIA DE ID",IF(H382&lt;&gt;INDEX(tblBatidas[Projeto],MATCH(L382,tblBatidas[Batida ID],0)),"DIVERGÊNCIA DE PROJETO",IF(I382&lt;&gt;INDEX(tblBatidas[Atividade],MATCH(L382,tblBatidas[Batida ID],0)),"DIVERGÊNCIA DE ATIVIDADE",IF(OR(B382&lt;=INDEX(tblBatidas[Data e hora],MATCH(L382,tblBatidas[Batida ID],0)),(B382-INDEX(tblBatidas[Data e hora],MATCH(L382,tblBatidas[Batida ID],0)))*24&gt;16),"HORÁRIO INVÁLIDO","VINCULADO"))))))),"INÍCIO")</f>
        <v>SEM VÍNCULO</v>
      </c>
    </row>
    <row r="383" spans="1:13" hidden="1">
      <c r="A383" t="s">
        <v>974</v>
      </c>
      <c r="B383" s="21">
        <v>46269.784236111111</v>
      </c>
      <c r="C383" s="2">
        <f t="shared" si="10"/>
        <v>46269</v>
      </c>
      <c r="D383" t="str">
        <f t="shared" si="11"/>
        <v>SEXTA-FEIRA</v>
      </c>
      <c r="E383">
        <v>1001</v>
      </c>
      <c r="F383" t="s">
        <v>43</v>
      </c>
      <c r="G383" t="s">
        <v>503</v>
      </c>
      <c r="H383" t="s">
        <v>76</v>
      </c>
      <c r="I383" t="s">
        <v>500</v>
      </c>
      <c r="J383" t="s">
        <v>973</v>
      </c>
      <c r="K383" t="s">
        <v>501</v>
      </c>
      <c r="L383" s="9"/>
      <c r="M383" t="str">
        <f>IF(G383="FIM",IF(L383="","SEM VÍNCULO",IF(COUNTIF(tblBatidas[Batida ID],L383)=0,"VÍNCULO INVÁLIDO",IF(COUNTIF(tblBatidas[Início vinculado],L383)&gt;1,"VÍNCULO DUPLICADO",IF(E383&lt;&gt;INDEX(tblBatidas[ID],MATCH(L383,tblBatidas[Batida ID],0)),"DIVERGÊNCIA DE ID",IF(H383&lt;&gt;INDEX(tblBatidas[Projeto],MATCH(L383,tblBatidas[Batida ID],0)),"DIVERGÊNCIA DE PROJETO",IF(I383&lt;&gt;INDEX(tblBatidas[Atividade],MATCH(L383,tblBatidas[Batida ID],0)),"DIVERGÊNCIA DE ATIVIDADE",IF(OR(B383&lt;=INDEX(tblBatidas[Data e hora],MATCH(L383,tblBatidas[Batida ID],0)),(B383-INDEX(tblBatidas[Data e hora],MATCH(L383,tblBatidas[Batida ID],0)))*24&gt;16),"HORÁRIO INVÁLIDO","VINCULADO"))))))),"INÍCIO")</f>
        <v>SEM VÍNCULO</v>
      </c>
    </row>
    <row r="384" spans="1:13" hidden="1">
      <c r="A384" t="s">
        <v>975</v>
      </c>
      <c r="B384" s="21">
        <v>46269.828032407408</v>
      </c>
      <c r="C384" s="2">
        <f t="shared" si="10"/>
        <v>46269</v>
      </c>
      <c r="D384" t="str">
        <f t="shared" si="11"/>
        <v>SEXTA-FEIRA</v>
      </c>
      <c r="E384">
        <v>1004</v>
      </c>
      <c r="F384" t="s">
        <v>47</v>
      </c>
      <c r="G384" t="s">
        <v>503</v>
      </c>
      <c r="H384" t="s">
        <v>74</v>
      </c>
      <c r="I384" t="s">
        <v>538</v>
      </c>
      <c r="K384" t="s">
        <v>501</v>
      </c>
      <c r="L384" s="9"/>
      <c r="M384" t="str">
        <f>IF(G384="FIM",IF(L384="","SEM VÍNCULO",IF(COUNTIF(tblBatidas[Batida ID],L384)=0,"VÍNCULO INVÁLIDO",IF(COUNTIF(tblBatidas[Início vinculado],L384)&gt;1,"VÍNCULO DUPLICADO",IF(E384&lt;&gt;INDEX(tblBatidas[ID],MATCH(L384,tblBatidas[Batida ID],0)),"DIVERGÊNCIA DE ID",IF(H384&lt;&gt;INDEX(tblBatidas[Projeto],MATCH(L384,tblBatidas[Batida ID],0)),"DIVERGÊNCIA DE PROJETO",IF(I384&lt;&gt;INDEX(tblBatidas[Atividade],MATCH(L384,tblBatidas[Batida ID],0)),"DIVERGÊNCIA DE ATIVIDADE",IF(OR(B384&lt;=INDEX(tblBatidas[Data e hora],MATCH(L384,tblBatidas[Batida ID],0)),(B384-INDEX(tblBatidas[Data e hora],MATCH(L384,tblBatidas[Batida ID],0)))*24&gt;16),"HORÁRIO INVÁLIDO","VINCULADO"))))))),"INÍCIO")</f>
        <v>SEM VÍNCULO</v>
      </c>
    </row>
    <row r="385" spans="1:13" hidden="1">
      <c r="A385" t="s">
        <v>976</v>
      </c>
      <c r="B385" s="21">
        <v>46270.330555555556</v>
      </c>
      <c r="C385" s="2">
        <f t="shared" si="10"/>
        <v>46270</v>
      </c>
      <c r="D385" t="str">
        <f t="shared" si="11"/>
        <v>SÁBADO</v>
      </c>
      <c r="E385">
        <v>1013</v>
      </c>
      <c r="F385" t="s">
        <v>57</v>
      </c>
      <c r="G385" t="s">
        <v>499</v>
      </c>
      <c r="H385" t="s">
        <v>80</v>
      </c>
      <c r="I385" t="s">
        <v>517</v>
      </c>
      <c r="K385" t="s">
        <v>501</v>
      </c>
      <c r="L385" s="9"/>
      <c r="M385" t="str">
        <f>IF(G385="FIM",IF(L385="","SEM VÍNCULO",IF(COUNTIF(tblBatidas[Batida ID],L385)=0,"VÍNCULO INVÁLIDO",IF(COUNTIF(tblBatidas[Início vinculado],L385)&gt;1,"VÍNCULO DUPLICADO",IF(E385&lt;&gt;INDEX(tblBatidas[ID],MATCH(L385,tblBatidas[Batida ID],0)),"DIVERGÊNCIA DE ID",IF(H385&lt;&gt;INDEX(tblBatidas[Projeto],MATCH(L385,tblBatidas[Batida ID],0)),"DIVERGÊNCIA DE PROJETO",IF(I385&lt;&gt;INDEX(tblBatidas[Atividade],MATCH(L385,tblBatidas[Batida ID],0)),"DIVERGÊNCIA DE ATIVIDADE",IF(OR(B385&lt;=INDEX(tblBatidas[Data e hora],MATCH(L385,tblBatidas[Batida ID],0)),(B385-INDEX(tblBatidas[Data e hora],MATCH(L385,tblBatidas[Batida ID],0)))*24&gt;16),"HORÁRIO INVÁLIDO","VINCULADO"))))))),"INÍCIO")</f>
        <v>INÍCIO</v>
      </c>
    </row>
    <row r="386" spans="1:13" hidden="1">
      <c r="A386" t="s">
        <v>977</v>
      </c>
      <c r="B386" s="21">
        <v>46270.341817129629</v>
      </c>
      <c r="C386" s="2">
        <f t="shared" si="10"/>
        <v>46270</v>
      </c>
      <c r="D386" t="str">
        <f t="shared" si="11"/>
        <v>SÁBADO</v>
      </c>
      <c r="E386">
        <v>1003</v>
      </c>
      <c r="F386" t="s">
        <v>46</v>
      </c>
      <c r="G386" t="s">
        <v>499</v>
      </c>
      <c r="H386" t="s">
        <v>80</v>
      </c>
      <c r="I386" t="s">
        <v>517</v>
      </c>
      <c r="K386" t="s">
        <v>501</v>
      </c>
      <c r="L386" s="9"/>
      <c r="M386" t="str">
        <f>IF(G386="FIM",IF(L386="","SEM VÍNCULO",IF(COUNTIF(tblBatidas[Batida ID],L386)=0,"VÍNCULO INVÁLIDO",IF(COUNTIF(tblBatidas[Início vinculado],L386)&gt;1,"VÍNCULO DUPLICADO",IF(E386&lt;&gt;INDEX(tblBatidas[ID],MATCH(L386,tblBatidas[Batida ID],0)),"DIVERGÊNCIA DE ID",IF(H386&lt;&gt;INDEX(tblBatidas[Projeto],MATCH(L386,tblBatidas[Batida ID],0)),"DIVERGÊNCIA DE PROJETO",IF(I386&lt;&gt;INDEX(tblBatidas[Atividade],MATCH(L386,tblBatidas[Batida ID],0)),"DIVERGÊNCIA DE ATIVIDADE",IF(OR(B386&lt;=INDEX(tblBatidas[Data e hora],MATCH(L386,tblBatidas[Batida ID],0)),(B386-INDEX(tblBatidas[Data e hora],MATCH(L386,tblBatidas[Batida ID],0)))*24&gt;16),"HORÁRIO INVÁLIDO","VINCULADO"))))))),"INÍCIO")</f>
        <v>INÍCIO</v>
      </c>
    </row>
    <row r="387" spans="1:13" hidden="1">
      <c r="A387" t="s">
        <v>978</v>
      </c>
      <c r="B387" s="21">
        <v>46270.382407407407</v>
      </c>
      <c r="C387" s="2">
        <f t="shared" si="10"/>
        <v>46270</v>
      </c>
      <c r="D387" t="str">
        <f t="shared" si="11"/>
        <v>SÁBADO</v>
      </c>
      <c r="E387">
        <v>1001</v>
      </c>
      <c r="F387" t="s">
        <v>43</v>
      </c>
      <c r="G387" t="s">
        <v>499</v>
      </c>
      <c r="H387" t="s">
        <v>72</v>
      </c>
      <c r="I387" t="s">
        <v>500</v>
      </c>
      <c r="J387" t="s">
        <v>979</v>
      </c>
      <c r="K387" t="s">
        <v>501</v>
      </c>
      <c r="L387" s="9"/>
      <c r="M387" t="str">
        <f>IF(G387="FIM",IF(L387="","SEM VÍNCULO",IF(COUNTIF(tblBatidas[Batida ID],L387)=0,"VÍNCULO INVÁLIDO",IF(COUNTIF(tblBatidas[Início vinculado],L387)&gt;1,"VÍNCULO DUPLICADO",IF(E387&lt;&gt;INDEX(tblBatidas[ID],MATCH(L387,tblBatidas[Batida ID],0)),"DIVERGÊNCIA DE ID",IF(H387&lt;&gt;INDEX(tblBatidas[Projeto],MATCH(L387,tblBatidas[Batida ID],0)),"DIVERGÊNCIA DE PROJETO",IF(I387&lt;&gt;INDEX(tblBatidas[Atividade],MATCH(L387,tblBatidas[Batida ID],0)),"DIVERGÊNCIA DE ATIVIDADE",IF(OR(B387&lt;=INDEX(tblBatidas[Data e hora],MATCH(L387,tblBatidas[Batida ID],0)),(B387-INDEX(tblBatidas[Data e hora],MATCH(L387,tblBatidas[Batida ID],0)))*24&gt;16),"HORÁRIO INVÁLIDO","VINCULADO"))))))),"INÍCIO")</f>
        <v>INÍCIO</v>
      </c>
    </row>
    <row r="388" spans="1:13" hidden="1">
      <c r="A388" t="s">
        <v>980</v>
      </c>
      <c r="B388" s="21">
        <v>46270.393518518518</v>
      </c>
      <c r="C388" s="2">
        <f t="shared" si="10"/>
        <v>46270</v>
      </c>
      <c r="D388" t="str">
        <f t="shared" si="11"/>
        <v>SÁBADO</v>
      </c>
      <c r="E388">
        <v>1012</v>
      </c>
      <c r="F388" t="s">
        <v>55</v>
      </c>
      <c r="G388" t="s">
        <v>499</v>
      </c>
      <c r="H388" t="s">
        <v>74</v>
      </c>
      <c r="I388" t="s">
        <v>500</v>
      </c>
      <c r="K388" t="s">
        <v>501</v>
      </c>
      <c r="L388" s="9"/>
      <c r="M388" t="str">
        <f>IF(G388="FIM",IF(L388="","SEM VÍNCULO",IF(COUNTIF(tblBatidas[Batida ID],L388)=0,"VÍNCULO INVÁLIDO",IF(COUNTIF(tblBatidas[Início vinculado],L388)&gt;1,"VÍNCULO DUPLICADO",IF(E388&lt;&gt;INDEX(tblBatidas[ID],MATCH(L388,tblBatidas[Batida ID],0)),"DIVERGÊNCIA DE ID",IF(H388&lt;&gt;INDEX(tblBatidas[Projeto],MATCH(L388,tblBatidas[Batida ID],0)),"DIVERGÊNCIA DE PROJETO",IF(I388&lt;&gt;INDEX(tblBatidas[Atividade],MATCH(L388,tblBatidas[Batida ID],0)),"DIVERGÊNCIA DE ATIVIDADE",IF(OR(B388&lt;=INDEX(tblBatidas[Data e hora],MATCH(L388,tblBatidas[Batida ID],0)),(B388-INDEX(tblBatidas[Data e hora],MATCH(L388,tblBatidas[Batida ID],0)))*24&gt;16),"HORÁRIO INVÁLIDO","VINCULADO"))))))),"INÍCIO")</f>
        <v>INÍCIO</v>
      </c>
    </row>
    <row r="389" spans="1:13" hidden="1">
      <c r="A389" t="s">
        <v>981</v>
      </c>
      <c r="B389" s="21">
        <v>46270.51972222222</v>
      </c>
      <c r="C389" s="2">
        <f t="shared" ref="C389:C452" si="12">IF(B389="","",INT(B389))</f>
        <v>46270</v>
      </c>
      <c r="D389" t="str">
        <f t="shared" ref="D389:D452" si="13">IF(C389="","",CHOOSE(WEEKDAY(C389,2),"SEGUNDA-FEIRA","TERÇA-FEIRA","QUARTA-FEIRA","QUINTA-FEIRA","SEXTA-FEIRA","SÁBADO","DOMINGO"))</f>
        <v>SÁBADO</v>
      </c>
      <c r="E389">
        <v>1013</v>
      </c>
      <c r="F389" t="s">
        <v>57</v>
      </c>
      <c r="G389" t="s">
        <v>503</v>
      </c>
      <c r="H389" t="s">
        <v>80</v>
      </c>
      <c r="I389" t="s">
        <v>517</v>
      </c>
      <c r="K389" t="s">
        <v>501</v>
      </c>
      <c r="L389" s="9" t="s">
        <v>976</v>
      </c>
      <c r="M389" t="str">
        <f>IF(G389="FIM",IF(L389="","SEM VÍNCULO",IF(COUNTIF(tblBatidas[Batida ID],L389)=0,"VÍNCULO INVÁLIDO",IF(COUNTIF(tblBatidas[Início vinculado],L389)&gt;1,"VÍNCULO DUPLICADO",IF(E389&lt;&gt;INDEX(tblBatidas[ID],MATCH(L389,tblBatidas[Batida ID],0)),"DIVERGÊNCIA DE ID",IF(H389&lt;&gt;INDEX(tblBatidas[Projeto],MATCH(L389,tblBatidas[Batida ID],0)),"DIVERGÊNCIA DE PROJETO",IF(I389&lt;&gt;INDEX(tblBatidas[Atividade],MATCH(L389,tblBatidas[Batida ID],0)),"DIVERGÊNCIA DE ATIVIDADE",IF(OR(B389&lt;=INDEX(tblBatidas[Data e hora],MATCH(L389,tblBatidas[Batida ID],0)),(B389-INDEX(tblBatidas[Data e hora],MATCH(L389,tblBatidas[Batida ID],0)))*24&gt;16),"HORÁRIO INVÁLIDO","VINCULADO"))))))),"INÍCIO")</f>
        <v>VINCULADO</v>
      </c>
    </row>
    <row r="390" spans="1:13" hidden="1">
      <c r="A390" t="s">
        <v>982</v>
      </c>
      <c r="B390" s="21">
        <v>46270.524131944447</v>
      </c>
      <c r="C390" s="2">
        <f t="shared" si="12"/>
        <v>46270</v>
      </c>
      <c r="D390" t="str">
        <f t="shared" si="13"/>
        <v>SÁBADO</v>
      </c>
      <c r="E390">
        <v>1016</v>
      </c>
      <c r="F390" t="s">
        <v>60</v>
      </c>
      <c r="G390" t="s">
        <v>499</v>
      </c>
      <c r="H390" t="s">
        <v>70</v>
      </c>
      <c r="I390" t="s">
        <v>517</v>
      </c>
      <c r="K390" t="s">
        <v>501</v>
      </c>
      <c r="L390" s="9"/>
      <c r="M390" t="str">
        <f>IF(G390="FIM",IF(L390="","SEM VÍNCULO",IF(COUNTIF(tblBatidas[Batida ID],L390)=0,"VÍNCULO INVÁLIDO",IF(COUNTIF(tblBatidas[Início vinculado],L390)&gt;1,"VÍNCULO DUPLICADO",IF(E390&lt;&gt;INDEX(tblBatidas[ID],MATCH(L390,tblBatidas[Batida ID],0)),"DIVERGÊNCIA DE ID",IF(H390&lt;&gt;INDEX(tblBatidas[Projeto],MATCH(L390,tblBatidas[Batida ID],0)),"DIVERGÊNCIA DE PROJETO",IF(I390&lt;&gt;INDEX(tblBatidas[Atividade],MATCH(L390,tblBatidas[Batida ID],0)),"DIVERGÊNCIA DE ATIVIDADE",IF(OR(B390&lt;=INDEX(tblBatidas[Data e hora],MATCH(L390,tblBatidas[Batida ID],0)),(B390-INDEX(tblBatidas[Data e hora],MATCH(L390,tblBatidas[Batida ID],0)))*24&gt;16),"HORÁRIO INVÁLIDO","VINCULADO"))))))),"INÍCIO")</f>
        <v>INÍCIO</v>
      </c>
    </row>
    <row r="391" spans="1:13" hidden="1">
      <c r="A391" t="s">
        <v>983</v>
      </c>
      <c r="B391" s="21">
        <v>46270.543993055559</v>
      </c>
      <c r="C391" s="2">
        <f t="shared" si="12"/>
        <v>46270</v>
      </c>
      <c r="D391" t="str">
        <f t="shared" si="13"/>
        <v>SÁBADO</v>
      </c>
      <c r="E391">
        <v>1003</v>
      </c>
      <c r="F391" t="s">
        <v>46</v>
      </c>
      <c r="G391" t="s">
        <v>503</v>
      </c>
      <c r="H391" t="s">
        <v>80</v>
      </c>
      <c r="I391" t="s">
        <v>517</v>
      </c>
      <c r="K391" t="s">
        <v>501</v>
      </c>
      <c r="L391" s="9" t="s">
        <v>977</v>
      </c>
      <c r="M391" t="str">
        <f>IF(G391="FIM",IF(L391="","SEM VÍNCULO",IF(COUNTIF(tblBatidas[Batida ID],L391)=0,"VÍNCULO INVÁLIDO",IF(COUNTIF(tblBatidas[Início vinculado],L391)&gt;1,"VÍNCULO DUPLICADO",IF(E391&lt;&gt;INDEX(tblBatidas[ID],MATCH(L391,tblBatidas[Batida ID],0)),"DIVERGÊNCIA DE ID",IF(H391&lt;&gt;INDEX(tblBatidas[Projeto],MATCH(L391,tblBatidas[Batida ID],0)),"DIVERGÊNCIA DE PROJETO",IF(I391&lt;&gt;INDEX(tblBatidas[Atividade],MATCH(L391,tblBatidas[Batida ID],0)),"DIVERGÊNCIA DE ATIVIDADE",IF(OR(B391&lt;=INDEX(tblBatidas[Data e hora],MATCH(L391,tblBatidas[Batida ID],0)),(B391-INDEX(tblBatidas[Data e hora],MATCH(L391,tblBatidas[Batida ID],0)))*24&gt;16),"HORÁRIO INVÁLIDO","VINCULADO"))))))),"INÍCIO")</f>
        <v>VINCULADO</v>
      </c>
    </row>
    <row r="392" spans="1:13" hidden="1">
      <c r="A392" t="s">
        <v>984</v>
      </c>
      <c r="B392" s="21">
        <v>46270.54959490741</v>
      </c>
      <c r="C392" s="2">
        <f t="shared" si="12"/>
        <v>46270</v>
      </c>
      <c r="D392" t="str">
        <f t="shared" si="13"/>
        <v>SÁBADO</v>
      </c>
      <c r="E392">
        <v>1013</v>
      </c>
      <c r="F392" t="s">
        <v>57</v>
      </c>
      <c r="G392" t="s">
        <v>503</v>
      </c>
      <c r="H392" t="s">
        <v>80</v>
      </c>
      <c r="I392" t="s">
        <v>517</v>
      </c>
      <c r="K392" t="s">
        <v>501</v>
      </c>
      <c r="L392" s="9"/>
      <c r="M392" t="str">
        <f>IF(G392="FIM",IF(L392="","SEM VÍNCULO",IF(COUNTIF(tblBatidas[Batida ID],L392)=0,"VÍNCULO INVÁLIDO",IF(COUNTIF(tblBatidas[Início vinculado],L392)&gt;1,"VÍNCULO DUPLICADO",IF(E392&lt;&gt;INDEX(tblBatidas[ID],MATCH(L392,tblBatidas[Batida ID],0)),"DIVERGÊNCIA DE ID",IF(H392&lt;&gt;INDEX(tblBatidas[Projeto],MATCH(L392,tblBatidas[Batida ID],0)),"DIVERGÊNCIA DE PROJETO",IF(I392&lt;&gt;INDEX(tblBatidas[Atividade],MATCH(L392,tblBatidas[Batida ID],0)),"DIVERGÊNCIA DE ATIVIDADE",IF(OR(B392&lt;=INDEX(tblBatidas[Data e hora],MATCH(L392,tblBatidas[Batida ID],0)),(B392-INDEX(tblBatidas[Data e hora],MATCH(L392,tblBatidas[Batida ID],0)))*24&gt;16),"HORÁRIO INVÁLIDO","VINCULADO"))))))),"INÍCIO")</f>
        <v>SEM VÍNCULO</v>
      </c>
    </row>
    <row r="393" spans="1:13" hidden="1">
      <c r="A393" t="s">
        <v>985</v>
      </c>
      <c r="B393" s="21">
        <v>46270.549861111111</v>
      </c>
      <c r="C393" s="2">
        <f t="shared" si="12"/>
        <v>46270</v>
      </c>
      <c r="D393" t="str">
        <f t="shared" si="13"/>
        <v>SÁBADO</v>
      </c>
      <c r="E393">
        <v>1013</v>
      </c>
      <c r="F393" t="s">
        <v>57</v>
      </c>
      <c r="G393" t="s">
        <v>499</v>
      </c>
      <c r="H393" t="s">
        <v>80</v>
      </c>
      <c r="I393" t="s">
        <v>517</v>
      </c>
      <c r="K393" t="s">
        <v>501</v>
      </c>
      <c r="L393" s="9"/>
      <c r="M393" t="str">
        <f>IF(G393="FIM",IF(L393="","SEM VÍNCULO",IF(COUNTIF(tblBatidas[Batida ID],L393)=0,"VÍNCULO INVÁLIDO",IF(COUNTIF(tblBatidas[Início vinculado],L393)&gt;1,"VÍNCULO DUPLICADO",IF(E393&lt;&gt;INDEX(tblBatidas[ID],MATCH(L393,tblBatidas[Batida ID],0)),"DIVERGÊNCIA DE ID",IF(H393&lt;&gt;INDEX(tblBatidas[Projeto],MATCH(L393,tblBatidas[Batida ID],0)),"DIVERGÊNCIA DE PROJETO",IF(I393&lt;&gt;INDEX(tblBatidas[Atividade],MATCH(L393,tblBatidas[Batida ID],0)),"DIVERGÊNCIA DE ATIVIDADE",IF(OR(B393&lt;=INDEX(tblBatidas[Data e hora],MATCH(L393,tblBatidas[Batida ID],0)),(B393-INDEX(tblBatidas[Data e hora],MATCH(L393,tblBatidas[Batida ID],0)))*24&gt;16),"HORÁRIO INVÁLIDO","VINCULADO"))))))),"INÍCIO")</f>
        <v>INÍCIO</v>
      </c>
    </row>
    <row r="394" spans="1:13" hidden="1">
      <c r="A394" t="s">
        <v>986</v>
      </c>
      <c r="B394" s="21">
        <v>46270.555451388886</v>
      </c>
      <c r="C394" s="2">
        <f t="shared" si="12"/>
        <v>46270</v>
      </c>
      <c r="D394" t="str">
        <f t="shared" si="13"/>
        <v>SÁBADO</v>
      </c>
      <c r="E394">
        <v>1012</v>
      </c>
      <c r="F394" t="s">
        <v>55</v>
      </c>
      <c r="G394" t="s">
        <v>503</v>
      </c>
      <c r="H394" t="s">
        <v>74</v>
      </c>
      <c r="I394" t="s">
        <v>500</v>
      </c>
      <c r="J394" t="s">
        <v>987</v>
      </c>
      <c r="K394" t="s">
        <v>501</v>
      </c>
      <c r="L394" s="9" t="s">
        <v>980</v>
      </c>
      <c r="M394" t="str">
        <f>IF(G394="FIM",IF(L394="","SEM VÍNCULO",IF(COUNTIF(tblBatidas[Batida ID],L394)=0,"VÍNCULO INVÁLIDO",IF(COUNTIF(tblBatidas[Início vinculado],L394)&gt;1,"VÍNCULO DUPLICADO",IF(E394&lt;&gt;INDEX(tblBatidas[ID],MATCH(L394,tblBatidas[Batida ID],0)),"DIVERGÊNCIA DE ID",IF(H394&lt;&gt;INDEX(tblBatidas[Projeto],MATCH(L394,tblBatidas[Batida ID],0)),"DIVERGÊNCIA DE PROJETO",IF(I394&lt;&gt;INDEX(tblBatidas[Atividade],MATCH(L394,tblBatidas[Batida ID],0)),"DIVERGÊNCIA DE ATIVIDADE",IF(OR(B394&lt;=INDEX(tblBatidas[Data e hora],MATCH(L394,tblBatidas[Batida ID],0)),(B394-INDEX(tblBatidas[Data e hora],MATCH(L394,tblBatidas[Batida ID],0)))*24&gt;16),"HORÁRIO INVÁLIDO","VINCULADO"))))))),"INÍCIO")</f>
        <v>VINCULADO</v>
      </c>
    </row>
    <row r="395" spans="1:13" hidden="1">
      <c r="A395" t="s">
        <v>988</v>
      </c>
      <c r="B395" s="21">
        <v>46270.590868055559</v>
      </c>
      <c r="C395" s="2">
        <f t="shared" si="12"/>
        <v>46270</v>
      </c>
      <c r="D395" t="str">
        <f t="shared" si="13"/>
        <v>SÁBADO</v>
      </c>
      <c r="E395">
        <v>1012</v>
      </c>
      <c r="F395" t="s">
        <v>55</v>
      </c>
      <c r="G395" t="s">
        <v>499</v>
      </c>
      <c r="H395" t="s">
        <v>74</v>
      </c>
      <c r="I395" t="s">
        <v>500</v>
      </c>
      <c r="J395" t="s">
        <v>987</v>
      </c>
      <c r="K395" t="s">
        <v>501</v>
      </c>
      <c r="L395" s="9"/>
      <c r="M395" t="str">
        <f>IF(G395="FIM",IF(L395="","SEM VÍNCULO",IF(COUNTIF(tblBatidas[Batida ID],L395)=0,"VÍNCULO INVÁLIDO",IF(COUNTIF(tblBatidas[Início vinculado],L395)&gt;1,"VÍNCULO DUPLICADO",IF(E395&lt;&gt;INDEX(tblBatidas[ID],MATCH(L395,tblBatidas[Batida ID],0)),"DIVERGÊNCIA DE ID",IF(H395&lt;&gt;INDEX(tblBatidas[Projeto],MATCH(L395,tblBatidas[Batida ID],0)),"DIVERGÊNCIA DE PROJETO",IF(I395&lt;&gt;INDEX(tblBatidas[Atividade],MATCH(L395,tblBatidas[Batida ID],0)),"DIVERGÊNCIA DE ATIVIDADE",IF(OR(B395&lt;=INDEX(tblBatidas[Data e hora],MATCH(L395,tblBatidas[Batida ID],0)),(B395-INDEX(tblBatidas[Data e hora],MATCH(L395,tblBatidas[Batida ID],0)))*24&gt;16),"HORÁRIO INVÁLIDO","VINCULADO"))))))),"INÍCIO")</f>
        <v>INÍCIO</v>
      </c>
    </row>
    <row r="396" spans="1:13" hidden="1">
      <c r="A396" t="s">
        <v>989</v>
      </c>
      <c r="B396" s="21">
        <v>46270.604953703703</v>
      </c>
      <c r="C396" s="2">
        <f t="shared" si="12"/>
        <v>46270</v>
      </c>
      <c r="D396" t="str">
        <f t="shared" si="13"/>
        <v>SÁBADO</v>
      </c>
      <c r="E396">
        <v>1003</v>
      </c>
      <c r="F396" t="s">
        <v>46</v>
      </c>
      <c r="G396" t="s">
        <v>499</v>
      </c>
      <c r="H396" t="s">
        <v>80</v>
      </c>
      <c r="I396" t="s">
        <v>517</v>
      </c>
      <c r="K396" t="s">
        <v>501</v>
      </c>
      <c r="L396" s="9"/>
      <c r="M396" t="str">
        <f>IF(G396="FIM",IF(L396="","SEM VÍNCULO",IF(COUNTIF(tblBatidas[Batida ID],L396)=0,"VÍNCULO INVÁLIDO",IF(COUNTIF(tblBatidas[Início vinculado],L396)&gt;1,"VÍNCULO DUPLICADO",IF(E396&lt;&gt;INDEX(tblBatidas[ID],MATCH(L396,tblBatidas[Batida ID],0)),"DIVERGÊNCIA DE ID",IF(H396&lt;&gt;INDEX(tblBatidas[Projeto],MATCH(L396,tblBatidas[Batida ID],0)),"DIVERGÊNCIA DE PROJETO",IF(I396&lt;&gt;INDEX(tblBatidas[Atividade],MATCH(L396,tblBatidas[Batida ID],0)),"DIVERGÊNCIA DE ATIVIDADE",IF(OR(B396&lt;=INDEX(tblBatidas[Data e hora],MATCH(L396,tblBatidas[Batida ID],0)),(B396-INDEX(tblBatidas[Data e hora],MATCH(L396,tblBatidas[Batida ID],0)))*24&gt;16),"HORÁRIO INVÁLIDO","VINCULADO"))))))),"INÍCIO")</f>
        <v>INÍCIO</v>
      </c>
    </row>
    <row r="397" spans="1:13" hidden="1">
      <c r="A397" t="s">
        <v>990</v>
      </c>
      <c r="B397" s="21">
        <v>46270.645196759258</v>
      </c>
      <c r="C397" s="2">
        <f t="shared" si="12"/>
        <v>46270</v>
      </c>
      <c r="D397" t="str">
        <f t="shared" si="13"/>
        <v>SÁBADO</v>
      </c>
      <c r="E397">
        <v>1001</v>
      </c>
      <c r="F397" t="s">
        <v>43</v>
      </c>
      <c r="G397" t="s">
        <v>503</v>
      </c>
      <c r="H397" t="s">
        <v>72</v>
      </c>
      <c r="I397" t="s">
        <v>500</v>
      </c>
      <c r="K397" t="s">
        <v>501</v>
      </c>
      <c r="L397" s="9" t="s">
        <v>978</v>
      </c>
      <c r="M397" t="str">
        <f>IF(G397="FIM",IF(L397="","SEM VÍNCULO",IF(COUNTIF(tblBatidas[Batida ID],L397)=0,"VÍNCULO INVÁLIDO",IF(COUNTIF(tblBatidas[Início vinculado],L397)&gt;1,"VÍNCULO DUPLICADO",IF(E397&lt;&gt;INDEX(tblBatidas[ID],MATCH(L397,tblBatidas[Batida ID],0)),"DIVERGÊNCIA DE ID",IF(H397&lt;&gt;INDEX(tblBatidas[Projeto],MATCH(L397,tblBatidas[Batida ID],0)),"DIVERGÊNCIA DE PROJETO",IF(I397&lt;&gt;INDEX(tblBatidas[Atividade],MATCH(L397,tblBatidas[Batida ID],0)),"DIVERGÊNCIA DE ATIVIDADE",IF(OR(B397&lt;=INDEX(tblBatidas[Data e hora],MATCH(L397,tblBatidas[Batida ID],0)),(B397-INDEX(tblBatidas[Data e hora],MATCH(L397,tblBatidas[Batida ID],0)))*24&gt;16),"HORÁRIO INVÁLIDO","VINCULADO"))))))),"INÍCIO")</f>
        <v>VINCULADO</v>
      </c>
    </row>
    <row r="398" spans="1:13" hidden="1">
      <c r="A398" t="s">
        <v>991</v>
      </c>
      <c r="B398" s="21">
        <v>46270.667048611111</v>
      </c>
      <c r="C398" s="2">
        <f t="shared" si="12"/>
        <v>46270</v>
      </c>
      <c r="D398" t="str">
        <f t="shared" si="13"/>
        <v>SÁBADO</v>
      </c>
      <c r="E398">
        <v>1001</v>
      </c>
      <c r="F398" t="s">
        <v>43</v>
      </c>
      <c r="G398" t="s">
        <v>499</v>
      </c>
      <c r="H398" t="s">
        <v>72</v>
      </c>
      <c r="I398" t="s">
        <v>500</v>
      </c>
      <c r="K398" t="s">
        <v>501</v>
      </c>
      <c r="L398" s="9"/>
      <c r="M398" t="str">
        <f>IF(G398="FIM",IF(L398="","SEM VÍNCULO",IF(COUNTIF(tblBatidas[Batida ID],L398)=0,"VÍNCULO INVÁLIDO",IF(COUNTIF(tblBatidas[Início vinculado],L398)&gt;1,"VÍNCULO DUPLICADO",IF(E398&lt;&gt;INDEX(tblBatidas[ID],MATCH(L398,tblBatidas[Batida ID],0)),"DIVERGÊNCIA DE ID",IF(H398&lt;&gt;INDEX(tblBatidas[Projeto],MATCH(L398,tblBatidas[Batida ID],0)),"DIVERGÊNCIA DE PROJETO",IF(I398&lt;&gt;INDEX(tblBatidas[Atividade],MATCH(L398,tblBatidas[Batida ID],0)),"DIVERGÊNCIA DE ATIVIDADE",IF(OR(B398&lt;=INDEX(tblBatidas[Data e hora],MATCH(L398,tblBatidas[Batida ID],0)),(B398-INDEX(tblBatidas[Data e hora],MATCH(L398,tblBatidas[Batida ID],0)))*24&gt;16),"HORÁRIO INVÁLIDO","VINCULADO"))))))),"INÍCIO")</f>
        <v>INÍCIO</v>
      </c>
    </row>
    <row r="399" spans="1:13" hidden="1">
      <c r="A399" t="s">
        <v>992</v>
      </c>
      <c r="B399" s="21">
        <v>46270.750231481485</v>
      </c>
      <c r="C399" s="2">
        <f t="shared" si="12"/>
        <v>46270</v>
      </c>
      <c r="D399" t="str">
        <f t="shared" si="13"/>
        <v>SÁBADO</v>
      </c>
      <c r="E399">
        <v>1013</v>
      </c>
      <c r="F399" t="s">
        <v>57</v>
      </c>
      <c r="G399" t="s">
        <v>503</v>
      </c>
      <c r="H399" t="s">
        <v>80</v>
      </c>
      <c r="I399" t="s">
        <v>517</v>
      </c>
      <c r="K399" t="s">
        <v>501</v>
      </c>
      <c r="L399" s="9" t="s">
        <v>985</v>
      </c>
      <c r="M399" t="str">
        <f>IF(G399="FIM",IF(L399="","SEM VÍNCULO",IF(COUNTIF(tblBatidas[Batida ID],L399)=0,"VÍNCULO INVÁLIDO",IF(COUNTIF(tblBatidas[Início vinculado],L399)&gt;1,"VÍNCULO DUPLICADO",IF(E399&lt;&gt;INDEX(tblBatidas[ID],MATCH(L399,tblBatidas[Batida ID],0)),"DIVERGÊNCIA DE ID",IF(H399&lt;&gt;INDEX(tblBatidas[Projeto],MATCH(L399,tblBatidas[Batida ID],0)),"DIVERGÊNCIA DE PROJETO",IF(I399&lt;&gt;INDEX(tblBatidas[Atividade],MATCH(L399,tblBatidas[Batida ID],0)),"DIVERGÊNCIA DE ATIVIDADE",IF(OR(B399&lt;=INDEX(tblBatidas[Data e hora],MATCH(L399,tblBatidas[Batida ID],0)),(B399-INDEX(tblBatidas[Data e hora],MATCH(L399,tblBatidas[Batida ID],0)))*24&gt;16),"HORÁRIO INVÁLIDO","VINCULADO"))))))),"INÍCIO")</f>
        <v>VINCULADO</v>
      </c>
    </row>
    <row r="400" spans="1:13" hidden="1">
      <c r="A400" t="s">
        <v>993</v>
      </c>
      <c r="B400" s="21">
        <v>46270.751145833332</v>
      </c>
      <c r="C400" s="2">
        <f t="shared" si="12"/>
        <v>46270</v>
      </c>
      <c r="D400" t="str">
        <f t="shared" si="13"/>
        <v>SÁBADO</v>
      </c>
      <c r="E400">
        <v>1012</v>
      </c>
      <c r="F400" t="s">
        <v>55</v>
      </c>
      <c r="G400" t="s">
        <v>503</v>
      </c>
      <c r="H400" t="s">
        <v>74</v>
      </c>
      <c r="I400" t="s">
        <v>500</v>
      </c>
      <c r="K400" t="s">
        <v>501</v>
      </c>
      <c r="L400" s="9" t="s">
        <v>988</v>
      </c>
      <c r="M400" t="str">
        <f>IF(G400="FIM",IF(L400="","SEM VÍNCULO",IF(COUNTIF(tblBatidas[Batida ID],L400)=0,"VÍNCULO INVÁLIDO",IF(COUNTIF(tblBatidas[Início vinculado],L400)&gt;1,"VÍNCULO DUPLICADO",IF(E400&lt;&gt;INDEX(tblBatidas[ID],MATCH(L400,tblBatidas[Batida ID],0)),"DIVERGÊNCIA DE ID",IF(H400&lt;&gt;INDEX(tblBatidas[Projeto],MATCH(L400,tblBatidas[Batida ID],0)),"DIVERGÊNCIA DE PROJETO",IF(I400&lt;&gt;INDEX(tblBatidas[Atividade],MATCH(L400,tblBatidas[Batida ID],0)),"DIVERGÊNCIA DE ATIVIDADE",IF(OR(B400&lt;=INDEX(tblBatidas[Data e hora],MATCH(L400,tblBatidas[Batida ID],0)),(B400-INDEX(tblBatidas[Data e hora],MATCH(L400,tblBatidas[Batida ID],0)))*24&gt;16),"HORÁRIO INVÁLIDO","VINCULADO"))))))),"INÍCIO")</f>
        <v>VINCULADO</v>
      </c>
    </row>
    <row r="401" spans="1:13" hidden="1">
      <c r="A401" t="s">
        <v>994</v>
      </c>
      <c r="B401" s="21">
        <v>46270.751793981479</v>
      </c>
      <c r="C401" s="2">
        <f t="shared" si="12"/>
        <v>46270</v>
      </c>
      <c r="D401" t="str">
        <f t="shared" si="13"/>
        <v>SÁBADO</v>
      </c>
      <c r="E401">
        <v>1012</v>
      </c>
      <c r="F401" t="s">
        <v>55</v>
      </c>
      <c r="G401" t="s">
        <v>503</v>
      </c>
      <c r="H401" t="s">
        <v>74</v>
      </c>
      <c r="I401" t="s">
        <v>500</v>
      </c>
      <c r="J401" t="s">
        <v>987</v>
      </c>
      <c r="K401" t="s">
        <v>501</v>
      </c>
      <c r="L401" s="9"/>
      <c r="M401" t="str">
        <f>IF(G401="FIM",IF(L401="","SEM VÍNCULO",IF(COUNTIF(tblBatidas[Batida ID],L401)=0,"VÍNCULO INVÁLIDO",IF(COUNTIF(tblBatidas[Início vinculado],L401)&gt;1,"VÍNCULO DUPLICADO",IF(E401&lt;&gt;INDEX(tblBatidas[ID],MATCH(L401,tblBatidas[Batida ID],0)),"DIVERGÊNCIA DE ID",IF(H401&lt;&gt;INDEX(tblBatidas[Projeto],MATCH(L401,tblBatidas[Batida ID],0)),"DIVERGÊNCIA DE PROJETO",IF(I401&lt;&gt;INDEX(tblBatidas[Atividade],MATCH(L401,tblBatidas[Batida ID],0)),"DIVERGÊNCIA DE ATIVIDADE",IF(OR(B401&lt;=INDEX(tblBatidas[Data e hora],MATCH(L401,tblBatidas[Batida ID],0)),(B401-INDEX(tblBatidas[Data e hora],MATCH(L401,tblBatidas[Batida ID],0)))*24&gt;16),"HORÁRIO INVÁLIDO","VINCULADO"))))))),"INÍCIO")</f>
        <v>SEM VÍNCULO</v>
      </c>
    </row>
    <row r="402" spans="1:13" hidden="1">
      <c r="A402" t="s">
        <v>995</v>
      </c>
      <c r="B402" s="21">
        <v>46270.780081018522</v>
      </c>
      <c r="C402" s="2">
        <f t="shared" si="12"/>
        <v>46270</v>
      </c>
      <c r="D402" t="str">
        <f t="shared" si="13"/>
        <v>SÁBADO</v>
      </c>
      <c r="E402">
        <v>1001</v>
      </c>
      <c r="F402" t="s">
        <v>43</v>
      </c>
      <c r="G402" t="s">
        <v>503</v>
      </c>
      <c r="H402" t="s">
        <v>72</v>
      </c>
      <c r="I402" t="s">
        <v>500</v>
      </c>
      <c r="K402" t="s">
        <v>501</v>
      </c>
      <c r="L402" s="9" t="s">
        <v>991</v>
      </c>
      <c r="M402" t="str">
        <f>IF(G402="FIM",IF(L402="","SEM VÍNCULO",IF(COUNTIF(tblBatidas[Batida ID],L402)=0,"VÍNCULO INVÁLIDO",IF(COUNTIF(tblBatidas[Início vinculado],L402)&gt;1,"VÍNCULO DUPLICADO",IF(E402&lt;&gt;INDEX(tblBatidas[ID],MATCH(L402,tblBatidas[Batida ID],0)),"DIVERGÊNCIA DE ID",IF(H402&lt;&gt;INDEX(tblBatidas[Projeto],MATCH(L402,tblBatidas[Batida ID],0)),"DIVERGÊNCIA DE PROJETO",IF(I402&lt;&gt;INDEX(tblBatidas[Atividade],MATCH(L402,tblBatidas[Batida ID],0)),"DIVERGÊNCIA DE ATIVIDADE",IF(OR(B402&lt;=INDEX(tblBatidas[Data e hora],MATCH(L402,tblBatidas[Batida ID],0)),(B402-INDEX(tblBatidas[Data e hora],MATCH(L402,tblBatidas[Batida ID],0)))*24&gt;16),"HORÁRIO INVÁLIDO","VINCULADO"))))))),"INÍCIO")</f>
        <v>VINCULADO</v>
      </c>
    </row>
    <row r="403" spans="1:13" hidden="1">
      <c r="A403" t="s">
        <v>996</v>
      </c>
      <c r="B403" s="21">
        <v>46270.783263888887</v>
      </c>
      <c r="C403" s="2">
        <f t="shared" si="12"/>
        <v>46270</v>
      </c>
      <c r="D403" t="str">
        <f t="shared" si="13"/>
        <v>SÁBADO</v>
      </c>
      <c r="E403">
        <v>1003</v>
      </c>
      <c r="F403" t="s">
        <v>46</v>
      </c>
      <c r="G403" t="s">
        <v>503</v>
      </c>
      <c r="H403" t="s">
        <v>80</v>
      </c>
      <c r="I403" t="s">
        <v>517</v>
      </c>
      <c r="K403" t="s">
        <v>501</v>
      </c>
      <c r="L403" s="9" t="s">
        <v>989</v>
      </c>
      <c r="M403" t="str">
        <f>IF(G403="FIM",IF(L403="","SEM VÍNCULO",IF(COUNTIF(tblBatidas[Batida ID],L403)=0,"VÍNCULO INVÁLIDO",IF(COUNTIF(tblBatidas[Início vinculado],L403)&gt;1,"VÍNCULO DUPLICADO",IF(E403&lt;&gt;INDEX(tblBatidas[ID],MATCH(L403,tblBatidas[Batida ID],0)),"DIVERGÊNCIA DE ID",IF(H403&lt;&gt;INDEX(tblBatidas[Projeto],MATCH(L403,tblBatidas[Batida ID],0)),"DIVERGÊNCIA DE PROJETO",IF(I403&lt;&gt;INDEX(tblBatidas[Atividade],MATCH(L403,tblBatidas[Batida ID],0)),"DIVERGÊNCIA DE ATIVIDADE",IF(OR(B403&lt;=INDEX(tblBatidas[Data e hora],MATCH(L403,tblBatidas[Batida ID],0)),(B403-INDEX(tblBatidas[Data e hora],MATCH(L403,tblBatidas[Batida ID],0)))*24&gt;16),"HORÁRIO INVÁLIDO","VINCULADO"))))))),"INÍCIO")</f>
        <v>VINCULADO</v>
      </c>
    </row>
    <row r="404" spans="1:13" hidden="1">
      <c r="A404" t="s">
        <v>997</v>
      </c>
      <c r="B404" s="21">
        <v>46271.347060185188</v>
      </c>
      <c r="C404" s="2">
        <f t="shared" si="12"/>
        <v>46271</v>
      </c>
      <c r="D404" t="str">
        <f t="shared" si="13"/>
        <v>DOMINGO</v>
      </c>
      <c r="E404">
        <v>1001</v>
      </c>
      <c r="F404" t="s">
        <v>43</v>
      </c>
      <c r="G404" t="s">
        <v>499</v>
      </c>
      <c r="H404" t="s">
        <v>72</v>
      </c>
      <c r="I404" t="s">
        <v>500</v>
      </c>
      <c r="J404" t="s">
        <v>998</v>
      </c>
      <c r="K404" t="s">
        <v>501</v>
      </c>
      <c r="L404" s="9"/>
      <c r="M404" t="str">
        <f>IF(G404="FIM",IF(L404="","SEM VÍNCULO",IF(COUNTIF(tblBatidas[Batida ID],L404)=0,"VÍNCULO INVÁLIDO",IF(COUNTIF(tblBatidas[Início vinculado],L404)&gt;1,"VÍNCULO DUPLICADO",IF(E404&lt;&gt;INDEX(tblBatidas[ID],MATCH(L404,tblBatidas[Batida ID],0)),"DIVERGÊNCIA DE ID",IF(H404&lt;&gt;INDEX(tblBatidas[Projeto],MATCH(L404,tblBatidas[Batida ID],0)),"DIVERGÊNCIA DE PROJETO",IF(I404&lt;&gt;INDEX(tblBatidas[Atividade],MATCH(L404,tblBatidas[Batida ID],0)),"DIVERGÊNCIA DE ATIVIDADE",IF(OR(B404&lt;=INDEX(tblBatidas[Data e hora],MATCH(L404,tblBatidas[Batida ID],0)),(B404-INDEX(tblBatidas[Data e hora],MATCH(L404,tblBatidas[Batida ID],0)))*24&gt;16),"HORÁRIO INVÁLIDO","VINCULADO"))))))),"INÍCIO")</f>
        <v>INÍCIO</v>
      </c>
    </row>
    <row r="405" spans="1:13" hidden="1">
      <c r="A405" t="s">
        <v>999</v>
      </c>
      <c r="B405" s="21">
        <v>46271.348229166666</v>
      </c>
      <c r="C405" s="2">
        <f t="shared" si="12"/>
        <v>46271</v>
      </c>
      <c r="D405" t="str">
        <f t="shared" si="13"/>
        <v>DOMINGO</v>
      </c>
      <c r="E405">
        <v>1011</v>
      </c>
      <c r="F405" t="s">
        <v>54</v>
      </c>
      <c r="G405" t="s">
        <v>499</v>
      </c>
      <c r="H405" t="s">
        <v>80</v>
      </c>
      <c r="I405" t="s">
        <v>517</v>
      </c>
      <c r="J405" t="s">
        <v>1000</v>
      </c>
      <c r="K405" t="s">
        <v>501</v>
      </c>
      <c r="L405" s="9"/>
      <c r="M405" t="str">
        <f>IF(G405="FIM",IF(L405="","SEM VÍNCULO",IF(COUNTIF(tblBatidas[Batida ID],L405)=0,"VÍNCULO INVÁLIDO",IF(COUNTIF(tblBatidas[Início vinculado],L405)&gt;1,"VÍNCULO DUPLICADO",IF(E405&lt;&gt;INDEX(tblBatidas[ID],MATCH(L405,tblBatidas[Batida ID],0)),"DIVERGÊNCIA DE ID",IF(H405&lt;&gt;INDEX(tblBatidas[Projeto],MATCH(L405,tblBatidas[Batida ID],0)),"DIVERGÊNCIA DE PROJETO",IF(I405&lt;&gt;INDEX(tblBatidas[Atividade],MATCH(L405,tblBatidas[Batida ID],0)),"DIVERGÊNCIA DE ATIVIDADE",IF(OR(B405&lt;=INDEX(tblBatidas[Data e hora],MATCH(L405,tblBatidas[Batida ID],0)),(B405-INDEX(tblBatidas[Data e hora],MATCH(L405,tblBatidas[Batida ID],0)))*24&gt;16),"HORÁRIO INVÁLIDO","VINCULADO"))))))),"INÍCIO")</f>
        <v>INÍCIO</v>
      </c>
    </row>
    <row r="406" spans="1:13" hidden="1">
      <c r="A406" t="s">
        <v>1001</v>
      </c>
      <c r="B406" s="21">
        <v>46271.348564814813</v>
      </c>
      <c r="C406" s="2">
        <f t="shared" si="12"/>
        <v>46271</v>
      </c>
      <c r="D406" t="str">
        <f t="shared" si="13"/>
        <v>DOMINGO</v>
      </c>
      <c r="E406">
        <v>1003</v>
      </c>
      <c r="F406" t="s">
        <v>46</v>
      </c>
      <c r="G406" t="s">
        <v>499</v>
      </c>
      <c r="H406" t="s">
        <v>80</v>
      </c>
      <c r="I406" t="s">
        <v>517</v>
      </c>
      <c r="K406" t="s">
        <v>501</v>
      </c>
      <c r="L406" s="9"/>
      <c r="M406" t="str">
        <f>IF(G406="FIM",IF(L406="","SEM VÍNCULO",IF(COUNTIF(tblBatidas[Batida ID],L406)=0,"VÍNCULO INVÁLIDO",IF(COUNTIF(tblBatidas[Início vinculado],L406)&gt;1,"VÍNCULO DUPLICADO",IF(E406&lt;&gt;INDEX(tblBatidas[ID],MATCH(L406,tblBatidas[Batida ID],0)),"DIVERGÊNCIA DE ID",IF(H406&lt;&gt;INDEX(tblBatidas[Projeto],MATCH(L406,tblBatidas[Batida ID],0)),"DIVERGÊNCIA DE PROJETO",IF(I406&lt;&gt;INDEX(tblBatidas[Atividade],MATCH(L406,tblBatidas[Batida ID],0)),"DIVERGÊNCIA DE ATIVIDADE",IF(OR(B406&lt;=INDEX(tblBatidas[Data e hora],MATCH(L406,tblBatidas[Batida ID],0)),(B406-INDEX(tblBatidas[Data e hora],MATCH(L406,tblBatidas[Batida ID],0)))*24&gt;16),"HORÁRIO INVÁLIDO","VINCULADO"))))))),"INÍCIO")</f>
        <v>INÍCIO</v>
      </c>
    </row>
    <row r="407" spans="1:13" hidden="1">
      <c r="A407" t="s">
        <v>1002</v>
      </c>
      <c r="B407" s="21">
        <v>46271.420659722222</v>
      </c>
      <c r="C407" s="2">
        <f t="shared" si="12"/>
        <v>46271</v>
      </c>
      <c r="D407" t="str">
        <f t="shared" si="13"/>
        <v>DOMINGO</v>
      </c>
      <c r="E407">
        <v>1013</v>
      </c>
      <c r="F407" t="s">
        <v>57</v>
      </c>
      <c r="G407" t="s">
        <v>499</v>
      </c>
      <c r="H407" t="s">
        <v>80</v>
      </c>
      <c r="I407" t="s">
        <v>517</v>
      </c>
      <c r="K407" t="s">
        <v>501</v>
      </c>
      <c r="L407" s="9"/>
      <c r="M407" t="str">
        <f>IF(G407="FIM",IF(L407="","SEM VÍNCULO",IF(COUNTIF(tblBatidas[Batida ID],L407)=0,"VÍNCULO INVÁLIDO",IF(COUNTIF(tblBatidas[Início vinculado],L407)&gt;1,"VÍNCULO DUPLICADO",IF(E407&lt;&gt;INDEX(tblBatidas[ID],MATCH(L407,tblBatidas[Batida ID],0)),"DIVERGÊNCIA DE ID",IF(H407&lt;&gt;INDEX(tblBatidas[Projeto],MATCH(L407,tblBatidas[Batida ID],0)),"DIVERGÊNCIA DE PROJETO",IF(I407&lt;&gt;INDEX(tblBatidas[Atividade],MATCH(L407,tblBatidas[Batida ID],0)),"DIVERGÊNCIA DE ATIVIDADE",IF(OR(B407&lt;=INDEX(tblBatidas[Data e hora],MATCH(L407,tblBatidas[Batida ID],0)),(B407-INDEX(tblBatidas[Data e hora],MATCH(L407,tblBatidas[Batida ID],0)))*24&gt;16),"HORÁRIO INVÁLIDO","VINCULADO"))))))),"INÍCIO")</f>
        <v>INÍCIO</v>
      </c>
    </row>
    <row r="408" spans="1:13" hidden="1">
      <c r="A408" t="s">
        <v>1003</v>
      </c>
      <c r="B408" s="21">
        <v>46271.489976851852</v>
      </c>
      <c r="C408" s="2">
        <f t="shared" si="12"/>
        <v>46271</v>
      </c>
      <c r="D408" t="str">
        <f t="shared" si="13"/>
        <v>DOMINGO</v>
      </c>
      <c r="E408">
        <v>1003</v>
      </c>
      <c r="F408" t="s">
        <v>46</v>
      </c>
      <c r="G408" t="s">
        <v>503</v>
      </c>
      <c r="H408" t="s">
        <v>80</v>
      </c>
      <c r="I408" t="s">
        <v>517</v>
      </c>
      <c r="K408" t="s">
        <v>501</v>
      </c>
      <c r="L408" s="9" t="s">
        <v>1001</v>
      </c>
      <c r="M408" t="str">
        <f>IF(G408="FIM",IF(L408="","SEM VÍNCULO",IF(COUNTIF(tblBatidas[Batida ID],L408)=0,"VÍNCULO INVÁLIDO",IF(COUNTIF(tblBatidas[Início vinculado],L408)&gt;1,"VÍNCULO DUPLICADO",IF(E408&lt;&gt;INDEX(tblBatidas[ID],MATCH(L408,tblBatidas[Batida ID],0)),"DIVERGÊNCIA DE ID",IF(H408&lt;&gt;INDEX(tblBatidas[Projeto],MATCH(L408,tblBatidas[Batida ID],0)),"DIVERGÊNCIA DE PROJETO",IF(I408&lt;&gt;INDEX(tblBatidas[Atividade],MATCH(L408,tblBatidas[Batida ID],0)),"DIVERGÊNCIA DE ATIVIDADE",IF(OR(B408&lt;=INDEX(tblBatidas[Data e hora],MATCH(L408,tblBatidas[Batida ID],0)),(B408-INDEX(tblBatidas[Data e hora],MATCH(L408,tblBatidas[Batida ID],0)))*24&gt;16),"HORÁRIO INVÁLIDO","VINCULADO"))))))),"INÍCIO")</f>
        <v>VINCULADO</v>
      </c>
    </row>
    <row r="409" spans="1:13" hidden="1">
      <c r="A409" t="s">
        <v>1004</v>
      </c>
      <c r="B409" s="21">
        <v>46271.514282407406</v>
      </c>
      <c r="C409" s="2">
        <f t="shared" si="12"/>
        <v>46271</v>
      </c>
      <c r="D409" t="str">
        <f t="shared" si="13"/>
        <v>DOMINGO</v>
      </c>
      <c r="E409">
        <v>1013</v>
      </c>
      <c r="F409" t="s">
        <v>57</v>
      </c>
      <c r="G409" t="s">
        <v>503</v>
      </c>
      <c r="H409" t="s">
        <v>80</v>
      </c>
      <c r="I409" t="s">
        <v>517</v>
      </c>
      <c r="K409" t="s">
        <v>501</v>
      </c>
      <c r="L409" s="9" t="s">
        <v>1002</v>
      </c>
      <c r="M409" t="str">
        <f>IF(G409="FIM",IF(L409="","SEM VÍNCULO",IF(COUNTIF(tblBatidas[Batida ID],L409)=0,"VÍNCULO INVÁLIDO",IF(COUNTIF(tblBatidas[Início vinculado],L409)&gt;1,"VÍNCULO DUPLICADO",IF(E409&lt;&gt;INDEX(tblBatidas[ID],MATCH(L409,tblBatidas[Batida ID],0)),"DIVERGÊNCIA DE ID",IF(H409&lt;&gt;INDEX(tblBatidas[Projeto],MATCH(L409,tblBatidas[Batida ID],0)),"DIVERGÊNCIA DE PROJETO",IF(I409&lt;&gt;INDEX(tblBatidas[Atividade],MATCH(L409,tblBatidas[Batida ID],0)),"DIVERGÊNCIA DE ATIVIDADE",IF(OR(B409&lt;=INDEX(tblBatidas[Data e hora],MATCH(L409,tblBatidas[Batida ID],0)),(B409-INDEX(tblBatidas[Data e hora],MATCH(L409,tblBatidas[Batida ID],0)))*24&gt;16),"HORÁRIO INVÁLIDO","VINCULADO"))))))),"INÍCIO")</f>
        <v>VINCULADO</v>
      </c>
    </row>
    <row r="410" spans="1:13" hidden="1">
      <c r="A410" t="s">
        <v>1005</v>
      </c>
      <c r="B410" s="21">
        <v>46271.538402777776</v>
      </c>
      <c r="C410" s="2">
        <f t="shared" si="12"/>
        <v>46271</v>
      </c>
      <c r="D410" t="str">
        <f t="shared" si="13"/>
        <v>DOMINGO</v>
      </c>
      <c r="E410">
        <v>1003</v>
      </c>
      <c r="F410" t="s">
        <v>46</v>
      </c>
      <c r="G410" t="s">
        <v>499</v>
      </c>
      <c r="H410" t="s">
        <v>80</v>
      </c>
      <c r="I410" t="s">
        <v>517</v>
      </c>
      <c r="K410" t="s">
        <v>501</v>
      </c>
      <c r="L410" s="9"/>
      <c r="M410" t="str">
        <f>IF(G410="FIM",IF(L410="","SEM VÍNCULO",IF(COUNTIF(tblBatidas[Batida ID],L410)=0,"VÍNCULO INVÁLIDO",IF(COUNTIF(tblBatidas[Início vinculado],L410)&gt;1,"VÍNCULO DUPLICADO",IF(E410&lt;&gt;INDEX(tblBatidas[ID],MATCH(L410,tblBatidas[Batida ID],0)),"DIVERGÊNCIA DE ID",IF(H410&lt;&gt;INDEX(tblBatidas[Projeto],MATCH(L410,tblBatidas[Batida ID],0)),"DIVERGÊNCIA DE PROJETO",IF(I410&lt;&gt;INDEX(tblBatidas[Atividade],MATCH(L410,tblBatidas[Batida ID],0)),"DIVERGÊNCIA DE ATIVIDADE",IF(OR(B410&lt;=INDEX(tblBatidas[Data e hora],MATCH(L410,tblBatidas[Batida ID],0)),(B410-INDEX(tblBatidas[Data e hora],MATCH(L410,tblBatidas[Batida ID],0)))*24&gt;16),"HORÁRIO INVÁLIDO","VINCULADO"))))))),"INÍCIO")</f>
        <v>INÍCIO</v>
      </c>
    </row>
    <row r="411" spans="1:13" hidden="1">
      <c r="A411" t="s">
        <v>1006</v>
      </c>
      <c r="B411" s="21">
        <v>46271.539467592593</v>
      </c>
      <c r="C411" s="2">
        <f t="shared" si="12"/>
        <v>46271</v>
      </c>
      <c r="D411" t="str">
        <f t="shared" si="13"/>
        <v>DOMINGO</v>
      </c>
      <c r="E411">
        <v>1013</v>
      </c>
      <c r="F411" t="s">
        <v>57</v>
      </c>
      <c r="G411" t="s">
        <v>499</v>
      </c>
      <c r="H411" t="s">
        <v>80</v>
      </c>
      <c r="I411" t="s">
        <v>517</v>
      </c>
      <c r="K411" t="s">
        <v>501</v>
      </c>
      <c r="L411" s="9"/>
      <c r="M411" t="str">
        <f>IF(G411="FIM",IF(L411="","SEM VÍNCULO",IF(COUNTIF(tblBatidas[Batida ID],L411)=0,"VÍNCULO INVÁLIDO",IF(COUNTIF(tblBatidas[Início vinculado],L411)&gt;1,"VÍNCULO DUPLICADO",IF(E411&lt;&gt;INDEX(tblBatidas[ID],MATCH(L411,tblBatidas[Batida ID],0)),"DIVERGÊNCIA DE ID",IF(H411&lt;&gt;INDEX(tblBatidas[Projeto],MATCH(L411,tblBatidas[Batida ID],0)),"DIVERGÊNCIA DE PROJETO",IF(I411&lt;&gt;INDEX(tblBatidas[Atividade],MATCH(L411,tblBatidas[Batida ID],0)),"DIVERGÊNCIA DE ATIVIDADE",IF(OR(B411&lt;=INDEX(tblBatidas[Data e hora],MATCH(L411,tblBatidas[Batida ID],0)),(B411-INDEX(tblBatidas[Data e hora],MATCH(L411,tblBatidas[Batida ID],0)))*24&gt;16),"HORÁRIO INVÁLIDO","VINCULADO"))))))),"INÍCIO")</f>
        <v>INÍCIO</v>
      </c>
    </row>
    <row r="412" spans="1:13">
      <c r="A412" t="s">
        <v>1007</v>
      </c>
      <c r="B412" s="21">
        <v>46271.585023148145</v>
      </c>
      <c r="C412" s="2">
        <f t="shared" si="12"/>
        <v>46271</v>
      </c>
      <c r="D412" t="str">
        <f t="shared" si="13"/>
        <v>DOMINGO</v>
      </c>
      <c r="E412">
        <v>1002</v>
      </c>
      <c r="F412" t="s">
        <v>45</v>
      </c>
      <c r="G412" t="s">
        <v>499</v>
      </c>
      <c r="H412" t="s">
        <v>80</v>
      </c>
      <c r="I412" t="s">
        <v>517</v>
      </c>
      <c r="K412" t="s">
        <v>501</v>
      </c>
      <c r="L412" s="9"/>
      <c r="M412" t="str">
        <f>IF(G412="FIM",IF(L412="","SEM VÍNCULO",IF(COUNTIF(tblBatidas[Batida ID],L412)=0,"VÍNCULO INVÁLIDO",IF(COUNTIF(tblBatidas[Início vinculado],L412)&gt;1,"VÍNCULO DUPLICADO",IF(E412&lt;&gt;INDEX(tblBatidas[ID],MATCH(L412,tblBatidas[Batida ID],0)),"DIVERGÊNCIA DE ID",IF(H412&lt;&gt;INDEX(tblBatidas[Projeto],MATCH(L412,tblBatidas[Batida ID],0)),"DIVERGÊNCIA DE PROJETO",IF(I412&lt;&gt;INDEX(tblBatidas[Atividade],MATCH(L412,tblBatidas[Batida ID],0)),"DIVERGÊNCIA DE ATIVIDADE",IF(OR(B412&lt;=INDEX(tblBatidas[Data e hora],MATCH(L412,tblBatidas[Batida ID],0)),(B412-INDEX(tblBatidas[Data e hora],MATCH(L412,tblBatidas[Batida ID],0)))*24&gt;16),"HORÁRIO INVÁLIDO","VINCULADO"))))))),"INÍCIO")</f>
        <v>INÍCIO</v>
      </c>
    </row>
    <row r="413" spans="1:13" hidden="1">
      <c r="A413" t="s">
        <v>1008</v>
      </c>
      <c r="B413" s="21">
        <v>46271.602222222224</v>
      </c>
      <c r="C413" s="2">
        <f t="shared" si="12"/>
        <v>46271</v>
      </c>
      <c r="D413" t="str">
        <f t="shared" si="13"/>
        <v>DOMINGO</v>
      </c>
      <c r="E413">
        <v>1004</v>
      </c>
      <c r="F413" t="s">
        <v>47</v>
      </c>
      <c r="G413" t="s">
        <v>499</v>
      </c>
      <c r="H413" t="s">
        <v>74</v>
      </c>
      <c r="I413" t="s">
        <v>538</v>
      </c>
      <c r="K413" t="s">
        <v>501</v>
      </c>
      <c r="L413" s="9"/>
      <c r="M413" t="str">
        <f>IF(G413="FIM",IF(L413="","SEM VÍNCULO",IF(COUNTIF(tblBatidas[Batida ID],L413)=0,"VÍNCULO INVÁLIDO",IF(COUNTIF(tblBatidas[Início vinculado],L413)&gt;1,"VÍNCULO DUPLICADO",IF(E413&lt;&gt;INDEX(tblBatidas[ID],MATCH(L413,tblBatidas[Batida ID],0)),"DIVERGÊNCIA DE ID",IF(H413&lt;&gt;INDEX(tblBatidas[Projeto],MATCH(L413,tblBatidas[Batida ID],0)),"DIVERGÊNCIA DE PROJETO",IF(I413&lt;&gt;INDEX(tblBatidas[Atividade],MATCH(L413,tblBatidas[Batida ID],0)),"DIVERGÊNCIA DE ATIVIDADE",IF(OR(B413&lt;=INDEX(tblBatidas[Data e hora],MATCH(L413,tblBatidas[Batida ID],0)),(B413-INDEX(tblBatidas[Data e hora],MATCH(L413,tblBatidas[Batida ID],0)))*24&gt;16),"HORÁRIO INVÁLIDO","VINCULADO"))))))),"INÍCIO")</f>
        <v>INÍCIO</v>
      </c>
    </row>
    <row r="414" spans="1:13" hidden="1">
      <c r="A414" t="s">
        <v>1009</v>
      </c>
      <c r="B414" s="21">
        <v>46271.661030092589</v>
      </c>
      <c r="C414" s="2">
        <f t="shared" si="12"/>
        <v>46271</v>
      </c>
      <c r="D414" t="str">
        <f t="shared" si="13"/>
        <v>DOMINGO</v>
      </c>
      <c r="E414">
        <v>1011</v>
      </c>
      <c r="F414" t="s">
        <v>54</v>
      </c>
      <c r="G414" t="s">
        <v>503</v>
      </c>
      <c r="H414" t="s">
        <v>80</v>
      </c>
      <c r="I414" t="s">
        <v>517</v>
      </c>
      <c r="K414" t="s">
        <v>501</v>
      </c>
      <c r="L414" s="9" t="s">
        <v>999</v>
      </c>
      <c r="M414" t="str">
        <f>IF(G414="FIM",IF(L414="","SEM VÍNCULO",IF(COUNTIF(tblBatidas[Batida ID],L414)=0,"VÍNCULO INVÁLIDO",IF(COUNTIF(tblBatidas[Início vinculado],L414)&gt;1,"VÍNCULO DUPLICADO",IF(E414&lt;&gt;INDEX(tblBatidas[ID],MATCH(L414,tblBatidas[Batida ID],0)),"DIVERGÊNCIA DE ID",IF(H414&lt;&gt;INDEX(tblBatidas[Projeto],MATCH(L414,tblBatidas[Batida ID],0)),"DIVERGÊNCIA DE PROJETO",IF(I414&lt;&gt;INDEX(tblBatidas[Atividade],MATCH(L414,tblBatidas[Batida ID],0)),"DIVERGÊNCIA DE ATIVIDADE",IF(OR(B414&lt;=INDEX(tblBatidas[Data e hora],MATCH(L414,tblBatidas[Batida ID],0)),(B414-INDEX(tblBatidas[Data e hora],MATCH(L414,tblBatidas[Batida ID],0)))*24&gt;16),"HORÁRIO INVÁLIDO","VINCULADO"))))))),"INÍCIO")</f>
        <v>VINCULADO</v>
      </c>
    </row>
    <row r="415" spans="1:13" hidden="1">
      <c r="A415" t="s">
        <v>1010</v>
      </c>
      <c r="B415" s="21">
        <v>46271.663634259261</v>
      </c>
      <c r="C415" s="2">
        <f t="shared" si="12"/>
        <v>46271</v>
      </c>
      <c r="D415" t="str">
        <f t="shared" si="13"/>
        <v>DOMINGO</v>
      </c>
      <c r="E415">
        <v>1013</v>
      </c>
      <c r="F415" t="s">
        <v>57</v>
      </c>
      <c r="G415" t="s">
        <v>503</v>
      </c>
      <c r="H415" t="s">
        <v>80</v>
      </c>
      <c r="I415" t="s">
        <v>517</v>
      </c>
      <c r="K415" t="s">
        <v>501</v>
      </c>
      <c r="L415" s="9" t="s">
        <v>1006</v>
      </c>
      <c r="M415" t="str">
        <f>IF(G415="FIM",IF(L415="","SEM VÍNCULO",IF(COUNTIF(tblBatidas[Batida ID],L415)=0,"VÍNCULO INVÁLIDO",IF(COUNTIF(tblBatidas[Início vinculado],L415)&gt;1,"VÍNCULO DUPLICADO",IF(E415&lt;&gt;INDEX(tblBatidas[ID],MATCH(L415,tblBatidas[Batida ID],0)),"DIVERGÊNCIA DE ID",IF(H415&lt;&gt;INDEX(tblBatidas[Projeto],MATCH(L415,tblBatidas[Batida ID],0)),"DIVERGÊNCIA DE PROJETO",IF(I415&lt;&gt;INDEX(tblBatidas[Atividade],MATCH(L415,tblBatidas[Batida ID],0)),"DIVERGÊNCIA DE ATIVIDADE",IF(OR(B415&lt;=INDEX(tblBatidas[Data e hora],MATCH(L415,tblBatidas[Batida ID],0)),(B415-INDEX(tblBatidas[Data e hora],MATCH(L415,tblBatidas[Batida ID],0)))*24&gt;16),"HORÁRIO INVÁLIDO","VINCULADO"))))))),"INÍCIO")</f>
        <v>VINCULADO</v>
      </c>
    </row>
    <row r="416" spans="1:13" hidden="1">
      <c r="A416" t="s">
        <v>1011</v>
      </c>
      <c r="B416" s="21">
        <v>46271.688206018516</v>
      </c>
      <c r="C416" s="2">
        <f t="shared" si="12"/>
        <v>46271</v>
      </c>
      <c r="D416" t="str">
        <f t="shared" si="13"/>
        <v>DOMINGO</v>
      </c>
      <c r="E416">
        <v>1012</v>
      </c>
      <c r="F416" t="s">
        <v>55</v>
      </c>
      <c r="G416" t="s">
        <v>499</v>
      </c>
      <c r="H416" t="s">
        <v>74</v>
      </c>
      <c r="I416" t="s">
        <v>500</v>
      </c>
      <c r="K416" t="s">
        <v>501</v>
      </c>
      <c r="L416" s="9"/>
      <c r="M416" t="str">
        <f>IF(G416="FIM",IF(L416="","SEM VÍNCULO",IF(COUNTIF(tblBatidas[Batida ID],L416)=0,"VÍNCULO INVÁLIDO",IF(COUNTIF(tblBatidas[Início vinculado],L416)&gt;1,"VÍNCULO DUPLICADO",IF(E416&lt;&gt;INDEX(tblBatidas[ID],MATCH(L416,tblBatidas[Batida ID],0)),"DIVERGÊNCIA DE ID",IF(H416&lt;&gt;INDEX(tblBatidas[Projeto],MATCH(L416,tblBatidas[Batida ID],0)),"DIVERGÊNCIA DE PROJETO",IF(I416&lt;&gt;INDEX(tblBatidas[Atividade],MATCH(L416,tblBatidas[Batida ID],0)),"DIVERGÊNCIA DE ATIVIDADE",IF(OR(B416&lt;=INDEX(tblBatidas[Data e hora],MATCH(L416,tblBatidas[Batida ID],0)),(B416-INDEX(tblBatidas[Data e hora],MATCH(L416,tblBatidas[Batida ID],0)))*24&gt;16),"HORÁRIO INVÁLIDO","VINCULADO"))))))),"INÍCIO")</f>
        <v>INÍCIO</v>
      </c>
    </row>
    <row r="417" spans="1:13" hidden="1">
      <c r="A417" t="s">
        <v>1012</v>
      </c>
      <c r="B417" s="21">
        <v>46271.698946759258</v>
      </c>
      <c r="C417" s="2">
        <f t="shared" si="12"/>
        <v>46271</v>
      </c>
      <c r="D417" t="str">
        <f t="shared" si="13"/>
        <v>DOMINGO</v>
      </c>
      <c r="E417">
        <v>1011</v>
      </c>
      <c r="F417" t="s">
        <v>54</v>
      </c>
      <c r="G417" t="s">
        <v>499</v>
      </c>
      <c r="H417" t="s">
        <v>80</v>
      </c>
      <c r="I417" t="s">
        <v>517</v>
      </c>
      <c r="K417" t="s">
        <v>501</v>
      </c>
      <c r="L417" s="9"/>
      <c r="M417" t="str">
        <f>IF(G417="FIM",IF(L417="","SEM VÍNCULO",IF(COUNTIF(tblBatidas[Batida ID],L417)=0,"VÍNCULO INVÁLIDO",IF(COUNTIF(tblBatidas[Início vinculado],L417)&gt;1,"VÍNCULO DUPLICADO",IF(E417&lt;&gt;INDEX(tblBatidas[ID],MATCH(L417,tblBatidas[Batida ID],0)),"DIVERGÊNCIA DE ID",IF(H417&lt;&gt;INDEX(tblBatidas[Projeto],MATCH(L417,tblBatidas[Batida ID],0)),"DIVERGÊNCIA DE PROJETO",IF(I417&lt;&gt;INDEX(tblBatidas[Atividade],MATCH(L417,tblBatidas[Batida ID],0)),"DIVERGÊNCIA DE ATIVIDADE",IF(OR(B417&lt;=INDEX(tblBatidas[Data e hora],MATCH(L417,tblBatidas[Batida ID],0)),(B417-INDEX(tblBatidas[Data e hora],MATCH(L417,tblBatidas[Batida ID],0)))*24&gt;16),"HORÁRIO INVÁLIDO","VINCULADO"))))))),"INÍCIO")</f>
        <v>INÍCIO</v>
      </c>
    </row>
    <row r="418" spans="1:13">
      <c r="A418" t="s">
        <v>1013</v>
      </c>
      <c r="B418" s="21">
        <v>46271.709016203706</v>
      </c>
      <c r="C418" s="2">
        <f t="shared" si="12"/>
        <v>46271</v>
      </c>
      <c r="D418" t="str">
        <f t="shared" si="13"/>
        <v>DOMINGO</v>
      </c>
      <c r="E418">
        <v>1002</v>
      </c>
      <c r="F418" t="s">
        <v>45</v>
      </c>
      <c r="G418" t="s">
        <v>503</v>
      </c>
      <c r="H418" t="s">
        <v>80</v>
      </c>
      <c r="I418" t="s">
        <v>517</v>
      </c>
      <c r="K418" t="s">
        <v>501</v>
      </c>
      <c r="L418" s="9" t="s">
        <v>1007</v>
      </c>
      <c r="M418" t="str">
        <f>IF(G418="FIM",IF(L418="","SEM VÍNCULO",IF(COUNTIF(tblBatidas[Batida ID],L418)=0,"VÍNCULO INVÁLIDO",IF(COUNTIF(tblBatidas[Início vinculado],L418)&gt;1,"VÍNCULO DUPLICADO",IF(E418&lt;&gt;INDEX(tblBatidas[ID],MATCH(L418,tblBatidas[Batida ID],0)),"DIVERGÊNCIA DE ID",IF(H418&lt;&gt;INDEX(tblBatidas[Projeto],MATCH(L418,tblBatidas[Batida ID],0)),"DIVERGÊNCIA DE PROJETO",IF(I418&lt;&gt;INDEX(tblBatidas[Atividade],MATCH(L418,tblBatidas[Batida ID],0)),"DIVERGÊNCIA DE ATIVIDADE",IF(OR(B418&lt;=INDEX(tblBatidas[Data e hora],MATCH(L418,tblBatidas[Batida ID],0)),(B418-INDEX(tblBatidas[Data e hora],MATCH(L418,tblBatidas[Batida ID],0)))*24&gt;16),"HORÁRIO INVÁLIDO","VINCULADO"))))))),"INÍCIO")</f>
        <v>VINCULADO</v>
      </c>
    </row>
    <row r="419" spans="1:13" hidden="1">
      <c r="A419" t="s">
        <v>1014</v>
      </c>
      <c r="B419" s="21">
        <v>46271.740601851852</v>
      </c>
      <c r="C419" s="2">
        <f t="shared" si="12"/>
        <v>46271</v>
      </c>
      <c r="D419" t="str">
        <f t="shared" si="13"/>
        <v>DOMINGO</v>
      </c>
      <c r="E419">
        <v>1003</v>
      </c>
      <c r="F419" t="s">
        <v>46</v>
      </c>
      <c r="G419" t="s">
        <v>503</v>
      </c>
      <c r="H419" t="s">
        <v>80</v>
      </c>
      <c r="I419" t="s">
        <v>517</v>
      </c>
      <c r="K419" t="s">
        <v>501</v>
      </c>
      <c r="L419" s="9" t="s">
        <v>1005</v>
      </c>
      <c r="M419" t="str">
        <f>IF(G419="FIM",IF(L419="","SEM VÍNCULO",IF(COUNTIF(tblBatidas[Batida ID],L419)=0,"VÍNCULO INVÁLIDO",IF(COUNTIF(tblBatidas[Início vinculado],L419)&gt;1,"VÍNCULO DUPLICADO",IF(E419&lt;&gt;INDEX(tblBatidas[ID],MATCH(L419,tblBatidas[Batida ID],0)),"DIVERGÊNCIA DE ID",IF(H419&lt;&gt;INDEX(tblBatidas[Projeto],MATCH(L419,tblBatidas[Batida ID],0)),"DIVERGÊNCIA DE PROJETO",IF(I419&lt;&gt;INDEX(tblBatidas[Atividade],MATCH(L419,tblBatidas[Batida ID],0)),"DIVERGÊNCIA DE ATIVIDADE",IF(OR(B419&lt;=INDEX(tblBatidas[Data e hora],MATCH(L419,tblBatidas[Batida ID],0)),(B419-INDEX(tblBatidas[Data e hora],MATCH(L419,tblBatidas[Batida ID],0)))*24&gt;16),"HORÁRIO INVÁLIDO","VINCULADO"))))))),"INÍCIO")</f>
        <v>VINCULADO</v>
      </c>
    </row>
    <row r="420" spans="1:13" hidden="1">
      <c r="A420" t="s">
        <v>1015</v>
      </c>
      <c r="B420" s="21">
        <v>46271.758333333331</v>
      </c>
      <c r="C420" s="2">
        <f t="shared" si="12"/>
        <v>46271</v>
      </c>
      <c r="D420" t="str">
        <f t="shared" si="13"/>
        <v>DOMINGO</v>
      </c>
      <c r="E420">
        <v>1012</v>
      </c>
      <c r="F420" t="s">
        <v>55</v>
      </c>
      <c r="G420" t="s">
        <v>503</v>
      </c>
      <c r="H420" t="s">
        <v>74</v>
      </c>
      <c r="I420" t="s">
        <v>500</v>
      </c>
      <c r="J420" t="s">
        <v>987</v>
      </c>
      <c r="K420" t="s">
        <v>501</v>
      </c>
      <c r="L420" s="9" t="s">
        <v>1011</v>
      </c>
      <c r="M420" t="str">
        <f>IF(G420="FIM",IF(L420="","SEM VÍNCULO",IF(COUNTIF(tblBatidas[Batida ID],L420)=0,"VÍNCULO INVÁLIDO",IF(COUNTIF(tblBatidas[Início vinculado],L420)&gt;1,"VÍNCULO DUPLICADO",IF(E420&lt;&gt;INDEX(tblBatidas[ID],MATCH(L420,tblBatidas[Batida ID],0)),"DIVERGÊNCIA DE ID",IF(H420&lt;&gt;INDEX(tblBatidas[Projeto],MATCH(L420,tblBatidas[Batida ID],0)),"DIVERGÊNCIA DE PROJETO",IF(I420&lt;&gt;INDEX(tblBatidas[Atividade],MATCH(L420,tblBatidas[Batida ID],0)),"DIVERGÊNCIA DE ATIVIDADE",IF(OR(B420&lt;=INDEX(tblBatidas[Data e hora],MATCH(L420,tblBatidas[Batida ID],0)),(B420-INDEX(tblBatidas[Data e hora],MATCH(L420,tblBatidas[Batida ID],0)))*24&gt;16),"HORÁRIO INVÁLIDO","VINCULADO"))))))),"INÍCIO")</f>
        <v>VINCULADO</v>
      </c>
    </row>
    <row r="421" spans="1:13" hidden="1">
      <c r="A421" t="s">
        <v>1016</v>
      </c>
      <c r="B421" s="21">
        <v>46271.854884259257</v>
      </c>
      <c r="C421" s="2">
        <f t="shared" si="12"/>
        <v>46271</v>
      </c>
      <c r="D421" t="str">
        <f t="shared" si="13"/>
        <v>DOMINGO</v>
      </c>
      <c r="E421">
        <v>1011</v>
      </c>
      <c r="F421" t="s">
        <v>54</v>
      </c>
      <c r="G421" t="s">
        <v>503</v>
      </c>
      <c r="H421" t="s">
        <v>80</v>
      </c>
      <c r="I421" t="s">
        <v>517</v>
      </c>
      <c r="K421" t="s">
        <v>501</v>
      </c>
      <c r="L421" s="9" t="s">
        <v>1012</v>
      </c>
      <c r="M421" t="str">
        <f>IF(G421="FIM",IF(L421="","SEM VÍNCULO",IF(COUNTIF(tblBatidas[Batida ID],L421)=0,"VÍNCULO INVÁLIDO",IF(COUNTIF(tblBatidas[Início vinculado],L421)&gt;1,"VÍNCULO DUPLICADO",IF(E421&lt;&gt;INDEX(tblBatidas[ID],MATCH(L421,tblBatidas[Batida ID],0)),"DIVERGÊNCIA DE ID",IF(H421&lt;&gt;INDEX(tblBatidas[Projeto],MATCH(L421,tblBatidas[Batida ID],0)),"DIVERGÊNCIA DE PROJETO",IF(I421&lt;&gt;INDEX(tblBatidas[Atividade],MATCH(L421,tblBatidas[Batida ID],0)),"DIVERGÊNCIA DE ATIVIDADE",IF(OR(B421&lt;=INDEX(tblBatidas[Data e hora],MATCH(L421,tblBatidas[Batida ID],0)),(B421-INDEX(tblBatidas[Data e hora],MATCH(L421,tblBatidas[Batida ID],0)))*24&gt;16),"HORÁRIO INVÁLIDO","VINCULADO"))))))),"INÍCIO")</f>
        <v>VINCULADO</v>
      </c>
    </row>
    <row r="422" spans="1:13" hidden="1">
      <c r="A422" t="s">
        <v>1017</v>
      </c>
      <c r="B422" s="21">
        <v>46271.870393518519</v>
      </c>
      <c r="C422" s="2">
        <f t="shared" si="12"/>
        <v>46271</v>
      </c>
      <c r="D422" t="str">
        <f t="shared" si="13"/>
        <v>DOMINGO</v>
      </c>
      <c r="E422">
        <v>1004</v>
      </c>
      <c r="F422" t="s">
        <v>47</v>
      </c>
      <c r="G422" t="s">
        <v>503</v>
      </c>
      <c r="H422" t="s">
        <v>74</v>
      </c>
      <c r="I422" t="s">
        <v>538</v>
      </c>
      <c r="K422" t="s">
        <v>501</v>
      </c>
      <c r="L422" s="9" t="s">
        <v>1008</v>
      </c>
      <c r="M422" t="str">
        <f>IF(G422="FIM",IF(L422="","SEM VÍNCULO",IF(COUNTIF(tblBatidas[Batida ID],L422)=0,"VÍNCULO INVÁLIDO",IF(COUNTIF(tblBatidas[Início vinculado],L422)&gt;1,"VÍNCULO DUPLICADO",IF(E422&lt;&gt;INDEX(tblBatidas[ID],MATCH(L422,tblBatidas[Batida ID],0)),"DIVERGÊNCIA DE ID",IF(H422&lt;&gt;INDEX(tblBatidas[Projeto],MATCH(L422,tblBatidas[Batida ID],0)),"DIVERGÊNCIA DE PROJETO",IF(I422&lt;&gt;INDEX(tblBatidas[Atividade],MATCH(L422,tblBatidas[Batida ID],0)),"DIVERGÊNCIA DE ATIVIDADE",IF(OR(B422&lt;=INDEX(tblBatidas[Data e hora],MATCH(L422,tblBatidas[Batida ID],0)),(B422-INDEX(tblBatidas[Data e hora],MATCH(L422,tblBatidas[Batida ID],0)))*24&gt;16),"HORÁRIO INVÁLIDO","VINCULADO"))))))),"INÍCIO")</f>
        <v>VINCULADO</v>
      </c>
    </row>
    <row r="423" spans="1:13" hidden="1">
      <c r="A423" t="s">
        <v>1018</v>
      </c>
      <c r="B423" s="21">
        <v>46272.366886574076</v>
      </c>
      <c r="C423" s="2">
        <f t="shared" si="12"/>
        <v>46272</v>
      </c>
      <c r="D423" t="str">
        <f t="shared" si="13"/>
        <v>SEGUNDA-FEIRA</v>
      </c>
      <c r="E423">
        <v>1011</v>
      </c>
      <c r="F423" t="s">
        <v>54</v>
      </c>
      <c r="G423" t="s">
        <v>499</v>
      </c>
      <c r="H423" t="s">
        <v>80</v>
      </c>
      <c r="I423" t="s">
        <v>517</v>
      </c>
      <c r="K423" t="s">
        <v>501</v>
      </c>
      <c r="L423" s="9"/>
      <c r="M423" t="str">
        <f>IF(G423="FIM",IF(L423="","SEM VÍNCULO",IF(COUNTIF(tblBatidas[Batida ID],L423)=0,"VÍNCULO INVÁLIDO",IF(COUNTIF(tblBatidas[Início vinculado],L423)&gt;1,"VÍNCULO DUPLICADO",IF(E423&lt;&gt;INDEX(tblBatidas[ID],MATCH(L423,tblBatidas[Batida ID],0)),"DIVERGÊNCIA DE ID",IF(H423&lt;&gt;INDEX(tblBatidas[Projeto],MATCH(L423,tblBatidas[Batida ID],0)),"DIVERGÊNCIA DE PROJETO",IF(I423&lt;&gt;INDEX(tblBatidas[Atividade],MATCH(L423,tblBatidas[Batida ID],0)),"DIVERGÊNCIA DE ATIVIDADE",IF(OR(B423&lt;=INDEX(tblBatidas[Data e hora],MATCH(L423,tblBatidas[Batida ID],0)),(B423-INDEX(tblBatidas[Data e hora],MATCH(L423,tblBatidas[Batida ID],0)))*24&gt;16),"HORÁRIO INVÁLIDO","VINCULADO"))))))),"INÍCIO")</f>
        <v>INÍCIO</v>
      </c>
    </row>
    <row r="424" spans="1:13" hidden="1">
      <c r="A424" t="s">
        <v>1019</v>
      </c>
      <c r="B424" s="21">
        <v>46272.405810185184</v>
      </c>
      <c r="C424" s="2">
        <f t="shared" si="12"/>
        <v>46272</v>
      </c>
      <c r="D424" t="str">
        <f t="shared" si="13"/>
        <v>SEGUNDA-FEIRA</v>
      </c>
      <c r="E424">
        <v>1004</v>
      </c>
      <c r="F424" t="s">
        <v>47</v>
      </c>
      <c r="G424" t="s">
        <v>499</v>
      </c>
      <c r="H424" t="s">
        <v>74</v>
      </c>
      <c r="I424" t="s">
        <v>538</v>
      </c>
      <c r="K424" t="s">
        <v>501</v>
      </c>
      <c r="L424" s="9"/>
      <c r="M424" t="str">
        <f>IF(G424="FIM",IF(L424="","SEM VÍNCULO",IF(COUNTIF(tblBatidas[Batida ID],L424)=0,"VÍNCULO INVÁLIDO",IF(COUNTIF(tblBatidas[Início vinculado],L424)&gt;1,"VÍNCULO DUPLICADO",IF(E424&lt;&gt;INDEX(tblBatidas[ID],MATCH(L424,tblBatidas[Batida ID],0)),"DIVERGÊNCIA DE ID",IF(H424&lt;&gt;INDEX(tblBatidas[Projeto],MATCH(L424,tblBatidas[Batida ID],0)),"DIVERGÊNCIA DE PROJETO",IF(I424&lt;&gt;INDEX(tblBatidas[Atividade],MATCH(L424,tblBatidas[Batida ID],0)),"DIVERGÊNCIA DE ATIVIDADE",IF(OR(B424&lt;=INDEX(tblBatidas[Data e hora],MATCH(L424,tblBatidas[Batida ID],0)),(B424-INDEX(tblBatidas[Data e hora],MATCH(L424,tblBatidas[Batida ID],0)))*24&gt;16),"HORÁRIO INVÁLIDO","VINCULADO"))))))),"INÍCIO")</f>
        <v>INÍCIO</v>
      </c>
    </row>
    <row r="425" spans="1:13" hidden="1">
      <c r="A425" t="s">
        <v>1020</v>
      </c>
      <c r="B425" s="21">
        <v>46272.409143518518</v>
      </c>
      <c r="C425" s="2">
        <f t="shared" si="12"/>
        <v>46272</v>
      </c>
      <c r="D425" t="str">
        <f t="shared" si="13"/>
        <v>SEGUNDA-FEIRA</v>
      </c>
      <c r="E425">
        <v>1013</v>
      </c>
      <c r="F425" t="s">
        <v>57</v>
      </c>
      <c r="G425" t="s">
        <v>499</v>
      </c>
      <c r="H425" t="s">
        <v>80</v>
      </c>
      <c r="I425" t="s">
        <v>517</v>
      </c>
      <c r="K425" t="s">
        <v>501</v>
      </c>
      <c r="L425" s="9"/>
      <c r="M425" t="str">
        <f>IF(G425="FIM",IF(L425="","SEM VÍNCULO",IF(COUNTIF(tblBatidas[Batida ID],L425)=0,"VÍNCULO INVÁLIDO",IF(COUNTIF(tblBatidas[Início vinculado],L425)&gt;1,"VÍNCULO DUPLICADO",IF(E425&lt;&gt;INDEX(tblBatidas[ID],MATCH(L425,tblBatidas[Batida ID],0)),"DIVERGÊNCIA DE ID",IF(H425&lt;&gt;INDEX(tblBatidas[Projeto],MATCH(L425,tblBatidas[Batida ID],0)),"DIVERGÊNCIA DE PROJETO",IF(I425&lt;&gt;INDEX(tblBatidas[Atividade],MATCH(L425,tblBatidas[Batida ID],0)),"DIVERGÊNCIA DE ATIVIDADE",IF(OR(B425&lt;=INDEX(tblBatidas[Data e hora],MATCH(L425,tblBatidas[Batida ID],0)),(B425-INDEX(tblBatidas[Data e hora],MATCH(L425,tblBatidas[Batida ID],0)))*24&gt;16),"HORÁRIO INVÁLIDO","VINCULADO"))))))),"INÍCIO")</f>
        <v>INÍCIO</v>
      </c>
    </row>
    <row r="426" spans="1:13" hidden="1">
      <c r="A426" t="s">
        <v>1021</v>
      </c>
      <c r="B426" s="21">
        <v>46272.409988425927</v>
      </c>
      <c r="C426" s="2">
        <f t="shared" si="12"/>
        <v>46272</v>
      </c>
      <c r="D426" t="str">
        <f t="shared" si="13"/>
        <v>SEGUNDA-FEIRA</v>
      </c>
      <c r="E426">
        <v>1001</v>
      </c>
      <c r="F426" t="s">
        <v>43</v>
      </c>
      <c r="G426" t="s">
        <v>499</v>
      </c>
      <c r="H426" t="s">
        <v>72</v>
      </c>
      <c r="I426" t="s">
        <v>500</v>
      </c>
      <c r="J426" t="s">
        <v>1022</v>
      </c>
      <c r="K426" t="s">
        <v>501</v>
      </c>
      <c r="L426" s="9"/>
      <c r="M426" t="str">
        <f>IF(G426="FIM",IF(L426="","SEM VÍNCULO",IF(COUNTIF(tblBatidas[Batida ID],L426)=0,"VÍNCULO INVÁLIDO",IF(COUNTIF(tblBatidas[Início vinculado],L426)&gt;1,"VÍNCULO DUPLICADO",IF(E426&lt;&gt;INDEX(tblBatidas[ID],MATCH(L426,tblBatidas[Batida ID],0)),"DIVERGÊNCIA DE ID",IF(H426&lt;&gt;INDEX(tblBatidas[Projeto],MATCH(L426,tblBatidas[Batida ID],0)),"DIVERGÊNCIA DE PROJETO",IF(I426&lt;&gt;INDEX(tblBatidas[Atividade],MATCH(L426,tblBatidas[Batida ID],0)),"DIVERGÊNCIA DE ATIVIDADE",IF(OR(B426&lt;=INDEX(tblBatidas[Data e hora],MATCH(L426,tblBatidas[Batida ID],0)),(B426-INDEX(tblBatidas[Data e hora],MATCH(L426,tblBatidas[Batida ID],0)))*24&gt;16),"HORÁRIO INVÁLIDO","VINCULADO"))))))),"INÍCIO")</f>
        <v>INÍCIO</v>
      </c>
    </row>
    <row r="427" spans="1:13" hidden="1">
      <c r="A427" t="s">
        <v>1023</v>
      </c>
      <c r="B427" s="21">
        <v>46272.485208333332</v>
      </c>
      <c r="C427" s="2">
        <f t="shared" si="12"/>
        <v>46272</v>
      </c>
      <c r="D427" t="str">
        <f t="shared" si="13"/>
        <v>SEGUNDA-FEIRA</v>
      </c>
      <c r="E427">
        <v>1012</v>
      </c>
      <c r="F427" t="s">
        <v>55</v>
      </c>
      <c r="G427" t="s">
        <v>499</v>
      </c>
      <c r="H427" t="s">
        <v>80</v>
      </c>
      <c r="I427" t="s">
        <v>84</v>
      </c>
      <c r="J427" t="s">
        <v>1024</v>
      </c>
      <c r="K427" t="s">
        <v>501</v>
      </c>
      <c r="L427" s="9"/>
      <c r="M427" t="str">
        <f>IF(G427="FIM",IF(L427="","SEM VÍNCULO",IF(COUNTIF(tblBatidas[Batida ID],L427)=0,"VÍNCULO INVÁLIDO",IF(COUNTIF(tblBatidas[Início vinculado],L427)&gt;1,"VÍNCULO DUPLICADO",IF(E427&lt;&gt;INDEX(tblBatidas[ID],MATCH(L427,tblBatidas[Batida ID],0)),"DIVERGÊNCIA DE ID",IF(H427&lt;&gt;INDEX(tblBatidas[Projeto],MATCH(L427,tblBatidas[Batida ID],0)),"DIVERGÊNCIA DE PROJETO",IF(I427&lt;&gt;INDEX(tblBatidas[Atividade],MATCH(L427,tblBatidas[Batida ID],0)),"DIVERGÊNCIA DE ATIVIDADE",IF(OR(B427&lt;=INDEX(tblBatidas[Data e hora],MATCH(L427,tblBatidas[Batida ID],0)),(B427-INDEX(tblBatidas[Data e hora],MATCH(L427,tblBatidas[Batida ID],0)))*24&gt;16),"HORÁRIO INVÁLIDO","VINCULADO"))))))),"INÍCIO")</f>
        <v>INÍCIO</v>
      </c>
    </row>
    <row r="428" spans="1:13" hidden="1">
      <c r="A428" t="s">
        <v>1025</v>
      </c>
      <c r="B428" s="21">
        <v>46272.496967592589</v>
      </c>
      <c r="C428" s="2">
        <f t="shared" si="12"/>
        <v>46272</v>
      </c>
      <c r="D428" t="str">
        <f t="shared" si="13"/>
        <v>SEGUNDA-FEIRA</v>
      </c>
      <c r="E428">
        <v>1003</v>
      </c>
      <c r="F428" t="s">
        <v>46</v>
      </c>
      <c r="G428" t="s">
        <v>503</v>
      </c>
      <c r="H428" t="s">
        <v>80</v>
      </c>
      <c r="I428" t="s">
        <v>517</v>
      </c>
      <c r="K428" t="s">
        <v>501</v>
      </c>
      <c r="L428" s="9"/>
      <c r="M428" t="str">
        <f>IF(G428="FIM",IF(L428="","SEM VÍNCULO",IF(COUNTIF(tblBatidas[Batida ID],L428)=0,"VÍNCULO INVÁLIDO",IF(COUNTIF(tblBatidas[Início vinculado],L428)&gt;1,"VÍNCULO DUPLICADO",IF(E428&lt;&gt;INDEX(tblBatidas[ID],MATCH(L428,tblBatidas[Batida ID],0)),"DIVERGÊNCIA DE ID",IF(H428&lt;&gt;INDEX(tblBatidas[Projeto],MATCH(L428,tblBatidas[Batida ID],0)),"DIVERGÊNCIA DE PROJETO",IF(I428&lt;&gt;INDEX(tblBatidas[Atividade],MATCH(L428,tblBatidas[Batida ID],0)),"DIVERGÊNCIA DE ATIVIDADE",IF(OR(B428&lt;=INDEX(tblBatidas[Data e hora],MATCH(L428,tblBatidas[Batida ID],0)),(B428-INDEX(tblBatidas[Data e hora],MATCH(L428,tblBatidas[Batida ID],0)))*24&gt;16),"HORÁRIO INVÁLIDO","VINCULADO"))))))),"INÍCIO")</f>
        <v>SEM VÍNCULO</v>
      </c>
    </row>
    <row r="429" spans="1:13" hidden="1">
      <c r="A429" t="s">
        <v>1026</v>
      </c>
      <c r="B429" s="21">
        <v>46272.500462962962</v>
      </c>
      <c r="C429" s="2">
        <f t="shared" si="12"/>
        <v>46272</v>
      </c>
      <c r="D429" t="str">
        <f t="shared" si="13"/>
        <v>SEGUNDA-FEIRA</v>
      </c>
      <c r="E429">
        <v>1013</v>
      </c>
      <c r="F429" t="s">
        <v>57</v>
      </c>
      <c r="G429" t="s">
        <v>503</v>
      </c>
      <c r="H429" t="s">
        <v>80</v>
      </c>
      <c r="I429" t="s">
        <v>517</v>
      </c>
      <c r="K429" t="s">
        <v>501</v>
      </c>
      <c r="L429" s="9" t="s">
        <v>1020</v>
      </c>
      <c r="M429" t="str">
        <f>IF(G429="FIM",IF(L429="","SEM VÍNCULO",IF(COUNTIF(tblBatidas[Batida ID],L429)=0,"VÍNCULO INVÁLIDO",IF(COUNTIF(tblBatidas[Início vinculado],L429)&gt;1,"VÍNCULO DUPLICADO",IF(E429&lt;&gt;INDEX(tblBatidas[ID],MATCH(L429,tblBatidas[Batida ID],0)),"DIVERGÊNCIA DE ID",IF(H429&lt;&gt;INDEX(tblBatidas[Projeto],MATCH(L429,tblBatidas[Batida ID],0)),"DIVERGÊNCIA DE PROJETO",IF(I429&lt;&gt;INDEX(tblBatidas[Atividade],MATCH(L429,tblBatidas[Batida ID],0)),"DIVERGÊNCIA DE ATIVIDADE",IF(OR(B429&lt;=INDEX(tblBatidas[Data e hora],MATCH(L429,tblBatidas[Batida ID],0)),(B429-INDEX(tblBatidas[Data e hora],MATCH(L429,tblBatidas[Batida ID],0)))*24&gt;16),"HORÁRIO INVÁLIDO","VINCULADO"))))))),"INÍCIO")</f>
        <v>VINCULADO</v>
      </c>
    </row>
    <row r="430" spans="1:13" hidden="1">
      <c r="A430" t="s">
        <v>1027</v>
      </c>
      <c r="B430" s="21">
        <v>46272.536990740744</v>
      </c>
      <c r="C430" s="2">
        <f t="shared" si="12"/>
        <v>46272</v>
      </c>
      <c r="D430" t="str">
        <f t="shared" si="13"/>
        <v>SEGUNDA-FEIRA</v>
      </c>
      <c r="E430">
        <v>1004</v>
      </c>
      <c r="F430" t="s">
        <v>47</v>
      </c>
      <c r="G430" t="s">
        <v>503</v>
      </c>
      <c r="H430" t="s">
        <v>74</v>
      </c>
      <c r="I430" t="s">
        <v>538</v>
      </c>
      <c r="K430" t="s">
        <v>501</v>
      </c>
      <c r="L430" s="9" t="s">
        <v>1019</v>
      </c>
      <c r="M430" t="str">
        <f>IF(G430="FIM",IF(L430="","SEM VÍNCULO",IF(COUNTIF(tblBatidas[Batida ID],L430)=0,"VÍNCULO INVÁLIDO",IF(COUNTIF(tblBatidas[Início vinculado],L430)&gt;1,"VÍNCULO DUPLICADO",IF(E430&lt;&gt;INDEX(tblBatidas[ID],MATCH(L430,tblBatidas[Batida ID],0)),"DIVERGÊNCIA DE ID",IF(H430&lt;&gt;INDEX(tblBatidas[Projeto],MATCH(L430,tblBatidas[Batida ID],0)),"DIVERGÊNCIA DE PROJETO",IF(I430&lt;&gt;INDEX(tblBatidas[Atividade],MATCH(L430,tblBatidas[Batida ID],0)),"DIVERGÊNCIA DE ATIVIDADE",IF(OR(B430&lt;=INDEX(tblBatidas[Data e hora],MATCH(L430,tblBatidas[Batida ID],0)),(B430-INDEX(tblBatidas[Data e hora],MATCH(L430,tblBatidas[Batida ID],0)))*24&gt;16),"HORÁRIO INVÁLIDO","VINCULADO"))))))),"INÍCIO")</f>
        <v>VINCULADO</v>
      </c>
    </row>
    <row r="431" spans="1:13">
      <c r="A431" t="s">
        <v>1028</v>
      </c>
      <c r="B431" s="21">
        <v>46272.540543981479</v>
      </c>
      <c r="C431" s="2">
        <f t="shared" si="12"/>
        <v>46272</v>
      </c>
      <c r="D431" t="str">
        <f t="shared" si="13"/>
        <v>SEGUNDA-FEIRA</v>
      </c>
      <c r="E431">
        <v>1002</v>
      </c>
      <c r="F431" t="s">
        <v>45</v>
      </c>
      <c r="G431" t="s">
        <v>499</v>
      </c>
      <c r="H431" t="s">
        <v>80</v>
      </c>
      <c r="I431" t="s">
        <v>517</v>
      </c>
      <c r="K431" t="s">
        <v>501</v>
      </c>
      <c r="L431" s="9"/>
      <c r="M431" t="str">
        <f>IF(G431="FIM",IF(L431="","SEM VÍNCULO",IF(COUNTIF(tblBatidas[Batida ID],L431)=0,"VÍNCULO INVÁLIDO",IF(COUNTIF(tblBatidas[Início vinculado],L431)&gt;1,"VÍNCULO DUPLICADO",IF(E431&lt;&gt;INDEX(tblBatidas[ID],MATCH(L431,tblBatidas[Batida ID],0)),"DIVERGÊNCIA DE ID",IF(H431&lt;&gt;INDEX(tblBatidas[Projeto],MATCH(L431,tblBatidas[Batida ID],0)),"DIVERGÊNCIA DE PROJETO",IF(I431&lt;&gt;INDEX(tblBatidas[Atividade],MATCH(L431,tblBatidas[Batida ID],0)),"DIVERGÊNCIA DE ATIVIDADE",IF(OR(B431&lt;=INDEX(tblBatidas[Data e hora],MATCH(L431,tblBatidas[Batida ID],0)),(B431-INDEX(tblBatidas[Data e hora],MATCH(L431,tblBatidas[Batida ID],0)))*24&gt;16),"HORÁRIO INVÁLIDO","VINCULADO"))))))),"INÍCIO")</f>
        <v>INÍCIO</v>
      </c>
    </row>
    <row r="432" spans="1:13" hidden="1">
      <c r="A432" t="s">
        <v>1029</v>
      </c>
      <c r="B432" s="21">
        <v>46272.542187500003</v>
      </c>
      <c r="C432" s="2">
        <f t="shared" si="12"/>
        <v>46272</v>
      </c>
      <c r="D432" t="str">
        <f t="shared" si="13"/>
        <v>SEGUNDA-FEIRA</v>
      </c>
      <c r="E432">
        <v>1003</v>
      </c>
      <c r="F432" t="s">
        <v>46</v>
      </c>
      <c r="G432" t="s">
        <v>499</v>
      </c>
      <c r="H432" t="s">
        <v>80</v>
      </c>
      <c r="I432" t="s">
        <v>517</v>
      </c>
      <c r="K432" t="s">
        <v>501</v>
      </c>
      <c r="L432" s="9"/>
      <c r="M432" t="str">
        <f>IF(G432="FIM",IF(L432="","SEM VÍNCULO",IF(COUNTIF(tblBatidas[Batida ID],L432)=0,"VÍNCULO INVÁLIDO",IF(COUNTIF(tblBatidas[Início vinculado],L432)&gt;1,"VÍNCULO DUPLICADO",IF(E432&lt;&gt;INDEX(tblBatidas[ID],MATCH(L432,tblBatidas[Batida ID],0)),"DIVERGÊNCIA DE ID",IF(H432&lt;&gt;INDEX(tblBatidas[Projeto],MATCH(L432,tblBatidas[Batida ID],0)),"DIVERGÊNCIA DE PROJETO",IF(I432&lt;&gt;INDEX(tblBatidas[Atividade],MATCH(L432,tblBatidas[Batida ID],0)),"DIVERGÊNCIA DE ATIVIDADE",IF(OR(B432&lt;=INDEX(tblBatidas[Data e hora],MATCH(L432,tblBatidas[Batida ID],0)),(B432-INDEX(tblBatidas[Data e hora],MATCH(L432,tblBatidas[Batida ID],0)))*24&gt;16),"HORÁRIO INVÁLIDO","VINCULADO"))))))),"INÍCIO")</f>
        <v>INÍCIO</v>
      </c>
    </row>
    <row r="433" spans="1:13" hidden="1">
      <c r="A433" t="s">
        <v>1030</v>
      </c>
      <c r="B433" s="21">
        <v>46272.562106481484</v>
      </c>
      <c r="C433" s="2">
        <f t="shared" si="12"/>
        <v>46272</v>
      </c>
      <c r="D433" t="str">
        <f t="shared" si="13"/>
        <v>SEGUNDA-FEIRA</v>
      </c>
      <c r="E433">
        <v>1011</v>
      </c>
      <c r="F433" t="s">
        <v>54</v>
      </c>
      <c r="G433" t="s">
        <v>503</v>
      </c>
      <c r="H433" t="s">
        <v>80</v>
      </c>
      <c r="I433" t="s">
        <v>517</v>
      </c>
      <c r="K433" t="s">
        <v>501</v>
      </c>
      <c r="L433" s="9" t="s">
        <v>1018</v>
      </c>
      <c r="M433" t="str">
        <f>IF(G433="FIM",IF(L433="","SEM VÍNCULO",IF(COUNTIF(tblBatidas[Batida ID],L433)=0,"VÍNCULO INVÁLIDO",IF(COUNTIF(tblBatidas[Início vinculado],L433)&gt;1,"VÍNCULO DUPLICADO",IF(E433&lt;&gt;INDEX(tblBatidas[ID],MATCH(L433,tblBatidas[Batida ID],0)),"DIVERGÊNCIA DE ID",IF(H433&lt;&gt;INDEX(tblBatidas[Projeto],MATCH(L433,tblBatidas[Batida ID],0)),"DIVERGÊNCIA DE PROJETO",IF(I433&lt;&gt;INDEX(tblBatidas[Atividade],MATCH(L433,tblBatidas[Batida ID],0)),"DIVERGÊNCIA DE ATIVIDADE",IF(OR(B433&lt;=INDEX(tblBatidas[Data e hora],MATCH(L433,tblBatidas[Batida ID],0)),(B433-INDEX(tblBatidas[Data e hora],MATCH(L433,tblBatidas[Batida ID],0)))*24&gt;16),"HORÁRIO INVÁLIDO","VINCULADO"))))))),"INÍCIO")</f>
        <v>VINCULADO</v>
      </c>
    </row>
    <row r="434" spans="1:13" hidden="1">
      <c r="A434" t="s">
        <v>1031</v>
      </c>
      <c r="B434" s="21">
        <v>46272.584722222222</v>
      </c>
      <c r="C434" s="2">
        <f t="shared" si="12"/>
        <v>46272</v>
      </c>
      <c r="D434" t="str">
        <f t="shared" si="13"/>
        <v>SEGUNDA-FEIRA</v>
      </c>
      <c r="E434">
        <v>1011</v>
      </c>
      <c r="F434" t="s">
        <v>54</v>
      </c>
      <c r="G434" t="s">
        <v>499</v>
      </c>
      <c r="H434" t="s">
        <v>80</v>
      </c>
      <c r="I434" t="s">
        <v>517</v>
      </c>
      <c r="K434" t="s">
        <v>501</v>
      </c>
      <c r="L434" s="9"/>
      <c r="M434" t="str">
        <f>IF(G434="FIM",IF(L434="","SEM VÍNCULO",IF(COUNTIF(tblBatidas[Batida ID],L434)=0,"VÍNCULO INVÁLIDO",IF(COUNTIF(tblBatidas[Início vinculado],L434)&gt;1,"VÍNCULO DUPLICADO",IF(E434&lt;&gt;INDEX(tblBatidas[ID],MATCH(L434,tblBatidas[Batida ID],0)),"DIVERGÊNCIA DE ID",IF(H434&lt;&gt;INDEX(tblBatidas[Projeto],MATCH(L434,tblBatidas[Batida ID],0)),"DIVERGÊNCIA DE PROJETO",IF(I434&lt;&gt;INDEX(tblBatidas[Atividade],MATCH(L434,tblBatidas[Batida ID],0)),"DIVERGÊNCIA DE ATIVIDADE",IF(OR(B434&lt;=INDEX(tblBatidas[Data e hora],MATCH(L434,tblBatidas[Batida ID],0)),(B434-INDEX(tblBatidas[Data e hora],MATCH(L434,tblBatidas[Batida ID],0)))*24&gt;16),"HORÁRIO INVÁLIDO","VINCULADO"))))))),"INÍCIO")</f>
        <v>INÍCIO</v>
      </c>
    </row>
    <row r="435" spans="1:13" hidden="1">
      <c r="A435" t="s">
        <v>1032</v>
      </c>
      <c r="B435" s="21">
        <v>46272.608518518522</v>
      </c>
      <c r="C435" s="2">
        <f t="shared" si="12"/>
        <v>46272</v>
      </c>
      <c r="D435" t="str">
        <f t="shared" si="13"/>
        <v>SEGUNDA-FEIRA</v>
      </c>
      <c r="E435">
        <v>1004</v>
      </c>
      <c r="F435" t="s">
        <v>47</v>
      </c>
      <c r="G435" t="s">
        <v>499</v>
      </c>
      <c r="H435" t="s">
        <v>74</v>
      </c>
      <c r="I435" t="s">
        <v>538</v>
      </c>
      <c r="K435" t="s">
        <v>501</v>
      </c>
      <c r="L435" s="9"/>
      <c r="M435" t="str">
        <f>IF(G435="FIM",IF(L435="","SEM VÍNCULO",IF(COUNTIF(tblBatidas[Batida ID],L435)=0,"VÍNCULO INVÁLIDO",IF(COUNTIF(tblBatidas[Início vinculado],L435)&gt;1,"VÍNCULO DUPLICADO",IF(E435&lt;&gt;INDEX(tblBatidas[ID],MATCH(L435,tblBatidas[Batida ID],0)),"DIVERGÊNCIA DE ID",IF(H435&lt;&gt;INDEX(tblBatidas[Projeto],MATCH(L435,tblBatidas[Batida ID],0)),"DIVERGÊNCIA DE PROJETO",IF(I435&lt;&gt;INDEX(tblBatidas[Atividade],MATCH(L435,tblBatidas[Batida ID],0)),"DIVERGÊNCIA DE ATIVIDADE",IF(OR(B435&lt;=INDEX(tblBatidas[Data e hora],MATCH(L435,tblBatidas[Batida ID],0)),(B435-INDEX(tblBatidas[Data e hora],MATCH(L435,tblBatidas[Batida ID],0)))*24&gt;16),"HORÁRIO INVÁLIDO","VINCULADO"))))))),"INÍCIO")</f>
        <v>INÍCIO</v>
      </c>
    </row>
    <row r="436" spans="1:13" hidden="1">
      <c r="A436" t="s">
        <v>1033</v>
      </c>
      <c r="B436" s="21">
        <v>46272.613055555557</v>
      </c>
      <c r="C436" s="2">
        <f t="shared" si="12"/>
        <v>46272</v>
      </c>
      <c r="D436" t="str">
        <f t="shared" si="13"/>
        <v>SEGUNDA-FEIRA</v>
      </c>
      <c r="E436">
        <v>1013</v>
      </c>
      <c r="F436" t="s">
        <v>57</v>
      </c>
      <c r="G436" t="s">
        <v>499</v>
      </c>
      <c r="H436" t="s">
        <v>80</v>
      </c>
      <c r="I436" t="s">
        <v>517</v>
      </c>
      <c r="K436" t="s">
        <v>501</v>
      </c>
      <c r="L436" s="9"/>
      <c r="M436" t="str">
        <f>IF(G436="FIM",IF(L436="","SEM VÍNCULO",IF(COUNTIF(tblBatidas[Batida ID],L436)=0,"VÍNCULO INVÁLIDO",IF(COUNTIF(tblBatidas[Início vinculado],L436)&gt;1,"VÍNCULO DUPLICADO",IF(E436&lt;&gt;INDEX(tblBatidas[ID],MATCH(L436,tblBatidas[Batida ID],0)),"DIVERGÊNCIA DE ID",IF(H436&lt;&gt;INDEX(tblBatidas[Projeto],MATCH(L436,tblBatidas[Batida ID],0)),"DIVERGÊNCIA DE PROJETO",IF(I436&lt;&gt;INDEX(tblBatidas[Atividade],MATCH(L436,tblBatidas[Batida ID],0)),"DIVERGÊNCIA DE ATIVIDADE",IF(OR(B436&lt;=INDEX(tblBatidas[Data e hora],MATCH(L436,tblBatidas[Batida ID],0)),(B436-INDEX(tblBatidas[Data e hora],MATCH(L436,tblBatidas[Batida ID],0)))*24&gt;16),"HORÁRIO INVÁLIDO","VINCULADO"))))))),"INÍCIO")</f>
        <v>INÍCIO</v>
      </c>
    </row>
    <row r="437" spans="1:13" hidden="1">
      <c r="A437" t="s">
        <v>1034</v>
      </c>
      <c r="B437" s="21">
        <v>46272.715879629628</v>
      </c>
      <c r="C437" s="2">
        <f t="shared" si="12"/>
        <v>46272</v>
      </c>
      <c r="D437" t="str">
        <f t="shared" si="13"/>
        <v>SEGUNDA-FEIRA</v>
      </c>
      <c r="E437">
        <v>1001</v>
      </c>
      <c r="F437" t="s">
        <v>43</v>
      </c>
      <c r="G437" t="s">
        <v>503</v>
      </c>
      <c r="H437" t="s">
        <v>72</v>
      </c>
      <c r="I437" t="s">
        <v>500</v>
      </c>
      <c r="K437" t="s">
        <v>501</v>
      </c>
      <c r="L437" s="9" t="s">
        <v>1021</v>
      </c>
      <c r="M437" t="str">
        <f>IF(G437="FIM",IF(L437="","SEM VÍNCULO",IF(COUNTIF(tblBatidas[Batida ID],L437)=0,"VÍNCULO INVÁLIDO",IF(COUNTIF(tblBatidas[Início vinculado],L437)&gt;1,"VÍNCULO DUPLICADO",IF(E437&lt;&gt;INDEX(tblBatidas[ID],MATCH(L437,tblBatidas[Batida ID],0)),"DIVERGÊNCIA DE ID",IF(H437&lt;&gt;INDEX(tblBatidas[Projeto],MATCH(L437,tblBatidas[Batida ID],0)),"DIVERGÊNCIA DE PROJETO",IF(I437&lt;&gt;INDEX(tblBatidas[Atividade],MATCH(L437,tblBatidas[Batida ID],0)),"DIVERGÊNCIA DE ATIVIDADE",IF(OR(B437&lt;=INDEX(tblBatidas[Data e hora],MATCH(L437,tblBatidas[Batida ID],0)),(B437-INDEX(tblBatidas[Data e hora],MATCH(L437,tblBatidas[Batida ID],0)))*24&gt;16),"HORÁRIO INVÁLIDO","VINCULADO"))))))),"INÍCIO")</f>
        <v>VINCULADO</v>
      </c>
    </row>
    <row r="438" spans="1:13" hidden="1">
      <c r="A438" t="s">
        <v>1035</v>
      </c>
      <c r="B438" s="21">
        <v>46272.735798611109</v>
      </c>
      <c r="C438" s="2">
        <f t="shared" si="12"/>
        <v>46272</v>
      </c>
      <c r="D438" t="str">
        <f t="shared" si="13"/>
        <v>SEGUNDA-FEIRA</v>
      </c>
      <c r="E438">
        <v>1001</v>
      </c>
      <c r="F438" t="s">
        <v>43</v>
      </c>
      <c r="G438" t="s">
        <v>499</v>
      </c>
      <c r="H438" t="s">
        <v>72</v>
      </c>
      <c r="I438" t="s">
        <v>500</v>
      </c>
      <c r="K438" t="s">
        <v>501</v>
      </c>
      <c r="L438" s="9"/>
      <c r="M438" t="str">
        <f>IF(G438="FIM",IF(L438="","SEM VÍNCULO",IF(COUNTIF(tblBatidas[Batida ID],L438)=0,"VÍNCULO INVÁLIDO",IF(COUNTIF(tblBatidas[Início vinculado],L438)&gt;1,"VÍNCULO DUPLICADO",IF(E438&lt;&gt;INDEX(tblBatidas[ID],MATCH(L438,tblBatidas[Batida ID],0)),"DIVERGÊNCIA DE ID",IF(H438&lt;&gt;INDEX(tblBatidas[Projeto],MATCH(L438,tblBatidas[Batida ID],0)),"DIVERGÊNCIA DE PROJETO",IF(I438&lt;&gt;INDEX(tblBatidas[Atividade],MATCH(L438,tblBatidas[Batida ID],0)),"DIVERGÊNCIA DE ATIVIDADE",IF(OR(B438&lt;=INDEX(tblBatidas[Data e hora],MATCH(L438,tblBatidas[Batida ID],0)),(B438-INDEX(tblBatidas[Data e hora],MATCH(L438,tblBatidas[Batida ID],0)))*24&gt;16),"HORÁRIO INVÁLIDO","VINCULADO"))))))),"INÍCIO")</f>
        <v>INÍCIO</v>
      </c>
    </row>
    <row r="439" spans="1:13">
      <c r="A439" t="s">
        <v>1036</v>
      </c>
      <c r="B439" s="21">
        <v>46272.746898148151</v>
      </c>
      <c r="C439" s="2">
        <f t="shared" si="12"/>
        <v>46272</v>
      </c>
      <c r="D439" t="str">
        <f t="shared" si="13"/>
        <v>SEGUNDA-FEIRA</v>
      </c>
      <c r="E439">
        <v>1002</v>
      </c>
      <c r="F439" t="s">
        <v>45</v>
      </c>
      <c r="G439" t="s">
        <v>503</v>
      </c>
      <c r="H439" t="s">
        <v>80</v>
      </c>
      <c r="I439" t="s">
        <v>517</v>
      </c>
      <c r="K439" t="s">
        <v>501</v>
      </c>
      <c r="L439" s="9" t="s">
        <v>1028</v>
      </c>
      <c r="M439" t="str">
        <f>IF(G439="FIM",IF(L439="","SEM VÍNCULO",IF(COUNTIF(tblBatidas[Batida ID],L439)=0,"VÍNCULO INVÁLIDO",IF(COUNTIF(tblBatidas[Início vinculado],L439)&gt;1,"VÍNCULO DUPLICADO",IF(E439&lt;&gt;INDEX(tblBatidas[ID],MATCH(L439,tblBatidas[Batida ID],0)),"DIVERGÊNCIA DE ID",IF(H439&lt;&gt;INDEX(tblBatidas[Projeto],MATCH(L439,tblBatidas[Batida ID],0)),"DIVERGÊNCIA DE PROJETO",IF(I439&lt;&gt;INDEX(tblBatidas[Atividade],MATCH(L439,tblBatidas[Batida ID],0)),"DIVERGÊNCIA DE ATIVIDADE",IF(OR(B439&lt;=INDEX(tblBatidas[Data e hora],MATCH(L439,tblBatidas[Batida ID],0)),(B439-INDEX(tblBatidas[Data e hora],MATCH(L439,tblBatidas[Batida ID],0)))*24&gt;16),"HORÁRIO INVÁLIDO","VINCULADO"))))))),"INÍCIO")</f>
        <v>VINCULADO</v>
      </c>
    </row>
    <row r="440" spans="1:13" hidden="1">
      <c r="A440" t="s">
        <v>1037</v>
      </c>
      <c r="B440" s="21">
        <v>46272.763136574074</v>
      </c>
      <c r="C440" s="2">
        <f t="shared" si="12"/>
        <v>46272</v>
      </c>
      <c r="D440" t="str">
        <f t="shared" si="13"/>
        <v>SEGUNDA-FEIRA</v>
      </c>
      <c r="E440">
        <v>1003</v>
      </c>
      <c r="F440" t="s">
        <v>46</v>
      </c>
      <c r="G440" t="s">
        <v>503</v>
      </c>
      <c r="H440" t="s">
        <v>80</v>
      </c>
      <c r="I440" t="s">
        <v>517</v>
      </c>
      <c r="K440" t="s">
        <v>501</v>
      </c>
      <c r="L440" s="9" t="s">
        <v>1029</v>
      </c>
      <c r="M440" t="str">
        <f>IF(G440="FIM",IF(L440="","SEM VÍNCULO",IF(COUNTIF(tblBatidas[Batida ID],L440)=0,"VÍNCULO INVÁLIDO",IF(COUNTIF(tblBatidas[Início vinculado],L440)&gt;1,"VÍNCULO DUPLICADO",IF(E440&lt;&gt;INDEX(tblBatidas[ID],MATCH(L440,tblBatidas[Batida ID],0)),"DIVERGÊNCIA DE ID",IF(H440&lt;&gt;INDEX(tblBatidas[Projeto],MATCH(L440,tblBatidas[Batida ID],0)),"DIVERGÊNCIA DE PROJETO",IF(I440&lt;&gt;INDEX(tblBatidas[Atividade],MATCH(L440,tblBatidas[Batida ID],0)),"DIVERGÊNCIA DE ATIVIDADE",IF(OR(B440&lt;=INDEX(tblBatidas[Data e hora],MATCH(L440,tblBatidas[Batida ID],0)),(B440-INDEX(tblBatidas[Data e hora],MATCH(L440,tblBatidas[Batida ID],0)))*24&gt;16),"HORÁRIO INVÁLIDO","VINCULADO"))))))),"INÍCIO")</f>
        <v>VINCULADO</v>
      </c>
    </row>
    <row r="441" spans="1:13" hidden="1">
      <c r="A441" t="s">
        <v>1038</v>
      </c>
      <c r="B441" s="21">
        <v>46272.766111111108</v>
      </c>
      <c r="C441" s="2">
        <f t="shared" si="12"/>
        <v>46272</v>
      </c>
      <c r="D441" t="str">
        <f t="shared" si="13"/>
        <v>SEGUNDA-FEIRA</v>
      </c>
      <c r="E441">
        <v>1001</v>
      </c>
      <c r="F441" t="s">
        <v>43</v>
      </c>
      <c r="G441" t="s">
        <v>503</v>
      </c>
      <c r="H441" t="s">
        <v>72</v>
      </c>
      <c r="I441" t="s">
        <v>500</v>
      </c>
      <c r="K441" t="s">
        <v>501</v>
      </c>
      <c r="L441" s="9" t="s">
        <v>1035</v>
      </c>
      <c r="M441" t="str">
        <f>IF(G441="FIM",IF(L441="","SEM VÍNCULO",IF(COUNTIF(tblBatidas[Batida ID],L441)=0,"VÍNCULO INVÁLIDO",IF(COUNTIF(tblBatidas[Início vinculado],L441)&gt;1,"VÍNCULO DUPLICADO",IF(E441&lt;&gt;INDEX(tblBatidas[ID],MATCH(L441,tblBatidas[Batida ID],0)),"DIVERGÊNCIA DE ID",IF(H441&lt;&gt;INDEX(tblBatidas[Projeto],MATCH(L441,tblBatidas[Batida ID],0)),"DIVERGÊNCIA DE PROJETO",IF(I441&lt;&gt;INDEX(tblBatidas[Atividade],MATCH(L441,tblBatidas[Batida ID],0)),"DIVERGÊNCIA DE ATIVIDADE",IF(OR(B441&lt;=INDEX(tblBatidas[Data e hora],MATCH(L441,tblBatidas[Batida ID],0)),(B441-INDEX(tblBatidas[Data e hora],MATCH(L441,tblBatidas[Batida ID],0)))*24&gt;16),"HORÁRIO INVÁLIDO","VINCULADO"))))))),"INÍCIO")</f>
        <v>VINCULADO</v>
      </c>
    </row>
    <row r="442" spans="1:13" hidden="1">
      <c r="A442" t="s">
        <v>1039</v>
      </c>
      <c r="B442" s="21">
        <v>46272.772268518522</v>
      </c>
      <c r="C442" s="2">
        <f t="shared" si="12"/>
        <v>46272</v>
      </c>
      <c r="D442" t="str">
        <f t="shared" si="13"/>
        <v>SEGUNDA-FEIRA</v>
      </c>
      <c r="E442">
        <v>1011</v>
      </c>
      <c r="F442" t="s">
        <v>54</v>
      </c>
      <c r="G442" t="s">
        <v>503</v>
      </c>
      <c r="H442" t="s">
        <v>80</v>
      </c>
      <c r="I442" t="s">
        <v>517</v>
      </c>
      <c r="K442" t="s">
        <v>501</v>
      </c>
      <c r="L442" s="9" t="s">
        <v>1031</v>
      </c>
      <c r="M442" t="str">
        <f>IF(G442="FIM",IF(L442="","SEM VÍNCULO",IF(COUNTIF(tblBatidas[Batida ID],L442)=0,"VÍNCULO INVÁLIDO",IF(COUNTIF(tblBatidas[Início vinculado],L442)&gt;1,"VÍNCULO DUPLICADO",IF(E442&lt;&gt;INDEX(tblBatidas[ID],MATCH(L442,tblBatidas[Batida ID],0)),"DIVERGÊNCIA DE ID",IF(H442&lt;&gt;INDEX(tblBatidas[Projeto],MATCH(L442,tblBatidas[Batida ID],0)),"DIVERGÊNCIA DE PROJETO",IF(I442&lt;&gt;INDEX(tblBatidas[Atividade],MATCH(L442,tblBatidas[Batida ID],0)),"DIVERGÊNCIA DE ATIVIDADE",IF(OR(B442&lt;=INDEX(tblBatidas[Data e hora],MATCH(L442,tblBatidas[Batida ID],0)),(B442-INDEX(tblBatidas[Data e hora],MATCH(L442,tblBatidas[Batida ID],0)))*24&gt;16),"HORÁRIO INVÁLIDO","VINCULADO"))))))),"INÍCIO")</f>
        <v>VINCULADO</v>
      </c>
    </row>
    <row r="443" spans="1:13" hidden="1">
      <c r="A443" t="s">
        <v>1040</v>
      </c>
      <c r="B443" s="21">
        <v>46272.778749999998</v>
      </c>
      <c r="C443" s="2">
        <f t="shared" si="12"/>
        <v>46272</v>
      </c>
      <c r="D443" t="str">
        <f t="shared" si="13"/>
        <v>SEGUNDA-FEIRA</v>
      </c>
      <c r="E443">
        <v>1013</v>
      </c>
      <c r="F443" t="s">
        <v>57</v>
      </c>
      <c r="G443" t="s">
        <v>503</v>
      </c>
      <c r="H443" t="s">
        <v>80</v>
      </c>
      <c r="I443" t="s">
        <v>517</v>
      </c>
      <c r="K443" t="s">
        <v>501</v>
      </c>
      <c r="L443" s="9" t="s">
        <v>1033</v>
      </c>
      <c r="M443" t="str">
        <f>IF(G443="FIM",IF(L443="","SEM VÍNCULO",IF(COUNTIF(tblBatidas[Batida ID],L443)=0,"VÍNCULO INVÁLIDO",IF(COUNTIF(tblBatidas[Início vinculado],L443)&gt;1,"VÍNCULO DUPLICADO",IF(E443&lt;&gt;INDEX(tblBatidas[ID],MATCH(L443,tblBatidas[Batida ID],0)),"DIVERGÊNCIA DE ID",IF(H443&lt;&gt;INDEX(tblBatidas[Projeto],MATCH(L443,tblBatidas[Batida ID],0)),"DIVERGÊNCIA DE PROJETO",IF(I443&lt;&gt;INDEX(tblBatidas[Atividade],MATCH(L443,tblBatidas[Batida ID],0)),"DIVERGÊNCIA DE ATIVIDADE",IF(OR(B443&lt;=INDEX(tblBatidas[Data e hora],MATCH(L443,tblBatidas[Batida ID],0)),(B443-INDEX(tblBatidas[Data e hora],MATCH(L443,tblBatidas[Batida ID],0)))*24&gt;16),"HORÁRIO INVÁLIDO","VINCULADO"))))))),"INÍCIO")</f>
        <v>VINCULADO</v>
      </c>
    </row>
    <row r="444" spans="1:13" hidden="1">
      <c r="A444" t="s">
        <v>1041</v>
      </c>
      <c r="B444" s="21">
        <v>46272.830081018517</v>
      </c>
      <c r="C444" s="2">
        <f t="shared" si="12"/>
        <v>46272</v>
      </c>
      <c r="D444" t="str">
        <f t="shared" si="13"/>
        <v>SEGUNDA-FEIRA</v>
      </c>
      <c r="E444">
        <v>1004</v>
      </c>
      <c r="F444" t="s">
        <v>47</v>
      </c>
      <c r="G444" t="s">
        <v>503</v>
      </c>
      <c r="H444" t="s">
        <v>74</v>
      </c>
      <c r="I444" t="s">
        <v>538</v>
      </c>
      <c r="K444" t="s">
        <v>501</v>
      </c>
      <c r="L444" s="9" t="s">
        <v>1032</v>
      </c>
      <c r="M444" t="str">
        <f>IF(G444="FIM",IF(L444="","SEM VÍNCULO",IF(COUNTIF(tblBatidas[Batida ID],L444)=0,"VÍNCULO INVÁLIDO",IF(COUNTIF(tblBatidas[Início vinculado],L444)&gt;1,"VÍNCULO DUPLICADO",IF(E444&lt;&gt;INDEX(tblBatidas[ID],MATCH(L444,tblBatidas[Batida ID],0)),"DIVERGÊNCIA DE ID",IF(H444&lt;&gt;INDEX(tblBatidas[Projeto],MATCH(L444,tblBatidas[Batida ID],0)),"DIVERGÊNCIA DE PROJETO",IF(I444&lt;&gt;INDEX(tblBatidas[Atividade],MATCH(L444,tblBatidas[Batida ID],0)),"DIVERGÊNCIA DE ATIVIDADE",IF(OR(B444&lt;=INDEX(tblBatidas[Data e hora],MATCH(L444,tblBatidas[Batida ID],0)),(B444-INDEX(tblBatidas[Data e hora],MATCH(L444,tblBatidas[Batida ID],0)))*24&gt;16),"HORÁRIO INVÁLIDO","VINCULADO"))))))),"INÍCIO")</f>
        <v>VINCULADO</v>
      </c>
    </row>
    <row r="445" spans="1:13" hidden="1">
      <c r="A445" t="s">
        <v>1042</v>
      </c>
      <c r="B445" s="21">
        <v>46273.329768518517</v>
      </c>
      <c r="C445" s="2">
        <f t="shared" si="12"/>
        <v>46273</v>
      </c>
      <c r="D445" t="str">
        <f t="shared" si="13"/>
        <v>TERÇA-FEIRA</v>
      </c>
      <c r="E445">
        <v>1011</v>
      </c>
      <c r="F445" t="s">
        <v>54</v>
      </c>
      <c r="G445" t="s">
        <v>499</v>
      </c>
      <c r="H445" t="s">
        <v>74</v>
      </c>
      <c r="I445" t="s">
        <v>517</v>
      </c>
      <c r="K445" t="s">
        <v>501</v>
      </c>
      <c r="L445" s="9"/>
      <c r="M445" t="str">
        <f>IF(G445="FIM",IF(L445="","SEM VÍNCULO",IF(COUNTIF(tblBatidas[Batida ID],L445)=0,"VÍNCULO INVÁLIDO",IF(COUNTIF(tblBatidas[Início vinculado],L445)&gt;1,"VÍNCULO DUPLICADO",IF(E445&lt;&gt;INDEX(tblBatidas[ID],MATCH(L445,tblBatidas[Batida ID],0)),"DIVERGÊNCIA DE ID",IF(H445&lt;&gt;INDEX(tblBatidas[Projeto],MATCH(L445,tblBatidas[Batida ID],0)),"DIVERGÊNCIA DE PROJETO",IF(I445&lt;&gt;INDEX(tblBatidas[Atividade],MATCH(L445,tblBatidas[Batida ID],0)),"DIVERGÊNCIA DE ATIVIDADE",IF(OR(B445&lt;=INDEX(tblBatidas[Data e hora],MATCH(L445,tblBatidas[Batida ID],0)),(B445-INDEX(tblBatidas[Data e hora],MATCH(L445,tblBatidas[Batida ID],0)))*24&gt;16),"HORÁRIO INVÁLIDO","VINCULADO"))))))),"INÍCIO")</f>
        <v>INÍCIO</v>
      </c>
    </row>
    <row r="446" spans="1:13" hidden="1">
      <c r="A446" t="s">
        <v>1043</v>
      </c>
      <c r="B446" s="21">
        <v>46273.345868055556</v>
      </c>
      <c r="C446" s="2">
        <f t="shared" si="12"/>
        <v>46273</v>
      </c>
      <c r="D446" t="str">
        <f t="shared" si="13"/>
        <v>TERÇA-FEIRA</v>
      </c>
      <c r="E446">
        <v>1003</v>
      </c>
      <c r="F446" t="s">
        <v>46</v>
      </c>
      <c r="G446" t="s">
        <v>499</v>
      </c>
      <c r="H446" t="s">
        <v>80</v>
      </c>
      <c r="I446" t="s">
        <v>517</v>
      </c>
      <c r="K446" t="s">
        <v>501</v>
      </c>
      <c r="L446" s="9"/>
      <c r="M446" t="str">
        <f>IF(G446="FIM",IF(L446="","SEM VÍNCULO",IF(COUNTIF(tblBatidas[Batida ID],L446)=0,"VÍNCULO INVÁLIDO",IF(COUNTIF(tblBatidas[Início vinculado],L446)&gt;1,"VÍNCULO DUPLICADO",IF(E446&lt;&gt;INDEX(tblBatidas[ID],MATCH(L446,tblBatidas[Batida ID],0)),"DIVERGÊNCIA DE ID",IF(H446&lt;&gt;INDEX(tblBatidas[Projeto],MATCH(L446,tblBatidas[Batida ID],0)),"DIVERGÊNCIA DE PROJETO",IF(I446&lt;&gt;INDEX(tblBatidas[Atividade],MATCH(L446,tblBatidas[Batida ID],0)),"DIVERGÊNCIA DE ATIVIDADE",IF(OR(B446&lt;=INDEX(tblBatidas[Data e hora],MATCH(L446,tblBatidas[Batida ID],0)),(B446-INDEX(tblBatidas[Data e hora],MATCH(L446,tblBatidas[Batida ID],0)))*24&gt;16),"HORÁRIO INVÁLIDO","VINCULADO"))))))),"INÍCIO")</f>
        <v>INÍCIO</v>
      </c>
    </row>
    <row r="447" spans="1:13">
      <c r="A447" t="s">
        <v>1044</v>
      </c>
      <c r="B447" s="21">
        <v>46273.354155092595</v>
      </c>
      <c r="C447" s="2">
        <f t="shared" si="12"/>
        <v>46273</v>
      </c>
      <c r="D447" t="str">
        <f t="shared" si="13"/>
        <v>TERÇA-FEIRA</v>
      </c>
      <c r="E447">
        <v>1002</v>
      </c>
      <c r="F447" t="s">
        <v>45</v>
      </c>
      <c r="G447" t="s">
        <v>499</v>
      </c>
      <c r="H447" t="s">
        <v>80</v>
      </c>
      <c r="I447" t="s">
        <v>517</v>
      </c>
      <c r="K447" t="s">
        <v>501</v>
      </c>
      <c r="L447" s="9"/>
      <c r="M447" t="str">
        <f>IF(G447="FIM",IF(L447="","SEM VÍNCULO",IF(COUNTIF(tblBatidas[Batida ID],L447)=0,"VÍNCULO INVÁLIDO",IF(COUNTIF(tblBatidas[Início vinculado],L447)&gt;1,"VÍNCULO DUPLICADO",IF(E447&lt;&gt;INDEX(tblBatidas[ID],MATCH(L447,tblBatidas[Batida ID],0)),"DIVERGÊNCIA DE ID",IF(H447&lt;&gt;INDEX(tblBatidas[Projeto],MATCH(L447,tblBatidas[Batida ID],0)),"DIVERGÊNCIA DE PROJETO",IF(I447&lt;&gt;INDEX(tblBatidas[Atividade],MATCH(L447,tblBatidas[Batida ID],0)),"DIVERGÊNCIA DE ATIVIDADE",IF(OR(B447&lt;=INDEX(tblBatidas[Data e hora],MATCH(L447,tblBatidas[Batida ID],0)),(B447-INDEX(tblBatidas[Data e hora],MATCH(L447,tblBatidas[Batida ID],0)))*24&gt;16),"HORÁRIO INVÁLIDO","VINCULADO"))))))),"INÍCIO")</f>
        <v>INÍCIO</v>
      </c>
    </row>
    <row r="448" spans="1:13" hidden="1">
      <c r="A448" t="s">
        <v>1045</v>
      </c>
      <c r="B448" s="21">
        <v>46273.359814814816</v>
      </c>
      <c r="C448" s="2">
        <f t="shared" si="12"/>
        <v>46273</v>
      </c>
      <c r="D448" t="str">
        <f t="shared" si="13"/>
        <v>TERÇA-FEIRA</v>
      </c>
      <c r="E448">
        <v>1015</v>
      </c>
      <c r="F448" t="s">
        <v>59</v>
      </c>
      <c r="G448" t="s">
        <v>499</v>
      </c>
      <c r="H448" t="s">
        <v>84</v>
      </c>
      <c r="I448" t="s">
        <v>84</v>
      </c>
      <c r="K448" t="s">
        <v>501</v>
      </c>
      <c r="L448" s="9"/>
      <c r="M448" t="str">
        <f>IF(G448="FIM",IF(L448="","SEM VÍNCULO",IF(COUNTIF(tblBatidas[Batida ID],L448)=0,"VÍNCULO INVÁLIDO",IF(COUNTIF(tblBatidas[Início vinculado],L448)&gt;1,"VÍNCULO DUPLICADO",IF(E448&lt;&gt;INDEX(tblBatidas[ID],MATCH(L448,tblBatidas[Batida ID],0)),"DIVERGÊNCIA DE ID",IF(H448&lt;&gt;INDEX(tblBatidas[Projeto],MATCH(L448,tblBatidas[Batida ID],0)),"DIVERGÊNCIA DE PROJETO",IF(I448&lt;&gt;INDEX(tblBatidas[Atividade],MATCH(L448,tblBatidas[Batida ID],0)),"DIVERGÊNCIA DE ATIVIDADE",IF(OR(B448&lt;=INDEX(tblBatidas[Data e hora],MATCH(L448,tblBatidas[Batida ID],0)),(B448-INDEX(tblBatidas[Data e hora],MATCH(L448,tblBatidas[Batida ID],0)))*24&gt;16),"HORÁRIO INVÁLIDO","VINCULADO"))))))),"INÍCIO")</f>
        <v>INÍCIO</v>
      </c>
    </row>
    <row r="449" spans="1:13" hidden="1">
      <c r="A449" t="s">
        <v>1046</v>
      </c>
      <c r="B449" s="21">
        <v>46273.377974537034</v>
      </c>
      <c r="C449" s="2">
        <f t="shared" si="12"/>
        <v>46273</v>
      </c>
      <c r="D449" t="str">
        <f t="shared" si="13"/>
        <v>TERÇA-FEIRA</v>
      </c>
      <c r="E449">
        <v>1006</v>
      </c>
      <c r="F449" t="s">
        <v>49</v>
      </c>
      <c r="G449" t="s">
        <v>499</v>
      </c>
      <c r="H449" t="s">
        <v>86</v>
      </c>
      <c r="I449" t="s">
        <v>512</v>
      </c>
      <c r="J449" t="s">
        <v>1047</v>
      </c>
      <c r="K449" t="s">
        <v>501</v>
      </c>
      <c r="L449" s="9"/>
      <c r="M449" t="str">
        <f>IF(G449="FIM",IF(L449="","SEM VÍNCULO",IF(COUNTIF(tblBatidas[Batida ID],L449)=0,"VÍNCULO INVÁLIDO",IF(COUNTIF(tblBatidas[Início vinculado],L449)&gt;1,"VÍNCULO DUPLICADO",IF(E449&lt;&gt;INDEX(tblBatidas[ID],MATCH(L449,tblBatidas[Batida ID],0)),"DIVERGÊNCIA DE ID",IF(H449&lt;&gt;INDEX(tblBatidas[Projeto],MATCH(L449,tblBatidas[Batida ID],0)),"DIVERGÊNCIA DE PROJETO",IF(I449&lt;&gt;INDEX(tblBatidas[Atividade],MATCH(L449,tblBatidas[Batida ID],0)),"DIVERGÊNCIA DE ATIVIDADE",IF(OR(B449&lt;=INDEX(tblBatidas[Data e hora],MATCH(L449,tblBatidas[Batida ID],0)),(B449-INDEX(tblBatidas[Data e hora],MATCH(L449,tblBatidas[Batida ID],0)))*24&gt;16),"HORÁRIO INVÁLIDO","VINCULADO"))))))),"INÍCIO")</f>
        <v>INÍCIO</v>
      </c>
    </row>
    <row r="450" spans="1:13" hidden="1">
      <c r="A450" t="s">
        <v>1048</v>
      </c>
      <c r="B450" s="21">
        <v>46273.379618055558</v>
      </c>
      <c r="C450" s="2">
        <f t="shared" si="12"/>
        <v>46273</v>
      </c>
      <c r="D450" t="str">
        <f t="shared" si="13"/>
        <v>TERÇA-FEIRA</v>
      </c>
      <c r="E450">
        <v>1016</v>
      </c>
      <c r="F450" t="s">
        <v>60</v>
      </c>
      <c r="G450" t="s">
        <v>499</v>
      </c>
      <c r="H450" t="s">
        <v>70</v>
      </c>
      <c r="I450" t="s">
        <v>517</v>
      </c>
      <c r="K450" t="s">
        <v>501</v>
      </c>
      <c r="L450" s="9"/>
      <c r="M450" t="str">
        <f>IF(G450="FIM",IF(L450="","SEM VÍNCULO",IF(COUNTIF(tblBatidas[Batida ID],L450)=0,"VÍNCULO INVÁLIDO",IF(COUNTIF(tblBatidas[Início vinculado],L450)&gt;1,"VÍNCULO DUPLICADO",IF(E450&lt;&gt;INDEX(tblBatidas[ID],MATCH(L450,tblBatidas[Batida ID],0)),"DIVERGÊNCIA DE ID",IF(H450&lt;&gt;INDEX(tblBatidas[Projeto],MATCH(L450,tblBatidas[Batida ID],0)),"DIVERGÊNCIA DE PROJETO",IF(I450&lt;&gt;INDEX(tblBatidas[Atividade],MATCH(L450,tblBatidas[Batida ID],0)),"DIVERGÊNCIA DE ATIVIDADE",IF(OR(B450&lt;=INDEX(tblBatidas[Data e hora],MATCH(L450,tblBatidas[Batida ID],0)),(B450-INDEX(tblBatidas[Data e hora],MATCH(L450,tblBatidas[Batida ID],0)))*24&gt;16),"HORÁRIO INVÁLIDO","VINCULADO"))))))),"INÍCIO")</f>
        <v>INÍCIO</v>
      </c>
    </row>
    <row r="451" spans="1:13" hidden="1">
      <c r="A451" t="s">
        <v>1049</v>
      </c>
      <c r="B451" s="21">
        <v>46273.382800925923</v>
      </c>
      <c r="C451" s="2">
        <f t="shared" si="12"/>
        <v>46273</v>
      </c>
      <c r="D451" t="str">
        <f t="shared" si="13"/>
        <v>TERÇA-FEIRA</v>
      </c>
      <c r="E451">
        <v>1012</v>
      </c>
      <c r="F451" t="s">
        <v>55</v>
      </c>
      <c r="G451" t="s">
        <v>499</v>
      </c>
      <c r="H451" t="s">
        <v>74</v>
      </c>
      <c r="I451" t="s">
        <v>500</v>
      </c>
      <c r="J451" t="s">
        <v>1050</v>
      </c>
      <c r="K451" t="s">
        <v>501</v>
      </c>
      <c r="L451" s="9"/>
      <c r="M451" t="str">
        <f>IF(G451="FIM",IF(L451="","SEM VÍNCULO",IF(COUNTIF(tblBatidas[Batida ID],L451)=0,"VÍNCULO INVÁLIDO",IF(COUNTIF(tblBatidas[Início vinculado],L451)&gt;1,"VÍNCULO DUPLICADO",IF(E451&lt;&gt;INDEX(tblBatidas[ID],MATCH(L451,tblBatidas[Batida ID],0)),"DIVERGÊNCIA DE ID",IF(H451&lt;&gt;INDEX(tblBatidas[Projeto],MATCH(L451,tblBatidas[Batida ID],0)),"DIVERGÊNCIA DE PROJETO",IF(I451&lt;&gt;INDEX(tblBatidas[Atividade],MATCH(L451,tblBatidas[Batida ID],0)),"DIVERGÊNCIA DE ATIVIDADE",IF(OR(B451&lt;=INDEX(tblBatidas[Data e hora],MATCH(L451,tblBatidas[Batida ID],0)),(B451-INDEX(tblBatidas[Data e hora],MATCH(L451,tblBatidas[Batida ID],0)))*24&gt;16),"HORÁRIO INVÁLIDO","VINCULADO"))))))),"INÍCIO")</f>
        <v>INÍCIO</v>
      </c>
    </row>
    <row r="452" spans="1:13" hidden="1">
      <c r="A452" t="s">
        <v>1051</v>
      </c>
      <c r="B452" s="21">
        <v>46273.395416666666</v>
      </c>
      <c r="C452" s="2">
        <f t="shared" si="12"/>
        <v>46273</v>
      </c>
      <c r="D452" t="str">
        <f t="shared" si="13"/>
        <v>TERÇA-FEIRA</v>
      </c>
      <c r="E452">
        <v>1004</v>
      </c>
      <c r="F452" t="s">
        <v>47</v>
      </c>
      <c r="G452" t="s">
        <v>499</v>
      </c>
      <c r="H452" t="s">
        <v>72</v>
      </c>
      <c r="I452" t="s">
        <v>538</v>
      </c>
      <c r="J452" t="s">
        <v>1052</v>
      </c>
      <c r="K452" t="s">
        <v>501</v>
      </c>
      <c r="L452" s="9"/>
      <c r="M452" t="str">
        <f>IF(G452="FIM",IF(L452="","SEM VÍNCULO",IF(COUNTIF(tblBatidas[Batida ID],L452)=0,"VÍNCULO INVÁLIDO",IF(COUNTIF(tblBatidas[Início vinculado],L452)&gt;1,"VÍNCULO DUPLICADO",IF(E452&lt;&gt;INDEX(tblBatidas[ID],MATCH(L452,tblBatidas[Batida ID],0)),"DIVERGÊNCIA DE ID",IF(H452&lt;&gt;INDEX(tblBatidas[Projeto],MATCH(L452,tblBatidas[Batida ID],0)),"DIVERGÊNCIA DE PROJETO",IF(I452&lt;&gt;INDEX(tblBatidas[Atividade],MATCH(L452,tblBatidas[Batida ID],0)),"DIVERGÊNCIA DE ATIVIDADE",IF(OR(B452&lt;=INDEX(tblBatidas[Data e hora],MATCH(L452,tblBatidas[Batida ID],0)),(B452-INDEX(tblBatidas[Data e hora],MATCH(L452,tblBatidas[Batida ID],0)))*24&gt;16),"HORÁRIO INVÁLIDO","VINCULADO"))))))),"INÍCIO")</f>
        <v>INÍCIO</v>
      </c>
    </row>
    <row r="453" spans="1:13" hidden="1">
      <c r="A453" t="s">
        <v>1053</v>
      </c>
      <c r="B453" s="21">
        <v>46273.425486111111</v>
      </c>
      <c r="C453" s="2">
        <f t="shared" ref="C453:C516" si="14">IF(B453="","",INT(B453))</f>
        <v>46273</v>
      </c>
      <c r="D453" t="str">
        <f t="shared" ref="D453:D516" si="15">IF(C453="","",CHOOSE(WEEKDAY(C453,2),"SEGUNDA-FEIRA","TERÇA-FEIRA","QUARTA-FEIRA","QUINTA-FEIRA","SEXTA-FEIRA","SÁBADO","DOMINGO"))</f>
        <v>TERÇA-FEIRA</v>
      </c>
      <c r="E453">
        <v>1014</v>
      </c>
      <c r="F453" t="s">
        <v>58</v>
      </c>
      <c r="G453" t="s">
        <v>499</v>
      </c>
      <c r="H453" t="s">
        <v>72</v>
      </c>
      <c r="I453" t="s">
        <v>512</v>
      </c>
      <c r="K453" t="s">
        <v>501</v>
      </c>
      <c r="L453" s="9"/>
      <c r="M453" t="str">
        <f>IF(G453="FIM",IF(L453="","SEM VÍNCULO",IF(COUNTIF(tblBatidas[Batida ID],L453)=0,"VÍNCULO INVÁLIDO",IF(COUNTIF(tblBatidas[Início vinculado],L453)&gt;1,"VÍNCULO DUPLICADO",IF(E453&lt;&gt;INDEX(tblBatidas[ID],MATCH(L453,tblBatidas[Batida ID],0)),"DIVERGÊNCIA DE ID",IF(H453&lt;&gt;INDEX(tblBatidas[Projeto],MATCH(L453,tblBatidas[Batida ID],0)),"DIVERGÊNCIA DE PROJETO",IF(I453&lt;&gt;INDEX(tblBatidas[Atividade],MATCH(L453,tblBatidas[Batida ID],0)),"DIVERGÊNCIA DE ATIVIDADE",IF(OR(B453&lt;=INDEX(tblBatidas[Data e hora],MATCH(L453,tblBatidas[Batida ID],0)),(B453-INDEX(tblBatidas[Data e hora],MATCH(L453,tblBatidas[Batida ID],0)))*24&gt;16),"HORÁRIO INVÁLIDO","VINCULADO"))))))),"INÍCIO")</f>
        <v>INÍCIO</v>
      </c>
    </row>
    <row r="454" spans="1:13" hidden="1">
      <c r="A454" t="s">
        <v>1054</v>
      </c>
      <c r="B454" s="21">
        <v>46273.453530092593</v>
      </c>
      <c r="C454" s="2">
        <f t="shared" si="14"/>
        <v>46273</v>
      </c>
      <c r="D454" t="str">
        <f t="shared" si="15"/>
        <v>TERÇA-FEIRA</v>
      </c>
      <c r="E454">
        <v>1004</v>
      </c>
      <c r="F454" t="s">
        <v>47</v>
      </c>
      <c r="G454" t="s">
        <v>503</v>
      </c>
      <c r="H454" t="s">
        <v>72</v>
      </c>
      <c r="I454" t="s">
        <v>538</v>
      </c>
      <c r="K454" t="s">
        <v>501</v>
      </c>
      <c r="L454" s="9" t="s">
        <v>1051</v>
      </c>
      <c r="M454" t="str">
        <f>IF(G454="FIM",IF(L454="","SEM VÍNCULO",IF(COUNTIF(tblBatidas[Batida ID],L454)=0,"VÍNCULO INVÁLIDO",IF(COUNTIF(tblBatidas[Início vinculado],L454)&gt;1,"VÍNCULO DUPLICADO",IF(E454&lt;&gt;INDEX(tblBatidas[ID],MATCH(L454,tblBatidas[Batida ID],0)),"DIVERGÊNCIA DE ID",IF(H454&lt;&gt;INDEX(tblBatidas[Projeto],MATCH(L454,tblBatidas[Batida ID],0)),"DIVERGÊNCIA DE PROJETO",IF(I454&lt;&gt;INDEX(tblBatidas[Atividade],MATCH(L454,tblBatidas[Batida ID],0)),"DIVERGÊNCIA DE ATIVIDADE",IF(OR(B454&lt;=INDEX(tblBatidas[Data e hora],MATCH(L454,tblBatidas[Batida ID],0)),(B454-INDEX(tblBatidas[Data e hora],MATCH(L454,tblBatidas[Batida ID],0)))*24&gt;16),"HORÁRIO INVÁLIDO","VINCULADO"))))))),"INÍCIO")</f>
        <v>VINCULADO</v>
      </c>
    </row>
    <row r="455" spans="1:13" hidden="1">
      <c r="A455" t="s">
        <v>1055</v>
      </c>
      <c r="B455" s="21">
        <v>46273.454282407409</v>
      </c>
      <c r="C455" s="2">
        <f t="shared" si="14"/>
        <v>46273</v>
      </c>
      <c r="D455" t="str">
        <f t="shared" si="15"/>
        <v>TERÇA-FEIRA</v>
      </c>
      <c r="E455">
        <v>1004</v>
      </c>
      <c r="F455" t="s">
        <v>47</v>
      </c>
      <c r="G455" t="s">
        <v>499</v>
      </c>
      <c r="H455" t="s">
        <v>82</v>
      </c>
      <c r="I455" t="s">
        <v>538</v>
      </c>
      <c r="J455" t="s">
        <v>1056</v>
      </c>
      <c r="K455" t="s">
        <v>501</v>
      </c>
      <c r="L455" s="9"/>
      <c r="M455" t="str">
        <f>IF(G455="FIM",IF(L455="","SEM VÍNCULO",IF(COUNTIF(tblBatidas[Batida ID],L455)=0,"VÍNCULO INVÁLIDO",IF(COUNTIF(tblBatidas[Início vinculado],L455)&gt;1,"VÍNCULO DUPLICADO",IF(E455&lt;&gt;INDEX(tblBatidas[ID],MATCH(L455,tblBatidas[Batida ID],0)),"DIVERGÊNCIA DE ID",IF(H455&lt;&gt;INDEX(tblBatidas[Projeto],MATCH(L455,tblBatidas[Batida ID],0)),"DIVERGÊNCIA DE PROJETO",IF(I455&lt;&gt;INDEX(tblBatidas[Atividade],MATCH(L455,tblBatidas[Batida ID],0)),"DIVERGÊNCIA DE ATIVIDADE",IF(OR(B455&lt;=INDEX(tblBatidas[Data e hora],MATCH(L455,tblBatidas[Batida ID],0)),(B455-INDEX(tblBatidas[Data e hora],MATCH(L455,tblBatidas[Batida ID],0)))*24&gt;16),"HORÁRIO INVÁLIDO","VINCULADO"))))))),"INÍCIO")</f>
        <v>INÍCIO</v>
      </c>
    </row>
    <row r="456" spans="1:13" hidden="1">
      <c r="A456" t="s">
        <v>1057</v>
      </c>
      <c r="B456" s="21">
        <v>46273.499513888892</v>
      </c>
      <c r="C456" s="2">
        <f t="shared" si="14"/>
        <v>46273</v>
      </c>
      <c r="D456" t="str">
        <f t="shared" si="15"/>
        <v>TERÇA-FEIRA</v>
      </c>
      <c r="E456">
        <v>1003</v>
      </c>
      <c r="F456" t="s">
        <v>46</v>
      </c>
      <c r="G456" t="s">
        <v>503</v>
      </c>
      <c r="H456" t="s">
        <v>74</v>
      </c>
      <c r="I456" t="s">
        <v>517</v>
      </c>
      <c r="K456" t="s">
        <v>501</v>
      </c>
      <c r="L456" s="9"/>
      <c r="M456" t="str">
        <f>IF(G456="FIM",IF(L456="","SEM VÍNCULO",IF(COUNTIF(tblBatidas[Batida ID],L456)=0,"VÍNCULO INVÁLIDO",IF(COUNTIF(tblBatidas[Início vinculado],L456)&gt;1,"VÍNCULO DUPLICADO",IF(E456&lt;&gt;INDEX(tblBatidas[ID],MATCH(L456,tblBatidas[Batida ID],0)),"DIVERGÊNCIA DE ID",IF(H456&lt;&gt;INDEX(tblBatidas[Projeto],MATCH(L456,tblBatidas[Batida ID],0)),"DIVERGÊNCIA DE PROJETO",IF(I456&lt;&gt;INDEX(tblBatidas[Atividade],MATCH(L456,tblBatidas[Batida ID],0)),"DIVERGÊNCIA DE ATIVIDADE",IF(OR(B456&lt;=INDEX(tblBatidas[Data e hora],MATCH(L456,tblBatidas[Batida ID],0)),(B456-INDEX(tblBatidas[Data e hora],MATCH(L456,tblBatidas[Batida ID],0)))*24&gt;16),"HORÁRIO INVÁLIDO","VINCULADO"))))))),"INÍCIO")</f>
        <v>SEM VÍNCULO</v>
      </c>
    </row>
    <row r="457" spans="1:13" hidden="1">
      <c r="A457" t="s">
        <v>1058</v>
      </c>
      <c r="B457" s="21">
        <v>46273.50708333333</v>
      </c>
      <c r="C457" s="2">
        <f t="shared" si="14"/>
        <v>46273</v>
      </c>
      <c r="D457" t="str">
        <f t="shared" si="15"/>
        <v>TERÇA-FEIRA</v>
      </c>
      <c r="E457">
        <v>1004</v>
      </c>
      <c r="F457" t="s">
        <v>47</v>
      </c>
      <c r="G457" t="s">
        <v>503</v>
      </c>
      <c r="H457" t="s">
        <v>74</v>
      </c>
      <c r="I457" t="s">
        <v>517</v>
      </c>
      <c r="K457" t="s">
        <v>501</v>
      </c>
      <c r="L457" s="9"/>
      <c r="M457" t="str">
        <f>IF(G457="FIM",IF(L457="","SEM VÍNCULO",IF(COUNTIF(tblBatidas[Batida ID],L457)=0,"VÍNCULO INVÁLIDO",IF(COUNTIF(tblBatidas[Início vinculado],L457)&gt;1,"VÍNCULO DUPLICADO",IF(E457&lt;&gt;INDEX(tblBatidas[ID],MATCH(L457,tblBatidas[Batida ID],0)),"DIVERGÊNCIA DE ID",IF(H457&lt;&gt;INDEX(tblBatidas[Projeto],MATCH(L457,tblBatidas[Batida ID],0)),"DIVERGÊNCIA DE PROJETO",IF(I457&lt;&gt;INDEX(tblBatidas[Atividade],MATCH(L457,tblBatidas[Batida ID],0)),"DIVERGÊNCIA DE ATIVIDADE",IF(OR(B457&lt;=INDEX(tblBatidas[Data e hora],MATCH(L457,tblBatidas[Batida ID],0)),(B457-INDEX(tblBatidas[Data e hora],MATCH(L457,tblBatidas[Batida ID],0)))*24&gt;16),"HORÁRIO INVÁLIDO","VINCULADO"))))))),"INÍCIO")</f>
        <v>SEM VÍNCULO</v>
      </c>
    </row>
    <row r="458" spans="1:13" hidden="1">
      <c r="A458" t="s">
        <v>1059</v>
      </c>
      <c r="B458" s="21">
        <v>46273.507476851853</v>
      </c>
      <c r="C458" s="2">
        <f t="shared" si="14"/>
        <v>46273</v>
      </c>
      <c r="D458" t="str">
        <f t="shared" si="15"/>
        <v>TERÇA-FEIRA</v>
      </c>
      <c r="E458">
        <v>1004</v>
      </c>
      <c r="F458" t="s">
        <v>47</v>
      </c>
      <c r="G458" t="s">
        <v>503</v>
      </c>
      <c r="H458" t="s">
        <v>82</v>
      </c>
      <c r="I458" t="s">
        <v>538</v>
      </c>
      <c r="J458" t="s">
        <v>1056</v>
      </c>
      <c r="K458" t="s">
        <v>501</v>
      </c>
      <c r="L458" s="9" t="s">
        <v>1055</v>
      </c>
      <c r="M458" t="str">
        <f>IF(G458="FIM",IF(L458="","SEM VÍNCULO",IF(COUNTIF(tblBatidas[Batida ID],L458)=0,"VÍNCULO INVÁLIDO",IF(COUNTIF(tblBatidas[Início vinculado],L458)&gt;1,"VÍNCULO DUPLICADO",IF(E458&lt;&gt;INDEX(tblBatidas[ID],MATCH(L458,tblBatidas[Batida ID],0)),"DIVERGÊNCIA DE ID",IF(H458&lt;&gt;INDEX(tblBatidas[Projeto],MATCH(L458,tblBatidas[Batida ID],0)),"DIVERGÊNCIA DE PROJETO",IF(I458&lt;&gt;INDEX(tblBatidas[Atividade],MATCH(L458,tblBatidas[Batida ID],0)),"DIVERGÊNCIA DE ATIVIDADE",IF(OR(B458&lt;=INDEX(tblBatidas[Data e hora],MATCH(L458,tblBatidas[Batida ID],0)),(B458-INDEX(tblBatidas[Data e hora],MATCH(L458,tblBatidas[Batida ID],0)))*24&gt;16),"HORÁRIO INVÁLIDO","VINCULADO"))))))),"INÍCIO")</f>
        <v>VINCULADO</v>
      </c>
    </row>
    <row r="459" spans="1:13" hidden="1">
      <c r="A459" t="s">
        <v>1060</v>
      </c>
      <c r="B459" s="21">
        <v>46273.517824074072</v>
      </c>
      <c r="C459" s="2">
        <f t="shared" si="14"/>
        <v>46273</v>
      </c>
      <c r="D459" t="str">
        <f t="shared" si="15"/>
        <v>TERÇA-FEIRA</v>
      </c>
      <c r="E459">
        <v>1011</v>
      </c>
      <c r="F459" t="s">
        <v>54</v>
      </c>
      <c r="G459" t="s">
        <v>503</v>
      </c>
      <c r="H459" t="s">
        <v>74</v>
      </c>
      <c r="I459" t="s">
        <v>517</v>
      </c>
      <c r="K459" t="s">
        <v>501</v>
      </c>
      <c r="L459" s="9" t="s">
        <v>1042</v>
      </c>
      <c r="M459" t="str">
        <f>IF(G459="FIM",IF(L459="","SEM VÍNCULO",IF(COUNTIF(tblBatidas[Batida ID],L459)=0,"VÍNCULO INVÁLIDO",IF(COUNTIF(tblBatidas[Início vinculado],L459)&gt;1,"VÍNCULO DUPLICADO",IF(E459&lt;&gt;INDEX(tblBatidas[ID],MATCH(L459,tblBatidas[Batida ID],0)),"DIVERGÊNCIA DE ID",IF(H459&lt;&gt;INDEX(tblBatidas[Projeto],MATCH(L459,tblBatidas[Batida ID],0)),"DIVERGÊNCIA DE PROJETO",IF(I459&lt;&gt;INDEX(tblBatidas[Atividade],MATCH(L459,tblBatidas[Batida ID],0)),"DIVERGÊNCIA DE ATIVIDADE",IF(OR(B459&lt;=INDEX(tblBatidas[Data e hora],MATCH(L459,tblBatidas[Batida ID],0)),(B459-INDEX(tblBatidas[Data e hora],MATCH(L459,tblBatidas[Batida ID],0)))*24&gt;16),"HORÁRIO INVÁLIDO","VINCULADO"))))))),"INÍCIO")</f>
        <v>VINCULADO</v>
      </c>
    </row>
    <row r="460" spans="1:13">
      <c r="A460" t="s">
        <v>1061</v>
      </c>
      <c r="B460" s="21">
        <v>46273.518460648149</v>
      </c>
      <c r="C460" s="2">
        <f t="shared" si="14"/>
        <v>46273</v>
      </c>
      <c r="D460" t="str">
        <f t="shared" si="15"/>
        <v>TERÇA-FEIRA</v>
      </c>
      <c r="E460">
        <v>1002</v>
      </c>
      <c r="F460" t="s">
        <v>45</v>
      </c>
      <c r="G460" t="s">
        <v>503</v>
      </c>
      <c r="H460" t="s">
        <v>80</v>
      </c>
      <c r="I460" t="s">
        <v>517</v>
      </c>
      <c r="K460" t="s">
        <v>501</v>
      </c>
      <c r="L460" s="9" t="s">
        <v>1044</v>
      </c>
      <c r="M460" t="str">
        <f>IF(G460="FIM",IF(L460="","SEM VÍNCULO",IF(COUNTIF(tblBatidas[Batida ID],L460)=0,"VÍNCULO INVÁLIDO",IF(COUNTIF(tblBatidas[Início vinculado],L460)&gt;1,"VÍNCULO DUPLICADO",IF(E460&lt;&gt;INDEX(tblBatidas[ID],MATCH(L460,tblBatidas[Batida ID],0)),"DIVERGÊNCIA DE ID",IF(H460&lt;&gt;INDEX(tblBatidas[Projeto],MATCH(L460,tblBatidas[Batida ID],0)),"DIVERGÊNCIA DE PROJETO",IF(I460&lt;&gt;INDEX(tblBatidas[Atividade],MATCH(L460,tblBatidas[Batida ID],0)),"DIVERGÊNCIA DE ATIVIDADE",IF(OR(B460&lt;=INDEX(tblBatidas[Data e hora],MATCH(L460,tblBatidas[Batida ID],0)),(B460-INDEX(tblBatidas[Data e hora],MATCH(L460,tblBatidas[Batida ID],0)))*24&gt;16),"HORÁRIO INVÁLIDO","VINCULADO"))))))),"INÍCIO")</f>
        <v>VINCULADO</v>
      </c>
    </row>
    <row r="461" spans="1:13" hidden="1">
      <c r="A461" t="s">
        <v>1062</v>
      </c>
      <c r="B461" s="21">
        <v>46273.522650462961</v>
      </c>
      <c r="C461" s="2">
        <f t="shared" si="14"/>
        <v>46273</v>
      </c>
      <c r="D461" t="str">
        <f t="shared" si="15"/>
        <v>TERÇA-FEIRA</v>
      </c>
      <c r="E461">
        <v>1016</v>
      </c>
      <c r="F461" t="s">
        <v>60</v>
      </c>
      <c r="G461" t="s">
        <v>503</v>
      </c>
      <c r="H461" t="s">
        <v>70</v>
      </c>
      <c r="I461" t="s">
        <v>517</v>
      </c>
      <c r="K461" t="s">
        <v>501</v>
      </c>
      <c r="L461" s="9" t="s">
        <v>1048</v>
      </c>
      <c r="M461" t="str">
        <f>IF(G461="FIM",IF(L461="","SEM VÍNCULO",IF(COUNTIF(tblBatidas[Batida ID],L461)=0,"VÍNCULO INVÁLIDO",IF(COUNTIF(tblBatidas[Início vinculado],L461)&gt;1,"VÍNCULO DUPLICADO",IF(E461&lt;&gt;INDEX(tblBatidas[ID],MATCH(L461,tblBatidas[Batida ID],0)),"DIVERGÊNCIA DE ID",IF(H461&lt;&gt;INDEX(tblBatidas[Projeto],MATCH(L461,tblBatidas[Batida ID],0)),"DIVERGÊNCIA DE PROJETO",IF(I461&lt;&gt;INDEX(tblBatidas[Atividade],MATCH(L461,tblBatidas[Batida ID],0)),"DIVERGÊNCIA DE ATIVIDADE",IF(OR(B461&lt;=INDEX(tblBatidas[Data e hora],MATCH(L461,tblBatidas[Batida ID],0)),(B461-INDEX(tblBatidas[Data e hora],MATCH(L461,tblBatidas[Batida ID],0)))*24&gt;16),"HORÁRIO INVÁLIDO","VINCULADO"))))))),"INÍCIO")</f>
        <v>VINCULADO</v>
      </c>
    </row>
    <row r="462" spans="1:13" hidden="1">
      <c r="A462" t="s">
        <v>1063</v>
      </c>
      <c r="B462" s="21">
        <v>46273.535960648151</v>
      </c>
      <c r="C462" s="2">
        <f t="shared" si="14"/>
        <v>46273</v>
      </c>
      <c r="D462" t="str">
        <f t="shared" si="15"/>
        <v>TERÇA-FEIRA</v>
      </c>
      <c r="E462">
        <v>1012</v>
      </c>
      <c r="F462" t="s">
        <v>55</v>
      </c>
      <c r="G462" t="s">
        <v>503</v>
      </c>
      <c r="H462" t="s">
        <v>74</v>
      </c>
      <c r="I462" t="s">
        <v>500</v>
      </c>
      <c r="K462" t="s">
        <v>501</v>
      </c>
      <c r="L462" s="9" t="s">
        <v>1049</v>
      </c>
      <c r="M462" t="str">
        <f>IF(G462="FIM",IF(L462="","SEM VÍNCULO",IF(COUNTIF(tblBatidas[Batida ID],L462)=0,"VÍNCULO INVÁLIDO",IF(COUNTIF(tblBatidas[Início vinculado],L462)&gt;1,"VÍNCULO DUPLICADO",IF(E462&lt;&gt;INDEX(tblBatidas[ID],MATCH(L462,tblBatidas[Batida ID],0)),"DIVERGÊNCIA DE ID",IF(H462&lt;&gt;INDEX(tblBatidas[Projeto],MATCH(L462,tblBatidas[Batida ID],0)),"DIVERGÊNCIA DE PROJETO",IF(I462&lt;&gt;INDEX(tblBatidas[Atividade],MATCH(L462,tblBatidas[Batida ID],0)),"DIVERGÊNCIA DE ATIVIDADE",IF(OR(B462&lt;=INDEX(tblBatidas[Data e hora],MATCH(L462,tblBatidas[Batida ID],0)),(B462-INDEX(tblBatidas[Data e hora],MATCH(L462,tblBatidas[Batida ID],0)))*24&gt;16),"HORÁRIO INVÁLIDO","VINCULADO"))))))),"INÍCIO")</f>
        <v>VINCULADO</v>
      </c>
    </row>
    <row r="463" spans="1:13" hidden="1">
      <c r="A463" t="s">
        <v>1064</v>
      </c>
      <c r="B463" s="21">
        <v>46273.537523148145</v>
      </c>
      <c r="C463" s="2">
        <f t="shared" si="14"/>
        <v>46273</v>
      </c>
      <c r="D463" t="str">
        <f t="shared" si="15"/>
        <v>TERÇA-FEIRA</v>
      </c>
      <c r="E463">
        <v>1015</v>
      </c>
      <c r="F463" t="s">
        <v>59</v>
      </c>
      <c r="G463" t="s">
        <v>503</v>
      </c>
      <c r="H463" t="s">
        <v>84</v>
      </c>
      <c r="I463" t="s">
        <v>84</v>
      </c>
      <c r="K463" t="s">
        <v>501</v>
      </c>
      <c r="L463" s="9" t="s">
        <v>1045</v>
      </c>
      <c r="M463" t="str">
        <f>IF(G463="FIM",IF(L463="","SEM VÍNCULO",IF(COUNTIF(tblBatidas[Batida ID],L463)=0,"VÍNCULO INVÁLIDO",IF(COUNTIF(tblBatidas[Início vinculado],L463)&gt;1,"VÍNCULO DUPLICADO",IF(E463&lt;&gt;INDEX(tblBatidas[ID],MATCH(L463,tblBatidas[Batida ID],0)),"DIVERGÊNCIA DE ID",IF(H463&lt;&gt;INDEX(tblBatidas[Projeto],MATCH(L463,tblBatidas[Batida ID],0)),"DIVERGÊNCIA DE PROJETO",IF(I463&lt;&gt;INDEX(tblBatidas[Atividade],MATCH(L463,tblBatidas[Batida ID],0)),"DIVERGÊNCIA DE ATIVIDADE",IF(OR(B463&lt;=INDEX(tblBatidas[Data e hora],MATCH(L463,tblBatidas[Batida ID],0)),(B463-INDEX(tblBatidas[Data e hora],MATCH(L463,tblBatidas[Batida ID],0)))*24&gt;16),"HORÁRIO INVÁLIDO","VINCULADO"))))))),"INÍCIO")</f>
        <v>VINCULADO</v>
      </c>
    </row>
    <row r="464" spans="1:13" hidden="1">
      <c r="A464" t="s">
        <v>1065</v>
      </c>
      <c r="B464" s="21">
        <v>46273.539872685185</v>
      </c>
      <c r="C464" s="2">
        <f t="shared" si="14"/>
        <v>46273</v>
      </c>
      <c r="D464" t="str">
        <f t="shared" si="15"/>
        <v>TERÇA-FEIRA</v>
      </c>
      <c r="E464">
        <v>1011</v>
      </c>
      <c r="F464" t="s">
        <v>54</v>
      </c>
      <c r="G464" t="s">
        <v>499</v>
      </c>
      <c r="H464" t="s">
        <v>74</v>
      </c>
      <c r="I464" t="s">
        <v>517</v>
      </c>
      <c r="K464" t="s">
        <v>501</v>
      </c>
      <c r="L464" s="9"/>
      <c r="M464" t="str">
        <f>IF(G464="FIM",IF(L464="","SEM VÍNCULO",IF(COUNTIF(tblBatidas[Batida ID],L464)=0,"VÍNCULO INVÁLIDO",IF(COUNTIF(tblBatidas[Início vinculado],L464)&gt;1,"VÍNCULO DUPLICADO",IF(E464&lt;&gt;INDEX(tblBatidas[ID],MATCH(L464,tblBatidas[Batida ID],0)),"DIVERGÊNCIA DE ID",IF(H464&lt;&gt;INDEX(tblBatidas[Projeto],MATCH(L464,tblBatidas[Batida ID],0)),"DIVERGÊNCIA DE PROJETO",IF(I464&lt;&gt;INDEX(tblBatidas[Atividade],MATCH(L464,tblBatidas[Batida ID],0)),"DIVERGÊNCIA DE ATIVIDADE",IF(OR(B464&lt;=INDEX(tblBatidas[Data e hora],MATCH(L464,tblBatidas[Batida ID],0)),(B464-INDEX(tblBatidas[Data e hora],MATCH(L464,tblBatidas[Batida ID],0)))*24&gt;16),"HORÁRIO INVÁLIDO","VINCULADO"))))))),"INÍCIO")</f>
        <v>INÍCIO</v>
      </c>
    </row>
    <row r="465" spans="1:13" hidden="1">
      <c r="A465" t="s">
        <v>1066</v>
      </c>
      <c r="B465" s="21">
        <v>46273.541678240741</v>
      </c>
      <c r="C465" s="2">
        <f t="shared" si="14"/>
        <v>46273</v>
      </c>
      <c r="D465" t="str">
        <f t="shared" si="15"/>
        <v>TERÇA-FEIRA</v>
      </c>
      <c r="E465">
        <v>1014</v>
      </c>
      <c r="F465" t="s">
        <v>58</v>
      </c>
      <c r="G465" t="s">
        <v>503</v>
      </c>
      <c r="H465" t="s">
        <v>72</v>
      </c>
      <c r="I465" t="s">
        <v>512</v>
      </c>
      <c r="K465" t="s">
        <v>501</v>
      </c>
      <c r="L465" s="9" t="s">
        <v>1053</v>
      </c>
      <c r="M465" t="str">
        <f>IF(G465="FIM",IF(L465="","SEM VÍNCULO",IF(COUNTIF(tblBatidas[Batida ID],L465)=0,"VÍNCULO INVÁLIDO",IF(COUNTIF(tblBatidas[Início vinculado],L465)&gt;1,"VÍNCULO DUPLICADO",IF(E465&lt;&gt;INDEX(tblBatidas[ID],MATCH(L465,tblBatidas[Batida ID],0)),"DIVERGÊNCIA DE ID",IF(H465&lt;&gt;INDEX(tblBatidas[Projeto],MATCH(L465,tblBatidas[Batida ID],0)),"DIVERGÊNCIA DE PROJETO",IF(I465&lt;&gt;INDEX(tblBatidas[Atividade],MATCH(L465,tblBatidas[Batida ID],0)),"DIVERGÊNCIA DE ATIVIDADE",IF(OR(B465&lt;=INDEX(tblBatidas[Data e hora],MATCH(L465,tblBatidas[Batida ID],0)),(B465-INDEX(tblBatidas[Data e hora],MATCH(L465,tblBatidas[Batida ID],0)))*24&gt;16),"HORÁRIO INVÁLIDO","VINCULADO"))))))),"INÍCIO")</f>
        <v>VINCULADO</v>
      </c>
    </row>
    <row r="466" spans="1:13" hidden="1">
      <c r="A466" t="s">
        <v>1067</v>
      </c>
      <c r="B466" s="21">
        <v>46273.558738425927</v>
      </c>
      <c r="C466" s="2">
        <f t="shared" si="14"/>
        <v>46273</v>
      </c>
      <c r="D466" t="str">
        <f t="shared" si="15"/>
        <v>TERÇA-FEIRA</v>
      </c>
      <c r="E466">
        <v>1003</v>
      </c>
      <c r="F466" t="s">
        <v>46</v>
      </c>
      <c r="G466" t="s">
        <v>499</v>
      </c>
      <c r="H466" t="s">
        <v>72</v>
      </c>
      <c r="I466" t="s">
        <v>517</v>
      </c>
      <c r="K466" t="s">
        <v>501</v>
      </c>
      <c r="L466" s="9"/>
      <c r="M466" t="str">
        <f>IF(G466="FIM",IF(L466="","SEM VÍNCULO",IF(COUNTIF(tblBatidas[Batida ID],L466)=0,"VÍNCULO INVÁLIDO",IF(COUNTIF(tblBatidas[Início vinculado],L466)&gt;1,"VÍNCULO DUPLICADO",IF(E466&lt;&gt;INDEX(tblBatidas[ID],MATCH(L466,tblBatidas[Batida ID],0)),"DIVERGÊNCIA DE ID",IF(H466&lt;&gt;INDEX(tblBatidas[Projeto],MATCH(L466,tblBatidas[Batida ID],0)),"DIVERGÊNCIA DE PROJETO",IF(I466&lt;&gt;INDEX(tblBatidas[Atividade],MATCH(L466,tblBatidas[Batida ID],0)),"DIVERGÊNCIA DE ATIVIDADE",IF(OR(B466&lt;=INDEX(tblBatidas[Data e hora],MATCH(L466,tblBatidas[Batida ID],0)),(B466-INDEX(tblBatidas[Data e hora],MATCH(L466,tblBatidas[Batida ID],0)))*24&gt;16),"HORÁRIO INVÁLIDO","VINCULADO"))))))),"INÍCIO")</f>
        <v>INÍCIO</v>
      </c>
    </row>
    <row r="467" spans="1:13">
      <c r="A467" t="s">
        <v>1068</v>
      </c>
      <c r="B467" s="21">
        <v>46273.564016203702</v>
      </c>
      <c r="C467" s="2">
        <f t="shared" si="14"/>
        <v>46273</v>
      </c>
      <c r="D467" t="str">
        <f t="shared" si="15"/>
        <v>TERÇA-FEIRA</v>
      </c>
      <c r="E467">
        <v>1002</v>
      </c>
      <c r="F467" t="s">
        <v>45</v>
      </c>
      <c r="G467" t="s">
        <v>499</v>
      </c>
      <c r="H467" t="s">
        <v>70</v>
      </c>
      <c r="I467" t="s">
        <v>517</v>
      </c>
      <c r="K467" t="s">
        <v>501</v>
      </c>
      <c r="L467" s="9"/>
      <c r="M467" t="str">
        <f>IF(G467="FIM",IF(L467="","SEM VÍNCULO",IF(COUNTIF(tblBatidas[Batida ID],L467)=0,"VÍNCULO INVÁLIDO",IF(COUNTIF(tblBatidas[Início vinculado],L467)&gt;1,"VÍNCULO DUPLICADO",IF(E467&lt;&gt;INDEX(tblBatidas[ID],MATCH(L467,tblBatidas[Batida ID],0)),"DIVERGÊNCIA DE ID",IF(H467&lt;&gt;INDEX(tblBatidas[Projeto],MATCH(L467,tblBatidas[Batida ID],0)),"DIVERGÊNCIA DE PROJETO",IF(I467&lt;&gt;INDEX(tblBatidas[Atividade],MATCH(L467,tblBatidas[Batida ID],0)),"DIVERGÊNCIA DE ATIVIDADE",IF(OR(B467&lt;=INDEX(tblBatidas[Data e hora],MATCH(L467,tblBatidas[Batida ID],0)),(B467-INDEX(tblBatidas[Data e hora],MATCH(L467,tblBatidas[Batida ID],0)))*24&gt;16),"HORÁRIO INVÁLIDO","VINCULADO"))))))),"INÍCIO")</f>
        <v>INÍCIO</v>
      </c>
    </row>
    <row r="468" spans="1:13" hidden="1">
      <c r="A468" t="s">
        <v>1069</v>
      </c>
      <c r="B468" s="21">
        <v>46273.574270833335</v>
      </c>
      <c r="C468" s="2">
        <f t="shared" si="14"/>
        <v>46273</v>
      </c>
      <c r="D468" t="str">
        <f t="shared" si="15"/>
        <v>TERÇA-FEIRA</v>
      </c>
      <c r="E468">
        <v>1016</v>
      </c>
      <c r="F468" t="s">
        <v>60</v>
      </c>
      <c r="G468" t="s">
        <v>499</v>
      </c>
      <c r="H468" t="s">
        <v>70</v>
      </c>
      <c r="I468" t="s">
        <v>517</v>
      </c>
      <c r="K468" t="s">
        <v>501</v>
      </c>
      <c r="L468" s="9"/>
      <c r="M468" t="str">
        <f>IF(G468="FIM",IF(L468="","SEM VÍNCULO",IF(COUNTIF(tblBatidas[Batida ID],L468)=0,"VÍNCULO INVÁLIDO",IF(COUNTIF(tblBatidas[Início vinculado],L468)&gt;1,"VÍNCULO DUPLICADO",IF(E468&lt;&gt;INDEX(tblBatidas[ID],MATCH(L468,tblBatidas[Batida ID],0)),"DIVERGÊNCIA DE ID",IF(H468&lt;&gt;INDEX(tblBatidas[Projeto],MATCH(L468,tblBatidas[Batida ID],0)),"DIVERGÊNCIA DE PROJETO",IF(I468&lt;&gt;INDEX(tblBatidas[Atividade],MATCH(L468,tblBatidas[Batida ID],0)),"DIVERGÊNCIA DE ATIVIDADE",IF(OR(B468&lt;=INDEX(tblBatidas[Data e hora],MATCH(L468,tblBatidas[Batida ID],0)),(B468-INDEX(tblBatidas[Data e hora],MATCH(L468,tblBatidas[Batida ID],0)))*24&gt;16),"HORÁRIO INVÁLIDO","VINCULADO"))))))),"INÍCIO")</f>
        <v>INÍCIO</v>
      </c>
    </row>
    <row r="469" spans="1:13" hidden="1">
      <c r="A469" t="s">
        <v>1070</v>
      </c>
      <c r="B469" s="21">
        <v>46273.575243055559</v>
      </c>
      <c r="C469" s="2">
        <f t="shared" si="14"/>
        <v>46273</v>
      </c>
      <c r="D469" t="str">
        <f t="shared" si="15"/>
        <v>TERÇA-FEIRA</v>
      </c>
      <c r="E469">
        <v>1012</v>
      </c>
      <c r="F469" t="s">
        <v>55</v>
      </c>
      <c r="G469" t="s">
        <v>499</v>
      </c>
      <c r="H469" t="s">
        <v>74</v>
      </c>
      <c r="I469" t="s">
        <v>500</v>
      </c>
      <c r="K469" t="s">
        <v>501</v>
      </c>
      <c r="L469" s="9"/>
      <c r="M469" t="str">
        <f>IF(G469="FIM",IF(L469="","SEM VÍNCULO",IF(COUNTIF(tblBatidas[Batida ID],L469)=0,"VÍNCULO INVÁLIDO",IF(COUNTIF(tblBatidas[Início vinculado],L469)&gt;1,"VÍNCULO DUPLICADO",IF(E469&lt;&gt;INDEX(tblBatidas[ID],MATCH(L469,tblBatidas[Batida ID],0)),"DIVERGÊNCIA DE ID",IF(H469&lt;&gt;INDEX(tblBatidas[Projeto],MATCH(L469,tblBatidas[Batida ID],0)),"DIVERGÊNCIA DE PROJETO",IF(I469&lt;&gt;INDEX(tblBatidas[Atividade],MATCH(L469,tblBatidas[Batida ID],0)),"DIVERGÊNCIA DE ATIVIDADE",IF(OR(B469&lt;=INDEX(tblBatidas[Data e hora],MATCH(L469,tblBatidas[Batida ID],0)),(B469-INDEX(tblBatidas[Data e hora],MATCH(L469,tblBatidas[Batida ID],0)))*24&gt;16),"HORÁRIO INVÁLIDO","VINCULADO"))))))),"INÍCIO")</f>
        <v>INÍCIO</v>
      </c>
    </row>
    <row r="470" spans="1:13" hidden="1">
      <c r="A470" t="s">
        <v>1071</v>
      </c>
      <c r="B470" s="21">
        <v>46273.578356481485</v>
      </c>
      <c r="C470" s="2">
        <f t="shared" si="14"/>
        <v>46273</v>
      </c>
      <c r="D470" t="str">
        <f t="shared" si="15"/>
        <v>TERÇA-FEIRA</v>
      </c>
      <c r="E470">
        <v>1015</v>
      </c>
      <c r="F470" t="s">
        <v>59</v>
      </c>
      <c r="G470" t="s">
        <v>499</v>
      </c>
      <c r="H470" t="s">
        <v>84</v>
      </c>
      <c r="I470" t="s">
        <v>84</v>
      </c>
      <c r="K470" t="s">
        <v>501</v>
      </c>
      <c r="L470" s="9"/>
      <c r="M470" t="str">
        <f>IF(G470="FIM",IF(L470="","SEM VÍNCULO",IF(COUNTIF(tblBatidas[Batida ID],L470)=0,"VÍNCULO INVÁLIDO",IF(COUNTIF(tblBatidas[Início vinculado],L470)&gt;1,"VÍNCULO DUPLICADO",IF(E470&lt;&gt;INDEX(tblBatidas[ID],MATCH(L470,tblBatidas[Batida ID],0)),"DIVERGÊNCIA DE ID",IF(H470&lt;&gt;INDEX(tblBatidas[Projeto],MATCH(L470,tblBatidas[Batida ID],0)),"DIVERGÊNCIA DE PROJETO",IF(I470&lt;&gt;INDEX(tblBatidas[Atividade],MATCH(L470,tblBatidas[Batida ID],0)),"DIVERGÊNCIA DE ATIVIDADE",IF(OR(B470&lt;=INDEX(tblBatidas[Data e hora],MATCH(L470,tblBatidas[Batida ID],0)),(B470-INDEX(tblBatidas[Data e hora],MATCH(L470,tblBatidas[Batida ID],0)))*24&gt;16),"HORÁRIO INVÁLIDO","VINCULADO"))))))),"INÍCIO")</f>
        <v>INÍCIO</v>
      </c>
    </row>
    <row r="471" spans="1:13" hidden="1">
      <c r="A471" t="s">
        <v>1072</v>
      </c>
      <c r="B471" s="21">
        <v>46273.585590277777</v>
      </c>
      <c r="C471" s="2">
        <f t="shared" si="14"/>
        <v>46273</v>
      </c>
      <c r="D471" t="str">
        <f t="shared" si="15"/>
        <v>TERÇA-FEIRA</v>
      </c>
      <c r="E471">
        <v>1014</v>
      </c>
      <c r="F471" t="s">
        <v>58</v>
      </c>
      <c r="G471" t="s">
        <v>499</v>
      </c>
      <c r="H471" t="s">
        <v>76</v>
      </c>
      <c r="I471" t="s">
        <v>512</v>
      </c>
      <c r="K471" t="s">
        <v>501</v>
      </c>
      <c r="L471" s="9"/>
      <c r="M471" t="str">
        <f>IF(G471="FIM",IF(L471="","SEM VÍNCULO",IF(COUNTIF(tblBatidas[Batida ID],L471)=0,"VÍNCULO INVÁLIDO",IF(COUNTIF(tblBatidas[Início vinculado],L471)&gt;1,"VÍNCULO DUPLICADO",IF(E471&lt;&gt;INDEX(tblBatidas[ID],MATCH(L471,tblBatidas[Batida ID],0)),"DIVERGÊNCIA DE ID",IF(H471&lt;&gt;INDEX(tblBatidas[Projeto],MATCH(L471,tblBatidas[Batida ID],0)),"DIVERGÊNCIA DE PROJETO",IF(I471&lt;&gt;INDEX(tblBatidas[Atividade],MATCH(L471,tblBatidas[Batida ID],0)),"DIVERGÊNCIA DE ATIVIDADE",IF(OR(B471&lt;=INDEX(tblBatidas[Data e hora],MATCH(L471,tblBatidas[Batida ID],0)),(B471-INDEX(tblBatidas[Data e hora],MATCH(L471,tblBatidas[Batida ID],0)))*24&gt;16),"HORÁRIO INVÁLIDO","VINCULADO"))))))),"INÍCIO")</f>
        <v>INÍCIO</v>
      </c>
    </row>
    <row r="472" spans="1:13" hidden="1">
      <c r="A472" t="s">
        <v>1073</v>
      </c>
      <c r="B472" s="21">
        <v>46273.61577546296</v>
      </c>
      <c r="C472" s="2">
        <f t="shared" si="14"/>
        <v>46273</v>
      </c>
      <c r="D472" t="str">
        <f t="shared" si="15"/>
        <v>TERÇA-FEIRA</v>
      </c>
      <c r="E472">
        <v>1004</v>
      </c>
      <c r="F472" t="s">
        <v>47</v>
      </c>
      <c r="G472" t="s">
        <v>499</v>
      </c>
      <c r="H472" t="s">
        <v>74</v>
      </c>
      <c r="I472" t="s">
        <v>538</v>
      </c>
      <c r="K472" t="s">
        <v>501</v>
      </c>
      <c r="L472" s="9"/>
      <c r="M472" t="str">
        <f>IF(G472="FIM",IF(L472="","SEM VÍNCULO",IF(COUNTIF(tblBatidas[Batida ID],L472)=0,"VÍNCULO INVÁLIDO",IF(COUNTIF(tblBatidas[Início vinculado],L472)&gt;1,"VÍNCULO DUPLICADO",IF(E472&lt;&gt;INDEX(tblBatidas[ID],MATCH(L472,tblBatidas[Batida ID],0)),"DIVERGÊNCIA DE ID",IF(H472&lt;&gt;INDEX(tblBatidas[Projeto],MATCH(L472,tblBatidas[Batida ID],0)),"DIVERGÊNCIA DE PROJETO",IF(I472&lt;&gt;INDEX(tblBatidas[Atividade],MATCH(L472,tblBatidas[Batida ID],0)),"DIVERGÊNCIA DE ATIVIDADE",IF(OR(B472&lt;=INDEX(tblBatidas[Data e hora],MATCH(L472,tblBatidas[Batida ID],0)),(B472-INDEX(tblBatidas[Data e hora],MATCH(L472,tblBatidas[Batida ID],0)))*24&gt;16),"HORÁRIO INVÁLIDO","VINCULADO"))))))),"INÍCIO")</f>
        <v>INÍCIO</v>
      </c>
    </row>
    <row r="473" spans="1:13" hidden="1">
      <c r="A473" t="s">
        <v>1074</v>
      </c>
      <c r="B473" s="21">
        <v>46273.669976851852</v>
      </c>
      <c r="C473" s="2">
        <f t="shared" si="14"/>
        <v>46273</v>
      </c>
      <c r="D473" t="str">
        <f t="shared" si="15"/>
        <v>TERÇA-FEIRA</v>
      </c>
      <c r="E473">
        <v>1001</v>
      </c>
      <c r="F473" t="s">
        <v>43</v>
      </c>
      <c r="G473" t="s">
        <v>503</v>
      </c>
      <c r="H473" t="s">
        <v>72</v>
      </c>
      <c r="I473" t="s">
        <v>500</v>
      </c>
      <c r="J473" t="s">
        <v>1075</v>
      </c>
      <c r="K473" t="s">
        <v>501</v>
      </c>
      <c r="L473" s="9"/>
      <c r="M473" t="str">
        <f>IF(G473="FIM",IF(L473="","SEM VÍNCULO",IF(COUNTIF(tblBatidas[Batida ID],L473)=0,"VÍNCULO INVÁLIDO",IF(COUNTIF(tblBatidas[Início vinculado],L473)&gt;1,"VÍNCULO DUPLICADO",IF(E473&lt;&gt;INDEX(tblBatidas[ID],MATCH(L473,tblBatidas[Batida ID],0)),"DIVERGÊNCIA DE ID",IF(H473&lt;&gt;INDEX(tblBatidas[Projeto],MATCH(L473,tblBatidas[Batida ID],0)),"DIVERGÊNCIA DE PROJETO",IF(I473&lt;&gt;INDEX(tblBatidas[Atividade],MATCH(L473,tblBatidas[Batida ID],0)),"DIVERGÊNCIA DE ATIVIDADE",IF(OR(B473&lt;=INDEX(tblBatidas[Data e hora],MATCH(L473,tblBatidas[Batida ID],0)),(B473-INDEX(tblBatidas[Data e hora],MATCH(L473,tblBatidas[Batida ID],0)))*24&gt;16),"HORÁRIO INVÁLIDO","VINCULADO"))))))),"INÍCIO")</f>
        <v>SEM VÍNCULO</v>
      </c>
    </row>
    <row r="474" spans="1:13" hidden="1">
      <c r="A474" t="s">
        <v>1076</v>
      </c>
      <c r="B474" s="21">
        <v>46273.670138888891</v>
      </c>
      <c r="C474" s="2">
        <f t="shared" si="14"/>
        <v>46273</v>
      </c>
      <c r="D474" t="str">
        <f t="shared" si="15"/>
        <v>TERÇA-FEIRA</v>
      </c>
      <c r="E474">
        <v>1001</v>
      </c>
      <c r="F474" t="s">
        <v>43</v>
      </c>
      <c r="G474" t="s">
        <v>503</v>
      </c>
      <c r="H474" t="s">
        <v>72</v>
      </c>
      <c r="I474" t="s">
        <v>500</v>
      </c>
      <c r="J474" t="s">
        <v>1075</v>
      </c>
      <c r="K474" t="s">
        <v>501</v>
      </c>
      <c r="L474" s="9"/>
      <c r="M474" t="str">
        <f>IF(G474="FIM",IF(L474="","SEM VÍNCULO",IF(COUNTIF(tblBatidas[Batida ID],L474)=0,"VÍNCULO INVÁLIDO",IF(COUNTIF(tblBatidas[Início vinculado],L474)&gt;1,"VÍNCULO DUPLICADO",IF(E474&lt;&gt;INDEX(tblBatidas[ID],MATCH(L474,tblBatidas[Batida ID],0)),"DIVERGÊNCIA DE ID",IF(H474&lt;&gt;INDEX(tblBatidas[Projeto],MATCH(L474,tblBatidas[Batida ID],0)),"DIVERGÊNCIA DE PROJETO",IF(I474&lt;&gt;INDEX(tblBatidas[Atividade],MATCH(L474,tblBatidas[Batida ID],0)),"DIVERGÊNCIA DE ATIVIDADE",IF(OR(B474&lt;=INDEX(tblBatidas[Data e hora],MATCH(L474,tblBatidas[Batida ID],0)),(B474-INDEX(tblBatidas[Data e hora],MATCH(L474,tblBatidas[Batida ID],0)))*24&gt;16),"HORÁRIO INVÁLIDO","VINCULADO"))))))),"INÍCIO")</f>
        <v>SEM VÍNCULO</v>
      </c>
    </row>
    <row r="475" spans="1:13" hidden="1">
      <c r="A475" t="s">
        <v>1077</v>
      </c>
      <c r="B475" s="21">
        <v>46273.670810185184</v>
      </c>
      <c r="C475" s="2">
        <f t="shared" si="14"/>
        <v>46273</v>
      </c>
      <c r="D475" t="str">
        <f t="shared" si="15"/>
        <v>TERÇA-FEIRA</v>
      </c>
      <c r="E475">
        <v>1001</v>
      </c>
      <c r="F475" t="s">
        <v>43</v>
      </c>
      <c r="G475" t="s">
        <v>503</v>
      </c>
      <c r="H475" t="s">
        <v>72</v>
      </c>
      <c r="I475" t="s">
        <v>500</v>
      </c>
      <c r="J475" t="s">
        <v>1075</v>
      </c>
      <c r="K475" t="s">
        <v>501</v>
      </c>
      <c r="L475" s="9"/>
      <c r="M475" t="str">
        <f>IF(G475="FIM",IF(L475="","SEM VÍNCULO",IF(COUNTIF(tblBatidas[Batida ID],L475)=0,"VÍNCULO INVÁLIDO",IF(COUNTIF(tblBatidas[Início vinculado],L475)&gt;1,"VÍNCULO DUPLICADO",IF(E475&lt;&gt;INDEX(tblBatidas[ID],MATCH(L475,tblBatidas[Batida ID],0)),"DIVERGÊNCIA DE ID",IF(H475&lt;&gt;INDEX(tblBatidas[Projeto],MATCH(L475,tblBatidas[Batida ID],0)),"DIVERGÊNCIA DE PROJETO",IF(I475&lt;&gt;INDEX(tblBatidas[Atividade],MATCH(L475,tblBatidas[Batida ID],0)),"DIVERGÊNCIA DE ATIVIDADE",IF(OR(B475&lt;=INDEX(tblBatidas[Data e hora],MATCH(L475,tblBatidas[Batida ID],0)),(B475-INDEX(tblBatidas[Data e hora],MATCH(L475,tblBatidas[Batida ID],0)))*24&gt;16),"HORÁRIO INVÁLIDO","VINCULADO"))))))),"INÍCIO")</f>
        <v>SEM VÍNCULO</v>
      </c>
    </row>
    <row r="476" spans="1:13" hidden="1">
      <c r="A476" t="s">
        <v>1078</v>
      </c>
      <c r="B476" s="21">
        <v>46273.711435185185</v>
      </c>
      <c r="C476" s="2">
        <f t="shared" si="14"/>
        <v>46273</v>
      </c>
      <c r="D476" t="str">
        <f t="shared" si="15"/>
        <v>TERÇA-FEIRA</v>
      </c>
      <c r="E476">
        <v>1001</v>
      </c>
      <c r="F476" t="s">
        <v>43</v>
      </c>
      <c r="G476" t="s">
        <v>499</v>
      </c>
      <c r="H476" t="s">
        <v>72</v>
      </c>
      <c r="I476" t="s">
        <v>500</v>
      </c>
      <c r="J476" t="s">
        <v>1075</v>
      </c>
      <c r="K476" t="s">
        <v>501</v>
      </c>
      <c r="L476" s="9"/>
      <c r="M476" t="str">
        <f>IF(G476="FIM",IF(L476="","SEM VÍNCULO",IF(COUNTIF(tblBatidas[Batida ID],L476)=0,"VÍNCULO INVÁLIDO",IF(COUNTIF(tblBatidas[Início vinculado],L476)&gt;1,"VÍNCULO DUPLICADO",IF(E476&lt;&gt;INDEX(tblBatidas[ID],MATCH(L476,tblBatidas[Batida ID],0)),"DIVERGÊNCIA DE ID",IF(H476&lt;&gt;INDEX(tblBatidas[Projeto],MATCH(L476,tblBatidas[Batida ID],0)),"DIVERGÊNCIA DE PROJETO",IF(I476&lt;&gt;INDEX(tblBatidas[Atividade],MATCH(L476,tblBatidas[Batida ID],0)),"DIVERGÊNCIA DE ATIVIDADE",IF(OR(B476&lt;=INDEX(tblBatidas[Data e hora],MATCH(L476,tblBatidas[Batida ID],0)),(B476-INDEX(tblBatidas[Data e hora],MATCH(L476,tblBatidas[Batida ID],0)))*24&gt;16),"HORÁRIO INVÁLIDO","VINCULADO"))))))),"INÍCIO")</f>
        <v>INÍCIO</v>
      </c>
    </row>
    <row r="477" spans="1:13" hidden="1">
      <c r="A477" t="s">
        <v>1079</v>
      </c>
      <c r="B477" s="21">
        <v>46273.719594907408</v>
      </c>
      <c r="C477" s="2">
        <f t="shared" si="14"/>
        <v>46273</v>
      </c>
      <c r="D477" t="str">
        <f t="shared" si="15"/>
        <v>TERÇA-FEIRA</v>
      </c>
      <c r="E477">
        <v>1006</v>
      </c>
      <c r="F477" t="s">
        <v>49</v>
      </c>
      <c r="G477" t="s">
        <v>503</v>
      </c>
      <c r="H477" t="s">
        <v>86</v>
      </c>
      <c r="I477" t="s">
        <v>512</v>
      </c>
      <c r="J477" t="s">
        <v>1080</v>
      </c>
      <c r="K477" t="s">
        <v>501</v>
      </c>
      <c r="L477" s="9" t="s">
        <v>1046</v>
      </c>
      <c r="M477" t="str">
        <f>IF(G477="FIM",IF(L477="","SEM VÍNCULO",IF(COUNTIF(tblBatidas[Batida ID],L477)=0,"VÍNCULO INVÁLIDO",IF(COUNTIF(tblBatidas[Início vinculado],L477)&gt;1,"VÍNCULO DUPLICADO",IF(E477&lt;&gt;INDEX(tblBatidas[ID],MATCH(L477,tblBatidas[Batida ID],0)),"DIVERGÊNCIA DE ID",IF(H477&lt;&gt;INDEX(tblBatidas[Projeto],MATCH(L477,tblBatidas[Batida ID],0)),"DIVERGÊNCIA DE PROJETO",IF(I477&lt;&gt;INDEX(tblBatidas[Atividade],MATCH(L477,tblBatidas[Batida ID],0)),"DIVERGÊNCIA DE ATIVIDADE",IF(OR(B477&lt;=INDEX(tblBatidas[Data e hora],MATCH(L477,tblBatidas[Batida ID],0)),(B477-INDEX(tblBatidas[Data e hora],MATCH(L477,tblBatidas[Batida ID],0)))*24&gt;16),"HORÁRIO INVÁLIDO","VINCULADO"))))))),"INÍCIO")</f>
        <v>VINCULADO</v>
      </c>
    </row>
    <row r="478" spans="1:13" hidden="1">
      <c r="A478" t="s">
        <v>1081</v>
      </c>
      <c r="B478" s="21">
        <v>46273.741157407407</v>
      </c>
      <c r="C478" s="2">
        <f t="shared" si="14"/>
        <v>46273</v>
      </c>
      <c r="D478" t="str">
        <f t="shared" si="15"/>
        <v>TERÇA-FEIRA</v>
      </c>
      <c r="E478">
        <v>1015</v>
      </c>
      <c r="F478" t="s">
        <v>59</v>
      </c>
      <c r="G478" t="s">
        <v>503</v>
      </c>
      <c r="H478" t="s">
        <v>84</v>
      </c>
      <c r="I478" t="s">
        <v>84</v>
      </c>
      <c r="K478" t="s">
        <v>501</v>
      </c>
      <c r="L478" s="9" t="s">
        <v>1071</v>
      </c>
      <c r="M478" t="str">
        <f>IF(G478="FIM",IF(L478="","SEM VÍNCULO",IF(COUNTIF(tblBatidas[Batida ID],L478)=0,"VÍNCULO INVÁLIDO",IF(COUNTIF(tblBatidas[Início vinculado],L478)&gt;1,"VÍNCULO DUPLICADO",IF(E478&lt;&gt;INDEX(tblBatidas[ID],MATCH(L478,tblBatidas[Batida ID],0)),"DIVERGÊNCIA DE ID",IF(H478&lt;&gt;INDEX(tblBatidas[Projeto],MATCH(L478,tblBatidas[Batida ID],0)),"DIVERGÊNCIA DE PROJETO",IF(I478&lt;&gt;INDEX(tblBatidas[Atividade],MATCH(L478,tblBatidas[Batida ID],0)),"DIVERGÊNCIA DE ATIVIDADE",IF(OR(B478&lt;=INDEX(tblBatidas[Data e hora],MATCH(L478,tblBatidas[Batida ID],0)),(B478-INDEX(tblBatidas[Data e hora],MATCH(L478,tblBatidas[Batida ID],0)))*24&gt;16),"HORÁRIO INVÁLIDO","VINCULADO"))))))),"INÍCIO")</f>
        <v>VINCULADO</v>
      </c>
    </row>
    <row r="479" spans="1:13" hidden="1">
      <c r="A479" t="s">
        <v>1082</v>
      </c>
      <c r="B479" s="21">
        <v>46273.747025462966</v>
      </c>
      <c r="C479" s="2">
        <f t="shared" si="14"/>
        <v>46273</v>
      </c>
      <c r="D479" t="str">
        <f t="shared" si="15"/>
        <v>TERÇA-FEIRA</v>
      </c>
      <c r="E479">
        <v>1003</v>
      </c>
      <c r="F479" t="s">
        <v>46</v>
      </c>
      <c r="G479" t="s">
        <v>503</v>
      </c>
      <c r="H479" t="s">
        <v>80</v>
      </c>
      <c r="I479" t="s">
        <v>517</v>
      </c>
      <c r="K479" t="s">
        <v>501</v>
      </c>
      <c r="L479" s="9" t="s">
        <v>1043</v>
      </c>
      <c r="M479" t="str">
        <f>IF(G479="FIM",IF(L479="","SEM VÍNCULO",IF(COUNTIF(tblBatidas[Batida ID],L479)=0,"VÍNCULO INVÁLIDO",IF(COUNTIF(tblBatidas[Início vinculado],L479)&gt;1,"VÍNCULO DUPLICADO",IF(E479&lt;&gt;INDEX(tblBatidas[ID],MATCH(L479,tblBatidas[Batida ID],0)),"DIVERGÊNCIA DE ID",IF(H479&lt;&gt;INDEX(tblBatidas[Projeto],MATCH(L479,tblBatidas[Batida ID],0)),"DIVERGÊNCIA DE PROJETO",IF(I479&lt;&gt;INDEX(tblBatidas[Atividade],MATCH(L479,tblBatidas[Batida ID],0)),"DIVERGÊNCIA DE ATIVIDADE",IF(OR(B479&lt;=INDEX(tblBatidas[Data e hora],MATCH(L479,tblBatidas[Batida ID],0)),(B479-INDEX(tblBatidas[Data e hora],MATCH(L479,tblBatidas[Batida ID],0)))*24&gt;16),"HORÁRIO INVÁLIDO","VINCULADO"))))))),"INÍCIO")</f>
        <v>VINCULADO</v>
      </c>
    </row>
    <row r="480" spans="1:13">
      <c r="A480" t="s">
        <v>1083</v>
      </c>
      <c r="B480" s="21">
        <v>46273.74927083333</v>
      </c>
      <c r="C480" s="2">
        <f t="shared" si="14"/>
        <v>46273</v>
      </c>
      <c r="D480" t="str">
        <f t="shared" si="15"/>
        <v>TERÇA-FEIRA</v>
      </c>
      <c r="E480">
        <v>1002</v>
      </c>
      <c r="F480" t="s">
        <v>45</v>
      </c>
      <c r="G480" t="s">
        <v>503</v>
      </c>
      <c r="H480" t="s">
        <v>70</v>
      </c>
      <c r="I480" t="s">
        <v>517</v>
      </c>
      <c r="K480" t="s">
        <v>501</v>
      </c>
      <c r="L480" s="9" t="s">
        <v>1068</v>
      </c>
      <c r="M480" t="str">
        <f>IF(G480="FIM",IF(L480="","SEM VÍNCULO",IF(COUNTIF(tblBatidas[Batida ID],L480)=0,"VÍNCULO INVÁLIDO",IF(COUNTIF(tblBatidas[Início vinculado],L480)&gt;1,"VÍNCULO DUPLICADO",IF(E480&lt;&gt;INDEX(tblBatidas[ID],MATCH(L480,tblBatidas[Batida ID],0)),"DIVERGÊNCIA DE ID",IF(H480&lt;&gt;INDEX(tblBatidas[Projeto],MATCH(L480,tblBatidas[Batida ID],0)),"DIVERGÊNCIA DE PROJETO",IF(I480&lt;&gt;INDEX(tblBatidas[Atividade],MATCH(L480,tblBatidas[Batida ID],0)),"DIVERGÊNCIA DE ATIVIDADE",IF(OR(B480&lt;=INDEX(tblBatidas[Data e hora],MATCH(L480,tblBatidas[Batida ID],0)),(B480-INDEX(tblBatidas[Data e hora],MATCH(L480,tblBatidas[Batida ID],0)))*24&gt;16),"HORÁRIO INVÁLIDO","VINCULADO"))))))),"INÍCIO")</f>
        <v>VINCULADO</v>
      </c>
    </row>
    <row r="481" spans="1:13" hidden="1">
      <c r="A481" t="s">
        <v>1084</v>
      </c>
      <c r="B481" s="21">
        <v>46273.750393518516</v>
      </c>
      <c r="C481" s="2">
        <f t="shared" si="14"/>
        <v>46273</v>
      </c>
      <c r="D481" t="str">
        <f t="shared" si="15"/>
        <v>TERÇA-FEIRA</v>
      </c>
      <c r="E481">
        <v>1011</v>
      </c>
      <c r="F481" t="s">
        <v>54</v>
      </c>
      <c r="G481" t="s">
        <v>503</v>
      </c>
      <c r="H481" t="s">
        <v>74</v>
      </c>
      <c r="I481" t="s">
        <v>517</v>
      </c>
      <c r="K481" t="s">
        <v>501</v>
      </c>
      <c r="L481" s="9" t="s">
        <v>1065</v>
      </c>
      <c r="M481" t="str">
        <f>IF(G481="FIM",IF(L481="","SEM VÍNCULO",IF(COUNTIF(tblBatidas[Batida ID],L481)=0,"VÍNCULO INVÁLIDO",IF(COUNTIF(tblBatidas[Início vinculado],L481)&gt;1,"VÍNCULO DUPLICADO",IF(E481&lt;&gt;INDEX(tblBatidas[ID],MATCH(L481,tblBatidas[Batida ID],0)),"DIVERGÊNCIA DE ID",IF(H481&lt;&gt;INDEX(tblBatidas[Projeto],MATCH(L481,tblBatidas[Batida ID],0)),"DIVERGÊNCIA DE PROJETO",IF(I481&lt;&gt;INDEX(tblBatidas[Atividade],MATCH(L481,tblBatidas[Batida ID],0)),"DIVERGÊNCIA DE ATIVIDADE",IF(OR(B481&lt;=INDEX(tblBatidas[Data e hora],MATCH(L481,tblBatidas[Batida ID],0)),(B481-INDEX(tblBatidas[Data e hora],MATCH(L481,tblBatidas[Batida ID],0)))*24&gt;16),"HORÁRIO INVÁLIDO","VINCULADO"))))))),"INÍCIO")</f>
        <v>VINCULADO</v>
      </c>
    </row>
    <row r="482" spans="1:13" hidden="1">
      <c r="A482" t="s">
        <v>1085</v>
      </c>
      <c r="B482" s="21">
        <v>46273.759652777779</v>
      </c>
      <c r="C482" s="2">
        <f t="shared" si="14"/>
        <v>46273</v>
      </c>
      <c r="D482" t="str">
        <f t="shared" si="15"/>
        <v>TERÇA-FEIRA</v>
      </c>
      <c r="E482">
        <v>1012</v>
      </c>
      <c r="F482" t="s">
        <v>55</v>
      </c>
      <c r="G482" t="s">
        <v>503</v>
      </c>
      <c r="H482" t="s">
        <v>74</v>
      </c>
      <c r="I482" t="s">
        <v>500</v>
      </c>
      <c r="J482" t="s">
        <v>1086</v>
      </c>
      <c r="K482" t="s">
        <v>501</v>
      </c>
      <c r="L482" s="9" t="s">
        <v>1070</v>
      </c>
      <c r="M482" t="str">
        <f>IF(G482="FIM",IF(L482="","SEM VÍNCULO",IF(COUNTIF(tblBatidas[Batida ID],L482)=0,"VÍNCULO INVÁLIDO",IF(COUNTIF(tblBatidas[Início vinculado],L482)&gt;1,"VÍNCULO DUPLICADO",IF(E482&lt;&gt;INDEX(tblBatidas[ID],MATCH(L482,tblBatidas[Batida ID],0)),"DIVERGÊNCIA DE ID",IF(H482&lt;&gt;INDEX(tblBatidas[Projeto],MATCH(L482,tblBatidas[Batida ID],0)),"DIVERGÊNCIA DE PROJETO",IF(I482&lt;&gt;INDEX(tblBatidas[Atividade],MATCH(L482,tblBatidas[Batida ID],0)),"DIVERGÊNCIA DE ATIVIDADE",IF(OR(B482&lt;=INDEX(tblBatidas[Data e hora],MATCH(L482,tblBatidas[Batida ID],0)),(B482-INDEX(tblBatidas[Data e hora],MATCH(L482,tblBatidas[Batida ID],0)))*24&gt;16),"HORÁRIO INVÁLIDO","VINCULADO"))))))),"INÍCIO")</f>
        <v>VINCULADO</v>
      </c>
    </row>
    <row r="483" spans="1:13" hidden="1">
      <c r="A483" t="s">
        <v>1087</v>
      </c>
      <c r="B483" s="21">
        <v>46273.760694444441</v>
      </c>
      <c r="C483" s="2">
        <f t="shared" si="14"/>
        <v>46273</v>
      </c>
      <c r="D483" t="str">
        <f t="shared" si="15"/>
        <v>TERÇA-FEIRA</v>
      </c>
      <c r="E483">
        <v>1014</v>
      </c>
      <c r="F483" t="s">
        <v>58</v>
      </c>
      <c r="G483" t="s">
        <v>503</v>
      </c>
      <c r="H483" t="s">
        <v>76</v>
      </c>
      <c r="I483" t="s">
        <v>512</v>
      </c>
      <c r="J483" t="s">
        <v>1086</v>
      </c>
      <c r="K483" t="s">
        <v>501</v>
      </c>
      <c r="L483" s="9" t="s">
        <v>1072</v>
      </c>
      <c r="M483" t="str">
        <f>IF(G483="FIM",IF(L483="","SEM VÍNCULO",IF(COUNTIF(tblBatidas[Batida ID],L483)=0,"VÍNCULO INVÁLIDO",IF(COUNTIF(tblBatidas[Início vinculado],L483)&gt;1,"VÍNCULO DUPLICADO",IF(E483&lt;&gt;INDEX(tblBatidas[ID],MATCH(L483,tblBatidas[Batida ID],0)),"DIVERGÊNCIA DE ID",IF(H483&lt;&gt;INDEX(tblBatidas[Projeto],MATCH(L483,tblBatidas[Batida ID],0)),"DIVERGÊNCIA DE PROJETO",IF(I483&lt;&gt;INDEX(tblBatidas[Atividade],MATCH(L483,tblBatidas[Batida ID],0)),"DIVERGÊNCIA DE ATIVIDADE",IF(OR(B483&lt;=INDEX(tblBatidas[Data e hora],MATCH(L483,tblBatidas[Batida ID],0)),(B483-INDEX(tblBatidas[Data e hora],MATCH(L483,tblBatidas[Batida ID],0)))*24&gt;16),"HORÁRIO INVÁLIDO","VINCULADO"))))))),"INÍCIO")</f>
        <v>VINCULADO</v>
      </c>
    </row>
    <row r="484" spans="1:13" hidden="1">
      <c r="A484" t="s">
        <v>1088</v>
      </c>
      <c r="B484" s="21">
        <v>46273.762708333335</v>
      </c>
      <c r="C484" s="2">
        <f t="shared" si="14"/>
        <v>46273</v>
      </c>
      <c r="D484" t="str">
        <f t="shared" si="15"/>
        <v>TERÇA-FEIRA</v>
      </c>
      <c r="E484">
        <v>1016</v>
      </c>
      <c r="F484" t="s">
        <v>60</v>
      </c>
      <c r="G484" t="s">
        <v>503</v>
      </c>
      <c r="H484" t="s">
        <v>70</v>
      </c>
      <c r="I484" t="s">
        <v>517</v>
      </c>
      <c r="K484" t="s">
        <v>501</v>
      </c>
      <c r="L484" s="9" t="s">
        <v>1069</v>
      </c>
      <c r="M484" t="str">
        <f>IF(G484="FIM",IF(L484="","SEM VÍNCULO",IF(COUNTIF(tblBatidas[Batida ID],L484)=0,"VÍNCULO INVÁLIDO",IF(COUNTIF(tblBatidas[Início vinculado],L484)&gt;1,"VÍNCULO DUPLICADO",IF(E484&lt;&gt;INDEX(tblBatidas[ID],MATCH(L484,tblBatidas[Batida ID],0)),"DIVERGÊNCIA DE ID",IF(H484&lt;&gt;INDEX(tblBatidas[Projeto],MATCH(L484,tblBatidas[Batida ID],0)),"DIVERGÊNCIA DE PROJETO",IF(I484&lt;&gt;INDEX(tblBatidas[Atividade],MATCH(L484,tblBatidas[Batida ID],0)),"DIVERGÊNCIA DE ATIVIDADE",IF(OR(B484&lt;=INDEX(tblBatidas[Data e hora],MATCH(L484,tblBatidas[Batida ID],0)),(B484-INDEX(tblBatidas[Data e hora],MATCH(L484,tblBatidas[Batida ID],0)))*24&gt;16),"HORÁRIO INVÁLIDO","VINCULADO"))))))),"INÍCIO")</f>
        <v>VINCULADO</v>
      </c>
    </row>
    <row r="485" spans="1:13" hidden="1">
      <c r="A485" t="s">
        <v>1089</v>
      </c>
      <c r="B485" s="21">
        <v>46273.764525462961</v>
      </c>
      <c r="C485" s="2">
        <f t="shared" si="14"/>
        <v>46273</v>
      </c>
      <c r="D485" t="str">
        <f t="shared" si="15"/>
        <v>TERÇA-FEIRA</v>
      </c>
      <c r="E485">
        <v>1006</v>
      </c>
      <c r="F485" t="s">
        <v>49</v>
      </c>
      <c r="G485" t="s">
        <v>499</v>
      </c>
      <c r="H485" t="s">
        <v>86</v>
      </c>
      <c r="I485" t="s">
        <v>512</v>
      </c>
      <c r="J485" t="s">
        <v>1090</v>
      </c>
      <c r="K485" t="s">
        <v>501</v>
      </c>
      <c r="L485" s="9"/>
      <c r="M485" t="str">
        <f>IF(G485="FIM",IF(L485="","SEM VÍNCULO",IF(COUNTIF(tblBatidas[Batida ID],L485)=0,"VÍNCULO INVÁLIDO",IF(COUNTIF(tblBatidas[Início vinculado],L485)&gt;1,"VÍNCULO DUPLICADO",IF(E485&lt;&gt;INDEX(tblBatidas[ID],MATCH(L485,tblBatidas[Batida ID],0)),"DIVERGÊNCIA DE ID",IF(H485&lt;&gt;INDEX(tblBatidas[Projeto],MATCH(L485,tblBatidas[Batida ID],0)),"DIVERGÊNCIA DE PROJETO",IF(I485&lt;&gt;INDEX(tblBatidas[Atividade],MATCH(L485,tblBatidas[Batida ID],0)),"DIVERGÊNCIA DE ATIVIDADE",IF(OR(B485&lt;=INDEX(tblBatidas[Data e hora],MATCH(L485,tblBatidas[Batida ID],0)),(B485-INDEX(tblBatidas[Data e hora],MATCH(L485,tblBatidas[Batida ID],0)))*24&gt;16),"HORÁRIO INVÁLIDO","VINCULADO"))))))),"INÍCIO")</f>
        <v>INÍCIO</v>
      </c>
    </row>
    <row r="486" spans="1:13" hidden="1">
      <c r="A486" t="s">
        <v>1091</v>
      </c>
      <c r="B486" s="21">
        <v>46273.776736111111</v>
      </c>
      <c r="C486" s="2">
        <f t="shared" si="14"/>
        <v>46273</v>
      </c>
      <c r="D486" t="str">
        <f t="shared" si="15"/>
        <v>TERÇA-FEIRA</v>
      </c>
      <c r="E486">
        <v>1004</v>
      </c>
      <c r="F486" t="s">
        <v>47</v>
      </c>
      <c r="G486" t="s">
        <v>503</v>
      </c>
      <c r="H486" t="s">
        <v>74</v>
      </c>
      <c r="I486" t="s">
        <v>538</v>
      </c>
      <c r="K486" t="s">
        <v>501</v>
      </c>
      <c r="L486" s="9" t="s">
        <v>1073</v>
      </c>
      <c r="M486" t="str">
        <f>IF(G486="FIM",IF(L486="","SEM VÍNCULO",IF(COUNTIF(tblBatidas[Batida ID],L486)=0,"VÍNCULO INVÁLIDO",IF(COUNTIF(tblBatidas[Início vinculado],L486)&gt;1,"VÍNCULO DUPLICADO",IF(E486&lt;&gt;INDEX(tblBatidas[ID],MATCH(L486,tblBatidas[Batida ID],0)),"DIVERGÊNCIA DE ID",IF(H486&lt;&gt;INDEX(tblBatidas[Projeto],MATCH(L486,tblBatidas[Batida ID],0)),"DIVERGÊNCIA DE PROJETO",IF(I486&lt;&gt;INDEX(tblBatidas[Atividade],MATCH(L486,tblBatidas[Batida ID],0)),"DIVERGÊNCIA DE ATIVIDADE",IF(OR(B486&lt;=INDEX(tblBatidas[Data e hora],MATCH(L486,tblBatidas[Batida ID],0)),(B486-INDEX(tblBatidas[Data e hora],MATCH(L486,tblBatidas[Batida ID],0)))*24&gt;16),"HORÁRIO INVÁLIDO","VINCULADO"))))))),"INÍCIO")</f>
        <v>VINCULADO</v>
      </c>
    </row>
    <row r="487" spans="1:13" hidden="1">
      <c r="A487" t="s">
        <v>1092</v>
      </c>
      <c r="B487" s="21">
        <v>46273.823449074072</v>
      </c>
      <c r="C487" s="2">
        <f t="shared" si="14"/>
        <v>46273</v>
      </c>
      <c r="D487" t="str">
        <f t="shared" si="15"/>
        <v>TERÇA-FEIRA</v>
      </c>
      <c r="E487">
        <v>1004</v>
      </c>
      <c r="F487" t="s">
        <v>47</v>
      </c>
      <c r="G487" t="s">
        <v>499</v>
      </c>
      <c r="H487" t="s">
        <v>82</v>
      </c>
      <c r="I487" t="s">
        <v>538</v>
      </c>
      <c r="J487" t="s">
        <v>1056</v>
      </c>
      <c r="K487" t="s">
        <v>501</v>
      </c>
      <c r="L487" s="9"/>
      <c r="M487" t="str">
        <f>IF(G487="FIM",IF(L487="","SEM VÍNCULO",IF(COUNTIF(tblBatidas[Batida ID],L487)=0,"VÍNCULO INVÁLIDO",IF(COUNTIF(tblBatidas[Início vinculado],L487)&gt;1,"VÍNCULO DUPLICADO",IF(E487&lt;&gt;INDEX(tblBatidas[ID],MATCH(L487,tblBatidas[Batida ID],0)),"DIVERGÊNCIA DE ID",IF(H487&lt;&gt;INDEX(tblBatidas[Projeto],MATCH(L487,tblBatidas[Batida ID],0)),"DIVERGÊNCIA DE PROJETO",IF(I487&lt;&gt;INDEX(tblBatidas[Atividade],MATCH(L487,tblBatidas[Batida ID],0)),"DIVERGÊNCIA DE ATIVIDADE",IF(OR(B487&lt;=INDEX(tblBatidas[Data e hora],MATCH(L487,tblBatidas[Batida ID],0)),(B487-INDEX(tblBatidas[Data e hora],MATCH(L487,tblBatidas[Batida ID],0)))*24&gt;16),"HORÁRIO INVÁLIDO","VINCULADO"))))))),"INÍCIO")</f>
        <v>INÍCIO</v>
      </c>
    </row>
    <row r="488" spans="1:13" hidden="1">
      <c r="A488" t="s">
        <v>1093</v>
      </c>
      <c r="B488" s="21">
        <v>46273.902731481481</v>
      </c>
      <c r="C488" s="2">
        <f t="shared" si="14"/>
        <v>46273</v>
      </c>
      <c r="D488" t="str">
        <f t="shared" si="15"/>
        <v>TERÇA-FEIRA</v>
      </c>
      <c r="E488">
        <v>1006</v>
      </c>
      <c r="F488" t="s">
        <v>49</v>
      </c>
      <c r="G488" t="s">
        <v>503</v>
      </c>
      <c r="H488" t="s">
        <v>86</v>
      </c>
      <c r="I488" t="s">
        <v>512</v>
      </c>
      <c r="J488" t="s">
        <v>1080</v>
      </c>
      <c r="K488" t="s">
        <v>501</v>
      </c>
      <c r="L488" s="9" t="s">
        <v>1089</v>
      </c>
      <c r="M488" t="str">
        <f>IF(G488="FIM",IF(L488="","SEM VÍNCULO",IF(COUNTIF(tblBatidas[Batida ID],L488)=0,"VÍNCULO INVÁLIDO",IF(COUNTIF(tblBatidas[Início vinculado],L488)&gt;1,"VÍNCULO DUPLICADO",IF(E488&lt;&gt;INDEX(tblBatidas[ID],MATCH(L488,tblBatidas[Batida ID],0)),"DIVERGÊNCIA DE ID",IF(H488&lt;&gt;INDEX(tblBatidas[Projeto],MATCH(L488,tblBatidas[Batida ID],0)),"DIVERGÊNCIA DE PROJETO",IF(I488&lt;&gt;INDEX(tblBatidas[Atividade],MATCH(L488,tblBatidas[Batida ID],0)),"DIVERGÊNCIA DE ATIVIDADE",IF(OR(B488&lt;=INDEX(tblBatidas[Data e hora],MATCH(L488,tblBatidas[Batida ID],0)),(B488-INDEX(tblBatidas[Data e hora],MATCH(L488,tblBatidas[Batida ID],0)))*24&gt;16),"HORÁRIO INVÁLIDO","VINCULADO"))))))),"INÍCIO")</f>
        <v>VINCULADO</v>
      </c>
    </row>
    <row r="489" spans="1:13" hidden="1">
      <c r="A489" t="s">
        <v>1094</v>
      </c>
      <c r="B489" s="21">
        <v>46273.904733796298</v>
      </c>
      <c r="C489" s="2">
        <f t="shared" si="14"/>
        <v>46273</v>
      </c>
      <c r="D489" t="str">
        <f t="shared" si="15"/>
        <v>TERÇA-FEIRA</v>
      </c>
      <c r="E489">
        <v>1001</v>
      </c>
      <c r="F489" t="s">
        <v>43</v>
      </c>
      <c r="G489" t="s">
        <v>503</v>
      </c>
      <c r="H489" t="s">
        <v>72</v>
      </c>
      <c r="I489" t="s">
        <v>500</v>
      </c>
      <c r="J489" t="s">
        <v>1095</v>
      </c>
      <c r="K489" t="s">
        <v>501</v>
      </c>
      <c r="L489" s="9" t="s">
        <v>1078</v>
      </c>
      <c r="M489" t="str">
        <f>IF(G489="FIM",IF(L489="","SEM VÍNCULO",IF(COUNTIF(tblBatidas[Batida ID],L489)=0,"VÍNCULO INVÁLIDO",IF(COUNTIF(tblBatidas[Início vinculado],L489)&gt;1,"VÍNCULO DUPLICADO",IF(E489&lt;&gt;INDEX(tblBatidas[ID],MATCH(L489,tblBatidas[Batida ID],0)),"DIVERGÊNCIA DE ID",IF(H489&lt;&gt;INDEX(tblBatidas[Projeto],MATCH(L489,tblBatidas[Batida ID],0)),"DIVERGÊNCIA DE PROJETO",IF(I489&lt;&gt;INDEX(tblBatidas[Atividade],MATCH(L489,tblBatidas[Batida ID],0)),"DIVERGÊNCIA DE ATIVIDADE",IF(OR(B489&lt;=INDEX(tblBatidas[Data e hora],MATCH(L489,tblBatidas[Batida ID],0)),(B489-INDEX(tblBatidas[Data e hora],MATCH(L489,tblBatidas[Batida ID],0)))*24&gt;16),"HORÁRIO INVÁLIDO","VINCULADO"))))))),"INÍCIO")</f>
        <v>VINCULADO</v>
      </c>
    </row>
    <row r="490" spans="1:13" hidden="1">
      <c r="A490" t="s">
        <v>1096</v>
      </c>
      <c r="B490" s="21">
        <v>46273.92396990741</v>
      </c>
      <c r="C490" s="2">
        <f t="shared" si="14"/>
        <v>46273</v>
      </c>
      <c r="D490" t="str">
        <f t="shared" si="15"/>
        <v>TERÇA-FEIRA</v>
      </c>
      <c r="E490">
        <v>1004</v>
      </c>
      <c r="F490" t="s">
        <v>47</v>
      </c>
      <c r="G490" t="s">
        <v>503</v>
      </c>
      <c r="H490" t="s">
        <v>82</v>
      </c>
      <c r="I490" t="s">
        <v>538</v>
      </c>
      <c r="J490" t="s">
        <v>1097</v>
      </c>
      <c r="K490" t="s">
        <v>501</v>
      </c>
      <c r="L490" s="9" t="s">
        <v>1092</v>
      </c>
      <c r="M490" t="str">
        <f>IF(G490="FIM",IF(L490="","SEM VÍNCULO",IF(COUNTIF(tblBatidas[Batida ID],L490)=0,"VÍNCULO INVÁLIDO",IF(COUNTIF(tblBatidas[Início vinculado],L490)&gt;1,"VÍNCULO DUPLICADO",IF(E490&lt;&gt;INDEX(tblBatidas[ID],MATCH(L490,tblBatidas[Batida ID],0)),"DIVERGÊNCIA DE ID",IF(H490&lt;&gt;INDEX(tblBatidas[Projeto],MATCH(L490,tblBatidas[Batida ID],0)),"DIVERGÊNCIA DE PROJETO",IF(I490&lt;&gt;INDEX(tblBatidas[Atividade],MATCH(L490,tblBatidas[Batida ID],0)),"DIVERGÊNCIA DE ATIVIDADE",IF(OR(B490&lt;=INDEX(tblBatidas[Data e hora],MATCH(L490,tblBatidas[Batida ID],0)),(B490-INDEX(tblBatidas[Data e hora],MATCH(L490,tblBatidas[Batida ID],0)))*24&gt;16),"HORÁRIO INVÁLIDO","VINCULADO"))))))),"INÍCIO")</f>
        <v>VINCULADO</v>
      </c>
    </row>
    <row r="491" spans="1:13" hidden="1">
      <c r="A491" t="s">
        <v>1098</v>
      </c>
      <c r="B491" s="21">
        <v>46274.288148148145</v>
      </c>
      <c r="C491" s="2">
        <f t="shared" si="14"/>
        <v>46274</v>
      </c>
      <c r="D491" t="str">
        <f t="shared" si="15"/>
        <v>QUARTA-FEIRA</v>
      </c>
      <c r="E491">
        <v>1001</v>
      </c>
      <c r="F491" t="s">
        <v>43</v>
      </c>
      <c r="G491" t="s">
        <v>499</v>
      </c>
      <c r="H491" t="s">
        <v>72</v>
      </c>
      <c r="I491" t="s">
        <v>500</v>
      </c>
      <c r="J491" t="s">
        <v>1099</v>
      </c>
      <c r="K491" t="s">
        <v>501</v>
      </c>
      <c r="L491" s="9"/>
      <c r="M491" t="str">
        <f>IF(G491="FIM",IF(L491="","SEM VÍNCULO",IF(COUNTIF(tblBatidas[Batida ID],L491)=0,"VÍNCULO INVÁLIDO",IF(COUNTIF(tblBatidas[Início vinculado],L491)&gt;1,"VÍNCULO DUPLICADO",IF(E491&lt;&gt;INDEX(tblBatidas[ID],MATCH(L491,tblBatidas[Batida ID],0)),"DIVERGÊNCIA DE ID",IF(H491&lt;&gt;INDEX(tblBatidas[Projeto],MATCH(L491,tblBatidas[Batida ID],0)),"DIVERGÊNCIA DE PROJETO",IF(I491&lt;&gt;INDEX(tblBatidas[Atividade],MATCH(L491,tblBatidas[Batida ID],0)),"DIVERGÊNCIA DE ATIVIDADE",IF(OR(B491&lt;=INDEX(tblBatidas[Data e hora],MATCH(L491,tblBatidas[Batida ID],0)),(B491-INDEX(tblBatidas[Data e hora],MATCH(L491,tblBatidas[Batida ID],0)))*24&gt;16),"HORÁRIO INVÁLIDO","VINCULADO"))))))),"INÍCIO")</f>
        <v>INÍCIO</v>
      </c>
    </row>
    <row r="492" spans="1:13" hidden="1">
      <c r="A492" t="s">
        <v>1100</v>
      </c>
      <c r="B492" s="21">
        <v>46274.323506944442</v>
      </c>
      <c r="C492" s="2">
        <f t="shared" si="14"/>
        <v>46274</v>
      </c>
      <c r="D492" t="str">
        <f t="shared" si="15"/>
        <v>QUARTA-FEIRA</v>
      </c>
      <c r="E492">
        <v>1006</v>
      </c>
      <c r="F492" t="s">
        <v>49</v>
      </c>
      <c r="G492" t="s">
        <v>499</v>
      </c>
      <c r="H492" t="s">
        <v>86</v>
      </c>
      <c r="I492" t="s">
        <v>512</v>
      </c>
      <c r="J492" t="s">
        <v>1101</v>
      </c>
      <c r="K492" t="s">
        <v>501</v>
      </c>
      <c r="L492" s="9"/>
      <c r="M492" t="str">
        <f>IF(G492="FIM",IF(L492="","SEM VÍNCULO",IF(COUNTIF(tblBatidas[Batida ID],L492)=0,"VÍNCULO INVÁLIDO",IF(COUNTIF(tblBatidas[Início vinculado],L492)&gt;1,"VÍNCULO DUPLICADO",IF(E492&lt;&gt;INDEX(tblBatidas[ID],MATCH(L492,tblBatidas[Batida ID],0)),"DIVERGÊNCIA DE ID",IF(H492&lt;&gt;INDEX(tblBatidas[Projeto],MATCH(L492,tblBatidas[Batida ID],0)),"DIVERGÊNCIA DE PROJETO",IF(I492&lt;&gt;INDEX(tblBatidas[Atividade],MATCH(L492,tblBatidas[Batida ID],0)),"DIVERGÊNCIA DE ATIVIDADE",IF(OR(B492&lt;=INDEX(tblBatidas[Data e hora],MATCH(L492,tblBatidas[Batida ID],0)),(B492-INDEX(tblBatidas[Data e hora],MATCH(L492,tblBatidas[Batida ID],0)))*24&gt;16),"HORÁRIO INVÁLIDO","VINCULADO"))))))),"INÍCIO")</f>
        <v>INÍCIO</v>
      </c>
    </row>
    <row r="493" spans="1:13" hidden="1">
      <c r="A493" t="s">
        <v>1102</v>
      </c>
      <c r="B493" s="21">
        <v>46274.330775462964</v>
      </c>
      <c r="C493" s="2">
        <f t="shared" si="14"/>
        <v>46274</v>
      </c>
      <c r="D493" t="str">
        <f t="shared" si="15"/>
        <v>QUARTA-FEIRA</v>
      </c>
      <c r="E493">
        <v>1011</v>
      </c>
      <c r="F493" t="s">
        <v>54</v>
      </c>
      <c r="G493" t="s">
        <v>499</v>
      </c>
      <c r="H493" t="s">
        <v>74</v>
      </c>
      <c r="I493" t="s">
        <v>517</v>
      </c>
      <c r="K493" t="s">
        <v>501</v>
      </c>
      <c r="L493" s="9"/>
      <c r="M493" t="str">
        <f>IF(G493="FIM",IF(L493="","SEM VÍNCULO",IF(COUNTIF(tblBatidas[Batida ID],L493)=0,"VÍNCULO INVÁLIDO",IF(COUNTIF(tblBatidas[Início vinculado],L493)&gt;1,"VÍNCULO DUPLICADO",IF(E493&lt;&gt;INDEX(tblBatidas[ID],MATCH(L493,tblBatidas[Batida ID],0)),"DIVERGÊNCIA DE ID",IF(H493&lt;&gt;INDEX(tblBatidas[Projeto],MATCH(L493,tblBatidas[Batida ID],0)),"DIVERGÊNCIA DE PROJETO",IF(I493&lt;&gt;INDEX(tblBatidas[Atividade],MATCH(L493,tblBatidas[Batida ID],0)),"DIVERGÊNCIA DE ATIVIDADE",IF(OR(B493&lt;=INDEX(tblBatidas[Data e hora],MATCH(L493,tblBatidas[Batida ID],0)),(B493-INDEX(tblBatidas[Data e hora],MATCH(L493,tblBatidas[Batida ID],0)))*24&gt;16),"HORÁRIO INVÁLIDO","VINCULADO"))))))),"INÍCIO")</f>
        <v>INÍCIO</v>
      </c>
    </row>
    <row r="494" spans="1:13" hidden="1">
      <c r="A494" t="s">
        <v>1103</v>
      </c>
      <c r="B494" s="21">
        <v>46274.333402777775</v>
      </c>
      <c r="C494" s="2">
        <f t="shared" si="14"/>
        <v>46274</v>
      </c>
      <c r="D494" t="str">
        <f t="shared" si="15"/>
        <v>QUARTA-FEIRA</v>
      </c>
      <c r="E494">
        <v>1013</v>
      </c>
      <c r="F494" t="s">
        <v>57</v>
      </c>
      <c r="G494" t="s">
        <v>499</v>
      </c>
      <c r="H494" t="s">
        <v>80</v>
      </c>
      <c r="I494" t="s">
        <v>517</v>
      </c>
      <c r="K494" t="s">
        <v>501</v>
      </c>
      <c r="L494" s="9"/>
      <c r="M494" t="str">
        <f>IF(G494="FIM",IF(L494="","SEM VÍNCULO",IF(COUNTIF(tblBatidas[Batida ID],L494)=0,"VÍNCULO INVÁLIDO",IF(COUNTIF(tblBatidas[Início vinculado],L494)&gt;1,"VÍNCULO DUPLICADO",IF(E494&lt;&gt;INDEX(tblBatidas[ID],MATCH(L494,tblBatidas[Batida ID],0)),"DIVERGÊNCIA DE ID",IF(H494&lt;&gt;INDEX(tblBatidas[Projeto],MATCH(L494,tblBatidas[Batida ID],0)),"DIVERGÊNCIA DE PROJETO",IF(I494&lt;&gt;INDEX(tblBatidas[Atividade],MATCH(L494,tblBatidas[Batida ID],0)),"DIVERGÊNCIA DE ATIVIDADE",IF(OR(B494&lt;=INDEX(tblBatidas[Data e hora],MATCH(L494,tblBatidas[Batida ID],0)),(B494-INDEX(tblBatidas[Data e hora],MATCH(L494,tblBatidas[Batida ID],0)))*24&gt;16),"HORÁRIO INVÁLIDO","VINCULADO"))))))),"INÍCIO")</f>
        <v>INÍCIO</v>
      </c>
    </row>
    <row r="495" spans="1:13">
      <c r="A495" t="s">
        <v>1104</v>
      </c>
      <c r="B495" s="21">
        <v>46274.354629629626</v>
      </c>
      <c r="C495" s="2">
        <f t="shared" si="14"/>
        <v>46274</v>
      </c>
      <c r="D495" t="str">
        <f t="shared" si="15"/>
        <v>QUARTA-FEIRA</v>
      </c>
      <c r="E495">
        <v>1002</v>
      </c>
      <c r="F495" t="s">
        <v>45</v>
      </c>
      <c r="G495" t="s">
        <v>499</v>
      </c>
      <c r="H495" t="s">
        <v>70</v>
      </c>
      <c r="I495" t="s">
        <v>517</v>
      </c>
      <c r="K495" t="s">
        <v>501</v>
      </c>
      <c r="L495" s="9"/>
      <c r="M495" t="str">
        <f>IF(G495="FIM",IF(L495="","SEM VÍNCULO",IF(COUNTIF(tblBatidas[Batida ID],L495)=0,"VÍNCULO INVÁLIDO",IF(COUNTIF(tblBatidas[Início vinculado],L495)&gt;1,"VÍNCULO DUPLICADO",IF(E495&lt;&gt;INDEX(tblBatidas[ID],MATCH(L495,tblBatidas[Batida ID],0)),"DIVERGÊNCIA DE ID",IF(H495&lt;&gt;INDEX(tblBatidas[Projeto],MATCH(L495,tblBatidas[Batida ID],0)),"DIVERGÊNCIA DE PROJETO",IF(I495&lt;&gt;INDEX(tblBatidas[Atividade],MATCH(L495,tblBatidas[Batida ID],0)),"DIVERGÊNCIA DE ATIVIDADE",IF(OR(B495&lt;=INDEX(tblBatidas[Data e hora],MATCH(L495,tblBatidas[Batida ID],0)),(B495-INDEX(tblBatidas[Data e hora],MATCH(L495,tblBatidas[Batida ID],0)))*24&gt;16),"HORÁRIO INVÁLIDO","VINCULADO"))))))),"INÍCIO")</f>
        <v>INÍCIO</v>
      </c>
    </row>
    <row r="496" spans="1:13" hidden="1">
      <c r="A496" t="s">
        <v>1105</v>
      </c>
      <c r="B496" s="21">
        <v>46274.359039351853</v>
      </c>
      <c r="C496" s="2">
        <f t="shared" si="14"/>
        <v>46274</v>
      </c>
      <c r="D496" t="str">
        <f t="shared" si="15"/>
        <v>QUARTA-FEIRA</v>
      </c>
      <c r="E496">
        <v>1016</v>
      </c>
      <c r="F496" t="s">
        <v>60</v>
      </c>
      <c r="G496" t="s">
        <v>499</v>
      </c>
      <c r="H496" t="s">
        <v>70</v>
      </c>
      <c r="I496" t="s">
        <v>517</v>
      </c>
      <c r="K496" t="s">
        <v>501</v>
      </c>
      <c r="L496" s="9"/>
      <c r="M496" t="str">
        <f>IF(G496="FIM",IF(L496="","SEM VÍNCULO",IF(COUNTIF(tblBatidas[Batida ID],L496)=0,"VÍNCULO INVÁLIDO",IF(COUNTIF(tblBatidas[Início vinculado],L496)&gt;1,"VÍNCULO DUPLICADO",IF(E496&lt;&gt;INDEX(tblBatidas[ID],MATCH(L496,tblBatidas[Batida ID],0)),"DIVERGÊNCIA DE ID",IF(H496&lt;&gt;INDEX(tblBatidas[Projeto],MATCH(L496,tblBatidas[Batida ID],0)),"DIVERGÊNCIA DE PROJETO",IF(I496&lt;&gt;INDEX(tblBatidas[Atividade],MATCH(L496,tblBatidas[Batida ID],0)),"DIVERGÊNCIA DE ATIVIDADE",IF(OR(B496&lt;=INDEX(tblBatidas[Data e hora],MATCH(L496,tblBatidas[Batida ID],0)),(B496-INDEX(tblBatidas[Data e hora],MATCH(L496,tblBatidas[Batida ID],0)))*24&gt;16),"HORÁRIO INVÁLIDO","VINCULADO"))))))),"INÍCIO")</f>
        <v>INÍCIO</v>
      </c>
    </row>
    <row r="497" spans="1:13" hidden="1">
      <c r="A497" t="s">
        <v>1106</v>
      </c>
      <c r="B497" s="21">
        <v>46274.384745370371</v>
      </c>
      <c r="C497" s="2">
        <f t="shared" si="14"/>
        <v>46274</v>
      </c>
      <c r="D497" t="str">
        <f t="shared" si="15"/>
        <v>QUARTA-FEIRA</v>
      </c>
      <c r="E497">
        <v>1012</v>
      </c>
      <c r="F497" t="s">
        <v>55</v>
      </c>
      <c r="G497" t="s">
        <v>499</v>
      </c>
      <c r="H497" t="s">
        <v>74</v>
      </c>
      <c r="I497" t="s">
        <v>500</v>
      </c>
      <c r="J497" t="s">
        <v>1107</v>
      </c>
      <c r="K497" t="s">
        <v>501</v>
      </c>
      <c r="L497" s="9"/>
      <c r="M497" t="str">
        <f>IF(G497="FIM",IF(L497="","SEM VÍNCULO",IF(COUNTIF(tblBatidas[Batida ID],L497)=0,"VÍNCULO INVÁLIDO",IF(COUNTIF(tblBatidas[Início vinculado],L497)&gt;1,"VÍNCULO DUPLICADO",IF(E497&lt;&gt;INDEX(tblBatidas[ID],MATCH(L497,tblBatidas[Batida ID],0)),"DIVERGÊNCIA DE ID",IF(H497&lt;&gt;INDEX(tblBatidas[Projeto],MATCH(L497,tblBatidas[Batida ID],0)),"DIVERGÊNCIA DE PROJETO",IF(I497&lt;&gt;INDEX(tblBatidas[Atividade],MATCH(L497,tblBatidas[Batida ID],0)),"DIVERGÊNCIA DE ATIVIDADE",IF(OR(B497&lt;=INDEX(tblBatidas[Data e hora],MATCH(L497,tblBatidas[Batida ID],0)),(B497-INDEX(tblBatidas[Data e hora],MATCH(L497,tblBatidas[Batida ID],0)))*24&gt;16),"HORÁRIO INVÁLIDO","VINCULADO"))))))),"INÍCIO")</f>
        <v>INÍCIO</v>
      </c>
    </row>
    <row r="498" spans="1:13" hidden="1">
      <c r="A498" t="s">
        <v>1108</v>
      </c>
      <c r="B498" s="21">
        <v>46274.394745370373</v>
      </c>
      <c r="C498" s="2">
        <f t="shared" si="14"/>
        <v>46274</v>
      </c>
      <c r="D498" t="str">
        <f t="shared" si="15"/>
        <v>QUARTA-FEIRA</v>
      </c>
      <c r="E498">
        <v>1014</v>
      </c>
      <c r="F498" t="s">
        <v>58</v>
      </c>
      <c r="G498" t="s">
        <v>499</v>
      </c>
      <c r="H498" t="s">
        <v>76</v>
      </c>
      <c r="I498" t="s">
        <v>512</v>
      </c>
      <c r="J498" t="s">
        <v>1109</v>
      </c>
      <c r="K498" t="s">
        <v>501</v>
      </c>
      <c r="L498" s="9"/>
      <c r="M498" t="str">
        <f>IF(G498="FIM",IF(L498="","SEM VÍNCULO",IF(COUNTIF(tblBatidas[Batida ID],L498)=0,"VÍNCULO INVÁLIDO",IF(COUNTIF(tblBatidas[Início vinculado],L498)&gt;1,"VÍNCULO DUPLICADO",IF(E498&lt;&gt;INDEX(tblBatidas[ID],MATCH(L498,tblBatidas[Batida ID],0)),"DIVERGÊNCIA DE ID",IF(H498&lt;&gt;INDEX(tblBatidas[Projeto],MATCH(L498,tblBatidas[Batida ID],0)),"DIVERGÊNCIA DE PROJETO",IF(I498&lt;&gt;INDEX(tblBatidas[Atividade],MATCH(L498,tblBatidas[Batida ID],0)),"DIVERGÊNCIA DE ATIVIDADE",IF(OR(B498&lt;=INDEX(tblBatidas[Data e hora],MATCH(L498,tblBatidas[Batida ID],0)),(B498-INDEX(tblBatidas[Data e hora],MATCH(L498,tblBatidas[Batida ID],0)))*24&gt;16),"HORÁRIO INVÁLIDO","VINCULADO"))))))),"INÍCIO")</f>
        <v>INÍCIO</v>
      </c>
    </row>
    <row r="499" spans="1:13" hidden="1">
      <c r="A499" t="s">
        <v>1110</v>
      </c>
      <c r="B499" s="21">
        <v>46274.3981712963</v>
      </c>
      <c r="C499" s="2">
        <f t="shared" si="14"/>
        <v>46274</v>
      </c>
      <c r="D499" t="str">
        <f t="shared" si="15"/>
        <v>QUARTA-FEIRA</v>
      </c>
      <c r="E499">
        <v>1015</v>
      </c>
      <c r="F499" t="s">
        <v>59</v>
      </c>
      <c r="G499" t="s">
        <v>499</v>
      </c>
      <c r="H499" t="s">
        <v>84</v>
      </c>
      <c r="I499" t="s">
        <v>84</v>
      </c>
      <c r="K499" t="s">
        <v>501</v>
      </c>
      <c r="L499" s="9"/>
      <c r="M499" t="str">
        <f>IF(G499="FIM",IF(L499="","SEM VÍNCULO",IF(COUNTIF(tblBatidas[Batida ID],L499)=0,"VÍNCULO INVÁLIDO",IF(COUNTIF(tblBatidas[Início vinculado],L499)&gt;1,"VÍNCULO DUPLICADO",IF(E499&lt;&gt;INDEX(tblBatidas[ID],MATCH(L499,tblBatidas[Batida ID],0)),"DIVERGÊNCIA DE ID",IF(H499&lt;&gt;INDEX(tblBatidas[Projeto],MATCH(L499,tblBatidas[Batida ID],0)),"DIVERGÊNCIA DE PROJETO",IF(I499&lt;&gt;INDEX(tblBatidas[Atividade],MATCH(L499,tblBatidas[Batida ID],0)),"DIVERGÊNCIA DE ATIVIDADE",IF(OR(B499&lt;=INDEX(tblBatidas[Data e hora],MATCH(L499,tblBatidas[Batida ID],0)),(B499-INDEX(tblBatidas[Data e hora],MATCH(L499,tblBatidas[Batida ID],0)))*24&gt;16),"HORÁRIO INVÁLIDO","VINCULADO"))))))),"INÍCIO")</f>
        <v>INÍCIO</v>
      </c>
    </row>
    <row r="500" spans="1:13" hidden="1">
      <c r="A500" t="s">
        <v>1111</v>
      </c>
      <c r="B500" s="21">
        <v>46274.406157407408</v>
      </c>
      <c r="C500" s="2">
        <f t="shared" si="14"/>
        <v>46274</v>
      </c>
      <c r="D500" t="str">
        <f t="shared" si="15"/>
        <v>QUARTA-FEIRA</v>
      </c>
      <c r="E500">
        <v>1010</v>
      </c>
      <c r="F500" t="s">
        <v>53</v>
      </c>
      <c r="G500" t="s">
        <v>499</v>
      </c>
      <c r="H500" t="s">
        <v>76</v>
      </c>
      <c r="I500" t="s">
        <v>512</v>
      </c>
      <c r="K500" t="s">
        <v>501</v>
      </c>
      <c r="L500" s="9"/>
      <c r="M500" t="str">
        <f>IF(G500="FIM",IF(L500="","SEM VÍNCULO",IF(COUNTIF(tblBatidas[Batida ID],L500)=0,"VÍNCULO INVÁLIDO",IF(COUNTIF(tblBatidas[Início vinculado],L500)&gt;1,"VÍNCULO DUPLICADO",IF(E500&lt;&gt;INDEX(tblBatidas[ID],MATCH(L500,tblBatidas[Batida ID],0)),"DIVERGÊNCIA DE ID",IF(H500&lt;&gt;INDEX(tblBatidas[Projeto],MATCH(L500,tblBatidas[Batida ID],0)),"DIVERGÊNCIA DE PROJETO",IF(I500&lt;&gt;INDEX(tblBatidas[Atividade],MATCH(L500,tblBatidas[Batida ID],0)),"DIVERGÊNCIA DE ATIVIDADE",IF(OR(B500&lt;=INDEX(tblBatidas[Data e hora],MATCH(L500,tblBatidas[Batida ID],0)),(B500-INDEX(tblBatidas[Data e hora],MATCH(L500,tblBatidas[Batida ID],0)))*24&gt;16),"HORÁRIO INVÁLIDO","VINCULADO"))))))),"INÍCIO")</f>
        <v>INÍCIO</v>
      </c>
    </row>
    <row r="501" spans="1:13" hidden="1">
      <c r="A501" t="s">
        <v>1112</v>
      </c>
      <c r="B501" s="21">
        <v>46274.436168981483</v>
      </c>
      <c r="C501" s="2">
        <f t="shared" si="14"/>
        <v>46274</v>
      </c>
      <c r="D501" t="str">
        <f t="shared" si="15"/>
        <v>QUARTA-FEIRA</v>
      </c>
      <c r="E501">
        <v>1004</v>
      </c>
      <c r="F501" t="s">
        <v>47</v>
      </c>
      <c r="G501" t="s">
        <v>499</v>
      </c>
      <c r="H501" t="s">
        <v>74</v>
      </c>
      <c r="I501" t="s">
        <v>538</v>
      </c>
      <c r="K501" t="s">
        <v>501</v>
      </c>
      <c r="L501" s="9"/>
      <c r="M501" t="str">
        <f>IF(G501="FIM",IF(L501="","SEM VÍNCULO",IF(COUNTIF(tblBatidas[Batida ID],L501)=0,"VÍNCULO INVÁLIDO",IF(COUNTIF(tblBatidas[Início vinculado],L501)&gt;1,"VÍNCULO DUPLICADO",IF(E501&lt;&gt;INDEX(tblBatidas[ID],MATCH(L501,tblBatidas[Batida ID],0)),"DIVERGÊNCIA DE ID",IF(H501&lt;&gt;INDEX(tblBatidas[Projeto],MATCH(L501,tblBatidas[Batida ID],0)),"DIVERGÊNCIA DE PROJETO",IF(I501&lt;&gt;INDEX(tblBatidas[Atividade],MATCH(L501,tblBatidas[Batida ID],0)),"DIVERGÊNCIA DE ATIVIDADE",IF(OR(B501&lt;=INDEX(tblBatidas[Data e hora],MATCH(L501,tblBatidas[Batida ID],0)),(B501-INDEX(tblBatidas[Data e hora],MATCH(L501,tblBatidas[Batida ID],0)))*24&gt;16),"HORÁRIO INVÁLIDO","VINCULADO"))))))),"INÍCIO")</f>
        <v>INÍCIO</v>
      </c>
    </row>
    <row r="502" spans="1:13" hidden="1">
      <c r="A502" t="s">
        <v>1113</v>
      </c>
      <c r="B502" s="21">
        <v>46274.459606481483</v>
      </c>
      <c r="C502" s="2">
        <f t="shared" si="14"/>
        <v>46274</v>
      </c>
      <c r="D502" t="str">
        <f t="shared" si="15"/>
        <v>QUARTA-FEIRA</v>
      </c>
      <c r="E502">
        <v>1006</v>
      </c>
      <c r="F502" t="s">
        <v>49</v>
      </c>
      <c r="G502" t="s">
        <v>503</v>
      </c>
      <c r="H502" t="s">
        <v>88</v>
      </c>
      <c r="I502" t="s">
        <v>512</v>
      </c>
      <c r="J502" t="s">
        <v>1114</v>
      </c>
      <c r="K502" t="s">
        <v>501</v>
      </c>
      <c r="L502" s="9"/>
      <c r="M502" t="str">
        <f>IF(G502="FIM",IF(L502="","SEM VÍNCULO",IF(COUNTIF(tblBatidas[Batida ID],L502)=0,"VÍNCULO INVÁLIDO",IF(COUNTIF(tblBatidas[Início vinculado],L502)&gt;1,"VÍNCULO DUPLICADO",IF(E502&lt;&gt;INDEX(tblBatidas[ID],MATCH(L502,tblBatidas[Batida ID],0)),"DIVERGÊNCIA DE ID",IF(H502&lt;&gt;INDEX(tblBatidas[Projeto],MATCH(L502,tblBatidas[Batida ID],0)),"DIVERGÊNCIA DE PROJETO",IF(I502&lt;&gt;INDEX(tblBatidas[Atividade],MATCH(L502,tblBatidas[Batida ID],0)),"DIVERGÊNCIA DE ATIVIDADE",IF(OR(B502&lt;=INDEX(tblBatidas[Data e hora],MATCH(L502,tblBatidas[Batida ID],0)),(B502-INDEX(tblBatidas[Data e hora],MATCH(L502,tblBatidas[Batida ID],0)))*24&gt;16),"HORÁRIO INVÁLIDO","VINCULADO"))))))),"INÍCIO")</f>
        <v>SEM VÍNCULO</v>
      </c>
    </row>
    <row r="503" spans="1:13" hidden="1">
      <c r="A503" t="s">
        <v>1115</v>
      </c>
      <c r="B503" s="21">
        <v>46274.459988425922</v>
      </c>
      <c r="C503" s="2">
        <f t="shared" si="14"/>
        <v>46274</v>
      </c>
      <c r="D503" t="str">
        <f t="shared" si="15"/>
        <v>QUARTA-FEIRA</v>
      </c>
      <c r="E503">
        <v>1006</v>
      </c>
      <c r="F503" t="s">
        <v>49</v>
      </c>
      <c r="G503" t="s">
        <v>503</v>
      </c>
      <c r="H503" t="s">
        <v>88</v>
      </c>
      <c r="I503" t="s">
        <v>512</v>
      </c>
      <c r="J503" t="s">
        <v>1114</v>
      </c>
      <c r="K503" t="s">
        <v>501</v>
      </c>
      <c r="L503" s="9"/>
      <c r="M503" t="str">
        <f>IF(G503="FIM",IF(L503="","SEM VÍNCULO",IF(COUNTIF(tblBatidas[Batida ID],L503)=0,"VÍNCULO INVÁLIDO",IF(COUNTIF(tblBatidas[Início vinculado],L503)&gt;1,"VÍNCULO DUPLICADO",IF(E503&lt;&gt;INDEX(tblBatidas[ID],MATCH(L503,tblBatidas[Batida ID],0)),"DIVERGÊNCIA DE ID",IF(H503&lt;&gt;INDEX(tblBatidas[Projeto],MATCH(L503,tblBatidas[Batida ID],0)),"DIVERGÊNCIA DE PROJETO",IF(I503&lt;&gt;INDEX(tblBatidas[Atividade],MATCH(L503,tblBatidas[Batida ID],0)),"DIVERGÊNCIA DE ATIVIDADE",IF(OR(B503&lt;=INDEX(tblBatidas[Data e hora],MATCH(L503,tblBatidas[Batida ID],0)),(B503-INDEX(tblBatidas[Data e hora],MATCH(L503,tblBatidas[Batida ID],0)))*24&gt;16),"HORÁRIO INVÁLIDO","VINCULADO"))))))),"INÍCIO")</f>
        <v>SEM VÍNCULO</v>
      </c>
    </row>
    <row r="504" spans="1:13" hidden="1">
      <c r="A504" t="s">
        <v>1116</v>
      </c>
      <c r="B504" s="21">
        <v>46274.460358796299</v>
      </c>
      <c r="C504" s="2">
        <f t="shared" si="14"/>
        <v>46274</v>
      </c>
      <c r="D504" t="str">
        <f t="shared" si="15"/>
        <v>QUARTA-FEIRA</v>
      </c>
      <c r="E504">
        <v>1006</v>
      </c>
      <c r="F504" t="s">
        <v>49</v>
      </c>
      <c r="G504" t="s">
        <v>503</v>
      </c>
      <c r="H504" t="s">
        <v>88</v>
      </c>
      <c r="I504" t="s">
        <v>512</v>
      </c>
      <c r="J504" t="s">
        <v>1114</v>
      </c>
      <c r="K504" t="s">
        <v>501</v>
      </c>
      <c r="L504" s="9"/>
      <c r="M504" t="str">
        <f>IF(G504="FIM",IF(L504="","SEM VÍNCULO",IF(COUNTIF(tblBatidas[Batida ID],L504)=0,"VÍNCULO INVÁLIDO",IF(COUNTIF(tblBatidas[Início vinculado],L504)&gt;1,"VÍNCULO DUPLICADO",IF(E504&lt;&gt;INDEX(tblBatidas[ID],MATCH(L504,tblBatidas[Batida ID],0)),"DIVERGÊNCIA DE ID",IF(H504&lt;&gt;INDEX(tblBatidas[Projeto],MATCH(L504,tblBatidas[Batida ID],0)),"DIVERGÊNCIA DE PROJETO",IF(I504&lt;&gt;INDEX(tblBatidas[Atividade],MATCH(L504,tblBatidas[Batida ID],0)),"DIVERGÊNCIA DE ATIVIDADE",IF(OR(B504&lt;=INDEX(tblBatidas[Data e hora],MATCH(L504,tblBatidas[Batida ID],0)),(B504-INDEX(tblBatidas[Data e hora],MATCH(L504,tblBatidas[Batida ID],0)))*24&gt;16),"HORÁRIO INVÁLIDO","VINCULADO"))))))),"INÍCIO")</f>
        <v>SEM VÍNCULO</v>
      </c>
    </row>
    <row r="505" spans="1:13" hidden="1">
      <c r="A505" t="s">
        <v>1117</v>
      </c>
      <c r="B505" s="21">
        <v>46274.460439814815</v>
      </c>
      <c r="C505" s="2">
        <f t="shared" si="14"/>
        <v>46274</v>
      </c>
      <c r="D505" t="str">
        <f t="shared" si="15"/>
        <v>QUARTA-FEIRA</v>
      </c>
      <c r="E505">
        <v>1006</v>
      </c>
      <c r="F505" t="s">
        <v>49</v>
      </c>
      <c r="G505" t="s">
        <v>503</v>
      </c>
      <c r="H505" t="s">
        <v>88</v>
      </c>
      <c r="I505" t="s">
        <v>512</v>
      </c>
      <c r="J505" t="s">
        <v>1114</v>
      </c>
      <c r="K505" t="s">
        <v>501</v>
      </c>
      <c r="L505" s="9"/>
      <c r="M505" t="str">
        <f>IF(G505="FIM",IF(L505="","SEM VÍNCULO",IF(COUNTIF(tblBatidas[Batida ID],L505)=0,"VÍNCULO INVÁLIDO",IF(COUNTIF(tblBatidas[Início vinculado],L505)&gt;1,"VÍNCULO DUPLICADO",IF(E505&lt;&gt;INDEX(tblBatidas[ID],MATCH(L505,tblBatidas[Batida ID],0)),"DIVERGÊNCIA DE ID",IF(H505&lt;&gt;INDEX(tblBatidas[Projeto],MATCH(L505,tblBatidas[Batida ID],0)),"DIVERGÊNCIA DE PROJETO",IF(I505&lt;&gt;INDEX(tblBatidas[Atividade],MATCH(L505,tblBatidas[Batida ID],0)),"DIVERGÊNCIA DE ATIVIDADE",IF(OR(B505&lt;=INDEX(tblBatidas[Data e hora],MATCH(L505,tblBatidas[Batida ID],0)),(B505-INDEX(tblBatidas[Data e hora],MATCH(L505,tblBatidas[Batida ID],0)))*24&gt;16),"HORÁRIO INVÁLIDO","VINCULADO"))))))),"INÍCIO")</f>
        <v>SEM VÍNCULO</v>
      </c>
    </row>
    <row r="506" spans="1:13" hidden="1">
      <c r="A506" t="s">
        <v>1118</v>
      </c>
      <c r="B506" s="21">
        <v>46274.46056712963</v>
      </c>
      <c r="C506" s="2">
        <f t="shared" si="14"/>
        <v>46274</v>
      </c>
      <c r="D506" t="str">
        <f t="shared" si="15"/>
        <v>QUARTA-FEIRA</v>
      </c>
      <c r="E506">
        <v>1006</v>
      </c>
      <c r="F506" t="s">
        <v>49</v>
      </c>
      <c r="G506" t="s">
        <v>503</v>
      </c>
      <c r="H506" t="s">
        <v>88</v>
      </c>
      <c r="I506" t="s">
        <v>512</v>
      </c>
      <c r="J506" t="s">
        <v>1114</v>
      </c>
      <c r="K506" t="s">
        <v>501</v>
      </c>
      <c r="L506" s="9"/>
      <c r="M506" t="str">
        <f>IF(G506="FIM",IF(L506="","SEM VÍNCULO",IF(COUNTIF(tblBatidas[Batida ID],L506)=0,"VÍNCULO INVÁLIDO",IF(COUNTIF(tblBatidas[Início vinculado],L506)&gt;1,"VÍNCULO DUPLICADO",IF(E506&lt;&gt;INDEX(tblBatidas[ID],MATCH(L506,tblBatidas[Batida ID],0)),"DIVERGÊNCIA DE ID",IF(H506&lt;&gt;INDEX(tblBatidas[Projeto],MATCH(L506,tblBatidas[Batida ID],0)),"DIVERGÊNCIA DE PROJETO",IF(I506&lt;&gt;INDEX(tblBatidas[Atividade],MATCH(L506,tblBatidas[Batida ID],0)),"DIVERGÊNCIA DE ATIVIDADE",IF(OR(B506&lt;=INDEX(tblBatidas[Data e hora],MATCH(L506,tblBatidas[Batida ID],0)),(B506-INDEX(tblBatidas[Data e hora],MATCH(L506,tblBatidas[Batida ID],0)))*24&gt;16),"HORÁRIO INVÁLIDO","VINCULADO"))))))),"INÍCIO")</f>
        <v>SEM VÍNCULO</v>
      </c>
    </row>
    <row r="507" spans="1:13" hidden="1">
      <c r="A507" t="s">
        <v>1119</v>
      </c>
      <c r="B507" s="21">
        <v>46274.460752314815</v>
      </c>
      <c r="C507" s="2">
        <f t="shared" si="14"/>
        <v>46274</v>
      </c>
      <c r="D507" t="str">
        <f t="shared" si="15"/>
        <v>QUARTA-FEIRA</v>
      </c>
      <c r="E507">
        <v>1006</v>
      </c>
      <c r="F507" t="s">
        <v>49</v>
      </c>
      <c r="G507" t="s">
        <v>503</v>
      </c>
      <c r="H507" t="s">
        <v>86</v>
      </c>
      <c r="I507" t="s">
        <v>512</v>
      </c>
      <c r="J507" t="s">
        <v>1114</v>
      </c>
      <c r="K507" t="s">
        <v>501</v>
      </c>
      <c r="L507" s="9" t="s">
        <v>1100</v>
      </c>
      <c r="M507" t="str">
        <f>IF(G507="FIM",IF(L507="","SEM VÍNCULO",IF(COUNTIF(tblBatidas[Batida ID],L507)=0,"VÍNCULO INVÁLIDO",IF(COUNTIF(tblBatidas[Início vinculado],L507)&gt;1,"VÍNCULO DUPLICADO",IF(E507&lt;&gt;INDEX(tblBatidas[ID],MATCH(L507,tblBatidas[Batida ID],0)),"DIVERGÊNCIA DE ID",IF(H507&lt;&gt;INDEX(tblBatidas[Projeto],MATCH(L507,tblBatidas[Batida ID],0)),"DIVERGÊNCIA DE PROJETO",IF(I507&lt;&gt;INDEX(tblBatidas[Atividade],MATCH(L507,tblBatidas[Batida ID],0)),"DIVERGÊNCIA DE ATIVIDADE",IF(OR(B507&lt;=INDEX(tblBatidas[Data e hora],MATCH(L507,tblBatidas[Batida ID],0)),(B507-INDEX(tblBatidas[Data e hora],MATCH(L507,tblBatidas[Batida ID],0)))*24&gt;16),"HORÁRIO INVÁLIDO","VINCULADO"))))))),"INÍCIO")</f>
        <v>VINCULADO</v>
      </c>
    </row>
    <row r="508" spans="1:13" hidden="1">
      <c r="A508" t="s">
        <v>1120</v>
      </c>
      <c r="B508" s="21">
        <v>46274.477187500001</v>
      </c>
      <c r="C508" s="2">
        <f t="shared" si="14"/>
        <v>46274</v>
      </c>
      <c r="D508" t="str">
        <f t="shared" si="15"/>
        <v>QUARTA-FEIRA</v>
      </c>
      <c r="E508">
        <v>1013</v>
      </c>
      <c r="F508" t="s">
        <v>57</v>
      </c>
      <c r="G508" t="s">
        <v>503</v>
      </c>
      <c r="H508" t="s">
        <v>80</v>
      </c>
      <c r="I508" t="s">
        <v>517</v>
      </c>
      <c r="K508" t="s">
        <v>501</v>
      </c>
      <c r="L508" s="9" t="s">
        <v>1103</v>
      </c>
      <c r="M508" t="str">
        <f>IF(G508="FIM",IF(L508="","SEM VÍNCULO",IF(COUNTIF(tblBatidas[Batida ID],L508)=0,"VÍNCULO INVÁLIDO",IF(COUNTIF(tblBatidas[Início vinculado],L508)&gt;1,"VÍNCULO DUPLICADO",IF(E508&lt;&gt;INDEX(tblBatidas[ID],MATCH(L508,tblBatidas[Batida ID],0)),"DIVERGÊNCIA DE ID",IF(H508&lt;&gt;INDEX(tblBatidas[Projeto],MATCH(L508,tblBatidas[Batida ID],0)),"DIVERGÊNCIA DE PROJETO",IF(I508&lt;&gt;INDEX(tblBatidas[Atividade],MATCH(L508,tblBatidas[Batida ID],0)),"DIVERGÊNCIA DE ATIVIDADE",IF(OR(B508&lt;=INDEX(tblBatidas[Data e hora],MATCH(L508,tblBatidas[Batida ID],0)),(B508-INDEX(tblBatidas[Data e hora],MATCH(L508,tblBatidas[Batida ID],0)))*24&gt;16),"HORÁRIO INVÁLIDO","VINCULADO"))))))),"INÍCIO")</f>
        <v>VINCULADO</v>
      </c>
    </row>
    <row r="509" spans="1:13" hidden="1">
      <c r="A509" t="s">
        <v>1121</v>
      </c>
      <c r="B509" s="21">
        <v>46274.498726851853</v>
      </c>
      <c r="C509" s="2">
        <f t="shared" si="14"/>
        <v>46274</v>
      </c>
      <c r="D509" t="str">
        <f t="shared" si="15"/>
        <v>QUARTA-FEIRA</v>
      </c>
      <c r="E509">
        <v>1013</v>
      </c>
      <c r="F509" t="s">
        <v>57</v>
      </c>
      <c r="G509" t="s">
        <v>499</v>
      </c>
      <c r="H509" t="s">
        <v>80</v>
      </c>
      <c r="I509" t="s">
        <v>517</v>
      </c>
      <c r="K509" t="s">
        <v>501</v>
      </c>
      <c r="L509" s="9"/>
      <c r="M509" t="str">
        <f>IF(G509="FIM",IF(L509="","SEM VÍNCULO",IF(COUNTIF(tblBatidas[Batida ID],L509)=0,"VÍNCULO INVÁLIDO",IF(COUNTIF(tblBatidas[Início vinculado],L509)&gt;1,"VÍNCULO DUPLICADO",IF(E509&lt;&gt;INDEX(tblBatidas[ID],MATCH(L509,tblBatidas[Batida ID],0)),"DIVERGÊNCIA DE ID",IF(H509&lt;&gt;INDEX(tblBatidas[Projeto],MATCH(L509,tblBatidas[Batida ID],0)),"DIVERGÊNCIA DE PROJETO",IF(I509&lt;&gt;INDEX(tblBatidas[Atividade],MATCH(L509,tblBatidas[Batida ID],0)),"DIVERGÊNCIA DE ATIVIDADE",IF(OR(B509&lt;=INDEX(tblBatidas[Data e hora],MATCH(L509,tblBatidas[Batida ID],0)),(B509-INDEX(tblBatidas[Data e hora],MATCH(L509,tblBatidas[Batida ID],0)))*24&gt;16),"HORÁRIO INVÁLIDO","VINCULADO"))))))),"INÍCIO")</f>
        <v>INÍCIO</v>
      </c>
    </row>
    <row r="510" spans="1:13" hidden="1">
      <c r="A510" t="s">
        <v>1122</v>
      </c>
      <c r="B510" s="21">
        <v>46274.512499999997</v>
      </c>
      <c r="C510" s="2">
        <f t="shared" si="14"/>
        <v>46274</v>
      </c>
      <c r="D510" t="str">
        <f t="shared" si="15"/>
        <v>QUARTA-FEIRA</v>
      </c>
      <c r="E510">
        <v>1011</v>
      </c>
      <c r="F510" t="s">
        <v>54</v>
      </c>
      <c r="G510" t="s">
        <v>503</v>
      </c>
      <c r="H510" t="s">
        <v>74</v>
      </c>
      <c r="I510" t="s">
        <v>517</v>
      </c>
      <c r="K510" t="s">
        <v>501</v>
      </c>
      <c r="L510" s="9" t="s">
        <v>1102</v>
      </c>
      <c r="M510" t="str">
        <f>IF(G510="FIM",IF(L510="","SEM VÍNCULO",IF(COUNTIF(tblBatidas[Batida ID],L510)=0,"VÍNCULO INVÁLIDO",IF(COUNTIF(tblBatidas[Início vinculado],L510)&gt;1,"VÍNCULO DUPLICADO",IF(E510&lt;&gt;INDEX(tblBatidas[ID],MATCH(L510,tblBatidas[Batida ID],0)),"DIVERGÊNCIA DE ID",IF(H510&lt;&gt;INDEX(tblBatidas[Projeto],MATCH(L510,tblBatidas[Batida ID],0)),"DIVERGÊNCIA DE PROJETO",IF(I510&lt;&gt;INDEX(tblBatidas[Atividade],MATCH(L510,tblBatidas[Batida ID],0)),"DIVERGÊNCIA DE ATIVIDADE",IF(OR(B510&lt;=INDEX(tblBatidas[Data e hora],MATCH(L510,tblBatidas[Batida ID],0)),(B510-INDEX(tblBatidas[Data e hora],MATCH(L510,tblBatidas[Batida ID],0)))*24&gt;16),"HORÁRIO INVÁLIDO","VINCULADO"))))))),"INÍCIO")</f>
        <v>VINCULADO</v>
      </c>
    </row>
    <row r="511" spans="1:13" hidden="1">
      <c r="A511" t="s">
        <v>1123</v>
      </c>
      <c r="B511" s="21">
        <v>46274.523981481485</v>
      </c>
      <c r="C511" s="2">
        <f t="shared" si="14"/>
        <v>46274</v>
      </c>
      <c r="D511" t="str">
        <f t="shared" si="15"/>
        <v>QUARTA-FEIRA</v>
      </c>
      <c r="E511">
        <v>1003</v>
      </c>
      <c r="F511" t="s">
        <v>46</v>
      </c>
      <c r="G511" t="s">
        <v>503</v>
      </c>
      <c r="H511" t="s">
        <v>74</v>
      </c>
      <c r="I511" t="s">
        <v>517</v>
      </c>
      <c r="K511" t="s">
        <v>501</v>
      </c>
      <c r="L511" s="9"/>
      <c r="M511" t="str">
        <f>IF(G511="FIM",IF(L511="","SEM VÍNCULO",IF(COUNTIF(tblBatidas[Batida ID],L511)=0,"VÍNCULO INVÁLIDO",IF(COUNTIF(tblBatidas[Início vinculado],L511)&gt;1,"VÍNCULO DUPLICADO",IF(E511&lt;&gt;INDEX(tblBatidas[ID],MATCH(L511,tblBatidas[Batida ID],0)),"DIVERGÊNCIA DE ID",IF(H511&lt;&gt;INDEX(tblBatidas[Projeto],MATCH(L511,tblBatidas[Batida ID],0)),"DIVERGÊNCIA DE PROJETO",IF(I511&lt;&gt;INDEX(tblBatidas[Atividade],MATCH(L511,tblBatidas[Batida ID],0)),"DIVERGÊNCIA DE ATIVIDADE",IF(OR(B511&lt;=INDEX(tblBatidas[Data e hora],MATCH(L511,tblBatidas[Batida ID],0)),(B511-INDEX(tblBatidas[Data e hora],MATCH(L511,tblBatidas[Batida ID],0)))*24&gt;16),"HORÁRIO INVÁLIDO","VINCULADO"))))))),"INÍCIO")</f>
        <v>SEM VÍNCULO</v>
      </c>
    </row>
    <row r="512" spans="1:13" hidden="1">
      <c r="A512" t="s">
        <v>1124</v>
      </c>
      <c r="B512" s="21">
        <v>46274.524386574078</v>
      </c>
      <c r="C512" s="2">
        <f t="shared" si="14"/>
        <v>46274</v>
      </c>
      <c r="D512" t="str">
        <f t="shared" si="15"/>
        <v>QUARTA-FEIRA</v>
      </c>
      <c r="E512">
        <v>1014</v>
      </c>
      <c r="F512" t="s">
        <v>58</v>
      </c>
      <c r="G512" t="s">
        <v>503</v>
      </c>
      <c r="H512" t="s">
        <v>76</v>
      </c>
      <c r="I512" t="s">
        <v>512</v>
      </c>
      <c r="J512" t="s">
        <v>1125</v>
      </c>
      <c r="K512" t="s">
        <v>501</v>
      </c>
      <c r="L512" s="9" t="s">
        <v>1108</v>
      </c>
      <c r="M512" t="str">
        <f>IF(G512="FIM",IF(L512="","SEM VÍNCULO",IF(COUNTIF(tblBatidas[Batida ID],L512)=0,"VÍNCULO INVÁLIDO",IF(COUNTIF(tblBatidas[Início vinculado],L512)&gt;1,"VÍNCULO DUPLICADO",IF(E512&lt;&gt;INDEX(tblBatidas[ID],MATCH(L512,tblBatidas[Batida ID],0)),"DIVERGÊNCIA DE ID",IF(H512&lt;&gt;INDEX(tblBatidas[Projeto],MATCH(L512,tblBatidas[Batida ID],0)),"DIVERGÊNCIA DE PROJETO",IF(I512&lt;&gt;INDEX(tblBatidas[Atividade],MATCH(L512,tblBatidas[Batida ID],0)),"DIVERGÊNCIA DE ATIVIDADE",IF(OR(B512&lt;=INDEX(tblBatidas[Data e hora],MATCH(L512,tblBatidas[Batida ID],0)),(B512-INDEX(tblBatidas[Data e hora],MATCH(L512,tblBatidas[Batida ID],0)))*24&gt;16),"HORÁRIO INVÁLIDO","VINCULADO"))))))),"INÍCIO")</f>
        <v>VINCULADO</v>
      </c>
    </row>
    <row r="513" spans="1:13" hidden="1">
      <c r="A513" t="s">
        <v>1126</v>
      </c>
      <c r="B513" s="21">
        <v>46274.533946759257</v>
      </c>
      <c r="C513" s="2">
        <f t="shared" si="14"/>
        <v>46274</v>
      </c>
      <c r="D513" t="str">
        <f t="shared" si="15"/>
        <v>QUARTA-FEIRA</v>
      </c>
      <c r="E513">
        <v>1004</v>
      </c>
      <c r="F513" t="s">
        <v>47</v>
      </c>
      <c r="G513" t="s">
        <v>503</v>
      </c>
      <c r="H513" t="s">
        <v>74</v>
      </c>
      <c r="I513" t="s">
        <v>538</v>
      </c>
      <c r="K513" t="s">
        <v>501</v>
      </c>
      <c r="L513" s="9" t="s">
        <v>1112</v>
      </c>
      <c r="M513" t="str">
        <f>IF(G513="FIM",IF(L513="","SEM VÍNCULO",IF(COUNTIF(tblBatidas[Batida ID],L513)=0,"VÍNCULO INVÁLIDO",IF(COUNTIF(tblBatidas[Início vinculado],L513)&gt;1,"VÍNCULO DUPLICADO",IF(E513&lt;&gt;INDEX(tblBatidas[ID],MATCH(L513,tblBatidas[Batida ID],0)),"DIVERGÊNCIA DE ID",IF(H513&lt;&gt;INDEX(tblBatidas[Projeto],MATCH(L513,tblBatidas[Batida ID],0)),"DIVERGÊNCIA DE PROJETO",IF(I513&lt;&gt;INDEX(tblBatidas[Atividade],MATCH(L513,tblBatidas[Batida ID],0)),"DIVERGÊNCIA DE ATIVIDADE",IF(OR(B513&lt;=INDEX(tblBatidas[Data e hora],MATCH(L513,tblBatidas[Batida ID],0)),(B513-INDEX(tblBatidas[Data e hora],MATCH(L513,tblBatidas[Batida ID],0)))*24&gt;16),"HORÁRIO INVÁLIDO","VINCULADO"))))))),"INÍCIO")</f>
        <v>VINCULADO</v>
      </c>
    </row>
    <row r="514" spans="1:13" hidden="1">
      <c r="A514" t="s">
        <v>1127</v>
      </c>
      <c r="B514" s="21">
        <v>46274.537453703706</v>
      </c>
      <c r="C514" s="2">
        <f t="shared" si="14"/>
        <v>46274</v>
      </c>
      <c r="D514" t="str">
        <f t="shared" si="15"/>
        <v>QUARTA-FEIRA</v>
      </c>
      <c r="E514">
        <v>1011</v>
      </c>
      <c r="F514" t="s">
        <v>54</v>
      </c>
      <c r="G514" t="s">
        <v>499</v>
      </c>
      <c r="H514" t="s">
        <v>74</v>
      </c>
      <c r="I514" t="s">
        <v>517</v>
      </c>
      <c r="K514" t="s">
        <v>501</v>
      </c>
      <c r="L514" s="9"/>
      <c r="M514" t="str">
        <f>IF(G514="FIM",IF(L514="","SEM VÍNCULO",IF(COUNTIF(tblBatidas[Batida ID],L514)=0,"VÍNCULO INVÁLIDO",IF(COUNTIF(tblBatidas[Início vinculado],L514)&gt;1,"VÍNCULO DUPLICADO",IF(E514&lt;&gt;INDEX(tblBatidas[ID],MATCH(L514,tblBatidas[Batida ID],0)),"DIVERGÊNCIA DE ID",IF(H514&lt;&gt;INDEX(tblBatidas[Projeto],MATCH(L514,tblBatidas[Batida ID],0)),"DIVERGÊNCIA DE PROJETO",IF(I514&lt;&gt;INDEX(tblBatidas[Atividade],MATCH(L514,tblBatidas[Batida ID],0)),"DIVERGÊNCIA DE ATIVIDADE",IF(OR(B514&lt;=INDEX(tblBatidas[Data e hora],MATCH(L514,tblBatidas[Batida ID],0)),(B514-INDEX(tblBatidas[Data e hora],MATCH(L514,tblBatidas[Batida ID],0)))*24&gt;16),"HORÁRIO INVÁLIDO","VINCULADO"))))))),"INÍCIO")</f>
        <v>INÍCIO</v>
      </c>
    </row>
    <row r="515" spans="1:13" hidden="1">
      <c r="A515" t="s">
        <v>1128</v>
      </c>
      <c r="B515" s="21">
        <v>46274.539606481485</v>
      </c>
      <c r="C515" s="2">
        <f t="shared" si="14"/>
        <v>46274</v>
      </c>
      <c r="D515" t="str">
        <f t="shared" si="15"/>
        <v>QUARTA-FEIRA</v>
      </c>
      <c r="E515">
        <v>1015</v>
      </c>
      <c r="F515" t="s">
        <v>59</v>
      </c>
      <c r="G515" t="s">
        <v>503</v>
      </c>
      <c r="H515" t="s">
        <v>84</v>
      </c>
      <c r="I515" t="s">
        <v>84</v>
      </c>
      <c r="K515" t="s">
        <v>501</v>
      </c>
      <c r="L515" s="9" t="s">
        <v>1110</v>
      </c>
      <c r="M515" t="str">
        <f>IF(G515="FIM",IF(L515="","SEM VÍNCULO",IF(COUNTIF(tblBatidas[Batida ID],L515)=0,"VÍNCULO INVÁLIDO",IF(COUNTIF(tblBatidas[Início vinculado],L515)&gt;1,"VÍNCULO DUPLICADO",IF(E515&lt;&gt;INDEX(tblBatidas[ID],MATCH(L515,tblBatidas[Batida ID],0)),"DIVERGÊNCIA DE ID",IF(H515&lt;&gt;INDEX(tblBatidas[Projeto],MATCH(L515,tblBatidas[Batida ID],0)),"DIVERGÊNCIA DE PROJETO",IF(I515&lt;&gt;INDEX(tblBatidas[Atividade],MATCH(L515,tblBatidas[Batida ID],0)),"DIVERGÊNCIA DE ATIVIDADE",IF(OR(B515&lt;=INDEX(tblBatidas[Data e hora],MATCH(L515,tblBatidas[Batida ID],0)),(B515-INDEX(tblBatidas[Data e hora],MATCH(L515,tblBatidas[Batida ID],0)))*24&gt;16),"HORÁRIO INVÁLIDO","VINCULADO"))))))),"INÍCIO")</f>
        <v>VINCULADO</v>
      </c>
    </row>
    <row r="516" spans="1:13" hidden="1">
      <c r="A516" t="s">
        <v>1129</v>
      </c>
      <c r="B516" s="21">
        <v>46274.542395833334</v>
      </c>
      <c r="C516" s="2">
        <f t="shared" si="14"/>
        <v>46274</v>
      </c>
      <c r="D516" t="str">
        <f t="shared" si="15"/>
        <v>QUARTA-FEIRA</v>
      </c>
      <c r="E516">
        <v>1010</v>
      </c>
      <c r="F516" t="s">
        <v>53</v>
      </c>
      <c r="G516" t="s">
        <v>503</v>
      </c>
      <c r="H516" t="s">
        <v>76</v>
      </c>
      <c r="I516" t="s">
        <v>512</v>
      </c>
      <c r="K516" t="s">
        <v>501</v>
      </c>
      <c r="L516" s="9" t="s">
        <v>1111</v>
      </c>
      <c r="M516" t="str">
        <f>IF(G516="FIM",IF(L516="","SEM VÍNCULO",IF(COUNTIF(tblBatidas[Batida ID],L516)=0,"VÍNCULO INVÁLIDO",IF(COUNTIF(tblBatidas[Início vinculado],L516)&gt;1,"VÍNCULO DUPLICADO",IF(E516&lt;&gt;INDEX(tblBatidas[ID],MATCH(L516,tblBatidas[Batida ID],0)),"DIVERGÊNCIA DE ID",IF(H516&lt;&gt;INDEX(tblBatidas[Projeto],MATCH(L516,tblBatidas[Batida ID],0)),"DIVERGÊNCIA DE PROJETO",IF(I516&lt;&gt;INDEX(tblBatidas[Atividade],MATCH(L516,tblBatidas[Batida ID],0)),"DIVERGÊNCIA DE ATIVIDADE",IF(OR(B516&lt;=INDEX(tblBatidas[Data e hora],MATCH(L516,tblBatidas[Batida ID],0)),(B516-INDEX(tblBatidas[Data e hora],MATCH(L516,tblBatidas[Batida ID],0)))*24&gt;16),"HORÁRIO INVÁLIDO","VINCULADO"))))))),"INÍCIO")</f>
        <v>VINCULADO</v>
      </c>
    </row>
    <row r="517" spans="1:13" hidden="1">
      <c r="A517" t="s">
        <v>1130</v>
      </c>
      <c r="B517" s="21">
        <v>46274.547372685185</v>
      </c>
      <c r="C517" s="2">
        <f t="shared" ref="C517:C580" si="16">IF(B517="","",INT(B517))</f>
        <v>46274</v>
      </c>
      <c r="D517" t="str">
        <f t="shared" ref="D517:D580" si="17">IF(C517="","",CHOOSE(WEEKDAY(C517,2),"SEGUNDA-FEIRA","TERÇA-FEIRA","QUARTA-FEIRA","QUINTA-FEIRA","SEXTA-FEIRA","SÁBADO","DOMINGO"))</f>
        <v>QUARTA-FEIRA</v>
      </c>
      <c r="E517">
        <v>1016</v>
      </c>
      <c r="F517" t="s">
        <v>60</v>
      </c>
      <c r="G517" t="s">
        <v>503</v>
      </c>
      <c r="H517" t="s">
        <v>70</v>
      </c>
      <c r="I517" t="s">
        <v>517</v>
      </c>
      <c r="K517" t="s">
        <v>501</v>
      </c>
      <c r="L517" s="9" t="s">
        <v>1105</v>
      </c>
      <c r="M517" t="str">
        <f>IF(G517="FIM",IF(L517="","SEM VÍNCULO",IF(COUNTIF(tblBatidas[Batida ID],L517)=0,"VÍNCULO INVÁLIDO",IF(COUNTIF(tblBatidas[Início vinculado],L517)&gt;1,"VÍNCULO DUPLICADO",IF(E517&lt;&gt;INDEX(tblBatidas[ID],MATCH(L517,tblBatidas[Batida ID],0)),"DIVERGÊNCIA DE ID",IF(H517&lt;&gt;INDEX(tblBatidas[Projeto],MATCH(L517,tblBatidas[Batida ID],0)),"DIVERGÊNCIA DE PROJETO",IF(I517&lt;&gt;INDEX(tblBatidas[Atividade],MATCH(L517,tblBatidas[Batida ID],0)),"DIVERGÊNCIA DE ATIVIDADE",IF(OR(B517&lt;=INDEX(tblBatidas[Data e hora],MATCH(L517,tblBatidas[Batida ID],0)),(B517-INDEX(tblBatidas[Data e hora],MATCH(L517,tblBatidas[Batida ID],0)))*24&gt;16),"HORÁRIO INVÁLIDO","VINCULADO"))))))),"INÍCIO")</f>
        <v>VINCULADO</v>
      </c>
    </row>
    <row r="518" spans="1:13">
      <c r="A518" t="s">
        <v>1131</v>
      </c>
      <c r="B518" s="21">
        <v>46274.556006944447</v>
      </c>
      <c r="C518" s="2">
        <f t="shared" si="16"/>
        <v>46274</v>
      </c>
      <c r="D518" t="str">
        <f t="shared" si="17"/>
        <v>QUARTA-FEIRA</v>
      </c>
      <c r="E518">
        <v>1002</v>
      </c>
      <c r="F518" t="s">
        <v>45</v>
      </c>
      <c r="G518" t="s">
        <v>499</v>
      </c>
      <c r="H518" t="s">
        <v>70</v>
      </c>
      <c r="I518" t="s">
        <v>517</v>
      </c>
      <c r="K518" t="s">
        <v>501</v>
      </c>
      <c r="L518" s="9"/>
      <c r="M518" t="str">
        <f>IF(G518="FIM",IF(L518="","SEM VÍNCULO",IF(COUNTIF(tblBatidas[Batida ID],L518)=0,"VÍNCULO INVÁLIDO",IF(COUNTIF(tblBatidas[Início vinculado],L518)&gt;1,"VÍNCULO DUPLICADO",IF(E518&lt;&gt;INDEX(tblBatidas[ID],MATCH(L518,tblBatidas[Batida ID],0)),"DIVERGÊNCIA DE ID",IF(H518&lt;&gt;INDEX(tblBatidas[Projeto],MATCH(L518,tblBatidas[Batida ID],0)),"DIVERGÊNCIA DE PROJETO",IF(I518&lt;&gt;INDEX(tblBatidas[Atividade],MATCH(L518,tblBatidas[Batida ID],0)),"DIVERGÊNCIA DE ATIVIDADE",IF(OR(B518&lt;=INDEX(tblBatidas[Data e hora],MATCH(L518,tblBatidas[Batida ID],0)),(B518-INDEX(tblBatidas[Data e hora],MATCH(L518,tblBatidas[Batida ID],0)))*24&gt;16),"HORÁRIO INVÁLIDO","VINCULADO"))))))),"INÍCIO")</f>
        <v>INÍCIO</v>
      </c>
    </row>
    <row r="519" spans="1:13" hidden="1">
      <c r="A519" t="s">
        <v>1132</v>
      </c>
      <c r="B519" s="21">
        <v>46274.56082175926</v>
      </c>
      <c r="C519" s="2">
        <f t="shared" si="16"/>
        <v>46274</v>
      </c>
      <c r="D519" t="str">
        <f t="shared" si="17"/>
        <v>QUARTA-FEIRA</v>
      </c>
      <c r="E519">
        <v>1012</v>
      </c>
      <c r="F519" t="s">
        <v>55</v>
      </c>
      <c r="G519" t="s">
        <v>503</v>
      </c>
      <c r="H519" t="s">
        <v>74</v>
      </c>
      <c r="I519" t="s">
        <v>500</v>
      </c>
      <c r="K519" t="s">
        <v>501</v>
      </c>
      <c r="L519" s="9" t="s">
        <v>1106</v>
      </c>
      <c r="M519" t="str">
        <f>IF(G519="FIM",IF(L519="","SEM VÍNCULO",IF(COUNTIF(tblBatidas[Batida ID],L519)=0,"VÍNCULO INVÁLIDO",IF(COUNTIF(tblBatidas[Início vinculado],L519)&gt;1,"VÍNCULO DUPLICADO",IF(E519&lt;&gt;INDEX(tblBatidas[ID],MATCH(L519,tblBatidas[Batida ID],0)),"DIVERGÊNCIA DE ID",IF(H519&lt;&gt;INDEX(tblBatidas[Projeto],MATCH(L519,tblBatidas[Batida ID],0)),"DIVERGÊNCIA DE PROJETO",IF(I519&lt;&gt;INDEX(tblBatidas[Atividade],MATCH(L519,tblBatidas[Batida ID],0)),"DIVERGÊNCIA DE ATIVIDADE",IF(OR(B519&lt;=INDEX(tblBatidas[Data e hora],MATCH(L519,tblBatidas[Batida ID],0)),(B519-INDEX(tblBatidas[Data e hora],MATCH(L519,tblBatidas[Batida ID],0)))*24&gt;16),"HORÁRIO INVÁLIDO","VINCULADO"))))))),"INÍCIO")</f>
        <v>VINCULADO</v>
      </c>
    </row>
    <row r="520" spans="1:13" hidden="1">
      <c r="A520" t="s">
        <v>1133</v>
      </c>
      <c r="B520" s="21">
        <v>46274.561122685183</v>
      </c>
      <c r="C520" s="2">
        <f t="shared" si="16"/>
        <v>46274</v>
      </c>
      <c r="D520" t="str">
        <f t="shared" si="17"/>
        <v>QUARTA-FEIRA</v>
      </c>
      <c r="E520">
        <v>1012</v>
      </c>
      <c r="F520" t="s">
        <v>55</v>
      </c>
      <c r="G520" t="s">
        <v>503</v>
      </c>
      <c r="H520" t="s">
        <v>74</v>
      </c>
      <c r="I520" t="s">
        <v>500</v>
      </c>
      <c r="K520" t="s">
        <v>501</v>
      </c>
      <c r="L520" s="9"/>
      <c r="M520" t="str">
        <f>IF(G520="FIM",IF(L520="","SEM VÍNCULO",IF(COUNTIF(tblBatidas[Batida ID],L520)=0,"VÍNCULO INVÁLIDO",IF(COUNTIF(tblBatidas[Início vinculado],L520)&gt;1,"VÍNCULO DUPLICADO",IF(E520&lt;&gt;INDEX(tblBatidas[ID],MATCH(L520,tblBatidas[Batida ID],0)),"DIVERGÊNCIA DE ID",IF(H520&lt;&gt;INDEX(tblBatidas[Projeto],MATCH(L520,tblBatidas[Batida ID],0)),"DIVERGÊNCIA DE PROJETO",IF(I520&lt;&gt;INDEX(tblBatidas[Atividade],MATCH(L520,tblBatidas[Batida ID],0)),"DIVERGÊNCIA DE ATIVIDADE",IF(OR(B520&lt;=INDEX(tblBatidas[Data e hora],MATCH(L520,tblBatidas[Batida ID],0)),(B520-INDEX(tblBatidas[Data e hora],MATCH(L520,tblBatidas[Batida ID],0)))*24&gt;16),"HORÁRIO INVÁLIDO","VINCULADO"))))))),"INÍCIO")</f>
        <v>SEM VÍNCULO</v>
      </c>
    </row>
    <row r="521" spans="1:13" hidden="1">
      <c r="A521" t="s">
        <v>1134</v>
      </c>
      <c r="B521" s="21">
        <v>46274.564375000002</v>
      </c>
      <c r="C521" s="2">
        <f t="shared" si="16"/>
        <v>46274</v>
      </c>
      <c r="D521" t="str">
        <f t="shared" si="17"/>
        <v>QUARTA-FEIRA</v>
      </c>
      <c r="E521">
        <v>1003</v>
      </c>
      <c r="F521" t="s">
        <v>46</v>
      </c>
      <c r="G521" t="s">
        <v>499</v>
      </c>
      <c r="H521" t="s">
        <v>80</v>
      </c>
      <c r="I521" t="s">
        <v>517</v>
      </c>
      <c r="K521" t="s">
        <v>501</v>
      </c>
      <c r="L521" s="9"/>
      <c r="M521" t="str">
        <f>IF(G521="FIM",IF(L521="","SEM VÍNCULO",IF(COUNTIF(tblBatidas[Batida ID],L521)=0,"VÍNCULO INVÁLIDO",IF(COUNTIF(tblBatidas[Início vinculado],L521)&gt;1,"VÍNCULO DUPLICADO",IF(E521&lt;&gt;INDEX(tblBatidas[ID],MATCH(L521,tblBatidas[Batida ID],0)),"DIVERGÊNCIA DE ID",IF(H521&lt;&gt;INDEX(tblBatidas[Projeto],MATCH(L521,tblBatidas[Batida ID],0)),"DIVERGÊNCIA DE PROJETO",IF(I521&lt;&gt;INDEX(tblBatidas[Atividade],MATCH(L521,tblBatidas[Batida ID],0)),"DIVERGÊNCIA DE ATIVIDADE",IF(OR(B521&lt;=INDEX(tblBatidas[Data e hora],MATCH(L521,tblBatidas[Batida ID],0)),(B521-INDEX(tblBatidas[Data e hora],MATCH(L521,tblBatidas[Batida ID],0)))*24&gt;16),"HORÁRIO INVÁLIDO","VINCULADO"))))))),"INÍCIO")</f>
        <v>INÍCIO</v>
      </c>
    </row>
    <row r="522" spans="1:13" hidden="1">
      <c r="A522" t="s">
        <v>1135</v>
      </c>
      <c r="B522" s="21">
        <v>46274.573541666665</v>
      </c>
      <c r="C522" s="2">
        <f t="shared" si="16"/>
        <v>46274</v>
      </c>
      <c r="D522" t="str">
        <f t="shared" si="17"/>
        <v>QUARTA-FEIRA</v>
      </c>
      <c r="E522">
        <v>1014</v>
      </c>
      <c r="F522" t="s">
        <v>58</v>
      </c>
      <c r="G522" t="s">
        <v>499</v>
      </c>
      <c r="H522" t="s">
        <v>88</v>
      </c>
      <c r="I522" t="s">
        <v>512</v>
      </c>
      <c r="K522" t="s">
        <v>501</v>
      </c>
      <c r="L522" s="9"/>
      <c r="M522" t="str">
        <f>IF(G522="FIM",IF(L522="","SEM VÍNCULO",IF(COUNTIF(tblBatidas[Batida ID],L522)=0,"VÍNCULO INVÁLIDO",IF(COUNTIF(tblBatidas[Início vinculado],L522)&gt;1,"VÍNCULO DUPLICADO",IF(E522&lt;&gt;INDEX(tblBatidas[ID],MATCH(L522,tblBatidas[Batida ID],0)),"DIVERGÊNCIA DE ID",IF(H522&lt;&gt;INDEX(tblBatidas[Projeto],MATCH(L522,tblBatidas[Batida ID],0)),"DIVERGÊNCIA DE PROJETO",IF(I522&lt;&gt;INDEX(tblBatidas[Atividade],MATCH(L522,tblBatidas[Batida ID],0)),"DIVERGÊNCIA DE ATIVIDADE",IF(OR(B522&lt;=INDEX(tblBatidas[Data e hora],MATCH(L522,tblBatidas[Batida ID],0)),(B522-INDEX(tblBatidas[Data e hora],MATCH(L522,tblBatidas[Batida ID],0)))*24&gt;16),"HORÁRIO INVÁLIDO","VINCULADO"))))))),"INÍCIO")</f>
        <v>INÍCIO</v>
      </c>
    </row>
    <row r="523" spans="1:13" hidden="1">
      <c r="A523" t="s">
        <v>1136</v>
      </c>
      <c r="B523" s="21">
        <v>46274.580439814818</v>
      </c>
      <c r="C523" s="2">
        <f t="shared" si="16"/>
        <v>46274</v>
      </c>
      <c r="D523" t="str">
        <f t="shared" si="17"/>
        <v>QUARTA-FEIRA</v>
      </c>
      <c r="E523">
        <v>1015</v>
      </c>
      <c r="F523" t="s">
        <v>59</v>
      </c>
      <c r="G523" t="s">
        <v>499</v>
      </c>
      <c r="H523" t="s">
        <v>84</v>
      </c>
      <c r="I523" t="s">
        <v>84</v>
      </c>
      <c r="K523" t="s">
        <v>501</v>
      </c>
      <c r="L523" s="9"/>
      <c r="M523" t="str">
        <f>IF(G523="FIM",IF(L523="","SEM VÍNCULO",IF(COUNTIF(tblBatidas[Batida ID],L523)=0,"VÍNCULO INVÁLIDO",IF(COUNTIF(tblBatidas[Início vinculado],L523)&gt;1,"VÍNCULO DUPLICADO",IF(E523&lt;&gt;INDEX(tblBatidas[ID],MATCH(L523,tblBatidas[Batida ID],0)),"DIVERGÊNCIA DE ID",IF(H523&lt;&gt;INDEX(tblBatidas[Projeto],MATCH(L523,tblBatidas[Batida ID],0)),"DIVERGÊNCIA DE PROJETO",IF(I523&lt;&gt;INDEX(tblBatidas[Atividade],MATCH(L523,tblBatidas[Batida ID],0)),"DIVERGÊNCIA DE ATIVIDADE",IF(OR(B523&lt;=INDEX(tblBatidas[Data e hora],MATCH(L523,tblBatidas[Batida ID],0)),(B523-INDEX(tblBatidas[Data e hora],MATCH(L523,tblBatidas[Batida ID],0)))*24&gt;16),"HORÁRIO INVÁLIDO","VINCULADO"))))))),"INÍCIO")</f>
        <v>INÍCIO</v>
      </c>
    </row>
    <row r="524" spans="1:13" hidden="1">
      <c r="A524" t="s">
        <v>1137</v>
      </c>
      <c r="B524" s="21">
        <v>46274.591851851852</v>
      </c>
      <c r="C524" s="2">
        <f t="shared" si="16"/>
        <v>46274</v>
      </c>
      <c r="D524" t="str">
        <f t="shared" si="17"/>
        <v>QUARTA-FEIRA</v>
      </c>
      <c r="E524">
        <v>1010</v>
      </c>
      <c r="F524" t="s">
        <v>53</v>
      </c>
      <c r="G524" t="s">
        <v>499</v>
      </c>
      <c r="H524" t="s">
        <v>76</v>
      </c>
      <c r="I524" t="s">
        <v>512</v>
      </c>
      <c r="K524" t="s">
        <v>501</v>
      </c>
      <c r="L524" s="9"/>
      <c r="M524" t="str">
        <f>IF(G524="FIM",IF(L524="","SEM VÍNCULO",IF(COUNTIF(tblBatidas[Batida ID],L524)=0,"VÍNCULO INVÁLIDO",IF(COUNTIF(tblBatidas[Início vinculado],L524)&gt;1,"VÍNCULO DUPLICADO",IF(E524&lt;&gt;INDEX(tblBatidas[ID],MATCH(L524,tblBatidas[Batida ID],0)),"DIVERGÊNCIA DE ID",IF(H524&lt;&gt;INDEX(tblBatidas[Projeto],MATCH(L524,tblBatidas[Batida ID],0)),"DIVERGÊNCIA DE PROJETO",IF(I524&lt;&gt;INDEX(tblBatidas[Atividade],MATCH(L524,tblBatidas[Batida ID],0)),"DIVERGÊNCIA DE ATIVIDADE",IF(OR(B524&lt;=INDEX(tblBatidas[Data e hora],MATCH(L524,tblBatidas[Batida ID],0)),(B524-INDEX(tblBatidas[Data e hora],MATCH(L524,tblBatidas[Batida ID],0)))*24&gt;16),"HORÁRIO INVÁLIDO","VINCULADO"))))))),"INÍCIO")</f>
        <v>INÍCIO</v>
      </c>
    </row>
    <row r="525" spans="1:13" hidden="1">
      <c r="A525" t="s">
        <v>1138</v>
      </c>
      <c r="B525" s="21">
        <v>46274.593449074076</v>
      </c>
      <c r="C525" s="2">
        <f t="shared" si="16"/>
        <v>46274</v>
      </c>
      <c r="D525" t="str">
        <f t="shared" si="17"/>
        <v>QUARTA-FEIRA</v>
      </c>
      <c r="E525">
        <v>1016</v>
      </c>
      <c r="F525" t="s">
        <v>60</v>
      </c>
      <c r="G525" t="s">
        <v>499</v>
      </c>
      <c r="H525" t="s">
        <v>70</v>
      </c>
      <c r="I525" t="s">
        <v>517</v>
      </c>
      <c r="K525" t="s">
        <v>501</v>
      </c>
      <c r="L525" s="9"/>
      <c r="M525" t="str">
        <f>IF(G525="FIM",IF(L525="","SEM VÍNCULO",IF(COUNTIF(tblBatidas[Batida ID],L525)=0,"VÍNCULO INVÁLIDO",IF(COUNTIF(tblBatidas[Início vinculado],L525)&gt;1,"VÍNCULO DUPLICADO",IF(E525&lt;&gt;INDEX(tblBatidas[ID],MATCH(L525,tblBatidas[Batida ID],0)),"DIVERGÊNCIA DE ID",IF(H525&lt;&gt;INDEX(tblBatidas[Projeto],MATCH(L525,tblBatidas[Batida ID],0)),"DIVERGÊNCIA DE PROJETO",IF(I525&lt;&gt;INDEX(tblBatidas[Atividade],MATCH(L525,tblBatidas[Batida ID],0)),"DIVERGÊNCIA DE ATIVIDADE",IF(OR(B525&lt;=INDEX(tblBatidas[Data e hora],MATCH(L525,tblBatidas[Batida ID],0)),(B525-INDEX(tblBatidas[Data e hora],MATCH(L525,tblBatidas[Batida ID],0)))*24&gt;16),"HORÁRIO INVÁLIDO","VINCULADO"))))))),"INÍCIO")</f>
        <v>INÍCIO</v>
      </c>
    </row>
    <row r="526" spans="1:13" hidden="1">
      <c r="A526" t="s">
        <v>1139</v>
      </c>
      <c r="B526" s="21">
        <v>46274.595983796295</v>
      </c>
      <c r="C526" s="2">
        <f t="shared" si="16"/>
        <v>46274</v>
      </c>
      <c r="D526" t="str">
        <f t="shared" si="17"/>
        <v>QUARTA-FEIRA</v>
      </c>
      <c r="E526">
        <v>1012</v>
      </c>
      <c r="F526" t="s">
        <v>55</v>
      </c>
      <c r="G526" t="s">
        <v>499</v>
      </c>
      <c r="H526" t="s">
        <v>76</v>
      </c>
      <c r="I526" t="s">
        <v>512</v>
      </c>
      <c r="J526" t="s">
        <v>1140</v>
      </c>
      <c r="K526" t="s">
        <v>501</v>
      </c>
      <c r="L526" s="9"/>
      <c r="M526" t="str">
        <f>IF(G526="FIM",IF(L526="","SEM VÍNCULO",IF(COUNTIF(tblBatidas[Batida ID],L526)=0,"VÍNCULO INVÁLIDO",IF(COUNTIF(tblBatidas[Início vinculado],L526)&gt;1,"VÍNCULO DUPLICADO",IF(E526&lt;&gt;INDEX(tblBatidas[ID],MATCH(L526,tblBatidas[Batida ID],0)),"DIVERGÊNCIA DE ID",IF(H526&lt;&gt;INDEX(tblBatidas[Projeto],MATCH(L526,tblBatidas[Batida ID],0)),"DIVERGÊNCIA DE PROJETO",IF(I526&lt;&gt;INDEX(tblBatidas[Atividade],MATCH(L526,tblBatidas[Batida ID],0)),"DIVERGÊNCIA DE ATIVIDADE",IF(OR(B526&lt;=INDEX(tblBatidas[Data e hora],MATCH(L526,tblBatidas[Batida ID],0)),(B526-INDEX(tblBatidas[Data e hora],MATCH(L526,tblBatidas[Batida ID],0)))*24&gt;16),"HORÁRIO INVÁLIDO","VINCULADO"))))))),"INÍCIO")</f>
        <v>INÍCIO</v>
      </c>
    </row>
    <row r="527" spans="1:13" hidden="1">
      <c r="A527" t="s">
        <v>1141</v>
      </c>
      <c r="B527" s="21">
        <v>46274.611620370371</v>
      </c>
      <c r="C527" s="2">
        <f t="shared" si="16"/>
        <v>46274</v>
      </c>
      <c r="D527" t="str">
        <f t="shared" si="17"/>
        <v>QUARTA-FEIRA</v>
      </c>
      <c r="E527">
        <v>1006</v>
      </c>
      <c r="F527" t="s">
        <v>49</v>
      </c>
      <c r="G527" t="s">
        <v>499</v>
      </c>
      <c r="H527" t="s">
        <v>86</v>
      </c>
      <c r="I527" t="s">
        <v>512</v>
      </c>
      <c r="J527" t="s">
        <v>1142</v>
      </c>
      <c r="K527" t="s">
        <v>501</v>
      </c>
      <c r="L527" s="9"/>
      <c r="M527" t="str">
        <f>IF(G527="FIM",IF(L527="","SEM VÍNCULO",IF(COUNTIF(tblBatidas[Batida ID],L527)=0,"VÍNCULO INVÁLIDO",IF(COUNTIF(tblBatidas[Início vinculado],L527)&gt;1,"VÍNCULO DUPLICADO",IF(E527&lt;&gt;INDEX(tblBatidas[ID],MATCH(L527,tblBatidas[Batida ID],0)),"DIVERGÊNCIA DE ID",IF(H527&lt;&gt;INDEX(tblBatidas[Projeto],MATCH(L527,tblBatidas[Batida ID],0)),"DIVERGÊNCIA DE PROJETO",IF(I527&lt;&gt;INDEX(tblBatidas[Atividade],MATCH(L527,tblBatidas[Batida ID],0)),"DIVERGÊNCIA DE ATIVIDADE",IF(OR(B527&lt;=INDEX(tblBatidas[Data e hora],MATCH(L527,tblBatidas[Batida ID],0)),(B527-INDEX(tblBatidas[Data e hora],MATCH(L527,tblBatidas[Batida ID],0)))*24&gt;16),"HORÁRIO INVÁLIDO","VINCULADO"))))))),"INÍCIO")</f>
        <v>INÍCIO</v>
      </c>
    </row>
    <row r="528" spans="1:13" hidden="1">
      <c r="A528" t="s">
        <v>1143</v>
      </c>
      <c r="B528" s="21">
        <v>46274.620972222219</v>
      </c>
      <c r="C528" s="2">
        <f t="shared" si="16"/>
        <v>46274</v>
      </c>
      <c r="D528" t="str">
        <f t="shared" si="17"/>
        <v>QUARTA-FEIRA</v>
      </c>
      <c r="E528">
        <v>1004</v>
      </c>
      <c r="F528" t="s">
        <v>47</v>
      </c>
      <c r="G528" t="s">
        <v>499</v>
      </c>
      <c r="H528" t="s">
        <v>82</v>
      </c>
      <c r="I528" t="s">
        <v>538</v>
      </c>
      <c r="J528" t="s">
        <v>1056</v>
      </c>
      <c r="K528" t="s">
        <v>501</v>
      </c>
      <c r="L528" s="9"/>
      <c r="M528" t="str">
        <f>IF(G528="FIM",IF(L528="","SEM VÍNCULO",IF(COUNTIF(tblBatidas[Batida ID],L528)=0,"VÍNCULO INVÁLIDO",IF(COUNTIF(tblBatidas[Início vinculado],L528)&gt;1,"VÍNCULO DUPLICADO",IF(E528&lt;&gt;INDEX(tblBatidas[ID],MATCH(L528,tblBatidas[Batida ID],0)),"DIVERGÊNCIA DE ID",IF(H528&lt;&gt;INDEX(tblBatidas[Projeto],MATCH(L528,tblBatidas[Batida ID],0)),"DIVERGÊNCIA DE PROJETO",IF(I528&lt;&gt;INDEX(tblBatidas[Atividade],MATCH(L528,tblBatidas[Batida ID],0)),"DIVERGÊNCIA DE ATIVIDADE",IF(OR(B528&lt;=INDEX(tblBatidas[Data e hora],MATCH(L528,tblBatidas[Batida ID],0)),(B528-INDEX(tblBatidas[Data e hora],MATCH(L528,tblBatidas[Batida ID],0)))*24&gt;16),"HORÁRIO INVÁLIDO","VINCULADO"))))))),"INÍCIO")</f>
        <v>INÍCIO</v>
      </c>
    </row>
    <row r="529" spans="1:13" hidden="1">
      <c r="A529" t="s">
        <v>1144</v>
      </c>
      <c r="B529" s="21">
        <v>46274.66138888889</v>
      </c>
      <c r="C529" s="2">
        <f t="shared" si="16"/>
        <v>46274</v>
      </c>
      <c r="D529" t="str">
        <f t="shared" si="17"/>
        <v>QUARTA-FEIRA</v>
      </c>
      <c r="E529">
        <v>1001</v>
      </c>
      <c r="F529" t="s">
        <v>43</v>
      </c>
      <c r="G529" t="s">
        <v>503</v>
      </c>
      <c r="H529" t="s">
        <v>72</v>
      </c>
      <c r="I529" t="s">
        <v>500</v>
      </c>
      <c r="J529" t="s">
        <v>1145</v>
      </c>
      <c r="K529" t="s">
        <v>501</v>
      </c>
      <c r="L529" s="9" t="s">
        <v>1098</v>
      </c>
      <c r="M529" t="str">
        <f>IF(G529="FIM",IF(L529="","SEM VÍNCULO",IF(COUNTIF(tblBatidas[Batida ID],L529)=0,"VÍNCULO INVÁLIDO",IF(COUNTIF(tblBatidas[Início vinculado],L529)&gt;1,"VÍNCULO DUPLICADO",IF(E529&lt;&gt;INDEX(tblBatidas[ID],MATCH(L529,tblBatidas[Batida ID],0)),"DIVERGÊNCIA DE ID",IF(H529&lt;&gt;INDEX(tblBatidas[Projeto],MATCH(L529,tblBatidas[Batida ID],0)),"DIVERGÊNCIA DE PROJETO",IF(I529&lt;&gt;INDEX(tblBatidas[Atividade],MATCH(L529,tblBatidas[Batida ID],0)),"DIVERGÊNCIA DE ATIVIDADE",IF(OR(B529&lt;=INDEX(tblBatidas[Data e hora],MATCH(L529,tblBatidas[Batida ID],0)),(B529-INDEX(tblBatidas[Data e hora],MATCH(L529,tblBatidas[Batida ID],0)))*24&gt;16),"HORÁRIO INVÁLIDO","VINCULADO"))))))),"INÍCIO")</f>
        <v>VINCULADO</v>
      </c>
    </row>
    <row r="530" spans="1:13" hidden="1">
      <c r="A530" t="s">
        <v>1146</v>
      </c>
      <c r="B530" s="21">
        <v>46274.686724537038</v>
      </c>
      <c r="C530" s="2">
        <f t="shared" si="16"/>
        <v>46274</v>
      </c>
      <c r="D530" t="str">
        <f t="shared" si="17"/>
        <v>QUARTA-FEIRA</v>
      </c>
      <c r="E530">
        <v>1001</v>
      </c>
      <c r="F530" t="s">
        <v>43</v>
      </c>
      <c r="G530" t="s">
        <v>499</v>
      </c>
      <c r="H530" t="s">
        <v>72</v>
      </c>
      <c r="I530" t="s">
        <v>500</v>
      </c>
      <c r="K530" t="s">
        <v>501</v>
      </c>
      <c r="L530" s="9"/>
      <c r="M530" t="str">
        <f>IF(G530="FIM",IF(L530="","SEM VÍNCULO",IF(COUNTIF(tblBatidas[Batida ID],L530)=0,"VÍNCULO INVÁLIDO",IF(COUNTIF(tblBatidas[Início vinculado],L530)&gt;1,"VÍNCULO DUPLICADO",IF(E530&lt;&gt;INDEX(tblBatidas[ID],MATCH(L530,tblBatidas[Batida ID],0)),"DIVERGÊNCIA DE ID",IF(H530&lt;&gt;INDEX(tblBatidas[Projeto],MATCH(L530,tblBatidas[Batida ID],0)),"DIVERGÊNCIA DE PROJETO",IF(I530&lt;&gt;INDEX(tblBatidas[Atividade],MATCH(L530,tblBatidas[Batida ID],0)),"DIVERGÊNCIA DE ATIVIDADE",IF(OR(B530&lt;=INDEX(tblBatidas[Data e hora],MATCH(L530,tblBatidas[Batida ID],0)),(B530-INDEX(tblBatidas[Data e hora],MATCH(L530,tblBatidas[Batida ID],0)))*24&gt;16),"HORÁRIO INVÁLIDO","VINCULADO"))))))),"INÍCIO")</f>
        <v>INÍCIO</v>
      </c>
    </row>
    <row r="531" spans="1:13" hidden="1">
      <c r="A531" t="s">
        <v>1147</v>
      </c>
      <c r="B531" s="21">
        <v>46274.732083333336</v>
      </c>
      <c r="C531" s="2">
        <f t="shared" si="16"/>
        <v>46274</v>
      </c>
      <c r="D531" t="str">
        <f t="shared" si="17"/>
        <v>QUARTA-FEIRA</v>
      </c>
      <c r="E531">
        <v>1010</v>
      </c>
      <c r="F531" t="s">
        <v>53</v>
      </c>
      <c r="G531" t="s">
        <v>503</v>
      </c>
      <c r="H531" t="s">
        <v>76</v>
      </c>
      <c r="I531" t="s">
        <v>512</v>
      </c>
      <c r="K531" t="s">
        <v>501</v>
      </c>
      <c r="L531" s="9" t="s">
        <v>1137</v>
      </c>
      <c r="M531" t="str">
        <f>IF(G531="FIM",IF(L531="","SEM VÍNCULO",IF(COUNTIF(tblBatidas[Batida ID],L531)=0,"VÍNCULO INVÁLIDO",IF(COUNTIF(tblBatidas[Início vinculado],L531)&gt;1,"VÍNCULO DUPLICADO",IF(E531&lt;&gt;INDEX(tblBatidas[ID],MATCH(L531,tblBatidas[Batida ID],0)),"DIVERGÊNCIA DE ID",IF(H531&lt;&gt;INDEX(tblBatidas[Projeto],MATCH(L531,tblBatidas[Batida ID],0)),"DIVERGÊNCIA DE PROJETO",IF(I531&lt;&gt;INDEX(tblBatidas[Atividade],MATCH(L531,tblBatidas[Batida ID],0)),"DIVERGÊNCIA DE ATIVIDADE",IF(OR(B531&lt;=INDEX(tblBatidas[Data e hora],MATCH(L531,tblBatidas[Batida ID],0)),(B531-INDEX(tblBatidas[Data e hora],MATCH(L531,tblBatidas[Batida ID],0)))*24&gt;16),"HORÁRIO INVÁLIDO","VINCULADO"))))))),"INÍCIO")</f>
        <v>VINCULADO</v>
      </c>
    </row>
    <row r="532" spans="1:13" hidden="1">
      <c r="A532" t="s">
        <v>1148</v>
      </c>
      <c r="B532" s="21">
        <v>46274.746481481481</v>
      </c>
      <c r="C532" s="2">
        <f t="shared" si="16"/>
        <v>46274</v>
      </c>
      <c r="D532" t="str">
        <f t="shared" si="17"/>
        <v>QUARTA-FEIRA</v>
      </c>
      <c r="E532">
        <v>1011</v>
      </c>
      <c r="F532" t="s">
        <v>54</v>
      </c>
      <c r="G532" t="s">
        <v>503</v>
      </c>
      <c r="H532" t="s">
        <v>74</v>
      </c>
      <c r="I532" t="s">
        <v>517</v>
      </c>
      <c r="K532" t="s">
        <v>501</v>
      </c>
      <c r="L532" s="9" t="s">
        <v>1127</v>
      </c>
      <c r="M532" t="str">
        <f>IF(G532="FIM",IF(L532="","SEM VÍNCULO",IF(COUNTIF(tblBatidas[Batida ID],L532)=0,"VÍNCULO INVÁLIDO",IF(COUNTIF(tblBatidas[Início vinculado],L532)&gt;1,"VÍNCULO DUPLICADO",IF(E532&lt;&gt;INDEX(tblBatidas[ID],MATCH(L532,tblBatidas[Batida ID],0)),"DIVERGÊNCIA DE ID",IF(H532&lt;&gt;INDEX(tblBatidas[Projeto],MATCH(L532,tblBatidas[Batida ID],0)),"DIVERGÊNCIA DE PROJETO",IF(I532&lt;&gt;INDEX(tblBatidas[Atividade],MATCH(L532,tblBatidas[Batida ID],0)),"DIVERGÊNCIA DE ATIVIDADE",IF(OR(B532&lt;=INDEX(tblBatidas[Data e hora],MATCH(L532,tblBatidas[Batida ID],0)),(B532-INDEX(tblBatidas[Data e hora],MATCH(L532,tblBatidas[Batida ID],0)))*24&gt;16),"HORÁRIO INVÁLIDO","VINCULADO"))))))),"INÍCIO")</f>
        <v>VINCULADO</v>
      </c>
    </row>
    <row r="533" spans="1:13" hidden="1">
      <c r="A533" t="s">
        <v>1149</v>
      </c>
      <c r="B533" s="21">
        <v>46274.750196759262</v>
      </c>
      <c r="C533" s="2">
        <f t="shared" si="16"/>
        <v>46274</v>
      </c>
      <c r="D533" t="str">
        <f t="shared" si="17"/>
        <v>QUARTA-FEIRA</v>
      </c>
      <c r="E533">
        <v>1003</v>
      </c>
      <c r="F533" t="s">
        <v>46</v>
      </c>
      <c r="G533" t="s">
        <v>503</v>
      </c>
      <c r="H533" t="s">
        <v>74</v>
      </c>
      <c r="I533" t="s">
        <v>517</v>
      </c>
      <c r="K533" t="s">
        <v>501</v>
      </c>
      <c r="L533" s="9"/>
      <c r="M533" t="str">
        <f>IF(G533="FIM",IF(L533="","SEM VÍNCULO",IF(COUNTIF(tblBatidas[Batida ID],L533)=0,"VÍNCULO INVÁLIDO",IF(COUNTIF(tblBatidas[Início vinculado],L533)&gt;1,"VÍNCULO DUPLICADO",IF(E533&lt;&gt;INDEX(tblBatidas[ID],MATCH(L533,tblBatidas[Batida ID],0)),"DIVERGÊNCIA DE ID",IF(H533&lt;&gt;INDEX(tblBatidas[Projeto],MATCH(L533,tblBatidas[Batida ID],0)),"DIVERGÊNCIA DE PROJETO",IF(I533&lt;&gt;INDEX(tblBatidas[Atividade],MATCH(L533,tblBatidas[Batida ID],0)),"DIVERGÊNCIA DE ATIVIDADE",IF(OR(B533&lt;=INDEX(tblBatidas[Data e hora],MATCH(L533,tblBatidas[Batida ID],0)),(B533-INDEX(tblBatidas[Data e hora],MATCH(L533,tblBatidas[Batida ID],0)))*24&gt;16),"HORÁRIO INVÁLIDO","VINCULADO"))))))),"INÍCIO")</f>
        <v>SEM VÍNCULO</v>
      </c>
    </row>
    <row r="534" spans="1:13" hidden="1">
      <c r="A534" t="s">
        <v>1150</v>
      </c>
      <c r="B534" s="21">
        <v>46274.750960648147</v>
      </c>
      <c r="C534" s="2">
        <f t="shared" si="16"/>
        <v>46274</v>
      </c>
      <c r="D534" t="str">
        <f t="shared" si="17"/>
        <v>QUARTA-FEIRA</v>
      </c>
      <c r="E534">
        <v>1015</v>
      </c>
      <c r="F534" t="s">
        <v>59</v>
      </c>
      <c r="G534" t="s">
        <v>503</v>
      </c>
      <c r="H534" t="s">
        <v>84</v>
      </c>
      <c r="I534" t="s">
        <v>84</v>
      </c>
      <c r="K534" t="s">
        <v>501</v>
      </c>
      <c r="L534" s="9" t="s">
        <v>1136</v>
      </c>
      <c r="M534" t="str">
        <f>IF(G534="FIM",IF(L534="","SEM VÍNCULO",IF(COUNTIF(tblBatidas[Batida ID],L534)=0,"VÍNCULO INVÁLIDO",IF(COUNTIF(tblBatidas[Início vinculado],L534)&gt;1,"VÍNCULO DUPLICADO",IF(E534&lt;&gt;INDEX(tblBatidas[ID],MATCH(L534,tblBatidas[Batida ID],0)),"DIVERGÊNCIA DE ID",IF(H534&lt;&gt;INDEX(tblBatidas[Projeto],MATCH(L534,tblBatidas[Batida ID],0)),"DIVERGÊNCIA DE PROJETO",IF(I534&lt;&gt;INDEX(tblBatidas[Atividade],MATCH(L534,tblBatidas[Batida ID],0)),"DIVERGÊNCIA DE ATIVIDADE",IF(OR(B534&lt;=INDEX(tblBatidas[Data e hora],MATCH(L534,tblBatidas[Batida ID],0)),(B534-INDEX(tblBatidas[Data e hora],MATCH(L534,tblBatidas[Batida ID],0)))*24&gt;16),"HORÁRIO INVÁLIDO","VINCULADO"))))))),"INÍCIO")</f>
        <v>VINCULADO</v>
      </c>
    </row>
    <row r="535" spans="1:13" hidden="1">
      <c r="A535" t="s">
        <v>1151</v>
      </c>
      <c r="B535" s="21">
        <v>46274.751539351855</v>
      </c>
      <c r="C535" s="2">
        <f t="shared" si="16"/>
        <v>46274</v>
      </c>
      <c r="D535" t="str">
        <f t="shared" si="17"/>
        <v>QUARTA-FEIRA</v>
      </c>
      <c r="E535">
        <v>1013</v>
      </c>
      <c r="F535" t="s">
        <v>57</v>
      </c>
      <c r="G535" t="s">
        <v>503</v>
      </c>
      <c r="H535" t="s">
        <v>80</v>
      </c>
      <c r="I535" t="s">
        <v>517</v>
      </c>
      <c r="K535" t="s">
        <v>501</v>
      </c>
      <c r="L535" s="9" t="s">
        <v>1121</v>
      </c>
      <c r="M535" t="str">
        <f>IF(G535="FIM",IF(L535="","SEM VÍNCULO",IF(COUNTIF(tblBatidas[Batida ID],L535)=0,"VÍNCULO INVÁLIDO",IF(COUNTIF(tblBatidas[Início vinculado],L535)&gt;1,"VÍNCULO DUPLICADO",IF(E535&lt;&gt;INDEX(tblBatidas[ID],MATCH(L535,tblBatidas[Batida ID],0)),"DIVERGÊNCIA DE ID",IF(H535&lt;&gt;INDEX(tblBatidas[Projeto],MATCH(L535,tblBatidas[Batida ID],0)),"DIVERGÊNCIA DE PROJETO",IF(I535&lt;&gt;INDEX(tblBatidas[Atividade],MATCH(L535,tblBatidas[Batida ID],0)),"DIVERGÊNCIA DE ATIVIDADE",IF(OR(B535&lt;=INDEX(tblBatidas[Data e hora],MATCH(L535,tblBatidas[Batida ID],0)),(B535-INDEX(tblBatidas[Data e hora],MATCH(L535,tblBatidas[Batida ID],0)))*24&gt;16),"HORÁRIO INVÁLIDO","VINCULADO"))))))),"INÍCIO")</f>
        <v>VINCULADO</v>
      </c>
    </row>
    <row r="536" spans="1:13" hidden="1">
      <c r="A536" t="s">
        <v>1152</v>
      </c>
      <c r="B536" s="21">
        <v>46274.753993055558</v>
      </c>
      <c r="C536" s="2">
        <f t="shared" si="16"/>
        <v>46274</v>
      </c>
      <c r="D536" t="str">
        <f t="shared" si="17"/>
        <v>QUARTA-FEIRA</v>
      </c>
      <c r="E536">
        <v>1014</v>
      </c>
      <c r="F536" t="s">
        <v>58</v>
      </c>
      <c r="G536" t="s">
        <v>503</v>
      </c>
      <c r="H536" t="s">
        <v>88</v>
      </c>
      <c r="I536" t="s">
        <v>512</v>
      </c>
      <c r="K536" t="s">
        <v>501</v>
      </c>
      <c r="L536" s="9" t="s">
        <v>1135</v>
      </c>
      <c r="M536" t="str">
        <f>IF(G536="FIM",IF(L536="","SEM VÍNCULO",IF(COUNTIF(tblBatidas[Batida ID],L536)=0,"VÍNCULO INVÁLIDO",IF(COUNTIF(tblBatidas[Início vinculado],L536)&gt;1,"VÍNCULO DUPLICADO",IF(E536&lt;&gt;INDEX(tblBatidas[ID],MATCH(L536,tblBatidas[Batida ID],0)),"DIVERGÊNCIA DE ID",IF(H536&lt;&gt;INDEX(tblBatidas[Projeto],MATCH(L536,tblBatidas[Batida ID],0)),"DIVERGÊNCIA DE PROJETO",IF(I536&lt;&gt;INDEX(tblBatidas[Atividade],MATCH(L536,tblBatidas[Batida ID],0)),"DIVERGÊNCIA DE ATIVIDADE",IF(OR(B536&lt;=INDEX(tblBatidas[Data e hora],MATCH(L536,tblBatidas[Batida ID],0)),(B536-INDEX(tblBatidas[Data e hora],MATCH(L536,tblBatidas[Batida ID],0)))*24&gt;16),"HORÁRIO INVÁLIDO","VINCULADO"))))))),"INÍCIO")</f>
        <v>VINCULADO</v>
      </c>
    </row>
    <row r="537" spans="1:13" hidden="1">
      <c r="A537" t="s">
        <v>1153</v>
      </c>
      <c r="B537" s="21">
        <v>46274.754432870373</v>
      </c>
      <c r="C537" s="2">
        <f t="shared" si="16"/>
        <v>46274</v>
      </c>
      <c r="D537" t="str">
        <f t="shared" si="17"/>
        <v>QUARTA-FEIRA</v>
      </c>
      <c r="E537">
        <v>1016</v>
      </c>
      <c r="F537" t="s">
        <v>60</v>
      </c>
      <c r="G537" t="s">
        <v>503</v>
      </c>
      <c r="H537" t="s">
        <v>70</v>
      </c>
      <c r="I537" t="s">
        <v>517</v>
      </c>
      <c r="K537" t="s">
        <v>501</v>
      </c>
      <c r="L537" s="9" t="s">
        <v>1138</v>
      </c>
      <c r="M537" t="str">
        <f>IF(G537="FIM",IF(L537="","SEM VÍNCULO",IF(COUNTIF(tblBatidas[Batida ID],L537)=0,"VÍNCULO INVÁLIDO",IF(COUNTIF(tblBatidas[Início vinculado],L537)&gt;1,"VÍNCULO DUPLICADO",IF(E537&lt;&gt;INDEX(tblBatidas[ID],MATCH(L537,tblBatidas[Batida ID],0)),"DIVERGÊNCIA DE ID",IF(H537&lt;&gt;INDEX(tblBatidas[Projeto],MATCH(L537,tblBatidas[Batida ID],0)),"DIVERGÊNCIA DE PROJETO",IF(I537&lt;&gt;INDEX(tblBatidas[Atividade],MATCH(L537,tblBatidas[Batida ID],0)),"DIVERGÊNCIA DE ATIVIDADE",IF(OR(B537&lt;=INDEX(tblBatidas[Data e hora],MATCH(L537,tblBatidas[Batida ID],0)),(B537-INDEX(tblBatidas[Data e hora],MATCH(L537,tblBatidas[Batida ID],0)))*24&gt;16),"HORÁRIO INVÁLIDO","VINCULADO"))))))),"INÍCIO")</f>
        <v>VINCULADO</v>
      </c>
    </row>
    <row r="538" spans="1:13" hidden="1">
      <c r="A538" t="s">
        <v>1154</v>
      </c>
      <c r="B538" s="21">
        <v>46274.757905092592</v>
      </c>
      <c r="C538" s="2">
        <f t="shared" si="16"/>
        <v>46274</v>
      </c>
      <c r="D538" t="str">
        <f t="shared" si="17"/>
        <v>QUARTA-FEIRA</v>
      </c>
      <c r="E538">
        <v>1012</v>
      </c>
      <c r="F538" t="s">
        <v>55</v>
      </c>
      <c r="G538" t="s">
        <v>503</v>
      </c>
      <c r="H538" t="s">
        <v>74</v>
      </c>
      <c r="I538" t="s">
        <v>500</v>
      </c>
      <c r="J538" t="s">
        <v>1155</v>
      </c>
      <c r="K538" t="s">
        <v>501</v>
      </c>
      <c r="L538" s="9"/>
      <c r="M538" t="str">
        <f>IF(G538="FIM",IF(L538="","SEM VÍNCULO",IF(COUNTIF(tblBatidas[Batida ID],L538)=0,"VÍNCULO INVÁLIDO",IF(COUNTIF(tblBatidas[Início vinculado],L538)&gt;1,"VÍNCULO DUPLICADO",IF(E538&lt;&gt;INDEX(tblBatidas[ID],MATCH(L538,tblBatidas[Batida ID],0)),"DIVERGÊNCIA DE ID",IF(H538&lt;&gt;INDEX(tblBatidas[Projeto],MATCH(L538,tblBatidas[Batida ID],0)),"DIVERGÊNCIA DE PROJETO",IF(I538&lt;&gt;INDEX(tblBatidas[Atividade],MATCH(L538,tblBatidas[Batida ID],0)),"DIVERGÊNCIA DE ATIVIDADE",IF(OR(B538&lt;=INDEX(tblBatidas[Data e hora],MATCH(L538,tblBatidas[Batida ID],0)),(B538-INDEX(tblBatidas[Data e hora],MATCH(L538,tblBatidas[Batida ID],0)))*24&gt;16),"HORÁRIO INVÁLIDO","VINCULADO"))))))),"INÍCIO")</f>
        <v>SEM VÍNCULO</v>
      </c>
    </row>
    <row r="539" spans="1:13" hidden="1">
      <c r="A539" t="s">
        <v>1156</v>
      </c>
      <c r="B539" s="21">
        <v>46274.812592592592</v>
      </c>
      <c r="C539" s="2">
        <f t="shared" si="16"/>
        <v>46274</v>
      </c>
      <c r="D539" t="str">
        <f t="shared" si="17"/>
        <v>QUARTA-FEIRA</v>
      </c>
      <c r="E539">
        <v>1001</v>
      </c>
      <c r="F539" t="s">
        <v>43</v>
      </c>
      <c r="G539" t="s">
        <v>503</v>
      </c>
      <c r="H539" t="s">
        <v>72</v>
      </c>
      <c r="I539" t="s">
        <v>500</v>
      </c>
      <c r="K539" t="s">
        <v>501</v>
      </c>
      <c r="L539" s="9" t="s">
        <v>1146</v>
      </c>
      <c r="M539" t="str">
        <f>IF(G539="FIM",IF(L539="","SEM VÍNCULO",IF(COUNTIF(tblBatidas[Batida ID],L539)=0,"VÍNCULO INVÁLIDO",IF(COUNTIF(tblBatidas[Início vinculado],L539)&gt;1,"VÍNCULO DUPLICADO",IF(E539&lt;&gt;INDEX(tblBatidas[ID],MATCH(L539,tblBatidas[Batida ID],0)),"DIVERGÊNCIA DE ID",IF(H539&lt;&gt;INDEX(tblBatidas[Projeto],MATCH(L539,tblBatidas[Batida ID],0)),"DIVERGÊNCIA DE PROJETO",IF(I539&lt;&gt;INDEX(tblBatidas[Atividade],MATCH(L539,tblBatidas[Batida ID],0)),"DIVERGÊNCIA DE ATIVIDADE",IF(OR(B539&lt;=INDEX(tblBatidas[Data e hora],MATCH(L539,tblBatidas[Batida ID],0)),(B539-INDEX(tblBatidas[Data e hora],MATCH(L539,tblBatidas[Batida ID],0)))*24&gt;16),"HORÁRIO INVÁLIDO","VINCULADO"))))))),"INÍCIO")</f>
        <v>VINCULADO</v>
      </c>
    </row>
    <row r="540" spans="1:13" hidden="1">
      <c r="A540" t="s">
        <v>1157</v>
      </c>
      <c r="B540" s="21">
        <v>46274.813518518517</v>
      </c>
      <c r="C540" s="2">
        <f t="shared" si="16"/>
        <v>46274</v>
      </c>
      <c r="D540" t="str">
        <f t="shared" si="17"/>
        <v>QUARTA-FEIRA</v>
      </c>
      <c r="E540">
        <v>1004</v>
      </c>
      <c r="F540" t="s">
        <v>47</v>
      </c>
      <c r="G540" t="s">
        <v>503</v>
      </c>
      <c r="H540" t="s">
        <v>82</v>
      </c>
      <c r="I540" t="s">
        <v>538</v>
      </c>
      <c r="J540" t="s">
        <v>1158</v>
      </c>
      <c r="K540" t="s">
        <v>501</v>
      </c>
      <c r="L540" s="9" t="s">
        <v>1143</v>
      </c>
      <c r="M540" t="str">
        <f>IF(G540="FIM",IF(L540="","SEM VÍNCULO",IF(COUNTIF(tblBatidas[Batida ID],L540)=0,"VÍNCULO INVÁLIDO",IF(COUNTIF(tblBatidas[Início vinculado],L540)&gt;1,"VÍNCULO DUPLICADO",IF(E540&lt;&gt;INDEX(tblBatidas[ID],MATCH(L540,tblBatidas[Batida ID],0)),"DIVERGÊNCIA DE ID",IF(H540&lt;&gt;INDEX(tblBatidas[Projeto],MATCH(L540,tblBatidas[Batida ID],0)),"DIVERGÊNCIA DE PROJETO",IF(I540&lt;&gt;INDEX(tblBatidas[Atividade],MATCH(L540,tblBatidas[Batida ID],0)),"DIVERGÊNCIA DE ATIVIDADE",IF(OR(B540&lt;=INDEX(tblBatidas[Data e hora],MATCH(L540,tblBatidas[Batida ID],0)),(B540-INDEX(tblBatidas[Data e hora],MATCH(L540,tblBatidas[Batida ID],0)))*24&gt;16),"HORÁRIO INVÁLIDO","VINCULADO"))))))),"INÍCIO")</f>
        <v>VINCULADO</v>
      </c>
    </row>
    <row r="541" spans="1:13" hidden="1">
      <c r="A541" t="s">
        <v>1159</v>
      </c>
      <c r="B541" s="21">
        <v>46274.860925925925</v>
      </c>
      <c r="C541" s="2">
        <f t="shared" si="16"/>
        <v>46274</v>
      </c>
      <c r="D541" t="str">
        <f t="shared" si="17"/>
        <v>QUARTA-FEIRA</v>
      </c>
      <c r="E541">
        <v>1001</v>
      </c>
      <c r="F541" t="s">
        <v>43</v>
      </c>
      <c r="G541" t="s">
        <v>503</v>
      </c>
      <c r="H541" t="s">
        <v>72</v>
      </c>
      <c r="I541" t="s">
        <v>512</v>
      </c>
      <c r="K541" t="s">
        <v>501</v>
      </c>
      <c r="L541" s="9"/>
      <c r="M541" t="str">
        <f>IF(G541="FIM",IF(L541="","SEM VÍNCULO",IF(COUNTIF(tblBatidas[Batida ID],L541)=0,"VÍNCULO INVÁLIDO",IF(COUNTIF(tblBatidas[Início vinculado],L541)&gt;1,"VÍNCULO DUPLICADO",IF(E541&lt;&gt;INDEX(tblBatidas[ID],MATCH(L541,tblBatidas[Batida ID],0)),"DIVERGÊNCIA DE ID",IF(H541&lt;&gt;INDEX(tblBatidas[Projeto],MATCH(L541,tblBatidas[Batida ID],0)),"DIVERGÊNCIA DE PROJETO",IF(I541&lt;&gt;INDEX(tblBatidas[Atividade],MATCH(L541,tblBatidas[Batida ID],0)),"DIVERGÊNCIA DE ATIVIDADE",IF(OR(B541&lt;=INDEX(tblBatidas[Data e hora],MATCH(L541,tblBatidas[Batida ID],0)),(B541-INDEX(tblBatidas[Data e hora],MATCH(L541,tblBatidas[Batida ID],0)))*24&gt;16),"HORÁRIO INVÁLIDO","VINCULADO"))))))),"INÍCIO")</f>
        <v>SEM VÍNCULO</v>
      </c>
    </row>
    <row r="542" spans="1:13" hidden="1">
      <c r="A542" t="s">
        <v>1160</v>
      </c>
      <c r="B542" s="21">
        <v>46274.944120370368</v>
      </c>
      <c r="C542" s="2">
        <f t="shared" si="16"/>
        <v>46274</v>
      </c>
      <c r="D542" t="str">
        <f t="shared" si="17"/>
        <v>QUARTA-FEIRA</v>
      </c>
      <c r="E542">
        <v>1006</v>
      </c>
      <c r="F542" t="s">
        <v>49</v>
      </c>
      <c r="G542" t="s">
        <v>503</v>
      </c>
      <c r="H542" t="s">
        <v>88</v>
      </c>
      <c r="I542" t="s">
        <v>512</v>
      </c>
      <c r="K542" t="s">
        <v>501</v>
      </c>
      <c r="L542" s="9"/>
      <c r="M542" t="str">
        <f>IF(G542="FIM",IF(L542="","SEM VÍNCULO",IF(COUNTIF(tblBatidas[Batida ID],L542)=0,"VÍNCULO INVÁLIDO",IF(COUNTIF(tblBatidas[Início vinculado],L542)&gt;1,"VÍNCULO DUPLICADO",IF(E542&lt;&gt;INDEX(tblBatidas[ID],MATCH(L542,tblBatidas[Batida ID],0)),"DIVERGÊNCIA DE ID",IF(H542&lt;&gt;INDEX(tblBatidas[Projeto],MATCH(L542,tblBatidas[Batida ID],0)),"DIVERGÊNCIA DE PROJETO",IF(I542&lt;&gt;INDEX(tblBatidas[Atividade],MATCH(L542,tblBatidas[Batida ID],0)),"DIVERGÊNCIA DE ATIVIDADE",IF(OR(B542&lt;=INDEX(tblBatidas[Data e hora],MATCH(L542,tblBatidas[Batida ID],0)),(B542-INDEX(tblBatidas[Data e hora],MATCH(L542,tblBatidas[Batida ID],0)))*24&gt;16),"HORÁRIO INVÁLIDO","VINCULADO"))))))),"INÍCIO")</f>
        <v>SEM VÍNCULO</v>
      </c>
    </row>
    <row r="543" spans="1:13" hidden="1">
      <c r="A543" t="s">
        <v>1161</v>
      </c>
      <c r="B543" s="21">
        <v>46274.946180555555</v>
      </c>
      <c r="C543" s="2">
        <f t="shared" si="16"/>
        <v>46274</v>
      </c>
      <c r="D543" t="str">
        <f t="shared" si="17"/>
        <v>QUARTA-FEIRA</v>
      </c>
      <c r="E543">
        <v>1006</v>
      </c>
      <c r="F543" t="s">
        <v>49</v>
      </c>
      <c r="G543" t="s">
        <v>503</v>
      </c>
      <c r="H543" t="s">
        <v>84</v>
      </c>
      <c r="I543" t="s">
        <v>512</v>
      </c>
      <c r="J543" t="s">
        <v>1162</v>
      </c>
      <c r="K543" t="s">
        <v>501</v>
      </c>
      <c r="L543" s="9"/>
      <c r="M543" t="str">
        <f>IF(G543="FIM",IF(L543="","SEM VÍNCULO",IF(COUNTIF(tblBatidas[Batida ID],L543)=0,"VÍNCULO INVÁLIDO",IF(COUNTIF(tblBatidas[Início vinculado],L543)&gt;1,"VÍNCULO DUPLICADO",IF(E543&lt;&gt;INDEX(tblBatidas[ID],MATCH(L543,tblBatidas[Batida ID],0)),"DIVERGÊNCIA DE ID",IF(H543&lt;&gt;INDEX(tblBatidas[Projeto],MATCH(L543,tblBatidas[Batida ID],0)),"DIVERGÊNCIA DE PROJETO",IF(I543&lt;&gt;INDEX(tblBatidas[Atividade],MATCH(L543,tblBatidas[Batida ID],0)),"DIVERGÊNCIA DE ATIVIDADE",IF(OR(B543&lt;=INDEX(tblBatidas[Data e hora],MATCH(L543,tblBatidas[Batida ID],0)),(B543-INDEX(tblBatidas[Data e hora],MATCH(L543,tblBatidas[Batida ID],0)))*24&gt;16),"HORÁRIO INVÁLIDO","VINCULADO"))))))),"INÍCIO")</f>
        <v>SEM VÍNCULO</v>
      </c>
    </row>
    <row r="544" spans="1:13" hidden="1">
      <c r="A544" t="s">
        <v>1163</v>
      </c>
      <c r="B544" s="21">
        <v>46274.946469907409</v>
      </c>
      <c r="C544" s="2">
        <f t="shared" si="16"/>
        <v>46274</v>
      </c>
      <c r="D544" t="str">
        <f t="shared" si="17"/>
        <v>QUARTA-FEIRA</v>
      </c>
      <c r="E544">
        <v>1006</v>
      </c>
      <c r="F544" t="s">
        <v>49</v>
      </c>
      <c r="G544" t="s">
        <v>503</v>
      </c>
      <c r="H544" t="s">
        <v>86</v>
      </c>
      <c r="I544" t="s">
        <v>512</v>
      </c>
      <c r="J544" t="s">
        <v>1162</v>
      </c>
      <c r="K544" t="s">
        <v>501</v>
      </c>
      <c r="L544" s="9" t="s">
        <v>1141</v>
      </c>
      <c r="M544" t="str">
        <f>IF(G544="FIM",IF(L544="","SEM VÍNCULO",IF(COUNTIF(tblBatidas[Batida ID],L544)=0,"VÍNCULO INVÁLIDO",IF(COUNTIF(tblBatidas[Início vinculado],L544)&gt;1,"VÍNCULO DUPLICADO",IF(E544&lt;&gt;INDEX(tblBatidas[ID],MATCH(L544,tblBatidas[Batida ID],0)),"DIVERGÊNCIA DE ID",IF(H544&lt;&gt;INDEX(tblBatidas[Projeto],MATCH(L544,tblBatidas[Batida ID],0)),"DIVERGÊNCIA DE PROJETO",IF(I544&lt;&gt;INDEX(tblBatidas[Atividade],MATCH(L544,tblBatidas[Batida ID],0)),"DIVERGÊNCIA DE ATIVIDADE",IF(OR(B544&lt;=INDEX(tblBatidas[Data e hora],MATCH(L544,tblBatidas[Batida ID],0)),(B544-INDEX(tblBatidas[Data e hora],MATCH(L544,tblBatidas[Batida ID],0)))*24&gt;16),"HORÁRIO INVÁLIDO","VINCULADO"))))))),"INÍCIO")</f>
        <v>VINCULADO</v>
      </c>
    </row>
    <row r="545" spans="1:13" hidden="1">
      <c r="A545" t="s">
        <v>1164</v>
      </c>
      <c r="B545" s="21">
        <v>46275.324317129627</v>
      </c>
      <c r="C545" s="2">
        <f t="shared" si="16"/>
        <v>46275</v>
      </c>
      <c r="D545" t="str">
        <f t="shared" si="17"/>
        <v>QUINTA-FEIRA</v>
      </c>
      <c r="E545">
        <v>1011</v>
      </c>
      <c r="F545" t="s">
        <v>54</v>
      </c>
      <c r="G545" t="s">
        <v>499</v>
      </c>
      <c r="H545" t="s">
        <v>76</v>
      </c>
      <c r="I545" t="s">
        <v>517</v>
      </c>
      <c r="K545" t="s">
        <v>501</v>
      </c>
      <c r="L545" s="9"/>
      <c r="M545" t="str">
        <f>IF(G545="FIM",IF(L545="","SEM VÍNCULO",IF(COUNTIF(tblBatidas[Batida ID],L545)=0,"VÍNCULO INVÁLIDO",IF(COUNTIF(tblBatidas[Início vinculado],L545)&gt;1,"VÍNCULO DUPLICADO",IF(E545&lt;&gt;INDEX(tblBatidas[ID],MATCH(L545,tblBatidas[Batida ID],0)),"DIVERGÊNCIA DE ID",IF(H545&lt;&gt;INDEX(tblBatidas[Projeto],MATCH(L545,tblBatidas[Batida ID],0)),"DIVERGÊNCIA DE PROJETO",IF(I545&lt;&gt;INDEX(tblBatidas[Atividade],MATCH(L545,tblBatidas[Batida ID],0)),"DIVERGÊNCIA DE ATIVIDADE",IF(OR(B545&lt;=INDEX(tblBatidas[Data e hora],MATCH(L545,tblBatidas[Batida ID],0)),(B545-INDEX(tblBatidas[Data e hora],MATCH(L545,tblBatidas[Batida ID],0)))*24&gt;16),"HORÁRIO INVÁLIDO","VINCULADO"))))))),"INÍCIO")</f>
        <v>INÍCIO</v>
      </c>
    </row>
    <row r="546" spans="1:13">
      <c r="A546" t="s">
        <v>1165</v>
      </c>
      <c r="B546" s="21">
        <v>46275.330289351848</v>
      </c>
      <c r="C546" s="2">
        <f t="shared" si="16"/>
        <v>46275</v>
      </c>
      <c r="D546" t="str">
        <f t="shared" si="17"/>
        <v>QUINTA-FEIRA</v>
      </c>
      <c r="E546">
        <v>1002</v>
      </c>
      <c r="F546" t="s">
        <v>45</v>
      </c>
      <c r="G546" t="s">
        <v>499</v>
      </c>
      <c r="H546" t="s">
        <v>70</v>
      </c>
      <c r="I546" t="s">
        <v>517</v>
      </c>
      <c r="K546" t="s">
        <v>501</v>
      </c>
      <c r="L546" s="9"/>
      <c r="M546" t="str">
        <f>IF(G546="FIM",IF(L546="","SEM VÍNCULO",IF(COUNTIF(tblBatidas[Batida ID],L546)=0,"VÍNCULO INVÁLIDO",IF(COUNTIF(tblBatidas[Início vinculado],L546)&gt;1,"VÍNCULO DUPLICADO",IF(E546&lt;&gt;INDEX(tblBatidas[ID],MATCH(L546,tblBatidas[Batida ID],0)),"DIVERGÊNCIA DE ID",IF(H546&lt;&gt;INDEX(tblBatidas[Projeto],MATCH(L546,tblBatidas[Batida ID],0)),"DIVERGÊNCIA DE PROJETO",IF(I546&lt;&gt;INDEX(tblBatidas[Atividade],MATCH(L546,tblBatidas[Batida ID],0)),"DIVERGÊNCIA DE ATIVIDADE",IF(OR(B546&lt;=INDEX(tblBatidas[Data e hora],MATCH(L546,tblBatidas[Batida ID],0)),(B546-INDEX(tblBatidas[Data e hora],MATCH(L546,tblBatidas[Batida ID],0)))*24&gt;16),"HORÁRIO INVÁLIDO","VINCULADO"))))))),"INÍCIO")</f>
        <v>INÍCIO</v>
      </c>
    </row>
    <row r="547" spans="1:13" hidden="1">
      <c r="A547" t="s">
        <v>1166</v>
      </c>
      <c r="B547" s="21">
        <v>46275.335231481484</v>
      </c>
      <c r="C547" s="2">
        <f t="shared" si="16"/>
        <v>46275</v>
      </c>
      <c r="D547" t="str">
        <f t="shared" si="17"/>
        <v>QUINTA-FEIRA</v>
      </c>
      <c r="E547">
        <v>1013</v>
      </c>
      <c r="F547" t="s">
        <v>57</v>
      </c>
      <c r="G547" t="s">
        <v>499</v>
      </c>
      <c r="H547" t="s">
        <v>80</v>
      </c>
      <c r="I547" t="s">
        <v>517</v>
      </c>
      <c r="K547" t="s">
        <v>501</v>
      </c>
      <c r="L547" s="9"/>
      <c r="M547" t="str">
        <f>IF(G547="FIM",IF(L547="","SEM VÍNCULO",IF(COUNTIF(tblBatidas[Batida ID],L547)=0,"VÍNCULO INVÁLIDO",IF(COUNTIF(tblBatidas[Início vinculado],L547)&gt;1,"VÍNCULO DUPLICADO",IF(E547&lt;&gt;INDEX(tblBatidas[ID],MATCH(L547,tblBatidas[Batida ID],0)),"DIVERGÊNCIA DE ID",IF(H547&lt;&gt;INDEX(tblBatidas[Projeto],MATCH(L547,tblBatidas[Batida ID],0)),"DIVERGÊNCIA DE PROJETO",IF(I547&lt;&gt;INDEX(tblBatidas[Atividade],MATCH(L547,tblBatidas[Batida ID],0)),"DIVERGÊNCIA DE ATIVIDADE",IF(OR(B547&lt;=INDEX(tblBatidas[Data e hora],MATCH(L547,tblBatidas[Batida ID],0)),(B547-INDEX(tblBatidas[Data e hora],MATCH(L547,tblBatidas[Batida ID],0)))*24&gt;16),"HORÁRIO INVÁLIDO","VINCULADO"))))))),"INÍCIO")</f>
        <v>INÍCIO</v>
      </c>
    </row>
    <row r="548" spans="1:13" hidden="1">
      <c r="A548" t="s">
        <v>1167</v>
      </c>
      <c r="B548" s="21">
        <v>46275.344525462962</v>
      </c>
      <c r="C548" s="2">
        <f t="shared" si="16"/>
        <v>46275</v>
      </c>
      <c r="D548" t="str">
        <f t="shared" si="17"/>
        <v>QUINTA-FEIRA</v>
      </c>
      <c r="E548">
        <v>1003</v>
      </c>
      <c r="F548" t="s">
        <v>46</v>
      </c>
      <c r="G548" t="s">
        <v>499</v>
      </c>
      <c r="H548" t="s">
        <v>74</v>
      </c>
      <c r="I548" t="s">
        <v>517</v>
      </c>
      <c r="K548" t="s">
        <v>501</v>
      </c>
      <c r="L548" s="9"/>
      <c r="M548" t="str">
        <f>IF(G548="FIM",IF(L548="","SEM VÍNCULO",IF(COUNTIF(tblBatidas[Batida ID],L548)=0,"VÍNCULO INVÁLIDO",IF(COUNTIF(tblBatidas[Início vinculado],L548)&gt;1,"VÍNCULO DUPLICADO",IF(E548&lt;&gt;INDEX(tblBatidas[ID],MATCH(L548,tblBatidas[Batida ID],0)),"DIVERGÊNCIA DE ID",IF(H548&lt;&gt;INDEX(tblBatidas[Projeto],MATCH(L548,tblBatidas[Batida ID],0)),"DIVERGÊNCIA DE PROJETO",IF(I548&lt;&gt;INDEX(tblBatidas[Atividade],MATCH(L548,tblBatidas[Batida ID],0)),"DIVERGÊNCIA DE ATIVIDADE",IF(OR(B548&lt;=INDEX(tblBatidas[Data e hora],MATCH(L548,tblBatidas[Batida ID],0)),(B548-INDEX(tblBatidas[Data e hora],MATCH(L548,tblBatidas[Batida ID],0)))*24&gt;16),"HORÁRIO INVÁLIDO","VINCULADO"))))))),"INÍCIO")</f>
        <v>INÍCIO</v>
      </c>
    </row>
    <row r="549" spans="1:13" hidden="1">
      <c r="A549" t="s">
        <v>1168</v>
      </c>
      <c r="B549" s="21">
        <v>46275.349675925929</v>
      </c>
      <c r="C549" s="2">
        <f t="shared" si="16"/>
        <v>46275</v>
      </c>
      <c r="D549" t="str">
        <f t="shared" si="17"/>
        <v>QUINTA-FEIRA</v>
      </c>
      <c r="E549">
        <v>1001</v>
      </c>
      <c r="F549" t="s">
        <v>43</v>
      </c>
      <c r="G549" t="s">
        <v>499</v>
      </c>
      <c r="H549" t="s">
        <v>72</v>
      </c>
      <c r="I549" t="s">
        <v>500</v>
      </c>
      <c r="K549" t="s">
        <v>501</v>
      </c>
      <c r="L549" s="9"/>
      <c r="M549" t="str">
        <f>IF(G549="FIM",IF(L549="","SEM VÍNCULO",IF(COUNTIF(tblBatidas[Batida ID],L549)=0,"VÍNCULO INVÁLIDO",IF(COUNTIF(tblBatidas[Início vinculado],L549)&gt;1,"VÍNCULO DUPLICADO",IF(E549&lt;&gt;INDEX(tblBatidas[ID],MATCH(L549,tblBatidas[Batida ID],0)),"DIVERGÊNCIA DE ID",IF(H549&lt;&gt;INDEX(tblBatidas[Projeto],MATCH(L549,tblBatidas[Batida ID],0)),"DIVERGÊNCIA DE PROJETO",IF(I549&lt;&gt;INDEX(tblBatidas[Atividade],MATCH(L549,tblBatidas[Batida ID],0)),"DIVERGÊNCIA DE ATIVIDADE",IF(OR(B549&lt;=INDEX(tblBatidas[Data e hora],MATCH(L549,tblBatidas[Batida ID],0)),(B549-INDEX(tblBatidas[Data e hora],MATCH(L549,tblBatidas[Batida ID],0)))*24&gt;16),"HORÁRIO INVÁLIDO","VINCULADO"))))))),"INÍCIO")</f>
        <v>INÍCIO</v>
      </c>
    </row>
    <row r="550" spans="1:13" hidden="1">
      <c r="A550" t="s">
        <v>1169</v>
      </c>
      <c r="B550" s="21">
        <v>46275.366539351853</v>
      </c>
      <c r="C550" s="2">
        <f t="shared" si="16"/>
        <v>46275</v>
      </c>
      <c r="D550" t="str">
        <f t="shared" si="17"/>
        <v>QUINTA-FEIRA</v>
      </c>
      <c r="E550">
        <v>1016</v>
      </c>
      <c r="F550" t="s">
        <v>60</v>
      </c>
      <c r="G550" t="s">
        <v>499</v>
      </c>
      <c r="H550" t="s">
        <v>70</v>
      </c>
      <c r="I550" t="s">
        <v>517</v>
      </c>
      <c r="K550" t="s">
        <v>501</v>
      </c>
      <c r="L550" s="9"/>
      <c r="M550" t="str">
        <f>IF(G550="FIM",IF(L550="","SEM VÍNCULO",IF(COUNTIF(tblBatidas[Batida ID],L550)=0,"VÍNCULO INVÁLIDO",IF(COUNTIF(tblBatidas[Início vinculado],L550)&gt;1,"VÍNCULO DUPLICADO",IF(E550&lt;&gt;INDEX(tblBatidas[ID],MATCH(L550,tblBatidas[Batida ID],0)),"DIVERGÊNCIA DE ID",IF(H550&lt;&gt;INDEX(tblBatidas[Projeto],MATCH(L550,tblBatidas[Batida ID],0)),"DIVERGÊNCIA DE PROJETO",IF(I550&lt;&gt;INDEX(tblBatidas[Atividade],MATCH(L550,tblBatidas[Batida ID],0)),"DIVERGÊNCIA DE ATIVIDADE",IF(OR(B550&lt;=INDEX(tblBatidas[Data e hora],MATCH(L550,tblBatidas[Batida ID],0)),(B550-INDEX(tblBatidas[Data e hora],MATCH(L550,tblBatidas[Batida ID],0)))*24&gt;16),"HORÁRIO INVÁLIDO","VINCULADO"))))))),"INÍCIO")</f>
        <v>INÍCIO</v>
      </c>
    </row>
    <row r="551" spans="1:13" hidden="1">
      <c r="A551" t="s">
        <v>1170</v>
      </c>
      <c r="B551" s="21">
        <v>46275.367476851854</v>
      </c>
      <c r="C551" s="2">
        <f t="shared" si="16"/>
        <v>46275</v>
      </c>
      <c r="D551" t="str">
        <f t="shared" si="17"/>
        <v>QUINTA-FEIRA</v>
      </c>
      <c r="E551">
        <v>1015</v>
      </c>
      <c r="F551" t="s">
        <v>59</v>
      </c>
      <c r="G551" t="s">
        <v>499</v>
      </c>
      <c r="H551" t="s">
        <v>84</v>
      </c>
      <c r="I551" t="s">
        <v>84</v>
      </c>
      <c r="K551" t="s">
        <v>501</v>
      </c>
      <c r="L551" s="9"/>
      <c r="M551" t="str">
        <f>IF(G551="FIM",IF(L551="","SEM VÍNCULO",IF(COUNTIF(tblBatidas[Batida ID],L551)=0,"VÍNCULO INVÁLIDO",IF(COUNTIF(tblBatidas[Início vinculado],L551)&gt;1,"VÍNCULO DUPLICADO",IF(E551&lt;&gt;INDEX(tblBatidas[ID],MATCH(L551,tblBatidas[Batida ID],0)),"DIVERGÊNCIA DE ID",IF(H551&lt;&gt;INDEX(tblBatidas[Projeto],MATCH(L551,tblBatidas[Batida ID],0)),"DIVERGÊNCIA DE PROJETO",IF(I551&lt;&gt;INDEX(tblBatidas[Atividade],MATCH(L551,tblBatidas[Batida ID],0)),"DIVERGÊNCIA DE ATIVIDADE",IF(OR(B551&lt;=INDEX(tblBatidas[Data e hora],MATCH(L551,tblBatidas[Batida ID],0)),(B551-INDEX(tblBatidas[Data e hora],MATCH(L551,tblBatidas[Batida ID],0)))*24&gt;16),"HORÁRIO INVÁLIDO","VINCULADO"))))))),"INÍCIO")</f>
        <v>INÍCIO</v>
      </c>
    </row>
    <row r="552" spans="1:13" hidden="1">
      <c r="A552" t="s">
        <v>1171</v>
      </c>
      <c r="B552" s="21">
        <v>46275.383344907408</v>
      </c>
      <c r="C552" s="2">
        <f t="shared" si="16"/>
        <v>46275</v>
      </c>
      <c r="D552" t="str">
        <f t="shared" si="17"/>
        <v>QUINTA-FEIRA</v>
      </c>
      <c r="E552">
        <v>1006</v>
      </c>
      <c r="F552" t="s">
        <v>49</v>
      </c>
      <c r="G552" t="s">
        <v>499</v>
      </c>
      <c r="H552" t="s">
        <v>86</v>
      </c>
      <c r="I552" t="s">
        <v>512</v>
      </c>
      <c r="K552" t="s">
        <v>501</v>
      </c>
      <c r="L552" s="9"/>
      <c r="M552" t="str">
        <f>IF(G552="FIM",IF(L552="","SEM VÍNCULO",IF(COUNTIF(tblBatidas[Batida ID],L552)=0,"VÍNCULO INVÁLIDO",IF(COUNTIF(tblBatidas[Início vinculado],L552)&gt;1,"VÍNCULO DUPLICADO",IF(E552&lt;&gt;INDEX(tblBatidas[ID],MATCH(L552,tblBatidas[Batida ID],0)),"DIVERGÊNCIA DE ID",IF(H552&lt;&gt;INDEX(tblBatidas[Projeto],MATCH(L552,tblBatidas[Batida ID],0)),"DIVERGÊNCIA DE PROJETO",IF(I552&lt;&gt;INDEX(tblBatidas[Atividade],MATCH(L552,tblBatidas[Batida ID],0)),"DIVERGÊNCIA DE ATIVIDADE",IF(OR(B552&lt;=INDEX(tblBatidas[Data e hora],MATCH(L552,tblBatidas[Batida ID],0)),(B552-INDEX(tblBatidas[Data e hora],MATCH(L552,tblBatidas[Batida ID],0)))*24&gt;16),"HORÁRIO INVÁLIDO","VINCULADO"))))))),"INÍCIO")</f>
        <v>INÍCIO</v>
      </c>
    </row>
    <row r="553" spans="1:13" hidden="1">
      <c r="A553" t="s">
        <v>1172</v>
      </c>
      <c r="B553" s="21">
        <v>46275.385671296295</v>
      </c>
      <c r="C553" s="2">
        <f t="shared" si="16"/>
        <v>46275</v>
      </c>
      <c r="D553" t="str">
        <f t="shared" si="17"/>
        <v>QUINTA-FEIRA</v>
      </c>
      <c r="E553">
        <v>1012</v>
      </c>
      <c r="F553" t="s">
        <v>55</v>
      </c>
      <c r="G553" t="s">
        <v>499</v>
      </c>
      <c r="H553" t="s">
        <v>76</v>
      </c>
      <c r="I553" t="s">
        <v>512</v>
      </c>
      <c r="K553" t="s">
        <v>501</v>
      </c>
      <c r="L553" s="9"/>
      <c r="M553" t="str">
        <f>IF(G553="FIM",IF(L553="","SEM VÍNCULO",IF(COUNTIF(tblBatidas[Batida ID],L553)=0,"VÍNCULO INVÁLIDO",IF(COUNTIF(tblBatidas[Início vinculado],L553)&gt;1,"VÍNCULO DUPLICADO",IF(E553&lt;&gt;INDEX(tblBatidas[ID],MATCH(L553,tblBatidas[Batida ID],0)),"DIVERGÊNCIA DE ID",IF(H553&lt;&gt;INDEX(tblBatidas[Projeto],MATCH(L553,tblBatidas[Batida ID],0)),"DIVERGÊNCIA DE PROJETO",IF(I553&lt;&gt;INDEX(tblBatidas[Atividade],MATCH(L553,tblBatidas[Batida ID],0)),"DIVERGÊNCIA DE ATIVIDADE",IF(OR(B553&lt;=INDEX(tblBatidas[Data e hora],MATCH(L553,tblBatidas[Batida ID],0)),(B553-INDEX(tblBatidas[Data e hora],MATCH(L553,tblBatidas[Batida ID],0)))*24&gt;16),"HORÁRIO INVÁLIDO","VINCULADO"))))))),"INÍCIO")</f>
        <v>INÍCIO</v>
      </c>
    </row>
    <row r="554" spans="1:13" hidden="1">
      <c r="A554" t="s">
        <v>1173</v>
      </c>
      <c r="B554" s="21">
        <v>46275.388136574074</v>
      </c>
      <c r="C554" s="2">
        <f t="shared" si="16"/>
        <v>46275</v>
      </c>
      <c r="D554" t="str">
        <f t="shared" si="17"/>
        <v>QUINTA-FEIRA</v>
      </c>
      <c r="E554">
        <v>1010</v>
      </c>
      <c r="F554" t="s">
        <v>53</v>
      </c>
      <c r="G554" t="s">
        <v>499</v>
      </c>
      <c r="H554" t="s">
        <v>76</v>
      </c>
      <c r="I554" t="s">
        <v>512</v>
      </c>
      <c r="K554" t="s">
        <v>501</v>
      </c>
      <c r="L554" s="9"/>
      <c r="M554" t="str">
        <f>IF(G554="FIM",IF(L554="","SEM VÍNCULO",IF(COUNTIF(tblBatidas[Batida ID],L554)=0,"VÍNCULO INVÁLIDO",IF(COUNTIF(tblBatidas[Início vinculado],L554)&gt;1,"VÍNCULO DUPLICADO",IF(E554&lt;&gt;INDEX(tblBatidas[ID],MATCH(L554,tblBatidas[Batida ID],0)),"DIVERGÊNCIA DE ID",IF(H554&lt;&gt;INDEX(tblBatidas[Projeto],MATCH(L554,tblBatidas[Batida ID],0)),"DIVERGÊNCIA DE PROJETO",IF(I554&lt;&gt;INDEX(tblBatidas[Atividade],MATCH(L554,tblBatidas[Batida ID],0)),"DIVERGÊNCIA DE ATIVIDADE",IF(OR(B554&lt;=INDEX(tblBatidas[Data e hora],MATCH(L554,tblBatidas[Batida ID],0)),(B554-INDEX(tblBatidas[Data e hora],MATCH(L554,tblBatidas[Batida ID],0)))*24&gt;16),"HORÁRIO INVÁLIDO","VINCULADO"))))))),"INÍCIO")</f>
        <v>INÍCIO</v>
      </c>
    </row>
    <row r="555" spans="1:13" hidden="1">
      <c r="A555" t="s">
        <v>1174</v>
      </c>
      <c r="B555" s="21">
        <v>46275.393020833333</v>
      </c>
      <c r="C555" s="2">
        <f t="shared" si="16"/>
        <v>46275</v>
      </c>
      <c r="D555" t="str">
        <f t="shared" si="17"/>
        <v>QUINTA-FEIRA</v>
      </c>
      <c r="E555">
        <v>1006</v>
      </c>
      <c r="F555" t="s">
        <v>49</v>
      </c>
      <c r="G555" t="s">
        <v>499</v>
      </c>
      <c r="H555" t="s">
        <v>86</v>
      </c>
      <c r="I555" t="s">
        <v>512</v>
      </c>
      <c r="J555" t="s">
        <v>1175</v>
      </c>
      <c r="K555" t="s">
        <v>501</v>
      </c>
      <c r="L555" s="9"/>
      <c r="M555" t="str">
        <f>IF(G555="FIM",IF(L555="","SEM VÍNCULO",IF(COUNTIF(tblBatidas[Batida ID],L555)=0,"VÍNCULO INVÁLIDO",IF(COUNTIF(tblBatidas[Início vinculado],L555)&gt;1,"VÍNCULO DUPLICADO",IF(E555&lt;&gt;INDEX(tblBatidas[ID],MATCH(L555,tblBatidas[Batida ID],0)),"DIVERGÊNCIA DE ID",IF(H555&lt;&gt;INDEX(tblBatidas[Projeto],MATCH(L555,tblBatidas[Batida ID],0)),"DIVERGÊNCIA DE PROJETO",IF(I555&lt;&gt;INDEX(tblBatidas[Atividade],MATCH(L555,tblBatidas[Batida ID],0)),"DIVERGÊNCIA DE ATIVIDADE",IF(OR(B555&lt;=INDEX(tblBatidas[Data e hora],MATCH(L555,tblBatidas[Batida ID],0)),(B555-INDEX(tblBatidas[Data e hora],MATCH(L555,tblBatidas[Batida ID],0)))*24&gt;16),"HORÁRIO INVÁLIDO","VINCULADO"))))))),"INÍCIO")</f>
        <v>INÍCIO</v>
      </c>
    </row>
    <row r="556" spans="1:13" hidden="1">
      <c r="A556" t="s">
        <v>1176</v>
      </c>
      <c r="B556" s="21">
        <v>46275.393113425926</v>
      </c>
      <c r="C556" s="2">
        <f t="shared" si="16"/>
        <v>46275</v>
      </c>
      <c r="D556" t="str">
        <f t="shared" si="17"/>
        <v>QUINTA-FEIRA</v>
      </c>
      <c r="E556">
        <v>1006</v>
      </c>
      <c r="F556" t="s">
        <v>49</v>
      </c>
      <c r="G556" t="s">
        <v>499</v>
      </c>
      <c r="H556" t="s">
        <v>86</v>
      </c>
      <c r="I556" t="s">
        <v>512</v>
      </c>
      <c r="J556" t="s">
        <v>1175</v>
      </c>
      <c r="K556" t="s">
        <v>501</v>
      </c>
      <c r="L556" s="9"/>
      <c r="M556" t="str">
        <f>IF(G556="FIM",IF(L556="","SEM VÍNCULO",IF(COUNTIF(tblBatidas[Batida ID],L556)=0,"VÍNCULO INVÁLIDO",IF(COUNTIF(tblBatidas[Início vinculado],L556)&gt;1,"VÍNCULO DUPLICADO",IF(E556&lt;&gt;INDEX(tblBatidas[ID],MATCH(L556,tblBatidas[Batida ID],0)),"DIVERGÊNCIA DE ID",IF(H556&lt;&gt;INDEX(tblBatidas[Projeto],MATCH(L556,tblBatidas[Batida ID],0)),"DIVERGÊNCIA DE PROJETO",IF(I556&lt;&gt;INDEX(tblBatidas[Atividade],MATCH(L556,tblBatidas[Batida ID],0)),"DIVERGÊNCIA DE ATIVIDADE",IF(OR(B556&lt;=INDEX(tblBatidas[Data e hora],MATCH(L556,tblBatidas[Batida ID],0)),(B556-INDEX(tblBatidas[Data e hora],MATCH(L556,tblBatidas[Batida ID],0)))*24&gt;16),"HORÁRIO INVÁLIDO","VINCULADO"))))))),"INÍCIO")</f>
        <v>INÍCIO</v>
      </c>
    </row>
    <row r="557" spans="1:13" hidden="1">
      <c r="A557" t="s">
        <v>1177</v>
      </c>
      <c r="B557" s="21">
        <v>46275.411736111113</v>
      </c>
      <c r="C557" s="2">
        <f t="shared" si="16"/>
        <v>46275</v>
      </c>
      <c r="D557" t="str">
        <f t="shared" si="17"/>
        <v>QUINTA-FEIRA</v>
      </c>
      <c r="E557">
        <v>1014</v>
      </c>
      <c r="F557" t="s">
        <v>58</v>
      </c>
      <c r="G557" t="s">
        <v>499</v>
      </c>
      <c r="H557" t="s">
        <v>88</v>
      </c>
      <c r="I557" t="s">
        <v>512</v>
      </c>
      <c r="K557" t="s">
        <v>501</v>
      </c>
      <c r="L557" s="9"/>
      <c r="M557" t="str">
        <f>IF(G557="FIM",IF(L557="","SEM VÍNCULO",IF(COUNTIF(tblBatidas[Batida ID],L557)=0,"VÍNCULO INVÁLIDO",IF(COUNTIF(tblBatidas[Início vinculado],L557)&gt;1,"VÍNCULO DUPLICADO",IF(E557&lt;&gt;INDEX(tblBatidas[ID],MATCH(L557,tblBatidas[Batida ID],0)),"DIVERGÊNCIA DE ID",IF(H557&lt;&gt;INDEX(tblBatidas[Projeto],MATCH(L557,tblBatidas[Batida ID],0)),"DIVERGÊNCIA DE PROJETO",IF(I557&lt;&gt;INDEX(tblBatidas[Atividade],MATCH(L557,tblBatidas[Batida ID],0)),"DIVERGÊNCIA DE ATIVIDADE",IF(OR(B557&lt;=INDEX(tblBatidas[Data e hora],MATCH(L557,tblBatidas[Batida ID],0)),(B557-INDEX(tblBatidas[Data e hora],MATCH(L557,tblBatidas[Batida ID],0)))*24&gt;16),"HORÁRIO INVÁLIDO","VINCULADO"))))))),"INÍCIO")</f>
        <v>INÍCIO</v>
      </c>
    </row>
    <row r="558" spans="1:13" hidden="1">
      <c r="A558" t="s">
        <v>1178</v>
      </c>
      <c r="B558" s="21">
        <v>46275.417962962965</v>
      </c>
      <c r="C558" s="2">
        <f t="shared" si="16"/>
        <v>46275</v>
      </c>
      <c r="D558" t="str">
        <f t="shared" si="17"/>
        <v>QUINTA-FEIRA</v>
      </c>
      <c r="E558">
        <v>1004</v>
      </c>
      <c r="F558" t="s">
        <v>47</v>
      </c>
      <c r="G558" t="s">
        <v>499</v>
      </c>
      <c r="H558" t="s">
        <v>74</v>
      </c>
      <c r="I558" t="s">
        <v>538</v>
      </c>
      <c r="K558" t="s">
        <v>501</v>
      </c>
      <c r="L558" s="9"/>
      <c r="M558" t="str">
        <f>IF(G558="FIM",IF(L558="","SEM VÍNCULO",IF(COUNTIF(tblBatidas[Batida ID],L558)=0,"VÍNCULO INVÁLIDO",IF(COUNTIF(tblBatidas[Início vinculado],L558)&gt;1,"VÍNCULO DUPLICADO",IF(E558&lt;&gt;INDEX(tblBatidas[ID],MATCH(L558,tblBatidas[Batida ID],0)),"DIVERGÊNCIA DE ID",IF(H558&lt;&gt;INDEX(tblBatidas[Projeto],MATCH(L558,tblBatidas[Batida ID],0)),"DIVERGÊNCIA DE PROJETO",IF(I558&lt;&gt;INDEX(tblBatidas[Atividade],MATCH(L558,tblBatidas[Batida ID],0)),"DIVERGÊNCIA DE ATIVIDADE",IF(OR(B558&lt;=INDEX(tblBatidas[Data e hora],MATCH(L558,tblBatidas[Batida ID],0)),(B558-INDEX(tblBatidas[Data e hora],MATCH(L558,tblBatidas[Batida ID],0)))*24&gt;16),"HORÁRIO INVÁLIDO","VINCULADO"))))))),"INÍCIO")</f>
        <v>INÍCIO</v>
      </c>
    </row>
    <row r="559" spans="1:13" hidden="1">
      <c r="A559" t="s">
        <v>1179</v>
      </c>
      <c r="B559" s="21">
        <v>46275.499027777776</v>
      </c>
      <c r="C559" s="2">
        <f t="shared" si="16"/>
        <v>46275</v>
      </c>
      <c r="D559" t="str">
        <f t="shared" si="17"/>
        <v>QUINTA-FEIRA</v>
      </c>
      <c r="E559">
        <v>1013</v>
      </c>
      <c r="F559" t="s">
        <v>57</v>
      </c>
      <c r="G559" t="s">
        <v>503</v>
      </c>
      <c r="H559" t="s">
        <v>80</v>
      </c>
      <c r="I559" t="s">
        <v>517</v>
      </c>
      <c r="K559" t="s">
        <v>501</v>
      </c>
      <c r="L559" s="9" t="s">
        <v>1166</v>
      </c>
      <c r="M559" t="str">
        <f>IF(G559="FIM",IF(L559="","SEM VÍNCULO",IF(COUNTIF(tblBatidas[Batida ID],L559)=0,"VÍNCULO INVÁLIDO",IF(COUNTIF(tblBatidas[Início vinculado],L559)&gt;1,"VÍNCULO DUPLICADO",IF(E559&lt;&gt;INDEX(tblBatidas[ID],MATCH(L559,tblBatidas[Batida ID],0)),"DIVERGÊNCIA DE ID",IF(H559&lt;&gt;INDEX(tblBatidas[Projeto],MATCH(L559,tblBatidas[Batida ID],0)),"DIVERGÊNCIA DE PROJETO",IF(I559&lt;&gt;INDEX(tblBatidas[Atividade],MATCH(L559,tblBatidas[Batida ID],0)),"DIVERGÊNCIA DE ATIVIDADE",IF(OR(B559&lt;=INDEX(tblBatidas[Data e hora],MATCH(L559,tblBatidas[Batida ID],0)),(B559-INDEX(tblBatidas[Data e hora],MATCH(L559,tblBatidas[Batida ID],0)))*24&gt;16),"HORÁRIO INVÁLIDO","VINCULADO"))))))),"INÍCIO")</f>
        <v>VINCULADO</v>
      </c>
    </row>
    <row r="560" spans="1:13" hidden="1">
      <c r="A560" t="s">
        <v>1180</v>
      </c>
      <c r="B560" s="21">
        <v>46275.506377314814</v>
      </c>
      <c r="C560" s="2">
        <f t="shared" si="16"/>
        <v>46275</v>
      </c>
      <c r="D560" t="str">
        <f t="shared" si="17"/>
        <v>QUINTA-FEIRA</v>
      </c>
      <c r="E560">
        <v>1011</v>
      </c>
      <c r="F560" t="s">
        <v>54</v>
      </c>
      <c r="G560" t="s">
        <v>499</v>
      </c>
      <c r="H560" t="s">
        <v>74</v>
      </c>
      <c r="I560" t="s">
        <v>517</v>
      </c>
      <c r="K560" t="s">
        <v>501</v>
      </c>
      <c r="L560" s="9"/>
      <c r="M560" t="str">
        <f>IF(G560="FIM",IF(L560="","SEM VÍNCULO",IF(COUNTIF(tblBatidas[Batida ID],L560)=0,"VÍNCULO INVÁLIDO",IF(COUNTIF(tblBatidas[Início vinculado],L560)&gt;1,"VÍNCULO DUPLICADO",IF(E560&lt;&gt;INDEX(tblBatidas[ID],MATCH(L560,tblBatidas[Batida ID],0)),"DIVERGÊNCIA DE ID",IF(H560&lt;&gt;INDEX(tblBatidas[Projeto],MATCH(L560,tblBatidas[Batida ID],0)),"DIVERGÊNCIA DE PROJETO",IF(I560&lt;&gt;INDEX(tblBatidas[Atividade],MATCH(L560,tblBatidas[Batida ID],0)),"DIVERGÊNCIA DE ATIVIDADE",IF(OR(B560&lt;=INDEX(tblBatidas[Data e hora],MATCH(L560,tblBatidas[Batida ID],0)),(B560-INDEX(tblBatidas[Data e hora],MATCH(L560,tblBatidas[Batida ID],0)))*24&gt;16),"HORÁRIO INVÁLIDO","VINCULADO"))))))),"INÍCIO")</f>
        <v>INÍCIO</v>
      </c>
    </row>
    <row r="561" spans="1:13">
      <c r="A561" t="s">
        <v>1181</v>
      </c>
      <c r="B561" s="21">
        <v>46275.509502314817</v>
      </c>
      <c r="C561" s="2">
        <f t="shared" si="16"/>
        <v>46275</v>
      </c>
      <c r="D561" t="str">
        <f t="shared" si="17"/>
        <v>QUINTA-FEIRA</v>
      </c>
      <c r="E561">
        <v>1002</v>
      </c>
      <c r="F561" t="s">
        <v>45</v>
      </c>
      <c r="G561" t="s">
        <v>503</v>
      </c>
      <c r="H561" t="s">
        <v>70</v>
      </c>
      <c r="I561" t="s">
        <v>517</v>
      </c>
      <c r="K561" t="s">
        <v>501</v>
      </c>
      <c r="L561" s="9" t="s">
        <v>1165</v>
      </c>
      <c r="M561" t="str">
        <f>IF(G561="FIM",IF(L561="","SEM VÍNCULO",IF(COUNTIF(tblBatidas[Batida ID],L561)=0,"VÍNCULO INVÁLIDO",IF(COUNTIF(tblBatidas[Início vinculado],L561)&gt;1,"VÍNCULO DUPLICADO",IF(E561&lt;&gt;INDEX(tblBatidas[ID],MATCH(L561,tblBatidas[Batida ID],0)),"DIVERGÊNCIA DE ID",IF(H561&lt;&gt;INDEX(tblBatidas[Projeto],MATCH(L561,tblBatidas[Batida ID],0)),"DIVERGÊNCIA DE PROJETO",IF(I561&lt;&gt;INDEX(tblBatidas[Atividade],MATCH(L561,tblBatidas[Batida ID],0)),"DIVERGÊNCIA DE ATIVIDADE",IF(OR(B561&lt;=INDEX(tblBatidas[Data e hora],MATCH(L561,tblBatidas[Batida ID],0)),(B561-INDEX(tblBatidas[Data e hora],MATCH(L561,tblBatidas[Batida ID],0)))*24&gt;16),"HORÁRIO INVÁLIDO","VINCULADO"))))))),"INÍCIO")</f>
        <v>VINCULADO</v>
      </c>
    </row>
    <row r="562" spans="1:13" hidden="1">
      <c r="A562" t="s">
        <v>1182</v>
      </c>
      <c r="B562" s="21">
        <v>46275.51934027778</v>
      </c>
      <c r="C562" s="2">
        <f t="shared" si="16"/>
        <v>46275</v>
      </c>
      <c r="D562" t="str">
        <f t="shared" si="17"/>
        <v>QUINTA-FEIRA</v>
      </c>
      <c r="E562">
        <v>1013</v>
      </c>
      <c r="F562" t="s">
        <v>57</v>
      </c>
      <c r="G562" t="s">
        <v>499</v>
      </c>
      <c r="H562" t="s">
        <v>80</v>
      </c>
      <c r="I562" t="s">
        <v>517</v>
      </c>
      <c r="K562" t="s">
        <v>501</v>
      </c>
      <c r="L562" s="9"/>
      <c r="M562" t="str">
        <f>IF(G562="FIM",IF(L562="","SEM VÍNCULO",IF(COUNTIF(tblBatidas[Batida ID],L562)=0,"VÍNCULO INVÁLIDO",IF(COUNTIF(tblBatidas[Início vinculado],L562)&gt;1,"VÍNCULO DUPLICADO",IF(E562&lt;&gt;INDEX(tblBatidas[ID],MATCH(L562,tblBatidas[Batida ID],0)),"DIVERGÊNCIA DE ID",IF(H562&lt;&gt;INDEX(tblBatidas[Projeto],MATCH(L562,tblBatidas[Batida ID],0)),"DIVERGÊNCIA DE PROJETO",IF(I562&lt;&gt;INDEX(tblBatidas[Atividade],MATCH(L562,tblBatidas[Batida ID],0)),"DIVERGÊNCIA DE ATIVIDADE",IF(OR(B562&lt;=INDEX(tblBatidas[Data e hora],MATCH(L562,tblBatidas[Batida ID],0)),(B562-INDEX(tblBatidas[Data e hora],MATCH(L562,tblBatidas[Batida ID],0)))*24&gt;16),"HORÁRIO INVÁLIDO","VINCULADO"))))))),"INÍCIO")</f>
        <v>INÍCIO</v>
      </c>
    </row>
    <row r="563" spans="1:13" hidden="1">
      <c r="A563" t="s">
        <v>1183</v>
      </c>
      <c r="B563" s="21">
        <v>46275.52820601852</v>
      </c>
      <c r="C563" s="2">
        <f t="shared" si="16"/>
        <v>46275</v>
      </c>
      <c r="D563" t="str">
        <f t="shared" si="17"/>
        <v>QUINTA-FEIRA</v>
      </c>
      <c r="E563">
        <v>1003</v>
      </c>
      <c r="F563" t="s">
        <v>46</v>
      </c>
      <c r="G563" t="s">
        <v>503</v>
      </c>
      <c r="H563" t="s">
        <v>74</v>
      </c>
      <c r="I563" t="s">
        <v>517</v>
      </c>
      <c r="J563" t="s">
        <v>1184</v>
      </c>
      <c r="K563" t="s">
        <v>501</v>
      </c>
      <c r="L563" s="9" t="s">
        <v>1167</v>
      </c>
      <c r="M563" t="str">
        <f>IF(G563="FIM",IF(L563="","SEM VÍNCULO",IF(COUNTIF(tblBatidas[Batida ID],L563)=0,"VÍNCULO INVÁLIDO",IF(COUNTIF(tblBatidas[Início vinculado],L563)&gt;1,"VÍNCULO DUPLICADO",IF(E563&lt;&gt;INDEX(tblBatidas[ID],MATCH(L563,tblBatidas[Batida ID],0)),"DIVERGÊNCIA DE ID",IF(H563&lt;&gt;INDEX(tblBatidas[Projeto],MATCH(L563,tblBatidas[Batida ID],0)),"DIVERGÊNCIA DE PROJETO",IF(I563&lt;&gt;INDEX(tblBatidas[Atividade],MATCH(L563,tblBatidas[Batida ID],0)),"DIVERGÊNCIA DE ATIVIDADE",IF(OR(B563&lt;=INDEX(tblBatidas[Data e hora],MATCH(L563,tblBatidas[Batida ID],0)),(B563-INDEX(tblBatidas[Data e hora],MATCH(L563,tblBatidas[Batida ID],0)))*24&gt;16),"HORÁRIO INVÁLIDO","VINCULADO"))))))),"INÍCIO")</f>
        <v>VINCULADO</v>
      </c>
    </row>
    <row r="564" spans="1:13" hidden="1">
      <c r="A564" t="s">
        <v>1185</v>
      </c>
      <c r="B564" s="21">
        <v>46275.530960648146</v>
      </c>
      <c r="C564" s="2">
        <f t="shared" si="16"/>
        <v>46275</v>
      </c>
      <c r="D564" t="str">
        <f t="shared" si="17"/>
        <v>QUINTA-FEIRA</v>
      </c>
      <c r="E564">
        <v>1016</v>
      </c>
      <c r="F564" t="s">
        <v>60</v>
      </c>
      <c r="G564" t="s">
        <v>503</v>
      </c>
      <c r="H564" t="s">
        <v>70</v>
      </c>
      <c r="I564" t="s">
        <v>517</v>
      </c>
      <c r="K564" t="s">
        <v>501</v>
      </c>
      <c r="L564" s="9" t="s">
        <v>1169</v>
      </c>
      <c r="M564" t="str">
        <f>IF(G564="FIM",IF(L564="","SEM VÍNCULO",IF(COUNTIF(tblBatidas[Batida ID],L564)=0,"VÍNCULO INVÁLIDO",IF(COUNTIF(tblBatidas[Início vinculado],L564)&gt;1,"VÍNCULO DUPLICADO",IF(E564&lt;&gt;INDEX(tblBatidas[ID],MATCH(L564,tblBatidas[Batida ID],0)),"DIVERGÊNCIA DE ID",IF(H564&lt;&gt;INDEX(tblBatidas[Projeto],MATCH(L564,tblBatidas[Batida ID],0)),"DIVERGÊNCIA DE PROJETO",IF(I564&lt;&gt;INDEX(tblBatidas[Atividade],MATCH(L564,tblBatidas[Batida ID],0)),"DIVERGÊNCIA DE ATIVIDADE",IF(OR(B564&lt;=INDEX(tblBatidas[Data e hora],MATCH(L564,tblBatidas[Batida ID],0)),(B564-INDEX(tblBatidas[Data e hora],MATCH(L564,tblBatidas[Batida ID],0)))*24&gt;16),"HORÁRIO INVÁLIDO","VINCULADO"))))))),"INÍCIO")</f>
        <v>VINCULADO</v>
      </c>
    </row>
    <row r="565" spans="1:13" hidden="1">
      <c r="A565" t="s">
        <v>1186</v>
      </c>
      <c r="B565" s="21">
        <v>46275.532534722224</v>
      </c>
      <c r="C565" s="2">
        <f t="shared" si="16"/>
        <v>46275</v>
      </c>
      <c r="D565" t="str">
        <f t="shared" si="17"/>
        <v>QUINTA-FEIRA</v>
      </c>
      <c r="E565">
        <v>1012</v>
      </c>
      <c r="F565" t="s">
        <v>55</v>
      </c>
      <c r="G565" t="s">
        <v>503</v>
      </c>
      <c r="H565" t="s">
        <v>76</v>
      </c>
      <c r="I565" t="s">
        <v>512</v>
      </c>
      <c r="K565" t="s">
        <v>501</v>
      </c>
      <c r="L565" s="9" t="s">
        <v>1172</v>
      </c>
      <c r="M565" t="str">
        <f>IF(G565="FIM",IF(L565="","SEM VÍNCULO",IF(COUNTIF(tblBatidas[Batida ID],L565)=0,"VÍNCULO INVÁLIDO",IF(COUNTIF(tblBatidas[Início vinculado],L565)&gt;1,"VÍNCULO DUPLICADO",IF(E565&lt;&gt;INDEX(tblBatidas[ID],MATCH(L565,tblBatidas[Batida ID],0)),"DIVERGÊNCIA DE ID",IF(H565&lt;&gt;INDEX(tblBatidas[Projeto],MATCH(L565,tblBatidas[Batida ID],0)),"DIVERGÊNCIA DE PROJETO",IF(I565&lt;&gt;INDEX(tblBatidas[Atividade],MATCH(L565,tblBatidas[Batida ID],0)),"DIVERGÊNCIA DE ATIVIDADE",IF(OR(B565&lt;=INDEX(tblBatidas[Data e hora],MATCH(L565,tblBatidas[Batida ID],0)),(B565-INDEX(tblBatidas[Data e hora],MATCH(L565,tblBatidas[Batida ID],0)))*24&gt;16),"HORÁRIO INVÁLIDO","VINCULADO"))))))),"INÍCIO")</f>
        <v>VINCULADO</v>
      </c>
    </row>
    <row r="566" spans="1:13" hidden="1">
      <c r="A566" t="s">
        <v>1187</v>
      </c>
      <c r="B566" s="21">
        <v>46275.537673611114</v>
      </c>
      <c r="C566" s="2">
        <f t="shared" si="16"/>
        <v>46275</v>
      </c>
      <c r="D566" t="str">
        <f t="shared" si="17"/>
        <v>QUINTA-FEIRA</v>
      </c>
      <c r="E566">
        <v>1014</v>
      </c>
      <c r="F566" t="s">
        <v>58</v>
      </c>
      <c r="G566" t="s">
        <v>503</v>
      </c>
      <c r="H566" t="s">
        <v>88</v>
      </c>
      <c r="I566" t="s">
        <v>512</v>
      </c>
      <c r="K566" t="s">
        <v>501</v>
      </c>
      <c r="L566" s="9" t="s">
        <v>1177</v>
      </c>
      <c r="M566" t="str">
        <f>IF(G566="FIM",IF(L566="","SEM VÍNCULO",IF(COUNTIF(tblBatidas[Batida ID],L566)=0,"VÍNCULO INVÁLIDO",IF(COUNTIF(tblBatidas[Início vinculado],L566)&gt;1,"VÍNCULO DUPLICADO",IF(E566&lt;&gt;INDEX(tblBatidas[ID],MATCH(L566,tblBatidas[Batida ID],0)),"DIVERGÊNCIA DE ID",IF(H566&lt;&gt;INDEX(tblBatidas[Projeto],MATCH(L566,tblBatidas[Batida ID],0)),"DIVERGÊNCIA DE PROJETO",IF(I566&lt;&gt;INDEX(tblBatidas[Atividade],MATCH(L566,tblBatidas[Batida ID],0)),"DIVERGÊNCIA DE ATIVIDADE",IF(OR(B566&lt;=INDEX(tblBatidas[Data e hora],MATCH(L566,tblBatidas[Batida ID],0)),(B566-INDEX(tblBatidas[Data e hora],MATCH(L566,tblBatidas[Batida ID],0)))*24&gt;16),"HORÁRIO INVÁLIDO","VINCULADO"))))))),"INÍCIO")</f>
        <v>VINCULADO</v>
      </c>
    </row>
    <row r="567" spans="1:13" hidden="1">
      <c r="A567" t="s">
        <v>1188</v>
      </c>
      <c r="B567" s="21">
        <v>46275.544293981482</v>
      </c>
      <c r="C567" s="2">
        <f t="shared" si="16"/>
        <v>46275</v>
      </c>
      <c r="D567" t="str">
        <f t="shared" si="17"/>
        <v>QUINTA-FEIRA</v>
      </c>
      <c r="E567">
        <v>1004</v>
      </c>
      <c r="F567" t="s">
        <v>47</v>
      </c>
      <c r="G567" t="s">
        <v>499</v>
      </c>
      <c r="H567" t="s">
        <v>84</v>
      </c>
      <c r="I567" t="s">
        <v>84</v>
      </c>
      <c r="K567" t="s">
        <v>501</v>
      </c>
      <c r="L567" s="9"/>
      <c r="M567" t="str">
        <f>IF(G567="FIM",IF(L567="","SEM VÍNCULO",IF(COUNTIF(tblBatidas[Batida ID],L567)=0,"VÍNCULO INVÁLIDO",IF(COUNTIF(tblBatidas[Início vinculado],L567)&gt;1,"VÍNCULO DUPLICADO",IF(E567&lt;&gt;INDEX(tblBatidas[ID],MATCH(L567,tblBatidas[Batida ID],0)),"DIVERGÊNCIA DE ID",IF(H567&lt;&gt;INDEX(tblBatidas[Projeto],MATCH(L567,tblBatidas[Batida ID],0)),"DIVERGÊNCIA DE PROJETO",IF(I567&lt;&gt;INDEX(tblBatidas[Atividade],MATCH(L567,tblBatidas[Batida ID],0)),"DIVERGÊNCIA DE ATIVIDADE",IF(OR(B567&lt;=INDEX(tblBatidas[Data e hora],MATCH(L567,tblBatidas[Batida ID],0)),(B567-INDEX(tblBatidas[Data e hora],MATCH(L567,tblBatidas[Batida ID],0)))*24&gt;16),"HORÁRIO INVÁLIDO","VINCULADO"))))))),"INÍCIO")</f>
        <v>INÍCIO</v>
      </c>
    </row>
    <row r="568" spans="1:13" hidden="1">
      <c r="A568" t="s">
        <v>1189</v>
      </c>
      <c r="B568" s="21">
        <v>46275.544432870367</v>
      </c>
      <c r="C568" s="2">
        <f t="shared" si="16"/>
        <v>46275</v>
      </c>
      <c r="D568" t="str">
        <f t="shared" si="17"/>
        <v>QUINTA-FEIRA</v>
      </c>
      <c r="E568">
        <v>1004</v>
      </c>
      <c r="F568" t="s">
        <v>47</v>
      </c>
      <c r="G568" t="s">
        <v>499</v>
      </c>
      <c r="H568" t="s">
        <v>84</v>
      </c>
      <c r="I568" t="s">
        <v>84</v>
      </c>
      <c r="K568" t="s">
        <v>501</v>
      </c>
      <c r="L568" s="9"/>
      <c r="M568" t="str">
        <f>IF(G568="FIM",IF(L568="","SEM VÍNCULO",IF(COUNTIF(tblBatidas[Batida ID],L568)=0,"VÍNCULO INVÁLIDO",IF(COUNTIF(tblBatidas[Início vinculado],L568)&gt;1,"VÍNCULO DUPLICADO",IF(E568&lt;&gt;INDEX(tblBatidas[ID],MATCH(L568,tblBatidas[Batida ID],0)),"DIVERGÊNCIA DE ID",IF(H568&lt;&gt;INDEX(tblBatidas[Projeto],MATCH(L568,tblBatidas[Batida ID],0)),"DIVERGÊNCIA DE PROJETO",IF(I568&lt;&gt;INDEX(tblBatidas[Atividade],MATCH(L568,tblBatidas[Batida ID],0)),"DIVERGÊNCIA DE ATIVIDADE",IF(OR(B568&lt;=INDEX(tblBatidas[Data e hora],MATCH(L568,tblBatidas[Batida ID],0)),(B568-INDEX(tblBatidas[Data e hora],MATCH(L568,tblBatidas[Batida ID],0)))*24&gt;16),"HORÁRIO INVÁLIDO","VINCULADO"))))))),"INÍCIO")</f>
        <v>INÍCIO</v>
      </c>
    </row>
    <row r="569" spans="1:13" hidden="1">
      <c r="A569" t="s">
        <v>1189</v>
      </c>
      <c r="B569" s="21">
        <v>46275.544432870367</v>
      </c>
      <c r="C569" s="2">
        <f t="shared" si="16"/>
        <v>46275</v>
      </c>
      <c r="D569" t="str">
        <f t="shared" si="17"/>
        <v>QUINTA-FEIRA</v>
      </c>
      <c r="E569">
        <v>1004</v>
      </c>
      <c r="F569" t="s">
        <v>47</v>
      </c>
      <c r="G569" t="s">
        <v>499</v>
      </c>
      <c r="H569" t="s">
        <v>84</v>
      </c>
      <c r="I569" t="s">
        <v>84</v>
      </c>
      <c r="K569" t="s">
        <v>501</v>
      </c>
      <c r="L569" s="9"/>
      <c r="M569" t="str">
        <f>IF(G569="FIM",IF(L569="","SEM VÍNCULO",IF(COUNTIF(tblBatidas[Batida ID],L569)=0,"VÍNCULO INVÁLIDO",IF(COUNTIF(tblBatidas[Início vinculado],L569)&gt;1,"VÍNCULO DUPLICADO",IF(E569&lt;&gt;INDEX(tblBatidas[ID],MATCH(L569,tblBatidas[Batida ID],0)),"DIVERGÊNCIA DE ID",IF(H569&lt;&gt;INDEX(tblBatidas[Projeto],MATCH(L569,tblBatidas[Batida ID],0)),"DIVERGÊNCIA DE PROJETO",IF(I569&lt;&gt;INDEX(tblBatidas[Atividade],MATCH(L569,tblBatidas[Batida ID],0)),"DIVERGÊNCIA DE ATIVIDADE",IF(OR(B569&lt;=INDEX(tblBatidas[Data e hora],MATCH(L569,tblBatidas[Batida ID],0)),(B569-INDEX(tblBatidas[Data e hora],MATCH(L569,tblBatidas[Batida ID],0)))*24&gt;16),"HORÁRIO INVÁLIDO","VINCULADO"))))))),"INÍCIO")</f>
        <v>INÍCIO</v>
      </c>
    </row>
    <row r="570" spans="1:13">
      <c r="A570" t="s">
        <v>1190</v>
      </c>
      <c r="B570" s="21">
        <v>46275.555011574077</v>
      </c>
      <c r="C570" s="2">
        <f t="shared" si="16"/>
        <v>46275</v>
      </c>
      <c r="D570" t="str">
        <f t="shared" si="17"/>
        <v>QUINTA-FEIRA</v>
      </c>
      <c r="E570">
        <v>1002</v>
      </c>
      <c r="F570" t="s">
        <v>45</v>
      </c>
      <c r="G570" t="s">
        <v>499</v>
      </c>
      <c r="H570" t="s">
        <v>70</v>
      </c>
      <c r="I570" t="s">
        <v>517</v>
      </c>
      <c r="K570" t="s">
        <v>501</v>
      </c>
      <c r="L570" s="9"/>
      <c r="M570" t="str">
        <f>IF(G570="FIM",IF(L570="","SEM VÍNCULO",IF(COUNTIF(tblBatidas[Batida ID],L570)=0,"VÍNCULO INVÁLIDO",IF(COUNTIF(tblBatidas[Início vinculado],L570)&gt;1,"VÍNCULO DUPLICADO",IF(E570&lt;&gt;INDEX(tblBatidas[ID],MATCH(L570,tblBatidas[Batida ID],0)),"DIVERGÊNCIA DE ID",IF(H570&lt;&gt;INDEX(tblBatidas[Projeto],MATCH(L570,tblBatidas[Batida ID],0)),"DIVERGÊNCIA DE PROJETO",IF(I570&lt;&gt;INDEX(tblBatidas[Atividade],MATCH(L570,tblBatidas[Batida ID],0)),"DIVERGÊNCIA DE ATIVIDADE",IF(OR(B570&lt;=INDEX(tblBatidas[Data e hora],MATCH(L570,tblBatidas[Batida ID],0)),(B570-INDEX(tblBatidas[Data e hora],MATCH(L570,tblBatidas[Batida ID],0)))*24&gt;16),"HORÁRIO INVÁLIDO","VINCULADO"))))))),"INÍCIO")</f>
        <v>INÍCIO</v>
      </c>
    </row>
    <row r="571" spans="1:13" hidden="1">
      <c r="A571" t="s">
        <v>1191</v>
      </c>
      <c r="B571" s="21">
        <v>46275.557326388887</v>
      </c>
      <c r="C571" s="2">
        <f t="shared" si="16"/>
        <v>46275</v>
      </c>
      <c r="D571" t="str">
        <f t="shared" si="17"/>
        <v>QUINTA-FEIRA</v>
      </c>
      <c r="E571">
        <v>1011</v>
      </c>
      <c r="F571" t="s">
        <v>54</v>
      </c>
      <c r="G571" t="s">
        <v>499</v>
      </c>
      <c r="H571" t="s">
        <v>74</v>
      </c>
      <c r="I571" t="s">
        <v>517</v>
      </c>
      <c r="K571" t="s">
        <v>501</v>
      </c>
      <c r="L571" s="9"/>
      <c r="M571" t="str">
        <f>IF(G571="FIM",IF(L571="","SEM VÍNCULO",IF(COUNTIF(tblBatidas[Batida ID],L571)=0,"VÍNCULO INVÁLIDO",IF(COUNTIF(tblBatidas[Início vinculado],L571)&gt;1,"VÍNCULO DUPLICADO",IF(E571&lt;&gt;INDEX(tblBatidas[ID],MATCH(L571,tblBatidas[Batida ID],0)),"DIVERGÊNCIA DE ID",IF(H571&lt;&gt;INDEX(tblBatidas[Projeto],MATCH(L571,tblBatidas[Batida ID],0)),"DIVERGÊNCIA DE PROJETO",IF(I571&lt;&gt;INDEX(tblBatidas[Atividade],MATCH(L571,tblBatidas[Batida ID],0)),"DIVERGÊNCIA DE ATIVIDADE",IF(OR(B571&lt;=INDEX(tblBatidas[Data e hora],MATCH(L571,tblBatidas[Batida ID],0)),(B571-INDEX(tblBatidas[Data e hora],MATCH(L571,tblBatidas[Batida ID],0)))*24&gt;16),"HORÁRIO INVÁLIDO","VINCULADO"))))))),"INÍCIO")</f>
        <v>INÍCIO</v>
      </c>
    </row>
    <row r="572" spans="1:13" hidden="1">
      <c r="A572" t="s">
        <v>1192</v>
      </c>
      <c r="B572" s="21">
        <v>46275.560034722221</v>
      </c>
      <c r="C572" s="2">
        <f t="shared" si="16"/>
        <v>46275</v>
      </c>
      <c r="D572" t="str">
        <f t="shared" si="17"/>
        <v>QUINTA-FEIRA</v>
      </c>
      <c r="E572">
        <v>1016</v>
      </c>
      <c r="F572" t="s">
        <v>60</v>
      </c>
      <c r="G572" t="s">
        <v>499</v>
      </c>
      <c r="H572" t="s">
        <v>70</v>
      </c>
      <c r="I572" t="s">
        <v>517</v>
      </c>
      <c r="K572" t="s">
        <v>501</v>
      </c>
      <c r="L572" s="9"/>
      <c r="M572" t="str">
        <f>IF(G572="FIM",IF(L572="","SEM VÍNCULO",IF(COUNTIF(tblBatidas[Batida ID],L572)=0,"VÍNCULO INVÁLIDO",IF(COUNTIF(tblBatidas[Início vinculado],L572)&gt;1,"VÍNCULO DUPLICADO",IF(E572&lt;&gt;INDEX(tblBatidas[ID],MATCH(L572,tblBatidas[Batida ID],0)),"DIVERGÊNCIA DE ID",IF(H572&lt;&gt;INDEX(tblBatidas[Projeto],MATCH(L572,tblBatidas[Batida ID],0)),"DIVERGÊNCIA DE PROJETO",IF(I572&lt;&gt;INDEX(tblBatidas[Atividade],MATCH(L572,tblBatidas[Batida ID],0)),"DIVERGÊNCIA DE ATIVIDADE",IF(OR(B572&lt;=INDEX(tblBatidas[Data e hora],MATCH(L572,tblBatidas[Batida ID],0)),(B572-INDEX(tblBatidas[Data e hora],MATCH(L572,tblBatidas[Batida ID],0)))*24&gt;16),"HORÁRIO INVÁLIDO","VINCULADO"))))))),"INÍCIO")</f>
        <v>INÍCIO</v>
      </c>
    </row>
    <row r="573" spans="1:13" hidden="1">
      <c r="A573" t="s">
        <v>1193</v>
      </c>
      <c r="B573" s="21">
        <v>46275.751759259256</v>
      </c>
      <c r="C573" s="2">
        <f t="shared" si="16"/>
        <v>46275</v>
      </c>
      <c r="D573" t="str">
        <f t="shared" si="17"/>
        <v>QUINTA-FEIRA</v>
      </c>
      <c r="E573">
        <v>1015</v>
      </c>
      <c r="F573" t="s">
        <v>59</v>
      </c>
      <c r="G573" t="s">
        <v>503</v>
      </c>
      <c r="H573" t="s">
        <v>84</v>
      </c>
      <c r="I573" t="s">
        <v>84</v>
      </c>
      <c r="K573" t="s">
        <v>501</v>
      </c>
      <c r="L573" s="9" t="s">
        <v>1170</v>
      </c>
      <c r="M573" t="str">
        <f>IF(G573="FIM",IF(L573="","SEM VÍNCULO",IF(COUNTIF(tblBatidas[Batida ID],L573)=0,"VÍNCULO INVÁLIDO",IF(COUNTIF(tblBatidas[Início vinculado],L573)&gt;1,"VÍNCULO DUPLICADO",IF(E573&lt;&gt;INDEX(tblBatidas[ID],MATCH(L573,tblBatidas[Batida ID],0)),"DIVERGÊNCIA DE ID",IF(H573&lt;&gt;INDEX(tblBatidas[Projeto],MATCH(L573,tblBatidas[Batida ID],0)),"DIVERGÊNCIA DE PROJETO",IF(I573&lt;&gt;INDEX(tblBatidas[Atividade],MATCH(L573,tblBatidas[Batida ID],0)),"DIVERGÊNCIA DE ATIVIDADE",IF(OR(B573&lt;=INDEX(tblBatidas[Data e hora],MATCH(L573,tblBatidas[Batida ID],0)),(B573-INDEX(tblBatidas[Data e hora],MATCH(L573,tblBatidas[Batida ID],0)))*24&gt;16),"HORÁRIO INVÁLIDO","VINCULADO"))))))),"INÍCIO")</f>
        <v>VINCULADO</v>
      </c>
    </row>
    <row r="574" spans="1:13" hidden="1">
      <c r="A574" t="s">
        <v>1194</v>
      </c>
      <c r="B574" s="21">
        <v>46275.752789351849</v>
      </c>
      <c r="C574" s="2">
        <f t="shared" si="16"/>
        <v>46275</v>
      </c>
      <c r="D574" t="str">
        <f t="shared" si="17"/>
        <v>QUINTA-FEIRA</v>
      </c>
      <c r="E574">
        <v>1001</v>
      </c>
      <c r="F574" t="s">
        <v>43</v>
      </c>
      <c r="G574" t="s">
        <v>503</v>
      </c>
      <c r="H574" t="s">
        <v>72</v>
      </c>
      <c r="I574" t="s">
        <v>500</v>
      </c>
      <c r="K574" t="s">
        <v>501</v>
      </c>
      <c r="L574" s="9" t="s">
        <v>1168</v>
      </c>
      <c r="M574" t="str">
        <f>IF(G574="FIM",IF(L574="","SEM VÍNCULO",IF(COUNTIF(tblBatidas[Batida ID],L574)=0,"VÍNCULO INVÁLIDO",IF(COUNTIF(tblBatidas[Início vinculado],L574)&gt;1,"VÍNCULO DUPLICADO",IF(E574&lt;&gt;INDEX(tblBatidas[ID],MATCH(L574,tblBatidas[Batida ID],0)),"DIVERGÊNCIA DE ID",IF(H574&lt;&gt;INDEX(tblBatidas[Projeto],MATCH(L574,tblBatidas[Batida ID],0)),"DIVERGÊNCIA DE PROJETO",IF(I574&lt;&gt;INDEX(tblBatidas[Atividade],MATCH(L574,tblBatidas[Batida ID],0)),"DIVERGÊNCIA DE ATIVIDADE",IF(OR(B574&lt;=INDEX(tblBatidas[Data e hora],MATCH(L574,tblBatidas[Batida ID],0)),(B574-INDEX(tblBatidas[Data e hora],MATCH(L574,tblBatidas[Batida ID],0)))*24&gt;16),"HORÁRIO INVÁLIDO","VINCULADO"))))))),"INÍCIO")</f>
        <v>VINCULADO</v>
      </c>
    </row>
    <row r="575" spans="1:13" hidden="1">
      <c r="A575" t="s">
        <v>1195</v>
      </c>
      <c r="B575" s="21">
        <v>46275.754016203704</v>
      </c>
      <c r="C575" s="2">
        <f t="shared" si="16"/>
        <v>46275</v>
      </c>
      <c r="D575" t="str">
        <f t="shared" si="17"/>
        <v>QUINTA-FEIRA</v>
      </c>
      <c r="E575">
        <v>1016</v>
      </c>
      <c r="F575" t="s">
        <v>60</v>
      </c>
      <c r="G575" t="s">
        <v>503</v>
      </c>
      <c r="H575" t="s">
        <v>70</v>
      </c>
      <c r="I575" t="s">
        <v>517</v>
      </c>
      <c r="K575" t="s">
        <v>501</v>
      </c>
      <c r="L575" s="9" t="s">
        <v>1192</v>
      </c>
      <c r="M575" t="str">
        <f>IF(G575="FIM",IF(L575="","SEM VÍNCULO",IF(COUNTIF(tblBatidas[Batida ID],L575)=0,"VÍNCULO INVÁLIDO",IF(COUNTIF(tblBatidas[Início vinculado],L575)&gt;1,"VÍNCULO DUPLICADO",IF(E575&lt;&gt;INDEX(tblBatidas[ID],MATCH(L575,tblBatidas[Batida ID],0)),"DIVERGÊNCIA DE ID",IF(H575&lt;&gt;INDEX(tblBatidas[Projeto],MATCH(L575,tblBatidas[Batida ID],0)),"DIVERGÊNCIA DE PROJETO",IF(I575&lt;&gt;INDEX(tblBatidas[Atividade],MATCH(L575,tblBatidas[Batida ID],0)),"DIVERGÊNCIA DE ATIVIDADE",IF(OR(B575&lt;=INDEX(tblBatidas[Data e hora],MATCH(L575,tblBatidas[Batida ID],0)),(B575-INDEX(tblBatidas[Data e hora],MATCH(L575,tblBatidas[Batida ID],0)))*24&gt;16),"HORÁRIO INVÁLIDO","VINCULADO"))))))),"INÍCIO")</f>
        <v>VINCULADO</v>
      </c>
    </row>
    <row r="576" spans="1:13" hidden="1">
      <c r="A576" t="s">
        <v>1196</v>
      </c>
      <c r="B576" s="21">
        <v>46275.754293981481</v>
      </c>
      <c r="C576" s="2">
        <f t="shared" si="16"/>
        <v>46275</v>
      </c>
      <c r="D576" t="str">
        <f t="shared" si="17"/>
        <v>QUINTA-FEIRA</v>
      </c>
      <c r="E576">
        <v>1014</v>
      </c>
      <c r="F576" t="s">
        <v>58</v>
      </c>
      <c r="G576" t="s">
        <v>503</v>
      </c>
      <c r="H576" t="s">
        <v>88</v>
      </c>
      <c r="I576" t="s">
        <v>512</v>
      </c>
      <c r="K576" t="s">
        <v>501</v>
      </c>
      <c r="L576" s="9"/>
      <c r="M576" t="str">
        <f>IF(G576="FIM",IF(L576="","SEM VÍNCULO",IF(COUNTIF(tblBatidas[Batida ID],L576)=0,"VÍNCULO INVÁLIDO",IF(COUNTIF(tblBatidas[Início vinculado],L576)&gt;1,"VÍNCULO DUPLICADO",IF(E576&lt;&gt;INDEX(tblBatidas[ID],MATCH(L576,tblBatidas[Batida ID],0)),"DIVERGÊNCIA DE ID",IF(H576&lt;&gt;INDEX(tblBatidas[Projeto],MATCH(L576,tblBatidas[Batida ID],0)),"DIVERGÊNCIA DE PROJETO",IF(I576&lt;&gt;INDEX(tblBatidas[Atividade],MATCH(L576,tblBatidas[Batida ID],0)),"DIVERGÊNCIA DE ATIVIDADE",IF(OR(B576&lt;=INDEX(tblBatidas[Data e hora],MATCH(L576,tblBatidas[Batida ID],0)),(B576-INDEX(tblBatidas[Data e hora],MATCH(L576,tblBatidas[Batida ID],0)))*24&gt;16),"HORÁRIO INVÁLIDO","VINCULADO"))))))),"INÍCIO")</f>
        <v>SEM VÍNCULO</v>
      </c>
    </row>
    <row r="577" spans="1:13" hidden="1">
      <c r="A577" t="s">
        <v>1197</v>
      </c>
      <c r="B577" s="21">
        <v>46275.755011574074</v>
      </c>
      <c r="C577" s="2">
        <f t="shared" si="16"/>
        <v>46275</v>
      </c>
      <c r="D577" t="str">
        <f t="shared" si="17"/>
        <v>QUINTA-FEIRA</v>
      </c>
      <c r="E577">
        <v>1005</v>
      </c>
      <c r="F577" t="s">
        <v>48</v>
      </c>
      <c r="G577" t="s">
        <v>503</v>
      </c>
      <c r="H577" t="s">
        <v>80</v>
      </c>
      <c r="I577" t="s">
        <v>517</v>
      </c>
      <c r="K577" t="s">
        <v>501</v>
      </c>
      <c r="L577" s="9"/>
      <c r="M577" t="str">
        <f>IF(G577="FIM",IF(L577="","SEM VÍNCULO",IF(COUNTIF(tblBatidas[Batida ID],L577)=0,"VÍNCULO INVÁLIDO",IF(COUNTIF(tblBatidas[Início vinculado],L577)&gt;1,"VÍNCULO DUPLICADO",IF(E577&lt;&gt;INDEX(tblBatidas[ID],MATCH(L577,tblBatidas[Batida ID],0)),"DIVERGÊNCIA DE ID",IF(H577&lt;&gt;INDEX(tblBatidas[Projeto],MATCH(L577,tblBatidas[Batida ID],0)),"DIVERGÊNCIA DE PROJETO",IF(I577&lt;&gt;INDEX(tblBatidas[Atividade],MATCH(L577,tblBatidas[Batida ID],0)),"DIVERGÊNCIA DE ATIVIDADE",IF(OR(B577&lt;=INDEX(tblBatidas[Data e hora],MATCH(L577,tblBatidas[Batida ID],0)),(B577-INDEX(tblBatidas[Data e hora],MATCH(L577,tblBatidas[Batida ID],0)))*24&gt;16),"HORÁRIO INVÁLIDO","VINCULADO"))))))),"INÍCIO")</f>
        <v>SEM VÍNCULO</v>
      </c>
    </row>
    <row r="578" spans="1:13" hidden="1">
      <c r="A578" t="s">
        <v>1198</v>
      </c>
      <c r="B578" s="21">
        <v>46275.757222222222</v>
      </c>
      <c r="C578" s="2">
        <f t="shared" si="16"/>
        <v>46275</v>
      </c>
      <c r="D578" t="str">
        <f t="shared" si="17"/>
        <v>QUINTA-FEIRA</v>
      </c>
      <c r="E578">
        <v>1005</v>
      </c>
      <c r="F578" t="s">
        <v>48</v>
      </c>
      <c r="G578" t="s">
        <v>503</v>
      </c>
      <c r="H578" t="s">
        <v>88</v>
      </c>
      <c r="I578" t="s">
        <v>517</v>
      </c>
      <c r="K578" t="s">
        <v>501</v>
      </c>
      <c r="L578" s="9"/>
      <c r="M578" t="str">
        <f>IF(G578="FIM",IF(L578="","SEM VÍNCULO",IF(COUNTIF(tblBatidas[Batida ID],L578)=0,"VÍNCULO INVÁLIDO",IF(COUNTIF(tblBatidas[Início vinculado],L578)&gt;1,"VÍNCULO DUPLICADO",IF(E578&lt;&gt;INDEX(tblBatidas[ID],MATCH(L578,tblBatidas[Batida ID],0)),"DIVERGÊNCIA DE ID",IF(H578&lt;&gt;INDEX(tblBatidas[Projeto],MATCH(L578,tblBatidas[Batida ID],0)),"DIVERGÊNCIA DE PROJETO",IF(I578&lt;&gt;INDEX(tblBatidas[Atividade],MATCH(L578,tblBatidas[Batida ID],0)),"DIVERGÊNCIA DE ATIVIDADE",IF(OR(B578&lt;=INDEX(tblBatidas[Data e hora],MATCH(L578,tblBatidas[Batida ID],0)),(B578-INDEX(tblBatidas[Data e hora],MATCH(L578,tblBatidas[Batida ID],0)))*24&gt;16),"HORÁRIO INVÁLIDO","VINCULADO"))))))),"INÍCIO")</f>
        <v>SEM VÍNCULO</v>
      </c>
    </row>
    <row r="579" spans="1:13" hidden="1">
      <c r="A579" t="s">
        <v>1199</v>
      </c>
      <c r="B579" s="21">
        <v>46275.758032407408</v>
      </c>
      <c r="C579" s="2">
        <f t="shared" si="16"/>
        <v>46275</v>
      </c>
      <c r="D579" t="str">
        <f t="shared" si="17"/>
        <v>QUINTA-FEIRA</v>
      </c>
      <c r="E579">
        <v>1005</v>
      </c>
      <c r="F579" t="s">
        <v>48</v>
      </c>
      <c r="G579" t="s">
        <v>503</v>
      </c>
      <c r="H579" t="s">
        <v>88</v>
      </c>
      <c r="I579" t="s">
        <v>527</v>
      </c>
      <c r="K579" t="s">
        <v>501</v>
      </c>
      <c r="L579" s="9"/>
      <c r="M579" t="str">
        <f>IF(G579="FIM",IF(L579="","SEM VÍNCULO",IF(COUNTIF(tblBatidas[Batida ID],L579)=0,"VÍNCULO INVÁLIDO",IF(COUNTIF(tblBatidas[Início vinculado],L579)&gt;1,"VÍNCULO DUPLICADO",IF(E579&lt;&gt;INDEX(tblBatidas[ID],MATCH(L579,tblBatidas[Batida ID],0)),"DIVERGÊNCIA DE ID",IF(H579&lt;&gt;INDEX(tblBatidas[Projeto],MATCH(L579,tblBatidas[Batida ID],0)),"DIVERGÊNCIA DE PROJETO",IF(I579&lt;&gt;INDEX(tblBatidas[Atividade],MATCH(L579,tblBatidas[Batida ID],0)),"DIVERGÊNCIA DE ATIVIDADE",IF(OR(B579&lt;=INDEX(tblBatidas[Data e hora],MATCH(L579,tblBatidas[Batida ID],0)),(B579-INDEX(tblBatidas[Data e hora],MATCH(L579,tblBatidas[Batida ID],0)))*24&gt;16),"HORÁRIO INVÁLIDO","VINCULADO"))))))),"INÍCIO")</f>
        <v>SEM VÍNCULO</v>
      </c>
    </row>
    <row r="580" spans="1:13" hidden="1">
      <c r="A580" t="s">
        <v>1200</v>
      </c>
      <c r="B580" s="21">
        <v>46275.771469907406</v>
      </c>
      <c r="C580" s="2">
        <f t="shared" si="16"/>
        <v>46275</v>
      </c>
      <c r="D580" t="str">
        <f t="shared" si="17"/>
        <v>QUINTA-FEIRA</v>
      </c>
      <c r="E580">
        <v>1004</v>
      </c>
      <c r="F580" t="s">
        <v>47</v>
      </c>
      <c r="G580" t="s">
        <v>503</v>
      </c>
      <c r="H580" t="s">
        <v>88</v>
      </c>
      <c r="I580" t="s">
        <v>527</v>
      </c>
      <c r="K580" t="s">
        <v>501</v>
      </c>
      <c r="L580" s="9"/>
      <c r="M580" t="str">
        <f>IF(G580="FIM",IF(L580="","SEM VÍNCULO",IF(COUNTIF(tblBatidas[Batida ID],L580)=0,"VÍNCULO INVÁLIDO",IF(COUNTIF(tblBatidas[Início vinculado],L580)&gt;1,"VÍNCULO DUPLICADO",IF(E580&lt;&gt;INDEX(tblBatidas[ID],MATCH(L580,tblBatidas[Batida ID],0)),"DIVERGÊNCIA DE ID",IF(H580&lt;&gt;INDEX(tblBatidas[Projeto],MATCH(L580,tblBatidas[Batida ID],0)),"DIVERGÊNCIA DE PROJETO",IF(I580&lt;&gt;INDEX(tblBatidas[Atividade],MATCH(L580,tblBatidas[Batida ID],0)),"DIVERGÊNCIA DE ATIVIDADE",IF(OR(B580&lt;=INDEX(tblBatidas[Data e hora],MATCH(L580,tblBatidas[Batida ID],0)),(B580-INDEX(tblBatidas[Data e hora],MATCH(L580,tblBatidas[Batida ID],0)))*24&gt;16),"HORÁRIO INVÁLIDO","VINCULADO"))))))),"INÍCIO")</f>
        <v>SEM VÍNCULO</v>
      </c>
    </row>
    <row r="581" spans="1:13" hidden="1">
      <c r="A581" t="s">
        <v>1201</v>
      </c>
      <c r="B581" s="21">
        <v>46275.771793981483</v>
      </c>
      <c r="C581" s="2">
        <f t="shared" ref="C581:C644" si="18">IF(B581="","",INT(B581))</f>
        <v>46275</v>
      </c>
      <c r="D581" t="str">
        <f t="shared" ref="D581:D644" si="19">IF(C581="","",CHOOSE(WEEKDAY(C581,2),"SEGUNDA-FEIRA","TERÇA-FEIRA","QUARTA-FEIRA","QUINTA-FEIRA","SEXTA-FEIRA","SÁBADO","DOMINGO"))</f>
        <v>QUINTA-FEIRA</v>
      </c>
      <c r="E581">
        <v>1004</v>
      </c>
      <c r="F581" t="s">
        <v>47</v>
      </c>
      <c r="G581" t="s">
        <v>503</v>
      </c>
      <c r="H581" t="s">
        <v>74</v>
      </c>
      <c r="I581" t="s">
        <v>538</v>
      </c>
      <c r="K581" t="s">
        <v>501</v>
      </c>
      <c r="L581" s="9" t="s">
        <v>1178</v>
      </c>
      <c r="M581" t="str">
        <f>IF(G581="FIM",IF(L581="","SEM VÍNCULO",IF(COUNTIF(tblBatidas[Batida ID],L581)=0,"VÍNCULO INVÁLIDO",IF(COUNTIF(tblBatidas[Início vinculado],L581)&gt;1,"VÍNCULO DUPLICADO",IF(E581&lt;&gt;INDEX(tblBatidas[ID],MATCH(L581,tblBatidas[Batida ID],0)),"DIVERGÊNCIA DE ID",IF(H581&lt;&gt;INDEX(tblBatidas[Projeto],MATCH(L581,tblBatidas[Batida ID],0)),"DIVERGÊNCIA DE PROJETO",IF(I581&lt;&gt;INDEX(tblBatidas[Atividade],MATCH(L581,tblBatidas[Batida ID],0)),"DIVERGÊNCIA DE ATIVIDADE",IF(OR(B581&lt;=INDEX(tblBatidas[Data e hora],MATCH(L581,tblBatidas[Batida ID],0)),(B581-INDEX(tblBatidas[Data e hora],MATCH(L581,tblBatidas[Batida ID],0)))*24&gt;16),"HORÁRIO INVÁLIDO","VINCULADO"))))))),"INÍCIO")</f>
        <v>VINCULADO</v>
      </c>
    </row>
    <row r="582" spans="1:13" hidden="1">
      <c r="A582" t="s">
        <v>1202</v>
      </c>
      <c r="B582" s="21">
        <v>46275.772314814814</v>
      </c>
      <c r="C582" s="2">
        <f t="shared" si="18"/>
        <v>46275</v>
      </c>
      <c r="D582" t="str">
        <f t="shared" si="19"/>
        <v>QUINTA-FEIRA</v>
      </c>
      <c r="E582">
        <v>1004</v>
      </c>
      <c r="F582" t="s">
        <v>47</v>
      </c>
      <c r="G582" t="s">
        <v>499</v>
      </c>
      <c r="H582" t="s">
        <v>82</v>
      </c>
      <c r="I582" t="s">
        <v>538</v>
      </c>
      <c r="J582" t="s">
        <v>1056</v>
      </c>
      <c r="K582" t="s">
        <v>501</v>
      </c>
      <c r="L582" s="9"/>
      <c r="M582" t="str">
        <f>IF(G582="FIM",IF(L582="","SEM VÍNCULO",IF(COUNTIF(tblBatidas[Batida ID],L582)=0,"VÍNCULO INVÁLIDO",IF(COUNTIF(tblBatidas[Início vinculado],L582)&gt;1,"VÍNCULO DUPLICADO",IF(E582&lt;&gt;INDEX(tblBatidas[ID],MATCH(L582,tblBatidas[Batida ID],0)),"DIVERGÊNCIA DE ID",IF(H582&lt;&gt;INDEX(tblBatidas[Projeto],MATCH(L582,tblBatidas[Batida ID],0)),"DIVERGÊNCIA DE PROJETO",IF(I582&lt;&gt;INDEX(tblBatidas[Atividade],MATCH(L582,tblBatidas[Batida ID],0)),"DIVERGÊNCIA DE ATIVIDADE",IF(OR(B582&lt;=INDEX(tblBatidas[Data e hora],MATCH(L582,tblBatidas[Batida ID],0)),(B582-INDEX(tblBatidas[Data e hora],MATCH(L582,tblBatidas[Batida ID],0)))*24&gt;16),"HORÁRIO INVÁLIDO","VINCULADO"))))))),"INÍCIO")</f>
        <v>INÍCIO</v>
      </c>
    </row>
    <row r="583" spans="1:13" hidden="1">
      <c r="A583" t="s">
        <v>1203</v>
      </c>
      <c r="B583" s="21">
        <v>46275.818807870368</v>
      </c>
      <c r="C583" s="2">
        <f t="shared" si="18"/>
        <v>46275</v>
      </c>
      <c r="D583" t="str">
        <f t="shared" si="19"/>
        <v>QUINTA-FEIRA</v>
      </c>
      <c r="E583">
        <v>1012</v>
      </c>
      <c r="F583" t="s">
        <v>55</v>
      </c>
      <c r="G583" t="s">
        <v>503</v>
      </c>
      <c r="H583" t="s">
        <v>76</v>
      </c>
      <c r="I583" t="s">
        <v>512</v>
      </c>
      <c r="K583" t="s">
        <v>501</v>
      </c>
      <c r="L583" s="9"/>
      <c r="M583" t="str">
        <f>IF(G583="FIM",IF(L583="","SEM VÍNCULO",IF(COUNTIF(tblBatidas[Batida ID],L583)=0,"VÍNCULO INVÁLIDO",IF(COUNTIF(tblBatidas[Início vinculado],L583)&gt;1,"VÍNCULO DUPLICADO",IF(E583&lt;&gt;INDEX(tblBatidas[ID],MATCH(L583,tblBatidas[Batida ID],0)),"DIVERGÊNCIA DE ID",IF(H583&lt;&gt;INDEX(tblBatidas[Projeto],MATCH(L583,tblBatidas[Batida ID],0)),"DIVERGÊNCIA DE PROJETO",IF(I583&lt;&gt;INDEX(tblBatidas[Atividade],MATCH(L583,tblBatidas[Batida ID],0)),"DIVERGÊNCIA DE ATIVIDADE",IF(OR(B583&lt;=INDEX(tblBatidas[Data e hora],MATCH(L583,tblBatidas[Batida ID],0)),(B583-INDEX(tblBatidas[Data e hora],MATCH(L583,tblBatidas[Batida ID],0)))*24&gt;16),"HORÁRIO INVÁLIDO","VINCULADO"))))))),"INÍCIO")</f>
        <v>SEM VÍNCULO</v>
      </c>
    </row>
    <row r="584" spans="1:13" hidden="1">
      <c r="A584" t="s">
        <v>1204</v>
      </c>
      <c r="B584" s="21">
        <v>46275.857118055559</v>
      </c>
      <c r="C584" s="2">
        <f t="shared" si="18"/>
        <v>46275</v>
      </c>
      <c r="D584" t="str">
        <f t="shared" si="19"/>
        <v>QUINTA-FEIRA</v>
      </c>
      <c r="E584">
        <v>1017</v>
      </c>
      <c r="F584" t="s">
        <v>61</v>
      </c>
      <c r="G584" t="s">
        <v>503</v>
      </c>
      <c r="H584" t="s">
        <v>88</v>
      </c>
      <c r="I584" t="s">
        <v>512</v>
      </c>
      <c r="K584" t="s">
        <v>501</v>
      </c>
      <c r="L584" s="9"/>
      <c r="M584" t="str">
        <f>IF(G584="FIM",IF(L584="","SEM VÍNCULO",IF(COUNTIF(tblBatidas[Batida ID],L584)=0,"VÍNCULO INVÁLIDO",IF(COUNTIF(tblBatidas[Início vinculado],L584)&gt;1,"VÍNCULO DUPLICADO",IF(E584&lt;&gt;INDEX(tblBatidas[ID],MATCH(L584,tblBatidas[Batida ID],0)),"DIVERGÊNCIA DE ID",IF(H584&lt;&gt;INDEX(tblBatidas[Projeto],MATCH(L584,tblBatidas[Batida ID],0)),"DIVERGÊNCIA DE PROJETO",IF(I584&lt;&gt;INDEX(tblBatidas[Atividade],MATCH(L584,tblBatidas[Batida ID],0)),"DIVERGÊNCIA DE ATIVIDADE",IF(OR(B584&lt;=INDEX(tblBatidas[Data e hora],MATCH(L584,tblBatidas[Batida ID],0)),(B584-INDEX(tblBatidas[Data e hora],MATCH(L584,tblBatidas[Batida ID],0)))*24&gt;16),"HORÁRIO INVÁLIDO","VINCULADO"))))))),"INÍCIO")</f>
        <v>SEM VÍNCULO</v>
      </c>
    </row>
    <row r="585" spans="1:13" hidden="1">
      <c r="A585" t="s">
        <v>1205</v>
      </c>
      <c r="B585" s="21">
        <v>46275.916666666664</v>
      </c>
      <c r="C585" s="2">
        <f t="shared" si="18"/>
        <v>46275</v>
      </c>
      <c r="D585" t="str">
        <f t="shared" si="19"/>
        <v>QUINTA-FEIRA</v>
      </c>
      <c r="E585">
        <v>1006</v>
      </c>
      <c r="F585" t="s">
        <v>49</v>
      </c>
      <c r="G585" t="s">
        <v>499</v>
      </c>
      <c r="H585" t="s">
        <v>86</v>
      </c>
      <c r="I585" t="s">
        <v>512</v>
      </c>
      <c r="K585" t="s">
        <v>501</v>
      </c>
      <c r="L585" s="9"/>
      <c r="M585" t="str">
        <f>IF(G585="FIM",IF(L585="","SEM VÍNCULO",IF(COUNTIF(tblBatidas[Batida ID],L585)=0,"VÍNCULO INVÁLIDO",IF(COUNTIF(tblBatidas[Início vinculado],L585)&gt;1,"VÍNCULO DUPLICADO",IF(E585&lt;&gt;INDEX(tblBatidas[ID],MATCH(L585,tblBatidas[Batida ID],0)),"DIVERGÊNCIA DE ID",IF(H585&lt;&gt;INDEX(tblBatidas[Projeto],MATCH(L585,tblBatidas[Batida ID],0)),"DIVERGÊNCIA DE PROJETO",IF(I585&lt;&gt;INDEX(tblBatidas[Atividade],MATCH(L585,tblBatidas[Batida ID],0)),"DIVERGÊNCIA DE ATIVIDADE",IF(OR(B585&lt;=INDEX(tblBatidas[Data e hora],MATCH(L585,tblBatidas[Batida ID],0)),(B585-INDEX(tblBatidas[Data e hora],MATCH(L585,tblBatidas[Batida ID],0)))*24&gt;16),"HORÁRIO INVÁLIDO","VINCULADO"))))))),"INÍCIO")</f>
        <v>INÍCIO</v>
      </c>
    </row>
    <row r="586" spans="1:13" hidden="1">
      <c r="A586" t="s">
        <v>1206</v>
      </c>
      <c r="B586" s="21">
        <v>46275.917303240742</v>
      </c>
      <c r="C586" s="2">
        <f t="shared" si="18"/>
        <v>46275</v>
      </c>
      <c r="D586" t="str">
        <f t="shared" si="19"/>
        <v>QUINTA-FEIRA</v>
      </c>
      <c r="E586">
        <v>1004</v>
      </c>
      <c r="F586" t="s">
        <v>47</v>
      </c>
      <c r="G586" t="s">
        <v>503</v>
      </c>
      <c r="H586" t="s">
        <v>88</v>
      </c>
      <c r="I586" t="s">
        <v>538</v>
      </c>
      <c r="J586" t="s">
        <v>1207</v>
      </c>
      <c r="K586" t="s">
        <v>501</v>
      </c>
      <c r="L586" s="9"/>
      <c r="M586" t="str">
        <f>IF(G586="FIM",IF(L586="","SEM VÍNCULO",IF(COUNTIF(tblBatidas[Batida ID],L586)=0,"VÍNCULO INVÁLIDO",IF(COUNTIF(tblBatidas[Início vinculado],L586)&gt;1,"VÍNCULO DUPLICADO",IF(E586&lt;&gt;INDEX(tblBatidas[ID],MATCH(L586,tblBatidas[Batida ID],0)),"DIVERGÊNCIA DE ID",IF(H586&lt;&gt;INDEX(tblBatidas[Projeto],MATCH(L586,tblBatidas[Batida ID],0)),"DIVERGÊNCIA DE PROJETO",IF(I586&lt;&gt;INDEX(tblBatidas[Atividade],MATCH(L586,tblBatidas[Batida ID],0)),"DIVERGÊNCIA DE ATIVIDADE",IF(OR(B586&lt;=INDEX(tblBatidas[Data e hora],MATCH(L586,tblBatidas[Batida ID],0)),(B586-INDEX(tblBatidas[Data e hora],MATCH(L586,tblBatidas[Batida ID],0)))*24&gt;16),"HORÁRIO INVÁLIDO","VINCULADO"))))))),"INÍCIO")</f>
        <v>SEM VÍNCULO</v>
      </c>
    </row>
    <row r="587" spans="1:13" hidden="1">
      <c r="A587" t="s">
        <v>1208</v>
      </c>
      <c r="B587" s="21">
        <v>46275.917361111111</v>
      </c>
      <c r="C587" s="2">
        <f t="shared" si="18"/>
        <v>46275</v>
      </c>
      <c r="D587" t="str">
        <f t="shared" si="19"/>
        <v>QUINTA-FEIRA</v>
      </c>
      <c r="E587">
        <v>1004</v>
      </c>
      <c r="F587" t="s">
        <v>47</v>
      </c>
      <c r="G587" t="s">
        <v>503</v>
      </c>
      <c r="H587" t="s">
        <v>88</v>
      </c>
      <c r="I587" t="s">
        <v>538</v>
      </c>
      <c r="J587" t="s">
        <v>1207</v>
      </c>
      <c r="K587" t="s">
        <v>501</v>
      </c>
      <c r="L587" s="9"/>
      <c r="M587" t="str">
        <f>IF(G587="FIM",IF(L587="","SEM VÍNCULO",IF(COUNTIF(tblBatidas[Batida ID],L587)=0,"VÍNCULO INVÁLIDO",IF(COUNTIF(tblBatidas[Início vinculado],L587)&gt;1,"VÍNCULO DUPLICADO",IF(E587&lt;&gt;INDEX(tblBatidas[ID],MATCH(L587,tblBatidas[Batida ID],0)),"DIVERGÊNCIA DE ID",IF(H587&lt;&gt;INDEX(tblBatidas[Projeto],MATCH(L587,tblBatidas[Batida ID],0)),"DIVERGÊNCIA DE PROJETO",IF(I587&lt;&gt;INDEX(tblBatidas[Atividade],MATCH(L587,tblBatidas[Batida ID],0)),"DIVERGÊNCIA DE ATIVIDADE",IF(OR(B587&lt;=INDEX(tblBatidas[Data e hora],MATCH(L587,tblBatidas[Batida ID],0)),(B587-INDEX(tblBatidas[Data e hora],MATCH(L587,tblBatidas[Batida ID],0)))*24&gt;16),"HORÁRIO INVÁLIDO","VINCULADO"))))))),"INÍCIO")</f>
        <v>SEM VÍNCULO</v>
      </c>
    </row>
    <row r="588" spans="1:13" hidden="1">
      <c r="A588" t="s">
        <v>1209</v>
      </c>
      <c r="B588" s="21">
        <v>46275.917395833334</v>
      </c>
      <c r="C588" s="2">
        <f t="shared" si="18"/>
        <v>46275</v>
      </c>
      <c r="D588" t="str">
        <f t="shared" si="19"/>
        <v>QUINTA-FEIRA</v>
      </c>
      <c r="E588">
        <v>1004</v>
      </c>
      <c r="F588" t="s">
        <v>47</v>
      </c>
      <c r="G588" t="s">
        <v>503</v>
      </c>
      <c r="H588" t="s">
        <v>88</v>
      </c>
      <c r="I588" t="s">
        <v>538</v>
      </c>
      <c r="J588" t="s">
        <v>1207</v>
      </c>
      <c r="K588" t="s">
        <v>501</v>
      </c>
      <c r="L588" s="9"/>
      <c r="M588" t="str">
        <f>IF(G588="FIM",IF(L588="","SEM VÍNCULO",IF(COUNTIF(tblBatidas[Batida ID],L588)=0,"VÍNCULO INVÁLIDO",IF(COUNTIF(tblBatidas[Início vinculado],L588)&gt;1,"VÍNCULO DUPLICADO",IF(E588&lt;&gt;INDEX(tblBatidas[ID],MATCH(L588,tblBatidas[Batida ID],0)),"DIVERGÊNCIA DE ID",IF(H588&lt;&gt;INDEX(tblBatidas[Projeto],MATCH(L588,tblBatidas[Batida ID],0)),"DIVERGÊNCIA DE PROJETO",IF(I588&lt;&gt;INDEX(tblBatidas[Atividade],MATCH(L588,tblBatidas[Batida ID],0)),"DIVERGÊNCIA DE ATIVIDADE",IF(OR(B588&lt;=INDEX(tblBatidas[Data e hora],MATCH(L588,tblBatidas[Batida ID],0)),(B588-INDEX(tblBatidas[Data e hora],MATCH(L588,tblBatidas[Batida ID],0)))*24&gt;16),"HORÁRIO INVÁLIDO","VINCULADO"))))))),"INÍCIO")</f>
        <v>SEM VÍNCULO</v>
      </c>
    </row>
    <row r="589" spans="1:13" hidden="1">
      <c r="A589" t="s">
        <v>1210</v>
      </c>
      <c r="B589" s="21">
        <v>46275.917442129627</v>
      </c>
      <c r="C589" s="2">
        <f t="shared" si="18"/>
        <v>46275</v>
      </c>
      <c r="D589" t="str">
        <f t="shared" si="19"/>
        <v>QUINTA-FEIRA</v>
      </c>
      <c r="E589">
        <v>1004</v>
      </c>
      <c r="F589" t="s">
        <v>47</v>
      </c>
      <c r="G589" t="s">
        <v>503</v>
      </c>
      <c r="H589" t="s">
        <v>88</v>
      </c>
      <c r="I589" t="s">
        <v>538</v>
      </c>
      <c r="J589" t="s">
        <v>1207</v>
      </c>
      <c r="K589" t="s">
        <v>501</v>
      </c>
      <c r="L589" s="9"/>
      <c r="M589" t="str">
        <f>IF(G589="FIM",IF(L589="","SEM VÍNCULO",IF(COUNTIF(tblBatidas[Batida ID],L589)=0,"VÍNCULO INVÁLIDO",IF(COUNTIF(tblBatidas[Início vinculado],L589)&gt;1,"VÍNCULO DUPLICADO",IF(E589&lt;&gt;INDEX(tblBatidas[ID],MATCH(L589,tblBatidas[Batida ID],0)),"DIVERGÊNCIA DE ID",IF(H589&lt;&gt;INDEX(tblBatidas[Projeto],MATCH(L589,tblBatidas[Batida ID],0)),"DIVERGÊNCIA DE PROJETO",IF(I589&lt;&gt;INDEX(tblBatidas[Atividade],MATCH(L589,tblBatidas[Batida ID],0)),"DIVERGÊNCIA DE ATIVIDADE",IF(OR(B589&lt;=INDEX(tblBatidas[Data e hora],MATCH(L589,tblBatidas[Batida ID],0)),(B589-INDEX(tblBatidas[Data e hora],MATCH(L589,tblBatidas[Batida ID],0)))*24&gt;16),"HORÁRIO INVÁLIDO","VINCULADO"))))))),"INÍCIO")</f>
        <v>SEM VÍNCULO</v>
      </c>
    </row>
    <row r="590" spans="1:13" hidden="1">
      <c r="A590" t="s">
        <v>1211</v>
      </c>
      <c r="B590" s="21">
        <v>46275.918912037036</v>
      </c>
      <c r="C590" s="2">
        <f t="shared" si="18"/>
        <v>46275</v>
      </c>
      <c r="D590" t="str">
        <f t="shared" si="19"/>
        <v>QUINTA-FEIRA</v>
      </c>
      <c r="E590">
        <v>1001</v>
      </c>
      <c r="F590" t="s">
        <v>43</v>
      </c>
      <c r="G590" t="s">
        <v>503</v>
      </c>
      <c r="H590" t="s">
        <v>72</v>
      </c>
      <c r="I590" t="s">
        <v>500</v>
      </c>
      <c r="K590" t="s">
        <v>501</v>
      </c>
      <c r="L590" s="9"/>
      <c r="M590" t="str">
        <f>IF(G590="FIM",IF(L590="","SEM VÍNCULO",IF(COUNTIF(tblBatidas[Batida ID],L590)=0,"VÍNCULO INVÁLIDO",IF(COUNTIF(tblBatidas[Início vinculado],L590)&gt;1,"VÍNCULO DUPLICADO",IF(E590&lt;&gt;INDEX(tblBatidas[ID],MATCH(L590,tblBatidas[Batida ID],0)),"DIVERGÊNCIA DE ID",IF(H590&lt;&gt;INDEX(tblBatidas[Projeto],MATCH(L590,tblBatidas[Batida ID],0)),"DIVERGÊNCIA DE PROJETO",IF(I590&lt;&gt;INDEX(tblBatidas[Atividade],MATCH(L590,tblBatidas[Batida ID],0)),"DIVERGÊNCIA DE ATIVIDADE",IF(OR(B590&lt;=INDEX(tblBatidas[Data e hora],MATCH(L590,tblBatidas[Batida ID],0)),(B590-INDEX(tblBatidas[Data e hora],MATCH(L590,tblBatidas[Batida ID],0)))*24&gt;16),"HORÁRIO INVÁLIDO","VINCULADO"))))))),"INÍCIO")</f>
        <v>SEM VÍNCULO</v>
      </c>
    </row>
    <row r="591" spans="1:13" hidden="1">
      <c r="A591" t="s">
        <v>1212</v>
      </c>
      <c r="B591" s="21">
        <v>46275.926539351851</v>
      </c>
      <c r="C591" s="2">
        <f t="shared" si="18"/>
        <v>46275</v>
      </c>
      <c r="D591" t="str">
        <f t="shared" si="19"/>
        <v>QUINTA-FEIRA</v>
      </c>
      <c r="E591">
        <v>1010</v>
      </c>
      <c r="F591" t="s">
        <v>53</v>
      </c>
      <c r="G591" t="s">
        <v>503</v>
      </c>
      <c r="H591" t="s">
        <v>76</v>
      </c>
      <c r="I591" t="s">
        <v>512</v>
      </c>
      <c r="K591" t="s">
        <v>501</v>
      </c>
      <c r="L591" s="9" t="s">
        <v>1173</v>
      </c>
      <c r="M591" t="str">
        <f>IF(G591="FIM",IF(L591="","SEM VÍNCULO",IF(COUNTIF(tblBatidas[Batida ID],L591)=0,"VÍNCULO INVÁLIDO",IF(COUNTIF(tblBatidas[Início vinculado],L591)&gt;1,"VÍNCULO DUPLICADO",IF(E591&lt;&gt;INDEX(tblBatidas[ID],MATCH(L591,tblBatidas[Batida ID],0)),"DIVERGÊNCIA DE ID",IF(H591&lt;&gt;INDEX(tblBatidas[Projeto],MATCH(L591,tblBatidas[Batida ID],0)),"DIVERGÊNCIA DE PROJETO",IF(I591&lt;&gt;INDEX(tblBatidas[Atividade],MATCH(L591,tblBatidas[Batida ID],0)),"DIVERGÊNCIA DE ATIVIDADE",IF(OR(B591&lt;=INDEX(tblBatidas[Data e hora],MATCH(L591,tblBatidas[Batida ID],0)),(B591-INDEX(tblBatidas[Data e hora],MATCH(L591,tblBatidas[Batida ID],0)))*24&gt;16),"HORÁRIO INVÁLIDO","VINCULADO"))))))),"INÍCIO")</f>
        <v>VINCULADO</v>
      </c>
    </row>
    <row r="592" spans="1:13">
      <c r="A592" t="s">
        <v>1213</v>
      </c>
      <c r="B592" s="21">
        <v>46276.327372685184</v>
      </c>
      <c r="C592" s="2">
        <f t="shared" si="18"/>
        <v>46276</v>
      </c>
      <c r="D592" t="str">
        <f t="shared" si="19"/>
        <v>SEXTA-FEIRA</v>
      </c>
      <c r="E592">
        <v>1002</v>
      </c>
      <c r="F592" t="s">
        <v>45</v>
      </c>
      <c r="G592" t="s">
        <v>499</v>
      </c>
      <c r="H592" t="s">
        <v>80</v>
      </c>
      <c r="I592" t="s">
        <v>517</v>
      </c>
      <c r="J592" t="s">
        <v>1214</v>
      </c>
      <c r="K592" t="s">
        <v>501</v>
      </c>
      <c r="L592" s="9"/>
      <c r="M592" t="str">
        <f>IF(G592="FIM",IF(L592="","SEM VÍNCULO",IF(COUNTIF(tblBatidas[Batida ID],L592)=0,"VÍNCULO INVÁLIDO",IF(COUNTIF(tblBatidas[Início vinculado],L592)&gt;1,"VÍNCULO DUPLICADO",IF(E592&lt;&gt;INDEX(tblBatidas[ID],MATCH(L592,tblBatidas[Batida ID],0)),"DIVERGÊNCIA DE ID",IF(H592&lt;&gt;INDEX(tblBatidas[Projeto],MATCH(L592,tblBatidas[Batida ID],0)),"DIVERGÊNCIA DE PROJETO",IF(I592&lt;&gt;INDEX(tblBatidas[Atividade],MATCH(L592,tblBatidas[Batida ID],0)),"DIVERGÊNCIA DE ATIVIDADE",IF(OR(B592&lt;=INDEX(tblBatidas[Data e hora],MATCH(L592,tblBatidas[Batida ID],0)),(B592-INDEX(tblBatidas[Data e hora],MATCH(L592,tblBatidas[Batida ID],0)))*24&gt;16),"HORÁRIO INVÁLIDO","VINCULADO"))))))),"INÍCIO")</f>
        <v>INÍCIO</v>
      </c>
    </row>
    <row r="593" spans="1:13" hidden="1">
      <c r="A593" t="s">
        <v>1215</v>
      </c>
      <c r="B593" s="21">
        <v>46276.339571759258</v>
      </c>
      <c r="C593" s="2">
        <f t="shared" si="18"/>
        <v>46276</v>
      </c>
      <c r="D593" t="str">
        <f t="shared" si="19"/>
        <v>SEXTA-FEIRA</v>
      </c>
      <c r="E593">
        <v>1013</v>
      </c>
      <c r="F593" t="s">
        <v>57</v>
      </c>
      <c r="G593" t="s">
        <v>499</v>
      </c>
      <c r="H593" t="s">
        <v>86</v>
      </c>
      <c r="I593" t="s">
        <v>517</v>
      </c>
      <c r="J593" t="s">
        <v>1216</v>
      </c>
      <c r="K593" t="s">
        <v>501</v>
      </c>
      <c r="L593" s="9"/>
      <c r="M593" t="str">
        <f>IF(G593="FIM",IF(L593="","SEM VÍNCULO",IF(COUNTIF(tblBatidas[Batida ID],L593)=0,"VÍNCULO INVÁLIDO",IF(COUNTIF(tblBatidas[Início vinculado],L593)&gt;1,"VÍNCULO DUPLICADO",IF(E593&lt;&gt;INDEX(tblBatidas[ID],MATCH(L593,tblBatidas[Batida ID],0)),"DIVERGÊNCIA DE ID",IF(H593&lt;&gt;INDEX(tblBatidas[Projeto],MATCH(L593,tblBatidas[Batida ID],0)),"DIVERGÊNCIA DE PROJETO",IF(I593&lt;&gt;INDEX(tblBatidas[Atividade],MATCH(L593,tblBatidas[Batida ID],0)),"DIVERGÊNCIA DE ATIVIDADE",IF(OR(B593&lt;=INDEX(tblBatidas[Data e hora],MATCH(L593,tblBatidas[Batida ID],0)),(B593-INDEX(tblBatidas[Data e hora],MATCH(L593,tblBatidas[Batida ID],0)))*24&gt;16),"HORÁRIO INVÁLIDO","VINCULADO"))))))),"INÍCIO")</f>
        <v>INÍCIO</v>
      </c>
    </row>
    <row r="594" spans="1:13" hidden="1">
      <c r="A594" t="s">
        <v>1217</v>
      </c>
      <c r="B594" s="21">
        <v>46276.340324074074</v>
      </c>
      <c r="C594" s="2">
        <f t="shared" si="18"/>
        <v>46276</v>
      </c>
      <c r="D594" t="str">
        <f t="shared" si="19"/>
        <v>SEXTA-FEIRA</v>
      </c>
      <c r="E594">
        <v>1003</v>
      </c>
      <c r="F594" t="s">
        <v>46</v>
      </c>
      <c r="G594" t="s">
        <v>499</v>
      </c>
      <c r="H594" t="s">
        <v>74</v>
      </c>
      <c r="I594" t="s">
        <v>517</v>
      </c>
      <c r="K594" t="s">
        <v>501</v>
      </c>
      <c r="L594" s="9"/>
      <c r="M594" t="str">
        <f>IF(G594="FIM",IF(L594="","SEM VÍNCULO",IF(COUNTIF(tblBatidas[Batida ID],L594)=0,"VÍNCULO INVÁLIDO",IF(COUNTIF(tblBatidas[Início vinculado],L594)&gt;1,"VÍNCULO DUPLICADO",IF(E594&lt;&gt;INDEX(tblBatidas[ID],MATCH(L594,tblBatidas[Batida ID],0)),"DIVERGÊNCIA DE ID",IF(H594&lt;&gt;INDEX(tblBatidas[Projeto],MATCH(L594,tblBatidas[Batida ID],0)),"DIVERGÊNCIA DE PROJETO",IF(I594&lt;&gt;INDEX(tblBatidas[Atividade],MATCH(L594,tblBatidas[Batida ID],0)),"DIVERGÊNCIA DE ATIVIDADE",IF(OR(B594&lt;=INDEX(tblBatidas[Data e hora],MATCH(L594,tblBatidas[Batida ID],0)),(B594-INDEX(tblBatidas[Data e hora],MATCH(L594,tblBatidas[Batida ID],0)))*24&gt;16),"HORÁRIO INVÁLIDO","VINCULADO"))))))),"INÍCIO")</f>
        <v>INÍCIO</v>
      </c>
    </row>
    <row r="595" spans="1:13" hidden="1">
      <c r="A595" t="s">
        <v>1218</v>
      </c>
      <c r="B595" s="21">
        <v>46276.342986111114</v>
      </c>
      <c r="C595" s="2">
        <f t="shared" si="18"/>
        <v>46276</v>
      </c>
      <c r="D595" t="str">
        <f t="shared" si="19"/>
        <v>SEXTA-FEIRA</v>
      </c>
      <c r="E595">
        <v>1011</v>
      </c>
      <c r="F595" t="s">
        <v>54</v>
      </c>
      <c r="G595" t="s">
        <v>499</v>
      </c>
      <c r="H595" t="s">
        <v>74</v>
      </c>
      <c r="I595" t="s">
        <v>517</v>
      </c>
      <c r="K595" t="s">
        <v>501</v>
      </c>
      <c r="L595" s="9"/>
      <c r="M595" t="str">
        <f>IF(G595="FIM",IF(L595="","SEM VÍNCULO",IF(COUNTIF(tblBatidas[Batida ID],L595)=0,"VÍNCULO INVÁLIDO",IF(COUNTIF(tblBatidas[Início vinculado],L595)&gt;1,"VÍNCULO DUPLICADO",IF(E595&lt;&gt;INDEX(tblBatidas[ID],MATCH(L595,tblBatidas[Batida ID],0)),"DIVERGÊNCIA DE ID",IF(H595&lt;&gt;INDEX(tblBatidas[Projeto],MATCH(L595,tblBatidas[Batida ID],0)),"DIVERGÊNCIA DE PROJETO",IF(I595&lt;&gt;INDEX(tblBatidas[Atividade],MATCH(L595,tblBatidas[Batida ID],0)),"DIVERGÊNCIA DE ATIVIDADE",IF(OR(B595&lt;=INDEX(tblBatidas[Data e hora],MATCH(L595,tblBatidas[Batida ID],0)),(B595-INDEX(tblBatidas[Data e hora],MATCH(L595,tblBatidas[Batida ID],0)))*24&gt;16),"HORÁRIO INVÁLIDO","VINCULADO"))))))),"INÍCIO")</f>
        <v>INÍCIO</v>
      </c>
    </row>
    <row r="596" spans="1:13" hidden="1">
      <c r="A596" t="s">
        <v>1219</v>
      </c>
      <c r="B596" s="21">
        <v>46276.351909722223</v>
      </c>
      <c r="C596" s="2">
        <f t="shared" si="18"/>
        <v>46276</v>
      </c>
      <c r="D596" t="str">
        <f t="shared" si="19"/>
        <v>SEXTA-FEIRA</v>
      </c>
      <c r="E596">
        <v>1006</v>
      </c>
      <c r="F596" t="s">
        <v>49</v>
      </c>
      <c r="G596" t="s">
        <v>499</v>
      </c>
      <c r="H596" t="s">
        <v>86</v>
      </c>
      <c r="I596" t="s">
        <v>512</v>
      </c>
      <c r="K596" t="s">
        <v>501</v>
      </c>
      <c r="L596" s="9"/>
      <c r="M596" t="str">
        <f>IF(G596="FIM",IF(L596="","SEM VÍNCULO",IF(COUNTIF(tblBatidas[Batida ID],L596)=0,"VÍNCULO INVÁLIDO",IF(COUNTIF(tblBatidas[Início vinculado],L596)&gt;1,"VÍNCULO DUPLICADO",IF(E596&lt;&gt;INDEX(tblBatidas[ID],MATCH(L596,tblBatidas[Batida ID],0)),"DIVERGÊNCIA DE ID",IF(H596&lt;&gt;INDEX(tblBatidas[Projeto],MATCH(L596,tblBatidas[Batida ID],0)),"DIVERGÊNCIA DE PROJETO",IF(I596&lt;&gt;INDEX(tblBatidas[Atividade],MATCH(L596,tblBatidas[Batida ID],0)),"DIVERGÊNCIA DE ATIVIDADE",IF(OR(B596&lt;=INDEX(tblBatidas[Data e hora],MATCH(L596,tblBatidas[Batida ID],0)),(B596-INDEX(tblBatidas[Data e hora],MATCH(L596,tblBatidas[Batida ID],0)))*24&gt;16),"HORÁRIO INVÁLIDO","VINCULADO"))))))),"INÍCIO")</f>
        <v>INÍCIO</v>
      </c>
    </row>
    <row r="597" spans="1:13" hidden="1">
      <c r="A597" t="s">
        <v>1220</v>
      </c>
      <c r="B597" s="21">
        <v>46276.352025462962</v>
      </c>
      <c r="C597" s="2">
        <f t="shared" si="18"/>
        <v>46276</v>
      </c>
      <c r="D597" t="str">
        <f t="shared" si="19"/>
        <v>SEXTA-FEIRA</v>
      </c>
      <c r="E597">
        <v>1006</v>
      </c>
      <c r="F597" t="s">
        <v>49</v>
      </c>
      <c r="G597" t="s">
        <v>503</v>
      </c>
      <c r="H597" t="s">
        <v>86</v>
      </c>
      <c r="I597" t="s">
        <v>512</v>
      </c>
      <c r="K597" t="s">
        <v>501</v>
      </c>
      <c r="L597" s="9" t="s">
        <v>1219</v>
      </c>
      <c r="M597" t="str">
        <f>IF(G597="FIM",IF(L597="","SEM VÍNCULO",IF(COUNTIF(tblBatidas[Batida ID],L597)=0,"VÍNCULO INVÁLIDO",IF(COUNTIF(tblBatidas[Início vinculado],L597)&gt;1,"VÍNCULO DUPLICADO",IF(E597&lt;&gt;INDEX(tblBatidas[ID],MATCH(L597,tblBatidas[Batida ID],0)),"DIVERGÊNCIA DE ID",IF(H597&lt;&gt;INDEX(tblBatidas[Projeto],MATCH(L597,tblBatidas[Batida ID],0)),"DIVERGÊNCIA DE PROJETO",IF(I597&lt;&gt;INDEX(tblBatidas[Atividade],MATCH(L597,tblBatidas[Batida ID],0)),"DIVERGÊNCIA DE ATIVIDADE",IF(OR(B597&lt;=INDEX(tblBatidas[Data e hora],MATCH(L597,tblBatidas[Batida ID],0)),(B597-INDEX(tblBatidas[Data e hora],MATCH(L597,tblBatidas[Batida ID],0)))*24&gt;16),"HORÁRIO INVÁLIDO","VINCULADO"))))))),"INÍCIO")</f>
        <v>VINCULADO</v>
      </c>
    </row>
    <row r="598" spans="1:13" hidden="1">
      <c r="A598" t="s">
        <v>1221</v>
      </c>
      <c r="B598" s="21">
        <v>46276.352592592593</v>
      </c>
      <c r="C598" s="2">
        <f t="shared" si="18"/>
        <v>46276</v>
      </c>
      <c r="D598" t="str">
        <f t="shared" si="19"/>
        <v>SEXTA-FEIRA</v>
      </c>
      <c r="E598">
        <v>1006</v>
      </c>
      <c r="F598" t="s">
        <v>49</v>
      </c>
      <c r="G598" t="s">
        <v>499</v>
      </c>
      <c r="H598" t="s">
        <v>86</v>
      </c>
      <c r="I598" t="s">
        <v>512</v>
      </c>
      <c r="K598" t="s">
        <v>501</v>
      </c>
      <c r="L598" s="9"/>
      <c r="M598" t="str">
        <f>IF(G598="FIM",IF(L598="","SEM VÍNCULO",IF(COUNTIF(tblBatidas[Batida ID],L598)=0,"VÍNCULO INVÁLIDO",IF(COUNTIF(tblBatidas[Início vinculado],L598)&gt;1,"VÍNCULO DUPLICADO",IF(E598&lt;&gt;INDEX(tblBatidas[ID],MATCH(L598,tblBatidas[Batida ID],0)),"DIVERGÊNCIA DE ID",IF(H598&lt;&gt;INDEX(tblBatidas[Projeto],MATCH(L598,tblBatidas[Batida ID],0)),"DIVERGÊNCIA DE PROJETO",IF(I598&lt;&gt;INDEX(tblBatidas[Atividade],MATCH(L598,tblBatidas[Batida ID],0)),"DIVERGÊNCIA DE ATIVIDADE",IF(OR(B598&lt;=INDEX(tblBatidas[Data e hora],MATCH(L598,tblBatidas[Batida ID],0)),(B598-INDEX(tblBatidas[Data e hora],MATCH(L598,tblBatidas[Batida ID],0)))*24&gt;16),"HORÁRIO INVÁLIDO","VINCULADO"))))))),"INÍCIO")</f>
        <v>INÍCIO</v>
      </c>
    </row>
    <row r="599" spans="1:13" hidden="1">
      <c r="A599" t="s">
        <v>1222</v>
      </c>
      <c r="B599" s="21">
        <v>46276.363819444443</v>
      </c>
      <c r="C599" s="2">
        <f t="shared" si="18"/>
        <v>46276</v>
      </c>
      <c r="D599" t="str">
        <f t="shared" si="19"/>
        <v>SEXTA-FEIRA</v>
      </c>
      <c r="E599">
        <v>1004</v>
      </c>
      <c r="F599" t="s">
        <v>47</v>
      </c>
      <c r="G599" t="s">
        <v>499</v>
      </c>
      <c r="H599" t="s">
        <v>72</v>
      </c>
      <c r="I599" t="s">
        <v>538</v>
      </c>
      <c r="J599" t="s">
        <v>1223</v>
      </c>
      <c r="K599" t="s">
        <v>501</v>
      </c>
      <c r="L599" s="9"/>
      <c r="M599" t="str">
        <f>IF(G599="FIM",IF(L599="","SEM VÍNCULO",IF(COUNTIF(tblBatidas[Batida ID],L599)=0,"VÍNCULO INVÁLIDO",IF(COUNTIF(tblBatidas[Início vinculado],L599)&gt;1,"VÍNCULO DUPLICADO",IF(E599&lt;&gt;INDEX(tblBatidas[ID],MATCH(L599,tblBatidas[Batida ID],0)),"DIVERGÊNCIA DE ID",IF(H599&lt;&gt;INDEX(tblBatidas[Projeto],MATCH(L599,tblBatidas[Batida ID],0)),"DIVERGÊNCIA DE PROJETO",IF(I599&lt;&gt;INDEX(tblBatidas[Atividade],MATCH(L599,tblBatidas[Batida ID],0)),"DIVERGÊNCIA DE ATIVIDADE",IF(OR(B599&lt;=INDEX(tblBatidas[Data e hora],MATCH(L599,tblBatidas[Batida ID],0)),(B599-INDEX(tblBatidas[Data e hora],MATCH(L599,tblBatidas[Batida ID],0)))*24&gt;16),"HORÁRIO INVÁLIDO","VINCULADO"))))))),"INÍCIO")</f>
        <v>INÍCIO</v>
      </c>
    </row>
    <row r="600" spans="1:13" hidden="1">
      <c r="A600" t="s">
        <v>1224</v>
      </c>
      <c r="B600" s="21">
        <v>46276.368576388886</v>
      </c>
      <c r="C600" s="2">
        <f t="shared" si="18"/>
        <v>46276</v>
      </c>
      <c r="D600" t="str">
        <f t="shared" si="19"/>
        <v>SEXTA-FEIRA</v>
      </c>
      <c r="E600">
        <v>1015</v>
      </c>
      <c r="F600" t="s">
        <v>59</v>
      </c>
      <c r="G600" t="s">
        <v>499</v>
      </c>
      <c r="H600" t="s">
        <v>84</v>
      </c>
      <c r="I600" t="s">
        <v>84</v>
      </c>
      <c r="K600" t="s">
        <v>501</v>
      </c>
      <c r="L600" s="9"/>
      <c r="M600" t="str">
        <f>IF(G600="FIM",IF(L600="","SEM VÍNCULO",IF(COUNTIF(tblBatidas[Batida ID],L600)=0,"VÍNCULO INVÁLIDO",IF(COUNTIF(tblBatidas[Início vinculado],L600)&gt;1,"VÍNCULO DUPLICADO",IF(E600&lt;&gt;INDEX(tblBatidas[ID],MATCH(L600,tblBatidas[Batida ID],0)),"DIVERGÊNCIA DE ID",IF(H600&lt;&gt;INDEX(tblBatidas[Projeto],MATCH(L600,tblBatidas[Batida ID],0)),"DIVERGÊNCIA DE PROJETO",IF(I600&lt;&gt;INDEX(tblBatidas[Atividade],MATCH(L600,tblBatidas[Batida ID],0)),"DIVERGÊNCIA DE ATIVIDADE",IF(OR(B600&lt;=INDEX(tblBatidas[Data e hora],MATCH(L600,tblBatidas[Batida ID],0)),(B600-INDEX(tblBatidas[Data e hora],MATCH(L600,tblBatidas[Batida ID],0)))*24&gt;16),"HORÁRIO INVÁLIDO","VINCULADO"))))))),"INÍCIO")</f>
        <v>INÍCIO</v>
      </c>
    </row>
    <row r="601" spans="1:13" hidden="1">
      <c r="A601" t="s">
        <v>1225</v>
      </c>
      <c r="B601" s="21">
        <v>46276.379537037035</v>
      </c>
      <c r="C601" s="2">
        <f t="shared" si="18"/>
        <v>46276</v>
      </c>
      <c r="D601" t="str">
        <f t="shared" si="19"/>
        <v>SEXTA-FEIRA</v>
      </c>
      <c r="E601">
        <v>1012</v>
      </c>
      <c r="F601" t="s">
        <v>55</v>
      </c>
      <c r="G601" t="s">
        <v>499</v>
      </c>
      <c r="H601" t="s">
        <v>76</v>
      </c>
      <c r="I601" t="s">
        <v>500</v>
      </c>
      <c r="J601" t="s">
        <v>1226</v>
      </c>
      <c r="K601" t="s">
        <v>501</v>
      </c>
      <c r="L601" s="9"/>
      <c r="M601" t="str">
        <f>IF(G601="FIM",IF(L601="","SEM VÍNCULO",IF(COUNTIF(tblBatidas[Batida ID],L601)=0,"VÍNCULO INVÁLIDO",IF(COUNTIF(tblBatidas[Início vinculado],L601)&gt;1,"VÍNCULO DUPLICADO",IF(E601&lt;&gt;INDEX(tblBatidas[ID],MATCH(L601,tblBatidas[Batida ID],0)),"DIVERGÊNCIA DE ID",IF(H601&lt;&gt;INDEX(tblBatidas[Projeto],MATCH(L601,tblBatidas[Batida ID],0)),"DIVERGÊNCIA DE PROJETO",IF(I601&lt;&gt;INDEX(tblBatidas[Atividade],MATCH(L601,tblBatidas[Batida ID],0)),"DIVERGÊNCIA DE ATIVIDADE",IF(OR(B601&lt;=INDEX(tblBatidas[Data e hora],MATCH(L601,tblBatidas[Batida ID],0)),(B601-INDEX(tblBatidas[Data e hora],MATCH(L601,tblBatidas[Batida ID],0)))*24&gt;16),"HORÁRIO INVÁLIDO","VINCULADO"))))))),"INÍCIO")</f>
        <v>INÍCIO</v>
      </c>
    </row>
    <row r="602" spans="1:13" hidden="1">
      <c r="A602" t="s">
        <v>1227</v>
      </c>
      <c r="B602" s="21">
        <v>46276.382581018515</v>
      </c>
      <c r="C602" s="2">
        <f t="shared" si="18"/>
        <v>46276</v>
      </c>
      <c r="D602" t="str">
        <f t="shared" si="19"/>
        <v>SEXTA-FEIRA</v>
      </c>
      <c r="E602">
        <v>1017</v>
      </c>
      <c r="F602" t="s">
        <v>61</v>
      </c>
      <c r="G602" t="s">
        <v>499</v>
      </c>
      <c r="H602" t="s">
        <v>88</v>
      </c>
      <c r="I602" t="s">
        <v>512</v>
      </c>
      <c r="K602" t="s">
        <v>501</v>
      </c>
      <c r="L602" s="9"/>
      <c r="M602" t="str">
        <f>IF(G602="FIM",IF(L602="","SEM VÍNCULO",IF(COUNTIF(tblBatidas[Batida ID],L602)=0,"VÍNCULO INVÁLIDO",IF(COUNTIF(tblBatidas[Início vinculado],L602)&gt;1,"VÍNCULO DUPLICADO",IF(E602&lt;&gt;INDEX(tblBatidas[ID],MATCH(L602,tblBatidas[Batida ID],0)),"DIVERGÊNCIA DE ID",IF(H602&lt;&gt;INDEX(tblBatidas[Projeto],MATCH(L602,tblBatidas[Batida ID],0)),"DIVERGÊNCIA DE PROJETO",IF(I602&lt;&gt;INDEX(tblBatidas[Atividade],MATCH(L602,tblBatidas[Batida ID],0)),"DIVERGÊNCIA DE ATIVIDADE",IF(OR(B602&lt;=INDEX(tblBatidas[Data e hora],MATCH(L602,tblBatidas[Batida ID],0)),(B602-INDEX(tblBatidas[Data e hora],MATCH(L602,tblBatidas[Batida ID],0)))*24&gt;16),"HORÁRIO INVÁLIDO","VINCULADO"))))))),"INÍCIO")</f>
        <v>INÍCIO</v>
      </c>
    </row>
    <row r="603" spans="1:13" hidden="1">
      <c r="A603" t="s">
        <v>1228</v>
      </c>
      <c r="B603" s="21">
        <v>46276.389525462961</v>
      </c>
      <c r="C603" s="2">
        <f t="shared" si="18"/>
        <v>46276</v>
      </c>
      <c r="D603" t="str">
        <f t="shared" si="19"/>
        <v>SEXTA-FEIRA</v>
      </c>
      <c r="E603">
        <v>1004</v>
      </c>
      <c r="F603" t="s">
        <v>47</v>
      </c>
      <c r="G603" t="s">
        <v>503</v>
      </c>
      <c r="H603" t="s">
        <v>72</v>
      </c>
      <c r="I603" t="s">
        <v>538</v>
      </c>
      <c r="J603" t="s">
        <v>624</v>
      </c>
      <c r="K603" t="s">
        <v>501</v>
      </c>
      <c r="L603" s="9" t="s">
        <v>1222</v>
      </c>
      <c r="M603" t="str">
        <f>IF(G603="FIM",IF(L603="","SEM VÍNCULO",IF(COUNTIF(tblBatidas[Batida ID],L603)=0,"VÍNCULO INVÁLIDO",IF(COUNTIF(tblBatidas[Início vinculado],L603)&gt;1,"VÍNCULO DUPLICADO",IF(E603&lt;&gt;INDEX(tblBatidas[ID],MATCH(L603,tblBatidas[Batida ID],0)),"DIVERGÊNCIA DE ID",IF(H603&lt;&gt;INDEX(tblBatidas[Projeto],MATCH(L603,tblBatidas[Batida ID],0)),"DIVERGÊNCIA DE PROJETO",IF(I603&lt;&gt;INDEX(tblBatidas[Atividade],MATCH(L603,tblBatidas[Batida ID],0)),"DIVERGÊNCIA DE ATIVIDADE",IF(OR(B603&lt;=INDEX(tblBatidas[Data e hora],MATCH(L603,tblBatidas[Batida ID],0)),(B603-INDEX(tblBatidas[Data e hora],MATCH(L603,tblBatidas[Batida ID],0)))*24&gt;16),"HORÁRIO INVÁLIDO","VINCULADO"))))))),"INÍCIO")</f>
        <v>VINCULADO</v>
      </c>
    </row>
    <row r="604" spans="1:13" hidden="1">
      <c r="A604" t="s">
        <v>1229</v>
      </c>
      <c r="B604" s="21">
        <v>46276.389652777776</v>
      </c>
      <c r="C604" s="2">
        <f t="shared" si="18"/>
        <v>46276</v>
      </c>
      <c r="D604" t="str">
        <f t="shared" si="19"/>
        <v>SEXTA-FEIRA</v>
      </c>
      <c r="E604">
        <v>1004</v>
      </c>
      <c r="F604" t="s">
        <v>47</v>
      </c>
      <c r="G604" t="s">
        <v>503</v>
      </c>
      <c r="H604" t="s">
        <v>72</v>
      </c>
      <c r="I604" t="s">
        <v>538</v>
      </c>
      <c r="J604" t="s">
        <v>624</v>
      </c>
      <c r="K604" t="s">
        <v>501</v>
      </c>
      <c r="L604" s="9"/>
      <c r="M604" t="str">
        <f>IF(G604="FIM",IF(L604="","SEM VÍNCULO",IF(COUNTIF(tblBatidas[Batida ID],L604)=0,"VÍNCULO INVÁLIDO",IF(COUNTIF(tblBatidas[Início vinculado],L604)&gt;1,"VÍNCULO DUPLICADO",IF(E604&lt;&gt;INDEX(tblBatidas[ID],MATCH(L604,tblBatidas[Batida ID],0)),"DIVERGÊNCIA DE ID",IF(H604&lt;&gt;INDEX(tblBatidas[Projeto],MATCH(L604,tblBatidas[Batida ID],0)),"DIVERGÊNCIA DE PROJETO",IF(I604&lt;&gt;INDEX(tblBatidas[Atividade],MATCH(L604,tblBatidas[Batida ID],0)),"DIVERGÊNCIA DE ATIVIDADE",IF(OR(B604&lt;=INDEX(tblBatidas[Data e hora],MATCH(L604,tblBatidas[Batida ID],0)),(B604-INDEX(tblBatidas[Data e hora],MATCH(L604,tblBatidas[Batida ID],0)))*24&gt;16),"HORÁRIO INVÁLIDO","VINCULADO"))))))),"INÍCIO")</f>
        <v>SEM VÍNCULO</v>
      </c>
    </row>
    <row r="605" spans="1:13" hidden="1">
      <c r="A605" t="s">
        <v>1230</v>
      </c>
      <c r="B605" s="21">
        <v>46276.390092592592</v>
      </c>
      <c r="C605" s="2">
        <f t="shared" si="18"/>
        <v>46276</v>
      </c>
      <c r="D605" t="str">
        <f t="shared" si="19"/>
        <v>SEXTA-FEIRA</v>
      </c>
      <c r="E605">
        <v>1004</v>
      </c>
      <c r="F605" t="s">
        <v>47</v>
      </c>
      <c r="G605" t="s">
        <v>499</v>
      </c>
      <c r="H605" t="s">
        <v>82</v>
      </c>
      <c r="I605" t="s">
        <v>538</v>
      </c>
      <c r="J605" t="s">
        <v>1231</v>
      </c>
      <c r="K605" t="s">
        <v>501</v>
      </c>
      <c r="L605" s="9"/>
      <c r="M605" t="str">
        <f>IF(G605="FIM",IF(L605="","SEM VÍNCULO",IF(COUNTIF(tblBatidas[Batida ID],L605)=0,"VÍNCULO INVÁLIDO",IF(COUNTIF(tblBatidas[Início vinculado],L605)&gt;1,"VÍNCULO DUPLICADO",IF(E605&lt;&gt;INDEX(tblBatidas[ID],MATCH(L605,tblBatidas[Batida ID],0)),"DIVERGÊNCIA DE ID",IF(H605&lt;&gt;INDEX(tblBatidas[Projeto],MATCH(L605,tblBatidas[Batida ID],0)),"DIVERGÊNCIA DE PROJETO",IF(I605&lt;&gt;INDEX(tblBatidas[Atividade],MATCH(L605,tblBatidas[Batida ID],0)),"DIVERGÊNCIA DE ATIVIDADE",IF(OR(B605&lt;=INDEX(tblBatidas[Data e hora],MATCH(L605,tblBatidas[Batida ID],0)),(B605-INDEX(tblBatidas[Data e hora],MATCH(L605,tblBatidas[Batida ID],0)))*24&gt;16),"HORÁRIO INVÁLIDO","VINCULADO"))))))),"INÍCIO")</f>
        <v>INÍCIO</v>
      </c>
    </row>
    <row r="606" spans="1:13" hidden="1">
      <c r="A606" t="s">
        <v>1232</v>
      </c>
      <c r="B606" s="21">
        <v>46276.390127314815</v>
      </c>
      <c r="C606" s="2">
        <f t="shared" si="18"/>
        <v>46276</v>
      </c>
      <c r="D606" t="str">
        <f t="shared" si="19"/>
        <v>SEXTA-FEIRA</v>
      </c>
      <c r="E606">
        <v>1004</v>
      </c>
      <c r="F606" t="s">
        <v>47</v>
      </c>
      <c r="G606" t="s">
        <v>499</v>
      </c>
      <c r="H606" t="s">
        <v>82</v>
      </c>
      <c r="I606" t="s">
        <v>538</v>
      </c>
      <c r="J606" t="s">
        <v>1231</v>
      </c>
      <c r="K606" t="s">
        <v>501</v>
      </c>
      <c r="L606" s="9"/>
      <c r="M606" t="str">
        <f>IF(G606="FIM",IF(L606="","SEM VÍNCULO",IF(COUNTIF(tblBatidas[Batida ID],L606)=0,"VÍNCULO INVÁLIDO",IF(COUNTIF(tblBatidas[Início vinculado],L606)&gt;1,"VÍNCULO DUPLICADO",IF(E606&lt;&gt;INDEX(tblBatidas[ID],MATCH(L606,tblBatidas[Batida ID],0)),"DIVERGÊNCIA DE ID",IF(H606&lt;&gt;INDEX(tblBatidas[Projeto],MATCH(L606,tblBatidas[Batida ID],0)),"DIVERGÊNCIA DE PROJETO",IF(I606&lt;&gt;INDEX(tblBatidas[Atividade],MATCH(L606,tblBatidas[Batida ID],0)),"DIVERGÊNCIA DE ATIVIDADE",IF(OR(B606&lt;=INDEX(tblBatidas[Data e hora],MATCH(L606,tblBatidas[Batida ID],0)),(B606-INDEX(tblBatidas[Data e hora],MATCH(L606,tblBatidas[Batida ID],0)))*24&gt;16),"HORÁRIO INVÁLIDO","VINCULADO"))))))),"INÍCIO")</f>
        <v>INÍCIO</v>
      </c>
    </row>
    <row r="607" spans="1:13" hidden="1">
      <c r="A607" t="s">
        <v>1233</v>
      </c>
      <c r="B607" s="21">
        <v>46276.405613425923</v>
      </c>
      <c r="C607" s="2">
        <f t="shared" si="18"/>
        <v>46276</v>
      </c>
      <c r="D607" t="str">
        <f t="shared" si="19"/>
        <v>SEXTA-FEIRA</v>
      </c>
      <c r="E607">
        <v>1004</v>
      </c>
      <c r="F607" t="s">
        <v>47</v>
      </c>
      <c r="G607" t="s">
        <v>499</v>
      </c>
      <c r="H607" t="s">
        <v>88</v>
      </c>
      <c r="I607" t="s">
        <v>512</v>
      </c>
      <c r="K607" t="s">
        <v>501</v>
      </c>
      <c r="L607" s="9"/>
      <c r="M607" t="str">
        <f>IF(G607="FIM",IF(L607="","SEM VÍNCULO",IF(COUNTIF(tblBatidas[Batida ID],L607)=0,"VÍNCULO INVÁLIDO",IF(COUNTIF(tblBatidas[Início vinculado],L607)&gt;1,"VÍNCULO DUPLICADO",IF(E607&lt;&gt;INDEX(tblBatidas[ID],MATCH(L607,tblBatidas[Batida ID],0)),"DIVERGÊNCIA DE ID",IF(H607&lt;&gt;INDEX(tblBatidas[Projeto],MATCH(L607,tblBatidas[Batida ID],0)),"DIVERGÊNCIA DE PROJETO",IF(I607&lt;&gt;INDEX(tblBatidas[Atividade],MATCH(L607,tblBatidas[Batida ID],0)),"DIVERGÊNCIA DE ATIVIDADE",IF(OR(B607&lt;=INDEX(tblBatidas[Data e hora],MATCH(L607,tblBatidas[Batida ID],0)),(B607-INDEX(tblBatidas[Data e hora],MATCH(L607,tblBatidas[Batida ID],0)))*24&gt;16),"HORÁRIO INVÁLIDO","VINCULADO"))))))),"INÍCIO")</f>
        <v>INÍCIO</v>
      </c>
    </row>
    <row r="608" spans="1:13" hidden="1">
      <c r="A608" t="s">
        <v>1234</v>
      </c>
      <c r="B608" s="21">
        <v>46276.405694444446</v>
      </c>
      <c r="C608" s="2">
        <f t="shared" si="18"/>
        <v>46276</v>
      </c>
      <c r="D608" t="str">
        <f t="shared" si="19"/>
        <v>SEXTA-FEIRA</v>
      </c>
      <c r="E608">
        <v>1014</v>
      </c>
      <c r="F608" t="s">
        <v>58</v>
      </c>
      <c r="G608" t="s">
        <v>499</v>
      </c>
      <c r="H608" t="s">
        <v>88</v>
      </c>
      <c r="I608" t="s">
        <v>512</v>
      </c>
      <c r="K608" t="s">
        <v>501</v>
      </c>
      <c r="L608" s="9"/>
      <c r="M608" t="str">
        <f>IF(G608="FIM",IF(L608="","SEM VÍNCULO",IF(COUNTIF(tblBatidas[Batida ID],L608)=0,"VÍNCULO INVÁLIDO",IF(COUNTIF(tblBatidas[Início vinculado],L608)&gt;1,"VÍNCULO DUPLICADO",IF(E608&lt;&gt;INDEX(tblBatidas[ID],MATCH(L608,tblBatidas[Batida ID],0)),"DIVERGÊNCIA DE ID",IF(H608&lt;&gt;INDEX(tblBatidas[Projeto],MATCH(L608,tblBatidas[Batida ID],0)),"DIVERGÊNCIA DE PROJETO",IF(I608&lt;&gt;INDEX(tblBatidas[Atividade],MATCH(L608,tblBatidas[Batida ID],0)),"DIVERGÊNCIA DE ATIVIDADE",IF(OR(B608&lt;=INDEX(tblBatidas[Data e hora],MATCH(L608,tblBatidas[Batida ID],0)),(B608-INDEX(tblBatidas[Data e hora],MATCH(L608,tblBatidas[Batida ID],0)))*24&gt;16),"HORÁRIO INVÁLIDO","VINCULADO"))))))),"INÍCIO")</f>
        <v>INÍCIO</v>
      </c>
    </row>
    <row r="609" spans="1:13" hidden="1">
      <c r="A609" t="s">
        <v>1235</v>
      </c>
      <c r="B609" s="21">
        <v>46276.413043981483</v>
      </c>
      <c r="C609" s="2">
        <f t="shared" si="18"/>
        <v>46276</v>
      </c>
      <c r="D609" t="str">
        <f t="shared" si="19"/>
        <v>SEXTA-FEIRA</v>
      </c>
      <c r="E609">
        <v>1016</v>
      </c>
      <c r="F609" t="s">
        <v>60</v>
      </c>
      <c r="G609" t="s">
        <v>499</v>
      </c>
      <c r="H609" t="s">
        <v>70</v>
      </c>
      <c r="I609" t="s">
        <v>517</v>
      </c>
      <c r="K609" t="s">
        <v>501</v>
      </c>
      <c r="L609" s="9"/>
      <c r="M609" t="str">
        <f>IF(G609="FIM",IF(L609="","SEM VÍNCULO",IF(COUNTIF(tblBatidas[Batida ID],L609)=0,"VÍNCULO INVÁLIDO",IF(COUNTIF(tblBatidas[Início vinculado],L609)&gt;1,"VÍNCULO DUPLICADO",IF(E609&lt;&gt;INDEX(tblBatidas[ID],MATCH(L609,tblBatidas[Batida ID],0)),"DIVERGÊNCIA DE ID",IF(H609&lt;&gt;INDEX(tblBatidas[Projeto],MATCH(L609,tblBatidas[Batida ID],0)),"DIVERGÊNCIA DE PROJETO",IF(I609&lt;&gt;INDEX(tblBatidas[Atividade],MATCH(L609,tblBatidas[Batida ID],0)),"DIVERGÊNCIA DE ATIVIDADE",IF(OR(B609&lt;=INDEX(tblBatidas[Data e hora],MATCH(L609,tblBatidas[Batida ID],0)),(B609-INDEX(tblBatidas[Data e hora],MATCH(L609,tblBatidas[Batida ID],0)))*24&gt;16),"HORÁRIO INVÁLIDO","VINCULADO"))))))),"INÍCIO")</f>
        <v>INÍCIO</v>
      </c>
    </row>
    <row r="610" spans="1:13" hidden="1">
      <c r="A610" t="s">
        <v>1236</v>
      </c>
      <c r="B610" s="21">
        <v>46276.421365740738</v>
      </c>
      <c r="C610" s="2">
        <f t="shared" si="18"/>
        <v>46276</v>
      </c>
      <c r="D610" t="str">
        <f t="shared" si="19"/>
        <v>SEXTA-FEIRA</v>
      </c>
      <c r="E610">
        <v>1005</v>
      </c>
      <c r="F610" t="s">
        <v>48</v>
      </c>
      <c r="G610" t="s">
        <v>499</v>
      </c>
      <c r="H610" t="s">
        <v>88</v>
      </c>
      <c r="I610" t="s">
        <v>512</v>
      </c>
      <c r="K610" t="s">
        <v>501</v>
      </c>
      <c r="L610" s="9"/>
      <c r="M610" t="str">
        <f>IF(G610="FIM",IF(L610="","SEM VÍNCULO",IF(COUNTIF(tblBatidas[Batida ID],L610)=0,"VÍNCULO INVÁLIDO",IF(COUNTIF(tblBatidas[Início vinculado],L610)&gt;1,"VÍNCULO DUPLICADO",IF(E610&lt;&gt;INDEX(tblBatidas[ID],MATCH(L610,tblBatidas[Batida ID],0)),"DIVERGÊNCIA DE ID",IF(H610&lt;&gt;INDEX(tblBatidas[Projeto],MATCH(L610,tblBatidas[Batida ID],0)),"DIVERGÊNCIA DE PROJETO",IF(I610&lt;&gt;INDEX(tblBatidas[Atividade],MATCH(L610,tblBatidas[Batida ID],0)),"DIVERGÊNCIA DE ATIVIDADE",IF(OR(B610&lt;=INDEX(tblBatidas[Data e hora],MATCH(L610,tblBatidas[Batida ID],0)),(B610-INDEX(tblBatidas[Data e hora],MATCH(L610,tblBatidas[Batida ID],0)))*24&gt;16),"HORÁRIO INVÁLIDO","VINCULADO"))))))),"INÍCIO")</f>
        <v>INÍCIO</v>
      </c>
    </row>
    <row r="611" spans="1:13" hidden="1">
      <c r="A611" t="s">
        <v>1237</v>
      </c>
      <c r="B611" s="21">
        <v>46276.49113425926</v>
      </c>
      <c r="C611" s="2">
        <f t="shared" si="18"/>
        <v>46276</v>
      </c>
      <c r="D611" t="str">
        <f t="shared" si="19"/>
        <v>SEXTA-FEIRA</v>
      </c>
      <c r="E611">
        <v>1013</v>
      </c>
      <c r="F611" t="s">
        <v>57</v>
      </c>
      <c r="G611" t="s">
        <v>503</v>
      </c>
      <c r="H611" t="s">
        <v>86</v>
      </c>
      <c r="I611" t="s">
        <v>517</v>
      </c>
      <c r="K611" t="s">
        <v>501</v>
      </c>
      <c r="L611" s="9" t="s">
        <v>1215</v>
      </c>
      <c r="M611" t="str">
        <f>IF(G611="FIM",IF(L611="","SEM VÍNCULO",IF(COUNTIF(tblBatidas[Batida ID],L611)=0,"VÍNCULO INVÁLIDO",IF(COUNTIF(tblBatidas[Início vinculado],L611)&gt;1,"VÍNCULO DUPLICADO",IF(E611&lt;&gt;INDEX(tblBatidas[ID],MATCH(L611,tblBatidas[Batida ID],0)),"DIVERGÊNCIA DE ID",IF(H611&lt;&gt;INDEX(tblBatidas[Projeto],MATCH(L611,tblBatidas[Batida ID],0)),"DIVERGÊNCIA DE PROJETO",IF(I611&lt;&gt;INDEX(tblBatidas[Atividade],MATCH(L611,tblBatidas[Batida ID],0)),"DIVERGÊNCIA DE ATIVIDADE",IF(OR(B611&lt;=INDEX(tblBatidas[Data e hora],MATCH(L611,tblBatidas[Batida ID],0)),(B611-INDEX(tblBatidas[Data e hora],MATCH(L611,tblBatidas[Batida ID],0)))*24&gt;16),"HORÁRIO INVÁLIDO","VINCULADO"))))))),"INÍCIO")</f>
        <v>VINCULADO</v>
      </c>
    </row>
    <row r="612" spans="1:13">
      <c r="A612" t="s">
        <v>1238</v>
      </c>
      <c r="B612" s="21">
        <v>46276.505347222221</v>
      </c>
      <c r="C612" s="2">
        <f t="shared" si="18"/>
        <v>46276</v>
      </c>
      <c r="D612" t="str">
        <f t="shared" si="19"/>
        <v>SEXTA-FEIRA</v>
      </c>
      <c r="E612">
        <v>1002</v>
      </c>
      <c r="F612" t="s">
        <v>45</v>
      </c>
      <c r="G612" t="s">
        <v>503</v>
      </c>
      <c r="H612" t="s">
        <v>80</v>
      </c>
      <c r="I612" t="s">
        <v>517</v>
      </c>
      <c r="K612" t="s">
        <v>501</v>
      </c>
      <c r="L612" s="9" t="s">
        <v>1213</v>
      </c>
      <c r="M612" t="str">
        <f>IF(G612="FIM",IF(L612="","SEM VÍNCULO",IF(COUNTIF(tblBatidas[Batida ID],L612)=0,"VÍNCULO INVÁLIDO",IF(COUNTIF(tblBatidas[Início vinculado],L612)&gt;1,"VÍNCULO DUPLICADO",IF(E612&lt;&gt;INDEX(tblBatidas[ID],MATCH(L612,tblBatidas[Batida ID],0)),"DIVERGÊNCIA DE ID",IF(H612&lt;&gt;INDEX(tblBatidas[Projeto],MATCH(L612,tblBatidas[Batida ID],0)),"DIVERGÊNCIA DE PROJETO",IF(I612&lt;&gt;INDEX(tblBatidas[Atividade],MATCH(L612,tblBatidas[Batida ID],0)),"DIVERGÊNCIA DE ATIVIDADE",IF(OR(B612&lt;=INDEX(tblBatidas[Data e hora],MATCH(L612,tblBatidas[Batida ID],0)),(B612-INDEX(tblBatidas[Data e hora],MATCH(L612,tblBatidas[Batida ID],0)))*24&gt;16),"HORÁRIO INVÁLIDO","VINCULADO"))))))),"INÍCIO")</f>
        <v>VINCULADO</v>
      </c>
    </row>
    <row r="613" spans="1:13" hidden="1">
      <c r="A613" t="s">
        <v>1239</v>
      </c>
      <c r="B613" s="21">
        <v>46276.505659722221</v>
      </c>
      <c r="C613" s="2">
        <f t="shared" si="18"/>
        <v>46276</v>
      </c>
      <c r="D613" t="str">
        <f t="shared" si="19"/>
        <v>SEXTA-FEIRA</v>
      </c>
      <c r="E613">
        <v>1013</v>
      </c>
      <c r="F613" t="s">
        <v>57</v>
      </c>
      <c r="G613" t="s">
        <v>499</v>
      </c>
      <c r="H613" t="s">
        <v>80</v>
      </c>
      <c r="I613" t="s">
        <v>517</v>
      </c>
      <c r="K613" t="s">
        <v>501</v>
      </c>
      <c r="L613" s="9"/>
      <c r="M613" t="str">
        <f>IF(G613="FIM",IF(L613="","SEM VÍNCULO",IF(COUNTIF(tblBatidas[Batida ID],L613)=0,"VÍNCULO INVÁLIDO",IF(COUNTIF(tblBatidas[Início vinculado],L613)&gt;1,"VÍNCULO DUPLICADO",IF(E613&lt;&gt;INDEX(tblBatidas[ID],MATCH(L613,tblBatidas[Batida ID],0)),"DIVERGÊNCIA DE ID",IF(H613&lt;&gt;INDEX(tblBatidas[Projeto],MATCH(L613,tblBatidas[Batida ID],0)),"DIVERGÊNCIA DE PROJETO",IF(I613&lt;&gt;INDEX(tblBatidas[Atividade],MATCH(L613,tblBatidas[Batida ID],0)),"DIVERGÊNCIA DE ATIVIDADE",IF(OR(B613&lt;=INDEX(tblBatidas[Data e hora],MATCH(L613,tblBatidas[Batida ID],0)),(B613-INDEX(tblBatidas[Data e hora],MATCH(L613,tblBatidas[Batida ID],0)))*24&gt;16),"HORÁRIO INVÁLIDO","VINCULADO"))))))),"INÍCIO")</f>
        <v>INÍCIO</v>
      </c>
    </row>
    <row r="614" spans="1:13" hidden="1">
      <c r="A614" t="s">
        <v>1240</v>
      </c>
      <c r="B614" s="21">
        <v>46276.524837962963</v>
      </c>
      <c r="C614" s="2">
        <f t="shared" si="18"/>
        <v>46276</v>
      </c>
      <c r="D614" t="str">
        <f t="shared" si="19"/>
        <v>SEXTA-FEIRA</v>
      </c>
      <c r="E614">
        <v>1011</v>
      </c>
      <c r="F614" t="s">
        <v>54</v>
      </c>
      <c r="G614" t="s">
        <v>503</v>
      </c>
      <c r="H614" t="s">
        <v>74</v>
      </c>
      <c r="I614" t="s">
        <v>517</v>
      </c>
      <c r="K614" t="s">
        <v>501</v>
      </c>
      <c r="L614" s="9" t="s">
        <v>1218</v>
      </c>
      <c r="M614" t="str">
        <f>IF(G614="FIM",IF(L614="","SEM VÍNCULO",IF(COUNTIF(tblBatidas[Batida ID],L614)=0,"VÍNCULO INVÁLIDO",IF(COUNTIF(tblBatidas[Início vinculado],L614)&gt;1,"VÍNCULO DUPLICADO",IF(E614&lt;&gt;INDEX(tblBatidas[ID],MATCH(L614,tblBatidas[Batida ID],0)),"DIVERGÊNCIA DE ID",IF(H614&lt;&gt;INDEX(tblBatidas[Projeto],MATCH(L614,tblBatidas[Batida ID],0)),"DIVERGÊNCIA DE PROJETO",IF(I614&lt;&gt;INDEX(tblBatidas[Atividade],MATCH(L614,tblBatidas[Batida ID],0)),"DIVERGÊNCIA DE ATIVIDADE",IF(OR(B614&lt;=INDEX(tblBatidas[Data e hora],MATCH(L614,tblBatidas[Batida ID],0)),(B614-INDEX(tblBatidas[Data e hora],MATCH(L614,tblBatidas[Batida ID],0)))*24&gt;16),"HORÁRIO INVÁLIDO","VINCULADO"))))))),"INÍCIO")</f>
        <v>VINCULADO</v>
      </c>
    </row>
    <row r="615" spans="1:13" hidden="1">
      <c r="A615" t="s">
        <v>1241</v>
      </c>
      <c r="B615" s="21">
        <v>46276.529456018521</v>
      </c>
      <c r="C615" s="2">
        <f t="shared" si="18"/>
        <v>46276</v>
      </c>
      <c r="D615" t="str">
        <f t="shared" si="19"/>
        <v>SEXTA-FEIRA</v>
      </c>
      <c r="E615">
        <v>1003</v>
      </c>
      <c r="F615" t="s">
        <v>46</v>
      </c>
      <c r="G615" t="s">
        <v>503</v>
      </c>
      <c r="H615" t="s">
        <v>74</v>
      </c>
      <c r="I615" t="s">
        <v>517</v>
      </c>
      <c r="K615" t="s">
        <v>501</v>
      </c>
      <c r="L615" s="9" t="s">
        <v>1217</v>
      </c>
      <c r="M615" t="str">
        <f>IF(G615="FIM",IF(L615="","SEM VÍNCULO",IF(COUNTIF(tblBatidas[Batida ID],L615)=0,"VÍNCULO INVÁLIDO",IF(COUNTIF(tblBatidas[Início vinculado],L615)&gt;1,"VÍNCULO DUPLICADO",IF(E615&lt;&gt;INDEX(tblBatidas[ID],MATCH(L615,tblBatidas[Batida ID],0)),"DIVERGÊNCIA DE ID",IF(H615&lt;&gt;INDEX(tblBatidas[Projeto],MATCH(L615,tblBatidas[Batida ID],0)),"DIVERGÊNCIA DE PROJETO",IF(I615&lt;&gt;INDEX(tblBatidas[Atividade],MATCH(L615,tblBatidas[Batida ID],0)),"DIVERGÊNCIA DE ATIVIDADE",IF(OR(B615&lt;=INDEX(tblBatidas[Data e hora],MATCH(L615,tblBatidas[Batida ID],0)),(B615-INDEX(tblBatidas[Data e hora],MATCH(L615,tblBatidas[Batida ID],0)))*24&gt;16),"HORÁRIO INVÁLIDO","VINCULADO"))))))),"INÍCIO")</f>
        <v>VINCULADO</v>
      </c>
    </row>
    <row r="616" spans="1:13" hidden="1">
      <c r="A616" t="s">
        <v>1242</v>
      </c>
      <c r="B616" s="21">
        <v>46276.531666666669</v>
      </c>
      <c r="C616" s="2">
        <f t="shared" si="18"/>
        <v>46276</v>
      </c>
      <c r="D616" t="str">
        <f t="shared" si="19"/>
        <v>SEXTA-FEIRA</v>
      </c>
      <c r="E616">
        <v>1014</v>
      </c>
      <c r="F616" t="s">
        <v>58</v>
      </c>
      <c r="G616" t="s">
        <v>503</v>
      </c>
      <c r="H616" t="s">
        <v>88</v>
      </c>
      <c r="I616" t="s">
        <v>512</v>
      </c>
      <c r="K616" t="s">
        <v>501</v>
      </c>
      <c r="L616" s="9" t="s">
        <v>1234</v>
      </c>
      <c r="M616" t="str">
        <f>IF(G616="FIM",IF(L616="","SEM VÍNCULO",IF(COUNTIF(tblBatidas[Batida ID],L616)=0,"VÍNCULO INVÁLIDO",IF(COUNTIF(tblBatidas[Início vinculado],L616)&gt;1,"VÍNCULO DUPLICADO",IF(E616&lt;&gt;INDEX(tblBatidas[ID],MATCH(L616,tblBatidas[Batida ID],0)),"DIVERGÊNCIA DE ID",IF(H616&lt;&gt;INDEX(tblBatidas[Projeto],MATCH(L616,tblBatidas[Batida ID],0)),"DIVERGÊNCIA DE PROJETO",IF(I616&lt;&gt;INDEX(tblBatidas[Atividade],MATCH(L616,tblBatidas[Batida ID],0)),"DIVERGÊNCIA DE ATIVIDADE",IF(OR(B616&lt;=INDEX(tblBatidas[Data e hora],MATCH(L616,tblBatidas[Batida ID],0)),(B616-INDEX(tblBatidas[Data e hora],MATCH(L616,tblBatidas[Batida ID],0)))*24&gt;16),"HORÁRIO INVÁLIDO","VINCULADO"))))))),"INÍCIO")</f>
        <v>VINCULADO</v>
      </c>
    </row>
    <row r="617" spans="1:13" hidden="1">
      <c r="A617" t="s">
        <v>1243</v>
      </c>
      <c r="B617" s="21">
        <v>46276.543206018519</v>
      </c>
      <c r="C617" s="2">
        <f t="shared" si="18"/>
        <v>46276</v>
      </c>
      <c r="D617" t="str">
        <f t="shared" si="19"/>
        <v>SEXTA-FEIRA</v>
      </c>
      <c r="E617">
        <v>1012</v>
      </c>
      <c r="F617" t="s">
        <v>55</v>
      </c>
      <c r="G617" t="s">
        <v>499</v>
      </c>
      <c r="H617" t="s">
        <v>76</v>
      </c>
      <c r="I617" t="s">
        <v>512</v>
      </c>
      <c r="K617" t="s">
        <v>501</v>
      </c>
      <c r="L617" s="9"/>
      <c r="M617" t="str">
        <f>IF(G617="FIM",IF(L617="","SEM VÍNCULO",IF(COUNTIF(tblBatidas[Batida ID],L617)=0,"VÍNCULO INVÁLIDO",IF(COUNTIF(tblBatidas[Início vinculado],L617)&gt;1,"VÍNCULO DUPLICADO",IF(E617&lt;&gt;INDEX(tblBatidas[ID],MATCH(L617,tblBatidas[Batida ID],0)),"DIVERGÊNCIA DE ID",IF(H617&lt;&gt;INDEX(tblBatidas[Projeto],MATCH(L617,tblBatidas[Batida ID],0)),"DIVERGÊNCIA DE PROJETO",IF(I617&lt;&gt;INDEX(tblBatidas[Atividade],MATCH(L617,tblBatidas[Batida ID],0)),"DIVERGÊNCIA DE ATIVIDADE",IF(OR(B617&lt;=INDEX(tblBatidas[Data e hora],MATCH(L617,tblBatidas[Batida ID],0)),(B617-INDEX(tblBatidas[Data e hora],MATCH(L617,tblBatidas[Batida ID],0)))*24&gt;16),"HORÁRIO INVÁLIDO","VINCULADO"))))))),"INÍCIO")</f>
        <v>INÍCIO</v>
      </c>
    </row>
    <row r="618" spans="1:13" hidden="1">
      <c r="A618" t="s">
        <v>1244</v>
      </c>
      <c r="B618" s="21">
        <v>46276.543981481482</v>
      </c>
      <c r="C618" s="2">
        <f t="shared" si="18"/>
        <v>46276</v>
      </c>
      <c r="D618" t="str">
        <f t="shared" si="19"/>
        <v>SEXTA-FEIRA</v>
      </c>
      <c r="E618">
        <v>1010</v>
      </c>
      <c r="F618" t="s">
        <v>53</v>
      </c>
      <c r="G618" t="s">
        <v>503</v>
      </c>
      <c r="H618" t="s">
        <v>76</v>
      </c>
      <c r="I618" t="s">
        <v>512</v>
      </c>
      <c r="K618" t="s">
        <v>501</v>
      </c>
      <c r="L618" s="9"/>
      <c r="M618" t="str">
        <f>IF(G618="FIM",IF(L618="","SEM VÍNCULO",IF(COUNTIF(tblBatidas[Batida ID],L618)=0,"VÍNCULO INVÁLIDO",IF(COUNTIF(tblBatidas[Início vinculado],L618)&gt;1,"VÍNCULO DUPLICADO",IF(E618&lt;&gt;INDEX(tblBatidas[ID],MATCH(L618,tblBatidas[Batida ID],0)),"DIVERGÊNCIA DE ID",IF(H618&lt;&gt;INDEX(tblBatidas[Projeto],MATCH(L618,tblBatidas[Batida ID],0)),"DIVERGÊNCIA DE PROJETO",IF(I618&lt;&gt;INDEX(tblBatidas[Atividade],MATCH(L618,tblBatidas[Batida ID],0)),"DIVERGÊNCIA DE ATIVIDADE",IF(OR(B618&lt;=INDEX(tblBatidas[Data e hora],MATCH(L618,tblBatidas[Batida ID],0)),(B618-INDEX(tblBatidas[Data e hora],MATCH(L618,tblBatidas[Batida ID],0)))*24&gt;16),"HORÁRIO INVÁLIDO","VINCULADO"))))))),"INÍCIO")</f>
        <v>SEM VÍNCULO</v>
      </c>
    </row>
    <row r="619" spans="1:13" hidden="1">
      <c r="A619" t="s">
        <v>1245</v>
      </c>
      <c r="B619" s="21">
        <v>46276.544918981483</v>
      </c>
      <c r="C619" s="2">
        <f t="shared" si="18"/>
        <v>46276</v>
      </c>
      <c r="D619" t="str">
        <f t="shared" si="19"/>
        <v>SEXTA-FEIRA</v>
      </c>
      <c r="E619">
        <v>1004</v>
      </c>
      <c r="F619" t="s">
        <v>47</v>
      </c>
      <c r="G619" t="s">
        <v>503</v>
      </c>
      <c r="H619" t="s">
        <v>76</v>
      </c>
      <c r="I619" t="s">
        <v>512</v>
      </c>
      <c r="K619" t="s">
        <v>501</v>
      </c>
      <c r="L619" s="9"/>
      <c r="M619" t="str">
        <f>IF(G619="FIM",IF(L619="","SEM VÍNCULO",IF(COUNTIF(tblBatidas[Batida ID],L619)=0,"VÍNCULO INVÁLIDO",IF(COUNTIF(tblBatidas[Início vinculado],L619)&gt;1,"VÍNCULO DUPLICADO",IF(E619&lt;&gt;INDEX(tblBatidas[ID],MATCH(L619,tblBatidas[Batida ID],0)),"DIVERGÊNCIA DE ID",IF(H619&lt;&gt;INDEX(tblBatidas[Projeto],MATCH(L619,tblBatidas[Batida ID],0)),"DIVERGÊNCIA DE PROJETO",IF(I619&lt;&gt;INDEX(tblBatidas[Atividade],MATCH(L619,tblBatidas[Batida ID],0)),"DIVERGÊNCIA DE ATIVIDADE",IF(OR(B619&lt;=INDEX(tblBatidas[Data e hora],MATCH(L619,tblBatidas[Batida ID],0)),(B619-INDEX(tblBatidas[Data e hora],MATCH(L619,tblBatidas[Batida ID],0)))*24&gt;16),"HORÁRIO INVÁLIDO","VINCULADO"))))))),"INÍCIO")</f>
        <v>SEM VÍNCULO</v>
      </c>
    </row>
    <row r="620" spans="1:13">
      <c r="A620" t="s">
        <v>1246</v>
      </c>
      <c r="B620" s="21">
        <v>46276.545624999999</v>
      </c>
      <c r="C620" s="2">
        <f t="shared" si="18"/>
        <v>46276</v>
      </c>
      <c r="D620" t="str">
        <f t="shared" si="19"/>
        <v>SEXTA-FEIRA</v>
      </c>
      <c r="E620">
        <v>1002</v>
      </c>
      <c r="F620" t="s">
        <v>45</v>
      </c>
      <c r="G620" t="s">
        <v>499</v>
      </c>
      <c r="H620" t="s">
        <v>80</v>
      </c>
      <c r="I620" t="s">
        <v>517</v>
      </c>
      <c r="K620" t="s">
        <v>501</v>
      </c>
      <c r="L620" s="9"/>
      <c r="M620" t="str">
        <f>IF(G620="FIM",IF(L620="","SEM VÍNCULO",IF(COUNTIF(tblBatidas[Batida ID],L620)=0,"VÍNCULO INVÁLIDO",IF(COUNTIF(tblBatidas[Início vinculado],L620)&gt;1,"VÍNCULO DUPLICADO",IF(E620&lt;&gt;INDEX(tblBatidas[ID],MATCH(L620,tblBatidas[Batida ID],0)),"DIVERGÊNCIA DE ID",IF(H620&lt;&gt;INDEX(tblBatidas[Projeto],MATCH(L620,tblBatidas[Batida ID],0)),"DIVERGÊNCIA DE PROJETO",IF(I620&lt;&gt;INDEX(tblBatidas[Atividade],MATCH(L620,tblBatidas[Batida ID],0)),"DIVERGÊNCIA DE ATIVIDADE",IF(OR(B620&lt;=INDEX(tblBatidas[Data e hora],MATCH(L620,tblBatidas[Batida ID],0)),(B620-INDEX(tblBatidas[Data e hora],MATCH(L620,tblBatidas[Batida ID],0)))*24&gt;16),"HORÁRIO INVÁLIDO","VINCULADO"))))))),"INÍCIO")</f>
        <v>INÍCIO</v>
      </c>
    </row>
    <row r="621" spans="1:13" hidden="1">
      <c r="A621" t="s">
        <v>1247</v>
      </c>
      <c r="B621" s="21">
        <v>46276.546261574076</v>
      </c>
      <c r="C621" s="2">
        <f t="shared" si="18"/>
        <v>46276</v>
      </c>
      <c r="D621" t="str">
        <f t="shared" si="19"/>
        <v>SEXTA-FEIRA</v>
      </c>
      <c r="E621">
        <v>1004</v>
      </c>
      <c r="F621" t="s">
        <v>47</v>
      </c>
      <c r="G621" t="s">
        <v>503</v>
      </c>
      <c r="H621" t="s">
        <v>82</v>
      </c>
      <c r="I621" t="s">
        <v>538</v>
      </c>
      <c r="J621" t="s">
        <v>1248</v>
      </c>
      <c r="K621" t="s">
        <v>501</v>
      </c>
      <c r="L621" s="9" t="s">
        <v>1232</v>
      </c>
      <c r="M621" t="str">
        <f>IF(G621="FIM",IF(L621="","SEM VÍNCULO",IF(COUNTIF(tblBatidas[Batida ID],L621)=0,"VÍNCULO INVÁLIDO",IF(COUNTIF(tblBatidas[Início vinculado],L621)&gt;1,"VÍNCULO DUPLICADO",IF(E621&lt;&gt;INDEX(tblBatidas[ID],MATCH(L621,tblBatidas[Batida ID],0)),"DIVERGÊNCIA DE ID",IF(H621&lt;&gt;INDEX(tblBatidas[Projeto],MATCH(L621,tblBatidas[Batida ID],0)),"DIVERGÊNCIA DE PROJETO",IF(I621&lt;&gt;INDEX(tblBatidas[Atividade],MATCH(L621,tblBatidas[Batida ID],0)),"DIVERGÊNCIA DE ATIVIDADE",IF(OR(B621&lt;=INDEX(tblBatidas[Data e hora],MATCH(L621,tblBatidas[Batida ID],0)),(B621-INDEX(tblBatidas[Data e hora],MATCH(L621,tblBatidas[Batida ID],0)))*24&gt;16),"HORÁRIO INVÁLIDO","VINCULADO"))))))),"INÍCIO")</f>
        <v>VINCULADO</v>
      </c>
    </row>
    <row r="622" spans="1:13" hidden="1">
      <c r="A622" t="s">
        <v>1249</v>
      </c>
      <c r="B622" s="21">
        <v>46276.546493055554</v>
      </c>
      <c r="C622" s="2">
        <f t="shared" si="18"/>
        <v>46276</v>
      </c>
      <c r="D622" t="str">
        <f t="shared" si="19"/>
        <v>SEXTA-FEIRA</v>
      </c>
      <c r="E622">
        <v>1011</v>
      </c>
      <c r="F622" t="s">
        <v>54</v>
      </c>
      <c r="G622" t="s">
        <v>499</v>
      </c>
      <c r="H622" t="s">
        <v>74</v>
      </c>
      <c r="I622" t="s">
        <v>517</v>
      </c>
      <c r="K622" t="s">
        <v>501</v>
      </c>
      <c r="L622" s="9"/>
      <c r="M622" t="str">
        <f>IF(G622="FIM",IF(L622="","SEM VÍNCULO",IF(COUNTIF(tblBatidas[Batida ID],L622)=0,"VÍNCULO INVÁLIDO",IF(COUNTIF(tblBatidas[Início vinculado],L622)&gt;1,"VÍNCULO DUPLICADO",IF(E622&lt;&gt;INDEX(tblBatidas[ID],MATCH(L622,tblBatidas[Batida ID],0)),"DIVERGÊNCIA DE ID",IF(H622&lt;&gt;INDEX(tblBatidas[Projeto],MATCH(L622,tblBatidas[Batida ID],0)),"DIVERGÊNCIA DE PROJETO",IF(I622&lt;&gt;INDEX(tblBatidas[Atividade],MATCH(L622,tblBatidas[Batida ID],0)),"DIVERGÊNCIA DE ATIVIDADE",IF(OR(B622&lt;=INDEX(tblBatidas[Data e hora],MATCH(L622,tblBatidas[Batida ID],0)),(B622-INDEX(tblBatidas[Data e hora],MATCH(L622,tblBatidas[Batida ID],0)))*24&gt;16),"HORÁRIO INVÁLIDO","VINCULADO"))))))),"INÍCIO")</f>
        <v>INÍCIO</v>
      </c>
    </row>
    <row r="623" spans="1:13" hidden="1">
      <c r="A623" t="s">
        <v>1250</v>
      </c>
      <c r="B623" s="21">
        <v>46276.55940972222</v>
      </c>
      <c r="C623" s="2">
        <f t="shared" si="18"/>
        <v>46276</v>
      </c>
      <c r="D623" t="str">
        <f t="shared" si="19"/>
        <v>SEXTA-FEIRA</v>
      </c>
      <c r="E623">
        <v>1016</v>
      </c>
      <c r="F623" t="s">
        <v>60</v>
      </c>
      <c r="G623" t="s">
        <v>503</v>
      </c>
      <c r="H623" t="s">
        <v>70</v>
      </c>
      <c r="I623" t="s">
        <v>517</v>
      </c>
      <c r="K623" t="s">
        <v>501</v>
      </c>
      <c r="L623" s="9" t="s">
        <v>1235</v>
      </c>
      <c r="M623" t="str">
        <f>IF(G623="FIM",IF(L623="","SEM VÍNCULO",IF(COUNTIF(tblBatidas[Batida ID],L623)=0,"VÍNCULO INVÁLIDO",IF(COUNTIF(tblBatidas[Início vinculado],L623)&gt;1,"VÍNCULO DUPLICADO",IF(E623&lt;&gt;INDEX(tblBatidas[ID],MATCH(L623,tblBatidas[Batida ID],0)),"DIVERGÊNCIA DE ID",IF(H623&lt;&gt;INDEX(tblBatidas[Projeto],MATCH(L623,tblBatidas[Batida ID],0)),"DIVERGÊNCIA DE PROJETO",IF(I623&lt;&gt;INDEX(tblBatidas[Atividade],MATCH(L623,tblBatidas[Batida ID],0)),"DIVERGÊNCIA DE ATIVIDADE",IF(OR(B623&lt;=INDEX(tblBatidas[Data e hora],MATCH(L623,tblBatidas[Batida ID],0)),(B623-INDEX(tblBatidas[Data e hora],MATCH(L623,tblBatidas[Batida ID],0)))*24&gt;16),"HORÁRIO INVÁLIDO","VINCULADO"))))))),"INÍCIO")</f>
        <v>VINCULADO</v>
      </c>
    </row>
    <row r="624" spans="1:13" hidden="1">
      <c r="A624" t="s">
        <v>1251</v>
      </c>
      <c r="B624" s="21">
        <v>46276.568888888891</v>
      </c>
      <c r="C624" s="2">
        <f t="shared" si="18"/>
        <v>46276</v>
      </c>
      <c r="D624" t="str">
        <f t="shared" si="19"/>
        <v>SEXTA-FEIRA</v>
      </c>
      <c r="E624">
        <v>1017</v>
      </c>
      <c r="F624" t="s">
        <v>61</v>
      </c>
      <c r="G624" t="s">
        <v>503</v>
      </c>
      <c r="H624" t="s">
        <v>88</v>
      </c>
      <c r="I624" t="s">
        <v>512</v>
      </c>
      <c r="K624" t="s">
        <v>501</v>
      </c>
      <c r="L624" s="9" t="s">
        <v>1227</v>
      </c>
      <c r="M624" t="str">
        <f>IF(G624="FIM",IF(L624="","SEM VÍNCULO",IF(COUNTIF(tblBatidas[Batida ID],L624)=0,"VÍNCULO INVÁLIDO",IF(COUNTIF(tblBatidas[Início vinculado],L624)&gt;1,"VÍNCULO DUPLICADO",IF(E624&lt;&gt;INDEX(tblBatidas[ID],MATCH(L624,tblBatidas[Batida ID],0)),"DIVERGÊNCIA DE ID",IF(H624&lt;&gt;INDEX(tblBatidas[Projeto],MATCH(L624,tblBatidas[Batida ID],0)),"DIVERGÊNCIA DE PROJETO",IF(I624&lt;&gt;INDEX(tblBatidas[Atividade],MATCH(L624,tblBatidas[Batida ID],0)),"DIVERGÊNCIA DE ATIVIDADE",IF(OR(B624&lt;=INDEX(tblBatidas[Data e hora],MATCH(L624,tblBatidas[Batida ID],0)),(B624-INDEX(tblBatidas[Data e hora],MATCH(L624,tblBatidas[Batida ID],0)))*24&gt;16),"HORÁRIO INVÁLIDO","VINCULADO"))))))),"INÍCIO")</f>
        <v>VINCULADO</v>
      </c>
    </row>
    <row r="625" spans="1:13" hidden="1">
      <c r="A625" t="s">
        <v>1252</v>
      </c>
      <c r="B625" s="21">
        <v>46276.571851851855</v>
      </c>
      <c r="C625" s="2">
        <f t="shared" si="18"/>
        <v>46276</v>
      </c>
      <c r="D625" t="str">
        <f t="shared" si="19"/>
        <v>SEXTA-FEIRA</v>
      </c>
      <c r="E625">
        <v>1003</v>
      </c>
      <c r="F625" t="s">
        <v>46</v>
      </c>
      <c r="G625" t="s">
        <v>499</v>
      </c>
      <c r="H625" t="s">
        <v>74</v>
      </c>
      <c r="I625" t="s">
        <v>517</v>
      </c>
      <c r="K625" t="s">
        <v>501</v>
      </c>
      <c r="L625" s="9"/>
      <c r="M625" t="str">
        <f>IF(G625="FIM",IF(L625="","SEM VÍNCULO",IF(COUNTIF(tblBatidas[Batida ID],L625)=0,"VÍNCULO INVÁLIDO",IF(COUNTIF(tblBatidas[Início vinculado],L625)&gt;1,"VÍNCULO DUPLICADO",IF(E625&lt;&gt;INDEX(tblBatidas[ID],MATCH(L625,tblBatidas[Batida ID],0)),"DIVERGÊNCIA DE ID",IF(H625&lt;&gt;INDEX(tblBatidas[Projeto],MATCH(L625,tblBatidas[Batida ID],0)),"DIVERGÊNCIA DE PROJETO",IF(I625&lt;&gt;INDEX(tblBatidas[Atividade],MATCH(L625,tblBatidas[Batida ID],0)),"DIVERGÊNCIA DE ATIVIDADE",IF(OR(B625&lt;=INDEX(tblBatidas[Data e hora],MATCH(L625,tblBatidas[Batida ID],0)),(B625-INDEX(tblBatidas[Data e hora],MATCH(L625,tblBatidas[Batida ID],0)))*24&gt;16),"HORÁRIO INVÁLIDO","VINCULADO"))))))),"INÍCIO")</f>
        <v>INÍCIO</v>
      </c>
    </row>
    <row r="626" spans="1:13" hidden="1">
      <c r="A626" t="s">
        <v>1253</v>
      </c>
      <c r="B626" s="21">
        <v>46276.580671296295</v>
      </c>
      <c r="C626" s="2">
        <f t="shared" si="18"/>
        <v>46276</v>
      </c>
      <c r="D626" t="str">
        <f t="shared" si="19"/>
        <v>SEXTA-FEIRA</v>
      </c>
      <c r="E626">
        <v>1014</v>
      </c>
      <c r="F626" t="s">
        <v>58</v>
      </c>
      <c r="G626" t="s">
        <v>499</v>
      </c>
      <c r="H626" t="s">
        <v>88</v>
      </c>
      <c r="I626" t="s">
        <v>512</v>
      </c>
      <c r="K626" t="s">
        <v>501</v>
      </c>
      <c r="L626" s="9"/>
      <c r="M626" t="str">
        <f>IF(G626="FIM",IF(L626="","SEM VÍNCULO",IF(COUNTIF(tblBatidas[Batida ID],L626)=0,"VÍNCULO INVÁLIDO",IF(COUNTIF(tblBatidas[Início vinculado],L626)&gt;1,"VÍNCULO DUPLICADO",IF(E626&lt;&gt;INDEX(tblBatidas[ID],MATCH(L626,tblBatidas[Batida ID],0)),"DIVERGÊNCIA DE ID",IF(H626&lt;&gt;INDEX(tblBatidas[Projeto],MATCH(L626,tblBatidas[Batida ID],0)),"DIVERGÊNCIA DE PROJETO",IF(I626&lt;&gt;INDEX(tblBatidas[Atividade],MATCH(L626,tblBatidas[Batida ID],0)),"DIVERGÊNCIA DE ATIVIDADE",IF(OR(B626&lt;=INDEX(tblBatidas[Data e hora],MATCH(L626,tblBatidas[Batida ID],0)),(B626-INDEX(tblBatidas[Data e hora],MATCH(L626,tblBatidas[Batida ID],0)))*24&gt;16),"HORÁRIO INVÁLIDO","VINCULADO"))))))),"INÍCIO")</f>
        <v>INÍCIO</v>
      </c>
    </row>
    <row r="627" spans="1:13" hidden="1">
      <c r="A627" t="s">
        <v>1254</v>
      </c>
      <c r="B627" s="21">
        <v>46276.582268518519</v>
      </c>
      <c r="C627" s="2">
        <f t="shared" si="18"/>
        <v>46276</v>
      </c>
      <c r="D627" t="str">
        <f t="shared" si="19"/>
        <v>SEXTA-FEIRA</v>
      </c>
      <c r="E627">
        <v>1012</v>
      </c>
      <c r="F627" t="s">
        <v>55</v>
      </c>
      <c r="G627" t="s">
        <v>499</v>
      </c>
      <c r="H627" t="s">
        <v>76</v>
      </c>
      <c r="I627" t="s">
        <v>512</v>
      </c>
      <c r="K627" t="s">
        <v>501</v>
      </c>
      <c r="L627" s="9"/>
      <c r="M627" t="str">
        <f>IF(G627="FIM",IF(L627="","SEM VÍNCULO",IF(COUNTIF(tblBatidas[Batida ID],L627)=0,"VÍNCULO INVÁLIDO",IF(COUNTIF(tblBatidas[Início vinculado],L627)&gt;1,"VÍNCULO DUPLICADO",IF(E627&lt;&gt;INDEX(tblBatidas[ID],MATCH(L627,tblBatidas[Batida ID],0)),"DIVERGÊNCIA DE ID",IF(H627&lt;&gt;INDEX(tblBatidas[Projeto],MATCH(L627,tblBatidas[Batida ID],0)),"DIVERGÊNCIA DE PROJETO",IF(I627&lt;&gt;INDEX(tblBatidas[Atividade],MATCH(L627,tblBatidas[Batida ID],0)),"DIVERGÊNCIA DE ATIVIDADE",IF(OR(B627&lt;=INDEX(tblBatidas[Data e hora],MATCH(L627,tblBatidas[Batida ID],0)),(B627-INDEX(tblBatidas[Data e hora],MATCH(L627,tblBatidas[Batida ID],0)))*24&gt;16),"HORÁRIO INVÁLIDO","VINCULADO"))))))),"INÍCIO")</f>
        <v>INÍCIO</v>
      </c>
    </row>
    <row r="628" spans="1:13" hidden="1">
      <c r="A628" t="s">
        <v>1255</v>
      </c>
      <c r="B628" s="21">
        <v>46276.587546296294</v>
      </c>
      <c r="C628" s="2">
        <f t="shared" si="18"/>
        <v>46276</v>
      </c>
      <c r="D628" t="str">
        <f t="shared" si="19"/>
        <v>SEXTA-FEIRA</v>
      </c>
      <c r="E628">
        <v>1005</v>
      </c>
      <c r="F628" t="s">
        <v>48</v>
      </c>
      <c r="G628" t="s">
        <v>503</v>
      </c>
      <c r="H628" t="s">
        <v>88</v>
      </c>
      <c r="I628" t="s">
        <v>512</v>
      </c>
      <c r="K628" t="s">
        <v>501</v>
      </c>
      <c r="L628" s="9" t="s">
        <v>1236</v>
      </c>
      <c r="M628" t="str">
        <f>IF(G628="FIM",IF(L628="","SEM VÍNCULO",IF(COUNTIF(tblBatidas[Batida ID],L628)=0,"VÍNCULO INVÁLIDO",IF(COUNTIF(tblBatidas[Início vinculado],L628)&gt;1,"VÍNCULO DUPLICADO",IF(E628&lt;&gt;INDEX(tblBatidas[ID],MATCH(L628,tblBatidas[Batida ID],0)),"DIVERGÊNCIA DE ID",IF(H628&lt;&gt;INDEX(tblBatidas[Projeto],MATCH(L628,tblBatidas[Batida ID],0)),"DIVERGÊNCIA DE PROJETO",IF(I628&lt;&gt;INDEX(tblBatidas[Atividade],MATCH(L628,tblBatidas[Batida ID],0)),"DIVERGÊNCIA DE ATIVIDADE",IF(OR(B628&lt;=INDEX(tblBatidas[Data e hora],MATCH(L628,tblBatidas[Batida ID],0)),(B628-INDEX(tblBatidas[Data e hora],MATCH(L628,tblBatidas[Batida ID],0)))*24&gt;16),"HORÁRIO INVÁLIDO","VINCULADO"))))))),"INÍCIO")</f>
        <v>VINCULADO</v>
      </c>
    </row>
    <row r="629" spans="1:13" hidden="1">
      <c r="A629" t="s">
        <v>1256</v>
      </c>
      <c r="B629" s="21">
        <v>46276.591527777775</v>
      </c>
      <c r="C629" s="2">
        <f t="shared" si="18"/>
        <v>46276</v>
      </c>
      <c r="D629" t="str">
        <f t="shared" si="19"/>
        <v>SEXTA-FEIRA</v>
      </c>
      <c r="E629">
        <v>1006</v>
      </c>
      <c r="F629" t="s">
        <v>49</v>
      </c>
      <c r="G629" t="s">
        <v>503</v>
      </c>
      <c r="H629" t="s">
        <v>86</v>
      </c>
      <c r="I629" t="s">
        <v>512</v>
      </c>
      <c r="K629" t="s">
        <v>501</v>
      </c>
      <c r="L629" s="9" t="s">
        <v>1221</v>
      </c>
      <c r="M629" t="str">
        <f>IF(G629="FIM",IF(L629="","SEM VÍNCULO",IF(COUNTIF(tblBatidas[Batida ID],L629)=0,"VÍNCULO INVÁLIDO",IF(COUNTIF(tblBatidas[Início vinculado],L629)&gt;1,"VÍNCULO DUPLICADO",IF(E629&lt;&gt;INDEX(tblBatidas[ID],MATCH(L629,tblBatidas[Batida ID],0)),"DIVERGÊNCIA DE ID",IF(H629&lt;&gt;INDEX(tblBatidas[Projeto],MATCH(L629,tblBatidas[Batida ID],0)),"DIVERGÊNCIA DE PROJETO",IF(I629&lt;&gt;INDEX(tblBatidas[Atividade],MATCH(L629,tblBatidas[Batida ID],0)),"DIVERGÊNCIA DE ATIVIDADE",IF(OR(B629&lt;=INDEX(tblBatidas[Data e hora],MATCH(L629,tblBatidas[Batida ID],0)),(B629-INDEX(tblBatidas[Data e hora],MATCH(L629,tblBatidas[Batida ID],0)))*24&gt;16),"HORÁRIO INVÁLIDO","VINCULADO"))))))),"INÍCIO")</f>
        <v>VINCULADO</v>
      </c>
    </row>
    <row r="630" spans="1:13" hidden="1">
      <c r="A630" t="s">
        <v>1257</v>
      </c>
      <c r="B630" s="21">
        <v>46276.595659722225</v>
      </c>
      <c r="C630" s="2">
        <f t="shared" si="18"/>
        <v>46276</v>
      </c>
      <c r="D630" t="str">
        <f t="shared" si="19"/>
        <v>SEXTA-FEIRA</v>
      </c>
      <c r="E630">
        <v>1017</v>
      </c>
      <c r="F630" t="s">
        <v>61</v>
      </c>
      <c r="G630" t="s">
        <v>499</v>
      </c>
      <c r="H630" t="s">
        <v>88</v>
      </c>
      <c r="I630" t="s">
        <v>512</v>
      </c>
      <c r="K630" t="s">
        <v>501</v>
      </c>
      <c r="L630" s="9"/>
      <c r="M630" t="str">
        <f>IF(G630="FIM",IF(L630="","SEM VÍNCULO",IF(COUNTIF(tblBatidas[Batida ID],L630)=0,"VÍNCULO INVÁLIDO",IF(COUNTIF(tblBatidas[Início vinculado],L630)&gt;1,"VÍNCULO DUPLICADO",IF(E630&lt;&gt;INDEX(tblBatidas[ID],MATCH(L630,tblBatidas[Batida ID],0)),"DIVERGÊNCIA DE ID",IF(H630&lt;&gt;INDEX(tblBatidas[Projeto],MATCH(L630,tblBatidas[Batida ID],0)),"DIVERGÊNCIA DE PROJETO",IF(I630&lt;&gt;INDEX(tblBatidas[Atividade],MATCH(L630,tblBatidas[Batida ID],0)),"DIVERGÊNCIA DE ATIVIDADE",IF(OR(B630&lt;=INDEX(tblBatidas[Data e hora],MATCH(L630,tblBatidas[Batida ID],0)),(B630-INDEX(tblBatidas[Data e hora],MATCH(L630,tblBatidas[Batida ID],0)))*24&gt;16),"HORÁRIO INVÁLIDO","VINCULADO"))))))),"INÍCIO")</f>
        <v>INÍCIO</v>
      </c>
    </row>
    <row r="631" spans="1:13" hidden="1">
      <c r="A631" t="s">
        <v>1258</v>
      </c>
      <c r="B631" s="21">
        <v>46276.600532407407</v>
      </c>
      <c r="C631" s="2">
        <f t="shared" si="18"/>
        <v>46276</v>
      </c>
      <c r="D631" t="str">
        <f t="shared" si="19"/>
        <v>SEXTA-FEIRA</v>
      </c>
      <c r="E631">
        <v>1010</v>
      </c>
      <c r="F631" t="s">
        <v>53</v>
      </c>
      <c r="G631" t="s">
        <v>499</v>
      </c>
      <c r="H631" t="s">
        <v>76</v>
      </c>
      <c r="I631" t="s">
        <v>512</v>
      </c>
      <c r="K631" t="s">
        <v>501</v>
      </c>
      <c r="L631" s="9"/>
      <c r="M631" t="str">
        <f>IF(G631="FIM",IF(L631="","SEM VÍNCULO",IF(COUNTIF(tblBatidas[Batida ID],L631)=0,"VÍNCULO INVÁLIDO",IF(COUNTIF(tblBatidas[Início vinculado],L631)&gt;1,"VÍNCULO DUPLICADO",IF(E631&lt;&gt;INDEX(tblBatidas[ID],MATCH(L631,tblBatidas[Batida ID],0)),"DIVERGÊNCIA DE ID",IF(H631&lt;&gt;INDEX(tblBatidas[Projeto],MATCH(L631,tblBatidas[Batida ID],0)),"DIVERGÊNCIA DE PROJETO",IF(I631&lt;&gt;INDEX(tblBatidas[Atividade],MATCH(L631,tblBatidas[Batida ID],0)),"DIVERGÊNCIA DE ATIVIDADE",IF(OR(B631&lt;=INDEX(tblBatidas[Data e hora],MATCH(L631,tblBatidas[Batida ID],0)),(B631-INDEX(tblBatidas[Data e hora],MATCH(L631,tblBatidas[Batida ID],0)))*24&gt;16),"HORÁRIO INVÁLIDO","VINCULADO"))))))),"INÍCIO")</f>
        <v>INÍCIO</v>
      </c>
    </row>
    <row r="632" spans="1:13" hidden="1">
      <c r="A632" t="s">
        <v>1259</v>
      </c>
      <c r="B632" s="21">
        <v>46276.611990740741</v>
      </c>
      <c r="C632" s="2">
        <f t="shared" si="18"/>
        <v>46276</v>
      </c>
      <c r="D632" t="str">
        <f t="shared" si="19"/>
        <v>SEXTA-FEIRA</v>
      </c>
      <c r="E632">
        <v>1016</v>
      </c>
      <c r="F632" t="s">
        <v>60</v>
      </c>
      <c r="G632" t="s">
        <v>499</v>
      </c>
      <c r="H632" t="s">
        <v>70</v>
      </c>
      <c r="I632" t="s">
        <v>517</v>
      </c>
      <c r="K632" t="s">
        <v>501</v>
      </c>
      <c r="L632" s="9"/>
      <c r="M632" t="str">
        <f>IF(G632="FIM",IF(L632="","SEM VÍNCULO",IF(COUNTIF(tblBatidas[Batida ID],L632)=0,"VÍNCULO INVÁLIDO",IF(COUNTIF(tblBatidas[Início vinculado],L632)&gt;1,"VÍNCULO DUPLICADO",IF(E632&lt;&gt;INDEX(tblBatidas[ID],MATCH(L632,tblBatidas[Batida ID],0)),"DIVERGÊNCIA DE ID",IF(H632&lt;&gt;INDEX(tblBatidas[Projeto],MATCH(L632,tblBatidas[Batida ID],0)),"DIVERGÊNCIA DE PROJETO",IF(I632&lt;&gt;INDEX(tblBatidas[Atividade],MATCH(L632,tblBatidas[Batida ID],0)),"DIVERGÊNCIA DE ATIVIDADE",IF(OR(B632&lt;=INDEX(tblBatidas[Data e hora],MATCH(L632,tblBatidas[Batida ID],0)),(B632-INDEX(tblBatidas[Data e hora],MATCH(L632,tblBatidas[Batida ID],0)))*24&gt;16),"HORÁRIO INVÁLIDO","VINCULADO"))))))),"INÍCIO")</f>
        <v>INÍCIO</v>
      </c>
    </row>
    <row r="633" spans="1:13" hidden="1">
      <c r="A633" t="s">
        <v>1260</v>
      </c>
      <c r="B633" s="21">
        <v>46276.627800925926</v>
      </c>
      <c r="C633" s="2">
        <f t="shared" si="18"/>
        <v>46276</v>
      </c>
      <c r="D633" t="str">
        <f t="shared" si="19"/>
        <v>SEXTA-FEIRA</v>
      </c>
      <c r="E633">
        <v>1004</v>
      </c>
      <c r="F633" t="s">
        <v>47</v>
      </c>
      <c r="G633" t="s">
        <v>499</v>
      </c>
      <c r="H633" t="s">
        <v>76</v>
      </c>
      <c r="I633" t="s">
        <v>538</v>
      </c>
      <c r="K633" t="s">
        <v>501</v>
      </c>
      <c r="L633" s="9"/>
      <c r="M633" t="str">
        <f>IF(G633="FIM",IF(L633="","SEM VÍNCULO",IF(COUNTIF(tblBatidas[Batida ID],L633)=0,"VÍNCULO INVÁLIDO",IF(COUNTIF(tblBatidas[Início vinculado],L633)&gt;1,"VÍNCULO DUPLICADO",IF(E633&lt;&gt;INDEX(tblBatidas[ID],MATCH(L633,tblBatidas[Batida ID],0)),"DIVERGÊNCIA DE ID",IF(H633&lt;&gt;INDEX(tblBatidas[Projeto],MATCH(L633,tblBatidas[Batida ID],0)),"DIVERGÊNCIA DE PROJETO",IF(I633&lt;&gt;INDEX(tblBatidas[Atividade],MATCH(L633,tblBatidas[Batida ID],0)),"DIVERGÊNCIA DE ATIVIDADE",IF(OR(B633&lt;=INDEX(tblBatidas[Data e hora],MATCH(L633,tblBatidas[Batida ID],0)),(B633-INDEX(tblBatidas[Data e hora],MATCH(L633,tblBatidas[Batida ID],0)))*24&gt;16),"HORÁRIO INVÁLIDO","VINCULADO"))))))),"INÍCIO")</f>
        <v>INÍCIO</v>
      </c>
    </row>
    <row r="634" spans="1:13" hidden="1">
      <c r="A634" t="s">
        <v>1261</v>
      </c>
      <c r="B634" s="21">
        <v>46276.630162037036</v>
      </c>
      <c r="C634" s="2">
        <f t="shared" si="18"/>
        <v>46276</v>
      </c>
      <c r="D634" t="str">
        <f t="shared" si="19"/>
        <v>SEXTA-FEIRA</v>
      </c>
      <c r="E634">
        <v>1005</v>
      </c>
      <c r="F634" t="s">
        <v>48</v>
      </c>
      <c r="G634" t="s">
        <v>499</v>
      </c>
      <c r="H634" t="s">
        <v>88</v>
      </c>
      <c r="I634" t="s">
        <v>512</v>
      </c>
      <c r="K634" t="s">
        <v>501</v>
      </c>
      <c r="L634" s="9"/>
      <c r="M634" t="str">
        <f>IF(G634="FIM",IF(L634="","SEM VÍNCULO",IF(COUNTIF(tblBatidas[Batida ID],L634)=0,"VÍNCULO INVÁLIDO",IF(COUNTIF(tblBatidas[Início vinculado],L634)&gt;1,"VÍNCULO DUPLICADO",IF(E634&lt;&gt;INDEX(tblBatidas[ID],MATCH(L634,tblBatidas[Batida ID],0)),"DIVERGÊNCIA DE ID",IF(H634&lt;&gt;INDEX(tblBatidas[Projeto],MATCH(L634,tblBatidas[Batida ID],0)),"DIVERGÊNCIA DE PROJETO",IF(I634&lt;&gt;INDEX(tblBatidas[Atividade],MATCH(L634,tblBatidas[Batida ID],0)),"DIVERGÊNCIA DE ATIVIDADE",IF(OR(B634&lt;=INDEX(tblBatidas[Data e hora],MATCH(L634,tblBatidas[Batida ID],0)),(B634-INDEX(tblBatidas[Data e hora],MATCH(L634,tblBatidas[Batida ID],0)))*24&gt;16),"HORÁRIO INVÁLIDO","VINCULADO"))))))),"INÍCIO")</f>
        <v>INÍCIO</v>
      </c>
    </row>
    <row r="635" spans="1:13" hidden="1">
      <c r="A635" t="s">
        <v>1262</v>
      </c>
      <c r="B635" s="21">
        <v>46276.63422453704</v>
      </c>
      <c r="C635" s="2">
        <f t="shared" si="18"/>
        <v>46276</v>
      </c>
      <c r="D635" t="str">
        <f t="shared" si="19"/>
        <v>SEXTA-FEIRA</v>
      </c>
      <c r="E635">
        <v>1006</v>
      </c>
      <c r="F635" t="s">
        <v>49</v>
      </c>
      <c r="G635" t="s">
        <v>499</v>
      </c>
      <c r="H635" t="s">
        <v>86</v>
      </c>
      <c r="I635" t="s">
        <v>512</v>
      </c>
      <c r="J635" t="s">
        <v>1263</v>
      </c>
      <c r="K635" t="s">
        <v>501</v>
      </c>
      <c r="L635" s="9"/>
      <c r="M635" t="str">
        <f>IF(G635="FIM",IF(L635="","SEM VÍNCULO",IF(COUNTIF(tblBatidas[Batida ID],L635)=0,"VÍNCULO INVÁLIDO",IF(COUNTIF(tblBatidas[Início vinculado],L635)&gt;1,"VÍNCULO DUPLICADO",IF(E635&lt;&gt;INDEX(tblBatidas[ID],MATCH(L635,tblBatidas[Batida ID],0)),"DIVERGÊNCIA DE ID",IF(H635&lt;&gt;INDEX(tblBatidas[Projeto],MATCH(L635,tblBatidas[Batida ID],0)),"DIVERGÊNCIA DE PROJETO",IF(I635&lt;&gt;INDEX(tblBatidas[Atividade],MATCH(L635,tblBatidas[Batida ID],0)),"DIVERGÊNCIA DE ATIVIDADE",IF(OR(B635&lt;=INDEX(tblBatidas[Data e hora],MATCH(L635,tblBatidas[Batida ID],0)),(B635-INDEX(tblBatidas[Data e hora],MATCH(L635,tblBatidas[Batida ID],0)))*24&gt;16),"HORÁRIO INVÁLIDO","VINCULADO"))))))),"INÍCIO")</f>
        <v>INÍCIO</v>
      </c>
    </row>
    <row r="636" spans="1:13" hidden="1">
      <c r="A636" t="s">
        <v>1264</v>
      </c>
      <c r="B636" s="21">
        <v>46276.66265046296</v>
      </c>
      <c r="C636" s="2">
        <f t="shared" si="18"/>
        <v>46276</v>
      </c>
      <c r="D636" t="str">
        <f t="shared" si="19"/>
        <v>SEXTA-FEIRA</v>
      </c>
      <c r="E636">
        <v>1001</v>
      </c>
      <c r="F636" t="s">
        <v>43</v>
      </c>
      <c r="G636" t="s">
        <v>503</v>
      </c>
      <c r="H636" t="s">
        <v>72</v>
      </c>
      <c r="I636" t="s">
        <v>500</v>
      </c>
      <c r="J636" t="s">
        <v>1265</v>
      </c>
      <c r="K636" t="s">
        <v>501</v>
      </c>
      <c r="L636" s="9"/>
      <c r="M636" t="str">
        <f>IF(G636="FIM",IF(L636="","SEM VÍNCULO",IF(COUNTIF(tblBatidas[Batida ID],L636)=0,"VÍNCULO INVÁLIDO",IF(COUNTIF(tblBatidas[Início vinculado],L636)&gt;1,"VÍNCULO DUPLICADO",IF(E636&lt;&gt;INDEX(tblBatidas[ID],MATCH(L636,tblBatidas[Batida ID],0)),"DIVERGÊNCIA DE ID",IF(H636&lt;&gt;INDEX(tblBatidas[Projeto],MATCH(L636,tblBatidas[Batida ID],0)),"DIVERGÊNCIA DE PROJETO",IF(I636&lt;&gt;INDEX(tblBatidas[Atividade],MATCH(L636,tblBatidas[Batida ID],0)),"DIVERGÊNCIA DE ATIVIDADE",IF(OR(B636&lt;=INDEX(tblBatidas[Data e hora],MATCH(L636,tblBatidas[Batida ID],0)),(B636-INDEX(tblBatidas[Data e hora],MATCH(L636,tblBatidas[Batida ID],0)))*24&gt;16),"HORÁRIO INVÁLIDO","VINCULADO"))))))),"INÍCIO")</f>
        <v>SEM VÍNCULO</v>
      </c>
    </row>
    <row r="637" spans="1:13" hidden="1">
      <c r="A637" t="s">
        <v>1266</v>
      </c>
      <c r="B637" s="21">
        <v>46276.699895833335</v>
      </c>
      <c r="C637" s="2">
        <f t="shared" si="18"/>
        <v>46276</v>
      </c>
      <c r="D637" t="str">
        <f t="shared" si="19"/>
        <v>SEXTA-FEIRA</v>
      </c>
      <c r="E637">
        <v>1001</v>
      </c>
      <c r="F637" t="s">
        <v>43</v>
      </c>
      <c r="G637" t="s">
        <v>499</v>
      </c>
      <c r="H637" t="s">
        <v>72</v>
      </c>
      <c r="I637" t="s">
        <v>500</v>
      </c>
      <c r="J637" t="s">
        <v>1265</v>
      </c>
      <c r="K637" t="s">
        <v>501</v>
      </c>
      <c r="L637" s="9"/>
      <c r="M637" t="str">
        <f>IF(G637="FIM",IF(L637="","SEM VÍNCULO",IF(COUNTIF(tblBatidas[Batida ID],L637)=0,"VÍNCULO INVÁLIDO",IF(COUNTIF(tblBatidas[Início vinculado],L637)&gt;1,"VÍNCULO DUPLICADO",IF(E637&lt;&gt;INDEX(tblBatidas[ID],MATCH(L637,tblBatidas[Batida ID],0)),"DIVERGÊNCIA DE ID",IF(H637&lt;&gt;INDEX(tblBatidas[Projeto],MATCH(L637,tblBatidas[Batida ID],0)),"DIVERGÊNCIA DE PROJETO",IF(I637&lt;&gt;INDEX(tblBatidas[Atividade],MATCH(L637,tblBatidas[Batida ID],0)),"DIVERGÊNCIA DE ATIVIDADE",IF(OR(B637&lt;=INDEX(tblBatidas[Data e hora],MATCH(L637,tblBatidas[Batida ID],0)),(B637-INDEX(tblBatidas[Data e hora],MATCH(L637,tblBatidas[Batida ID],0)))*24&gt;16),"HORÁRIO INVÁLIDO","VINCULADO"))))))),"INÍCIO")</f>
        <v>INÍCIO</v>
      </c>
    </row>
    <row r="638" spans="1:13">
      <c r="A638" t="s">
        <v>1267</v>
      </c>
      <c r="B638" s="21">
        <v>46276.744942129626</v>
      </c>
      <c r="C638" s="2">
        <f t="shared" si="18"/>
        <v>46276</v>
      </c>
      <c r="D638" t="str">
        <f t="shared" si="19"/>
        <v>SEXTA-FEIRA</v>
      </c>
      <c r="E638">
        <v>1002</v>
      </c>
      <c r="F638" t="s">
        <v>45</v>
      </c>
      <c r="G638" t="s">
        <v>503</v>
      </c>
      <c r="H638" t="s">
        <v>80</v>
      </c>
      <c r="I638" t="s">
        <v>517</v>
      </c>
      <c r="K638" t="s">
        <v>501</v>
      </c>
      <c r="L638" s="9" t="s">
        <v>1246</v>
      </c>
      <c r="M638" t="str">
        <f>IF(G638="FIM",IF(L638="","SEM VÍNCULO",IF(COUNTIF(tblBatidas[Batida ID],L638)=0,"VÍNCULO INVÁLIDO",IF(COUNTIF(tblBatidas[Início vinculado],L638)&gt;1,"VÍNCULO DUPLICADO",IF(E638&lt;&gt;INDEX(tblBatidas[ID],MATCH(L638,tblBatidas[Batida ID],0)),"DIVERGÊNCIA DE ID",IF(H638&lt;&gt;INDEX(tblBatidas[Projeto],MATCH(L638,tblBatidas[Batida ID],0)),"DIVERGÊNCIA DE PROJETO",IF(I638&lt;&gt;INDEX(tblBatidas[Atividade],MATCH(L638,tblBatidas[Batida ID],0)),"DIVERGÊNCIA DE ATIVIDADE",IF(OR(B638&lt;=INDEX(tblBatidas[Data e hora],MATCH(L638,tblBatidas[Batida ID],0)),(B638-INDEX(tblBatidas[Data e hora],MATCH(L638,tblBatidas[Batida ID],0)))*24&gt;16),"HORÁRIO INVÁLIDO","VINCULADO"))))))),"INÍCIO")</f>
        <v>VINCULADO</v>
      </c>
    </row>
    <row r="639" spans="1:13" hidden="1">
      <c r="A639" t="s">
        <v>1268</v>
      </c>
      <c r="B639" s="21">
        <v>46276.748657407406</v>
      </c>
      <c r="C639" s="2">
        <f t="shared" si="18"/>
        <v>46276</v>
      </c>
      <c r="D639" t="str">
        <f t="shared" si="19"/>
        <v>SEXTA-FEIRA</v>
      </c>
      <c r="E639">
        <v>1016</v>
      </c>
      <c r="F639" t="s">
        <v>60</v>
      </c>
      <c r="G639" t="s">
        <v>503</v>
      </c>
      <c r="H639" t="s">
        <v>76</v>
      </c>
      <c r="I639" t="s">
        <v>517</v>
      </c>
      <c r="K639" t="s">
        <v>501</v>
      </c>
      <c r="L639" s="9"/>
      <c r="M639" t="str">
        <f>IF(G639="FIM",IF(L639="","SEM VÍNCULO",IF(COUNTIF(tblBatidas[Batida ID],L639)=0,"VÍNCULO INVÁLIDO",IF(COUNTIF(tblBatidas[Início vinculado],L639)&gt;1,"VÍNCULO DUPLICADO",IF(E639&lt;&gt;INDEX(tblBatidas[ID],MATCH(L639,tblBatidas[Batida ID],0)),"DIVERGÊNCIA DE ID",IF(H639&lt;&gt;INDEX(tblBatidas[Projeto],MATCH(L639,tblBatidas[Batida ID],0)),"DIVERGÊNCIA DE PROJETO",IF(I639&lt;&gt;INDEX(tblBatidas[Atividade],MATCH(L639,tblBatidas[Batida ID],0)),"DIVERGÊNCIA DE ATIVIDADE",IF(OR(B639&lt;=INDEX(tblBatidas[Data e hora],MATCH(L639,tblBatidas[Batida ID],0)),(B639-INDEX(tblBatidas[Data e hora],MATCH(L639,tblBatidas[Batida ID],0)))*24&gt;16),"HORÁRIO INVÁLIDO","VINCULADO"))))))),"INÍCIO")</f>
        <v>SEM VÍNCULO</v>
      </c>
    </row>
    <row r="640" spans="1:13" hidden="1">
      <c r="A640" t="s">
        <v>1269</v>
      </c>
      <c r="B640" s="21">
        <v>46276.749236111114</v>
      </c>
      <c r="C640" s="2">
        <f t="shared" si="18"/>
        <v>46276</v>
      </c>
      <c r="D640" t="str">
        <f t="shared" si="19"/>
        <v>SEXTA-FEIRA</v>
      </c>
      <c r="E640">
        <v>1012</v>
      </c>
      <c r="F640" t="s">
        <v>55</v>
      </c>
      <c r="G640" t="s">
        <v>503</v>
      </c>
      <c r="H640" t="s">
        <v>76</v>
      </c>
      <c r="I640" t="s">
        <v>512</v>
      </c>
      <c r="K640" t="s">
        <v>501</v>
      </c>
      <c r="L640" s="9" t="s">
        <v>1254</v>
      </c>
      <c r="M640" t="str">
        <f>IF(G640="FIM",IF(L640="","SEM VÍNCULO",IF(COUNTIF(tblBatidas[Batida ID],L640)=0,"VÍNCULO INVÁLIDO",IF(COUNTIF(tblBatidas[Início vinculado],L640)&gt;1,"VÍNCULO DUPLICADO",IF(E640&lt;&gt;INDEX(tblBatidas[ID],MATCH(L640,tblBatidas[Batida ID],0)),"DIVERGÊNCIA DE ID",IF(H640&lt;&gt;INDEX(tblBatidas[Projeto],MATCH(L640,tblBatidas[Batida ID],0)),"DIVERGÊNCIA DE PROJETO",IF(I640&lt;&gt;INDEX(tblBatidas[Atividade],MATCH(L640,tblBatidas[Batida ID],0)),"DIVERGÊNCIA DE ATIVIDADE",IF(OR(B640&lt;=INDEX(tblBatidas[Data e hora],MATCH(L640,tblBatidas[Batida ID],0)),(B640-INDEX(tblBatidas[Data e hora],MATCH(L640,tblBatidas[Batida ID],0)))*24&gt;16),"HORÁRIO INVÁLIDO","VINCULADO"))))))),"INÍCIO")</f>
        <v>VINCULADO</v>
      </c>
    </row>
    <row r="641" spans="1:13" hidden="1">
      <c r="A641" t="s">
        <v>1270</v>
      </c>
      <c r="B641" s="21">
        <v>46276.749398148146</v>
      </c>
      <c r="C641" s="2">
        <f t="shared" si="18"/>
        <v>46276</v>
      </c>
      <c r="D641" t="str">
        <f t="shared" si="19"/>
        <v>SEXTA-FEIRA</v>
      </c>
      <c r="E641">
        <v>1014</v>
      </c>
      <c r="F641" t="s">
        <v>58</v>
      </c>
      <c r="G641" t="s">
        <v>503</v>
      </c>
      <c r="H641" t="s">
        <v>88</v>
      </c>
      <c r="I641" t="s">
        <v>512</v>
      </c>
      <c r="K641" t="s">
        <v>501</v>
      </c>
      <c r="L641" s="9" t="s">
        <v>1253</v>
      </c>
      <c r="M641" t="str">
        <f>IF(G641="FIM",IF(L641="","SEM VÍNCULO",IF(COUNTIF(tblBatidas[Batida ID],L641)=0,"VÍNCULO INVÁLIDO",IF(COUNTIF(tblBatidas[Início vinculado],L641)&gt;1,"VÍNCULO DUPLICADO",IF(E641&lt;&gt;INDEX(tblBatidas[ID],MATCH(L641,tblBatidas[Batida ID],0)),"DIVERGÊNCIA DE ID",IF(H641&lt;&gt;INDEX(tblBatidas[Projeto],MATCH(L641,tblBatidas[Batida ID],0)),"DIVERGÊNCIA DE PROJETO",IF(I641&lt;&gt;INDEX(tblBatidas[Atividade],MATCH(L641,tblBatidas[Batida ID],0)),"DIVERGÊNCIA DE ATIVIDADE",IF(OR(B641&lt;=INDEX(tblBatidas[Data e hora],MATCH(L641,tblBatidas[Batida ID],0)),(B641-INDEX(tblBatidas[Data e hora],MATCH(L641,tblBatidas[Batida ID],0)))*24&gt;16),"HORÁRIO INVÁLIDO","VINCULADO"))))))),"INÍCIO")</f>
        <v>VINCULADO</v>
      </c>
    </row>
    <row r="642" spans="1:13" hidden="1">
      <c r="A642" t="s">
        <v>1271</v>
      </c>
      <c r="B642" s="21">
        <v>46276.749826388892</v>
      </c>
      <c r="C642" s="2">
        <f t="shared" si="18"/>
        <v>46276</v>
      </c>
      <c r="D642" t="str">
        <f t="shared" si="19"/>
        <v>SEXTA-FEIRA</v>
      </c>
      <c r="E642">
        <v>1003</v>
      </c>
      <c r="F642" t="s">
        <v>46</v>
      </c>
      <c r="G642" t="s">
        <v>503</v>
      </c>
      <c r="H642" t="s">
        <v>74</v>
      </c>
      <c r="I642" t="s">
        <v>517</v>
      </c>
      <c r="K642" t="s">
        <v>501</v>
      </c>
      <c r="L642" s="9" t="s">
        <v>1252</v>
      </c>
      <c r="M642" t="str">
        <f>IF(G642="FIM",IF(L642="","SEM VÍNCULO",IF(COUNTIF(tblBatidas[Batida ID],L642)=0,"VÍNCULO INVÁLIDO",IF(COUNTIF(tblBatidas[Início vinculado],L642)&gt;1,"VÍNCULO DUPLICADO",IF(E642&lt;&gt;INDEX(tblBatidas[ID],MATCH(L642,tblBatidas[Batida ID],0)),"DIVERGÊNCIA DE ID",IF(H642&lt;&gt;INDEX(tblBatidas[Projeto],MATCH(L642,tblBatidas[Batida ID],0)),"DIVERGÊNCIA DE PROJETO",IF(I642&lt;&gt;INDEX(tblBatidas[Atividade],MATCH(L642,tblBatidas[Batida ID],0)),"DIVERGÊNCIA DE ATIVIDADE",IF(OR(B642&lt;=INDEX(tblBatidas[Data e hora],MATCH(L642,tblBatidas[Batida ID],0)),(B642-INDEX(tblBatidas[Data e hora],MATCH(L642,tblBatidas[Batida ID],0)))*24&gt;16),"HORÁRIO INVÁLIDO","VINCULADO"))))))),"INÍCIO")</f>
        <v>VINCULADO</v>
      </c>
    </row>
    <row r="643" spans="1:13" hidden="1">
      <c r="A643" t="s">
        <v>1272</v>
      </c>
      <c r="B643" s="21">
        <v>46276.750902777778</v>
      </c>
      <c r="C643" s="2">
        <f t="shared" si="18"/>
        <v>46276</v>
      </c>
      <c r="D643" t="str">
        <f t="shared" si="19"/>
        <v>SEXTA-FEIRA</v>
      </c>
      <c r="E643">
        <v>1013</v>
      </c>
      <c r="F643" t="s">
        <v>57</v>
      </c>
      <c r="G643" t="s">
        <v>503</v>
      </c>
      <c r="H643" t="s">
        <v>80</v>
      </c>
      <c r="I643" t="s">
        <v>517</v>
      </c>
      <c r="K643" t="s">
        <v>501</v>
      </c>
      <c r="L643" s="9" t="s">
        <v>1239</v>
      </c>
      <c r="M643" t="str">
        <f>IF(G643="FIM",IF(L643="","SEM VÍNCULO",IF(COUNTIF(tblBatidas[Batida ID],L643)=0,"VÍNCULO INVÁLIDO",IF(COUNTIF(tblBatidas[Início vinculado],L643)&gt;1,"VÍNCULO DUPLICADO",IF(E643&lt;&gt;INDEX(tblBatidas[ID],MATCH(L643,tblBatidas[Batida ID],0)),"DIVERGÊNCIA DE ID",IF(H643&lt;&gt;INDEX(tblBatidas[Projeto],MATCH(L643,tblBatidas[Batida ID],0)),"DIVERGÊNCIA DE PROJETO",IF(I643&lt;&gt;INDEX(tblBatidas[Atividade],MATCH(L643,tblBatidas[Batida ID],0)),"DIVERGÊNCIA DE ATIVIDADE",IF(OR(B643&lt;=INDEX(tblBatidas[Data e hora],MATCH(L643,tblBatidas[Batida ID],0)),(B643-INDEX(tblBatidas[Data e hora],MATCH(L643,tblBatidas[Batida ID],0)))*24&gt;16),"HORÁRIO INVÁLIDO","VINCULADO"))))))),"INÍCIO")</f>
        <v>VINCULADO</v>
      </c>
    </row>
    <row r="644" spans="1:13" hidden="1">
      <c r="A644" t="s">
        <v>1273</v>
      </c>
      <c r="B644" s="21">
        <v>46276.752430555556</v>
      </c>
      <c r="C644" s="2">
        <f t="shared" si="18"/>
        <v>46276</v>
      </c>
      <c r="D644" t="str">
        <f t="shared" si="19"/>
        <v>SEXTA-FEIRA</v>
      </c>
      <c r="E644">
        <v>1011</v>
      </c>
      <c r="F644" t="s">
        <v>54</v>
      </c>
      <c r="G644" t="s">
        <v>503</v>
      </c>
      <c r="H644" t="s">
        <v>74</v>
      </c>
      <c r="I644" t="s">
        <v>517</v>
      </c>
      <c r="K644" t="s">
        <v>501</v>
      </c>
      <c r="L644" s="9" t="s">
        <v>1249</v>
      </c>
      <c r="M644" t="str">
        <f>IF(G644="FIM",IF(L644="","SEM VÍNCULO",IF(COUNTIF(tblBatidas[Batida ID],L644)=0,"VÍNCULO INVÁLIDO",IF(COUNTIF(tblBatidas[Início vinculado],L644)&gt;1,"VÍNCULO DUPLICADO",IF(E644&lt;&gt;INDEX(tblBatidas[ID],MATCH(L644,tblBatidas[Batida ID],0)),"DIVERGÊNCIA DE ID",IF(H644&lt;&gt;INDEX(tblBatidas[Projeto],MATCH(L644,tblBatidas[Batida ID],0)),"DIVERGÊNCIA DE PROJETO",IF(I644&lt;&gt;INDEX(tblBatidas[Atividade],MATCH(L644,tblBatidas[Batida ID],0)),"DIVERGÊNCIA DE ATIVIDADE",IF(OR(B644&lt;=INDEX(tblBatidas[Data e hora],MATCH(L644,tblBatidas[Batida ID],0)),(B644-INDEX(tblBatidas[Data e hora],MATCH(L644,tblBatidas[Batida ID],0)))*24&gt;16),"HORÁRIO INVÁLIDO","VINCULADO"))))))),"INÍCIO")</f>
        <v>VINCULADO</v>
      </c>
    </row>
    <row r="645" spans="1:13" hidden="1">
      <c r="A645" t="s">
        <v>1274</v>
      </c>
      <c r="B645" s="21">
        <v>46276.776053240741</v>
      </c>
      <c r="C645" s="2">
        <f t="shared" ref="C645:C708" si="20">IF(B645="","",INT(B645))</f>
        <v>46276</v>
      </c>
      <c r="D645" t="str">
        <f t="shared" ref="D645:D708" si="21">IF(C645="","",CHOOSE(WEEKDAY(C645,2),"SEGUNDA-FEIRA","TERÇA-FEIRA","QUARTA-FEIRA","QUINTA-FEIRA","SEXTA-FEIRA","SÁBADO","DOMINGO"))</f>
        <v>SEXTA-FEIRA</v>
      </c>
      <c r="E645">
        <v>1006</v>
      </c>
      <c r="F645" t="s">
        <v>49</v>
      </c>
      <c r="G645" t="s">
        <v>503</v>
      </c>
      <c r="H645" t="s">
        <v>86</v>
      </c>
      <c r="I645" t="s">
        <v>512</v>
      </c>
      <c r="K645" t="s">
        <v>501</v>
      </c>
      <c r="L645" s="9" t="s">
        <v>1262</v>
      </c>
      <c r="M645" t="str">
        <f>IF(G645="FIM",IF(L645="","SEM VÍNCULO",IF(COUNTIF(tblBatidas[Batida ID],L645)=0,"VÍNCULO INVÁLIDO",IF(COUNTIF(tblBatidas[Início vinculado],L645)&gt;1,"VÍNCULO DUPLICADO",IF(E645&lt;&gt;INDEX(tblBatidas[ID],MATCH(L645,tblBatidas[Batida ID],0)),"DIVERGÊNCIA DE ID",IF(H645&lt;&gt;INDEX(tblBatidas[Projeto],MATCH(L645,tblBatidas[Batida ID],0)),"DIVERGÊNCIA DE PROJETO",IF(I645&lt;&gt;INDEX(tblBatidas[Atividade],MATCH(L645,tblBatidas[Batida ID],0)),"DIVERGÊNCIA DE ATIVIDADE",IF(OR(B645&lt;=INDEX(tblBatidas[Data e hora],MATCH(L645,tblBatidas[Batida ID],0)),(B645-INDEX(tblBatidas[Data e hora],MATCH(L645,tblBatidas[Batida ID],0)))*24&gt;16),"HORÁRIO INVÁLIDO","VINCULADO"))))))),"INÍCIO")</f>
        <v>VINCULADO</v>
      </c>
    </row>
    <row r="646" spans="1:13" hidden="1">
      <c r="A646" t="s">
        <v>1275</v>
      </c>
      <c r="B646" s="21">
        <v>46276.806238425925</v>
      </c>
      <c r="C646" s="2">
        <f t="shared" si="20"/>
        <v>46276</v>
      </c>
      <c r="D646" t="str">
        <f t="shared" si="21"/>
        <v>SEXTA-FEIRA</v>
      </c>
      <c r="E646">
        <v>1012</v>
      </c>
      <c r="F646" t="s">
        <v>55</v>
      </c>
      <c r="G646" t="s">
        <v>499</v>
      </c>
      <c r="H646" t="s">
        <v>88</v>
      </c>
      <c r="I646" t="s">
        <v>512</v>
      </c>
      <c r="K646" t="s">
        <v>501</v>
      </c>
      <c r="L646" s="9"/>
      <c r="M646" t="str">
        <f>IF(G646="FIM",IF(L646="","SEM VÍNCULO",IF(COUNTIF(tblBatidas[Batida ID],L646)=0,"VÍNCULO INVÁLIDO",IF(COUNTIF(tblBatidas[Início vinculado],L646)&gt;1,"VÍNCULO DUPLICADO",IF(E646&lt;&gt;INDEX(tblBatidas[ID],MATCH(L646,tblBatidas[Batida ID],0)),"DIVERGÊNCIA DE ID",IF(H646&lt;&gt;INDEX(tblBatidas[Projeto],MATCH(L646,tblBatidas[Batida ID],0)),"DIVERGÊNCIA DE PROJETO",IF(I646&lt;&gt;INDEX(tblBatidas[Atividade],MATCH(L646,tblBatidas[Batida ID],0)),"DIVERGÊNCIA DE ATIVIDADE",IF(OR(B646&lt;=INDEX(tblBatidas[Data e hora],MATCH(L646,tblBatidas[Batida ID],0)),(B646-INDEX(tblBatidas[Data e hora],MATCH(L646,tblBatidas[Batida ID],0)))*24&gt;16),"HORÁRIO INVÁLIDO","VINCULADO"))))))),"INÍCIO")</f>
        <v>INÍCIO</v>
      </c>
    </row>
    <row r="647" spans="1:13" hidden="1">
      <c r="A647" t="s">
        <v>1276</v>
      </c>
      <c r="B647" s="21">
        <v>46276.820486111108</v>
      </c>
      <c r="C647" s="2">
        <f t="shared" si="20"/>
        <v>46276</v>
      </c>
      <c r="D647" t="str">
        <f t="shared" si="21"/>
        <v>SEXTA-FEIRA</v>
      </c>
      <c r="E647">
        <v>1012</v>
      </c>
      <c r="F647" t="s">
        <v>55</v>
      </c>
      <c r="G647" t="s">
        <v>503</v>
      </c>
      <c r="H647" t="s">
        <v>88</v>
      </c>
      <c r="I647" t="s">
        <v>512</v>
      </c>
      <c r="K647" t="s">
        <v>501</v>
      </c>
      <c r="L647" s="9" t="s">
        <v>1275</v>
      </c>
      <c r="M647" t="str">
        <f>IF(G647="FIM",IF(L647="","SEM VÍNCULO",IF(COUNTIF(tblBatidas[Batida ID],L647)=0,"VÍNCULO INVÁLIDO",IF(COUNTIF(tblBatidas[Início vinculado],L647)&gt;1,"VÍNCULO DUPLICADO",IF(E647&lt;&gt;INDEX(tblBatidas[ID],MATCH(L647,tblBatidas[Batida ID],0)),"DIVERGÊNCIA DE ID",IF(H647&lt;&gt;INDEX(tblBatidas[Projeto],MATCH(L647,tblBatidas[Batida ID],0)),"DIVERGÊNCIA DE PROJETO",IF(I647&lt;&gt;INDEX(tblBatidas[Atividade],MATCH(L647,tblBatidas[Batida ID],0)),"DIVERGÊNCIA DE ATIVIDADE",IF(OR(B647&lt;=INDEX(tblBatidas[Data e hora],MATCH(L647,tblBatidas[Batida ID],0)),(B647-INDEX(tblBatidas[Data e hora],MATCH(L647,tblBatidas[Batida ID],0)))*24&gt;16),"HORÁRIO INVÁLIDO","VINCULADO"))))))),"INÍCIO")</f>
        <v>VINCULADO</v>
      </c>
    </row>
    <row r="648" spans="1:13" hidden="1">
      <c r="A648" t="s">
        <v>1277</v>
      </c>
      <c r="B648" s="21">
        <v>46276.838055555556</v>
      </c>
      <c r="C648" s="2">
        <f t="shared" si="20"/>
        <v>46276</v>
      </c>
      <c r="D648" t="str">
        <f t="shared" si="21"/>
        <v>SEXTA-FEIRA</v>
      </c>
      <c r="E648">
        <v>1017</v>
      </c>
      <c r="F648" t="s">
        <v>61</v>
      </c>
      <c r="G648" t="s">
        <v>503</v>
      </c>
      <c r="H648" t="s">
        <v>88</v>
      </c>
      <c r="I648" t="s">
        <v>512</v>
      </c>
      <c r="K648" t="s">
        <v>501</v>
      </c>
      <c r="L648" s="9" t="s">
        <v>1257</v>
      </c>
      <c r="M648" t="str">
        <f>IF(G648="FIM",IF(L648="","SEM VÍNCULO",IF(COUNTIF(tblBatidas[Batida ID],L648)=0,"VÍNCULO INVÁLIDO",IF(COUNTIF(tblBatidas[Início vinculado],L648)&gt;1,"VÍNCULO DUPLICADO",IF(E648&lt;&gt;INDEX(tblBatidas[ID],MATCH(L648,tblBatidas[Batida ID],0)),"DIVERGÊNCIA DE ID",IF(H648&lt;&gt;INDEX(tblBatidas[Projeto],MATCH(L648,tblBatidas[Batida ID],0)),"DIVERGÊNCIA DE PROJETO",IF(I648&lt;&gt;INDEX(tblBatidas[Atividade],MATCH(L648,tblBatidas[Batida ID],0)),"DIVERGÊNCIA DE ATIVIDADE",IF(OR(B648&lt;=INDEX(tblBatidas[Data e hora],MATCH(L648,tblBatidas[Batida ID],0)),(B648-INDEX(tblBatidas[Data e hora],MATCH(L648,tblBatidas[Batida ID],0)))*24&gt;16),"HORÁRIO INVÁLIDO","VINCULADO"))))))),"INÍCIO")</f>
        <v>VINCULADO</v>
      </c>
    </row>
    <row r="649" spans="1:13" hidden="1">
      <c r="A649" t="s">
        <v>1278</v>
      </c>
      <c r="B649" s="21">
        <v>46276.872939814813</v>
      </c>
      <c r="C649" s="2">
        <f t="shared" si="20"/>
        <v>46276</v>
      </c>
      <c r="D649" t="str">
        <f t="shared" si="21"/>
        <v>SEXTA-FEIRA</v>
      </c>
      <c r="E649">
        <v>1006</v>
      </c>
      <c r="F649" t="s">
        <v>49</v>
      </c>
      <c r="G649" t="s">
        <v>499</v>
      </c>
      <c r="H649" t="s">
        <v>86</v>
      </c>
      <c r="I649" t="s">
        <v>512</v>
      </c>
      <c r="K649" t="s">
        <v>501</v>
      </c>
      <c r="L649" s="9"/>
      <c r="M649" t="str">
        <f>IF(G649="FIM",IF(L649="","SEM VÍNCULO",IF(COUNTIF(tblBatidas[Batida ID],L649)=0,"VÍNCULO INVÁLIDO",IF(COUNTIF(tblBatidas[Início vinculado],L649)&gt;1,"VÍNCULO DUPLICADO",IF(E649&lt;&gt;INDEX(tblBatidas[ID],MATCH(L649,tblBatidas[Batida ID],0)),"DIVERGÊNCIA DE ID",IF(H649&lt;&gt;INDEX(tblBatidas[Projeto],MATCH(L649,tblBatidas[Batida ID],0)),"DIVERGÊNCIA DE PROJETO",IF(I649&lt;&gt;INDEX(tblBatidas[Atividade],MATCH(L649,tblBatidas[Batida ID],0)),"DIVERGÊNCIA DE ATIVIDADE",IF(OR(B649&lt;=INDEX(tblBatidas[Data e hora],MATCH(L649,tblBatidas[Batida ID],0)),(B649-INDEX(tblBatidas[Data e hora],MATCH(L649,tblBatidas[Batida ID],0)))*24&gt;16),"HORÁRIO INVÁLIDO","VINCULADO"))))))),"INÍCIO")</f>
        <v>INÍCIO</v>
      </c>
    </row>
    <row r="650" spans="1:13" hidden="1">
      <c r="A650" t="s">
        <v>1279</v>
      </c>
      <c r="B650" s="21">
        <v>46276.878437500003</v>
      </c>
      <c r="C650" s="2">
        <f t="shared" si="20"/>
        <v>46276</v>
      </c>
      <c r="D650" t="str">
        <f t="shared" si="21"/>
        <v>SEXTA-FEIRA</v>
      </c>
      <c r="E650">
        <v>1004</v>
      </c>
      <c r="F650" t="s">
        <v>47</v>
      </c>
      <c r="G650" t="s">
        <v>503</v>
      </c>
      <c r="H650" t="s">
        <v>76</v>
      </c>
      <c r="I650" t="s">
        <v>538</v>
      </c>
      <c r="K650" t="s">
        <v>501</v>
      </c>
      <c r="L650" s="9" t="s">
        <v>1260</v>
      </c>
      <c r="M650" t="str">
        <f>IF(G650="FIM",IF(L650="","SEM VÍNCULO",IF(COUNTIF(tblBatidas[Batida ID],L650)=0,"VÍNCULO INVÁLIDO",IF(COUNTIF(tblBatidas[Início vinculado],L650)&gt;1,"VÍNCULO DUPLICADO",IF(E650&lt;&gt;INDEX(tblBatidas[ID],MATCH(L650,tblBatidas[Batida ID],0)),"DIVERGÊNCIA DE ID",IF(H650&lt;&gt;INDEX(tblBatidas[Projeto],MATCH(L650,tblBatidas[Batida ID],0)),"DIVERGÊNCIA DE PROJETO",IF(I650&lt;&gt;INDEX(tblBatidas[Atividade],MATCH(L650,tblBatidas[Batida ID],0)),"DIVERGÊNCIA DE ATIVIDADE",IF(OR(B650&lt;=INDEX(tblBatidas[Data e hora],MATCH(L650,tblBatidas[Batida ID],0)),(B650-INDEX(tblBatidas[Data e hora],MATCH(L650,tblBatidas[Batida ID],0)))*24&gt;16),"HORÁRIO INVÁLIDO","VINCULADO"))))))),"INÍCIO")</f>
        <v>VINCULADO</v>
      </c>
    </row>
    <row r="651" spans="1:13" hidden="1">
      <c r="A651" t="s">
        <v>1280</v>
      </c>
      <c r="B651" s="21">
        <v>46276.902962962966</v>
      </c>
      <c r="C651" s="2">
        <f t="shared" si="20"/>
        <v>46276</v>
      </c>
      <c r="D651" t="str">
        <f t="shared" si="21"/>
        <v>SEXTA-FEIRA</v>
      </c>
      <c r="E651">
        <v>1001</v>
      </c>
      <c r="F651" t="s">
        <v>43</v>
      </c>
      <c r="G651" t="s">
        <v>503</v>
      </c>
      <c r="H651" t="s">
        <v>72</v>
      </c>
      <c r="I651" t="s">
        <v>500</v>
      </c>
      <c r="K651" t="s">
        <v>501</v>
      </c>
      <c r="L651" s="9" t="s">
        <v>1266</v>
      </c>
      <c r="M651" t="str">
        <f>IF(G651="FIM",IF(L651="","SEM VÍNCULO",IF(COUNTIF(tblBatidas[Batida ID],L651)=0,"VÍNCULO INVÁLIDO",IF(COUNTIF(tblBatidas[Início vinculado],L651)&gt;1,"VÍNCULO DUPLICADO",IF(E651&lt;&gt;INDEX(tblBatidas[ID],MATCH(L651,tblBatidas[Batida ID],0)),"DIVERGÊNCIA DE ID",IF(H651&lt;&gt;INDEX(tblBatidas[Projeto],MATCH(L651,tblBatidas[Batida ID],0)),"DIVERGÊNCIA DE PROJETO",IF(I651&lt;&gt;INDEX(tblBatidas[Atividade],MATCH(L651,tblBatidas[Batida ID],0)),"DIVERGÊNCIA DE ATIVIDADE",IF(OR(B651&lt;=INDEX(tblBatidas[Data e hora],MATCH(L651,tblBatidas[Batida ID],0)),(B651-INDEX(tblBatidas[Data e hora],MATCH(L651,tblBatidas[Batida ID],0)))*24&gt;16),"HORÁRIO INVÁLIDO","VINCULADO"))))))),"INÍCIO")</f>
        <v>VINCULADO</v>
      </c>
    </row>
    <row r="652" spans="1:13" hidden="1">
      <c r="A652" t="s">
        <v>1281</v>
      </c>
      <c r="B652" s="21">
        <v>46276.969305555554</v>
      </c>
      <c r="C652" s="2">
        <f t="shared" si="20"/>
        <v>46276</v>
      </c>
      <c r="D652" t="str">
        <f t="shared" si="21"/>
        <v>SEXTA-FEIRA</v>
      </c>
      <c r="E652">
        <v>1006</v>
      </c>
      <c r="F652" t="s">
        <v>49</v>
      </c>
      <c r="G652" t="s">
        <v>503</v>
      </c>
      <c r="H652" t="s">
        <v>86</v>
      </c>
      <c r="I652" t="s">
        <v>512</v>
      </c>
      <c r="K652" t="s">
        <v>501</v>
      </c>
      <c r="L652" s="9" t="s">
        <v>1278</v>
      </c>
      <c r="M652" t="str">
        <f>IF(G652="FIM",IF(L652="","SEM VÍNCULO",IF(COUNTIF(tblBatidas[Batida ID],L652)=0,"VÍNCULO INVÁLIDO",IF(COUNTIF(tblBatidas[Início vinculado],L652)&gt;1,"VÍNCULO DUPLICADO",IF(E652&lt;&gt;INDEX(tblBatidas[ID],MATCH(L652,tblBatidas[Batida ID],0)),"DIVERGÊNCIA DE ID",IF(H652&lt;&gt;INDEX(tblBatidas[Projeto],MATCH(L652,tblBatidas[Batida ID],0)),"DIVERGÊNCIA DE PROJETO",IF(I652&lt;&gt;INDEX(tblBatidas[Atividade],MATCH(L652,tblBatidas[Batida ID],0)),"DIVERGÊNCIA DE ATIVIDADE",IF(OR(B652&lt;=INDEX(tblBatidas[Data e hora],MATCH(L652,tblBatidas[Batida ID],0)),(B652-INDEX(tblBatidas[Data e hora],MATCH(L652,tblBatidas[Batida ID],0)))*24&gt;16),"HORÁRIO INVÁLIDO","VINCULADO"))))))),"INÍCIO")</f>
        <v>VINCULADO</v>
      </c>
    </row>
    <row r="653" spans="1:13" hidden="1">
      <c r="A653" t="s">
        <v>1282</v>
      </c>
      <c r="B653" s="21">
        <v>46277.349699074075</v>
      </c>
      <c r="C653" s="2">
        <f t="shared" si="20"/>
        <v>46277</v>
      </c>
      <c r="D653" t="str">
        <f t="shared" si="21"/>
        <v>SÁBADO</v>
      </c>
      <c r="E653">
        <v>1003</v>
      </c>
      <c r="F653" t="s">
        <v>46</v>
      </c>
      <c r="G653" t="s">
        <v>499</v>
      </c>
      <c r="H653" t="s">
        <v>80</v>
      </c>
      <c r="I653" t="s">
        <v>517</v>
      </c>
      <c r="K653" t="s">
        <v>501</v>
      </c>
      <c r="L653" s="9"/>
      <c r="M653" t="str">
        <f>IF(G653="FIM",IF(L653="","SEM VÍNCULO",IF(COUNTIF(tblBatidas[Batida ID],L653)=0,"VÍNCULO INVÁLIDO",IF(COUNTIF(tblBatidas[Início vinculado],L653)&gt;1,"VÍNCULO DUPLICADO",IF(E653&lt;&gt;INDEX(tblBatidas[ID],MATCH(L653,tblBatidas[Batida ID],0)),"DIVERGÊNCIA DE ID",IF(H653&lt;&gt;INDEX(tblBatidas[Projeto],MATCH(L653,tblBatidas[Batida ID],0)),"DIVERGÊNCIA DE PROJETO",IF(I653&lt;&gt;INDEX(tblBatidas[Atividade],MATCH(L653,tblBatidas[Batida ID],0)),"DIVERGÊNCIA DE ATIVIDADE",IF(OR(B653&lt;=INDEX(tblBatidas[Data e hora],MATCH(L653,tblBatidas[Batida ID],0)),(B653-INDEX(tblBatidas[Data e hora],MATCH(L653,tblBatidas[Batida ID],0)))*24&gt;16),"HORÁRIO INVÁLIDO","VINCULADO"))))))),"INÍCIO")</f>
        <v>INÍCIO</v>
      </c>
    </row>
    <row r="654" spans="1:13" hidden="1">
      <c r="A654" t="s">
        <v>1283</v>
      </c>
      <c r="B654" s="21">
        <v>46277.350347222222</v>
      </c>
      <c r="C654" s="2">
        <f t="shared" si="20"/>
        <v>46277</v>
      </c>
      <c r="D654" t="str">
        <f t="shared" si="21"/>
        <v>SÁBADO</v>
      </c>
      <c r="E654">
        <v>1003</v>
      </c>
      <c r="F654" t="s">
        <v>46</v>
      </c>
      <c r="G654" t="s">
        <v>499</v>
      </c>
      <c r="H654" t="s">
        <v>80</v>
      </c>
      <c r="I654" t="s">
        <v>517</v>
      </c>
      <c r="K654" t="s">
        <v>501</v>
      </c>
      <c r="L654" s="9"/>
      <c r="M654" t="str">
        <f>IF(G654="FIM",IF(L654="","SEM VÍNCULO",IF(COUNTIF(tblBatidas[Batida ID],L654)=0,"VÍNCULO INVÁLIDO",IF(COUNTIF(tblBatidas[Início vinculado],L654)&gt;1,"VÍNCULO DUPLICADO",IF(E654&lt;&gt;INDEX(tblBatidas[ID],MATCH(L654,tblBatidas[Batida ID],0)),"DIVERGÊNCIA DE ID",IF(H654&lt;&gt;INDEX(tblBatidas[Projeto],MATCH(L654,tblBatidas[Batida ID],0)),"DIVERGÊNCIA DE PROJETO",IF(I654&lt;&gt;INDEX(tblBatidas[Atividade],MATCH(L654,tblBatidas[Batida ID],0)),"DIVERGÊNCIA DE ATIVIDADE",IF(OR(B654&lt;=INDEX(tblBatidas[Data e hora],MATCH(L654,tblBatidas[Batida ID],0)),(B654-INDEX(tblBatidas[Data e hora],MATCH(L654,tblBatidas[Batida ID],0)))*24&gt;16),"HORÁRIO INVÁLIDO","VINCULADO"))))))),"INÍCIO")</f>
        <v>INÍCIO</v>
      </c>
    </row>
    <row r="655" spans="1:13" hidden="1">
      <c r="A655" t="s">
        <v>1284</v>
      </c>
      <c r="B655" s="21">
        <v>46277.386331018519</v>
      </c>
      <c r="C655" s="2">
        <f t="shared" si="20"/>
        <v>46277</v>
      </c>
      <c r="D655" t="str">
        <f t="shared" si="21"/>
        <v>SÁBADO</v>
      </c>
      <c r="E655">
        <v>1017</v>
      </c>
      <c r="F655" t="s">
        <v>61</v>
      </c>
      <c r="G655" t="s">
        <v>499</v>
      </c>
      <c r="H655" t="s">
        <v>88</v>
      </c>
      <c r="I655" t="s">
        <v>512</v>
      </c>
      <c r="K655" t="s">
        <v>501</v>
      </c>
      <c r="L655" s="9"/>
      <c r="M655" t="str">
        <f>IF(G655="FIM",IF(L655="","SEM VÍNCULO",IF(COUNTIF(tblBatidas[Batida ID],L655)=0,"VÍNCULO INVÁLIDO",IF(COUNTIF(tblBatidas[Início vinculado],L655)&gt;1,"VÍNCULO DUPLICADO",IF(E655&lt;&gt;INDEX(tblBatidas[ID],MATCH(L655,tblBatidas[Batida ID],0)),"DIVERGÊNCIA DE ID",IF(H655&lt;&gt;INDEX(tblBatidas[Projeto],MATCH(L655,tblBatidas[Batida ID],0)),"DIVERGÊNCIA DE PROJETO",IF(I655&lt;&gt;INDEX(tblBatidas[Atividade],MATCH(L655,tblBatidas[Batida ID],0)),"DIVERGÊNCIA DE ATIVIDADE",IF(OR(B655&lt;=INDEX(tblBatidas[Data e hora],MATCH(L655,tblBatidas[Batida ID],0)),(B655-INDEX(tblBatidas[Data e hora],MATCH(L655,tblBatidas[Batida ID],0)))*24&gt;16),"HORÁRIO INVÁLIDO","VINCULADO"))))))),"INÍCIO")</f>
        <v>INÍCIO</v>
      </c>
    </row>
    <row r="656" spans="1:13" hidden="1">
      <c r="A656" t="s">
        <v>1285</v>
      </c>
      <c r="B656" s="21">
        <v>46277.447060185186</v>
      </c>
      <c r="C656" s="2">
        <f t="shared" si="20"/>
        <v>46277</v>
      </c>
      <c r="D656" t="str">
        <f t="shared" si="21"/>
        <v>SÁBADO</v>
      </c>
      <c r="E656">
        <v>1011</v>
      </c>
      <c r="F656" t="s">
        <v>54</v>
      </c>
      <c r="G656" t="s">
        <v>499</v>
      </c>
      <c r="H656" t="s">
        <v>76</v>
      </c>
      <c r="I656" t="s">
        <v>517</v>
      </c>
      <c r="K656" t="s">
        <v>501</v>
      </c>
      <c r="L656" s="9"/>
      <c r="M656" t="str">
        <f>IF(G656="FIM",IF(L656="","SEM VÍNCULO",IF(COUNTIF(tblBatidas[Batida ID],L656)=0,"VÍNCULO INVÁLIDO",IF(COUNTIF(tblBatidas[Início vinculado],L656)&gt;1,"VÍNCULO DUPLICADO",IF(E656&lt;&gt;INDEX(tblBatidas[ID],MATCH(L656,tblBatidas[Batida ID],0)),"DIVERGÊNCIA DE ID",IF(H656&lt;&gt;INDEX(tblBatidas[Projeto],MATCH(L656,tblBatidas[Batida ID],0)),"DIVERGÊNCIA DE PROJETO",IF(I656&lt;&gt;INDEX(tblBatidas[Atividade],MATCH(L656,tblBatidas[Batida ID],0)),"DIVERGÊNCIA DE ATIVIDADE",IF(OR(B656&lt;=INDEX(tblBatidas[Data e hora],MATCH(L656,tblBatidas[Batida ID],0)),(B656-INDEX(tblBatidas[Data e hora],MATCH(L656,tblBatidas[Batida ID],0)))*24&gt;16),"HORÁRIO INVÁLIDO","VINCULADO"))))))),"INÍCIO")</f>
        <v>INÍCIO</v>
      </c>
    </row>
    <row r="657" spans="1:13" hidden="1">
      <c r="A657" t="s">
        <v>1286</v>
      </c>
      <c r="B657" s="21">
        <v>46277.501064814816</v>
      </c>
      <c r="C657" s="2">
        <f t="shared" si="20"/>
        <v>46277</v>
      </c>
      <c r="D657" t="str">
        <f t="shared" si="21"/>
        <v>SÁBADO</v>
      </c>
      <c r="E657">
        <v>1003</v>
      </c>
      <c r="F657" t="s">
        <v>46</v>
      </c>
      <c r="G657" t="s">
        <v>503</v>
      </c>
      <c r="H657" t="s">
        <v>80</v>
      </c>
      <c r="I657" t="s">
        <v>517</v>
      </c>
      <c r="K657" t="s">
        <v>501</v>
      </c>
      <c r="L657" s="9" t="s">
        <v>1283</v>
      </c>
      <c r="M657" t="str">
        <f>IF(G657="FIM",IF(L657="","SEM VÍNCULO",IF(COUNTIF(tblBatidas[Batida ID],L657)=0,"VÍNCULO INVÁLIDO",IF(COUNTIF(tblBatidas[Início vinculado],L657)&gt;1,"VÍNCULO DUPLICADO",IF(E657&lt;&gt;INDEX(tblBatidas[ID],MATCH(L657,tblBatidas[Batida ID],0)),"DIVERGÊNCIA DE ID",IF(H657&lt;&gt;INDEX(tblBatidas[Projeto],MATCH(L657,tblBatidas[Batida ID],0)),"DIVERGÊNCIA DE PROJETO",IF(I657&lt;&gt;INDEX(tblBatidas[Atividade],MATCH(L657,tblBatidas[Batida ID],0)),"DIVERGÊNCIA DE ATIVIDADE",IF(OR(B657&lt;=INDEX(tblBatidas[Data e hora],MATCH(L657,tblBatidas[Batida ID],0)),(B657-INDEX(tblBatidas[Data e hora],MATCH(L657,tblBatidas[Batida ID],0)))*24&gt;16),"HORÁRIO INVÁLIDO","VINCULADO"))))))),"INÍCIO")</f>
        <v>VINCULADO</v>
      </c>
    </row>
    <row r="658" spans="1:13" hidden="1">
      <c r="A658" t="s">
        <v>1287</v>
      </c>
      <c r="B658" s="21">
        <v>46277.550138888888</v>
      </c>
      <c r="C658" s="2">
        <f t="shared" si="20"/>
        <v>46277</v>
      </c>
      <c r="D658" t="str">
        <f t="shared" si="21"/>
        <v>SÁBADO</v>
      </c>
      <c r="E658">
        <v>1003</v>
      </c>
      <c r="F658" t="s">
        <v>46</v>
      </c>
      <c r="G658" t="s">
        <v>503</v>
      </c>
      <c r="H658" t="s">
        <v>80</v>
      </c>
      <c r="I658" t="s">
        <v>517</v>
      </c>
      <c r="K658" t="s">
        <v>501</v>
      </c>
      <c r="L658" s="9" t="s">
        <v>1282</v>
      </c>
      <c r="M658" t="str">
        <f>IF(G658="FIM",IF(L658="","SEM VÍNCULO",IF(COUNTIF(tblBatidas[Batida ID],L658)=0,"VÍNCULO INVÁLIDO",IF(COUNTIF(tblBatidas[Início vinculado],L658)&gt;1,"VÍNCULO DUPLICADO",IF(E658&lt;&gt;INDEX(tblBatidas[ID],MATCH(L658,tblBatidas[Batida ID],0)),"DIVERGÊNCIA DE ID",IF(H658&lt;&gt;INDEX(tblBatidas[Projeto],MATCH(L658,tblBatidas[Batida ID],0)),"DIVERGÊNCIA DE PROJETO",IF(I658&lt;&gt;INDEX(tblBatidas[Atividade],MATCH(L658,tblBatidas[Batida ID],0)),"DIVERGÊNCIA DE ATIVIDADE",IF(OR(B658&lt;=INDEX(tblBatidas[Data e hora],MATCH(L658,tblBatidas[Batida ID],0)),(B658-INDEX(tblBatidas[Data e hora],MATCH(L658,tblBatidas[Batida ID],0)))*24&gt;16),"HORÁRIO INVÁLIDO","VINCULADO"))))))),"INÍCIO")</f>
        <v>VINCULADO</v>
      </c>
    </row>
    <row r="659" spans="1:13" hidden="1">
      <c r="A659" t="s">
        <v>1288</v>
      </c>
      <c r="B659" s="21">
        <v>46277.554120370369</v>
      </c>
      <c r="C659" s="2">
        <f t="shared" si="20"/>
        <v>46277</v>
      </c>
      <c r="D659" t="str">
        <f t="shared" si="21"/>
        <v>SÁBADO</v>
      </c>
      <c r="E659">
        <v>1003</v>
      </c>
      <c r="F659" t="s">
        <v>46</v>
      </c>
      <c r="G659" t="s">
        <v>499</v>
      </c>
      <c r="H659" t="s">
        <v>80</v>
      </c>
      <c r="I659" t="s">
        <v>517</v>
      </c>
      <c r="K659" t="s">
        <v>501</v>
      </c>
      <c r="L659" s="9"/>
      <c r="M659" t="str">
        <f>IF(G659="FIM",IF(L659="","SEM VÍNCULO",IF(COUNTIF(tblBatidas[Batida ID],L659)=0,"VÍNCULO INVÁLIDO",IF(COUNTIF(tblBatidas[Início vinculado],L659)&gt;1,"VÍNCULO DUPLICADO",IF(E659&lt;&gt;INDEX(tblBatidas[ID],MATCH(L659,tblBatidas[Batida ID],0)),"DIVERGÊNCIA DE ID",IF(H659&lt;&gt;INDEX(tblBatidas[Projeto],MATCH(L659,tblBatidas[Batida ID],0)),"DIVERGÊNCIA DE PROJETO",IF(I659&lt;&gt;INDEX(tblBatidas[Atividade],MATCH(L659,tblBatidas[Batida ID],0)),"DIVERGÊNCIA DE ATIVIDADE",IF(OR(B659&lt;=INDEX(tblBatidas[Data e hora],MATCH(L659,tblBatidas[Batida ID],0)),(B659-INDEX(tblBatidas[Data e hora],MATCH(L659,tblBatidas[Batida ID],0)))*24&gt;16),"HORÁRIO INVÁLIDO","VINCULADO"))))))),"INÍCIO")</f>
        <v>INÍCIO</v>
      </c>
    </row>
    <row r="660" spans="1:13" hidden="1">
      <c r="A660" t="s">
        <v>1289</v>
      </c>
      <c r="B660" s="21">
        <v>46277.779351851852</v>
      </c>
      <c r="C660" s="2">
        <f t="shared" si="20"/>
        <v>46277</v>
      </c>
      <c r="D660" t="str">
        <f t="shared" si="21"/>
        <v>SÁBADO</v>
      </c>
      <c r="E660">
        <v>1003</v>
      </c>
      <c r="F660" t="s">
        <v>46</v>
      </c>
      <c r="G660" t="s">
        <v>503</v>
      </c>
      <c r="H660" t="s">
        <v>80</v>
      </c>
      <c r="I660" t="s">
        <v>517</v>
      </c>
      <c r="K660" t="s">
        <v>501</v>
      </c>
      <c r="L660" s="9" t="s">
        <v>1288</v>
      </c>
      <c r="M660" t="str">
        <f>IF(G660="FIM",IF(L660="","SEM VÍNCULO",IF(COUNTIF(tblBatidas[Batida ID],L660)=0,"VÍNCULO INVÁLIDO",IF(COUNTIF(tblBatidas[Início vinculado],L660)&gt;1,"VÍNCULO DUPLICADO",IF(E660&lt;&gt;INDEX(tblBatidas[ID],MATCH(L660,tblBatidas[Batida ID],0)),"DIVERGÊNCIA DE ID",IF(H660&lt;&gt;INDEX(tblBatidas[Projeto],MATCH(L660,tblBatidas[Batida ID],0)),"DIVERGÊNCIA DE PROJETO",IF(I660&lt;&gt;INDEX(tblBatidas[Atividade],MATCH(L660,tblBatidas[Batida ID],0)),"DIVERGÊNCIA DE ATIVIDADE",IF(OR(B660&lt;=INDEX(tblBatidas[Data e hora],MATCH(L660,tblBatidas[Batida ID],0)),(B660-INDEX(tblBatidas[Data e hora],MATCH(L660,tblBatidas[Batida ID],0)))*24&gt;16),"HORÁRIO INVÁLIDO","VINCULADO"))))))),"INÍCIO")</f>
        <v>VINCULADO</v>
      </c>
    </row>
    <row r="661" spans="1:13" hidden="1">
      <c r="A661" t="s">
        <v>1290</v>
      </c>
      <c r="B661" s="21">
        <v>46277.793240740742</v>
      </c>
      <c r="C661" s="2">
        <f t="shared" si="20"/>
        <v>46277</v>
      </c>
      <c r="D661" t="str">
        <f t="shared" si="21"/>
        <v>SÁBADO</v>
      </c>
      <c r="E661">
        <v>1017</v>
      </c>
      <c r="F661" t="s">
        <v>61</v>
      </c>
      <c r="G661" t="s">
        <v>503</v>
      </c>
      <c r="H661" t="s">
        <v>76</v>
      </c>
      <c r="I661" t="s">
        <v>517</v>
      </c>
      <c r="K661" t="s">
        <v>501</v>
      </c>
      <c r="L661" s="9"/>
      <c r="M661" t="str">
        <f>IF(G661="FIM",IF(L661="","SEM VÍNCULO",IF(COUNTIF(tblBatidas[Batida ID],L661)=0,"VÍNCULO INVÁLIDO",IF(COUNTIF(tblBatidas[Início vinculado],L661)&gt;1,"VÍNCULO DUPLICADO",IF(E661&lt;&gt;INDEX(tblBatidas[ID],MATCH(L661,tblBatidas[Batida ID],0)),"DIVERGÊNCIA DE ID",IF(H661&lt;&gt;INDEX(tblBatidas[Projeto],MATCH(L661,tblBatidas[Batida ID],0)),"DIVERGÊNCIA DE PROJETO",IF(I661&lt;&gt;INDEX(tblBatidas[Atividade],MATCH(L661,tblBatidas[Batida ID],0)),"DIVERGÊNCIA DE ATIVIDADE",IF(OR(B661&lt;=INDEX(tblBatidas[Data e hora],MATCH(L661,tblBatidas[Batida ID],0)),(B661-INDEX(tblBatidas[Data e hora],MATCH(L661,tblBatidas[Batida ID],0)))*24&gt;16),"HORÁRIO INVÁLIDO","VINCULADO"))))))),"INÍCIO")</f>
        <v>SEM VÍNCULO</v>
      </c>
    </row>
    <row r="662" spans="1:13" hidden="1">
      <c r="A662" t="s">
        <v>1291</v>
      </c>
      <c r="B662" s="21">
        <v>46277.792719907404</v>
      </c>
      <c r="C662" s="2">
        <f t="shared" si="20"/>
        <v>46277</v>
      </c>
      <c r="D662" t="str">
        <f t="shared" si="21"/>
        <v>SÁBADO</v>
      </c>
      <c r="E662">
        <v>1017</v>
      </c>
      <c r="F662" t="s">
        <v>61</v>
      </c>
      <c r="G662" t="s">
        <v>503</v>
      </c>
      <c r="H662" t="s">
        <v>88</v>
      </c>
      <c r="I662" t="s">
        <v>512</v>
      </c>
      <c r="K662" t="s">
        <v>501</v>
      </c>
      <c r="L662" s="9" t="s">
        <v>1284</v>
      </c>
      <c r="M662" t="str">
        <f>IF(G662="FIM",IF(L662="","SEM VÍNCULO",IF(COUNTIF(tblBatidas[Batida ID],L662)=0,"VÍNCULO INVÁLIDO",IF(COUNTIF(tblBatidas[Início vinculado],L662)&gt;1,"VÍNCULO DUPLICADO",IF(E662&lt;&gt;INDEX(tblBatidas[ID],MATCH(L662,tblBatidas[Batida ID],0)),"DIVERGÊNCIA DE ID",IF(H662&lt;&gt;INDEX(tblBatidas[Projeto],MATCH(L662,tblBatidas[Batida ID],0)),"DIVERGÊNCIA DE PROJETO",IF(I662&lt;&gt;INDEX(tblBatidas[Atividade],MATCH(L662,tblBatidas[Batida ID],0)),"DIVERGÊNCIA DE ATIVIDADE",IF(OR(B662&lt;=INDEX(tblBatidas[Data e hora],MATCH(L662,tblBatidas[Batida ID],0)),(B662-INDEX(tblBatidas[Data e hora],MATCH(L662,tblBatidas[Batida ID],0)))*24&gt;16),"HORÁRIO INVÁLIDO","VINCULADO"))))))),"INÍCIO")</f>
        <v>VINCULADO</v>
      </c>
    </row>
    <row r="663" spans="1:13" hidden="1">
      <c r="A663" t="s">
        <v>1292</v>
      </c>
      <c r="B663" s="21">
        <v>46278.339189814818</v>
      </c>
      <c r="C663" s="2">
        <f t="shared" si="20"/>
        <v>46278</v>
      </c>
      <c r="D663" t="str">
        <f t="shared" si="21"/>
        <v>DOMINGO</v>
      </c>
      <c r="E663">
        <v>1003</v>
      </c>
      <c r="F663" t="s">
        <v>46</v>
      </c>
      <c r="G663" t="s">
        <v>499</v>
      </c>
      <c r="H663" t="s">
        <v>76</v>
      </c>
      <c r="I663" t="s">
        <v>517</v>
      </c>
      <c r="K663" t="s">
        <v>501</v>
      </c>
      <c r="L663" s="9"/>
      <c r="M663" t="str">
        <f>IF(G663="FIM",IF(L663="","SEM VÍNCULO",IF(COUNTIF(tblBatidas[Batida ID],L663)=0,"VÍNCULO INVÁLIDO",IF(COUNTIF(tblBatidas[Início vinculado],L663)&gt;1,"VÍNCULO DUPLICADO",IF(E663&lt;&gt;INDEX(tblBatidas[ID],MATCH(L663,tblBatidas[Batida ID],0)),"DIVERGÊNCIA DE ID",IF(H663&lt;&gt;INDEX(tblBatidas[Projeto],MATCH(L663,tblBatidas[Batida ID],0)),"DIVERGÊNCIA DE PROJETO",IF(I663&lt;&gt;INDEX(tblBatidas[Atividade],MATCH(L663,tblBatidas[Batida ID],0)),"DIVERGÊNCIA DE ATIVIDADE",IF(OR(B663&lt;=INDEX(tblBatidas[Data e hora],MATCH(L663,tblBatidas[Batida ID],0)),(B663-INDEX(tblBatidas[Data e hora],MATCH(L663,tblBatidas[Batida ID],0)))*24&gt;16),"HORÁRIO INVÁLIDO","VINCULADO"))))))),"INÍCIO")</f>
        <v>INÍCIO</v>
      </c>
    </row>
    <row r="664" spans="1:13" hidden="1">
      <c r="A664" t="s">
        <v>1293</v>
      </c>
      <c r="B664" s="21">
        <v>46278.456875000003</v>
      </c>
      <c r="C664" s="2">
        <f t="shared" si="20"/>
        <v>46278</v>
      </c>
      <c r="D664" t="str">
        <f t="shared" si="21"/>
        <v>DOMINGO</v>
      </c>
      <c r="E664">
        <v>1011</v>
      </c>
      <c r="F664" t="s">
        <v>54</v>
      </c>
      <c r="G664" t="s">
        <v>499</v>
      </c>
      <c r="H664" t="s">
        <v>76</v>
      </c>
      <c r="I664" t="s">
        <v>517</v>
      </c>
      <c r="K664" t="s">
        <v>501</v>
      </c>
      <c r="L664" s="9"/>
      <c r="M664" t="str">
        <f>IF(G664="FIM",IF(L664="","SEM VÍNCULO",IF(COUNTIF(tblBatidas[Batida ID],L664)=0,"VÍNCULO INVÁLIDO",IF(COUNTIF(tblBatidas[Início vinculado],L664)&gt;1,"VÍNCULO DUPLICADO",IF(E664&lt;&gt;INDEX(tblBatidas[ID],MATCH(L664,tblBatidas[Batida ID],0)),"DIVERGÊNCIA DE ID",IF(H664&lt;&gt;INDEX(tblBatidas[Projeto],MATCH(L664,tblBatidas[Batida ID],0)),"DIVERGÊNCIA DE PROJETO",IF(I664&lt;&gt;INDEX(tblBatidas[Atividade],MATCH(L664,tblBatidas[Batida ID],0)),"DIVERGÊNCIA DE ATIVIDADE",IF(OR(B664&lt;=INDEX(tblBatidas[Data e hora],MATCH(L664,tblBatidas[Batida ID],0)),(B664-INDEX(tblBatidas[Data e hora],MATCH(L664,tblBatidas[Batida ID],0)))*24&gt;16),"HORÁRIO INVÁLIDO","VINCULADO"))))))),"INÍCIO")</f>
        <v>INÍCIO</v>
      </c>
    </row>
    <row r="665" spans="1:13" hidden="1">
      <c r="A665" t="s">
        <v>1294</v>
      </c>
      <c r="B665" s="21">
        <v>46278.490162037036</v>
      </c>
      <c r="C665" s="2">
        <f t="shared" si="20"/>
        <v>46278</v>
      </c>
      <c r="D665" t="str">
        <f t="shared" si="21"/>
        <v>DOMINGO</v>
      </c>
      <c r="E665">
        <v>1003</v>
      </c>
      <c r="F665" t="s">
        <v>46</v>
      </c>
      <c r="G665" t="s">
        <v>503</v>
      </c>
      <c r="H665" t="s">
        <v>76</v>
      </c>
      <c r="I665" t="s">
        <v>517</v>
      </c>
      <c r="K665" t="s">
        <v>501</v>
      </c>
      <c r="L665" s="9" t="s">
        <v>1292</v>
      </c>
      <c r="M665" t="str">
        <f>IF(G665="FIM",IF(L665="","SEM VÍNCULO",IF(COUNTIF(tblBatidas[Batida ID],L665)=0,"VÍNCULO INVÁLIDO",IF(COUNTIF(tblBatidas[Início vinculado],L665)&gt;1,"VÍNCULO DUPLICADO",IF(E665&lt;&gt;INDEX(tblBatidas[ID],MATCH(L665,tblBatidas[Batida ID],0)),"DIVERGÊNCIA DE ID",IF(H665&lt;&gt;INDEX(tblBatidas[Projeto],MATCH(L665,tblBatidas[Batida ID],0)),"DIVERGÊNCIA DE PROJETO",IF(I665&lt;&gt;INDEX(tblBatidas[Atividade],MATCH(L665,tblBatidas[Batida ID],0)),"DIVERGÊNCIA DE ATIVIDADE",IF(OR(B665&lt;=INDEX(tblBatidas[Data e hora],MATCH(L665,tblBatidas[Batida ID],0)),(B665-INDEX(tblBatidas[Data e hora],MATCH(L665,tblBatidas[Batida ID],0)))*24&gt;16),"HORÁRIO INVÁLIDO","VINCULADO"))))))),"INÍCIO")</f>
        <v>VINCULADO</v>
      </c>
    </row>
    <row r="666" spans="1:13" hidden="1">
      <c r="A666" t="s">
        <v>1295</v>
      </c>
      <c r="B666" s="21">
        <v>46278.567210648151</v>
      </c>
      <c r="C666" s="2">
        <f t="shared" si="20"/>
        <v>46278</v>
      </c>
      <c r="D666" t="str">
        <f t="shared" si="21"/>
        <v>DOMINGO</v>
      </c>
      <c r="E666">
        <v>1003</v>
      </c>
      <c r="F666" t="s">
        <v>46</v>
      </c>
      <c r="G666" t="s">
        <v>499</v>
      </c>
      <c r="H666" t="s">
        <v>76</v>
      </c>
      <c r="I666" t="s">
        <v>517</v>
      </c>
      <c r="K666" t="s">
        <v>501</v>
      </c>
      <c r="L666" s="9"/>
      <c r="M666" t="str">
        <f>IF(G666="FIM",IF(L666="","SEM VÍNCULO",IF(COUNTIF(tblBatidas[Batida ID],L666)=0,"VÍNCULO INVÁLIDO",IF(COUNTIF(tblBatidas[Início vinculado],L666)&gt;1,"VÍNCULO DUPLICADO",IF(E666&lt;&gt;INDEX(tblBatidas[ID],MATCH(L666,tblBatidas[Batida ID],0)),"DIVERGÊNCIA DE ID",IF(H666&lt;&gt;INDEX(tblBatidas[Projeto],MATCH(L666,tblBatidas[Batida ID],0)),"DIVERGÊNCIA DE PROJETO",IF(I666&lt;&gt;INDEX(tblBatidas[Atividade],MATCH(L666,tblBatidas[Batida ID],0)),"DIVERGÊNCIA DE ATIVIDADE",IF(OR(B666&lt;=INDEX(tblBatidas[Data e hora],MATCH(L666,tblBatidas[Batida ID],0)),(B666-INDEX(tblBatidas[Data e hora],MATCH(L666,tblBatidas[Batida ID],0)))*24&gt;16),"HORÁRIO INVÁLIDO","VINCULADO"))))))),"INÍCIO")</f>
        <v>INÍCIO</v>
      </c>
    </row>
    <row r="667" spans="1:13" hidden="1">
      <c r="A667" t="s">
        <v>1296</v>
      </c>
      <c r="B667" s="21">
        <v>46278.618287037039</v>
      </c>
      <c r="C667" s="2">
        <f t="shared" si="20"/>
        <v>46278</v>
      </c>
      <c r="D667" t="str">
        <f t="shared" si="21"/>
        <v>DOMINGO</v>
      </c>
      <c r="E667">
        <v>1011</v>
      </c>
      <c r="F667" t="s">
        <v>54</v>
      </c>
      <c r="G667" t="s">
        <v>503</v>
      </c>
      <c r="H667" t="s">
        <v>76</v>
      </c>
      <c r="I667" t="s">
        <v>517</v>
      </c>
      <c r="K667" t="s">
        <v>501</v>
      </c>
      <c r="L667" s="9" t="s">
        <v>1293</v>
      </c>
      <c r="M667" t="str">
        <f>IF(G667="FIM",IF(L667="","SEM VÍNCULO",IF(COUNTIF(tblBatidas[Batida ID],L667)=0,"VÍNCULO INVÁLIDO",IF(COUNTIF(tblBatidas[Início vinculado],L667)&gt;1,"VÍNCULO DUPLICADO",IF(E667&lt;&gt;INDEX(tblBatidas[ID],MATCH(L667,tblBatidas[Batida ID],0)),"DIVERGÊNCIA DE ID",IF(H667&lt;&gt;INDEX(tblBatidas[Projeto],MATCH(L667,tblBatidas[Batida ID],0)),"DIVERGÊNCIA DE PROJETO",IF(I667&lt;&gt;INDEX(tblBatidas[Atividade],MATCH(L667,tblBatidas[Batida ID],0)),"DIVERGÊNCIA DE ATIVIDADE",IF(OR(B667&lt;=INDEX(tblBatidas[Data e hora],MATCH(L667,tblBatidas[Batida ID],0)),(B667-INDEX(tblBatidas[Data e hora],MATCH(L667,tblBatidas[Batida ID],0)))*24&gt;16),"HORÁRIO INVÁLIDO","VINCULADO"))))))),"INÍCIO")</f>
        <v>VINCULADO</v>
      </c>
    </row>
    <row r="668" spans="1:13" hidden="1">
      <c r="A668" t="s">
        <v>1297</v>
      </c>
      <c r="B668" s="21">
        <v>46279.340254629627</v>
      </c>
      <c r="C668" s="2">
        <f t="shared" si="20"/>
        <v>46279</v>
      </c>
      <c r="D668" t="str">
        <f t="shared" si="21"/>
        <v>SEGUNDA-FEIRA</v>
      </c>
      <c r="E668">
        <v>1003</v>
      </c>
      <c r="F668" t="s">
        <v>46</v>
      </c>
      <c r="G668" t="s">
        <v>499</v>
      </c>
      <c r="H668" t="s">
        <v>76</v>
      </c>
      <c r="I668" t="s">
        <v>517</v>
      </c>
      <c r="K668" t="s">
        <v>501</v>
      </c>
      <c r="L668" s="9"/>
      <c r="M668" t="str">
        <f>IF(G668="FIM",IF(L668="","SEM VÍNCULO",IF(COUNTIF(tblBatidas[Batida ID],L668)=0,"VÍNCULO INVÁLIDO",IF(COUNTIF(tblBatidas[Início vinculado],L668)&gt;1,"VÍNCULO DUPLICADO",IF(E668&lt;&gt;INDEX(tblBatidas[ID],MATCH(L668,tblBatidas[Batida ID],0)),"DIVERGÊNCIA DE ID",IF(H668&lt;&gt;INDEX(tblBatidas[Projeto],MATCH(L668,tblBatidas[Batida ID],0)),"DIVERGÊNCIA DE PROJETO",IF(I668&lt;&gt;INDEX(tblBatidas[Atividade],MATCH(L668,tblBatidas[Batida ID],0)),"DIVERGÊNCIA DE ATIVIDADE",IF(OR(B668&lt;=INDEX(tblBatidas[Data e hora],MATCH(L668,tblBatidas[Batida ID],0)),(B668-INDEX(tblBatidas[Data e hora],MATCH(L668,tblBatidas[Batida ID],0)))*24&gt;16),"HORÁRIO INVÁLIDO","VINCULADO"))))))),"INÍCIO")</f>
        <v>INÍCIO</v>
      </c>
    </row>
    <row r="669" spans="1:13">
      <c r="A669" t="s">
        <v>1298</v>
      </c>
      <c r="B669" s="21">
        <v>46279.34165509259</v>
      </c>
      <c r="C669" s="2">
        <f t="shared" si="20"/>
        <v>46279</v>
      </c>
      <c r="D669" t="str">
        <f t="shared" si="21"/>
        <v>SEGUNDA-FEIRA</v>
      </c>
      <c r="E669">
        <v>1002</v>
      </c>
      <c r="F669" t="s">
        <v>45</v>
      </c>
      <c r="G669" t="s">
        <v>499</v>
      </c>
      <c r="H669" t="s">
        <v>80</v>
      </c>
      <c r="I669" t="s">
        <v>517</v>
      </c>
      <c r="K669" t="s">
        <v>501</v>
      </c>
      <c r="L669" s="9"/>
      <c r="M669" t="str">
        <f>IF(G669="FIM",IF(L669="","SEM VÍNCULO",IF(COUNTIF(tblBatidas[Batida ID],L669)=0,"VÍNCULO INVÁLIDO",IF(COUNTIF(tblBatidas[Início vinculado],L669)&gt;1,"VÍNCULO DUPLICADO",IF(E669&lt;&gt;INDEX(tblBatidas[ID],MATCH(L669,tblBatidas[Batida ID],0)),"DIVERGÊNCIA DE ID",IF(H669&lt;&gt;INDEX(tblBatidas[Projeto],MATCH(L669,tblBatidas[Batida ID],0)),"DIVERGÊNCIA DE PROJETO",IF(I669&lt;&gt;INDEX(tblBatidas[Atividade],MATCH(L669,tblBatidas[Batida ID],0)),"DIVERGÊNCIA DE ATIVIDADE",IF(OR(B669&lt;=INDEX(tblBatidas[Data e hora],MATCH(L669,tblBatidas[Batida ID],0)),(B669-INDEX(tblBatidas[Data e hora],MATCH(L669,tblBatidas[Batida ID],0)))*24&gt;16),"HORÁRIO INVÁLIDO","VINCULADO"))))))),"INÍCIO")</f>
        <v>INÍCIO</v>
      </c>
    </row>
    <row r="670" spans="1:13" hidden="1">
      <c r="A670" t="s">
        <v>1299</v>
      </c>
      <c r="B670" s="21">
        <v>46279.34337962963</v>
      </c>
      <c r="C670" s="2">
        <f t="shared" si="20"/>
        <v>46279</v>
      </c>
      <c r="D670" t="str">
        <f t="shared" si="21"/>
        <v>SEGUNDA-FEIRA</v>
      </c>
      <c r="E670">
        <v>1011</v>
      </c>
      <c r="F670" t="s">
        <v>54</v>
      </c>
      <c r="G670" t="s">
        <v>499</v>
      </c>
      <c r="H670" t="s">
        <v>76</v>
      </c>
      <c r="I670" t="s">
        <v>517</v>
      </c>
      <c r="K670" t="s">
        <v>501</v>
      </c>
      <c r="L670" s="9"/>
      <c r="M670" t="str">
        <f>IF(G670="FIM",IF(L670="","SEM VÍNCULO",IF(COUNTIF(tblBatidas[Batida ID],L670)=0,"VÍNCULO INVÁLIDO",IF(COUNTIF(tblBatidas[Início vinculado],L670)&gt;1,"VÍNCULO DUPLICADO",IF(E670&lt;&gt;INDEX(tblBatidas[ID],MATCH(L670,tblBatidas[Batida ID],0)),"DIVERGÊNCIA DE ID",IF(H670&lt;&gt;INDEX(tblBatidas[Projeto],MATCH(L670,tblBatidas[Batida ID],0)),"DIVERGÊNCIA DE PROJETO",IF(I670&lt;&gt;INDEX(tblBatidas[Atividade],MATCH(L670,tblBatidas[Batida ID],0)),"DIVERGÊNCIA DE ATIVIDADE",IF(OR(B670&lt;=INDEX(tblBatidas[Data e hora],MATCH(L670,tblBatidas[Batida ID],0)),(B670-INDEX(tblBatidas[Data e hora],MATCH(L670,tblBatidas[Batida ID],0)))*24&gt;16),"HORÁRIO INVÁLIDO","VINCULADO"))))))),"INÍCIO")</f>
        <v>INÍCIO</v>
      </c>
    </row>
    <row r="671" spans="1:13" hidden="1">
      <c r="A671" t="s">
        <v>1300</v>
      </c>
      <c r="B671" s="21">
        <v>46279.356631944444</v>
      </c>
      <c r="C671" s="2">
        <f t="shared" si="20"/>
        <v>46279</v>
      </c>
      <c r="D671" t="str">
        <f t="shared" si="21"/>
        <v>SEGUNDA-FEIRA</v>
      </c>
      <c r="E671">
        <v>1013</v>
      </c>
      <c r="F671" t="s">
        <v>57</v>
      </c>
      <c r="G671" t="s">
        <v>499</v>
      </c>
      <c r="H671" t="s">
        <v>80</v>
      </c>
      <c r="I671" t="s">
        <v>517</v>
      </c>
      <c r="K671" t="s">
        <v>501</v>
      </c>
      <c r="L671" s="9"/>
      <c r="M671" t="str">
        <f>IF(G671="FIM",IF(L671="","SEM VÍNCULO",IF(COUNTIF(tblBatidas[Batida ID],L671)=0,"VÍNCULO INVÁLIDO",IF(COUNTIF(tblBatidas[Início vinculado],L671)&gt;1,"VÍNCULO DUPLICADO",IF(E671&lt;&gt;INDEX(tblBatidas[ID],MATCH(L671,tblBatidas[Batida ID],0)),"DIVERGÊNCIA DE ID",IF(H671&lt;&gt;INDEX(tblBatidas[Projeto],MATCH(L671,tblBatidas[Batida ID],0)),"DIVERGÊNCIA DE PROJETO",IF(I671&lt;&gt;INDEX(tblBatidas[Atividade],MATCH(L671,tblBatidas[Batida ID],0)),"DIVERGÊNCIA DE ATIVIDADE",IF(OR(B671&lt;=INDEX(tblBatidas[Data e hora],MATCH(L671,tblBatidas[Batida ID],0)),(B671-INDEX(tblBatidas[Data e hora],MATCH(L671,tblBatidas[Batida ID],0)))*24&gt;16),"HORÁRIO INVÁLIDO","VINCULADO"))))))),"INÍCIO")</f>
        <v>INÍCIO</v>
      </c>
    </row>
    <row r="672" spans="1:13" hidden="1">
      <c r="A672" t="s">
        <v>1301</v>
      </c>
      <c r="B672" s="21">
        <v>46279.399305555555</v>
      </c>
      <c r="C672" s="2">
        <f t="shared" si="20"/>
        <v>46279</v>
      </c>
      <c r="D672" t="str">
        <f t="shared" si="21"/>
        <v>SEGUNDA-FEIRA</v>
      </c>
      <c r="E672">
        <v>1009</v>
      </c>
      <c r="F672" t="s">
        <v>52</v>
      </c>
      <c r="G672" t="s">
        <v>499</v>
      </c>
      <c r="H672" t="s">
        <v>88</v>
      </c>
      <c r="I672" t="s">
        <v>512</v>
      </c>
      <c r="K672" t="s">
        <v>501</v>
      </c>
      <c r="L672" s="9"/>
      <c r="M672" t="str">
        <f>IF(G672="FIM",IF(L672="","SEM VÍNCULO",IF(COUNTIF(tblBatidas[Batida ID],L672)=0,"VÍNCULO INVÁLIDO",IF(COUNTIF(tblBatidas[Início vinculado],L672)&gt;1,"VÍNCULO DUPLICADO",IF(E672&lt;&gt;INDEX(tblBatidas[ID],MATCH(L672,tblBatidas[Batida ID],0)),"DIVERGÊNCIA DE ID",IF(H672&lt;&gt;INDEX(tblBatidas[Projeto],MATCH(L672,tblBatidas[Batida ID],0)),"DIVERGÊNCIA DE PROJETO",IF(I672&lt;&gt;INDEX(tblBatidas[Atividade],MATCH(L672,tblBatidas[Batida ID],0)),"DIVERGÊNCIA DE ATIVIDADE",IF(OR(B672&lt;=INDEX(tblBatidas[Data e hora],MATCH(L672,tblBatidas[Batida ID],0)),(B672-INDEX(tblBatidas[Data e hora],MATCH(L672,tblBatidas[Batida ID],0)))*24&gt;16),"HORÁRIO INVÁLIDO","VINCULADO"))))))),"INÍCIO")</f>
        <v>INÍCIO</v>
      </c>
    </row>
    <row r="673" spans="1:13" hidden="1">
      <c r="A673" t="s">
        <v>1302</v>
      </c>
      <c r="B673" s="21">
        <v>46279.497581018521</v>
      </c>
      <c r="C673" s="2">
        <f t="shared" si="20"/>
        <v>46279</v>
      </c>
      <c r="D673" t="str">
        <f t="shared" si="21"/>
        <v>SEGUNDA-FEIRA</v>
      </c>
      <c r="E673">
        <v>1013</v>
      </c>
      <c r="F673" t="s">
        <v>57</v>
      </c>
      <c r="G673" t="s">
        <v>503</v>
      </c>
      <c r="H673" t="s">
        <v>80</v>
      </c>
      <c r="I673" t="s">
        <v>517</v>
      </c>
      <c r="K673" t="s">
        <v>501</v>
      </c>
      <c r="L673" s="9" t="s">
        <v>1300</v>
      </c>
      <c r="M673" t="str">
        <f>IF(G673="FIM",IF(L673="","SEM VÍNCULO",IF(COUNTIF(tblBatidas[Batida ID],L673)=0,"VÍNCULO INVÁLIDO",IF(COUNTIF(tblBatidas[Início vinculado],L673)&gt;1,"VÍNCULO DUPLICADO",IF(E673&lt;&gt;INDEX(tblBatidas[ID],MATCH(L673,tblBatidas[Batida ID],0)),"DIVERGÊNCIA DE ID",IF(H673&lt;&gt;INDEX(tblBatidas[Projeto],MATCH(L673,tblBatidas[Batida ID],0)),"DIVERGÊNCIA DE PROJETO",IF(I673&lt;&gt;INDEX(tblBatidas[Atividade],MATCH(L673,tblBatidas[Batida ID],0)),"DIVERGÊNCIA DE ATIVIDADE",IF(OR(B673&lt;=INDEX(tblBatidas[Data e hora],MATCH(L673,tblBatidas[Batida ID],0)),(B673-INDEX(tblBatidas[Data e hora],MATCH(L673,tblBatidas[Batida ID],0)))*24&gt;16),"HORÁRIO INVÁLIDO","VINCULADO"))))))),"INÍCIO")</f>
        <v>VINCULADO</v>
      </c>
    </row>
    <row r="674" spans="1:13" hidden="1">
      <c r="A674" t="s">
        <v>1303</v>
      </c>
      <c r="B674" s="21">
        <v>46279.499108796299</v>
      </c>
      <c r="C674" s="2">
        <f t="shared" si="20"/>
        <v>46279</v>
      </c>
      <c r="D674" t="str">
        <f t="shared" si="21"/>
        <v>SEGUNDA-FEIRA</v>
      </c>
      <c r="E674">
        <v>1011</v>
      </c>
      <c r="F674" t="s">
        <v>54</v>
      </c>
      <c r="G674" t="s">
        <v>503</v>
      </c>
      <c r="H674" t="s">
        <v>76</v>
      </c>
      <c r="I674" t="s">
        <v>517</v>
      </c>
      <c r="K674" t="s">
        <v>501</v>
      </c>
      <c r="L674" s="9" t="s">
        <v>1299</v>
      </c>
      <c r="M674" t="str">
        <f>IF(G674="FIM",IF(L674="","SEM VÍNCULO",IF(COUNTIF(tblBatidas[Batida ID],L674)=0,"VÍNCULO INVÁLIDO",IF(COUNTIF(tblBatidas[Início vinculado],L674)&gt;1,"VÍNCULO DUPLICADO",IF(E674&lt;&gt;INDEX(tblBatidas[ID],MATCH(L674,tblBatidas[Batida ID],0)),"DIVERGÊNCIA DE ID",IF(H674&lt;&gt;INDEX(tblBatidas[Projeto],MATCH(L674,tblBatidas[Batida ID],0)),"DIVERGÊNCIA DE PROJETO",IF(I674&lt;&gt;INDEX(tblBatidas[Atividade],MATCH(L674,tblBatidas[Batida ID],0)),"DIVERGÊNCIA DE ATIVIDADE",IF(OR(B674&lt;=INDEX(tblBatidas[Data e hora],MATCH(L674,tblBatidas[Batida ID],0)),(B674-INDEX(tblBatidas[Data e hora],MATCH(L674,tblBatidas[Batida ID],0)))*24&gt;16),"HORÁRIO INVÁLIDO","VINCULADO"))))))),"INÍCIO")</f>
        <v>VINCULADO</v>
      </c>
    </row>
    <row r="675" spans="1:13">
      <c r="A675" t="s">
        <v>1304</v>
      </c>
      <c r="B675" s="21">
        <v>46279.504791666666</v>
      </c>
      <c r="C675" s="2">
        <f t="shared" si="20"/>
        <v>46279</v>
      </c>
      <c r="D675" t="str">
        <f t="shared" si="21"/>
        <v>SEGUNDA-FEIRA</v>
      </c>
      <c r="E675">
        <v>1002</v>
      </c>
      <c r="F675" t="s">
        <v>45</v>
      </c>
      <c r="G675" t="s">
        <v>503</v>
      </c>
      <c r="H675" t="s">
        <v>80</v>
      </c>
      <c r="I675" t="s">
        <v>517</v>
      </c>
      <c r="K675" t="s">
        <v>501</v>
      </c>
      <c r="L675" s="9" t="s">
        <v>1298</v>
      </c>
      <c r="M675" t="str">
        <f>IF(G675="FIM",IF(L675="","SEM VÍNCULO",IF(COUNTIF(tblBatidas[Batida ID],L675)=0,"VÍNCULO INVÁLIDO",IF(COUNTIF(tblBatidas[Início vinculado],L675)&gt;1,"VÍNCULO DUPLICADO",IF(E675&lt;&gt;INDEX(tblBatidas[ID],MATCH(L675,tblBatidas[Batida ID],0)),"DIVERGÊNCIA DE ID",IF(H675&lt;&gt;INDEX(tblBatidas[Projeto],MATCH(L675,tblBatidas[Batida ID],0)),"DIVERGÊNCIA DE PROJETO",IF(I675&lt;&gt;INDEX(tblBatidas[Atividade],MATCH(L675,tblBatidas[Batida ID],0)),"DIVERGÊNCIA DE ATIVIDADE",IF(OR(B675&lt;=INDEX(tblBatidas[Data e hora],MATCH(L675,tblBatidas[Batida ID],0)),(B675-INDEX(tblBatidas[Data e hora],MATCH(L675,tblBatidas[Batida ID],0)))*24&gt;16),"HORÁRIO INVÁLIDO","VINCULADO"))))))),"INÍCIO")</f>
        <v>VINCULADO</v>
      </c>
    </row>
    <row r="676" spans="1:13" hidden="1">
      <c r="A676" t="s">
        <v>1305</v>
      </c>
      <c r="B676" s="21">
        <v>46279.532337962963</v>
      </c>
      <c r="C676" s="2">
        <f t="shared" si="20"/>
        <v>46279</v>
      </c>
      <c r="D676" t="str">
        <f t="shared" si="21"/>
        <v>SEGUNDA-FEIRA</v>
      </c>
      <c r="E676">
        <v>1003</v>
      </c>
      <c r="F676" t="s">
        <v>46</v>
      </c>
      <c r="G676" t="s">
        <v>503</v>
      </c>
      <c r="H676" t="s">
        <v>74</v>
      </c>
      <c r="I676" t="s">
        <v>517</v>
      </c>
      <c r="K676" t="s">
        <v>501</v>
      </c>
      <c r="L676" s="9"/>
      <c r="M676" t="str">
        <f>IF(G676="FIM",IF(L676="","SEM VÍNCULO",IF(COUNTIF(tblBatidas[Batida ID],L676)=0,"VÍNCULO INVÁLIDO",IF(COUNTIF(tblBatidas[Início vinculado],L676)&gt;1,"VÍNCULO DUPLICADO",IF(E676&lt;&gt;INDEX(tblBatidas[ID],MATCH(L676,tblBatidas[Batida ID],0)),"DIVERGÊNCIA DE ID",IF(H676&lt;&gt;INDEX(tblBatidas[Projeto],MATCH(L676,tblBatidas[Batida ID],0)),"DIVERGÊNCIA DE PROJETO",IF(I676&lt;&gt;INDEX(tblBatidas[Atividade],MATCH(L676,tblBatidas[Batida ID],0)),"DIVERGÊNCIA DE ATIVIDADE",IF(OR(B676&lt;=INDEX(tblBatidas[Data e hora],MATCH(L676,tblBatidas[Batida ID],0)),(B676-INDEX(tblBatidas[Data e hora],MATCH(L676,tblBatidas[Batida ID],0)))*24&gt;16),"HORÁRIO INVÁLIDO","VINCULADO"))))))),"INÍCIO")</f>
        <v>SEM VÍNCULO</v>
      </c>
    </row>
    <row r="677" spans="1:13" hidden="1">
      <c r="A677" t="s">
        <v>1306</v>
      </c>
      <c r="B677" s="21">
        <v>46279.534039351849</v>
      </c>
      <c r="C677" s="2">
        <f t="shared" si="20"/>
        <v>46279</v>
      </c>
      <c r="D677" t="str">
        <f t="shared" si="21"/>
        <v>SEGUNDA-FEIRA</v>
      </c>
      <c r="E677">
        <v>1013</v>
      </c>
      <c r="F677" t="s">
        <v>57</v>
      </c>
      <c r="G677" t="s">
        <v>499</v>
      </c>
      <c r="H677" t="s">
        <v>80</v>
      </c>
      <c r="I677" t="s">
        <v>517</v>
      </c>
      <c r="K677" t="s">
        <v>501</v>
      </c>
      <c r="L677" s="9"/>
      <c r="M677" t="str">
        <f>IF(G677="FIM",IF(L677="","SEM VÍNCULO",IF(COUNTIF(tblBatidas[Batida ID],L677)=0,"VÍNCULO INVÁLIDO",IF(COUNTIF(tblBatidas[Início vinculado],L677)&gt;1,"VÍNCULO DUPLICADO",IF(E677&lt;&gt;INDEX(tblBatidas[ID],MATCH(L677,tblBatidas[Batida ID],0)),"DIVERGÊNCIA DE ID",IF(H677&lt;&gt;INDEX(tblBatidas[Projeto],MATCH(L677,tblBatidas[Batida ID],0)),"DIVERGÊNCIA DE PROJETO",IF(I677&lt;&gt;INDEX(tblBatidas[Atividade],MATCH(L677,tblBatidas[Batida ID],0)),"DIVERGÊNCIA DE ATIVIDADE",IF(OR(B677&lt;=INDEX(tblBatidas[Data e hora],MATCH(L677,tblBatidas[Batida ID],0)),(B677-INDEX(tblBatidas[Data e hora],MATCH(L677,tblBatidas[Batida ID],0)))*24&gt;16),"HORÁRIO INVÁLIDO","VINCULADO"))))))),"INÍCIO")</f>
        <v>INÍCIO</v>
      </c>
    </row>
    <row r="678" spans="1:13" hidden="1">
      <c r="A678" t="s">
        <v>1307</v>
      </c>
      <c r="B678" s="21">
        <v>46279.536469907405</v>
      </c>
      <c r="C678" s="2">
        <f t="shared" si="20"/>
        <v>46279</v>
      </c>
      <c r="D678" t="str">
        <f t="shared" si="21"/>
        <v>SEGUNDA-FEIRA</v>
      </c>
      <c r="E678">
        <v>1011</v>
      </c>
      <c r="F678" t="s">
        <v>54</v>
      </c>
      <c r="G678" t="s">
        <v>499</v>
      </c>
      <c r="H678" t="s">
        <v>76</v>
      </c>
      <c r="I678" t="s">
        <v>517</v>
      </c>
      <c r="K678" t="s">
        <v>501</v>
      </c>
      <c r="L678" s="9"/>
      <c r="M678" t="str">
        <f>IF(G678="FIM",IF(L678="","SEM VÍNCULO",IF(COUNTIF(tblBatidas[Batida ID],L678)=0,"VÍNCULO INVÁLIDO",IF(COUNTIF(tblBatidas[Início vinculado],L678)&gt;1,"VÍNCULO DUPLICADO",IF(E678&lt;&gt;INDEX(tblBatidas[ID],MATCH(L678,tblBatidas[Batida ID],0)),"DIVERGÊNCIA DE ID",IF(H678&lt;&gt;INDEX(tblBatidas[Projeto],MATCH(L678,tblBatidas[Batida ID],0)),"DIVERGÊNCIA DE PROJETO",IF(I678&lt;&gt;INDEX(tblBatidas[Atividade],MATCH(L678,tblBatidas[Batida ID],0)),"DIVERGÊNCIA DE ATIVIDADE",IF(OR(B678&lt;=INDEX(tblBatidas[Data e hora],MATCH(L678,tblBatidas[Batida ID],0)),(B678-INDEX(tblBatidas[Data e hora],MATCH(L678,tblBatidas[Batida ID],0)))*24&gt;16),"HORÁRIO INVÁLIDO","VINCULADO"))))))),"INÍCIO")</f>
        <v>INÍCIO</v>
      </c>
    </row>
    <row r="679" spans="1:13">
      <c r="A679" t="s">
        <v>1308</v>
      </c>
      <c r="B679" s="21">
        <v>46279.545578703706</v>
      </c>
      <c r="C679" s="2">
        <f t="shared" si="20"/>
        <v>46279</v>
      </c>
      <c r="D679" t="str">
        <f t="shared" si="21"/>
        <v>SEGUNDA-FEIRA</v>
      </c>
      <c r="E679">
        <v>1002</v>
      </c>
      <c r="F679" t="s">
        <v>45</v>
      </c>
      <c r="G679" t="s">
        <v>499</v>
      </c>
      <c r="H679" t="s">
        <v>80</v>
      </c>
      <c r="I679" t="s">
        <v>517</v>
      </c>
      <c r="K679" t="s">
        <v>501</v>
      </c>
      <c r="L679" s="9"/>
      <c r="M679" t="str">
        <f>IF(G679="FIM",IF(L679="","SEM VÍNCULO",IF(COUNTIF(tblBatidas[Batida ID],L679)=0,"VÍNCULO INVÁLIDO",IF(COUNTIF(tblBatidas[Início vinculado],L679)&gt;1,"VÍNCULO DUPLICADO",IF(E679&lt;&gt;INDEX(tblBatidas[ID],MATCH(L679,tblBatidas[Batida ID],0)),"DIVERGÊNCIA DE ID",IF(H679&lt;&gt;INDEX(tblBatidas[Projeto],MATCH(L679,tblBatidas[Batida ID],0)),"DIVERGÊNCIA DE PROJETO",IF(I679&lt;&gt;INDEX(tblBatidas[Atividade],MATCH(L679,tblBatidas[Batida ID],0)),"DIVERGÊNCIA DE ATIVIDADE",IF(OR(B679&lt;=INDEX(tblBatidas[Data e hora],MATCH(L679,tblBatidas[Batida ID],0)),(B679-INDEX(tblBatidas[Data e hora],MATCH(L679,tblBatidas[Batida ID],0)))*24&gt;16),"HORÁRIO INVÁLIDO","VINCULADO"))))))),"INÍCIO")</f>
        <v>INÍCIO</v>
      </c>
    </row>
    <row r="680" spans="1:13" hidden="1">
      <c r="A680" t="s">
        <v>1309</v>
      </c>
      <c r="B680" s="21">
        <v>46279.579467592594</v>
      </c>
      <c r="C680" s="2">
        <f t="shared" si="20"/>
        <v>46279</v>
      </c>
      <c r="D680" t="str">
        <f t="shared" si="21"/>
        <v>SEGUNDA-FEIRA</v>
      </c>
      <c r="E680">
        <v>1003</v>
      </c>
      <c r="F680" t="s">
        <v>46</v>
      </c>
      <c r="G680" t="s">
        <v>499</v>
      </c>
      <c r="H680" t="s">
        <v>74</v>
      </c>
      <c r="I680" t="s">
        <v>517</v>
      </c>
      <c r="K680" t="s">
        <v>501</v>
      </c>
      <c r="L680" s="9"/>
      <c r="M680" t="str">
        <f>IF(G680="FIM",IF(L680="","SEM VÍNCULO",IF(COUNTIF(tblBatidas[Batida ID],L680)=0,"VÍNCULO INVÁLIDO",IF(COUNTIF(tblBatidas[Início vinculado],L680)&gt;1,"VÍNCULO DUPLICADO",IF(E680&lt;&gt;INDEX(tblBatidas[ID],MATCH(L680,tblBatidas[Batida ID],0)),"DIVERGÊNCIA DE ID",IF(H680&lt;&gt;INDEX(tblBatidas[Projeto],MATCH(L680,tblBatidas[Batida ID],0)),"DIVERGÊNCIA DE PROJETO",IF(I680&lt;&gt;INDEX(tblBatidas[Atividade],MATCH(L680,tblBatidas[Batida ID],0)),"DIVERGÊNCIA DE ATIVIDADE",IF(OR(B680&lt;=INDEX(tblBatidas[Data e hora],MATCH(L680,tblBatidas[Batida ID],0)),(B680-INDEX(tblBatidas[Data e hora],MATCH(L680,tblBatidas[Batida ID],0)))*24&gt;16),"HORÁRIO INVÁLIDO","VINCULADO"))))))),"INÍCIO")</f>
        <v>INÍCIO</v>
      </c>
    </row>
    <row r="681" spans="1:13">
      <c r="A681" t="s">
        <v>1310</v>
      </c>
      <c r="B681" s="21">
        <v>46279.746469907404</v>
      </c>
      <c r="C681" s="2">
        <f t="shared" si="20"/>
        <v>46279</v>
      </c>
      <c r="D681" t="str">
        <f t="shared" si="21"/>
        <v>SEGUNDA-FEIRA</v>
      </c>
      <c r="E681">
        <v>1002</v>
      </c>
      <c r="F681" t="s">
        <v>45</v>
      </c>
      <c r="G681" t="s">
        <v>503</v>
      </c>
      <c r="H681" t="s">
        <v>80</v>
      </c>
      <c r="I681" t="s">
        <v>517</v>
      </c>
      <c r="K681" t="s">
        <v>501</v>
      </c>
      <c r="L681" s="9" t="s">
        <v>1308</v>
      </c>
      <c r="M681" t="str">
        <f>IF(G681="FIM",IF(L681="","SEM VÍNCULO",IF(COUNTIF(tblBatidas[Batida ID],L681)=0,"VÍNCULO INVÁLIDO",IF(COUNTIF(tblBatidas[Início vinculado],L681)&gt;1,"VÍNCULO DUPLICADO",IF(E681&lt;&gt;INDEX(tblBatidas[ID],MATCH(L681,tblBatidas[Batida ID],0)),"DIVERGÊNCIA DE ID",IF(H681&lt;&gt;INDEX(tblBatidas[Projeto],MATCH(L681,tblBatidas[Batida ID],0)),"DIVERGÊNCIA DE PROJETO",IF(I681&lt;&gt;INDEX(tblBatidas[Atividade],MATCH(L681,tblBatidas[Batida ID],0)),"DIVERGÊNCIA DE ATIVIDADE",IF(OR(B681&lt;=INDEX(tblBatidas[Data e hora],MATCH(L681,tblBatidas[Batida ID],0)),(B681-INDEX(tblBatidas[Data e hora],MATCH(L681,tblBatidas[Batida ID],0)))*24&gt;16),"HORÁRIO INVÁLIDO","VINCULADO"))))))),"INÍCIO")</f>
        <v>VINCULADO</v>
      </c>
    </row>
    <row r="682" spans="1:13">
      <c r="A682" t="s">
        <v>1311</v>
      </c>
      <c r="B682" s="21">
        <v>46279.746759259258</v>
      </c>
      <c r="C682" s="2">
        <f t="shared" si="20"/>
        <v>46279</v>
      </c>
      <c r="D682" t="str">
        <f t="shared" si="21"/>
        <v>SEGUNDA-FEIRA</v>
      </c>
      <c r="E682">
        <v>1002</v>
      </c>
      <c r="F682" t="s">
        <v>45</v>
      </c>
      <c r="G682" t="s">
        <v>503</v>
      </c>
      <c r="H682" t="s">
        <v>80</v>
      </c>
      <c r="I682" t="s">
        <v>517</v>
      </c>
      <c r="K682" t="s">
        <v>501</v>
      </c>
      <c r="L682" s="9"/>
      <c r="M682" t="str">
        <f>IF(G682="FIM",IF(L682="","SEM VÍNCULO",IF(COUNTIF(tblBatidas[Batida ID],L682)=0,"VÍNCULO INVÁLIDO",IF(COUNTIF(tblBatidas[Início vinculado],L682)&gt;1,"VÍNCULO DUPLICADO",IF(E682&lt;&gt;INDEX(tblBatidas[ID],MATCH(L682,tblBatidas[Batida ID],0)),"DIVERGÊNCIA DE ID",IF(H682&lt;&gt;INDEX(tblBatidas[Projeto],MATCH(L682,tblBatidas[Batida ID],0)),"DIVERGÊNCIA DE PROJETO",IF(I682&lt;&gt;INDEX(tblBatidas[Atividade],MATCH(L682,tblBatidas[Batida ID],0)),"DIVERGÊNCIA DE ATIVIDADE",IF(OR(B682&lt;=INDEX(tblBatidas[Data e hora],MATCH(L682,tblBatidas[Batida ID],0)),(B682-INDEX(tblBatidas[Data e hora],MATCH(L682,tblBatidas[Batida ID],0)))*24&gt;16),"HORÁRIO INVÁLIDO","VINCULADO"))))))),"INÍCIO")</f>
        <v>SEM VÍNCULO</v>
      </c>
    </row>
    <row r="683" spans="1:13" hidden="1">
      <c r="A683" t="s">
        <v>1312</v>
      </c>
      <c r="B683" s="21">
        <v>46279.749826388892</v>
      </c>
      <c r="C683" s="2">
        <f t="shared" si="20"/>
        <v>46279</v>
      </c>
      <c r="D683" t="str">
        <f t="shared" si="21"/>
        <v>SEGUNDA-FEIRA</v>
      </c>
      <c r="E683">
        <v>1013</v>
      </c>
      <c r="F683" t="s">
        <v>57</v>
      </c>
      <c r="G683" t="s">
        <v>503</v>
      </c>
      <c r="H683" t="s">
        <v>80</v>
      </c>
      <c r="I683" t="s">
        <v>517</v>
      </c>
      <c r="K683" t="s">
        <v>501</v>
      </c>
      <c r="L683" s="9" t="s">
        <v>1306</v>
      </c>
      <c r="M683" t="str">
        <f>IF(G683="FIM",IF(L683="","SEM VÍNCULO",IF(COUNTIF(tblBatidas[Batida ID],L683)=0,"VÍNCULO INVÁLIDO",IF(COUNTIF(tblBatidas[Início vinculado],L683)&gt;1,"VÍNCULO DUPLICADO",IF(E683&lt;&gt;INDEX(tblBatidas[ID],MATCH(L683,tblBatidas[Batida ID],0)),"DIVERGÊNCIA DE ID",IF(H683&lt;&gt;INDEX(tblBatidas[Projeto],MATCH(L683,tblBatidas[Batida ID],0)),"DIVERGÊNCIA DE PROJETO",IF(I683&lt;&gt;INDEX(tblBatidas[Atividade],MATCH(L683,tblBatidas[Batida ID],0)),"DIVERGÊNCIA DE ATIVIDADE",IF(OR(B683&lt;=INDEX(tblBatidas[Data e hora],MATCH(L683,tblBatidas[Batida ID],0)),(B683-INDEX(tblBatidas[Data e hora],MATCH(L683,tblBatidas[Batida ID],0)))*24&gt;16),"HORÁRIO INVÁLIDO","VINCULADO"))))))),"INÍCIO")</f>
        <v>VINCULADO</v>
      </c>
    </row>
    <row r="684" spans="1:13" hidden="1">
      <c r="A684" t="s">
        <v>1313</v>
      </c>
      <c r="B684" s="21">
        <v>46279.752175925925</v>
      </c>
      <c r="C684" s="2">
        <f t="shared" si="20"/>
        <v>46279</v>
      </c>
      <c r="D684" t="str">
        <f t="shared" si="21"/>
        <v>SEGUNDA-FEIRA</v>
      </c>
      <c r="E684">
        <v>1011</v>
      </c>
      <c r="F684" t="s">
        <v>54</v>
      </c>
      <c r="G684" t="s">
        <v>503</v>
      </c>
      <c r="H684" t="s">
        <v>76</v>
      </c>
      <c r="I684" t="s">
        <v>517</v>
      </c>
      <c r="K684" t="s">
        <v>501</v>
      </c>
      <c r="L684" s="9" t="s">
        <v>1307</v>
      </c>
      <c r="M684" t="str">
        <f>IF(G684="FIM",IF(L684="","SEM VÍNCULO",IF(COUNTIF(tblBatidas[Batida ID],L684)=0,"VÍNCULO INVÁLIDO",IF(COUNTIF(tblBatidas[Início vinculado],L684)&gt;1,"VÍNCULO DUPLICADO",IF(E684&lt;&gt;INDEX(tblBatidas[ID],MATCH(L684,tblBatidas[Batida ID],0)),"DIVERGÊNCIA DE ID",IF(H684&lt;&gt;INDEX(tblBatidas[Projeto],MATCH(L684,tblBatidas[Batida ID],0)),"DIVERGÊNCIA DE PROJETO",IF(I684&lt;&gt;INDEX(tblBatidas[Atividade],MATCH(L684,tblBatidas[Batida ID],0)),"DIVERGÊNCIA DE ATIVIDADE",IF(OR(B684&lt;=INDEX(tblBatidas[Data e hora],MATCH(L684,tblBatidas[Batida ID],0)),(B684-INDEX(tblBatidas[Data e hora],MATCH(L684,tblBatidas[Batida ID],0)))*24&gt;16),"HORÁRIO INVÁLIDO","VINCULADO"))))))),"INÍCIO")</f>
        <v>VINCULADO</v>
      </c>
    </row>
    <row r="685" spans="1:13" hidden="1">
      <c r="A685" t="s">
        <v>1314</v>
      </c>
      <c r="B685" s="21">
        <v>46279.774375000001</v>
      </c>
      <c r="C685" s="2">
        <f t="shared" si="20"/>
        <v>46279</v>
      </c>
      <c r="D685" t="str">
        <f t="shared" si="21"/>
        <v>SEGUNDA-FEIRA</v>
      </c>
      <c r="E685">
        <v>1003</v>
      </c>
      <c r="F685" t="s">
        <v>46</v>
      </c>
      <c r="G685" t="s">
        <v>503</v>
      </c>
      <c r="H685" t="s">
        <v>74</v>
      </c>
      <c r="I685" t="s">
        <v>517</v>
      </c>
      <c r="K685" t="s">
        <v>501</v>
      </c>
      <c r="L685" s="9" t="s">
        <v>1309</v>
      </c>
      <c r="M685" t="str">
        <f>IF(G685="FIM",IF(L685="","SEM VÍNCULO",IF(COUNTIF(tblBatidas[Batida ID],L685)=0,"VÍNCULO INVÁLIDO",IF(COUNTIF(tblBatidas[Início vinculado],L685)&gt;1,"VÍNCULO DUPLICADO",IF(E685&lt;&gt;INDEX(tblBatidas[ID],MATCH(L685,tblBatidas[Batida ID],0)),"DIVERGÊNCIA DE ID",IF(H685&lt;&gt;INDEX(tblBatidas[Projeto],MATCH(L685,tblBatidas[Batida ID],0)),"DIVERGÊNCIA DE PROJETO",IF(I685&lt;&gt;INDEX(tblBatidas[Atividade],MATCH(L685,tblBatidas[Batida ID],0)),"DIVERGÊNCIA DE ATIVIDADE",IF(OR(B685&lt;=INDEX(tblBatidas[Data e hora],MATCH(L685,tblBatidas[Batida ID],0)),(B685-INDEX(tblBatidas[Data e hora],MATCH(L685,tblBatidas[Batida ID],0)))*24&gt;16),"HORÁRIO INVÁLIDO","VINCULADO"))))))),"INÍCIO")</f>
        <v>VINCULADO</v>
      </c>
    </row>
    <row r="686" spans="1:13">
      <c r="A686" t="s">
        <v>1315</v>
      </c>
      <c r="B686" s="21">
        <v>46280.328553240739</v>
      </c>
      <c r="C686" s="2">
        <f t="shared" si="20"/>
        <v>46280</v>
      </c>
      <c r="D686" t="str">
        <f t="shared" si="21"/>
        <v>TERÇA-FEIRA</v>
      </c>
      <c r="E686">
        <v>1002</v>
      </c>
      <c r="F686" t="s">
        <v>45</v>
      </c>
      <c r="G686" t="s">
        <v>499</v>
      </c>
      <c r="H686" t="s">
        <v>80</v>
      </c>
      <c r="I686" t="s">
        <v>517</v>
      </c>
      <c r="K686" t="s">
        <v>501</v>
      </c>
      <c r="L686" s="9"/>
      <c r="M686" t="str">
        <f>IF(G686="FIM",IF(L686="","SEM VÍNCULO",IF(COUNTIF(tblBatidas[Batida ID],L686)=0,"VÍNCULO INVÁLIDO",IF(COUNTIF(tblBatidas[Início vinculado],L686)&gt;1,"VÍNCULO DUPLICADO",IF(E686&lt;&gt;INDEX(tblBatidas[ID],MATCH(L686,tblBatidas[Batida ID],0)),"DIVERGÊNCIA DE ID",IF(H686&lt;&gt;INDEX(tblBatidas[Projeto],MATCH(L686,tblBatidas[Batida ID],0)),"DIVERGÊNCIA DE PROJETO",IF(I686&lt;&gt;INDEX(tblBatidas[Atividade],MATCH(L686,tblBatidas[Batida ID],0)),"DIVERGÊNCIA DE ATIVIDADE",IF(OR(B686&lt;=INDEX(tblBatidas[Data e hora],MATCH(L686,tblBatidas[Batida ID],0)),(B686-INDEX(tblBatidas[Data e hora],MATCH(L686,tblBatidas[Batida ID],0)))*24&gt;16),"HORÁRIO INVÁLIDO","VINCULADO"))))))),"INÍCIO")</f>
        <v>INÍCIO</v>
      </c>
    </row>
    <row r="687" spans="1:13" hidden="1">
      <c r="A687" t="s">
        <v>1316</v>
      </c>
      <c r="B687" s="21">
        <v>46280.339270833334</v>
      </c>
      <c r="C687" s="2">
        <f t="shared" si="20"/>
        <v>46280</v>
      </c>
      <c r="D687" t="str">
        <f t="shared" si="21"/>
        <v>TERÇA-FEIRA</v>
      </c>
      <c r="E687">
        <v>1003</v>
      </c>
      <c r="F687" t="s">
        <v>46</v>
      </c>
      <c r="G687" t="s">
        <v>499</v>
      </c>
      <c r="H687" t="s">
        <v>80</v>
      </c>
      <c r="I687" t="s">
        <v>517</v>
      </c>
      <c r="K687" t="s">
        <v>501</v>
      </c>
      <c r="L687" s="9"/>
      <c r="M687" t="str">
        <f>IF(G687="FIM",IF(L687="","SEM VÍNCULO",IF(COUNTIF(tblBatidas[Batida ID],L687)=0,"VÍNCULO INVÁLIDO",IF(COUNTIF(tblBatidas[Início vinculado],L687)&gt;1,"VÍNCULO DUPLICADO",IF(E687&lt;&gt;INDEX(tblBatidas[ID],MATCH(L687,tblBatidas[Batida ID],0)),"DIVERGÊNCIA DE ID",IF(H687&lt;&gt;INDEX(tblBatidas[Projeto],MATCH(L687,tblBatidas[Batida ID],0)),"DIVERGÊNCIA DE PROJETO",IF(I687&lt;&gt;INDEX(tblBatidas[Atividade],MATCH(L687,tblBatidas[Batida ID],0)),"DIVERGÊNCIA DE ATIVIDADE",IF(OR(B687&lt;=INDEX(tblBatidas[Data e hora],MATCH(L687,tblBatidas[Batida ID],0)),(B687-INDEX(tblBatidas[Data e hora],MATCH(L687,tblBatidas[Batida ID],0)))*24&gt;16),"HORÁRIO INVÁLIDO","VINCULADO"))))))),"INÍCIO")</f>
        <v>INÍCIO</v>
      </c>
    </row>
    <row r="688" spans="1:13" hidden="1">
      <c r="A688" t="s">
        <v>1317</v>
      </c>
      <c r="B688" s="21">
        <v>46280.340613425928</v>
      </c>
      <c r="C688" s="2">
        <f t="shared" si="20"/>
        <v>46280</v>
      </c>
      <c r="D688" t="str">
        <f t="shared" si="21"/>
        <v>TERÇA-FEIRA</v>
      </c>
      <c r="E688">
        <v>1011</v>
      </c>
      <c r="F688" t="s">
        <v>54</v>
      </c>
      <c r="G688" t="s">
        <v>499</v>
      </c>
      <c r="H688" t="s">
        <v>74</v>
      </c>
      <c r="I688" t="s">
        <v>517</v>
      </c>
      <c r="K688" t="s">
        <v>501</v>
      </c>
      <c r="L688" s="9"/>
      <c r="M688" t="str">
        <f>IF(G688="FIM",IF(L688="","SEM VÍNCULO",IF(COUNTIF(tblBatidas[Batida ID],L688)=0,"VÍNCULO INVÁLIDO",IF(COUNTIF(tblBatidas[Início vinculado],L688)&gt;1,"VÍNCULO DUPLICADO",IF(E688&lt;&gt;INDEX(tblBatidas[ID],MATCH(L688,tblBatidas[Batida ID],0)),"DIVERGÊNCIA DE ID",IF(H688&lt;&gt;INDEX(tblBatidas[Projeto],MATCH(L688,tblBatidas[Batida ID],0)),"DIVERGÊNCIA DE PROJETO",IF(I688&lt;&gt;INDEX(tblBatidas[Atividade],MATCH(L688,tblBatidas[Batida ID],0)),"DIVERGÊNCIA DE ATIVIDADE",IF(OR(B688&lt;=INDEX(tblBatidas[Data e hora],MATCH(L688,tblBatidas[Batida ID],0)),(B688-INDEX(tblBatidas[Data e hora],MATCH(L688,tblBatidas[Batida ID],0)))*24&gt;16),"HORÁRIO INVÁLIDO","VINCULADO"))))))),"INÍCIO")</f>
        <v>INÍCIO</v>
      </c>
    </row>
    <row r="689" spans="1:13" hidden="1">
      <c r="A689" t="s">
        <v>1318</v>
      </c>
      <c r="B689" s="21">
        <v>46280.378252314818</v>
      </c>
      <c r="C689" s="2">
        <f t="shared" si="20"/>
        <v>46280</v>
      </c>
      <c r="D689" t="str">
        <f t="shared" si="21"/>
        <v>TERÇA-FEIRA</v>
      </c>
      <c r="E689">
        <v>1013</v>
      </c>
      <c r="F689" t="s">
        <v>57</v>
      </c>
      <c r="G689" t="s">
        <v>499</v>
      </c>
      <c r="H689" t="s">
        <v>74</v>
      </c>
      <c r="I689" t="s">
        <v>517</v>
      </c>
      <c r="K689" t="s">
        <v>501</v>
      </c>
      <c r="L689" s="9"/>
      <c r="M689" t="str">
        <f>IF(G689="FIM",IF(L689="","SEM VÍNCULO",IF(COUNTIF(tblBatidas[Batida ID],L689)=0,"VÍNCULO INVÁLIDO",IF(COUNTIF(tblBatidas[Início vinculado],L689)&gt;1,"VÍNCULO DUPLICADO",IF(E689&lt;&gt;INDEX(tblBatidas[ID],MATCH(L689,tblBatidas[Batida ID],0)),"DIVERGÊNCIA DE ID",IF(H689&lt;&gt;INDEX(tblBatidas[Projeto],MATCH(L689,tblBatidas[Batida ID],0)),"DIVERGÊNCIA DE PROJETO",IF(I689&lt;&gt;INDEX(tblBatidas[Atividade],MATCH(L689,tblBatidas[Batida ID],0)),"DIVERGÊNCIA DE ATIVIDADE",IF(OR(B689&lt;=INDEX(tblBatidas[Data e hora],MATCH(L689,tblBatidas[Batida ID],0)),(B689-INDEX(tblBatidas[Data e hora],MATCH(L689,tblBatidas[Batida ID],0)))*24&gt;16),"HORÁRIO INVÁLIDO","VINCULADO"))))))),"INÍCIO")</f>
        <v>INÍCIO</v>
      </c>
    </row>
    <row r="690" spans="1:13" hidden="1">
      <c r="A690" t="s">
        <v>1319</v>
      </c>
      <c r="B690" s="21">
        <v>46280.493946759256</v>
      </c>
      <c r="C690" s="2">
        <f t="shared" si="20"/>
        <v>46280</v>
      </c>
      <c r="D690" t="str">
        <f t="shared" si="21"/>
        <v>TERÇA-FEIRA</v>
      </c>
      <c r="E690">
        <v>1013</v>
      </c>
      <c r="F690" t="s">
        <v>57</v>
      </c>
      <c r="G690" t="s">
        <v>499</v>
      </c>
      <c r="H690" t="s">
        <v>74</v>
      </c>
      <c r="I690" t="s">
        <v>517</v>
      </c>
      <c r="K690" t="s">
        <v>501</v>
      </c>
      <c r="L690" s="9"/>
      <c r="M690" t="str">
        <f>IF(G690="FIM",IF(L690="","SEM VÍNCULO",IF(COUNTIF(tblBatidas[Batida ID],L690)=0,"VÍNCULO INVÁLIDO",IF(COUNTIF(tblBatidas[Início vinculado],L690)&gt;1,"VÍNCULO DUPLICADO",IF(E690&lt;&gt;INDEX(tblBatidas[ID],MATCH(L690,tblBatidas[Batida ID],0)),"DIVERGÊNCIA DE ID",IF(H690&lt;&gt;INDEX(tblBatidas[Projeto],MATCH(L690,tblBatidas[Batida ID],0)),"DIVERGÊNCIA DE PROJETO",IF(I690&lt;&gt;INDEX(tblBatidas[Atividade],MATCH(L690,tblBatidas[Batida ID],0)),"DIVERGÊNCIA DE ATIVIDADE",IF(OR(B690&lt;=INDEX(tblBatidas[Data e hora],MATCH(L690,tblBatidas[Batida ID],0)),(B690-INDEX(tblBatidas[Data e hora],MATCH(L690,tblBatidas[Batida ID],0)))*24&gt;16),"HORÁRIO INVÁLIDO","VINCULADO"))))))),"INÍCIO")</f>
        <v>INÍCIO</v>
      </c>
    </row>
    <row r="691" spans="1:13">
      <c r="A691" t="s">
        <v>1320</v>
      </c>
      <c r="B691" s="21">
        <v>46280.503194444442</v>
      </c>
      <c r="C691" s="2">
        <f t="shared" si="20"/>
        <v>46280</v>
      </c>
      <c r="D691" t="str">
        <f t="shared" si="21"/>
        <v>TERÇA-FEIRA</v>
      </c>
      <c r="E691">
        <v>1002</v>
      </c>
      <c r="F691" t="s">
        <v>45</v>
      </c>
      <c r="G691" t="s">
        <v>503</v>
      </c>
      <c r="H691" t="s">
        <v>80</v>
      </c>
      <c r="I691" t="s">
        <v>517</v>
      </c>
      <c r="K691" t="s">
        <v>501</v>
      </c>
      <c r="L691" s="9" t="s">
        <v>1315</v>
      </c>
      <c r="M691" t="str">
        <f>IF(G691="FIM",IF(L691="","SEM VÍNCULO",IF(COUNTIF(tblBatidas[Batida ID],L691)=0,"VÍNCULO INVÁLIDO",IF(COUNTIF(tblBatidas[Início vinculado],L691)&gt;1,"VÍNCULO DUPLICADO",IF(E691&lt;&gt;INDEX(tblBatidas[ID],MATCH(L691,tblBatidas[Batida ID],0)),"DIVERGÊNCIA DE ID",IF(H691&lt;&gt;INDEX(tblBatidas[Projeto],MATCH(L691,tblBatidas[Batida ID],0)),"DIVERGÊNCIA DE PROJETO",IF(I691&lt;&gt;INDEX(tblBatidas[Atividade],MATCH(L691,tblBatidas[Batida ID],0)),"DIVERGÊNCIA DE ATIVIDADE",IF(OR(B691&lt;=INDEX(tblBatidas[Data e hora],MATCH(L691,tblBatidas[Batida ID],0)),(B691-INDEX(tblBatidas[Data e hora],MATCH(L691,tblBatidas[Batida ID],0)))*24&gt;16),"HORÁRIO INVÁLIDO","VINCULADO"))))))),"INÍCIO")</f>
        <v>VINCULADO</v>
      </c>
    </row>
    <row r="692" spans="1:13" hidden="1">
      <c r="A692" t="s">
        <v>1321</v>
      </c>
      <c r="B692" s="21">
        <v>46280.512638888889</v>
      </c>
      <c r="C692" s="2">
        <f t="shared" si="20"/>
        <v>46280</v>
      </c>
      <c r="D692" t="str">
        <f t="shared" si="21"/>
        <v>TERÇA-FEIRA</v>
      </c>
      <c r="E692">
        <v>1011</v>
      </c>
      <c r="F692" t="s">
        <v>54</v>
      </c>
      <c r="G692" t="s">
        <v>503</v>
      </c>
      <c r="H692" t="s">
        <v>74</v>
      </c>
      <c r="I692" t="s">
        <v>517</v>
      </c>
      <c r="K692" t="s">
        <v>501</v>
      </c>
      <c r="L692" s="9" t="s">
        <v>1317</v>
      </c>
      <c r="M692" t="str">
        <f>IF(G692="FIM",IF(L692="","SEM VÍNCULO",IF(COUNTIF(tblBatidas[Batida ID],L692)=0,"VÍNCULO INVÁLIDO",IF(COUNTIF(tblBatidas[Início vinculado],L692)&gt;1,"VÍNCULO DUPLICADO",IF(E692&lt;&gt;INDEX(tblBatidas[ID],MATCH(L692,tblBatidas[Batida ID],0)),"DIVERGÊNCIA DE ID",IF(H692&lt;&gt;INDEX(tblBatidas[Projeto],MATCH(L692,tblBatidas[Batida ID],0)),"DIVERGÊNCIA DE PROJETO",IF(I692&lt;&gt;INDEX(tblBatidas[Atividade],MATCH(L692,tblBatidas[Batida ID],0)),"DIVERGÊNCIA DE ATIVIDADE",IF(OR(B692&lt;=INDEX(tblBatidas[Data e hora],MATCH(L692,tblBatidas[Batida ID],0)),(B692-INDEX(tblBatidas[Data e hora],MATCH(L692,tblBatidas[Batida ID],0)))*24&gt;16),"HORÁRIO INVÁLIDO","VINCULADO"))))))),"INÍCIO")</f>
        <v>VINCULADO</v>
      </c>
    </row>
    <row r="693" spans="1:13" hidden="1">
      <c r="A693" t="s">
        <v>1322</v>
      </c>
      <c r="B693" s="21">
        <v>46280.522719907407</v>
      </c>
      <c r="C693" s="2">
        <f t="shared" si="20"/>
        <v>46280</v>
      </c>
      <c r="D693" t="str">
        <f t="shared" si="21"/>
        <v>TERÇA-FEIRA</v>
      </c>
      <c r="E693">
        <v>1013</v>
      </c>
      <c r="F693" t="s">
        <v>57</v>
      </c>
      <c r="G693" t="s">
        <v>499</v>
      </c>
      <c r="H693" t="s">
        <v>74</v>
      </c>
      <c r="I693" t="s">
        <v>517</v>
      </c>
      <c r="K693" t="s">
        <v>501</v>
      </c>
      <c r="L693" s="9"/>
      <c r="M693" t="str">
        <f>IF(G693="FIM",IF(L693="","SEM VÍNCULO",IF(COUNTIF(tblBatidas[Batida ID],L693)=0,"VÍNCULO INVÁLIDO",IF(COUNTIF(tblBatidas[Início vinculado],L693)&gt;1,"VÍNCULO DUPLICADO",IF(E693&lt;&gt;INDEX(tblBatidas[ID],MATCH(L693,tblBatidas[Batida ID],0)),"DIVERGÊNCIA DE ID",IF(H693&lt;&gt;INDEX(tblBatidas[Projeto],MATCH(L693,tblBatidas[Batida ID],0)),"DIVERGÊNCIA DE PROJETO",IF(I693&lt;&gt;INDEX(tblBatidas[Atividade],MATCH(L693,tblBatidas[Batida ID],0)),"DIVERGÊNCIA DE ATIVIDADE",IF(OR(B693&lt;=INDEX(tblBatidas[Data e hora],MATCH(L693,tblBatidas[Batida ID],0)),(B693-INDEX(tblBatidas[Data e hora],MATCH(L693,tblBatidas[Batida ID],0)))*24&gt;16),"HORÁRIO INVÁLIDO","VINCULADO"))))))),"INÍCIO")</f>
        <v>INÍCIO</v>
      </c>
    </row>
    <row r="694" spans="1:13" hidden="1">
      <c r="A694" t="s">
        <v>1323</v>
      </c>
      <c r="B694" s="21">
        <v>46280.525034722225</v>
      </c>
      <c r="C694" s="2">
        <f t="shared" si="20"/>
        <v>46280</v>
      </c>
      <c r="D694" t="str">
        <f t="shared" si="21"/>
        <v>TERÇA-FEIRA</v>
      </c>
      <c r="E694">
        <v>1003</v>
      </c>
      <c r="F694" t="s">
        <v>46</v>
      </c>
      <c r="G694" t="s">
        <v>503</v>
      </c>
      <c r="H694" t="s">
        <v>80</v>
      </c>
      <c r="I694" t="s">
        <v>517</v>
      </c>
      <c r="K694" t="s">
        <v>501</v>
      </c>
      <c r="L694" s="9" t="s">
        <v>1316</v>
      </c>
      <c r="M694" t="str">
        <f>IF(G694="FIM",IF(L694="","SEM VÍNCULO",IF(COUNTIF(tblBatidas[Batida ID],L694)=0,"VÍNCULO INVÁLIDO",IF(COUNTIF(tblBatidas[Início vinculado],L694)&gt;1,"VÍNCULO DUPLICADO",IF(E694&lt;&gt;INDEX(tblBatidas[ID],MATCH(L694,tblBatidas[Batida ID],0)),"DIVERGÊNCIA DE ID",IF(H694&lt;&gt;INDEX(tblBatidas[Projeto],MATCH(L694,tblBatidas[Batida ID],0)),"DIVERGÊNCIA DE PROJETO",IF(I694&lt;&gt;INDEX(tblBatidas[Atividade],MATCH(L694,tblBatidas[Batida ID],0)),"DIVERGÊNCIA DE ATIVIDADE",IF(OR(B694&lt;=INDEX(tblBatidas[Data e hora],MATCH(L694,tblBatidas[Batida ID],0)),(B694-INDEX(tblBatidas[Data e hora],MATCH(L694,tblBatidas[Batida ID],0)))*24&gt;16),"HORÁRIO INVÁLIDO","VINCULADO"))))))),"INÍCIO")</f>
        <v>VINCULADO</v>
      </c>
    </row>
    <row r="695" spans="1:13">
      <c r="A695" t="s">
        <v>1324</v>
      </c>
      <c r="B695" s="21">
        <v>46280.541932870372</v>
      </c>
      <c r="C695" s="2">
        <f t="shared" si="20"/>
        <v>46280</v>
      </c>
      <c r="D695" t="str">
        <f t="shared" si="21"/>
        <v>TERÇA-FEIRA</v>
      </c>
      <c r="E695">
        <v>1002</v>
      </c>
      <c r="F695" t="s">
        <v>45</v>
      </c>
      <c r="G695" t="s">
        <v>499</v>
      </c>
      <c r="H695" t="s">
        <v>80</v>
      </c>
      <c r="I695" t="s">
        <v>517</v>
      </c>
      <c r="K695" t="s">
        <v>501</v>
      </c>
      <c r="L695" s="9"/>
      <c r="M695" t="str">
        <f>IF(G695="FIM",IF(L695="","SEM VÍNCULO",IF(COUNTIF(tblBatidas[Batida ID],L695)=0,"VÍNCULO INVÁLIDO",IF(COUNTIF(tblBatidas[Início vinculado],L695)&gt;1,"VÍNCULO DUPLICADO",IF(E695&lt;&gt;INDEX(tblBatidas[ID],MATCH(L695,tblBatidas[Batida ID],0)),"DIVERGÊNCIA DE ID",IF(H695&lt;&gt;INDEX(tblBatidas[Projeto],MATCH(L695,tblBatidas[Batida ID],0)),"DIVERGÊNCIA DE PROJETO",IF(I695&lt;&gt;INDEX(tblBatidas[Atividade],MATCH(L695,tblBatidas[Batida ID],0)),"DIVERGÊNCIA DE ATIVIDADE",IF(OR(B695&lt;=INDEX(tblBatidas[Data e hora],MATCH(L695,tblBatidas[Batida ID],0)),(B695-INDEX(tblBatidas[Data e hora],MATCH(L695,tblBatidas[Batida ID],0)))*24&gt;16),"HORÁRIO INVÁLIDO","VINCULADO"))))))),"INÍCIO")</f>
        <v>INÍCIO</v>
      </c>
    </row>
    <row r="696" spans="1:13" hidden="1">
      <c r="A696" t="s">
        <v>1325</v>
      </c>
      <c r="B696" s="21">
        <v>46280.583935185183</v>
      </c>
      <c r="C696" s="2">
        <f t="shared" si="20"/>
        <v>46280</v>
      </c>
      <c r="D696" t="str">
        <f t="shared" si="21"/>
        <v>TERÇA-FEIRA</v>
      </c>
      <c r="E696">
        <v>1003</v>
      </c>
      <c r="F696" t="s">
        <v>46</v>
      </c>
      <c r="G696" t="s">
        <v>499</v>
      </c>
      <c r="H696" t="s">
        <v>80</v>
      </c>
      <c r="I696" t="s">
        <v>517</v>
      </c>
      <c r="K696" t="s">
        <v>501</v>
      </c>
      <c r="L696" s="9"/>
      <c r="M696" t="str">
        <f>IF(G696="FIM",IF(L696="","SEM VÍNCULO",IF(COUNTIF(tblBatidas[Batida ID],L696)=0,"VÍNCULO INVÁLIDO",IF(COUNTIF(tblBatidas[Início vinculado],L696)&gt;1,"VÍNCULO DUPLICADO",IF(E696&lt;&gt;INDEX(tblBatidas[ID],MATCH(L696,tblBatidas[Batida ID],0)),"DIVERGÊNCIA DE ID",IF(H696&lt;&gt;INDEX(tblBatidas[Projeto],MATCH(L696,tblBatidas[Batida ID],0)),"DIVERGÊNCIA DE PROJETO",IF(I696&lt;&gt;INDEX(tblBatidas[Atividade],MATCH(L696,tblBatidas[Batida ID],0)),"DIVERGÊNCIA DE ATIVIDADE",IF(OR(B696&lt;=INDEX(tblBatidas[Data e hora],MATCH(L696,tblBatidas[Batida ID],0)),(B696-INDEX(tblBatidas[Data e hora],MATCH(L696,tblBatidas[Batida ID],0)))*24&gt;16),"HORÁRIO INVÁLIDO","VINCULADO"))))))),"INÍCIO")</f>
        <v>INÍCIO</v>
      </c>
    </row>
    <row r="697" spans="1:13">
      <c r="A697" t="s">
        <v>1326</v>
      </c>
      <c r="B697" s="21">
        <v>46280.746793981481</v>
      </c>
      <c r="C697" s="2">
        <f t="shared" si="20"/>
        <v>46280</v>
      </c>
      <c r="D697" t="str">
        <f t="shared" si="21"/>
        <v>TERÇA-FEIRA</v>
      </c>
      <c r="E697">
        <v>1002</v>
      </c>
      <c r="F697" t="s">
        <v>45</v>
      </c>
      <c r="G697" t="s">
        <v>503</v>
      </c>
      <c r="H697" t="s">
        <v>80</v>
      </c>
      <c r="I697" t="s">
        <v>517</v>
      </c>
      <c r="K697" t="s">
        <v>501</v>
      </c>
      <c r="L697" s="9" t="s">
        <v>1324</v>
      </c>
      <c r="M697" t="str">
        <f>IF(G697="FIM",IF(L697="","SEM VÍNCULO",IF(COUNTIF(tblBatidas[Batida ID],L697)=0,"VÍNCULO INVÁLIDO",IF(COUNTIF(tblBatidas[Início vinculado],L697)&gt;1,"VÍNCULO DUPLICADO",IF(E697&lt;&gt;INDEX(tblBatidas[ID],MATCH(L697,tblBatidas[Batida ID],0)),"DIVERGÊNCIA DE ID",IF(H697&lt;&gt;INDEX(tblBatidas[Projeto],MATCH(L697,tblBatidas[Batida ID],0)),"DIVERGÊNCIA DE PROJETO",IF(I697&lt;&gt;INDEX(tblBatidas[Atividade],MATCH(L697,tblBatidas[Batida ID],0)),"DIVERGÊNCIA DE ATIVIDADE",IF(OR(B697&lt;=INDEX(tblBatidas[Data e hora],MATCH(L697,tblBatidas[Batida ID],0)),(B697-INDEX(tblBatidas[Data e hora],MATCH(L697,tblBatidas[Batida ID],0)))*24&gt;16),"HORÁRIO INVÁLIDO","VINCULADO"))))))),"INÍCIO")</f>
        <v>VINCULADO</v>
      </c>
    </row>
    <row r="698" spans="1:13" hidden="1">
      <c r="A698" t="s">
        <v>1327</v>
      </c>
      <c r="B698" s="21">
        <v>46280.750254629631</v>
      </c>
      <c r="C698" s="2">
        <f t="shared" si="20"/>
        <v>46280</v>
      </c>
      <c r="D698" t="str">
        <f t="shared" si="21"/>
        <v>TERÇA-FEIRA</v>
      </c>
      <c r="E698">
        <v>1013</v>
      </c>
      <c r="F698" t="s">
        <v>57</v>
      </c>
      <c r="G698" t="s">
        <v>503</v>
      </c>
      <c r="H698" t="s">
        <v>74</v>
      </c>
      <c r="I698" t="s">
        <v>517</v>
      </c>
      <c r="K698" t="s">
        <v>501</v>
      </c>
      <c r="L698" s="9" t="s">
        <v>1322</v>
      </c>
      <c r="M698" t="str">
        <f>IF(G698="FIM",IF(L698="","SEM VÍNCULO",IF(COUNTIF(tblBatidas[Batida ID],L698)=0,"VÍNCULO INVÁLIDO",IF(COUNTIF(tblBatidas[Início vinculado],L698)&gt;1,"VÍNCULO DUPLICADO",IF(E698&lt;&gt;INDEX(tblBatidas[ID],MATCH(L698,tblBatidas[Batida ID],0)),"DIVERGÊNCIA DE ID",IF(H698&lt;&gt;INDEX(tblBatidas[Projeto],MATCH(L698,tblBatidas[Batida ID],0)),"DIVERGÊNCIA DE PROJETO",IF(I698&lt;&gt;INDEX(tblBatidas[Atividade],MATCH(L698,tblBatidas[Batida ID],0)),"DIVERGÊNCIA DE ATIVIDADE",IF(OR(B698&lt;=INDEX(tblBatidas[Data e hora],MATCH(L698,tblBatidas[Batida ID],0)),(B698-INDEX(tblBatidas[Data e hora],MATCH(L698,tblBatidas[Batida ID],0)))*24&gt;16),"HORÁRIO INVÁLIDO","VINCULADO"))))))),"INÍCIO")</f>
        <v>VINCULADO</v>
      </c>
    </row>
    <row r="699" spans="1:13" hidden="1">
      <c r="A699" t="s">
        <v>1328</v>
      </c>
      <c r="B699" s="21">
        <v>46280.751435185186</v>
      </c>
      <c r="C699" s="2">
        <f t="shared" si="20"/>
        <v>46280</v>
      </c>
      <c r="D699" t="str">
        <f t="shared" si="21"/>
        <v>TERÇA-FEIRA</v>
      </c>
      <c r="E699">
        <v>1011</v>
      </c>
      <c r="F699" t="s">
        <v>54</v>
      </c>
      <c r="G699" t="s">
        <v>503</v>
      </c>
      <c r="H699" t="s">
        <v>74</v>
      </c>
      <c r="I699" t="s">
        <v>517</v>
      </c>
      <c r="K699" t="s">
        <v>501</v>
      </c>
      <c r="L699" s="9"/>
      <c r="M699" t="str">
        <f>IF(G699="FIM",IF(L699="","SEM VÍNCULO",IF(COUNTIF(tblBatidas[Batida ID],L699)=0,"VÍNCULO INVÁLIDO",IF(COUNTIF(tblBatidas[Início vinculado],L699)&gt;1,"VÍNCULO DUPLICADO",IF(E699&lt;&gt;INDEX(tblBatidas[ID],MATCH(L699,tblBatidas[Batida ID],0)),"DIVERGÊNCIA DE ID",IF(H699&lt;&gt;INDEX(tblBatidas[Projeto],MATCH(L699,tblBatidas[Batida ID],0)),"DIVERGÊNCIA DE PROJETO",IF(I699&lt;&gt;INDEX(tblBatidas[Atividade],MATCH(L699,tblBatidas[Batida ID],0)),"DIVERGÊNCIA DE ATIVIDADE",IF(OR(B699&lt;=INDEX(tblBatidas[Data e hora],MATCH(L699,tblBatidas[Batida ID],0)),(B699-INDEX(tblBatidas[Data e hora],MATCH(L699,tblBatidas[Batida ID],0)))*24&gt;16),"HORÁRIO INVÁLIDO","VINCULADO"))))))),"INÍCIO")</f>
        <v>SEM VÍNCULO</v>
      </c>
    </row>
    <row r="700" spans="1:13" hidden="1">
      <c r="A700" t="s">
        <v>1329</v>
      </c>
      <c r="B700" s="21">
        <v>46280.799247685187</v>
      </c>
      <c r="C700" s="2">
        <f t="shared" si="20"/>
        <v>46280</v>
      </c>
      <c r="D700" t="str">
        <f t="shared" si="21"/>
        <v>TERÇA-FEIRA</v>
      </c>
      <c r="E700">
        <v>1003</v>
      </c>
      <c r="F700" t="s">
        <v>46</v>
      </c>
      <c r="G700" t="s">
        <v>503</v>
      </c>
      <c r="H700" t="s">
        <v>80</v>
      </c>
      <c r="I700" t="s">
        <v>517</v>
      </c>
      <c r="K700" t="s">
        <v>501</v>
      </c>
      <c r="L700" s="9" t="s">
        <v>1325</v>
      </c>
      <c r="M700" t="str">
        <f>IF(G700="FIM",IF(L700="","SEM VÍNCULO",IF(COUNTIF(tblBatidas[Batida ID],L700)=0,"VÍNCULO INVÁLIDO",IF(COUNTIF(tblBatidas[Início vinculado],L700)&gt;1,"VÍNCULO DUPLICADO",IF(E700&lt;&gt;INDEX(tblBatidas[ID],MATCH(L700,tblBatidas[Batida ID],0)),"DIVERGÊNCIA DE ID",IF(H700&lt;&gt;INDEX(tblBatidas[Projeto],MATCH(L700,tblBatidas[Batida ID],0)),"DIVERGÊNCIA DE PROJETO",IF(I700&lt;&gt;INDEX(tblBatidas[Atividade],MATCH(L700,tblBatidas[Batida ID],0)),"DIVERGÊNCIA DE ATIVIDADE",IF(OR(B700&lt;=INDEX(tblBatidas[Data e hora],MATCH(L700,tblBatidas[Batida ID],0)),(B700-INDEX(tblBatidas[Data e hora],MATCH(L700,tblBatidas[Batida ID],0)))*24&gt;16),"HORÁRIO INVÁLIDO","VINCULADO"))))))),"INÍCIO")</f>
        <v>VINCULADO</v>
      </c>
    </row>
    <row r="701" spans="1:13" hidden="1">
      <c r="A701" t="s">
        <v>1330</v>
      </c>
      <c r="B701" s="21">
        <v>46281.331331018519</v>
      </c>
      <c r="C701" s="2">
        <f t="shared" si="20"/>
        <v>46281</v>
      </c>
      <c r="D701" t="str">
        <f t="shared" si="21"/>
        <v>QUARTA-FEIRA</v>
      </c>
      <c r="E701">
        <v>1011</v>
      </c>
      <c r="F701" t="s">
        <v>54</v>
      </c>
      <c r="G701" t="s">
        <v>499</v>
      </c>
      <c r="H701" t="s">
        <v>74</v>
      </c>
      <c r="I701" t="s">
        <v>517</v>
      </c>
      <c r="K701" t="s">
        <v>501</v>
      </c>
      <c r="L701" s="9"/>
      <c r="M701" t="str">
        <f>IF(G701="FIM",IF(L701="","SEM VÍNCULO",IF(COUNTIF(tblBatidas[Batida ID],L701)=0,"VÍNCULO INVÁLIDO",IF(COUNTIF(tblBatidas[Início vinculado],L701)&gt;1,"VÍNCULO DUPLICADO",IF(E701&lt;&gt;INDEX(tblBatidas[ID],MATCH(L701,tblBatidas[Batida ID],0)),"DIVERGÊNCIA DE ID",IF(H701&lt;&gt;INDEX(tblBatidas[Projeto],MATCH(L701,tblBatidas[Batida ID],0)),"DIVERGÊNCIA DE PROJETO",IF(I701&lt;&gt;INDEX(tblBatidas[Atividade],MATCH(L701,tblBatidas[Batida ID],0)),"DIVERGÊNCIA DE ATIVIDADE",IF(OR(B701&lt;=INDEX(tblBatidas[Data e hora],MATCH(L701,tblBatidas[Batida ID],0)),(B701-INDEX(tblBatidas[Data e hora],MATCH(L701,tblBatidas[Batida ID],0)))*24&gt;16),"HORÁRIO INVÁLIDO","VINCULADO"))))))),"INÍCIO")</f>
        <v>INÍCIO</v>
      </c>
    </row>
    <row r="702" spans="1:13" hidden="1">
      <c r="A702" t="s">
        <v>1331</v>
      </c>
      <c r="B702" s="21">
        <v>46281.333865740744</v>
      </c>
      <c r="C702" s="2">
        <f t="shared" si="20"/>
        <v>46281</v>
      </c>
      <c r="D702" t="str">
        <f t="shared" si="21"/>
        <v>QUARTA-FEIRA</v>
      </c>
      <c r="E702">
        <v>1003</v>
      </c>
      <c r="F702" t="s">
        <v>46</v>
      </c>
      <c r="G702" t="s">
        <v>499</v>
      </c>
      <c r="H702" t="s">
        <v>80</v>
      </c>
      <c r="I702" t="s">
        <v>517</v>
      </c>
      <c r="K702" t="s">
        <v>501</v>
      </c>
      <c r="L702" s="9"/>
      <c r="M702" t="str">
        <f>IF(G702="FIM",IF(L702="","SEM VÍNCULO",IF(COUNTIF(tblBatidas[Batida ID],L702)=0,"VÍNCULO INVÁLIDO",IF(COUNTIF(tblBatidas[Início vinculado],L702)&gt;1,"VÍNCULO DUPLICADO",IF(E702&lt;&gt;INDEX(tblBatidas[ID],MATCH(L702,tblBatidas[Batida ID],0)),"DIVERGÊNCIA DE ID",IF(H702&lt;&gt;INDEX(tblBatidas[Projeto],MATCH(L702,tblBatidas[Batida ID],0)),"DIVERGÊNCIA DE PROJETO",IF(I702&lt;&gt;INDEX(tblBatidas[Atividade],MATCH(L702,tblBatidas[Batida ID],0)),"DIVERGÊNCIA DE ATIVIDADE",IF(OR(B702&lt;=INDEX(tblBatidas[Data e hora],MATCH(L702,tblBatidas[Batida ID],0)),(B702-INDEX(tblBatidas[Data e hora],MATCH(L702,tblBatidas[Batida ID],0)))*24&gt;16),"HORÁRIO INVÁLIDO","VINCULADO"))))))),"INÍCIO")</f>
        <v>INÍCIO</v>
      </c>
    </row>
    <row r="703" spans="1:13" hidden="1">
      <c r="A703" t="s">
        <v>1332</v>
      </c>
      <c r="B703" s="21">
        <v>46281.361562500002</v>
      </c>
      <c r="C703" s="2">
        <f t="shared" si="20"/>
        <v>46281</v>
      </c>
      <c r="D703" t="str">
        <f t="shared" si="21"/>
        <v>QUARTA-FEIRA</v>
      </c>
      <c r="E703">
        <v>1013</v>
      </c>
      <c r="F703" t="s">
        <v>57</v>
      </c>
      <c r="G703" t="s">
        <v>499</v>
      </c>
      <c r="H703" t="s">
        <v>74</v>
      </c>
      <c r="I703" t="s">
        <v>517</v>
      </c>
      <c r="K703" t="s">
        <v>501</v>
      </c>
      <c r="L703" s="9"/>
      <c r="M703" t="str">
        <f>IF(G703="FIM",IF(L703="","SEM VÍNCULO",IF(COUNTIF(tblBatidas[Batida ID],L703)=0,"VÍNCULO INVÁLIDO",IF(COUNTIF(tblBatidas[Início vinculado],L703)&gt;1,"VÍNCULO DUPLICADO",IF(E703&lt;&gt;INDEX(tblBatidas[ID],MATCH(L703,tblBatidas[Batida ID],0)),"DIVERGÊNCIA DE ID",IF(H703&lt;&gt;INDEX(tblBatidas[Projeto],MATCH(L703,tblBatidas[Batida ID],0)),"DIVERGÊNCIA DE PROJETO",IF(I703&lt;&gt;INDEX(tblBatidas[Atividade],MATCH(L703,tblBatidas[Batida ID],0)),"DIVERGÊNCIA DE ATIVIDADE",IF(OR(B703&lt;=INDEX(tblBatidas[Data e hora],MATCH(L703,tblBatidas[Batida ID],0)),(B703-INDEX(tblBatidas[Data e hora],MATCH(L703,tblBatidas[Batida ID],0)))*24&gt;16),"HORÁRIO INVÁLIDO","VINCULADO"))))))),"INÍCIO")</f>
        <v>INÍCIO</v>
      </c>
    </row>
    <row r="704" spans="1:13">
      <c r="A704" t="s">
        <v>1333</v>
      </c>
      <c r="B704" s="21">
        <v>46281.366979166669</v>
      </c>
      <c r="C704" s="2">
        <f t="shared" si="20"/>
        <v>46281</v>
      </c>
      <c r="D704" t="str">
        <f t="shared" si="21"/>
        <v>QUARTA-FEIRA</v>
      </c>
      <c r="E704">
        <v>1002</v>
      </c>
      <c r="F704" t="s">
        <v>45</v>
      </c>
      <c r="G704" t="s">
        <v>499</v>
      </c>
      <c r="H704" t="s">
        <v>80</v>
      </c>
      <c r="I704" t="s">
        <v>517</v>
      </c>
      <c r="K704" t="s">
        <v>501</v>
      </c>
      <c r="L704" s="9"/>
      <c r="M704" t="str">
        <f>IF(G704="FIM",IF(L704="","SEM VÍNCULO",IF(COUNTIF(tblBatidas[Batida ID],L704)=0,"VÍNCULO INVÁLIDO",IF(COUNTIF(tblBatidas[Início vinculado],L704)&gt;1,"VÍNCULO DUPLICADO",IF(E704&lt;&gt;INDEX(tblBatidas[ID],MATCH(L704,tblBatidas[Batida ID],0)),"DIVERGÊNCIA DE ID",IF(H704&lt;&gt;INDEX(tblBatidas[Projeto],MATCH(L704,tblBatidas[Batida ID],0)),"DIVERGÊNCIA DE PROJETO",IF(I704&lt;&gt;INDEX(tblBatidas[Atividade],MATCH(L704,tblBatidas[Batida ID],0)),"DIVERGÊNCIA DE ATIVIDADE",IF(OR(B704&lt;=INDEX(tblBatidas[Data e hora],MATCH(L704,tblBatidas[Batida ID],0)),(B704-INDEX(tblBatidas[Data e hora],MATCH(L704,tblBatidas[Batida ID],0)))*24&gt;16),"HORÁRIO INVÁLIDO","VINCULADO"))))))),"INÍCIO")</f>
        <v>INÍCIO</v>
      </c>
    </row>
    <row r="705" spans="1:13" hidden="1">
      <c r="A705" t="s">
        <v>1334</v>
      </c>
      <c r="B705" s="21">
        <v>46281.49931712963</v>
      </c>
      <c r="C705" s="2">
        <f t="shared" si="20"/>
        <v>46281</v>
      </c>
      <c r="D705" t="str">
        <f t="shared" si="21"/>
        <v>QUARTA-FEIRA</v>
      </c>
      <c r="E705">
        <v>1013</v>
      </c>
      <c r="F705" t="s">
        <v>57</v>
      </c>
      <c r="G705" t="s">
        <v>503</v>
      </c>
      <c r="H705" t="s">
        <v>74</v>
      </c>
      <c r="I705" t="s">
        <v>517</v>
      </c>
      <c r="K705" t="s">
        <v>501</v>
      </c>
      <c r="L705" s="9" t="s">
        <v>1332</v>
      </c>
      <c r="M705" t="str">
        <f>IF(G705="FIM",IF(L705="","SEM VÍNCULO",IF(COUNTIF(tblBatidas[Batida ID],L705)=0,"VÍNCULO INVÁLIDO",IF(COUNTIF(tblBatidas[Início vinculado],L705)&gt;1,"VÍNCULO DUPLICADO",IF(E705&lt;&gt;INDEX(tblBatidas[ID],MATCH(L705,tblBatidas[Batida ID],0)),"DIVERGÊNCIA DE ID",IF(H705&lt;&gt;INDEX(tblBatidas[Projeto],MATCH(L705,tblBatidas[Batida ID],0)),"DIVERGÊNCIA DE PROJETO",IF(I705&lt;&gt;INDEX(tblBatidas[Atividade],MATCH(L705,tblBatidas[Batida ID],0)),"DIVERGÊNCIA DE ATIVIDADE",IF(OR(B705&lt;=INDEX(tblBatidas[Data e hora],MATCH(L705,tblBatidas[Batida ID],0)),(B705-INDEX(tblBatidas[Data e hora],MATCH(L705,tblBatidas[Batida ID],0)))*24&gt;16),"HORÁRIO INVÁLIDO","VINCULADO"))))))),"INÍCIO")</f>
        <v>VINCULADO</v>
      </c>
    </row>
    <row r="706" spans="1:13" hidden="1">
      <c r="A706" t="s">
        <v>1335</v>
      </c>
      <c r="B706" s="21">
        <v>46281.499652777777</v>
      </c>
      <c r="C706" s="2">
        <f t="shared" si="20"/>
        <v>46281</v>
      </c>
      <c r="D706" t="str">
        <f t="shared" si="21"/>
        <v>QUARTA-FEIRA</v>
      </c>
      <c r="E706">
        <v>1003</v>
      </c>
      <c r="F706" t="s">
        <v>46</v>
      </c>
      <c r="G706" t="s">
        <v>503</v>
      </c>
      <c r="H706" t="s">
        <v>80</v>
      </c>
      <c r="I706" t="s">
        <v>517</v>
      </c>
      <c r="K706" t="s">
        <v>501</v>
      </c>
      <c r="L706" s="9" t="s">
        <v>1331</v>
      </c>
      <c r="M706" t="str">
        <f>IF(G706="FIM",IF(L706="","SEM VÍNCULO",IF(COUNTIF(tblBatidas[Batida ID],L706)=0,"VÍNCULO INVÁLIDO",IF(COUNTIF(tblBatidas[Início vinculado],L706)&gt;1,"VÍNCULO DUPLICADO",IF(E706&lt;&gt;INDEX(tblBatidas[ID],MATCH(L706,tblBatidas[Batida ID],0)),"DIVERGÊNCIA DE ID",IF(H706&lt;&gt;INDEX(tblBatidas[Projeto],MATCH(L706,tblBatidas[Batida ID],0)),"DIVERGÊNCIA DE PROJETO",IF(I706&lt;&gt;INDEX(tblBatidas[Atividade],MATCH(L706,tblBatidas[Batida ID],0)),"DIVERGÊNCIA DE ATIVIDADE",IF(OR(B706&lt;=INDEX(tblBatidas[Data e hora],MATCH(L706,tblBatidas[Batida ID],0)),(B706-INDEX(tblBatidas[Data e hora],MATCH(L706,tblBatidas[Batida ID],0)))*24&gt;16),"HORÁRIO INVÁLIDO","VINCULADO"))))))),"INÍCIO")</f>
        <v>VINCULADO</v>
      </c>
    </row>
    <row r="707" spans="1:13">
      <c r="A707" t="s">
        <v>1336</v>
      </c>
      <c r="B707" s="21">
        <v>46281.502314814818</v>
      </c>
      <c r="C707" s="2">
        <f t="shared" si="20"/>
        <v>46281</v>
      </c>
      <c r="D707" t="str">
        <f t="shared" si="21"/>
        <v>QUARTA-FEIRA</v>
      </c>
      <c r="E707">
        <v>1002</v>
      </c>
      <c r="F707" t="s">
        <v>45</v>
      </c>
      <c r="G707" t="s">
        <v>503</v>
      </c>
      <c r="H707" t="s">
        <v>80</v>
      </c>
      <c r="I707" t="s">
        <v>517</v>
      </c>
      <c r="K707" t="s">
        <v>501</v>
      </c>
      <c r="L707" s="9" t="s">
        <v>1333</v>
      </c>
      <c r="M707" t="str">
        <f>IF(G707="FIM",IF(L707="","SEM VÍNCULO",IF(COUNTIF(tblBatidas[Batida ID],L707)=0,"VÍNCULO INVÁLIDO",IF(COUNTIF(tblBatidas[Início vinculado],L707)&gt;1,"VÍNCULO DUPLICADO",IF(E707&lt;&gt;INDEX(tblBatidas[ID],MATCH(L707,tblBatidas[Batida ID],0)),"DIVERGÊNCIA DE ID",IF(H707&lt;&gt;INDEX(tblBatidas[Projeto],MATCH(L707,tblBatidas[Batida ID],0)),"DIVERGÊNCIA DE PROJETO",IF(I707&lt;&gt;INDEX(tblBatidas[Atividade],MATCH(L707,tblBatidas[Batida ID],0)),"DIVERGÊNCIA DE ATIVIDADE",IF(OR(B707&lt;=INDEX(tblBatidas[Data e hora],MATCH(L707,tblBatidas[Batida ID],0)),(B707-INDEX(tblBatidas[Data e hora],MATCH(L707,tblBatidas[Batida ID],0)))*24&gt;16),"HORÁRIO INVÁLIDO","VINCULADO"))))))),"INÍCIO")</f>
        <v>VINCULADO</v>
      </c>
    </row>
    <row r="708" spans="1:13" hidden="1">
      <c r="A708" t="s">
        <v>1337</v>
      </c>
      <c r="B708" s="21">
        <v>46281.515034722222</v>
      </c>
      <c r="C708" s="2">
        <f t="shared" si="20"/>
        <v>46281</v>
      </c>
      <c r="D708" t="str">
        <f t="shared" si="21"/>
        <v>QUARTA-FEIRA</v>
      </c>
      <c r="E708">
        <v>1011</v>
      </c>
      <c r="F708" t="s">
        <v>54</v>
      </c>
      <c r="G708" t="s">
        <v>503</v>
      </c>
      <c r="H708" t="s">
        <v>76</v>
      </c>
      <c r="I708" t="s">
        <v>517</v>
      </c>
      <c r="K708" t="s">
        <v>501</v>
      </c>
      <c r="L708" s="9"/>
      <c r="M708" t="str">
        <f>IF(G708="FIM",IF(L708="","SEM VÍNCULO",IF(COUNTIF(tblBatidas[Batida ID],L708)=0,"VÍNCULO INVÁLIDO",IF(COUNTIF(tblBatidas[Início vinculado],L708)&gt;1,"VÍNCULO DUPLICADO",IF(E708&lt;&gt;INDEX(tblBatidas[ID],MATCH(L708,tblBatidas[Batida ID],0)),"DIVERGÊNCIA DE ID",IF(H708&lt;&gt;INDEX(tblBatidas[Projeto],MATCH(L708,tblBatidas[Batida ID],0)),"DIVERGÊNCIA DE PROJETO",IF(I708&lt;&gt;INDEX(tblBatidas[Atividade],MATCH(L708,tblBatidas[Batida ID],0)),"DIVERGÊNCIA DE ATIVIDADE",IF(OR(B708&lt;=INDEX(tblBatidas[Data e hora],MATCH(L708,tblBatidas[Batida ID],0)),(B708-INDEX(tblBatidas[Data e hora],MATCH(L708,tblBatidas[Batida ID],0)))*24&gt;16),"HORÁRIO INVÁLIDO","VINCULADO"))))))),"INÍCIO")</f>
        <v>SEM VÍNCULO</v>
      </c>
    </row>
    <row r="709" spans="1:13" hidden="1">
      <c r="A709" t="s">
        <v>1338</v>
      </c>
      <c r="B709" s="21">
        <v>46281.53496527778</v>
      </c>
      <c r="C709" s="2">
        <f t="shared" ref="C709:C772" si="22">IF(B709="","",INT(B709))</f>
        <v>46281</v>
      </c>
      <c r="D709" t="str">
        <f t="shared" ref="D709:D772" si="23">IF(C709="","",CHOOSE(WEEKDAY(C709,2),"SEGUNDA-FEIRA","TERÇA-FEIRA","QUARTA-FEIRA","QUINTA-FEIRA","SEXTA-FEIRA","SÁBADO","DOMINGO"))</f>
        <v>QUARTA-FEIRA</v>
      </c>
      <c r="E709">
        <v>1003</v>
      </c>
      <c r="F709" t="s">
        <v>46</v>
      </c>
      <c r="G709" t="s">
        <v>503</v>
      </c>
      <c r="H709" t="s">
        <v>80</v>
      </c>
      <c r="I709" t="s">
        <v>517</v>
      </c>
      <c r="K709" t="s">
        <v>501</v>
      </c>
      <c r="L709" s="9"/>
      <c r="M709" t="str">
        <f>IF(G709="FIM",IF(L709="","SEM VÍNCULO",IF(COUNTIF(tblBatidas[Batida ID],L709)=0,"VÍNCULO INVÁLIDO",IF(COUNTIF(tblBatidas[Início vinculado],L709)&gt;1,"VÍNCULO DUPLICADO",IF(E709&lt;&gt;INDEX(tblBatidas[ID],MATCH(L709,tblBatidas[Batida ID],0)),"DIVERGÊNCIA DE ID",IF(H709&lt;&gt;INDEX(tblBatidas[Projeto],MATCH(L709,tblBatidas[Batida ID],0)),"DIVERGÊNCIA DE PROJETO",IF(I709&lt;&gt;INDEX(tblBatidas[Atividade],MATCH(L709,tblBatidas[Batida ID],0)),"DIVERGÊNCIA DE ATIVIDADE",IF(OR(B709&lt;=INDEX(tblBatidas[Data e hora],MATCH(L709,tblBatidas[Batida ID],0)),(B709-INDEX(tblBatidas[Data e hora],MATCH(L709,tblBatidas[Batida ID],0)))*24&gt;16),"HORÁRIO INVÁLIDO","VINCULADO"))))))),"INÍCIO")</f>
        <v>SEM VÍNCULO</v>
      </c>
    </row>
    <row r="710" spans="1:13" hidden="1">
      <c r="A710" t="s">
        <v>1339</v>
      </c>
      <c r="B710" s="21">
        <v>46281.535844907405</v>
      </c>
      <c r="C710" s="2">
        <f t="shared" si="22"/>
        <v>46281</v>
      </c>
      <c r="D710" t="str">
        <f t="shared" si="23"/>
        <v>QUARTA-FEIRA</v>
      </c>
      <c r="E710">
        <v>1013</v>
      </c>
      <c r="F710" t="s">
        <v>57</v>
      </c>
      <c r="G710" t="s">
        <v>499</v>
      </c>
      <c r="H710" t="s">
        <v>86</v>
      </c>
      <c r="I710" t="s">
        <v>517</v>
      </c>
      <c r="J710" t="s">
        <v>1340</v>
      </c>
      <c r="K710" t="s">
        <v>501</v>
      </c>
      <c r="L710" s="9"/>
      <c r="M710" t="str">
        <f>IF(G710="FIM",IF(L710="","SEM VÍNCULO",IF(COUNTIF(tblBatidas[Batida ID],L710)=0,"VÍNCULO INVÁLIDO",IF(COUNTIF(tblBatidas[Início vinculado],L710)&gt;1,"VÍNCULO DUPLICADO",IF(E710&lt;&gt;INDEX(tblBatidas[ID],MATCH(L710,tblBatidas[Batida ID],0)),"DIVERGÊNCIA DE ID",IF(H710&lt;&gt;INDEX(tblBatidas[Projeto],MATCH(L710,tblBatidas[Batida ID],0)),"DIVERGÊNCIA DE PROJETO",IF(I710&lt;&gt;INDEX(tblBatidas[Atividade],MATCH(L710,tblBatidas[Batida ID],0)),"DIVERGÊNCIA DE ATIVIDADE",IF(OR(B710&lt;=INDEX(tblBatidas[Data e hora],MATCH(L710,tblBatidas[Batida ID],0)),(B710-INDEX(tblBatidas[Data e hora],MATCH(L710,tblBatidas[Batida ID],0)))*24&gt;16),"HORÁRIO INVÁLIDO","VINCULADO"))))))),"INÍCIO")</f>
        <v>INÍCIO</v>
      </c>
    </row>
    <row r="711" spans="1:13">
      <c r="A711" t="s">
        <v>1341</v>
      </c>
      <c r="B711" s="21">
        <v>46281.536597222221</v>
      </c>
      <c r="C711" s="2">
        <f t="shared" si="22"/>
        <v>46281</v>
      </c>
      <c r="D711" t="str">
        <f t="shared" si="23"/>
        <v>QUARTA-FEIRA</v>
      </c>
      <c r="E711">
        <v>1002</v>
      </c>
      <c r="F711" t="s">
        <v>45</v>
      </c>
      <c r="G711" t="s">
        <v>499</v>
      </c>
      <c r="H711" t="s">
        <v>70</v>
      </c>
      <c r="I711" t="s">
        <v>517</v>
      </c>
      <c r="K711" t="s">
        <v>501</v>
      </c>
      <c r="L711" s="9"/>
      <c r="M711" t="str">
        <f>IF(G711="FIM",IF(L711="","SEM VÍNCULO",IF(COUNTIF(tblBatidas[Batida ID],L711)=0,"VÍNCULO INVÁLIDO",IF(COUNTIF(tblBatidas[Início vinculado],L711)&gt;1,"VÍNCULO DUPLICADO",IF(E711&lt;&gt;INDEX(tblBatidas[ID],MATCH(L711,tblBatidas[Batida ID],0)),"DIVERGÊNCIA DE ID",IF(H711&lt;&gt;INDEX(tblBatidas[Projeto],MATCH(L711,tblBatidas[Batida ID],0)),"DIVERGÊNCIA DE PROJETO",IF(I711&lt;&gt;INDEX(tblBatidas[Atividade],MATCH(L711,tblBatidas[Batida ID],0)),"DIVERGÊNCIA DE ATIVIDADE",IF(OR(B711&lt;=INDEX(tblBatidas[Data e hora],MATCH(L711,tblBatidas[Batida ID],0)),(B711-INDEX(tblBatidas[Data e hora],MATCH(L711,tblBatidas[Batida ID],0)))*24&gt;16),"HORÁRIO INVÁLIDO","VINCULADO"))))))),"INÍCIO")</f>
        <v>INÍCIO</v>
      </c>
    </row>
    <row r="712" spans="1:13" hidden="1">
      <c r="A712" t="s">
        <v>1342</v>
      </c>
      <c r="B712" s="21">
        <v>46281.5391087963</v>
      </c>
      <c r="C712" s="2">
        <f t="shared" si="22"/>
        <v>46281</v>
      </c>
      <c r="D712" t="str">
        <f t="shared" si="23"/>
        <v>QUARTA-FEIRA</v>
      </c>
      <c r="E712">
        <v>1011</v>
      </c>
      <c r="F712" t="s">
        <v>54</v>
      </c>
      <c r="G712" t="s">
        <v>499</v>
      </c>
      <c r="H712" t="s">
        <v>74</v>
      </c>
      <c r="I712" t="s">
        <v>517</v>
      </c>
      <c r="K712" t="s">
        <v>501</v>
      </c>
      <c r="L712" s="9"/>
      <c r="M712" t="str">
        <f>IF(G712="FIM",IF(L712="","SEM VÍNCULO",IF(COUNTIF(tblBatidas[Batida ID],L712)=0,"VÍNCULO INVÁLIDO",IF(COUNTIF(tblBatidas[Início vinculado],L712)&gt;1,"VÍNCULO DUPLICADO",IF(E712&lt;&gt;INDEX(tblBatidas[ID],MATCH(L712,tblBatidas[Batida ID],0)),"DIVERGÊNCIA DE ID",IF(H712&lt;&gt;INDEX(tblBatidas[Projeto],MATCH(L712,tblBatidas[Batida ID],0)),"DIVERGÊNCIA DE PROJETO",IF(I712&lt;&gt;INDEX(tblBatidas[Atividade],MATCH(L712,tblBatidas[Batida ID],0)),"DIVERGÊNCIA DE ATIVIDADE",IF(OR(B712&lt;=INDEX(tblBatidas[Data e hora],MATCH(L712,tblBatidas[Batida ID],0)),(B712-INDEX(tblBatidas[Data e hora],MATCH(L712,tblBatidas[Batida ID],0)))*24&gt;16),"HORÁRIO INVÁLIDO","VINCULADO"))))))),"INÍCIO")</f>
        <v>INÍCIO</v>
      </c>
    </row>
    <row r="713" spans="1:13" hidden="1">
      <c r="A713" t="s">
        <v>1343</v>
      </c>
      <c r="B713" s="21">
        <v>46281.745740740742</v>
      </c>
      <c r="C713" s="2">
        <f t="shared" si="22"/>
        <v>46281</v>
      </c>
      <c r="D713" t="str">
        <f t="shared" si="23"/>
        <v>QUARTA-FEIRA</v>
      </c>
      <c r="E713">
        <v>1011</v>
      </c>
      <c r="F713" t="s">
        <v>54</v>
      </c>
      <c r="G713" t="s">
        <v>503</v>
      </c>
      <c r="H713" t="s">
        <v>74</v>
      </c>
      <c r="I713" t="s">
        <v>517</v>
      </c>
      <c r="K713" t="s">
        <v>501</v>
      </c>
      <c r="L713" s="9" t="s">
        <v>1342</v>
      </c>
      <c r="M713" t="str">
        <f>IF(G713="FIM",IF(L713="","SEM VÍNCULO",IF(COUNTIF(tblBatidas[Batida ID],L713)=0,"VÍNCULO INVÁLIDO",IF(COUNTIF(tblBatidas[Início vinculado],L713)&gt;1,"VÍNCULO DUPLICADO",IF(E713&lt;&gt;INDEX(tblBatidas[ID],MATCH(L713,tblBatidas[Batida ID],0)),"DIVERGÊNCIA DE ID",IF(H713&lt;&gt;INDEX(tblBatidas[Projeto],MATCH(L713,tblBatidas[Batida ID],0)),"DIVERGÊNCIA DE PROJETO",IF(I713&lt;&gt;INDEX(tblBatidas[Atividade],MATCH(L713,tblBatidas[Batida ID],0)),"DIVERGÊNCIA DE ATIVIDADE",IF(OR(B713&lt;=INDEX(tblBatidas[Data e hora],MATCH(L713,tblBatidas[Batida ID],0)),(B713-INDEX(tblBatidas[Data e hora],MATCH(L713,tblBatidas[Batida ID],0)))*24&gt;16),"HORÁRIO INVÁLIDO","VINCULADO"))))))),"INÍCIO")</f>
        <v>VINCULADO</v>
      </c>
    </row>
    <row r="714" spans="1:13">
      <c r="A714" t="s">
        <v>1344</v>
      </c>
      <c r="B714" s="21">
        <v>46281.749421296299</v>
      </c>
      <c r="C714" s="2">
        <f t="shared" si="22"/>
        <v>46281</v>
      </c>
      <c r="D714" t="str">
        <f t="shared" si="23"/>
        <v>QUARTA-FEIRA</v>
      </c>
      <c r="E714">
        <v>1002</v>
      </c>
      <c r="F714" t="s">
        <v>45</v>
      </c>
      <c r="G714" t="s">
        <v>499</v>
      </c>
      <c r="H714" t="s">
        <v>70</v>
      </c>
      <c r="I714" t="s">
        <v>517</v>
      </c>
      <c r="K714" t="s">
        <v>501</v>
      </c>
      <c r="L714" s="9"/>
      <c r="M714" t="str">
        <f>IF(G714="FIM",IF(L714="","SEM VÍNCULO",IF(COUNTIF(tblBatidas[Batida ID],L714)=0,"VÍNCULO INVÁLIDO",IF(COUNTIF(tblBatidas[Início vinculado],L714)&gt;1,"VÍNCULO DUPLICADO",IF(E714&lt;&gt;INDEX(tblBatidas[ID],MATCH(L714,tblBatidas[Batida ID],0)),"DIVERGÊNCIA DE ID",IF(H714&lt;&gt;INDEX(tblBatidas[Projeto],MATCH(L714,tblBatidas[Batida ID],0)),"DIVERGÊNCIA DE PROJETO",IF(I714&lt;&gt;INDEX(tblBatidas[Atividade],MATCH(L714,tblBatidas[Batida ID],0)),"DIVERGÊNCIA DE ATIVIDADE",IF(OR(B714&lt;=INDEX(tblBatidas[Data e hora],MATCH(L714,tblBatidas[Batida ID],0)),(B714-INDEX(tblBatidas[Data e hora],MATCH(L714,tblBatidas[Batida ID],0)))*24&gt;16),"HORÁRIO INVÁLIDO","VINCULADO"))))))),"INÍCIO")</f>
        <v>INÍCIO</v>
      </c>
    </row>
    <row r="715" spans="1:13" hidden="1">
      <c r="A715" t="s">
        <v>1345</v>
      </c>
      <c r="B715" s="21">
        <v>46281.750138888892</v>
      </c>
      <c r="C715" s="2">
        <f t="shared" si="22"/>
        <v>46281</v>
      </c>
      <c r="D715" t="str">
        <f t="shared" si="23"/>
        <v>QUARTA-FEIRA</v>
      </c>
      <c r="E715">
        <v>1003</v>
      </c>
      <c r="F715" t="s">
        <v>46</v>
      </c>
      <c r="G715" t="s">
        <v>503</v>
      </c>
      <c r="H715" t="s">
        <v>80</v>
      </c>
      <c r="I715" t="s">
        <v>517</v>
      </c>
      <c r="K715" t="s">
        <v>501</v>
      </c>
      <c r="L715" s="9"/>
      <c r="M715" t="str">
        <f>IF(G715="FIM",IF(L715="","SEM VÍNCULO",IF(COUNTIF(tblBatidas[Batida ID],L715)=0,"VÍNCULO INVÁLIDO",IF(COUNTIF(tblBatidas[Início vinculado],L715)&gt;1,"VÍNCULO DUPLICADO",IF(E715&lt;&gt;INDEX(tblBatidas[ID],MATCH(L715,tblBatidas[Batida ID],0)),"DIVERGÊNCIA DE ID",IF(H715&lt;&gt;INDEX(tblBatidas[Projeto],MATCH(L715,tblBatidas[Batida ID],0)),"DIVERGÊNCIA DE PROJETO",IF(I715&lt;&gt;INDEX(tblBatidas[Atividade],MATCH(L715,tblBatidas[Batida ID],0)),"DIVERGÊNCIA DE ATIVIDADE",IF(OR(B715&lt;=INDEX(tblBatidas[Data e hora],MATCH(L715,tblBatidas[Batida ID],0)),(B715-INDEX(tblBatidas[Data e hora],MATCH(L715,tblBatidas[Batida ID],0)))*24&gt;16),"HORÁRIO INVÁLIDO","VINCULADO"))))))),"INÍCIO")</f>
        <v>SEM VÍNCULO</v>
      </c>
    </row>
    <row r="716" spans="1:13" hidden="1">
      <c r="A716" t="s">
        <v>1346</v>
      </c>
      <c r="B716" s="21">
        <v>46281.750474537039</v>
      </c>
      <c r="C716" s="2">
        <f t="shared" si="22"/>
        <v>46281</v>
      </c>
      <c r="D716" t="str">
        <f t="shared" si="23"/>
        <v>QUARTA-FEIRA</v>
      </c>
      <c r="E716">
        <v>1013</v>
      </c>
      <c r="F716" t="s">
        <v>57</v>
      </c>
      <c r="G716" t="s">
        <v>503</v>
      </c>
      <c r="H716" t="s">
        <v>80</v>
      </c>
      <c r="I716" t="s">
        <v>517</v>
      </c>
      <c r="K716" t="s">
        <v>501</v>
      </c>
      <c r="L716" s="9"/>
      <c r="M716" t="str">
        <f>IF(G716="FIM",IF(L716="","SEM VÍNCULO",IF(COUNTIF(tblBatidas[Batida ID],L716)=0,"VÍNCULO INVÁLIDO",IF(COUNTIF(tblBatidas[Início vinculado],L716)&gt;1,"VÍNCULO DUPLICADO",IF(E716&lt;&gt;INDEX(tblBatidas[ID],MATCH(L716,tblBatidas[Batida ID],0)),"DIVERGÊNCIA DE ID",IF(H716&lt;&gt;INDEX(tblBatidas[Projeto],MATCH(L716,tblBatidas[Batida ID],0)),"DIVERGÊNCIA DE PROJETO",IF(I716&lt;&gt;INDEX(tblBatidas[Atividade],MATCH(L716,tblBatidas[Batida ID],0)),"DIVERGÊNCIA DE ATIVIDADE",IF(OR(B716&lt;=INDEX(tblBatidas[Data e hora],MATCH(L716,tblBatidas[Batida ID],0)),(B716-INDEX(tblBatidas[Data e hora],MATCH(L716,tblBatidas[Batida ID],0)))*24&gt;16),"HORÁRIO INVÁLIDO","VINCULADO"))))))),"INÍCIO")</f>
        <v>SEM VÍNCULO</v>
      </c>
    </row>
    <row r="717" spans="1:13" hidden="1">
      <c r="A717" t="s">
        <v>1347</v>
      </c>
      <c r="B717" s="21">
        <v>46282.331250000003</v>
      </c>
      <c r="C717" s="2">
        <f t="shared" si="22"/>
        <v>46282</v>
      </c>
      <c r="D717" t="str">
        <f t="shared" si="23"/>
        <v>QUINTA-FEIRA</v>
      </c>
      <c r="E717">
        <v>1003</v>
      </c>
      <c r="F717" t="s">
        <v>46</v>
      </c>
      <c r="G717" t="s">
        <v>499</v>
      </c>
      <c r="H717" t="s">
        <v>80</v>
      </c>
      <c r="I717" t="s">
        <v>517</v>
      </c>
      <c r="K717" t="s">
        <v>501</v>
      </c>
      <c r="L717" s="9"/>
      <c r="M717" t="str">
        <f>IF(G717="FIM",IF(L717="","SEM VÍNCULO",IF(COUNTIF(tblBatidas[Batida ID],L717)=0,"VÍNCULO INVÁLIDO",IF(COUNTIF(tblBatidas[Início vinculado],L717)&gt;1,"VÍNCULO DUPLICADO",IF(E717&lt;&gt;INDEX(tblBatidas[ID],MATCH(L717,tblBatidas[Batida ID],0)),"DIVERGÊNCIA DE ID",IF(H717&lt;&gt;INDEX(tblBatidas[Projeto],MATCH(L717,tblBatidas[Batida ID],0)),"DIVERGÊNCIA DE PROJETO",IF(I717&lt;&gt;INDEX(tblBatidas[Atividade],MATCH(L717,tblBatidas[Batida ID],0)),"DIVERGÊNCIA DE ATIVIDADE",IF(OR(B717&lt;=INDEX(tblBatidas[Data e hora],MATCH(L717,tblBatidas[Batida ID],0)),(B717-INDEX(tblBatidas[Data e hora],MATCH(L717,tblBatidas[Batida ID],0)))*24&gt;16),"HORÁRIO INVÁLIDO","VINCULADO"))))))),"INÍCIO")</f>
        <v>INÍCIO</v>
      </c>
    </row>
    <row r="718" spans="1:13" hidden="1">
      <c r="A718" t="s">
        <v>1348</v>
      </c>
      <c r="B718" s="21">
        <v>46282.338148148148</v>
      </c>
      <c r="C718" s="2">
        <f t="shared" si="22"/>
        <v>46282</v>
      </c>
      <c r="D718" t="str">
        <f t="shared" si="23"/>
        <v>QUINTA-FEIRA</v>
      </c>
      <c r="E718">
        <v>1011</v>
      </c>
      <c r="F718" t="s">
        <v>54</v>
      </c>
      <c r="G718" t="s">
        <v>499</v>
      </c>
      <c r="H718" t="s">
        <v>74</v>
      </c>
      <c r="I718" t="s">
        <v>517</v>
      </c>
      <c r="K718" t="s">
        <v>501</v>
      </c>
      <c r="L718" s="9"/>
      <c r="M718" t="str">
        <f>IF(G718="FIM",IF(L718="","SEM VÍNCULO",IF(COUNTIF(tblBatidas[Batida ID],L718)=0,"VÍNCULO INVÁLIDO",IF(COUNTIF(tblBatidas[Início vinculado],L718)&gt;1,"VÍNCULO DUPLICADO",IF(E718&lt;&gt;INDEX(tblBatidas[ID],MATCH(L718,tblBatidas[Batida ID],0)),"DIVERGÊNCIA DE ID",IF(H718&lt;&gt;INDEX(tblBatidas[Projeto],MATCH(L718,tblBatidas[Batida ID],0)),"DIVERGÊNCIA DE PROJETO",IF(I718&lt;&gt;INDEX(tblBatidas[Atividade],MATCH(L718,tblBatidas[Batida ID],0)),"DIVERGÊNCIA DE ATIVIDADE",IF(OR(B718&lt;=INDEX(tblBatidas[Data e hora],MATCH(L718,tblBatidas[Batida ID],0)),(B718-INDEX(tblBatidas[Data e hora],MATCH(L718,tblBatidas[Batida ID],0)))*24&gt;16),"HORÁRIO INVÁLIDO","VINCULADO"))))))),"INÍCIO")</f>
        <v>INÍCIO</v>
      </c>
    </row>
    <row r="719" spans="1:13" hidden="1">
      <c r="A719" t="s">
        <v>1349</v>
      </c>
      <c r="B719" s="21">
        <v>46282.348136574074</v>
      </c>
      <c r="C719" s="2">
        <f t="shared" si="22"/>
        <v>46282</v>
      </c>
      <c r="D719" t="str">
        <f t="shared" si="23"/>
        <v>QUINTA-FEIRA</v>
      </c>
      <c r="E719">
        <v>1013</v>
      </c>
      <c r="F719" t="s">
        <v>57</v>
      </c>
      <c r="G719" t="s">
        <v>499</v>
      </c>
      <c r="H719" t="s">
        <v>80</v>
      </c>
      <c r="I719" t="s">
        <v>517</v>
      </c>
      <c r="K719" t="s">
        <v>501</v>
      </c>
      <c r="L719" s="9"/>
      <c r="M719" t="str">
        <f>IF(G719="FIM",IF(L719="","SEM VÍNCULO",IF(COUNTIF(tblBatidas[Batida ID],L719)=0,"VÍNCULO INVÁLIDO",IF(COUNTIF(tblBatidas[Início vinculado],L719)&gt;1,"VÍNCULO DUPLICADO",IF(E719&lt;&gt;INDEX(tblBatidas[ID],MATCH(L719,tblBatidas[Batida ID],0)),"DIVERGÊNCIA DE ID",IF(H719&lt;&gt;INDEX(tblBatidas[Projeto],MATCH(L719,tblBatidas[Batida ID],0)),"DIVERGÊNCIA DE PROJETO",IF(I719&lt;&gt;INDEX(tblBatidas[Atividade],MATCH(L719,tblBatidas[Batida ID],0)),"DIVERGÊNCIA DE ATIVIDADE",IF(OR(B719&lt;=INDEX(tblBatidas[Data e hora],MATCH(L719,tblBatidas[Batida ID],0)),(B719-INDEX(tblBatidas[Data e hora],MATCH(L719,tblBatidas[Batida ID],0)))*24&gt;16),"HORÁRIO INVÁLIDO","VINCULADO"))))))),"INÍCIO")</f>
        <v>INÍCIO</v>
      </c>
    </row>
    <row r="720" spans="1:13">
      <c r="A720" t="s">
        <v>1350</v>
      </c>
      <c r="B720" s="21">
        <v>46282.357233796298</v>
      </c>
      <c r="C720" s="2">
        <f t="shared" si="22"/>
        <v>46282</v>
      </c>
      <c r="D720" t="str">
        <f t="shared" si="23"/>
        <v>QUINTA-FEIRA</v>
      </c>
      <c r="E720">
        <v>1002</v>
      </c>
      <c r="F720" t="s">
        <v>45</v>
      </c>
      <c r="G720" t="s">
        <v>499</v>
      </c>
      <c r="H720" t="s">
        <v>70</v>
      </c>
      <c r="I720" t="s">
        <v>517</v>
      </c>
      <c r="K720" t="s">
        <v>501</v>
      </c>
      <c r="L720" s="9"/>
      <c r="M720" t="str">
        <f>IF(G720="FIM",IF(L720="","SEM VÍNCULO",IF(COUNTIF(tblBatidas[Batida ID],L720)=0,"VÍNCULO INVÁLIDO",IF(COUNTIF(tblBatidas[Início vinculado],L720)&gt;1,"VÍNCULO DUPLICADO",IF(E720&lt;&gt;INDEX(tblBatidas[ID],MATCH(L720,tblBatidas[Batida ID],0)),"DIVERGÊNCIA DE ID",IF(H720&lt;&gt;INDEX(tblBatidas[Projeto],MATCH(L720,tblBatidas[Batida ID],0)),"DIVERGÊNCIA DE PROJETO",IF(I720&lt;&gt;INDEX(tblBatidas[Atividade],MATCH(L720,tblBatidas[Batida ID],0)),"DIVERGÊNCIA DE ATIVIDADE",IF(OR(B720&lt;=INDEX(tblBatidas[Data e hora],MATCH(L720,tblBatidas[Batida ID],0)),(B720-INDEX(tblBatidas[Data e hora],MATCH(L720,tblBatidas[Batida ID],0)))*24&gt;16),"HORÁRIO INVÁLIDO","VINCULADO"))))))),"INÍCIO")</f>
        <v>INÍCIO</v>
      </c>
    </row>
    <row r="721" spans="1:13" hidden="1">
      <c r="A721" t="s">
        <v>1351</v>
      </c>
      <c r="B721" s="21">
        <v>46282.501643518517</v>
      </c>
      <c r="C721" s="2">
        <f t="shared" si="22"/>
        <v>46282</v>
      </c>
      <c r="D721" t="str">
        <f t="shared" si="23"/>
        <v>QUINTA-FEIRA</v>
      </c>
      <c r="E721">
        <v>1003</v>
      </c>
      <c r="F721" t="s">
        <v>46</v>
      </c>
      <c r="G721" t="s">
        <v>503</v>
      </c>
      <c r="H721" t="s">
        <v>74</v>
      </c>
      <c r="I721" t="s">
        <v>517</v>
      </c>
      <c r="K721" t="s">
        <v>501</v>
      </c>
      <c r="L721" s="9"/>
      <c r="M721" t="str">
        <f>IF(G721="FIM",IF(L721="","SEM VÍNCULO",IF(COUNTIF(tblBatidas[Batida ID],L721)=0,"VÍNCULO INVÁLIDO",IF(COUNTIF(tblBatidas[Início vinculado],L721)&gt;1,"VÍNCULO DUPLICADO",IF(E721&lt;&gt;INDEX(tblBatidas[ID],MATCH(L721,tblBatidas[Batida ID],0)),"DIVERGÊNCIA DE ID",IF(H721&lt;&gt;INDEX(tblBatidas[Projeto],MATCH(L721,tblBatidas[Batida ID],0)),"DIVERGÊNCIA DE PROJETO",IF(I721&lt;&gt;INDEX(tblBatidas[Atividade],MATCH(L721,tblBatidas[Batida ID],0)),"DIVERGÊNCIA DE ATIVIDADE",IF(OR(B721&lt;=INDEX(tblBatidas[Data e hora],MATCH(L721,tblBatidas[Batida ID],0)),(B721-INDEX(tblBatidas[Data e hora],MATCH(L721,tblBatidas[Batida ID],0)))*24&gt;16),"HORÁRIO INVÁLIDO","VINCULADO"))))))),"INÍCIO")</f>
        <v>SEM VÍNCULO</v>
      </c>
    </row>
    <row r="722" spans="1:13" hidden="1">
      <c r="A722" t="s">
        <v>1352</v>
      </c>
      <c r="B722" s="21">
        <v>46282.502395833333</v>
      </c>
      <c r="C722" s="2">
        <f t="shared" si="22"/>
        <v>46282</v>
      </c>
      <c r="D722" t="str">
        <f t="shared" si="23"/>
        <v>QUINTA-FEIRA</v>
      </c>
      <c r="E722">
        <v>1013</v>
      </c>
      <c r="F722" t="s">
        <v>57</v>
      </c>
      <c r="G722" t="s">
        <v>503</v>
      </c>
      <c r="H722" t="s">
        <v>86</v>
      </c>
      <c r="I722" t="s">
        <v>517</v>
      </c>
      <c r="J722" t="s">
        <v>1353</v>
      </c>
      <c r="K722" t="s">
        <v>501</v>
      </c>
      <c r="L722" s="9"/>
      <c r="M722" t="str">
        <f>IF(G722="FIM",IF(L722="","SEM VÍNCULO",IF(COUNTIF(tblBatidas[Batida ID],L722)=0,"VÍNCULO INVÁLIDO",IF(COUNTIF(tblBatidas[Início vinculado],L722)&gt;1,"VÍNCULO DUPLICADO",IF(E722&lt;&gt;INDEX(tblBatidas[ID],MATCH(L722,tblBatidas[Batida ID],0)),"DIVERGÊNCIA DE ID",IF(H722&lt;&gt;INDEX(tblBatidas[Projeto],MATCH(L722,tblBatidas[Batida ID],0)),"DIVERGÊNCIA DE PROJETO",IF(I722&lt;&gt;INDEX(tblBatidas[Atividade],MATCH(L722,tblBatidas[Batida ID],0)),"DIVERGÊNCIA DE ATIVIDADE",IF(OR(B722&lt;=INDEX(tblBatidas[Data e hora],MATCH(L722,tblBatidas[Batida ID],0)),(B722-INDEX(tblBatidas[Data e hora],MATCH(L722,tblBatidas[Batida ID],0)))*24&gt;16),"HORÁRIO INVÁLIDO","VINCULADO"))))))),"INÍCIO")</f>
        <v>SEM VÍNCULO</v>
      </c>
    </row>
    <row r="723" spans="1:13">
      <c r="A723" t="s">
        <v>1354</v>
      </c>
      <c r="B723" s="21">
        <v>46282.503101851849</v>
      </c>
      <c r="C723" s="2">
        <f t="shared" si="22"/>
        <v>46282</v>
      </c>
      <c r="D723" t="str">
        <f t="shared" si="23"/>
        <v>QUINTA-FEIRA</v>
      </c>
      <c r="E723">
        <v>1002</v>
      </c>
      <c r="F723" t="s">
        <v>45</v>
      </c>
      <c r="G723" t="s">
        <v>503</v>
      </c>
      <c r="H723" t="s">
        <v>70</v>
      </c>
      <c r="I723" t="s">
        <v>517</v>
      </c>
      <c r="K723" t="s">
        <v>501</v>
      </c>
      <c r="L723" s="9" t="s">
        <v>1350</v>
      </c>
      <c r="M723" t="str">
        <f>IF(G723="FIM",IF(L723="","SEM VÍNCULO",IF(COUNTIF(tblBatidas[Batida ID],L723)=0,"VÍNCULO INVÁLIDO",IF(COUNTIF(tblBatidas[Início vinculado],L723)&gt;1,"VÍNCULO DUPLICADO",IF(E723&lt;&gt;INDEX(tblBatidas[ID],MATCH(L723,tblBatidas[Batida ID],0)),"DIVERGÊNCIA DE ID",IF(H723&lt;&gt;INDEX(tblBatidas[Projeto],MATCH(L723,tblBatidas[Batida ID],0)),"DIVERGÊNCIA DE PROJETO",IF(I723&lt;&gt;INDEX(tblBatidas[Atividade],MATCH(L723,tblBatidas[Batida ID],0)),"DIVERGÊNCIA DE ATIVIDADE",IF(OR(B723&lt;=INDEX(tblBatidas[Data e hora],MATCH(L723,tblBatidas[Batida ID],0)),(B723-INDEX(tblBatidas[Data e hora],MATCH(L723,tblBatidas[Batida ID],0)))*24&gt;16),"HORÁRIO INVÁLIDO","VINCULADO"))))))),"INÍCIO")</f>
        <v>VINCULADO</v>
      </c>
    </row>
    <row r="724" spans="1:13" hidden="1">
      <c r="A724" t="s">
        <v>1355</v>
      </c>
      <c r="B724" s="21">
        <v>46282.509953703702</v>
      </c>
      <c r="C724" s="2">
        <f t="shared" si="22"/>
        <v>46282</v>
      </c>
      <c r="D724" t="str">
        <f t="shared" si="23"/>
        <v>QUINTA-FEIRA</v>
      </c>
      <c r="E724">
        <v>1011</v>
      </c>
      <c r="F724" t="s">
        <v>54</v>
      </c>
      <c r="G724" t="s">
        <v>503</v>
      </c>
      <c r="H724" t="s">
        <v>88</v>
      </c>
      <c r="I724" t="s">
        <v>517</v>
      </c>
      <c r="K724" t="s">
        <v>501</v>
      </c>
      <c r="L724" s="9"/>
      <c r="M724" t="str">
        <f>IF(G724="FIM",IF(L724="","SEM VÍNCULO",IF(COUNTIF(tblBatidas[Batida ID],L724)=0,"VÍNCULO INVÁLIDO",IF(COUNTIF(tblBatidas[Início vinculado],L724)&gt;1,"VÍNCULO DUPLICADO",IF(E724&lt;&gt;INDEX(tblBatidas[ID],MATCH(L724,tblBatidas[Batida ID],0)),"DIVERGÊNCIA DE ID",IF(H724&lt;&gt;INDEX(tblBatidas[Projeto],MATCH(L724,tblBatidas[Batida ID],0)),"DIVERGÊNCIA DE PROJETO",IF(I724&lt;&gt;INDEX(tblBatidas[Atividade],MATCH(L724,tblBatidas[Batida ID],0)),"DIVERGÊNCIA DE ATIVIDADE",IF(OR(B724&lt;=INDEX(tblBatidas[Data e hora],MATCH(L724,tblBatidas[Batida ID],0)),(B724-INDEX(tblBatidas[Data e hora],MATCH(L724,tblBatidas[Batida ID],0)))*24&gt;16),"HORÁRIO INVÁLIDO","VINCULADO"))))))),"INÍCIO")</f>
        <v>SEM VÍNCULO</v>
      </c>
    </row>
    <row r="725" spans="1:13" hidden="1">
      <c r="A725" t="s">
        <v>1356</v>
      </c>
      <c r="B725" s="21">
        <v>46282.536886574075</v>
      </c>
      <c r="C725" s="2">
        <f t="shared" si="22"/>
        <v>46282</v>
      </c>
      <c r="D725" t="str">
        <f t="shared" si="23"/>
        <v>QUINTA-FEIRA</v>
      </c>
      <c r="E725">
        <v>1003</v>
      </c>
      <c r="F725" t="s">
        <v>46</v>
      </c>
      <c r="G725" t="s">
        <v>499</v>
      </c>
      <c r="H725" t="s">
        <v>74</v>
      </c>
      <c r="I725" t="s">
        <v>517</v>
      </c>
      <c r="K725" t="s">
        <v>501</v>
      </c>
      <c r="L725" s="9"/>
      <c r="M725" t="str">
        <f>IF(G725="FIM",IF(L725="","SEM VÍNCULO",IF(COUNTIF(tblBatidas[Batida ID],L725)=0,"VÍNCULO INVÁLIDO",IF(COUNTIF(tblBatidas[Início vinculado],L725)&gt;1,"VÍNCULO DUPLICADO",IF(E725&lt;&gt;INDEX(tblBatidas[ID],MATCH(L725,tblBatidas[Batida ID],0)),"DIVERGÊNCIA DE ID",IF(H725&lt;&gt;INDEX(tblBatidas[Projeto],MATCH(L725,tblBatidas[Batida ID],0)),"DIVERGÊNCIA DE PROJETO",IF(I725&lt;&gt;INDEX(tblBatidas[Atividade],MATCH(L725,tblBatidas[Batida ID],0)),"DIVERGÊNCIA DE ATIVIDADE",IF(OR(B725&lt;=INDEX(tblBatidas[Data e hora],MATCH(L725,tblBatidas[Batida ID],0)),(B725-INDEX(tblBatidas[Data e hora],MATCH(L725,tblBatidas[Batida ID],0)))*24&gt;16),"HORÁRIO INVÁLIDO","VINCULADO"))))))),"INÍCIO")</f>
        <v>INÍCIO</v>
      </c>
    </row>
    <row r="726" spans="1:13" hidden="1">
      <c r="A726" t="s">
        <v>1357</v>
      </c>
      <c r="B726" s="21">
        <v>46282.537407407406</v>
      </c>
      <c r="C726" s="2">
        <f t="shared" si="22"/>
        <v>46282</v>
      </c>
      <c r="D726" t="str">
        <f t="shared" si="23"/>
        <v>QUINTA-FEIRA</v>
      </c>
      <c r="E726">
        <v>1013</v>
      </c>
      <c r="F726" t="s">
        <v>57</v>
      </c>
      <c r="G726" t="s">
        <v>499</v>
      </c>
      <c r="H726" t="s">
        <v>86</v>
      </c>
      <c r="I726" t="s">
        <v>517</v>
      </c>
      <c r="J726" t="s">
        <v>1358</v>
      </c>
      <c r="K726" t="s">
        <v>501</v>
      </c>
      <c r="L726" s="9"/>
      <c r="M726" t="str">
        <f>IF(G726="FIM",IF(L726="","SEM VÍNCULO",IF(COUNTIF(tblBatidas[Batida ID],L726)=0,"VÍNCULO INVÁLIDO",IF(COUNTIF(tblBatidas[Início vinculado],L726)&gt;1,"VÍNCULO DUPLICADO",IF(E726&lt;&gt;INDEX(tblBatidas[ID],MATCH(L726,tblBatidas[Batida ID],0)),"DIVERGÊNCIA DE ID",IF(H726&lt;&gt;INDEX(tblBatidas[Projeto],MATCH(L726,tblBatidas[Batida ID],0)),"DIVERGÊNCIA DE PROJETO",IF(I726&lt;&gt;INDEX(tblBatidas[Atividade],MATCH(L726,tblBatidas[Batida ID],0)),"DIVERGÊNCIA DE ATIVIDADE",IF(OR(B726&lt;=INDEX(tblBatidas[Data e hora],MATCH(L726,tblBatidas[Batida ID],0)),(B726-INDEX(tblBatidas[Data e hora],MATCH(L726,tblBatidas[Batida ID],0)))*24&gt;16),"HORÁRIO INVÁLIDO","VINCULADO"))))))),"INÍCIO")</f>
        <v>INÍCIO</v>
      </c>
    </row>
    <row r="727" spans="1:13" hidden="1">
      <c r="A727" t="s">
        <v>1359</v>
      </c>
      <c r="B727" s="21">
        <v>46282.541180555556</v>
      </c>
      <c r="C727" s="2">
        <f t="shared" si="22"/>
        <v>46282</v>
      </c>
      <c r="D727" t="str">
        <f t="shared" si="23"/>
        <v>QUINTA-FEIRA</v>
      </c>
      <c r="E727">
        <v>1011</v>
      </c>
      <c r="F727" t="s">
        <v>54</v>
      </c>
      <c r="G727" t="s">
        <v>499</v>
      </c>
      <c r="H727" t="s">
        <v>74</v>
      </c>
      <c r="I727" t="s">
        <v>517</v>
      </c>
      <c r="J727" t="s">
        <v>1358</v>
      </c>
      <c r="K727" t="s">
        <v>501</v>
      </c>
      <c r="L727" s="9"/>
      <c r="M727" t="str">
        <f>IF(G727="FIM",IF(L727="","SEM VÍNCULO",IF(COUNTIF(tblBatidas[Batida ID],L727)=0,"VÍNCULO INVÁLIDO",IF(COUNTIF(tblBatidas[Início vinculado],L727)&gt;1,"VÍNCULO DUPLICADO",IF(E727&lt;&gt;INDEX(tblBatidas[ID],MATCH(L727,tblBatidas[Batida ID],0)),"DIVERGÊNCIA DE ID",IF(H727&lt;&gt;INDEX(tblBatidas[Projeto],MATCH(L727,tblBatidas[Batida ID],0)),"DIVERGÊNCIA DE PROJETO",IF(I727&lt;&gt;INDEX(tblBatidas[Atividade],MATCH(L727,tblBatidas[Batida ID],0)),"DIVERGÊNCIA DE ATIVIDADE",IF(OR(B727&lt;=INDEX(tblBatidas[Data e hora],MATCH(L727,tblBatidas[Batida ID],0)),(B727-INDEX(tblBatidas[Data e hora],MATCH(L727,tblBatidas[Batida ID],0)))*24&gt;16),"HORÁRIO INVÁLIDO","VINCULADO"))))))),"INÍCIO")</f>
        <v>INÍCIO</v>
      </c>
    </row>
    <row r="728" spans="1:13">
      <c r="A728" t="s">
        <v>1360</v>
      </c>
      <c r="B728" s="21">
        <v>46282.552824074075</v>
      </c>
      <c r="C728" s="2">
        <f t="shared" si="22"/>
        <v>46282</v>
      </c>
      <c r="D728" t="str">
        <f t="shared" si="23"/>
        <v>QUINTA-FEIRA</v>
      </c>
      <c r="E728">
        <v>1002</v>
      </c>
      <c r="F728" t="s">
        <v>45</v>
      </c>
      <c r="G728" t="s">
        <v>499</v>
      </c>
      <c r="H728" t="s">
        <v>80</v>
      </c>
      <c r="I728" t="s">
        <v>517</v>
      </c>
      <c r="K728" t="s">
        <v>501</v>
      </c>
      <c r="L728" s="9"/>
      <c r="M728" t="str">
        <f>IF(G728="FIM",IF(L728="","SEM VÍNCULO",IF(COUNTIF(tblBatidas[Batida ID],L728)=0,"VÍNCULO INVÁLIDO",IF(COUNTIF(tblBatidas[Início vinculado],L728)&gt;1,"VÍNCULO DUPLICADO",IF(E728&lt;&gt;INDEX(tblBatidas[ID],MATCH(L728,tblBatidas[Batida ID],0)),"DIVERGÊNCIA DE ID",IF(H728&lt;&gt;INDEX(tblBatidas[Projeto],MATCH(L728,tblBatidas[Batida ID],0)),"DIVERGÊNCIA DE PROJETO",IF(I728&lt;&gt;INDEX(tblBatidas[Atividade],MATCH(L728,tblBatidas[Batida ID],0)),"DIVERGÊNCIA DE ATIVIDADE",IF(OR(B728&lt;=INDEX(tblBatidas[Data e hora],MATCH(L728,tblBatidas[Batida ID],0)),(B728-INDEX(tblBatidas[Data e hora],MATCH(L728,tblBatidas[Batida ID],0)))*24&gt;16),"HORÁRIO INVÁLIDO","VINCULADO"))))))),"INÍCIO")</f>
        <v>INÍCIO</v>
      </c>
    </row>
    <row r="729" spans="1:13">
      <c r="A729" t="s">
        <v>1361</v>
      </c>
      <c r="B729" s="21">
        <v>46282.747349537036</v>
      </c>
      <c r="C729" s="2">
        <f t="shared" si="22"/>
        <v>46282</v>
      </c>
      <c r="D729" t="str">
        <f t="shared" si="23"/>
        <v>QUINTA-FEIRA</v>
      </c>
      <c r="E729">
        <v>1002</v>
      </c>
      <c r="F729" t="s">
        <v>45</v>
      </c>
      <c r="G729" t="s">
        <v>503</v>
      </c>
      <c r="H729" t="s">
        <v>80</v>
      </c>
      <c r="I729" t="s">
        <v>517</v>
      </c>
      <c r="K729" t="s">
        <v>501</v>
      </c>
      <c r="L729" s="9" t="s">
        <v>1360</v>
      </c>
      <c r="M729" t="str">
        <f>IF(G729="FIM",IF(L729="","SEM VÍNCULO",IF(COUNTIF(tblBatidas[Batida ID],L729)=0,"VÍNCULO INVÁLIDO",IF(COUNTIF(tblBatidas[Início vinculado],L729)&gt;1,"VÍNCULO DUPLICADO",IF(E729&lt;&gt;INDEX(tblBatidas[ID],MATCH(L729,tblBatidas[Batida ID],0)),"DIVERGÊNCIA DE ID",IF(H729&lt;&gt;INDEX(tblBatidas[Projeto],MATCH(L729,tblBatidas[Batida ID],0)),"DIVERGÊNCIA DE PROJETO",IF(I729&lt;&gt;INDEX(tblBatidas[Atividade],MATCH(L729,tblBatidas[Batida ID],0)),"DIVERGÊNCIA DE ATIVIDADE",IF(OR(B729&lt;=INDEX(tblBatidas[Data e hora],MATCH(L729,tblBatidas[Batida ID],0)),(B729-INDEX(tblBatidas[Data e hora],MATCH(L729,tblBatidas[Batida ID],0)))*24&gt;16),"HORÁRIO INVÁLIDO","VINCULADO"))))))),"INÍCIO")</f>
        <v>VINCULADO</v>
      </c>
    </row>
    <row r="730" spans="1:13" hidden="1">
      <c r="A730" t="s">
        <v>1362</v>
      </c>
      <c r="B730" s="21">
        <v>46282.750254629631</v>
      </c>
      <c r="C730" s="2">
        <f t="shared" si="22"/>
        <v>46282</v>
      </c>
      <c r="D730" t="str">
        <f t="shared" si="23"/>
        <v>QUINTA-FEIRA</v>
      </c>
      <c r="E730">
        <v>1003</v>
      </c>
      <c r="F730" t="s">
        <v>46</v>
      </c>
      <c r="G730" t="s">
        <v>503</v>
      </c>
      <c r="H730" t="s">
        <v>74</v>
      </c>
      <c r="I730" t="s">
        <v>517</v>
      </c>
      <c r="K730" t="s">
        <v>501</v>
      </c>
      <c r="L730" s="9" t="s">
        <v>1356</v>
      </c>
      <c r="M730" t="str">
        <f>IF(G730="FIM",IF(L730="","SEM VÍNCULO",IF(COUNTIF(tblBatidas[Batida ID],L730)=0,"VÍNCULO INVÁLIDO",IF(COUNTIF(tblBatidas[Início vinculado],L730)&gt;1,"VÍNCULO DUPLICADO",IF(E730&lt;&gt;INDEX(tblBatidas[ID],MATCH(L730,tblBatidas[Batida ID],0)),"DIVERGÊNCIA DE ID",IF(H730&lt;&gt;INDEX(tblBatidas[Projeto],MATCH(L730,tblBatidas[Batida ID],0)),"DIVERGÊNCIA DE PROJETO",IF(I730&lt;&gt;INDEX(tblBatidas[Atividade],MATCH(L730,tblBatidas[Batida ID],0)),"DIVERGÊNCIA DE ATIVIDADE",IF(OR(B730&lt;=INDEX(tblBatidas[Data e hora],MATCH(L730,tblBatidas[Batida ID],0)),(B730-INDEX(tblBatidas[Data e hora],MATCH(L730,tblBatidas[Batida ID],0)))*24&gt;16),"HORÁRIO INVÁLIDO","VINCULADO"))))))),"INÍCIO")</f>
        <v>VINCULADO</v>
      </c>
    </row>
    <row r="731" spans="1:13" hidden="1">
      <c r="A731" t="s">
        <v>1363</v>
      </c>
      <c r="B731" s="21">
        <v>46282.750648148147</v>
      </c>
      <c r="C731" s="2">
        <f t="shared" si="22"/>
        <v>46282</v>
      </c>
      <c r="D731" t="str">
        <f t="shared" si="23"/>
        <v>QUINTA-FEIRA</v>
      </c>
      <c r="E731">
        <v>1013</v>
      </c>
      <c r="F731" t="s">
        <v>57</v>
      </c>
      <c r="G731" t="s">
        <v>503</v>
      </c>
      <c r="H731" t="s">
        <v>86</v>
      </c>
      <c r="I731" t="s">
        <v>517</v>
      </c>
      <c r="J731" t="s">
        <v>1364</v>
      </c>
      <c r="K731" t="s">
        <v>501</v>
      </c>
      <c r="L731" s="9" t="s">
        <v>1357</v>
      </c>
      <c r="M731" t="str">
        <f>IF(G731="FIM",IF(L731="","SEM VÍNCULO",IF(COUNTIF(tblBatidas[Batida ID],L731)=0,"VÍNCULO INVÁLIDO",IF(COUNTIF(tblBatidas[Início vinculado],L731)&gt;1,"VÍNCULO DUPLICADO",IF(E731&lt;&gt;INDEX(tblBatidas[ID],MATCH(L731,tblBatidas[Batida ID],0)),"DIVERGÊNCIA DE ID",IF(H731&lt;&gt;INDEX(tblBatidas[Projeto],MATCH(L731,tblBatidas[Batida ID],0)),"DIVERGÊNCIA DE PROJETO",IF(I731&lt;&gt;INDEX(tblBatidas[Atividade],MATCH(L731,tblBatidas[Batida ID],0)),"DIVERGÊNCIA DE ATIVIDADE",IF(OR(B731&lt;=INDEX(tblBatidas[Data e hora],MATCH(L731,tblBatidas[Batida ID],0)),(B731-INDEX(tblBatidas[Data e hora],MATCH(L731,tblBatidas[Batida ID],0)))*24&gt;16),"HORÁRIO INVÁLIDO","VINCULADO"))))))),"INÍCIO")</f>
        <v>VINCULADO</v>
      </c>
    </row>
    <row r="732" spans="1:13" hidden="1">
      <c r="A732" t="s">
        <v>1365</v>
      </c>
      <c r="B732" s="21">
        <v>46282.856122685182</v>
      </c>
      <c r="C732" s="2">
        <f t="shared" si="22"/>
        <v>46282</v>
      </c>
      <c r="D732" t="str">
        <f t="shared" si="23"/>
        <v>QUINTA-FEIRA</v>
      </c>
      <c r="E732">
        <v>1011</v>
      </c>
      <c r="F732" t="s">
        <v>54</v>
      </c>
      <c r="G732" t="s">
        <v>503</v>
      </c>
      <c r="H732" t="s">
        <v>74</v>
      </c>
      <c r="I732" t="s">
        <v>517</v>
      </c>
      <c r="K732" t="s">
        <v>501</v>
      </c>
      <c r="L732" s="9" t="s">
        <v>1359</v>
      </c>
      <c r="M732" t="str">
        <f>IF(G732="FIM",IF(L732="","SEM VÍNCULO",IF(COUNTIF(tblBatidas[Batida ID],L732)=0,"VÍNCULO INVÁLIDO",IF(COUNTIF(tblBatidas[Início vinculado],L732)&gt;1,"VÍNCULO DUPLICADO",IF(E732&lt;&gt;INDEX(tblBatidas[ID],MATCH(L732,tblBatidas[Batida ID],0)),"DIVERGÊNCIA DE ID",IF(H732&lt;&gt;INDEX(tblBatidas[Projeto],MATCH(L732,tblBatidas[Batida ID],0)),"DIVERGÊNCIA DE PROJETO",IF(I732&lt;&gt;INDEX(tblBatidas[Atividade],MATCH(L732,tblBatidas[Batida ID],0)),"DIVERGÊNCIA DE ATIVIDADE",IF(OR(B732&lt;=INDEX(tblBatidas[Data e hora],MATCH(L732,tblBatidas[Batida ID],0)),(B732-INDEX(tblBatidas[Data e hora],MATCH(L732,tblBatidas[Batida ID],0)))*24&gt;16),"HORÁRIO INVÁLIDO","VINCULADO"))))))),"INÍCIO")</f>
        <v>VINCULADO</v>
      </c>
    </row>
    <row r="733" spans="1:13">
      <c r="A733" t="s">
        <v>1366</v>
      </c>
      <c r="B733" s="21">
        <v>46283.312256944446</v>
      </c>
      <c r="C733" s="2">
        <f t="shared" si="22"/>
        <v>46283</v>
      </c>
      <c r="D733" t="str">
        <f t="shared" si="23"/>
        <v>SEXTA-FEIRA</v>
      </c>
      <c r="E733">
        <v>1002</v>
      </c>
      <c r="F733" t="s">
        <v>45</v>
      </c>
      <c r="G733" t="s">
        <v>499</v>
      </c>
      <c r="H733" t="s">
        <v>80</v>
      </c>
      <c r="I733" t="s">
        <v>517</v>
      </c>
      <c r="K733" t="s">
        <v>501</v>
      </c>
      <c r="L733" s="9"/>
      <c r="M733" t="str">
        <f>IF(G733="FIM",IF(L733="","SEM VÍNCULO",IF(COUNTIF(tblBatidas[Batida ID],L733)=0,"VÍNCULO INVÁLIDO",IF(COUNTIF(tblBatidas[Início vinculado],L733)&gt;1,"VÍNCULO DUPLICADO",IF(E733&lt;&gt;INDEX(tblBatidas[ID],MATCH(L733,tblBatidas[Batida ID],0)),"DIVERGÊNCIA DE ID",IF(H733&lt;&gt;INDEX(tblBatidas[Projeto],MATCH(L733,tblBatidas[Batida ID],0)),"DIVERGÊNCIA DE PROJETO",IF(I733&lt;&gt;INDEX(tblBatidas[Atividade],MATCH(L733,tblBatidas[Batida ID],0)),"DIVERGÊNCIA DE ATIVIDADE",IF(OR(B733&lt;=INDEX(tblBatidas[Data e hora],MATCH(L733,tblBatidas[Batida ID],0)),(B733-INDEX(tblBatidas[Data e hora],MATCH(L733,tblBatidas[Batida ID],0)))*24&gt;16),"HORÁRIO INVÁLIDO","VINCULADO"))))))),"INÍCIO")</f>
        <v>INÍCIO</v>
      </c>
    </row>
    <row r="734" spans="1:13" hidden="1">
      <c r="A734" t="s">
        <v>1367</v>
      </c>
      <c r="B734" s="21">
        <v>46283.333587962959</v>
      </c>
      <c r="C734" s="2">
        <f t="shared" si="22"/>
        <v>46283</v>
      </c>
      <c r="D734" t="str">
        <f t="shared" si="23"/>
        <v>SEXTA-FEIRA</v>
      </c>
      <c r="E734">
        <v>1003</v>
      </c>
      <c r="F734" t="s">
        <v>46</v>
      </c>
      <c r="G734" t="s">
        <v>499</v>
      </c>
      <c r="H734" t="s">
        <v>74</v>
      </c>
      <c r="I734" t="s">
        <v>517</v>
      </c>
      <c r="K734" t="s">
        <v>501</v>
      </c>
      <c r="L734" s="9"/>
      <c r="M734" t="str">
        <f>IF(G734="FIM",IF(L734="","SEM VÍNCULO",IF(COUNTIF(tblBatidas[Batida ID],L734)=0,"VÍNCULO INVÁLIDO",IF(COUNTIF(tblBatidas[Início vinculado],L734)&gt;1,"VÍNCULO DUPLICADO",IF(E734&lt;&gt;INDEX(tblBatidas[ID],MATCH(L734,tblBatidas[Batida ID],0)),"DIVERGÊNCIA DE ID",IF(H734&lt;&gt;INDEX(tblBatidas[Projeto],MATCH(L734,tblBatidas[Batida ID],0)),"DIVERGÊNCIA DE PROJETO",IF(I734&lt;&gt;INDEX(tblBatidas[Atividade],MATCH(L734,tblBatidas[Batida ID],0)),"DIVERGÊNCIA DE ATIVIDADE",IF(OR(B734&lt;=INDEX(tblBatidas[Data e hora],MATCH(L734,tblBatidas[Batida ID],0)),(B734-INDEX(tblBatidas[Data e hora],MATCH(L734,tblBatidas[Batida ID],0)))*24&gt;16),"HORÁRIO INVÁLIDO","VINCULADO"))))))),"INÍCIO")</f>
        <v>INÍCIO</v>
      </c>
    </row>
    <row r="735" spans="1:13" hidden="1">
      <c r="A735" t="s">
        <v>1368</v>
      </c>
      <c r="B735" s="21">
        <v>46283.335543981484</v>
      </c>
      <c r="C735" s="2">
        <f t="shared" si="22"/>
        <v>46283</v>
      </c>
      <c r="D735" t="str">
        <f t="shared" si="23"/>
        <v>SEXTA-FEIRA</v>
      </c>
      <c r="E735">
        <v>1011</v>
      </c>
      <c r="F735" t="s">
        <v>54</v>
      </c>
      <c r="G735" t="s">
        <v>499</v>
      </c>
      <c r="H735" t="s">
        <v>74</v>
      </c>
      <c r="I735" t="s">
        <v>517</v>
      </c>
      <c r="K735" t="s">
        <v>501</v>
      </c>
      <c r="L735" s="9"/>
      <c r="M735" t="str">
        <f>IF(G735="FIM",IF(L735="","SEM VÍNCULO",IF(COUNTIF(tblBatidas[Batida ID],L735)=0,"VÍNCULO INVÁLIDO",IF(COUNTIF(tblBatidas[Início vinculado],L735)&gt;1,"VÍNCULO DUPLICADO",IF(E735&lt;&gt;INDEX(tblBatidas[ID],MATCH(L735,tblBatidas[Batida ID],0)),"DIVERGÊNCIA DE ID",IF(H735&lt;&gt;INDEX(tblBatidas[Projeto],MATCH(L735,tblBatidas[Batida ID],0)),"DIVERGÊNCIA DE PROJETO",IF(I735&lt;&gt;INDEX(tblBatidas[Atividade],MATCH(L735,tblBatidas[Batida ID],0)),"DIVERGÊNCIA DE ATIVIDADE",IF(OR(B735&lt;=INDEX(tblBatidas[Data e hora],MATCH(L735,tblBatidas[Batida ID],0)),(B735-INDEX(tblBatidas[Data e hora],MATCH(L735,tblBatidas[Batida ID],0)))*24&gt;16),"HORÁRIO INVÁLIDO","VINCULADO"))))))),"INÍCIO")</f>
        <v>INÍCIO</v>
      </c>
    </row>
    <row r="736" spans="1:13" hidden="1">
      <c r="A736" t="s">
        <v>1369</v>
      </c>
      <c r="B736" s="21">
        <v>46283.347395833334</v>
      </c>
      <c r="C736" s="2">
        <f t="shared" si="22"/>
        <v>46283</v>
      </c>
      <c r="D736" t="str">
        <f t="shared" si="23"/>
        <v>SEXTA-FEIRA</v>
      </c>
      <c r="E736">
        <v>1013</v>
      </c>
      <c r="F736" t="s">
        <v>57</v>
      </c>
      <c r="G736" t="s">
        <v>499</v>
      </c>
      <c r="H736" t="s">
        <v>86</v>
      </c>
      <c r="I736" t="s">
        <v>517</v>
      </c>
      <c r="J736" t="s">
        <v>1358</v>
      </c>
      <c r="K736" t="s">
        <v>501</v>
      </c>
      <c r="L736" s="9"/>
      <c r="M736" t="str">
        <f>IF(G736="FIM",IF(L736="","SEM VÍNCULO",IF(COUNTIF(tblBatidas[Batida ID],L736)=0,"VÍNCULO INVÁLIDO",IF(COUNTIF(tblBatidas[Início vinculado],L736)&gt;1,"VÍNCULO DUPLICADO",IF(E736&lt;&gt;INDEX(tblBatidas[ID],MATCH(L736,tblBatidas[Batida ID],0)),"DIVERGÊNCIA DE ID",IF(H736&lt;&gt;INDEX(tblBatidas[Projeto],MATCH(L736,tblBatidas[Batida ID],0)),"DIVERGÊNCIA DE PROJETO",IF(I736&lt;&gt;INDEX(tblBatidas[Atividade],MATCH(L736,tblBatidas[Batida ID],0)),"DIVERGÊNCIA DE ATIVIDADE",IF(OR(B736&lt;=INDEX(tblBatidas[Data e hora],MATCH(L736,tblBatidas[Batida ID],0)),(B736-INDEX(tblBatidas[Data e hora],MATCH(L736,tblBatidas[Batida ID],0)))*24&gt;16),"HORÁRIO INVÁLIDO","VINCULADO"))))))),"INÍCIO")</f>
        <v>INÍCIO</v>
      </c>
    </row>
    <row r="737" spans="1:13" hidden="1">
      <c r="A737" t="s">
        <v>1370</v>
      </c>
      <c r="B737" s="21">
        <v>46283.502557870372</v>
      </c>
      <c r="C737" s="2">
        <f t="shared" si="22"/>
        <v>46283</v>
      </c>
      <c r="D737" t="str">
        <f t="shared" si="23"/>
        <v>SEXTA-FEIRA</v>
      </c>
      <c r="E737">
        <v>1013</v>
      </c>
      <c r="F737" t="s">
        <v>57</v>
      </c>
      <c r="G737" t="s">
        <v>503</v>
      </c>
      <c r="H737" t="s">
        <v>86</v>
      </c>
      <c r="I737" t="s">
        <v>517</v>
      </c>
      <c r="J737" t="s">
        <v>1358</v>
      </c>
      <c r="K737" t="s">
        <v>501</v>
      </c>
      <c r="L737" s="9" t="s">
        <v>1369</v>
      </c>
      <c r="M737" t="str">
        <f>IF(G737="FIM",IF(L737="","SEM VÍNCULO",IF(COUNTIF(tblBatidas[Batida ID],L737)=0,"VÍNCULO INVÁLIDO",IF(COUNTIF(tblBatidas[Início vinculado],L737)&gt;1,"VÍNCULO DUPLICADO",IF(E737&lt;&gt;INDEX(tblBatidas[ID],MATCH(L737,tblBatidas[Batida ID],0)),"DIVERGÊNCIA DE ID",IF(H737&lt;&gt;INDEX(tblBatidas[Projeto],MATCH(L737,tblBatidas[Batida ID],0)),"DIVERGÊNCIA DE PROJETO",IF(I737&lt;&gt;INDEX(tblBatidas[Atividade],MATCH(L737,tblBatidas[Batida ID],0)),"DIVERGÊNCIA DE ATIVIDADE",IF(OR(B737&lt;=INDEX(tblBatidas[Data e hora],MATCH(L737,tblBatidas[Batida ID],0)),(B737-INDEX(tblBatidas[Data e hora],MATCH(L737,tblBatidas[Batida ID],0)))*24&gt;16),"HORÁRIO INVÁLIDO","VINCULADO"))))))),"INÍCIO")</f>
        <v>VINCULADO</v>
      </c>
    </row>
    <row r="738" spans="1:13" hidden="1">
      <c r="A738" t="s">
        <v>1371</v>
      </c>
      <c r="B738" s="21">
        <v>46283.503055555557</v>
      </c>
      <c r="C738" s="2">
        <f t="shared" si="22"/>
        <v>46283</v>
      </c>
      <c r="D738" t="str">
        <f t="shared" si="23"/>
        <v>SEXTA-FEIRA</v>
      </c>
      <c r="E738">
        <v>1003</v>
      </c>
      <c r="F738" t="s">
        <v>46</v>
      </c>
      <c r="G738" t="s">
        <v>499</v>
      </c>
      <c r="H738" t="s">
        <v>74</v>
      </c>
      <c r="I738" t="s">
        <v>517</v>
      </c>
      <c r="K738" t="s">
        <v>501</v>
      </c>
      <c r="L738" s="9"/>
      <c r="M738" t="str">
        <f>IF(G738="FIM",IF(L738="","SEM VÍNCULO",IF(COUNTIF(tblBatidas[Batida ID],L738)=0,"VÍNCULO INVÁLIDO",IF(COUNTIF(tblBatidas[Início vinculado],L738)&gt;1,"VÍNCULO DUPLICADO",IF(E738&lt;&gt;INDEX(tblBatidas[ID],MATCH(L738,tblBatidas[Batida ID],0)),"DIVERGÊNCIA DE ID",IF(H738&lt;&gt;INDEX(tblBatidas[Projeto],MATCH(L738,tblBatidas[Batida ID],0)),"DIVERGÊNCIA DE PROJETO",IF(I738&lt;&gt;INDEX(tblBatidas[Atividade],MATCH(L738,tblBatidas[Batida ID],0)),"DIVERGÊNCIA DE ATIVIDADE",IF(OR(B738&lt;=INDEX(tblBatidas[Data e hora],MATCH(L738,tblBatidas[Batida ID],0)),(B738-INDEX(tblBatidas[Data e hora],MATCH(L738,tblBatidas[Batida ID],0)))*24&gt;16),"HORÁRIO INVÁLIDO","VINCULADO"))))))),"INÍCIO")</f>
        <v>INÍCIO</v>
      </c>
    </row>
    <row r="739" spans="1:13" hidden="1">
      <c r="A739" t="s">
        <v>1372</v>
      </c>
      <c r="B739" s="21">
        <v>46283.507557870369</v>
      </c>
      <c r="C739" s="2">
        <f t="shared" si="22"/>
        <v>46283</v>
      </c>
      <c r="D739" t="str">
        <f t="shared" si="23"/>
        <v>SEXTA-FEIRA</v>
      </c>
      <c r="E739">
        <v>1011</v>
      </c>
      <c r="F739" t="s">
        <v>54</v>
      </c>
      <c r="G739" t="s">
        <v>503</v>
      </c>
      <c r="H739" t="s">
        <v>74</v>
      </c>
      <c r="I739" t="s">
        <v>517</v>
      </c>
      <c r="K739" t="s">
        <v>501</v>
      </c>
      <c r="L739" s="9" t="s">
        <v>1368</v>
      </c>
      <c r="M739" t="str">
        <f>IF(G739="FIM",IF(L739="","SEM VÍNCULO",IF(COUNTIF(tblBatidas[Batida ID],L739)=0,"VÍNCULO INVÁLIDO",IF(COUNTIF(tblBatidas[Início vinculado],L739)&gt;1,"VÍNCULO DUPLICADO",IF(E739&lt;&gt;INDEX(tblBatidas[ID],MATCH(L739,tblBatidas[Batida ID],0)),"DIVERGÊNCIA DE ID",IF(H739&lt;&gt;INDEX(tblBatidas[Projeto],MATCH(L739,tblBatidas[Batida ID],0)),"DIVERGÊNCIA DE PROJETO",IF(I739&lt;&gt;INDEX(tblBatidas[Atividade],MATCH(L739,tblBatidas[Batida ID],0)),"DIVERGÊNCIA DE ATIVIDADE",IF(OR(B739&lt;=INDEX(tblBatidas[Data e hora],MATCH(L739,tblBatidas[Batida ID],0)),(B739-INDEX(tblBatidas[Data e hora],MATCH(L739,tblBatidas[Batida ID],0)))*24&gt;16),"HORÁRIO INVÁLIDO","VINCULADO"))))))),"INÍCIO")</f>
        <v>VINCULADO</v>
      </c>
    </row>
    <row r="740" spans="1:13">
      <c r="A740" t="s">
        <v>1373</v>
      </c>
      <c r="B740" s="21">
        <v>46283.512118055558</v>
      </c>
      <c r="C740" s="2">
        <f t="shared" si="22"/>
        <v>46283</v>
      </c>
      <c r="D740" t="str">
        <f t="shared" si="23"/>
        <v>SEXTA-FEIRA</v>
      </c>
      <c r="E740">
        <v>1002</v>
      </c>
      <c r="F740" t="s">
        <v>45</v>
      </c>
      <c r="G740" t="s">
        <v>503</v>
      </c>
      <c r="H740" t="s">
        <v>80</v>
      </c>
      <c r="I740" t="s">
        <v>517</v>
      </c>
      <c r="K740" t="s">
        <v>501</v>
      </c>
      <c r="L740" s="9" t="s">
        <v>1366</v>
      </c>
      <c r="M740" t="str">
        <f>IF(G740="FIM",IF(L740="","SEM VÍNCULO",IF(COUNTIF(tblBatidas[Batida ID],L740)=0,"VÍNCULO INVÁLIDO",IF(COUNTIF(tblBatidas[Início vinculado],L740)&gt;1,"VÍNCULO DUPLICADO",IF(E740&lt;&gt;INDEX(tblBatidas[ID],MATCH(L740,tblBatidas[Batida ID],0)),"DIVERGÊNCIA DE ID",IF(H740&lt;&gt;INDEX(tblBatidas[Projeto],MATCH(L740,tblBatidas[Batida ID],0)),"DIVERGÊNCIA DE PROJETO",IF(I740&lt;&gt;INDEX(tblBatidas[Atividade],MATCH(L740,tblBatidas[Batida ID],0)),"DIVERGÊNCIA DE ATIVIDADE",IF(OR(B740&lt;=INDEX(tblBatidas[Data e hora],MATCH(L740,tblBatidas[Batida ID],0)),(B740-INDEX(tblBatidas[Data e hora],MATCH(L740,tblBatidas[Batida ID],0)))*24&gt;16),"HORÁRIO INVÁLIDO","VINCULADO"))))))),"INÍCIO")</f>
        <v>VINCULADO</v>
      </c>
    </row>
    <row r="741" spans="1:13" hidden="1">
      <c r="A741" t="s">
        <v>1374</v>
      </c>
      <c r="B741" s="21">
        <v>46283.538275462961</v>
      </c>
      <c r="C741" s="2">
        <f t="shared" si="22"/>
        <v>46283</v>
      </c>
      <c r="D741" t="str">
        <f t="shared" si="23"/>
        <v>SEXTA-FEIRA</v>
      </c>
      <c r="E741">
        <v>1003</v>
      </c>
      <c r="F741" t="s">
        <v>46</v>
      </c>
      <c r="G741" t="s">
        <v>499</v>
      </c>
      <c r="H741" t="s">
        <v>74</v>
      </c>
      <c r="I741" t="s">
        <v>517</v>
      </c>
      <c r="K741" t="s">
        <v>501</v>
      </c>
      <c r="L741" s="9"/>
      <c r="M741" t="str">
        <f>IF(G741="FIM",IF(L741="","SEM VÍNCULO",IF(COUNTIF(tblBatidas[Batida ID],L741)=0,"VÍNCULO INVÁLIDO",IF(COUNTIF(tblBatidas[Início vinculado],L741)&gt;1,"VÍNCULO DUPLICADO",IF(E741&lt;&gt;INDEX(tblBatidas[ID],MATCH(L741,tblBatidas[Batida ID],0)),"DIVERGÊNCIA DE ID",IF(H741&lt;&gt;INDEX(tblBatidas[Projeto],MATCH(L741,tblBatidas[Batida ID],0)),"DIVERGÊNCIA DE PROJETO",IF(I741&lt;&gt;INDEX(tblBatidas[Atividade],MATCH(L741,tblBatidas[Batida ID],0)),"DIVERGÊNCIA DE ATIVIDADE",IF(OR(B741&lt;=INDEX(tblBatidas[Data e hora],MATCH(L741,tblBatidas[Batida ID],0)),(B741-INDEX(tblBatidas[Data e hora],MATCH(L741,tblBatidas[Batida ID],0)))*24&gt;16),"HORÁRIO INVÁLIDO","VINCULADO"))))))),"INÍCIO")</f>
        <v>INÍCIO</v>
      </c>
    </row>
    <row r="742" spans="1:13" hidden="1">
      <c r="A742" t="s">
        <v>1375</v>
      </c>
      <c r="B742" s="21">
        <v>46283.539305555554</v>
      </c>
      <c r="C742" s="2">
        <f t="shared" si="22"/>
        <v>46283</v>
      </c>
      <c r="D742" t="str">
        <f t="shared" si="23"/>
        <v>SEXTA-FEIRA</v>
      </c>
      <c r="E742">
        <v>1013</v>
      </c>
      <c r="F742" t="s">
        <v>57</v>
      </c>
      <c r="G742" t="s">
        <v>499</v>
      </c>
      <c r="H742" t="s">
        <v>86</v>
      </c>
      <c r="I742" t="s">
        <v>517</v>
      </c>
      <c r="J742" t="s">
        <v>1364</v>
      </c>
      <c r="K742" t="s">
        <v>501</v>
      </c>
      <c r="L742" s="9"/>
      <c r="M742" t="str">
        <f>IF(G742="FIM",IF(L742="","SEM VÍNCULO",IF(COUNTIF(tblBatidas[Batida ID],L742)=0,"VÍNCULO INVÁLIDO",IF(COUNTIF(tblBatidas[Início vinculado],L742)&gt;1,"VÍNCULO DUPLICADO",IF(E742&lt;&gt;INDEX(tblBatidas[ID],MATCH(L742,tblBatidas[Batida ID],0)),"DIVERGÊNCIA DE ID",IF(H742&lt;&gt;INDEX(tblBatidas[Projeto],MATCH(L742,tblBatidas[Batida ID],0)),"DIVERGÊNCIA DE PROJETO",IF(I742&lt;&gt;INDEX(tblBatidas[Atividade],MATCH(L742,tblBatidas[Batida ID],0)),"DIVERGÊNCIA DE ATIVIDADE",IF(OR(B742&lt;=INDEX(tblBatidas[Data e hora],MATCH(L742,tblBatidas[Batida ID],0)),(B742-INDEX(tblBatidas[Data e hora],MATCH(L742,tblBatidas[Batida ID],0)))*24&gt;16),"HORÁRIO INVÁLIDO","VINCULADO"))))))),"INÍCIO")</f>
        <v>INÍCIO</v>
      </c>
    </row>
    <row r="743" spans="1:13">
      <c r="A743" t="s">
        <v>1376</v>
      </c>
      <c r="B743" s="21">
        <v>46283.550798611112</v>
      </c>
      <c r="C743" s="2">
        <f t="shared" si="22"/>
        <v>46283</v>
      </c>
      <c r="D743" t="str">
        <f t="shared" si="23"/>
        <v>SEXTA-FEIRA</v>
      </c>
      <c r="E743">
        <v>1002</v>
      </c>
      <c r="F743" t="s">
        <v>45</v>
      </c>
      <c r="G743" t="s">
        <v>499</v>
      </c>
      <c r="H743" t="s">
        <v>70</v>
      </c>
      <c r="I743" t="s">
        <v>517</v>
      </c>
      <c r="K743" t="s">
        <v>501</v>
      </c>
      <c r="L743" s="9"/>
      <c r="M743" t="str">
        <f>IF(G743="FIM",IF(L743="","SEM VÍNCULO",IF(COUNTIF(tblBatidas[Batida ID],L743)=0,"VÍNCULO INVÁLIDO",IF(COUNTIF(tblBatidas[Início vinculado],L743)&gt;1,"VÍNCULO DUPLICADO",IF(E743&lt;&gt;INDEX(tblBatidas[ID],MATCH(L743,tblBatidas[Batida ID],0)),"DIVERGÊNCIA DE ID",IF(H743&lt;&gt;INDEX(tblBatidas[Projeto],MATCH(L743,tblBatidas[Batida ID],0)),"DIVERGÊNCIA DE PROJETO",IF(I743&lt;&gt;INDEX(tblBatidas[Atividade],MATCH(L743,tblBatidas[Batida ID],0)),"DIVERGÊNCIA DE ATIVIDADE",IF(OR(B743&lt;=INDEX(tblBatidas[Data e hora],MATCH(L743,tblBatidas[Batida ID],0)),(B743-INDEX(tblBatidas[Data e hora],MATCH(L743,tblBatidas[Batida ID],0)))*24&gt;16),"HORÁRIO INVÁLIDO","VINCULADO"))))))),"INÍCIO")</f>
        <v>INÍCIO</v>
      </c>
    </row>
    <row r="744" spans="1:13" hidden="1">
      <c r="A744" t="s">
        <v>1377</v>
      </c>
      <c r="B744" s="21">
        <v>46283.556111111109</v>
      </c>
      <c r="C744" s="2">
        <f t="shared" si="22"/>
        <v>46283</v>
      </c>
      <c r="D744" t="str">
        <f t="shared" si="23"/>
        <v>SEXTA-FEIRA</v>
      </c>
      <c r="E744">
        <v>1011</v>
      </c>
      <c r="F744" t="s">
        <v>54</v>
      </c>
      <c r="G744" t="s">
        <v>499</v>
      </c>
      <c r="H744" t="s">
        <v>74</v>
      </c>
      <c r="I744" t="s">
        <v>517</v>
      </c>
      <c r="K744" t="s">
        <v>501</v>
      </c>
      <c r="L744" s="9"/>
      <c r="M744" t="str">
        <f>IF(G744="FIM",IF(L744="","SEM VÍNCULO",IF(COUNTIF(tblBatidas[Batida ID],L744)=0,"VÍNCULO INVÁLIDO",IF(COUNTIF(tblBatidas[Início vinculado],L744)&gt;1,"VÍNCULO DUPLICADO",IF(E744&lt;&gt;INDEX(tblBatidas[ID],MATCH(L744,tblBatidas[Batida ID],0)),"DIVERGÊNCIA DE ID",IF(H744&lt;&gt;INDEX(tblBatidas[Projeto],MATCH(L744,tblBatidas[Batida ID],0)),"DIVERGÊNCIA DE PROJETO",IF(I744&lt;&gt;INDEX(tblBatidas[Atividade],MATCH(L744,tblBatidas[Batida ID],0)),"DIVERGÊNCIA DE ATIVIDADE",IF(OR(B744&lt;=INDEX(tblBatidas[Data e hora],MATCH(L744,tblBatidas[Batida ID],0)),(B744-INDEX(tblBatidas[Data e hora],MATCH(L744,tblBatidas[Batida ID],0)))*24&gt;16),"HORÁRIO INVÁLIDO","VINCULADO"))))))),"INÍCIO")</f>
        <v>INÍCIO</v>
      </c>
    </row>
    <row r="745" spans="1:13">
      <c r="A745" t="s">
        <v>1378</v>
      </c>
      <c r="B745" s="21">
        <v>46283.708425925928</v>
      </c>
      <c r="C745" s="2">
        <f t="shared" si="22"/>
        <v>46283</v>
      </c>
      <c r="D745" t="str">
        <f t="shared" si="23"/>
        <v>SEXTA-FEIRA</v>
      </c>
      <c r="E745">
        <v>1002</v>
      </c>
      <c r="F745" t="s">
        <v>45</v>
      </c>
      <c r="G745" t="s">
        <v>503</v>
      </c>
      <c r="H745" t="s">
        <v>70</v>
      </c>
      <c r="I745" t="s">
        <v>517</v>
      </c>
      <c r="K745" t="s">
        <v>501</v>
      </c>
      <c r="L745" s="9" t="s">
        <v>1376</v>
      </c>
      <c r="M745" t="str">
        <f>IF(G745="FIM",IF(L745="","SEM VÍNCULO",IF(COUNTIF(tblBatidas[Batida ID],L745)=0,"VÍNCULO INVÁLIDO",IF(COUNTIF(tblBatidas[Início vinculado],L745)&gt;1,"VÍNCULO DUPLICADO",IF(E745&lt;&gt;INDEX(tblBatidas[ID],MATCH(L745,tblBatidas[Batida ID],0)),"DIVERGÊNCIA DE ID",IF(H745&lt;&gt;INDEX(tblBatidas[Projeto],MATCH(L745,tblBatidas[Batida ID],0)),"DIVERGÊNCIA DE PROJETO",IF(I745&lt;&gt;INDEX(tblBatidas[Atividade],MATCH(L745,tblBatidas[Batida ID],0)),"DIVERGÊNCIA DE ATIVIDADE",IF(OR(B745&lt;=INDEX(tblBatidas[Data e hora],MATCH(L745,tblBatidas[Batida ID],0)),(B745-INDEX(tblBatidas[Data e hora],MATCH(L745,tblBatidas[Batida ID],0)))*24&gt;16),"HORÁRIO INVÁLIDO","VINCULADO"))))))),"INÍCIO")</f>
        <v>VINCULADO</v>
      </c>
    </row>
    <row r="746" spans="1:13" hidden="1">
      <c r="A746" t="s">
        <v>1379</v>
      </c>
      <c r="B746" s="21">
        <v>46283.752604166664</v>
      </c>
      <c r="C746" s="2">
        <f t="shared" si="22"/>
        <v>46283</v>
      </c>
      <c r="D746" t="str">
        <f t="shared" si="23"/>
        <v>SEXTA-FEIRA</v>
      </c>
      <c r="E746">
        <v>1003</v>
      </c>
      <c r="F746" t="s">
        <v>46</v>
      </c>
      <c r="G746" t="s">
        <v>503</v>
      </c>
      <c r="H746" t="s">
        <v>74</v>
      </c>
      <c r="I746" t="s">
        <v>517</v>
      </c>
      <c r="K746" t="s">
        <v>501</v>
      </c>
      <c r="L746" s="9" t="s">
        <v>1374</v>
      </c>
      <c r="M746" t="str">
        <f>IF(G746="FIM",IF(L746="","SEM VÍNCULO",IF(COUNTIF(tblBatidas[Batida ID],L746)=0,"VÍNCULO INVÁLIDO",IF(COUNTIF(tblBatidas[Início vinculado],L746)&gt;1,"VÍNCULO DUPLICADO",IF(E746&lt;&gt;INDEX(tblBatidas[ID],MATCH(L746,tblBatidas[Batida ID],0)),"DIVERGÊNCIA DE ID",IF(H746&lt;&gt;INDEX(tblBatidas[Projeto],MATCH(L746,tblBatidas[Batida ID],0)),"DIVERGÊNCIA DE PROJETO",IF(I746&lt;&gt;INDEX(tblBatidas[Atividade],MATCH(L746,tblBatidas[Batida ID],0)),"DIVERGÊNCIA DE ATIVIDADE",IF(OR(B746&lt;=INDEX(tblBatidas[Data e hora],MATCH(L746,tblBatidas[Batida ID],0)),(B746-INDEX(tblBatidas[Data e hora],MATCH(L746,tblBatidas[Batida ID],0)))*24&gt;16),"HORÁRIO INVÁLIDO","VINCULADO"))))))),"INÍCIO")</f>
        <v>VINCULADO</v>
      </c>
    </row>
    <row r="747" spans="1:13" hidden="1">
      <c r="A747" t="s">
        <v>1380</v>
      </c>
      <c r="B747" s="21">
        <v>46283.77244212963</v>
      </c>
      <c r="C747" s="2">
        <f t="shared" si="22"/>
        <v>46283</v>
      </c>
      <c r="D747" t="str">
        <f t="shared" si="23"/>
        <v>SEXTA-FEIRA</v>
      </c>
      <c r="E747">
        <v>1013</v>
      </c>
      <c r="F747" t="s">
        <v>57</v>
      </c>
      <c r="G747" t="s">
        <v>503</v>
      </c>
      <c r="H747" t="s">
        <v>86</v>
      </c>
      <c r="I747" t="s">
        <v>517</v>
      </c>
      <c r="J747" t="s">
        <v>1381</v>
      </c>
      <c r="K747" t="s">
        <v>501</v>
      </c>
      <c r="L747" s="9" t="s">
        <v>1375</v>
      </c>
      <c r="M747" t="str">
        <f>IF(G747="FIM",IF(L747="","SEM VÍNCULO",IF(COUNTIF(tblBatidas[Batida ID],L747)=0,"VÍNCULO INVÁLIDO",IF(COUNTIF(tblBatidas[Início vinculado],L747)&gt;1,"VÍNCULO DUPLICADO",IF(E747&lt;&gt;INDEX(tblBatidas[ID],MATCH(L747,tblBatidas[Batida ID],0)),"DIVERGÊNCIA DE ID",IF(H747&lt;&gt;INDEX(tblBatidas[Projeto],MATCH(L747,tblBatidas[Batida ID],0)),"DIVERGÊNCIA DE PROJETO",IF(I747&lt;&gt;INDEX(tblBatidas[Atividade],MATCH(L747,tblBatidas[Batida ID],0)),"DIVERGÊNCIA DE ATIVIDADE",IF(OR(B747&lt;=INDEX(tblBatidas[Data e hora],MATCH(L747,tblBatidas[Batida ID],0)),(B747-INDEX(tblBatidas[Data e hora],MATCH(L747,tblBatidas[Batida ID],0)))*24&gt;16),"HORÁRIO INVÁLIDO","VINCULADO"))))))),"INÍCIO")</f>
        <v>VINCULADO</v>
      </c>
    </row>
    <row r="748" spans="1:13" hidden="1">
      <c r="A748" t="s">
        <v>1382</v>
      </c>
      <c r="B748" s="21">
        <v>46284.347511574073</v>
      </c>
      <c r="C748" s="2">
        <f t="shared" si="22"/>
        <v>46284</v>
      </c>
      <c r="D748" t="str">
        <f t="shared" si="23"/>
        <v>SÁBADO</v>
      </c>
      <c r="E748">
        <v>1011</v>
      </c>
      <c r="F748" t="s">
        <v>54</v>
      </c>
      <c r="G748" t="s">
        <v>499</v>
      </c>
      <c r="H748" t="s">
        <v>88</v>
      </c>
      <c r="I748" t="s">
        <v>517</v>
      </c>
      <c r="K748" t="s">
        <v>501</v>
      </c>
      <c r="L748" s="9"/>
      <c r="M748" t="str">
        <f>IF(G748="FIM",IF(L748="","SEM VÍNCULO",IF(COUNTIF(tblBatidas[Batida ID],L748)=0,"VÍNCULO INVÁLIDO",IF(COUNTIF(tblBatidas[Início vinculado],L748)&gt;1,"VÍNCULO DUPLICADO",IF(E748&lt;&gt;INDEX(tblBatidas[ID],MATCH(L748,tblBatidas[Batida ID],0)),"DIVERGÊNCIA DE ID",IF(H748&lt;&gt;INDEX(tblBatidas[Projeto],MATCH(L748,tblBatidas[Batida ID],0)),"DIVERGÊNCIA DE PROJETO",IF(I748&lt;&gt;INDEX(tblBatidas[Atividade],MATCH(L748,tblBatidas[Batida ID],0)),"DIVERGÊNCIA DE ATIVIDADE",IF(OR(B748&lt;=INDEX(tblBatidas[Data e hora],MATCH(L748,tblBatidas[Batida ID],0)),(B748-INDEX(tblBatidas[Data e hora],MATCH(L748,tblBatidas[Batida ID],0)))*24&gt;16),"HORÁRIO INVÁLIDO","VINCULADO"))))))),"INÍCIO")</f>
        <v>INÍCIO</v>
      </c>
    </row>
    <row r="749" spans="1:13" hidden="1">
      <c r="A749" t="s">
        <v>1383</v>
      </c>
      <c r="B749" s="21">
        <v>46284.394606481481</v>
      </c>
      <c r="C749" s="2">
        <f t="shared" si="22"/>
        <v>46284</v>
      </c>
      <c r="D749" t="str">
        <f t="shared" si="23"/>
        <v>SÁBADO</v>
      </c>
      <c r="E749">
        <v>1013</v>
      </c>
      <c r="F749" t="s">
        <v>57</v>
      </c>
      <c r="G749" t="s">
        <v>499</v>
      </c>
      <c r="H749" t="s">
        <v>80</v>
      </c>
      <c r="I749" t="s">
        <v>517</v>
      </c>
      <c r="K749" t="s">
        <v>501</v>
      </c>
      <c r="L749" s="9"/>
      <c r="M749" t="str">
        <f>IF(G749="FIM",IF(L749="","SEM VÍNCULO",IF(COUNTIF(tblBatidas[Batida ID],L749)=0,"VÍNCULO INVÁLIDO",IF(COUNTIF(tblBatidas[Início vinculado],L749)&gt;1,"VÍNCULO DUPLICADO",IF(E749&lt;&gt;INDEX(tblBatidas[ID],MATCH(L749,tblBatidas[Batida ID],0)),"DIVERGÊNCIA DE ID",IF(H749&lt;&gt;INDEX(tblBatidas[Projeto],MATCH(L749,tblBatidas[Batida ID],0)),"DIVERGÊNCIA DE PROJETO",IF(I749&lt;&gt;INDEX(tblBatidas[Atividade],MATCH(L749,tblBatidas[Batida ID],0)),"DIVERGÊNCIA DE ATIVIDADE",IF(OR(B749&lt;=INDEX(tblBatidas[Data e hora],MATCH(L749,tblBatidas[Batida ID],0)),(B749-INDEX(tblBatidas[Data e hora],MATCH(L749,tblBatidas[Batida ID],0)))*24&gt;16),"HORÁRIO INVÁLIDO","VINCULADO"))))))),"INÍCIO")</f>
        <v>INÍCIO</v>
      </c>
    </row>
    <row r="750" spans="1:13" hidden="1">
      <c r="A750" t="s">
        <v>1384</v>
      </c>
      <c r="B750" s="21">
        <v>46284.50277777778</v>
      </c>
      <c r="C750" s="2">
        <f t="shared" si="22"/>
        <v>46284</v>
      </c>
      <c r="D750" t="str">
        <f t="shared" si="23"/>
        <v>SÁBADO</v>
      </c>
      <c r="E750">
        <v>1003</v>
      </c>
      <c r="F750" t="s">
        <v>46</v>
      </c>
      <c r="G750" t="s">
        <v>503</v>
      </c>
      <c r="H750" t="s">
        <v>80</v>
      </c>
      <c r="I750" t="s">
        <v>517</v>
      </c>
      <c r="K750" t="s">
        <v>501</v>
      </c>
      <c r="L750" s="9"/>
      <c r="M750" t="str">
        <f>IF(G750="FIM",IF(L750="","SEM VÍNCULO",IF(COUNTIF(tblBatidas[Batida ID],L750)=0,"VÍNCULO INVÁLIDO",IF(COUNTIF(tblBatidas[Início vinculado],L750)&gt;1,"VÍNCULO DUPLICADO",IF(E750&lt;&gt;INDEX(tblBatidas[ID],MATCH(L750,tblBatidas[Batida ID],0)),"DIVERGÊNCIA DE ID",IF(H750&lt;&gt;INDEX(tblBatidas[Projeto],MATCH(L750,tblBatidas[Batida ID],0)),"DIVERGÊNCIA DE PROJETO",IF(I750&lt;&gt;INDEX(tblBatidas[Atividade],MATCH(L750,tblBatidas[Batida ID],0)),"DIVERGÊNCIA DE ATIVIDADE",IF(OR(B750&lt;=INDEX(tblBatidas[Data e hora],MATCH(L750,tblBatidas[Batida ID],0)),(B750-INDEX(tblBatidas[Data e hora],MATCH(L750,tblBatidas[Batida ID],0)))*24&gt;16),"HORÁRIO INVÁLIDO","VINCULADO"))))))),"INÍCIO")</f>
        <v>SEM VÍNCULO</v>
      </c>
    </row>
    <row r="751" spans="1:13" hidden="1">
      <c r="A751" t="s">
        <v>1385</v>
      </c>
      <c r="B751" s="21">
        <v>46284.509687500002</v>
      </c>
      <c r="C751" s="2">
        <f t="shared" si="22"/>
        <v>46284</v>
      </c>
      <c r="D751" t="str">
        <f t="shared" si="23"/>
        <v>SÁBADO</v>
      </c>
      <c r="E751">
        <v>1013</v>
      </c>
      <c r="F751" t="s">
        <v>57</v>
      </c>
      <c r="G751" t="s">
        <v>503</v>
      </c>
      <c r="H751" t="s">
        <v>80</v>
      </c>
      <c r="I751" t="s">
        <v>517</v>
      </c>
      <c r="K751" t="s">
        <v>501</v>
      </c>
      <c r="L751" s="9" t="s">
        <v>1383</v>
      </c>
      <c r="M751" t="str">
        <f>IF(G751="FIM",IF(L751="","SEM VÍNCULO",IF(COUNTIF(tblBatidas[Batida ID],L751)=0,"VÍNCULO INVÁLIDO",IF(COUNTIF(tblBatidas[Início vinculado],L751)&gt;1,"VÍNCULO DUPLICADO",IF(E751&lt;&gt;INDEX(tblBatidas[ID],MATCH(L751,tblBatidas[Batida ID],0)),"DIVERGÊNCIA DE ID",IF(H751&lt;&gt;INDEX(tblBatidas[Projeto],MATCH(L751,tblBatidas[Batida ID],0)),"DIVERGÊNCIA DE PROJETO",IF(I751&lt;&gt;INDEX(tblBatidas[Atividade],MATCH(L751,tblBatidas[Batida ID],0)),"DIVERGÊNCIA DE ATIVIDADE",IF(OR(B751&lt;=INDEX(tblBatidas[Data e hora],MATCH(L751,tblBatidas[Batida ID],0)),(B751-INDEX(tblBatidas[Data e hora],MATCH(L751,tblBatidas[Batida ID],0)))*24&gt;16),"HORÁRIO INVÁLIDO","VINCULADO"))))))),"INÍCIO")</f>
        <v>VINCULADO</v>
      </c>
    </row>
    <row r="752" spans="1:13" hidden="1">
      <c r="A752" t="s">
        <v>1386</v>
      </c>
      <c r="B752" s="21">
        <v>46284.524247685185</v>
      </c>
      <c r="C752" s="2">
        <f t="shared" si="22"/>
        <v>46284</v>
      </c>
      <c r="D752" t="str">
        <f t="shared" si="23"/>
        <v>SÁBADO</v>
      </c>
      <c r="E752">
        <v>1013</v>
      </c>
      <c r="F752" t="s">
        <v>57</v>
      </c>
      <c r="G752" t="s">
        <v>499</v>
      </c>
      <c r="H752" t="s">
        <v>80</v>
      </c>
      <c r="I752" t="s">
        <v>517</v>
      </c>
      <c r="K752" t="s">
        <v>501</v>
      </c>
      <c r="L752" s="9"/>
      <c r="M752" t="str">
        <f>IF(G752="FIM",IF(L752="","SEM VÍNCULO",IF(COUNTIF(tblBatidas[Batida ID],L752)=0,"VÍNCULO INVÁLIDO",IF(COUNTIF(tblBatidas[Início vinculado],L752)&gt;1,"VÍNCULO DUPLICADO",IF(E752&lt;&gt;INDEX(tblBatidas[ID],MATCH(L752,tblBatidas[Batida ID],0)),"DIVERGÊNCIA DE ID",IF(H752&lt;&gt;INDEX(tblBatidas[Projeto],MATCH(L752,tblBatidas[Batida ID],0)),"DIVERGÊNCIA DE PROJETO",IF(I752&lt;&gt;INDEX(tblBatidas[Atividade],MATCH(L752,tblBatidas[Batida ID],0)),"DIVERGÊNCIA DE ATIVIDADE",IF(OR(B752&lt;=INDEX(tblBatidas[Data e hora],MATCH(L752,tblBatidas[Batida ID],0)),(B752-INDEX(tblBatidas[Data e hora],MATCH(L752,tblBatidas[Batida ID],0)))*24&gt;16),"HORÁRIO INVÁLIDO","VINCULADO"))))))),"INÍCIO")</f>
        <v>INÍCIO</v>
      </c>
    </row>
    <row r="753" spans="1:13" hidden="1">
      <c r="A753" t="s">
        <v>1387</v>
      </c>
      <c r="B753" s="21">
        <v>46284.54142361111</v>
      </c>
      <c r="C753" s="2">
        <f t="shared" si="22"/>
        <v>46284</v>
      </c>
      <c r="D753" t="str">
        <f t="shared" si="23"/>
        <v>SÁBADO</v>
      </c>
      <c r="E753">
        <v>1003</v>
      </c>
      <c r="F753" t="s">
        <v>46</v>
      </c>
      <c r="G753" t="s">
        <v>499</v>
      </c>
      <c r="H753" t="s">
        <v>80</v>
      </c>
      <c r="I753" t="s">
        <v>517</v>
      </c>
      <c r="K753" t="s">
        <v>501</v>
      </c>
      <c r="L753" s="9"/>
      <c r="M753" t="str">
        <f>IF(G753="FIM",IF(L753="","SEM VÍNCULO",IF(COUNTIF(tblBatidas[Batida ID],L753)=0,"VÍNCULO INVÁLIDO",IF(COUNTIF(tblBatidas[Início vinculado],L753)&gt;1,"VÍNCULO DUPLICADO",IF(E753&lt;&gt;INDEX(tblBatidas[ID],MATCH(L753,tblBatidas[Batida ID],0)),"DIVERGÊNCIA DE ID",IF(H753&lt;&gt;INDEX(tblBatidas[Projeto],MATCH(L753,tblBatidas[Batida ID],0)),"DIVERGÊNCIA DE PROJETO",IF(I753&lt;&gt;INDEX(tblBatidas[Atividade],MATCH(L753,tblBatidas[Batida ID],0)),"DIVERGÊNCIA DE ATIVIDADE",IF(OR(B753&lt;=INDEX(tblBatidas[Data e hora],MATCH(L753,tblBatidas[Batida ID],0)),(B753-INDEX(tblBatidas[Data e hora],MATCH(L753,tblBatidas[Batida ID],0)))*24&gt;16),"HORÁRIO INVÁLIDO","VINCULADO"))))))),"INÍCIO")</f>
        <v>INÍCIO</v>
      </c>
    </row>
    <row r="754" spans="1:13">
      <c r="A754" t="s">
        <v>1388</v>
      </c>
      <c r="B754" s="21">
        <v>46284.594004629631</v>
      </c>
      <c r="C754" s="2">
        <f t="shared" si="22"/>
        <v>46284</v>
      </c>
      <c r="D754" t="str">
        <f t="shared" si="23"/>
        <v>SÁBADO</v>
      </c>
      <c r="E754">
        <v>1002</v>
      </c>
      <c r="F754" t="s">
        <v>45</v>
      </c>
      <c r="G754" t="s">
        <v>499</v>
      </c>
      <c r="H754" t="s">
        <v>80</v>
      </c>
      <c r="I754" t="s">
        <v>517</v>
      </c>
      <c r="K754" t="s">
        <v>501</v>
      </c>
      <c r="L754" s="9"/>
      <c r="M754" t="str">
        <f>IF(G754="FIM",IF(L754="","SEM VÍNCULO",IF(COUNTIF(tblBatidas[Batida ID],L754)=0,"VÍNCULO INVÁLIDO",IF(COUNTIF(tblBatidas[Início vinculado],L754)&gt;1,"VÍNCULO DUPLICADO",IF(E754&lt;&gt;INDEX(tblBatidas[ID],MATCH(L754,tblBatidas[Batida ID],0)),"DIVERGÊNCIA DE ID",IF(H754&lt;&gt;INDEX(tblBatidas[Projeto],MATCH(L754,tblBatidas[Batida ID],0)),"DIVERGÊNCIA DE PROJETO",IF(I754&lt;&gt;INDEX(tblBatidas[Atividade],MATCH(L754,tblBatidas[Batida ID],0)),"DIVERGÊNCIA DE ATIVIDADE",IF(OR(B754&lt;=INDEX(tblBatidas[Data e hora],MATCH(L754,tblBatidas[Batida ID],0)),(B754-INDEX(tblBatidas[Data e hora],MATCH(L754,tblBatidas[Batida ID],0)))*24&gt;16),"HORÁRIO INVÁLIDO","VINCULADO"))))))),"INÍCIO")</f>
        <v>INÍCIO</v>
      </c>
    </row>
    <row r="755" spans="1:13" hidden="1">
      <c r="A755" t="s">
        <v>1389</v>
      </c>
      <c r="B755" s="21">
        <v>46284.597731481481</v>
      </c>
      <c r="C755" s="2">
        <f t="shared" si="22"/>
        <v>46284</v>
      </c>
      <c r="D755" t="str">
        <f t="shared" si="23"/>
        <v>SÁBADO</v>
      </c>
      <c r="E755">
        <v>1011</v>
      </c>
      <c r="F755" t="s">
        <v>54</v>
      </c>
      <c r="G755" t="s">
        <v>503</v>
      </c>
      <c r="H755" t="s">
        <v>88</v>
      </c>
      <c r="I755" t="s">
        <v>517</v>
      </c>
      <c r="K755" t="s">
        <v>501</v>
      </c>
      <c r="L755" s="9" t="s">
        <v>1382</v>
      </c>
      <c r="M755" t="str">
        <f>IF(G755="FIM",IF(L755="","SEM VÍNCULO",IF(COUNTIF(tblBatidas[Batida ID],L755)=0,"VÍNCULO INVÁLIDO",IF(COUNTIF(tblBatidas[Início vinculado],L755)&gt;1,"VÍNCULO DUPLICADO",IF(E755&lt;&gt;INDEX(tblBatidas[ID],MATCH(L755,tblBatidas[Batida ID],0)),"DIVERGÊNCIA DE ID",IF(H755&lt;&gt;INDEX(tblBatidas[Projeto],MATCH(L755,tblBatidas[Batida ID],0)),"DIVERGÊNCIA DE PROJETO",IF(I755&lt;&gt;INDEX(tblBatidas[Atividade],MATCH(L755,tblBatidas[Batida ID],0)),"DIVERGÊNCIA DE ATIVIDADE",IF(OR(B755&lt;=INDEX(tblBatidas[Data e hora],MATCH(L755,tblBatidas[Batida ID],0)),(B755-INDEX(tblBatidas[Data e hora],MATCH(L755,tblBatidas[Batida ID],0)))*24&gt;16),"HORÁRIO INVÁLIDO","VINCULADO"))))))),"INÍCIO")</f>
        <v>VINCULADO</v>
      </c>
    </row>
    <row r="756" spans="1:13" hidden="1">
      <c r="A756" t="s">
        <v>1390</v>
      </c>
      <c r="B756" s="21">
        <v>46284.647800925923</v>
      </c>
      <c r="C756" s="2">
        <f t="shared" si="22"/>
        <v>46284</v>
      </c>
      <c r="D756" t="str">
        <f t="shared" si="23"/>
        <v>SÁBADO</v>
      </c>
      <c r="E756">
        <v>1011</v>
      </c>
      <c r="F756" t="s">
        <v>54</v>
      </c>
      <c r="G756" t="s">
        <v>499</v>
      </c>
      <c r="H756" t="s">
        <v>88</v>
      </c>
      <c r="I756" t="s">
        <v>517</v>
      </c>
      <c r="K756" t="s">
        <v>501</v>
      </c>
      <c r="L756" s="9"/>
      <c r="M756" t="str">
        <f>IF(G756="FIM",IF(L756="","SEM VÍNCULO",IF(COUNTIF(tblBatidas[Batida ID],L756)=0,"VÍNCULO INVÁLIDO",IF(COUNTIF(tblBatidas[Início vinculado],L756)&gt;1,"VÍNCULO DUPLICADO",IF(E756&lt;&gt;INDEX(tblBatidas[ID],MATCH(L756,tblBatidas[Batida ID],0)),"DIVERGÊNCIA DE ID",IF(H756&lt;&gt;INDEX(tblBatidas[Projeto],MATCH(L756,tblBatidas[Batida ID],0)),"DIVERGÊNCIA DE PROJETO",IF(I756&lt;&gt;INDEX(tblBatidas[Atividade],MATCH(L756,tblBatidas[Batida ID],0)),"DIVERGÊNCIA DE ATIVIDADE",IF(OR(B756&lt;=INDEX(tblBatidas[Data e hora],MATCH(L756,tblBatidas[Batida ID],0)),(B756-INDEX(tblBatidas[Data e hora],MATCH(L756,tblBatidas[Batida ID],0)))*24&gt;16),"HORÁRIO INVÁLIDO","VINCULADO"))))))),"INÍCIO")</f>
        <v>INÍCIO</v>
      </c>
    </row>
    <row r="757" spans="1:13">
      <c r="A757" t="s">
        <v>1391</v>
      </c>
      <c r="B757" s="21">
        <v>46284.677129629628</v>
      </c>
      <c r="C757" s="2">
        <f t="shared" si="22"/>
        <v>46284</v>
      </c>
      <c r="D757" t="str">
        <f t="shared" si="23"/>
        <v>SÁBADO</v>
      </c>
      <c r="E757">
        <v>1002</v>
      </c>
      <c r="F757" t="s">
        <v>45</v>
      </c>
      <c r="G757" t="s">
        <v>503</v>
      </c>
      <c r="H757" t="s">
        <v>80</v>
      </c>
      <c r="I757" t="s">
        <v>517</v>
      </c>
      <c r="K757" t="s">
        <v>501</v>
      </c>
      <c r="L757" s="9" t="s">
        <v>1388</v>
      </c>
      <c r="M757" t="str">
        <f>IF(G757="FIM",IF(L757="","SEM VÍNCULO",IF(COUNTIF(tblBatidas[Batida ID],L757)=0,"VÍNCULO INVÁLIDO",IF(COUNTIF(tblBatidas[Início vinculado],L757)&gt;1,"VÍNCULO DUPLICADO",IF(E757&lt;&gt;INDEX(tblBatidas[ID],MATCH(L757,tblBatidas[Batida ID],0)),"DIVERGÊNCIA DE ID",IF(H757&lt;&gt;INDEX(tblBatidas[Projeto],MATCH(L757,tblBatidas[Batida ID],0)),"DIVERGÊNCIA DE PROJETO",IF(I757&lt;&gt;INDEX(tblBatidas[Atividade],MATCH(L757,tblBatidas[Batida ID],0)),"DIVERGÊNCIA DE ATIVIDADE",IF(OR(B757&lt;=INDEX(tblBatidas[Data e hora],MATCH(L757,tblBatidas[Batida ID],0)),(B757-INDEX(tblBatidas[Data e hora],MATCH(L757,tblBatidas[Batida ID],0)))*24&gt;16),"HORÁRIO INVÁLIDO","VINCULADO"))))))),"INÍCIO")</f>
        <v>VINCULADO</v>
      </c>
    </row>
    <row r="758" spans="1:13" hidden="1">
      <c r="A758" t="s">
        <v>1392</v>
      </c>
      <c r="B758" s="21">
        <v>46284.680625000001</v>
      </c>
      <c r="C758" s="2">
        <f t="shared" si="22"/>
        <v>46284</v>
      </c>
      <c r="D758" t="str">
        <f t="shared" si="23"/>
        <v>SÁBADO</v>
      </c>
      <c r="E758">
        <v>1013</v>
      </c>
      <c r="F758" t="s">
        <v>57</v>
      </c>
      <c r="G758" t="s">
        <v>503</v>
      </c>
      <c r="H758" t="s">
        <v>80</v>
      </c>
      <c r="I758" t="s">
        <v>517</v>
      </c>
      <c r="K758" t="s">
        <v>501</v>
      </c>
      <c r="L758" s="9" t="s">
        <v>1386</v>
      </c>
      <c r="M758" t="str">
        <f>IF(G758="FIM",IF(L758="","SEM VÍNCULO",IF(COUNTIF(tblBatidas[Batida ID],L758)=0,"VÍNCULO INVÁLIDO",IF(COUNTIF(tblBatidas[Início vinculado],L758)&gt;1,"VÍNCULO DUPLICADO",IF(E758&lt;&gt;INDEX(tblBatidas[ID],MATCH(L758,tblBatidas[Batida ID],0)),"DIVERGÊNCIA DE ID",IF(H758&lt;&gt;INDEX(tblBatidas[Projeto],MATCH(L758,tblBatidas[Batida ID],0)),"DIVERGÊNCIA DE PROJETO",IF(I758&lt;&gt;INDEX(tblBatidas[Atividade],MATCH(L758,tblBatidas[Batida ID],0)),"DIVERGÊNCIA DE ATIVIDADE",IF(OR(B758&lt;=INDEX(tblBatidas[Data e hora],MATCH(L758,tblBatidas[Batida ID],0)),(B758-INDEX(tblBatidas[Data e hora],MATCH(L758,tblBatidas[Batida ID],0)))*24&gt;16),"HORÁRIO INVÁLIDO","VINCULADO"))))))),"INÍCIO")</f>
        <v>VINCULADO</v>
      </c>
    </row>
    <row r="759" spans="1:13" hidden="1">
      <c r="A759" t="s">
        <v>1393</v>
      </c>
      <c r="B759" s="21">
        <v>46284.700729166667</v>
      </c>
      <c r="C759" s="2">
        <f t="shared" si="22"/>
        <v>46284</v>
      </c>
      <c r="D759" t="str">
        <f t="shared" si="23"/>
        <v>SÁBADO</v>
      </c>
      <c r="E759">
        <v>1011</v>
      </c>
      <c r="F759" t="s">
        <v>54</v>
      </c>
      <c r="G759" t="s">
        <v>503</v>
      </c>
      <c r="H759" t="s">
        <v>88</v>
      </c>
      <c r="I759" t="s">
        <v>517</v>
      </c>
      <c r="K759" t="s">
        <v>501</v>
      </c>
      <c r="L759" s="9" t="s">
        <v>1390</v>
      </c>
      <c r="M759" t="str">
        <f>IF(G759="FIM",IF(L759="","SEM VÍNCULO",IF(COUNTIF(tblBatidas[Batida ID],L759)=0,"VÍNCULO INVÁLIDO",IF(COUNTIF(tblBatidas[Início vinculado],L759)&gt;1,"VÍNCULO DUPLICADO",IF(E759&lt;&gt;INDEX(tblBatidas[ID],MATCH(L759,tblBatidas[Batida ID],0)),"DIVERGÊNCIA DE ID",IF(H759&lt;&gt;INDEX(tblBatidas[Projeto],MATCH(L759,tblBatidas[Batida ID],0)),"DIVERGÊNCIA DE PROJETO",IF(I759&lt;&gt;INDEX(tblBatidas[Atividade],MATCH(L759,tblBatidas[Batida ID],0)),"DIVERGÊNCIA DE ATIVIDADE",IF(OR(B759&lt;=INDEX(tblBatidas[Data e hora],MATCH(L759,tblBatidas[Batida ID],0)),(B759-INDEX(tblBatidas[Data e hora],MATCH(L759,tblBatidas[Batida ID],0)))*24&gt;16),"HORÁRIO INVÁLIDO","VINCULADO"))))))),"INÍCIO")</f>
        <v>VINCULADO</v>
      </c>
    </row>
    <row r="760" spans="1:13" hidden="1">
      <c r="A760" t="s">
        <v>1394</v>
      </c>
      <c r="B760" s="21">
        <v>46284.747152777774</v>
      </c>
      <c r="C760" s="2">
        <f t="shared" si="22"/>
        <v>46284</v>
      </c>
      <c r="D760" t="str">
        <f t="shared" si="23"/>
        <v>SÁBADO</v>
      </c>
      <c r="E760">
        <v>1003</v>
      </c>
      <c r="F760" t="s">
        <v>46</v>
      </c>
      <c r="G760" t="s">
        <v>503</v>
      </c>
      <c r="H760" t="s">
        <v>74</v>
      </c>
      <c r="I760" t="s">
        <v>517</v>
      </c>
      <c r="K760" t="s">
        <v>501</v>
      </c>
      <c r="L760" s="9"/>
      <c r="M760" t="str">
        <f>IF(G760="FIM",IF(L760="","SEM VÍNCULO",IF(COUNTIF(tblBatidas[Batida ID],L760)=0,"VÍNCULO INVÁLIDO",IF(COUNTIF(tblBatidas[Início vinculado],L760)&gt;1,"VÍNCULO DUPLICADO",IF(E760&lt;&gt;INDEX(tblBatidas[ID],MATCH(L760,tblBatidas[Batida ID],0)),"DIVERGÊNCIA DE ID",IF(H760&lt;&gt;INDEX(tblBatidas[Projeto],MATCH(L760,tblBatidas[Batida ID],0)),"DIVERGÊNCIA DE PROJETO",IF(I760&lt;&gt;INDEX(tblBatidas[Atividade],MATCH(L760,tblBatidas[Batida ID],0)),"DIVERGÊNCIA DE ATIVIDADE",IF(OR(B760&lt;=INDEX(tblBatidas[Data e hora],MATCH(L760,tblBatidas[Batida ID],0)),(B760-INDEX(tblBatidas[Data e hora],MATCH(L760,tblBatidas[Batida ID],0)))*24&gt;16),"HORÁRIO INVÁLIDO","VINCULADO"))))))),"INÍCIO")</f>
        <v>SEM VÍNCULO</v>
      </c>
    </row>
    <row r="761" spans="1:13" hidden="1">
      <c r="A761" t="s">
        <v>1395</v>
      </c>
      <c r="B761" s="21">
        <v>46285.329699074071</v>
      </c>
      <c r="C761" s="2">
        <f t="shared" si="22"/>
        <v>46285</v>
      </c>
      <c r="D761" t="str">
        <f t="shared" si="23"/>
        <v>DOMINGO</v>
      </c>
      <c r="E761">
        <v>1003</v>
      </c>
      <c r="F761" t="s">
        <v>46</v>
      </c>
      <c r="G761" t="s">
        <v>503</v>
      </c>
      <c r="H761" t="s">
        <v>74</v>
      </c>
      <c r="I761" t="s">
        <v>517</v>
      </c>
      <c r="K761" t="s">
        <v>501</v>
      </c>
      <c r="L761" s="9"/>
      <c r="M761" t="str">
        <f>IF(G761="FIM",IF(L761="","SEM VÍNCULO",IF(COUNTIF(tblBatidas[Batida ID],L761)=0,"VÍNCULO INVÁLIDO",IF(COUNTIF(tblBatidas[Início vinculado],L761)&gt;1,"VÍNCULO DUPLICADO",IF(E761&lt;&gt;INDEX(tblBatidas[ID],MATCH(L761,tblBatidas[Batida ID],0)),"DIVERGÊNCIA DE ID",IF(H761&lt;&gt;INDEX(tblBatidas[Projeto],MATCH(L761,tblBatidas[Batida ID],0)),"DIVERGÊNCIA DE PROJETO",IF(I761&lt;&gt;INDEX(tblBatidas[Atividade],MATCH(L761,tblBatidas[Batida ID],0)),"DIVERGÊNCIA DE ATIVIDADE",IF(OR(B761&lt;=INDEX(tblBatidas[Data e hora],MATCH(L761,tblBatidas[Batida ID],0)),(B761-INDEX(tblBatidas[Data e hora],MATCH(L761,tblBatidas[Batida ID],0)))*24&gt;16),"HORÁRIO INVÁLIDO","VINCULADO"))))))),"INÍCIO")</f>
        <v>SEM VÍNCULO</v>
      </c>
    </row>
    <row r="762" spans="1:13" hidden="1">
      <c r="A762" t="s">
        <v>1396</v>
      </c>
      <c r="B762" s="21">
        <v>46285.500416666669</v>
      </c>
      <c r="C762" s="2">
        <f t="shared" si="22"/>
        <v>46285</v>
      </c>
      <c r="D762" t="str">
        <f t="shared" si="23"/>
        <v>DOMINGO</v>
      </c>
      <c r="E762">
        <v>1003</v>
      </c>
      <c r="F762" t="s">
        <v>46</v>
      </c>
      <c r="G762" t="s">
        <v>503</v>
      </c>
      <c r="H762" t="s">
        <v>74</v>
      </c>
      <c r="I762" t="s">
        <v>517</v>
      </c>
      <c r="K762" t="s">
        <v>501</v>
      </c>
      <c r="L762" s="9"/>
      <c r="M762" t="str">
        <f>IF(G762="FIM",IF(L762="","SEM VÍNCULO",IF(COUNTIF(tblBatidas[Batida ID],L762)=0,"VÍNCULO INVÁLIDO",IF(COUNTIF(tblBatidas[Início vinculado],L762)&gt;1,"VÍNCULO DUPLICADO",IF(E762&lt;&gt;INDEX(tblBatidas[ID],MATCH(L762,tblBatidas[Batida ID],0)),"DIVERGÊNCIA DE ID",IF(H762&lt;&gt;INDEX(tblBatidas[Projeto],MATCH(L762,tblBatidas[Batida ID],0)),"DIVERGÊNCIA DE PROJETO",IF(I762&lt;&gt;INDEX(tblBatidas[Atividade],MATCH(L762,tblBatidas[Batida ID],0)),"DIVERGÊNCIA DE ATIVIDADE",IF(OR(B762&lt;=INDEX(tblBatidas[Data e hora],MATCH(L762,tblBatidas[Batida ID],0)),(B762-INDEX(tblBatidas[Data e hora],MATCH(L762,tblBatidas[Batida ID],0)))*24&gt;16),"HORÁRIO INVÁLIDO","VINCULADO"))))))),"INÍCIO")</f>
        <v>SEM VÍNCULO</v>
      </c>
    </row>
    <row r="763" spans="1:13" hidden="1">
      <c r="A763" t="s">
        <v>1397</v>
      </c>
      <c r="B763" s="21">
        <v>46285.500775462962</v>
      </c>
      <c r="C763" s="2">
        <f t="shared" si="22"/>
        <v>46285</v>
      </c>
      <c r="D763" t="str">
        <f t="shared" si="23"/>
        <v>DOMINGO</v>
      </c>
      <c r="E763">
        <v>1003</v>
      </c>
      <c r="F763" t="s">
        <v>46</v>
      </c>
      <c r="G763" t="s">
        <v>503</v>
      </c>
      <c r="H763" t="s">
        <v>74</v>
      </c>
      <c r="I763" t="s">
        <v>517</v>
      </c>
      <c r="J763" t="s">
        <v>1398</v>
      </c>
      <c r="K763" t="s">
        <v>501</v>
      </c>
      <c r="L763" s="9"/>
      <c r="M763" t="str">
        <f>IF(G763="FIM",IF(L763="","SEM VÍNCULO",IF(COUNTIF(tblBatidas[Batida ID],L763)=0,"VÍNCULO INVÁLIDO",IF(COUNTIF(tblBatidas[Início vinculado],L763)&gt;1,"VÍNCULO DUPLICADO",IF(E763&lt;&gt;INDEX(tblBatidas[ID],MATCH(L763,tblBatidas[Batida ID],0)),"DIVERGÊNCIA DE ID",IF(H763&lt;&gt;INDEX(tblBatidas[Projeto],MATCH(L763,tblBatidas[Batida ID],0)),"DIVERGÊNCIA DE PROJETO",IF(I763&lt;&gt;INDEX(tblBatidas[Atividade],MATCH(L763,tblBatidas[Batida ID],0)),"DIVERGÊNCIA DE ATIVIDADE",IF(OR(B763&lt;=INDEX(tblBatidas[Data e hora],MATCH(L763,tblBatidas[Batida ID],0)),(B763-INDEX(tblBatidas[Data e hora],MATCH(L763,tblBatidas[Batida ID],0)))*24&gt;16),"HORÁRIO INVÁLIDO","VINCULADO"))))))),"INÍCIO")</f>
        <v>SEM VÍNCULO</v>
      </c>
    </row>
    <row r="764" spans="1:13" hidden="1">
      <c r="A764" t="s">
        <v>1399</v>
      </c>
      <c r="B764" s="21">
        <v>46285.545219907406</v>
      </c>
      <c r="C764" s="2">
        <f t="shared" si="22"/>
        <v>46285</v>
      </c>
      <c r="D764" t="str">
        <f t="shared" si="23"/>
        <v>DOMINGO</v>
      </c>
      <c r="E764">
        <v>1003</v>
      </c>
      <c r="F764" t="s">
        <v>46</v>
      </c>
      <c r="G764" t="s">
        <v>499</v>
      </c>
      <c r="H764" t="s">
        <v>74</v>
      </c>
      <c r="I764" t="s">
        <v>517</v>
      </c>
      <c r="K764" t="s">
        <v>501</v>
      </c>
      <c r="L764" s="9"/>
      <c r="M764" t="str">
        <f>IF(G764="FIM",IF(L764="","SEM VÍNCULO",IF(COUNTIF(tblBatidas[Batida ID],L764)=0,"VÍNCULO INVÁLIDO",IF(COUNTIF(tblBatidas[Início vinculado],L764)&gt;1,"VÍNCULO DUPLICADO",IF(E764&lt;&gt;INDEX(tblBatidas[ID],MATCH(L764,tblBatidas[Batida ID],0)),"DIVERGÊNCIA DE ID",IF(H764&lt;&gt;INDEX(tblBatidas[Projeto],MATCH(L764,tblBatidas[Batida ID],0)),"DIVERGÊNCIA DE PROJETO",IF(I764&lt;&gt;INDEX(tblBatidas[Atividade],MATCH(L764,tblBatidas[Batida ID],0)),"DIVERGÊNCIA DE ATIVIDADE",IF(OR(B764&lt;=INDEX(tblBatidas[Data e hora],MATCH(L764,tblBatidas[Batida ID],0)),(B764-INDEX(tblBatidas[Data e hora],MATCH(L764,tblBatidas[Batida ID],0)))*24&gt;16),"HORÁRIO INVÁLIDO","VINCULADO"))))))),"INÍCIO")</f>
        <v>INÍCIO</v>
      </c>
    </row>
    <row r="765" spans="1:13" hidden="1">
      <c r="A765" t="s">
        <v>1400</v>
      </c>
      <c r="B765" s="21">
        <v>46285.751875000002</v>
      </c>
      <c r="C765" s="2">
        <f t="shared" si="22"/>
        <v>46285</v>
      </c>
      <c r="D765" t="str">
        <f t="shared" si="23"/>
        <v>DOMINGO</v>
      </c>
      <c r="E765">
        <v>1003</v>
      </c>
      <c r="F765" t="s">
        <v>46</v>
      </c>
      <c r="G765" t="s">
        <v>503</v>
      </c>
      <c r="H765" t="s">
        <v>74</v>
      </c>
      <c r="I765" t="s">
        <v>517</v>
      </c>
      <c r="K765" t="s">
        <v>501</v>
      </c>
      <c r="L765" s="9" t="s">
        <v>1399</v>
      </c>
      <c r="M765" t="str">
        <f>IF(G765="FIM",IF(L765="","SEM VÍNCULO",IF(COUNTIF(tblBatidas[Batida ID],L765)=0,"VÍNCULO INVÁLIDO",IF(COUNTIF(tblBatidas[Início vinculado],L765)&gt;1,"VÍNCULO DUPLICADO",IF(E765&lt;&gt;INDEX(tblBatidas[ID],MATCH(L765,tblBatidas[Batida ID],0)),"DIVERGÊNCIA DE ID",IF(H765&lt;&gt;INDEX(tblBatidas[Projeto],MATCH(L765,tblBatidas[Batida ID],0)),"DIVERGÊNCIA DE PROJETO",IF(I765&lt;&gt;INDEX(tblBatidas[Atividade],MATCH(L765,tblBatidas[Batida ID],0)),"DIVERGÊNCIA DE ATIVIDADE",IF(OR(B765&lt;=INDEX(tblBatidas[Data e hora],MATCH(L765,tblBatidas[Batida ID],0)),(B765-INDEX(tblBatidas[Data e hora],MATCH(L765,tblBatidas[Batida ID],0)))*24&gt;16),"HORÁRIO INVÁLIDO","VINCULADO"))))))),"INÍCIO")</f>
        <v>VINCULADO</v>
      </c>
    </row>
    <row r="766" spans="1:13" hidden="1">
      <c r="A766" t="s">
        <v>1401</v>
      </c>
      <c r="B766" s="21">
        <v>46286.308009259257</v>
      </c>
      <c r="C766" s="2">
        <f t="shared" si="22"/>
        <v>46286</v>
      </c>
      <c r="D766" t="str">
        <f t="shared" si="23"/>
        <v>SEGUNDA-FEIRA</v>
      </c>
      <c r="E766">
        <v>1003</v>
      </c>
      <c r="F766" t="s">
        <v>46</v>
      </c>
      <c r="G766" t="s">
        <v>499</v>
      </c>
      <c r="H766" t="s">
        <v>74</v>
      </c>
      <c r="I766" t="s">
        <v>517</v>
      </c>
      <c r="K766" t="s">
        <v>501</v>
      </c>
      <c r="L766" s="9"/>
      <c r="M766" t="str">
        <f>IF(G766="FIM",IF(L766="","SEM VÍNCULO",IF(COUNTIF(tblBatidas[Batida ID],L766)=0,"VÍNCULO INVÁLIDO",IF(COUNTIF(tblBatidas[Início vinculado],L766)&gt;1,"VÍNCULO DUPLICADO",IF(E766&lt;&gt;INDEX(tblBatidas[ID],MATCH(L766,tblBatidas[Batida ID],0)),"DIVERGÊNCIA DE ID",IF(H766&lt;&gt;INDEX(tblBatidas[Projeto],MATCH(L766,tblBatidas[Batida ID],0)),"DIVERGÊNCIA DE PROJETO",IF(I766&lt;&gt;INDEX(tblBatidas[Atividade],MATCH(L766,tblBatidas[Batida ID],0)),"DIVERGÊNCIA DE ATIVIDADE",IF(OR(B766&lt;=INDEX(tblBatidas[Data e hora],MATCH(L766,tblBatidas[Batida ID],0)),(B766-INDEX(tblBatidas[Data e hora],MATCH(L766,tblBatidas[Batida ID],0)))*24&gt;16),"HORÁRIO INVÁLIDO","VINCULADO"))))))),"INÍCIO")</f>
        <v>INÍCIO</v>
      </c>
    </row>
    <row r="767" spans="1:13" hidden="1">
      <c r="A767" t="s">
        <v>1402</v>
      </c>
      <c r="B767" s="21">
        <v>46286.338055555556</v>
      </c>
      <c r="C767" s="2">
        <f t="shared" si="22"/>
        <v>46286</v>
      </c>
      <c r="D767" t="str">
        <f t="shared" si="23"/>
        <v>SEGUNDA-FEIRA</v>
      </c>
      <c r="E767">
        <v>1011</v>
      </c>
      <c r="F767" t="s">
        <v>54</v>
      </c>
      <c r="G767" t="s">
        <v>499</v>
      </c>
      <c r="H767" t="s">
        <v>74</v>
      </c>
      <c r="I767" t="s">
        <v>517</v>
      </c>
      <c r="K767" t="s">
        <v>501</v>
      </c>
      <c r="L767" s="9"/>
      <c r="M767" t="str">
        <f>IF(G767="FIM",IF(L767="","SEM VÍNCULO",IF(COUNTIF(tblBatidas[Batida ID],L767)=0,"VÍNCULO INVÁLIDO",IF(COUNTIF(tblBatidas[Início vinculado],L767)&gt;1,"VÍNCULO DUPLICADO",IF(E767&lt;&gt;INDEX(tblBatidas[ID],MATCH(L767,tblBatidas[Batida ID],0)),"DIVERGÊNCIA DE ID",IF(H767&lt;&gt;INDEX(tblBatidas[Projeto],MATCH(L767,tblBatidas[Batida ID],0)),"DIVERGÊNCIA DE PROJETO",IF(I767&lt;&gt;INDEX(tblBatidas[Atividade],MATCH(L767,tblBatidas[Batida ID],0)),"DIVERGÊNCIA DE ATIVIDADE",IF(OR(B767&lt;=INDEX(tblBatidas[Data e hora],MATCH(L767,tblBatidas[Batida ID],0)),(B767-INDEX(tblBatidas[Data e hora],MATCH(L767,tblBatidas[Batida ID],0)))*24&gt;16),"HORÁRIO INVÁLIDO","VINCULADO"))))))),"INÍCIO")</f>
        <v>INÍCIO</v>
      </c>
    </row>
    <row r="768" spans="1:13">
      <c r="A768" t="s">
        <v>1403</v>
      </c>
      <c r="B768" s="21">
        <v>46286.344872685186</v>
      </c>
      <c r="C768" s="2">
        <f t="shared" si="22"/>
        <v>46286</v>
      </c>
      <c r="D768" t="str">
        <f t="shared" si="23"/>
        <v>SEGUNDA-FEIRA</v>
      </c>
      <c r="E768">
        <v>1002</v>
      </c>
      <c r="F768" t="s">
        <v>45</v>
      </c>
      <c r="G768" t="s">
        <v>499</v>
      </c>
      <c r="H768" t="s">
        <v>80</v>
      </c>
      <c r="I768" t="s">
        <v>517</v>
      </c>
      <c r="K768" t="s">
        <v>501</v>
      </c>
      <c r="L768" s="9"/>
      <c r="M768" t="str">
        <f>IF(G768="FIM",IF(L768="","SEM VÍNCULO",IF(COUNTIF(tblBatidas[Batida ID],L768)=0,"VÍNCULO INVÁLIDO",IF(COUNTIF(tblBatidas[Início vinculado],L768)&gt;1,"VÍNCULO DUPLICADO",IF(E768&lt;&gt;INDEX(tblBatidas[ID],MATCH(L768,tblBatidas[Batida ID],0)),"DIVERGÊNCIA DE ID",IF(H768&lt;&gt;INDEX(tblBatidas[Projeto],MATCH(L768,tblBatidas[Batida ID],0)),"DIVERGÊNCIA DE PROJETO",IF(I768&lt;&gt;INDEX(tblBatidas[Atividade],MATCH(L768,tblBatidas[Batida ID],0)),"DIVERGÊNCIA DE ATIVIDADE",IF(OR(B768&lt;=INDEX(tblBatidas[Data e hora],MATCH(L768,tblBatidas[Batida ID],0)),(B768-INDEX(tblBatidas[Data e hora],MATCH(L768,tblBatidas[Batida ID],0)))*24&gt;16),"HORÁRIO INVÁLIDO","VINCULADO"))))))),"INÍCIO")</f>
        <v>INÍCIO</v>
      </c>
    </row>
    <row r="769" spans="1:13" hidden="1">
      <c r="A769" t="s">
        <v>1404</v>
      </c>
      <c r="B769" s="21">
        <v>46286.366030092591</v>
      </c>
      <c r="C769" s="2">
        <f t="shared" si="22"/>
        <v>46286</v>
      </c>
      <c r="D769" t="str">
        <f t="shared" si="23"/>
        <v>SEGUNDA-FEIRA</v>
      </c>
      <c r="E769">
        <v>1013</v>
      </c>
      <c r="F769" t="s">
        <v>57</v>
      </c>
      <c r="G769" t="s">
        <v>499</v>
      </c>
      <c r="H769" t="s">
        <v>86</v>
      </c>
      <c r="I769" t="s">
        <v>517</v>
      </c>
      <c r="J769" t="s">
        <v>1405</v>
      </c>
      <c r="K769" t="s">
        <v>501</v>
      </c>
      <c r="L769" s="9"/>
      <c r="M769" t="str">
        <f>IF(G769="FIM",IF(L769="","SEM VÍNCULO",IF(COUNTIF(tblBatidas[Batida ID],L769)=0,"VÍNCULO INVÁLIDO",IF(COUNTIF(tblBatidas[Início vinculado],L769)&gt;1,"VÍNCULO DUPLICADO",IF(E769&lt;&gt;INDEX(tblBatidas[ID],MATCH(L769,tblBatidas[Batida ID],0)),"DIVERGÊNCIA DE ID",IF(H769&lt;&gt;INDEX(tblBatidas[Projeto],MATCH(L769,tblBatidas[Batida ID],0)),"DIVERGÊNCIA DE PROJETO",IF(I769&lt;&gt;INDEX(tblBatidas[Atividade],MATCH(L769,tblBatidas[Batida ID],0)),"DIVERGÊNCIA DE ATIVIDADE",IF(OR(B769&lt;=INDEX(tblBatidas[Data e hora],MATCH(L769,tblBatidas[Batida ID],0)),(B769-INDEX(tblBatidas[Data e hora],MATCH(L769,tblBatidas[Batida ID],0)))*24&gt;16),"HORÁRIO INVÁLIDO","VINCULADO"))))))),"INÍCIO")</f>
        <v>INÍCIO</v>
      </c>
    </row>
    <row r="770" spans="1:13" hidden="1">
      <c r="A770" t="s">
        <v>1406</v>
      </c>
      <c r="B770" s="21">
        <v>46286.504074074073</v>
      </c>
      <c r="C770" s="2">
        <f t="shared" si="22"/>
        <v>46286</v>
      </c>
      <c r="D770" t="str">
        <f t="shared" si="23"/>
        <v>SEGUNDA-FEIRA</v>
      </c>
      <c r="E770">
        <v>1011</v>
      </c>
      <c r="F770" t="s">
        <v>54</v>
      </c>
      <c r="G770" t="s">
        <v>503</v>
      </c>
      <c r="H770" t="s">
        <v>74</v>
      </c>
      <c r="I770" t="s">
        <v>517</v>
      </c>
      <c r="K770" t="s">
        <v>501</v>
      </c>
      <c r="L770" s="9" t="s">
        <v>1402</v>
      </c>
      <c r="M770" t="str">
        <f>IF(G770="FIM",IF(L770="","SEM VÍNCULO",IF(COUNTIF(tblBatidas[Batida ID],L770)=0,"VÍNCULO INVÁLIDO",IF(COUNTIF(tblBatidas[Início vinculado],L770)&gt;1,"VÍNCULO DUPLICADO",IF(E770&lt;&gt;INDEX(tblBatidas[ID],MATCH(L770,tblBatidas[Batida ID],0)),"DIVERGÊNCIA DE ID",IF(H770&lt;&gt;INDEX(tblBatidas[Projeto],MATCH(L770,tblBatidas[Batida ID],0)),"DIVERGÊNCIA DE PROJETO",IF(I770&lt;&gt;INDEX(tblBatidas[Atividade],MATCH(L770,tblBatidas[Batida ID],0)),"DIVERGÊNCIA DE ATIVIDADE",IF(OR(B770&lt;=INDEX(tblBatidas[Data e hora],MATCH(L770,tblBatidas[Batida ID],0)),(B770-INDEX(tblBatidas[Data e hora],MATCH(L770,tblBatidas[Batida ID],0)))*24&gt;16),"HORÁRIO INVÁLIDO","VINCULADO"))))))),"INÍCIO")</f>
        <v>VINCULADO</v>
      </c>
    </row>
    <row r="771" spans="1:13">
      <c r="A771" t="s">
        <v>1407</v>
      </c>
      <c r="B771" s="21">
        <v>46286.510949074072</v>
      </c>
      <c r="C771" s="2">
        <f t="shared" si="22"/>
        <v>46286</v>
      </c>
      <c r="D771" t="str">
        <f t="shared" si="23"/>
        <v>SEGUNDA-FEIRA</v>
      </c>
      <c r="E771">
        <v>1002</v>
      </c>
      <c r="F771" t="s">
        <v>45</v>
      </c>
      <c r="G771" t="s">
        <v>503</v>
      </c>
      <c r="H771" t="s">
        <v>80</v>
      </c>
      <c r="I771" t="s">
        <v>517</v>
      </c>
      <c r="K771" t="s">
        <v>501</v>
      </c>
      <c r="L771" s="9" t="s">
        <v>1403</v>
      </c>
      <c r="M771" t="str">
        <f>IF(G771="FIM",IF(L771="","SEM VÍNCULO",IF(COUNTIF(tblBatidas[Batida ID],L771)=0,"VÍNCULO INVÁLIDO",IF(COUNTIF(tblBatidas[Início vinculado],L771)&gt;1,"VÍNCULO DUPLICADO",IF(E771&lt;&gt;INDEX(tblBatidas[ID],MATCH(L771,tblBatidas[Batida ID],0)),"DIVERGÊNCIA DE ID",IF(H771&lt;&gt;INDEX(tblBatidas[Projeto],MATCH(L771,tblBatidas[Batida ID],0)),"DIVERGÊNCIA DE PROJETO",IF(I771&lt;&gt;INDEX(tblBatidas[Atividade],MATCH(L771,tblBatidas[Batida ID],0)),"DIVERGÊNCIA DE ATIVIDADE",IF(OR(B771&lt;=INDEX(tblBatidas[Data e hora],MATCH(L771,tblBatidas[Batida ID],0)),(B771-INDEX(tblBatidas[Data e hora],MATCH(L771,tblBatidas[Batida ID],0)))*24&gt;16),"HORÁRIO INVÁLIDO","VINCULADO"))))))),"INÍCIO")</f>
        <v>VINCULADO</v>
      </c>
    </row>
    <row r="772" spans="1:13" hidden="1">
      <c r="A772" t="s">
        <v>1408</v>
      </c>
      <c r="B772" s="21">
        <v>46286.511689814812</v>
      </c>
      <c r="C772" s="2">
        <f t="shared" si="22"/>
        <v>46286</v>
      </c>
      <c r="D772" t="str">
        <f t="shared" si="23"/>
        <v>SEGUNDA-FEIRA</v>
      </c>
      <c r="E772">
        <v>1013</v>
      </c>
      <c r="F772" t="s">
        <v>57</v>
      </c>
      <c r="G772" t="s">
        <v>503</v>
      </c>
      <c r="H772" t="s">
        <v>86</v>
      </c>
      <c r="I772" t="s">
        <v>517</v>
      </c>
      <c r="J772" t="s">
        <v>1405</v>
      </c>
      <c r="K772" t="s">
        <v>501</v>
      </c>
      <c r="L772" s="9" t="s">
        <v>1404</v>
      </c>
      <c r="M772" t="str">
        <f>IF(G772="FIM",IF(L772="","SEM VÍNCULO",IF(COUNTIF(tblBatidas[Batida ID],L772)=0,"VÍNCULO INVÁLIDO",IF(COUNTIF(tblBatidas[Início vinculado],L772)&gt;1,"VÍNCULO DUPLICADO",IF(E772&lt;&gt;INDEX(tblBatidas[ID],MATCH(L772,tblBatidas[Batida ID],0)),"DIVERGÊNCIA DE ID",IF(H772&lt;&gt;INDEX(tblBatidas[Projeto],MATCH(L772,tblBatidas[Batida ID],0)),"DIVERGÊNCIA DE PROJETO",IF(I772&lt;&gt;INDEX(tblBatidas[Atividade],MATCH(L772,tblBatidas[Batida ID],0)),"DIVERGÊNCIA DE ATIVIDADE",IF(OR(B772&lt;=INDEX(tblBatidas[Data e hora],MATCH(L772,tblBatidas[Batida ID],0)),(B772-INDEX(tblBatidas[Data e hora],MATCH(L772,tblBatidas[Batida ID],0)))*24&gt;16),"HORÁRIO INVÁLIDO","VINCULADO"))))))),"INÍCIO")</f>
        <v>VINCULADO</v>
      </c>
    </row>
    <row r="773" spans="1:13" hidden="1">
      <c r="A773" t="s">
        <v>1409</v>
      </c>
      <c r="B773" s="21">
        <v>46286.537222222221</v>
      </c>
      <c r="C773" s="2">
        <f t="shared" ref="C773:C808" si="24">IF(B773="","",INT(B773))</f>
        <v>46286</v>
      </c>
      <c r="D773" t="str">
        <f t="shared" ref="D773:D808" si="25">IF(C773="","",CHOOSE(WEEKDAY(C773,2),"SEGUNDA-FEIRA","TERÇA-FEIRA","QUARTA-FEIRA","QUINTA-FEIRA","SEXTA-FEIRA","SÁBADO","DOMINGO"))</f>
        <v>SEGUNDA-FEIRA</v>
      </c>
      <c r="E773">
        <v>1011</v>
      </c>
      <c r="F773" t="s">
        <v>54</v>
      </c>
      <c r="G773" t="s">
        <v>499</v>
      </c>
      <c r="H773" t="s">
        <v>74</v>
      </c>
      <c r="I773" t="s">
        <v>517</v>
      </c>
      <c r="K773" t="s">
        <v>501</v>
      </c>
      <c r="L773" s="9"/>
      <c r="M773" t="str">
        <f>IF(G773="FIM",IF(L773="","SEM VÍNCULO",IF(COUNTIF(tblBatidas[Batida ID],L773)=0,"VÍNCULO INVÁLIDO",IF(COUNTIF(tblBatidas[Início vinculado],L773)&gt;1,"VÍNCULO DUPLICADO",IF(E773&lt;&gt;INDEX(tblBatidas[ID],MATCH(L773,tblBatidas[Batida ID],0)),"DIVERGÊNCIA DE ID",IF(H773&lt;&gt;INDEX(tblBatidas[Projeto],MATCH(L773,tblBatidas[Batida ID],0)),"DIVERGÊNCIA DE PROJETO",IF(I773&lt;&gt;INDEX(tblBatidas[Atividade],MATCH(L773,tblBatidas[Batida ID],0)),"DIVERGÊNCIA DE ATIVIDADE",IF(OR(B773&lt;=INDEX(tblBatidas[Data e hora],MATCH(L773,tblBatidas[Batida ID],0)),(B773-INDEX(tblBatidas[Data e hora],MATCH(L773,tblBatidas[Batida ID],0)))*24&gt;16),"HORÁRIO INVÁLIDO","VINCULADO"))))))),"INÍCIO")</f>
        <v>INÍCIO</v>
      </c>
    </row>
    <row r="774" spans="1:13" hidden="1">
      <c r="A774" t="s">
        <v>1410</v>
      </c>
      <c r="B774" s="21">
        <v>46286.545312499999</v>
      </c>
      <c r="C774" s="2">
        <f t="shared" si="24"/>
        <v>46286</v>
      </c>
      <c r="D774" t="str">
        <f t="shared" si="25"/>
        <v>SEGUNDA-FEIRA</v>
      </c>
      <c r="E774">
        <v>1013</v>
      </c>
      <c r="F774" t="s">
        <v>57</v>
      </c>
      <c r="G774" t="s">
        <v>499</v>
      </c>
      <c r="H774" t="s">
        <v>86</v>
      </c>
      <c r="I774" t="s">
        <v>517</v>
      </c>
      <c r="J774" t="s">
        <v>1405</v>
      </c>
      <c r="K774" t="s">
        <v>501</v>
      </c>
      <c r="L774" s="9"/>
      <c r="M774" t="str">
        <f>IF(G774="FIM",IF(L774="","SEM VÍNCULO",IF(COUNTIF(tblBatidas[Batida ID],L774)=0,"VÍNCULO INVÁLIDO",IF(COUNTIF(tblBatidas[Início vinculado],L774)&gt;1,"VÍNCULO DUPLICADO",IF(E774&lt;&gt;INDEX(tblBatidas[ID],MATCH(L774,tblBatidas[Batida ID],0)),"DIVERGÊNCIA DE ID",IF(H774&lt;&gt;INDEX(tblBatidas[Projeto],MATCH(L774,tblBatidas[Batida ID],0)),"DIVERGÊNCIA DE PROJETO",IF(I774&lt;&gt;INDEX(tblBatidas[Atividade],MATCH(L774,tblBatidas[Batida ID],0)),"DIVERGÊNCIA DE ATIVIDADE",IF(OR(B774&lt;=INDEX(tblBatidas[Data e hora],MATCH(L774,tblBatidas[Batida ID],0)),(B774-INDEX(tblBatidas[Data e hora],MATCH(L774,tblBatidas[Batida ID],0)))*24&gt;16),"HORÁRIO INVÁLIDO","VINCULADO"))))))),"INÍCIO")</f>
        <v>INÍCIO</v>
      </c>
    </row>
    <row r="775" spans="1:13">
      <c r="A775" t="s">
        <v>1411</v>
      </c>
      <c r="B775" s="21">
        <v>46286.552800925929</v>
      </c>
      <c r="C775" s="2">
        <f t="shared" si="24"/>
        <v>46286</v>
      </c>
      <c r="D775" t="str">
        <f t="shared" si="25"/>
        <v>SEGUNDA-FEIRA</v>
      </c>
      <c r="E775">
        <v>1002</v>
      </c>
      <c r="F775" t="s">
        <v>45</v>
      </c>
      <c r="G775" t="s">
        <v>499</v>
      </c>
      <c r="H775" t="s">
        <v>74</v>
      </c>
      <c r="I775" t="s">
        <v>517</v>
      </c>
      <c r="K775" t="s">
        <v>501</v>
      </c>
      <c r="L775" s="9"/>
      <c r="M775" t="str">
        <f>IF(G775="FIM",IF(L775="","SEM VÍNCULO",IF(COUNTIF(tblBatidas[Batida ID],L775)=0,"VÍNCULO INVÁLIDO",IF(COUNTIF(tblBatidas[Início vinculado],L775)&gt;1,"VÍNCULO DUPLICADO",IF(E775&lt;&gt;INDEX(tblBatidas[ID],MATCH(L775,tblBatidas[Batida ID],0)),"DIVERGÊNCIA DE ID",IF(H775&lt;&gt;INDEX(tblBatidas[Projeto],MATCH(L775,tblBatidas[Batida ID],0)),"DIVERGÊNCIA DE PROJETO",IF(I775&lt;&gt;INDEX(tblBatidas[Atividade],MATCH(L775,tblBatidas[Batida ID],0)),"DIVERGÊNCIA DE ATIVIDADE",IF(OR(B775&lt;=INDEX(tblBatidas[Data e hora],MATCH(L775,tblBatidas[Batida ID],0)),(B775-INDEX(tblBatidas[Data e hora],MATCH(L775,tblBatidas[Batida ID],0)))*24&gt;16),"HORÁRIO INVÁLIDO","VINCULADO"))))))),"INÍCIO")</f>
        <v>INÍCIO</v>
      </c>
    </row>
    <row r="776" spans="1:13" hidden="1">
      <c r="A776" t="s">
        <v>1412</v>
      </c>
      <c r="B776" s="21">
        <v>46286.572141203702</v>
      </c>
      <c r="C776" s="2">
        <f t="shared" si="24"/>
        <v>46286</v>
      </c>
      <c r="D776" t="str">
        <f t="shared" si="25"/>
        <v>SEGUNDA-FEIRA</v>
      </c>
      <c r="E776">
        <v>1003</v>
      </c>
      <c r="F776" t="s">
        <v>46</v>
      </c>
      <c r="G776" t="s">
        <v>503</v>
      </c>
      <c r="H776" t="s">
        <v>74</v>
      </c>
      <c r="I776" t="s">
        <v>517</v>
      </c>
      <c r="K776" t="s">
        <v>501</v>
      </c>
      <c r="L776" s="9" t="s">
        <v>1401</v>
      </c>
      <c r="M776" t="str">
        <f>IF(G776="FIM",IF(L776="","SEM VÍNCULO",IF(COUNTIF(tblBatidas[Batida ID],L776)=0,"VÍNCULO INVÁLIDO",IF(COUNTIF(tblBatidas[Início vinculado],L776)&gt;1,"VÍNCULO DUPLICADO",IF(E776&lt;&gt;INDEX(tblBatidas[ID],MATCH(L776,tblBatidas[Batida ID],0)),"DIVERGÊNCIA DE ID",IF(H776&lt;&gt;INDEX(tblBatidas[Projeto],MATCH(L776,tblBatidas[Batida ID],0)),"DIVERGÊNCIA DE PROJETO",IF(I776&lt;&gt;INDEX(tblBatidas[Atividade],MATCH(L776,tblBatidas[Batida ID],0)),"DIVERGÊNCIA DE ATIVIDADE",IF(OR(B776&lt;=INDEX(tblBatidas[Data e hora],MATCH(L776,tblBatidas[Batida ID],0)),(B776-INDEX(tblBatidas[Data e hora],MATCH(L776,tblBatidas[Batida ID],0)))*24&gt;16),"HORÁRIO INVÁLIDO","VINCULADO"))))))),"INÍCIO")</f>
        <v>VINCULADO</v>
      </c>
    </row>
    <row r="777" spans="1:13" hidden="1">
      <c r="A777" t="s">
        <v>1413</v>
      </c>
      <c r="B777" s="21">
        <v>46286.592002314814</v>
      </c>
      <c r="C777" s="2">
        <f t="shared" si="24"/>
        <v>46286</v>
      </c>
      <c r="D777" t="str">
        <f t="shared" si="25"/>
        <v>SEGUNDA-FEIRA</v>
      </c>
      <c r="E777">
        <v>1003</v>
      </c>
      <c r="F777" t="s">
        <v>46</v>
      </c>
      <c r="G777" t="s">
        <v>499</v>
      </c>
      <c r="H777" t="s">
        <v>74</v>
      </c>
      <c r="I777" t="s">
        <v>517</v>
      </c>
      <c r="K777" t="s">
        <v>501</v>
      </c>
      <c r="L777" s="9"/>
      <c r="M777" t="str">
        <f>IF(G777="FIM",IF(L777="","SEM VÍNCULO",IF(COUNTIF(tblBatidas[Batida ID],L777)=0,"VÍNCULO INVÁLIDO",IF(COUNTIF(tblBatidas[Início vinculado],L777)&gt;1,"VÍNCULO DUPLICADO",IF(E777&lt;&gt;INDEX(tblBatidas[ID],MATCH(L777,tblBatidas[Batida ID],0)),"DIVERGÊNCIA DE ID",IF(H777&lt;&gt;INDEX(tblBatidas[Projeto],MATCH(L777,tblBatidas[Batida ID],0)),"DIVERGÊNCIA DE PROJETO",IF(I777&lt;&gt;INDEX(tblBatidas[Atividade],MATCH(L777,tblBatidas[Batida ID],0)),"DIVERGÊNCIA DE ATIVIDADE",IF(OR(B777&lt;=INDEX(tblBatidas[Data e hora],MATCH(L777,tblBatidas[Batida ID],0)),(B777-INDEX(tblBatidas[Data e hora],MATCH(L777,tblBatidas[Batida ID],0)))*24&gt;16),"HORÁRIO INVÁLIDO","VINCULADO"))))))),"INÍCIO")</f>
        <v>INÍCIO</v>
      </c>
    </row>
    <row r="778" spans="1:13">
      <c r="A778" t="s">
        <v>1414</v>
      </c>
      <c r="B778" s="21">
        <v>46286.746111111112</v>
      </c>
      <c r="C778" s="2">
        <f t="shared" si="24"/>
        <v>46286</v>
      </c>
      <c r="D778" t="str">
        <f t="shared" si="25"/>
        <v>SEGUNDA-FEIRA</v>
      </c>
      <c r="E778">
        <v>1002</v>
      </c>
      <c r="F778" t="s">
        <v>45</v>
      </c>
      <c r="G778" t="s">
        <v>503</v>
      </c>
      <c r="H778" t="s">
        <v>74</v>
      </c>
      <c r="I778" t="s">
        <v>517</v>
      </c>
      <c r="K778" t="s">
        <v>501</v>
      </c>
      <c r="L778" s="9" t="s">
        <v>1411</v>
      </c>
      <c r="M778" t="str">
        <f>IF(G778="FIM",IF(L778="","SEM VÍNCULO",IF(COUNTIF(tblBatidas[Batida ID],L778)=0,"VÍNCULO INVÁLIDO",IF(COUNTIF(tblBatidas[Início vinculado],L778)&gt;1,"VÍNCULO DUPLICADO",IF(E778&lt;&gt;INDEX(tblBatidas[ID],MATCH(L778,tblBatidas[Batida ID],0)),"DIVERGÊNCIA DE ID",IF(H778&lt;&gt;INDEX(tblBatidas[Projeto],MATCH(L778,tblBatidas[Batida ID],0)),"DIVERGÊNCIA DE PROJETO",IF(I778&lt;&gt;INDEX(tblBatidas[Atividade],MATCH(L778,tblBatidas[Batida ID],0)),"DIVERGÊNCIA DE ATIVIDADE",IF(OR(B778&lt;=INDEX(tblBatidas[Data e hora],MATCH(L778,tblBatidas[Batida ID],0)),(B778-INDEX(tblBatidas[Data e hora],MATCH(L778,tblBatidas[Batida ID],0)))*24&gt;16),"HORÁRIO INVÁLIDO","VINCULADO"))))))),"INÍCIO")</f>
        <v>VINCULADO</v>
      </c>
    </row>
    <row r="779" spans="1:13" hidden="1">
      <c r="A779" t="s">
        <v>1415</v>
      </c>
      <c r="B779" s="21">
        <v>46286.750486111108</v>
      </c>
      <c r="C779" s="2">
        <f t="shared" si="24"/>
        <v>46286</v>
      </c>
      <c r="D779" t="str">
        <f t="shared" si="25"/>
        <v>SEGUNDA-FEIRA</v>
      </c>
      <c r="E779">
        <v>1013</v>
      </c>
      <c r="F779" t="s">
        <v>57</v>
      </c>
      <c r="G779" t="s">
        <v>503</v>
      </c>
      <c r="H779" t="s">
        <v>74</v>
      </c>
      <c r="I779" t="s">
        <v>517</v>
      </c>
      <c r="J779" t="s">
        <v>1416</v>
      </c>
      <c r="K779" t="s">
        <v>501</v>
      </c>
      <c r="L779" s="9"/>
      <c r="M779" t="str">
        <f>IF(G779="FIM",IF(L779="","SEM VÍNCULO",IF(COUNTIF(tblBatidas[Batida ID],L779)=0,"VÍNCULO INVÁLIDO",IF(COUNTIF(tblBatidas[Início vinculado],L779)&gt;1,"VÍNCULO DUPLICADO",IF(E779&lt;&gt;INDEX(tblBatidas[ID],MATCH(L779,tblBatidas[Batida ID],0)),"DIVERGÊNCIA DE ID",IF(H779&lt;&gt;INDEX(tblBatidas[Projeto],MATCH(L779,tblBatidas[Batida ID],0)),"DIVERGÊNCIA DE PROJETO",IF(I779&lt;&gt;INDEX(tblBatidas[Atividade],MATCH(L779,tblBatidas[Batida ID],0)),"DIVERGÊNCIA DE ATIVIDADE",IF(OR(B779&lt;=INDEX(tblBatidas[Data e hora],MATCH(L779,tblBatidas[Batida ID],0)),(B779-INDEX(tblBatidas[Data e hora],MATCH(L779,tblBatidas[Batida ID],0)))*24&gt;16),"HORÁRIO INVÁLIDO","VINCULADO"))))))),"INÍCIO")</f>
        <v>SEM VÍNCULO</v>
      </c>
    </row>
    <row r="780" spans="1:13" hidden="1">
      <c r="A780" t="s">
        <v>1417</v>
      </c>
      <c r="B780" s="21">
        <v>46286.80841435185</v>
      </c>
      <c r="C780" s="2">
        <f t="shared" si="24"/>
        <v>46286</v>
      </c>
      <c r="D780" t="str">
        <f t="shared" si="25"/>
        <v>SEGUNDA-FEIRA</v>
      </c>
      <c r="E780">
        <v>1003</v>
      </c>
      <c r="F780" t="s">
        <v>46</v>
      </c>
      <c r="G780" t="s">
        <v>503</v>
      </c>
      <c r="H780" t="s">
        <v>74</v>
      </c>
      <c r="I780" t="s">
        <v>517</v>
      </c>
      <c r="K780" t="s">
        <v>501</v>
      </c>
      <c r="L780" s="9" t="s">
        <v>1413</v>
      </c>
      <c r="M780" t="str">
        <f>IF(G780="FIM",IF(L780="","SEM VÍNCULO",IF(COUNTIF(tblBatidas[Batida ID],L780)=0,"VÍNCULO INVÁLIDO",IF(COUNTIF(tblBatidas[Início vinculado],L780)&gt;1,"VÍNCULO DUPLICADO",IF(E780&lt;&gt;INDEX(tblBatidas[ID],MATCH(L780,tblBatidas[Batida ID],0)),"DIVERGÊNCIA DE ID",IF(H780&lt;&gt;INDEX(tblBatidas[Projeto],MATCH(L780,tblBatidas[Batida ID],0)),"DIVERGÊNCIA DE PROJETO",IF(I780&lt;&gt;INDEX(tblBatidas[Atividade],MATCH(L780,tblBatidas[Batida ID],0)),"DIVERGÊNCIA DE ATIVIDADE",IF(OR(B780&lt;=INDEX(tblBatidas[Data e hora],MATCH(L780,tblBatidas[Batida ID],0)),(B780-INDEX(tblBatidas[Data e hora],MATCH(L780,tblBatidas[Batida ID],0)))*24&gt;16),"HORÁRIO INVÁLIDO","VINCULADO"))))))),"INÍCIO")</f>
        <v>VINCULADO</v>
      </c>
    </row>
    <row r="781" spans="1:13" hidden="1">
      <c r="A781" t="s">
        <v>1418</v>
      </c>
      <c r="B781" s="21">
        <v>46287.313321759262</v>
      </c>
      <c r="C781" s="2">
        <f t="shared" si="24"/>
        <v>46287</v>
      </c>
      <c r="D781" t="str">
        <f t="shared" si="25"/>
        <v>TERÇA-FEIRA</v>
      </c>
      <c r="E781">
        <v>1013</v>
      </c>
      <c r="F781" t="s">
        <v>57</v>
      </c>
      <c r="G781" t="s">
        <v>499</v>
      </c>
      <c r="H781" t="s">
        <v>74</v>
      </c>
      <c r="I781" t="s">
        <v>517</v>
      </c>
      <c r="K781" t="s">
        <v>501</v>
      </c>
      <c r="L781" s="9"/>
      <c r="M781" t="str">
        <f>IF(G781="FIM",IF(L781="","SEM VÍNCULO",IF(COUNTIF(tblBatidas[Batida ID],L781)=0,"VÍNCULO INVÁLIDO",IF(COUNTIF(tblBatidas[Início vinculado],L781)&gt;1,"VÍNCULO DUPLICADO",IF(E781&lt;&gt;INDEX(tblBatidas[ID],MATCH(L781,tblBatidas[Batida ID],0)),"DIVERGÊNCIA DE ID",IF(H781&lt;&gt;INDEX(tblBatidas[Projeto],MATCH(L781,tblBatidas[Batida ID],0)),"DIVERGÊNCIA DE PROJETO",IF(I781&lt;&gt;INDEX(tblBatidas[Atividade],MATCH(L781,tblBatidas[Batida ID],0)),"DIVERGÊNCIA DE ATIVIDADE",IF(OR(B781&lt;=INDEX(tblBatidas[Data e hora],MATCH(L781,tblBatidas[Batida ID],0)),(B781-INDEX(tblBatidas[Data e hora],MATCH(L781,tblBatidas[Batida ID],0)))*24&gt;16),"HORÁRIO INVÁLIDO","VINCULADO"))))))),"INÍCIO")</f>
        <v>INÍCIO</v>
      </c>
    </row>
    <row r="782" spans="1:13" hidden="1">
      <c r="A782" t="s">
        <v>1419</v>
      </c>
      <c r="B782" s="21">
        <v>46287.331932870373</v>
      </c>
      <c r="C782" s="2">
        <f t="shared" si="24"/>
        <v>46287</v>
      </c>
      <c r="D782" t="str">
        <f t="shared" si="25"/>
        <v>TERÇA-FEIRA</v>
      </c>
      <c r="E782">
        <v>1003</v>
      </c>
      <c r="F782" t="s">
        <v>46</v>
      </c>
      <c r="G782" t="s">
        <v>499</v>
      </c>
      <c r="H782" t="s">
        <v>74</v>
      </c>
      <c r="I782" t="s">
        <v>517</v>
      </c>
      <c r="K782" t="s">
        <v>501</v>
      </c>
      <c r="L782" s="9"/>
      <c r="M782" t="str">
        <f>IF(G782="FIM",IF(L782="","SEM VÍNCULO",IF(COUNTIF(tblBatidas[Batida ID],L782)=0,"VÍNCULO INVÁLIDO",IF(COUNTIF(tblBatidas[Início vinculado],L782)&gt;1,"VÍNCULO DUPLICADO",IF(E782&lt;&gt;INDEX(tblBatidas[ID],MATCH(L782,tblBatidas[Batida ID],0)),"DIVERGÊNCIA DE ID",IF(H782&lt;&gt;INDEX(tblBatidas[Projeto],MATCH(L782,tblBatidas[Batida ID],0)),"DIVERGÊNCIA DE PROJETO",IF(I782&lt;&gt;INDEX(tblBatidas[Atividade],MATCH(L782,tblBatidas[Batida ID],0)),"DIVERGÊNCIA DE ATIVIDADE",IF(OR(B782&lt;=INDEX(tblBatidas[Data e hora],MATCH(L782,tblBatidas[Batida ID],0)),(B782-INDEX(tblBatidas[Data e hora],MATCH(L782,tblBatidas[Batida ID],0)))*24&gt;16),"HORÁRIO INVÁLIDO","VINCULADO"))))))),"INÍCIO")</f>
        <v>INÍCIO</v>
      </c>
    </row>
    <row r="783" spans="1:13" hidden="1">
      <c r="A783" t="s">
        <v>1420</v>
      </c>
      <c r="B783" s="21">
        <v>46287.339606481481</v>
      </c>
      <c r="C783" s="2">
        <f t="shared" si="24"/>
        <v>46287</v>
      </c>
      <c r="D783" t="str">
        <f t="shared" si="25"/>
        <v>TERÇA-FEIRA</v>
      </c>
      <c r="E783">
        <v>1011</v>
      </c>
      <c r="F783" t="s">
        <v>54</v>
      </c>
      <c r="G783" t="s">
        <v>499</v>
      </c>
      <c r="H783" t="s">
        <v>74</v>
      </c>
      <c r="I783" t="s">
        <v>517</v>
      </c>
      <c r="K783" t="s">
        <v>501</v>
      </c>
      <c r="L783" s="9"/>
      <c r="M783" t="str">
        <f>IF(G783="FIM",IF(L783="","SEM VÍNCULO",IF(COUNTIF(tblBatidas[Batida ID],L783)=0,"VÍNCULO INVÁLIDO",IF(COUNTIF(tblBatidas[Início vinculado],L783)&gt;1,"VÍNCULO DUPLICADO",IF(E783&lt;&gt;INDEX(tblBatidas[ID],MATCH(L783,tblBatidas[Batida ID],0)),"DIVERGÊNCIA DE ID",IF(H783&lt;&gt;INDEX(tblBatidas[Projeto],MATCH(L783,tblBatidas[Batida ID],0)),"DIVERGÊNCIA DE PROJETO",IF(I783&lt;&gt;INDEX(tblBatidas[Atividade],MATCH(L783,tblBatidas[Batida ID],0)),"DIVERGÊNCIA DE ATIVIDADE",IF(OR(B783&lt;=INDEX(tblBatidas[Data e hora],MATCH(L783,tblBatidas[Batida ID],0)),(B783-INDEX(tblBatidas[Data e hora],MATCH(L783,tblBatidas[Batida ID],0)))*24&gt;16),"HORÁRIO INVÁLIDO","VINCULADO"))))))),"INÍCIO")</f>
        <v>INÍCIO</v>
      </c>
    </row>
    <row r="784" spans="1:13">
      <c r="A784" t="s">
        <v>1421</v>
      </c>
      <c r="B784" s="21">
        <v>46287.379571759258</v>
      </c>
      <c r="C784" s="2">
        <f t="shared" si="24"/>
        <v>46287</v>
      </c>
      <c r="D784" t="str">
        <f t="shared" si="25"/>
        <v>TERÇA-FEIRA</v>
      </c>
      <c r="E784">
        <v>1002</v>
      </c>
      <c r="F784" t="s">
        <v>45</v>
      </c>
      <c r="G784" t="s">
        <v>499</v>
      </c>
      <c r="H784" t="s">
        <v>80</v>
      </c>
      <c r="I784" t="s">
        <v>517</v>
      </c>
      <c r="K784" t="s">
        <v>501</v>
      </c>
      <c r="L784" s="9"/>
      <c r="M784" t="str">
        <f>IF(G784="FIM",IF(L784="","SEM VÍNCULO",IF(COUNTIF(tblBatidas[Batida ID],L784)=0,"VÍNCULO INVÁLIDO",IF(COUNTIF(tblBatidas[Início vinculado],L784)&gt;1,"VÍNCULO DUPLICADO",IF(E784&lt;&gt;INDEX(tblBatidas[ID],MATCH(L784,tblBatidas[Batida ID],0)),"DIVERGÊNCIA DE ID",IF(H784&lt;&gt;INDEX(tblBatidas[Projeto],MATCH(L784,tblBatidas[Batida ID],0)),"DIVERGÊNCIA DE PROJETO",IF(I784&lt;&gt;INDEX(tblBatidas[Atividade],MATCH(L784,tblBatidas[Batida ID],0)),"DIVERGÊNCIA DE ATIVIDADE",IF(OR(B784&lt;=INDEX(tblBatidas[Data e hora],MATCH(L784,tblBatidas[Batida ID],0)),(B784-INDEX(tblBatidas[Data e hora],MATCH(L784,tblBatidas[Batida ID],0)))*24&gt;16),"HORÁRIO INVÁLIDO","VINCULADO"))))))),"INÍCIO")</f>
        <v>INÍCIO</v>
      </c>
    </row>
    <row r="785" spans="1:13" hidden="1">
      <c r="A785" t="s">
        <v>1422</v>
      </c>
      <c r="B785" s="21">
        <v>46287.503831018519</v>
      </c>
      <c r="C785" s="2">
        <f t="shared" si="24"/>
        <v>46287</v>
      </c>
      <c r="D785" t="str">
        <f t="shared" si="25"/>
        <v>TERÇA-FEIRA</v>
      </c>
      <c r="E785">
        <v>1013</v>
      </c>
      <c r="F785" t="s">
        <v>57</v>
      </c>
      <c r="G785" t="s">
        <v>503</v>
      </c>
      <c r="H785" t="s">
        <v>74</v>
      </c>
      <c r="I785" t="s">
        <v>517</v>
      </c>
      <c r="K785" t="s">
        <v>501</v>
      </c>
      <c r="L785" s="9" t="s">
        <v>1418</v>
      </c>
      <c r="M785" t="str">
        <f>IF(G785="FIM",IF(L785="","SEM VÍNCULO",IF(COUNTIF(tblBatidas[Batida ID],L785)=0,"VÍNCULO INVÁLIDO",IF(COUNTIF(tblBatidas[Início vinculado],L785)&gt;1,"VÍNCULO DUPLICADO",IF(E785&lt;&gt;INDEX(tblBatidas[ID],MATCH(L785,tblBatidas[Batida ID],0)),"DIVERGÊNCIA DE ID",IF(H785&lt;&gt;INDEX(tblBatidas[Projeto],MATCH(L785,tblBatidas[Batida ID],0)),"DIVERGÊNCIA DE PROJETO",IF(I785&lt;&gt;INDEX(tblBatidas[Atividade],MATCH(L785,tblBatidas[Batida ID],0)),"DIVERGÊNCIA DE ATIVIDADE",IF(OR(B785&lt;=INDEX(tblBatidas[Data e hora],MATCH(L785,tblBatidas[Batida ID],0)),(B785-INDEX(tblBatidas[Data e hora],MATCH(L785,tblBatidas[Batida ID],0)))*24&gt;16),"HORÁRIO INVÁLIDO","VINCULADO"))))))),"INÍCIO")</f>
        <v>VINCULADO</v>
      </c>
    </row>
    <row r="786" spans="1:13">
      <c r="A786" t="s">
        <v>1423</v>
      </c>
      <c r="B786" s="21">
        <v>46287.511365740742</v>
      </c>
      <c r="C786" s="2">
        <f t="shared" si="24"/>
        <v>46287</v>
      </c>
      <c r="D786" t="str">
        <f t="shared" si="25"/>
        <v>TERÇA-FEIRA</v>
      </c>
      <c r="E786">
        <v>1002</v>
      </c>
      <c r="F786" t="s">
        <v>45</v>
      </c>
      <c r="G786" t="s">
        <v>503</v>
      </c>
      <c r="H786" t="s">
        <v>80</v>
      </c>
      <c r="I786" t="s">
        <v>517</v>
      </c>
      <c r="K786" t="s">
        <v>501</v>
      </c>
      <c r="L786" s="9" t="s">
        <v>1421</v>
      </c>
      <c r="M786" t="str">
        <f>IF(G786="FIM",IF(L786="","SEM VÍNCULO",IF(COUNTIF(tblBatidas[Batida ID],L786)=0,"VÍNCULO INVÁLIDO",IF(COUNTIF(tblBatidas[Início vinculado],L786)&gt;1,"VÍNCULO DUPLICADO",IF(E786&lt;&gt;INDEX(tblBatidas[ID],MATCH(L786,tblBatidas[Batida ID],0)),"DIVERGÊNCIA DE ID",IF(H786&lt;&gt;INDEX(tblBatidas[Projeto],MATCH(L786,tblBatidas[Batida ID],0)),"DIVERGÊNCIA DE PROJETO",IF(I786&lt;&gt;INDEX(tblBatidas[Atividade],MATCH(L786,tblBatidas[Batida ID],0)),"DIVERGÊNCIA DE ATIVIDADE",IF(OR(B786&lt;=INDEX(tblBatidas[Data e hora],MATCH(L786,tblBatidas[Batida ID],0)),(B786-INDEX(tblBatidas[Data e hora],MATCH(L786,tblBatidas[Batida ID],0)))*24&gt;16),"HORÁRIO INVÁLIDO","VINCULADO"))))))),"INÍCIO")</f>
        <v>VINCULADO</v>
      </c>
    </row>
    <row r="787" spans="1:13" hidden="1">
      <c r="A787" t="s">
        <v>1424</v>
      </c>
      <c r="B787" s="21">
        <v>46287.51253472222</v>
      </c>
      <c r="C787" s="2">
        <f t="shared" si="24"/>
        <v>46287</v>
      </c>
      <c r="D787" t="str">
        <f t="shared" si="25"/>
        <v>TERÇA-FEIRA</v>
      </c>
      <c r="E787">
        <v>1011</v>
      </c>
      <c r="F787" t="s">
        <v>54</v>
      </c>
      <c r="G787" t="s">
        <v>499</v>
      </c>
      <c r="H787" t="s">
        <v>88</v>
      </c>
      <c r="I787" t="s">
        <v>517</v>
      </c>
      <c r="K787" t="s">
        <v>501</v>
      </c>
      <c r="L787" s="9"/>
      <c r="M787" t="str">
        <f>IF(G787="FIM",IF(L787="","SEM VÍNCULO",IF(COUNTIF(tblBatidas[Batida ID],L787)=0,"VÍNCULO INVÁLIDO",IF(COUNTIF(tblBatidas[Início vinculado],L787)&gt;1,"VÍNCULO DUPLICADO",IF(E787&lt;&gt;INDEX(tblBatidas[ID],MATCH(L787,tblBatidas[Batida ID],0)),"DIVERGÊNCIA DE ID",IF(H787&lt;&gt;INDEX(tblBatidas[Projeto],MATCH(L787,tblBatidas[Batida ID],0)),"DIVERGÊNCIA DE PROJETO",IF(I787&lt;&gt;INDEX(tblBatidas[Atividade],MATCH(L787,tblBatidas[Batida ID],0)),"DIVERGÊNCIA DE ATIVIDADE",IF(OR(B787&lt;=INDEX(tblBatidas[Data e hora],MATCH(L787,tblBatidas[Batida ID],0)),(B787-INDEX(tblBatidas[Data e hora],MATCH(L787,tblBatidas[Batida ID],0)))*24&gt;16),"HORÁRIO INVÁLIDO","VINCULADO"))))))),"INÍCIO")</f>
        <v>INÍCIO</v>
      </c>
    </row>
    <row r="788" spans="1:13" hidden="1">
      <c r="A788" t="s">
        <v>1425</v>
      </c>
      <c r="B788" s="21">
        <v>46287.529143518521</v>
      </c>
      <c r="C788" s="2">
        <f t="shared" si="24"/>
        <v>46287</v>
      </c>
      <c r="D788" t="str">
        <f t="shared" si="25"/>
        <v>TERÇA-FEIRA</v>
      </c>
      <c r="E788">
        <v>1003</v>
      </c>
      <c r="F788" t="s">
        <v>46</v>
      </c>
      <c r="G788" t="s">
        <v>503</v>
      </c>
      <c r="H788" t="s">
        <v>74</v>
      </c>
      <c r="I788" t="s">
        <v>517</v>
      </c>
      <c r="K788" t="s">
        <v>501</v>
      </c>
      <c r="L788" s="9" t="s">
        <v>1419</v>
      </c>
      <c r="M788" t="str">
        <f>IF(G788="FIM",IF(L788="","SEM VÍNCULO",IF(COUNTIF(tblBatidas[Batida ID],L788)=0,"VÍNCULO INVÁLIDO",IF(COUNTIF(tblBatidas[Início vinculado],L788)&gt;1,"VÍNCULO DUPLICADO",IF(E788&lt;&gt;INDEX(tblBatidas[ID],MATCH(L788,tblBatidas[Batida ID],0)),"DIVERGÊNCIA DE ID",IF(H788&lt;&gt;INDEX(tblBatidas[Projeto],MATCH(L788,tblBatidas[Batida ID],0)),"DIVERGÊNCIA DE PROJETO",IF(I788&lt;&gt;INDEX(tblBatidas[Atividade],MATCH(L788,tblBatidas[Batida ID],0)),"DIVERGÊNCIA DE ATIVIDADE",IF(OR(B788&lt;=INDEX(tblBatidas[Data e hora],MATCH(L788,tblBatidas[Batida ID],0)),(B788-INDEX(tblBatidas[Data e hora],MATCH(L788,tblBatidas[Batida ID],0)))*24&gt;16),"HORÁRIO INVÁLIDO","VINCULADO"))))))),"INÍCIO")</f>
        <v>VINCULADO</v>
      </c>
    </row>
    <row r="789" spans="1:13" hidden="1">
      <c r="A789" t="s">
        <v>1426</v>
      </c>
      <c r="B789" s="21">
        <v>46287.54383101852</v>
      </c>
      <c r="C789" s="2">
        <f t="shared" si="24"/>
        <v>46287</v>
      </c>
      <c r="D789" t="str">
        <f t="shared" si="25"/>
        <v>TERÇA-FEIRA</v>
      </c>
      <c r="E789">
        <v>1011</v>
      </c>
      <c r="F789" t="s">
        <v>54</v>
      </c>
      <c r="G789" t="s">
        <v>499</v>
      </c>
      <c r="H789" t="s">
        <v>88</v>
      </c>
      <c r="I789" t="s">
        <v>517</v>
      </c>
      <c r="K789" t="s">
        <v>501</v>
      </c>
      <c r="L789" s="9"/>
      <c r="M789" t="str">
        <f>IF(G789="FIM",IF(L789="","SEM VÍNCULO",IF(COUNTIF(tblBatidas[Batida ID],L789)=0,"VÍNCULO INVÁLIDO",IF(COUNTIF(tblBatidas[Início vinculado],L789)&gt;1,"VÍNCULO DUPLICADO",IF(E789&lt;&gt;INDEX(tblBatidas[ID],MATCH(L789,tblBatidas[Batida ID],0)),"DIVERGÊNCIA DE ID",IF(H789&lt;&gt;INDEX(tblBatidas[Projeto],MATCH(L789,tblBatidas[Batida ID],0)),"DIVERGÊNCIA DE PROJETO",IF(I789&lt;&gt;INDEX(tblBatidas[Atividade],MATCH(L789,tblBatidas[Batida ID],0)),"DIVERGÊNCIA DE ATIVIDADE",IF(OR(B789&lt;=INDEX(tblBatidas[Data e hora],MATCH(L789,tblBatidas[Batida ID],0)),(B789-INDEX(tblBatidas[Data e hora],MATCH(L789,tblBatidas[Batida ID],0)))*24&gt;16),"HORÁRIO INVÁLIDO","VINCULADO"))))))),"INÍCIO")</f>
        <v>INÍCIO</v>
      </c>
    </row>
    <row r="790" spans="1:13" hidden="1">
      <c r="A790" t="s">
        <v>1427</v>
      </c>
      <c r="B790" s="21">
        <v>46287.54451388889</v>
      </c>
      <c r="C790" s="2">
        <f t="shared" si="24"/>
        <v>46287</v>
      </c>
      <c r="D790" t="str">
        <f t="shared" si="25"/>
        <v>TERÇA-FEIRA</v>
      </c>
      <c r="E790">
        <v>1013</v>
      </c>
      <c r="F790" t="s">
        <v>57</v>
      </c>
      <c r="G790" t="s">
        <v>499</v>
      </c>
      <c r="H790" t="s">
        <v>86</v>
      </c>
      <c r="I790" t="s">
        <v>517</v>
      </c>
      <c r="J790" t="s">
        <v>1428</v>
      </c>
      <c r="K790" t="s">
        <v>501</v>
      </c>
      <c r="L790" s="9"/>
      <c r="M790" t="str">
        <f>IF(G790="FIM",IF(L790="","SEM VÍNCULO",IF(COUNTIF(tblBatidas[Batida ID],L790)=0,"VÍNCULO INVÁLIDO",IF(COUNTIF(tblBatidas[Início vinculado],L790)&gt;1,"VÍNCULO DUPLICADO",IF(E790&lt;&gt;INDEX(tblBatidas[ID],MATCH(L790,tblBatidas[Batida ID],0)),"DIVERGÊNCIA DE ID",IF(H790&lt;&gt;INDEX(tblBatidas[Projeto],MATCH(L790,tblBatidas[Batida ID],0)),"DIVERGÊNCIA DE PROJETO",IF(I790&lt;&gt;INDEX(tblBatidas[Atividade],MATCH(L790,tblBatidas[Batida ID],0)),"DIVERGÊNCIA DE ATIVIDADE",IF(OR(B790&lt;=INDEX(tblBatidas[Data e hora],MATCH(L790,tblBatidas[Batida ID],0)),(B790-INDEX(tblBatidas[Data e hora],MATCH(L790,tblBatidas[Batida ID],0)))*24&gt;16),"HORÁRIO INVÁLIDO","VINCULADO"))))))),"INÍCIO")</f>
        <v>INÍCIO</v>
      </c>
    </row>
    <row r="791" spans="1:13" hidden="1">
      <c r="A791" t="s">
        <v>1429</v>
      </c>
      <c r="B791" s="21">
        <v>46287.557175925926</v>
      </c>
      <c r="C791" s="2">
        <f t="shared" si="24"/>
        <v>46287</v>
      </c>
      <c r="D791" t="str">
        <f t="shared" si="25"/>
        <v>TERÇA-FEIRA</v>
      </c>
      <c r="E791">
        <v>1003</v>
      </c>
      <c r="F791" t="s">
        <v>46</v>
      </c>
      <c r="G791" t="s">
        <v>499</v>
      </c>
      <c r="H791" t="s">
        <v>74</v>
      </c>
      <c r="I791" t="s">
        <v>517</v>
      </c>
      <c r="K791" t="s">
        <v>501</v>
      </c>
      <c r="L791" s="9"/>
      <c r="M791" t="str">
        <f>IF(G791="FIM",IF(L791="","SEM VÍNCULO",IF(COUNTIF(tblBatidas[Batida ID],L791)=0,"VÍNCULO INVÁLIDO",IF(COUNTIF(tblBatidas[Início vinculado],L791)&gt;1,"VÍNCULO DUPLICADO",IF(E791&lt;&gt;INDEX(tblBatidas[ID],MATCH(L791,tblBatidas[Batida ID],0)),"DIVERGÊNCIA DE ID",IF(H791&lt;&gt;INDEX(tblBatidas[Projeto],MATCH(L791,tblBatidas[Batida ID],0)),"DIVERGÊNCIA DE PROJETO",IF(I791&lt;&gt;INDEX(tblBatidas[Atividade],MATCH(L791,tblBatidas[Batida ID],0)),"DIVERGÊNCIA DE ATIVIDADE",IF(OR(B791&lt;=INDEX(tblBatidas[Data e hora],MATCH(L791,tblBatidas[Batida ID],0)),(B791-INDEX(tblBatidas[Data e hora],MATCH(L791,tblBatidas[Batida ID],0)))*24&gt;16),"HORÁRIO INVÁLIDO","VINCULADO"))))))),"INÍCIO")</f>
        <v>INÍCIO</v>
      </c>
    </row>
    <row r="792" spans="1:13">
      <c r="A792" t="s">
        <v>1430</v>
      </c>
      <c r="B792" s="21">
        <v>46287.55972222222</v>
      </c>
      <c r="C792" s="2">
        <f t="shared" si="24"/>
        <v>46287</v>
      </c>
      <c r="D792" t="str">
        <f t="shared" si="25"/>
        <v>TERÇA-FEIRA</v>
      </c>
      <c r="E792">
        <v>1002</v>
      </c>
      <c r="F792" t="s">
        <v>45</v>
      </c>
      <c r="G792" t="s">
        <v>499</v>
      </c>
      <c r="H792" t="s">
        <v>80</v>
      </c>
      <c r="I792" t="s">
        <v>517</v>
      </c>
      <c r="K792" t="s">
        <v>501</v>
      </c>
      <c r="L792" s="9"/>
      <c r="M792" t="str">
        <f>IF(G792="FIM",IF(L792="","SEM VÍNCULO",IF(COUNTIF(tblBatidas[Batida ID],L792)=0,"VÍNCULO INVÁLIDO",IF(COUNTIF(tblBatidas[Início vinculado],L792)&gt;1,"VÍNCULO DUPLICADO",IF(E792&lt;&gt;INDEX(tblBatidas[ID],MATCH(L792,tblBatidas[Batida ID],0)),"DIVERGÊNCIA DE ID",IF(H792&lt;&gt;INDEX(tblBatidas[Projeto],MATCH(L792,tblBatidas[Batida ID],0)),"DIVERGÊNCIA DE PROJETO",IF(I792&lt;&gt;INDEX(tblBatidas[Atividade],MATCH(L792,tblBatidas[Batida ID],0)),"DIVERGÊNCIA DE ATIVIDADE",IF(OR(B792&lt;=INDEX(tblBatidas[Data e hora],MATCH(L792,tblBatidas[Batida ID],0)),(B792-INDEX(tblBatidas[Data e hora],MATCH(L792,tblBatidas[Batida ID],0)))*24&gt;16),"HORÁRIO INVÁLIDO","VINCULADO"))))))),"INÍCIO")</f>
        <v>INÍCIO</v>
      </c>
    </row>
    <row r="793" spans="1:13">
      <c r="A793" t="s">
        <v>1431</v>
      </c>
      <c r="B793" s="21">
        <v>46287.747743055559</v>
      </c>
      <c r="C793" s="2">
        <f t="shared" si="24"/>
        <v>46287</v>
      </c>
      <c r="D793" t="str">
        <f t="shared" si="25"/>
        <v>TERÇA-FEIRA</v>
      </c>
      <c r="E793">
        <v>1002</v>
      </c>
      <c r="F793" t="s">
        <v>45</v>
      </c>
      <c r="G793" t="s">
        <v>503</v>
      </c>
      <c r="H793" t="s">
        <v>80</v>
      </c>
      <c r="I793" t="s">
        <v>517</v>
      </c>
      <c r="K793" t="s">
        <v>501</v>
      </c>
      <c r="L793" s="9" t="s">
        <v>1430</v>
      </c>
      <c r="M793" t="str">
        <f>IF(G793="FIM",IF(L793="","SEM VÍNCULO",IF(COUNTIF(tblBatidas[Batida ID],L793)=0,"VÍNCULO INVÁLIDO",IF(COUNTIF(tblBatidas[Início vinculado],L793)&gt;1,"VÍNCULO DUPLICADO",IF(E793&lt;&gt;INDEX(tblBatidas[ID],MATCH(L793,tblBatidas[Batida ID],0)),"DIVERGÊNCIA DE ID",IF(H793&lt;&gt;INDEX(tblBatidas[Projeto],MATCH(L793,tblBatidas[Batida ID],0)),"DIVERGÊNCIA DE PROJETO",IF(I793&lt;&gt;INDEX(tblBatidas[Atividade],MATCH(L793,tblBatidas[Batida ID],0)),"DIVERGÊNCIA DE ATIVIDADE",IF(OR(B793&lt;=INDEX(tblBatidas[Data e hora],MATCH(L793,tblBatidas[Batida ID],0)),(B793-INDEX(tblBatidas[Data e hora],MATCH(L793,tblBatidas[Batida ID],0)))*24&gt;16),"HORÁRIO INVÁLIDO","VINCULADO"))))))),"INÍCIO")</f>
        <v>VINCULADO</v>
      </c>
    </row>
    <row r="794" spans="1:13" hidden="1">
      <c r="A794" t="s">
        <v>1432</v>
      </c>
      <c r="B794" s="21">
        <v>46287.748287037037</v>
      </c>
      <c r="C794" s="2">
        <f t="shared" si="24"/>
        <v>46287</v>
      </c>
      <c r="D794" t="str">
        <f t="shared" si="25"/>
        <v>TERÇA-FEIRA</v>
      </c>
      <c r="E794">
        <v>1003</v>
      </c>
      <c r="F794" t="s">
        <v>46</v>
      </c>
      <c r="G794" t="s">
        <v>503</v>
      </c>
      <c r="H794" t="s">
        <v>74</v>
      </c>
      <c r="I794" t="s">
        <v>517</v>
      </c>
      <c r="K794" t="s">
        <v>501</v>
      </c>
      <c r="L794" s="9" t="s">
        <v>1429</v>
      </c>
      <c r="M794" t="str">
        <f>IF(G794="FIM",IF(L794="","SEM VÍNCULO",IF(COUNTIF(tblBatidas[Batida ID],L794)=0,"VÍNCULO INVÁLIDO",IF(COUNTIF(tblBatidas[Início vinculado],L794)&gt;1,"VÍNCULO DUPLICADO",IF(E794&lt;&gt;INDEX(tblBatidas[ID],MATCH(L794,tblBatidas[Batida ID],0)),"DIVERGÊNCIA DE ID",IF(H794&lt;&gt;INDEX(tblBatidas[Projeto],MATCH(L794,tblBatidas[Batida ID],0)),"DIVERGÊNCIA DE PROJETO",IF(I794&lt;&gt;INDEX(tblBatidas[Atividade],MATCH(L794,tblBatidas[Batida ID],0)),"DIVERGÊNCIA DE ATIVIDADE",IF(OR(B794&lt;=INDEX(tblBatidas[Data e hora],MATCH(L794,tblBatidas[Batida ID],0)),(B794-INDEX(tblBatidas[Data e hora],MATCH(L794,tblBatidas[Batida ID],0)))*24&gt;16),"HORÁRIO INVÁLIDO","VINCULADO"))))))),"INÍCIO")</f>
        <v>VINCULADO</v>
      </c>
    </row>
    <row r="795" spans="1:13" hidden="1">
      <c r="A795" t="s">
        <v>1433</v>
      </c>
      <c r="B795" s="21">
        <v>46287.748680555553</v>
      </c>
      <c r="C795" s="2">
        <f t="shared" si="24"/>
        <v>46287</v>
      </c>
      <c r="D795" t="str">
        <f t="shared" si="25"/>
        <v>TERÇA-FEIRA</v>
      </c>
      <c r="E795">
        <v>1011</v>
      </c>
      <c r="F795" t="s">
        <v>54</v>
      </c>
      <c r="G795" t="s">
        <v>503</v>
      </c>
      <c r="H795" t="s">
        <v>74</v>
      </c>
      <c r="I795" t="s">
        <v>517</v>
      </c>
      <c r="K795" t="s">
        <v>501</v>
      </c>
      <c r="L795" s="9" t="s">
        <v>1420</v>
      </c>
      <c r="M795" t="str">
        <f>IF(G795="FIM",IF(L795="","SEM VÍNCULO",IF(COUNTIF(tblBatidas[Batida ID],L795)=0,"VÍNCULO INVÁLIDO",IF(COUNTIF(tblBatidas[Início vinculado],L795)&gt;1,"VÍNCULO DUPLICADO",IF(E795&lt;&gt;INDEX(tblBatidas[ID],MATCH(L795,tblBatidas[Batida ID],0)),"DIVERGÊNCIA DE ID",IF(H795&lt;&gt;INDEX(tblBatidas[Projeto],MATCH(L795,tblBatidas[Batida ID],0)),"DIVERGÊNCIA DE PROJETO",IF(I795&lt;&gt;INDEX(tblBatidas[Atividade],MATCH(L795,tblBatidas[Batida ID],0)),"DIVERGÊNCIA DE ATIVIDADE",IF(OR(B795&lt;=INDEX(tblBatidas[Data e hora],MATCH(L795,tblBatidas[Batida ID],0)),(B795-INDEX(tblBatidas[Data e hora],MATCH(L795,tblBatidas[Batida ID],0)))*24&gt;16),"HORÁRIO INVÁLIDO","VINCULADO"))))))),"INÍCIO")</f>
        <v>VINCULADO</v>
      </c>
    </row>
    <row r="796" spans="1:13" hidden="1">
      <c r="A796" t="s">
        <v>1434</v>
      </c>
      <c r="B796" s="21">
        <v>46287.750115740739</v>
      </c>
      <c r="C796" s="2">
        <f t="shared" si="24"/>
        <v>46287</v>
      </c>
      <c r="D796" t="str">
        <f t="shared" si="25"/>
        <v>TERÇA-FEIRA</v>
      </c>
      <c r="E796">
        <v>1013</v>
      </c>
      <c r="F796" t="s">
        <v>57</v>
      </c>
      <c r="G796" t="s">
        <v>503</v>
      </c>
      <c r="H796" t="s">
        <v>86</v>
      </c>
      <c r="I796" t="s">
        <v>517</v>
      </c>
      <c r="J796" t="s">
        <v>1428</v>
      </c>
      <c r="K796" t="s">
        <v>501</v>
      </c>
      <c r="L796" s="9" t="s">
        <v>1427</v>
      </c>
      <c r="M796" t="str">
        <f>IF(G796="FIM",IF(L796="","SEM VÍNCULO",IF(COUNTIF(tblBatidas[Batida ID],L796)=0,"VÍNCULO INVÁLIDO",IF(COUNTIF(tblBatidas[Início vinculado],L796)&gt;1,"VÍNCULO DUPLICADO",IF(E796&lt;&gt;INDEX(tblBatidas[ID],MATCH(L796,tblBatidas[Batida ID],0)),"DIVERGÊNCIA DE ID",IF(H796&lt;&gt;INDEX(tblBatidas[Projeto],MATCH(L796,tblBatidas[Batida ID],0)),"DIVERGÊNCIA DE PROJETO",IF(I796&lt;&gt;INDEX(tblBatidas[Atividade],MATCH(L796,tblBatidas[Batida ID],0)),"DIVERGÊNCIA DE ATIVIDADE",IF(OR(B796&lt;=INDEX(tblBatidas[Data e hora],MATCH(L796,tblBatidas[Batida ID],0)),(B796-INDEX(tblBatidas[Data e hora],MATCH(L796,tblBatidas[Batida ID],0)))*24&gt;16),"HORÁRIO INVÁLIDO","VINCULADO"))))))),"INÍCIO")</f>
        <v>VINCULADO</v>
      </c>
    </row>
    <row r="797" spans="1:13" hidden="1">
      <c r="A797" t="s">
        <v>1435</v>
      </c>
      <c r="B797" s="21">
        <v>46288.325474537036</v>
      </c>
      <c r="C797" s="2">
        <f t="shared" si="24"/>
        <v>46288</v>
      </c>
      <c r="D797" t="str">
        <f t="shared" si="25"/>
        <v>QUARTA-FEIRA</v>
      </c>
      <c r="E797">
        <v>1003</v>
      </c>
      <c r="F797" t="s">
        <v>46</v>
      </c>
      <c r="G797" t="s">
        <v>499</v>
      </c>
      <c r="H797" t="s">
        <v>74</v>
      </c>
      <c r="I797" t="s">
        <v>517</v>
      </c>
      <c r="K797" t="s">
        <v>501</v>
      </c>
      <c r="L797" s="9"/>
      <c r="M797" t="str">
        <f>IF(G797="FIM",IF(L797="","SEM VÍNCULO",IF(COUNTIF(tblBatidas[Batida ID],L797)=0,"VÍNCULO INVÁLIDO",IF(COUNTIF(tblBatidas[Início vinculado],L797)&gt;1,"VÍNCULO DUPLICADO",IF(E797&lt;&gt;INDEX(tblBatidas[ID],MATCH(L797,tblBatidas[Batida ID],0)),"DIVERGÊNCIA DE ID",IF(H797&lt;&gt;INDEX(tblBatidas[Projeto],MATCH(L797,tblBatidas[Batida ID],0)),"DIVERGÊNCIA DE PROJETO",IF(I797&lt;&gt;INDEX(tblBatidas[Atividade],MATCH(L797,tblBatidas[Batida ID],0)),"DIVERGÊNCIA DE ATIVIDADE",IF(OR(B797&lt;=INDEX(tblBatidas[Data e hora],MATCH(L797,tblBatidas[Batida ID],0)),(B797-INDEX(tblBatidas[Data e hora],MATCH(L797,tblBatidas[Batida ID],0)))*24&gt;16),"HORÁRIO INVÁLIDO","VINCULADO"))))))),"INÍCIO")</f>
        <v>INÍCIO</v>
      </c>
    </row>
    <row r="798" spans="1:13" hidden="1">
      <c r="A798" t="s">
        <v>1436</v>
      </c>
      <c r="B798" s="21">
        <v>46288.335196759261</v>
      </c>
      <c r="C798" s="2">
        <f t="shared" si="24"/>
        <v>46288</v>
      </c>
      <c r="D798" t="str">
        <f t="shared" si="25"/>
        <v>QUARTA-FEIRA</v>
      </c>
      <c r="E798">
        <v>1011</v>
      </c>
      <c r="F798" t="s">
        <v>54</v>
      </c>
      <c r="G798" t="s">
        <v>499</v>
      </c>
      <c r="H798" t="s">
        <v>74</v>
      </c>
      <c r="I798" t="s">
        <v>517</v>
      </c>
      <c r="K798" t="s">
        <v>501</v>
      </c>
      <c r="L798" s="9"/>
      <c r="M798" t="str">
        <f>IF(G798="FIM",IF(L798="","SEM VÍNCULO",IF(COUNTIF(tblBatidas[Batida ID],L798)=0,"VÍNCULO INVÁLIDO",IF(COUNTIF(tblBatidas[Início vinculado],L798)&gt;1,"VÍNCULO DUPLICADO",IF(E798&lt;&gt;INDEX(tblBatidas[ID],MATCH(L798,tblBatidas[Batida ID],0)),"DIVERGÊNCIA DE ID",IF(H798&lt;&gt;INDEX(tblBatidas[Projeto],MATCH(L798,tblBatidas[Batida ID],0)),"DIVERGÊNCIA DE PROJETO",IF(I798&lt;&gt;INDEX(tblBatidas[Atividade],MATCH(L798,tblBatidas[Batida ID],0)),"DIVERGÊNCIA DE ATIVIDADE",IF(OR(B798&lt;=INDEX(tblBatidas[Data e hora],MATCH(L798,tblBatidas[Batida ID],0)),(B798-INDEX(tblBatidas[Data e hora],MATCH(L798,tblBatidas[Batida ID],0)))*24&gt;16),"HORÁRIO INVÁLIDO","VINCULADO"))))))),"INÍCIO")</f>
        <v>INÍCIO</v>
      </c>
    </row>
    <row r="799" spans="1:13">
      <c r="A799" t="s">
        <v>1437</v>
      </c>
      <c r="B799" s="21">
        <v>46288.370104166665</v>
      </c>
      <c r="C799" s="2">
        <f t="shared" si="24"/>
        <v>46288</v>
      </c>
      <c r="D799" t="str">
        <f t="shared" si="25"/>
        <v>QUARTA-FEIRA</v>
      </c>
      <c r="E799">
        <v>1002</v>
      </c>
      <c r="F799" t="s">
        <v>45</v>
      </c>
      <c r="G799" t="s">
        <v>499</v>
      </c>
      <c r="H799" t="s">
        <v>70</v>
      </c>
      <c r="I799" t="s">
        <v>517</v>
      </c>
      <c r="K799" t="s">
        <v>501</v>
      </c>
      <c r="L799" s="9"/>
      <c r="M799" t="str">
        <f>IF(G799="FIM",IF(L799="","SEM VÍNCULO",IF(COUNTIF(tblBatidas[Batida ID],L799)=0,"VÍNCULO INVÁLIDO",IF(COUNTIF(tblBatidas[Início vinculado],L799)&gt;1,"VÍNCULO DUPLICADO",IF(E799&lt;&gt;INDEX(tblBatidas[ID],MATCH(L799,tblBatidas[Batida ID],0)),"DIVERGÊNCIA DE ID",IF(H799&lt;&gt;INDEX(tblBatidas[Projeto],MATCH(L799,tblBatidas[Batida ID],0)),"DIVERGÊNCIA DE PROJETO",IF(I799&lt;&gt;INDEX(tblBatidas[Atividade],MATCH(L799,tblBatidas[Batida ID],0)),"DIVERGÊNCIA DE ATIVIDADE",IF(OR(B799&lt;=INDEX(tblBatidas[Data e hora],MATCH(L799,tblBatidas[Batida ID],0)),(B799-INDEX(tblBatidas[Data e hora],MATCH(L799,tblBatidas[Batida ID],0)))*24&gt;16),"HORÁRIO INVÁLIDO","VINCULADO"))))))),"INÍCIO")</f>
        <v>INÍCIO</v>
      </c>
    </row>
    <row r="800" spans="1:13" hidden="1">
      <c r="A800" t="s">
        <v>1438</v>
      </c>
      <c r="B800" s="21">
        <v>46288.387291666666</v>
      </c>
      <c r="C800" s="2">
        <f t="shared" si="24"/>
        <v>46288</v>
      </c>
      <c r="D800" t="str">
        <f t="shared" si="25"/>
        <v>QUARTA-FEIRA</v>
      </c>
      <c r="E800">
        <v>1013</v>
      </c>
      <c r="F800" t="s">
        <v>57</v>
      </c>
      <c r="G800" t="s">
        <v>499</v>
      </c>
      <c r="H800" t="s">
        <v>86</v>
      </c>
      <c r="I800" t="s">
        <v>517</v>
      </c>
      <c r="J800" t="s">
        <v>1340</v>
      </c>
      <c r="K800" t="s">
        <v>501</v>
      </c>
      <c r="L800" s="9"/>
      <c r="M800" t="str">
        <f>IF(G800="FIM",IF(L800="","SEM VÍNCULO",IF(COUNTIF(tblBatidas[Batida ID],L800)=0,"VÍNCULO INVÁLIDO",IF(COUNTIF(tblBatidas[Início vinculado],L800)&gt;1,"VÍNCULO DUPLICADO",IF(E800&lt;&gt;INDEX(tblBatidas[ID],MATCH(L800,tblBatidas[Batida ID],0)),"DIVERGÊNCIA DE ID",IF(H800&lt;&gt;INDEX(tblBatidas[Projeto],MATCH(L800,tblBatidas[Batida ID],0)),"DIVERGÊNCIA DE PROJETO",IF(I800&lt;&gt;INDEX(tblBatidas[Atividade],MATCH(L800,tblBatidas[Batida ID],0)),"DIVERGÊNCIA DE ATIVIDADE",IF(OR(B800&lt;=INDEX(tblBatidas[Data e hora],MATCH(L800,tblBatidas[Batida ID],0)),(B800-INDEX(tblBatidas[Data e hora],MATCH(L800,tblBatidas[Batida ID],0)))*24&gt;16),"HORÁRIO INVÁLIDO","VINCULADO"))))))),"INÍCIO")</f>
        <v>INÍCIO</v>
      </c>
    </row>
    <row r="801" spans="1:13" hidden="1">
      <c r="A801" t="s">
        <v>1439</v>
      </c>
      <c r="B801" s="21">
        <v>46288.489618055559</v>
      </c>
      <c r="C801" s="2">
        <f t="shared" si="24"/>
        <v>46288</v>
      </c>
      <c r="D801" t="str">
        <f t="shared" si="25"/>
        <v>QUARTA-FEIRA</v>
      </c>
      <c r="E801">
        <v>1013</v>
      </c>
      <c r="F801" t="s">
        <v>57</v>
      </c>
      <c r="G801" t="s">
        <v>503</v>
      </c>
      <c r="H801" t="s">
        <v>86</v>
      </c>
      <c r="I801" t="s">
        <v>517</v>
      </c>
      <c r="J801" t="s">
        <v>1340</v>
      </c>
      <c r="K801" t="s">
        <v>501</v>
      </c>
      <c r="L801" s="9" t="s">
        <v>1438</v>
      </c>
      <c r="M801" t="str">
        <f>IF(G801="FIM",IF(L801="","SEM VÍNCULO",IF(COUNTIF(tblBatidas[Batida ID],L801)=0,"VÍNCULO INVÁLIDO",IF(COUNTIF(tblBatidas[Início vinculado],L801)&gt;1,"VÍNCULO DUPLICADO",IF(E801&lt;&gt;INDEX(tblBatidas[ID],MATCH(L801,tblBatidas[Batida ID],0)),"DIVERGÊNCIA DE ID",IF(H801&lt;&gt;INDEX(tblBatidas[Projeto],MATCH(L801,tblBatidas[Batida ID],0)),"DIVERGÊNCIA DE PROJETO",IF(I801&lt;&gt;INDEX(tblBatidas[Atividade],MATCH(L801,tblBatidas[Batida ID],0)),"DIVERGÊNCIA DE ATIVIDADE",IF(OR(B801&lt;=INDEX(tblBatidas[Data e hora],MATCH(L801,tblBatidas[Batida ID],0)),(B801-INDEX(tblBatidas[Data e hora],MATCH(L801,tblBatidas[Batida ID],0)))*24&gt;16),"HORÁRIO INVÁLIDO","VINCULADO"))))))),"INÍCIO")</f>
        <v>VINCULADO</v>
      </c>
    </row>
    <row r="802" spans="1:13">
      <c r="A802" t="s">
        <v>1440</v>
      </c>
      <c r="B802" s="21">
        <v>46288.491064814814</v>
      </c>
      <c r="C802" s="2">
        <f t="shared" si="24"/>
        <v>46288</v>
      </c>
      <c r="D802" t="str">
        <f t="shared" si="25"/>
        <v>QUARTA-FEIRA</v>
      </c>
      <c r="E802">
        <v>1002</v>
      </c>
      <c r="F802" t="s">
        <v>45</v>
      </c>
      <c r="G802" t="s">
        <v>503</v>
      </c>
      <c r="H802" t="s">
        <v>70</v>
      </c>
      <c r="I802" t="s">
        <v>517</v>
      </c>
      <c r="K802" t="s">
        <v>501</v>
      </c>
      <c r="L802" s="9" t="s">
        <v>1437</v>
      </c>
      <c r="M802" t="str">
        <f>IF(G802="FIM",IF(L802="","SEM VÍNCULO",IF(COUNTIF(tblBatidas[Batida ID],L802)=0,"VÍNCULO INVÁLIDO",IF(COUNTIF(tblBatidas[Início vinculado],L802)&gt;1,"VÍNCULO DUPLICADO",IF(E802&lt;&gt;INDEX(tblBatidas[ID],MATCH(L802,tblBatidas[Batida ID],0)),"DIVERGÊNCIA DE ID",IF(H802&lt;&gt;INDEX(tblBatidas[Projeto],MATCH(L802,tblBatidas[Batida ID],0)),"DIVERGÊNCIA DE PROJETO",IF(I802&lt;&gt;INDEX(tblBatidas[Atividade],MATCH(L802,tblBatidas[Batida ID],0)),"DIVERGÊNCIA DE ATIVIDADE",IF(OR(B802&lt;=INDEX(tblBatidas[Data e hora],MATCH(L802,tblBatidas[Batida ID],0)),(B802-INDEX(tblBatidas[Data e hora],MATCH(L802,tblBatidas[Batida ID],0)))*24&gt;16),"HORÁRIO INVÁLIDO","VINCULADO"))))))),"INÍCIO")</f>
        <v>VINCULADO</v>
      </c>
    </row>
    <row r="803" spans="1:13" hidden="1">
      <c r="A803" t="s">
        <v>1441</v>
      </c>
      <c r="B803" s="21">
        <v>46288.507511574076</v>
      </c>
      <c r="C803" s="2">
        <f t="shared" si="24"/>
        <v>46288</v>
      </c>
      <c r="D803" t="str">
        <f t="shared" si="25"/>
        <v>QUARTA-FEIRA</v>
      </c>
      <c r="E803">
        <v>1003</v>
      </c>
      <c r="F803" t="s">
        <v>46</v>
      </c>
      <c r="G803" t="s">
        <v>503</v>
      </c>
      <c r="H803" t="s">
        <v>74</v>
      </c>
      <c r="I803" t="s">
        <v>517</v>
      </c>
      <c r="K803" t="s">
        <v>501</v>
      </c>
      <c r="L803" s="9" t="s">
        <v>1435</v>
      </c>
      <c r="M803" t="str">
        <f>IF(G803="FIM",IF(L803="","SEM VÍNCULO",IF(COUNTIF(tblBatidas[Batida ID],L803)=0,"VÍNCULO INVÁLIDO",IF(COUNTIF(tblBatidas[Início vinculado],L803)&gt;1,"VÍNCULO DUPLICADO",IF(E803&lt;&gt;INDEX(tblBatidas[ID],MATCH(L803,tblBatidas[Batida ID],0)),"DIVERGÊNCIA DE ID",IF(H803&lt;&gt;INDEX(tblBatidas[Projeto],MATCH(L803,tblBatidas[Batida ID],0)),"DIVERGÊNCIA DE PROJETO",IF(I803&lt;&gt;INDEX(tblBatidas[Atividade],MATCH(L803,tblBatidas[Batida ID],0)),"DIVERGÊNCIA DE ATIVIDADE",IF(OR(B803&lt;=INDEX(tblBatidas[Data e hora],MATCH(L803,tblBatidas[Batida ID],0)),(B803-INDEX(tblBatidas[Data e hora],MATCH(L803,tblBatidas[Batida ID],0)))*24&gt;16),"HORÁRIO INVÁLIDO","VINCULADO"))))))),"INÍCIO")</f>
        <v>VINCULADO</v>
      </c>
    </row>
    <row r="804" spans="1:13" hidden="1">
      <c r="A804" t="s">
        <v>1442</v>
      </c>
      <c r="B804" s="21">
        <v>46288.516192129631</v>
      </c>
      <c r="C804" s="2">
        <f t="shared" si="24"/>
        <v>46288</v>
      </c>
      <c r="D804" t="str">
        <f t="shared" si="25"/>
        <v>QUARTA-FEIRA</v>
      </c>
      <c r="E804">
        <v>1011</v>
      </c>
      <c r="F804" t="s">
        <v>54</v>
      </c>
      <c r="G804" t="s">
        <v>503</v>
      </c>
      <c r="H804" t="s">
        <v>74</v>
      </c>
      <c r="I804" t="s">
        <v>517</v>
      </c>
      <c r="K804" t="s">
        <v>501</v>
      </c>
      <c r="L804" s="9" t="s">
        <v>1436</v>
      </c>
      <c r="M804" t="str">
        <f>IF(G804="FIM",IF(L804="","SEM VÍNCULO",IF(COUNTIF(tblBatidas[Batida ID],L804)=0,"VÍNCULO INVÁLIDO",IF(COUNTIF(tblBatidas[Início vinculado],L804)&gt;1,"VÍNCULO DUPLICADO",IF(E804&lt;&gt;INDEX(tblBatidas[ID],MATCH(L804,tblBatidas[Batida ID],0)),"DIVERGÊNCIA DE ID",IF(H804&lt;&gt;INDEX(tblBatidas[Projeto],MATCH(L804,tblBatidas[Batida ID],0)),"DIVERGÊNCIA DE PROJETO",IF(I804&lt;&gt;INDEX(tblBatidas[Atividade],MATCH(L804,tblBatidas[Batida ID],0)),"DIVERGÊNCIA DE ATIVIDADE",IF(OR(B804&lt;=INDEX(tblBatidas[Data e hora],MATCH(L804,tblBatidas[Batida ID],0)),(B804-INDEX(tblBatidas[Data e hora],MATCH(L804,tblBatidas[Batida ID],0)))*24&gt;16),"HORÁRIO INVÁLIDO","VINCULADO"))))))),"INÍCIO")</f>
        <v>VINCULADO</v>
      </c>
    </row>
    <row r="805" spans="1:13" hidden="1">
      <c r="A805" t="s">
        <v>1443</v>
      </c>
      <c r="B805" s="21">
        <v>46288.523194444446</v>
      </c>
      <c r="C805" s="2">
        <f t="shared" si="24"/>
        <v>46288</v>
      </c>
      <c r="D805" t="str">
        <f t="shared" si="25"/>
        <v>QUARTA-FEIRA</v>
      </c>
      <c r="E805">
        <v>1013</v>
      </c>
      <c r="F805" t="s">
        <v>57</v>
      </c>
      <c r="G805" t="s">
        <v>499</v>
      </c>
      <c r="H805" t="s">
        <v>86</v>
      </c>
      <c r="I805" t="s">
        <v>517</v>
      </c>
      <c r="J805" t="s">
        <v>1340</v>
      </c>
      <c r="K805" t="s">
        <v>501</v>
      </c>
      <c r="L805" s="9"/>
      <c r="M805" t="str">
        <f>IF(G805="FIM",IF(L805="","SEM VÍNCULO",IF(COUNTIF(tblBatidas[Batida ID],L805)=0,"VÍNCULO INVÁLIDO",IF(COUNTIF(tblBatidas[Início vinculado],L805)&gt;1,"VÍNCULO DUPLICADO",IF(E805&lt;&gt;INDEX(tblBatidas[ID],MATCH(L805,tblBatidas[Batida ID],0)),"DIVERGÊNCIA DE ID",IF(H805&lt;&gt;INDEX(tblBatidas[Projeto],MATCH(L805,tblBatidas[Batida ID],0)),"DIVERGÊNCIA DE PROJETO",IF(I805&lt;&gt;INDEX(tblBatidas[Atividade],MATCH(L805,tblBatidas[Batida ID],0)),"DIVERGÊNCIA DE ATIVIDADE",IF(OR(B805&lt;=INDEX(tblBatidas[Data e hora],MATCH(L805,tblBatidas[Batida ID],0)),(B805-INDEX(tblBatidas[Data e hora],MATCH(L805,tblBatidas[Batida ID],0)))*24&gt;16),"HORÁRIO INVÁLIDO","VINCULADO"))))))),"INÍCIO")</f>
        <v>INÍCIO</v>
      </c>
    </row>
    <row r="806" spans="1:13" hidden="1">
      <c r="A806" t="s">
        <v>1444</v>
      </c>
      <c r="B806" s="21">
        <v>46288.536550925928</v>
      </c>
      <c r="C806" s="2">
        <f t="shared" si="24"/>
        <v>46288</v>
      </c>
      <c r="D806" t="str">
        <f t="shared" si="25"/>
        <v>QUARTA-FEIRA</v>
      </c>
      <c r="E806">
        <v>1011</v>
      </c>
      <c r="F806" t="s">
        <v>54</v>
      </c>
      <c r="G806" t="s">
        <v>499</v>
      </c>
      <c r="H806" t="s">
        <v>74</v>
      </c>
      <c r="I806" t="s">
        <v>517</v>
      </c>
      <c r="K806" t="s">
        <v>501</v>
      </c>
      <c r="L806" s="9"/>
      <c r="M806" t="str">
        <f>IF(G806="FIM",IF(L806="","SEM VÍNCULO",IF(COUNTIF(tblBatidas[Batida ID],L806)=0,"VÍNCULO INVÁLIDO",IF(COUNTIF(tblBatidas[Início vinculado],L806)&gt;1,"VÍNCULO DUPLICADO",IF(E806&lt;&gt;INDEX(tblBatidas[ID],MATCH(L806,tblBatidas[Batida ID],0)),"DIVERGÊNCIA DE ID",IF(H806&lt;&gt;INDEX(tblBatidas[Projeto],MATCH(L806,tblBatidas[Batida ID],0)),"DIVERGÊNCIA DE PROJETO",IF(I806&lt;&gt;INDEX(tblBatidas[Atividade],MATCH(L806,tblBatidas[Batida ID],0)),"DIVERGÊNCIA DE ATIVIDADE",IF(OR(B806&lt;=INDEX(tblBatidas[Data e hora],MATCH(L806,tblBatidas[Batida ID],0)),(B806-INDEX(tblBatidas[Data e hora],MATCH(L806,tblBatidas[Batida ID],0)))*24&gt;16),"HORÁRIO INVÁLIDO","VINCULADO"))))))),"INÍCIO")</f>
        <v>INÍCIO</v>
      </c>
    </row>
    <row r="807" spans="1:13">
      <c r="A807" t="s">
        <v>1445</v>
      </c>
      <c r="B807" s="21">
        <v>46288.542696759258</v>
      </c>
      <c r="C807" s="2">
        <f t="shared" si="24"/>
        <v>46288</v>
      </c>
      <c r="D807" t="str">
        <f t="shared" si="25"/>
        <v>QUARTA-FEIRA</v>
      </c>
      <c r="E807">
        <v>1002</v>
      </c>
      <c r="F807" t="s">
        <v>45</v>
      </c>
      <c r="G807" t="s">
        <v>499</v>
      </c>
      <c r="H807" t="s">
        <v>70</v>
      </c>
      <c r="I807" t="s">
        <v>517</v>
      </c>
      <c r="K807" t="s">
        <v>501</v>
      </c>
      <c r="L807" s="9"/>
      <c r="M807" t="str">
        <f>IF(G807="FIM",IF(L807="","SEM VÍNCULO",IF(COUNTIF(tblBatidas[Batida ID],L807)=0,"VÍNCULO INVÁLIDO",IF(COUNTIF(tblBatidas[Início vinculado],L807)&gt;1,"VÍNCULO DUPLICADO",IF(E807&lt;&gt;INDEX(tblBatidas[ID],MATCH(L807,tblBatidas[Batida ID],0)),"DIVERGÊNCIA DE ID",IF(H807&lt;&gt;INDEX(tblBatidas[Projeto],MATCH(L807,tblBatidas[Batida ID],0)),"DIVERGÊNCIA DE PROJETO",IF(I807&lt;&gt;INDEX(tblBatidas[Atividade],MATCH(L807,tblBatidas[Batida ID],0)),"DIVERGÊNCIA DE ATIVIDADE",IF(OR(B807&lt;=INDEX(tblBatidas[Data e hora],MATCH(L807,tblBatidas[Batida ID],0)),(B807-INDEX(tblBatidas[Data e hora],MATCH(L807,tblBatidas[Batida ID],0)))*24&gt;16),"HORÁRIO INVÁLIDO","VINCULADO"))))))),"INÍCIO")</f>
        <v>INÍCIO</v>
      </c>
    </row>
    <row r="808" spans="1:13" hidden="1">
      <c r="A808" t="s">
        <v>1446</v>
      </c>
      <c r="B808" s="21">
        <v>46288.548958333333</v>
      </c>
      <c r="C808" s="2">
        <f t="shared" si="24"/>
        <v>46288</v>
      </c>
      <c r="D808" t="str">
        <f t="shared" si="25"/>
        <v>QUARTA-FEIRA</v>
      </c>
      <c r="E808">
        <v>1003</v>
      </c>
      <c r="F808" t="s">
        <v>46</v>
      </c>
      <c r="G808" t="s">
        <v>503</v>
      </c>
      <c r="H808" t="s">
        <v>72</v>
      </c>
      <c r="I808" t="s">
        <v>517</v>
      </c>
      <c r="K808" t="s">
        <v>501</v>
      </c>
      <c r="L808" s="9"/>
      <c r="M808" t="str">
        <f>IF(G808="FIM",IF(L808="","SEM VÍNCULO",IF(COUNTIF(tblBatidas[Batida ID],L808)=0,"VÍNCULO INVÁLIDO",IF(COUNTIF(tblBatidas[Início vinculado],L808)&gt;1,"VÍNCULO DUPLICADO",IF(E808&lt;&gt;INDEX(tblBatidas[ID],MATCH(L808,tblBatidas[Batida ID],0)),"DIVERGÊNCIA DE ID",IF(H808&lt;&gt;INDEX(tblBatidas[Projeto],MATCH(L808,tblBatidas[Batida ID],0)),"DIVERGÊNCIA DE PROJETO",IF(I808&lt;&gt;INDEX(tblBatidas[Atividade],MATCH(L808,tblBatidas[Batida ID],0)),"DIVERGÊNCIA DE ATIVIDADE",IF(OR(B808&lt;=INDEX(tblBatidas[Data e hora],MATCH(L808,tblBatidas[Batida ID],0)),(B808-INDEX(tblBatidas[Data e hora],MATCH(L808,tblBatidas[Batida ID],0)))*24&gt;16),"HORÁRIO INVÁLIDO","VINCULADO"))))))),"INÍCIO")</f>
        <v>SEM VÍNCULO</v>
      </c>
    </row>
    <row r="809" spans="1:13">
      <c r="A809" t="s">
        <v>1447</v>
      </c>
      <c r="B809" s="23">
        <v>46288.747129629628</v>
      </c>
      <c r="C809" s="2">
        <f>INT(B809)</f>
        <v>46288</v>
      </c>
      <c r="D809" t="str">
        <f>CHOOSE(WEEKDAY(C809,2),"SEGUNDA-FEIRA","TERÇA-FEIRA","QUARTA-FEIRA","QUINTA-FEIRA","SEXTA-FEIRA","SÁBADO","DOMINGO")</f>
        <v>QUARTA-FEIRA</v>
      </c>
      <c r="E809">
        <v>1002</v>
      </c>
      <c r="F809" t="s">
        <v>45</v>
      </c>
      <c r="G809" t="s">
        <v>503</v>
      </c>
      <c r="H809" t="s">
        <v>70</v>
      </c>
      <c r="I809" t="s">
        <v>517</v>
      </c>
      <c r="K809" t="s">
        <v>501</v>
      </c>
      <c r="L809" s="24" t="s">
        <v>1445</v>
      </c>
      <c r="M809" t="str">
        <f>IF(G809="FIM",IF(L809="","SEM VÍNCULO",IF(COUNTIF(tblBatidas[Batida ID],L809)=0,"VÍNCULO INVÁLIDO",IF(COUNTIF(tblBatidas[Início vinculado],L809)&gt;1,"VÍNCULO DUPLICADO",IF(E809&lt;&gt;INDEX(tblBatidas[ID],MATCH(L809,tblBatidas[Batida ID],0)),"DIVERGÊNCIA DE ID",IF(H809&lt;&gt;INDEX(tblBatidas[Projeto],MATCH(L809,tblBatidas[Batida ID],0)),"DIVERGÊNCIA DE PROJETO",IF(I809&lt;&gt;INDEX(tblBatidas[Atividade],MATCH(L809,tblBatidas[Batida ID],0)),"DIVERGÊNCIA DE ATIVIDADE",IF(OR(B809&lt;=INDEX(tblBatidas[Data e hora],MATCH(L809,tblBatidas[Batida ID],0)),(B809-INDEX(tblBatidas[Data e hora],MATCH(L809,tblBatidas[Batida ID],0)))*24&gt;16),"HORÁRIO INVÁLIDO","VINCULADO"))))))),"INÍCIO")</f>
        <v>VINCULADO</v>
      </c>
    </row>
    <row r="810" spans="1:13" hidden="1">
      <c r="A810" t="s">
        <v>1448</v>
      </c>
      <c r="B810" s="23">
        <v>46288.750428240739</v>
      </c>
      <c r="C810" s="2">
        <f>INT(B810)</f>
        <v>46288</v>
      </c>
      <c r="D810" t="str">
        <f>CHOOSE(WEEKDAY(C810,2),"SEGUNDA-FEIRA","TERÇA-FEIRA","QUARTA-FEIRA","QUINTA-FEIRA","SEXTA-FEIRA","SÁBADO","DOMINGO")</f>
        <v>QUARTA-FEIRA</v>
      </c>
      <c r="E810">
        <v>1013</v>
      </c>
      <c r="F810" t="s">
        <v>57</v>
      </c>
      <c r="G810" t="s">
        <v>503</v>
      </c>
      <c r="H810" t="s">
        <v>74</v>
      </c>
      <c r="I810" t="s">
        <v>517</v>
      </c>
      <c r="K810" t="s">
        <v>501</v>
      </c>
      <c r="L810" s="24" t="s">
        <v>1443</v>
      </c>
      <c r="M810" t="str">
        <f>IF(G810="FIM",IF(L810="","SEM VÍNCULO",IF(COUNTIF(tblBatidas[Batida ID],L810)=0,"VÍNCULO INVÁLIDO",IF(COUNTIF(tblBatidas[Início vinculado],L810)&gt;1,"VÍNCULO DUPLICADO",IF(E810&lt;&gt;INDEX(tblBatidas[ID],MATCH(L810,tblBatidas[Batida ID],0)),"DIVERGÊNCIA DE ID",IF(H810&lt;&gt;INDEX(tblBatidas[Projeto],MATCH(L810,tblBatidas[Batida ID],0)),"DIVERGÊNCIA DE PROJETO",IF(I810&lt;&gt;INDEX(tblBatidas[Atividade],MATCH(L810,tblBatidas[Batida ID],0)),"DIVERGÊNCIA DE ATIVIDADE",IF(OR(B810&lt;=INDEX(tblBatidas[Data e hora],MATCH(L810,tblBatidas[Batida ID],0)),(B810-INDEX(tblBatidas[Data e hora],MATCH(L810,tblBatidas[Batida ID],0)))*24&gt;16),"HORÁRIO INVÁLIDO","VINCULADO"))))))),"INÍCIO")</f>
        <v>DIVERGÊNCIA DE PROJETO</v>
      </c>
    </row>
    <row r="811" spans="1:13" hidden="1">
      <c r="A811" t="s">
        <v>1449</v>
      </c>
      <c r="B811" s="23">
        <v>46288.750833333332</v>
      </c>
      <c r="C811" s="2">
        <f>INT(B811)</f>
        <v>46288</v>
      </c>
      <c r="D811" t="str">
        <f>CHOOSE(WEEKDAY(C811,2),"SEGUNDA-FEIRA","TERÇA-FEIRA","QUARTA-FEIRA","QUINTA-FEIRA","SEXTA-FEIRA","SÁBADO","DOMINGO")</f>
        <v>QUARTA-FEIRA</v>
      </c>
      <c r="E811">
        <v>1003</v>
      </c>
      <c r="F811" t="s">
        <v>46</v>
      </c>
      <c r="G811" t="s">
        <v>503</v>
      </c>
      <c r="H811" t="s">
        <v>72</v>
      </c>
      <c r="I811" t="s">
        <v>517</v>
      </c>
      <c r="K811" t="s">
        <v>501</v>
      </c>
      <c r="L811" s="24"/>
      <c r="M811" t="str">
        <f>IF(G811="FIM",IF(L811="","SEM VÍNCULO",IF(COUNTIF(tblBatidas[Batida ID],L811)=0,"VÍNCULO INVÁLIDO",IF(COUNTIF(tblBatidas[Início vinculado],L811)&gt;1,"VÍNCULO DUPLICADO",IF(E811&lt;&gt;INDEX(tblBatidas[ID],MATCH(L811,tblBatidas[Batida ID],0)),"DIVERGÊNCIA DE ID",IF(H811&lt;&gt;INDEX(tblBatidas[Projeto],MATCH(L811,tblBatidas[Batida ID],0)),"DIVERGÊNCIA DE PROJETO",IF(I811&lt;&gt;INDEX(tblBatidas[Atividade],MATCH(L811,tblBatidas[Batida ID],0)),"DIVERGÊNCIA DE ATIVIDADE",IF(OR(B811&lt;=INDEX(tblBatidas[Data e hora],MATCH(L811,tblBatidas[Batida ID],0)),(B811-INDEX(tblBatidas[Data e hora],MATCH(L811,tblBatidas[Batida ID],0)))*24&gt;16),"HORÁRIO INVÁLIDO","VINCULADO"))))))),"INÍCIO")</f>
        <v>SEM VÍNCULO</v>
      </c>
    </row>
    <row r="812" spans="1:13" hidden="1">
      <c r="A812" t="s">
        <v>1450</v>
      </c>
      <c r="B812" s="23">
        <v>46288.751238425924</v>
      </c>
      <c r="C812" s="2">
        <f>INT(B812)</f>
        <v>46288</v>
      </c>
      <c r="D812" t="str">
        <f>CHOOSE(WEEKDAY(C812,2),"SEGUNDA-FEIRA","TERÇA-FEIRA","QUARTA-FEIRA","QUINTA-FEIRA","SEXTA-FEIRA","SÁBADO","DOMINGO")</f>
        <v>QUARTA-FEIRA</v>
      </c>
      <c r="E812">
        <v>1011</v>
      </c>
      <c r="F812" t="s">
        <v>54</v>
      </c>
      <c r="G812" t="s">
        <v>503</v>
      </c>
      <c r="H812" t="s">
        <v>74</v>
      </c>
      <c r="I812" t="s">
        <v>517</v>
      </c>
      <c r="K812" t="s">
        <v>501</v>
      </c>
      <c r="L812" s="24" t="s">
        <v>1444</v>
      </c>
      <c r="M812" t="str">
        <f>IF(G812="FIM",IF(L812="","SEM VÍNCULO",IF(COUNTIF(tblBatidas[Batida ID],L812)=0,"VÍNCULO INVÁLIDO",IF(COUNTIF(tblBatidas[Início vinculado],L812)&gt;1,"VÍNCULO DUPLICADO",IF(E812&lt;&gt;INDEX(tblBatidas[ID],MATCH(L812,tblBatidas[Batida ID],0)),"DIVERGÊNCIA DE ID",IF(H812&lt;&gt;INDEX(tblBatidas[Projeto],MATCH(L812,tblBatidas[Batida ID],0)),"DIVERGÊNCIA DE PROJETO",IF(I812&lt;&gt;INDEX(tblBatidas[Atividade],MATCH(L812,tblBatidas[Batida ID],0)),"DIVERGÊNCIA DE ATIVIDADE",IF(OR(B812&lt;=INDEX(tblBatidas[Data e hora],MATCH(L812,tblBatidas[Batida ID],0)),(B812-INDEX(tblBatidas[Data e hora],MATCH(L812,tblBatidas[Batida ID],0)))*24&gt;16),"HORÁRIO INVÁLIDO","VINCULADO"))))))),"INÍCIO")</f>
        <v>VINCULADO</v>
      </c>
    </row>
    <row r="813" spans="1:13">
      <c r="A813" t="s">
        <v>1104</v>
      </c>
      <c r="B813" s="21">
        <v>46274.518518518518</v>
      </c>
      <c r="C813" s="2">
        <v>46274</v>
      </c>
      <c r="D813" t="s">
        <v>1675</v>
      </c>
      <c r="E813">
        <v>1002</v>
      </c>
      <c r="F813" t="s">
        <v>45</v>
      </c>
      <c r="G813" t="s">
        <v>503</v>
      </c>
      <c r="H813" t="s">
        <v>70</v>
      </c>
      <c r="I813" t="s">
        <v>517</v>
      </c>
      <c r="K813" t="s">
        <v>501</v>
      </c>
      <c r="L813" s="9"/>
      <c r="M813" t="s">
        <v>503</v>
      </c>
    </row>
    <row r="814" spans="1:13">
      <c r="A814" t="s">
        <v>1131</v>
      </c>
      <c r="B814" s="21">
        <v>46274.75</v>
      </c>
      <c r="C814" s="2">
        <v>46274</v>
      </c>
      <c r="D814" t="s">
        <v>1675</v>
      </c>
      <c r="E814">
        <v>1002</v>
      </c>
      <c r="F814" t="s">
        <v>45</v>
      </c>
      <c r="G814" t="s">
        <v>503</v>
      </c>
      <c r="H814" t="s">
        <v>70</v>
      </c>
      <c r="I814" t="s">
        <v>517</v>
      </c>
      <c r="K814" t="s">
        <v>501</v>
      </c>
      <c r="L814" s="9"/>
      <c r="M814" t="s">
        <v>503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5353"/>
  </sheetPr>
  <dimension ref="A1:B10"/>
  <sheetViews>
    <sheetView showGridLines="0" workbookViewId="0"/>
  </sheetViews>
  <sheetFormatPr defaultRowHeight="14.25"/>
  <cols>
    <col min="1" max="1" width="52.25" customWidth="1"/>
    <col min="2" max="2" width="13.375" customWidth="1"/>
  </cols>
  <sheetData>
    <row r="1" spans="1:2" ht="24" customHeight="1">
      <c r="A1" s="17" t="s">
        <v>1451</v>
      </c>
      <c r="B1" s="17"/>
    </row>
    <row r="3" spans="1:2" ht="24" customHeight="1">
      <c r="A3" s="5" t="s">
        <v>1452</v>
      </c>
      <c r="B3" s="5" t="s">
        <v>1453</v>
      </c>
    </row>
    <row r="4" spans="1:2">
      <c r="A4" t="s">
        <v>1454</v>
      </c>
      <c r="B4">
        <f>COUNTIF(tblBatidas[Conferência],"SEM VÍNCULO")</f>
        <v>123</v>
      </c>
    </row>
    <row r="5" spans="1:2">
      <c r="A5" t="s">
        <v>1455</v>
      </c>
      <c r="B5">
        <f>COUNTIF(tblBatidas[Conferência],"VÍNCULO INVÁLIDO")+COUNTIF(tblBatidas[Conferência],"VÍNCULO DUPLICADO")+COUNTIF(tblBatidas[Conferência],"DIVERGÊNCIA DE PROJETO")+COUNTIF(tblBatidas[Conferência],"DIVERGÊNCIA DE ATIVIDADE")+COUNTIF(tblBatidas[Conferência],"DIVERGÊNCIA DE ID")+COUNTIF(tblBatidas[Conferência],"HORÁRIO INVÁLIDO")</f>
        <v>1</v>
      </c>
    </row>
    <row r="6" spans="1:2">
      <c r="A6" t="s">
        <v>1456</v>
      </c>
      <c r="B6">
        <f>COUNTIF(tblRegistros[Status],"REVISAR")</f>
        <v>1</v>
      </c>
    </row>
    <row r="7" spans="1:2">
      <c r="A7" t="s">
        <v>1457</v>
      </c>
      <c r="B7">
        <f>COUNTIF(tblRegistros[Status],"EM ABERTO")</f>
        <v>103</v>
      </c>
    </row>
    <row r="9" spans="1:2" ht="19.5" customHeight="1">
      <c r="A9" s="7" t="s">
        <v>1458</v>
      </c>
    </row>
    <row r="10" spans="1:2" ht="19.5" customHeight="1">
      <c r="A10" s="7" t="s">
        <v>1459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4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8.375" customWidth="1"/>
    <col min="2" max="2" width="30" customWidth="1"/>
    <col min="3" max="3" width="9.625" customWidth="1"/>
    <col min="4" max="6" width="11.625" customWidth="1"/>
    <col min="7" max="7" width="26.625" customWidth="1"/>
    <col min="8" max="8" width="10.625" customWidth="1"/>
  </cols>
  <sheetData>
    <row r="1" spans="1:8" ht="24" customHeight="1">
      <c r="A1" s="17" t="s">
        <v>1460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1461</v>
      </c>
    </row>
    <row r="4" spans="1:8" ht="24" customHeight="1">
      <c r="A4" s="5" t="s">
        <v>35</v>
      </c>
      <c r="B4" s="5" t="s">
        <v>3</v>
      </c>
      <c r="C4" s="5" t="s">
        <v>27</v>
      </c>
      <c r="D4" s="5" t="s">
        <v>37</v>
      </c>
      <c r="E4" s="5" t="s">
        <v>38</v>
      </c>
      <c r="F4" s="5" t="s">
        <v>39</v>
      </c>
      <c r="G4" s="5" t="s">
        <v>1462</v>
      </c>
      <c r="H4" s="5" t="s">
        <v>30</v>
      </c>
    </row>
    <row r="5" spans="1:8">
      <c r="A5">
        <v>1001</v>
      </c>
      <c r="B5" t="s">
        <v>43</v>
      </c>
      <c r="C5" t="s">
        <v>44</v>
      </c>
      <c r="D5" s="3">
        <v>17</v>
      </c>
      <c r="E5" s="3">
        <v>20</v>
      </c>
      <c r="F5" s="3">
        <v>0</v>
      </c>
      <c r="G5" t="s">
        <v>1463</v>
      </c>
      <c r="H5" t="s">
        <v>1464</v>
      </c>
    </row>
    <row r="6" spans="1:8">
      <c r="A6">
        <v>1002</v>
      </c>
      <c r="B6" t="s">
        <v>45</v>
      </c>
      <c r="C6" t="s">
        <v>44</v>
      </c>
      <c r="D6" s="3">
        <v>23.5</v>
      </c>
      <c r="E6" s="3">
        <v>23.5</v>
      </c>
      <c r="F6" s="3">
        <v>0</v>
      </c>
      <c r="G6" t="s">
        <v>1465</v>
      </c>
      <c r="H6" t="s">
        <v>1464</v>
      </c>
    </row>
    <row r="7" spans="1:8">
      <c r="A7">
        <v>1003</v>
      </c>
      <c r="B7" t="s">
        <v>46</v>
      </c>
      <c r="C7" t="s">
        <v>44</v>
      </c>
      <c r="D7" s="3">
        <v>23.5</v>
      </c>
      <c r="E7" s="3">
        <v>23.5</v>
      </c>
      <c r="F7" s="3">
        <v>0</v>
      </c>
      <c r="G7" t="s">
        <v>1466</v>
      </c>
      <c r="H7" t="s">
        <v>1464</v>
      </c>
    </row>
    <row r="8" spans="1:8">
      <c r="A8">
        <v>1004</v>
      </c>
      <c r="B8" t="s">
        <v>47</v>
      </c>
      <c r="C8" t="s">
        <v>44</v>
      </c>
      <c r="D8" s="3">
        <v>21.5</v>
      </c>
      <c r="E8" s="3">
        <v>20</v>
      </c>
      <c r="F8" s="3">
        <v>0</v>
      </c>
      <c r="G8" t="s">
        <v>1467</v>
      </c>
      <c r="H8" t="s">
        <v>1464</v>
      </c>
    </row>
    <row r="9" spans="1:8">
      <c r="A9">
        <v>1005</v>
      </c>
      <c r="B9" t="s">
        <v>48</v>
      </c>
      <c r="C9" t="s">
        <v>44</v>
      </c>
      <c r="D9" s="3">
        <v>13</v>
      </c>
      <c r="E9" s="3">
        <v>16.5</v>
      </c>
      <c r="F9" s="3">
        <v>0</v>
      </c>
      <c r="G9" t="s">
        <v>1468</v>
      </c>
      <c r="H9" t="s">
        <v>1464</v>
      </c>
    </row>
    <row r="10" spans="1:8">
      <c r="A10">
        <v>1006</v>
      </c>
      <c r="B10" t="s">
        <v>49</v>
      </c>
      <c r="C10" t="s">
        <v>44</v>
      </c>
      <c r="D10" s="3">
        <v>14</v>
      </c>
      <c r="E10" s="3">
        <v>17</v>
      </c>
      <c r="F10" s="3">
        <v>0</v>
      </c>
      <c r="G10" t="s">
        <v>987</v>
      </c>
      <c r="H10" t="s">
        <v>1464</v>
      </c>
    </row>
    <row r="11" spans="1:8">
      <c r="A11">
        <v>1007</v>
      </c>
      <c r="B11" t="s">
        <v>50</v>
      </c>
      <c r="C11" t="s">
        <v>44</v>
      </c>
      <c r="D11" s="3">
        <v>23.5</v>
      </c>
      <c r="E11" s="3">
        <v>23.5</v>
      </c>
      <c r="F11" s="3">
        <v>0</v>
      </c>
      <c r="G11" t="s">
        <v>1469</v>
      </c>
      <c r="H11" t="s">
        <v>1464</v>
      </c>
    </row>
    <row r="12" spans="1:8">
      <c r="A12">
        <v>1008</v>
      </c>
      <c r="B12" t="s">
        <v>51</v>
      </c>
      <c r="C12" t="s">
        <v>44</v>
      </c>
      <c r="D12" s="3">
        <v>14</v>
      </c>
      <c r="E12" s="3">
        <v>17</v>
      </c>
      <c r="F12" s="3">
        <v>0</v>
      </c>
      <c r="G12" t="s">
        <v>987</v>
      </c>
      <c r="H12" t="s">
        <v>1464</v>
      </c>
    </row>
    <row r="13" spans="1:8">
      <c r="A13">
        <v>1009</v>
      </c>
      <c r="B13" t="s">
        <v>52</v>
      </c>
      <c r="C13" t="s">
        <v>44</v>
      </c>
      <c r="D13" s="3">
        <v>14</v>
      </c>
      <c r="E13" s="3">
        <v>17</v>
      </c>
      <c r="F13" s="3">
        <v>0</v>
      </c>
      <c r="G13" t="s">
        <v>987</v>
      </c>
      <c r="H13" t="s">
        <v>1464</v>
      </c>
    </row>
    <row r="14" spans="1:8">
      <c r="A14">
        <v>1010</v>
      </c>
      <c r="B14" t="s">
        <v>53</v>
      </c>
      <c r="C14" t="s">
        <v>44</v>
      </c>
      <c r="D14" s="3">
        <v>14</v>
      </c>
      <c r="E14" s="3">
        <v>17</v>
      </c>
      <c r="F14" s="3">
        <v>0</v>
      </c>
      <c r="G14" t="s">
        <v>987</v>
      </c>
      <c r="H14" t="s">
        <v>1464</v>
      </c>
    </row>
    <row r="15" spans="1:8">
      <c r="A15">
        <v>1011</v>
      </c>
      <c r="B15" t="s">
        <v>54</v>
      </c>
      <c r="C15" t="s">
        <v>44</v>
      </c>
      <c r="D15" s="3">
        <v>23.5</v>
      </c>
      <c r="E15" s="3">
        <v>23.5</v>
      </c>
      <c r="F15" s="3">
        <v>0</v>
      </c>
      <c r="G15" t="s">
        <v>1470</v>
      </c>
      <c r="H15" t="s">
        <v>1464</v>
      </c>
    </row>
    <row r="16" spans="1:8">
      <c r="A16">
        <v>1012</v>
      </c>
      <c r="B16" t="s">
        <v>55</v>
      </c>
      <c r="C16" t="s">
        <v>56</v>
      </c>
      <c r="D16" s="3">
        <v>0</v>
      </c>
      <c r="E16" s="3">
        <v>0</v>
      </c>
      <c r="F16" s="3">
        <v>222.72</v>
      </c>
      <c r="G16" t="s">
        <v>1471</v>
      </c>
      <c r="H16" t="s">
        <v>1464</v>
      </c>
    </row>
    <row r="17" spans="1:8">
      <c r="A17">
        <v>1013</v>
      </c>
      <c r="B17" t="s">
        <v>57</v>
      </c>
      <c r="C17" t="s">
        <v>44</v>
      </c>
      <c r="D17" s="3">
        <v>23.5</v>
      </c>
      <c r="E17" s="3">
        <v>23.5</v>
      </c>
      <c r="F17" s="3">
        <v>0</v>
      </c>
      <c r="G17" t="s">
        <v>1470</v>
      </c>
      <c r="H17" t="s">
        <v>1464</v>
      </c>
    </row>
    <row r="18" spans="1:8">
      <c r="A18">
        <v>1014</v>
      </c>
      <c r="B18" t="s">
        <v>58</v>
      </c>
      <c r="C18" t="s">
        <v>44</v>
      </c>
      <c r="D18" s="3">
        <v>21.5</v>
      </c>
      <c r="E18" s="3">
        <v>21.5</v>
      </c>
      <c r="F18" s="3">
        <v>0</v>
      </c>
      <c r="G18" t="s">
        <v>1468</v>
      </c>
      <c r="H18" t="s">
        <v>1464</v>
      </c>
    </row>
    <row r="19" spans="1:8">
      <c r="A19">
        <v>1015</v>
      </c>
      <c r="B19" t="s">
        <v>59</v>
      </c>
      <c r="C19" t="s">
        <v>44</v>
      </c>
      <c r="D19" s="3">
        <v>21.5</v>
      </c>
      <c r="E19" s="3">
        <v>21.5</v>
      </c>
      <c r="F19" s="3">
        <v>0</v>
      </c>
      <c r="G19" t="s">
        <v>1472</v>
      </c>
      <c r="H19" t="s">
        <v>1464</v>
      </c>
    </row>
    <row r="20" spans="1:8">
      <c r="A20">
        <v>1016</v>
      </c>
      <c r="B20" t="s">
        <v>60</v>
      </c>
      <c r="C20" t="s">
        <v>44</v>
      </c>
      <c r="D20" s="3">
        <v>23.5</v>
      </c>
      <c r="E20" s="3">
        <v>23.5</v>
      </c>
      <c r="F20" s="3">
        <v>0</v>
      </c>
      <c r="G20" t="s">
        <v>1470</v>
      </c>
      <c r="H20" t="s">
        <v>1464</v>
      </c>
    </row>
    <row r="21" spans="1:8">
      <c r="A21">
        <v>1017</v>
      </c>
      <c r="B21" t="s">
        <v>61</v>
      </c>
      <c r="C21" t="s">
        <v>44</v>
      </c>
      <c r="D21" s="3">
        <v>14</v>
      </c>
      <c r="E21" s="3">
        <v>17</v>
      </c>
      <c r="F21" s="3">
        <v>0</v>
      </c>
      <c r="G21" t="s">
        <v>987</v>
      </c>
      <c r="H21" t="s">
        <v>1464</v>
      </c>
    </row>
    <row r="22" spans="1:8">
      <c r="D22" s="3"/>
      <c r="E22" s="3"/>
      <c r="F22" s="3"/>
    </row>
    <row r="23" spans="1:8">
      <c r="D23" s="3"/>
      <c r="E23" s="3"/>
      <c r="F23" s="3"/>
    </row>
    <row r="24" spans="1:8">
      <c r="D24" s="3"/>
      <c r="E24" s="3"/>
      <c r="F24" s="3"/>
    </row>
    <row r="25" spans="1:8">
      <c r="D25" s="3"/>
      <c r="E25" s="3"/>
      <c r="F25" s="3"/>
    </row>
    <row r="26" spans="1:8">
      <c r="D26" s="3"/>
      <c r="E26" s="3"/>
      <c r="F26" s="3"/>
    </row>
    <row r="27" spans="1:8">
      <c r="D27" s="3"/>
      <c r="E27" s="3"/>
      <c r="F27" s="3"/>
    </row>
    <row r="28" spans="1:8">
      <c r="D28" s="3"/>
      <c r="E28" s="3"/>
      <c r="F28" s="3"/>
    </row>
    <row r="29" spans="1:8">
      <c r="D29" s="3"/>
      <c r="E29" s="3"/>
      <c r="F29" s="3"/>
    </row>
    <row r="30" spans="1:8">
      <c r="D30" s="3"/>
      <c r="E30" s="3"/>
      <c r="F30" s="3"/>
    </row>
    <row r="31" spans="1:8">
      <c r="D31" s="3"/>
      <c r="E31" s="3"/>
      <c r="F31" s="3"/>
    </row>
    <row r="32" spans="1:8">
      <c r="D32" s="3"/>
      <c r="E32" s="3"/>
      <c r="F32" s="3"/>
    </row>
    <row r="33" spans="4:6">
      <c r="D33" s="3"/>
      <c r="E33" s="3"/>
      <c r="F33" s="3"/>
    </row>
    <row r="34" spans="4:6">
      <c r="D34" s="3"/>
      <c r="E34" s="3"/>
      <c r="F34" s="3"/>
    </row>
    <row r="35" spans="4:6">
      <c r="D35" s="3"/>
      <c r="E35" s="3"/>
      <c r="F35" s="3"/>
    </row>
    <row r="36" spans="4:6">
      <c r="D36" s="3"/>
      <c r="E36" s="3"/>
      <c r="F36" s="3"/>
    </row>
    <row r="37" spans="4:6">
      <c r="D37" s="3"/>
      <c r="E37" s="3"/>
      <c r="F37" s="3"/>
    </row>
    <row r="38" spans="4:6">
      <c r="D38" s="3"/>
      <c r="E38" s="3"/>
      <c r="F38" s="3"/>
    </row>
    <row r="39" spans="4:6">
      <c r="D39" s="3"/>
      <c r="E39" s="3"/>
      <c r="F39" s="3"/>
    </row>
    <row r="40" spans="4:6">
      <c r="D40" s="3"/>
      <c r="E40" s="3"/>
      <c r="F40" s="3"/>
    </row>
    <row r="41" spans="4:6">
      <c r="D41" s="3"/>
      <c r="E41" s="3"/>
      <c r="F41" s="3"/>
    </row>
    <row r="42" spans="4:6">
      <c r="D42" s="3"/>
      <c r="E42" s="3"/>
      <c r="F42" s="3"/>
    </row>
    <row r="43" spans="4:6">
      <c r="D43" s="3"/>
      <c r="E43" s="3"/>
      <c r="F43" s="3"/>
    </row>
    <row r="44" spans="4:6">
      <c r="D44" s="3"/>
      <c r="E44" s="3"/>
      <c r="F44" s="3"/>
    </row>
    <row r="45" spans="4:6">
      <c r="D45" s="3"/>
      <c r="E45" s="3"/>
      <c r="F45" s="3"/>
    </row>
    <row r="46" spans="4:6">
      <c r="D46" s="3"/>
      <c r="E46" s="3"/>
      <c r="F46" s="3"/>
    </row>
    <row r="47" spans="4:6">
      <c r="D47" s="3"/>
      <c r="E47" s="3"/>
      <c r="F47" s="3"/>
    </row>
    <row r="48" spans="4:6">
      <c r="D48" s="3"/>
      <c r="E48" s="3"/>
      <c r="F48" s="3"/>
    </row>
    <row r="49" spans="4:6">
      <c r="D49" s="3"/>
      <c r="E49" s="3"/>
      <c r="F49" s="3"/>
    </row>
    <row r="50" spans="4:6">
      <c r="D50" s="3"/>
      <c r="E50" s="3"/>
      <c r="F50" s="3"/>
    </row>
    <row r="51" spans="4:6">
      <c r="D51" s="3"/>
      <c r="E51" s="3"/>
      <c r="F51" s="3"/>
    </row>
    <row r="52" spans="4:6">
      <c r="D52" s="3"/>
      <c r="E52" s="3"/>
      <c r="F52" s="3"/>
    </row>
    <row r="53" spans="4:6">
      <c r="D53" s="3"/>
      <c r="E53" s="3"/>
      <c r="F53" s="3"/>
    </row>
    <row r="54" spans="4:6">
      <c r="D54" s="3"/>
      <c r="E54" s="3"/>
      <c r="F54" s="3"/>
    </row>
    <row r="55" spans="4:6">
      <c r="D55" s="3"/>
      <c r="E55" s="3"/>
      <c r="F55" s="3"/>
    </row>
    <row r="56" spans="4:6">
      <c r="D56" s="3"/>
      <c r="E56" s="3"/>
      <c r="F56" s="3"/>
    </row>
    <row r="57" spans="4:6">
      <c r="D57" s="3"/>
      <c r="E57" s="3"/>
      <c r="F57" s="3"/>
    </row>
    <row r="58" spans="4:6">
      <c r="D58" s="3"/>
      <c r="E58" s="3"/>
      <c r="F58" s="3"/>
    </row>
    <row r="59" spans="4:6">
      <c r="D59" s="3"/>
      <c r="E59" s="3"/>
      <c r="F59" s="3"/>
    </row>
    <row r="60" spans="4:6">
      <c r="D60" s="3"/>
      <c r="E60" s="3"/>
      <c r="F60" s="3"/>
    </row>
    <row r="61" spans="4:6">
      <c r="D61" s="3"/>
      <c r="E61" s="3"/>
      <c r="F61" s="3"/>
    </row>
    <row r="62" spans="4:6">
      <c r="D62" s="3"/>
      <c r="E62" s="3"/>
      <c r="F62" s="3"/>
    </row>
    <row r="63" spans="4:6">
      <c r="D63" s="3"/>
      <c r="E63" s="3"/>
      <c r="F63" s="3"/>
    </row>
    <row r="64" spans="4:6">
      <c r="D64" s="3"/>
      <c r="E64" s="3"/>
      <c r="F64" s="3"/>
    </row>
    <row r="65" spans="4:6">
      <c r="D65" s="3"/>
      <c r="E65" s="3"/>
      <c r="F65" s="3"/>
    </row>
    <row r="66" spans="4:6">
      <c r="D66" s="3"/>
      <c r="E66" s="3"/>
      <c r="F66" s="3"/>
    </row>
    <row r="67" spans="4:6">
      <c r="D67" s="3"/>
      <c r="E67" s="3"/>
      <c r="F67" s="3"/>
    </row>
    <row r="68" spans="4:6">
      <c r="D68" s="3"/>
      <c r="E68" s="3"/>
      <c r="F68" s="3"/>
    </row>
    <row r="69" spans="4:6">
      <c r="D69" s="3"/>
      <c r="E69" s="3"/>
      <c r="F69" s="3"/>
    </row>
    <row r="70" spans="4:6">
      <c r="D70" s="3"/>
      <c r="E70" s="3"/>
      <c r="F70" s="3"/>
    </row>
    <row r="71" spans="4:6">
      <c r="D71" s="3"/>
      <c r="E71" s="3"/>
      <c r="F71" s="3"/>
    </row>
    <row r="72" spans="4:6">
      <c r="D72" s="3"/>
      <c r="E72" s="3"/>
      <c r="F72" s="3"/>
    </row>
    <row r="73" spans="4:6">
      <c r="D73" s="3"/>
      <c r="E73" s="3"/>
      <c r="F73" s="3"/>
    </row>
    <row r="74" spans="4:6">
      <c r="D74" s="3"/>
      <c r="E74" s="3"/>
      <c r="F74" s="3"/>
    </row>
    <row r="75" spans="4:6">
      <c r="D75" s="3"/>
      <c r="E75" s="3"/>
      <c r="F75" s="3"/>
    </row>
    <row r="76" spans="4:6">
      <c r="D76" s="3"/>
      <c r="E76" s="3"/>
      <c r="F76" s="3"/>
    </row>
    <row r="77" spans="4:6">
      <c r="D77" s="3"/>
      <c r="E77" s="3"/>
      <c r="F77" s="3"/>
    </row>
    <row r="78" spans="4:6">
      <c r="D78" s="3"/>
      <c r="E78" s="3"/>
      <c r="F78" s="3"/>
    </row>
    <row r="79" spans="4:6">
      <c r="D79" s="3"/>
      <c r="E79" s="3"/>
      <c r="F79" s="3"/>
    </row>
    <row r="80" spans="4:6">
      <c r="D80" s="3"/>
      <c r="E80" s="3"/>
      <c r="F80" s="3"/>
    </row>
    <row r="81" spans="4:6">
      <c r="D81" s="3"/>
      <c r="E81" s="3"/>
      <c r="F81" s="3"/>
    </row>
    <row r="82" spans="4:6">
      <c r="D82" s="3"/>
      <c r="E82" s="3"/>
      <c r="F82" s="3"/>
    </row>
    <row r="83" spans="4:6">
      <c r="D83" s="3"/>
      <c r="E83" s="3"/>
      <c r="F83" s="3"/>
    </row>
    <row r="84" spans="4:6">
      <c r="D84" s="3"/>
      <c r="E84" s="3"/>
      <c r="F84" s="3"/>
    </row>
    <row r="85" spans="4:6">
      <c r="D85" s="3"/>
      <c r="E85" s="3"/>
      <c r="F85" s="3"/>
    </row>
    <row r="86" spans="4:6">
      <c r="D86" s="3"/>
      <c r="E86" s="3"/>
      <c r="F86" s="3"/>
    </row>
    <row r="87" spans="4:6">
      <c r="D87" s="3"/>
      <c r="E87" s="3"/>
      <c r="F87" s="3"/>
    </row>
    <row r="88" spans="4:6">
      <c r="D88" s="3"/>
      <c r="E88" s="3"/>
      <c r="F88" s="3"/>
    </row>
    <row r="89" spans="4:6">
      <c r="D89" s="3"/>
      <c r="E89" s="3"/>
      <c r="F89" s="3"/>
    </row>
    <row r="90" spans="4:6">
      <c r="D90" s="3"/>
      <c r="E90" s="3"/>
      <c r="F90" s="3"/>
    </row>
    <row r="91" spans="4:6">
      <c r="D91" s="3"/>
      <c r="E91" s="3"/>
      <c r="F91" s="3"/>
    </row>
    <row r="92" spans="4:6">
      <c r="D92" s="3"/>
      <c r="E92" s="3"/>
      <c r="F92" s="3"/>
    </row>
    <row r="93" spans="4:6">
      <c r="D93" s="3"/>
      <c r="E93" s="3"/>
      <c r="F93" s="3"/>
    </row>
    <row r="94" spans="4:6">
      <c r="D94" s="3"/>
      <c r="E94" s="3"/>
      <c r="F94" s="3"/>
    </row>
    <row r="95" spans="4:6">
      <c r="D95" s="3"/>
      <c r="E95" s="3"/>
      <c r="F95" s="3"/>
    </row>
    <row r="96" spans="4:6">
      <c r="D96" s="3"/>
      <c r="E96" s="3"/>
      <c r="F96" s="3"/>
    </row>
    <row r="97" spans="4:6">
      <c r="D97" s="3"/>
      <c r="E97" s="3"/>
      <c r="F97" s="3"/>
    </row>
    <row r="98" spans="4:6">
      <c r="D98" s="3"/>
      <c r="E98" s="3"/>
      <c r="F98" s="3"/>
    </row>
    <row r="99" spans="4:6">
      <c r="D99" s="3"/>
      <c r="E99" s="3"/>
      <c r="F99" s="3"/>
    </row>
    <row r="100" spans="4:6">
      <c r="D100" s="3"/>
      <c r="E100" s="3"/>
      <c r="F100" s="3"/>
    </row>
    <row r="101" spans="4:6">
      <c r="D101" s="3"/>
      <c r="E101" s="3"/>
      <c r="F101" s="3"/>
    </row>
    <row r="102" spans="4:6">
      <c r="D102" s="3"/>
      <c r="E102" s="3"/>
      <c r="F102" s="3"/>
    </row>
    <row r="103" spans="4:6">
      <c r="D103" s="3"/>
      <c r="E103" s="3"/>
      <c r="F103" s="3"/>
    </row>
    <row r="104" spans="4:6">
      <c r="D104" s="3"/>
      <c r="E104" s="3"/>
      <c r="F104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.25" customWidth="1"/>
    <col min="2" max="2" width="25.625" customWidth="1"/>
    <col min="3" max="3" width="32.25" customWidth="1"/>
    <col min="4" max="4" width="10.625" customWidth="1"/>
  </cols>
  <sheetData>
    <row r="1" spans="1:4" ht="24" customHeight="1">
      <c r="A1" s="17" t="s">
        <v>1473</v>
      </c>
      <c r="B1" s="17"/>
      <c r="C1" s="17"/>
      <c r="D1" s="17"/>
    </row>
    <row r="2" spans="1:4" ht="19.5" customHeight="1">
      <c r="A2" s="7" t="s">
        <v>1474</v>
      </c>
    </row>
    <row r="4" spans="1:4" ht="24" customHeight="1">
      <c r="A4" s="5" t="s">
        <v>64</v>
      </c>
      <c r="B4" s="5" t="s">
        <v>1475</v>
      </c>
      <c r="C4" s="5" t="s">
        <v>1476</v>
      </c>
      <c r="D4" s="5" t="s">
        <v>30</v>
      </c>
    </row>
    <row r="5" spans="1:4">
      <c r="A5" t="s">
        <v>67</v>
      </c>
      <c r="B5" t="s">
        <v>68</v>
      </c>
      <c r="C5" t="s">
        <v>1477</v>
      </c>
      <c r="D5" t="s">
        <v>1464</v>
      </c>
    </row>
    <row r="6" spans="1:4">
      <c r="A6" t="s">
        <v>69</v>
      </c>
      <c r="B6" t="s">
        <v>70</v>
      </c>
      <c r="C6" t="s">
        <v>1478</v>
      </c>
      <c r="D6" t="s">
        <v>1464</v>
      </c>
    </row>
    <row r="7" spans="1:4">
      <c r="A7" t="s">
        <v>71</v>
      </c>
      <c r="B7" t="s">
        <v>72</v>
      </c>
      <c r="C7" t="s">
        <v>1479</v>
      </c>
      <c r="D7" t="s">
        <v>1464</v>
      </c>
    </row>
    <row r="8" spans="1:4">
      <c r="A8" t="s">
        <v>73</v>
      </c>
      <c r="B8" t="s">
        <v>74</v>
      </c>
      <c r="C8" t="s">
        <v>1480</v>
      </c>
      <c r="D8" t="s">
        <v>1464</v>
      </c>
    </row>
    <row r="9" spans="1:4">
      <c r="A9" t="s">
        <v>75</v>
      </c>
      <c r="B9" t="s">
        <v>76</v>
      </c>
      <c r="C9" t="s">
        <v>1481</v>
      </c>
      <c r="D9" t="s">
        <v>1464</v>
      </c>
    </row>
    <row r="10" spans="1:4">
      <c r="A10" t="s">
        <v>77</v>
      </c>
      <c r="B10" t="s">
        <v>78</v>
      </c>
      <c r="C10" t="s">
        <v>1482</v>
      </c>
      <c r="D10" t="s">
        <v>1464</v>
      </c>
    </row>
    <row r="11" spans="1:4">
      <c r="A11" t="s">
        <v>79</v>
      </c>
      <c r="B11" t="s">
        <v>80</v>
      </c>
      <c r="C11" t="s">
        <v>1483</v>
      </c>
      <c r="D11" t="s">
        <v>1464</v>
      </c>
    </row>
    <row r="12" spans="1:4">
      <c r="A12" t="s">
        <v>81</v>
      </c>
      <c r="B12" t="s">
        <v>82</v>
      </c>
      <c r="C12" t="s">
        <v>1484</v>
      </c>
      <c r="D12" t="s">
        <v>1464</v>
      </c>
    </row>
    <row r="13" spans="1:4">
      <c r="A13" t="s">
        <v>83</v>
      </c>
      <c r="B13" t="s">
        <v>84</v>
      </c>
      <c r="C13" t="s">
        <v>1485</v>
      </c>
      <c r="D13" t="s">
        <v>1464</v>
      </c>
    </row>
    <row r="14" spans="1:4">
      <c r="A14" t="s">
        <v>85</v>
      </c>
      <c r="B14" t="s">
        <v>86</v>
      </c>
      <c r="C14" t="s">
        <v>1486</v>
      </c>
      <c r="D14" t="s">
        <v>1464</v>
      </c>
    </row>
    <row r="15" spans="1:4">
      <c r="A15" t="s">
        <v>87</v>
      </c>
      <c r="B15" t="s">
        <v>88</v>
      </c>
      <c r="C15" t="s">
        <v>1487</v>
      </c>
      <c r="D15" t="s">
        <v>1464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.25" customWidth="1"/>
    <col min="2" max="2" width="26.125" customWidth="1"/>
    <col min="3" max="3" width="36.625" customWidth="1"/>
    <col min="4" max="4" width="10.625" customWidth="1"/>
  </cols>
  <sheetData>
    <row r="1" spans="1:4" ht="24" customHeight="1">
      <c r="A1" s="17" t="s">
        <v>1488</v>
      </c>
      <c r="B1" s="17"/>
      <c r="C1" s="17"/>
      <c r="D1" s="17"/>
    </row>
    <row r="2" spans="1:4" ht="19.5" customHeight="1">
      <c r="A2" s="7" t="s">
        <v>1489</v>
      </c>
    </row>
    <row r="4" spans="1:4" ht="24" customHeight="1">
      <c r="A4" s="5" t="s">
        <v>64</v>
      </c>
      <c r="B4" s="5" t="s">
        <v>1490</v>
      </c>
      <c r="C4" s="5" t="s">
        <v>1476</v>
      </c>
      <c r="D4" s="5" t="s">
        <v>30</v>
      </c>
    </row>
    <row r="5" spans="1:4">
      <c r="A5" t="s">
        <v>1491</v>
      </c>
      <c r="B5" t="s">
        <v>500</v>
      </c>
      <c r="C5" t="s">
        <v>1492</v>
      </c>
      <c r="D5" t="s">
        <v>1464</v>
      </c>
    </row>
    <row r="6" spans="1:4">
      <c r="A6" t="s">
        <v>1493</v>
      </c>
      <c r="B6" t="s">
        <v>512</v>
      </c>
      <c r="C6" t="s">
        <v>1494</v>
      </c>
      <c r="D6" t="s">
        <v>1464</v>
      </c>
    </row>
    <row r="7" spans="1:4">
      <c r="A7" t="s">
        <v>1495</v>
      </c>
      <c r="B7" t="s">
        <v>538</v>
      </c>
      <c r="C7" t="s">
        <v>1496</v>
      </c>
      <c r="D7" t="s">
        <v>1464</v>
      </c>
    </row>
    <row r="8" spans="1:4">
      <c r="A8" t="s">
        <v>1497</v>
      </c>
      <c r="B8" t="s">
        <v>517</v>
      </c>
      <c r="C8" t="s">
        <v>1498</v>
      </c>
      <c r="D8" t="s">
        <v>1464</v>
      </c>
    </row>
    <row r="9" spans="1:4">
      <c r="A9" t="s">
        <v>1499</v>
      </c>
      <c r="B9" t="s">
        <v>1500</v>
      </c>
      <c r="C9" t="s">
        <v>1501</v>
      </c>
      <c r="D9" t="s">
        <v>1464</v>
      </c>
    </row>
    <row r="10" spans="1:4">
      <c r="A10" t="s">
        <v>1502</v>
      </c>
      <c r="B10" t="s">
        <v>529</v>
      </c>
      <c r="C10" t="s">
        <v>1503</v>
      </c>
      <c r="D10" t="s">
        <v>1464</v>
      </c>
    </row>
    <row r="11" spans="1:4">
      <c r="A11" t="s">
        <v>1504</v>
      </c>
      <c r="B11" t="s">
        <v>1505</v>
      </c>
      <c r="C11" t="s">
        <v>1506</v>
      </c>
      <c r="D11" t="s">
        <v>1464</v>
      </c>
    </row>
    <row r="12" spans="1:4">
      <c r="A12" t="s">
        <v>1507</v>
      </c>
      <c r="B12" t="s">
        <v>1508</v>
      </c>
      <c r="C12" t="s">
        <v>1509</v>
      </c>
      <c r="D12" t="s">
        <v>1464</v>
      </c>
    </row>
    <row r="13" spans="1:4">
      <c r="A13" t="s">
        <v>1510</v>
      </c>
      <c r="B13" t="s">
        <v>84</v>
      </c>
      <c r="C13" t="s">
        <v>1511</v>
      </c>
      <c r="D13" t="s">
        <v>1464</v>
      </c>
    </row>
    <row r="14" spans="1:4">
      <c r="A14" t="s">
        <v>1512</v>
      </c>
      <c r="B14" t="s">
        <v>602</v>
      </c>
      <c r="C14" t="s">
        <v>1513</v>
      </c>
      <c r="D14" t="s">
        <v>1464</v>
      </c>
    </row>
    <row r="15" spans="1:4">
      <c r="A15" t="s">
        <v>1514</v>
      </c>
      <c r="B15" t="s">
        <v>527</v>
      </c>
      <c r="C15" t="s">
        <v>1515</v>
      </c>
      <c r="D15" t="s">
        <v>1464</v>
      </c>
    </row>
    <row r="16" spans="1:4">
      <c r="A16" t="s">
        <v>1516</v>
      </c>
      <c r="B16" t="s">
        <v>1517</v>
      </c>
      <c r="C16" t="s">
        <v>1518</v>
      </c>
      <c r="D16" t="s">
        <v>1464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showGridLines="0" workbookViewId="0"/>
  </sheetViews>
  <sheetFormatPr defaultRowHeight="14.25"/>
  <cols>
    <col min="1" max="1" width="8" customWidth="1"/>
    <col min="2" max="2" width="94.375" customWidth="1"/>
  </cols>
  <sheetData>
    <row r="1" spans="1:2" ht="24" customHeight="1">
      <c r="A1" s="17" t="s">
        <v>1519</v>
      </c>
      <c r="B1" s="17"/>
    </row>
    <row r="2" spans="1:2" ht="22.5" customHeight="1">
      <c r="A2" t="s">
        <v>1520</v>
      </c>
      <c r="B2" t="s">
        <v>1521</v>
      </c>
    </row>
    <row r="3" spans="1:2" ht="22.5" customHeight="1">
      <c r="A3" t="s">
        <v>1522</v>
      </c>
      <c r="B3" t="s">
        <v>1523</v>
      </c>
    </row>
    <row r="4" spans="1:2" ht="22.5" customHeight="1">
      <c r="A4" t="s">
        <v>1524</v>
      </c>
      <c r="B4" t="s">
        <v>1525</v>
      </c>
    </row>
    <row r="5" spans="1:2" ht="22.5" customHeight="1">
      <c r="A5" t="s">
        <v>1526</v>
      </c>
      <c r="B5" t="s">
        <v>1527</v>
      </c>
    </row>
    <row r="6" spans="1:2" ht="22.5" customHeight="1">
      <c r="A6" t="s">
        <v>1528</v>
      </c>
      <c r="B6" t="s">
        <v>1529</v>
      </c>
    </row>
    <row r="7" spans="1:2" ht="22.5" customHeight="1">
      <c r="A7" t="s">
        <v>1530</v>
      </c>
      <c r="B7" t="s">
        <v>1531</v>
      </c>
    </row>
    <row r="8" spans="1:2" ht="22.5" customHeight="1">
      <c r="A8" t="s">
        <v>1532</v>
      </c>
      <c r="B8" t="s">
        <v>1533</v>
      </c>
    </row>
    <row r="9" spans="1:2" ht="22.5" customHeight="1">
      <c r="A9" t="s">
        <v>1534</v>
      </c>
      <c r="B9" t="s">
        <v>1535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46"/>
  <sheetViews>
    <sheetView showGridLines="0" workbookViewId="0"/>
  </sheetViews>
  <sheetFormatPr defaultRowHeight="14.25"/>
  <cols>
    <col min="1" max="1" width="100" customWidth="1"/>
  </cols>
  <sheetData>
    <row r="1" spans="1:1" ht="24" customHeight="1">
      <c r="A1" s="17" t="s">
        <v>1536</v>
      </c>
    </row>
    <row r="2" spans="1:1">
      <c r="A2" s="22" t="s">
        <v>1537</v>
      </c>
    </row>
    <row r="3" spans="1:1">
      <c r="A3" s="22" t="s">
        <v>1538</v>
      </c>
    </row>
    <row r="4" spans="1:1">
      <c r="A4" s="22" t="s">
        <v>1539</v>
      </c>
    </row>
    <row r="5" spans="1:1">
      <c r="A5" s="22" t="s">
        <v>1540</v>
      </c>
    </row>
    <row r="6" spans="1:1">
      <c r="A6" s="22" t="s">
        <v>1541</v>
      </c>
    </row>
    <row r="7" spans="1:1">
      <c r="A7" s="22" t="s">
        <v>1542</v>
      </c>
    </row>
    <row r="8" spans="1:1">
      <c r="A8" s="22" t="s">
        <v>1543</v>
      </c>
    </row>
    <row r="9" spans="1:1">
      <c r="A9" s="22" t="s">
        <v>1544</v>
      </c>
    </row>
    <row r="10" spans="1:1">
      <c r="A10" s="22" t="s">
        <v>1545</v>
      </c>
    </row>
    <row r="11" spans="1:1">
      <c r="A11" s="22" t="s">
        <v>1546</v>
      </c>
    </row>
    <row r="12" spans="1:1">
      <c r="A12" s="22" t="s">
        <v>1547</v>
      </c>
    </row>
    <row r="13" spans="1:1">
      <c r="A13" s="22" t="s">
        <v>1548</v>
      </c>
    </row>
    <row r="14" spans="1:1">
      <c r="A14" s="22" t="s">
        <v>1549</v>
      </c>
    </row>
    <row r="15" spans="1:1">
      <c r="A15" s="22" t="s">
        <v>1550</v>
      </c>
    </row>
    <row r="16" spans="1:1">
      <c r="A16" s="22" t="s">
        <v>1551</v>
      </c>
    </row>
    <row r="17" spans="1:1">
      <c r="A17" s="22" t="s">
        <v>1552</v>
      </c>
    </row>
    <row r="18" spans="1:1">
      <c r="A18" s="22" t="s">
        <v>1553</v>
      </c>
    </row>
    <row r="19" spans="1:1">
      <c r="A19" s="22" t="s">
        <v>1554</v>
      </c>
    </row>
    <row r="20" spans="1:1">
      <c r="A20" s="22" t="s">
        <v>1555</v>
      </c>
    </row>
    <row r="21" spans="1:1">
      <c r="A21" s="22" t="s">
        <v>1556</v>
      </c>
    </row>
    <row r="22" spans="1:1">
      <c r="A22" s="22" t="s">
        <v>1557</v>
      </c>
    </row>
    <row r="23" spans="1:1">
      <c r="A23" s="22" t="s">
        <v>1558</v>
      </c>
    </row>
    <row r="24" spans="1:1">
      <c r="A24" s="22" t="s">
        <v>1559</v>
      </c>
    </row>
    <row r="25" spans="1:1">
      <c r="A25" s="22" t="s">
        <v>1560</v>
      </c>
    </row>
    <row r="26" spans="1:1">
      <c r="A26" s="22" t="s">
        <v>1561</v>
      </c>
    </row>
    <row r="27" spans="1:1">
      <c r="A27" s="22" t="s">
        <v>1562</v>
      </c>
    </row>
    <row r="28" spans="1:1">
      <c r="A28" s="22" t="s">
        <v>1563</v>
      </c>
    </row>
    <row r="29" spans="1:1">
      <c r="A29" s="22" t="s">
        <v>1564</v>
      </c>
    </row>
    <row r="30" spans="1:1">
      <c r="A30" s="22" t="s">
        <v>1565</v>
      </c>
    </row>
    <row r="31" spans="1:1">
      <c r="A31" s="22" t="s">
        <v>1566</v>
      </c>
    </row>
    <row r="32" spans="1:1">
      <c r="A32" s="22" t="s">
        <v>1567</v>
      </c>
    </row>
    <row r="33" spans="1:1">
      <c r="A33" s="22" t="s">
        <v>1568</v>
      </c>
    </row>
    <row r="34" spans="1:1">
      <c r="A34" s="22" t="s">
        <v>1569</v>
      </c>
    </row>
    <row r="35" spans="1:1">
      <c r="A35" s="22" t="s">
        <v>1570</v>
      </c>
    </row>
    <row r="36" spans="1:1">
      <c r="A36" s="22" t="s">
        <v>1571</v>
      </c>
    </row>
    <row r="37" spans="1:1">
      <c r="A37" s="22" t="s">
        <v>1572</v>
      </c>
    </row>
    <row r="38" spans="1:1">
      <c r="A38" s="22" t="s">
        <v>1573</v>
      </c>
    </row>
    <row r="39" spans="1:1">
      <c r="A39" s="22" t="s">
        <v>1548</v>
      </c>
    </row>
    <row r="40" spans="1:1">
      <c r="A40" s="22" t="s">
        <v>1574</v>
      </c>
    </row>
    <row r="41" spans="1:1">
      <c r="A41" s="22" t="s">
        <v>1575</v>
      </c>
    </row>
    <row r="42" spans="1:1">
      <c r="A42" s="22" t="s">
        <v>1576</v>
      </c>
    </row>
    <row r="43" spans="1:1">
      <c r="A43" s="22" t="s">
        <v>1577</v>
      </c>
    </row>
    <row r="44" spans="1:1">
      <c r="A44" s="22" t="s">
        <v>1578</v>
      </c>
    </row>
    <row r="45" spans="1:1">
      <c r="A45" s="22" t="s">
        <v>1579</v>
      </c>
    </row>
    <row r="46" spans="1:1">
      <c r="A46" s="22" t="s">
        <v>1580</v>
      </c>
    </row>
    <row r="47" spans="1:1">
      <c r="A47" s="22" t="s">
        <v>1581</v>
      </c>
    </row>
    <row r="48" spans="1:1">
      <c r="A48" s="22" t="s">
        <v>1582</v>
      </c>
    </row>
    <row r="49" spans="1:1">
      <c r="A49" s="22" t="s">
        <v>1583</v>
      </c>
    </row>
    <row r="50" spans="1:1">
      <c r="A50" s="22" t="s">
        <v>1584</v>
      </c>
    </row>
    <row r="51" spans="1:1">
      <c r="A51" s="22" t="s">
        <v>1585</v>
      </c>
    </row>
    <row r="52" spans="1:1">
      <c r="A52" s="22" t="s">
        <v>1586</v>
      </c>
    </row>
    <row r="53" spans="1:1">
      <c r="A53" s="22" t="s">
        <v>1587</v>
      </c>
    </row>
    <row r="54" spans="1:1">
      <c r="A54" s="22" t="s">
        <v>1588</v>
      </c>
    </row>
    <row r="55" spans="1:1">
      <c r="A55" s="22" t="s">
        <v>1548</v>
      </c>
    </row>
    <row r="56" spans="1:1">
      <c r="A56" s="22" t="s">
        <v>1589</v>
      </c>
    </row>
    <row r="57" spans="1:1">
      <c r="A57" s="22" t="s">
        <v>1590</v>
      </c>
    </row>
    <row r="58" spans="1:1">
      <c r="A58" s="22" t="s">
        <v>1591</v>
      </c>
    </row>
    <row r="59" spans="1:1">
      <c r="A59" s="22" t="s">
        <v>1592</v>
      </c>
    </row>
    <row r="60" spans="1:1">
      <c r="A60" s="22" t="s">
        <v>1593</v>
      </c>
    </row>
    <row r="61" spans="1:1">
      <c r="A61" s="22" t="s">
        <v>1594</v>
      </c>
    </row>
    <row r="62" spans="1:1">
      <c r="A62" s="22" t="s">
        <v>1595</v>
      </c>
    </row>
    <row r="63" spans="1:1">
      <c r="A63" s="22" t="s">
        <v>1596</v>
      </c>
    </row>
    <row r="64" spans="1:1">
      <c r="A64" s="22" t="s">
        <v>1597</v>
      </c>
    </row>
    <row r="65" spans="1:1">
      <c r="A65" s="22" t="s">
        <v>1598</v>
      </c>
    </row>
    <row r="66" spans="1:1">
      <c r="A66" s="22" t="s">
        <v>1599</v>
      </c>
    </row>
    <row r="67" spans="1:1">
      <c r="A67" s="22" t="s">
        <v>1600</v>
      </c>
    </row>
    <row r="68" spans="1:1">
      <c r="A68" s="22" t="s">
        <v>1601</v>
      </c>
    </row>
    <row r="69" spans="1:1">
      <c r="A69" s="22" t="s">
        <v>1602</v>
      </c>
    </row>
    <row r="70" spans="1:1">
      <c r="A70" s="22" t="s">
        <v>1603</v>
      </c>
    </row>
    <row r="71" spans="1:1">
      <c r="A71" s="22" t="s">
        <v>1604</v>
      </c>
    </row>
    <row r="72" spans="1:1">
      <c r="A72" s="22" t="s">
        <v>1605</v>
      </c>
    </row>
    <row r="73" spans="1:1">
      <c r="A73" s="22" t="s">
        <v>1606</v>
      </c>
    </row>
    <row r="74" spans="1:1">
      <c r="A74" s="22" t="s">
        <v>1607</v>
      </c>
    </row>
    <row r="75" spans="1:1">
      <c r="A75" s="22" t="s">
        <v>1608</v>
      </c>
    </row>
    <row r="76" spans="1:1">
      <c r="A76" s="22" t="s">
        <v>1609</v>
      </c>
    </row>
    <row r="77" spans="1:1">
      <c r="A77" s="22" t="s">
        <v>1610</v>
      </c>
    </row>
    <row r="78" spans="1:1">
      <c r="A78" s="22" t="s">
        <v>1611</v>
      </c>
    </row>
    <row r="79" spans="1:1">
      <c r="A79" s="22" t="s">
        <v>1612</v>
      </c>
    </row>
    <row r="80" spans="1:1">
      <c r="A80" s="22" t="s">
        <v>1613</v>
      </c>
    </row>
    <row r="81" spans="1:1">
      <c r="A81" s="22" t="s">
        <v>1614</v>
      </c>
    </row>
    <row r="82" spans="1:1">
      <c r="A82" s="22" t="s">
        <v>1615</v>
      </c>
    </row>
    <row r="83" spans="1:1">
      <c r="A83" s="22" t="s">
        <v>1616</v>
      </c>
    </row>
    <row r="84" spans="1:1">
      <c r="A84" s="22" t="s">
        <v>1617</v>
      </c>
    </row>
    <row r="85" spans="1:1">
      <c r="A85" s="22" t="s">
        <v>1618</v>
      </c>
    </row>
    <row r="86" spans="1:1">
      <c r="A86" s="22" t="s">
        <v>1548</v>
      </c>
    </row>
    <row r="87" spans="1:1">
      <c r="A87" s="22" t="s">
        <v>1619</v>
      </c>
    </row>
    <row r="88" spans="1:1">
      <c r="A88" s="22" t="s">
        <v>1620</v>
      </c>
    </row>
    <row r="89" spans="1:1">
      <c r="A89" s="22" t="s">
        <v>1621</v>
      </c>
    </row>
    <row r="90" spans="1:1">
      <c r="A90" s="22" t="s">
        <v>1622</v>
      </c>
    </row>
    <row r="91" spans="1:1">
      <c r="A91" s="22" t="s">
        <v>1623</v>
      </c>
    </row>
    <row r="92" spans="1:1">
      <c r="A92" s="22" t="s">
        <v>1624</v>
      </c>
    </row>
    <row r="93" spans="1:1">
      <c r="A93" s="22" t="s">
        <v>1625</v>
      </c>
    </row>
    <row r="94" spans="1:1">
      <c r="A94" s="22" t="s">
        <v>1626</v>
      </c>
    </row>
    <row r="95" spans="1:1">
      <c r="A95" s="22" t="s">
        <v>1627</v>
      </c>
    </row>
    <row r="96" spans="1:1">
      <c r="A96" s="22" t="s">
        <v>1628</v>
      </c>
    </row>
    <row r="97" spans="1:1">
      <c r="A97" s="22" t="s">
        <v>1629</v>
      </c>
    </row>
    <row r="98" spans="1:1">
      <c r="A98" s="22" t="s">
        <v>1630</v>
      </c>
    </row>
    <row r="99" spans="1:1">
      <c r="A99" s="22" t="s">
        <v>1631</v>
      </c>
    </row>
    <row r="100" spans="1:1">
      <c r="A100" s="22" t="s">
        <v>1632</v>
      </c>
    </row>
    <row r="101" spans="1:1">
      <c r="A101" s="22" t="s">
        <v>1633</v>
      </c>
    </row>
    <row r="102" spans="1:1">
      <c r="A102" s="22" t="s">
        <v>1634</v>
      </c>
    </row>
    <row r="103" spans="1:1">
      <c r="A103" s="22" t="s">
        <v>1548</v>
      </c>
    </row>
    <row r="104" spans="1:1">
      <c r="A104" s="22" t="s">
        <v>1635</v>
      </c>
    </row>
    <row r="105" spans="1:1">
      <c r="A105" s="22" t="s">
        <v>1636</v>
      </c>
    </row>
    <row r="106" spans="1:1">
      <c r="A106" s="22" t="s">
        <v>1637</v>
      </c>
    </row>
    <row r="107" spans="1:1">
      <c r="A107" s="22" t="s">
        <v>1638</v>
      </c>
    </row>
    <row r="108" spans="1:1">
      <c r="A108" s="22" t="s">
        <v>1639</v>
      </c>
    </row>
    <row r="109" spans="1:1">
      <c r="A109" s="22" t="s">
        <v>1640</v>
      </c>
    </row>
    <row r="110" spans="1:1">
      <c r="A110" s="22" t="s">
        <v>1641</v>
      </c>
    </row>
    <row r="111" spans="1:1">
      <c r="A111" s="22" t="s">
        <v>1642</v>
      </c>
    </row>
    <row r="112" spans="1:1">
      <c r="A112" s="22" t="s">
        <v>1643</v>
      </c>
    </row>
    <row r="113" spans="1:1">
      <c r="A113" s="22" t="s">
        <v>1644</v>
      </c>
    </row>
    <row r="114" spans="1:1">
      <c r="A114" s="22" t="s">
        <v>1645</v>
      </c>
    </row>
    <row r="115" spans="1:1">
      <c r="A115" s="22" t="s">
        <v>1646</v>
      </c>
    </row>
    <row r="116" spans="1:1">
      <c r="A116" s="22" t="s">
        <v>1548</v>
      </c>
    </row>
    <row r="117" spans="1:1">
      <c r="A117" s="22" t="s">
        <v>1647</v>
      </c>
    </row>
    <row r="118" spans="1:1">
      <c r="A118" s="22" t="s">
        <v>1648</v>
      </c>
    </row>
    <row r="119" spans="1:1">
      <c r="A119" s="22" t="s">
        <v>1649</v>
      </c>
    </row>
    <row r="120" spans="1:1">
      <c r="A120" s="22" t="s">
        <v>1650</v>
      </c>
    </row>
    <row r="121" spans="1:1">
      <c r="A121" s="22" t="s">
        <v>1651</v>
      </c>
    </row>
    <row r="122" spans="1:1">
      <c r="A122" s="22" t="s">
        <v>1652</v>
      </c>
    </row>
    <row r="123" spans="1:1">
      <c r="A123" s="22" t="s">
        <v>1653</v>
      </c>
    </row>
    <row r="124" spans="1:1">
      <c r="A124" s="22" t="s">
        <v>1548</v>
      </c>
    </row>
    <row r="125" spans="1:1">
      <c r="A125" s="22" t="s">
        <v>1654</v>
      </c>
    </row>
    <row r="126" spans="1:1">
      <c r="A126" s="22" t="s">
        <v>1655</v>
      </c>
    </row>
    <row r="127" spans="1:1">
      <c r="A127" s="22" t="s">
        <v>1656</v>
      </c>
    </row>
    <row r="128" spans="1:1">
      <c r="A128" s="22" t="s">
        <v>1657</v>
      </c>
    </row>
    <row r="129" spans="1:1">
      <c r="A129" s="22" t="s">
        <v>1658</v>
      </c>
    </row>
    <row r="130" spans="1:1">
      <c r="A130" s="22" t="s">
        <v>1659</v>
      </c>
    </row>
    <row r="131" spans="1:1">
      <c r="A131" s="22" t="s">
        <v>1660</v>
      </c>
    </row>
    <row r="132" spans="1:1">
      <c r="A132" s="22" t="s">
        <v>1661</v>
      </c>
    </row>
    <row r="133" spans="1:1">
      <c r="A133" s="22" t="s">
        <v>1662</v>
      </c>
    </row>
    <row r="134" spans="1:1">
      <c r="A134" s="22" t="s">
        <v>1663</v>
      </c>
    </row>
    <row r="135" spans="1:1">
      <c r="A135" t="s">
        <v>1664</v>
      </c>
    </row>
    <row r="136" spans="1:1">
      <c r="A136" t="s">
        <v>1665</v>
      </c>
    </row>
    <row r="137" spans="1:1">
      <c r="A137" t="s">
        <v>1666</v>
      </c>
    </row>
    <row r="138" spans="1:1">
      <c r="A138" t="s">
        <v>1548</v>
      </c>
    </row>
    <row r="139" spans="1:1">
      <c r="A139" t="s">
        <v>1667</v>
      </c>
    </row>
    <row r="140" spans="1:1">
      <c r="A140" t="s">
        <v>1668</v>
      </c>
    </row>
    <row r="141" spans="1:1">
      <c r="A141" t="s">
        <v>1669</v>
      </c>
    </row>
    <row r="142" spans="1:1">
      <c r="A142" t="s">
        <v>1670</v>
      </c>
    </row>
    <row r="143" spans="1:1">
      <c r="A143" t="s">
        <v>1671</v>
      </c>
    </row>
    <row r="144" spans="1:1">
      <c r="A144" t="s">
        <v>1672</v>
      </c>
    </row>
    <row r="145" spans="1:1">
      <c r="A145" t="s">
        <v>1673</v>
      </c>
    </row>
    <row r="146" spans="1:1">
      <c r="A146" t="s">
        <v>1548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98ecdb-379e-4e6d-8ae3-b710a7e51541}" enabled="0" method="" siteId="{4198ecdb-379e-4e6d-8ae3-b710a7e51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Registrar Ponto</vt:lpstr>
      <vt:lpstr>Cartão de Ponto</vt:lpstr>
      <vt:lpstr>Resumo Pagamentos</vt:lpstr>
      <vt:lpstr>Custo por Projeto</vt:lpstr>
      <vt:lpstr>Registros</vt:lpstr>
      <vt:lpstr>Batidas</vt:lpstr>
      <vt:lpstr>Conferência</vt:lpstr>
      <vt:lpstr>Cadastro Pessoas</vt:lpstr>
      <vt:lpstr>Cadastro Projetos</vt:lpstr>
      <vt:lpstr>Cadastro Atividades</vt:lpstr>
      <vt:lpstr>Configuração</vt:lpstr>
      <vt:lpstr>Office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Mariano</dc:creator>
  <cp:lastModifiedBy>Alex Mariano</cp:lastModifiedBy>
  <dcterms:created xsi:type="dcterms:W3CDTF">2026-09-24T20:19:30Z</dcterms:created>
  <dcterms:modified xsi:type="dcterms:W3CDTF">2026-09-28T12:43:17Z</dcterms:modified>
</cp:coreProperties>
</file>